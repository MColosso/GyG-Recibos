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comments4.xml" ContentType="application/vnd.openxmlformats-officedocument.spreadsheetml.comments+xml"/>
  <Override PartName="/xl/threadedComments/threadedComment3.xml" ContentType="application/vnd.ms-excel.threaded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omments5.xml" ContentType="application/vnd.openxmlformats-officedocument.spreadsheetml.comments+xml"/>
  <Override PartName="/xl/threadedComments/threadedComment4.xml" ContentType="application/vnd.ms-excel.threadedcomments+xml"/>
  <Override PartName="/xl/pivotTables/pivotTable1.xml" ContentType="application/vnd.openxmlformats-officedocument.spreadsheetml.pivotTable+xml"/>
  <Override PartName="/xl/comments6.xml" ContentType="application/vnd.openxmlformats-officedocument.spreadsheetml.comments+xml"/>
  <Override PartName="/xl/threadedComments/threadedComment5.xml" ContentType="application/vnd.ms-excel.threadedcomments+xml"/>
  <Override PartName="/xl/comments7.xml" ContentType="application/vnd.openxmlformats-officedocument.spreadsheetml.comments+xml"/>
  <Override PartName="/xl/threadedComments/threadedComment6.xml" ContentType="application/vnd.ms-excel.threadedcomments+xml"/>
  <Override PartName="/xl/pivotTables/pivotTable2.xml" ContentType="application/vnd.openxmlformats-officedocument.spreadsheetml.pivotTable+xml"/>
  <Override PartName="/xl/persons/person.xml" ContentType="application/vnd.ms-excel.person+xml"/>
  <Override PartName="/xl/calcChain.xml" ContentType="application/vnd.openxmlformats-officedocument.spreadsheetml.calcChain+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611" codeName="{00000000-0000-0000-0000-000000000000}"/>
  <workbookPr codeName="ThisWorkbook"/>
  <mc:AlternateContent xmlns:mc="http://schemas.openxmlformats.org/markup-compatibility/2006">
    <mc:Choice Requires="x15">
      <x15ac:absPath xmlns:x15ac="http://schemas.microsoft.com/office/spreadsheetml/2010/11/ac" url="C:\Users\MColosso\Dropbox\GyG Recibos\"/>
    </mc:Choice>
  </mc:AlternateContent>
  <xr:revisionPtr revIDLastSave="0" documentId="11_82FABFE658EB949E9ACBE0FFD241D4CD6189E49C" xr6:coauthVersionLast="45" xr6:coauthVersionMax="45" xr10:uidLastSave="{00000000-0000-0000-0000-000000000000}"/>
  <bookViews>
    <workbookView xWindow="0" yWindow="0" windowWidth="18930" windowHeight="7485" xr2:uid="{00000000-000D-0000-FFFF-FFFF00000000}"/>
  </bookViews>
  <sheets>
    <sheet name="Vigilancia" sheetId="1" r:id="rId1"/>
    <sheet name="RESUMEN VIGILANCIA" sheetId="9" r:id="rId2"/>
    <sheet name="CUOTAS" sheetId="14" r:id="rId3"/>
    <sheet name="Saldos" sheetId="4" r:id="rId4"/>
    <sheet name="Cobranzas" sheetId="12" r:id="rId5"/>
    <sheet name="R.VIGILANCIA (reordenado)" sheetId="5" r:id="rId6"/>
    <sheet name="R.INGRESOS" sheetId="13" r:id="rId7"/>
    <sheet name="RESUMEN OTROS" sheetId="8" r:id="rId8"/>
    <sheet name="Proyectos" sheetId="11" r:id="rId9"/>
    <sheet name="Vecinos" sheetId="2" r:id="rId10"/>
    <sheet name="Varios" sheetId="10" r:id="rId11"/>
  </sheets>
  <definedNames>
    <definedName name="_xlnm._FilterDatabase" localSheetId="5" hidden="1">'R.VIGILANCIA (reordenado)'!$A$1:$BB$146</definedName>
    <definedName name="_xlnm._FilterDatabase" localSheetId="7" hidden="1">'RESUMEN OTROS'!$A$1:$J$150</definedName>
    <definedName name="_xlnm._FilterDatabase" localSheetId="9" hidden="1">Vecinos!$A$1:$I$140</definedName>
    <definedName name="_xlnm._FilterDatabase" localSheetId="0" hidden="1">Vigilancia!$A$1:$Q$2687</definedName>
  </definedNames>
  <calcPr calcId="191028" iterate="1" iterateCount="5" calcCompleted="0"/>
  <pivotCaches>
    <pivotCache cacheId="3" r:id="rId12"/>
    <pivotCache cacheId="4" r:id="rId13"/>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2751" i="1" l="1"/>
  <c r="A2752" i="1" l="1"/>
  <c r="AO5" i="9"/>
  <c r="Q2752" i="1"/>
  <c r="P2752" i="1"/>
  <c r="O2752" i="1"/>
  <c r="N2752" i="1"/>
  <c r="M2752" i="1"/>
  <c r="L2752" i="1"/>
  <c r="Q2751" i="1"/>
  <c r="P2751" i="1"/>
  <c r="O2751" i="1"/>
  <c r="N2751" i="1"/>
  <c r="M2751" i="1"/>
  <c r="L2751" i="1"/>
  <c r="A2750" i="1" l="1"/>
  <c r="P2750" i="1" l="1"/>
  <c r="O2750" i="1"/>
  <c r="N2750" i="1"/>
  <c r="M2750" i="1"/>
  <c r="P2749" i="1"/>
  <c r="O2749" i="1"/>
  <c r="N2749" i="1"/>
  <c r="M2749" i="1"/>
  <c r="A3" i="1"/>
  <c r="A4" i="1"/>
  <c r="A5" i="1"/>
  <c r="A6" i="1"/>
  <c r="A7" i="1"/>
  <c r="A8" i="1"/>
  <c r="A9" i="1"/>
  <c r="A10" i="1"/>
  <c r="A11" i="1"/>
  <c r="A12" i="1"/>
  <c r="A13" i="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1" i="1"/>
  <c r="A112" i="1"/>
  <c r="A113" i="1"/>
  <c r="A114" i="1"/>
  <c r="A115" i="1"/>
  <c r="A116" i="1"/>
  <c r="A117" i="1"/>
  <c r="A118" i="1"/>
  <c r="A119" i="1"/>
  <c r="A120" i="1"/>
  <c r="A121" i="1"/>
  <c r="A122" i="1"/>
  <c r="A123" i="1"/>
  <c r="A124" i="1"/>
  <c r="A125" i="1"/>
  <c r="A126" i="1"/>
  <c r="A127" i="1"/>
  <c r="A128" i="1"/>
  <c r="A129" i="1"/>
  <c r="A130" i="1"/>
  <c r="A131" i="1"/>
  <c r="A132" i="1"/>
  <c r="A133" i="1"/>
  <c r="A134" i="1"/>
  <c r="A135" i="1"/>
  <c r="A136" i="1"/>
  <c r="A137" i="1"/>
  <c r="A138" i="1"/>
  <c r="A139" i="1"/>
  <c r="A140" i="1"/>
  <c r="A141" i="1"/>
  <c r="A142" i="1"/>
  <c r="A143" i="1"/>
  <c r="A144" i="1"/>
  <c r="A145" i="1"/>
  <c r="A146" i="1"/>
  <c r="A147" i="1"/>
  <c r="A148" i="1"/>
  <c r="A149" i="1"/>
  <c r="A150" i="1"/>
  <c r="A151" i="1"/>
  <c r="A152" i="1"/>
  <c r="A153" i="1"/>
  <c r="A154" i="1"/>
  <c r="A155" i="1"/>
  <c r="A156" i="1"/>
  <c r="A157" i="1"/>
  <c r="A158" i="1"/>
  <c r="A159" i="1"/>
  <c r="A160" i="1"/>
  <c r="A161" i="1"/>
  <c r="A162" i="1"/>
  <c r="A163" i="1"/>
  <c r="A164" i="1"/>
  <c r="A165" i="1"/>
  <c r="A166" i="1"/>
  <c r="A167" i="1"/>
  <c r="A168" i="1"/>
  <c r="A169" i="1"/>
  <c r="A170" i="1"/>
  <c r="A171" i="1"/>
  <c r="A172" i="1"/>
  <c r="A173" i="1"/>
  <c r="A174" i="1"/>
  <c r="A175" i="1"/>
  <c r="A176" i="1"/>
  <c r="A177" i="1"/>
  <c r="A178" i="1"/>
  <c r="A179" i="1"/>
  <c r="A180" i="1"/>
  <c r="A181" i="1"/>
  <c r="A182" i="1"/>
  <c r="A183" i="1"/>
  <c r="A184" i="1"/>
  <c r="A185" i="1"/>
  <c r="A186" i="1"/>
  <c r="A187" i="1"/>
  <c r="A188" i="1"/>
  <c r="A189" i="1"/>
  <c r="A190" i="1"/>
  <c r="A191" i="1"/>
  <c r="A192" i="1"/>
  <c r="A193" i="1"/>
  <c r="A194" i="1"/>
  <c r="A195" i="1"/>
  <c r="A196" i="1"/>
  <c r="A197" i="1"/>
  <c r="A198" i="1"/>
  <c r="A199" i="1"/>
  <c r="A200" i="1"/>
  <c r="A201" i="1"/>
  <c r="A202" i="1"/>
  <c r="A203" i="1"/>
  <c r="A204" i="1"/>
  <c r="A205" i="1"/>
  <c r="A206" i="1"/>
  <c r="A207" i="1"/>
  <c r="A208" i="1"/>
  <c r="A209" i="1"/>
  <c r="A210" i="1"/>
  <c r="A211" i="1"/>
  <c r="A212" i="1"/>
  <c r="A213" i="1"/>
  <c r="A214" i="1"/>
  <c r="A215" i="1"/>
  <c r="A216" i="1"/>
  <c r="A217" i="1"/>
  <c r="A218" i="1"/>
  <c r="A219" i="1"/>
  <c r="A220" i="1"/>
  <c r="A221" i="1"/>
  <c r="A222" i="1"/>
  <c r="A223" i="1"/>
  <c r="A224" i="1"/>
  <c r="A225" i="1"/>
  <c r="A226" i="1"/>
  <c r="A227" i="1"/>
  <c r="A228" i="1"/>
  <c r="A229" i="1"/>
  <c r="A230" i="1"/>
  <c r="A231" i="1"/>
  <c r="A232" i="1"/>
  <c r="A233" i="1"/>
  <c r="A234" i="1"/>
  <c r="A235" i="1"/>
  <c r="A236" i="1"/>
  <c r="A237" i="1"/>
  <c r="A238" i="1"/>
  <c r="A239" i="1"/>
  <c r="A240" i="1"/>
  <c r="A241" i="1"/>
  <c r="A242" i="1"/>
  <c r="A243" i="1"/>
  <c r="A244" i="1"/>
  <c r="A245" i="1"/>
  <c r="A246" i="1"/>
  <c r="A247" i="1"/>
  <c r="A248" i="1"/>
  <c r="A249" i="1"/>
  <c r="A250" i="1"/>
  <c r="A251" i="1"/>
  <c r="A252" i="1"/>
  <c r="A253" i="1"/>
  <c r="A254" i="1"/>
  <c r="A255" i="1"/>
  <c r="A256" i="1"/>
  <c r="A257" i="1"/>
  <c r="A258" i="1"/>
  <c r="A259" i="1"/>
  <c r="A260" i="1"/>
  <c r="A261" i="1"/>
  <c r="A262" i="1"/>
  <c r="A263" i="1"/>
  <c r="A264" i="1"/>
  <c r="A265" i="1"/>
  <c r="A266" i="1"/>
  <c r="A267" i="1"/>
  <c r="A268" i="1"/>
  <c r="A269" i="1"/>
  <c r="A270" i="1"/>
  <c r="A271" i="1"/>
  <c r="A272" i="1"/>
  <c r="A273" i="1"/>
  <c r="A274" i="1"/>
  <c r="A275" i="1"/>
  <c r="A276" i="1"/>
  <c r="A277" i="1"/>
  <c r="A278" i="1"/>
  <c r="A279" i="1"/>
  <c r="A280" i="1"/>
  <c r="A281" i="1"/>
  <c r="A282" i="1"/>
  <c r="A283" i="1"/>
  <c r="A284" i="1"/>
  <c r="A285" i="1"/>
  <c r="A286" i="1"/>
  <c r="A287" i="1"/>
  <c r="A288" i="1"/>
  <c r="A289" i="1"/>
  <c r="A290" i="1"/>
  <c r="A291" i="1"/>
  <c r="A292" i="1"/>
  <c r="A293" i="1"/>
  <c r="A294" i="1"/>
  <c r="A295" i="1"/>
  <c r="A296" i="1"/>
  <c r="A297" i="1"/>
  <c r="A298" i="1"/>
  <c r="A299" i="1"/>
  <c r="A300" i="1"/>
  <c r="A301" i="1"/>
  <c r="A302" i="1"/>
  <c r="A303" i="1"/>
  <c r="A304" i="1"/>
  <c r="A305" i="1"/>
  <c r="A306" i="1"/>
  <c r="A307" i="1"/>
  <c r="A308" i="1"/>
  <c r="A309" i="1"/>
  <c r="A310" i="1"/>
  <c r="A311" i="1"/>
  <c r="A312" i="1"/>
  <c r="A313" i="1"/>
  <c r="A314" i="1"/>
  <c r="A315" i="1"/>
  <c r="A316" i="1"/>
  <c r="A317" i="1"/>
  <c r="A318" i="1"/>
  <c r="A319" i="1"/>
  <c r="A320" i="1"/>
  <c r="A321" i="1"/>
  <c r="A322" i="1"/>
  <c r="A323" i="1"/>
  <c r="A324" i="1"/>
  <c r="A325" i="1"/>
  <c r="A326" i="1"/>
  <c r="A327" i="1"/>
  <c r="A328" i="1"/>
  <c r="A329" i="1"/>
  <c r="A330" i="1"/>
  <c r="A331" i="1"/>
  <c r="A332" i="1"/>
  <c r="A333" i="1"/>
  <c r="A334" i="1"/>
  <c r="A335" i="1"/>
  <c r="A336" i="1"/>
  <c r="A337" i="1"/>
  <c r="A338" i="1"/>
  <c r="A339" i="1"/>
  <c r="A340" i="1"/>
  <c r="A341" i="1"/>
  <c r="A342" i="1"/>
  <c r="A343" i="1"/>
  <c r="A344" i="1"/>
  <c r="A345" i="1"/>
  <c r="A346" i="1"/>
  <c r="A347" i="1"/>
  <c r="A348" i="1"/>
  <c r="A349" i="1"/>
  <c r="A350" i="1"/>
  <c r="A351" i="1"/>
  <c r="A352" i="1"/>
  <c r="A353" i="1"/>
  <c r="A354" i="1"/>
  <c r="A355" i="1"/>
  <c r="A356" i="1"/>
  <c r="A357" i="1"/>
  <c r="A358" i="1"/>
  <c r="A359" i="1"/>
  <c r="A360" i="1"/>
  <c r="A361" i="1"/>
  <c r="A362" i="1"/>
  <c r="A363" i="1"/>
  <c r="A364" i="1"/>
  <c r="A365" i="1"/>
  <c r="A366" i="1"/>
  <c r="A367" i="1"/>
  <c r="A368" i="1"/>
  <c r="A369" i="1"/>
  <c r="A370" i="1"/>
  <c r="A371" i="1"/>
  <c r="A372" i="1"/>
  <c r="A373" i="1"/>
  <c r="A374" i="1"/>
  <c r="A375" i="1"/>
  <c r="A376" i="1"/>
  <c r="A377" i="1"/>
  <c r="A378" i="1"/>
  <c r="A379" i="1"/>
  <c r="A380" i="1"/>
  <c r="A381" i="1"/>
  <c r="A382" i="1"/>
  <c r="A383" i="1"/>
  <c r="A384" i="1"/>
  <c r="A385" i="1"/>
  <c r="A386" i="1"/>
  <c r="A387" i="1"/>
  <c r="A388" i="1"/>
  <c r="A389" i="1"/>
  <c r="A390" i="1"/>
  <c r="A391" i="1"/>
  <c r="A392" i="1"/>
  <c r="A393" i="1"/>
  <c r="A394" i="1"/>
  <c r="A395" i="1"/>
  <c r="A396" i="1"/>
  <c r="A397" i="1"/>
  <c r="A398" i="1"/>
  <c r="A399" i="1"/>
  <c r="A400" i="1"/>
  <c r="A401" i="1"/>
  <c r="A402" i="1"/>
  <c r="A403" i="1"/>
  <c r="A404" i="1"/>
  <c r="A405" i="1"/>
  <c r="A406" i="1"/>
  <c r="A407" i="1"/>
  <c r="A408" i="1"/>
  <c r="A409" i="1"/>
  <c r="A410" i="1"/>
  <c r="A411" i="1"/>
  <c r="A412" i="1"/>
  <c r="A413" i="1"/>
  <c r="A414" i="1"/>
  <c r="A415" i="1"/>
  <c r="A416" i="1"/>
  <c r="A417" i="1"/>
  <c r="A418" i="1"/>
  <c r="A419" i="1"/>
  <c r="A420" i="1"/>
  <c r="A421" i="1"/>
  <c r="A422" i="1"/>
  <c r="A423" i="1"/>
  <c r="A424" i="1"/>
  <c r="A425" i="1"/>
  <c r="A426" i="1"/>
  <c r="A427" i="1"/>
  <c r="A428" i="1"/>
  <c r="A429" i="1"/>
  <c r="A430" i="1"/>
  <c r="A431" i="1"/>
  <c r="A432" i="1"/>
  <c r="A433" i="1"/>
  <c r="A434" i="1"/>
  <c r="A435" i="1"/>
  <c r="A436" i="1"/>
  <c r="A437" i="1"/>
  <c r="A438" i="1"/>
  <c r="A439" i="1"/>
  <c r="A440" i="1"/>
  <c r="A441" i="1"/>
  <c r="A442" i="1"/>
  <c r="A443" i="1"/>
  <c r="A444" i="1"/>
  <c r="A445" i="1"/>
  <c r="A446" i="1"/>
  <c r="A447" i="1"/>
  <c r="A448" i="1"/>
  <c r="A449" i="1"/>
  <c r="A450" i="1"/>
  <c r="A451" i="1"/>
  <c r="A452" i="1"/>
  <c r="A453" i="1"/>
  <c r="A454" i="1"/>
  <c r="A455" i="1"/>
  <c r="A456" i="1"/>
  <c r="A457" i="1"/>
  <c r="A458" i="1"/>
  <c r="A459" i="1"/>
  <c r="A460" i="1"/>
  <c r="A461" i="1"/>
  <c r="A462" i="1"/>
  <c r="A463" i="1"/>
  <c r="A464" i="1"/>
  <c r="A465" i="1"/>
  <c r="A466" i="1"/>
  <c r="A467" i="1"/>
  <c r="A468" i="1"/>
  <c r="A469" i="1"/>
  <c r="A470" i="1"/>
  <c r="A471" i="1"/>
  <c r="A472" i="1"/>
  <c r="A473" i="1"/>
  <c r="A474" i="1"/>
  <c r="A475" i="1"/>
  <c r="A476" i="1"/>
  <c r="A477" i="1"/>
  <c r="A478" i="1"/>
  <c r="A479" i="1"/>
  <c r="A480" i="1"/>
  <c r="A481" i="1"/>
  <c r="A482" i="1"/>
  <c r="A483" i="1"/>
  <c r="A484" i="1"/>
  <c r="A485" i="1"/>
  <c r="A486" i="1"/>
  <c r="A487" i="1"/>
  <c r="A488" i="1"/>
  <c r="A489" i="1"/>
  <c r="A490" i="1"/>
  <c r="A491" i="1"/>
  <c r="A492" i="1"/>
  <c r="A493" i="1"/>
  <c r="A494" i="1"/>
  <c r="A495" i="1"/>
  <c r="A496" i="1"/>
  <c r="A497" i="1"/>
  <c r="A498" i="1"/>
  <c r="A499" i="1"/>
  <c r="A500" i="1"/>
  <c r="A501" i="1"/>
  <c r="A502" i="1"/>
  <c r="A503" i="1"/>
  <c r="A504" i="1"/>
  <c r="A505" i="1"/>
  <c r="A506" i="1"/>
  <c r="A507" i="1"/>
  <c r="A508" i="1"/>
  <c r="A509" i="1"/>
  <c r="A510" i="1"/>
  <c r="A511" i="1"/>
  <c r="A512" i="1"/>
  <c r="A513" i="1"/>
  <c r="A514" i="1"/>
  <c r="A515" i="1"/>
  <c r="A516" i="1"/>
  <c r="A517" i="1"/>
  <c r="A518" i="1"/>
  <c r="A519" i="1"/>
  <c r="A520" i="1"/>
  <c r="A521" i="1"/>
  <c r="A522" i="1"/>
  <c r="A523" i="1"/>
  <c r="A524" i="1"/>
  <c r="A525" i="1"/>
  <c r="A526" i="1"/>
  <c r="A527" i="1"/>
  <c r="A528" i="1"/>
  <c r="A529" i="1"/>
  <c r="A530" i="1"/>
  <c r="A531" i="1"/>
  <c r="A532" i="1"/>
  <c r="A533" i="1"/>
  <c r="A534" i="1"/>
  <c r="A535" i="1"/>
  <c r="A536" i="1"/>
  <c r="A537" i="1"/>
  <c r="A538" i="1"/>
  <c r="A539" i="1"/>
  <c r="A540" i="1"/>
  <c r="A541" i="1"/>
  <c r="A542" i="1"/>
  <c r="A543" i="1"/>
  <c r="A544" i="1"/>
  <c r="A545" i="1"/>
  <c r="A546" i="1"/>
  <c r="A547" i="1"/>
  <c r="A548" i="1"/>
  <c r="A549" i="1"/>
  <c r="A550" i="1"/>
  <c r="A551" i="1"/>
  <c r="A552" i="1"/>
  <c r="A553" i="1"/>
  <c r="A554" i="1"/>
  <c r="A555" i="1"/>
  <c r="A556" i="1"/>
  <c r="A557" i="1"/>
  <c r="A558" i="1"/>
  <c r="A559" i="1"/>
  <c r="A560" i="1"/>
  <c r="A561" i="1"/>
  <c r="A562" i="1"/>
  <c r="A563" i="1"/>
  <c r="A564" i="1"/>
  <c r="A565" i="1"/>
  <c r="A566" i="1"/>
  <c r="A567" i="1"/>
  <c r="A568" i="1"/>
  <c r="A569" i="1"/>
  <c r="A570" i="1"/>
  <c r="A571" i="1"/>
  <c r="A572" i="1"/>
  <c r="A573" i="1"/>
  <c r="A574" i="1"/>
  <c r="A575" i="1"/>
  <c r="A576" i="1"/>
  <c r="A577" i="1"/>
  <c r="A578" i="1"/>
  <c r="A579" i="1"/>
  <c r="A580" i="1"/>
  <c r="A581" i="1"/>
  <c r="A582" i="1"/>
  <c r="A583" i="1"/>
  <c r="A584" i="1"/>
  <c r="A585" i="1"/>
  <c r="A586" i="1"/>
  <c r="A587" i="1"/>
  <c r="A588" i="1"/>
  <c r="A589" i="1"/>
  <c r="A590" i="1"/>
  <c r="A591" i="1"/>
  <c r="A592" i="1"/>
  <c r="A593" i="1"/>
  <c r="A594" i="1"/>
  <c r="A595" i="1"/>
  <c r="A596" i="1"/>
  <c r="A597" i="1"/>
  <c r="A598" i="1"/>
  <c r="A599" i="1"/>
  <c r="A600" i="1"/>
  <c r="A601" i="1"/>
  <c r="A602" i="1"/>
  <c r="A603" i="1"/>
  <c r="A604" i="1"/>
  <c r="A605" i="1"/>
  <c r="A606" i="1"/>
  <c r="A607" i="1"/>
  <c r="A608" i="1"/>
  <c r="A609" i="1"/>
  <c r="A610" i="1"/>
  <c r="A611" i="1"/>
  <c r="A612" i="1"/>
  <c r="A613" i="1"/>
  <c r="A614" i="1"/>
  <c r="A615" i="1"/>
  <c r="A616" i="1"/>
  <c r="A617" i="1"/>
  <c r="A618" i="1"/>
  <c r="A619" i="1"/>
  <c r="A620" i="1"/>
  <c r="A621" i="1"/>
  <c r="A622" i="1"/>
  <c r="A623" i="1"/>
  <c r="A624" i="1"/>
  <c r="A625" i="1"/>
  <c r="A626" i="1"/>
  <c r="A627" i="1"/>
  <c r="A628" i="1"/>
  <c r="A629" i="1"/>
  <c r="A630" i="1"/>
  <c r="A631" i="1"/>
  <c r="A632" i="1"/>
  <c r="A633" i="1"/>
  <c r="A634" i="1"/>
  <c r="A635" i="1"/>
  <c r="A636" i="1"/>
  <c r="A637" i="1"/>
  <c r="A638" i="1"/>
  <c r="A639" i="1"/>
  <c r="A640" i="1"/>
  <c r="A641" i="1"/>
  <c r="A642" i="1"/>
  <c r="A643" i="1"/>
  <c r="A644" i="1"/>
  <c r="A645" i="1"/>
  <c r="A646" i="1"/>
  <c r="A647" i="1"/>
  <c r="A648" i="1"/>
  <c r="A649" i="1"/>
  <c r="A650" i="1"/>
  <c r="A651" i="1"/>
  <c r="A652" i="1"/>
  <c r="A653" i="1"/>
  <c r="A654" i="1"/>
  <c r="A655" i="1"/>
  <c r="A656" i="1"/>
  <c r="A657" i="1"/>
  <c r="A658" i="1"/>
  <c r="A659" i="1"/>
  <c r="A660" i="1"/>
  <c r="A661" i="1"/>
  <c r="A662" i="1"/>
  <c r="A663" i="1"/>
  <c r="A664" i="1"/>
  <c r="A665" i="1"/>
  <c r="A666" i="1"/>
  <c r="A667" i="1"/>
  <c r="A668" i="1"/>
  <c r="A669" i="1"/>
  <c r="A670" i="1"/>
  <c r="A671" i="1"/>
  <c r="A672" i="1"/>
  <c r="A673" i="1"/>
  <c r="A674" i="1"/>
  <c r="A675" i="1"/>
  <c r="A676" i="1"/>
  <c r="A677" i="1"/>
  <c r="A678" i="1"/>
  <c r="A679" i="1"/>
  <c r="A680" i="1"/>
  <c r="A681" i="1"/>
  <c r="A682" i="1"/>
  <c r="A683" i="1"/>
  <c r="A684" i="1"/>
  <c r="A685" i="1"/>
  <c r="A686" i="1"/>
  <c r="A687" i="1"/>
  <c r="A688" i="1"/>
  <c r="A689" i="1"/>
  <c r="A690" i="1"/>
  <c r="A691" i="1"/>
  <c r="A692" i="1"/>
  <c r="A693" i="1"/>
  <c r="A694" i="1"/>
  <c r="A695" i="1"/>
  <c r="A696" i="1"/>
  <c r="A697" i="1"/>
  <c r="A698" i="1"/>
  <c r="A699" i="1"/>
  <c r="A700" i="1"/>
  <c r="A701" i="1"/>
  <c r="A702" i="1"/>
  <c r="A703" i="1"/>
  <c r="A704" i="1"/>
  <c r="A705" i="1"/>
  <c r="A706" i="1"/>
  <c r="A707" i="1"/>
  <c r="A708" i="1"/>
  <c r="A709" i="1"/>
  <c r="A710" i="1"/>
  <c r="A711" i="1"/>
  <c r="A712" i="1"/>
  <c r="A713" i="1"/>
  <c r="A714" i="1"/>
  <c r="A715" i="1"/>
  <c r="A716" i="1"/>
  <c r="A717" i="1"/>
  <c r="A718" i="1"/>
  <c r="A719" i="1"/>
  <c r="A720" i="1"/>
  <c r="A721" i="1"/>
  <c r="A722" i="1"/>
  <c r="A723" i="1"/>
  <c r="A724" i="1"/>
  <c r="A725" i="1"/>
  <c r="A726" i="1"/>
  <c r="A727" i="1"/>
  <c r="A728" i="1"/>
  <c r="A729" i="1"/>
  <c r="A730" i="1"/>
  <c r="A731" i="1"/>
  <c r="A732" i="1"/>
  <c r="A733" i="1"/>
  <c r="A734" i="1"/>
  <c r="A735" i="1"/>
  <c r="A736" i="1"/>
  <c r="A737" i="1"/>
  <c r="A738" i="1"/>
  <c r="A739" i="1"/>
  <c r="A740" i="1"/>
  <c r="A741" i="1"/>
  <c r="A742" i="1"/>
  <c r="A743" i="1"/>
  <c r="A744" i="1"/>
  <c r="A745" i="1"/>
  <c r="A746" i="1"/>
  <c r="A747" i="1"/>
  <c r="A748" i="1"/>
  <c r="A749" i="1"/>
  <c r="A750" i="1"/>
  <c r="A751" i="1"/>
  <c r="A752" i="1"/>
  <c r="A753" i="1"/>
  <c r="A754" i="1"/>
  <c r="A755" i="1"/>
  <c r="A756" i="1"/>
  <c r="A757" i="1"/>
  <c r="A758" i="1"/>
  <c r="A759" i="1"/>
  <c r="A760" i="1"/>
  <c r="A761" i="1"/>
  <c r="A762" i="1"/>
  <c r="A763" i="1"/>
  <c r="A764" i="1"/>
  <c r="A765" i="1"/>
  <c r="A766" i="1"/>
  <c r="A767" i="1"/>
  <c r="A768" i="1"/>
  <c r="A769" i="1"/>
  <c r="A770" i="1"/>
  <c r="A771" i="1"/>
  <c r="A772" i="1"/>
  <c r="A773" i="1"/>
  <c r="A774" i="1"/>
  <c r="A775" i="1"/>
  <c r="A776" i="1"/>
  <c r="A777" i="1"/>
  <c r="A778" i="1"/>
  <c r="A779" i="1"/>
  <c r="A780" i="1"/>
  <c r="A781" i="1"/>
  <c r="A782" i="1"/>
  <c r="A783" i="1"/>
  <c r="A784" i="1"/>
  <c r="A785" i="1"/>
  <c r="A786" i="1"/>
  <c r="A787" i="1"/>
  <c r="A788" i="1"/>
  <c r="A789" i="1"/>
  <c r="A790" i="1"/>
  <c r="A791" i="1"/>
  <c r="A792" i="1"/>
  <c r="A793" i="1"/>
  <c r="A794" i="1"/>
  <c r="A795" i="1"/>
  <c r="A796" i="1"/>
  <c r="A797" i="1"/>
  <c r="A798" i="1"/>
  <c r="A799" i="1"/>
  <c r="A800" i="1"/>
  <c r="A801" i="1"/>
  <c r="A802" i="1"/>
  <c r="A803" i="1"/>
  <c r="A804" i="1"/>
  <c r="A805" i="1"/>
  <c r="A806" i="1"/>
  <c r="A807" i="1"/>
  <c r="A808" i="1"/>
  <c r="A809" i="1"/>
  <c r="A810" i="1"/>
  <c r="A811" i="1"/>
  <c r="A812" i="1"/>
  <c r="A813" i="1"/>
  <c r="A814" i="1"/>
  <c r="A815" i="1"/>
  <c r="A816" i="1"/>
  <c r="A817" i="1"/>
  <c r="A818" i="1"/>
  <c r="A819" i="1"/>
  <c r="A820" i="1"/>
  <c r="A821" i="1"/>
  <c r="A822" i="1"/>
  <c r="A823" i="1"/>
  <c r="A824" i="1"/>
  <c r="A825" i="1"/>
  <c r="A826" i="1"/>
  <c r="A827" i="1"/>
  <c r="A828" i="1"/>
  <c r="A829" i="1"/>
  <c r="A830" i="1"/>
  <c r="A831" i="1"/>
  <c r="A832" i="1"/>
  <c r="A833" i="1"/>
  <c r="A834" i="1"/>
  <c r="A835" i="1"/>
  <c r="A836" i="1"/>
  <c r="A837" i="1"/>
  <c r="A838" i="1"/>
  <c r="A839" i="1"/>
  <c r="A840" i="1"/>
  <c r="A841" i="1"/>
  <c r="A842" i="1"/>
  <c r="A843" i="1"/>
  <c r="A844" i="1"/>
  <c r="A845" i="1"/>
  <c r="A846" i="1"/>
  <c r="A847" i="1"/>
  <c r="A848" i="1"/>
  <c r="A849" i="1"/>
  <c r="A850" i="1"/>
  <c r="A851" i="1"/>
  <c r="A852" i="1"/>
  <c r="A853" i="1"/>
  <c r="A854" i="1"/>
  <c r="A855" i="1"/>
  <c r="A856" i="1"/>
  <c r="A857" i="1"/>
  <c r="A858" i="1"/>
  <c r="A859" i="1"/>
  <c r="A860" i="1"/>
  <c r="A861" i="1"/>
  <c r="A862" i="1"/>
  <c r="A863" i="1"/>
  <c r="A864" i="1"/>
  <c r="A865" i="1"/>
  <c r="A866" i="1"/>
  <c r="A867" i="1"/>
  <c r="A868" i="1"/>
  <c r="A869" i="1"/>
  <c r="A870" i="1"/>
  <c r="A871" i="1"/>
  <c r="A872" i="1"/>
  <c r="A873" i="1"/>
  <c r="A874" i="1"/>
  <c r="A875" i="1"/>
  <c r="A876" i="1"/>
  <c r="A877" i="1"/>
  <c r="A878" i="1"/>
  <c r="A879" i="1"/>
  <c r="A880" i="1"/>
  <c r="A881" i="1"/>
  <c r="A882" i="1"/>
  <c r="A883" i="1"/>
  <c r="A884" i="1"/>
  <c r="A885" i="1"/>
  <c r="A886" i="1"/>
  <c r="A887" i="1"/>
  <c r="A888" i="1"/>
  <c r="A889" i="1"/>
  <c r="A890" i="1"/>
  <c r="A891" i="1"/>
  <c r="A892" i="1"/>
  <c r="A893" i="1"/>
  <c r="A894" i="1"/>
  <c r="A895" i="1"/>
  <c r="A896" i="1"/>
  <c r="A897" i="1"/>
  <c r="A898" i="1"/>
  <c r="A899" i="1"/>
  <c r="A900" i="1"/>
  <c r="A901" i="1"/>
  <c r="A902" i="1"/>
  <c r="A903" i="1"/>
  <c r="A904" i="1"/>
  <c r="A905" i="1"/>
  <c r="A906" i="1"/>
  <c r="A907" i="1"/>
  <c r="A908" i="1"/>
  <c r="A909" i="1"/>
  <c r="A910" i="1"/>
  <c r="A911" i="1"/>
  <c r="A912" i="1"/>
  <c r="A913" i="1"/>
  <c r="A914" i="1"/>
  <c r="A915" i="1"/>
  <c r="A916" i="1"/>
  <c r="A917" i="1"/>
  <c r="A918" i="1"/>
  <c r="A919" i="1"/>
  <c r="A920" i="1"/>
  <c r="A921" i="1"/>
  <c r="A922" i="1"/>
  <c r="A923" i="1"/>
  <c r="A924" i="1"/>
  <c r="A925" i="1"/>
  <c r="A926" i="1"/>
  <c r="A927" i="1"/>
  <c r="A928" i="1"/>
  <c r="A929" i="1"/>
  <c r="A930" i="1"/>
  <c r="A931" i="1"/>
  <c r="A932" i="1"/>
  <c r="A933" i="1"/>
  <c r="A934" i="1"/>
  <c r="A935" i="1"/>
  <c r="A936" i="1"/>
  <c r="A937" i="1"/>
  <c r="A938" i="1"/>
  <c r="A939" i="1"/>
  <c r="A940" i="1"/>
  <c r="A941" i="1"/>
  <c r="A942" i="1"/>
  <c r="A943" i="1"/>
  <c r="A944" i="1"/>
  <c r="A945" i="1"/>
  <c r="A946" i="1"/>
  <c r="A947" i="1"/>
  <c r="A948" i="1"/>
  <c r="A949" i="1"/>
  <c r="A950" i="1"/>
  <c r="A951" i="1"/>
  <c r="A952" i="1"/>
  <c r="A953" i="1"/>
  <c r="A954" i="1"/>
  <c r="A955" i="1"/>
  <c r="A956" i="1"/>
  <c r="A957" i="1"/>
  <c r="A958" i="1"/>
  <c r="A959" i="1"/>
  <c r="A960" i="1"/>
  <c r="A961" i="1"/>
  <c r="A962" i="1"/>
  <c r="A963" i="1"/>
  <c r="A964" i="1"/>
  <c r="A965" i="1"/>
  <c r="A966" i="1"/>
  <c r="A967" i="1"/>
  <c r="A968" i="1"/>
  <c r="A969" i="1"/>
  <c r="A970" i="1"/>
  <c r="A971" i="1"/>
  <c r="A972" i="1"/>
  <c r="A973" i="1"/>
  <c r="A974" i="1"/>
  <c r="A975" i="1"/>
  <c r="A976" i="1"/>
  <c r="A977" i="1"/>
  <c r="A978" i="1"/>
  <c r="A979" i="1"/>
  <c r="A980" i="1"/>
  <c r="A981" i="1"/>
  <c r="A982" i="1"/>
  <c r="A983" i="1"/>
  <c r="A984" i="1"/>
  <c r="A985" i="1"/>
  <c r="A986" i="1"/>
  <c r="A987" i="1"/>
  <c r="A988" i="1"/>
  <c r="A989" i="1"/>
  <c r="A990" i="1"/>
  <c r="A991" i="1"/>
  <c r="A992" i="1"/>
  <c r="A993" i="1"/>
  <c r="A994" i="1"/>
  <c r="A995" i="1"/>
  <c r="A996" i="1"/>
  <c r="A997" i="1"/>
  <c r="A998" i="1"/>
  <c r="A999" i="1"/>
  <c r="A1000" i="1"/>
  <c r="A1001" i="1"/>
  <c r="A1002" i="1"/>
  <c r="A1003" i="1"/>
  <c r="A1004" i="1"/>
  <c r="A1005" i="1"/>
  <c r="A1006" i="1"/>
  <c r="A1007" i="1"/>
  <c r="A1008" i="1"/>
  <c r="A1009" i="1"/>
  <c r="A1010" i="1"/>
  <c r="A1011" i="1"/>
  <c r="A1012" i="1"/>
  <c r="A1013" i="1"/>
  <c r="A1014" i="1"/>
  <c r="A1015" i="1"/>
  <c r="A1016" i="1"/>
  <c r="A1017" i="1"/>
  <c r="A1018" i="1"/>
  <c r="A1019" i="1"/>
  <c r="A1020" i="1"/>
  <c r="A1021" i="1"/>
  <c r="A1022" i="1"/>
  <c r="A1023" i="1"/>
  <c r="A1024" i="1"/>
  <c r="A1025" i="1"/>
  <c r="A1026" i="1"/>
  <c r="A1027" i="1"/>
  <c r="A1028" i="1"/>
  <c r="A1029" i="1"/>
  <c r="A1030" i="1"/>
  <c r="A1031" i="1"/>
  <c r="A1032" i="1"/>
  <c r="A1033" i="1"/>
  <c r="A1034" i="1"/>
  <c r="A1035" i="1"/>
  <c r="A1036" i="1"/>
  <c r="A1037" i="1"/>
  <c r="A1038" i="1"/>
  <c r="A1039" i="1"/>
  <c r="A1040" i="1"/>
  <c r="A1041" i="1"/>
  <c r="A1042" i="1"/>
  <c r="A1043" i="1"/>
  <c r="A1044" i="1"/>
  <c r="A1045" i="1"/>
  <c r="A1046" i="1"/>
  <c r="A1047" i="1"/>
  <c r="A1048" i="1"/>
  <c r="A1049" i="1"/>
  <c r="A1050" i="1"/>
  <c r="A1051" i="1"/>
  <c r="A1052" i="1"/>
  <c r="A1053" i="1"/>
  <c r="A1054" i="1"/>
  <c r="A1055" i="1"/>
  <c r="A1056" i="1"/>
  <c r="A1057" i="1"/>
  <c r="A1058" i="1"/>
  <c r="A1059" i="1"/>
  <c r="A1060" i="1"/>
  <c r="A1061" i="1"/>
  <c r="A1062" i="1"/>
  <c r="A1063" i="1"/>
  <c r="A1064" i="1"/>
  <c r="A1065" i="1"/>
  <c r="A1066" i="1"/>
  <c r="A1067" i="1"/>
  <c r="A1068" i="1"/>
  <c r="A1069" i="1"/>
  <c r="A1070" i="1"/>
  <c r="A1071" i="1"/>
  <c r="A1072" i="1"/>
  <c r="A1073" i="1"/>
  <c r="A1074" i="1"/>
  <c r="A1075" i="1"/>
  <c r="A1076" i="1"/>
  <c r="A1077" i="1"/>
  <c r="A1078" i="1"/>
  <c r="A1079" i="1"/>
  <c r="A1080" i="1"/>
  <c r="A1081" i="1"/>
  <c r="A1082" i="1"/>
  <c r="A1083" i="1"/>
  <c r="A1084" i="1"/>
  <c r="A1085" i="1"/>
  <c r="A1086" i="1"/>
  <c r="A1087" i="1"/>
  <c r="A1088" i="1"/>
  <c r="A1089" i="1"/>
  <c r="A1090" i="1"/>
  <c r="A1091" i="1"/>
  <c r="A1092" i="1"/>
  <c r="A1093" i="1"/>
  <c r="A1094" i="1"/>
  <c r="A1095" i="1"/>
  <c r="A1096" i="1"/>
  <c r="A1097" i="1"/>
  <c r="A1098" i="1"/>
  <c r="A1099" i="1"/>
  <c r="A1100" i="1"/>
  <c r="A1101" i="1"/>
  <c r="A1102" i="1"/>
  <c r="A1103" i="1"/>
  <c r="A1104" i="1"/>
  <c r="A1105" i="1"/>
  <c r="A1106" i="1"/>
  <c r="A1107" i="1"/>
  <c r="A1108" i="1"/>
  <c r="A1109" i="1"/>
  <c r="A1110" i="1"/>
  <c r="A1111" i="1"/>
  <c r="A1112" i="1"/>
  <c r="A1113" i="1"/>
  <c r="A1114" i="1"/>
  <c r="A1115" i="1"/>
  <c r="A1116" i="1"/>
  <c r="A1117" i="1"/>
  <c r="A1118" i="1"/>
  <c r="A1119" i="1"/>
  <c r="A1120" i="1"/>
  <c r="A1121" i="1"/>
  <c r="A1122" i="1"/>
  <c r="A1123" i="1"/>
  <c r="A1124" i="1"/>
  <c r="A1125" i="1"/>
  <c r="A1126" i="1"/>
  <c r="A1127" i="1"/>
  <c r="A1128" i="1"/>
  <c r="A1129" i="1"/>
  <c r="A1130" i="1"/>
  <c r="A1131" i="1"/>
  <c r="A1132" i="1"/>
  <c r="A1133" i="1"/>
  <c r="A1134" i="1"/>
  <c r="A1135" i="1"/>
  <c r="A1136" i="1"/>
  <c r="A1137" i="1"/>
  <c r="A1138" i="1"/>
  <c r="A1139" i="1"/>
  <c r="A1140" i="1"/>
  <c r="A1141" i="1"/>
  <c r="A1142" i="1"/>
  <c r="A1143" i="1"/>
  <c r="A1144" i="1"/>
  <c r="A1145" i="1"/>
  <c r="A1146" i="1"/>
  <c r="A1147" i="1"/>
  <c r="A1148" i="1"/>
  <c r="A1149" i="1"/>
  <c r="A1150" i="1"/>
  <c r="A1151" i="1"/>
  <c r="A1152" i="1"/>
  <c r="A1153" i="1"/>
  <c r="A1154" i="1"/>
  <c r="A1155" i="1"/>
  <c r="A1156" i="1"/>
  <c r="A1157" i="1"/>
  <c r="A1158" i="1"/>
  <c r="A1159" i="1"/>
  <c r="A1160" i="1"/>
  <c r="A1161" i="1"/>
  <c r="A1162" i="1"/>
  <c r="A1163" i="1"/>
  <c r="A1164" i="1"/>
  <c r="A1165" i="1"/>
  <c r="A1166" i="1"/>
  <c r="A1167" i="1"/>
  <c r="A1168" i="1"/>
  <c r="A1169" i="1"/>
  <c r="A1170" i="1"/>
  <c r="A1171" i="1"/>
  <c r="A1172" i="1"/>
  <c r="A1173" i="1"/>
  <c r="A1174" i="1"/>
  <c r="A1175" i="1"/>
  <c r="A1176" i="1"/>
  <c r="A1177" i="1"/>
  <c r="A1178" i="1"/>
  <c r="A1179" i="1"/>
  <c r="A1180" i="1"/>
  <c r="A1181" i="1"/>
  <c r="A1182" i="1"/>
  <c r="A1183" i="1"/>
  <c r="A1184" i="1"/>
  <c r="A1185" i="1"/>
  <c r="A1186" i="1"/>
  <c r="A1187" i="1"/>
  <c r="A1188" i="1"/>
  <c r="A1189" i="1"/>
  <c r="A1190" i="1"/>
  <c r="A1191" i="1"/>
  <c r="A1192" i="1"/>
  <c r="A1193" i="1"/>
  <c r="A1194" i="1"/>
  <c r="A1195" i="1"/>
  <c r="A1196" i="1"/>
  <c r="A1197" i="1"/>
  <c r="A1198" i="1"/>
  <c r="A1199" i="1"/>
  <c r="A1200" i="1"/>
  <c r="A1201" i="1"/>
  <c r="A1202" i="1"/>
  <c r="A1203" i="1"/>
  <c r="A1204" i="1"/>
  <c r="A1205" i="1"/>
  <c r="A1206" i="1"/>
  <c r="A1207" i="1"/>
  <c r="A1208" i="1"/>
  <c r="A1209" i="1"/>
  <c r="A1210" i="1"/>
  <c r="A1211" i="1"/>
  <c r="A1212" i="1"/>
  <c r="A1213" i="1"/>
  <c r="A1214" i="1"/>
  <c r="A1215" i="1"/>
  <c r="A1216" i="1"/>
  <c r="A1217" i="1"/>
  <c r="A1218" i="1"/>
  <c r="A1219" i="1"/>
  <c r="A1220" i="1"/>
  <c r="A1221" i="1"/>
  <c r="A1222" i="1"/>
  <c r="A1223" i="1"/>
  <c r="A1224" i="1"/>
  <c r="A1225" i="1"/>
  <c r="A1226" i="1"/>
  <c r="A1227" i="1"/>
  <c r="A1228" i="1"/>
  <c r="A1229" i="1"/>
  <c r="A1230" i="1"/>
  <c r="A1231" i="1"/>
  <c r="A1232" i="1"/>
  <c r="A1233" i="1"/>
  <c r="A1234" i="1"/>
  <c r="A1235" i="1"/>
  <c r="A1236" i="1"/>
  <c r="A1237" i="1"/>
  <c r="A1238" i="1"/>
  <c r="A1239" i="1"/>
  <c r="A1240" i="1"/>
  <c r="A1241" i="1"/>
  <c r="A1242" i="1"/>
  <c r="A1243" i="1"/>
  <c r="A1244" i="1"/>
  <c r="A1245" i="1"/>
  <c r="A1246" i="1"/>
  <c r="A1247" i="1"/>
  <c r="A1248" i="1"/>
  <c r="A1249" i="1"/>
  <c r="A1250" i="1"/>
  <c r="A1251" i="1"/>
  <c r="A1252" i="1"/>
  <c r="A1253" i="1"/>
  <c r="A1254" i="1"/>
  <c r="A1255" i="1"/>
  <c r="A1256" i="1"/>
  <c r="A1257" i="1"/>
  <c r="A1258" i="1"/>
  <c r="A1259" i="1"/>
  <c r="A1260" i="1"/>
  <c r="A1261" i="1"/>
  <c r="A1262" i="1"/>
  <c r="A1263" i="1"/>
  <c r="A1264" i="1"/>
  <c r="A1265" i="1"/>
  <c r="A1266" i="1"/>
  <c r="A1267" i="1"/>
  <c r="A1268" i="1"/>
  <c r="A1269" i="1"/>
  <c r="A1270" i="1"/>
  <c r="A1271" i="1"/>
  <c r="A1272" i="1"/>
  <c r="A1273" i="1"/>
  <c r="A1274" i="1"/>
  <c r="A1275" i="1"/>
  <c r="A1276" i="1"/>
  <c r="A1277" i="1"/>
  <c r="A1278" i="1"/>
  <c r="A1279" i="1"/>
  <c r="A1280" i="1"/>
  <c r="A1281" i="1"/>
  <c r="A1282" i="1"/>
  <c r="A1283" i="1"/>
  <c r="A1284" i="1"/>
  <c r="A1285" i="1"/>
  <c r="A1286" i="1"/>
  <c r="A1287" i="1"/>
  <c r="A1288" i="1"/>
  <c r="A1289" i="1"/>
  <c r="A1290" i="1"/>
  <c r="A1291" i="1"/>
  <c r="A1292" i="1"/>
  <c r="A1293" i="1"/>
  <c r="A1294" i="1"/>
  <c r="A1295" i="1"/>
  <c r="A1296" i="1"/>
  <c r="A1297" i="1"/>
  <c r="A1298" i="1"/>
  <c r="A1299" i="1"/>
  <c r="A1300" i="1"/>
  <c r="A1301" i="1"/>
  <c r="A1302" i="1"/>
  <c r="A1303" i="1"/>
  <c r="A1304" i="1"/>
  <c r="A1305" i="1"/>
  <c r="A1306" i="1"/>
  <c r="A1307" i="1"/>
  <c r="A1308" i="1"/>
  <c r="A1309" i="1"/>
  <c r="A1310" i="1"/>
  <c r="A1311" i="1"/>
  <c r="A1312" i="1"/>
  <c r="A1313" i="1"/>
  <c r="A1314" i="1"/>
  <c r="A1315" i="1"/>
  <c r="A1316" i="1"/>
  <c r="A1317" i="1"/>
  <c r="A1318" i="1"/>
  <c r="A1319" i="1"/>
  <c r="A1320" i="1"/>
  <c r="A1321" i="1"/>
  <c r="A1322" i="1"/>
  <c r="A1323" i="1"/>
  <c r="A1324" i="1"/>
  <c r="A1325" i="1"/>
  <c r="A1326" i="1"/>
  <c r="A1327" i="1"/>
  <c r="A1328" i="1"/>
  <c r="A1329" i="1"/>
  <c r="A1330" i="1"/>
  <c r="A1331" i="1"/>
  <c r="A1332" i="1"/>
  <c r="A1333" i="1"/>
  <c r="A1334" i="1"/>
  <c r="A1335" i="1"/>
  <c r="A1336" i="1"/>
  <c r="A1337" i="1"/>
  <c r="A1338" i="1"/>
  <c r="A1339" i="1"/>
  <c r="A1340" i="1"/>
  <c r="A1341" i="1"/>
  <c r="A1342" i="1"/>
  <c r="A1343" i="1"/>
  <c r="A1344" i="1"/>
  <c r="A1345" i="1"/>
  <c r="A1346" i="1"/>
  <c r="A1347" i="1"/>
  <c r="A1348" i="1"/>
  <c r="A1349" i="1"/>
  <c r="A1350" i="1"/>
  <c r="A1351" i="1"/>
  <c r="A1352" i="1"/>
  <c r="A1353" i="1"/>
  <c r="A1354" i="1"/>
  <c r="A1355" i="1"/>
  <c r="A1356" i="1"/>
  <c r="A1357" i="1"/>
  <c r="A1358" i="1"/>
  <c r="A1359" i="1"/>
  <c r="A1360" i="1"/>
  <c r="A1361" i="1"/>
  <c r="A1362" i="1"/>
  <c r="A1363" i="1"/>
  <c r="A1364" i="1"/>
  <c r="A1365" i="1"/>
  <c r="A1366" i="1"/>
  <c r="A1367" i="1"/>
  <c r="A1368" i="1"/>
  <c r="A1369" i="1"/>
  <c r="A1370" i="1"/>
  <c r="A1371" i="1"/>
  <c r="A1372" i="1"/>
  <c r="A1373" i="1"/>
  <c r="A1374" i="1"/>
  <c r="A1375" i="1"/>
  <c r="A1376" i="1"/>
  <c r="A1377" i="1"/>
  <c r="A1378" i="1"/>
  <c r="A1379" i="1"/>
  <c r="A1380" i="1"/>
  <c r="A1381" i="1"/>
  <c r="A1382" i="1"/>
  <c r="A1383" i="1"/>
  <c r="A1384" i="1"/>
  <c r="A1385" i="1"/>
  <c r="A1386" i="1"/>
  <c r="A1387" i="1"/>
  <c r="A1388" i="1"/>
  <c r="A1389" i="1"/>
  <c r="A1390" i="1"/>
  <c r="A1391" i="1"/>
  <c r="A1392" i="1"/>
  <c r="A1393" i="1"/>
  <c r="A1394" i="1"/>
  <c r="A1395" i="1"/>
  <c r="A1396" i="1"/>
  <c r="A1397" i="1"/>
  <c r="A1398" i="1"/>
  <c r="A1399" i="1"/>
  <c r="A1400" i="1"/>
  <c r="A1401" i="1"/>
  <c r="A1402" i="1"/>
  <c r="A1403" i="1"/>
  <c r="A1404" i="1"/>
  <c r="A1405" i="1"/>
  <c r="A1406" i="1"/>
  <c r="A1407" i="1"/>
  <c r="A1408" i="1"/>
  <c r="A1409" i="1"/>
  <c r="A1410" i="1"/>
  <c r="A1411" i="1"/>
  <c r="A1412" i="1"/>
  <c r="A1413" i="1"/>
  <c r="A1414" i="1"/>
  <c r="A1415" i="1"/>
  <c r="A1416" i="1"/>
  <c r="A1417" i="1"/>
  <c r="A1418" i="1"/>
  <c r="A1419" i="1"/>
  <c r="A1420" i="1"/>
  <c r="A1421" i="1"/>
  <c r="A1422" i="1"/>
  <c r="A1423" i="1"/>
  <c r="A1424" i="1"/>
  <c r="A1425" i="1"/>
  <c r="A1426" i="1"/>
  <c r="A1427" i="1"/>
  <c r="A1428" i="1"/>
  <c r="A1429" i="1"/>
  <c r="A1430" i="1"/>
  <c r="A1431" i="1"/>
  <c r="A1432" i="1"/>
  <c r="A1433" i="1"/>
  <c r="A1434" i="1"/>
  <c r="A1435" i="1"/>
  <c r="A1436" i="1"/>
  <c r="A1437" i="1"/>
  <c r="A1438" i="1"/>
  <c r="A1439" i="1"/>
  <c r="A1440" i="1"/>
  <c r="A1441" i="1"/>
  <c r="A1442" i="1"/>
  <c r="A1443" i="1"/>
  <c r="A1444" i="1"/>
  <c r="A1445" i="1"/>
  <c r="A1446" i="1"/>
  <c r="A1447" i="1"/>
  <c r="A1448" i="1"/>
  <c r="A1449" i="1"/>
  <c r="A1450" i="1"/>
  <c r="A1451" i="1"/>
  <c r="A1452" i="1"/>
  <c r="A1453" i="1"/>
  <c r="A1454" i="1"/>
  <c r="A1455" i="1"/>
  <c r="A1456" i="1"/>
  <c r="A1457" i="1"/>
  <c r="A1458" i="1"/>
  <c r="A1459" i="1"/>
  <c r="A1460" i="1"/>
  <c r="A1461" i="1"/>
  <c r="A1462" i="1"/>
  <c r="A1463" i="1"/>
  <c r="A1464" i="1"/>
  <c r="A1465" i="1"/>
  <c r="A1466" i="1"/>
  <c r="A1467" i="1"/>
  <c r="A1468" i="1"/>
  <c r="A1469" i="1"/>
  <c r="A1470" i="1"/>
  <c r="A1471" i="1"/>
  <c r="A1472" i="1"/>
  <c r="A1473" i="1"/>
  <c r="A1474" i="1"/>
  <c r="A1475" i="1"/>
  <c r="A1476" i="1"/>
  <c r="A1477" i="1"/>
  <c r="A1478" i="1"/>
  <c r="A1479" i="1"/>
  <c r="A1480" i="1"/>
  <c r="A1481" i="1"/>
  <c r="A1482" i="1"/>
  <c r="A1483" i="1"/>
  <c r="A1484" i="1"/>
  <c r="A1485" i="1"/>
  <c r="A1486" i="1"/>
  <c r="A1487" i="1"/>
  <c r="A1488" i="1"/>
  <c r="A1489" i="1"/>
  <c r="A1490" i="1"/>
  <c r="A1491" i="1"/>
  <c r="A1492" i="1"/>
  <c r="A1493" i="1"/>
  <c r="A1494" i="1"/>
  <c r="A1495" i="1"/>
  <c r="A1496" i="1"/>
  <c r="A1497" i="1"/>
  <c r="A1498" i="1"/>
  <c r="A1499" i="1"/>
  <c r="A1500" i="1"/>
  <c r="A1501" i="1"/>
  <c r="A1502" i="1"/>
  <c r="A1503" i="1"/>
  <c r="A1504" i="1"/>
  <c r="A1505" i="1"/>
  <c r="A1506" i="1"/>
  <c r="A1507" i="1"/>
  <c r="A1508" i="1"/>
  <c r="A1509" i="1"/>
  <c r="A1510" i="1"/>
  <c r="A1511" i="1"/>
  <c r="A1512" i="1"/>
  <c r="A1513" i="1"/>
  <c r="A1514" i="1"/>
  <c r="A1515" i="1"/>
  <c r="A1516" i="1"/>
  <c r="A1517" i="1"/>
  <c r="A1518" i="1"/>
  <c r="A1519" i="1"/>
  <c r="A1520" i="1"/>
  <c r="A1521" i="1"/>
  <c r="A1522" i="1"/>
  <c r="A1523" i="1"/>
  <c r="A1524" i="1"/>
  <c r="A1525" i="1"/>
  <c r="A1526" i="1"/>
  <c r="A1527" i="1"/>
  <c r="A1528" i="1"/>
  <c r="A1529" i="1"/>
  <c r="A1530" i="1"/>
  <c r="A1531" i="1"/>
  <c r="A1532" i="1"/>
  <c r="A1533" i="1"/>
  <c r="A1534" i="1"/>
  <c r="A1535" i="1"/>
  <c r="A1536" i="1"/>
  <c r="A1537" i="1"/>
  <c r="A1538" i="1"/>
  <c r="A1539" i="1"/>
  <c r="A1540" i="1"/>
  <c r="A1541" i="1"/>
  <c r="A1542" i="1"/>
  <c r="A1543" i="1"/>
  <c r="A1544" i="1"/>
  <c r="A1545" i="1"/>
  <c r="A1546" i="1"/>
  <c r="A1547" i="1"/>
  <c r="A1548" i="1"/>
  <c r="A1549" i="1"/>
  <c r="A1550" i="1"/>
  <c r="A1551" i="1"/>
  <c r="A1552" i="1"/>
  <c r="A1553" i="1"/>
  <c r="A1554" i="1"/>
  <c r="A1555" i="1"/>
  <c r="A1556" i="1"/>
  <c r="A1557" i="1"/>
  <c r="A1558" i="1"/>
  <c r="A1559" i="1"/>
  <c r="A1560" i="1"/>
  <c r="A1561" i="1"/>
  <c r="A1562" i="1"/>
  <c r="A1563" i="1"/>
  <c r="A1564" i="1"/>
  <c r="A1565" i="1"/>
  <c r="A1566" i="1"/>
  <c r="A1567" i="1"/>
  <c r="A1568" i="1"/>
  <c r="A1569" i="1"/>
  <c r="A1570" i="1"/>
  <c r="A1571" i="1"/>
  <c r="A1572" i="1"/>
  <c r="A1573" i="1"/>
  <c r="A1574" i="1"/>
  <c r="A1575" i="1"/>
  <c r="A1576" i="1"/>
  <c r="A1577" i="1"/>
  <c r="A1578" i="1"/>
  <c r="A1579" i="1"/>
  <c r="A1580" i="1"/>
  <c r="A1581" i="1"/>
  <c r="A1582" i="1"/>
  <c r="A1583" i="1"/>
  <c r="A1584" i="1"/>
  <c r="A1585" i="1"/>
  <c r="A1586" i="1"/>
  <c r="A1587" i="1"/>
  <c r="A1588" i="1"/>
  <c r="A1589" i="1"/>
  <c r="A1590" i="1"/>
  <c r="A1591" i="1"/>
  <c r="A1592" i="1"/>
  <c r="A1593" i="1"/>
  <c r="A1594" i="1"/>
  <c r="A1595" i="1"/>
  <c r="A1596" i="1"/>
  <c r="A1597" i="1"/>
  <c r="A1598" i="1"/>
  <c r="A1599" i="1"/>
  <c r="A1600" i="1"/>
  <c r="A1601" i="1"/>
  <c r="A1602" i="1"/>
  <c r="A1603" i="1"/>
  <c r="A1604" i="1"/>
  <c r="A1605" i="1"/>
  <c r="A1606" i="1"/>
  <c r="A1607" i="1"/>
  <c r="A1608" i="1"/>
  <c r="A1609" i="1"/>
  <c r="A1610" i="1"/>
  <c r="A1611" i="1"/>
  <c r="A1612" i="1"/>
  <c r="A1613" i="1"/>
  <c r="A1614" i="1"/>
  <c r="A1615" i="1"/>
  <c r="A1616" i="1"/>
  <c r="A1617" i="1"/>
  <c r="A1618" i="1"/>
  <c r="A1619" i="1"/>
  <c r="A1620" i="1"/>
  <c r="A1621" i="1"/>
  <c r="A1622" i="1"/>
  <c r="A1623" i="1"/>
  <c r="A1624" i="1"/>
  <c r="A1625" i="1"/>
  <c r="A1626" i="1"/>
  <c r="A1627" i="1"/>
  <c r="A1628" i="1"/>
  <c r="A1629" i="1"/>
  <c r="A1630" i="1"/>
  <c r="A1631" i="1"/>
  <c r="A1632" i="1"/>
  <c r="A1633" i="1"/>
  <c r="A1634" i="1"/>
  <c r="A1635" i="1"/>
  <c r="A1636" i="1"/>
  <c r="A1637" i="1"/>
  <c r="A1638" i="1"/>
  <c r="A1639" i="1"/>
  <c r="A1640" i="1"/>
  <c r="A1641" i="1"/>
  <c r="A1642" i="1"/>
  <c r="A1643" i="1"/>
  <c r="A1644" i="1"/>
  <c r="A1645" i="1"/>
  <c r="A1646" i="1"/>
  <c r="A1647" i="1"/>
  <c r="A1648" i="1"/>
  <c r="A1649" i="1"/>
  <c r="A1650" i="1"/>
  <c r="A1651" i="1"/>
  <c r="A1652" i="1"/>
  <c r="A1653" i="1"/>
  <c r="A1654" i="1"/>
  <c r="A1655" i="1"/>
  <c r="A1656" i="1"/>
  <c r="A1657" i="1"/>
  <c r="A1658" i="1"/>
  <c r="A1659" i="1"/>
  <c r="A1660" i="1"/>
  <c r="A1661" i="1"/>
  <c r="A1662" i="1"/>
  <c r="A1663" i="1"/>
  <c r="A1664" i="1"/>
  <c r="A1665" i="1"/>
  <c r="A1666" i="1"/>
  <c r="A1667" i="1"/>
  <c r="A1668" i="1"/>
  <c r="A1669" i="1"/>
  <c r="A1670" i="1"/>
  <c r="A1671" i="1"/>
  <c r="A1672" i="1"/>
  <c r="A1673" i="1"/>
  <c r="A1674" i="1"/>
  <c r="A1675" i="1"/>
  <c r="A1676" i="1"/>
  <c r="A1677" i="1"/>
  <c r="A1678" i="1"/>
  <c r="A1679" i="1"/>
  <c r="A1680" i="1"/>
  <c r="A1681" i="1"/>
  <c r="A1682" i="1"/>
  <c r="A1683" i="1"/>
  <c r="A1684" i="1"/>
  <c r="A1685" i="1"/>
  <c r="A1686" i="1"/>
  <c r="A1687" i="1"/>
  <c r="A1688" i="1"/>
  <c r="A1689" i="1"/>
  <c r="A1690" i="1"/>
  <c r="A1691" i="1"/>
  <c r="A1692" i="1"/>
  <c r="A1693" i="1"/>
  <c r="A1694" i="1"/>
  <c r="A1695" i="1"/>
  <c r="A1696" i="1"/>
  <c r="A1697" i="1"/>
  <c r="A1698" i="1"/>
  <c r="A1699" i="1"/>
  <c r="A1700" i="1"/>
  <c r="A1701" i="1"/>
  <c r="A1702" i="1"/>
  <c r="A1703" i="1"/>
  <c r="A1704" i="1"/>
  <c r="A1705" i="1"/>
  <c r="A1706" i="1"/>
  <c r="A1707" i="1"/>
  <c r="A1708" i="1"/>
  <c r="A1709" i="1"/>
  <c r="A1710" i="1"/>
  <c r="A1711" i="1"/>
  <c r="A1712" i="1"/>
  <c r="A1713" i="1"/>
  <c r="A1714" i="1"/>
  <c r="A1715" i="1"/>
  <c r="A1716" i="1"/>
  <c r="A1717" i="1"/>
  <c r="A1718" i="1"/>
  <c r="A1719" i="1"/>
  <c r="A1720" i="1"/>
  <c r="A1721" i="1"/>
  <c r="A1722" i="1"/>
  <c r="A1723" i="1"/>
  <c r="A1724" i="1"/>
  <c r="A1725" i="1"/>
  <c r="A1726" i="1"/>
  <c r="A1727" i="1"/>
  <c r="A1728" i="1"/>
  <c r="A1729" i="1"/>
  <c r="A1730" i="1"/>
  <c r="A1731" i="1"/>
  <c r="A1732" i="1"/>
  <c r="A1733" i="1"/>
  <c r="A1734" i="1"/>
  <c r="A1735" i="1"/>
  <c r="A1736" i="1"/>
  <c r="A1737" i="1"/>
  <c r="A1738" i="1"/>
  <c r="A1739" i="1"/>
  <c r="A1740" i="1"/>
  <c r="A1741" i="1"/>
  <c r="A1742" i="1"/>
  <c r="A1743" i="1"/>
  <c r="A1744" i="1"/>
  <c r="A1745" i="1"/>
  <c r="A1746" i="1"/>
  <c r="A1747" i="1"/>
  <c r="A1748" i="1"/>
  <c r="A1749" i="1"/>
  <c r="A1750" i="1"/>
  <c r="A1751" i="1"/>
  <c r="A1752" i="1"/>
  <c r="A1753" i="1"/>
  <c r="A1754" i="1"/>
  <c r="A1755" i="1"/>
  <c r="A1756" i="1"/>
  <c r="A1757" i="1"/>
  <c r="A1758" i="1"/>
  <c r="A1759" i="1"/>
  <c r="A1760" i="1"/>
  <c r="A1761" i="1"/>
  <c r="A1762" i="1"/>
  <c r="A1763" i="1"/>
  <c r="A1764" i="1"/>
  <c r="A1765" i="1"/>
  <c r="A1766" i="1"/>
  <c r="A1767" i="1"/>
  <c r="A1768" i="1"/>
  <c r="A1769" i="1"/>
  <c r="A1770" i="1"/>
  <c r="A1771" i="1"/>
  <c r="A1772" i="1"/>
  <c r="A1773" i="1"/>
  <c r="A1774" i="1"/>
  <c r="A1775" i="1"/>
  <c r="A1776" i="1"/>
  <c r="A1777" i="1"/>
  <c r="A1778" i="1"/>
  <c r="A1779" i="1"/>
  <c r="A1780" i="1"/>
  <c r="A1781" i="1"/>
  <c r="A1782" i="1"/>
  <c r="A1783" i="1"/>
  <c r="A1784" i="1"/>
  <c r="A1785" i="1"/>
  <c r="A1786" i="1"/>
  <c r="A1787" i="1"/>
  <c r="A1788" i="1"/>
  <c r="A1789" i="1"/>
  <c r="A1790" i="1"/>
  <c r="A1791" i="1"/>
  <c r="A1792" i="1"/>
  <c r="A1793" i="1"/>
  <c r="A1794" i="1"/>
  <c r="A1795" i="1"/>
  <c r="A1796" i="1"/>
  <c r="A1797" i="1"/>
  <c r="A1798" i="1"/>
  <c r="A1799" i="1"/>
  <c r="A1800" i="1"/>
  <c r="A1801" i="1"/>
  <c r="A1802" i="1"/>
  <c r="A1803" i="1"/>
  <c r="A1804" i="1"/>
  <c r="A1805" i="1"/>
  <c r="A1806" i="1"/>
  <c r="A1807" i="1"/>
  <c r="A1808" i="1"/>
  <c r="A1809" i="1"/>
  <c r="A1810" i="1"/>
  <c r="A1811" i="1"/>
  <c r="A1812" i="1"/>
  <c r="A1813" i="1"/>
  <c r="A1814" i="1"/>
  <c r="A1815" i="1"/>
  <c r="A1816" i="1"/>
  <c r="A1817" i="1"/>
  <c r="A1818" i="1"/>
  <c r="A1819" i="1"/>
  <c r="A1820" i="1"/>
  <c r="A1821" i="1"/>
  <c r="A1822" i="1"/>
  <c r="A1823" i="1"/>
  <c r="A1824" i="1"/>
  <c r="A1825" i="1"/>
  <c r="A1826" i="1"/>
  <c r="A1827" i="1"/>
  <c r="A1828" i="1"/>
  <c r="A1829" i="1"/>
  <c r="A1830" i="1"/>
  <c r="A1831" i="1"/>
  <c r="A1832" i="1"/>
  <c r="A1833" i="1"/>
  <c r="A1834" i="1"/>
  <c r="A1835" i="1"/>
  <c r="A1836" i="1"/>
  <c r="A1837" i="1"/>
  <c r="A1838" i="1"/>
  <c r="A1839" i="1"/>
  <c r="A1840" i="1"/>
  <c r="A1841" i="1"/>
  <c r="A1842" i="1"/>
  <c r="A1843" i="1"/>
  <c r="A1844" i="1"/>
  <c r="A1845" i="1"/>
  <c r="A1846" i="1"/>
  <c r="A1847" i="1"/>
  <c r="A1848" i="1"/>
  <c r="A1849" i="1"/>
  <c r="A1850" i="1"/>
  <c r="A1851" i="1"/>
  <c r="A1852" i="1"/>
  <c r="A1853" i="1"/>
  <c r="A1854" i="1"/>
  <c r="A1855" i="1"/>
  <c r="A1856" i="1"/>
  <c r="A1857" i="1"/>
  <c r="A1858" i="1"/>
  <c r="A1859" i="1"/>
  <c r="A1860" i="1"/>
  <c r="A1861" i="1"/>
  <c r="A1862" i="1"/>
  <c r="A1863" i="1"/>
  <c r="A1864" i="1"/>
  <c r="A1865" i="1"/>
  <c r="A1866" i="1"/>
  <c r="A1867" i="1"/>
  <c r="A1868" i="1"/>
  <c r="A1869" i="1"/>
  <c r="A1870" i="1"/>
  <c r="A1871" i="1"/>
  <c r="A1872" i="1"/>
  <c r="A1873" i="1"/>
  <c r="A1874" i="1"/>
  <c r="A1875" i="1"/>
  <c r="A1876" i="1"/>
  <c r="A1877" i="1"/>
  <c r="A1878" i="1"/>
  <c r="A1879" i="1"/>
  <c r="A1880" i="1"/>
  <c r="A1881" i="1"/>
  <c r="A1882" i="1"/>
  <c r="A1883" i="1"/>
  <c r="A1884" i="1"/>
  <c r="A1885" i="1"/>
  <c r="A1886" i="1"/>
  <c r="A1887" i="1"/>
  <c r="A1888" i="1"/>
  <c r="A1889" i="1"/>
  <c r="A1890" i="1"/>
  <c r="A1891" i="1"/>
  <c r="A1892" i="1"/>
  <c r="A1893" i="1"/>
  <c r="A1894" i="1"/>
  <c r="A1895" i="1"/>
  <c r="A1896" i="1"/>
  <c r="A1897" i="1"/>
  <c r="A1898" i="1"/>
  <c r="A1899" i="1"/>
  <c r="A1900" i="1"/>
  <c r="A1901" i="1"/>
  <c r="A1902" i="1"/>
  <c r="A1903" i="1"/>
  <c r="A1904" i="1"/>
  <c r="A1905" i="1"/>
  <c r="A1906" i="1"/>
  <c r="A1907" i="1"/>
  <c r="A1908" i="1"/>
  <c r="A1909" i="1"/>
  <c r="A1910" i="1"/>
  <c r="A1911" i="1"/>
  <c r="A1912" i="1"/>
  <c r="A1913" i="1"/>
  <c r="A1914" i="1"/>
  <c r="A1915" i="1"/>
  <c r="A1916" i="1"/>
  <c r="A1917" i="1"/>
  <c r="A1918" i="1"/>
  <c r="A1919" i="1"/>
  <c r="A1920" i="1"/>
  <c r="A1921" i="1"/>
  <c r="A1922" i="1"/>
  <c r="A1923" i="1"/>
  <c r="A1924" i="1"/>
  <c r="A1925" i="1"/>
  <c r="A1926" i="1"/>
  <c r="A1927" i="1"/>
  <c r="A1928" i="1"/>
  <c r="A1929" i="1"/>
  <c r="A1930" i="1"/>
  <c r="A1931" i="1"/>
  <c r="A1932" i="1"/>
  <c r="A1933" i="1"/>
  <c r="A1934" i="1"/>
  <c r="A1935" i="1"/>
  <c r="A1936" i="1"/>
  <c r="A1937" i="1"/>
  <c r="A1938" i="1"/>
  <c r="A1939" i="1"/>
  <c r="A1940" i="1"/>
  <c r="A1941" i="1"/>
  <c r="A1942" i="1"/>
  <c r="A1943" i="1"/>
  <c r="A1944" i="1"/>
  <c r="A1945" i="1"/>
  <c r="A1946" i="1"/>
  <c r="A1947" i="1"/>
  <c r="A1948" i="1"/>
  <c r="A1949" i="1"/>
  <c r="A1950" i="1"/>
  <c r="A1951" i="1"/>
  <c r="A1952" i="1"/>
  <c r="A1953" i="1"/>
  <c r="A1954" i="1"/>
  <c r="A1955" i="1"/>
  <c r="A1956" i="1"/>
  <c r="A1957" i="1"/>
  <c r="A1958" i="1"/>
  <c r="A1959" i="1"/>
  <c r="A1960" i="1"/>
  <c r="A1961" i="1"/>
  <c r="A1962" i="1"/>
  <c r="A1963" i="1"/>
  <c r="A1964" i="1"/>
  <c r="A1965" i="1"/>
  <c r="A1966" i="1"/>
  <c r="A1967" i="1"/>
  <c r="A1968" i="1"/>
  <c r="A1969" i="1"/>
  <c r="A1970" i="1"/>
  <c r="A1971" i="1"/>
  <c r="A1972" i="1"/>
  <c r="A1973" i="1"/>
  <c r="A1974" i="1"/>
  <c r="A1975" i="1"/>
  <c r="A1976" i="1"/>
  <c r="A1977" i="1"/>
  <c r="A1978" i="1"/>
  <c r="A1979" i="1"/>
  <c r="A1980" i="1"/>
  <c r="A1981" i="1"/>
  <c r="A1982" i="1"/>
  <c r="A1983" i="1"/>
  <c r="A1984" i="1"/>
  <c r="A1985" i="1"/>
  <c r="A1986" i="1"/>
  <c r="A1987" i="1"/>
  <c r="A1988" i="1"/>
  <c r="A1989" i="1"/>
  <c r="A1990" i="1"/>
  <c r="A1991" i="1"/>
  <c r="A1992" i="1"/>
  <c r="A1993" i="1"/>
  <c r="A1994" i="1"/>
  <c r="A1995" i="1"/>
  <c r="A1996" i="1"/>
  <c r="A1997" i="1"/>
  <c r="A1998" i="1"/>
  <c r="A1999" i="1"/>
  <c r="A2000" i="1"/>
  <c r="A2001" i="1"/>
  <c r="A2002" i="1"/>
  <c r="A2003" i="1"/>
  <c r="A2004" i="1"/>
  <c r="A2005" i="1"/>
  <c r="A2006" i="1"/>
  <c r="A2007" i="1"/>
  <c r="A2008" i="1"/>
  <c r="A2009" i="1"/>
  <c r="A2010" i="1"/>
  <c r="A2011" i="1"/>
  <c r="A2012" i="1"/>
  <c r="A2013" i="1"/>
  <c r="A2014" i="1"/>
  <c r="A2015" i="1"/>
  <c r="A2016" i="1"/>
  <c r="A2017" i="1"/>
  <c r="A2018" i="1"/>
  <c r="A2019" i="1"/>
  <c r="A2020" i="1"/>
  <c r="A2021" i="1"/>
  <c r="A2022" i="1"/>
  <c r="A2023" i="1"/>
  <c r="A2024" i="1"/>
  <c r="A2025" i="1"/>
  <c r="A2026" i="1"/>
  <c r="A2027" i="1"/>
  <c r="A2028" i="1"/>
  <c r="A2029" i="1"/>
  <c r="A2030" i="1"/>
  <c r="A2031" i="1"/>
  <c r="A2032" i="1"/>
  <c r="A2033" i="1"/>
  <c r="A2034" i="1"/>
  <c r="A2035" i="1"/>
  <c r="A2036" i="1"/>
  <c r="A2037" i="1"/>
  <c r="A2038" i="1"/>
  <c r="A2039" i="1"/>
  <c r="A2040" i="1"/>
  <c r="A2041" i="1"/>
  <c r="A2042" i="1"/>
  <c r="A2043" i="1"/>
  <c r="A2044" i="1"/>
  <c r="A2045" i="1"/>
  <c r="A2046" i="1"/>
  <c r="A2047" i="1"/>
  <c r="A2048" i="1"/>
  <c r="A2049" i="1"/>
  <c r="A2050" i="1"/>
  <c r="A2051" i="1"/>
  <c r="A2052" i="1"/>
  <c r="A2053" i="1"/>
  <c r="A2054" i="1"/>
  <c r="A2055" i="1"/>
  <c r="A2056" i="1"/>
  <c r="A2057" i="1"/>
  <c r="A2058" i="1"/>
  <c r="A2059" i="1"/>
  <c r="A2060" i="1"/>
  <c r="A2061" i="1"/>
  <c r="A2062" i="1"/>
  <c r="A2063" i="1"/>
  <c r="A2064" i="1"/>
  <c r="A2065" i="1"/>
  <c r="A2066" i="1"/>
  <c r="A2067" i="1"/>
  <c r="A2068" i="1"/>
  <c r="A2069" i="1"/>
  <c r="A2070" i="1"/>
  <c r="A2071" i="1"/>
  <c r="A2072" i="1"/>
  <c r="A2073" i="1"/>
  <c r="A2074" i="1"/>
  <c r="A2075" i="1"/>
  <c r="A2076" i="1"/>
  <c r="A2077" i="1"/>
  <c r="A2078" i="1"/>
  <c r="A2079" i="1"/>
  <c r="A2080" i="1"/>
  <c r="A2081" i="1"/>
  <c r="A2082" i="1"/>
  <c r="A2083" i="1"/>
  <c r="A2084" i="1"/>
  <c r="A2085" i="1"/>
  <c r="A2086" i="1"/>
  <c r="A2087" i="1"/>
  <c r="A2088" i="1"/>
  <c r="A2089" i="1"/>
  <c r="A2090" i="1"/>
  <c r="A2091" i="1"/>
  <c r="A2092" i="1"/>
  <c r="A2093" i="1"/>
  <c r="A2094" i="1"/>
  <c r="A2095" i="1"/>
  <c r="A2096" i="1"/>
  <c r="A2097" i="1"/>
  <c r="A2098" i="1"/>
  <c r="A2099" i="1"/>
  <c r="A2100" i="1"/>
  <c r="A2101" i="1"/>
  <c r="A2102" i="1"/>
  <c r="A2103" i="1"/>
  <c r="A2104" i="1"/>
  <c r="A2105" i="1"/>
  <c r="A2106" i="1"/>
  <c r="A2107" i="1"/>
  <c r="A2108" i="1"/>
  <c r="A2109" i="1"/>
  <c r="A2110" i="1"/>
  <c r="A2111" i="1"/>
  <c r="A2112" i="1"/>
  <c r="A2113" i="1"/>
  <c r="A2114" i="1"/>
  <c r="A2115" i="1"/>
  <c r="A2116" i="1"/>
  <c r="A2117" i="1"/>
  <c r="A2118" i="1"/>
  <c r="A2119" i="1"/>
  <c r="A2120" i="1"/>
  <c r="A2121" i="1"/>
  <c r="A2122" i="1"/>
  <c r="A2123" i="1"/>
  <c r="A2124" i="1"/>
  <c r="A2125" i="1"/>
  <c r="A2126" i="1"/>
  <c r="A2127" i="1"/>
  <c r="A2128" i="1"/>
  <c r="A2129" i="1"/>
  <c r="A2130" i="1"/>
  <c r="A2131" i="1"/>
  <c r="A2132" i="1"/>
  <c r="A2133" i="1"/>
  <c r="A2134" i="1"/>
  <c r="A2135" i="1"/>
  <c r="A2136" i="1"/>
  <c r="A2137" i="1"/>
  <c r="A2138" i="1"/>
  <c r="A2139" i="1"/>
  <c r="A2140" i="1"/>
  <c r="A2141" i="1"/>
  <c r="A2142" i="1"/>
  <c r="A2143" i="1"/>
  <c r="A2144" i="1"/>
  <c r="A2145" i="1"/>
  <c r="A2146" i="1"/>
  <c r="A2147" i="1"/>
  <c r="A2148" i="1"/>
  <c r="A2149" i="1"/>
  <c r="A2150" i="1"/>
  <c r="A2151" i="1"/>
  <c r="A2152" i="1"/>
  <c r="A2153" i="1"/>
  <c r="A2154" i="1"/>
  <c r="A2155" i="1"/>
  <c r="A2156" i="1"/>
  <c r="A2157" i="1"/>
  <c r="A2158" i="1"/>
  <c r="A2159" i="1"/>
  <c r="A2160" i="1"/>
  <c r="A2161" i="1"/>
  <c r="A2162" i="1"/>
  <c r="A2163" i="1"/>
  <c r="A2164" i="1"/>
  <c r="A2165" i="1"/>
  <c r="A2166" i="1"/>
  <c r="A2167" i="1"/>
  <c r="A2168" i="1"/>
  <c r="A2169" i="1"/>
  <c r="A2170" i="1"/>
  <c r="A2171" i="1"/>
  <c r="A2172" i="1"/>
  <c r="A2173" i="1"/>
  <c r="A2174" i="1"/>
  <c r="A2175" i="1"/>
  <c r="A2176" i="1"/>
  <c r="A2177" i="1"/>
  <c r="A2178" i="1"/>
  <c r="A2179" i="1"/>
  <c r="A2180" i="1"/>
  <c r="A2181" i="1"/>
  <c r="A2182" i="1"/>
  <c r="A2183" i="1"/>
  <c r="A2184" i="1"/>
  <c r="A2185" i="1"/>
  <c r="A2186" i="1"/>
  <c r="A2187" i="1"/>
  <c r="A2188" i="1"/>
  <c r="A2189" i="1"/>
  <c r="A2190" i="1"/>
  <c r="A2191" i="1"/>
  <c r="A2192" i="1"/>
  <c r="A2193" i="1"/>
  <c r="A2194" i="1"/>
  <c r="A2195" i="1"/>
  <c r="A2196" i="1"/>
  <c r="A2197" i="1"/>
  <c r="A2198" i="1"/>
  <c r="A2199" i="1"/>
  <c r="A2200" i="1"/>
  <c r="A2201" i="1"/>
  <c r="A2202" i="1"/>
  <c r="A2203" i="1"/>
  <c r="A2204" i="1"/>
  <c r="A2205" i="1"/>
  <c r="A2206" i="1"/>
  <c r="A2207" i="1"/>
  <c r="A2208" i="1"/>
  <c r="A2209" i="1"/>
  <c r="A2210" i="1"/>
  <c r="A2211" i="1"/>
  <c r="A2212" i="1"/>
  <c r="A2213" i="1"/>
  <c r="A2214" i="1"/>
  <c r="A2215" i="1"/>
  <c r="A2216" i="1"/>
  <c r="A2217" i="1"/>
  <c r="A2218" i="1"/>
  <c r="A2219" i="1"/>
  <c r="A2220" i="1"/>
  <c r="A2221" i="1"/>
  <c r="A2222" i="1"/>
  <c r="A2223" i="1"/>
  <c r="A2224" i="1"/>
  <c r="A2225" i="1"/>
  <c r="A2226" i="1"/>
  <c r="A2227" i="1"/>
  <c r="A2228" i="1"/>
  <c r="A2229" i="1"/>
  <c r="A2230" i="1"/>
  <c r="A2231" i="1"/>
  <c r="A2232" i="1"/>
  <c r="A2233" i="1"/>
  <c r="A2234" i="1"/>
  <c r="A2235" i="1"/>
  <c r="A2236" i="1"/>
  <c r="A2237" i="1"/>
  <c r="A2238" i="1"/>
  <c r="A2239" i="1"/>
  <c r="A2240" i="1"/>
  <c r="A2241" i="1"/>
  <c r="A2242" i="1"/>
  <c r="A2243" i="1"/>
  <c r="A2244" i="1"/>
  <c r="A2245" i="1"/>
  <c r="A2246" i="1"/>
  <c r="A2247" i="1"/>
  <c r="A2248" i="1"/>
  <c r="A2249" i="1"/>
  <c r="A2250" i="1"/>
  <c r="A2251" i="1"/>
  <c r="A2252" i="1"/>
  <c r="A2253" i="1"/>
  <c r="A2254" i="1"/>
  <c r="A2255" i="1"/>
  <c r="A2256" i="1"/>
  <c r="A2257" i="1"/>
  <c r="A2258" i="1"/>
  <c r="A2259" i="1"/>
  <c r="A2260" i="1"/>
  <c r="A2261" i="1"/>
  <c r="A2262" i="1"/>
  <c r="A2263" i="1"/>
  <c r="A2264" i="1"/>
  <c r="A2265" i="1"/>
  <c r="A2266" i="1"/>
  <c r="A2267" i="1"/>
  <c r="A2268" i="1"/>
  <c r="A2269" i="1"/>
  <c r="A2270" i="1"/>
  <c r="A2271" i="1"/>
  <c r="A2272" i="1"/>
  <c r="A2273" i="1"/>
  <c r="A2274" i="1"/>
  <c r="A2275" i="1"/>
  <c r="A2276" i="1"/>
  <c r="A2277" i="1"/>
  <c r="A2278" i="1"/>
  <c r="A2279" i="1"/>
  <c r="A2280" i="1"/>
  <c r="A2281" i="1"/>
  <c r="A2282" i="1"/>
  <c r="A2283" i="1"/>
  <c r="A2284" i="1"/>
  <c r="A2285" i="1"/>
  <c r="A2286" i="1"/>
  <c r="A2287" i="1"/>
  <c r="A2288" i="1"/>
  <c r="A2289" i="1"/>
  <c r="A2290" i="1"/>
  <c r="A2291" i="1"/>
  <c r="A2292" i="1"/>
  <c r="A2293" i="1"/>
  <c r="A2294" i="1"/>
  <c r="A2295" i="1"/>
  <c r="A2296" i="1"/>
  <c r="A2297" i="1"/>
  <c r="A2298" i="1"/>
  <c r="A2299" i="1"/>
  <c r="A2300" i="1"/>
  <c r="A2301" i="1"/>
  <c r="A2302" i="1"/>
  <c r="A2303" i="1"/>
  <c r="A2304" i="1"/>
  <c r="A2305" i="1"/>
  <c r="A2306" i="1"/>
  <c r="A2307" i="1"/>
  <c r="A2308" i="1"/>
  <c r="A2309" i="1"/>
  <c r="A2310" i="1"/>
  <c r="A2311" i="1"/>
  <c r="A2312" i="1"/>
  <c r="A2313" i="1"/>
  <c r="A2314" i="1"/>
  <c r="A2315" i="1"/>
  <c r="A2316" i="1"/>
  <c r="A2317" i="1"/>
  <c r="A2318" i="1"/>
  <c r="A2319" i="1"/>
  <c r="A2320" i="1"/>
  <c r="A2321" i="1"/>
  <c r="A2322" i="1"/>
  <c r="A2323" i="1"/>
  <c r="A2324" i="1"/>
  <c r="A2325" i="1"/>
  <c r="A2326" i="1"/>
  <c r="A2327" i="1"/>
  <c r="A2328" i="1"/>
  <c r="A2329" i="1"/>
  <c r="A2330" i="1"/>
  <c r="A2331" i="1"/>
  <c r="A2332" i="1"/>
  <c r="A2333" i="1"/>
  <c r="A2334" i="1"/>
  <c r="A2335" i="1"/>
  <c r="A2336" i="1"/>
  <c r="A2337" i="1"/>
  <c r="A2338" i="1"/>
  <c r="A2339" i="1"/>
  <c r="A2340" i="1"/>
  <c r="A2341" i="1"/>
  <c r="A2342" i="1"/>
  <c r="A2343" i="1"/>
  <c r="A2344" i="1"/>
  <c r="A2345" i="1"/>
  <c r="A2346" i="1"/>
  <c r="A2347" i="1"/>
  <c r="A2348" i="1"/>
  <c r="A2349" i="1"/>
  <c r="A2350" i="1"/>
  <c r="A2351" i="1"/>
  <c r="A2352" i="1"/>
  <c r="A2353" i="1"/>
  <c r="A2354" i="1"/>
  <c r="A2355" i="1"/>
  <c r="A2356" i="1"/>
  <c r="A2357" i="1"/>
  <c r="A2358" i="1"/>
  <c r="A2359" i="1"/>
  <c r="A2360" i="1"/>
  <c r="A2361" i="1"/>
  <c r="A2362" i="1"/>
  <c r="A2363" i="1"/>
  <c r="A2364" i="1"/>
  <c r="A2365" i="1"/>
  <c r="A2366" i="1"/>
  <c r="A2367" i="1"/>
  <c r="A2368" i="1"/>
  <c r="A2369" i="1"/>
  <c r="A2370" i="1"/>
  <c r="A2371" i="1"/>
  <c r="A2372" i="1"/>
  <c r="A2373" i="1"/>
  <c r="A2374" i="1"/>
  <c r="A2375" i="1"/>
  <c r="A2376" i="1"/>
  <c r="A2377" i="1"/>
  <c r="A2378" i="1"/>
  <c r="A2379" i="1"/>
  <c r="A2380" i="1"/>
  <c r="A2381" i="1"/>
  <c r="A2382" i="1"/>
  <c r="A2383" i="1"/>
  <c r="A2384" i="1"/>
  <c r="A2385" i="1"/>
  <c r="A2386" i="1"/>
  <c r="A2387" i="1"/>
  <c r="A2388" i="1"/>
  <c r="A2389" i="1"/>
  <c r="A2390" i="1"/>
  <c r="A2391" i="1"/>
  <c r="A2392" i="1"/>
  <c r="A2393" i="1"/>
  <c r="A2394" i="1"/>
  <c r="A2395" i="1"/>
  <c r="A2396" i="1"/>
  <c r="A2397" i="1"/>
  <c r="A2398" i="1"/>
  <c r="A2399" i="1"/>
  <c r="A2400" i="1"/>
  <c r="A2401" i="1"/>
  <c r="A2402" i="1"/>
  <c r="A2403" i="1"/>
  <c r="A2404" i="1"/>
  <c r="A2405" i="1"/>
  <c r="A2406" i="1"/>
  <c r="A2407" i="1"/>
  <c r="A2408" i="1"/>
  <c r="A2409" i="1"/>
  <c r="A2410" i="1"/>
  <c r="A2411" i="1"/>
  <c r="A2412" i="1"/>
  <c r="A2413" i="1"/>
  <c r="A2414" i="1"/>
  <c r="A2415" i="1"/>
  <c r="A2416" i="1"/>
  <c r="A2417" i="1"/>
  <c r="A2418" i="1"/>
  <c r="A2419" i="1"/>
  <c r="A2420" i="1"/>
  <c r="A2421" i="1"/>
  <c r="A2422" i="1"/>
  <c r="A2423" i="1"/>
  <c r="A2424" i="1"/>
  <c r="A2425" i="1"/>
  <c r="A2426" i="1"/>
  <c r="A2427" i="1"/>
  <c r="A2428" i="1"/>
  <c r="A2429" i="1"/>
  <c r="A2430" i="1"/>
  <c r="A2431" i="1"/>
  <c r="A2432" i="1"/>
  <c r="A2433" i="1"/>
  <c r="A2434" i="1"/>
  <c r="A2435" i="1"/>
  <c r="A2436" i="1"/>
  <c r="A2437" i="1"/>
  <c r="A2438" i="1"/>
  <c r="A2439" i="1"/>
  <c r="A2440" i="1"/>
  <c r="A2441" i="1"/>
  <c r="A2442" i="1"/>
  <c r="A2443" i="1"/>
  <c r="A2444" i="1"/>
  <c r="A2445" i="1"/>
  <c r="A2446" i="1"/>
  <c r="A2447" i="1"/>
  <c r="A2448" i="1"/>
  <c r="A2449" i="1"/>
  <c r="A2450" i="1"/>
  <c r="A2451" i="1"/>
  <c r="A2452" i="1"/>
  <c r="A2453" i="1"/>
  <c r="A2454" i="1"/>
  <c r="A2455" i="1"/>
  <c r="A2456" i="1"/>
  <c r="A2457" i="1"/>
  <c r="A2458" i="1"/>
  <c r="A2459" i="1"/>
  <c r="A2460" i="1"/>
  <c r="A2461" i="1"/>
  <c r="A2462" i="1"/>
  <c r="A2463" i="1"/>
  <c r="A2464" i="1"/>
  <c r="A2465" i="1"/>
  <c r="A2466" i="1"/>
  <c r="A2467" i="1"/>
  <c r="A2468" i="1"/>
  <c r="A2469" i="1"/>
  <c r="A2470" i="1"/>
  <c r="A2471" i="1"/>
  <c r="A2472" i="1"/>
  <c r="A2473" i="1"/>
  <c r="A2474" i="1"/>
  <c r="A2475" i="1"/>
  <c r="A2476" i="1"/>
  <c r="A2477" i="1"/>
  <c r="A2478" i="1"/>
  <c r="A2479" i="1"/>
  <c r="A2480" i="1"/>
  <c r="A2481" i="1"/>
  <c r="A2482" i="1"/>
  <c r="A2483" i="1"/>
  <c r="A2484" i="1"/>
  <c r="A2485" i="1"/>
  <c r="A2486" i="1"/>
  <c r="A2487" i="1"/>
  <c r="A2488" i="1"/>
  <c r="A2489" i="1"/>
  <c r="A2490" i="1"/>
  <c r="A2491" i="1"/>
  <c r="A2492" i="1"/>
  <c r="A2493" i="1"/>
  <c r="A2494" i="1"/>
  <c r="A2495" i="1"/>
  <c r="A2496" i="1"/>
  <c r="A2497" i="1"/>
  <c r="A2498" i="1"/>
  <c r="A2499" i="1"/>
  <c r="A2500" i="1"/>
  <c r="A2501" i="1"/>
  <c r="A2502" i="1"/>
  <c r="A2503" i="1"/>
  <c r="A2504" i="1"/>
  <c r="A2505" i="1"/>
  <c r="A2506" i="1"/>
  <c r="A2507" i="1"/>
  <c r="A2508" i="1"/>
  <c r="A2509" i="1"/>
  <c r="A2510" i="1"/>
  <c r="A2511" i="1"/>
  <c r="A2512" i="1"/>
  <c r="A2513" i="1"/>
  <c r="A2514" i="1"/>
  <c r="A2515" i="1"/>
  <c r="A2516" i="1"/>
  <c r="A2517" i="1"/>
  <c r="A2518" i="1"/>
  <c r="A2519" i="1"/>
  <c r="A2520" i="1"/>
  <c r="A2521" i="1"/>
  <c r="A2522" i="1"/>
  <c r="A2523" i="1"/>
  <c r="A2524" i="1"/>
  <c r="A2525" i="1"/>
  <c r="A2526" i="1"/>
  <c r="A2527" i="1"/>
  <c r="A2528" i="1"/>
  <c r="A2529" i="1"/>
  <c r="A2530" i="1"/>
  <c r="A2531" i="1"/>
  <c r="A2532" i="1"/>
  <c r="A2533" i="1"/>
  <c r="A2534" i="1"/>
  <c r="A2535" i="1"/>
  <c r="A2536" i="1"/>
  <c r="A2537" i="1"/>
  <c r="A2538" i="1"/>
  <c r="A2539" i="1"/>
  <c r="A2540" i="1"/>
  <c r="A2541" i="1"/>
  <c r="A2542" i="1"/>
  <c r="A2543" i="1"/>
  <c r="A2544" i="1"/>
  <c r="A2545" i="1"/>
  <c r="A2546" i="1"/>
  <c r="A2547" i="1"/>
  <c r="A2548" i="1"/>
  <c r="A2549" i="1"/>
  <c r="A2550" i="1"/>
  <c r="A2551" i="1"/>
  <c r="A2552" i="1"/>
  <c r="A2553" i="1"/>
  <c r="A2554" i="1"/>
  <c r="A2555" i="1"/>
  <c r="A2556" i="1"/>
  <c r="A2557" i="1"/>
  <c r="A2558" i="1"/>
  <c r="A2559" i="1"/>
  <c r="A2560" i="1"/>
  <c r="A2561" i="1"/>
  <c r="A2562" i="1"/>
  <c r="A2563" i="1"/>
  <c r="A2564" i="1"/>
  <c r="A2565" i="1"/>
  <c r="A2566" i="1"/>
  <c r="A2567" i="1"/>
  <c r="A2568" i="1"/>
  <c r="A2569" i="1"/>
  <c r="A2570" i="1"/>
  <c r="A2571" i="1"/>
  <c r="A2572" i="1"/>
  <c r="A2573" i="1"/>
  <c r="A2574" i="1"/>
  <c r="A2575" i="1"/>
  <c r="A2576" i="1"/>
  <c r="A2577" i="1"/>
  <c r="A2578" i="1"/>
  <c r="A2579" i="1"/>
  <c r="A2580" i="1"/>
  <c r="A2581" i="1"/>
  <c r="A2582" i="1"/>
  <c r="A2583" i="1"/>
  <c r="A2584" i="1"/>
  <c r="A2585" i="1"/>
  <c r="A2586" i="1"/>
  <c r="A2587" i="1"/>
  <c r="A2588" i="1"/>
  <c r="A2589" i="1"/>
  <c r="A2590" i="1"/>
  <c r="A2591" i="1"/>
  <c r="A2592" i="1"/>
  <c r="A2593" i="1"/>
  <c r="A2594" i="1"/>
  <c r="A2595" i="1"/>
  <c r="A2596" i="1"/>
  <c r="A2597" i="1"/>
  <c r="A2598" i="1"/>
  <c r="A2599" i="1"/>
  <c r="A2600" i="1"/>
  <c r="A2601" i="1"/>
  <c r="A2602" i="1"/>
  <c r="A2603" i="1"/>
  <c r="A2604" i="1"/>
  <c r="A2605" i="1"/>
  <c r="A2606" i="1"/>
  <c r="A2607" i="1"/>
  <c r="A2608" i="1"/>
  <c r="A2609" i="1"/>
  <c r="A2610" i="1"/>
  <c r="A2611" i="1"/>
  <c r="A2612" i="1"/>
  <c r="A2613" i="1"/>
  <c r="A2614" i="1"/>
  <c r="A2615" i="1"/>
  <c r="A2616" i="1"/>
  <c r="A2617" i="1"/>
  <c r="A2618" i="1"/>
  <c r="A2619" i="1"/>
  <c r="A2620" i="1"/>
  <c r="A2621" i="1"/>
  <c r="A2622" i="1"/>
  <c r="A2623" i="1"/>
  <c r="A2624" i="1"/>
  <c r="A2625" i="1"/>
  <c r="A2626" i="1"/>
  <c r="A2627" i="1"/>
  <c r="A2628" i="1"/>
  <c r="A2629" i="1"/>
  <c r="A2630" i="1"/>
  <c r="A2631" i="1"/>
  <c r="A2632" i="1"/>
  <c r="A2633" i="1"/>
  <c r="A2634" i="1"/>
  <c r="A2635" i="1"/>
  <c r="A2636" i="1"/>
  <c r="A2637" i="1"/>
  <c r="A2638" i="1"/>
  <c r="A2639" i="1"/>
  <c r="A2640" i="1"/>
  <c r="A2641" i="1"/>
  <c r="A2642" i="1"/>
  <c r="A2643" i="1"/>
  <c r="A2644" i="1"/>
  <c r="A2645" i="1"/>
  <c r="A2646" i="1"/>
  <c r="A2647" i="1"/>
  <c r="A2648" i="1"/>
  <c r="A2649" i="1"/>
  <c r="A2650" i="1"/>
  <c r="A2651" i="1"/>
  <c r="A2652" i="1"/>
  <c r="A2653" i="1"/>
  <c r="A2654" i="1"/>
  <c r="A2655" i="1"/>
  <c r="A2656" i="1"/>
  <c r="A2657" i="1"/>
  <c r="A2658" i="1"/>
  <c r="A2659" i="1"/>
  <c r="A2660" i="1"/>
  <c r="A2661" i="1"/>
  <c r="A2662" i="1"/>
  <c r="A2663" i="1"/>
  <c r="A2664" i="1"/>
  <c r="A2665" i="1"/>
  <c r="A2666" i="1"/>
  <c r="A2667" i="1"/>
  <c r="A2668" i="1"/>
  <c r="A2669" i="1"/>
  <c r="A2670" i="1"/>
  <c r="A2671" i="1"/>
  <c r="A2672" i="1"/>
  <c r="A2673" i="1"/>
  <c r="A2674" i="1"/>
  <c r="A2675" i="1"/>
  <c r="A2676" i="1"/>
  <c r="A2677" i="1"/>
  <c r="A2678" i="1"/>
  <c r="A2679" i="1"/>
  <c r="A2680" i="1"/>
  <c r="A2681" i="1"/>
  <c r="A2682" i="1"/>
  <c r="A2683" i="1"/>
  <c r="A2684" i="1"/>
  <c r="A2685" i="1"/>
  <c r="A2686" i="1"/>
  <c r="A2687" i="1"/>
  <c r="A2688" i="1"/>
  <c r="A2689" i="1"/>
  <c r="A2690" i="1"/>
  <c r="A2691" i="1"/>
  <c r="A2692" i="1"/>
  <c r="A2693" i="1"/>
  <c r="A2694" i="1"/>
  <c r="A2695" i="1"/>
  <c r="A2696" i="1"/>
  <c r="A2697" i="1"/>
  <c r="A2698" i="1"/>
  <c r="A2699" i="1"/>
  <c r="A2700" i="1"/>
  <c r="A2701" i="1"/>
  <c r="A2702" i="1"/>
  <c r="A2703" i="1"/>
  <c r="A2704" i="1"/>
  <c r="A2705" i="1"/>
  <c r="A2706" i="1"/>
  <c r="A2707" i="1"/>
  <c r="A2708" i="1"/>
  <c r="A2709" i="1"/>
  <c r="A2710" i="1"/>
  <c r="A2711" i="1"/>
  <c r="A2712" i="1"/>
  <c r="A2713" i="1"/>
  <c r="A2714" i="1"/>
  <c r="A2715" i="1"/>
  <c r="A2716" i="1"/>
  <c r="A2717" i="1"/>
  <c r="A2718" i="1"/>
  <c r="A2719" i="1"/>
  <c r="A2720" i="1"/>
  <c r="A2721" i="1"/>
  <c r="A2722" i="1"/>
  <c r="A2723" i="1"/>
  <c r="A2724" i="1"/>
  <c r="A2725" i="1"/>
  <c r="A2726" i="1"/>
  <c r="A2727" i="1"/>
  <c r="A2728" i="1"/>
  <c r="A2729" i="1"/>
  <c r="A2730" i="1"/>
  <c r="A2731" i="1"/>
  <c r="A2732" i="1"/>
  <c r="A2733" i="1"/>
  <c r="A2734" i="1"/>
  <c r="A2735" i="1"/>
  <c r="A2736" i="1"/>
  <c r="A2737" i="1"/>
  <c r="A2738" i="1"/>
  <c r="A2739" i="1"/>
  <c r="A2740" i="1"/>
  <c r="A2741" i="1"/>
  <c r="A2742" i="1"/>
  <c r="A2743" i="1"/>
  <c r="A2744" i="1"/>
  <c r="A2745" i="1"/>
  <c r="A2746" i="1"/>
  <c r="A2747" i="1"/>
  <c r="A2748" i="1"/>
  <c r="A2749" i="1"/>
  <c r="L2750" i="1"/>
  <c r="P2748" i="1"/>
  <c r="O2748" i="1"/>
  <c r="N2748" i="1"/>
  <c r="M2748" i="1"/>
  <c r="L2748" i="1"/>
  <c r="Q2750" i="1"/>
  <c r="Q2748" i="1"/>
  <c r="Q2749" i="1"/>
  <c r="L2749" i="1"/>
  <c r="P2747" i="1"/>
  <c r="O2747" i="1"/>
  <c r="N2747" i="1"/>
  <c r="M2747" i="1"/>
  <c r="P2746" i="1"/>
  <c r="O2746" i="1"/>
  <c r="N2746" i="1"/>
  <c r="M2746" i="1"/>
  <c r="P2745" i="1"/>
  <c r="O2745" i="1"/>
  <c r="N2745" i="1"/>
  <c r="M2745" i="1"/>
  <c r="P2744" i="1"/>
  <c r="O2744" i="1"/>
  <c r="N2744" i="1"/>
  <c r="M2744" i="1"/>
  <c r="AP87" i="9"/>
  <c r="E2743" i="1"/>
  <c r="I1" i="14"/>
  <c r="O2743" i="1"/>
  <c r="N2743" i="1"/>
  <c r="M2743" i="1"/>
  <c r="P2743" i="1"/>
  <c r="P2742" i="1"/>
  <c r="O2742" i="1"/>
  <c r="N2742" i="1"/>
  <c r="M2742" i="1"/>
  <c r="M64" i="14"/>
  <c r="G64" i="14"/>
  <c r="M1" i="14" a="1"/>
  <c r="M1" i="14"/>
  <c r="I64" i="14"/>
  <c r="F64" i="14"/>
  <c r="P2741" i="1"/>
  <c r="O2741" i="1"/>
  <c r="N2741" i="1"/>
  <c r="M2741" i="1"/>
  <c r="P2740" i="1"/>
  <c r="O2740" i="1"/>
  <c r="N2740" i="1"/>
  <c r="M2740" i="1"/>
  <c r="P2739" i="1"/>
  <c r="O2739" i="1"/>
  <c r="N2739" i="1"/>
  <c r="M2739" i="1"/>
  <c r="P2738" i="1"/>
  <c r="O2738" i="1"/>
  <c r="N2738" i="1"/>
  <c r="M2738" i="1"/>
  <c r="AO48" i="9"/>
  <c r="E2737" i="1"/>
  <c r="P2737" i="1"/>
  <c r="O2737" i="1"/>
  <c r="N2737" i="1"/>
  <c r="M2737" i="1"/>
  <c r="P2736" i="1"/>
  <c r="O2736" i="1"/>
  <c r="N2736" i="1"/>
  <c r="M2736" i="1"/>
  <c r="P2735" i="1"/>
  <c r="O2735" i="1"/>
  <c r="N2735" i="1"/>
  <c r="M2735" i="1"/>
  <c r="P2734" i="1"/>
  <c r="O2734" i="1"/>
  <c r="N2734" i="1"/>
  <c r="M2734" i="1"/>
  <c r="E2724" i="1"/>
  <c r="E2723" i="1"/>
  <c r="E2730" i="1"/>
  <c r="P2733" i="1"/>
  <c r="O2733" i="1"/>
  <c r="N2733" i="1"/>
  <c r="M2733" i="1"/>
  <c r="P2732" i="1"/>
  <c r="O2732" i="1"/>
  <c r="N2732" i="1"/>
  <c r="M2732" i="1"/>
  <c r="P2731" i="1"/>
  <c r="O2731" i="1"/>
  <c r="N2731" i="1"/>
  <c r="M2731" i="1"/>
  <c r="P2730" i="1"/>
  <c r="O2730" i="1"/>
  <c r="N2730" i="1"/>
  <c r="M2730" i="1"/>
  <c r="P2729" i="1"/>
  <c r="O2729" i="1"/>
  <c r="N2729" i="1"/>
  <c r="M2729" i="1"/>
  <c r="AP130" i="9"/>
  <c r="P2728" i="1"/>
  <c r="O2728" i="1"/>
  <c r="N2728" i="1"/>
  <c r="M2728" i="1"/>
  <c r="P2727" i="1"/>
  <c r="O2727" i="1"/>
  <c r="N2727" i="1"/>
  <c r="M2727" i="1"/>
  <c r="AP59" i="9"/>
  <c r="AO59" i="9"/>
  <c r="AQ59" i="9"/>
  <c r="P2726" i="1"/>
  <c r="O2726" i="1"/>
  <c r="N2726" i="1"/>
  <c r="M2726" i="1"/>
  <c r="P2725" i="1"/>
  <c r="O2725" i="1"/>
  <c r="N2725" i="1"/>
  <c r="M2725" i="1"/>
  <c r="AN60" i="9"/>
  <c r="AO130" i="9"/>
  <c r="AN130" i="9"/>
  <c r="P2724" i="1"/>
  <c r="O2724" i="1"/>
  <c r="N2724" i="1"/>
  <c r="M2724" i="1"/>
  <c r="O2723" i="1"/>
  <c r="N2723" i="1"/>
  <c r="M2723" i="1"/>
  <c r="P2723" i="1"/>
  <c r="P2722" i="1"/>
  <c r="O2722" i="1"/>
  <c r="N2722" i="1"/>
  <c r="M2722" i="1"/>
  <c r="P2721" i="1"/>
  <c r="O2721" i="1"/>
  <c r="N2721" i="1"/>
  <c r="M2721" i="1"/>
  <c r="P2720" i="1"/>
  <c r="O2720" i="1"/>
  <c r="N2720" i="1"/>
  <c r="M2720" i="1"/>
  <c r="P2719" i="1"/>
  <c r="O2719" i="1"/>
  <c r="N2719" i="1"/>
  <c r="M2719" i="1"/>
  <c r="P2718" i="1"/>
  <c r="O2718" i="1"/>
  <c r="N2718" i="1"/>
  <c r="M2718" i="1"/>
  <c r="P2717" i="1"/>
  <c r="O2717" i="1"/>
  <c r="N2717" i="1"/>
  <c r="M2717" i="1"/>
  <c r="AO57" i="9"/>
  <c r="AN57" i="9"/>
  <c r="P2716" i="1"/>
  <c r="O2716" i="1"/>
  <c r="N2716" i="1"/>
  <c r="M2716" i="1"/>
  <c r="P2715" i="1"/>
  <c r="O2715" i="1"/>
  <c r="N2715" i="1"/>
  <c r="M2715" i="1"/>
  <c r="P2714" i="1"/>
  <c r="O2714" i="1"/>
  <c r="N2714" i="1"/>
  <c r="M2714" i="1"/>
  <c r="P2713" i="1"/>
  <c r="O2713" i="1"/>
  <c r="N2713" i="1"/>
  <c r="M2713" i="1"/>
  <c r="P2712" i="1"/>
  <c r="O2712" i="1"/>
  <c r="N2712" i="1"/>
  <c r="M2712" i="1"/>
  <c r="P2711" i="1"/>
  <c r="O2711" i="1"/>
  <c r="N2711" i="1"/>
  <c r="M2711" i="1"/>
  <c r="P2710" i="1"/>
  <c r="O2710" i="1"/>
  <c r="N2710" i="1"/>
  <c r="M2710" i="1"/>
  <c r="P2709" i="1"/>
  <c r="O2709" i="1"/>
  <c r="N2709" i="1"/>
  <c r="M2709" i="1"/>
  <c r="A36" i="12"/>
  <c r="S2" i="12" s="1"/>
  <c r="R2" i="12" s="1"/>
  <c r="AP33" i="9"/>
  <c r="AQ33" i="9"/>
  <c r="P2708" i="1"/>
  <c r="O2708" i="1"/>
  <c r="N2708" i="1"/>
  <c r="M2708" i="1"/>
  <c r="AO93" i="9"/>
  <c r="P2707" i="1"/>
  <c r="O2707" i="1"/>
  <c r="N2707" i="1"/>
  <c r="M2707" i="1"/>
  <c r="P2706" i="1"/>
  <c r="O2706" i="1"/>
  <c r="N2706" i="1"/>
  <c r="M2706" i="1"/>
  <c r="P2705" i="1"/>
  <c r="O2705" i="1"/>
  <c r="N2705" i="1"/>
  <c r="M2705" i="1"/>
  <c r="P2704" i="1"/>
  <c r="O2704" i="1"/>
  <c r="N2704" i="1"/>
  <c r="M2704" i="1"/>
  <c r="P2703" i="1"/>
  <c r="O2703" i="1"/>
  <c r="N2703" i="1"/>
  <c r="M2703" i="1"/>
  <c r="P2702" i="1"/>
  <c r="O2702" i="1"/>
  <c r="N2702" i="1"/>
  <c r="M2702" i="1"/>
  <c r="P2701" i="1"/>
  <c r="O2701" i="1"/>
  <c r="N2701" i="1"/>
  <c r="M2701" i="1"/>
  <c r="P2700" i="1"/>
  <c r="O2700" i="1"/>
  <c r="N2700" i="1"/>
  <c r="M2700" i="1"/>
  <c r="P2699" i="1"/>
  <c r="O2699" i="1"/>
  <c r="N2699" i="1"/>
  <c r="M2699" i="1"/>
  <c r="M63" i="14"/>
  <c r="G63" i="14"/>
  <c r="F63" i="14"/>
  <c r="P2698" i="1"/>
  <c r="O2698" i="1"/>
  <c r="N2698" i="1"/>
  <c r="M2698" i="1"/>
  <c r="P2697" i="1"/>
  <c r="O2697" i="1"/>
  <c r="N2697" i="1"/>
  <c r="M2697" i="1"/>
  <c r="P2696" i="1"/>
  <c r="O2696" i="1"/>
  <c r="N2696" i="1"/>
  <c r="M2696" i="1"/>
  <c r="A54" i="9"/>
  <c r="P2695" i="1"/>
  <c r="O2695" i="1"/>
  <c r="N2695" i="1"/>
  <c r="M2695" i="1"/>
  <c r="P2694" i="1"/>
  <c r="O2694" i="1"/>
  <c r="N2694" i="1"/>
  <c r="M2694" i="1"/>
  <c r="P2693" i="1"/>
  <c r="O2693" i="1"/>
  <c r="N2693" i="1"/>
  <c r="M2693" i="1"/>
  <c r="O2692" i="1"/>
  <c r="N2692" i="1"/>
  <c r="M2692" i="1"/>
  <c r="P2692" i="1"/>
  <c r="P2691" i="1"/>
  <c r="O2691" i="1"/>
  <c r="N2691" i="1"/>
  <c r="M2691" i="1"/>
  <c r="M62" i="14"/>
  <c r="G62" i="14"/>
  <c r="F62" i="14"/>
  <c r="P2690" i="1"/>
  <c r="O2690" i="1"/>
  <c r="N2690" i="1"/>
  <c r="M2690" i="1"/>
  <c r="O2689" i="1"/>
  <c r="N2689" i="1"/>
  <c r="M2689" i="1"/>
  <c r="P2689" i="1"/>
  <c r="P2688" i="1"/>
  <c r="O2688" i="1"/>
  <c r="N2688" i="1"/>
  <c r="M2688" i="1"/>
  <c r="O2687" i="1"/>
  <c r="N2687" i="1"/>
  <c r="M2687" i="1"/>
  <c r="E2687" i="1"/>
  <c r="P2687" i="1"/>
  <c r="E2686" i="1"/>
  <c r="P2686" i="1"/>
  <c r="O2686" i="1"/>
  <c r="N2686" i="1"/>
  <c r="M2686" i="1"/>
  <c r="P2685" i="1"/>
  <c r="O2685" i="1"/>
  <c r="N2685" i="1"/>
  <c r="M2685" i="1"/>
  <c r="P2684" i="1"/>
  <c r="O2684" i="1"/>
  <c r="N2684" i="1"/>
  <c r="M2684" i="1"/>
  <c r="P2683" i="1"/>
  <c r="O2683" i="1"/>
  <c r="N2683" i="1"/>
  <c r="M2683" i="1"/>
  <c r="O2681" i="1"/>
  <c r="N2681" i="1"/>
  <c r="M2681" i="1"/>
  <c r="P2681" i="1"/>
  <c r="P2682" i="1"/>
  <c r="O2682" i="1"/>
  <c r="N2682" i="1"/>
  <c r="M2682" i="1"/>
  <c r="AP52" i="9"/>
  <c r="P2680" i="1"/>
  <c r="O2680" i="1"/>
  <c r="N2680" i="1"/>
  <c r="M2680" i="1"/>
  <c r="O2679" i="1"/>
  <c r="N2679" i="1"/>
  <c r="M2679" i="1"/>
  <c r="P2679" i="1"/>
  <c r="P2678" i="1"/>
  <c r="O2678" i="1"/>
  <c r="N2678" i="1"/>
  <c r="M2678" i="1"/>
  <c r="P2677" i="1"/>
  <c r="O2677" i="1"/>
  <c r="N2677" i="1"/>
  <c r="M2677" i="1"/>
  <c r="P2676" i="1"/>
  <c r="O2676" i="1"/>
  <c r="N2676" i="1"/>
  <c r="M2676" i="1"/>
  <c r="P2675" i="1"/>
  <c r="O2675" i="1"/>
  <c r="N2675" i="1"/>
  <c r="M2675" i="1"/>
  <c r="P2674" i="1"/>
  <c r="O2674" i="1"/>
  <c r="N2674" i="1"/>
  <c r="M2674" i="1"/>
  <c r="P2673" i="1"/>
  <c r="O2673" i="1"/>
  <c r="N2673" i="1"/>
  <c r="M2673" i="1"/>
  <c r="P2672" i="1"/>
  <c r="O2672" i="1"/>
  <c r="N2672" i="1"/>
  <c r="M2672" i="1"/>
  <c r="M61" i="14"/>
  <c r="G61" i="14"/>
  <c r="F61" i="14"/>
  <c r="P2671" i="1"/>
  <c r="O2671" i="1"/>
  <c r="N2671" i="1"/>
  <c r="M2671" i="1"/>
  <c r="P2670" i="1"/>
  <c r="O2670" i="1"/>
  <c r="N2670" i="1"/>
  <c r="M2670" i="1"/>
  <c r="P2669" i="1"/>
  <c r="O2669" i="1"/>
  <c r="N2669" i="1"/>
  <c r="M2669" i="1"/>
  <c r="BA45" i="5"/>
  <c r="AZ45" i="5"/>
  <c r="AY45" i="5"/>
  <c r="AX45" i="5"/>
  <c r="AW45" i="5"/>
  <c r="AV45" i="5"/>
  <c r="AU45" i="5"/>
  <c r="AT45" i="5"/>
  <c r="AS45" i="5"/>
  <c r="AR45" i="5"/>
  <c r="AQ45" i="5"/>
  <c r="AP45" i="5"/>
  <c r="AO45" i="5"/>
  <c r="AN45" i="5"/>
  <c r="AM45" i="5"/>
  <c r="AL45" i="5"/>
  <c r="AK45" i="5"/>
  <c r="AJ45" i="5"/>
  <c r="AI45" i="5"/>
  <c r="AH45" i="5"/>
  <c r="AG45" i="5"/>
  <c r="AF45" i="5"/>
  <c r="AE45" i="5"/>
  <c r="AD45" i="5"/>
  <c r="AC45" i="5"/>
  <c r="AB45" i="5"/>
  <c r="AA45" i="5"/>
  <c r="Z45" i="5"/>
  <c r="Y45" i="5"/>
  <c r="X45" i="5"/>
  <c r="W45" i="5"/>
  <c r="V45" i="5"/>
  <c r="U45" i="5"/>
  <c r="T45" i="5"/>
  <c r="S45" i="5"/>
  <c r="R45" i="5"/>
  <c r="Q45" i="5"/>
  <c r="P45" i="5"/>
  <c r="O45" i="5"/>
  <c r="N45" i="5"/>
  <c r="M45" i="5"/>
  <c r="L45" i="5"/>
  <c r="K45" i="5"/>
  <c r="J45" i="5"/>
  <c r="I45" i="5"/>
  <c r="H45" i="5"/>
  <c r="G45" i="5"/>
  <c r="F45" i="5"/>
  <c r="E45" i="5"/>
  <c r="BB45" i="5" s="1"/>
  <c r="BA50" i="9"/>
  <c r="B50" i="9"/>
  <c r="B45" i="5"/>
  <c r="A50" i="9"/>
  <c r="C50" i="9"/>
  <c r="P2668" i="1"/>
  <c r="O2668" i="1"/>
  <c r="N2668" i="1"/>
  <c r="M2668" i="1"/>
  <c r="P2667" i="1"/>
  <c r="O2667" i="1"/>
  <c r="N2667" i="1"/>
  <c r="M2667" i="1"/>
  <c r="A50" i="8"/>
  <c r="J50" i="8"/>
  <c r="A45" i="5"/>
  <c r="C50" i="8"/>
  <c r="G50" i="8"/>
  <c r="D50" i="8"/>
  <c r="H50" i="8"/>
  <c r="P2666" i="1"/>
  <c r="O2666" i="1"/>
  <c r="N2666" i="1"/>
  <c r="M2666" i="1"/>
  <c r="P2665" i="1"/>
  <c r="O2665" i="1"/>
  <c r="N2665" i="1"/>
  <c r="M2665" i="1"/>
  <c r="M60" i="14"/>
  <c r="G60" i="14"/>
  <c r="F60" i="14"/>
  <c r="P2664" i="1"/>
  <c r="O2664" i="1"/>
  <c r="N2664" i="1"/>
  <c r="M2664" i="1"/>
  <c r="P2663" i="1"/>
  <c r="O2663" i="1"/>
  <c r="N2663" i="1"/>
  <c r="M2663" i="1"/>
  <c r="P2662" i="1"/>
  <c r="O2662" i="1"/>
  <c r="N2662" i="1"/>
  <c r="M2662" i="1"/>
  <c r="P2661" i="1"/>
  <c r="O2661" i="1"/>
  <c r="N2661" i="1"/>
  <c r="M2661" i="1"/>
  <c r="P2660" i="1"/>
  <c r="O2660" i="1"/>
  <c r="N2660" i="1"/>
  <c r="M2660" i="1"/>
  <c r="P2659" i="1"/>
  <c r="O2659" i="1"/>
  <c r="N2659" i="1"/>
  <c r="M2659" i="1"/>
  <c r="P2658" i="1"/>
  <c r="O2658" i="1"/>
  <c r="N2658" i="1"/>
  <c r="M2658" i="1"/>
  <c r="P2657" i="1"/>
  <c r="O2657" i="1"/>
  <c r="N2657" i="1"/>
  <c r="M2657" i="1"/>
  <c r="P2656" i="1"/>
  <c r="O2656" i="1"/>
  <c r="N2656" i="1"/>
  <c r="M2656" i="1"/>
  <c r="P2655" i="1"/>
  <c r="O2655" i="1"/>
  <c r="N2655" i="1"/>
  <c r="M2655" i="1"/>
  <c r="P2654" i="1"/>
  <c r="O2654" i="1"/>
  <c r="N2654" i="1"/>
  <c r="M2654" i="1"/>
  <c r="P2653" i="1"/>
  <c r="O2653" i="1"/>
  <c r="N2653" i="1"/>
  <c r="M2653" i="1"/>
  <c r="AN65" i="9"/>
  <c r="E2627" i="1"/>
  <c r="P2627" i="1" s="1"/>
  <c r="P2652" i="1"/>
  <c r="O2652" i="1"/>
  <c r="N2652" i="1"/>
  <c r="M2652" i="1"/>
  <c r="P2651" i="1"/>
  <c r="O2651" i="1"/>
  <c r="N2651" i="1"/>
  <c r="M2651" i="1"/>
  <c r="P2650" i="1"/>
  <c r="O2650" i="1"/>
  <c r="N2650" i="1"/>
  <c r="M2650" i="1"/>
  <c r="P2649" i="1"/>
  <c r="O2649" i="1"/>
  <c r="N2649" i="1"/>
  <c r="M2649" i="1"/>
  <c r="P2648" i="1"/>
  <c r="O2648" i="1"/>
  <c r="N2648" i="1"/>
  <c r="M2648" i="1"/>
  <c r="P2647" i="1"/>
  <c r="O2647" i="1"/>
  <c r="N2647" i="1"/>
  <c r="M2647" i="1"/>
  <c r="P2646" i="1"/>
  <c r="O2646" i="1"/>
  <c r="N2646" i="1"/>
  <c r="M2646" i="1"/>
  <c r="P2645" i="1"/>
  <c r="O2645" i="1"/>
  <c r="N2645" i="1"/>
  <c r="M2645" i="1"/>
  <c r="AO62" i="9"/>
  <c r="P2644" i="1"/>
  <c r="O2644" i="1"/>
  <c r="N2644" i="1"/>
  <c r="M2644" i="1"/>
  <c r="P2643" i="1"/>
  <c r="O2643" i="1"/>
  <c r="N2643" i="1"/>
  <c r="M2643" i="1"/>
  <c r="P2642" i="1"/>
  <c r="O2642" i="1"/>
  <c r="N2642" i="1"/>
  <c r="M2642" i="1"/>
  <c r="P2641" i="1"/>
  <c r="O2641" i="1"/>
  <c r="N2641" i="1"/>
  <c r="M2641" i="1"/>
  <c r="P2640" i="1"/>
  <c r="O2640" i="1"/>
  <c r="N2640" i="1"/>
  <c r="M2640" i="1"/>
  <c r="P2639" i="1"/>
  <c r="O2639" i="1"/>
  <c r="N2639" i="1"/>
  <c r="M2639" i="1"/>
  <c r="P2638" i="1"/>
  <c r="O2638" i="1"/>
  <c r="N2638" i="1"/>
  <c r="M2638" i="1"/>
  <c r="P2637" i="1"/>
  <c r="O2637" i="1"/>
  <c r="N2637" i="1"/>
  <c r="M2637" i="1"/>
  <c r="P2636" i="1"/>
  <c r="O2636" i="1"/>
  <c r="N2636" i="1"/>
  <c r="M2636" i="1"/>
  <c r="H36" i="14"/>
  <c r="L36" i="14"/>
  <c r="H35" i="14"/>
  <c r="H34" i="14"/>
  <c r="L34" i="14" s="1"/>
  <c r="H33" i="14"/>
  <c r="H32" i="14"/>
  <c r="L32" i="14"/>
  <c r="H31" i="14"/>
  <c r="H30" i="14"/>
  <c r="L30" i="14" s="1"/>
  <c r="H29" i="14"/>
  <c r="H28" i="14"/>
  <c r="L28" i="14"/>
  <c r="H27" i="14"/>
  <c r="H26" i="14"/>
  <c r="H25" i="14"/>
  <c r="H4" i="14"/>
  <c r="M59" i="14"/>
  <c r="G59" i="14"/>
  <c r="H59" i="14" s="1"/>
  <c r="F59" i="14"/>
  <c r="P2635" i="1"/>
  <c r="O2635" i="1"/>
  <c r="N2635" i="1"/>
  <c r="M2635" i="1"/>
  <c r="P2634" i="1"/>
  <c r="O2634" i="1"/>
  <c r="N2634" i="1"/>
  <c r="M2634" i="1"/>
  <c r="P2633" i="1"/>
  <c r="O2633" i="1"/>
  <c r="N2633" i="1"/>
  <c r="M2633" i="1"/>
  <c r="P2632" i="1"/>
  <c r="O2632" i="1"/>
  <c r="N2632" i="1"/>
  <c r="M2632" i="1"/>
  <c r="E2556" i="1"/>
  <c r="E2533" i="1"/>
  <c r="P2533" i="1" s="1"/>
  <c r="E2511" i="1"/>
  <c r="AV6" i="4"/>
  <c r="AV5" i="4"/>
  <c r="AV4" i="4"/>
  <c r="AQ9" i="4"/>
  <c r="AQ8" i="4"/>
  <c r="AQ7" i="4"/>
  <c r="AQ6" i="4"/>
  <c r="AQ5" i="4"/>
  <c r="AQ4" i="4"/>
  <c r="AL12" i="4"/>
  <c r="AL11" i="4"/>
  <c r="AL10" i="4"/>
  <c r="AL9" i="4"/>
  <c r="AL8" i="4"/>
  <c r="AL7" i="4"/>
  <c r="AL6" i="4"/>
  <c r="AL5" i="4"/>
  <c r="AL4" i="4"/>
  <c r="AG17" i="4"/>
  <c r="AG16" i="4"/>
  <c r="AG15" i="4"/>
  <c r="AG14" i="4"/>
  <c r="AG13" i="4"/>
  <c r="AG12" i="4"/>
  <c r="AG11" i="4"/>
  <c r="AG10" i="4"/>
  <c r="AG9" i="4"/>
  <c r="AG8" i="4"/>
  <c r="AG7" i="4"/>
  <c r="AG6" i="4"/>
  <c r="AG5" i="4"/>
  <c r="AG4" i="4"/>
  <c r="AB20" i="4"/>
  <c r="AB19" i="4"/>
  <c r="AB18" i="4"/>
  <c r="AB17" i="4"/>
  <c r="AB16" i="4"/>
  <c r="AB15" i="4"/>
  <c r="AB14" i="4"/>
  <c r="AB13" i="4"/>
  <c r="AB12" i="4"/>
  <c r="AB11" i="4"/>
  <c r="AB10" i="4"/>
  <c r="AB9" i="4"/>
  <c r="AB8" i="4"/>
  <c r="AB7" i="4"/>
  <c r="AB6" i="4"/>
  <c r="AB5" i="4"/>
  <c r="AB4" i="4"/>
  <c r="W7" i="4"/>
  <c r="W6" i="4"/>
  <c r="W5" i="4"/>
  <c r="W4" i="4"/>
  <c r="R7" i="4"/>
  <c r="R6" i="4"/>
  <c r="R5" i="4"/>
  <c r="R4" i="4"/>
  <c r="M30" i="4"/>
  <c r="M29" i="4"/>
  <c r="M28" i="4"/>
  <c r="M27" i="4"/>
  <c r="M26" i="4"/>
  <c r="M25" i="4"/>
  <c r="M24" i="4"/>
  <c r="M23" i="4"/>
  <c r="M22" i="4"/>
  <c r="M21" i="4"/>
  <c r="M20" i="4"/>
  <c r="M19" i="4"/>
  <c r="M18" i="4"/>
  <c r="M17" i="4"/>
  <c r="M16" i="4"/>
  <c r="M15" i="4"/>
  <c r="M14" i="4"/>
  <c r="M13" i="4"/>
  <c r="M12" i="4"/>
  <c r="M11" i="4"/>
  <c r="M10" i="4"/>
  <c r="M9" i="4"/>
  <c r="M8" i="4"/>
  <c r="M7" i="4"/>
  <c r="M6" i="4"/>
  <c r="M5" i="4"/>
  <c r="M4" i="4"/>
  <c r="H30" i="4"/>
  <c r="H29" i="4"/>
  <c r="H28" i="4"/>
  <c r="H27" i="4"/>
  <c r="H26" i="4"/>
  <c r="H25" i="4"/>
  <c r="H24" i="4"/>
  <c r="H23" i="4"/>
  <c r="H22" i="4"/>
  <c r="H21" i="4"/>
  <c r="H20" i="4"/>
  <c r="H19" i="4"/>
  <c r="H18" i="4"/>
  <c r="H17" i="4"/>
  <c r="H16" i="4"/>
  <c r="H15" i="4"/>
  <c r="H14" i="4"/>
  <c r="H13" i="4"/>
  <c r="H12" i="4"/>
  <c r="H11" i="4"/>
  <c r="H10" i="4"/>
  <c r="H9" i="4"/>
  <c r="H8" i="4"/>
  <c r="H7" i="4"/>
  <c r="H6" i="4"/>
  <c r="H5" i="4"/>
  <c r="H4" i="4"/>
  <c r="I4" i="4"/>
  <c r="AB134" i="9"/>
  <c r="Z131" i="9"/>
  <c r="Y131" i="9"/>
  <c r="AB125" i="9"/>
  <c r="AB123" i="9"/>
  <c r="AB119" i="9"/>
  <c r="Z119" i="9"/>
  <c r="Y119" i="9"/>
  <c r="AB102" i="9"/>
  <c r="Y102" i="9"/>
  <c r="Y93" i="9"/>
  <c r="Z90" i="9"/>
  <c r="Y86" i="9"/>
  <c r="AB84" i="9"/>
  <c r="Y82" i="9"/>
  <c r="Z69" i="9"/>
  <c r="AB60" i="9"/>
  <c r="AB141" i="9" s="1"/>
  <c r="AB144" i="9" s="1"/>
  <c r="AB59" i="9"/>
  <c r="AA59" i="9"/>
  <c r="Y57" i="9"/>
  <c r="Y4" i="9"/>
  <c r="Y142" i="9" s="1"/>
  <c r="Y40" i="9"/>
  <c r="Y54" i="9"/>
  <c r="AB43" i="9"/>
  <c r="AA43" i="9"/>
  <c r="AB41" i="9"/>
  <c r="Z41" i="9"/>
  <c r="AB40" i="9"/>
  <c r="AB39" i="9"/>
  <c r="AB35" i="9"/>
  <c r="AB10" i="9"/>
  <c r="AB2" i="9"/>
  <c r="AA10" i="9"/>
  <c r="Z10" i="9"/>
  <c r="Z141" i="9"/>
  <c r="Z144" i="9" s="1"/>
  <c r="AA2" i="9"/>
  <c r="X134" i="9"/>
  <c r="X133" i="9"/>
  <c r="X132" i="9"/>
  <c r="X131" i="9"/>
  <c r="X130" i="9"/>
  <c r="X125" i="9"/>
  <c r="X124" i="9"/>
  <c r="X123" i="9"/>
  <c r="X119" i="9"/>
  <c r="X117" i="9"/>
  <c r="X115" i="9"/>
  <c r="X114" i="9"/>
  <c r="X109" i="9"/>
  <c r="X105" i="9"/>
  <c r="X104" i="9"/>
  <c r="X102" i="9"/>
  <c r="X101" i="9"/>
  <c r="X94" i="9"/>
  <c r="X93" i="9"/>
  <c r="X92" i="9"/>
  <c r="X84" i="9"/>
  <c r="X78" i="9"/>
  <c r="X77" i="9"/>
  <c r="X76" i="9"/>
  <c r="X74" i="9"/>
  <c r="X69" i="9"/>
  <c r="X64" i="9"/>
  <c r="X61" i="9"/>
  <c r="X59" i="9"/>
  <c r="X58" i="9"/>
  <c r="X57" i="9"/>
  <c r="X56" i="9"/>
  <c r="X54" i="9"/>
  <c r="X53" i="9"/>
  <c r="X52" i="9"/>
  <c r="X47" i="9"/>
  <c r="X45" i="9"/>
  <c r="X39" i="9"/>
  <c r="X38" i="9"/>
  <c r="X33" i="9"/>
  <c r="X20" i="9"/>
  <c r="X16" i="9"/>
  <c r="X13" i="9"/>
  <c r="X10" i="9"/>
  <c r="X8" i="9"/>
  <c r="X7" i="9"/>
  <c r="X6" i="9"/>
  <c r="X4" i="9"/>
  <c r="X142" i="9" s="1"/>
  <c r="X2" i="9"/>
  <c r="X141" i="9"/>
  <c r="X144" i="9" s="1"/>
  <c r="V137" i="9"/>
  <c r="U137" i="9"/>
  <c r="T137" i="9"/>
  <c r="S137" i="9"/>
  <c r="R137" i="9"/>
  <c r="Q137" i="9"/>
  <c r="N137" i="9"/>
  <c r="M137" i="9"/>
  <c r="L137" i="9"/>
  <c r="K137" i="9"/>
  <c r="J137" i="9"/>
  <c r="I137" i="9"/>
  <c r="H137" i="9"/>
  <c r="G137" i="9"/>
  <c r="F137" i="9"/>
  <c r="E137" i="9"/>
  <c r="BA137" i="9"/>
  <c r="A137" i="9"/>
  <c r="E47" i="1"/>
  <c r="E93" i="1"/>
  <c r="E150" i="1"/>
  <c r="E2" i="1"/>
  <c r="E3" i="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E312" i="1"/>
  <c r="E313" i="1"/>
  <c r="E314" i="1"/>
  <c r="E315" i="1"/>
  <c r="E316" i="1"/>
  <c r="E317" i="1"/>
  <c r="E318" i="1"/>
  <c r="E319" i="1"/>
  <c r="E320" i="1"/>
  <c r="E321" i="1"/>
  <c r="E322" i="1"/>
  <c r="E323"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67" i="1"/>
  <c r="E368" i="1"/>
  <c r="E369" i="1"/>
  <c r="E370" i="1"/>
  <c r="E371" i="1"/>
  <c r="E372" i="1"/>
  <c r="E373" i="1"/>
  <c r="E374" i="1"/>
  <c r="E375" i="1"/>
  <c r="E376" i="1"/>
  <c r="E377" i="1"/>
  <c r="E378" i="1"/>
  <c r="E379" i="1"/>
  <c r="E380" i="1"/>
  <c r="E381" i="1"/>
  <c r="E382" i="1"/>
  <c r="E383" i="1"/>
  <c r="E384" i="1"/>
  <c r="E385" i="1"/>
  <c r="E386" i="1"/>
  <c r="E387" i="1"/>
  <c r="E388" i="1"/>
  <c r="E389" i="1"/>
  <c r="E390" i="1"/>
  <c r="E391" i="1"/>
  <c r="E392" i="1"/>
  <c r="E393" i="1"/>
  <c r="E394" i="1"/>
  <c r="E395" i="1"/>
  <c r="E396" i="1"/>
  <c r="E397" i="1"/>
  <c r="E398" i="1"/>
  <c r="E399" i="1"/>
  <c r="E400" i="1"/>
  <c r="E401" i="1"/>
  <c r="E402" i="1"/>
  <c r="E403" i="1"/>
  <c r="E404" i="1"/>
  <c r="E406" i="1"/>
  <c r="E407" i="1"/>
  <c r="E408" i="1"/>
  <c r="E409" i="1"/>
  <c r="E410" i="1"/>
  <c r="E411" i="1"/>
  <c r="E412" i="1"/>
  <c r="E413" i="1"/>
  <c r="E414" i="1"/>
  <c r="E415" i="1"/>
  <c r="E416" i="1"/>
  <c r="E417" i="1"/>
  <c r="E418" i="1"/>
  <c r="E419" i="1"/>
  <c r="E420" i="1"/>
  <c r="E421" i="1"/>
  <c r="E422" i="1"/>
  <c r="E423" i="1"/>
  <c r="E424" i="1"/>
  <c r="E425" i="1"/>
  <c r="E426" i="1"/>
  <c r="E427" i="1"/>
  <c r="E428" i="1"/>
  <c r="E429" i="1"/>
  <c r="E430" i="1"/>
  <c r="E431" i="1"/>
  <c r="E432" i="1"/>
  <c r="E433" i="1"/>
  <c r="E434" i="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E470" i="1"/>
  <c r="E471" i="1"/>
  <c r="E472" i="1"/>
  <c r="E473" i="1"/>
  <c r="E474" i="1"/>
  <c r="E475" i="1"/>
  <c r="E476" i="1"/>
  <c r="E477" i="1"/>
  <c r="E478" i="1"/>
  <c r="E479" i="1"/>
  <c r="E480" i="1"/>
  <c r="E481" i="1"/>
  <c r="E482" i="1"/>
  <c r="E483" i="1"/>
  <c r="E484" i="1"/>
  <c r="E485" i="1"/>
  <c r="E486" i="1"/>
  <c r="E487" i="1"/>
  <c r="E488" i="1"/>
  <c r="E489" i="1"/>
  <c r="E490" i="1"/>
  <c r="E491" i="1"/>
  <c r="E492" i="1"/>
  <c r="E493" i="1"/>
  <c r="E494" i="1"/>
  <c r="E495" i="1"/>
  <c r="E496" i="1"/>
  <c r="E497" i="1"/>
  <c r="E498" i="1"/>
  <c r="E499" i="1"/>
  <c r="E500" i="1"/>
  <c r="E501" i="1"/>
  <c r="E502" i="1"/>
  <c r="E503" i="1"/>
  <c r="E504" i="1"/>
  <c r="E505" i="1"/>
  <c r="E506" i="1"/>
  <c r="E507" i="1"/>
  <c r="E508" i="1"/>
  <c r="E509" i="1"/>
  <c r="E510" i="1"/>
  <c r="E511" i="1"/>
  <c r="E512" i="1"/>
  <c r="E513" i="1"/>
  <c r="E514" i="1"/>
  <c r="E515" i="1"/>
  <c r="E516" i="1"/>
  <c r="E517" i="1"/>
  <c r="E518" i="1"/>
  <c r="E519" i="1"/>
  <c r="E520" i="1"/>
  <c r="E521" i="1"/>
  <c r="E522" i="1"/>
  <c r="E523" i="1"/>
  <c r="E524" i="1"/>
  <c r="E525" i="1"/>
  <c r="E526" i="1"/>
  <c r="E527" i="1"/>
  <c r="E528" i="1"/>
  <c r="E529" i="1"/>
  <c r="E530" i="1"/>
  <c r="E531" i="1"/>
  <c r="E532" i="1"/>
  <c r="E533" i="1"/>
  <c r="E534" i="1"/>
  <c r="E535" i="1"/>
  <c r="E536" i="1"/>
  <c r="E537" i="1"/>
  <c r="E538" i="1"/>
  <c r="E539" i="1"/>
  <c r="E540" i="1"/>
  <c r="E541" i="1"/>
  <c r="E542" i="1"/>
  <c r="E543" i="1"/>
  <c r="E544" i="1"/>
  <c r="E545" i="1"/>
  <c r="E546" i="1"/>
  <c r="E547" i="1"/>
  <c r="E548" i="1"/>
  <c r="E549" i="1"/>
  <c r="E550" i="1"/>
  <c r="E551" i="1"/>
  <c r="E552" i="1"/>
  <c r="E553" i="1"/>
  <c r="E554" i="1"/>
  <c r="E555" i="1"/>
  <c r="E556" i="1"/>
  <c r="E557" i="1"/>
  <c r="E558" i="1"/>
  <c r="E559" i="1"/>
  <c r="E560" i="1"/>
  <c r="E561" i="1"/>
  <c r="E562" i="1"/>
  <c r="E563" i="1"/>
  <c r="E564" i="1"/>
  <c r="E565" i="1"/>
  <c r="E566" i="1"/>
  <c r="E567" i="1"/>
  <c r="E568" i="1"/>
  <c r="E569" i="1"/>
  <c r="E570" i="1"/>
  <c r="E571" i="1"/>
  <c r="E572" i="1"/>
  <c r="E573" i="1"/>
  <c r="E574" i="1"/>
  <c r="E575" i="1"/>
  <c r="E576" i="1"/>
  <c r="E577" i="1"/>
  <c r="E578" i="1"/>
  <c r="E579" i="1"/>
  <c r="E580" i="1"/>
  <c r="E581" i="1"/>
  <c r="E582" i="1"/>
  <c r="E583" i="1"/>
  <c r="E584" i="1"/>
  <c r="E585" i="1"/>
  <c r="E586" i="1"/>
  <c r="E587" i="1"/>
  <c r="E588" i="1"/>
  <c r="E589" i="1"/>
  <c r="E590" i="1"/>
  <c r="E591" i="1"/>
  <c r="E592" i="1"/>
  <c r="E593" i="1"/>
  <c r="E594" i="1"/>
  <c r="E595" i="1"/>
  <c r="E596" i="1"/>
  <c r="E597" i="1"/>
  <c r="E598" i="1"/>
  <c r="E599" i="1"/>
  <c r="E600" i="1"/>
  <c r="E601" i="1"/>
  <c r="E602" i="1"/>
  <c r="E603" i="1"/>
  <c r="E604" i="1"/>
  <c r="E605" i="1"/>
  <c r="E606" i="1"/>
  <c r="E607" i="1"/>
  <c r="E608" i="1"/>
  <c r="E609" i="1"/>
  <c r="E610" i="1"/>
  <c r="E611" i="1"/>
  <c r="E612" i="1"/>
  <c r="E613" i="1"/>
  <c r="E614" i="1"/>
  <c r="E615" i="1"/>
  <c r="E616" i="1"/>
  <c r="E617" i="1"/>
  <c r="E618" i="1"/>
  <c r="E619" i="1"/>
  <c r="E620" i="1"/>
  <c r="E621" i="1"/>
  <c r="E622" i="1"/>
  <c r="E623" i="1"/>
  <c r="E624" i="1"/>
  <c r="E625" i="1"/>
  <c r="E626" i="1"/>
  <c r="E627" i="1"/>
  <c r="E628" i="1"/>
  <c r="E629" i="1"/>
  <c r="E630" i="1"/>
  <c r="E631" i="1"/>
  <c r="E632" i="1"/>
  <c r="E633" i="1"/>
  <c r="E634" i="1"/>
  <c r="E635" i="1"/>
  <c r="E636" i="1"/>
  <c r="E637" i="1"/>
  <c r="E638" i="1"/>
  <c r="E639" i="1"/>
  <c r="E640" i="1"/>
  <c r="E641" i="1"/>
  <c r="E642" i="1"/>
  <c r="E643" i="1"/>
  <c r="E644" i="1"/>
  <c r="E645" i="1"/>
  <c r="E646" i="1"/>
  <c r="E647" i="1"/>
  <c r="E648" i="1"/>
  <c r="E649" i="1"/>
  <c r="E650" i="1"/>
  <c r="E651" i="1"/>
  <c r="E652" i="1"/>
  <c r="E653" i="1"/>
  <c r="E654" i="1"/>
  <c r="E655" i="1"/>
  <c r="E656" i="1"/>
  <c r="E657" i="1"/>
  <c r="E658" i="1"/>
  <c r="E659" i="1"/>
  <c r="E660" i="1"/>
  <c r="E661" i="1"/>
  <c r="E662" i="1"/>
  <c r="E663" i="1"/>
  <c r="E664" i="1"/>
  <c r="E665" i="1"/>
  <c r="E666" i="1"/>
  <c r="E667" i="1"/>
  <c r="E668" i="1"/>
  <c r="E669" i="1"/>
  <c r="E670" i="1"/>
  <c r="E671" i="1"/>
  <c r="E672" i="1"/>
  <c r="E673" i="1"/>
  <c r="E674" i="1"/>
  <c r="E675" i="1"/>
  <c r="E676" i="1"/>
  <c r="E677" i="1"/>
  <c r="E678" i="1"/>
  <c r="E679" i="1"/>
  <c r="E680" i="1"/>
  <c r="E681" i="1"/>
  <c r="E682" i="1"/>
  <c r="E683" i="1"/>
  <c r="E684" i="1"/>
  <c r="E685" i="1"/>
  <c r="E686" i="1"/>
  <c r="E687" i="1"/>
  <c r="E688" i="1"/>
  <c r="E689" i="1"/>
  <c r="E690" i="1"/>
  <c r="E691" i="1"/>
  <c r="E692" i="1"/>
  <c r="E693" i="1"/>
  <c r="E694" i="1"/>
  <c r="E695" i="1"/>
  <c r="E696" i="1"/>
  <c r="E697" i="1"/>
  <c r="E698" i="1"/>
  <c r="E699" i="1"/>
  <c r="E700" i="1"/>
  <c r="E701" i="1"/>
  <c r="E702" i="1"/>
  <c r="E703" i="1"/>
  <c r="E704" i="1"/>
  <c r="E705" i="1"/>
  <c r="E706" i="1"/>
  <c r="E707" i="1"/>
  <c r="E708" i="1"/>
  <c r="E709" i="1"/>
  <c r="E710" i="1"/>
  <c r="E711" i="1"/>
  <c r="E712" i="1"/>
  <c r="E713" i="1"/>
  <c r="E714" i="1"/>
  <c r="E715" i="1"/>
  <c r="E716" i="1"/>
  <c r="E717" i="1"/>
  <c r="E718" i="1"/>
  <c r="E719" i="1"/>
  <c r="E720" i="1"/>
  <c r="E721" i="1"/>
  <c r="E722" i="1"/>
  <c r="E723" i="1"/>
  <c r="E724" i="1"/>
  <c r="E725" i="1"/>
  <c r="E726" i="1"/>
  <c r="E727" i="1"/>
  <c r="E728" i="1"/>
  <c r="E729" i="1"/>
  <c r="E730" i="1"/>
  <c r="E731" i="1"/>
  <c r="E732" i="1"/>
  <c r="E733" i="1"/>
  <c r="E734" i="1"/>
  <c r="E735" i="1"/>
  <c r="E736" i="1"/>
  <c r="E737" i="1"/>
  <c r="E738" i="1"/>
  <c r="E739" i="1"/>
  <c r="E740" i="1"/>
  <c r="E741" i="1"/>
  <c r="E742" i="1"/>
  <c r="E743" i="1"/>
  <c r="E744" i="1"/>
  <c r="E745" i="1"/>
  <c r="E746" i="1"/>
  <c r="E747" i="1"/>
  <c r="E748" i="1"/>
  <c r="E749" i="1"/>
  <c r="E750" i="1"/>
  <c r="E751" i="1"/>
  <c r="E752" i="1"/>
  <c r="E753" i="1"/>
  <c r="E754" i="1"/>
  <c r="E755" i="1"/>
  <c r="E756" i="1"/>
  <c r="E757" i="1"/>
  <c r="E758" i="1"/>
  <c r="E759" i="1"/>
  <c r="E760" i="1"/>
  <c r="E761" i="1"/>
  <c r="E762" i="1"/>
  <c r="E763" i="1"/>
  <c r="E764" i="1"/>
  <c r="E765" i="1"/>
  <c r="E766" i="1"/>
  <c r="E767" i="1"/>
  <c r="E768" i="1"/>
  <c r="E769" i="1"/>
  <c r="E770" i="1"/>
  <c r="E771" i="1"/>
  <c r="E772" i="1"/>
  <c r="E773" i="1"/>
  <c r="E774" i="1"/>
  <c r="E775" i="1"/>
  <c r="E776" i="1"/>
  <c r="E777" i="1"/>
  <c r="E778" i="1"/>
  <c r="E779" i="1"/>
  <c r="E780" i="1"/>
  <c r="E781" i="1"/>
  <c r="E782" i="1"/>
  <c r="E783" i="1"/>
  <c r="E784" i="1"/>
  <c r="E785" i="1"/>
  <c r="E786" i="1"/>
  <c r="E787" i="1"/>
  <c r="E788" i="1"/>
  <c r="E789" i="1"/>
  <c r="E790" i="1"/>
  <c r="E791" i="1"/>
  <c r="E792" i="1"/>
  <c r="E793" i="1"/>
  <c r="E794" i="1"/>
  <c r="E795" i="1"/>
  <c r="E796" i="1"/>
  <c r="E797" i="1"/>
  <c r="E798" i="1"/>
  <c r="E799" i="1"/>
  <c r="E800" i="1"/>
  <c r="E801" i="1"/>
  <c r="E802" i="1"/>
  <c r="E803" i="1"/>
  <c r="E804" i="1"/>
  <c r="E805" i="1"/>
  <c r="E806" i="1"/>
  <c r="E807" i="1"/>
  <c r="E808" i="1"/>
  <c r="E809" i="1"/>
  <c r="E810" i="1"/>
  <c r="E811" i="1"/>
  <c r="E812" i="1"/>
  <c r="E813" i="1"/>
  <c r="E814" i="1"/>
  <c r="E815" i="1"/>
  <c r="E816" i="1"/>
  <c r="E817" i="1"/>
  <c r="E818" i="1"/>
  <c r="E819" i="1"/>
  <c r="E820" i="1"/>
  <c r="E821" i="1"/>
  <c r="E822" i="1"/>
  <c r="E823" i="1"/>
  <c r="E824" i="1"/>
  <c r="E825" i="1"/>
  <c r="E826" i="1"/>
  <c r="E827" i="1"/>
  <c r="E828" i="1"/>
  <c r="E829" i="1"/>
  <c r="E830" i="1"/>
  <c r="E831" i="1"/>
  <c r="E832" i="1"/>
  <c r="E833" i="1"/>
  <c r="E834" i="1"/>
  <c r="E835" i="1"/>
  <c r="E836" i="1"/>
  <c r="E837" i="1"/>
  <c r="E838" i="1"/>
  <c r="E839" i="1"/>
  <c r="E840" i="1"/>
  <c r="E841" i="1"/>
  <c r="E842" i="1"/>
  <c r="E843" i="1"/>
  <c r="E844" i="1"/>
  <c r="E845" i="1"/>
  <c r="E846" i="1"/>
  <c r="E847" i="1"/>
  <c r="E848" i="1"/>
  <c r="E849" i="1"/>
  <c r="E850" i="1"/>
  <c r="E851" i="1"/>
  <c r="E852" i="1"/>
  <c r="E853" i="1"/>
  <c r="E854" i="1"/>
  <c r="E855" i="1"/>
  <c r="E856" i="1"/>
  <c r="E857" i="1"/>
  <c r="E858" i="1"/>
  <c r="E859" i="1"/>
  <c r="E860" i="1"/>
  <c r="E861" i="1"/>
  <c r="E862" i="1"/>
  <c r="E863" i="1"/>
  <c r="E864" i="1"/>
  <c r="E865" i="1"/>
  <c r="E866" i="1"/>
  <c r="E867" i="1"/>
  <c r="E868" i="1"/>
  <c r="E869" i="1"/>
  <c r="E870" i="1"/>
  <c r="E871" i="1"/>
  <c r="E872" i="1"/>
  <c r="E873" i="1"/>
  <c r="E874" i="1"/>
  <c r="E875" i="1"/>
  <c r="E876" i="1"/>
  <c r="E877" i="1"/>
  <c r="E878" i="1"/>
  <c r="E879" i="1"/>
  <c r="E880" i="1"/>
  <c r="E881" i="1"/>
  <c r="E882" i="1"/>
  <c r="E883" i="1"/>
  <c r="E884" i="1"/>
  <c r="E885" i="1"/>
  <c r="E886" i="1"/>
  <c r="E887" i="1"/>
  <c r="E888" i="1"/>
  <c r="E889" i="1"/>
  <c r="E890" i="1"/>
  <c r="E891" i="1"/>
  <c r="E892" i="1"/>
  <c r="E893" i="1"/>
  <c r="E894" i="1"/>
  <c r="E895" i="1"/>
  <c r="E896" i="1"/>
  <c r="E897" i="1"/>
  <c r="E898" i="1"/>
  <c r="E899" i="1"/>
  <c r="E900" i="1"/>
  <c r="E901" i="1"/>
  <c r="E902" i="1"/>
  <c r="E903" i="1"/>
  <c r="E904" i="1"/>
  <c r="E905" i="1"/>
  <c r="E906" i="1"/>
  <c r="E907" i="1"/>
  <c r="E908" i="1"/>
  <c r="E909" i="1"/>
  <c r="E910" i="1"/>
  <c r="E911" i="1"/>
  <c r="E912" i="1"/>
  <c r="E913" i="1"/>
  <c r="E914" i="1"/>
  <c r="E915" i="1"/>
  <c r="E916" i="1"/>
  <c r="E917" i="1"/>
  <c r="E918" i="1"/>
  <c r="E919" i="1"/>
  <c r="E920" i="1"/>
  <c r="E921" i="1"/>
  <c r="E922" i="1"/>
  <c r="E923" i="1"/>
  <c r="E924" i="1"/>
  <c r="E925" i="1"/>
  <c r="E926" i="1"/>
  <c r="E927" i="1"/>
  <c r="E928" i="1"/>
  <c r="E929" i="1"/>
  <c r="E930" i="1"/>
  <c r="E931" i="1"/>
  <c r="E932" i="1"/>
  <c r="E933" i="1"/>
  <c r="E934" i="1"/>
  <c r="E935" i="1"/>
  <c r="E936" i="1"/>
  <c r="E937" i="1"/>
  <c r="E938" i="1"/>
  <c r="E939" i="1"/>
  <c r="E940" i="1"/>
  <c r="E941" i="1"/>
  <c r="E942" i="1"/>
  <c r="E943" i="1"/>
  <c r="E944" i="1"/>
  <c r="E945" i="1"/>
  <c r="E946" i="1"/>
  <c r="E947" i="1"/>
  <c r="E948" i="1"/>
  <c r="E949" i="1"/>
  <c r="E950" i="1"/>
  <c r="E951" i="1"/>
  <c r="E952" i="1"/>
  <c r="E953" i="1"/>
  <c r="E954" i="1"/>
  <c r="E955" i="1"/>
  <c r="E956" i="1"/>
  <c r="E957" i="1"/>
  <c r="E958" i="1"/>
  <c r="E959" i="1"/>
  <c r="E960" i="1"/>
  <c r="E961" i="1"/>
  <c r="E962" i="1"/>
  <c r="E963" i="1"/>
  <c r="E964" i="1"/>
  <c r="E965" i="1"/>
  <c r="E966" i="1"/>
  <c r="E967" i="1"/>
  <c r="E968" i="1"/>
  <c r="E969" i="1"/>
  <c r="E970" i="1"/>
  <c r="E971" i="1"/>
  <c r="E972" i="1"/>
  <c r="E973" i="1"/>
  <c r="E974" i="1"/>
  <c r="E975" i="1"/>
  <c r="E976" i="1"/>
  <c r="E977" i="1"/>
  <c r="E978" i="1"/>
  <c r="E979" i="1"/>
  <c r="E980" i="1"/>
  <c r="E981" i="1"/>
  <c r="E982" i="1"/>
  <c r="E983" i="1"/>
  <c r="E984" i="1"/>
  <c r="E985" i="1"/>
  <c r="E986" i="1"/>
  <c r="E987" i="1"/>
  <c r="E988" i="1"/>
  <c r="E989" i="1"/>
  <c r="E990" i="1"/>
  <c r="E991" i="1"/>
  <c r="E992" i="1"/>
  <c r="E993" i="1"/>
  <c r="E994" i="1"/>
  <c r="E995" i="1"/>
  <c r="E996" i="1"/>
  <c r="E997" i="1"/>
  <c r="E998" i="1"/>
  <c r="E999" i="1"/>
  <c r="E1000" i="1"/>
  <c r="E1001" i="1"/>
  <c r="E1002" i="1"/>
  <c r="E1003" i="1"/>
  <c r="E1004" i="1"/>
  <c r="E1005" i="1"/>
  <c r="E1006" i="1"/>
  <c r="E1007" i="1"/>
  <c r="E1008" i="1"/>
  <c r="E1009" i="1"/>
  <c r="E1010" i="1"/>
  <c r="E1011" i="1"/>
  <c r="E1012" i="1"/>
  <c r="E1013" i="1"/>
  <c r="E1014" i="1"/>
  <c r="E1015" i="1"/>
  <c r="E1016" i="1"/>
  <c r="E1017" i="1"/>
  <c r="E1018" i="1"/>
  <c r="E1019" i="1"/>
  <c r="E1020" i="1"/>
  <c r="E1021" i="1"/>
  <c r="E1022" i="1"/>
  <c r="E1023" i="1"/>
  <c r="E1024" i="1"/>
  <c r="E1025" i="1"/>
  <c r="E1026" i="1"/>
  <c r="E1027" i="1"/>
  <c r="E1028" i="1"/>
  <c r="E1029" i="1"/>
  <c r="E1030" i="1"/>
  <c r="E1031" i="1"/>
  <c r="E1032" i="1"/>
  <c r="E1033" i="1"/>
  <c r="E1034" i="1"/>
  <c r="E1035" i="1"/>
  <c r="E1036" i="1"/>
  <c r="E1037" i="1"/>
  <c r="E1038" i="1"/>
  <c r="E1039" i="1"/>
  <c r="E1040" i="1"/>
  <c r="E1041" i="1"/>
  <c r="E1042" i="1"/>
  <c r="E1043" i="1"/>
  <c r="E1044" i="1"/>
  <c r="E1045" i="1"/>
  <c r="E1046" i="1"/>
  <c r="E1047" i="1"/>
  <c r="E1048" i="1"/>
  <c r="E1049" i="1"/>
  <c r="E1050" i="1"/>
  <c r="E1051" i="1"/>
  <c r="E1052" i="1"/>
  <c r="E1053" i="1"/>
  <c r="E1054" i="1"/>
  <c r="E1055" i="1"/>
  <c r="E1056" i="1"/>
  <c r="E1057" i="1"/>
  <c r="E1058" i="1"/>
  <c r="E1059" i="1"/>
  <c r="E1060" i="1"/>
  <c r="E1061" i="1"/>
  <c r="E1062" i="1"/>
  <c r="E1063" i="1"/>
  <c r="E1064" i="1"/>
  <c r="E1065" i="1"/>
  <c r="E1066" i="1"/>
  <c r="E1067" i="1"/>
  <c r="E1068" i="1"/>
  <c r="E1069" i="1"/>
  <c r="E1070" i="1"/>
  <c r="E1071" i="1"/>
  <c r="E1072" i="1"/>
  <c r="E1073" i="1"/>
  <c r="E1074" i="1"/>
  <c r="E1075" i="1"/>
  <c r="E1076" i="1"/>
  <c r="E1077" i="1"/>
  <c r="E1078" i="1"/>
  <c r="E1079" i="1"/>
  <c r="E1080" i="1"/>
  <c r="E1081" i="1"/>
  <c r="E1082" i="1"/>
  <c r="E1083" i="1"/>
  <c r="E1084" i="1"/>
  <c r="E1085" i="1"/>
  <c r="E1086" i="1"/>
  <c r="E1087" i="1"/>
  <c r="E1088" i="1"/>
  <c r="E1089" i="1"/>
  <c r="E1090" i="1"/>
  <c r="E1091" i="1"/>
  <c r="E1092" i="1"/>
  <c r="E1093" i="1"/>
  <c r="E1094" i="1"/>
  <c r="E1095" i="1"/>
  <c r="E1096" i="1"/>
  <c r="E1097" i="1"/>
  <c r="E1098" i="1"/>
  <c r="E1099" i="1"/>
  <c r="E1100" i="1"/>
  <c r="E1101" i="1"/>
  <c r="E1102" i="1"/>
  <c r="E1103" i="1"/>
  <c r="E1104" i="1"/>
  <c r="E1105" i="1"/>
  <c r="E1106" i="1"/>
  <c r="E1107" i="1"/>
  <c r="E1108" i="1"/>
  <c r="E1109" i="1"/>
  <c r="E1110" i="1"/>
  <c r="E1111" i="1"/>
  <c r="E1112" i="1"/>
  <c r="E1113" i="1"/>
  <c r="E1114" i="1"/>
  <c r="E1115" i="1"/>
  <c r="E1116" i="1"/>
  <c r="E1117" i="1"/>
  <c r="E1118" i="1"/>
  <c r="E1119" i="1"/>
  <c r="E1120" i="1"/>
  <c r="E1121" i="1"/>
  <c r="E1122" i="1"/>
  <c r="E1123" i="1"/>
  <c r="E1124" i="1"/>
  <c r="E1125" i="1"/>
  <c r="E1126" i="1"/>
  <c r="E1127" i="1"/>
  <c r="E1128" i="1"/>
  <c r="E1129" i="1"/>
  <c r="E1130" i="1"/>
  <c r="E1131" i="1"/>
  <c r="E1132" i="1"/>
  <c r="E1133" i="1"/>
  <c r="E1134" i="1"/>
  <c r="E1135" i="1"/>
  <c r="E1136" i="1"/>
  <c r="E1137" i="1"/>
  <c r="E1138" i="1"/>
  <c r="E1139" i="1"/>
  <c r="E1140" i="1"/>
  <c r="E1141" i="1"/>
  <c r="E1142" i="1"/>
  <c r="E1143" i="1"/>
  <c r="E1144" i="1"/>
  <c r="E1145" i="1"/>
  <c r="E1146" i="1"/>
  <c r="E1147" i="1"/>
  <c r="E1148" i="1"/>
  <c r="E1149" i="1"/>
  <c r="E1150" i="1"/>
  <c r="E1151" i="1"/>
  <c r="E1152" i="1"/>
  <c r="E1153" i="1"/>
  <c r="E1154" i="1"/>
  <c r="E1155" i="1"/>
  <c r="E1156" i="1"/>
  <c r="E1157" i="1"/>
  <c r="E1158" i="1"/>
  <c r="E1159" i="1"/>
  <c r="E1160" i="1"/>
  <c r="E1161" i="1"/>
  <c r="E1162" i="1"/>
  <c r="E1163" i="1"/>
  <c r="E1164" i="1"/>
  <c r="E1165" i="1"/>
  <c r="E1166" i="1"/>
  <c r="E1167" i="1"/>
  <c r="E1168" i="1"/>
  <c r="E1169" i="1"/>
  <c r="E1170" i="1"/>
  <c r="E1171" i="1"/>
  <c r="E1172" i="1"/>
  <c r="E1173" i="1"/>
  <c r="E1174" i="1"/>
  <c r="E1175" i="1"/>
  <c r="E1176" i="1"/>
  <c r="E1177" i="1"/>
  <c r="E1178" i="1"/>
  <c r="E1179" i="1"/>
  <c r="E1180" i="1"/>
  <c r="E1181" i="1"/>
  <c r="E1182" i="1"/>
  <c r="E1183" i="1"/>
  <c r="E1184" i="1"/>
  <c r="E1185" i="1"/>
  <c r="E1186" i="1"/>
  <c r="E1187" i="1"/>
  <c r="E1188" i="1"/>
  <c r="E1189" i="1"/>
  <c r="E1190" i="1"/>
  <c r="E1191" i="1"/>
  <c r="E1192" i="1"/>
  <c r="E1193" i="1"/>
  <c r="E1194" i="1"/>
  <c r="E1195" i="1"/>
  <c r="E1196" i="1"/>
  <c r="E1197" i="1"/>
  <c r="E1198" i="1"/>
  <c r="E1199" i="1"/>
  <c r="E1200" i="1"/>
  <c r="E1201" i="1"/>
  <c r="E1202" i="1"/>
  <c r="E1203" i="1"/>
  <c r="E1204" i="1"/>
  <c r="E1205" i="1"/>
  <c r="E1206" i="1"/>
  <c r="E1207" i="1"/>
  <c r="E1208" i="1"/>
  <c r="E1209" i="1"/>
  <c r="E1210" i="1"/>
  <c r="E1211" i="1"/>
  <c r="E1212" i="1"/>
  <c r="E1213" i="1"/>
  <c r="E1214" i="1"/>
  <c r="E1215" i="1"/>
  <c r="E1216" i="1"/>
  <c r="E1217" i="1"/>
  <c r="E1218" i="1"/>
  <c r="E1219" i="1"/>
  <c r="E1220" i="1"/>
  <c r="E1221" i="1"/>
  <c r="E1222" i="1"/>
  <c r="E1223" i="1"/>
  <c r="E1224" i="1"/>
  <c r="E1225" i="1"/>
  <c r="E1226" i="1"/>
  <c r="E1227" i="1"/>
  <c r="E1228" i="1"/>
  <c r="E1229" i="1"/>
  <c r="E1230" i="1"/>
  <c r="E1231" i="1"/>
  <c r="E1232" i="1"/>
  <c r="E1233" i="1"/>
  <c r="E1234" i="1"/>
  <c r="E1235" i="1"/>
  <c r="E1236" i="1"/>
  <c r="E1237" i="1"/>
  <c r="E1238" i="1"/>
  <c r="E1239" i="1"/>
  <c r="E1240" i="1"/>
  <c r="E1241" i="1"/>
  <c r="E1242" i="1"/>
  <c r="E1243" i="1"/>
  <c r="E1244" i="1"/>
  <c r="E1245" i="1"/>
  <c r="E1246" i="1"/>
  <c r="E1247" i="1"/>
  <c r="E1248" i="1"/>
  <c r="E1249" i="1"/>
  <c r="E1250" i="1"/>
  <c r="E1251" i="1"/>
  <c r="E1252" i="1"/>
  <c r="E1253" i="1"/>
  <c r="E1254" i="1"/>
  <c r="E1255" i="1"/>
  <c r="E1256" i="1"/>
  <c r="E1257" i="1"/>
  <c r="E1258" i="1"/>
  <c r="E1259" i="1"/>
  <c r="E1260" i="1"/>
  <c r="E1261" i="1"/>
  <c r="E1262" i="1"/>
  <c r="E1263" i="1"/>
  <c r="E1264" i="1"/>
  <c r="E1265" i="1"/>
  <c r="E1266" i="1"/>
  <c r="E1267" i="1"/>
  <c r="E1268" i="1"/>
  <c r="E1269" i="1"/>
  <c r="E1270" i="1"/>
  <c r="E1271" i="1"/>
  <c r="E1272" i="1"/>
  <c r="E1273" i="1"/>
  <c r="E1274" i="1"/>
  <c r="E1275" i="1"/>
  <c r="E1276" i="1"/>
  <c r="E1277" i="1"/>
  <c r="E1278" i="1"/>
  <c r="E1279" i="1"/>
  <c r="E1280" i="1"/>
  <c r="E1281" i="1"/>
  <c r="E1282" i="1"/>
  <c r="E1283" i="1"/>
  <c r="E1284" i="1"/>
  <c r="E1285" i="1"/>
  <c r="E1286" i="1"/>
  <c r="E1287" i="1"/>
  <c r="E1288" i="1"/>
  <c r="E1289" i="1"/>
  <c r="E1290" i="1"/>
  <c r="E1291" i="1"/>
  <c r="E1292" i="1"/>
  <c r="E1293" i="1"/>
  <c r="E1294" i="1"/>
  <c r="E1295" i="1"/>
  <c r="E1296" i="1"/>
  <c r="E1297" i="1"/>
  <c r="E1298" i="1"/>
  <c r="E1299" i="1"/>
  <c r="E1300" i="1"/>
  <c r="E1301" i="1"/>
  <c r="E1302" i="1"/>
  <c r="E1303" i="1"/>
  <c r="E1304" i="1"/>
  <c r="E1305" i="1"/>
  <c r="E1306" i="1"/>
  <c r="E1307" i="1"/>
  <c r="E1308" i="1"/>
  <c r="E1309" i="1"/>
  <c r="E1310" i="1"/>
  <c r="E1311" i="1"/>
  <c r="E1312" i="1"/>
  <c r="E1313" i="1"/>
  <c r="E1314" i="1"/>
  <c r="E1315" i="1"/>
  <c r="E1316" i="1"/>
  <c r="E1317" i="1"/>
  <c r="E1318" i="1"/>
  <c r="E1319" i="1"/>
  <c r="E1320" i="1"/>
  <c r="E1321" i="1"/>
  <c r="E1322" i="1"/>
  <c r="E1323" i="1"/>
  <c r="E1324" i="1"/>
  <c r="E1325" i="1"/>
  <c r="E1326" i="1"/>
  <c r="E1327" i="1"/>
  <c r="E1328" i="1"/>
  <c r="E1329" i="1"/>
  <c r="E1330" i="1"/>
  <c r="E1331" i="1"/>
  <c r="E1332" i="1"/>
  <c r="E1333" i="1"/>
  <c r="E1334" i="1"/>
  <c r="E1335" i="1"/>
  <c r="E1336" i="1"/>
  <c r="E1337" i="1"/>
  <c r="E1338" i="1"/>
  <c r="E1339" i="1"/>
  <c r="E1340" i="1"/>
  <c r="E1341" i="1"/>
  <c r="E1342" i="1"/>
  <c r="E1343" i="1"/>
  <c r="E1344" i="1"/>
  <c r="E1345" i="1"/>
  <c r="E1346" i="1"/>
  <c r="E1347" i="1"/>
  <c r="E1348" i="1"/>
  <c r="E1349" i="1"/>
  <c r="E1350" i="1"/>
  <c r="E1351" i="1"/>
  <c r="E1352" i="1"/>
  <c r="E1353" i="1"/>
  <c r="E1354" i="1"/>
  <c r="E1355" i="1"/>
  <c r="E1356" i="1"/>
  <c r="E1357" i="1"/>
  <c r="E1358" i="1"/>
  <c r="E1359" i="1"/>
  <c r="E1360" i="1"/>
  <c r="E1361" i="1"/>
  <c r="E1362" i="1"/>
  <c r="E1363" i="1"/>
  <c r="E1364" i="1"/>
  <c r="E1365" i="1"/>
  <c r="E1366" i="1"/>
  <c r="E1367" i="1"/>
  <c r="E1368" i="1"/>
  <c r="E1369" i="1"/>
  <c r="E1370" i="1"/>
  <c r="E1371" i="1"/>
  <c r="E1372" i="1"/>
  <c r="E1373" i="1"/>
  <c r="E1374" i="1"/>
  <c r="E1375" i="1"/>
  <c r="E1376" i="1"/>
  <c r="E1377" i="1"/>
  <c r="E1378" i="1"/>
  <c r="E1379" i="1"/>
  <c r="E1380" i="1"/>
  <c r="E1416" i="1"/>
  <c r="E1428" i="1"/>
  <c r="E1429" i="1"/>
  <c r="E1430" i="1"/>
  <c r="E1439" i="1"/>
  <c r="E1479" i="1"/>
  <c r="E1480" i="1"/>
  <c r="E1481" i="1"/>
  <c r="E1520" i="1"/>
  <c r="E1538" i="1"/>
  <c r="E1557" i="1"/>
  <c r="E1568" i="1"/>
  <c r="E1579" i="1"/>
  <c r="E1582" i="1"/>
  <c r="E1592" i="1"/>
  <c r="E1611" i="1"/>
  <c r="E1667" i="1"/>
  <c r="E1672" i="1"/>
  <c r="E1677" i="1"/>
  <c r="E1701" i="1"/>
  <c r="E1727" i="1"/>
  <c r="E1732" i="1"/>
  <c r="E1870" i="1"/>
  <c r="E1880" i="1"/>
  <c r="E1884" i="1"/>
  <c r="E1947" i="1"/>
  <c r="E1968" i="1"/>
  <c r="E2001" i="1"/>
  <c r="E2006" i="1"/>
  <c r="E2036" i="1"/>
  <c r="E2062" i="1"/>
  <c r="E2067" i="1"/>
  <c r="E2070" i="1"/>
  <c r="E2075" i="1"/>
  <c r="E2096" i="1"/>
  <c r="E2141" i="1"/>
  <c r="E2156" i="1"/>
  <c r="E2188" i="1"/>
  <c r="E2207" i="1"/>
  <c r="E2392" i="1"/>
  <c r="E2400" i="1"/>
  <c r="E2524" i="1"/>
  <c r="E2558" i="1"/>
  <c r="E2585" i="1"/>
  <c r="E2586" i="1"/>
  <c r="C137" i="9"/>
  <c r="O136" i="9"/>
  <c r="W134" i="9"/>
  <c r="V134" i="9"/>
  <c r="U134" i="9"/>
  <c r="T134" i="9"/>
  <c r="S134" i="9"/>
  <c r="R134" i="9"/>
  <c r="Q134" i="9"/>
  <c r="P134" i="9"/>
  <c r="O134" i="9"/>
  <c r="N134" i="9"/>
  <c r="M134" i="9"/>
  <c r="L134" i="9"/>
  <c r="K134" i="9"/>
  <c r="J134" i="9"/>
  <c r="I134" i="9"/>
  <c r="H134" i="9"/>
  <c r="G134" i="9"/>
  <c r="F134" i="9"/>
  <c r="E134" i="9"/>
  <c r="W133" i="9"/>
  <c r="V133" i="9"/>
  <c r="U133" i="9"/>
  <c r="T133" i="9"/>
  <c r="S133" i="9"/>
  <c r="R133" i="9"/>
  <c r="Q133" i="9"/>
  <c r="P133" i="9"/>
  <c r="O133" i="9"/>
  <c r="N133" i="9"/>
  <c r="M133" i="9"/>
  <c r="L133" i="9"/>
  <c r="K133" i="9"/>
  <c r="J133" i="9"/>
  <c r="I133" i="9"/>
  <c r="H133" i="9"/>
  <c r="G133" i="9"/>
  <c r="F133" i="9"/>
  <c r="E133" i="9"/>
  <c r="W132" i="9"/>
  <c r="V132" i="9"/>
  <c r="U132" i="9"/>
  <c r="T132" i="9"/>
  <c r="S132" i="9"/>
  <c r="R132" i="9"/>
  <c r="Q132" i="9"/>
  <c r="P132" i="9"/>
  <c r="O132" i="9"/>
  <c r="N132" i="9"/>
  <c r="M132" i="9"/>
  <c r="L132" i="9"/>
  <c r="K132" i="9"/>
  <c r="J132" i="9"/>
  <c r="I132" i="9"/>
  <c r="H132" i="9"/>
  <c r="G132" i="9"/>
  <c r="F132" i="9"/>
  <c r="E132" i="9"/>
  <c r="W131" i="9"/>
  <c r="V131" i="9"/>
  <c r="U131" i="9"/>
  <c r="T131" i="9"/>
  <c r="S131" i="9"/>
  <c r="R131" i="9"/>
  <c r="Q131" i="9"/>
  <c r="P131" i="9"/>
  <c r="O131" i="9"/>
  <c r="N131" i="9"/>
  <c r="M131" i="9"/>
  <c r="L131" i="9"/>
  <c r="K131" i="9"/>
  <c r="J131" i="9"/>
  <c r="I131" i="9"/>
  <c r="F131" i="9"/>
  <c r="E131" i="9"/>
  <c r="W130" i="9"/>
  <c r="V130" i="9"/>
  <c r="U130" i="9"/>
  <c r="T130" i="9"/>
  <c r="S130" i="9"/>
  <c r="R130" i="9"/>
  <c r="Q130" i="9"/>
  <c r="P130" i="9"/>
  <c r="O130" i="9"/>
  <c r="N130" i="9"/>
  <c r="M130" i="9"/>
  <c r="L130" i="9"/>
  <c r="K130" i="9"/>
  <c r="J130" i="9"/>
  <c r="I129" i="9"/>
  <c r="H129" i="9"/>
  <c r="G129" i="9"/>
  <c r="F129" i="9"/>
  <c r="E129" i="9"/>
  <c r="BA129" i="9" s="1"/>
  <c r="W128" i="9"/>
  <c r="V128" i="9"/>
  <c r="V127" i="9"/>
  <c r="U127" i="9"/>
  <c r="T127" i="9"/>
  <c r="W125" i="9"/>
  <c r="V125" i="9"/>
  <c r="U125" i="9"/>
  <c r="T125" i="9"/>
  <c r="S125" i="9"/>
  <c r="R125" i="9"/>
  <c r="Q125" i="9"/>
  <c r="P125" i="9"/>
  <c r="O125" i="9"/>
  <c r="N125" i="9"/>
  <c r="M125" i="9"/>
  <c r="L125" i="9"/>
  <c r="K125" i="9"/>
  <c r="J125" i="9"/>
  <c r="I125" i="9"/>
  <c r="H125" i="9"/>
  <c r="G125" i="9"/>
  <c r="F125" i="9"/>
  <c r="E125" i="9"/>
  <c r="W124" i="9"/>
  <c r="V124" i="9"/>
  <c r="U124" i="9"/>
  <c r="T124" i="9"/>
  <c r="S124" i="9"/>
  <c r="R124" i="9"/>
  <c r="Q124" i="9"/>
  <c r="P124" i="9"/>
  <c r="O124" i="9"/>
  <c r="N124" i="9"/>
  <c r="M124" i="9"/>
  <c r="L124" i="9"/>
  <c r="K124" i="9"/>
  <c r="J124" i="9"/>
  <c r="I124" i="9"/>
  <c r="H124" i="9"/>
  <c r="G124" i="9"/>
  <c r="F124" i="9"/>
  <c r="E124" i="9"/>
  <c r="AL124" i="9"/>
  <c r="AM124" i="9"/>
  <c r="A124" i="9"/>
  <c r="W123" i="9"/>
  <c r="V123" i="9"/>
  <c r="U123" i="9"/>
  <c r="T123" i="9"/>
  <c r="S123" i="9"/>
  <c r="R123" i="9"/>
  <c r="Q123" i="9"/>
  <c r="P123" i="9"/>
  <c r="O123" i="9"/>
  <c r="N123" i="9"/>
  <c r="M123" i="9"/>
  <c r="L123" i="9"/>
  <c r="K123" i="9"/>
  <c r="J123" i="9"/>
  <c r="I123" i="9"/>
  <c r="H123" i="9"/>
  <c r="G123" i="9"/>
  <c r="F123" i="9"/>
  <c r="E123" i="9"/>
  <c r="W121" i="9"/>
  <c r="V121" i="9"/>
  <c r="U121" i="9"/>
  <c r="T121" i="9"/>
  <c r="S121" i="9"/>
  <c r="R121" i="9"/>
  <c r="Q121" i="9"/>
  <c r="P121" i="9"/>
  <c r="O121" i="9"/>
  <c r="N121" i="9"/>
  <c r="M121" i="9"/>
  <c r="L121" i="9"/>
  <c r="K121" i="9"/>
  <c r="J121" i="9"/>
  <c r="I121" i="9"/>
  <c r="H121" i="9"/>
  <c r="G121" i="9"/>
  <c r="F121" i="9"/>
  <c r="E121" i="9"/>
  <c r="F120" i="9"/>
  <c r="E120" i="9"/>
  <c r="W119" i="9"/>
  <c r="V119" i="9"/>
  <c r="U119" i="9"/>
  <c r="T119" i="9"/>
  <c r="S119" i="9"/>
  <c r="R119" i="9"/>
  <c r="Q119" i="9"/>
  <c r="P119" i="9"/>
  <c r="O119" i="9"/>
  <c r="N119" i="9"/>
  <c r="M119" i="9"/>
  <c r="L119" i="9"/>
  <c r="K119" i="9"/>
  <c r="J119" i="9"/>
  <c r="W117" i="9"/>
  <c r="V117" i="9"/>
  <c r="U117" i="9"/>
  <c r="T117" i="9"/>
  <c r="S117" i="9"/>
  <c r="R117" i="9"/>
  <c r="Q117" i="9"/>
  <c r="P117" i="9"/>
  <c r="O117" i="9"/>
  <c r="N117" i="9"/>
  <c r="M117" i="9"/>
  <c r="L117" i="9"/>
  <c r="K117" i="9"/>
  <c r="J117" i="9"/>
  <c r="I117" i="9"/>
  <c r="H117" i="9"/>
  <c r="G117" i="9"/>
  <c r="F117" i="9"/>
  <c r="E117" i="9"/>
  <c r="W116" i="9"/>
  <c r="V116" i="9"/>
  <c r="U116" i="9"/>
  <c r="T116" i="9"/>
  <c r="S116" i="9"/>
  <c r="R116" i="9"/>
  <c r="Q116" i="9"/>
  <c r="P116" i="9"/>
  <c r="O116" i="9"/>
  <c r="W115" i="9"/>
  <c r="V115" i="9"/>
  <c r="U115" i="9"/>
  <c r="T115" i="9"/>
  <c r="S115" i="9"/>
  <c r="R115" i="9"/>
  <c r="Q115" i="9"/>
  <c r="P115" i="9"/>
  <c r="O115" i="9"/>
  <c r="N115" i="9"/>
  <c r="M115" i="9"/>
  <c r="L115" i="9"/>
  <c r="K115" i="9"/>
  <c r="J115" i="9"/>
  <c r="I115" i="9"/>
  <c r="H115" i="9"/>
  <c r="G115" i="9"/>
  <c r="F115" i="9"/>
  <c r="E115" i="9"/>
  <c r="BA115" i="9" s="1"/>
  <c r="W114" i="9"/>
  <c r="V114" i="9"/>
  <c r="U114" i="9"/>
  <c r="T114" i="9"/>
  <c r="S114" i="9"/>
  <c r="R114" i="9"/>
  <c r="Q114" i="9"/>
  <c r="P114" i="9"/>
  <c r="O114" i="9"/>
  <c r="N114" i="9"/>
  <c r="M114" i="9"/>
  <c r="L114" i="9"/>
  <c r="K114" i="9"/>
  <c r="J114" i="9"/>
  <c r="H114" i="9"/>
  <c r="G114" i="9"/>
  <c r="F114" i="9"/>
  <c r="E114" i="9"/>
  <c r="W113" i="9"/>
  <c r="M113" i="9"/>
  <c r="L113" i="9"/>
  <c r="H113" i="9"/>
  <c r="W111" i="9"/>
  <c r="V111" i="9"/>
  <c r="U111" i="9"/>
  <c r="T111" i="9"/>
  <c r="S111" i="9"/>
  <c r="R111" i="9"/>
  <c r="Q111" i="9"/>
  <c r="P111" i="9"/>
  <c r="O111" i="9"/>
  <c r="N111" i="9"/>
  <c r="M111" i="9"/>
  <c r="L111" i="9"/>
  <c r="K111" i="9"/>
  <c r="J111" i="9"/>
  <c r="I111" i="9"/>
  <c r="H111" i="9"/>
  <c r="W109" i="9"/>
  <c r="V109" i="9"/>
  <c r="U109" i="9"/>
  <c r="T109" i="9"/>
  <c r="S109" i="9"/>
  <c r="R109" i="9"/>
  <c r="Q109" i="9"/>
  <c r="P109" i="9"/>
  <c r="O109" i="9"/>
  <c r="N109" i="9"/>
  <c r="M109" i="9"/>
  <c r="L109" i="9"/>
  <c r="K109" i="9"/>
  <c r="W108" i="9"/>
  <c r="V108" i="9"/>
  <c r="U108" i="9"/>
  <c r="T108" i="9"/>
  <c r="S108" i="9"/>
  <c r="R108" i="9"/>
  <c r="Q108" i="9"/>
  <c r="P108" i="9"/>
  <c r="O108" i="9"/>
  <c r="N108" i="9"/>
  <c r="M108" i="9"/>
  <c r="L108" i="9"/>
  <c r="K108" i="9"/>
  <c r="J108" i="9"/>
  <c r="I108" i="9"/>
  <c r="H108" i="9"/>
  <c r="G108" i="9"/>
  <c r="F108" i="9"/>
  <c r="E108" i="9"/>
  <c r="AC108" i="9"/>
  <c r="A108" i="9"/>
  <c r="W106" i="9"/>
  <c r="V106" i="9"/>
  <c r="U106" i="9"/>
  <c r="T106" i="9"/>
  <c r="S106" i="9"/>
  <c r="R106" i="9"/>
  <c r="F106" i="9"/>
  <c r="E106" i="9"/>
  <c r="W105" i="9"/>
  <c r="V105" i="9"/>
  <c r="U105" i="9"/>
  <c r="T105" i="9"/>
  <c r="S105" i="9"/>
  <c r="R105" i="9"/>
  <c r="Q105" i="9"/>
  <c r="P105" i="9"/>
  <c r="O105" i="9"/>
  <c r="N105" i="9"/>
  <c r="M105" i="9"/>
  <c r="L105" i="9"/>
  <c r="K105" i="9"/>
  <c r="J105" i="9"/>
  <c r="I105" i="9"/>
  <c r="H105" i="9"/>
  <c r="G105" i="9"/>
  <c r="F105" i="9"/>
  <c r="E105" i="9"/>
  <c r="W104" i="9"/>
  <c r="V104" i="9"/>
  <c r="U104" i="9"/>
  <c r="T103" i="9"/>
  <c r="S103" i="9"/>
  <c r="R103" i="9"/>
  <c r="Q103" i="9"/>
  <c r="P103" i="9"/>
  <c r="O103" i="9"/>
  <c r="N103" i="9"/>
  <c r="M103" i="9"/>
  <c r="L103" i="9"/>
  <c r="K103" i="9"/>
  <c r="J103" i="9"/>
  <c r="I103" i="9"/>
  <c r="H103" i="9"/>
  <c r="G103" i="9"/>
  <c r="F103" i="9"/>
  <c r="E103" i="9"/>
  <c r="W102" i="9"/>
  <c r="V102" i="9"/>
  <c r="U102" i="9"/>
  <c r="T102" i="9"/>
  <c r="S102" i="9"/>
  <c r="R102" i="9"/>
  <c r="Q102" i="9"/>
  <c r="P102" i="9"/>
  <c r="O102" i="9"/>
  <c r="N102" i="9"/>
  <c r="M102" i="9"/>
  <c r="L102" i="9"/>
  <c r="K102" i="9"/>
  <c r="J102" i="9"/>
  <c r="I102" i="9"/>
  <c r="H102" i="9"/>
  <c r="G102" i="9"/>
  <c r="F102" i="9"/>
  <c r="E102" i="9"/>
  <c r="W101" i="9"/>
  <c r="V101" i="9"/>
  <c r="U101" i="9"/>
  <c r="T101" i="9"/>
  <c r="S101" i="9"/>
  <c r="R101" i="9"/>
  <c r="Q101" i="9"/>
  <c r="P101" i="9"/>
  <c r="O101" i="9"/>
  <c r="N101" i="9"/>
  <c r="M101" i="9"/>
  <c r="L101" i="9"/>
  <c r="K101" i="9"/>
  <c r="J101" i="9"/>
  <c r="I101" i="9"/>
  <c r="H101" i="9"/>
  <c r="G101" i="9"/>
  <c r="F101" i="9"/>
  <c r="E101" i="9"/>
  <c r="BA101" i="9"/>
  <c r="A101" i="9"/>
  <c r="C101" i="9"/>
  <c r="U100" i="9"/>
  <c r="T100" i="9"/>
  <c r="S100" i="9"/>
  <c r="R100" i="9"/>
  <c r="Q100" i="9"/>
  <c r="L100" i="9"/>
  <c r="K100" i="9"/>
  <c r="J100" i="9"/>
  <c r="I100" i="9"/>
  <c r="H100" i="9"/>
  <c r="G100" i="9"/>
  <c r="F100" i="9"/>
  <c r="E100" i="9"/>
  <c r="E99" i="9"/>
  <c r="BA99" i="9" s="1"/>
  <c r="W97" i="9"/>
  <c r="V97" i="9"/>
  <c r="U97" i="9"/>
  <c r="T97" i="9"/>
  <c r="S97" i="9"/>
  <c r="R97" i="9"/>
  <c r="Q97" i="9"/>
  <c r="P97" i="9"/>
  <c r="O97" i="9"/>
  <c r="N97" i="9"/>
  <c r="M97" i="9"/>
  <c r="L97" i="9"/>
  <c r="K97" i="9"/>
  <c r="J97" i="9"/>
  <c r="I97" i="9"/>
  <c r="H97" i="9"/>
  <c r="G97" i="9"/>
  <c r="F97" i="9"/>
  <c r="E97" i="9"/>
  <c r="K95" i="9"/>
  <c r="J95" i="9"/>
  <c r="I95" i="9"/>
  <c r="F95" i="9"/>
  <c r="E95" i="9"/>
  <c r="W94" i="9"/>
  <c r="V94" i="9"/>
  <c r="U94" i="9"/>
  <c r="T94" i="9"/>
  <c r="S94" i="9"/>
  <c r="R94" i="9"/>
  <c r="Q94" i="9"/>
  <c r="P94" i="9"/>
  <c r="O94" i="9"/>
  <c r="N94" i="9"/>
  <c r="M94" i="9"/>
  <c r="L94" i="9"/>
  <c r="K94" i="9"/>
  <c r="J94" i="9"/>
  <c r="I94" i="9"/>
  <c r="H94" i="9"/>
  <c r="G94" i="9"/>
  <c r="F94" i="9"/>
  <c r="E94" i="9"/>
  <c r="W93" i="9"/>
  <c r="V93" i="9"/>
  <c r="U93" i="9"/>
  <c r="T93" i="9"/>
  <c r="S93" i="9"/>
  <c r="R93" i="9"/>
  <c r="Q93" i="9"/>
  <c r="P93" i="9"/>
  <c r="O93" i="9"/>
  <c r="N93" i="9"/>
  <c r="M93" i="9"/>
  <c r="L93" i="9"/>
  <c r="K93" i="9"/>
  <c r="J93" i="9"/>
  <c r="I93" i="9"/>
  <c r="F93" i="9"/>
  <c r="W92" i="9"/>
  <c r="V92" i="9"/>
  <c r="U92" i="9"/>
  <c r="T92" i="9"/>
  <c r="S92" i="9"/>
  <c r="R92" i="9"/>
  <c r="Q92" i="9"/>
  <c r="P92" i="9"/>
  <c r="O92" i="9"/>
  <c r="N92" i="9"/>
  <c r="M92" i="9"/>
  <c r="L92" i="9"/>
  <c r="K92" i="9"/>
  <c r="J92" i="9"/>
  <c r="I92" i="9"/>
  <c r="H92" i="9"/>
  <c r="G92" i="9"/>
  <c r="F92" i="9"/>
  <c r="E92" i="9"/>
  <c r="W91" i="9"/>
  <c r="V91" i="9"/>
  <c r="U91" i="9"/>
  <c r="T91" i="9"/>
  <c r="S91" i="9"/>
  <c r="R91" i="9"/>
  <c r="Q91" i="9"/>
  <c r="P91" i="9"/>
  <c r="O91" i="9"/>
  <c r="N91" i="9"/>
  <c r="M91" i="9"/>
  <c r="L91" i="9"/>
  <c r="K91" i="9"/>
  <c r="J91" i="9"/>
  <c r="I91" i="9"/>
  <c r="H91" i="9"/>
  <c r="G91" i="9"/>
  <c r="F91" i="9"/>
  <c r="E91" i="9"/>
  <c r="W90" i="9"/>
  <c r="V90" i="9"/>
  <c r="U90" i="9"/>
  <c r="T90" i="9"/>
  <c r="S90" i="9"/>
  <c r="R90" i="9"/>
  <c r="Q90" i="9"/>
  <c r="L90" i="9"/>
  <c r="K90" i="9"/>
  <c r="J90" i="9"/>
  <c r="I90" i="9"/>
  <c r="H90" i="9"/>
  <c r="G90" i="9"/>
  <c r="F90" i="9"/>
  <c r="E90" i="9"/>
  <c r="W88" i="9"/>
  <c r="V88" i="9"/>
  <c r="U88" i="9"/>
  <c r="T88" i="9"/>
  <c r="S88" i="9"/>
  <c r="R88" i="9"/>
  <c r="Q88" i="9"/>
  <c r="P88" i="9"/>
  <c r="O88" i="9"/>
  <c r="N88" i="9"/>
  <c r="M88" i="9"/>
  <c r="L88" i="9"/>
  <c r="K88" i="9"/>
  <c r="J88" i="9"/>
  <c r="I88" i="9"/>
  <c r="H88" i="9"/>
  <c r="G88" i="9"/>
  <c r="F88" i="9"/>
  <c r="E88" i="9"/>
  <c r="AC88" i="9"/>
  <c r="BA88" i="9"/>
  <c r="A88" i="9"/>
  <c r="C88" i="9"/>
  <c r="W87" i="9"/>
  <c r="V87" i="9"/>
  <c r="U87" i="9"/>
  <c r="T87" i="9"/>
  <c r="S87" i="9"/>
  <c r="R87" i="9"/>
  <c r="Q87" i="9"/>
  <c r="P87" i="9"/>
  <c r="O87" i="9"/>
  <c r="N87" i="9"/>
  <c r="M87" i="9"/>
  <c r="L87" i="9"/>
  <c r="K87" i="9"/>
  <c r="J87" i="9"/>
  <c r="I87" i="9"/>
  <c r="H87" i="9"/>
  <c r="G87" i="9"/>
  <c r="F87" i="9"/>
  <c r="E87" i="9"/>
  <c r="W86" i="9"/>
  <c r="V86" i="9"/>
  <c r="U86" i="9"/>
  <c r="T86" i="9"/>
  <c r="S86" i="9"/>
  <c r="R86" i="9"/>
  <c r="Q86" i="9"/>
  <c r="P86" i="9"/>
  <c r="O86" i="9"/>
  <c r="N86" i="9"/>
  <c r="M86" i="9"/>
  <c r="L86" i="9"/>
  <c r="K86" i="9"/>
  <c r="J86" i="9"/>
  <c r="I86" i="9"/>
  <c r="H86" i="9"/>
  <c r="G86" i="9"/>
  <c r="F86" i="9"/>
  <c r="E86" i="9"/>
  <c r="AL86" i="9"/>
  <c r="BA86" i="9"/>
  <c r="A86" i="9"/>
  <c r="C86" i="9"/>
  <c r="W85" i="9"/>
  <c r="V85" i="9"/>
  <c r="U85" i="9"/>
  <c r="T85" i="9"/>
  <c r="S85" i="9"/>
  <c r="R85" i="9"/>
  <c r="Q85" i="9"/>
  <c r="P85" i="9"/>
  <c r="O85" i="9"/>
  <c r="N85" i="9"/>
  <c r="M85" i="9"/>
  <c r="L85" i="9"/>
  <c r="K85" i="9"/>
  <c r="I85" i="9"/>
  <c r="H85" i="9"/>
  <c r="G85" i="9"/>
  <c r="F85" i="9"/>
  <c r="E85" i="9"/>
  <c r="W84" i="9"/>
  <c r="V84" i="9"/>
  <c r="U84" i="9"/>
  <c r="T84" i="9"/>
  <c r="S84" i="9"/>
  <c r="R84" i="9"/>
  <c r="Q84" i="9"/>
  <c r="P84" i="9"/>
  <c r="O84" i="9"/>
  <c r="N84" i="9"/>
  <c r="M84" i="9"/>
  <c r="L84" i="9"/>
  <c r="K84" i="9"/>
  <c r="J84" i="9"/>
  <c r="I84" i="9"/>
  <c r="H84" i="9"/>
  <c r="G84" i="9"/>
  <c r="F84" i="9"/>
  <c r="E84" i="9"/>
  <c r="V82" i="9"/>
  <c r="U82" i="9"/>
  <c r="T82" i="9"/>
  <c r="S82" i="9"/>
  <c r="R82" i="9"/>
  <c r="Q82" i="9"/>
  <c r="P82" i="9"/>
  <c r="O82" i="9"/>
  <c r="N82" i="9"/>
  <c r="M82" i="9"/>
  <c r="L82" i="9"/>
  <c r="K82" i="9"/>
  <c r="J82" i="9"/>
  <c r="I82" i="9"/>
  <c r="H82" i="9"/>
  <c r="G82" i="9"/>
  <c r="F82" i="9"/>
  <c r="E82" i="9"/>
  <c r="W80" i="9"/>
  <c r="V80" i="9"/>
  <c r="U80" i="9"/>
  <c r="T80" i="9"/>
  <c r="S80" i="9"/>
  <c r="R80" i="9"/>
  <c r="Q80" i="9"/>
  <c r="P80" i="9"/>
  <c r="O80" i="9"/>
  <c r="N80" i="9"/>
  <c r="M80" i="9"/>
  <c r="L80" i="9"/>
  <c r="K80" i="9"/>
  <c r="J80" i="9"/>
  <c r="I80" i="9"/>
  <c r="H80" i="9"/>
  <c r="G80" i="9"/>
  <c r="F80" i="9"/>
  <c r="E80" i="9"/>
  <c r="W79" i="9"/>
  <c r="V79" i="9"/>
  <c r="U79" i="9"/>
  <c r="T79" i="9"/>
  <c r="S79" i="9"/>
  <c r="R79" i="9"/>
  <c r="Q79" i="9"/>
  <c r="P79" i="9"/>
  <c r="O79" i="9"/>
  <c r="N79" i="9"/>
  <c r="M79" i="9"/>
  <c r="L79" i="9"/>
  <c r="K79" i="9"/>
  <c r="J79" i="9"/>
  <c r="I79" i="9"/>
  <c r="H79" i="9"/>
  <c r="G79" i="9"/>
  <c r="F79" i="9"/>
  <c r="E79" i="9"/>
  <c r="D79" i="9"/>
  <c r="W78" i="9"/>
  <c r="V78" i="9"/>
  <c r="U78" i="9"/>
  <c r="T78" i="9"/>
  <c r="S78" i="9"/>
  <c r="R78" i="9"/>
  <c r="BA78" i="9" s="1"/>
  <c r="A78" i="9"/>
  <c r="W77" i="9"/>
  <c r="V77" i="9"/>
  <c r="U77" i="9"/>
  <c r="T77" i="9"/>
  <c r="S77" i="9"/>
  <c r="R77" i="9"/>
  <c r="Q77" i="9"/>
  <c r="P77" i="9"/>
  <c r="O77" i="9"/>
  <c r="N77" i="9"/>
  <c r="M77" i="9"/>
  <c r="L77" i="9"/>
  <c r="K77" i="9"/>
  <c r="J77" i="9"/>
  <c r="I77" i="9"/>
  <c r="H77" i="9"/>
  <c r="G77" i="9"/>
  <c r="F77" i="9"/>
  <c r="E77" i="9"/>
  <c r="W76" i="9"/>
  <c r="V76" i="9"/>
  <c r="U76" i="9"/>
  <c r="T76" i="9"/>
  <c r="S76" i="9"/>
  <c r="R76" i="9"/>
  <c r="Q76" i="9"/>
  <c r="P76" i="9"/>
  <c r="O76" i="9"/>
  <c r="N76" i="9"/>
  <c r="W74" i="9"/>
  <c r="V74" i="9"/>
  <c r="U74" i="9"/>
  <c r="T74" i="9"/>
  <c r="S74" i="9"/>
  <c r="R74" i="9"/>
  <c r="Q74" i="9"/>
  <c r="P74" i="9"/>
  <c r="O74" i="9"/>
  <c r="N74" i="9"/>
  <c r="M74" i="9"/>
  <c r="L74" i="9"/>
  <c r="K74" i="9"/>
  <c r="J74" i="9"/>
  <c r="I74" i="9"/>
  <c r="H74" i="9"/>
  <c r="G74" i="9"/>
  <c r="F74" i="9"/>
  <c r="E74" i="9"/>
  <c r="F71" i="9"/>
  <c r="E71" i="9"/>
  <c r="BA71" i="9"/>
  <c r="A71" i="9"/>
  <c r="C71" i="9"/>
  <c r="T70" i="9"/>
  <c r="S70" i="9"/>
  <c r="R70" i="9"/>
  <c r="Q70" i="9"/>
  <c r="P70" i="9"/>
  <c r="O70" i="9"/>
  <c r="N70" i="9"/>
  <c r="M70" i="9"/>
  <c r="L70" i="9"/>
  <c r="K70" i="9"/>
  <c r="J70" i="9"/>
  <c r="I70" i="9"/>
  <c r="H70" i="9"/>
  <c r="G70" i="9"/>
  <c r="F70" i="9"/>
  <c r="E70" i="9"/>
  <c r="D70" i="9"/>
  <c r="D141" i="9"/>
  <c r="W69" i="9"/>
  <c r="V69" i="9"/>
  <c r="U69" i="9"/>
  <c r="T69" i="9"/>
  <c r="S69" i="9"/>
  <c r="R69" i="9"/>
  <c r="Q69" i="9"/>
  <c r="P69" i="9"/>
  <c r="O69" i="9"/>
  <c r="N69" i="9"/>
  <c r="M69" i="9"/>
  <c r="L69" i="9"/>
  <c r="K69" i="9"/>
  <c r="J69" i="9"/>
  <c r="I69" i="9"/>
  <c r="H69" i="9"/>
  <c r="G69" i="9"/>
  <c r="F69" i="9"/>
  <c r="E69" i="9"/>
  <c r="W67" i="9"/>
  <c r="V67" i="9"/>
  <c r="U67" i="9"/>
  <c r="T67" i="9"/>
  <c r="I67" i="9"/>
  <c r="H67" i="9"/>
  <c r="G67" i="9"/>
  <c r="F67" i="9"/>
  <c r="E67" i="9"/>
  <c r="AL67" i="9"/>
  <c r="BA67" i="9"/>
  <c r="A67" i="9"/>
  <c r="C67" i="9"/>
  <c r="W66" i="9"/>
  <c r="V66" i="9"/>
  <c r="U66" i="9"/>
  <c r="T66" i="9"/>
  <c r="S66" i="9"/>
  <c r="R66" i="9"/>
  <c r="Q66" i="9"/>
  <c r="P66" i="9"/>
  <c r="O66" i="9"/>
  <c r="N66" i="9"/>
  <c r="M66" i="9"/>
  <c r="L66" i="9"/>
  <c r="K66" i="9"/>
  <c r="J66" i="9"/>
  <c r="I66" i="9"/>
  <c r="H66" i="9"/>
  <c r="G66" i="9"/>
  <c r="F66" i="9"/>
  <c r="E66" i="9"/>
  <c r="W65" i="9"/>
  <c r="V65" i="9"/>
  <c r="U65" i="9"/>
  <c r="T65" i="9"/>
  <c r="S65" i="9"/>
  <c r="R65" i="9"/>
  <c r="Q65" i="9"/>
  <c r="P65" i="9"/>
  <c r="O65" i="9"/>
  <c r="N65" i="9"/>
  <c r="M65" i="9"/>
  <c r="L65" i="9"/>
  <c r="K65" i="9"/>
  <c r="J65" i="9"/>
  <c r="I65" i="9"/>
  <c r="H65" i="9"/>
  <c r="G65" i="9"/>
  <c r="F65" i="9"/>
  <c r="E65" i="9"/>
  <c r="W64" i="9"/>
  <c r="V64" i="9"/>
  <c r="U64" i="9"/>
  <c r="T64" i="9"/>
  <c r="S64" i="9"/>
  <c r="R64" i="9"/>
  <c r="Q64" i="9"/>
  <c r="P64" i="9"/>
  <c r="O64" i="9"/>
  <c r="N64" i="9"/>
  <c r="M64" i="9"/>
  <c r="L64" i="9"/>
  <c r="K64" i="9"/>
  <c r="J64" i="9"/>
  <c r="I64" i="9"/>
  <c r="H64" i="9"/>
  <c r="G64" i="9"/>
  <c r="F64" i="9"/>
  <c r="E64" i="9"/>
  <c r="W61" i="9"/>
  <c r="V61" i="9"/>
  <c r="U61" i="9"/>
  <c r="T61" i="9"/>
  <c r="S61" i="9"/>
  <c r="R61" i="9"/>
  <c r="Q61" i="9"/>
  <c r="P61" i="9"/>
  <c r="O61" i="9"/>
  <c r="N61" i="9"/>
  <c r="M61" i="9"/>
  <c r="L61" i="9"/>
  <c r="K61" i="9"/>
  <c r="H61" i="9"/>
  <c r="G61" i="9"/>
  <c r="F61" i="9"/>
  <c r="E61" i="9"/>
  <c r="W60" i="9"/>
  <c r="V60" i="9"/>
  <c r="U60" i="9"/>
  <c r="T60" i="9"/>
  <c r="S60" i="9"/>
  <c r="R60" i="9"/>
  <c r="Q60" i="9"/>
  <c r="P60" i="9"/>
  <c r="O60" i="9"/>
  <c r="N60" i="9"/>
  <c r="M60" i="9"/>
  <c r="L60" i="9"/>
  <c r="K60" i="9"/>
  <c r="J60" i="9"/>
  <c r="I60" i="9"/>
  <c r="H60" i="9"/>
  <c r="G60" i="9"/>
  <c r="F60" i="9"/>
  <c r="E60" i="9"/>
  <c r="W59" i="9"/>
  <c r="V59" i="9"/>
  <c r="U59" i="9"/>
  <c r="T59" i="9"/>
  <c r="S59" i="9"/>
  <c r="R59" i="9"/>
  <c r="Q59" i="9"/>
  <c r="P59" i="9"/>
  <c r="O59" i="9"/>
  <c r="N59" i="9"/>
  <c r="M59" i="9"/>
  <c r="L59" i="9"/>
  <c r="K59" i="9"/>
  <c r="J59" i="9"/>
  <c r="I59" i="9"/>
  <c r="H59" i="9"/>
  <c r="G59" i="9"/>
  <c r="F59" i="9"/>
  <c r="E59" i="9"/>
  <c r="W58" i="9"/>
  <c r="V58" i="9"/>
  <c r="U58" i="9"/>
  <c r="H58" i="9"/>
  <c r="G58" i="9"/>
  <c r="F58" i="9"/>
  <c r="E58" i="9"/>
  <c r="W57" i="9"/>
  <c r="V57" i="9"/>
  <c r="U57" i="9"/>
  <c r="T57" i="9"/>
  <c r="S57" i="9"/>
  <c r="R57" i="9"/>
  <c r="Q57" i="9"/>
  <c r="P57" i="9"/>
  <c r="O57" i="9"/>
  <c r="N57" i="9"/>
  <c r="M57" i="9"/>
  <c r="L57" i="9"/>
  <c r="K57" i="9"/>
  <c r="J57" i="9"/>
  <c r="I57" i="9"/>
  <c r="H57" i="9"/>
  <c r="G57" i="9"/>
  <c r="F57" i="9"/>
  <c r="E57" i="9"/>
  <c r="W56" i="9"/>
  <c r="V56" i="9"/>
  <c r="U56" i="9"/>
  <c r="T56" i="9"/>
  <c r="S56" i="9"/>
  <c r="R56" i="9"/>
  <c r="Q56" i="9"/>
  <c r="P56" i="9"/>
  <c r="W55" i="9"/>
  <c r="V55" i="9"/>
  <c r="U55" i="9"/>
  <c r="T55" i="9"/>
  <c r="S55" i="9"/>
  <c r="R55" i="9"/>
  <c r="Q55" i="9"/>
  <c r="P55" i="9"/>
  <c r="O55" i="9"/>
  <c r="N55" i="9"/>
  <c r="M55" i="9"/>
  <c r="L55" i="9"/>
  <c r="K55" i="9"/>
  <c r="J55" i="9"/>
  <c r="I55" i="9"/>
  <c r="H55" i="9"/>
  <c r="G55" i="9"/>
  <c r="F55" i="9"/>
  <c r="E55" i="9"/>
  <c r="W54" i="9"/>
  <c r="V54" i="9"/>
  <c r="U54" i="9"/>
  <c r="T54" i="9"/>
  <c r="S54" i="9"/>
  <c r="R54" i="9"/>
  <c r="Q54" i="9"/>
  <c r="P54" i="9"/>
  <c r="O54" i="9"/>
  <c r="N54" i="9"/>
  <c r="M54" i="9"/>
  <c r="L54" i="9"/>
  <c r="K54" i="9"/>
  <c r="J54" i="9"/>
  <c r="I54" i="9"/>
  <c r="H54" i="9"/>
  <c r="G54" i="9"/>
  <c r="F54" i="9"/>
  <c r="E54" i="9"/>
  <c r="W53" i="9"/>
  <c r="V53" i="9"/>
  <c r="U53" i="9"/>
  <c r="T53" i="9"/>
  <c r="S53" i="9"/>
  <c r="R53" i="9"/>
  <c r="Q53" i="9"/>
  <c r="P53" i="9"/>
  <c r="O53" i="9"/>
  <c r="N53" i="9"/>
  <c r="M53" i="9"/>
  <c r="L53" i="9"/>
  <c r="K53" i="9"/>
  <c r="J53" i="9"/>
  <c r="I53" i="9"/>
  <c r="H53" i="9"/>
  <c r="G53" i="9"/>
  <c r="F53" i="9"/>
  <c r="E53" i="9"/>
  <c r="W52" i="9"/>
  <c r="W48" i="9"/>
  <c r="V48" i="9"/>
  <c r="U48" i="9"/>
  <c r="T48" i="9"/>
  <c r="S48" i="9"/>
  <c r="R48" i="9"/>
  <c r="Q48" i="9"/>
  <c r="L48" i="9"/>
  <c r="K48" i="9"/>
  <c r="J48" i="9"/>
  <c r="I48" i="9"/>
  <c r="H48" i="9"/>
  <c r="G48" i="9"/>
  <c r="F48" i="9"/>
  <c r="E48" i="9"/>
  <c r="W47" i="9"/>
  <c r="V47" i="9"/>
  <c r="U47" i="9"/>
  <c r="T47" i="9"/>
  <c r="S47" i="9"/>
  <c r="R47" i="9"/>
  <c r="Q47" i="9"/>
  <c r="P47" i="9"/>
  <c r="O47" i="9"/>
  <c r="N47" i="9"/>
  <c r="M47" i="9"/>
  <c r="L47" i="9"/>
  <c r="K47" i="9"/>
  <c r="J47" i="9"/>
  <c r="I47" i="9"/>
  <c r="H47" i="9"/>
  <c r="G47" i="9"/>
  <c r="F47" i="9"/>
  <c r="E47" i="9"/>
  <c r="W45" i="9"/>
  <c r="V45" i="9"/>
  <c r="U45" i="9"/>
  <c r="BA45" i="9"/>
  <c r="S44" i="9"/>
  <c r="R44" i="9"/>
  <c r="Q44" i="9"/>
  <c r="P44" i="9"/>
  <c r="O44" i="9"/>
  <c r="N44" i="9"/>
  <c r="M44" i="9"/>
  <c r="L44" i="9"/>
  <c r="K44" i="9"/>
  <c r="J44" i="9"/>
  <c r="I44" i="9"/>
  <c r="H44" i="9"/>
  <c r="G44" i="9"/>
  <c r="F44" i="9"/>
  <c r="BA44" i="9" s="1"/>
  <c r="E44" i="9"/>
  <c r="W43" i="9"/>
  <c r="V41" i="9"/>
  <c r="U41" i="9"/>
  <c r="T41" i="9"/>
  <c r="S41" i="9"/>
  <c r="R41" i="9"/>
  <c r="Q41" i="9"/>
  <c r="I41" i="9"/>
  <c r="H41" i="9"/>
  <c r="G41" i="9"/>
  <c r="F41" i="9"/>
  <c r="E41" i="9"/>
  <c r="W40" i="9"/>
  <c r="V40" i="9"/>
  <c r="U40" i="9"/>
  <c r="T40" i="9"/>
  <c r="S40" i="9"/>
  <c r="R40" i="9"/>
  <c r="Q40" i="9"/>
  <c r="P40" i="9"/>
  <c r="O40" i="9"/>
  <c r="N40" i="9"/>
  <c r="M40" i="9"/>
  <c r="L40" i="9"/>
  <c r="K40" i="9"/>
  <c r="J40" i="9"/>
  <c r="I40" i="9"/>
  <c r="H40" i="9"/>
  <c r="G40" i="9"/>
  <c r="F40" i="9"/>
  <c r="E40" i="9"/>
  <c r="W39" i="9"/>
  <c r="V39" i="9"/>
  <c r="U39" i="9"/>
  <c r="T39" i="9"/>
  <c r="S39" i="9"/>
  <c r="R39" i="9"/>
  <c r="Q39" i="9"/>
  <c r="P39" i="9"/>
  <c r="O39" i="9"/>
  <c r="N39" i="9"/>
  <c r="M39" i="9"/>
  <c r="L39" i="9"/>
  <c r="K39" i="9"/>
  <c r="J39" i="9"/>
  <c r="I39" i="9"/>
  <c r="H39" i="9"/>
  <c r="G39" i="9"/>
  <c r="F39" i="9"/>
  <c r="E39" i="9"/>
  <c r="W38" i="9"/>
  <c r="V38" i="9"/>
  <c r="U38" i="9"/>
  <c r="T38" i="9"/>
  <c r="S38" i="9"/>
  <c r="R38" i="9"/>
  <c r="Q38" i="9"/>
  <c r="P38" i="9"/>
  <c r="O38" i="9"/>
  <c r="N38" i="9"/>
  <c r="M38" i="9"/>
  <c r="L38" i="9"/>
  <c r="K38" i="9"/>
  <c r="J38" i="9"/>
  <c r="I38" i="9"/>
  <c r="H38" i="9"/>
  <c r="G38" i="9"/>
  <c r="F38" i="9"/>
  <c r="E38" i="9"/>
  <c r="W37" i="9"/>
  <c r="V37" i="9"/>
  <c r="U37" i="9"/>
  <c r="T37" i="9"/>
  <c r="S37" i="9"/>
  <c r="R37" i="9"/>
  <c r="Q37" i="9"/>
  <c r="P37" i="9"/>
  <c r="O37" i="9"/>
  <c r="N37" i="9"/>
  <c r="M37" i="9"/>
  <c r="L37" i="9"/>
  <c r="K37" i="9"/>
  <c r="J37" i="9"/>
  <c r="I37" i="9"/>
  <c r="H37" i="9"/>
  <c r="G37" i="9"/>
  <c r="F37" i="9"/>
  <c r="E37" i="9"/>
  <c r="BA37" i="9"/>
  <c r="A37" i="9"/>
  <c r="C37" i="9"/>
  <c r="W36" i="9"/>
  <c r="V36" i="9"/>
  <c r="U36" i="9"/>
  <c r="T36" i="9"/>
  <c r="S36" i="9"/>
  <c r="R36" i="9"/>
  <c r="Q36" i="9"/>
  <c r="P36" i="9"/>
  <c r="O36" i="9"/>
  <c r="N36" i="9"/>
  <c r="M36" i="9"/>
  <c r="L36" i="9"/>
  <c r="K36" i="9"/>
  <c r="J36" i="9"/>
  <c r="I36" i="9"/>
  <c r="H36" i="9"/>
  <c r="G36" i="9"/>
  <c r="F36" i="9"/>
  <c r="E36" i="9"/>
  <c r="W35" i="9"/>
  <c r="V35" i="9"/>
  <c r="U35" i="9"/>
  <c r="T35" i="9"/>
  <c r="S35" i="9"/>
  <c r="R35" i="9"/>
  <c r="Q35" i="9"/>
  <c r="P35" i="9"/>
  <c r="O35" i="9"/>
  <c r="N35" i="9"/>
  <c r="M35" i="9"/>
  <c r="L35" i="9"/>
  <c r="K35" i="9"/>
  <c r="J35" i="9"/>
  <c r="I35" i="9"/>
  <c r="H35" i="9"/>
  <c r="G35" i="9"/>
  <c r="F35" i="9"/>
  <c r="E35" i="9"/>
  <c r="W33" i="9"/>
  <c r="V33" i="9"/>
  <c r="U33" i="9"/>
  <c r="T33" i="9"/>
  <c r="S33" i="9"/>
  <c r="R33" i="9"/>
  <c r="Q33" i="9"/>
  <c r="P33" i="9"/>
  <c r="O33" i="9"/>
  <c r="N33" i="9"/>
  <c r="M33" i="9"/>
  <c r="L33" i="9"/>
  <c r="K33" i="9"/>
  <c r="J33" i="9"/>
  <c r="I33" i="9"/>
  <c r="H33" i="9"/>
  <c r="G33" i="9"/>
  <c r="F33" i="9"/>
  <c r="E33" i="9"/>
  <c r="W20" i="9"/>
  <c r="V20" i="9"/>
  <c r="U20" i="9"/>
  <c r="T20" i="9"/>
  <c r="S20" i="9"/>
  <c r="R20" i="9"/>
  <c r="Q20" i="9"/>
  <c r="P20" i="9"/>
  <c r="O20" i="9"/>
  <c r="N20" i="9"/>
  <c r="M20" i="9"/>
  <c r="L20" i="9"/>
  <c r="K20" i="9"/>
  <c r="J20" i="9"/>
  <c r="I20" i="9"/>
  <c r="H20" i="9"/>
  <c r="G20" i="9"/>
  <c r="F20" i="9"/>
  <c r="E20" i="9"/>
  <c r="W17" i="9"/>
  <c r="V17" i="9"/>
  <c r="U17" i="9"/>
  <c r="T17" i="9"/>
  <c r="S17" i="9"/>
  <c r="R17" i="9"/>
  <c r="Q17" i="9"/>
  <c r="P17" i="9"/>
  <c r="O17" i="9"/>
  <c r="N17" i="9"/>
  <c r="M17" i="9"/>
  <c r="L17" i="9"/>
  <c r="K17" i="9"/>
  <c r="J17" i="9"/>
  <c r="I17" i="9"/>
  <c r="H17" i="9"/>
  <c r="G17" i="9"/>
  <c r="F17" i="9"/>
  <c r="E17" i="9"/>
  <c r="W16" i="9"/>
  <c r="V16" i="9"/>
  <c r="U16" i="9"/>
  <c r="T16" i="9"/>
  <c r="S16" i="9"/>
  <c r="R16" i="9"/>
  <c r="Q16" i="9"/>
  <c r="P16" i="9"/>
  <c r="O16" i="9"/>
  <c r="N16" i="9"/>
  <c r="M16" i="9"/>
  <c r="L16" i="9"/>
  <c r="K16" i="9"/>
  <c r="J16" i="9"/>
  <c r="I16" i="9"/>
  <c r="H16" i="9"/>
  <c r="G16" i="9"/>
  <c r="F16" i="9"/>
  <c r="E16" i="9"/>
  <c r="W13" i="9"/>
  <c r="V13" i="9"/>
  <c r="U13" i="9"/>
  <c r="T13" i="9"/>
  <c r="S13" i="9"/>
  <c r="R13" i="9"/>
  <c r="Q13" i="9"/>
  <c r="P13" i="9"/>
  <c r="O13" i="9"/>
  <c r="N13" i="9"/>
  <c r="M13" i="9"/>
  <c r="L13" i="9"/>
  <c r="K13" i="9"/>
  <c r="J13" i="9"/>
  <c r="I13" i="9"/>
  <c r="H13" i="9"/>
  <c r="G13" i="9"/>
  <c r="F13" i="9"/>
  <c r="E13" i="9"/>
  <c r="W10" i="9"/>
  <c r="V10" i="9"/>
  <c r="U10" i="9"/>
  <c r="T10" i="9"/>
  <c r="S10" i="9"/>
  <c r="S141" i="9" s="1"/>
  <c r="S144" i="9" s="1"/>
  <c r="R10" i="9"/>
  <c r="Q10" i="9"/>
  <c r="Q141" i="9" s="1"/>
  <c r="Q144" i="9" s="1"/>
  <c r="P10" i="9"/>
  <c r="O10" i="9"/>
  <c r="N10" i="9"/>
  <c r="M10" i="9"/>
  <c r="M141" i="9" s="1"/>
  <c r="L10" i="9"/>
  <c r="K10" i="9"/>
  <c r="J10" i="9"/>
  <c r="I10" i="9"/>
  <c r="H10" i="9"/>
  <c r="G10" i="9"/>
  <c r="F10" i="9"/>
  <c r="E10" i="9"/>
  <c r="W8" i="9"/>
  <c r="V8" i="9"/>
  <c r="V142" i="9" s="1"/>
  <c r="U8" i="9"/>
  <c r="T8" i="9"/>
  <c r="S8" i="9"/>
  <c r="R8" i="9"/>
  <c r="Q8" i="9"/>
  <c r="N8" i="9"/>
  <c r="M8" i="9"/>
  <c r="L8" i="9"/>
  <c r="K8" i="9"/>
  <c r="J8" i="9"/>
  <c r="J141" i="9" s="1"/>
  <c r="J144" i="9" s="1"/>
  <c r="I8" i="9"/>
  <c r="H8" i="9"/>
  <c r="H143" i="9" s="1"/>
  <c r="I143" i="5" s="1"/>
  <c r="G8" i="9"/>
  <c r="F8" i="9"/>
  <c r="E8" i="9"/>
  <c r="AC8" i="9"/>
  <c r="W7" i="9"/>
  <c r="V7" i="9"/>
  <c r="U7" i="9"/>
  <c r="T7" i="9"/>
  <c r="S7" i="9"/>
  <c r="R7" i="9"/>
  <c r="Q7" i="9"/>
  <c r="P7" i="9"/>
  <c r="O7" i="9"/>
  <c r="N7" i="9"/>
  <c r="M7" i="9"/>
  <c r="L7" i="9"/>
  <c r="K7" i="9"/>
  <c r="J7" i="9"/>
  <c r="I7" i="9"/>
  <c r="H7" i="9"/>
  <c r="G7" i="9"/>
  <c r="F7" i="9"/>
  <c r="E7" i="9"/>
  <c r="AL7" i="9"/>
  <c r="BA7" i="9"/>
  <c r="A7" i="9"/>
  <c r="C7" i="9"/>
  <c r="W6" i="9"/>
  <c r="V6" i="9"/>
  <c r="U6" i="9"/>
  <c r="T6" i="9"/>
  <c r="T2" i="9"/>
  <c r="T4" i="9"/>
  <c r="S6" i="9"/>
  <c r="R6" i="9"/>
  <c r="R2" i="9"/>
  <c r="R4" i="9"/>
  <c r="R143" i="9" s="1"/>
  <c r="S143" i="5" s="1"/>
  <c r="Q6" i="9"/>
  <c r="P6" i="9"/>
  <c r="O6" i="9"/>
  <c r="N6" i="9"/>
  <c r="M6" i="9"/>
  <c r="L6" i="9"/>
  <c r="K6" i="9"/>
  <c r="J6" i="9"/>
  <c r="I6" i="9"/>
  <c r="H6" i="9"/>
  <c r="G6" i="9"/>
  <c r="F6" i="9"/>
  <c r="E6" i="9"/>
  <c r="W4" i="9"/>
  <c r="V4" i="9"/>
  <c r="U4" i="9"/>
  <c r="S4" i="9"/>
  <c r="Q4" i="9"/>
  <c r="Q2" i="9"/>
  <c r="P4" i="9"/>
  <c r="P141" i="9" s="1"/>
  <c r="P144" i="9" s="1"/>
  <c r="O4" i="9"/>
  <c r="N4" i="9"/>
  <c r="N142" i="9" s="1"/>
  <c r="O142" i="5" s="1"/>
  <c r="M4" i="9"/>
  <c r="L4" i="9"/>
  <c r="K4" i="9"/>
  <c r="K2" i="9"/>
  <c r="J4" i="9"/>
  <c r="I4" i="9"/>
  <c r="H4" i="9"/>
  <c r="G4" i="9"/>
  <c r="F4" i="9"/>
  <c r="E4" i="9"/>
  <c r="G3" i="9"/>
  <c r="F3" i="9"/>
  <c r="F2" i="9"/>
  <c r="E3" i="9"/>
  <c r="W2" i="9"/>
  <c r="W141" i="9"/>
  <c r="W144" i="9" s="1"/>
  <c r="V2" i="9"/>
  <c r="U2" i="9"/>
  <c r="U142" i="9"/>
  <c r="S2" i="9"/>
  <c r="R141" i="9"/>
  <c r="P2" i="9"/>
  <c r="O2" i="9"/>
  <c r="O141" i="9"/>
  <c r="O144" i="9" s="1"/>
  <c r="N2" i="9"/>
  <c r="M2" i="9"/>
  <c r="M142" i="9"/>
  <c r="N142" i="5" s="1"/>
  <c r="L2" i="9"/>
  <c r="J2" i="9"/>
  <c r="I2" i="9"/>
  <c r="I142" i="9" s="1"/>
  <c r="J142" i="5" s="1"/>
  <c r="H2" i="9"/>
  <c r="G2" i="9"/>
  <c r="G141" i="9" s="1"/>
  <c r="E2" i="9"/>
  <c r="M58" i="14"/>
  <c r="G58" i="14"/>
  <c r="F58" i="14"/>
  <c r="M57" i="14"/>
  <c r="G57" i="14"/>
  <c r="F57" i="14"/>
  <c r="P2631" i="1"/>
  <c r="O2631" i="1"/>
  <c r="N2631" i="1"/>
  <c r="M2631" i="1"/>
  <c r="AN93" i="9"/>
  <c r="P2630" i="1"/>
  <c r="O2630" i="1"/>
  <c r="N2630" i="1"/>
  <c r="M2630" i="1"/>
  <c r="P2629" i="1"/>
  <c r="O2629" i="1"/>
  <c r="N2629" i="1"/>
  <c r="M2629" i="1"/>
  <c r="P2628" i="1"/>
  <c r="O2628" i="1"/>
  <c r="N2628" i="1"/>
  <c r="M2628" i="1"/>
  <c r="O2627" i="1"/>
  <c r="N2627" i="1"/>
  <c r="M2627" i="1"/>
  <c r="M56" i="14"/>
  <c r="G56" i="14"/>
  <c r="F56" i="14"/>
  <c r="P2626" i="1"/>
  <c r="O2626" i="1"/>
  <c r="N2626" i="1"/>
  <c r="M2626" i="1"/>
  <c r="P2625" i="1"/>
  <c r="O2625" i="1"/>
  <c r="N2625" i="1"/>
  <c r="M2625" i="1"/>
  <c r="L5" i="14"/>
  <c r="J5" i="14"/>
  <c r="L21" i="14"/>
  <c r="L20" i="14"/>
  <c r="L19" i="14"/>
  <c r="L18" i="14"/>
  <c r="L17" i="14"/>
  <c r="L16" i="14"/>
  <c r="L15" i="14"/>
  <c r="L14" i="14"/>
  <c r="L13" i="14"/>
  <c r="L12" i="14"/>
  <c r="L11" i="14"/>
  <c r="L10" i="14"/>
  <c r="L9" i="14"/>
  <c r="L8" i="14"/>
  <c r="L7" i="14"/>
  <c r="L6" i="14"/>
  <c r="J21" i="14"/>
  <c r="J20" i="14"/>
  <c r="J19" i="14"/>
  <c r="J18" i="14"/>
  <c r="J17" i="14"/>
  <c r="J16" i="14"/>
  <c r="J15" i="14"/>
  <c r="J14" i="14"/>
  <c r="J13" i="14"/>
  <c r="J12" i="14"/>
  <c r="J11" i="14"/>
  <c r="J10" i="14"/>
  <c r="J9" i="14"/>
  <c r="J8" i="14"/>
  <c r="J7" i="14"/>
  <c r="J6" i="14"/>
  <c r="B24" i="14"/>
  <c r="H24" i="14" s="1"/>
  <c r="B23" i="14"/>
  <c r="H23" i="14" s="1"/>
  <c r="B22" i="14"/>
  <c r="H22" i="14" s="1"/>
  <c r="B21" i="14"/>
  <c r="H21" i="14" s="1"/>
  <c r="B20" i="14"/>
  <c r="H20" i="14" s="1"/>
  <c r="B19" i="14"/>
  <c r="H19" i="14" s="1"/>
  <c r="B18" i="14"/>
  <c r="H18" i="14" s="1"/>
  <c r="B17" i="14"/>
  <c r="H17" i="14" s="1"/>
  <c r="B16" i="14"/>
  <c r="H16" i="14" s="1"/>
  <c r="B15" i="14"/>
  <c r="H15" i="14" s="1"/>
  <c r="B14" i="14"/>
  <c r="H14" i="14" s="1"/>
  <c r="B13" i="14"/>
  <c r="H13" i="14" s="1"/>
  <c r="B12" i="14"/>
  <c r="H12" i="14" s="1"/>
  <c r="B11" i="14"/>
  <c r="H11" i="14" s="1"/>
  <c r="B10" i="14"/>
  <c r="H10" i="14" s="1"/>
  <c r="B9" i="14"/>
  <c r="H9" i="14" s="1"/>
  <c r="B8" i="14"/>
  <c r="H8" i="14" s="1"/>
  <c r="B7" i="14"/>
  <c r="H7" i="14" s="1"/>
  <c r="B6" i="14"/>
  <c r="H6" i="14" s="1"/>
  <c r="B5" i="14"/>
  <c r="H5" i="14" s="1"/>
  <c r="G142" i="9"/>
  <c r="Z143" i="9"/>
  <c r="AA141" i="9"/>
  <c r="X143" i="9"/>
  <c r="L142" i="9"/>
  <c r="AL2" i="9"/>
  <c r="P2624" i="1"/>
  <c r="O2624" i="1"/>
  <c r="N2624" i="1"/>
  <c r="M2624" i="1"/>
  <c r="P2623" i="1"/>
  <c r="O2623" i="1"/>
  <c r="N2623" i="1"/>
  <c r="M2623" i="1"/>
  <c r="P2622" i="1"/>
  <c r="O2622" i="1"/>
  <c r="N2622" i="1"/>
  <c r="M2622" i="1"/>
  <c r="P2621" i="1"/>
  <c r="O2621" i="1"/>
  <c r="N2621" i="1"/>
  <c r="M2621" i="1"/>
  <c r="P2620" i="1"/>
  <c r="O2620" i="1"/>
  <c r="N2620" i="1"/>
  <c r="M2620" i="1"/>
  <c r="P2619" i="1"/>
  <c r="O2619" i="1"/>
  <c r="N2619" i="1"/>
  <c r="M2619" i="1"/>
  <c r="P2618" i="1"/>
  <c r="O2618" i="1"/>
  <c r="N2618" i="1"/>
  <c r="M2618" i="1"/>
  <c r="M55" i="14"/>
  <c r="G55" i="14"/>
  <c r="F55" i="14"/>
  <c r="P2617" i="1"/>
  <c r="O2617" i="1"/>
  <c r="N2617" i="1"/>
  <c r="M2617" i="1"/>
  <c r="P2616" i="1"/>
  <c r="O2616" i="1"/>
  <c r="N2616" i="1"/>
  <c r="M2616" i="1"/>
  <c r="P2615" i="1"/>
  <c r="O2615" i="1"/>
  <c r="N2615" i="1"/>
  <c r="M2615" i="1"/>
  <c r="P2614" i="1"/>
  <c r="O2614" i="1"/>
  <c r="N2614" i="1"/>
  <c r="M2614" i="1"/>
  <c r="P2613" i="1"/>
  <c r="O2613" i="1"/>
  <c r="N2613" i="1"/>
  <c r="M2613" i="1"/>
  <c r="P2612" i="1"/>
  <c r="O2612" i="1"/>
  <c r="N2612" i="1"/>
  <c r="M2612" i="1"/>
  <c r="P2611" i="1"/>
  <c r="O2611" i="1"/>
  <c r="N2611" i="1"/>
  <c r="M2611" i="1"/>
  <c r="AP44" i="5"/>
  <c r="AQ44" i="5"/>
  <c r="AR44" i="5"/>
  <c r="AS44" i="5"/>
  <c r="AP46" i="5"/>
  <c r="AQ46" i="5"/>
  <c r="AR46" i="5"/>
  <c r="AS46" i="5"/>
  <c r="AP47" i="5"/>
  <c r="AQ47" i="5"/>
  <c r="AR47" i="5"/>
  <c r="AS47" i="5"/>
  <c r="AP48" i="5"/>
  <c r="AQ48" i="5"/>
  <c r="AR48" i="5"/>
  <c r="AS48" i="5"/>
  <c r="P2610" i="1"/>
  <c r="O2610" i="1"/>
  <c r="N2610" i="1"/>
  <c r="M2610" i="1"/>
  <c r="P2609" i="1"/>
  <c r="O2609" i="1"/>
  <c r="N2609" i="1"/>
  <c r="M2609" i="1"/>
  <c r="P2608" i="1"/>
  <c r="O2608" i="1"/>
  <c r="N2608" i="1"/>
  <c r="M2608" i="1"/>
  <c r="B140" i="9"/>
  <c r="B107" i="5" s="1"/>
  <c r="B139" i="9"/>
  <c r="B139" i="8" s="1"/>
  <c r="B138" i="9"/>
  <c r="B120" i="5" s="1"/>
  <c r="B137" i="9"/>
  <c r="B137" i="8" s="1"/>
  <c r="B136" i="9"/>
  <c r="B106" i="5" s="1"/>
  <c r="B135" i="9"/>
  <c r="B127" i="5" s="1"/>
  <c r="B134" i="9"/>
  <c r="B126" i="5"/>
  <c r="B133" i="9"/>
  <c r="B133" i="8"/>
  <c r="B132" i="9"/>
  <c r="B128" i="5"/>
  <c r="B131" i="9"/>
  <c r="B131" i="8"/>
  <c r="B130" i="9"/>
  <c r="B124" i="5"/>
  <c r="B129" i="9"/>
  <c r="B129" i="8"/>
  <c r="B128" i="9"/>
  <c r="B137" i="5"/>
  <c r="B127" i="9"/>
  <c r="B126" i="9"/>
  <c r="B135" i="5" s="1"/>
  <c r="B125" i="9"/>
  <c r="B125" i="8" s="1"/>
  <c r="B124" i="9"/>
  <c r="B121" i="5" s="1"/>
  <c r="B123" i="9"/>
  <c r="B123" i="8" s="1"/>
  <c r="B122" i="9"/>
  <c r="B118" i="5" s="1"/>
  <c r="B121" i="9"/>
  <c r="B121" i="8"/>
  <c r="B120" i="9"/>
  <c r="B116" i="5"/>
  <c r="B119" i="9"/>
  <c r="B118" i="9"/>
  <c r="B114" i="5" s="1"/>
  <c r="B117" i="9"/>
  <c r="B117" i="8" s="1"/>
  <c r="B116" i="9"/>
  <c r="B112" i="5" s="1"/>
  <c r="B115" i="9"/>
  <c r="B115" i="8" s="1"/>
  <c r="B114" i="9"/>
  <c r="B110" i="5" s="1"/>
  <c r="B113" i="9"/>
  <c r="B113" i="8" s="1"/>
  <c r="B112" i="9"/>
  <c r="B104" i="5" s="1"/>
  <c r="B111" i="9"/>
  <c r="B110" i="9"/>
  <c r="B132" i="5"/>
  <c r="B109" i="9"/>
  <c r="B109" i="8"/>
  <c r="B108" i="9"/>
  <c r="B129" i="5"/>
  <c r="B107" i="9"/>
  <c r="B107" i="8"/>
  <c r="B106" i="9"/>
  <c r="B102" i="5"/>
  <c r="B105" i="9"/>
  <c r="B105" i="8"/>
  <c r="B104" i="9"/>
  <c r="B109" i="5"/>
  <c r="B103" i="9"/>
  <c r="B102" i="9"/>
  <c r="B84" i="5" s="1"/>
  <c r="B101" i="9"/>
  <c r="B101" i="8" s="1"/>
  <c r="B100" i="9"/>
  <c r="B82" i="5" s="1"/>
  <c r="B99" i="9"/>
  <c r="B99" i="8" s="1"/>
  <c r="B98" i="9"/>
  <c r="B80" i="5" s="1"/>
  <c r="B97" i="9"/>
  <c r="B97" i="8" s="1"/>
  <c r="B96" i="9"/>
  <c r="B100" i="5" s="1"/>
  <c r="B95" i="9"/>
  <c r="B130" i="5" s="1"/>
  <c r="B94" i="9"/>
  <c r="B99" i="5"/>
  <c r="B93" i="9"/>
  <c r="B93" i="8"/>
  <c r="B92" i="9"/>
  <c r="B140" i="5"/>
  <c r="B91" i="9"/>
  <c r="B91" i="8"/>
  <c r="B90" i="9"/>
  <c r="B96" i="5"/>
  <c r="B89" i="9"/>
  <c r="B89" i="8"/>
  <c r="B88" i="9"/>
  <c r="B95" i="5"/>
  <c r="B87" i="9"/>
  <c r="B86" i="9"/>
  <c r="B89" i="5" s="1"/>
  <c r="B85" i="9"/>
  <c r="B85" i="8" s="1"/>
  <c r="B84" i="9"/>
  <c r="B91" i="5" s="1"/>
  <c r="B83" i="9"/>
  <c r="B83" i="8" s="1"/>
  <c r="B82" i="9"/>
  <c r="B88" i="5" s="1"/>
  <c r="B81" i="9"/>
  <c r="B81" i="8" s="1"/>
  <c r="B80" i="9"/>
  <c r="B86" i="5" s="1"/>
  <c r="B79" i="9"/>
  <c r="B78" i="9"/>
  <c r="B133" i="5"/>
  <c r="B77" i="9"/>
  <c r="B77" i="8"/>
  <c r="B76" i="9"/>
  <c r="B77" i="5"/>
  <c r="B75" i="9"/>
  <c r="B75" i="8"/>
  <c r="B74" i="9"/>
  <c r="B75" i="5"/>
  <c r="B73" i="9"/>
  <c r="B73" i="8"/>
  <c r="B72" i="9"/>
  <c r="B21" i="5"/>
  <c r="B71" i="9"/>
  <c r="B70" i="9"/>
  <c r="B50" i="5" s="1"/>
  <c r="B69" i="9"/>
  <c r="B69" i="8" s="1"/>
  <c r="B68" i="9"/>
  <c r="B49" i="5" s="1"/>
  <c r="B67" i="9"/>
  <c r="B67" i="8" s="1"/>
  <c r="B66" i="9"/>
  <c r="B47" i="5" s="1"/>
  <c r="B65" i="9"/>
  <c r="B65" i="8" s="1"/>
  <c r="B64" i="9"/>
  <c r="B52" i="5" s="1"/>
  <c r="B63" i="9"/>
  <c r="B54" i="5" s="1"/>
  <c r="B62" i="9"/>
  <c r="B19" i="5"/>
  <c r="B61" i="9"/>
  <c r="B61" i="8"/>
  <c r="B60" i="9"/>
  <c r="B17" i="5"/>
  <c r="B59" i="9"/>
  <c r="B59" i="8"/>
  <c r="B58" i="9"/>
  <c r="B15" i="5"/>
  <c r="B57" i="9"/>
  <c r="B57" i="8"/>
  <c r="B56" i="9"/>
  <c r="B13" i="5"/>
  <c r="B55" i="9"/>
  <c r="B54" i="9"/>
  <c r="B11" i="5" s="1"/>
  <c r="B53" i="9"/>
  <c r="B53" i="8" s="1"/>
  <c r="B52" i="9"/>
  <c r="B57" i="5" s="1"/>
  <c r="B51" i="9"/>
  <c r="B51" i="8" s="1"/>
  <c r="B49" i="9"/>
  <c r="B44" i="5" s="1"/>
  <c r="B48" i="9"/>
  <c r="B48" i="8" s="1"/>
  <c r="B47" i="9"/>
  <c r="B42" i="5" s="1"/>
  <c r="B46" i="9"/>
  <c r="B45" i="9"/>
  <c r="B40" i="5"/>
  <c r="B44" i="9"/>
  <c r="B44" i="8"/>
  <c r="B43" i="9"/>
  <c r="B38" i="5"/>
  <c r="B42" i="9"/>
  <c r="B42" i="8"/>
  <c r="B41" i="9"/>
  <c r="B36" i="5"/>
  <c r="B40" i="9"/>
  <c r="B40" i="8"/>
  <c r="B39" i="9"/>
  <c r="B35" i="5"/>
  <c r="B38" i="9"/>
  <c r="B37" i="9"/>
  <c r="B32" i="5" s="1"/>
  <c r="B36" i="9"/>
  <c r="B36" i="8" s="1"/>
  <c r="B35" i="9"/>
  <c r="B9" i="5" s="1"/>
  <c r="B34" i="9"/>
  <c r="B34" i="8" s="1"/>
  <c r="B33" i="9"/>
  <c r="B7" i="5" s="1"/>
  <c r="B32" i="9"/>
  <c r="B32" i="8" s="1"/>
  <c r="B31" i="9"/>
  <c r="B5" i="5" s="1"/>
  <c r="B30" i="9"/>
  <c r="B4" i="5" s="1"/>
  <c r="B29" i="9"/>
  <c r="B28" i="5"/>
  <c r="B28" i="9"/>
  <c r="B28" i="8"/>
  <c r="B27" i="9"/>
  <c r="B30" i="5"/>
  <c r="B26" i="9"/>
  <c r="B26" i="8"/>
  <c r="B25" i="9"/>
  <c r="B27" i="5"/>
  <c r="B24" i="9"/>
  <c r="B24" i="8"/>
  <c r="B23" i="9"/>
  <c r="B26" i="5"/>
  <c r="B22" i="9"/>
  <c r="B21" i="9"/>
  <c r="B24" i="5" s="1"/>
  <c r="B20" i="9"/>
  <c r="B20" i="8" s="1"/>
  <c r="B19" i="9"/>
  <c r="B55" i="5" s="1"/>
  <c r="B18" i="9"/>
  <c r="B18" i="8" s="1"/>
  <c r="B17" i="9"/>
  <c r="B71" i="5" s="1"/>
  <c r="B16" i="9"/>
  <c r="B16" i="8" s="1"/>
  <c r="B15" i="9"/>
  <c r="B14" i="9"/>
  <c r="B66" i="5" s="1"/>
  <c r="B13" i="9"/>
  <c r="B13" i="8" s="1"/>
  <c r="B12" i="9"/>
  <c r="B12" i="8" s="1"/>
  <c r="B11" i="9"/>
  <c r="B68" i="5"/>
  <c r="B10" i="9"/>
  <c r="B10" i="8"/>
  <c r="B9" i="9"/>
  <c r="B60" i="5"/>
  <c r="B8" i="9"/>
  <c r="B8" i="8"/>
  <c r="B7" i="9"/>
  <c r="B61" i="5"/>
  <c r="B6" i="9"/>
  <c r="B6" i="8"/>
  <c r="B5" i="9"/>
  <c r="B73" i="5"/>
  <c r="B4" i="9"/>
  <c r="B3" i="9"/>
  <c r="B64" i="5" s="1"/>
  <c r="B2" i="9"/>
  <c r="B2" i="8" s="1"/>
  <c r="B4" i="8"/>
  <c r="B65" i="5"/>
  <c r="B5" i="8"/>
  <c r="B70" i="5"/>
  <c r="B58" i="5"/>
  <c r="B67" i="5"/>
  <c r="B69" i="5"/>
  <c r="B59" i="5"/>
  <c r="B22" i="5"/>
  <c r="B23" i="5"/>
  <c r="B22" i="8"/>
  <c r="B25" i="5"/>
  <c r="B23" i="8"/>
  <c r="B2" i="5"/>
  <c r="B3" i="5"/>
  <c r="B29" i="5"/>
  <c r="B30" i="8"/>
  <c r="B31" i="8"/>
  <c r="B8" i="5"/>
  <c r="B38" i="8"/>
  <c r="B33" i="5"/>
  <c r="B39" i="8"/>
  <c r="B34" i="5"/>
  <c r="B37" i="5"/>
  <c r="B39" i="5"/>
  <c r="B46" i="8"/>
  <c r="B41" i="5"/>
  <c r="B47" i="8"/>
  <c r="B43" i="5"/>
  <c r="B56" i="5"/>
  <c r="B10" i="5"/>
  <c r="B55" i="8"/>
  <c r="B12" i="5"/>
  <c r="B56" i="8"/>
  <c r="B14" i="5"/>
  <c r="B16" i="5"/>
  <c r="B18" i="5"/>
  <c r="B63" i="8"/>
  <c r="B64" i="8"/>
  <c r="B48" i="5"/>
  <c r="B71" i="8"/>
  <c r="B20" i="5"/>
  <c r="B72" i="8"/>
  <c r="B53" i="5"/>
  <c r="B76" i="5"/>
  <c r="B78" i="5"/>
  <c r="B79" i="8"/>
  <c r="B85" i="5"/>
  <c r="B80" i="8"/>
  <c r="B87" i="5"/>
  <c r="B90" i="5"/>
  <c r="B92" i="5"/>
  <c r="B87" i="8"/>
  <c r="B93" i="5"/>
  <c r="B88" i="8"/>
  <c r="B94" i="5"/>
  <c r="B97" i="5"/>
  <c r="B98" i="5"/>
  <c r="B95" i="8"/>
  <c r="B96" i="8"/>
  <c r="B81" i="5"/>
  <c r="B103" i="8"/>
  <c r="B108" i="5"/>
  <c r="B104" i="8"/>
  <c r="B101" i="5"/>
  <c r="B103" i="5"/>
  <c r="B131" i="5"/>
  <c r="B111" i="8"/>
  <c r="B139" i="5"/>
  <c r="B112" i="8"/>
  <c r="B105" i="5"/>
  <c r="B111" i="5"/>
  <c r="B113" i="5"/>
  <c r="B119" i="8"/>
  <c r="B115" i="5"/>
  <c r="B120" i="8"/>
  <c r="B117" i="5"/>
  <c r="B138" i="5"/>
  <c r="B122" i="5"/>
  <c r="B127" i="8"/>
  <c r="B136" i="5"/>
  <c r="B128" i="8"/>
  <c r="B123" i="5"/>
  <c r="B125" i="5"/>
  <c r="B134" i="5"/>
  <c r="B135" i="8"/>
  <c r="B136" i="8"/>
  <c r="B74" i="5"/>
  <c r="B14" i="8"/>
  <c r="B72" i="5"/>
  <c r="A140" i="9"/>
  <c r="A107" i="5"/>
  <c r="A139" i="9"/>
  <c r="A139" i="8"/>
  <c r="A138" i="9"/>
  <c r="A120" i="5"/>
  <c r="A136" i="9"/>
  <c r="A106" i="5"/>
  <c r="A135" i="9"/>
  <c r="A135" i="8"/>
  <c r="A134" i="9"/>
  <c r="A133" i="9"/>
  <c r="A133" i="8" s="1"/>
  <c r="A132" i="9"/>
  <c r="A132" i="8" s="1"/>
  <c r="A131" i="9"/>
  <c r="A131" i="8"/>
  <c r="A130" i="9"/>
  <c r="A129" i="9"/>
  <c r="A129" i="8" s="1"/>
  <c r="A128" i="9"/>
  <c r="A137" i="5" s="1"/>
  <c r="A127" i="9"/>
  <c r="A127" i="8" s="1"/>
  <c r="A126" i="9"/>
  <c r="A135" i="5" s="1"/>
  <c r="A125" i="9"/>
  <c r="A125" i="8" s="1"/>
  <c r="A121" i="5"/>
  <c r="A123" i="9"/>
  <c r="A123" i="8" s="1"/>
  <c r="A122" i="9"/>
  <c r="A118" i="5" s="1"/>
  <c r="A121" i="9"/>
  <c r="A121" i="8" s="1"/>
  <c r="A120" i="9"/>
  <c r="A120" i="8" s="1"/>
  <c r="A119" i="9"/>
  <c r="A119" i="8"/>
  <c r="A118" i="9"/>
  <c r="A114" i="5"/>
  <c r="A117" i="9"/>
  <c r="A117" i="8"/>
  <c r="A116" i="9"/>
  <c r="A115" i="9"/>
  <c r="A115" i="8" s="1"/>
  <c r="A114" i="9"/>
  <c r="A110" i="5" s="1"/>
  <c r="A113" i="9"/>
  <c r="A113" i="8" s="1"/>
  <c r="A112" i="9"/>
  <c r="A112" i="8" s="1"/>
  <c r="A111" i="9"/>
  <c r="A111" i="8"/>
  <c r="A110" i="9"/>
  <c r="A132" i="5"/>
  <c r="A109" i="9"/>
  <c r="A109" i="8"/>
  <c r="A129" i="5"/>
  <c r="A107" i="9"/>
  <c r="A103" i="5" s="1"/>
  <c r="A106" i="9"/>
  <c r="A102" i="5"/>
  <c r="A105" i="9"/>
  <c r="BA105" i="9"/>
  <c r="C105" i="9" s="1"/>
  <c r="A104" i="9"/>
  <c r="A109" i="5" s="1"/>
  <c r="A103" i="9"/>
  <c r="A103" i="8" s="1"/>
  <c r="A102" i="9"/>
  <c r="A102" i="8" s="1"/>
  <c r="A101" i="8"/>
  <c r="A100" i="9"/>
  <c r="A100" i="8" s="1"/>
  <c r="A99" i="9"/>
  <c r="A99" i="8" s="1"/>
  <c r="A98" i="9"/>
  <c r="A97" i="9"/>
  <c r="A97" i="8"/>
  <c r="A96" i="9"/>
  <c r="A96" i="8"/>
  <c r="A95" i="9"/>
  <c r="A95" i="8"/>
  <c r="A94" i="9"/>
  <c r="A99" i="5"/>
  <c r="A93" i="9"/>
  <c r="A92" i="9"/>
  <c r="A92" i="8" s="1"/>
  <c r="A91" i="9"/>
  <c r="A90" i="9"/>
  <c r="A90" i="8" s="1"/>
  <c r="A89" i="9"/>
  <c r="A95" i="5"/>
  <c r="A87" i="9"/>
  <c r="A87" i="8"/>
  <c r="A86" i="8"/>
  <c r="A85" i="9"/>
  <c r="A85" i="8" s="1"/>
  <c r="A84" i="9"/>
  <c r="A91" i="5" s="1"/>
  <c r="A83" i="9"/>
  <c r="A83" i="8" s="1"/>
  <c r="A82" i="9"/>
  <c r="A88" i="5"/>
  <c r="A81" i="9"/>
  <c r="A80" i="9"/>
  <c r="A86" i="5" s="1"/>
  <c r="A79" i="9"/>
  <c r="A79" i="8" s="1"/>
  <c r="A133" i="5"/>
  <c r="A77" i="9"/>
  <c r="A77" i="8" s="1"/>
  <c r="A76" i="9"/>
  <c r="A76" i="8" s="1"/>
  <c r="A75" i="9"/>
  <c r="A75" i="8" s="1"/>
  <c r="A74" i="9"/>
  <c r="A74" i="8" s="1"/>
  <c r="A73" i="9"/>
  <c r="A73" i="8"/>
  <c r="A72" i="9"/>
  <c r="A72" i="8"/>
  <c r="A71" i="8"/>
  <c r="A70" i="9"/>
  <c r="A50" i="5" s="1"/>
  <c r="A69" i="9"/>
  <c r="A69" i="8"/>
  <c r="A68" i="9"/>
  <c r="A68" i="8"/>
  <c r="A67" i="8"/>
  <c r="A66" i="9"/>
  <c r="A66" i="8" s="1"/>
  <c r="A65" i="9"/>
  <c r="A65" i="8"/>
  <c r="A64" i="9"/>
  <c r="A64" i="8"/>
  <c r="A63" i="9"/>
  <c r="A63" i="8"/>
  <c r="A62" i="9"/>
  <c r="A61" i="9"/>
  <c r="A61" i="8" s="1"/>
  <c r="A60" i="9"/>
  <c r="A60" i="8" s="1"/>
  <c r="A59" i="9"/>
  <c r="A59" i="8" s="1"/>
  <c r="A58" i="9"/>
  <c r="A58" i="8" s="1"/>
  <c r="A57" i="9"/>
  <c r="A57" i="8"/>
  <c r="A56" i="9"/>
  <c r="A56" i="8"/>
  <c r="A55" i="9"/>
  <c r="A55" i="8"/>
  <c r="A53" i="9"/>
  <c r="A52" i="9"/>
  <c r="A57" i="5" s="1"/>
  <c r="A51" i="9"/>
  <c r="A51" i="8" s="1"/>
  <c r="A49" i="9"/>
  <c r="A44" i="5" s="1"/>
  <c r="A48" i="9"/>
  <c r="A43" i="5" s="1"/>
  <c r="A47" i="9"/>
  <c r="A42" i="5"/>
  <c r="A46" i="9"/>
  <c r="A46" i="8"/>
  <c r="A45" i="9"/>
  <c r="A40" i="5"/>
  <c r="A44" i="9"/>
  <c r="A43" i="9"/>
  <c r="A38" i="5" s="1"/>
  <c r="A42" i="9"/>
  <c r="A42" i="8" s="1"/>
  <c r="A41" i="9"/>
  <c r="A36" i="5" s="1"/>
  <c r="A40" i="9"/>
  <c r="A40" i="8" s="1"/>
  <c r="A39" i="9"/>
  <c r="A38" i="9"/>
  <c r="A38" i="8" s="1"/>
  <c r="A32" i="5"/>
  <c r="A36" i="9"/>
  <c r="A36" i="8" s="1"/>
  <c r="A35" i="9"/>
  <c r="A35" i="8" s="1"/>
  <c r="A34" i="9"/>
  <c r="A34" i="8"/>
  <c r="A33" i="9"/>
  <c r="A32" i="9"/>
  <c r="A32" i="8" s="1"/>
  <c r="A31" i="9"/>
  <c r="A31" i="8" s="1"/>
  <c r="A30" i="9"/>
  <c r="A30" i="8"/>
  <c r="A29" i="9"/>
  <c r="A28" i="9"/>
  <c r="A28" i="8" s="1"/>
  <c r="A27" i="9"/>
  <c r="A27" i="8" s="1"/>
  <c r="A26" i="9"/>
  <c r="A26" i="8"/>
  <c r="A25" i="9"/>
  <c r="A27" i="5"/>
  <c r="A24" i="9"/>
  <c r="A23" i="9"/>
  <c r="A26" i="5" s="1"/>
  <c r="A22" i="9"/>
  <c r="A22" i="8" s="1"/>
  <c r="A21" i="9"/>
  <c r="A24" i="5" s="1"/>
  <c r="A20" i="9"/>
  <c r="A23" i="5" s="1"/>
  <c r="A19" i="9"/>
  <c r="A55" i="5"/>
  <c r="A18" i="9"/>
  <c r="A18" i="8"/>
  <c r="A17" i="9"/>
  <c r="A71" i="5"/>
  <c r="A16" i="9"/>
  <c r="A15" i="9"/>
  <c r="A62" i="5" s="1"/>
  <c r="A14" i="9"/>
  <c r="A13" i="9"/>
  <c r="A72" i="5" s="1"/>
  <c r="A12" i="9"/>
  <c r="A12" i="8" s="1"/>
  <c r="A11" i="9"/>
  <c r="A10" i="9"/>
  <c r="A10" i="8" s="1"/>
  <c r="A9" i="9"/>
  <c r="A60" i="5"/>
  <c r="A8" i="9"/>
  <c r="A61" i="5"/>
  <c r="A6" i="9"/>
  <c r="A6" i="8"/>
  <c r="A5" i="9"/>
  <c r="A73" i="5"/>
  <c r="A4" i="9"/>
  <c r="A3" i="9"/>
  <c r="A3" i="8" s="1"/>
  <c r="A2" i="9"/>
  <c r="P2607" i="1"/>
  <c r="O2607" i="1"/>
  <c r="N2607" i="1"/>
  <c r="M2607" i="1"/>
  <c r="A140" i="8"/>
  <c r="A138" i="8"/>
  <c r="A137" i="8"/>
  <c r="A136" i="8"/>
  <c r="A134" i="8"/>
  <c r="A130" i="8"/>
  <c r="A126" i="8"/>
  <c r="A122" i="8"/>
  <c r="A118" i="8"/>
  <c r="A116" i="8"/>
  <c r="A114" i="8"/>
  <c r="A110" i="8"/>
  <c r="A108" i="8"/>
  <c r="A107" i="8"/>
  <c r="A105" i="8"/>
  <c r="A104" i="8"/>
  <c r="A98" i="8"/>
  <c r="A94" i="8"/>
  <c r="A93" i="8"/>
  <c r="A91" i="8"/>
  <c r="A89" i="8"/>
  <c r="A88" i="8"/>
  <c r="A84" i="8"/>
  <c r="A82" i="8"/>
  <c r="A81" i="8"/>
  <c r="A80" i="8"/>
  <c r="A78" i="8"/>
  <c r="A70" i="8"/>
  <c r="A62" i="8"/>
  <c r="A54" i="8"/>
  <c r="A53" i="8"/>
  <c r="A52" i="8"/>
  <c r="A48" i="8"/>
  <c r="A47" i="8"/>
  <c r="A45" i="8"/>
  <c r="A44" i="8"/>
  <c r="A43" i="8"/>
  <c r="C43" i="8" s="1"/>
  <c r="A41" i="8"/>
  <c r="A39" i="8"/>
  <c r="A37" i="8"/>
  <c r="A33" i="8"/>
  <c r="A29" i="8"/>
  <c r="A25" i="8"/>
  <c r="A24" i="8"/>
  <c r="A23" i="8"/>
  <c r="A20" i="8"/>
  <c r="A19" i="8"/>
  <c r="A17" i="8"/>
  <c r="A16" i="8"/>
  <c r="A15" i="8"/>
  <c r="A14" i="8"/>
  <c r="A13" i="8"/>
  <c r="A11" i="8"/>
  <c r="A9" i="8"/>
  <c r="A8" i="8"/>
  <c r="A7" i="8"/>
  <c r="A5" i="8"/>
  <c r="A4" i="8"/>
  <c r="A2" i="8"/>
  <c r="A134" i="5"/>
  <c r="A131" i="5"/>
  <c r="A128" i="5"/>
  <c r="A127" i="5"/>
  <c r="A126" i="5"/>
  <c r="A125" i="5"/>
  <c r="A124" i="5"/>
  <c r="A122" i="5"/>
  <c r="A119" i="5"/>
  <c r="A117" i="5"/>
  <c r="A115" i="5"/>
  <c r="A113" i="5"/>
  <c r="A112" i="5"/>
  <c r="A108" i="5"/>
  <c r="A104" i="5"/>
  <c r="A101" i="5"/>
  <c r="A98" i="5"/>
  <c r="A97" i="5"/>
  <c r="A94" i="5"/>
  <c r="A93" i="5"/>
  <c r="A90" i="5"/>
  <c r="A89" i="5"/>
  <c r="A87" i="5"/>
  <c r="A84" i="5"/>
  <c r="A80" i="5"/>
  <c r="A76" i="5"/>
  <c r="A74" i="5"/>
  <c r="A70" i="5"/>
  <c r="A69" i="5"/>
  <c r="A68" i="5"/>
  <c r="A67" i="5"/>
  <c r="A66" i="5"/>
  <c r="A65" i="5"/>
  <c r="A63" i="5"/>
  <c r="A59" i="5"/>
  <c r="A58" i="5"/>
  <c r="A56" i="5"/>
  <c r="A54" i="5"/>
  <c r="A52" i="5"/>
  <c r="A49" i="5"/>
  <c r="A48" i="5"/>
  <c r="A47" i="5"/>
  <c r="A39" i="5"/>
  <c r="A35" i="5"/>
  <c r="A34" i="5"/>
  <c r="A29" i="5"/>
  <c r="A28" i="5"/>
  <c r="A30" i="5"/>
  <c r="A21" i="5"/>
  <c r="A19" i="5"/>
  <c r="A17" i="5"/>
  <c r="A13" i="5"/>
  <c r="A11" i="5"/>
  <c r="A10" i="5"/>
  <c r="A8" i="5"/>
  <c r="A7" i="5"/>
  <c r="A6" i="5"/>
  <c r="A4" i="5"/>
  <c r="A2" i="5"/>
  <c r="P2606" i="1"/>
  <c r="O2606" i="1"/>
  <c r="N2606" i="1"/>
  <c r="M2606" i="1"/>
  <c r="P2605" i="1"/>
  <c r="O2605" i="1"/>
  <c r="N2605" i="1"/>
  <c r="M2605" i="1"/>
  <c r="P2604" i="1"/>
  <c r="O2604" i="1"/>
  <c r="N2604" i="1"/>
  <c r="M2604" i="1"/>
  <c r="P2084" i="1"/>
  <c r="O2084" i="1"/>
  <c r="N2084" i="1"/>
  <c r="M2084" i="1"/>
  <c r="P2603" i="1"/>
  <c r="O2603" i="1"/>
  <c r="N2603" i="1"/>
  <c r="M2603" i="1"/>
  <c r="M54" i="14"/>
  <c r="G54" i="14"/>
  <c r="H54" i="14"/>
  <c r="F54" i="14"/>
  <c r="P2602" i="1"/>
  <c r="O2602" i="1"/>
  <c r="N2602" i="1"/>
  <c r="M2602" i="1"/>
  <c r="P2601" i="1"/>
  <c r="O2601" i="1"/>
  <c r="N2601" i="1"/>
  <c r="M2601" i="1"/>
  <c r="P2600" i="1"/>
  <c r="O2600" i="1"/>
  <c r="N2600" i="1"/>
  <c r="M2600" i="1"/>
  <c r="P2599" i="1"/>
  <c r="O2599" i="1"/>
  <c r="N2599" i="1"/>
  <c r="M2599" i="1"/>
  <c r="O2598" i="1"/>
  <c r="N2598" i="1"/>
  <c r="M2598" i="1"/>
  <c r="P2598" i="1"/>
  <c r="P2597" i="1"/>
  <c r="O2597" i="1"/>
  <c r="N2597" i="1"/>
  <c r="M2597" i="1"/>
  <c r="P2596" i="1"/>
  <c r="O2596" i="1"/>
  <c r="N2596" i="1"/>
  <c r="M2596" i="1"/>
  <c r="P2595" i="1"/>
  <c r="O2595" i="1"/>
  <c r="N2595" i="1"/>
  <c r="M2595" i="1"/>
  <c r="AM64" i="9"/>
  <c r="P2594" i="1"/>
  <c r="O2594" i="1"/>
  <c r="N2594" i="1"/>
  <c r="M2594" i="1"/>
  <c r="P2593" i="1"/>
  <c r="O2593" i="1"/>
  <c r="N2593" i="1"/>
  <c r="M2593" i="1"/>
  <c r="P2592" i="1"/>
  <c r="O2592" i="1"/>
  <c r="N2592" i="1"/>
  <c r="M2592" i="1"/>
  <c r="P2591" i="1"/>
  <c r="O2591" i="1"/>
  <c r="N2591" i="1"/>
  <c r="M2591" i="1"/>
  <c r="P2590" i="1"/>
  <c r="O2590" i="1"/>
  <c r="N2590" i="1"/>
  <c r="M2590" i="1"/>
  <c r="AM93" i="9"/>
  <c r="P2589" i="1"/>
  <c r="O2589" i="1"/>
  <c r="N2589" i="1"/>
  <c r="M2589" i="1"/>
  <c r="P2588" i="1"/>
  <c r="O2588" i="1"/>
  <c r="N2588" i="1"/>
  <c r="M2588" i="1"/>
  <c r="P2587" i="1"/>
  <c r="O2587" i="1"/>
  <c r="N2587" i="1"/>
  <c r="M2587" i="1"/>
  <c r="P2586" i="1"/>
  <c r="O2586" i="1"/>
  <c r="N2586" i="1"/>
  <c r="M2586" i="1"/>
  <c r="P2585" i="1"/>
  <c r="O2585" i="1"/>
  <c r="N2585" i="1"/>
  <c r="M2585" i="1"/>
  <c r="P2584" i="1"/>
  <c r="O2584" i="1"/>
  <c r="N2584" i="1"/>
  <c r="M2584" i="1"/>
  <c r="P2583" i="1"/>
  <c r="O2583" i="1"/>
  <c r="N2583" i="1"/>
  <c r="M2583" i="1"/>
  <c r="P2582" i="1"/>
  <c r="O2582" i="1"/>
  <c r="N2582" i="1"/>
  <c r="M2582" i="1"/>
  <c r="AN59" i="9"/>
  <c r="P2581" i="1"/>
  <c r="O2581" i="1"/>
  <c r="N2581" i="1"/>
  <c r="M2581" i="1"/>
  <c r="P2580" i="1"/>
  <c r="O2580" i="1"/>
  <c r="N2580" i="1"/>
  <c r="M2580" i="1"/>
  <c r="P2579" i="1"/>
  <c r="O2579" i="1"/>
  <c r="N2579" i="1"/>
  <c r="M2579" i="1"/>
  <c r="P2578" i="1"/>
  <c r="O2578" i="1"/>
  <c r="N2578" i="1"/>
  <c r="M2578" i="1"/>
  <c r="P2577" i="1"/>
  <c r="O2577" i="1"/>
  <c r="N2577" i="1"/>
  <c r="M2577" i="1"/>
  <c r="P2576" i="1"/>
  <c r="O2576" i="1"/>
  <c r="N2576" i="1"/>
  <c r="M2576" i="1"/>
  <c r="P2575" i="1"/>
  <c r="O2575" i="1"/>
  <c r="N2575" i="1"/>
  <c r="M2575" i="1"/>
  <c r="P2574" i="1"/>
  <c r="O2574" i="1"/>
  <c r="N2574" i="1"/>
  <c r="M2574" i="1"/>
  <c r="P2573" i="1"/>
  <c r="O2573" i="1"/>
  <c r="N2573" i="1"/>
  <c r="M2573" i="1"/>
  <c r="P2572" i="1"/>
  <c r="O2572" i="1"/>
  <c r="N2572" i="1"/>
  <c r="M2572" i="1"/>
  <c r="P2571" i="1"/>
  <c r="O2571" i="1"/>
  <c r="N2571" i="1"/>
  <c r="M2571" i="1"/>
  <c r="P2570" i="1"/>
  <c r="O2570" i="1"/>
  <c r="N2570" i="1"/>
  <c r="M2570" i="1"/>
  <c r="P2569" i="1"/>
  <c r="O2569" i="1"/>
  <c r="N2569" i="1"/>
  <c r="M2569" i="1"/>
  <c r="P2568" i="1"/>
  <c r="O2568" i="1"/>
  <c r="N2568" i="1"/>
  <c r="M2568" i="1"/>
  <c r="P2567" i="1"/>
  <c r="O2567" i="1"/>
  <c r="N2567" i="1"/>
  <c r="M2567" i="1"/>
  <c r="P2566" i="1"/>
  <c r="O2566" i="1"/>
  <c r="N2566" i="1"/>
  <c r="M2566" i="1"/>
  <c r="M53" i="14"/>
  <c r="G53" i="14"/>
  <c r="H53" i="14" s="1"/>
  <c r="L53" i="14" s="1"/>
  <c r="F53" i="14"/>
  <c r="P2565" i="1"/>
  <c r="O2565" i="1"/>
  <c r="N2565" i="1"/>
  <c r="M2565" i="1"/>
  <c r="P2564" i="1"/>
  <c r="O2564" i="1"/>
  <c r="N2564" i="1"/>
  <c r="M2564" i="1"/>
  <c r="P2563" i="1"/>
  <c r="O2563" i="1"/>
  <c r="N2563" i="1"/>
  <c r="M2563" i="1"/>
  <c r="P2562" i="1"/>
  <c r="O2562" i="1"/>
  <c r="N2562" i="1"/>
  <c r="M2562" i="1"/>
  <c r="P2561" i="1"/>
  <c r="O2561" i="1"/>
  <c r="N2561" i="1"/>
  <c r="M2561" i="1"/>
  <c r="P2560" i="1"/>
  <c r="O2560" i="1"/>
  <c r="N2560" i="1"/>
  <c r="M2560" i="1"/>
  <c r="P2558" i="1"/>
  <c r="P2559" i="1"/>
  <c r="O2559" i="1"/>
  <c r="N2559" i="1"/>
  <c r="M2559" i="1"/>
  <c r="O2558" i="1"/>
  <c r="N2558" i="1"/>
  <c r="M2558" i="1"/>
  <c r="P2557" i="1"/>
  <c r="O2557" i="1"/>
  <c r="N2557" i="1"/>
  <c r="M2557" i="1"/>
  <c r="O2556" i="1"/>
  <c r="N2556" i="1"/>
  <c r="M2556" i="1"/>
  <c r="P2556" i="1"/>
  <c r="P2555" i="1"/>
  <c r="O2555" i="1"/>
  <c r="N2555" i="1"/>
  <c r="M2555" i="1"/>
  <c r="M52" i="14"/>
  <c r="G52" i="14"/>
  <c r="H52" i="14"/>
  <c r="L52" i="14" s="1"/>
  <c r="F52" i="14"/>
  <c r="P2554" i="1"/>
  <c r="O2554" i="1"/>
  <c r="N2554" i="1"/>
  <c r="M2554" i="1"/>
  <c r="M51" i="14"/>
  <c r="G51" i="14"/>
  <c r="H51" i="14" s="1"/>
  <c r="L51" i="14" s="1"/>
  <c r="F51" i="14"/>
  <c r="P2553" i="1"/>
  <c r="O2553" i="1"/>
  <c r="N2553" i="1"/>
  <c r="M2553" i="1"/>
  <c r="P2552" i="1"/>
  <c r="O2552" i="1"/>
  <c r="N2552" i="1"/>
  <c r="M2552" i="1"/>
  <c r="P2551" i="1"/>
  <c r="O2551" i="1"/>
  <c r="N2551" i="1"/>
  <c r="M2551" i="1"/>
  <c r="P2550" i="1"/>
  <c r="O2550" i="1"/>
  <c r="N2550" i="1"/>
  <c r="M2550" i="1"/>
  <c r="P2549" i="1"/>
  <c r="O2549" i="1"/>
  <c r="N2549" i="1"/>
  <c r="M2549" i="1"/>
  <c r="P2548" i="1"/>
  <c r="O2548" i="1"/>
  <c r="N2548" i="1"/>
  <c r="M2548" i="1"/>
  <c r="P2547" i="1"/>
  <c r="O2547" i="1"/>
  <c r="N2547" i="1"/>
  <c r="M2547" i="1"/>
  <c r="P2546" i="1"/>
  <c r="O2546" i="1"/>
  <c r="N2546" i="1"/>
  <c r="M2546" i="1"/>
  <c r="BA140" i="9"/>
  <c r="BA139" i="9"/>
  <c r="BA136" i="9"/>
  <c r="BA135" i="9"/>
  <c r="C135" i="9"/>
  <c r="BA127" i="9"/>
  <c r="BA126" i="9"/>
  <c r="BA122" i="9"/>
  <c r="BA120" i="9"/>
  <c r="BA118" i="9"/>
  <c r="C118" i="9"/>
  <c r="BA112" i="9"/>
  <c r="BA107" i="9"/>
  <c r="BA103" i="9"/>
  <c r="BA98" i="9"/>
  <c r="BA96" i="9"/>
  <c r="BA95" i="9"/>
  <c r="C95" i="9" s="1"/>
  <c r="BA89" i="9"/>
  <c r="BA83" i="9"/>
  <c r="BA81" i="9"/>
  <c r="C81" i="9" s="1"/>
  <c r="BA79" i="9"/>
  <c r="BA75" i="9"/>
  <c r="BA73" i="9"/>
  <c r="BA72" i="9"/>
  <c r="BA68" i="9"/>
  <c r="BA63" i="9"/>
  <c r="BA58" i="9"/>
  <c r="BA51" i="9"/>
  <c r="BA49" i="9"/>
  <c r="BA48" i="9"/>
  <c r="BA34" i="9"/>
  <c r="BA32" i="9"/>
  <c r="BA31" i="9"/>
  <c r="BA30" i="9"/>
  <c r="C30" i="9"/>
  <c r="BA29" i="9"/>
  <c r="BA28" i="9"/>
  <c r="BA27" i="9"/>
  <c r="BA26" i="9"/>
  <c r="BA25" i="9"/>
  <c r="BA24" i="9"/>
  <c r="C24" i="9" s="1"/>
  <c r="BA23" i="9"/>
  <c r="BA22" i="9"/>
  <c r="BA21" i="9"/>
  <c r="BA19" i="9"/>
  <c r="BA18" i="9"/>
  <c r="BA15" i="9"/>
  <c r="BA14" i="9"/>
  <c r="BA12" i="9"/>
  <c r="C12" i="9"/>
  <c r="BA9" i="9"/>
  <c r="BA3" i="9"/>
  <c r="P2545" i="1"/>
  <c r="O2545" i="1"/>
  <c r="N2545" i="1"/>
  <c r="M2545" i="1"/>
  <c r="P2544" i="1"/>
  <c r="O2544" i="1"/>
  <c r="N2544" i="1"/>
  <c r="M2544" i="1"/>
  <c r="P2543" i="1"/>
  <c r="O2543" i="1"/>
  <c r="N2543" i="1"/>
  <c r="M2543" i="1"/>
  <c r="N75" i="4"/>
  <c r="N74" i="4"/>
  <c r="N73" i="4"/>
  <c r="N72" i="4"/>
  <c r="N71" i="4"/>
  <c r="N70" i="4"/>
  <c r="N69" i="4"/>
  <c r="N68" i="4"/>
  <c r="N67" i="4"/>
  <c r="N66" i="4"/>
  <c r="N65" i="4"/>
  <c r="N64" i="4"/>
  <c r="N63" i="4"/>
  <c r="N62" i="4"/>
  <c r="N61" i="4"/>
  <c r="N60" i="4"/>
  <c r="N59" i="4"/>
  <c r="N58" i="4"/>
  <c r="N57" i="4"/>
  <c r="N56" i="4"/>
  <c r="P2542" i="1"/>
  <c r="O2542" i="1"/>
  <c r="N2542" i="1"/>
  <c r="M2542" i="1"/>
  <c r="P2541" i="1"/>
  <c r="O2541" i="1"/>
  <c r="N2541" i="1"/>
  <c r="M2541" i="1"/>
  <c r="P2540" i="1"/>
  <c r="O2540" i="1"/>
  <c r="N2540" i="1"/>
  <c r="M2540" i="1"/>
  <c r="P2539" i="1"/>
  <c r="O2539" i="1"/>
  <c r="N2539" i="1"/>
  <c r="M2539" i="1"/>
  <c r="P2538" i="1"/>
  <c r="O2538" i="1"/>
  <c r="N2538" i="1"/>
  <c r="M2538" i="1"/>
  <c r="M50" i="14"/>
  <c r="G50" i="14"/>
  <c r="H50" i="14" s="1"/>
  <c r="L50" i="14" s="1"/>
  <c r="F50" i="14"/>
  <c r="P2537" i="1"/>
  <c r="O2537" i="1"/>
  <c r="N2537" i="1"/>
  <c r="M2537" i="1"/>
  <c r="P2536" i="1"/>
  <c r="O2536" i="1"/>
  <c r="N2536" i="1"/>
  <c r="M2536" i="1"/>
  <c r="AL39" i="9"/>
  <c r="P2535" i="1"/>
  <c r="O2535" i="1"/>
  <c r="N2535" i="1"/>
  <c r="M2535" i="1"/>
  <c r="P2534" i="1"/>
  <c r="O2534" i="1"/>
  <c r="N2534" i="1"/>
  <c r="M2534" i="1"/>
  <c r="O2533" i="1"/>
  <c r="N2533" i="1"/>
  <c r="M2533" i="1"/>
  <c r="P2532" i="1"/>
  <c r="O2532" i="1"/>
  <c r="N2532" i="1"/>
  <c r="M2532" i="1"/>
  <c r="P2531" i="1"/>
  <c r="O2531" i="1"/>
  <c r="N2531" i="1"/>
  <c r="M2531" i="1"/>
  <c r="AM87" i="9"/>
  <c r="P2530" i="1"/>
  <c r="O2530" i="1"/>
  <c r="N2530" i="1"/>
  <c r="M2530" i="1"/>
  <c r="P2529" i="1"/>
  <c r="O2529" i="1"/>
  <c r="N2529" i="1"/>
  <c r="M2529" i="1"/>
  <c r="O2528" i="1"/>
  <c r="N2528" i="1"/>
  <c r="M2528" i="1"/>
  <c r="P2528" i="1"/>
  <c r="P2527" i="1"/>
  <c r="O2527" i="1"/>
  <c r="N2527" i="1"/>
  <c r="M2527" i="1"/>
  <c r="P2526" i="1"/>
  <c r="O2526" i="1"/>
  <c r="N2526" i="1"/>
  <c r="M2526" i="1"/>
  <c r="P2525" i="1"/>
  <c r="O2525" i="1"/>
  <c r="N2525" i="1"/>
  <c r="M2525" i="1"/>
  <c r="P2524" i="1"/>
  <c r="O2524" i="1"/>
  <c r="N2524" i="1"/>
  <c r="M2524" i="1"/>
  <c r="AL94" i="9"/>
  <c r="BA94" i="9"/>
  <c r="C94" i="9" s="1"/>
  <c r="P2523" i="1"/>
  <c r="O2523" i="1"/>
  <c r="N2523" i="1"/>
  <c r="M2523" i="1"/>
  <c r="P2522" i="1"/>
  <c r="O2522" i="1"/>
  <c r="N2522" i="1"/>
  <c r="M2522" i="1"/>
  <c r="P2521" i="1"/>
  <c r="O2521" i="1"/>
  <c r="N2521" i="1"/>
  <c r="M2521" i="1"/>
  <c r="P2520" i="1"/>
  <c r="O2520" i="1"/>
  <c r="N2520" i="1"/>
  <c r="M2520" i="1"/>
  <c r="P2519" i="1"/>
  <c r="O2519" i="1"/>
  <c r="N2519" i="1"/>
  <c r="M2519" i="1"/>
  <c r="P2518" i="1"/>
  <c r="O2518" i="1"/>
  <c r="N2518" i="1"/>
  <c r="M2518" i="1"/>
  <c r="M49" i="14"/>
  <c r="G49" i="14"/>
  <c r="H49" i="14"/>
  <c r="L49" i="14" s="1"/>
  <c r="F49" i="14"/>
  <c r="P2517" i="1"/>
  <c r="O2517" i="1"/>
  <c r="N2517" i="1"/>
  <c r="M2517" i="1"/>
  <c r="AL77" i="9"/>
  <c r="P2516" i="1"/>
  <c r="O2516" i="1"/>
  <c r="N2516" i="1"/>
  <c r="M2516" i="1"/>
  <c r="P2515" i="1"/>
  <c r="O2515" i="1"/>
  <c r="N2515" i="1"/>
  <c r="M2515" i="1"/>
  <c r="P2514" i="1"/>
  <c r="O2514" i="1"/>
  <c r="N2514" i="1"/>
  <c r="M2514" i="1"/>
  <c r="P2513" i="1"/>
  <c r="O2513" i="1"/>
  <c r="N2513" i="1"/>
  <c r="M2513" i="1"/>
  <c r="AM57" i="9"/>
  <c r="AM142" i="9" s="1"/>
  <c r="AN142" i="5"/>
  <c r="P2512" i="1"/>
  <c r="O2512" i="1"/>
  <c r="N2512" i="1"/>
  <c r="M2512" i="1"/>
  <c r="P2511" i="1"/>
  <c r="O2511" i="1"/>
  <c r="N2511" i="1"/>
  <c r="M2511" i="1"/>
  <c r="AL130" i="9"/>
  <c r="P2510" i="1"/>
  <c r="O2510" i="1"/>
  <c r="N2510" i="1"/>
  <c r="M2510" i="1"/>
  <c r="P2509" i="1"/>
  <c r="O2509" i="1"/>
  <c r="N2509" i="1"/>
  <c r="M2509" i="1"/>
  <c r="P2508" i="1"/>
  <c r="O2508" i="1"/>
  <c r="N2508" i="1"/>
  <c r="M2508" i="1"/>
  <c r="P2507" i="1"/>
  <c r="O2507" i="1"/>
  <c r="N2507" i="1"/>
  <c r="M2507" i="1"/>
  <c r="P2506" i="1"/>
  <c r="O2506" i="1"/>
  <c r="N2506" i="1"/>
  <c r="M2506" i="1"/>
  <c r="P2505" i="1"/>
  <c r="O2505" i="1"/>
  <c r="N2505" i="1"/>
  <c r="M2505" i="1"/>
  <c r="E4" i="4"/>
  <c r="E5" i="4"/>
  <c r="E6" i="4"/>
  <c r="E7" i="4"/>
  <c r="E8" i="4"/>
  <c r="E9" i="4"/>
  <c r="E10" i="4"/>
  <c r="E11"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H37" i="4"/>
  <c r="J4" i="4"/>
  <c r="J5" i="4"/>
  <c r="J6" i="4"/>
  <c r="J7" i="4"/>
  <c r="J8" i="4"/>
  <c r="J9" i="4"/>
  <c r="J10" i="4"/>
  <c r="J11" i="4"/>
  <c r="J12" i="4"/>
  <c r="J13" i="4"/>
  <c r="J14" i="4"/>
  <c r="J15" i="4"/>
  <c r="J16" i="4"/>
  <c r="J17" i="4"/>
  <c r="J18" i="4"/>
  <c r="J19" i="4"/>
  <c r="J20" i="4"/>
  <c r="J21" i="4"/>
  <c r="J22" i="4"/>
  <c r="J23" i="4"/>
  <c r="J24" i="4"/>
  <c r="J25" i="4"/>
  <c r="J26" i="4"/>
  <c r="J27" i="4"/>
  <c r="J28" i="4"/>
  <c r="J29" i="4"/>
  <c r="J30" i="4"/>
  <c r="J31" i="4"/>
  <c r="J32" i="4"/>
  <c r="J33" i="4"/>
  <c r="J34" i="4"/>
  <c r="J35" i="4"/>
  <c r="J36" i="4"/>
  <c r="J37" i="4"/>
  <c r="J38" i="4"/>
  <c r="J39" i="4"/>
  <c r="J40" i="4"/>
  <c r="J41" i="4"/>
  <c r="J42" i="4"/>
  <c r="J43" i="4"/>
  <c r="J44" i="4"/>
  <c r="J45" i="4"/>
  <c r="J46" i="4"/>
  <c r="J47"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M33" i="4"/>
  <c r="O4" i="4"/>
  <c r="O5" i="4"/>
  <c r="O6" i="4"/>
  <c r="O7" i="4"/>
  <c r="O8" i="4"/>
  <c r="O9" i="4"/>
  <c r="O10"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0" i="4"/>
  <c r="O51" i="4"/>
  <c r="O52" i="4"/>
  <c r="O53" i="4"/>
  <c r="O54" i="4"/>
  <c r="O55" i="4"/>
  <c r="O56" i="4"/>
  <c r="O57" i="4"/>
  <c r="O58" i="4"/>
  <c r="O59" i="4"/>
  <c r="O60" i="4"/>
  <c r="O61" i="4"/>
  <c r="O62" i="4"/>
  <c r="O63" i="4"/>
  <c r="O64" i="4"/>
  <c r="O65" i="4"/>
  <c r="O66" i="4"/>
  <c r="O67" i="4"/>
  <c r="O68" i="4"/>
  <c r="O69" i="4"/>
  <c r="O70" i="4"/>
  <c r="O71" i="4"/>
  <c r="O72" i="4"/>
  <c r="O73" i="4"/>
  <c r="O74" i="4"/>
  <c r="O75" i="4"/>
  <c r="T4" i="4"/>
  <c r="T5" i="4"/>
  <c r="T6" i="4"/>
  <c r="T7" i="4"/>
  <c r="T8" i="4"/>
  <c r="T9" i="4"/>
  <c r="T10" i="4"/>
  <c r="T11" i="4"/>
  <c r="T12" i="4"/>
  <c r="T13" i="4"/>
  <c r="T14" i="4"/>
  <c r="T15" i="4"/>
  <c r="T16" i="4"/>
  <c r="T17" i="4"/>
  <c r="T18" i="4"/>
  <c r="T19" i="4"/>
  <c r="T20" i="4"/>
  <c r="T21" i="4"/>
  <c r="T22" i="4"/>
  <c r="T23" i="4"/>
  <c r="T24" i="4"/>
  <c r="T25" i="4"/>
  <c r="T26" i="4"/>
  <c r="T27" i="4"/>
  <c r="T28" i="4"/>
  <c r="T29" i="4"/>
  <c r="T30" i="4"/>
  <c r="T31" i="4"/>
  <c r="T32" i="4"/>
  <c r="T33" i="4"/>
  <c r="T34" i="4"/>
  <c r="T35" i="4"/>
  <c r="T36" i="4"/>
  <c r="T37" i="4"/>
  <c r="T38" i="4"/>
  <c r="T39" i="4"/>
  <c r="T40" i="4"/>
  <c r="T41" i="4"/>
  <c r="T42" i="4"/>
  <c r="T43" i="4"/>
  <c r="T44" i="4"/>
  <c r="T45" i="4"/>
  <c r="T46" i="4"/>
  <c r="T47" i="4"/>
  <c r="T48" i="4"/>
  <c r="T49" i="4"/>
  <c r="T50" i="4"/>
  <c r="T51" i="4"/>
  <c r="T52" i="4"/>
  <c r="T53" i="4"/>
  <c r="T54" i="4"/>
  <c r="T55" i="4"/>
  <c r="T56" i="4"/>
  <c r="T57" i="4"/>
  <c r="T58" i="4"/>
  <c r="T59" i="4"/>
  <c r="T60" i="4"/>
  <c r="T61" i="4"/>
  <c r="T62" i="4"/>
  <c r="T63" i="4"/>
  <c r="T64" i="4"/>
  <c r="T65" i="4"/>
  <c r="T66" i="4"/>
  <c r="T67" i="4"/>
  <c r="T68" i="4"/>
  <c r="T69" i="4"/>
  <c r="T70" i="4"/>
  <c r="T71" i="4"/>
  <c r="T72" i="4"/>
  <c r="T73" i="4"/>
  <c r="T74" i="4"/>
  <c r="T75" i="4"/>
  <c r="Y4" i="4"/>
  <c r="Y5" i="4"/>
  <c r="Y6" i="4"/>
  <c r="Y7" i="4"/>
  <c r="Y8" i="4"/>
  <c r="Y9" i="4"/>
  <c r="Y10" i="4"/>
  <c r="Y11" i="4"/>
  <c r="Y12" i="4"/>
  <c r="Y13" i="4"/>
  <c r="Y14" i="4"/>
  <c r="Y15" i="4"/>
  <c r="Y16" i="4"/>
  <c r="Y17" i="4"/>
  <c r="Y18" i="4"/>
  <c r="Y19" i="4"/>
  <c r="Y20" i="4"/>
  <c r="Y21" i="4"/>
  <c r="Y22" i="4"/>
  <c r="Y23" i="4"/>
  <c r="Y24" i="4"/>
  <c r="Y25" i="4"/>
  <c r="Y26" i="4"/>
  <c r="Y27" i="4"/>
  <c r="Y28" i="4"/>
  <c r="Y29" i="4"/>
  <c r="Y30" i="4"/>
  <c r="Y31" i="4"/>
  <c r="Y32" i="4"/>
  <c r="Y33" i="4"/>
  <c r="Y34" i="4"/>
  <c r="Y35" i="4"/>
  <c r="Y36" i="4"/>
  <c r="Y37" i="4"/>
  <c r="Y38" i="4"/>
  <c r="Y39" i="4"/>
  <c r="Y40" i="4"/>
  <c r="Y41" i="4"/>
  <c r="Y42" i="4"/>
  <c r="Y43" i="4"/>
  <c r="Y44" i="4"/>
  <c r="Y45" i="4"/>
  <c r="Y46" i="4"/>
  <c r="Y47" i="4"/>
  <c r="Y48" i="4"/>
  <c r="Y49" i="4"/>
  <c r="Y50" i="4"/>
  <c r="Y51" i="4"/>
  <c r="Y52" i="4"/>
  <c r="Y53" i="4"/>
  <c r="Y54" i="4"/>
  <c r="Y55" i="4"/>
  <c r="Y56" i="4"/>
  <c r="Y57" i="4"/>
  <c r="Y58" i="4"/>
  <c r="Y59" i="4"/>
  <c r="Y60" i="4"/>
  <c r="Y61" i="4"/>
  <c r="Y62" i="4"/>
  <c r="Y63" i="4"/>
  <c r="Y64" i="4"/>
  <c r="Y65" i="4"/>
  <c r="Y66" i="4"/>
  <c r="Y67" i="4"/>
  <c r="Y68" i="4"/>
  <c r="Y69" i="4"/>
  <c r="Y70" i="4"/>
  <c r="Y71" i="4"/>
  <c r="Y72" i="4"/>
  <c r="Y73" i="4"/>
  <c r="Y74" i="4"/>
  <c r="Y75" i="4"/>
  <c r="AD4" i="4"/>
  <c r="AD5" i="4"/>
  <c r="AD6" i="4"/>
  <c r="AD7" i="4"/>
  <c r="AD8" i="4"/>
  <c r="AD9" i="4"/>
  <c r="AD10" i="4"/>
  <c r="AD11" i="4"/>
  <c r="AD12" i="4"/>
  <c r="AD13" i="4"/>
  <c r="AD14" i="4"/>
  <c r="AD15" i="4"/>
  <c r="AD16" i="4"/>
  <c r="AD17" i="4"/>
  <c r="AD18" i="4"/>
  <c r="AD19" i="4"/>
  <c r="AD20" i="4"/>
  <c r="AD21" i="4"/>
  <c r="AD22" i="4"/>
  <c r="AD23" i="4"/>
  <c r="AD24" i="4"/>
  <c r="AD25" i="4"/>
  <c r="AD26" i="4"/>
  <c r="AD27" i="4"/>
  <c r="AD28" i="4"/>
  <c r="AD29" i="4"/>
  <c r="AD30" i="4"/>
  <c r="AD31" i="4"/>
  <c r="AD32" i="4"/>
  <c r="AD33" i="4"/>
  <c r="AD34" i="4"/>
  <c r="AD35" i="4"/>
  <c r="AD36" i="4"/>
  <c r="AD37" i="4"/>
  <c r="AD38" i="4"/>
  <c r="AD39" i="4"/>
  <c r="AD40" i="4"/>
  <c r="AD41" i="4"/>
  <c r="AD42" i="4"/>
  <c r="AD43" i="4"/>
  <c r="AD44" i="4"/>
  <c r="AD45" i="4"/>
  <c r="AD46" i="4"/>
  <c r="AD47" i="4"/>
  <c r="AD48" i="4"/>
  <c r="AD49" i="4"/>
  <c r="AD50" i="4"/>
  <c r="AD51" i="4"/>
  <c r="AD52" i="4"/>
  <c r="AD53" i="4"/>
  <c r="AD54" i="4"/>
  <c r="AD55" i="4"/>
  <c r="AD56" i="4"/>
  <c r="AD57" i="4"/>
  <c r="AD58" i="4"/>
  <c r="AD59" i="4"/>
  <c r="AD60" i="4"/>
  <c r="AD61" i="4"/>
  <c r="AD62" i="4"/>
  <c r="AD63" i="4"/>
  <c r="AD64" i="4"/>
  <c r="AD65" i="4"/>
  <c r="AD66" i="4"/>
  <c r="AD67" i="4"/>
  <c r="AD68" i="4"/>
  <c r="AD69" i="4"/>
  <c r="AD70" i="4"/>
  <c r="AD71" i="4"/>
  <c r="AD72" i="4"/>
  <c r="AD73" i="4"/>
  <c r="AD74" i="4"/>
  <c r="AD75" i="4"/>
  <c r="AI4" i="4"/>
  <c r="AI5" i="4"/>
  <c r="AI6" i="4"/>
  <c r="AI7" i="4"/>
  <c r="AI8" i="4"/>
  <c r="AI9" i="4"/>
  <c r="AI10" i="4"/>
  <c r="AI11" i="4"/>
  <c r="AI12" i="4"/>
  <c r="AI13" i="4"/>
  <c r="AI14" i="4"/>
  <c r="AI15" i="4"/>
  <c r="AI16" i="4"/>
  <c r="AI17" i="4"/>
  <c r="AI18" i="4"/>
  <c r="AI19" i="4"/>
  <c r="AI20" i="4"/>
  <c r="AI21" i="4"/>
  <c r="AI22" i="4"/>
  <c r="AI23" i="4"/>
  <c r="AI24" i="4"/>
  <c r="AI25" i="4"/>
  <c r="AI26" i="4"/>
  <c r="AI27" i="4"/>
  <c r="AI28" i="4"/>
  <c r="AI29" i="4"/>
  <c r="AI30" i="4"/>
  <c r="AI31" i="4"/>
  <c r="AI32" i="4"/>
  <c r="AI33" i="4"/>
  <c r="AI34" i="4"/>
  <c r="AI35" i="4"/>
  <c r="AI36" i="4"/>
  <c r="AI37" i="4"/>
  <c r="AI38" i="4"/>
  <c r="AI39" i="4"/>
  <c r="AI40" i="4"/>
  <c r="AI41" i="4"/>
  <c r="AI42" i="4"/>
  <c r="AI43" i="4"/>
  <c r="AI44" i="4"/>
  <c r="AI45" i="4"/>
  <c r="AI46" i="4"/>
  <c r="AI47" i="4"/>
  <c r="AI48" i="4"/>
  <c r="AI49" i="4"/>
  <c r="AI50" i="4"/>
  <c r="AI51" i="4"/>
  <c r="AI52" i="4"/>
  <c r="AI53" i="4"/>
  <c r="AI54" i="4"/>
  <c r="AI55" i="4"/>
  <c r="AI56" i="4"/>
  <c r="AI57" i="4"/>
  <c r="AI58" i="4"/>
  <c r="AI59" i="4"/>
  <c r="AI60" i="4"/>
  <c r="AI61" i="4"/>
  <c r="AI62" i="4"/>
  <c r="AI63" i="4"/>
  <c r="AI64" i="4"/>
  <c r="AI65" i="4"/>
  <c r="AI66" i="4"/>
  <c r="AI67" i="4"/>
  <c r="AI68" i="4"/>
  <c r="AI69" i="4"/>
  <c r="AI70" i="4"/>
  <c r="AI71" i="4"/>
  <c r="AI72" i="4"/>
  <c r="AI73" i="4"/>
  <c r="AI74" i="4"/>
  <c r="AI75" i="4"/>
  <c r="AL18" i="4"/>
  <c r="AL20" i="4"/>
  <c r="AN4" i="4"/>
  <c r="AN5" i="4"/>
  <c r="AN6" i="4"/>
  <c r="AN7" i="4"/>
  <c r="AN8" i="4"/>
  <c r="AN9" i="4"/>
  <c r="AN10" i="4"/>
  <c r="AN11" i="4"/>
  <c r="AN12" i="4"/>
  <c r="AN13" i="4"/>
  <c r="AN14" i="4"/>
  <c r="AN15" i="4"/>
  <c r="AN16" i="4"/>
  <c r="AN17" i="4"/>
  <c r="AN18" i="4"/>
  <c r="AN19" i="4"/>
  <c r="AN20" i="4"/>
  <c r="AN21" i="4"/>
  <c r="AN22" i="4"/>
  <c r="AN23" i="4"/>
  <c r="AN24" i="4"/>
  <c r="AN25" i="4"/>
  <c r="AN26" i="4"/>
  <c r="AN27" i="4"/>
  <c r="AN28" i="4"/>
  <c r="AN29" i="4"/>
  <c r="AN30" i="4"/>
  <c r="AN31" i="4"/>
  <c r="AN32" i="4"/>
  <c r="AN33" i="4"/>
  <c r="AN34" i="4"/>
  <c r="AN35" i="4"/>
  <c r="AN36" i="4"/>
  <c r="AN37" i="4"/>
  <c r="AN38" i="4"/>
  <c r="AN39" i="4"/>
  <c r="AN40" i="4"/>
  <c r="AN41" i="4"/>
  <c r="AN42" i="4"/>
  <c r="AN43" i="4"/>
  <c r="AN44" i="4"/>
  <c r="AN45" i="4"/>
  <c r="AN46" i="4"/>
  <c r="AN47" i="4"/>
  <c r="AN48" i="4"/>
  <c r="AN49" i="4"/>
  <c r="AN50" i="4"/>
  <c r="AN51" i="4"/>
  <c r="AN52" i="4"/>
  <c r="AN53" i="4"/>
  <c r="AN54" i="4"/>
  <c r="AN55" i="4"/>
  <c r="AN56" i="4"/>
  <c r="AN57" i="4"/>
  <c r="AN58" i="4"/>
  <c r="AN59" i="4"/>
  <c r="AN60" i="4"/>
  <c r="AN61" i="4"/>
  <c r="AN62" i="4"/>
  <c r="AN63" i="4"/>
  <c r="AN64" i="4"/>
  <c r="AN65" i="4"/>
  <c r="AN66" i="4"/>
  <c r="AN67" i="4"/>
  <c r="AN68" i="4"/>
  <c r="AN69" i="4"/>
  <c r="AN70" i="4"/>
  <c r="AN71" i="4"/>
  <c r="AN72" i="4"/>
  <c r="AN73" i="4"/>
  <c r="AN74" i="4"/>
  <c r="AN75" i="4"/>
  <c r="AQ12" i="4"/>
  <c r="P2504" i="1"/>
  <c r="O2504" i="1"/>
  <c r="N2504" i="1"/>
  <c r="M2504" i="1"/>
  <c r="P2503" i="1"/>
  <c r="O2503" i="1"/>
  <c r="N2503" i="1"/>
  <c r="M2503" i="1"/>
  <c r="P2502" i="1"/>
  <c r="O2502" i="1"/>
  <c r="N2502" i="1"/>
  <c r="M2502" i="1"/>
  <c r="P2501" i="1"/>
  <c r="O2501" i="1"/>
  <c r="N2501" i="1"/>
  <c r="M2501" i="1"/>
  <c r="P2500" i="1"/>
  <c r="O2500" i="1"/>
  <c r="N2500" i="1"/>
  <c r="M2500" i="1"/>
  <c r="P2499" i="1"/>
  <c r="O2499" i="1"/>
  <c r="N2499" i="1"/>
  <c r="M2499" i="1"/>
  <c r="P2498" i="1"/>
  <c r="O2498" i="1"/>
  <c r="N2498" i="1"/>
  <c r="M2498" i="1"/>
  <c r="P2497" i="1"/>
  <c r="O2497" i="1"/>
  <c r="N2497" i="1"/>
  <c r="M2497" i="1"/>
  <c r="P2496" i="1"/>
  <c r="O2496" i="1"/>
  <c r="N2496" i="1"/>
  <c r="M2496" i="1"/>
  <c r="P2495" i="1"/>
  <c r="O2495" i="1"/>
  <c r="N2495" i="1"/>
  <c r="M2495" i="1"/>
  <c r="M48" i="14"/>
  <c r="G48" i="14"/>
  <c r="H48" i="14" s="1"/>
  <c r="L48" i="14" s="1"/>
  <c r="F48" i="14"/>
  <c r="AL87" i="9"/>
  <c r="P2494" i="1"/>
  <c r="O2494" i="1"/>
  <c r="N2494" i="1"/>
  <c r="M2494" i="1"/>
  <c r="AC15" i="12"/>
  <c r="AC14" i="12"/>
  <c r="AC13" i="12"/>
  <c r="AC12" i="12"/>
  <c r="AC11" i="12"/>
  <c r="AC10" i="12"/>
  <c r="AC9" i="12"/>
  <c r="AC8" i="12"/>
  <c r="AC7" i="12"/>
  <c r="AC6" i="12"/>
  <c r="AC5" i="12"/>
  <c r="AC4" i="12"/>
  <c r="AC3" i="12"/>
  <c r="F1" i="9"/>
  <c r="G1" i="9" s="1"/>
  <c r="H1" i="9"/>
  <c r="I1" i="9" s="1"/>
  <c r="F4" i="14"/>
  <c r="F5" i="14"/>
  <c r="A6" i="14"/>
  <c r="F37" i="14"/>
  <c r="F38" i="14"/>
  <c r="F39" i="14"/>
  <c r="F40" i="14"/>
  <c r="F41" i="14"/>
  <c r="F42" i="14"/>
  <c r="F43" i="14"/>
  <c r="F44" i="14"/>
  <c r="F45" i="14"/>
  <c r="F46" i="14"/>
  <c r="F47" i="14"/>
  <c r="G37" i="14"/>
  <c r="G38" i="14"/>
  <c r="H38" i="14"/>
  <c r="L38" i="14" s="1"/>
  <c r="G39" i="14"/>
  <c r="H39" i="14" s="1"/>
  <c r="L39" i="14" s="1"/>
  <c r="G40" i="14"/>
  <c r="H40" i="14"/>
  <c r="L40" i="14" s="1"/>
  <c r="G41" i="14"/>
  <c r="H41" i="14" s="1"/>
  <c r="L41" i="14" s="1"/>
  <c r="G42" i="14"/>
  <c r="H42" i="14"/>
  <c r="L42" i="14" s="1"/>
  <c r="G43" i="14"/>
  <c r="H43" i="14" s="1"/>
  <c r="L43" i="14" s="1"/>
  <c r="G44" i="14"/>
  <c r="H44" i="14"/>
  <c r="L44" i="14" s="1"/>
  <c r="G45" i="14"/>
  <c r="H45" i="14" s="1"/>
  <c r="L45" i="14" s="1"/>
  <c r="G46" i="14"/>
  <c r="H46" i="14"/>
  <c r="L46" i="14" s="1"/>
  <c r="G47" i="14"/>
  <c r="H47" i="14" s="1"/>
  <c r="L47" i="14" s="1"/>
  <c r="AK20" i="9"/>
  <c r="AK54" i="9"/>
  <c r="AK60" i="9"/>
  <c r="AK61" i="9"/>
  <c r="AK66" i="9"/>
  <c r="AK69" i="9"/>
  <c r="AK74" i="9"/>
  <c r="AK93" i="9"/>
  <c r="AK102" i="9"/>
  <c r="AK106" i="9"/>
  <c r="AK117" i="9"/>
  <c r="AK125" i="9"/>
  <c r="BA74" i="9"/>
  <c r="AE148" i="9"/>
  <c r="AF148" i="9" s="1"/>
  <c r="AG148" i="9" s="1"/>
  <c r="AH148" i="9" s="1"/>
  <c r="AE76" i="9"/>
  <c r="AE93" i="9"/>
  <c r="AE102" i="9"/>
  <c r="AC2" i="9"/>
  <c r="AC13" i="9"/>
  <c r="AC20" i="9"/>
  <c r="AC33" i="9"/>
  <c r="AC39" i="9"/>
  <c r="AC40" i="9"/>
  <c r="AC43" i="9"/>
  <c r="AC47" i="9"/>
  <c r="AC52" i="9"/>
  <c r="AC53" i="9"/>
  <c r="AC54" i="9"/>
  <c r="AC55" i="9"/>
  <c r="AC57" i="9"/>
  <c r="AC60" i="9"/>
  <c r="AC61" i="9"/>
  <c r="AC64" i="9"/>
  <c r="AC65" i="9"/>
  <c r="AC66" i="9"/>
  <c r="AC69" i="9"/>
  <c r="AC76" i="9"/>
  <c r="AC77" i="9"/>
  <c r="AC84" i="9"/>
  <c r="AC87" i="9"/>
  <c r="AC92" i="9"/>
  <c r="AC97" i="9"/>
  <c r="BA97" i="9" s="1"/>
  <c r="AC102" i="9"/>
  <c r="AC104" i="9"/>
  <c r="AC113" i="9"/>
  <c r="AC114" i="9"/>
  <c r="AC116" i="9"/>
  <c r="AC117" i="9"/>
  <c r="AC119" i="9"/>
  <c r="AC125" i="9"/>
  <c r="AC128" i="9"/>
  <c r="AC131" i="9"/>
  <c r="AC132" i="9"/>
  <c r="AC133" i="9"/>
  <c r="M47" i="14"/>
  <c r="P2493" i="1"/>
  <c r="O2493" i="1"/>
  <c r="N2493" i="1"/>
  <c r="M2493" i="1"/>
  <c r="P2492" i="1"/>
  <c r="O2492" i="1"/>
  <c r="N2492" i="1"/>
  <c r="M2492" i="1"/>
  <c r="P2491" i="1"/>
  <c r="O2491" i="1"/>
  <c r="N2491" i="1"/>
  <c r="M2491" i="1"/>
  <c r="P2490" i="1"/>
  <c r="O2490" i="1"/>
  <c r="N2490" i="1"/>
  <c r="M2490" i="1"/>
  <c r="P2489" i="1"/>
  <c r="O2489" i="1"/>
  <c r="N2489" i="1"/>
  <c r="M2489" i="1"/>
  <c r="P2488" i="1"/>
  <c r="O2488" i="1"/>
  <c r="N2488" i="1"/>
  <c r="M2488" i="1"/>
  <c r="AL61" i="9"/>
  <c r="P2487" i="1"/>
  <c r="O2487" i="1"/>
  <c r="N2487" i="1"/>
  <c r="M2487" i="1"/>
  <c r="P2486" i="1"/>
  <c r="O2486" i="1"/>
  <c r="N2486" i="1"/>
  <c r="M2486" i="1"/>
  <c r="P2485" i="1"/>
  <c r="O2485" i="1"/>
  <c r="N2485" i="1"/>
  <c r="M2485" i="1"/>
  <c r="P2484" i="1"/>
  <c r="O2484" i="1"/>
  <c r="N2484" i="1"/>
  <c r="M2484" i="1"/>
  <c r="P2483" i="1"/>
  <c r="O2483" i="1"/>
  <c r="N2483" i="1"/>
  <c r="M2483" i="1"/>
  <c r="P2482" i="1"/>
  <c r="O2482" i="1"/>
  <c r="N2482" i="1"/>
  <c r="M2482" i="1"/>
  <c r="AL93" i="9"/>
  <c r="P2481" i="1"/>
  <c r="O2481" i="1"/>
  <c r="N2481" i="1"/>
  <c r="M2481" i="1"/>
  <c r="P2480" i="1"/>
  <c r="O2480" i="1"/>
  <c r="N2480" i="1"/>
  <c r="M2480" i="1"/>
  <c r="P2479" i="1"/>
  <c r="O2479" i="1"/>
  <c r="N2479" i="1"/>
  <c r="M2479" i="1"/>
  <c r="P2478" i="1"/>
  <c r="O2478" i="1"/>
  <c r="N2478" i="1"/>
  <c r="M2478" i="1"/>
  <c r="AL91" i="9"/>
  <c r="P2477" i="1"/>
  <c r="O2477" i="1"/>
  <c r="N2477" i="1"/>
  <c r="M2477" i="1"/>
  <c r="AL92" i="9"/>
  <c r="P2476" i="1"/>
  <c r="O2476" i="1"/>
  <c r="N2476" i="1"/>
  <c r="M2476" i="1"/>
  <c r="P2475" i="1"/>
  <c r="O2475" i="1"/>
  <c r="N2475" i="1"/>
  <c r="M2475" i="1"/>
  <c r="P2474" i="1"/>
  <c r="O2474" i="1"/>
  <c r="N2474" i="1"/>
  <c r="M2474" i="1"/>
  <c r="P2473" i="1"/>
  <c r="O2473" i="1"/>
  <c r="N2473" i="1"/>
  <c r="M2473" i="1"/>
  <c r="AL5" i="9"/>
  <c r="BA5" i="9"/>
  <c r="C5" i="9" s="1"/>
  <c r="P2472" i="1"/>
  <c r="O2472" i="1"/>
  <c r="N2472" i="1"/>
  <c r="M2472" i="1"/>
  <c r="P2471" i="1"/>
  <c r="O2471" i="1"/>
  <c r="N2471" i="1"/>
  <c r="M2471" i="1"/>
  <c r="AL114" i="9"/>
  <c r="P2470" i="1"/>
  <c r="O2470" i="1"/>
  <c r="N2470" i="1"/>
  <c r="M2470" i="1"/>
  <c r="P2469" i="1"/>
  <c r="O2469" i="1"/>
  <c r="N2469" i="1"/>
  <c r="M2469" i="1"/>
  <c r="P2468" i="1"/>
  <c r="O2468" i="1"/>
  <c r="N2468" i="1"/>
  <c r="M2468" i="1"/>
  <c r="AL76" i="9"/>
  <c r="P2467" i="1"/>
  <c r="O2467" i="1"/>
  <c r="N2467" i="1"/>
  <c r="M2467" i="1"/>
  <c r="AL132" i="9"/>
  <c r="P2466" i="1"/>
  <c r="O2466" i="1"/>
  <c r="N2466" i="1"/>
  <c r="M2466" i="1"/>
  <c r="AL46" i="9"/>
  <c r="P2465" i="1"/>
  <c r="O2465" i="1"/>
  <c r="N2465" i="1"/>
  <c r="M2465" i="1"/>
  <c r="P2464" i="1"/>
  <c r="O2464" i="1"/>
  <c r="N2464" i="1"/>
  <c r="M2464" i="1"/>
  <c r="AL56" i="9"/>
  <c r="P2463" i="1"/>
  <c r="O2463" i="1"/>
  <c r="N2463" i="1"/>
  <c r="M2463" i="1"/>
  <c r="AL57" i="9"/>
  <c r="P2462" i="1"/>
  <c r="O2462" i="1"/>
  <c r="N2462" i="1"/>
  <c r="M2462" i="1"/>
  <c r="M46" i="14"/>
  <c r="P2461" i="1"/>
  <c r="O2461" i="1"/>
  <c r="N2461" i="1"/>
  <c r="M2461" i="1"/>
  <c r="P2460" i="1"/>
  <c r="O2460" i="1"/>
  <c r="N2460" i="1"/>
  <c r="M2460" i="1"/>
  <c r="P2459" i="1"/>
  <c r="O2459" i="1"/>
  <c r="N2459" i="1"/>
  <c r="M2459" i="1"/>
  <c r="AL47" i="9"/>
  <c r="P2458" i="1"/>
  <c r="O2458" i="1"/>
  <c r="N2458" i="1"/>
  <c r="M2458" i="1"/>
  <c r="AL62" i="9"/>
  <c r="BA62" i="9" s="1"/>
  <c r="C62" i="9"/>
  <c r="P2457" i="1"/>
  <c r="O2457" i="1"/>
  <c r="N2457" i="1"/>
  <c r="M2457" i="1"/>
  <c r="P2456" i="1"/>
  <c r="O2456" i="1"/>
  <c r="N2456" i="1"/>
  <c r="M2456" i="1"/>
  <c r="AL6" i="9"/>
  <c r="P2455" i="1"/>
  <c r="O2455" i="1"/>
  <c r="N2455" i="1"/>
  <c r="M2455" i="1"/>
  <c r="AL125" i="9"/>
  <c r="P2454" i="1"/>
  <c r="O2454" i="1"/>
  <c r="N2454" i="1"/>
  <c r="M2454" i="1"/>
  <c r="P2453" i="1"/>
  <c r="O2453" i="1"/>
  <c r="N2453" i="1"/>
  <c r="M2453" i="1"/>
  <c r="P2452" i="1"/>
  <c r="O2452" i="1"/>
  <c r="N2452" i="1"/>
  <c r="M2452" i="1"/>
  <c r="P2451" i="1"/>
  <c r="O2451" i="1"/>
  <c r="N2451" i="1"/>
  <c r="M2451" i="1"/>
  <c r="P2450" i="1"/>
  <c r="O2450" i="1"/>
  <c r="N2450" i="1"/>
  <c r="M2450" i="1"/>
  <c r="AL60" i="9"/>
  <c r="P2449" i="1"/>
  <c r="O2449" i="1"/>
  <c r="N2449" i="1"/>
  <c r="M2449" i="1"/>
  <c r="AL104" i="9"/>
  <c r="P2448" i="1"/>
  <c r="O2448" i="1"/>
  <c r="N2448" i="1"/>
  <c r="M2448" i="1"/>
  <c r="P2447" i="1"/>
  <c r="O2447" i="1"/>
  <c r="N2447" i="1"/>
  <c r="M2447" i="1"/>
  <c r="AL33" i="9"/>
  <c r="P2446" i="1"/>
  <c r="O2446" i="1"/>
  <c r="N2446" i="1"/>
  <c r="M2446" i="1"/>
  <c r="AL66" i="9"/>
  <c r="P2445" i="1"/>
  <c r="O2445" i="1"/>
  <c r="N2445" i="1"/>
  <c r="M2445" i="1"/>
  <c r="AL52" i="9"/>
  <c r="P2444" i="1"/>
  <c r="O2444" i="1"/>
  <c r="N2444" i="1"/>
  <c r="M2444" i="1"/>
  <c r="AL64" i="9"/>
  <c r="P2443" i="1"/>
  <c r="O2443" i="1"/>
  <c r="N2443" i="1"/>
  <c r="M2443" i="1"/>
  <c r="AL59" i="9"/>
  <c r="P2442" i="1"/>
  <c r="O2442" i="1"/>
  <c r="N2442" i="1"/>
  <c r="M2442" i="1"/>
  <c r="P2441" i="1"/>
  <c r="O2441" i="1"/>
  <c r="N2441" i="1"/>
  <c r="M2441" i="1"/>
  <c r="O2440" i="1"/>
  <c r="N2440" i="1"/>
  <c r="M2440" i="1"/>
  <c r="P2440" i="1"/>
  <c r="P2439" i="1"/>
  <c r="O2439" i="1"/>
  <c r="N2439" i="1"/>
  <c r="M2439" i="1"/>
  <c r="AL84" i="9"/>
  <c r="AL117" i="9"/>
  <c r="P2438" i="1"/>
  <c r="O2438" i="1"/>
  <c r="N2438" i="1"/>
  <c r="M2438" i="1"/>
  <c r="AL110" i="9"/>
  <c r="BA110" i="9" s="1"/>
  <c r="P2437" i="1"/>
  <c r="O2437" i="1"/>
  <c r="N2437" i="1"/>
  <c r="M2437" i="1"/>
  <c r="AL54" i="9"/>
  <c r="P2436" i="1"/>
  <c r="O2436" i="1"/>
  <c r="N2436" i="1"/>
  <c r="M2436" i="1"/>
  <c r="AL35" i="9"/>
  <c r="P2435" i="1"/>
  <c r="O2435" i="1"/>
  <c r="N2435" i="1"/>
  <c r="M2435" i="1"/>
  <c r="P2434" i="1"/>
  <c r="O2434" i="1"/>
  <c r="N2434" i="1"/>
  <c r="M2434" i="1"/>
  <c r="AL85" i="9"/>
  <c r="P2433" i="1"/>
  <c r="O2433" i="1"/>
  <c r="N2433" i="1"/>
  <c r="M2433" i="1"/>
  <c r="D43" i="8"/>
  <c r="F43" i="8"/>
  <c r="H43" i="8"/>
  <c r="J43" i="8"/>
  <c r="BA37" i="5"/>
  <c r="AZ37" i="5"/>
  <c r="AY37" i="5"/>
  <c r="AX37" i="5"/>
  <c r="AW37" i="5"/>
  <c r="AV37" i="5"/>
  <c r="AU37" i="5"/>
  <c r="AT37" i="5"/>
  <c r="AS37" i="5"/>
  <c r="AR37" i="5"/>
  <c r="AQ37" i="5"/>
  <c r="AP37" i="5"/>
  <c r="AO37" i="5"/>
  <c r="AN37" i="5"/>
  <c r="AL42" i="9"/>
  <c r="AL37" i="5"/>
  <c r="AK37" i="5"/>
  <c r="AJ37" i="5"/>
  <c r="AI37" i="5"/>
  <c r="AH37" i="5"/>
  <c r="AG37" i="5"/>
  <c r="AF37" i="5"/>
  <c r="AE37" i="5"/>
  <c r="AD37" i="5"/>
  <c r="AC37" i="5"/>
  <c r="AB37" i="5"/>
  <c r="AA37" i="5"/>
  <c r="Z37" i="5"/>
  <c r="Y37" i="5"/>
  <c r="X37" i="5"/>
  <c r="W37" i="5"/>
  <c r="V37" i="5"/>
  <c r="U37" i="5"/>
  <c r="T37" i="5"/>
  <c r="S37" i="5"/>
  <c r="R37" i="5"/>
  <c r="Q37" i="5"/>
  <c r="P37" i="5"/>
  <c r="O37" i="5"/>
  <c r="N37" i="5"/>
  <c r="M37" i="5"/>
  <c r="L37" i="5"/>
  <c r="K37" i="5"/>
  <c r="J37" i="5"/>
  <c r="I37" i="5"/>
  <c r="H37" i="5"/>
  <c r="G37" i="5"/>
  <c r="F37" i="5"/>
  <c r="E37" i="5"/>
  <c r="AL20" i="9"/>
  <c r="AL13" i="9"/>
  <c r="P2432" i="1"/>
  <c r="O2432" i="1"/>
  <c r="N2432" i="1"/>
  <c r="M2432" i="1"/>
  <c r="AL53" i="9"/>
  <c r="P2431" i="1"/>
  <c r="O2431" i="1"/>
  <c r="N2431" i="1"/>
  <c r="M2431" i="1"/>
  <c r="AL40" i="9"/>
  <c r="AL113" i="9"/>
  <c r="AL133" i="9"/>
  <c r="P2430" i="1"/>
  <c r="O2430" i="1"/>
  <c r="N2430" i="1"/>
  <c r="M2430" i="1"/>
  <c r="P2429" i="1"/>
  <c r="O2429" i="1"/>
  <c r="N2429" i="1"/>
  <c r="M2429" i="1"/>
  <c r="AL119" i="9"/>
  <c r="P2428" i="1"/>
  <c r="O2428" i="1"/>
  <c r="N2428" i="1"/>
  <c r="M2428" i="1"/>
  <c r="P2427" i="1"/>
  <c r="O2427" i="1"/>
  <c r="N2427" i="1"/>
  <c r="M2427" i="1"/>
  <c r="M45" i="14"/>
  <c r="P2426" i="1"/>
  <c r="O2426" i="1"/>
  <c r="N2426" i="1"/>
  <c r="M2426" i="1"/>
  <c r="P2425" i="1"/>
  <c r="O2425" i="1"/>
  <c r="N2425" i="1"/>
  <c r="M2425" i="1"/>
  <c r="P2424" i="1"/>
  <c r="O2424" i="1"/>
  <c r="N2424" i="1"/>
  <c r="M2424" i="1"/>
  <c r="P2423" i="1"/>
  <c r="O2423" i="1"/>
  <c r="N2423" i="1"/>
  <c r="M2423" i="1"/>
  <c r="P2422" i="1"/>
  <c r="O2422" i="1"/>
  <c r="N2422" i="1"/>
  <c r="M2422" i="1"/>
  <c r="P2421" i="1"/>
  <c r="O2421" i="1"/>
  <c r="N2421" i="1"/>
  <c r="M2421" i="1"/>
  <c r="P2420" i="1"/>
  <c r="O2420" i="1"/>
  <c r="N2420" i="1"/>
  <c r="M2420" i="1"/>
  <c r="M44" i="14"/>
  <c r="M43" i="14"/>
  <c r="M42" i="14"/>
  <c r="M41" i="14"/>
  <c r="M40" i="14"/>
  <c r="M39" i="14"/>
  <c r="M38" i="14"/>
  <c r="M37" i="14"/>
  <c r="J28" i="14"/>
  <c r="L29" i="14"/>
  <c r="L31" i="14"/>
  <c r="L33" i="14"/>
  <c r="L35" i="14"/>
  <c r="L23" i="14"/>
  <c r="L25" i="14"/>
  <c r="L26" i="14"/>
  <c r="L27" i="14"/>
  <c r="J23" i="14"/>
  <c r="J25" i="14"/>
  <c r="J26" i="14"/>
  <c r="J27" i="14"/>
  <c r="P2419" i="1"/>
  <c r="O2419" i="1"/>
  <c r="N2419" i="1"/>
  <c r="M2419" i="1"/>
  <c r="P2418" i="1"/>
  <c r="O2418" i="1"/>
  <c r="N2418" i="1"/>
  <c r="M2418" i="1"/>
  <c r="P2417" i="1"/>
  <c r="O2417" i="1"/>
  <c r="N2417" i="1"/>
  <c r="M2417" i="1"/>
  <c r="P2416" i="1"/>
  <c r="O2416" i="1"/>
  <c r="N2416" i="1"/>
  <c r="M2416" i="1"/>
  <c r="P2415" i="1"/>
  <c r="O2415" i="1"/>
  <c r="N2415" i="1"/>
  <c r="M2415" i="1"/>
  <c r="P2414" i="1"/>
  <c r="O2414" i="1"/>
  <c r="N2414" i="1"/>
  <c r="M2414" i="1"/>
  <c r="P2413" i="1"/>
  <c r="O2413" i="1"/>
  <c r="N2413" i="1"/>
  <c r="M2413" i="1"/>
  <c r="P2412" i="1"/>
  <c r="O2412" i="1"/>
  <c r="N2412" i="1"/>
  <c r="M2412" i="1"/>
  <c r="P2411" i="1"/>
  <c r="O2411" i="1"/>
  <c r="N2411" i="1"/>
  <c r="M2411" i="1"/>
  <c r="P2410" i="1"/>
  <c r="O2410" i="1"/>
  <c r="N2410" i="1"/>
  <c r="M2410" i="1"/>
  <c r="P2409" i="1"/>
  <c r="O2409" i="1"/>
  <c r="N2409" i="1"/>
  <c r="M2409" i="1"/>
  <c r="P2408" i="1"/>
  <c r="O2408" i="1"/>
  <c r="N2408" i="1"/>
  <c r="M2408" i="1"/>
  <c r="P2407" i="1"/>
  <c r="O2407" i="1"/>
  <c r="N2407" i="1"/>
  <c r="M2407" i="1"/>
  <c r="P2406" i="1"/>
  <c r="O2406" i="1"/>
  <c r="N2406" i="1"/>
  <c r="M2406" i="1"/>
  <c r="P2405" i="1"/>
  <c r="O2405" i="1"/>
  <c r="N2405" i="1"/>
  <c r="M2405" i="1"/>
  <c r="P2404" i="1"/>
  <c r="O2404" i="1"/>
  <c r="N2404" i="1"/>
  <c r="M2404" i="1"/>
  <c r="P2403" i="1"/>
  <c r="O2403" i="1"/>
  <c r="N2403" i="1"/>
  <c r="M2403" i="1"/>
  <c r="P2402" i="1"/>
  <c r="O2402" i="1"/>
  <c r="N2402" i="1"/>
  <c r="M2402" i="1"/>
  <c r="P2401" i="1"/>
  <c r="O2401" i="1"/>
  <c r="N2401" i="1"/>
  <c r="M2401" i="1"/>
  <c r="AL65" i="9"/>
  <c r="P2400" i="1"/>
  <c r="O2400" i="1"/>
  <c r="N2400" i="1"/>
  <c r="M2400" i="1"/>
  <c r="P2399" i="1"/>
  <c r="O2399" i="1"/>
  <c r="N2399" i="1"/>
  <c r="M2399" i="1"/>
  <c r="P2398" i="1"/>
  <c r="O2398" i="1"/>
  <c r="N2398" i="1"/>
  <c r="M2398" i="1"/>
  <c r="P2397" i="1"/>
  <c r="O2397" i="1"/>
  <c r="N2397" i="1"/>
  <c r="M2397" i="1"/>
  <c r="P2396" i="1"/>
  <c r="O2396" i="1"/>
  <c r="N2396" i="1"/>
  <c r="M2396" i="1"/>
  <c r="P2395" i="1"/>
  <c r="O2395" i="1"/>
  <c r="N2395" i="1"/>
  <c r="M2395" i="1"/>
  <c r="P2392" i="1"/>
  <c r="P2394" i="1"/>
  <c r="O2394" i="1"/>
  <c r="N2394" i="1"/>
  <c r="M2394" i="1"/>
  <c r="P2393" i="1"/>
  <c r="O2393" i="1"/>
  <c r="N2393" i="1"/>
  <c r="M2393" i="1"/>
  <c r="O2392" i="1"/>
  <c r="N2392" i="1"/>
  <c r="M2392" i="1"/>
  <c r="P2391" i="1"/>
  <c r="O2391" i="1"/>
  <c r="N2391" i="1"/>
  <c r="M2391" i="1"/>
  <c r="P2390" i="1"/>
  <c r="O2390" i="1"/>
  <c r="N2390" i="1"/>
  <c r="M2390" i="1"/>
  <c r="P2389" i="1"/>
  <c r="O2389" i="1"/>
  <c r="N2389" i="1"/>
  <c r="M2389" i="1"/>
  <c r="P2388" i="1"/>
  <c r="O2388" i="1"/>
  <c r="N2388" i="1"/>
  <c r="M2388" i="1"/>
  <c r="P2387" i="1"/>
  <c r="O2387" i="1"/>
  <c r="N2387" i="1"/>
  <c r="M2387" i="1"/>
  <c r="P2386" i="1"/>
  <c r="O2386" i="1"/>
  <c r="N2386" i="1"/>
  <c r="M2386" i="1"/>
  <c r="I70" i="4"/>
  <c r="I69" i="4"/>
  <c r="I68" i="4"/>
  <c r="I67" i="4"/>
  <c r="I66" i="4"/>
  <c r="I65" i="4"/>
  <c r="I64" i="4"/>
  <c r="I63" i="4"/>
  <c r="I62" i="4"/>
  <c r="I61" i="4"/>
  <c r="I60" i="4"/>
  <c r="I59" i="4"/>
  <c r="I58" i="4"/>
  <c r="I57" i="4"/>
  <c r="I56" i="4"/>
  <c r="I55" i="4"/>
  <c r="P2385" i="1"/>
  <c r="O2385" i="1"/>
  <c r="N2385" i="1"/>
  <c r="M2385" i="1"/>
  <c r="P2384" i="1"/>
  <c r="O2384" i="1"/>
  <c r="N2384" i="1"/>
  <c r="M2384" i="1"/>
  <c r="P2383" i="1"/>
  <c r="O2383" i="1"/>
  <c r="N2383" i="1"/>
  <c r="M2383" i="1"/>
  <c r="P2382" i="1"/>
  <c r="O2382" i="1"/>
  <c r="N2382" i="1"/>
  <c r="M2382" i="1"/>
  <c r="P2381" i="1"/>
  <c r="O2381" i="1"/>
  <c r="N2381" i="1"/>
  <c r="M2381" i="1"/>
  <c r="P2380" i="1"/>
  <c r="O2380" i="1"/>
  <c r="N2380" i="1"/>
  <c r="M2380" i="1"/>
  <c r="P2379" i="1"/>
  <c r="O2379" i="1"/>
  <c r="N2379" i="1"/>
  <c r="M2379" i="1"/>
  <c r="P2378" i="1"/>
  <c r="O2378" i="1"/>
  <c r="N2378" i="1"/>
  <c r="M2378" i="1"/>
  <c r="P2377" i="1"/>
  <c r="O2377" i="1"/>
  <c r="N2377" i="1"/>
  <c r="M2377" i="1"/>
  <c r="P2376" i="1"/>
  <c r="O2376" i="1"/>
  <c r="N2376" i="1"/>
  <c r="M2376" i="1"/>
  <c r="P2375" i="1"/>
  <c r="O2375" i="1"/>
  <c r="N2375" i="1"/>
  <c r="M2375" i="1"/>
  <c r="P2374" i="1"/>
  <c r="O2374" i="1"/>
  <c r="N2374" i="1"/>
  <c r="M2374" i="1"/>
  <c r="P2373" i="1"/>
  <c r="O2373" i="1"/>
  <c r="N2373" i="1"/>
  <c r="M2373" i="1"/>
  <c r="P2372" i="1"/>
  <c r="O2372" i="1"/>
  <c r="N2372" i="1"/>
  <c r="M2372" i="1"/>
  <c r="P2371" i="1"/>
  <c r="O2371" i="1"/>
  <c r="N2371" i="1"/>
  <c r="M2371" i="1"/>
  <c r="P2370" i="1"/>
  <c r="O2370" i="1"/>
  <c r="N2370" i="1"/>
  <c r="M2370" i="1"/>
  <c r="P2369" i="1"/>
  <c r="O2369" i="1"/>
  <c r="N2369" i="1"/>
  <c r="M2369" i="1"/>
  <c r="P2368" i="1"/>
  <c r="O2368" i="1"/>
  <c r="N2368" i="1"/>
  <c r="M2368" i="1"/>
  <c r="P2367" i="1"/>
  <c r="O2367" i="1"/>
  <c r="N2367" i="1"/>
  <c r="M2367" i="1"/>
  <c r="P2366" i="1"/>
  <c r="O2366" i="1"/>
  <c r="N2366" i="1"/>
  <c r="M2366" i="1"/>
  <c r="P2365" i="1"/>
  <c r="O2365" i="1"/>
  <c r="N2365" i="1"/>
  <c r="M2365" i="1"/>
  <c r="P2364" i="1"/>
  <c r="O2364" i="1"/>
  <c r="N2364" i="1"/>
  <c r="M2364" i="1"/>
  <c r="P2363" i="1"/>
  <c r="O2363" i="1"/>
  <c r="N2363" i="1"/>
  <c r="M2363" i="1"/>
  <c r="P2362" i="1"/>
  <c r="O2362" i="1"/>
  <c r="N2362" i="1"/>
  <c r="M2362" i="1"/>
  <c r="P2361" i="1"/>
  <c r="O2361" i="1"/>
  <c r="N2361" i="1"/>
  <c r="M2361" i="1"/>
  <c r="P2360" i="1"/>
  <c r="O2360" i="1"/>
  <c r="N2360" i="1"/>
  <c r="M2360" i="1"/>
  <c r="P2359" i="1"/>
  <c r="O2359" i="1"/>
  <c r="N2359" i="1"/>
  <c r="M2359" i="1"/>
  <c r="P2358" i="1"/>
  <c r="O2358" i="1"/>
  <c r="N2358" i="1"/>
  <c r="M2358" i="1"/>
  <c r="P2357" i="1"/>
  <c r="O2357" i="1"/>
  <c r="N2357" i="1"/>
  <c r="M2357" i="1"/>
  <c r="P2356" i="1"/>
  <c r="O2356" i="1"/>
  <c r="N2356" i="1"/>
  <c r="M2356" i="1"/>
  <c r="P2355" i="1"/>
  <c r="O2355" i="1"/>
  <c r="N2355" i="1"/>
  <c r="M2355" i="1"/>
  <c r="P2354" i="1"/>
  <c r="O2354" i="1"/>
  <c r="N2354" i="1"/>
  <c r="M2354" i="1"/>
  <c r="P2353" i="1"/>
  <c r="O2353" i="1"/>
  <c r="N2353" i="1"/>
  <c r="M2353" i="1"/>
  <c r="P2352" i="1"/>
  <c r="O2352" i="1"/>
  <c r="N2352" i="1"/>
  <c r="M2352" i="1"/>
  <c r="P2351" i="1"/>
  <c r="O2351" i="1"/>
  <c r="N2351" i="1"/>
  <c r="M2351" i="1"/>
  <c r="P2350" i="1"/>
  <c r="O2350" i="1"/>
  <c r="N2350" i="1"/>
  <c r="M2350" i="1"/>
  <c r="P2349" i="1"/>
  <c r="O2349" i="1"/>
  <c r="N2349" i="1"/>
  <c r="M2349" i="1"/>
  <c r="P2348" i="1"/>
  <c r="O2348" i="1"/>
  <c r="N2348" i="1"/>
  <c r="M2348" i="1"/>
  <c r="P2347" i="1"/>
  <c r="O2347" i="1"/>
  <c r="N2347" i="1"/>
  <c r="M2347" i="1"/>
  <c r="P2346" i="1"/>
  <c r="O2346" i="1"/>
  <c r="N2346" i="1"/>
  <c r="M2346" i="1"/>
  <c r="P2345" i="1"/>
  <c r="O2345" i="1"/>
  <c r="N2345" i="1"/>
  <c r="M2345" i="1"/>
  <c r="P2344" i="1"/>
  <c r="O2344" i="1"/>
  <c r="N2344" i="1"/>
  <c r="M2344" i="1"/>
  <c r="P2343" i="1"/>
  <c r="O2343" i="1"/>
  <c r="N2343" i="1"/>
  <c r="M2343" i="1"/>
  <c r="P2342" i="1"/>
  <c r="O2342" i="1"/>
  <c r="N2342" i="1"/>
  <c r="M2342" i="1"/>
  <c r="P2341" i="1"/>
  <c r="O2341" i="1"/>
  <c r="N2341" i="1"/>
  <c r="M2341" i="1"/>
  <c r="P2340" i="1"/>
  <c r="O2340" i="1"/>
  <c r="N2340" i="1"/>
  <c r="M2340" i="1"/>
  <c r="AJ131" i="9"/>
  <c r="P2339" i="1"/>
  <c r="O2339" i="1"/>
  <c r="N2339" i="1"/>
  <c r="M2339" i="1"/>
  <c r="P2338" i="1"/>
  <c r="O2338" i="1"/>
  <c r="N2338" i="1"/>
  <c r="M2338" i="1"/>
  <c r="P2337" i="1"/>
  <c r="O2337" i="1"/>
  <c r="N2337" i="1"/>
  <c r="M2337" i="1"/>
  <c r="P2336" i="1"/>
  <c r="O2336" i="1"/>
  <c r="N2336" i="1"/>
  <c r="M2336" i="1"/>
  <c r="P2335" i="1"/>
  <c r="O2335" i="1"/>
  <c r="N2335" i="1"/>
  <c r="M2335" i="1"/>
  <c r="P2334" i="1"/>
  <c r="O2334" i="1"/>
  <c r="N2334" i="1"/>
  <c r="M2334" i="1"/>
  <c r="P2333" i="1"/>
  <c r="O2333" i="1"/>
  <c r="N2333" i="1"/>
  <c r="M2333" i="1"/>
  <c r="P2332" i="1"/>
  <c r="O2332" i="1"/>
  <c r="N2332" i="1"/>
  <c r="M2332" i="1"/>
  <c r="P2331" i="1"/>
  <c r="O2331" i="1"/>
  <c r="N2331" i="1"/>
  <c r="M2331" i="1"/>
  <c r="P2330" i="1"/>
  <c r="O2330" i="1"/>
  <c r="N2330" i="1"/>
  <c r="M2330" i="1"/>
  <c r="P2329" i="1"/>
  <c r="O2329" i="1"/>
  <c r="N2329" i="1"/>
  <c r="M2329" i="1"/>
  <c r="P2328" i="1"/>
  <c r="O2328" i="1"/>
  <c r="N2328" i="1"/>
  <c r="M2328" i="1"/>
  <c r="P2327" i="1"/>
  <c r="O2327" i="1"/>
  <c r="N2327" i="1"/>
  <c r="M2327" i="1"/>
  <c r="P2326" i="1"/>
  <c r="O2326" i="1"/>
  <c r="N2326" i="1"/>
  <c r="M2326" i="1"/>
  <c r="P2325" i="1"/>
  <c r="O2325" i="1"/>
  <c r="N2325" i="1"/>
  <c r="M2325" i="1"/>
  <c r="P2324" i="1"/>
  <c r="O2324" i="1"/>
  <c r="N2324" i="1"/>
  <c r="M2324" i="1"/>
  <c r="P2323" i="1"/>
  <c r="O2323" i="1"/>
  <c r="N2323" i="1"/>
  <c r="M2323" i="1"/>
  <c r="P2322" i="1"/>
  <c r="O2322" i="1"/>
  <c r="N2322" i="1"/>
  <c r="M2322" i="1"/>
  <c r="P2321" i="1"/>
  <c r="O2321" i="1"/>
  <c r="N2321" i="1"/>
  <c r="M2321" i="1"/>
  <c r="P2320" i="1"/>
  <c r="O2320" i="1"/>
  <c r="N2320" i="1"/>
  <c r="M2320" i="1"/>
  <c r="P2319" i="1"/>
  <c r="O2319" i="1"/>
  <c r="N2319" i="1"/>
  <c r="M2319" i="1"/>
  <c r="P2318" i="1"/>
  <c r="O2318" i="1"/>
  <c r="N2318" i="1"/>
  <c r="M2318" i="1"/>
  <c r="P2317" i="1"/>
  <c r="O2317" i="1"/>
  <c r="N2317" i="1"/>
  <c r="M2317" i="1"/>
  <c r="P2316" i="1"/>
  <c r="O2316" i="1"/>
  <c r="N2316" i="1"/>
  <c r="M2316" i="1"/>
  <c r="P2315" i="1"/>
  <c r="O2315" i="1"/>
  <c r="N2315" i="1"/>
  <c r="M2315" i="1"/>
  <c r="P2314" i="1"/>
  <c r="O2314" i="1"/>
  <c r="N2314" i="1"/>
  <c r="M2314" i="1"/>
  <c r="P2313" i="1"/>
  <c r="O2313" i="1"/>
  <c r="N2313" i="1"/>
  <c r="M2313" i="1"/>
  <c r="P2312" i="1"/>
  <c r="O2312" i="1"/>
  <c r="N2312" i="1"/>
  <c r="M2312" i="1"/>
  <c r="P2311" i="1"/>
  <c r="O2311" i="1"/>
  <c r="N2311" i="1"/>
  <c r="M2311" i="1"/>
  <c r="P2310" i="1"/>
  <c r="O2310" i="1"/>
  <c r="N2310" i="1"/>
  <c r="M2310" i="1"/>
  <c r="P2309" i="1"/>
  <c r="O2309" i="1"/>
  <c r="N2309" i="1"/>
  <c r="M2309" i="1"/>
  <c r="P2308" i="1"/>
  <c r="O2308" i="1"/>
  <c r="N2308" i="1"/>
  <c r="M2308" i="1"/>
  <c r="P2307" i="1"/>
  <c r="O2307" i="1"/>
  <c r="N2307" i="1"/>
  <c r="M2307" i="1"/>
  <c r="P2306" i="1"/>
  <c r="O2306" i="1"/>
  <c r="N2306" i="1"/>
  <c r="M2306" i="1"/>
  <c r="P2305" i="1"/>
  <c r="O2305" i="1"/>
  <c r="N2305" i="1"/>
  <c r="M2305" i="1"/>
  <c r="P2304" i="1"/>
  <c r="O2304" i="1"/>
  <c r="N2304" i="1"/>
  <c r="M2304" i="1"/>
  <c r="AZ142" i="9"/>
  <c r="BA142" i="5"/>
  <c r="AY142" i="9"/>
  <c r="AZ142" i="5"/>
  <c r="AX142" i="9"/>
  <c r="AY142" i="5"/>
  <c r="AW142" i="9"/>
  <c r="AX142" i="5"/>
  <c r="AV142" i="9"/>
  <c r="AW142" i="5"/>
  <c r="AU142" i="9"/>
  <c r="AV142" i="5"/>
  <c r="AT142" i="9"/>
  <c r="AU142" i="5"/>
  <c r="AS142" i="9"/>
  <c r="AT142" i="5"/>
  <c r="AR142" i="9"/>
  <c r="AS142" i="5"/>
  <c r="AQ142" i="9"/>
  <c r="AR142" i="5"/>
  <c r="AP142" i="9"/>
  <c r="AQ142" i="5"/>
  <c r="AO142" i="9"/>
  <c r="AP142" i="5"/>
  <c r="BA140" i="5"/>
  <c r="AZ140" i="5"/>
  <c r="AY140" i="5"/>
  <c r="AX140" i="5"/>
  <c r="AW140" i="5"/>
  <c r="AV140" i="5"/>
  <c r="AU140" i="5"/>
  <c r="AT140" i="5"/>
  <c r="AS140" i="5"/>
  <c r="AR140" i="5"/>
  <c r="AQ140" i="5"/>
  <c r="AP140" i="5"/>
  <c r="BA139" i="5"/>
  <c r="AZ139" i="5"/>
  <c r="AY139" i="5"/>
  <c r="AX139" i="5"/>
  <c r="AW139" i="5"/>
  <c r="AV139" i="5"/>
  <c r="AU139" i="5"/>
  <c r="AT139" i="5"/>
  <c r="AS139" i="5"/>
  <c r="AR139" i="5"/>
  <c r="AQ139" i="5"/>
  <c r="AP139" i="5"/>
  <c r="BA138" i="5"/>
  <c r="AZ138" i="5"/>
  <c r="AY138" i="5"/>
  <c r="AX138" i="5"/>
  <c r="AW138" i="5"/>
  <c r="AV138" i="5"/>
  <c r="AU138" i="5"/>
  <c r="AT138" i="5"/>
  <c r="AS138" i="5"/>
  <c r="AR138" i="5"/>
  <c r="AQ138" i="5"/>
  <c r="AP138" i="5"/>
  <c r="BA137" i="5"/>
  <c r="AZ137" i="5"/>
  <c r="AY137" i="5"/>
  <c r="AX137" i="5"/>
  <c r="AW137" i="5"/>
  <c r="AV137" i="5"/>
  <c r="AU137" i="5"/>
  <c r="AT137" i="5"/>
  <c r="AS137" i="5"/>
  <c r="AR137" i="5"/>
  <c r="AQ137" i="5"/>
  <c r="AP137" i="5"/>
  <c r="BA136" i="5"/>
  <c r="AZ136" i="5"/>
  <c r="AY136" i="5"/>
  <c r="AX136" i="5"/>
  <c r="AW136" i="5"/>
  <c r="AV136" i="5"/>
  <c r="AU136" i="5"/>
  <c r="AT136" i="5"/>
  <c r="AS136" i="5"/>
  <c r="AR136" i="5"/>
  <c r="AQ136" i="5"/>
  <c r="AP136" i="5"/>
  <c r="BA135" i="5"/>
  <c r="AZ135" i="5"/>
  <c r="AY135" i="5"/>
  <c r="AX135" i="5"/>
  <c r="AW135" i="5"/>
  <c r="AV135" i="5"/>
  <c r="AU135" i="5"/>
  <c r="AT135" i="5"/>
  <c r="AS135" i="5"/>
  <c r="AR135" i="5"/>
  <c r="AQ135" i="5"/>
  <c r="AP135" i="5"/>
  <c r="BA134" i="5"/>
  <c r="AZ134" i="5"/>
  <c r="AY134" i="5"/>
  <c r="AX134" i="5"/>
  <c r="AW134" i="5"/>
  <c r="AV134" i="5"/>
  <c r="AU134" i="5"/>
  <c r="AT134" i="5"/>
  <c r="AS134" i="5"/>
  <c r="AR134" i="5"/>
  <c r="AQ134" i="5"/>
  <c r="AP134" i="5"/>
  <c r="BA133" i="5"/>
  <c r="AZ133" i="5"/>
  <c r="AY133" i="5"/>
  <c r="AX133" i="5"/>
  <c r="AW133" i="5"/>
  <c r="AV133" i="5"/>
  <c r="AU133" i="5"/>
  <c r="AT133" i="5"/>
  <c r="AS133" i="5"/>
  <c r="AR133" i="5"/>
  <c r="AQ133" i="5"/>
  <c r="AP133" i="5"/>
  <c r="BA132" i="5"/>
  <c r="AZ132" i="5"/>
  <c r="AY132" i="5"/>
  <c r="AX132" i="5"/>
  <c r="AW132" i="5"/>
  <c r="AV132" i="5"/>
  <c r="AU132" i="5"/>
  <c r="AT132" i="5"/>
  <c r="AS132" i="5"/>
  <c r="AR132" i="5"/>
  <c r="AQ132" i="5"/>
  <c r="AP132" i="5"/>
  <c r="BA131" i="5"/>
  <c r="AZ131" i="5"/>
  <c r="AY131" i="5"/>
  <c r="AX131" i="5"/>
  <c r="AW131" i="5"/>
  <c r="AV131" i="5"/>
  <c r="AU131" i="5"/>
  <c r="AT131" i="5"/>
  <c r="AS131" i="5"/>
  <c r="AR131" i="5"/>
  <c r="AQ131" i="5"/>
  <c r="AP131" i="5"/>
  <c r="BA130" i="5"/>
  <c r="AZ130" i="5"/>
  <c r="AY130" i="5"/>
  <c r="AX130" i="5"/>
  <c r="AW130" i="5"/>
  <c r="AV130" i="5"/>
  <c r="AU130" i="5"/>
  <c r="AT130" i="5"/>
  <c r="AS130" i="5"/>
  <c r="AR130" i="5"/>
  <c r="AQ130" i="5"/>
  <c r="AP130" i="5"/>
  <c r="BA129" i="5"/>
  <c r="AZ129" i="5"/>
  <c r="AY129" i="5"/>
  <c r="AX129" i="5"/>
  <c r="AW129" i="5"/>
  <c r="AV129" i="5"/>
  <c r="AU129" i="5"/>
  <c r="AT129" i="5"/>
  <c r="AS129" i="5"/>
  <c r="AR129" i="5"/>
  <c r="AQ129" i="5"/>
  <c r="AP129" i="5"/>
  <c r="BA128" i="5"/>
  <c r="AZ128" i="5"/>
  <c r="AY128" i="5"/>
  <c r="AX128" i="5"/>
  <c r="AW128" i="5"/>
  <c r="AV128" i="5"/>
  <c r="AU128" i="5"/>
  <c r="AT128" i="5"/>
  <c r="AS128" i="5"/>
  <c r="AR128" i="5"/>
  <c r="AQ128" i="5"/>
  <c r="AP128" i="5"/>
  <c r="BA127" i="5"/>
  <c r="AZ127" i="5"/>
  <c r="AY127" i="5"/>
  <c r="AX127" i="5"/>
  <c r="AW127" i="5"/>
  <c r="AV127" i="5"/>
  <c r="AU127" i="5"/>
  <c r="AT127" i="5"/>
  <c r="AS127" i="5"/>
  <c r="AR127" i="5"/>
  <c r="AQ127" i="5"/>
  <c r="AP127" i="5"/>
  <c r="BA126" i="5"/>
  <c r="AZ126" i="5"/>
  <c r="AY126" i="5"/>
  <c r="AX126" i="5"/>
  <c r="AW126" i="5"/>
  <c r="AV126" i="5"/>
  <c r="AU126" i="5"/>
  <c r="AT126" i="5"/>
  <c r="AS126" i="5"/>
  <c r="AR126" i="5"/>
  <c r="AQ126" i="5"/>
  <c r="AP126" i="5"/>
  <c r="BA125" i="5"/>
  <c r="AZ125" i="5"/>
  <c r="AY125" i="5"/>
  <c r="AX125" i="5"/>
  <c r="AW125" i="5"/>
  <c r="AV125" i="5"/>
  <c r="AU125" i="5"/>
  <c r="AT125" i="5"/>
  <c r="AS125" i="5"/>
  <c r="AR125" i="5"/>
  <c r="AQ125" i="5"/>
  <c r="AP125" i="5"/>
  <c r="BA124" i="5"/>
  <c r="AZ124" i="5"/>
  <c r="AY124" i="5"/>
  <c r="AX124" i="5"/>
  <c r="AW124" i="5"/>
  <c r="AV124" i="5"/>
  <c r="AU124" i="5"/>
  <c r="AT124" i="5"/>
  <c r="AS124" i="5"/>
  <c r="AR124" i="5"/>
  <c r="AQ124" i="5"/>
  <c r="AP124" i="5"/>
  <c r="BA123" i="5"/>
  <c r="AZ123" i="5"/>
  <c r="AY123" i="5"/>
  <c r="AX123" i="5"/>
  <c r="AW123" i="5"/>
  <c r="AV123" i="5"/>
  <c r="AU123" i="5"/>
  <c r="AT123" i="5"/>
  <c r="AS123" i="5"/>
  <c r="AR123" i="5"/>
  <c r="AQ123" i="5"/>
  <c r="AP123" i="5"/>
  <c r="BA122" i="5"/>
  <c r="AZ122" i="5"/>
  <c r="AY122" i="5"/>
  <c r="AX122" i="5"/>
  <c r="AW122" i="5"/>
  <c r="AV122" i="5"/>
  <c r="AU122" i="5"/>
  <c r="AT122" i="5"/>
  <c r="AS122" i="5"/>
  <c r="AR122" i="5"/>
  <c r="AQ122" i="5"/>
  <c r="AP122" i="5"/>
  <c r="BA121" i="5"/>
  <c r="AZ121" i="5"/>
  <c r="AY121" i="5"/>
  <c r="AX121" i="5"/>
  <c r="AW121" i="5"/>
  <c r="AV121" i="5"/>
  <c r="AU121" i="5"/>
  <c r="AT121" i="5"/>
  <c r="AS121" i="5"/>
  <c r="AR121" i="5"/>
  <c r="AQ121" i="5"/>
  <c r="AP121" i="5"/>
  <c r="BA120" i="5"/>
  <c r="AZ120" i="5"/>
  <c r="AY120" i="5"/>
  <c r="AX120" i="5"/>
  <c r="AW120" i="5"/>
  <c r="AV120" i="5"/>
  <c r="AU120" i="5"/>
  <c r="AT120" i="5"/>
  <c r="AS120" i="5"/>
  <c r="AR120" i="5"/>
  <c r="AQ120" i="5"/>
  <c r="AP120" i="5"/>
  <c r="BA119" i="5"/>
  <c r="AZ119" i="5"/>
  <c r="AY119" i="5"/>
  <c r="AX119" i="5"/>
  <c r="AW119" i="5"/>
  <c r="AV119" i="5"/>
  <c r="AU119" i="5"/>
  <c r="AT119" i="5"/>
  <c r="AS119" i="5"/>
  <c r="AR119" i="5"/>
  <c r="AQ119" i="5"/>
  <c r="AP119" i="5"/>
  <c r="BA118" i="5"/>
  <c r="AZ118" i="5"/>
  <c r="AY118" i="5"/>
  <c r="AX118" i="5"/>
  <c r="AW118" i="5"/>
  <c r="AV118" i="5"/>
  <c r="AU118" i="5"/>
  <c r="AT118" i="5"/>
  <c r="AS118" i="5"/>
  <c r="AR118" i="5"/>
  <c r="AQ118" i="5"/>
  <c r="AP118" i="5"/>
  <c r="BA117" i="5"/>
  <c r="AZ117" i="5"/>
  <c r="AY117" i="5"/>
  <c r="AX117" i="5"/>
  <c r="AW117" i="5"/>
  <c r="AV117" i="5"/>
  <c r="AU117" i="5"/>
  <c r="AT117" i="5"/>
  <c r="AS117" i="5"/>
  <c r="AR117" i="5"/>
  <c r="AQ117" i="5"/>
  <c r="AP117" i="5"/>
  <c r="BA116" i="5"/>
  <c r="AZ116" i="5"/>
  <c r="AY116" i="5"/>
  <c r="AX116" i="5"/>
  <c r="AW116" i="5"/>
  <c r="AV116" i="5"/>
  <c r="AU116" i="5"/>
  <c r="AT116" i="5"/>
  <c r="AS116" i="5"/>
  <c r="AR116" i="5"/>
  <c r="AQ116" i="5"/>
  <c r="AP116" i="5"/>
  <c r="BA115" i="5"/>
  <c r="AZ115" i="5"/>
  <c r="AY115" i="5"/>
  <c r="AX115" i="5"/>
  <c r="AW115" i="5"/>
  <c r="AV115" i="5"/>
  <c r="AU115" i="5"/>
  <c r="AT115" i="5"/>
  <c r="AS115" i="5"/>
  <c r="AR115" i="5"/>
  <c r="AQ115" i="5"/>
  <c r="AP115" i="5"/>
  <c r="BA114" i="5"/>
  <c r="AZ114" i="5"/>
  <c r="AY114" i="5"/>
  <c r="AX114" i="5"/>
  <c r="AW114" i="5"/>
  <c r="AV114" i="5"/>
  <c r="AU114" i="5"/>
  <c r="AT114" i="5"/>
  <c r="AS114" i="5"/>
  <c r="AR114" i="5"/>
  <c r="AQ114" i="5"/>
  <c r="AP114" i="5"/>
  <c r="BA113" i="5"/>
  <c r="AZ113" i="5"/>
  <c r="AY113" i="5"/>
  <c r="AX113" i="5"/>
  <c r="AW113" i="5"/>
  <c r="AV113" i="5"/>
  <c r="AU113" i="5"/>
  <c r="AT113" i="5"/>
  <c r="AS113" i="5"/>
  <c r="AR113" i="5"/>
  <c r="AQ113" i="5"/>
  <c r="AP113" i="5"/>
  <c r="BA112" i="5"/>
  <c r="AZ112" i="5"/>
  <c r="AY112" i="5"/>
  <c r="AX112" i="5"/>
  <c r="AW112" i="5"/>
  <c r="AV112" i="5"/>
  <c r="AU112" i="5"/>
  <c r="AT112" i="5"/>
  <c r="AS112" i="5"/>
  <c r="AR112" i="5"/>
  <c r="AQ112" i="5"/>
  <c r="AP112" i="5"/>
  <c r="BA111" i="5"/>
  <c r="AZ111" i="5"/>
  <c r="AY111" i="5"/>
  <c r="AX111" i="5"/>
  <c r="AW111" i="5"/>
  <c r="AV111" i="5"/>
  <c r="AU111" i="5"/>
  <c r="AT111" i="5"/>
  <c r="AS111" i="5"/>
  <c r="AR111" i="5"/>
  <c r="AQ111" i="5"/>
  <c r="AP111" i="5"/>
  <c r="BA110" i="5"/>
  <c r="AZ110" i="5"/>
  <c r="AY110" i="5"/>
  <c r="AX110" i="5"/>
  <c r="AW110" i="5"/>
  <c r="AV110" i="5"/>
  <c r="AU110" i="5"/>
  <c r="AT110" i="5"/>
  <c r="AS110" i="5"/>
  <c r="AR110" i="5"/>
  <c r="AQ110" i="5"/>
  <c r="AP110" i="5"/>
  <c r="BA109" i="5"/>
  <c r="AZ109" i="5"/>
  <c r="AY109" i="5"/>
  <c r="AX109" i="5"/>
  <c r="AW109" i="5"/>
  <c r="AV109" i="5"/>
  <c r="AU109" i="5"/>
  <c r="AT109" i="5"/>
  <c r="AS109" i="5"/>
  <c r="AR109" i="5"/>
  <c r="AQ109" i="5"/>
  <c r="AP109" i="5"/>
  <c r="BA108" i="5"/>
  <c r="AZ108" i="5"/>
  <c r="AY108" i="5"/>
  <c r="AX108" i="5"/>
  <c r="AW108" i="5"/>
  <c r="AV108" i="5"/>
  <c r="AU108" i="5"/>
  <c r="AT108" i="5"/>
  <c r="AS108" i="5"/>
  <c r="AR108" i="5"/>
  <c r="AQ108" i="5"/>
  <c r="AP108" i="5"/>
  <c r="BA107" i="5"/>
  <c r="AZ107" i="5"/>
  <c r="AY107" i="5"/>
  <c r="AX107" i="5"/>
  <c r="AW107" i="5"/>
  <c r="AV107" i="5"/>
  <c r="AU107" i="5"/>
  <c r="AT107" i="5"/>
  <c r="AS107" i="5"/>
  <c r="AR107" i="5"/>
  <c r="AQ107" i="5"/>
  <c r="AP107" i="5"/>
  <c r="BA106" i="5"/>
  <c r="AZ106" i="5"/>
  <c r="AY106" i="5"/>
  <c r="AX106" i="5"/>
  <c r="AW106" i="5"/>
  <c r="AV106" i="5"/>
  <c r="AU106" i="5"/>
  <c r="AT106" i="5"/>
  <c r="AS106" i="5"/>
  <c r="AR106" i="5"/>
  <c r="AQ106" i="5"/>
  <c r="AP106" i="5"/>
  <c r="BA105" i="5"/>
  <c r="AZ105" i="5"/>
  <c r="AY105" i="5"/>
  <c r="AX105" i="5"/>
  <c r="AW105" i="5"/>
  <c r="AV105" i="5"/>
  <c r="AU105" i="5"/>
  <c r="AT105" i="5"/>
  <c r="AS105" i="5"/>
  <c r="AR105" i="5"/>
  <c r="AQ105" i="5"/>
  <c r="AP105" i="5"/>
  <c r="BA104" i="5"/>
  <c r="AZ104" i="5"/>
  <c r="AY104" i="5"/>
  <c r="AX104" i="5"/>
  <c r="AW104" i="5"/>
  <c r="AV104" i="5"/>
  <c r="AU104" i="5"/>
  <c r="AT104" i="5"/>
  <c r="AS104" i="5"/>
  <c r="AR104" i="5"/>
  <c r="AQ104" i="5"/>
  <c r="AP104" i="5"/>
  <c r="BA103" i="5"/>
  <c r="AZ103" i="5"/>
  <c r="AY103" i="5"/>
  <c r="AX103" i="5"/>
  <c r="AW103" i="5"/>
  <c r="AV103" i="5"/>
  <c r="AU103" i="5"/>
  <c r="AT103" i="5"/>
  <c r="AS103" i="5"/>
  <c r="AR103" i="5"/>
  <c r="AQ103" i="5"/>
  <c r="AP103" i="5"/>
  <c r="BA102" i="5"/>
  <c r="AZ102" i="5"/>
  <c r="AY102" i="5"/>
  <c r="AX102" i="5"/>
  <c r="AW102" i="5"/>
  <c r="AV102" i="5"/>
  <c r="AU102" i="5"/>
  <c r="AT102" i="5"/>
  <c r="AS102" i="5"/>
  <c r="AR102" i="5"/>
  <c r="AQ102" i="5"/>
  <c r="AP102" i="5"/>
  <c r="BA101" i="5"/>
  <c r="AZ101" i="5"/>
  <c r="AY101" i="5"/>
  <c r="AX101" i="5"/>
  <c r="AW101" i="5"/>
  <c r="AV101" i="5"/>
  <c r="AU101" i="5"/>
  <c r="AT101" i="5"/>
  <c r="AS101" i="5"/>
  <c r="AR101" i="5"/>
  <c r="AQ101" i="5"/>
  <c r="AP101" i="5"/>
  <c r="BA100" i="5"/>
  <c r="AZ100" i="5"/>
  <c r="AY100" i="5"/>
  <c r="AX100" i="5"/>
  <c r="AW100" i="5"/>
  <c r="AV100" i="5"/>
  <c r="AU100" i="5"/>
  <c r="AT100" i="5"/>
  <c r="AS100" i="5"/>
  <c r="AR100" i="5"/>
  <c r="AQ100" i="5"/>
  <c r="AP100" i="5"/>
  <c r="BA99" i="5"/>
  <c r="AZ99" i="5"/>
  <c r="AY99" i="5"/>
  <c r="AX99" i="5"/>
  <c r="AW99" i="5"/>
  <c r="AV99" i="5"/>
  <c r="AU99" i="5"/>
  <c r="AT99" i="5"/>
  <c r="AS99" i="5"/>
  <c r="AR99" i="5"/>
  <c r="AQ99" i="5"/>
  <c r="AP99" i="5"/>
  <c r="BA98" i="5"/>
  <c r="AZ98" i="5"/>
  <c r="AY98" i="5"/>
  <c r="AX98" i="5"/>
  <c r="AW98" i="5"/>
  <c r="AV98" i="5"/>
  <c r="AU98" i="5"/>
  <c r="AT98" i="5"/>
  <c r="AS98" i="5"/>
  <c r="AR98" i="5"/>
  <c r="AQ98" i="5"/>
  <c r="AP98" i="5"/>
  <c r="BA97" i="5"/>
  <c r="AZ97" i="5"/>
  <c r="AY97" i="5"/>
  <c r="AX97" i="5"/>
  <c r="AW97" i="5"/>
  <c r="AV97" i="5"/>
  <c r="AU97" i="5"/>
  <c r="AT97" i="5"/>
  <c r="AS97" i="5"/>
  <c r="AR97" i="5"/>
  <c r="AQ97" i="5"/>
  <c r="AP97" i="5"/>
  <c r="BA96" i="5"/>
  <c r="AZ96" i="5"/>
  <c r="AY96" i="5"/>
  <c r="AX96" i="5"/>
  <c r="AW96" i="5"/>
  <c r="AV96" i="5"/>
  <c r="AU96" i="5"/>
  <c r="AT96" i="5"/>
  <c r="AS96" i="5"/>
  <c r="AR96" i="5"/>
  <c r="AQ96" i="5"/>
  <c r="AP96" i="5"/>
  <c r="BA95" i="5"/>
  <c r="AZ95" i="5"/>
  <c r="AY95" i="5"/>
  <c r="AX95" i="5"/>
  <c r="AW95" i="5"/>
  <c r="AV95" i="5"/>
  <c r="AU95" i="5"/>
  <c r="AT95" i="5"/>
  <c r="AS95" i="5"/>
  <c r="AR95" i="5"/>
  <c r="AQ95" i="5"/>
  <c r="AP95" i="5"/>
  <c r="BA94" i="5"/>
  <c r="AZ94" i="5"/>
  <c r="AY94" i="5"/>
  <c r="AX94" i="5"/>
  <c r="AW94" i="5"/>
  <c r="AV94" i="5"/>
  <c r="AU94" i="5"/>
  <c r="AT94" i="5"/>
  <c r="AS94" i="5"/>
  <c r="AR94" i="5"/>
  <c r="AQ94" i="5"/>
  <c r="AP94" i="5"/>
  <c r="BA93" i="5"/>
  <c r="AZ93" i="5"/>
  <c r="AY93" i="5"/>
  <c r="AX93" i="5"/>
  <c r="AW93" i="5"/>
  <c r="AV93" i="5"/>
  <c r="AU93" i="5"/>
  <c r="AT93" i="5"/>
  <c r="AS93" i="5"/>
  <c r="AR93" i="5"/>
  <c r="AQ93" i="5"/>
  <c r="AP93" i="5"/>
  <c r="BA92" i="5"/>
  <c r="AZ92" i="5"/>
  <c r="AY92" i="5"/>
  <c r="AX92" i="5"/>
  <c r="AW92" i="5"/>
  <c r="AV92" i="5"/>
  <c r="AU92" i="5"/>
  <c r="AT92" i="5"/>
  <c r="AS92" i="5"/>
  <c r="AR92" i="5"/>
  <c r="AQ92" i="5"/>
  <c r="AP92" i="5"/>
  <c r="BA91" i="5"/>
  <c r="AZ91" i="5"/>
  <c r="AY91" i="5"/>
  <c r="AX91" i="5"/>
  <c r="AW91" i="5"/>
  <c r="AV91" i="5"/>
  <c r="AU91" i="5"/>
  <c r="AT91" i="5"/>
  <c r="AS91" i="5"/>
  <c r="AR91" i="5"/>
  <c r="AQ91" i="5"/>
  <c r="AP91" i="5"/>
  <c r="BA90" i="5"/>
  <c r="AZ90" i="5"/>
  <c r="AY90" i="5"/>
  <c r="AX90" i="5"/>
  <c r="AW90" i="5"/>
  <c r="AV90" i="5"/>
  <c r="AU90" i="5"/>
  <c r="AT90" i="5"/>
  <c r="AS90" i="5"/>
  <c r="AR90" i="5"/>
  <c r="AQ90" i="5"/>
  <c r="AP90" i="5"/>
  <c r="BA89" i="5"/>
  <c r="AZ89" i="5"/>
  <c r="AY89" i="5"/>
  <c r="AX89" i="5"/>
  <c r="AW89" i="5"/>
  <c r="AV89" i="5"/>
  <c r="AU89" i="5"/>
  <c r="AT89" i="5"/>
  <c r="AS89" i="5"/>
  <c r="AR89" i="5"/>
  <c r="AQ89" i="5"/>
  <c r="AP89" i="5"/>
  <c r="BA88" i="5"/>
  <c r="AZ88" i="5"/>
  <c r="AY88" i="5"/>
  <c r="AX88" i="5"/>
  <c r="AW88" i="5"/>
  <c r="AV88" i="5"/>
  <c r="AU88" i="5"/>
  <c r="AT88" i="5"/>
  <c r="AS88" i="5"/>
  <c r="AR88" i="5"/>
  <c r="AQ88" i="5"/>
  <c r="AP88" i="5"/>
  <c r="BA87" i="5"/>
  <c r="AZ87" i="5"/>
  <c r="AY87" i="5"/>
  <c r="AX87" i="5"/>
  <c r="AW87" i="5"/>
  <c r="AV87" i="5"/>
  <c r="AU87" i="5"/>
  <c r="AT87" i="5"/>
  <c r="AS87" i="5"/>
  <c r="AR87" i="5"/>
  <c r="AQ87" i="5"/>
  <c r="AP87" i="5"/>
  <c r="BA86" i="5"/>
  <c r="AZ86" i="5"/>
  <c r="AY86" i="5"/>
  <c r="AX86" i="5"/>
  <c r="AW86" i="5"/>
  <c r="AV86" i="5"/>
  <c r="AU86" i="5"/>
  <c r="AT86" i="5"/>
  <c r="AS86" i="5"/>
  <c r="AR86" i="5"/>
  <c r="AQ86" i="5"/>
  <c r="AP86" i="5"/>
  <c r="BA85" i="5"/>
  <c r="AZ85" i="5"/>
  <c r="AY85" i="5"/>
  <c r="AX85" i="5"/>
  <c r="AW85" i="5"/>
  <c r="AV85" i="5"/>
  <c r="AU85" i="5"/>
  <c r="AT85" i="5"/>
  <c r="AS85" i="5"/>
  <c r="AR85" i="5"/>
  <c r="AQ85" i="5"/>
  <c r="AP85" i="5"/>
  <c r="BA84" i="5"/>
  <c r="AZ84" i="5"/>
  <c r="AY84" i="5"/>
  <c r="AX84" i="5"/>
  <c r="AW84" i="5"/>
  <c r="AV84" i="5"/>
  <c r="AU84" i="5"/>
  <c r="AT84" i="5"/>
  <c r="AS84" i="5"/>
  <c r="AR84" i="5"/>
  <c r="AQ84" i="5"/>
  <c r="AP84" i="5"/>
  <c r="BA83" i="5"/>
  <c r="AZ83" i="5"/>
  <c r="AY83" i="5"/>
  <c r="AX83" i="5"/>
  <c r="AW83" i="5"/>
  <c r="AV83" i="5"/>
  <c r="AU83" i="5"/>
  <c r="AT83" i="5"/>
  <c r="AS83" i="5"/>
  <c r="AR83" i="5"/>
  <c r="AQ83" i="5"/>
  <c r="AP83" i="5"/>
  <c r="BA82" i="5"/>
  <c r="AZ82" i="5"/>
  <c r="AY82" i="5"/>
  <c r="AX82" i="5"/>
  <c r="AW82" i="5"/>
  <c r="AV82" i="5"/>
  <c r="AU82" i="5"/>
  <c r="AT82" i="5"/>
  <c r="AS82" i="5"/>
  <c r="AR82" i="5"/>
  <c r="AQ82" i="5"/>
  <c r="AP82" i="5"/>
  <c r="BA81" i="5"/>
  <c r="AZ81" i="5"/>
  <c r="AY81" i="5"/>
  <c r="AX81" i="5"/>
  <c r="AW81" i="5"/>
  <c r="AV81" i="5"/>
  <c r="AU81" i="5"/>
  <c r="AT81" i="5"/>
  <c r="AS81" i="5"/>
  <c r="AR81" i="5"/>
  <c r="AQ81" i="5"/>
  <c r="AP81" i="5"/>
  <c r="BA80" i="5"/>
  <c r="AZ80" i="5"/>
  <c r="AY80" i="5"/>
  <c r="AX80" i="5"/>
  <c r="AW80" i="5"/>
  <c r="AV80" i="5"/>
  <c r="AU80" i="5"/>
  <c r="AT80" i="5"/>
  <c r="AS80" i="5"/>
  <c r="AR80" i="5"/>
  <c r="AQ80" i="5"/>
  <c r="AP80" i="5"/>
  <c r="BA79" i="5"/>
  <c r="AZ79" i="5"/>
  <c r="AY79" i="5"/>
  <c r="AX79" i="5"/>
  <c r="AW79" i="5"/>
  <c r="AV79" i="5"/>
  <c r="AU79" i="5"/>
  <c r="AT79" i="5"/>
  <c r="AS79" i="5"/>
  <c r="AR79" i="5"/>
  <c r="AQ79" i="5"/>
  <c r="AP79" i="5"/>
  <c r="BA78" i="5"/>
  <c r="AZ78" i="5"/>
  <c r="AY78" i="5"/>
  <c r="AX78" i="5"/>
  <c r="AW78" i="5"/>
  <c r="AV78" i="5"/>
  <c r="AU78" i="5"/>
  <c r="AT78" i="5"/>
  <c r="AS78" i="5"/>
  <c r="AR78" i="5"/>
  <c r="AQ78" i="5"/>
  <c r="AP78" i="5"/>
  <c r="BA77" i="5"/>
  <c r="AZ77" i="5"/>
  <c r="AY77" i="5"/>
  <c r="AX77" i="5"/>
  <c r="AW77" i="5"/>
  <c r="AV77" i="5"/>
  <c r="AU77" i="5"/>
  <c r="AT77" i="5"/>
  <c r="AS77" i="5"/>
  <c r="AR77" i="5"/>
  <c r="AQ77" i="5"/>
  <c r="AP77" i="5"/>
  <c r="BA76" i="5"/>
  <c r="AZ76" i="5"/>
  <c r="AY76" i="5"/>
  <c r="AX76" i="5"/>
  <c r="AW76" i="5"/>
  <c r="AV76" i="5"/>
  <c r="AU76" i="5"/>
  <c r="AT76" i="5"/>
  <c r="AS76" i="5"/>
  <c r="AR76" i="5"/>
  <c r="AQ76" i="5"/>
  <c r="AP76" i="5"/>
  <c r="BA75" i="5"/>
  <c r="AZ75" i="5"/>
  <c r="AY75" i="5"/>
  <c r="AX75" i="5"/>
  <c r="AW75" i="5"/>
  <c r="AV75" i="5"/>
  <c r="AU75" i="5"/>
  <c r="AT75" i="5"/>
  <c r="AS75" i="5"/>
  <c r="AR75" i="5"/>
  <c r="AQ75" i="5"/>
  <c r="AP75" i="5"/>
  <c r="BA74" i="5"/>
  <c r="AZ74" i="5"/>
  <c r="AY74" i="5"/>
  <c r="AX74" i="5"/>
  <c r="AW74" i="5"/>
  <c r="AV74" i="5"/>
  <c r="AU74" i="5"/>
  <c r="AT74" i="5"/>
  <c r="AS74" i="5"/>
  <c r="AR74" i="5"/>
  <c r="AQ74" i="5"/>
  <c r="AP74" i="5"/>
  <c r="BA73" i="5"/>
  <c r="AZ73" i="5"/>
  <c r="AY73" i="5"/>
  <c r="AX73" i="5"/>
  <c r="AW73" i="5"/>
  <c r="AV73" i="5"/>
  <c r="AU73" i="5"/>
  <c r="AT73" i="5"/>
  <c r="AS73" i="5"/>
  <c r="AR73" i="5"/>
  <c r="AQ73" i="5"/>
  <c r="AP73" i="5"/>
  <c r="BA72" i="5"/>
  <c r="AZ72" i="5"/>
  <c r="AY72" i="5"/>
  <c r="AX72" i="5"/>
  <c r="AW72" i="5"/>
  <c r="AV72" i="5"/>
  <c r="AU72" i="5"/>
  <c r="AT72" i="5"/>
  <c r="AS72" i="5"/>
  <c r="AR72" i="5"/>
  <c r="AQ72" i="5"/>
  <c r="AP72" i="5"/>
  <c r="BA71" i="5"/>
  <c r="AZ71" i="5"/>
  <c r="AY71" i="5"/>
  <c r="AX71" i="5"/>
  <c r="AW71" i="5"/>
  <c r="AV71" i="5"/>
  <c r="AU71" i="5"/>
  <c r="AT71" i="5"/>
  <c r="AS71" i="5"/>
  <c r="AR71" i="5"/>
  <c r="AQ71" i="5"/>
  <c r="AP71" i="5"/>
  <c r="BA70" i="5"/>
  <c r="AZ70" i="5"/>
  <c r="AY70" i="5"/>
  <c r="AX70" i="5"/>
  <c r="AW70" i="5"/>
  <c r="AV70" i="5"/>
  <c r="AU70" i="5"/>
  <c r="AT70" i="5"/>
  <c r="AS70" i="5"/>
  <c r="AR70" i="5"/>
  <c r="AQ70" i="5"/>
  <c r="AP70" i="5"/>
  <c r="BA69" i="5"/>
  <c r="AZ69" i="5"/>
  <c r="AY69" i="5"/>
  <c r="AX69" i="5"/>
  <c r="AW69" i="5"/>
  <c r="AV69" i="5"/>
  <c r="AU69" i="5"/>
  <c r="AT69" i="5"/>
  <c r="AS69" i="5"/>
  <c r="AR69" i="5"/>
  <c r="AQ69" i="5"/>
  <c r="AP69" i="5"/>
  <c r="BA68" i="5"/>
  <c r="AZ68" i="5"/>
  <c r="AY68" i="5"/>
  <c r="AX68" i="5"/>
  <c r="AW68" i="5"/>
  <c r="AV68" i="5"/>
  <c r="AU68" i="5"/>
  <c r="AT68" i="5"/>
  <c r="AS68" i="5"/>
  <c r="AR68" i="5"/>
  <c r="AQ68" i="5"/>
  <c r="AP68" i="5"/>
  <c r="BA67" i="5"/>
  <c r="AZ67" i="5"/>
  <c r="AY67" i="5"/>
  <c r="AX67" i="5"/>
  <c r="AW67" i="5"/>
  <c r="AV67" i="5"/>
  <c r="AU67" i="5"/>
  <c r="AT67" i="5"/>
  <c r="AS67" i="5"/>
  <c r="AR67" i="5"/>
  <c r="AQ67" i="5"/>
  <c r="AP67" i="5"/>
  <c r="BA66" i="5"/>
  <c r="AZ66" i="5"/>
  <c r="AY66" i="5"/>
  <c r="AX66" i="5"/>
  <c r="AW66" i="5"/>
  <c r="AV66" i="5"/>
  <c r="AU66" i="5"/>
  <c r="AT66" i="5"/>
  <c r="AS66" i="5"/>
  <c r="AR66" i="5"/>
  <c r="AQ66" i="5"/>
  <c r="AP66" i="5"/>
  <c r="BA65" i="5"/>
  <c r="AZ65" i="5"/>
  <c r="AY65" i="5"/>
  <c r="AX65" i="5"/>
  <c r="AW65" i="5"/>
  <c r="AV65" i="5"/>
  <c r="AU65" i="5"/>
  <c r="AT65" i="5"/>
  <c r="AS65" i="5"/>
  <c r="AR65" i="5"/>
  <c r="AQ65" i="5"/>
  <c r="AP65" i="5"/>
  <c r="BA64" i="5"/>
  <c r="AZ64" i="5"/>
  <c r="AY64" i="5"/>
  <c r="AX64" i="5"/>
  <c r="AW64" i="5"/>
  <c r="AV64" i="5"/>
  <c r="AU64" i="5"/>
  <c r="AT64" i="5"/>
  <c r="AS64" i="5"/>
  <c r="AR64" i="5"/>
  <c r="AQ64" i="5"/>
  <c r="AP64" i="5"/>
  <c r="BA63" i="5"/>
  <c r="AZ63" i="5"/>
  <c r="AY63" i="5"/>
  <c r="AX63" i="5"/>
  <c r="AW63" i="5"/>
  <c r="AV63" i="5"/>
  <c r="AU63" i="5"/>
  <c r="AT63" i="5"/>
  <c r="AS63" i="5"/>
  <c r="AR63" i="5"/>
  <c r="AQ63" i="5"/>
  <c r="AP63" i="5"/>
  <c r="BA62" i="5"/>
  <c r="AZ62" i="5"/>
  <c r="AY62" i="5"/>
  <c r="AX62" i="5"/>
  <c r="AW62" i="5"/>
  <c r="AV62" i="5"/>
  <c r="AU62" i="5"/>
  <c r="AT62" i="5"/>
  <c r="AS62" i="5"/>
  <c r="AR62" i="5"/>
  <c r="AQ62" i="5"/>
  <c r="AP62" i="5"/>
  <c r="BA61" i="5"/>
  <c r="AZ61" i="5"/>
  <c r="AY61" i="5"/>
  <c r="AX61" i="5"/>
  <c r="AW61" i="5"/>
  <c r="AV61" i="5"/>
  <c r="AU61" i="5"/>
  <c r="AT61" i="5"/>
  <c r="AS61" i="5"/>
  <c r="AR61" i="5"/>
  <c r="AQ61" i="5"/>
  <c r="AP61" i="5"/>
  <c r="BA60" i="5"/>
  <c r="AZ60" i="5"/>
  <c r="AY60" i="5"/>
  <c r="AX60" i="5"/>
  <c r="AW60" i="5"/>
  <c r="AV60" i="5"/>
  <c r="AU60" i="5"/>
  <c r="AT60" i="5"/>
  <c r="AS60" i="5"/>
  <c r="AR60" i="5"/>
  <c r="AQ60" i="5"/>
  <c r="AP60" i="5"/>
  <c r="BA59" i="5"/>
  <c r="AZ59" i="5"/>
  <c r="AY59" i="5"/>
  <c r="AX59" i="5"/>
  <c r="AW59" i="5"/>
  <c r="AV59" i="5"/>
  <c r="AU59" i="5"/>
  <c r="AT59" i="5"/>
  <c r="AS59" i="5"/>
  <c r="AR59" i="5"/>
  <c r="AQ59" i="5"/>
  <c r="AP59" i="5"/>
  <c r="BA58" i="5"/>
  <c r="AZ58" i="5"/>
  <c r="AY58" i="5"/>
  <c r="AX58" i="5"/>
  <c r="AW58" i="5"/>
  <c r="AV58" i="5"/>
  <c r="AU58" i="5"/>
  <c r="AT58" i="5"/>
  <c r="AS58" i="5"/>
  <c r="AR58" i="5"/>
  <c r="AQ58" i="5"/>
  <c r="AP58" i="5"/>
  <c r="BA57" i="5"/>
  <c r="AZ57" i="5"/>
  <c r="AY57" i="5"/>
  <c r="AX57" i="5"/>
  <c r="AW57" i="5"/>
  <c r="AV57" i="5"/>
  <c r="AU57" i="5"/>
  <c r="AT57" i="5"/>
  <c r="AS57" i="5"/>
  <c r="AR57" i="5"/>
  <c r="AQ57" i="5"/>
  <c r="AP57" i="5"/>
  <c r="BA56" i="5"/>
  <c r="AZ56" i="5"/>
  <c r="AY56" i="5"/>
  <c r="AX56" i="5"/>
  <c r="AW56" i="5"/>
  <c r="AV56" i="5"/>
  <c r="AU56" i="5"/>
  <c r="AT56" i="5"/>
  <c r="AS56" i="5"/>
  <c r="AR56" i="5"/>
  <c r="AQ56" i="5"/>
  <c r="AP56" i="5"/>
  <c r="BA55" i="5"/>
  <c r="AZ55" i="5"/>
  <c r="AY55" i="5"/>
  <c r="AX55" i="5"/>
  <c r="AW55" i="5"/>
  <c r="AV55" i="5"/>
  <c r="AU55" i="5"/>
  <c r="AT55" i="5"/>
  <c r="AS55" i="5"/>
  <c r="AR55" i="5"/>
  <c r="AQ55" i="5"/>
  <c r="AP55" i="5"/>
  <c r="BA54" i="5"/>
  <c r="AZ54" i="5"/>
  <c r="AY54" i="5"/>
  <c r="AX54" i="5"/>
  <c r="AW54" i="5"/>
  <c r="AV54" i="5"/>
  <c r="AU54" i="5"/>
  <c r="AT54" i="5"/>
  <c r="AS54" i="5"/>
  <c r="AR54" i="5"/>
  <c r="AQ54" i="5"/>
  <c r="AP54" i="5"/>
  <c r="BA53" i="5"/>
  <c r="AZ53" i="5"/>
  <c r="AY53" i="5"/>
  <c r="AX53" i="5"/>
  <c r="AW53" i="5"/>
  <c r="AV53" i="5"/>
  <c r="AU53" i="5"/>
  <c r="AT53" i="5"/>
  <c r="AS53" i="5"/>
  <c r="AR53" i="5"/>
  <c r="AQ53" i="5"/>
  <c r="AP53" i="5"/>
  <c r="BA52" i="5"/>
  <c r="AZ52" i="5"/>
  <c r="AY52" i="5"/>
  <c r="AX52" i="5"/>
  <c r="AW52" i="5"/>
  <c r="AV52" i="5"/>
  <c r="AU52" i="5"/>
  <c r="AT52" i="5"/>
  <c r="AS52" i="5"/>
  <c r="AR52" i="5"/>
  <c r="AQ52" i="5"/>
  <c r="AP52" i="5"/>
  <c r="BA51" i="5"/>
  <c r="AZ51" i="5"/>
  <c r="AY51" i="5"/>
  <c r="AX51" i="5"/>
  <c r="AW51" i="5"/>
  <c r="AV51" i="5"/>
  <c r="AU51" i="5"/>
  <c r="AT51" i="5"/>
  <c r="AS51" i="5"/>
  <c r="AR51" i="5"/>
  <c r="AQ51" i="5"/>
  <c r="AP51" i="5"/>
  <c r="BA50" i="5"/>
  <c r="AZ50" i="5"/>
  <c r="AY50" i="5"/>
  <c r="AX50" i="5"/>
  <c r="AW50" i="5"/>
  <c r="AV50" i="5"/>
  <c r="AU50" i="5"/>
  <c r="AT50" i="5"/>
  <c r="AS50" i="5"/>
  <c r="AR50" i="5"/>
  <c r="AQ50" i="5"/>
  <c r="AP50" i="5"/>
  <c r="BA49" i="5"/>
  <c r="AZ49" i="5"/>
  <c r="AY49" i="5"/>
  <c r="AX49" i="5"/>
  <c r="AW49" i="5"/>
  <c r="AV49" i="5"/>
  <c r="AU49" i="5"/>
  <c r="AT49" i="5"/>
  <c r="AS49" i="5"/>
  <c r="AR49" i="5"/>
  <c r="AQ49" i="5"/>
  <c r="AP49" i="5"/>
  <c r="BA48" i="5"/>
  <c r="AZ48" i="5"/>
  <c r="AY48" i="5"/>
  <c r="AX48" i="5"/>
  <c r="AW48" i="5"/>
  <c r="AV48" i="5"/>
  <c r="AU48" i="5"/>
  <c r="AT48" i="5"/>
  <c r="BA47" i="5"/>
  <c r="AZ47" i="5"/>
  <c r="AY47" i="5"/>
  <c r="AX47" i="5"/>
  <c r="AW47" i="5"/>
  <c r="AV47" i="5"/>
  <c r="AU47" i="5"/>
  <c r="AT47" i="5"/>
  <c r="BA46" i="5"/>
  <c r="AZ46" i="5"/>
  <c r="AY46" i="5"/>
  <c r="AX46" i="5"/>
  <c r="AW46" i="5"/>
  <c r="AV46" i="5"/>
  <c r="AU46" i="5"/>
  <c r="AT46" i="5"/>
  <c r="BA44" i="5"/>
  <c r="AZ44" i="5"/>
  <c r="AY44" i="5"/>
  <c r="AX44" i="5"/>
  <c r="AW44" i="5"/>
  <c r="AV44" i="5"/>
  <c r="AU44" i="5"/>
  <c r="AT44" i="5"/>
  <c r="BA43" i="5"/>
  <c r="AZ43" i="5"/>
  <c r="AY43" i="5"/>
  <c r="AX43" i="5"/>
  <c r="AW43" i="5"/>
  <c r="AV43" i="5"/>
  <c r="AU43" i="5"/>
  <c r="AT43" i="5"/>
  <c r="AS43" i="5"/>
  <c r="AR43" i="5"/>
  <c r="AQ43" i="5"/>
  <c r="AP43" i="5"/>
  <c r="BA42" i="5"/>
  <c r="AZ42" i="5"/>
  <c r="AY42" i="5"/>
  <c r="AX42" i="5"/>
  <c r="AW42" i="5"/>
  <c r="AV42" i="5"/>
  <c r="AU42" i="5"/>
  <c r="AT42" i="5"/>
  <c r="AS42" i="5"/>
  <c r="AR42" i="5"/>
  <c r="AQ42" i="5"/>
  <c r="AP42" i="5"/>
  <c r="BA41" i="5"/>
  <c r="AZ41" i="5"/>
  <c r="AY41" i="5"/>
  <c r="AX41" i="5"/>
  <c r="AW41" i="5"/>
  <c r="AV41" i="5"/>
  <c r="AU41" i="5"/>
  <c r="AT41" i="5"/>
  <c r="AS41" i="5"/>
  <c r="AR41" i="5"/>
  <c r="AQ41" i="5"/>
  <c r="AP41" i="5"/>
  <c r="BA40" i="5"/>
  <c r="AZ40" i="5"/>
  <c r="AY40" i="5"/>
  <c r="AX40" i="5"/>
  <c r="AW40" i="5"/>
  <c r="AV40" i="5"/>
  <c r="AU40" i="5"/>
  <c r="AT40" i="5"/>
  <c r="AS40" i="5"/>
  <c r="AR40" i="5"/>
  <c r="AQ40" i="5"/>
  <c r="AP40" i="5"/>
  <c r="BA39" i="5"/>
  <c r="AZ39" i="5"/>
  <c r="AY39" i="5"/>
  <c r="AX39" i="5"/>
  <c r="AW39" i="5"/>
  <c r="AV39" i="5"/>
  <c r="AU39" i="5"/>
  <c r="AT39" i="5"/>
  <c r="AS39" i="5"/>
  <c r="AR39" i="5"/>
  <c r="AQ39" i="5"/>
  <c r="AP39" i="5"/>
  <c r="BA38" i="5"/>
  <c r="AZ38" i="5"/>
  <c r="AY38" i="5"/>
  <c r="AX38" i="5"/>
  <c r="AW38" i="5"/>
  <c r="AV38" i="5"/>
  <c r="AU38" i="5"/>
  <c r="AT38" i="5"/>
  <c r="AS38" i="5"/>
  <c r="AR38" i="5"/>
  <c r="AQ38" i="5"/>
  <c r="AP38" i="5"/>
  <c r="BA36" i="5"/>
  <c r="AZ36" i="5"/>
  <c r="AY36" i="5"/>
  <c r="AX36" i="5"/>
  <c r="AW36" i="5"/>
  <c r="AV36" i="5"/>
  <c r="AU36" i="5"/>
  <c r="AT36" i="5"/>
  <c r="AS36" i="5"/>
  <c r="AR36" i="5"/>
  <c r="AQ36" i="5"/>
  <c r="AP36" i="5"/>
  <c r="BA35" i="5"/>
  <c r="AZ35" i="5"/>
  <c r="AY35" i="5"/>
  <c r="AX35" i="5"/>
  <c r="AW35" i="5"/>
  <c r="AV35" i="5"/>
  <c r="AU35" i="5"/>
  <c r="AT35" i="5"/>
  <c r="AS35" i="5"/>
  <c r="AR35" i="5"/>
  <c r="AQ35" i="5"/>
  <c r="AP35" i="5"/>
  <c r="BA34" i="5"/>
  <c r="AZ34" i="5"/>
  <c r="AY34" i="5"/>
  <c r="AX34" i="5"/>
  <c r="AW34" i="5"/>
  <c r="AV34" i="5"/>
  <c r="AU34" i="5"/>
  <c r="AT34" i="5"/>
  <c r="AS34" i="5"/>
  <c r="AR34" i="5"/>
  <c r="AQ34" i="5"/>
  <c r="AP34" i="5"/>
  <c r="BA33" i="5"/>
  <c r="AZ33" i="5"/>
  <c r="AY33" i="5"/>
  <c r="AX33" i="5"/>
  <c r="AW33" i="5"/>
  <c r="AV33" i="5"/>
  <c r="AU33" i="5"/>
  <c r="AT33" i="5"/>
  <c r="AS33" i="5"/>
  <c r="AR33" i="5"/>
  <c r="AQ33" i="5"/>
  <c r="AP33" i="5"/>
  <c r="BA32" i="5"/>
  <c r="AZ32" i="5"/>
  <c r="AY32" i="5"/>
  <c r="AX32" i="5"/>
  <c r="AW32" i="5"/>
  <c r="AV32" i="5"/>
  <c r="AU32" i="5"/>
  <c r="AT32" i="5"/>
  <c r="AS32" i="5"/>
  <c r="AR32" i="5"/>
  <c r="AQ32" i="5"/>
  <c r="AP32" i="5"/>
  <c r="BA31" i="5"/>
  <c r="AZ31" i="5"/>
  <c r="AY31" i="5"/>
  <c r="AX31" i="5"/>
  <c r="AW31" i="5"/>
  <c r="AV31" i="5"/>
  <c r="AU31" i="5"/>
  <c r="AT31" i="5"/>
  <c r="AS31" i="5"/>
  <c r="AR31" i="5"/>
  <c r="AQ31" i="5"/>
  <c r="AP31" i="5"/>
  <c r="BA30" i="5"/>
  <c r="AZ30" i="5"/>
  <c r="AY30" i="5"/>
  <c r="AX30" i="5"/>
  <c r="AW30" i="5"/>
  <c r="AV30" i="5"/>
  <c r="AU30" i="5"/>
  <c r="AT30" i="5"/>
  <c r="AS30" i="5"/>
  <c r="AR30" i="5"/>
  <c r="AQ30" i="5"/>
  <c r="AP30" i="5"/>
  <c r="BA29" i="5"/>
  <c r="AZ29" i="5"/>
  <c r="AY29" i="5"/>
  <c r="AX29" i="5"/>
  <c r="AW29" i="5"/>
  <c r="AV29" i="5"/>
  <c r="AU29" i="5"/>
  <c r="AT29" i="5"/>
  <c r="AS29" i="5"/>
  <c r="AR29" i="5"/>
  <c r="AQ29" i="5"/>
  <c r="AP29" i="5"/>
  <c r="BA28" i="5"/>
  <c r="AZ28" i="5"/>
  <c r="AY28" i="5"/>
  <c r="AX28" i="5"/>
  <c r="AW28" i="5"/>
  <c r="AV28" i="5"/>
  <c r="AU28" i="5"/>
  <c r="AT28" i="5"/>
  <c r="AS28" i="5"/>
  <c r="AR28" i="5"/>
  <c r="AQ28" i="5"/>
  <c r="AP28" i="5"/>
  <c r="BA27" i="5"/>
  <c r="AZ27" i="5"/>
  <c r="AY27" i="5"/>
  <c r="AX27" i="5"/>
  <c r="AW27" i="5"/>
  <c r="AV27" i="5"/>
  <c r="AU27" i="5"/>
  <c r="AT27" i="5"/>
  <c r="AS27" i="5"/>
  <c r="AR27" i="5"/>
  <c r="AQ27" i="5"/>
  <c r="AP27" i="5"/>
  <c r="BA26" i="5"/>
  <c r="AZ26" i="5"/>
  <c r="AY26" i="5"/>
  <c r="AX26" i="5"/>
  <c r="AW26" i="5"/>
  <c r="AV26" i="5"/>
  <c r="AU26" i="5"/>
  <c r="AT26" i="5"/>
  <c r="AS26" i="5"/>
  <c r="AR26" i="5"/>
  <c r="AQ26" i="5"/>
  <c r="AP26" i="5"/>
  <c r="BA25" i="5"/>
  <c r="AZ25" i="5"/>
  <c r="AY25" i="5"/>
  <c r="AX25" i="5"/>
  <c r="AW25" i="5"/>
  <c r="AV25" i="5"/>
  <c r="AU25" i="5"/>
  <c r="AT25" i="5"/>
  <c r="AS25" i="5"/>
  <c r="AR25" i="5"/>
  <c r="AQ25" i="5"/>
  <c r="AP25" i="5"/>
  <c r="BA24" i="5"/>
  <c r="AZ24" i="5"/>
  <c r="AY24" i="5"/>
  <c r="AX24" i="5"/>
  <c r="AW24" i="5"/>
  <c r="AV24" i="5"/>
  <c r="AU24" i="5"/>
  <c r="AT24" i="5"/>
  <c r="AS24" i="5"/>
  <c r="AR24" i="5"/>
  <c r="AQ24" i="5"/>
  <c r="AP24" i="5"/>
  <c r="BA23" i="5"/>
  <c r="AZ23" i="5"/>
  <c r="AY23" i="5"/>
  <c r="AX23" i="5"/>
  <c r="AW23" i="5"/>
  <c r="AV23" i="5"/>
  <c r="AU23" i="5"/>
  <c r="AT23" i="5"/>
  <c r="AS23" i="5"/>
  <c r="AR23" i="5"/>
  <c r="AQ23" i="5"/>
  <c r="AP23" i="5"/>
  <c r="BA22" i="5"/>
  <c r="AZ22" i="5"/>
  <c r="AY22" i="5"/>
  <c r="AX22" i="5"/>
  <c r="AW22" i="5"/>
  <c r="AV22" i="5"/>
  <c r="AU22" i="5"/>
  <c r="AT22" i="5"/>
  <c r="AS22" i="5"/>
  <c r="AR22" i="5"/>
  <c r="AQ22" i="5"/>
  <c r="AP22" i="5"/>
  <c r="BA21" i="5"/>
  <c r="AZ21" i="5"/>
  <c r="AY21" i="5"/>
  <c r="AX21" i="5"/>
  <c r="AW21" i="5"/>
  <c r="AV21" i="5"/>
  <c r="AU21" i="5"/>
  <c r="AT21" i="5"/>
  <c r="AS21" i="5"/>
  <c r="AR21" i="5"/>
  <c r="AQ21" i="5"/>
  <c r="AP21" i="5"/>
  <c r="BA20" i="5"/>
  <c r="AZ20" i="5"/>
  <c r="AY20" i="5"/>
  <c r="AX20" i="5"/>
  <c r="AW20" i="5"/>
  <c r="AV20" i="5"/>
  <c r="AU20" i="5"/>
  <c r="AT20" i="5"/>
  <c r="AS20" i="5"/>
  <c r="AR20" i="5"/>
  <c r="AQ20" i="5"/>
  <c r="AP20" i="5"/>
  <c r="BA19" i="5"/>
  <c r="AZ19" i="5"/>
  <c r="AY19" i="5"/>
  <c r="AX19" i="5"/>
  <c r="AW19" i="5"/>
  <c r="AV19" i="5"/>
  <c r="AU19" i="5"/>
  <c r="AT19" i="5"/>
  <c r="AS19" i="5"/>
  <c r="AR19" i="5"/>
  <c r="AQ19" i="5"/>
  <c r="AP19" i="5"/>
  <c r="BA18" i="5"/>
  <c r="AZ18" i="5"/>
  <c r="AY18" i="5"/>
  <c r="AX18" i="5"/>
  <c r="AW18" i="5"/>
  <c r="AV18" i="5"/>
  <c r="AU18" i="5"/>
  <c r="AT18" i="5"/>
  <c r="AS18" i="5"/>
  <c r="AR18" i="5"/>
  <c r="AQ18" i="5"/>
  <c r="AP18" i="5"/>
  <c r="BA17" i="5"/>
  <c r="AZ17" i="5"/>
  <c r="AY17" i="5"/>
  <c r="AX17" i="5"/>
  <c r="AW17" i="5"/>
  <c r="AV17" i="5"/>
  <c r="AU17" i="5"/>
  <c r="AT17" i="5"/>
  <c r="AS17" i="5"/>
  <c r="AR17" i="5"/>
  <c r="AQ17" i="5"/>
  <c r="AP17" i="5"/>
  <c r="BA16" i="5"/>
  <c r="AZ16" i="5"/>
  <c r="AY16" i="5"/>
  <c r="AX16" i="5"/>
  <c r="AW16" i="5"/>
  <c r="AV16" i="5"/>
  <c r="AU16" i="5"/>
  <c r="AT16" i="5"/>
  <c r="AS16" i="5"/>
  <c r="AR16" i="5"/>
  <c r="AQ16" i="5"/>
  <c r="AP16" i="5"/>
  <c r="BA15" i="5"/>
  <c r="AZ15" i="5"/>
  <c r="AY15" i="5"/>
  <c r="AX15" i="5"/>
  <c r="AW15" i="5"/>
  <c r="AV15" i="5"/>
  <c r="AU15" i="5"/>
  <c r="AT15" i="5"/>
  <c r="AS15" i="5"/>
  <c r="AR15" i="5"/>
  <c r="AQ15" i="5"/>
  <c r="AP15" i="5"/>
  <c r="BA14" i="5"/>
  <c r="AZ14" i="5"/>
  <c r="AY14" i="5"/>
  <c r="AX14" i="5"/>
  <c r="AW14" i="5"/>
  <c r="AV14" i="5"/>
  <c r="AU14" i="5"/>
  <c r="AT14" i="5"/>
  <c r="AS14" i="5"/>
  <c r="AR14" i="5"/>
  <c r="AQ14" i="5"/>
  <c r="AP14" i="5"/>
  <c r="BA13" i="5"/>
  <c r="AZ13" i="5"/>
  <c r="AY13" i="5"/>
  <c r="AX13" i="5"/>
  <c r="AW13" i="5"/>
  <c r="AV13" i="5"/>
  <c r="AU13" i="5"/>
  <c r="AT13" i="5"/>
  <c r="AS13" i="5"/>
  <c r="AR13" i="5"/>
  <c r="AQ13" i="5"/>
  <c r="AP13" i="5"/>
  <c r="BA12" i="5"/>
  <c r="AZ12" i="5"/>
  <c r="AY12" i="5"/>
  <c r="AX12" i="5"/>
  <c r="AW12" i="5"/>
  <c r="AV12" i="5"/>
  <c r="AU12" i="5"/>
  <c r="AT12" i="5"/>
  <c r="AS12" i="5"/>
  <c r="AR12" i="5"/>
  <c r="AQ12" i="5"/>
  <c r="AP12" i="5"/>
  <c r="BA11" i="5"/>
  <c r="AZ11" i="5"/>
  <c r="AY11" i="5"/>
  <c r="AX11" i="5"/>
  <c r="AW11" i="5"/>
  <c r="AV11" i="5"/>
  <c r="AU11" i="5"/>
  <c r="AT11" i="5"/>
  <c r="AS11" i="5"/>
  <c r="AR11" i="5"/>
  <c r="AQ11" i="5"/>
  <c r="AP11" i="5"/>
  <c r="BA10" i="5"/>
  <c r="AZ10" i="5"/>
  <c r="AY10" i="5"/>
  <c r="AX10" i="5"/>
  <c r="AW10" i="5"/>
  <c r="AV10" i="5"/>
  <c r="AU10" i="5"/>
  <c r="AT10" i="5"/>
  <c r="AS10" i="5"/>
  <c r="AR10" i="5"/>
  <c r="AQ10" i="5"/>
  <c r="AP10" i="5"/>
  <c r="BA9" i="5"/>
  <c r="AZ9" i="5"/>
  <c r="AY9" i="5"/>
  <c r="AX9" i="5"/>
  <c r="AW9" i="5"/>
  <c r="AV9" i="5"/>
  <c r="AU9" i="5"/>
  <c r="AT9" i="5"/>
  <c r="AS9" i="5"/>
  <c r="AR9" i="5"/>
  <c r="AQ9" i="5"/>
  <c r="AP9" i="5"/>
  <c r="BA8" i="5"/>
  <c r="AZ8" i="5"/>
  <c r="AY8" i="5"/>
  <c r="AX8" i="5"/>
  <c r="AW8" i="5"/>
  <c r="AV8" i="5"/>
  <c r="AU8" i="5"/>
  <c r="AT8" i="5"/>
  <c r="AS8" i="5"/>
  <c r="AR8" i="5"/>
  <c r="AQ8" i="5"/>
  <c r="AP8" i="5"/>
  <c r="BA7" i="5"/>
  <c r="AZ7" i="5"/>
  <c r="AY7" i="5"/>
  <c r="AX7" i="5"/>
  <c r="AW7" i="5"/>
  <c r="AV7" i="5"/>
  <c r="AU7" i="5"/>
  <c r="AT7" i="5"/>
  <c r="AS7" i="5"/>
  <c r="AR7" i="5"/>
  <c r="AQ7" i="5"/>
  <c r="AP7" i="5"/>
  <c r="BA6" i="5"/>
  <c r="AZ6" i="5"/>
  <c r="AY6" i="5"/>
  <c r="AX6" i="5"/>
  <c r="AW6" i="5"/>
  <c r="AV6" i="5"/>
  <c r="AU6" i="5"/>
  <c r="AT6" i="5"/>
  <c r="AS6" i="5"/>
  <c r="AR6" i="5"/>
  <c r="AQ6" i="5"/>
  <c r="AP6" i="5"/>
  <c r="BA5" i="5"/>
  <c r="AZ5" i="5"/>
  <c r="AY5" i="5"/>
  <c r="AX5" i="5"/>
  <c r="AW5" i="5"/>
  <c r="AV5" i="5"/>
  <c r="AU5" i="5"/>
  <c r="AT5" i="5"/>
  <c r="AS5" i="5"/>
  <c r="AR5" i="5"/>
  <c r="AQ5" i="5"/>
  <c r="AP5" i="5"/>
  <c r="BA4" i="5"/>
  <c r="AZ4" i="5"/>
  <c r="AY4" i="5"/>
  <c r="AX4" i="5"/>
  <c r="AW4" i="5"/>
  <c r="AV4" i="5"/>
  <c r="AU4" i="5"/>
  <c r="AT4" i="5"/>
  <c r="AS4" i="5"/>
  <c r="AR4" i="5"/>
  <c r="AQ4" i="5"/>
  <c r="AP4" i="5"/>
  <c r="BA3" i="5"/>
  <c r="AZ3" i="5"/>
  <c r="AY3" i="5"/>
  <c r="AX3" i="5"/>
  <c r="AX141" i="5" s="1"/>
  <c r="AW3" i="5"/>
  <c r="AV3" i="5"/>
  <c r="AU3" i="5"/>
  <c r="AT3" i="5"/>
  <c r="AS3" i="5"/>
  <c r="AR3" i="5"/>
  <c r="AQ3" i="5"/>
  <c r="AP3" i="5"/>
  <c r="BA2" i="5"/>
  <c r="AZ2" i="5"/>
  <c r="AZ141" i="5" s="1"/>
  <c r="AY2" i="5"/>
  <c r="AX2" i="5"/>
  <c r="AW2" i="5"/>
  <c r="AV2" i="5"/>
  <c r="AU2" i="5"/>
  <c r="AT2" i="5"/>
  <c r="AT141" i="5"/>
  <c r="AS2" i="5"/>
  <c r="AR2" i="5"/>
  <c r="AR141" i="5" s="1"/>
  <c r="AQ2" i="5"/>
  <c r="AP2" i="5"/>
  <c r="AZ141" i="9"/>
  <c r="AY141" i="9"/>
  <c r="AO141" i="9"/>
  <c r="AQ141" i="9"/>
  <c r="AS141" i="9"/>
  <c r="AU141" i="9"/>
  <c r="AW141" i="9"/>
  <c r="AP141" i="9"/>
  <c r="AR141" i="9"/>
  <c r="AT141" i="9"/>
  <c r="AV141" i="9"/>
  <c r="AX141" i="9"/>
  <c r="P2303" i="1"/>
  <c r="O2303" i="1"/>
  <c r="N2303" i="1"/>
  <c r="M2303" i="1"/>
  <c r="L67" i="14"/>
  <c r="L66" i="14"/>
  <c r="L65" i="14"/>
  <c r="P2302" i="1"/>
  <c r="O2302" i="1"/>
  <c r="N2302" i="1"/>
  <c r="M2302" i="1"/>
  <c r="P2301" i="1"/>
  <c r="O2301" i="1"/>
  <c r="N2301" i="1"/>
  <c r="M2301" i="1"/>
  <c r="P2300" i="1"/>
  <c r="O2300" i="1"/>
  <c r="N2300" i="1"/>
  <c r="M2300" i="1"/>
  <c r="P2299" i="1"/>
  <c r="O2299" i="1"/>
  <c r="N2299" i="1"/>
  <c r="M2299" i="1"/>
  <c r="P2298" i="1"/>
  <c r="O2298" i="1"/>
  <c r="N2298" i="1"/>
  <c r="M2298" i="1"/>
  <c r="P2297" i="1"/>
  <c r="O2297" i="1"/>
  <c r="N2297" i="1"/>
  <c r="M2297" i="1"/>
  <c r="P2282" i="1"/>
  <c r="O2282" i="1"/>
  <c r="N2282" i="1"/>
  <c r="M2282" i="1"/>
  <c r="P2281" i="1"/>
  <c r="O2281" i="1"/>
  <c r="N2281" i="1"/>
  <c r="M2281" i="1"/>
  <c r="P2280" i="1"/>
  <c r="O2280" i="1"/>
  <c r="N2280" i="1"/>
  <c r="M2280" i="1"/>
  <c r="P2279" i="1"/>
  <c r="O2279" i="1"/>
  <c r="N2279" i="1"/>
  <c r="M2279" i="1"/>
  <c r="P2296" i="1"/>
  <c r="O2296" i="1"/>
  <c r="N2296" i="1"/>
  <c r="M2296" i="1"/>
  <c r="P2295" i="1"/>
  <c r="O2295" i="1"/>
  <c r="N2295" i="1"/>
  <c r="M2295" i="1"/>
  <c r="P2294" i="1"/>
  <c r="O2294" i="1"/>
  <c r="N2294" i="1"/>
  <c r="M2294" i="1"/>
  <c r="P2293" i="1"/>
  <c r="O2293" i="1"/>
  <c r="N2293" i="1"/>
  <c r="M2293" i="1"/>
  <c r="P2292" i="1"/>
  <c r="O2292" i="1"/>
  <c r="N2292" i="1"/>
  <c r="M2292" i="1"/>
  <c r="P2291" i="1"/>
  <c r="O2291" i="1"/>
  <c r="N2291" i="1"/>
  <c r="M2291" i="1"/>
  <c r="P2290" i="1"/>
  <c r="O2290" i="1"/>
  <c r="N2290" i="1"/>
  <c r="M2290" i="1"/>
  <c r="P2289" i="1"/>
  <c r="O2289" i="1"/>
  <c r="N2289" i="1"/>
  <c r="M2289" i="1"/>
  <c r="AI138" i="9"/>
  <c r="BA138" i="9"/>
  <c r="C138" i="9" s="1"/>
  <c r="P2288" i="1"/>
  <c r="O2288" i="1"/>
  <c r="N2288" i="1"/>
  <c r="M2288" i="1"/>
  <c r="P2287" i="1"/>
  <c r="O2287" i="1"/>
  <c r="N2287" i="1"/>
  <c r="M2287" i="1"/>
  <c r="P2286" i="1"/>
  <c r="O2286" i="1"/>
  <c r="N2286" i="1"/>
  <c r="M2286" i="1"/>
  <c r="P2285" i="1"/>
  <c r="O2285" i="1"/>
  <c r="N2285" i="1"/>
  <c r="M2285" i="1"/>
  <c r="P2284" i="1"/>
  <c r="O2284" i="1"/>
  <c r="N2284" i="1"/>
  <c r="M2284" i="1"/>
  <c r="P2283" i="1"/>
  <c r="O2283" i="1"/>
  <c r="N2283" i="1"/>
  <c r="M2283" i="1"/>
  <c r="P2278" i="1"/>
  <c r="O2278" i="1"/>
  <c r="N2278" i="1"/>
  <c r="M2278" i="1"/>
  <c r="P2277" i="1"/>
  <c r="O2277" i="1"/>
  <c r="N2277" i="1"/>
  <c r="M2277" i="1"/>
  <c r="P2276" i="1"/>
  <c r="O2276" i="1"/>
  <c r="N2276" i="1"/>
  <c r="M2276" i="1"/>
  <c r="P2275" i="1"/>
  <c r="O2275" i="1"/>
  <c r="N2275" i="1"/>
  <c r="M2275" i="1"/>
  <c r="P2274" i="1"/>
  <c r="O2274" i="1"/>
  <c r="N2274" i="1"/>
  <c r="M2274" i="1"/>
  <c r="M2273" i="1"/>
  <c r="N2273" i="1"/>
  <c r="O2273" i="1"/>
  <c r="P2273" i="1"/>
  <c r="P2272" i="1"/>
  <c r="O2272" i="1"/>
  <c r="N2272" i="1"/>
  <c r="M2272" i="1"/>
  <c r="AW73" i="4"/>
  <c r="AS73" i="4"/>
  <c r="AR73" i="4"/>
  <c r="AM73" i="4"/>
  <c r="AH73" i="4"/>
  <c r="AC73" i="4"/>
  <c r="X73" i="4"/>
  <c r="S73" i="4"/>
  <c r="I73" i="4"/>
  <c r="AW72" i="4"/>
  <c r="AS72" i="4"/>
  <c r="AR72" i="4"/>
  <c r="AM72" i="4"/>
  <c r="AH72" i="4"/>
  <c r="AC72" i="4"/>
  <c r="X72" i="4"/>
  <c r="S72" i="4"/>
  <c r="I72" i="4"/>
  <c r="AW71" i="4"/>
  <c r="AS71" i="4"/>
  <c r="AR71" i="4"/>
  <c r="AM71" i="4"/>
  <c r="AH71" i="4"/>
  <c r="AC71" i="4"/>
  <c r="X71" i="4"/>
  <c r="S71" i="4"/>
  <c r="I71" i="4"/>
  <c r="AW70" i="4"/>
  <c r="AS70" i="4"/>
  <c r="AR70" i="4"/>
  <c r="AM70" i="4"/>
  <c r="AH70" i="4"/>
  <c r="AC70" i="4"/>
  <c r="X70" i="4"/>
  <c r="S70" i="4"/>
  <c r="AW69" i="4"/>
  <c r="AS69" i="4"/>
  <c r="AR69" i="4"/>
  <c r="AM69" i="4"/>
  <c r="AH69" i="4"/>
  <c r="AC69" i="4"/>
  <c r="X69" i="4"/>
  <c r="S69" i="4"/>
  <c r="AW68" i="4"/>
  <c r="AS68" i="4"/>
  <c r="AR68" i="4"/>
  <c r="AM68" i="4"/>
  <c r="AH68" i="4"/>
  <c r="AC68" i="4"/>
  <c r="X68" i="4"/>
  <c r="S68" i="4"/>
  <c r="AW67" i="4"/>
  <c r="AS67" i="4"/>
  <c r="AR67" i="4"/>
  <c r="AM67" i="4"/>
  <c r="AH67" i="4"/>
  <c r="AC67" i="4"/>
  <c r="X67" i="4"/>
  <c r="S67" i="4"/>
  <c r="AW66" i="4"/>
  <c r="AS66" i="4"/>
  <c r="AR66" i="4"/>
  <c r="AM66" i="4"/>
  <c r="AH66" i="4"/>
  <c r="AC66" i="4"/>
  <c r="X66" i="4"/>
  <c r="S66" i="4"/>
  <c r="AW65" i="4"/>
  <c r="AS65" i="4"/>
  <c r="AR65" i="4"/>
  <c r="AM65" i="4"/>
  <c r="AH65" i="4"/>
  <c r="AC65" i="4"/>
  <c r="X65" i="4"/>
  <c r="S65" i="4"/>
  <c r="AW64" i="4"/>
  <c r="AS64" i="4"/>
  <c r="AR64" i="4"/>
  <c r="AM64" i="4"/>
  <c r="AH64" i="4"/>
  <c r="AC64" i="4"/>
  <c r="X64" i="4"/>
  <c r="S64" i="4"/>
  <c r="AW63" i="4"/>
  <c r="AS63" i="4"/>
  <c r="AR63" i="4"/>
  <c r="AM63" i="4"/>
  <c r="AH63" i="4"/>
  <c r="AC63" i="4"/>
  <c r="X63" i="4"/>
  <c r="S63" i="4"/>
  <c r="AW62" i="4"/>
  <c r="AS62" i="4"/>
  <c r="AR62" i="4"/>
  <c r="AM62" i="4"/>
  <c r="AH62" i="4"/>
  <c r="AC62" i="4"/>
  <c r="X62" i="4"/>
  <c r="S62" i="4"/>
  <c r="AW61" i="4"/>
  <c r="AS61" i="4"/>
  <c r="AR61" i="4"/>
  <c r="AM61" i="4"/>
  <c r="AH61" i="4"/>
  <c r="AC61" i="4"/>
  <c r="X61" i="4"/>
  <c r="S61" i="4"/>
  <c r="AW60" i="4"/>
  <c r="AS60" i="4"/>
  <c r="AR60" i="4"/>
  <c r="AM60" i="4"/>
  <c r="AH60" i="4"/>
  <c r="AC60" i="4"/>
  <c r="X60" i="4"/>
  <c r="S60" i="4"/>
  <c r="AW59" i="4"/>
  <c r="AS59" i="4"/>
  <c r="AR59" i="4"/>
  <c r="AM59" i="4"/>
  <c r="AH59" i="4"/>
  <c r="AC59" i="4"/>
  <c r="X59" i="4"/>
  <c r="S59" i="4"/>
  <c r="AW58" i="4"/>
  <c r="AS58" i="4"/>
  <c r="AR58" i="4"/>
  <c r="AM58" i="4"/>
  <c r="AH58" i="4"/>
  <c r="AC58" i="4"/>
  <c r="X58" i="4"/>
  <c r="S58" i="4"/>
  <c r="AW57" i="4"/>
  <c r="AS57" i="4"/>
  <c r="AR57" i="4"/>
  <c r="AM57" i="4"/>
  <c r="AH57" i="4"/>
  <c r="AC57" i="4"/>
  <c r="X57" i="4"/>
  <c r="S57" i="4"/>
  <c r="AW56" i="4"/>
  <c r="AS56" i="4"/>
  <c r="AR56" i="4"/>
  <c r="AM56" i="4"/>
  <c r="AH56" i="4"/>
  <c r="AC56" i="4"/>
  <c r="X56" i="4"/>
  <c r="S56" i="4"/>
  <c r="AW55" i="4"/>
  <c r="AS55" i="4"/>
  <c r="AR55" i="4"/>
  <c r="AM55" i="4"/>
  <c r="AH55" i="4"/>
  <c r="AC55" i="4"/>
  <c r="X55" i="4"/>
  <c r="S55" i="4"/>
  <c r="AW54" i="4"/>
  <c r="AS54" i="4"/>
  <c r="AR54" i="4"/>
  <c r="AM54" i="4"/>
  <c r="AH54" i="4"/>
  <c r="AC54" i="4"/>
  <c r="X54" i="4"/>
  <c r="S54" i="4"/>
  <c r="AW53" i="4"/>
  <c r="AS53" i="4"/>
  <c r="AR53" i="4"/>
  <c r="AM53" i="4"/>
  <c r="AH53" i="4"/>
  <c r="AC53" i="4"/>
  <c r="X53" i="4"/>
  <c r="S53" i="4"/>
  <c r="AW52" i="4"/>
  <c r="AS52" i="4"/>
  <c r="AR52" i="4"/>
  <c r="AM52" i="4"/>
  <c r="AH52" i="4"/>
  <c r="AC52" i="4"/>
  <c r="X52" i="4"/>
  <c r="S52" i="4"/>
  <c r="AW51" i="4"/>
  <c r="AS51" i="4"/>
  <c r="AR51" i="4"/>
  <c r="AM51" i="4"/>
  <c r="AH51" i="4"/>
  <c r="AC51" i="4"/>
  <c r="X51" i="4"/>
  <c r="S51" i="4"/>
  <c r="AW50" i="4"/>
  <c r="AS50" i="4"/>
  <c r="AR50" i="4"/>
  <c r="AM50" i="4"/>
  <c r="AH50" i="4"/>
  <c r="AC50" i="4"/>
  <c r="X50" i="4"/>
  <c r="S50" i="4"/>
  <c r="AW49" i="4"/>
  <c r="AS49" i="4"/>
  <c r="AR49" i="4"/>
  <c r="AM49" i="4"/>
  <c r="AH49" i="4"/>
  <c r="AC49" i="4"/>
  <c r="X49" i="4"/>
  <c r="S49" i="4"/>
  <c r="K19" i="13"/>
  <c r="K18" i="13"/>
  <c r="K17" i="13"/>
  <c r="K16" i="13"/>
  <c r="K15" i="13"/>
  <c r="K14" i="13"/>
  <c r="K13" i="13"/>
  <c r="K12" i="13"/>
  <c r="K11" i="13"/>
  <c r="K10" i="13"/>
  <c r="K9" i="13"/>
  <c r="K8" i="13"/>
  <c r="K7" i="13"/>
  <c r="AS75" i="4"/>
  <c r="AS74" i="4"/>
  <c r="AS48" i="4"/>
  <c r="AS47" i="4"/>
  <c r="AS46" i="4"/>
  <c r="AS45" i="4"/>
  <c r="AS44" i="4"/>
  <c r="AS43" i="4"/>
  <c r="AS42" i="4"/>
  <c r="AS41" i="4"/>
  <c r="AS40" i="4"/>
  <c r="AS39" i="4"/>
  <c r="AS38" i="4"/>
  <c r="AS37" i="4"/>
  <c r="AS36" i="4"/>
  <c r="AS35" i="4"/>
  <c r="AS34" i="4"/>
  <c r="AS33" i="4"/>
  <c r="AS32" i="4"/>
  <c r="AS31" i="4"/>
  <c r="AS30" i="4"/>
  <c r="AS29" i="4"/>
  <c r="AS28" i="4"/>
  <c r="AS27" i="4"/>
  <c r="AS26" i="4"/>
  <c r="AS25" i="4"/>
  <c r="AS24" i="4"/>
  <c r="AS23" i="4"/>
  <c r="AS22" i="4"/>
  <c r="AS21" i="4"/>
  <c r="AS20" i="4"/>
  <c r="AS19" i="4"/>
  <c r="AS18" i="4"/>
  <c r="AS17" i="4"/>
  <c r="AS16" i="4"/>
  <c r="AS15" i="4"/>
  <c r="AS14" i="4"/>
  <c r="AS13" i="4"/>
  <c r="AS12" i="4"/>
  <c r="AS11" i="4"/>
  <c r="AS10" i="4"/>
  <c r="AS9" i="4"/>
  <c r="AS8" i="4"/>
  <c r="AS7" i="4"/>
  <c r="AS6" i="4"/>
  <c r="AS5" i="4"/>
  <c r="AS4" i="4"/>
  <c r="P2271" i="1"/>
  <c r="O2271" i="1"/>
  <c r="N2271" i="1"/>
  <c r="M2271" i="1"/>
  <c r="AW4" i="4"/>
  <c r="AR4" i="4"/>
  <c r="AR5" i="4" s="1"/>
  <c r="AR6" i="4" s="1"/>
  <c r="AR7" i="4" s="1"/>
  <c r="AR8" i="4" s="1"/>
  <c r="AR9" i="4" s="1"/>
  <c r="AR10" i="4" s="1"/>
  <c r="AR11" i="4" s="1"/>
  <c r="AR12" i="4" s="1"/>
  <c r="AR13" i="4" s="1"/>
  <c r="AR14" i="4" s="1"/>
  <c r="AR15" i="4" s="1"/>
  <c r="AR16" i="4" s="1"/>
  <c r="AM4" i="4"/>
  <c r="AC4" i="4"/>
  <c r="AC5" i="4" s="1"/>
  <c r="AC6" i="4" s="1"/>
  <c r="AC7" i="4" s="1"/>
  <c r="AC8" i="4" s="1"/>
  <c r="AC9" i="4" s="1"/>
  <c r="AC10" i="4" s="1"/>
  <c r="AC11" i="4" s="1"/>
  <c r="AC12" i="4" s="1"/>
  <c r="AC13" i="4" s="1"/>
  <c r="AC14" i="4" s="1"/>
  <c r="AC15" i="4" s="1"/>
  <c r="AC16" i="4" s="1"/>
  <c r="X4" i="4"/>
  <c r="S4" i="4"/>
  <c r="S5" i="4" s="1"/>
  <c r="S6" i="4" s="1"/>
  <c r="S7" i="4" s="1"/>
  <c r="S8" i="4" s="1"/>
  <c r="D7" i="4" s="1"/>
  <c r="AH19" i="4"/>
  <c r="AH20" i="4"/>
  <c r="AH21" i="4"/>
  <c r="AH22" i="4"/>
  <c r="AH23" i="4"/>
  <c r="AH24" i="4"/>
  <c r="AH25" i="4"/>
  <c r="AH26" i="4"/>
  <c r="AH27" i="4"/>
  <c r="AH28" i="4"/>
  <c r="AH29" i="4"/>
  <c r="AH30" i="4"/>
  <c r="AH31" i="4"/>
  <c r="AH32" i="4"/>
  <c r="AH33" i="4"/>
  <c r="AH34" i="4"/>
  <c r="AH35" i="4"/>
  <c r="AH36" i="4"/>
  <c r="AH37" i="4"/>
  <c r="AH38" i="4"/>
  <c r="AH39" i="4"/>
  <c r="AH40" i="4"/>
  <c r="AH41" i="4"/>
  <c r="AH42" i="4"/>
  <c r="AH43" i="4"/>
  <c r="AH44" i="4"/>
  <c r="AH45" i="4"/>
  <c r="AH46" i="4"/>
  <c r="AH47" i="4"/>
  <c r="AH48" i="4"/>
  <c r="AH74" i="4"/>
  <c r="AH75" i="4"/>
  <c r="P2270" i="1"/>
  <c r="O2270" i="1"/>
  <c r="N2270" i="1"/>
  <c r="M2270" i="1"/>
  <c r="P2269" i="1"/>
  <c r="O2269" i="1"/>
  <c r="N2269" i="1"/>
  <c r="M2269" i="1"/>
  <c r="P2268" i="1"/>
  <c r="O2268" i="1"/>
  <c r="N2268" i="1"/>
  <c r="M2268" i="1"/>
  <c r="P2267" i="1"/>
  <c r="O2267" i="1"/>
  <c r="N2267" i="1"/>
  <c r="M2267" i="1"/>
  <c r="P2266" i="1"/>
  <c r="O2266" i="1"/>
  <c r="N2266" i="1"/>
  <c r="M2266" i="1"/>
  <c r="AJ60" i="9"/>
  <c r="P2265" i="1"/>
  <c r="O2265" i="1"/>
  <c r="N2265" i="1"/>
  <c r="M2265" i="1"/>
  <c r="P2264" i="1"/>
  <c r="O2264" i="1"/>
  <c r="N2264" i="1"/>
  <c r="M2264" i="1"/>
  <c r="P2263" i="1"/>
  <c r="O2263" i="1"/>
  <c r="N2263" i="1"/>
  <c r="M2263" i="1"/>
  <c r="P2262" i="1"/>
  <c r="O2262" i="1"/>
  <c r="N2262" i="1"/>
  <c r="M2262" i="1"/>
  <c r="P2261" i="1"/>
  <c r="O2261" i="1"/>
  <c r="N2261" i="1"/>
  <c r="M2261" i="1"/>
  <c r="P2260" i="1"/>
  <c r="O2260" i="1"/>
  <c r="N2260" i="1"/>
  <c r="M2260" i="1"/>
  <c r="P2259" i="1"/>
  <c r="O2259" i="1"/>
  <c r="N2259" i="1"/>
  <c r="M2259" i="1"/>
  <c r="P2258" i="1"/>
  <c r="O2258" i="1"/>
  <c r="N2258" i="1"/>
  <c r="M2258" i="1"/>
  <c r="AI76" i="9"/>
  <c r="P2257" i="1"/>
  <c r="O2257" i="1"/>
  <c r="N2257" i="1"/>
  <c r="M2257" i="1"/>
  <c r="P2256" i="1"/>
  <c r="O2256" i="1"/>
  <c r="N2256" i="1"/>
  <c r="M2256" i="1"/>
  <c r="P2255" i="1"/>
  <c r="O2255" i="1"/>
  <c r="N2255" i="1"/>
  <c r="M2255" i="1"/>
  <c r="P2254" i="1"/>
  <c r="O2254" i="1"/>
  <c r="N2254" i="1"/>
  <c r="M2254" i="1"/>
  <c r="P2253" i="1"/>
  <c r="O2253" i="1"/>
  <c r="N2253" i="1"/>
  <c r="M2253" i="1"/>
  <c r="AI77" i="9"/>
  <c r="P2252" i="1"/>
  <c r="O2252" i="1"/>
  <c r="N2252" i="1"/>
  <c r="M2252" i="1"/>
  <c r="P2251" i="1"/>
  <c r="O2251" i="1"/>
  <c r="N2251" i="1"/>
  <c r="M2251" i="1"/>
  <c r="P2250" i="1"/>
  <c r="O2250" i="1"/>
  <c r="N2250" i="1"/>
  <c r="M2250" i="1"/>
  <c r="P2249" i="1"/>
  <c r="O2249" i="1"/>
  <c r="N2249" i="1"/>
  <c r="M2249" i="1"/>
  <c r="P2248" i="1"/>
  <c r="O2248" i="1"/>
  <c r="N2248" i="1"/>
  <c r="M2248" i="1"/>
  <c r="AI106" i="9"/>
  <c r="BA106" i="9" s="1"/>
  <c r="C106" i="9" s="1"/>
  <c r="P2247" i="1"/>
  <c r="O2247" i="1"/>
  <c r="N2247" i="1"/>
  <c r="M2247" i="1"/>
  <c r="P2246" i="1"/>
  <c r="O2246" i="1"/>
  <c r="N2246" i="1"/>
  <c r="M2246" i="1"/>
  <c r="P2245" i="1"/>
  <c r="O2245" i="1"/>
  <c r="N2245" i="1"/>
  <c r="M2245" i="1"/>
  <c r="P2244" i="1"/>
  <c r="O2244" i="1"/>
  <c r="N2244" i="1"/>
  <c r="M2244" i="1"/>
  <c r="P2243" i="1"/>
  <c r="O2243" i="1"/>
  <c r="N2243" i="1"/>
  <c r="M2243" i="1"/>
  <c r="P2242" i="1"/>
  <c r="O2242" i="1"/>
  <c r="N2242" i="1"/>
  <c r="M2242" i="1"/>
  <c r="P2241" i="1"/>
  <c r="O2241" i="1"/>
  <c r="N2241" i="1"/>
  <c r="M2241" i="1"/>
  <c r="P2240" i="1"/>
  <c r="O2240" i="1"/>
  <c r="N2240" i="1"/>
  <c r="M2240" i="1"/>
  <c r="P2239" i="1"/>
  <c r="O2239" i="1"/>
  <c r="N2239" i="1"/>
  <c r="M2239" i="1"/>
  <c r="P2238" i="1"/>
  <c r="O2238" i="1"/>
  <c r="N2238" i="1"/>
  <c r="M2238" i="1"/>
  <c r="P2237" i="1"/>
  <c r="O2237" i="1"/>
  <c r="N2237" i="1"/>
  <c r="M2237" i="1"/>
  <c r="P2236" i="1"/>
  <c r="O2236" i="1"/>
  <c r="N2236" i="1"/>
  <c r="M2236" i="1"/>
  <c r="P2235" i="1"/>
  <c r="O2235" i="1"/>
  <c r="N2235" i="1"/>
  <c r="M2235" i="1"/>
  <c r="P2234" i="1"/>
  <c r="O2234" i="1"/>
  <c r="N2234" i="1"/>
  <c r="M2234" i="1"/>
  <c r="P2233" i="1"/>
  <c r="O2233" i="1"/>
  <c r="N2233" i="1"/>
  <c r="M2233" i="1"/>
  <c r="P2232" i="1"/>
  <c r="O2232" i="1"/>
  <c r="N2232" i="1"/>
  <c r="M2232" i="1"/>
  <c r="P2231" i="1"/>
  <c r="O2231" i="1"/>
  <c r="N2231" i="1"/>
  <c r="M2231" i="1"/>
  <c r="E16" i="12"/>
  <c r="AF2" i="9"/>
  <c r="AF4" i="9"/>
  <c r="AG65" i="5"/>
  <c r="AG4" i="9"/>
  <c r="AG6" i="9"/>
  <c r="BA6" i="9" s="1"/>
  <c r="C6" i="9"/>
  <c r="AG11" i="9"/>
  <c r="BA11" i="9"/>
  <c r="AF16" i="9"/>
  <c r="AF17" i="9"/>
  <c r="BA17" i="9" s="1"/>
  <c r="C17" i="9" s="1"/>
  <c r="AF20" i="9"/>
  <c r="AG20" i="9"/>
  <c r="AF33" i="9"/>
  <c r="AG7" i="5"/>
  <c r="AF35" i="9"/>
  <c r="AG35" i="9"/>
  <c r="AH9" i="5" s="1"/>
  <c r="AF36" i="9"/>
  <c r="BA36" i="9" s="1"/>
  <c r="AF38" i="9"/>
  <c r="AI38" i="9"/>
  <c r="AD40" i="9"/>
  <c r="AF40" i="9"/>
  <c r="AH40" i="9"/>
  <c r="AF43" i="9"/>
  <c r="AG38" i="5"/>
  <c r="AG43" i="9"/>
  <c r="AF46" i="9"/>
  <c r="BA46" i="9" s="1"/>
  <c r="C46" i="9"/>
  <c r="AF47" i="9"/>
  <c r="AF53" i="9"/>
  <c r="AG53" i="9"/>
  <c r="AH53" i="9"/>
  <c r="AF54" i="9"/>
  <c r="AG55" i="9"/>
  <c r="AI55" i="9"/>
  <c r="AF56" i="9"/>
  <c r="BA56" i="9" s="1"/>
  <c r="C56" i="9" s="1"/>
  <c r="AG57" i="9"/>
  <c r="AD59" i="9"/>
  <c r="AD60" i="9"/>
  <c r="AF60" i="9"/>
  <c r="AG60" i="9"/>
  <c r="AH17" i="5"/>
  <c r="AF61" i="9"/>
  <c r="AG61" i="9"/>
  <c r="AG64" i="9"/>
  <c r="AH69" i="9"/>
  <c r="AI51" i="5" s="1"/>
  <c r="AG77" i="9"/>
  <c r="AG80" i="9"/>
  <c r="BA80" i="9"/>
  <c r="C80" i="9" s="1"/>
  <c r="BA82" i="9"/>
  <c r="AF84" i="9"/>
  <c r="AG85" i="9"/>
  <c r="BA85" i="9" s="1"/>
  <c r="AF87" i="9"/>
  <c r="AH87" i="9"/>
  <c r="BA90" i="9"/>
  <c r="C90" i="9" s="1"/>
  <c r="AI91" i="9"/>
  <c r="BA91" i="9" s="1"/>
  <c r="C91" i="9"/>
  <c r="AF92" i="9"/>
  <c r="AG140" i="5"/>
  <c r="AG93" i="9"/>
  <c r="AG100" i="9"/>
  <c r="BA100" i="9" s="1"/>
  <c r="C100" i="9" s="1"/>
  <c r="AD102" i="9"/>
  <c r="AF102" i="9"/>
  <c r="AG102" i="9"/>
  <c r="AH102" i="9"/>
  <c r="AI84" i="5" s="1"/>
  <c r="AF104" i="9"/>
  <c r="BA109" i="9"/>
  <c r="AG111" i="9"/>
  <c r="BA111" i="9" s="1"/>
  <c r="AF113" i="9"/>
  <c r="AF114" i="9"/>
  <c r="AG114" i="9"/>
  <c r="AD116" i="9"/>
  <c r="AJ116" i="9"/>
  <c r="AD117" i="9"/>
  <c r="AE113" i="5"/>
  <c r="AF117" i="9"/>
  <c r="AH117" i="9"/>
  <c r="AI117" i="9"/>
  <c r="AJ117" i="9"/>
  <c r="AF121" i="9"/>
  <c r="BA121" i="9"/>
  <c r="C121" i="9" s="1"/>
  <c r="BA123" i="9"/>
  <c r="AG128" i="9"/>
  <c r="AF130" i="9"/>
  <c r="BA130" i="9"/>
  <c r="C130" i="9" s="1"/>
  <c r="AF132" i="9"/>
  <c r="AG128" i="5" s="1"/>
  <c r="AG132" i="9"/>
  <c r="AH132" i="9"/>
  <c r="AG133" i="9"/>
  <c r="AH133" i="9"/>
  <c r="AF134" i="9"/>
  <c r="AG134" i="9"/>
  <c r="AI141" i="9"/>
  <c r="G144" i="9"/>
  <c r="M144" i="9"/>
  <c r="R144" i="9"/>
  <c r="AA144" i="9"/>
  <c r="AM141" i="9"/>
  <c r="AN141" i="9"/>
  <c r="P1520" i="1"/>
  <c r="P1557" i="1"/>
  <c r="P1579" i="1"/>
  <c r="P1592" i="1"/>
  <c r="P1667" i="1"/>
  <c r="P1870" i="1"/>
  <c r="P1968" i="1"/>
  <c r="P2006" i="1"/>
  <c r="P2062" i="1"/>
  <c r="P2188" i="1"/>
  <c r="P2207" i="1"/>
  <c r="H142" i="5"/>
  <c r="M142" i="5"/>
  <c r="V142" i="5"/>
  <c r="W142" i="5"/>
  <c r="Y142" i="5"/>
  <c r="Z142" i="5"/>
  <c r="AN142" i="9"/>
  <c r="AO142" i="5"/>
  <c r="Y143" i="5"/>
  <c r="AA143" i="5"/>
  <c r="U146" i="9"/>
  <c r="V146" i="9"/>
  <c r="W146" i="9"/>
  <c r="X146" i="9"/>
  <c r="Y146" i="9"/>
  <c r="Z146" i="9"/>
  <c r="AA146" i="9"/>
  <c r="AB146" i="9"/>
  <c r="U147" i="9"/>
  <c r="V147" i="9"/>
  <c r="W147" i="9"/>
  <c r="X147" i="9"/>
  <c r="Y147" i="9"/>
  <c r="Z147" i="9"/>
  <c r="AA147" i="9"/>
  <c r="AB147" i="9"/>
  <c r="AC148" i="9"/>
  <c r="O2"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O504" i="1"/>
  <c r="O505" i="1"/>
  <c r="O506" i="1"/>
  <c r="O507" i="1"/>
  <c r="O508" i="1"/>
  <c r="O509" i="1"/>
  <c r="O510" i="1"/>
  <c r="O511" i="1"/>
  <c r="O512" i="1"/>
  <c r="O513" i="1"/>
  <c r="O514" i="1"/>
  <c r="O515" i="1"/>
  <c r="O516" i="1"/>
  <c r="O517" i="1"/>
  <c r="O518" i="1"/>
  <c r="O519" i="1"/>
  <c r="O520" i="1"/>
  <c r="O521" i="1"/>
  <c r="O522" i="1"/>
  <c r="O523" i="1"/>
  <c r="O524" i="1"/>
  <c r="O525" i="1"/>
  <c r="O526" i="1"/>
  <c r="O527" i="1"/>
  <c r="O528" i="1"/>
  <c r="O529" i="1"/>
  <c r="O530" i="1"/>
  <c r="O531" i="1"/>
  <c r="O532" i="1"/>
  <c r="O533" i="1"/>
  <c r="O534" i="1"/>
  <c r="O535" i="1"/>
  <c r="O536" i="1"/>
  <c r="O537" i="1"/>
  <c r="O538" i="1"/>
  <c r="O539" i="1"/>
  <c r="O540" i="1"/>
  <c r="O541" i="1"/>
  <c r="O542" i="1"/>
  <c r="O543" i="1"/>
  <c r="O544" i="1"/>
  <c r="O545" i="1"/>
  <c r="O546" i="1"/>
  <c r="O547" i="1"/>
  <c r="O548" i="1"/>
  <c r="O549" i="1"/>
  <c r="O550" i="1"/>
  <c r="O551" i="1"/>
  <c r="O552" i="1"/>
  <c r="O553" i="1"/>
  <c r="O554" i="1"/>
  <c r="O555" i="1"/>
  <c r="O556" i="1"/>
  <c r="O557" i="1"/>
  <c r="O558" i="1"/>
  <c r="O559" i="1"/>
  <c r="O560" i="1"/>
  <c r="O561" i="1"/>
  <c r="O562" i="1"/>
  <c r="O563" i="1"/>
  <c r="O564" i="1"/>
  <c r="O565" i="1"/>
  <c r="O566" i="1"/>
  <c r="O567" i="1"/>
  <c r="O568" i="1"/>
  <c r="O569" i="1"/>
  <c r="O570" i="1"/>
  <c r="O571" i="1"/>
  <c r="O572" i="1"/>
  <c r="O573" i="1"/>
  <c r="O574" i="1"/>
  <c r="O575" i="1"/>
  <c r="O576" i="1"/>
  <c r="O577" i="1"/>
  <c r="O578" i="1"/>
  <c r="O579" i="1"/>
  <c r="O580" i="1"/>
  <c r="O581" i="1"/>
  <c r="O582" i="1"/>
  <c r="O583" i="1"/>
  <c r="O584" i="1"/>
  <c r="O585" i="1"/>
  <c r="O586" i="1"/>
  <c r="O587" i="1"/>
  <c r="O588" i="1"/>
  <c r="O589" i="1"/>
  <c r="O590" i="1"/>
  <c r="O591" i="1"/>
  <c r="O592" i="1"/>
  <c r="O593" i="1"/>
  <c r="O594" i="1"/>
  <c r="O595" i="1"/>
  <c r="O596" i="1"/>
  <c r="O597" i="1"/>
  <c r="O598" i="1"/>
  <c r="O599" i="1"/>
  <c r="O600" i="1"/>
  <c r="O601" i="1"/>
  <c r="O602" i="1"/>
  <c r="O603" i="1"/>
  <c r="O604" i="1"/>
  <c r="O605" i="1"/>
  <c r="O606" i="1"/>
  <c r="O607" i="1"/>
  <c r="O608" i="1"/>
  <c r="O609" i="1"/>
  <c r="O610" i="1"/>
  <c r="O611" i="1"/>
  <c r="O612" i="1"/>
  <c r="O613" i="1"/>
  <c r="O614" i="1"/>
  <c r="O615" i="1"/>
  <c r="O616" i="1"/>
  <c r="O617" i="1"/>
  <c r="O618" i="1"/>
  <c r="O619" i="1"/>
  <c r="O620" i="1"/>
  <c r="O621" i="1"/>
  <c r="O622" i="1"/>
  <c r="O623" i="1"/>
  <c r="O624" i="1"/>
  <c r="O625" i="1"/>
  <c r="O626" i="1"/>
  <c r="O627" i="1"/>
  <c r="O628" i="1"/>
  <c r="O629" i="1"/>
  <c r="O630" i="1"/>
  <c r="O631" i="1"/>
  <c r="O632" i="1"/>
  <c r="O633" i="1"/>
  <c r="O634" i="1"/>
  <c r="O635" i="1"/>
  <c r="O636" i="1"/>
  <c r="O637" i="1"/>
  <c r="O638" i="1"/>
  <c r="O639" i="1"/>
  <c r="O640" i="1"/>
  <c r="O641" i="1"/>
  <c r="O642" i="1"/>
  <c r="O643" i="1"/>
  <c r="O644" i="1"/>
  <c r="O645" i="1"/>
  <c r="O646" i="1"/>
  <c r="O647" i="1"/>
  <c r="O648" i="1"/>
  <c r="O649" i="1"/>
  <c r="O650" i="1"/>
  <c r="O651" i="1"/>
  <c r="O652" i="1"/>
  <c r="O653" i="1"/>
  <c r="O654" i="1"/>
  <c r="O655" i="1"/>
  <c r="O656" i="1"/>
  <c r="O657" i="1"/>
  <c r="O658" i="1"/>
  <c r="O659" i="1"/>
  <c r="O660" i="1"/>
  <c r="O661" i="1"/>
  <c r="O662" i="1"/>
  <c r="O663" i="1"/>
  <c r="O664" i="1"/>
  <c r="O665" i="1"/>
  <c r="O666" i="1"/>
  <c r="O667" i="1"/>
  <c r="O668" i="1"/>
  <c r="O669" i="1"/>
  <c r="O670" i="1"/>
  <c r="O671" i="1"/>
  <c r="O672" i="1"/>
  <c r="O673" i="1"/>
  <c r="O674" i="1"/>
  <c r="O675" i="1"/>
  <c r="O676" i="1"/>
  <c r="O677" i="1"/>
  <c r="O678" i="1"/>
  <c r="O679" i="1"/>
  <c r="O680" i="1"/>
  <c r="O681" i="1"/>
  <c r="O682" i="1"/>
  <c r="O683" i="1"/>
  <c r="O684" i="1"/>
  <c r="O685" i="1"/>
  <c r="O686" i="1"/>
  <c r="O687" i="1"/>
  <c r="O688" i="1"/>
  <c r="O689" i="1"/>
  <c r="O690" i="1"/>
  <c r="O691" i="1"/>
  <c r="O692" i="1"/>
  <c r="O693" i="1"/>
  <c r="O694" i="1"/>
  <c r="O695" i="1"/>
  <c r="O696" i="1"/>
  <c r="O697" i="1"/>
  <c r="O698" i="1"/>
  <c r="O699" i="1"/>
  <c r="O700" i="1"/>
  <c r="O701" i="1"/>
  <c r="O702" i="1"/>
  <c r="O703" i="1"/>
  <c r="O704" i="1"/>
  <c r="O705" i="1"/>
  <c r="O706" i="1"/>
  <c r="O707" i="1"/>
  <c r="O708" i="1"/>
  <c r="O709" i="1"/>
  <c r="O710" i="1"/>
  <c r="O711" i="1"/>
  <c r="O712" i="1"/>
  <c r="O713" i="1"/>
  <c r="O714" i="1"/>
  <c r="O715" i="1"/>
  <c r="O716" i="1"/>
  <c r="O717" i="1"/>
  <c r="O718" i="1"/>
  <c r="O719" i="1"/>
  <c r="O720" i="1"/>
  <c r="O721" i="1"/>
  <c r="O722" i="1"/>
  <c r="O723" i="1"/>
  <c r="O724" i="1"/>
  <c r="O725" i="1"/>
  <c r="O726" i="1"/>
  <c r="O727" i="1"/>
  <c r="O728" i="1"/>
  <c r="O729" i="1"/>
  <c r="O730" i="1"/>
  <c r="O731" i="1"/>
  <c r="O732" i="1"/>
  <c r="O733" i="1"/>
  <c r="O734" i="1"/>
  <c r="O735" i="1"/>
  <c r="O736" i="1"/>
  <c r="O737" i="1"/>
  <c r="O738" i="1"/>
  <c r="O739" i="1"/>
  <c r="O740" i="1"/>
  <c r="O741" i="1"/>
  <c r="O742" i="1"/>
  <c r="O743" i="1"/>
  <c r="O744" i="1"/>
  <c r="O745" i="1"/>
  <c r="O746" i="1"/>
  <c r="O747" i="1"/>
  <c r="O748" i="1"/>
  <c r="O749" i="1"/>
  <c r="O750" i="1"/>
  <c r="O751" i="1"/>
  <c r="O752" i="1"/>
  <c r="O753" i="1"/>
  <c r="O754" i="1"/>
  <c r="O755" i="1"/>
  <c r="O756" i="1"/>
  <c r="O757" i="1"/>
  <c r="O758" i="1"/>
  <c r="O759" i="1"/>
  <c r="O760" i="1"/>
  <c r="O761" i="1"/>
  <c r="O762" i="1"/>
  <c r="O763" i="1"/>
  <c r="O764" i="1"/>
  <c r="O765" i="1"/>
  <c r="O766" i="1"/>
  <c r="O767" i="1"/>
  <c r="O768" i="1"/>
  <c r="O769" i="1"/>
  <c r="O770" i="1"/>
  <c r="O771" i="1"/>
  <c r="O772" i="1"/>
  <c r="O773" i="1"/>
  <c r="O774" i="1"/>
  <c r="O775" i="1"/>
  <c r="O776" i="1"/>
  <c r="O777" i="1"/>
  <c r="O778" i="1"/>
  <c r="O779" i="1"/>
  <c r="O780" i="1"/>
  <c r="O781" i="1"/>
  <c r="O782" i="1"/>
  <c r="O783" i="1"/>
  <c r="O784" i="1"/>
  <c r="O785" i="1"/>
  <c r="O786" i="1"/>
  <c r="O787" i="1"/>
  <c r="O788" i="1"/>
  <c r="O789" i="1"/>
  <c r="O790" i="1"/>
  <c r="O791" i="1"/>
  <c r="O792" i="1"/>
  <c r="O793" i="1"/>
  <c r="O794" i="1"/>
  <c r="O795" i="1"/>
  <c r="O796" i="1"/>
  <c r="O797" i="1"/>
  <c r="O798" i="1"/>
  <c r="O799" i="1"/>
  <c r="O800" i="1"/>
  <c r="O801" i="1"/>
  <c r="O802" i="1"/>
  <c r="O803" i="1"/>
  <c r="O804" i="1"/>
  <c r="O805" i="1"/>
  <c r="O806" i="1"/>
  <c r="O807" i="1"/>
  <c r="O808" i="1"/>
  <c r="O809" i="1"/>
  <c r="O810" i="1"/>
  <c r="O811" i="1"/>
  <c r="O812" i="1"/>
  <c r="O813" i="1"/>
  <c r="O814" i="1"/>
  <c r="O815" i="1"/>
  <c r="O816" i="1"/>
  <c r="O817" i="1"/>
  <c r="O818" i="1"/>
  <c r="O819" i="1"/>
  <c r="O820" i="1"/>
  <c r="O821" i="1"/>
  <c r="O822" i="1"/>
  <c r="O823" i="1"/>
  <c r="O824" i="1"/>
  <c r="O825" i="1"/>
  <c r="O826" i="1"/>
  <c r="O827" i="1"/>
  <c r="O828" i="1"/>
  <c r="O829" i="1"/>
  <c r="O830" i="1"/>
  <c r="O831" i="1"/>
  <c r="O832" i="1"/>
  <c r="O833" i="1"/>
  <c r="O834" i="1"/>
  <c r="O835" i="1"/>
  <c r="O836" i="1"/>
  <c r="O837" i="1"/>
  <c r="O838" i="1"/>
  <c r="O839" i="1"/>
  <c r="O840" i="1"/>
  <c r="O841" i="1"/>
  <c r="O842" i="1"/>
  <c r="O843" i="1"/>
  <c r="O844" i="1"/>
  <c r="O845" i="1"/>
  <c r="O846" i="1"/>
  <c r="O847" i="1"/>
  <c r="O848" i="1"/>
  <c r="O849" i="1"/>
  <c r="O850" i="1"/>
  <c r="O851" i="1"/>
  <c r="O852" i="1"/>
  <c r="O853" i="1"/>
  <c r="O854" i="1"/>
  <c r="O855" i="1"/>
  <c r="O856" i="1"/>
  <c r="O857" i="1"/>
  <c r="O858" i="1"/>
  <c r="O859" i="1"/>
  <c r="O860" i="1"/>
  <c r="O861" i="1"/>
  <c r="O862" i="1"/>
  <c r="O863" i="1"/>
  <c r="O864" i="1"/>
  <c r="O865" i="1"/>
  <c r="O866" i="1"/>
  <c r="O867" i="1"/>
  <c r="O868" i="1"/>
  <c r="O869" i="1"/>
  <c r="O870" i="1"/>
  <c r="O871" i="1"/>
  <c r="O872" i="1"/>
  <c r="O873" i="1"/>
  <c r="O874" i="1"/>
  <c r="O875" i="1"/>
  <c r="O876" i="1"/>
  <c r="O877" i="1"/>
  <c r="O878" i="1"/>
  <c r="O879" i="1"/>
  <c r="O880" i="1"/>
  <c r="O881" i="1"/>
  <c r="O882" i="1"/>
  <c r="O883" i="1"/>
  <c r="O884" i="1"/>
  <c r="O885" i="1"/>
  <c r="O886" i="1"/>
  <c r="O887" i="1"/>
  <c r="O888" i="1"/>
  <c r="O889" i="1"/>
  <c r="O890" i="1"/>
  <c r="O891" i="1"/>
  <c r="O892" i="1"/>
  <c r="O893" i="1"/>
  <c r="O894" i="1"/>
  <c r="O895" i="1"/>
  <c r="O896" i="1"/>
  <c r="O897" i="1"/>
  <c r="O898" i="1"/>
  <c r="O899" i="1"/>
  <c r="O900" i="1"/>
  <c r="O901" i="1"/>
  <c r="O902" i="1"/>
  <c r="O903" i="1"/>
  <c r="O904" i="1"/>
  <c r="O905" i="1"/>
  <c r="O906" i="1"/>
  <c r="O907" i="1"/>
  <c r="O908" i="1"/>
  <c r="O909" i="1"/>
  <c r="O910" i="1"/>
  <c r="O911" i="1"/>
  <c r="O912" i="1"/>
  <c r="O913" i="1"/>
  <c r="O914" i="1"/>
  <c r="O915" i="1"/>
  <c r="O916" i="1"/>
  <c r="O917" i="1"/>
  <c r="O918" i="1"/>
  <c r="O919" i="1"/>
  <c r="O920" i="1"/>
  <c r="O921" i="1"/>
  <c r="O922" i="1"/>
  <c r="O923" i="1"/>
  <c r="O924" i="1"/>
  <c r="O925" i="1"/>
  <c r="O926" i="1"/>
  <c r="O927" i="1"/>
  <c r="O928" i="1"/>
  <c r="O929" i="1"/>
  <c r="O930" i="1"/>
  <c r="O931" i="1"/>
  <c r="O932" i="1"/>
  <c r="O933" i="1"/>
  <c r="O934" i="1"/>
  <c r="O935" i="1"/>
  <c r="O936" i="1"/>
  <c r="O937" i="1"/>
  <c r="O938" i="1"/>
  <c r="O939" i="1"/>
  <c r="O940" i="1"/>
  <c r="O941" i="1"/>
  <c r="O942" i="1"/>
  <c r="O943" i="1"/>
  <c r="O944" i="1"/>
  <c r="O945" i="1"/>
  <c r="O946" i="1"/>
  <c r="O947" i="1"/>
  <c r="O948" i="1"/>
  <c r="O949" i="1"/>
  <c r="O950" i="1"/>
  <c r="O951" i="1"/>
  <c r="O952" i="1"/>
  <c r="O953" i="1"/>
  <c r="O954" i="1"/>
  <c r="O955" i="1"/>
  <c r="O956" i="1"/>
  <c r="O957" i="1"/>
  <c r="O958" i="1"/>
  <c r="O959" i="1"/>
  <c r="O960" i="1"/>
  <c r="O961" i="1"/>
  <c r="O962" i="1"/>
  <c r="O963" i="1"/>
  <c r="O964" i="1"/>
  <c r="O965" i="1"/>
  <c r="O966" i="1"/>
  <c r="O967" i="1"/>
  <c r="O968" i="1"/>
  <c r="O969" i="1"/>
  <c r="O970" i="1"/>
  <c r="O971" i="1"/>
  <c r="O972" i="1"/>
  <c r="O973" i="1"/>
  <c r="O974" i="1"/>
  <c r="O975" i="1"/>
  <c r="O976" i="1"/>
  <c r="O977" i="1"/>
  <c r="O978" i="1"/>
  <c r="O979" i="1"/>
  <c r="O980" i="1"/>
  <c r="O981" i="1"/>
  <c r="O982" i="1"/>
  <c r="O983" i="1"/>
  <c r="O984" i="1"/>
  <c r="O985" i="1"/>
  <c r="O986" i="1"/>
  <c r="O987" i="1"/>
  <c r="O988" i="1"/>
  <c r="O989" i="1"/>
  <c r="O990" i="1"/>
  <c r="O991" i="1"/>
  <c r="O992" i="1"/>
  <c r="O993" i="1"/>
  <c r="O994" i="1"/>
  <c r="O995" i="1"/>
  <c r="O996" i="1"/>
  <c r="O997" i="1"/>
  <c r="O998" i="1"/>
  <c r="O999" i="1"/>
  <c r="O1000" i="1"/>
  <c r="O1001" i="1"/>
  <c r="O1002" i="1"/>
  <c r="O1003" i="1"/>
  <c r="O1004" i="1"/>
  <c r="O1005" i="1"/>
  <c r="O1006" i="1"/>
  <c r="O1007" i="1"/>
  <c r="O1008" i="1"/>
  <c r="O1009" i="1"/>
  <c r="O1010" i="1"/>
  <c r="O1011" i="1"/>
  <c r="O1012" i="1"/>
  <c r="O1013" i="1"/>
  <c r="O1014" i="1"/>
  <c r="O1015" i="1"/>
  <c r="O1016" i="1"/>
  <c r="O1017" i="1"/>
  <c r="O1018" i="1"/>
  <c r="O1019" i="1"/>
  <c r="O1020" i="1"/>
  <c r="O1021" i="1"/>
  <c r="O1022" i="1"/>
  <c r="O1023" i="1"/>
  <c r="O1024" i="1"/>
  <c r="O1025" i="1"/>
  <c r="O1026" i="1"/>
  <c r="O1027" i="1"/>
  <c r="O1028" i="1"/>
  <c r="O1029" i="1"/>
  <c r="O1030" i="1"/>
  <c r="O1031" i="1"/>
  <c r="O1032" i="1"/>
  <c r="O1033" i="1"/>
  <c r="O1034" i="1"/>
  <c r="O1035" i="1"/>
  <c r="O1036" i="1"/>
  <c r="O1037" i="1"/>
  <c r="O1038" i="1"/>
  <c r="O1039" i="1"/>
  <c r="O1040" i="1"/>
  <c r="O1041" i="1"/>
  <c r="O1042" i="1"/>
  <c r="O1043" i="1"/>
  <c r="O1044" i="1"/>
  <c r="O1045" i="1"/>
  <c r="O1046" i="1"/>
  <c r="O1047" i="1"/>
  <c r="O1048" i="1"/>
  <c r="O1049" i="1"/>
  <c r="O1050" i="1"/>
  <c r="O1051" i="1"/>
  <c r="O1052" i="1"/>
  <c r="O1053" i="1"/>
  <c r="O1054" i="1"/>
  <c r="O1055" i="1"/>
  <c r="O1056" i="1"/>
  <c r="O1057" i="1"/>
  <c r="O1058" i="1"/>
  <c r="O1059" i="1"/>
  <c r="O1060" i="1"/>
  <c r="O1061" i="1"/>
  <c r="O1062" i="1"/>
  <c r="O1063" i="1"/>
  <c r="O1064" i="1"/>
  <c r="O1065" i="1"/>
  <c r="O1066" i="1"/>
  <c r="O1067" i="1"/>
  <c r="O1068" i="1"/>
  <c r="O1069" i="1"/>
  <c r="O1070" i="1"/>
  <c r="O1071" i="1"/>
  <c r="O1072" i="1"/>
  <c r="O1073" i="1"/>
  <c r="O1074" i="1"/>
  <c r="O1075" i="1"/>
  <c r="O1076" i="1"/>
  <c r="O1077" i="1"/>
  <c r="O1078" i="1"/>
  <c r="O1079" i="1"/>
  <c r="O1080" i="1"/>
  <c r="O1081" i="1"/>
  <c r="O1082" i="1"/>
  <c r="O1083" i="1"/>
  <c r="O1084" i="1"/>
  <c r="O1085" i="1"/>
  <c r="O1086" i="1"/>
  <c r="O1087" i="1"/>
  <c r="O1088" i="1"/>
  <c r="O1089" i="1"/>
  <c r="O1090" i="1"/>
  <c r="O1091" i="1"/>
  <c r="O1092" i="1"/>
  <c r="O1093" i="1"/>
  <c r="O1094" i="1"/>
  <c r="O1095" i="1"/>
  <c r="O1096" i="1"/>
  <c r="O1097" i="1"/>
  <c r="O1098" i="1"/>
  <c r="O1099" i="1"/>
  <c r="O1100" i="1"/>
  <c r="O1101" i="1"/>
  <c r="O1102" i="1"/>
  <c r="O1103" i="1"/>
  <c r="O1104" i="1"/>
  <c r="O1105" i="1"/>
  <c r="O1106" i="1"/>
  <c r="O1107" i="1"/>
  <c r="O1108" i="1"/>
  <c r="O1109" i="1"/>
  <c r="O1110" i="1"/>
  <c r="O1111" i="1"/>
  <c r="O1112" i="1"/>
  <c r="O1113" i="1"/>
  <c r="O1114" i="1"/>
  <c r="O1115" i="1"/>
  <c r="O1116" i="1"/>
  <c r="O1117" i="1"/>
  <c r="O1118" i="1"/>
  <c r="O1119" i="1"/>
  <c r="O1120" i="1"/>
  <c r="O1121" i="1"/>
  <c r="O1122" i="1"/>
  <c r="O1123" i="1"/>
  <c r="O1124" i="1"/>
  <c r="O1125" i="1"/>
  <c r="O1126" i="1"/>
  <c r="O1127" i="1"/>
  <c r="O1128" i="1"/>
  <c r="O1129" i="1"/>
  <c r="O1130" i="1"/>
  <c r="O1131" i="1"/>
  <c r="O1132" i="1"/>
  <c r="O1133" i="1"/>
  <c r="O1134" i="1"/>
  <c r="O1135" i="1"/>
  <c r="O1136" i="1"/>
  <c r="O1137" i="1"/>
  <c r="O1138" i="1"/>
  <c r="O1139" i="1"/>
  <c r="O1140" i="1"/>
  <c r="O1141" i="1"/>
  <c r="O1142" i="1"/>
  <c r="O1143" i="1"/>
  <c r="O1144" i="1"/>
  <c r="O1145" i="1"/>
  <c r="O1146" i="1"/>
  <c r="O1147" i="1"/>
  <c r="O1148" i="1"/>
  <c r="O1149" i="1"/>
  <c r="O1150" i="1"/>
  <c r="O1151" i="1"/>
  <c r="O1152" i="1"/>
  <c r="O1153" i="1"/>
  <c r="O1154" i="1"/>
  <c r="O1155" i="1"/>
  <c r="O1156" i="1"/>
  <c r="O1157" i="1"/>
  <c r="O1158" i="1"/>
  <c r="O1159" i="1"/>
  <c r="O1160" i="1"/>
  <c r="O1161" i="1"/>
  <c r="O1162" i="1"/>
  <c r="O1163" i="1"/>
  <c r="O1164" i="1"/>
  <c r="O1165" i="1"/>
  <c r="O1166" i="1"/>
  <c r="O1167" i="1"/>
  <c r="O1168" i="1"/>
  <c r="O1169" i="1"/>
  <c r="O1170" i="1"/>
  <c r="O1171" i="1"/>
  <c r="O1172" i="1"/>
  <c r="O1173" i="1"/>
  <c r="O1174" i="1"/>
  <c r="O1175" i="1"/>
  <c r="O1176" i="1"/>
  <c r="O1177" i="1"/>
  <c r="O1178" i="1"/>
  <c r="O1179" i="1"/>
  <c r="O1180" i="1"/>
  <c r="O1181" i="1"/>
  <c r="O1182" i="1"/>
  <c r="O1183" i="1"/>
  <c r="O1184" i="1"/>
  <c r="O1185" i="1"/>
  <c r="O1186" i="1"/>
  <c r="O1187" i="1"/>
  <c r="O1188" i="1"/>
  <c r="O1189" i="1"/>
  <c r="O1190" i="1"/>
  <c r="O1191" i="1"/>
  <c r="O1192" i="1"/>
  <c r="O1193" i="1"/>
  <c r="O1194" i="1"/>
  <c r="O1195" i="1"/>
  <c r="O1196" i="1"/>
  <c r="O1197" i="1"/>
  <c r="O1198" i="1"/>
  <c r="O1199" i="1"/>
  <c r="O1200" i="1"/>
  <c r="O1201" i="1"/>
  <c r="O1202" i="1"/>
  <c r="O1203" i="1"/>
  <c r="O1204" i="1"/>
  <c r="O1205" i="1"/>
  <c r="O1206" i="1"/>
  <c r="O1207" i="1"/>
  <c r="O1208" i="1"/>
  <c r="O1209" i="1"/>
  <c r="O1210" i="1"/>
  <c r="O1211" i="1"/>
  <c r="O1212" i="1"/>
  <c r="O1213" i="1"/>
  <c r="O1214" i="1"/>
  <c r="O1215" i="1"/>
  <c r="O1216" i="1"/>
  <c r="O1217" i="1"/>
  <c r="O1218" i="1"/>
  <c r="O1219" i="1"/>
  <c r="O1220" i="1"/>
  <c r="O1221" i="1"/>
  <c r="O1222" i="1"/>
  <c r="O1223" i="1"/>
  <c r="O1224" i="1"/>
  <c r="O1225" i="1"/>
  <c r="O1226" i="1"/>
  <c r="O1227" i="1"/>
  <c r="O1228" i="1"/>
  <c r="O1229" i="1"/>
  <c r="O1230" i="1"/>
  <c r="O1231" i="1"/>
  <c r="O1232" i="1"/>
  <c r="O1233" i="1"/>
  <c r="O1234" i="1"/>
  <c r="O1235" i="1"/>
  <c r="O1236" i="1"/>
  <c r="O1237" i="1"/>
  <c r="O1238" i="1"/>
  <c r="O1239" i="1"/>
  <c r="O1240" i="1"/>
  <c r="O1241" i="1"/>
  <c r="O1242" i="1"/>
  <c r="O1243" i="1"/>
  <c r="O1244" i="1"/>
  <c r="O1245" i="1"/>
  <c r="O1246" i="1"/>
  <c r="O1247" i="1"/>
  <c r="O1248" i="1"/>
  <c r="O1249" i="1"/>
  <c r="O1250" i="1"/>
  <c r="O1251" i="1"/>
  <c r="O1252" i="1"/>
  <c r="O1253" i="1"/>
  <c r="O1254" i="1"/>
  <c r="O1255" i="1"/>
  <c r="O1256" i="1"/>
  <c r="O1257" i="1"/>
  <c r="O1258" i="1"/>
  <c r="O1259" i="1"/>
  <c r="O1260" i="1"/>
  <c r="O1261" i="1"/>
  <c r="O1262" i="1"/>
  <c r="O1263" i="1"/>
  <c r="O1264" i="1"/>
  <c r="O1265" i="1"/>
  <c r="O1266" i="1"/>
  <c r="O1267" i="1"/>
  <c r="O1268" i="1"/>
  <c r="O1269" i="1"/>
  <c r="O1270" i="1"/>
  <c r="O1271" i="1"/>
  <c r="O1272" i="1"/>
  <c r="O1273" i="1"/>
  <c r="O1274" i="1"/>
  <c r="O1275" i="1"/>
  <c r="O1276" i="1"/>
  <c r="O1277" i="1"/>
  <c r="O1278" i="1"/>
  <c r="O1279" i="1"/>
  <c r="O1280" i="1"/>
  <c r="O1281" i="1"/>
  <c r="O1282" i="1"/>
  <c r="O1283" i="1"/>
  <c r="O1284" i="1"/>
  <c r="O1285" i="1"/>
  <c r="O1286" i="1"/>
  <c r="O1287" i="1"/>
  <c r="O1288" i="1"/>
  <c r="O1289" i="1"/>
  <c r="O1290" i="1"/>
  <c r="O1291" i="1"/>
  <c r="O1292" i="1"/>
  <c r="O1293" i="1"/>
  <c r="O1294" i="1"/>
  <c r="O1295" i="1"/>
  <c r="O1296" i="1"/>
  <c r="O1297" i="1"/>
  <c r="O1298" i="1"/>
  <c r="O1299" i="1"/>
  <c r="O1300" i="1"/>
  <c r="O1301" i="1"/>
  <c r="O1302" i="1"/>
  <c r="O1303" i="1"/>
  <c r="O1304" i="1"/>
  <c r="O1305" i="1"/>
  <c r="O1306" i="1"/>
  <c r="O1307" i="1"/>
  <c r="O1308" i="1"/>
  <c r="O1309" i="1"/>
  <c r="O1310" i="1"/>
  <c r="O1311" i="1"/>
  <c r="O1312" i="1"/>
  <c r="O1313" i="1"/>
  <c r="O1314" i="1"/>
  <c r="O1315" i="1"/>
  <c r="O1316" i="1"/>
  <c r="O1317" i="1"/>
  <c r="O1318" i="1"/>
  <c r="O1319" i="1"/>
  <c r="O1320" i="1"/>
  <c r="O1321" i="1"/>
  <c r="O1322" i="1"/>
  <c r="O1323" i="1"/>
  <c r="O1324" i="1"/>
  <c r="O1325" i="1"/>
  <c r="O1326" i="1"/>
  <c r="O1327" i="1"/>
  <c r="O1328" i="1"/>
  <c r="O1329" i="1"/>
  <c r="O1330" i="1"/>
  <c r="O1331" i="1"/>
  <c r="O1332" i="1"/>
  <c r="O1333" i="1"/>
  <c r="O1334" i="1"/>
  <c r="O1335" i="1"/>
  <c r="O1336" i="1"/>
  <c r="O1337" i="1"/>
  <c r="O1338" i="1"/>
  <c r="O1339" i="1"/>
  <c r="O1340" i="1"/>
  <c r="O1341" i="1"/>
  <c r="O1342" i="1"/>
  <c r="O1343" i="1"/>
  <c r="O1344" i="1"/>
  <c r="O1345" i="1"/>
  <c r="O1346" i="1"/>
  <c r="O1347" i="1"/>
  <c r="O1348" i="1"/>
  <c r="O1349" i="1"/>
  <c r="O1350" i="1"/>
  <c r="O1351" i="1"/>
  <c r="O1352" i="1"/>
  <c r="O1353" i="1"/>
  <c r="O1354" i="1"/>
  <c r="O1355" i="1"/>
  <c r="O1356" i="1"/>
  <c r="O1357" i="1"/>
  <c r="O1358" i="1"/>
  <c r="O1359" i="1"/>
  <c r="O1360" i="1"/>
  <c r="O1361" i="1"/>
  <c r="O1362" i="1"/>
  <c r="O1363" i="1"/>
  <c r="O1364" i="1"/>
  <c r="O1365" i="1"/>
  <c r="O1366" i="1"/>
  <c r="O1367" i="1"/>
  <c r="O1368" i="1"/>
  <c r="O1369" i="1"/>
  <c r="O1370" i="1"/>
  <c r="O1371" i="1"/>
  <c r="O1372" i="1"/>
  <c r="O1373" i="1"/>
  <c r="O1374" i="1"/>
  <c r="O1375" i="1"/>
  <c r="O1376" i="1"/>
  <c r="O1377" i="1"/>
  <c r="O1378" i="1"/>
  <c r="O1379" i="1"/>
  <c r="O1380" i="1"/>
  <c r="O1381" i="1"/>
  <c r="O1382" i="1"/>
  <c r="O1383" i="1"/>
  <c r="O1384" i="1"/>
  <c r="O1385" i="1"/>
  <c r="O1386" i="1"/>
  <c r="O1387" i="1"/>
  <c r="O1388" i="1"/>
  <c r="O1389" i="1"/>
  <c r="O1390" i="1"/>
  <c r="O1391" i="1"/>
  <c r="O1392" i="1"/>
  <c r="O1393" i="1"/>
  <c r="O1394" i="1"/>
  <c r="O1395" i="1"/>
  <c r="O1396" i="1"/>
  <c r="O1397" i="1"/>
  <c r="O1398" i="1"/>
  <c r="O1399" i="1"/>
  <c r="O1400" i="1"/>
  <c r="O1401" i="1"/>
  <c r="O1402" i="1"/>
  <c r="O1403" i="1"/>
  <c r="O1404" i="1"/>
  <c r="O1405" i="1"/>
  <c r="O1406" i="1"/>
  <c r="O1407" i="1"/>
  <c r="O1408" i="1"/>
  <c r="O1409" i="1"/>
  <c r="O1410" i="1"/>
  <c r="O1411" i="1"/>
  <c r="O1412" i="1"/>
  <c r="O1413" i="1"/>
  <c r="O1414" i="1"/>
  <c r="O1415" i="1"/>
  <c r="O1416" i="1"/>
  <c r="O1417" i="1"/>
  <c r="O1418" i="1"/>
  <c r="O1419" i="1"/>
  <c r="O1420" i="1"/>
  <c r="O1421" i="1"/>
  <c r="O1422" i="1"/>
  <c r="O1423" i="1"/>
  <c r="O1424" i="1"/>
  <c r="O1425" i="1"/>
  <c r="O1426" i="1"/>
  <c r="O1427" i="1"/>
  <c r="O1428" i="1"/>
  <c r="O1429" i="1"/>
  <c r="O1430" i="1"/>
  <c r="O1431" i="1"/>
  <c r="O1432" i="1"/>
  <c r="O1433" i="1"/>
  <c r="O1434" i="1"/>
  <c r="O1435" i="1"/>
  <c r="O1436" i="1"/>
  <c r="O1437" i="1"/>
  <c r="O1438" i="1"/>
  <c r="O1439" i="1"/>
  <c r="O1440" i="1"/>
  <c r="O1441" i="1"/>
  <c r="O1442" i="1"/>
  <c r="O1443" i="1"/>
  <c r="O1444" i="1"/>
  <c r="O1445" i="1"/>
  <c r="O1446" i="1"/>
  <c r="O1447" i="1"/>
  <c r="O1448" i="1"/>
  <c r="O1449" i="1"/>
  <c r="O1450" i="1"/>
  <c r="O1451" i="1"/>
  <c r="O1452" i="1"/>
  <c r="O1453" i="1"/>
  <c r="O1454" i="1"/>
  <c r="O1455" i="1"/>
  <c r="O1456" i="1"/>
  <c r="O1457" i="1"/>
  <c r="O1458" i="1"/>
  <c r="O1459" i="1"/>
  <c r="O1460" i="1"/>
  <c r="O1461" i="1"/>
  <c r="O1462" i="1"/>
  <c r="O1463" i="1"/>
  <c r="O1464" i="1"/>
  <c r="O1465" i="1"/>
  <c r="O1466" i="1"/>
  <c r="O1467" i="1"/>
  <c r="O1468" i="1"/>
  <c r="O1469" i="1"/>
  <c r="O1470" i="1"/>
  <c r="O1471" i="1"/>
  <c r="O1472" i="1"/>
  <c r="O1473" i="1"/>
  <c r="O1474" i="1"/>
  <c r="O1475" i="1"/>
  <c r="O1476" i="1"/>
  <c r="O1477" i="1"/>
  <c r="O1478" i="1"/>
  <c r="O1479" i="1"/>
  <c r="O1480" i="1"/>
  <c r="O1481" i="1"/>
  <c r="O1482" i="1"/>
  <c r="O1483" i="1"/>
  <c r="O1484" i="1"/>
  <c r="O1485" i="1"/>
  <c r="O1486" i="1"/>
  <c r="O1487" i="1"/>
  <c r="O1488" i="1"/>
  <c r="O1489" i="1"/>
  <c r="O1490" i="1"/>
  <c r="O1491" i="1"/>
  <c r="O1492" i="1"/>
  <c r="O1493" i="1"/>
  <c r="O1494" i="1"/>
  <c r="O1495" i="1"/>
  <c r="O1496" i="1"/>
  <c r="O1497" i="1"/>
  <c r="O1498" i="1"/>
  <c r="O1499" i="1"/>
  <c r="O1500" i="1"/>
  <c r="O1501" i="1"/>
  <c r="O1502" i="1"/>
  <c r="O1503" i="1"/>
  <c r="O1504" i="1"/>
  <c r="O1505" i="1"/>
  <c r="O1506" i="1"/>
  <c r="O1507" i="1"/>
  <c r="O1508" i="1"/>
  <c r="O1509" i="1"/>
  <c r="O1510" i="1"/>
  <c r="O1511" i="1"/>
  <c r="O1512" i="1"/>
  <c r="O1513" i="1"/>
  <c r="O1514" i="1"/>
  <c r="O1515" i="1"/>
  <c r="O1516" i="1"/>
  <c r="O1517" i="1"/>
  <c r="O1518" i="1"/>
  <c r="O1519" i="1"/>
  <c r="O1520" i="1"/>
  <c r="O1521" i="1"/>
  <c r="O1522" i="1"/>
  <c r="O1523" i="1"/>
  <c r="O1524" i="1"/>
  <c r="O1525" i="1"/>
  <c r="O1526" i="1"/>
  <c r="O1527" i="1"/>
  <c r="O1528" i="1"/>
  <c r="O1529" i="1"/>
  <c r="O1530" i="1"/>
  <c r="O1531" i="1"/>
  <c r="O1532" i="1"/>
  <c r="O1533" i="1"/>
  <c r="O1534" i="1"/>
  <c r="O1535" i="1"/>
  <c r="O1536" i="1"/>
  <c r="O1537" i="1"/>
  <c r="O1538" i="1"/>
  <c r="O1539" i="1"/>
  <c r="O1540" i="1"/>
  <c r="O1541" i="1"/>
  <c r="O1542" i="1"/>
  <c r="O1543" i="1"/>
  <c r="O1544" i="1"/>
  <c r="O1545" i="1"/>
  <c r="O1546" i="1"/>
  <c r="O1547" i="1"/>
  <c r="O1548" i="1"/>
  <c r="O1549" i="1"/>
  <c r="O1550" i="1"/>
  <c r="O1551" i="1"/>
  <c r="O1552" i="1"/>
  <c r="O1553" i="1"/>
  <c r="O1554" i="1"/>
  <c r="O1555" i="1"/>
  <c r="O1556" i="1"/>
  <c r="O1557" i="1"/>
  <c r="O1558" i="1"/>
  <c r="O1559" i="1"/>
  <c r="O1560" i="1"/>
  <c r="O1561" i="1"/>
  <c r="O1562" i="1"/>
  <c r="O1563" i="1"/>
  <c r="O1564" i="1"/>
  <c r="O1565" i="1"/>
  <c r="O1566" i="1"/>
  <c r="O1567" i="1"/>
  <c r="O1568" i="1"/>
  <c r="O1569" i="1"/>
  <c r="O1570" i="1"/>
  <c r="O1571" i="1"/>
  <c r="O1572" i="1"/>
  <c r="O1573" i="1"/>
  <c r="O1574" i="1"/>
  <c r="O1575" i="1"/>
  <c r="O1576" i="1"/>
  <c r="O1577" i="1"/>
  <c r="O1578" i="1"/>
  <c r="O1579" i="1"/>
  <c r="O1580" i="1"/>
  <c r="O1581" i="1"/>
  <c r="O1582" i="1"/>
  <c r="O1583" i="1"/>
  <c r="O1584" i="1"/>
  <c r="O1585" i="1"/>
  <c r="O1586" i="1"/>
  <c r="O1587" i="1"/>
  <c r="O1588" i="1"/>
  <c r="O1589" i="1"/>
  <c r="O1590" i="1"/>
  <c r="O1591" i="1"/>
  <c r="O1592" i="1"/>
  <c r="O1593" i="1"/>
  <c r="O1594" i="1"/>
  <c r="O1595" i="1"/>
  <c r="O1596" i="1"/>
  <c r="O1597" i="1"/>
  <c r="O1598" i="1"/>
  <c r="O1599" i="1"/>
  <c r="O1600" i="1"/>
  <c r="O1601" i="1"/>
  <c r="O1602" i="1"/>
  <c r="O1603" i="1"/>
  <c r="O1604" i="1"/>
  <c r="O1605" i="1"/>
  <c r="O1606" i="1"/>
  <c r="O1607" i="1"/>
  <c r="O1608" i="1"/>
  <c r="O1609" i="1"/>
  <c r="O1610" i="1"/>
  <c r="O1611" i="1"/>
  <c r="O1612" i="1"/>
  <c r="O1613" i="1"/>
  <c r="O1614" i="1"/>
  <c r="O1615" i="1"/>
  <c r="O1616" i="1"/>
  <c r="O1617" i="1"/>
  <c r="O1618" i="1"/>
  <c r="O1619" i="1"/>
  <c r="O1620" i="1"/>
  <c r="O1621" i="1"/>
  <c r="O1622" i="1"/>
  <c r="O1623" i="1"/>
  <c r="O1624" i="1"/>
  <c r="O1625" i="1"/>
  <c r="O1626" i="1"/>
  <c r="O1627" i="1"/>
  <c r="O1628" i="1"/>
  <c r="O1629" i="1"/>
  <c r="O1630" i="1"/>
  <c r="O1631" i="1"/>
  <c r="O1632" i="1"/>
  <c r="O1633" i="1"/>
  <c r="O1634" i="1"/>
  <c r="O1635" i="1"/>
  <c r="O1636" i="1"/>
  <c r="O1637" i="1"/>
  <c r="O1638" i="1"/>
  <c r="O1639" i="1"/>
  <c r="O1640" i="1"/>
  <c r="O1641" i="1"/>
  <c r="O1642" i="1"/>
  <c r="O1643" i="1"/>
  <c r="O1644" i="1"/>
  <c r="O1645" i="1"/>
  <c r="O1646" i="1"/>
  <c r="O1647" i="1"/>
  <c r="O1648" i="1"/>
  <c r="O1649" i="1"/>
  <c r="O1650" i="1"/>
  <c r="O1651" i="1"/>
  <c r="O1652" i="1"/>
  <c r="O1653" i="1"/>
  <c r="O1654" i="1"/>
  <c r="O1655" i="1"/>
  <c r="O1656" i="1"/>
  <c r="O1657" i="1"/>
  <c r="O1658" i="1"/>
  <c r="O1659" i="1"/>
  <c r="O1660" i="1"/>
  <c r="O1661" i="1"/>
  <c r="O1662" i="1"/>
  <c r="O1663" i="1"/>
  <c r="O1664" i="1"/>
  <c r="O1665" i="1"/>
  <c r="O1666" i="1"/>
  <c r="O1667" i="1"/>
  <c r="O1668" i="1"/>
  <c r="O1669" i="1"/>
  <c r="O1670" i="1"/>
  <c r="O1671" i="1"/>
  <c r="O1672" i="1"/>
  <c r="O1673" i="1"/>
  <c r="O1674" i="1"/>
  <c r="O1675" i="1"/>
  <c r="O1676" i="1"/>
  <c r="O1677" i="1"/>
  <c r="O1678" i="1"/>
  <c r="O1679" i="1"/>
  <c r="O1680" i="1"/>
  <c r="O1681" i="1"/>
  <c r="O1682" i="1"/>
  <c r="O1683" i="1"/>
  <c r="O1684" i="1"/>
  <c r="O1685" i="1"/>
  <c r="O1686" i="1"/>
  <c r="O1687" i="1"/>
  <c r="O1688" i="1"/>
  <c r="O1689" i="1"/>
  <c r="O1690" i="1"/>
  <c r="O1691" i="1"/>
  <c r="O1692" i="1"/>
  <c r="O1693" i="1"/>
  <c r="O1694" i="1"/>
  <c r="O1695" i="1"/>
  <c r="O1696" i="1"/>
  <c r="O1697" i="1"/>
  <c r="O1698" i="1"/>
  <c r="O1699" i="1"/>
  <c r="O1700" i="1"/>
  <c r="O1701" i="1"/>
  <c r="O1702" i="1"/>
  <c r="O1703" i="1"/>
  <c r="O1704" i="1"/>
  <c r="O1705" i="1"/>
  <c r="O1706" i="1"/>
  <c r="O1707" i="1"/>
  <c r="O1708" i="1"/>
  <c r="O1709" i="1"/>
  <c r="O1710" i="1"/>
  <c r="O1711" i="1"/>
  <c r="O1712" i="1"/>
  <c r="O1713" i="1"/>
  <c r="O1714" i="1"/>
  <c r="O1715" i="1"/>
  <c r="O1716" i="1"/>
  <c r="O1717" i="1"/>
  <c r="O1718" i="1"/>
  <c r="O1719" i="1"/>
  <c r="O1720" i="1"/>
  <c r="O1721" i="1"/>
  <c r="O1722" i="1"/>
  <c r="O1723" i="1"/>
  <c r="O1724" i="1"/>
  <c r="O1725" i="1"/>
  <c r="O1726" i="1"/>
  <c r="O1727" i="1"/>
  <c r="O1728" i="1"/>
  <c r="O1729" i="1"/>
  <c r="O1730" i="1"/>
  <c r="O1731" i="1"/>
  <c r="O1732" i="1"/>
  <c r="O1733" i="1"/>
  <c r="O1734" i="1"/>
  <c r="O1735" i="1"/>
  <c r="O1736" i="1"/>
  <c r="O1737" i="1"/>
  <c r="O1738" i="1"/>
  <c r="O1739" i="1"/>
  <c r="O1740" i="1"/>
  <c r="O1741" i="1"/>
  <c r="O1742" i="1"/>
  <c r="O1743" i="1"/>
  <c r="O1744" i="1"/>
  <c r="O1745" i="1"/>
  <c r="O1746" i="1"/>
  <c r="O1747" i="1"/>
  <c r="O1748" i="1"/>
  <c r="O1749" i="1"/>
  <c r="O1750" i="1"/>
  <c r="O1751" i="1"/>
  <c r="O1752" i="1"/>
  <c r="O1753" i="1"/>
  <c r="O1754" i="1"/>
  <c r="O1755" i="1"/>
  <c r="O1756" i="1"/>
  <c r="O1757" i="1"/>
  <c r="O1758" i="1"/>
  <c r="O1759" i="1"/>
  <c r="O1760" i="1"/>
  <c r="O1761" i="1"/>
  <c r="O1762" i="1"/>
  <c r="O1763" i="1"/>
  <c r="O1764" i="1"/>
  <c r="O1765" i="1"/>
  <c r="O1766" i="1"/>
  <c r="O1767" i="1"/>
  <c r="O1768" i="1"/>
  <c r="O1769" i="1"/>
  <c r="O1770" i="1"/>
  <c r="O1771" i="1"/>
  <c r="O1772" i="1"/>
  <c r="O1773" i="1"/>
  <c r="O1774" i="1"/>
  <c r="O1775" i="1"/>
  <c r="O1776" i="1"/>
  <c r="O1777" i="1"/>
  <c r="O1778" i="1"/>
  <c r="O1779" i="1"/>
  <c r="O1780" i="1"/>
  <c r="O1781" i="1"/>
  <c r="O1782" i="1"/>
  <c r="O1783" i="1"/>
  <c r="O1784" i="1"/>
  <c r="O1785" i="1"/>
  <c r="O1786" i="1"/>
  <c r="O1787" i="1"/>
  <c r="O1788" i="1"/>
  <c r="O1789" i="1"/>
  <c r="O1790" i="1"/>
  <c r="O1791" i="1"/>
  <c r="O1792" i="1"/>
  <c r="O1793" i="1"/>
  <c r="O1794" i="1"/>
  <c r="O1795" i="1"/>
  <c r="O1796" i="1"/>
  <c r="O1797" i="1"/>
  <c r="O1798" i="1"/>
  <c r="O1799" i="1"/>
  <c r="O1800" i="1"/>
  <c r="O1801" i="1"/>
  <c r="O1802" i="1"/>
  <c r="O1803" i="1"/>
  <c r="O1804" i="1"/>
  <c r="O1805" i="1"/>
  <c r="O1806" i="1"/>
  <c r="O1807" i="1"/>
  <c r="O1808" i="1"/>
  <c r="O1809" i="1"/>
  <c r="O1810" i="1"/>
  <c r="O1811" i="1"/>
  <c r="O1812" i="1"/>
  <c r="O1813" i="1"/>
  <c r="O1814" i="1"/>
  <c r="O1815" i="1"/>
  <c r="O1816" i="1"/>
  <c r="O1817" i="1"/>
  <c r="O1818" i="1"/>
  <c r="O1819" i="1"/>
  <c r="O1820" i="1"/>
  <c r="O1821" i="1"/>
  <c r="O1822" i="1"/>
  <c r="O1823" i="1"/>
  <c r="O1824" i="1"/>
  <c r="O1825" i="1"/>
  <c r="O1826" i="1"/>
  <c r="O1827" i="1"/>
  <c r="O1828" i="1"/>
  <c r="O1829" i="1"/>
  <c r="O1830" i="1"/>
  <c r="O1831" i="1"/>
  <c r="O1832" i="1"/>
  <c r="O1833" i="1"/>
  <c r="O1834" i="1"/>
  <c r="O1835" i="1"/>
  <c r="O1836" i="1"/>
  <c r="O1837" i="1"/>
  <c r="O1838" i="1"/>
  <c r="O1839" i="1"/>
  <c r="O1840" i="1"/>
  <c r="O1841" i="1"/>
  <c r="O1842" i="1"/>
  <c r="O1843" i="1"/>
  <c r="O1844" i="1"/>
  <c r="O1845" i="1"/>
  <c r="O1846" i="1"/>
  <c r="O1847" i="1"/>
  <c r="O1848" i="1"/>
  <c r="O1849" i="1"/>
  <c r="O1850" i="1"/>
  <c r="O1851" i="1"/>
  <c r="O1852" i="1"/>
  <c r="O1853" i="1"/>
  <c r="O1854" i="1"/>
  <c r="O1855" i="1"/>
  <c r="O1856" i="1"/>
  <c r="O1857" i="1"/>
  <c r="O1858" i="1"/>
  <c r="O1859" i="1"/>
  <c r="O1860" i="1"/>
  <c r="O1861" i="1"/>
  <c r="O1862" i="1"/>
  <c r="O1863" i="1"/>
  <c r="O1864" i="1"/>
  <c r="O1865" i="1"/>
  <c r="O1866" i="1"/>
  <c r="O1867" i="1"/>
  <c r="O1868" i="1"/>
  <c r="O1869" i="1"/>
  <c r="O1870" i="1"/>
  <c r="O1871" i="1"/>
  <c r="O1872" i="1"/>
  <c r="O1873" i="1"/>
  <c r="O1874" i="1"/>
  <c r="O1875" i="1"/>
  <c r="O1876" i="1"/>
  <c r="O1877" i="1"/>
  <c r="O1878" i="1"/>
  <c r="O1879" i="1"/>
  <c r="O1880" i="1"/>
  <c r="O1881" i="1"/>
  <c r="O1882" i="1"/>
  <c r="O1883" i="1"/>
  <c r="O1884" i="1"/>
  <c r="O1885" i="1"/>
  <c r="O1886" i="1"/>
  <c r="O1887" i="1"/>
  <c r="O1888" i="1"/>
  <c r="O1889" i="1"/>
  <c r="O1890" i="1"/>
  <c r="O1891" i="1"/>
  <c r="O1892" i="1"/>
  <c r="O1893" i="1"/>
  <c r="O1894" i="1"/>
  <c r="O1895" i="1"/>
  <c r="O1896" i="1"/>
  <c r="O1897" i="1"/>
  <c r="O1898" i="1"/>
  <c r="O1899" i="1"/>
  <c r="O1900" i="1"/>
  <c r="O1901" i="1"/>
  <c r="O1902" i="1"/>
  <c r="O1903" i="1"/>
  <c r="O1904" i="1"/>
  <c r="O1905" i="1"/>
  <c r="O1906" i="1"/>
  <c r="O1907" i="1"/>
  <c r="O1908" i="1"/>
  <c r="O1909" i="1"/>
  <c r="O1910" i="1"/>
  <c r="O1911" i="1"/>
  <c r="O1912" i="1"/>
  <c r="O1913" i="1"/>
  <c r="O1914" i="1"/>
  <c r="O1915" i="1"/>
  <c r="O1916" i="1"/>
  <c r="O1917" i="1"/>
  <c r="O1918" i="1"/>
  <c r="O1919" i="1"/>
  <c r="O1920" i="1"/>
  <c r="O1921" i="1"/>
  <c r="O1922" i="1"/>
  <c r="O1923" i="1"/>
  <c r="O1924" i="1"/>
  <c r="O1925" i="1"/>
  <c r="O1926" i="1"/>
  <c r="O1927" i="1"/>
  <c r="O1928" i="1"/>
  <c r="O1929" i="1"/>
  <c r="O1930" i="1"/>
  <c r="O1931" i="1"/>
  <c r="O1932" i="1"/>
  <c r="O1933" i="1"/>
  <c r="O1934" i="1"/>
  <c r="O1935" i="1"/>
  <c r="O1936" i="1"/>
  <c r="O1937" i="1"/>
  <c r="O1938" i="1"/>
  <c r="O1939" i="1"/>
  <c r="O1940" i="1"/>
  <c r="O1941" i="1"/>
  <c r="O1942" i="1"/>
  <c r="O1943" i="1"/>
  <c r="O1944" i="1"/>
  <c r="O1945" i="1"/>
  <c r="O1946" i="1"/>
  <c r="O1947" i="1"/>
  <c r="O1948" i="1"/>
  <c r="O1949" i="1"/>
  <c r="O1950" i="1"/>
  <c r="O1951" i="1"/>
  <c r="O1952" i="1"/>
  <c r="O1953" i="1"/>
  <c r="O1954" i="1"/>
  <c r="O1955" i="1"/>
  <c r="O1956" i="1"/>
  <c r="O1957" i="1"/>
  <c r="O1958" i="1"/>
  <c r="O1959" i="1"/>
  <c r="O1960" i="1"/>
  <c r="O1961" i="1"/>
  <c r="O1962" i="1"/>
  <c r="O1963" i="1"/>
  <c r="O1964" i="1"/>
  <c r="O1965" i="1"/>
  <c r="O1966" i="1"/>
  <c r="O1967" i="1"/>
  <c r="O1968" i="1"/>
  <c r="O1969" i="1"/>
  <c r="O1970" i="1"/>
  <c r="O1971" i="1"/>
  <c r="O1972" i="1"/>
  <c r="O1973" i="1"/>
  <c r="O1974" i="1"/>
  <c r="O1975" i="1"/>
  <c r="O1976" i="1"/>
  <c r="O1977" i="1"/>
  <c r="O1978" i="1"/>
  <c r="O1979" i="1"/>
  <c r="O1980" i="1"/>
  <c r="O1981" i="1"/>
  <c r="O1982" i="1"/>
  <c r="O1983" i="1"/>
  <c r="O1984" i="1"/>
  <c r="O1985" i="1"/>
  <c r="O1986" i="1"/>
  <c r="O1987" i="1"/>
  <c r="O1988" i="1"/>
  <c r="O1989" i="1"/>
  <c r="O1990" i="1"/>
  <c r="O1991" i="1"/>
  <c r="O1992" i="1"/>
  <c r="O1993" i="1"/>
  <c r="O1994" i="1"/>
  <c r="O1995" i="1"/>
  <c r="O1996" i="1"/>
  <c r="O1997" i="1"/>
  <c r="O1998" i="1"/>
  <c r="O1999" i="1"/>
  <c r="O2000" i="1"/>
  <c r="O2001" i="1"/>
  <c r="O2002" i="1"/>
  <c r="O2003" i="1"/>
  <c r="O2004" i="1"/>
  <c r="O2005" i="1"/>
  <c r="O2006" i="1"/>
  <c r="O2007" i="1"/>
  <c r="O2008" i="1"/>
  <c r="O2009" i="1"/>
  <c r="O2010" i="1"/>
  <c r="O2011" i="1"/>
  <c r="O2012" i="1"/>
  <c r="O2013" i="1"/>
  <c r="O2014" i="1"/>
  <c r="O2015" i="1"/>
  <c r="O2016" i="1"/>
  <c r="O2017" i="1"/>
  <c r="O2018" i="1"/>
  <c r="O2019" i="1"/>
  <c r="O2020" i="1"/>
  <c r="O2021" i="1"/>
  <c r="O2022" i="1"/>
  <c r="O2023" i="1"/>
  <c r="O2024" i="1"/>
  <c r="O2025" i="1"/>
  <c r="O2026" i="1"/>
  <c r="O2027" i="1"/>
  <c r="O2028" i="1"/>
  <c r="O2029" i="1"/>
  <c r="O2030" i="1"/>
  <c r="O2031" i="1"/>
  <c r="O2032" i="1"/>
  <c r="O2033" i="1"/>
  <c r="O2034" i="1"/>
  <c r="O2035" i="1"/>
  <c r="O2036" i="1"/>
  <c r="O2037" i="1"/>
  <c r="O2038" i="1"/>
  <c r="O2039" i="1"/>
  <c r="O2040" i="1"/>
  <c r="O2041" i="1"/>
  <c r="O2042" i="1"/>
  <c r="O2043" i="1"/>
  <c r="O2044" i="1"/>
  <c r="O2045" i="1"/>
  <c r="O2046" i="1"/>
  <c r="O2047" i="1"/>
  <c r="O2048" i="1"/>
  <c r="O2049" i="1"/>
  <c r="O2050" i="1"/>
  <c r="O2051" i="1"/>
  <c r="O2052" i="1"/>
  <c r="O2053" i="1"/>
  <c r="O2054" i="1"/>
  <c r="O2055" i="1"/>
  <c r="O2056" i="1"/>
  <c r="O2057" i="1"/>
  <c r="O2058" i="1"/>
  <c r="O2059" i="1"/>
  <c r="O2060" i="1"/>
  <c r="O2061" i="1"/>
  <c r="O2062" i="1"/>
  <c r="O2063" i="1"/>
  <c r="O2064" i="1"/>
  <c r="O2065" i="1"/>
  <c r="O2066" i="1"/>
  <c r="O2067" i="1"/>
  <c r="O2068" i="1"/>
  <c r="O2069" i="1"/>
  <c r="O2070" i="1"/>
  <c r="O2071" i="1"/>
  <c r="O2072" i="1"/>
  <c r="O2073" i="1"/>
  <c r="O2074" i="1"/>
  <c r="O2075" i="1"/>
  <c r="O2076" i="1"/>
  <c r="O2077" i="1"/>
  <c r="O2078" i="1"/>
  <c r="O2079" i="1"/>
  <c r="O2080" i="1"/>
  <c r="O2081" i="1"/>
  <c r="O2082" i="1"/>
  <c r="O2083" i="1"/>
  <c r="O2085" i="1"/>
  <c r="O2086" i="1"/>
  <c r="O2087" i="1"/>
  <c r="O2088" i="1"/>
  <c r="O2089" i="1"/>
  <c r="O2090" i="1"/>
  <c r="O2091" i="1"/>
  <c r="O2092" i="1"/>
  <c r="O2093" i="1"/>
  <c r="O2094" i="1"/>
  <c r="O2095" i="1"/>
  <c r="O2096" i="1"/>
  <c r="O2097" i="1"/>
  <c r="O2098" i="1"/>
  <c r="O2099" i="1"/>
  <c r="O2100" i="1"/>
  <c r="O2101" i="1"/>
  <c r="O2102" i="1"/>
  <c r="O2103" i="1"/>
  <c r="O2104" i="1"/>
  <c r="O2105" i="1"/>
  <c r="O2106" i="1"/>
  <c r="O2107" i="1"/>
  <c r="O2108" i="1"/>
  <c r="O2109" i="1"/>
  <c r="O2110" i="1"/>
  <c r="O2111" i="1"/>
  <c r="O2112" i="1"/>
  <c r="O2113" i="1"/>
  <c r="O2114" i="1"/>
  <c r="O2115" i="1"/>
  <c r="O2116" i="1"/>
  <c r="O2117" i="1"/>
  <c r="O2118" i="1"/>
  <c r="O2119" i="1"/>
  <c r="O2120" i="1"/>
  <c r="O2121" i="1"/>
  <c r="O2122" i="1"/>
  <c r="O2123" i="1"/>
  <c r="O2124" i="1"/>
  <c r="O2125" i="1"/>
  <c r="O2126" i="1"/>
  <c r="O2127" i="1"/>
  <c r="O2128" i="1"/>
  <c r="O2129" i="1"/>
  <c r="O2130" i="1"/>
  <c r="O2131" i="1"/>
  <c r="O2132" i="1"/>
  <c r="O2133" i="1"/>
  <c r="O2134" i="1"/>
  <c r="O2135" i="1"/>
  <c r="O2136" i="1"/>
  <c r="O2137" i="1"/>
  <c r="O2138" i="1"/>
  <c r="O2139" i="1"/>
  <c r="O2140" i="1"/>
  <c r="O2141" i="1"/>
  <c r="O2142" i="1"/>
  <c r="O2143" i="1"/>
  <c r="O2144" i="1"/>
  <c r="O2145" i="1"/>
  <c r="O2146" i="1"/>
  <c r="O2147" i="1"/>
  <c r="O2148" i="1"/>
  <c r="O2149" i="1"/>
  <c r="O2150" i="1"/>
  <c r="O2151" i="1"/>
  <c r="O2152" i="1"/>
  <c r="O2153" i="1"/>
  <c r="O2154" i="1"/>
  <c r="O2155" i="1"/>
  <c r="O2156" i="1"/>
  <c r="O2157" i="1"/>
  <c r="O2158" i="1"/>
  <c r="O2159" i="1"/>
  <c r="O2160" i="1"/>
  <c r="O2161" i="1"/>
  <c r="O2162" i="1"/>
  <c r="O2163" i="1"/>
  <c r="O2164" i="1"/>
  <c r="O2165" i="1"/>
  <c r="O2166" i="1"/>
  <c r="O2167" i="1"/>
  <c r="O2168" i="1"/>
  <c r="O2169" i="1"/>
  <c r="O2170" i="1"/>
  <c r="O2171" i="1"/>
  <c r="O2172" i="1"/>
  <c r="O2173" i="1"/>
  <c r="O2174" i="1"/>
  <c r="O2175" i="1"/>
  <c r="O2176" i="1"/>
  <c r="O2177" i="1"/>
  <c r="O2178" i="1"/>
  <c r="O2179" i="1"/>
  <c r="O2180" i="1"/>
  <c r="O2181" i="1"/>
  <c r="O2182" i="1"/>
  <c r="O2183" i="1"/>
  <c r="O2184" i="1"/>
  <c r="O2185" i="1"/>
  <c r="O2186" i="1"/>
  <c r="O2187" i="1"/>
  <c r="O2188" i="1"/>
  <c r="O2189" i="1"/>
  <c r="O2190" i="1"/>
  <c r="O2191" i="1"/>
  <c r="O2192" i="1"/>
  <c r="O2193" i="1"/>
  <c r="O2194" i="1"/>
  <c r="O2195" i="1"/>
  <c r="O2196" i="1"/>
  <c r="O2197" i="1"/>
  <c r="O2198" i="1"/>
  <c r="O2199" i="1"/>
  <c r="O2200" i="1"/>
  <c r="O2201" i="1"/>
  <c r="O2202" i="1"/>
  <c r="O2203" i="1"/>
  <c r="O2204" i="1"/>
  <c r="O2205" i="1"/>
  <c r="O2206" i="1"/>
  <c r="O2207" i="1"/>
  <c r="O2208" i="1"/>
  <c r="O2209" i="1"/>
  <c r="O2210" i="1"/>
  <c r="O2211" i="1"/>
  <c r="O2212" i="1"/>
  <c r="O2213" i="1"/>
  <c r="O2214" i="1"/>
  <c r="O2215" i="1"/>
  <c r="O2216" i="1"/>
  <c r="O2217" i="1"/>
  <c r="O2218" i="1"/>
  <c r="O2219" i="1"/>
  <c r="O2220" i="1"/>
  <c r="O2221" i="1"/>
  <c r="O2222" i="1"/>
  <c r="O2223" i="1"/>
  <c r="O2224" i="1"/>
  <c r="O2225" i="1"/>
  <c r="O2226" i="1"/>
  <c r="O2227" i="1"/>
  <c r="O2228" i="1"/>
  <c r="O2229" i="1"/>
  <c r="O2230" i="1"/>
  <c r="N2" i="1"/>
  <c r="N3" i="1"/>
  <c r="N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N92" i="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N279" i="1"/>
  <c r="N280" i="1"/>
  <c r="N281" i="1"/>
  <c r="N282" i="1"/>
  <c r="N283" i="1"/>
  <c r="N284" i="1"/>
  <c r="N285" i="1"/>
  <c r="N286" i="1"/>
  <c r="N287" i="1"/>
  <c r="N288" i="1"/>
  <c r="N289" i="1"/>
  <c r="N290" i="1"/>
  <c r="N291" i="1"/>
  <c r="N292" i="1"/>
  <c r="N293" i="1"/>
  <c r="N294" i="1"/>
  <c r="N295" i="1"/>
  <c r="N296" i="1"/>
  <c r="N297" i="1"/>
  <c r="N298" i="1"/>
  <c r="N299" i="1"/>
  <c r="N300" i="1"/>
  <c r="N301" i="1"/>
  <c r="N302" i="1"/>
  <c r="N303" i="1"/>
  <c r="N304" i="1"/>
  <c r="N305" i="1"/>
  <c r="N306" i="1"/>
  <c r="N307" i="1"/>
  <c r="N308" i="1"/>
  <c r="N309" i="1"/>
  <c r="N310" i="1"/>
  <c r="N311" i="1"/>
  <c r="N312" i="1"/>
  <c r="N313" i="1"/>
  <c r="N314" i="1"/>
  <c r="N315" i="1"/>
  <c r="N316" i="1"/>
  <c r="N317" i="1"/>
  <c r="N318" i="1"/>
  <c r="N319" i="1"/>
  <c r="N320" i="1"/>
  <c r="N321" i="1"/>
  <c r="N322" i="1"/>
  <c r="N323" i="1"/>
  <c r="N324" i="1"/>
  <c r="N325" i="1"/>
  <c r="N326" i="1"/>
  <c r="N327" i="1"/>
  <c r="N328" i="1"/>
  <c r="N329" i="1"/>
  <c r="N330" i="1"/>
  <c r="N331" i="1"/>
  <c r="N332" i="1"/>
  <c r="N333" i="1"/>
  <c r="N334" i="1"/>
  <c r="N335" i="1"/>
  <c r="N336" i="1"/>
  <c r="N337" i="1"/>
  <c r="N338" i="1"/>
  <c r="N339" i="1"/>
  <c r="N340" i="1"/>
  <c r="N341" i="1"/>
  <c r="N342" i="1"/>
  <c r="N343" i="1"/>
  <c r="N344" i="1"/>
  <c r="N345" i="1"/>
  <c r="N346" i="1"/>
  <c r="N347" i="1"/>
  <c r="N348" i="1"/>
  <c r="N349" i="1"/>
  <c r="N350" i="1"/>
  <c r="N351" i="1"/>
  <c r="N352" i="1"/>
  <c r="N353" i="1"/>
  <c r="N354" i="1"/>
  <c r="N355" i="1"/>
  <c r="N356" i="1"/>
  <c r="N357" i="1"/>
  <c r="N358" i="1"/>
  <c r="N359" i="1"/>
  <c r="N360" i="1"/>
  <c r="N361" i="1"/>
  <c r="N362" i="1"/>
  <c r="N363" i="1"/>
  <c r="N364" i="1"/>
  <c r="N365" i="1"/>
  <c r="N366" i="1"/>
  <c r="N367" i="1"/>
  <c r="N368" i="1"/>
  <c r="N369" i="1"/>
  <c r="N370" i="1"/>
  <c r="N371" i="1"/>
  <c r="N372" i="1"/>
  <c r="N373" i="1"/>
  <c r="N374" i="1"/>
  <c r="N375" i="1"/>
  <c r="N376" i="1"/>
  <c r="N377" i="1"/>
  <c r="N378" i="1"/>
  <c r="N379" i="1"/>
  <c r="N380" i="1"/>
  <c r="N381" i="1"/>
  <c r="N382" i="1"/>
  <c r="N383" i="1"/>
  <c r="N384" i="1"/>
  <c r="N385" i="1"/>
  <c r="N386" i="1"/>
  <c r="N387" i="1"/>
  <c r="N388" i="1"/>
  <c r="N389" i="1"/>
  <c r="N390" i="1"/>
  <c r="N391" i="1"/>
  <c r="N392" i="1"/>
  <c r="N393" i="1"/>
  <c r="N394" i="1"/>
  <c r="N395" i="1"/>
  <c r="N396" i="1"/>
  <c r="N397" i="1"/>
  <c r="N398" i="1"/>
  <c r="N399" i="1"/>
  <c r="N400" i="1"/>
  <c r="N401" i="1"/>
  <c r="N402" i="1"/>
  <c r="N403" i="1"/>
  <c r="N404" i="1"/>
  <c r="N405" i="1"/>
  <c r="N406" i="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N466" i="1"/>
  <c r="N467" i="1"/>
  <c r="N468" i="1"/>
  <c r="N469" i="1"/>
  <c r="N470" i="1"/>
  <c r="N471" i="1"/>
  <c r="N472" i="1"/>
  <c r="N473" i="1"/>
  <c r="N474" i="1"/>
  <c r="N475" i="1"/>
  <c r="N476" i="1"/>
  <c r="N477" i="1"/>
  <c r="N478" i="1"/>
  <c r="N479" i="1"/>
  <c r="N480" i="1"/>
  <c r="N481" i="1"/>
  <c r="N482" i="1"/>
  <c r="N483" i="1"/>
  <c r="N484" i="1"/>
  <c r="N485" i="1"/>
  <c r="N486" i="1"/>
  <c r="N487" i="1"/>
  <c r="N488" i="1"/>
  <c r="N489" i="1"/>
  <c r="N490" i="1"/>
  <c r="N491" i="1"/>
  <c r="N492" i="1"/>
  <c r="N493" i="1"/>
  <c r="N494" i="1"/>
  <c r="N495" i="1"/>
  <c r="N496" i="1"/>
  <c r="N497" i="1"/>
  <c r="N498" i="1"/>
  <c r="N499" i="1"/>
  <c r="N500" i="1"/>
  <c r="N501" i="1"/>
  <c r="N502" i="1"/>
  <c r="N503" i="1"/>
  <c r="N504" i="1"/>
  <c r="N505" i="1"/>
  <c r="N506" i="1"/>
  <c r="N507" i="1"/>
  <c r="N508" i="1"/>
  <c r="N509" i="1"/>
  <c r="N510" i="1"/>
  <c r="N511" i="1"/>
  <c r="N512" i="1"/>
  <c r="N513" i="1"/>
  <c r="N514" i="1"/>
  <c r="N515" i="1"/>
  <c r="N516" i="1"/>
  <c r="N517" i="1"/>
  <c r="N518" i="1"/>
  <c r="N519" i="1"/>
  <c r="N520" i="1"/>
  <c r="N521" i="1"/>
  <c r="N522" i="1"/>
  <c r="N523" i="1"/>
  <c r="N524" i="1"/>
  <c r="N525" i="1"/>
  <c r="N526" i="1"/>
  <c r="N527" i="1"/>
  <c r="N528" i="1"/>
  <c r="N529" i="1"/>
  <c r="N530" i="1"/>
  <c r="N531" i="1"/>
  <c r="N532" i="1"/>
  <c r="N533" i="1"/>
  <c r="N534" i="1"/>
  <c r="N535" i="1"/>
  <c r="N536" i="1"/>
  <c r="N537" i="1"/>
  <c r="N538" i="1"/>
  <c r="N539" i="1"/>
  <c r="N540" i="1"/>
  <c r="N541" i="1"/>
  <c r="N542" i="1"/>
  <c r="N543" i="1"/>
  <c r="N544" i="1"/>
  <c r="N545" i="1"/>
  <c r="N546" i="1"/>
  <c r="N547" i="1"/>
  <c r="N548" i="1"/>
  <c r="N549" i="1"/>
  <c r="N550" i="1"/>
  <c r="N551" i="1"/>
  <c r="N552" i="1"/>
  <c r="N553" i="1"/>
  <c r="N554" i="1"/>
  <c r="N555" i="1"/>
  <c r="N556" i="1"/>
  <c r="N557" i="1"/>
  <c r="N558" i="1"/>
  <c r="N559" i="1"/>
  <c r="N560" i="1"/>
  <c r="N561" i="1"/>
  <c r="N562" i="1"/>
  <c r="N563" i="1"/>
  <c r="N564" i="1"/>
  <c r="N565" i="1"/>
  <c r="N566" i="1"/>
  <c r="N567" i="1"/>
  <c r="N568" i="1"/>
  <c r="N569" i="1"/>
  <c r="N570" i="1"/>
  <c r="N571" i="1"/>
  <c r="N572" i="1"/>
  <c r="N573" i="1"/>
  <c r="N574" i="1"/>
  <c r="N575" i="1"/>
  <c r="N576" i="1"/>
  <c r="N577" i="1"/>
  <c r="N578" i="1"/>
  <c r="N579" i="1"/>
  <c r="N580" i="1"/>
  <c r="N581" i="1"/>
  <c r="N582" i="1"/>
  <c r="N583" i="1"/>
  <c r="N584" i="1"/>
  <c r="N585" i="1"/>
  <c r="N586" i="1"/>
  <c r="N587" i="1"/>
  <c r="N588" i="1"/>
  <c r="N589" i="1"/>
  <c r="N590" i="1"/>
  <c r="N591" i="1"/>
  <c r="N592" i="1"/>
  <c r="N593" i="1"/>
  <c r="N594" i="1"/>
  <c r="N595" i="1"/>
  <c r="N596" i="1"/>
  <c r="N597" i="1"/>
  <c r="N598" i="1"/>
  <c r="N599" i="1"/>
  <c r="N600" i="1"/>
  <c r="N601" i="1"/>
  <c r="N602" i="1"/>
  <c r="N603" i="1"/>
  <c r="N604" i="1"/>
  <c r="N605" i="1"/>
  <c r="N606" i="1"/>
  <c r="N607" i="1"/>
  <c r="N608" i="1"/>
  <c r="N609" i="1"/>
  <c r="N610" i="1"/>
  <c r="N611" i="1"/>
  <c r="N612" i="1"/>
  <c r="N613" i="1"/>
  <c r="N614" i="1"/>
  <c r="N615" i="1"/>
  <c r="N616" i="1"/>
  <c r="N617" i="1"/>
  <c r="N618" i="1"/>
  <c r="N619" i="1"/>
  <c r="N620" i="1"/>
  <c r="N621" i="1"/>
  <c r="N622" i="1"/>
  <c r="N623" i="1"/>
  <c r="N624" i="1"/>
  <c r="N625" i="1"/>
  <c r="N626" i="1"/>
  <c r="N627" i="1"/>
  <c r="N628" i="1"/>
  <c r="N629" i="1"/>
  <c r="N630" i="1"/>
  <c r="N631" i="1"/>
  <c r="N632" i="1"/>
  <c r="N633" i="1"/>
  <c r="N634" i="1"/>
  <c r="N635" i="1"/>
  <c r="N636" i="1"/>
  <c r="N637" i="1"/>
  <c r="N638" i="1"/>
  <c r="N639" i="1"/>
  <c r="N640" i="1"/>
  <c r="N641" i="1"/>
  <c r="N642" i="1"/>
  <c r="N643" i="1"/>
  <c r="N644" i="1"/>
  <c r="N645" i="1"/>
  <c r="N646" i="1"/>
  <c r="N647" i="1"/>
  <c r="N648" i="1"/>
  <c r="N649" i="1"/>
  <c r="N650" i="1"/>
  <c r="N651" i="1"/>
  <c r="N652" i="1"/>
  <c r="N653" i="1"/>
  <c r="N654" i="1"/>
  <c r="N655" i="1"/>
  <c r="N656" i="1"/>
  <c r="N657" i="1"/>
  <c r="N658" i="1"/>
  <c r="N659" i="1"/>
  <c r="N660" i="1"/>
  <c r="N661" i="1"/>
  <c r="N662" i="1"/>
  <c r="N663" i="1"/>
  <c r="N664" i="1"/>
  <c r="N665" i="1"/>
  <c r="N666" i="1"/>
  <c r="N667" i="1"/>
  <c r="N668" i="1"/>
  <c r="N669" i="1"/>
  <c r="N670" i="1"/>
  <c r="N671" i="1"/>
  <c r="N672" i="1"/>
  <c r="N673" i="1"/>
  <c r="N674" i="1"/>
  <c r="N675" i="1"/>
  <c r="N676" i="1"/>
  <c r="N677" i="1"/>
  <c r="N678" i="1"/>
  <c r="N679" i="1"/>
  <c r="N680" i="1"/>
  <c r="N681" i="1"/>
  <c r="N682" i="1"/>
  <c r="N683" i="1"/>
  <c r="N684" i="1"/>
  <c r="N685" i="1"/>
  <c r="N686" i="1"/>
  <c r="N687" i="1"/>
  <c r="N688" i="1"/>
  <c r="N689" i="1"/>
  <c r="N690" i="1"/>
  <c r="N691" i="1"/>
  <c r="N692" i="1"/>
  <c r="N693" i="1"/>
  <c r="N694" i="1"/>
  <c r="N695" i="1"/>
  <c r="N696" i="1"/>
  <c r="N697" i="1"/>
  <c r="N698" i="1"/>
  <c r="N699" i="1"/>
  <c r="N700" i="1"/>
  <c r="N701" i="1"/>
  <c r="N702" i="1"/>
  <c r="N703" i="1"/>
  <c r="N704" i="1"/>
  <c r="N705" i="1"/>
  <c r="N706" i="1"/>
  <c r="N707" i="1"/>
  <c r="N708" i="1"/>
  <c r="N709" i="1"/>
  <c r="N710" i="1"/>
  <c r="N711" i="1"/>
  <c r="N712" i="1"/>
  <c r="N713" i="1"/>
  <c r="N714" i="1"/>
  <c r="N715" i="1"/>
  <c r="N716" i="1"/>
  <c r="N717" i="1"/>
  <c r="N718" i="1"/>
  <c r="N719" i="1"/>
  <c r="N720" i="1"/>
  <c r="N721" i="1"/>
  <c r="N722" i="1"/>
  <c r="N723" i="1"/>
  <c r="N724" i="1"/>
  <c r="N725" i="1"/>
  <c r="N726" i="1"/>
  <c r="N727" i="1"/>
  <c r="N728" i="1"/>
  <c r="N729" i="1"/>
  <c r="N730" i="1"/>
  <c r="N731" i="1"/>
  <c r="N732" i="1"/>
  <c r="N733" i="1"/>
  <c r="N734" i="1"/>
  <c r="N735" i="1"/>
  <c r="N736" i="1"/>
  <c r="N737" i="1"/>
  <c r="N738" i="1"/>
  <c r="N739" i="1"/>
  <c r="N740" i="1"/>
  <c r="N741" i="1"/>
  <c r="N742" i="1"/>
  <c r="N743" i="1"/>
  <c r="N744" i="1"/>
  <c r="N745" i="1"/>
  <c r="N746" i="1"/>
  <c r="N747" i="1"/>
  <c r="N748" i="1"/>
  <c r="N749" i="1"/>
  <c r="N750" i="1"/>
  <c r="N751" i="1"/>
  <c r="N752" i="1"/>
  <c r="N753" i="1"/>
  <c r="N754" i="1"/>
  <c r="N755" i="1"/>
  <c r="N756" i="1"/>
  <c r="N757" i="1"/>
  <c r="N758" i="1"/>
  <c r="N759" i="1"/>
  <c r="N760" i="1"/>
  <c r="N761" i="1"/>
  <c r="N762" i="1"/>
  <c r="N763" i="1"/>
  <c r="N764" i="1"/>
  <c r="N765" i="1"/>
  <c r="N766" i="1"/>
  <c r="N767" i="1"/>
  <c r="N768" i="1"/>
  <c r="N769" i="1"/>
  <c r="N770" i="1"/>
  <c r="N771" i="1"/>
  <c r="N772" i="1"/>
  <c r="N773" i="1"/>
  <c r="N774" i="1"/>
  <c r="N775" i="1"/>
  <c r="N776" i="1"/>
  <c r="N777" i="1"/>
  <c r="N778" i="1"/>
  <c r="N779" i="1"/>
  <c r="N780" i="1"/>
  <c r="N781" i="1"/>
  <c r="N782" i="1"/>
  <c r="N783" i="1"/>
  <c r="N784" i="1"/>
  <c r="N785" i="1"/>
  <c r="N786" i="1"/>
  <c r="N787" i="1"/>
  <c r="N788" i="1"/>
  <c r="N789" i="1"/>
  <c r="N790" i="1"/>
  <c r="N791" i="1"/>
  <c r="N792" i="1"/>
  <c r="N793" i="1"/>
  <c r="N794" i="1"/>
  <c r="N795" i="1"/>
  <c r="N796" i="1"/>
  <c r="N797" i="1"/>
  <c r="N798" i="1"/>
  <c r="N799" i="1"/>
  <c r="N800" i="1"/>
  <c r="N801" i="1"/>
  <c r="N802" i="1"/>
  <c r="N803" i="1"/>
  <c r="N804" i="1"/>
  <c r="N805" i="1"/>
  <c r="N806" i="1"/>
  <c r="N807" i="1"/>
  <c r="N808" i="1"/>
  <c r="N809" i="1"/>
  <c r="N810" i="1"/>
  <c r="N811" i="1"/>
  <c r="N812" i="1"/>
  <c r="N813" i="1"/>
  <c r="N814" i="1"/>
  <c r="N815" i="1"/>
  <c r="N816" i="1"/>
  <c r="N817" i="1"/>
  <c r="N818" i="1"/>
  <c r="N819" i="1"/>
  <c r="N820" i="1"/>
  <c r="N821" i="1"/>
  <c r="N822" i="1"/>
  <c r="N823" i="1"/>
  <c r="N824" i="1"/>
  <c r="N825" i="1"/>
  <c r="N826" i="1"/>
  <c r="N827" i="1"/>
  <c r="N828" i="1"/>
  <c r="N829" i="1"/>
  <c r="N830" i="1"/>
  <c r="N831" i="1"/>
  <c r="N832" i="1"/>
  <c r="N833" i="1"/>
  <c r="N834" i="1"/>
  <c r="N835" i="1"/>
  <c r="N836" i="1"/>
  <c r="N837" i="1"/>
  <c r="N838" i="1"/>
  <c r="N839" i="1"/>
  <c r="N840" i="1"/>
  <c r="N841" i="1"/>
  <c r="N842" i="1"/>
  <c r="N843" i="1"/>
  <c r="N844" i="1"/>
  <c r="N845" i="1"/>
  <c r="N846" i="1"/>
  <c r="N847" i="1"/>
  <c r="N848" i="1"/>
  <c r="N849" i="1"/>
  <c r="N850" i="1"/>
  <c r="N851" i="1"/>
  <c r="N852" i="1"/>
  <c r="N853" i="1"/>
  <c r="N854" i="1"/>
  <c r="N855" i="1"/>
  <c r="N856" i="1"/>
  <c r="N857" i="1"/>
  <c r="N858" i="1"/>
  <c r="N859" i="1"/>
  <c r="N860" i="1"/>
  <c r="N861" i="1"/>
  <c r="N862" i="1"/>
  <c r="N863" i="1"/>
  <c r="N864" i="1"/>
  <c r="N865" i="1"/>
  <c r="N866" i="1"/>
  <c r="N867" i="1"/>
  <c r="N868" i="1"/>
  <c r="N869" i="1"/>
  <c r="N870" i="1"/>
  <c r="N871" i="1"/>
  <c r="N872" i="1"/>
  <c r="N873" i="1"/>
  <c r="N874" i="1"/>
  <c r="N875" i="1"/>
  <c r="N876" i="1"/>
  <c r="N877" i="1"/>
  <c r="N878" i="1"/>
  <c r="N879" i="1"/>
  <c r="N880" i="1"/>
  <c r="N881" i="1"/>
  <c r="N882" i="1"/>
  <c r="N883" i="1"/>
  <c r="N884" i="1"/>
  <c r="N885" i="1"/>
  <c r="N886" i="1"/>
  <c r="N887" i="1"/>
  <c r="N888" i="1"/>
  <c r="N889" i="1"/>
  <c r="N890" i="1"/>
  <c r="N891" i="1"/>
  <c r="N892" i="1"/>
  <c r="N893" i="1"/>
  <c r="N894" i="1"/>
  <c r="N895" i="1"/>
  <c r="N896" i="1"/>
  <c r="N897" i="1"/>
  <c r="N898" i="1"/>
  <c r="N899" i="1"/>
  <c r="N900" i="1"/>
  <c r="N901" i="1"/>
  <c r="N902" i="1"/>
  <c r="N903" i="1"/>
  <c r="N904" i="1"/>
  <c r="N905" i="1"/>
  <c r="N906" i="1"/>
  <c r="N907" i="1"/>
  <c r="N908" i="1"/>
  <c r="N909" i="1"/>
  <c r="N910" i="1"/>
  <c r="N911" i="1"/>
  <c r="N912" i="1"/>
  <c r="N913" i="1"/>
  <c r="N914" i="1"/>
  <c r="N915" i="1"/>
  <c r="N916" i="1"/>
  <c r="N917" i="1"/>
  <c r="N918" i="1"/>
  <c r="N919" i="1"/>
  <c r="N920" i="1"/>
  <c r="N921" i="1"/>
  <c r="N922" i="1"/>
  <c r="N923" i="1"/>
  <c r="N924" i="1"/>
  <c r="N925" i="1"/>
  <c r="N926" i="1"/>
  <c r="N927" i="1"/>
  <c r="N928" i="1"/>
  <c r="N929" i="1"/>
  <c r="N930" i="1"/>
  <c r="N931" i="1"/>
  <c r="N932" i="1"/>
  <c r="N933" i="1"/>
  <c r="N934" i="1"/>
  <c r="N935" i="1"/>
  <c r="N936" i="1"/>
  <c r="N937" i="1"/>
  <c r="N938" i="1"/>
  <c r="N939" i="1"/>
  <c r="N940" i="1"/>
  <c r="N941" i="1"/>
  <c r="N942" i="1"/>
  <c r="N943" i="1"/>
  <c r="N944" i="1"/>
  <c r="N945" i="1"/>
  <c r="N946" i="1"/>
  <c r="N947" i="1"/>
  <c r="N948" i="1"/>
  <c r="N949" i="1"/>
  <c r="N950" i="1"/>
  <c r="N951" i="1"/>
  <c r="N952" i="1"/>
  <c r="N953" i="1"/>
  <c r="N954" i="1"/>
  <c r="N955" i="1"/>
  <c r="N956" i="1"/>
  <c r="N957" i="1"/>
  <c r="N958" i="1"/>
  <c r="N959" i="1"/>
  <c r="N960" i="1"/>
  <c r="N961" i="1"/>
  <c r="N962" i="1"/>
  <c r="N963" i="1"/>
  <c r="N964" i="1"/>
  <c r="N965" i="1"/>
  <c r="N966" i="1"/>
  <c r="N967" i="1"/>
  <c r="N968" i="1"/>
  <c r="N969" i="1"/>
  <c r="N970" i="1"/>
  <c r="N971" i="1"/>
  <c r="N972" i="1"/>
  <c r="N973" i="1"/>
  <c r="N974" i="1"/>
  <c r="N975" i="1"/>
  <c r="N976" i="1"/>
  <c r="N977" i="1"/>
  <c r="N978" i="1"/>
  <c r="N979" i="1"/>
  <c r="N980" i="1"/>
  <c r="N981" i="1"/>
  <c r="N982" i="1"/>
  <c r="N983" i="1"/>
  <c r="N984" i="1"/>
  <c r="N985" i="1"/>
  <c r="N986" i="1"/>
  <c r="N987" i="1"/>
  <c r="N988" i="1"/>
  <c r="N989" i="1"/>
  <c r="N990" i="1"/>
  <c r="N991" i="1"/>
  <c r="N992" i="1"/>
  <c r="N993" i="1"/>
  <c r="N994" i="1"/>
  <c r="N995" i="1"/>
  <c r="N996" i="1"/>
  <c r="N997" i="1"/>
  <c r="N998" i="1"/>
  <c r="N999" i="1"/>
  <c r="N1000" i="1"/>
  <c r="N1001" i="1"/>
  <c r="N1002" i="1"/>
  <c r="N1003" i="1"/>
  <c r="N1004" i="1"/>
  <c r="N1005" i="1"/>
  <c r="N1006" i="1"/>
  <c r="N1007" i="1"/>
  <c r="N1008" i="1"/>
  <c r="N1009" i="1"/>
  <c r="N1010" i="1"/>
  <c r="N1011" i="1"/>
  <c r="N1012" i="1"/>
  <c r="N1013" i="1"/>
  <c r="N1014" i="1"/>
  <c r="N1015" i="1"/>
  <c r="N1016" i="1"/>
  <c r="N1017" i="1"/>
  <c r="N1018" i="1"/>
  <c r="N1019" i="1"/>
  <c r="N1020" i="1"/>
  <c r="N1021" i="1"/>
  <c r="N1022" i="1"/>
  <c r="N1023" i="1"/>
  <c r="N1024" i="1"/>
  <c r="N1025" i="1"/>
  <c r="N1026" i="1"/>
  <c r="N1027" i="1"/>
  <c r="N1028" i="1"/>
  <c r="N1029" i="1"/>
  <c r="N1030" i="1"/>
  <c r="N1031" i="1"/>
  <c r="N1032" i="1"/>
  <c r="N1033" i="1"/>
  <c r="N1034" i="1"/>
  <c r="N1035" i="1"/>
  <c r="N1036" i="1"/>
  <c r="N1037" i="1"/>
  <c r="N1038" i="1"/>
  <c r="N1039" i="1"/>
  <c r="N1040" i="1"/>
  <c r="N1041" i="1"/>
  <c r="N1042" i="1"/>
  <c r="N1043" i="1"/>
  <c r="N1044" i="1"/>
  <c r="N1045" i="1"/>
  <c r="N1046" i="1"/>
  <c r="N1047" i="1"/>
  <c r="N1048" i="1"/>
  <c r="N1049" i="1"/>
  <c r="N1050" i="1"/>
  <c r="N1051" i="1"/>
  <c r="N1052" i="1"/>
  <c r="N1053" i="1"/>
  <c r="N1054" i="1"/>
  <c r="N1055" i="1"/>
  <c r="N1056" i="1"/>
  <c r="N1057" i="1"/>
  <c r="N1058" i="1"/>
  <c r="N1059" i="1"/>
  <c r="N1060" i="1"/>
  <c r="N1061" i="1"/>
  <c r="N1062" i="1"/>
  <c r="N1063" i="1"/>
  <c r="N1064" i="1"/>
  <c r="N1065" i="1"/>
  <c r="N1066" i="1"/>
  <c r="N1067" i="1"/>
  <c r="N1068" i="1"/>
  <c r="N1069" i="1"/>
  <c r="N1070" i="1"/>
  <c r="N1071" i="1"/>
  <c r="N1072" i="1"/>
  <c r="N1073" i="1"/>
  <c r="N1074" i="1"/>
  <c r="N1075" i="1"/>
  <c r="N1076" i="1"/>
  <c r="N1077" i="1"/>
  <c r="N1078" i="1"/>
  <c r="N1079" i="1"/>
  <c r="N1080" i="1"/>
  <c r="N1081" i="1"/>
  <c r="N1082" i="1"/>
  <c r="N1083" i="1"/>
  <c r="N1084" i="1"/>
  <c r="N1085" i="1"/>
  <c r="N1086" i="1"/>
  <c r="N1087" i="1"/>
  <c r="N1088" i="1"/>
  <c r="N1089" i="1"/>
  <c r="N1090" i="1"/>
  <c r="N1091" i="1"/>
  <c r="N1092" i="1"/>
  <c r="N1093" i="1"/>
  <c r="N1094" i="1"/>
  <c r="N1095" i="1"/>
  <c r="N1096" i="1"/>
  <c r="N1097" i="1"/>
  <c r="N1098" i="1"/>
  <c r="N1099" i="1"/>
  <c r="N1100" i="1"/>
  <c r="N1101" i="1"/>
  <c r="N1102" i="1"/>
  <c r="N1103" i="1"/>
  <c r="N1104" i="1"/>
  <c r="N1105" i="1"/>
  <c r="N1106" i="1"/>
  <c r="N1107" i="1"/>
  <c r="N1108" i="1"/>
  <c r="N1109" i="1"/>
  <c r="N1110" i="1"/>
  <c r="N1111" i="1"/>
  <c r="N1112" i="1"/>
  <c r="N1113" i="1"/>
  <c r="N1114" i="1"/>
  <c r="N1115" i="1"/>
  <c r="N1116" i="1"/>
  <c r="N1117" i="1"/>
  <c r="N1118" i="1"/>
  <c r="N1119" i="1"/>
  <c r="N1120" i="1"/>
  <c r="N1121" i="1"/>
  <c r="N1122" i="1"/>
  <c r="N1123" i="1"/>
  <c r="N1124" i="1"/>
  <c r="N1125" i="1"/>
  <c r="N1126" i="1"/>
  <c r="N1127" i="1"/>
  <c r="N1128" i="1"/>
  <c r="N1129" i="1"/>
  <c r="N1130" i="1"/>
  <c r="N1131" i="1"/>
  <c r="N1132" i="1"/>
  <c r="N1133" i="1"/>
  <c r="N1134" i="1"/>
  <c r="N1135" i="1"/>
  <c r="N1136" i="1"/>
  <c r="N1137" i="1"/>
  <c r="N1138" i="1"/>
  <c r="N1139" i="1"/>
  <c r="N1140" i="1"/>
  <c r="N1141" i="1"/>
  <c r="N1142" i="1"/>
  <c r="N1143" i="1"/>
  <c r="N1144" i="1"/>
  <c r="N1145" i="1"/>
  <c r="N1146" i="1"/>
  <c r="N1147" i="1"/>
  <c r="N1148" i="1"/>
  <c r="N1149" i="1"/>
  <c r="N1150" i="1"/>
  <c r="N1151" i="1"/>
  <c r="N1152" i="1"/>
  <c r="N1153" i="1"/>
  <c r="N1154" i="1"/>
  <c r="N1155" i="1"/>
  <c r="N1156" i="1"/>
  <c r="N1157" i="1"/>
  <c r="N1158" i="1"/>
  <c r="N1159" i="1"/>
  <c r="N1160" i="1"/>
  <c r="N1161" i="1"/>
  <c r="N1162" i="1"/>
  <c r="N1163" i="1"/>
  <c r="N1164" i="1"/>
  <c r="N1165" i="1"/>
  <c r="N1166" i="1"/>
  <c r="N1167" i="1"/>
  <c r="N1168" i="1"/>
  <c r="N1169" i="1"/>
  <c r="N1170" i="1"/>
  <c r="N1171" i="1"/>
  <c r="N1172" i="1"/>
  <c r="N1173" i="1"/>
  <c r="N1174" i="1"/>
  <c r="N1175" i="1"/>
  <c r="N1176" i="1"/>
  <c r="N1177" i="1"/>
  <c r="N1178" i="1"/>
  <c r="N1179" i="1"/>
  <c r="N1180" i="1"/>
  <c r="N1181" i="1"/>
  <c r="N1182" i="1"/>
  <c r="N1183" i="1"/>
  <c r="N1184" i="1"/>
  <c r="N1185" i="1"/>
  <c r="N1186" i="1"/>
  <c r="N1187" i="1"/>
  <c r="N1188" i="1"/>
  <c r="N1189" i="1"/>
  <c r="N1190" i="1"/>
  <c r="N1191" i="1"/>
  <c r="N1192" i="1"/>
  <c r="N1193" i="1"/>
  <c r="N1194" i="1"/>
  <c r="N1195" i="1"/>
  <c r="N1196" i="1"/>
  <c r="N1197" i="1"/>
  <c r="N1198" i="1"/>
  <c r="N1199" i="1"/>
  <c r="N1200" i="1"/>
  <c r="N1201" i="1"/>
  <c r="N1202" i="1"/>
  <c r="N1203" i="1"/>
  <c r="N1204" i="1"/>
  <c r="N1205" i="1"/>
  <c r="N1206" i="1"/>
  <c r="N1207" i="1"/>
  <c r="N1208" i="1"/>
  <c r="N1209" i="1"/>
  <c r="N1210" i="1"/>
  <c r="N1211" i="1"/>
  <c r="N1212" i="1"/>
  <c r="N1213" i="1"/>
  <c r="N1214" i="1"/>
  <c r="N1215" i="1"/>
  <c r="N1216" i="1"/>
  <c r="N1217" i="1"/>
  <c r="N1218" i="1"/>
  <c r="N1219" i="1"/>
  <c r="N1220" i="1"/>
  <c r="N1221" i="1"/>
  <c r="N1222" i="1"/>
  <c r="N1223" i="1"/>
  <c r="N1224" i="1"/>
  <c r="N1225" i="1"/>
  <c r="N1226" i="1"/>
  <c r="N1227" i="1"/>
  <c r="N1228" i="1"/>
  <c r="N1229" i="1"/>
  <c r="N1230" i="1"/>
  <c r="N1231" i="1"/>
  <c r="N1232" i="1"/>
  <c r="N1233" i="1"/>
  <c r="N1234" i="1"/>
  <c r="N1235" i="1"/>
  <c r="N1236" i="1"/>
  <c r="N1237" i="1"/>
  <c r="N1238" i="1"/>
  <c r="N1239" i="1"/>
  <c r="N1240" i="1"/>
  <c r="N1241" i="1"/>
  <c r="N1242" i="1"/>
  <c r="N1243" i="1"/>
  <c r="N1244" i="1"/>
  <c r="N1245" i="1"/>
  <c r="N1246" i="1"/>
  <c r="N1247" i="1"/>
  <c r="N1248" i="1"/>
  <c r="N1249" i="1"/>
  <c r="N1250" i="1"/>
  <c r="N1251" i="1"/>
  <c r="N1252" i="1"/>
  <c r="N1253" i="1"/>
  <c r="N1254" i="1"/>
  <c r="N1255" i="1"/>
  <c r="N1256" i="1"/>
  <c r="N1257" i="1"/>
  <c r="N1258" i="1"/>
  <c r="N1259" i="1"/>
  <c r="N1260" i="1"/>
  <c r="N1261" i="1"/>
  <c r="N1262" i="1"/>
  <c r="N1263" i="1"/>
  <c r="N1264" i="1"/>
  <c r="N1265" i="1"/>
  <c r="N1266" i="1"/>
  <c r="N1267" i="1"/>
  <c r="N1268" i="1"/>
  <c r="N1269" i="1"/>
  <c r="N1270" i="1"/>
  <c r="N1271" i="1"/>
  <c r="N1272" i="1"/>
  <c r="N1273" i="1"/>
  <c r="N1274" i="1"/>
  <c r="N1275" i="1"/>
  <c r="N1276" i="1"/>
  <c r="N1277" i="1"/>
  <c r="N1278" i="1"/>
  <c r="N1279" i="1"/>
  <c r="N1280" i="1"/>
  <c r="N1281" i="1"/>
  <c r="N1282" i="1"/>
  <c r="N1283" i="1"/>
  <c r="N1284" i="1"/>
  <c r="N1285" i="1"/>
  <c r="N1286" i="1"/>
  <c r="N1287" i="1"/>
  <c r="N1288" i="1"/>
  <c r="N1289" i="1"/>
  <c r="N1290" i="1"/>
  <c r="N1291" i="1"/>
  <c r="N1292" i="1"/>
  <c r="N1293" i="1"/>
  <c r="N1294" i="1"/>
  <c r="N1295" i="1"/>
  <c r="N1296" i="1"/>
  <c r="N1297" i="1"/>
  <c r="N1298" i="1"/>
  <c r="N1299" i="1"/>
  <c r="N1300" i="1"/>
  <c r="N1301" i="1"/>
  <c r="N1302" i="1"/>
  <c r="N1303" i="1"/>
  <c r="N1304" i="1"/>
  <c r="N1305" i="1"/>
  <c r="N1306" i="1"/>
  <c r="N1307" i="1"/>
  <c r="N1308" i="1"/>
  <c r="N1309" i="1"/>
  <c r="N1310" i="1"/>
  <c r="N1311" i="1"/>
  <c r="N1312" i="1"/>
  <c r="N1313" i="1"/>
  <c r="N1314" i="1"/>
  <c r="N1315" i="1"/>
  <c r="N1316" i="1"/>
  <c r="N1317" i="1"/>
  <c r="N1318" i="1"/>
  <c r="N1319" i="1"/>
  <c r="N1320" i="1"/>
  <c r="N1321" i="1"/>
  <c r="N1322" i="1"/>
  <c r="N1323" i="1"/>
  <c r="N1324" i="1"/>
  <c r="N1325" i="1"/>
  <c r="N1326" i="1"/>
  <c r="N1327" i="1"/>
  <c r="N1328" i="1"/>
  <c r="N1329" i="1"/>
  <c r="N1330" i="1"/>
  <c r="N1331" i="1"/>
  <c r="N1332" i="1"/>
  <c r="N1333" i="1"/>
  <c r="N1334" i="1"/>
  <c r="N1335" i="1"/>
  <c r="N1336" i="1"/>
  <c r="N1337" i="1"/>
  <c r="N1338" i="1"/>
  <c r="N1339" i="1"/>
  <c r="N1340" i="1"/>
  <c r="N1341" i="1"/>
  <c r="N1342" i="1"/>
  <c r="N1343" i="1"/>
  <c r="N1344" i="1"/>
  <c r="N1345" i="1"/>
  <c r="N1346" i="1"/>
  <c r="N1347" i="1"/>
  <c r="N1348" i="1"/>
  <c r="N1349" i="1"/>
  <c r="N1350" i="1"/>
  <c r="N1351" i="1"/>
  <c r="N1352" i="1"/>
  <c r="N1353" i="1"/>
  <c r="N1354" i="1"/>
  <c r="N1355" i="1"/>
  <c r="N1356" i="1"/>
  <c r="N1357" i="1"/>
  <c r="N1358" i="1"/>
  <c r="N1359" i="1"/>
  <c r="N1360" i="1"/>
  <c r="N1361" i="1"/>
  <c r="N1362" i="1"/>
  <c r="N1363" i="1"/>
  <c r="N1364" i="1"/>
  <c r="N1365" i="1"/>
  <c r="N1366" i="1"/>
  <c r="N1367" i="1"/>
  <c r="N1368" i="1"/>
  <c r="N1369" i="1"/>
  <c r="N1370" i="1"/>
  <c r="N1371" i="1"/>
  <c r="N1372" i="1"/>
  <c r="N1373" i="1"/>
  <c r="N1374" i="1"/>
  <c r="N1375" i="1"/>
  <c r="N1376" i="1"/>
  <c r="N1377" i="1"/>
  <c r="N1378" i="1"/>
  <c r="N1379" i="1"/>
  <c r="N1380" i="1"/>
  <c r="N1381" i="1"/>
  <c r="N1382" i="1"/>
  <c r="N1383" i="1"/>
  <c r="N1384" i="1"/>
  <c r="N1385" i="1"/>
  <c r="N1386" i="1"/>
  <c r="N1387" i="1"/>
  <c r="N1388" i="1"/>
  <c r="N1389" i="1"/>
  <c r="N1390" i="1"/>
  <c r="N1391" i="1"/>
  <c r="N1392" i="1"/>
  <c r="N1393" i="1"/>
  <c r="N1394" i="1"/>
  <c r="N1395" i="1"/>
  <c r="N1396" i="1"/>
  <c r="N1397" i="1"/>
  <c r="N1398" i="1"/>
  <c r="N1399" i="1"/>
  <c r="N1400" i="1"/>
  <c r="N1401" i="1"/>
  <c r="N1402" i="1"/>
  <c r="N1403" i="1"/>
  <c r="N1404" i="1"/>
  <c r="N1405" i="1"/>
  <c r="N1406" i="1"/>
  <c r="N1407" i="1"/>
  <c r="N1408" i="1"/>
  <c r="N1409" i="1"/>
  <c r="N1410" i="1"/>
  <c r="N1411" i="1"/>
  <c r="N1412" i="1"/>
  <c r="N1413" i="1"/>
  <c r="N1414" i="1"/>
  <c r="N1415" i="1"/>
  <c r="N1416" i="1"/>
  <c r="N1417" i="1"/>
  <c r="N1418" i="1"/>
  <c r="N1419" i="1"/>
  <c r="N1420" i="1"/>
  <c r="N1421" i="1"/>
  <c r="N1422" i="1"/>
  <c r="N1423" i="1"/>
  <c r="N1424" i="1"/>
  <c r="N1425" i="1"/>
  <c r="N1426" i="1"/>
  <c r="N1427" i="1"/>
  <c r="N1428" i="1"/>
  <c r="N1429" i="1"/>
  <c r="N1430" i="1"/>
  <c r="N1431" i="1"/>
  <c r="N1432" i="1"/>
  <c r="N1433" i="1"/>
  <c r="N1434" i="1"/>
  <c r="N1435" i="1"/>
  <c r="N1436" i="1"/>
  <c r="N1437" i="1"/>
  <c r="N1438" i="1"/>
  <c r="N1439" i="1"/>
  <c r="N1440" i="1"/>
  <c r="N1441" i="1"/>
  <c r="N1442" i="1"/>
  <c r="N1443" i="1"/>
  <c r="N1444" i="1"/>
  <c r="N1445" i="1"/>
  <c r="N1446" i="1"/>
  <c r="N1447" i="1"/>
  <c r="N1448" i="1"/>
  <c r="N1449" i="1"/>
  <c r="N1450" i="1"/>
  <c r="N1451" i="1"/>
  <c r="N1452" i="1"/>
  <c r="N1453" i="1"/>
  <c r="N1454" i="1"/>
  <c r="N1455" i="1"/>
  <c r="N1456" i="1"/>
  <c r="N1457" i="1"/>
  <c r="N1458" i="1"/>
  <c r="N1459" i="1"/>
  <c r="N1460" i="1"/>
  <c r="N1461" i="1"/>
  <c r="N1462" i="1"/>
  <c r="N1463" i="1"/>
  <c r="N1464" i="1"/>
  <c r="N1465" i="1"/>
  <c r="N1466" i="1"/>
  <c r="N1467" i="1"/>
  <c r="N1468" i="1"/>
  <c r="N1469" i="1"/>
  <c r="N1470" i="1"/>
  <c r="N1471" i="1"/>
  <c r="N1472" i="1"/>
  <c r="N1473" i="1"/>
  <c r="N1474" i="1"/>
  <c r="N1475" i="1"/>
  <c r="N1476" i="1"/>
  <c r="N1477" i="1"/>
  <c r="N1478" i="1"/>
  <c r="N1479" i="1"/>
  <c r="N1480" i="1"/>
  <c r="N1481" i="1"/>
  <c r="N1482" i="1"/>
  <c r="N1483" i="1"/>
  <c r="N1484" i="1"/>
  <c r="N1485" i="1"/>
  <c r="N1486" i="1"/>
  <c r="N1487" i="1"/>
  <c r="N1488" i="1"/>
  <c r="N1489" i="1"/>
  <c r="N1490" i="1"/>
  <c r="N1491" i="1"/>
  <c r="N1492" i="1"/>
  <c r="N1493" i="1"/>
  <c r="N1494" i="1"/>
  <c r="N1495" i="1"/>
  <c r="N1496" i="1"/>
  <c r="N1497" i="1"/>
  <c r="N1498" i="1"/>
  <c r="N1499" i="1"/>
  <c r="N1500" i="1"/>
  <c r="N1501" i="1"/>
  <c r="N1502" i="1"/>
  <c r="N1503" i="1"/>
  <c r="N1504" i="1"/>
  <c r="N1505" i="1"/>
  <c r="N1506" i="1"/>
  <c r="N1507" i="1"/>
  <c r="N1508" i="1"/>
  <c r="N1509" i="1"/>
  <c r="N1510" i="1"/>
  <c r="N1511" i="1"/>
  <c r="N1512" i="1"/>
  <c r="N1513" i="1"/>
  <c r="N1514" i="1"/>
  <c r="N1515" i="1"/>
  <c r="N1516" i="1"/>
  <c r="N1517" i="1"/>
  <c r="N1518" i="1"/>
  <c r="N1519" i="1"/>
  <c r="N1520" i="1"/>
  <c r="N1521" i="1"/>
  <c r="N1522" i="1"/>
  <c r="N1523" i="1"/>
  <c r="N1524" i="1"/>
  <c r="N1525" i="1"/>
  <c r="N1526" i="1"/>
  <c r="N1527" i="1"/>
  <c r="N1528" i="1"/>
  <c r="N1529" i="1"/>
  <c r="N1530" i="1"/>
  <c r="N1531" i="1"/>
  <c r="N1532" i="1"/>
  <c r="N1533" i="1"/>
  <c r="N1534" i="1"/>
  <c r="N1535" i="1"/>
  <c r="N1536" i="1"/>
  <c r="N1537" i="1"/>
  <c r="N1538" i="1"/>
  <c r="N1539" i="1"/>
  <c r="N1540" i="1"/>
  <c r="N1541" i="1"/>
  <c r="N1542" i="1"/>
  <c r="N1543" i="1"/>
  <c r="N1544" i="1"/>
  <c r="N1545" i="1"/>
  <c r="N1546" i="1"/>
  <c r="N1547" i="1"/>
  <c r="N1548" i="1"/>
  <c r="N1549" i="1"/>
  <c r="N1550" i="1"/>
  <c r="N1551" i="1"/>
  <c r="N1552" i="1"/>
  <c r="N1553" i="1"/>
  <c r="N1554" i="1"/>
  <c r="N1555" i="1"/>
  <c r="N1556" i="1"/>
  <c r="N1557" i="1"/>
  <c r="N1558" i="1"/>
  <c r="N1559" i="1"/>
  <c r="N1560" i="1"/>
  <c r="N1561" i="1"/>
  <c r="N1562" i="1"/>
  <c r="N1563" i="1"/>
  <c r="N1564" i="1"/>
  <c r="N1565" i="1"/>
  <c r="N1566" i="1"/>
  <c r="N1567" i="1"/>
  <c r="N1568" i="1"/>
  <c r="N1569" i="1"/>
  <c r="N1570" i="1"/>
  <c r="N1571" i="1"/>
  <c r="N1572" i="1"/>
  <c r="N1573" i="1"/>
  <c r="N1574" i="1"/>
  <c r="N1575" i="1"/>
  <c r="N1576" i="1"/>
  <c r="N1577" i="1"/>
  <c r="N1578" i="1"/>
  <c r="N1579" i="1"/>
  <c r="N1580" i="1"/>
  <c r="N1581" i="1"/>
  <c r="N1582" i="1"/>
  <c r="N1583" i="1"/>
  <c r="N1584" i="1"/>
  <c r="N1585" i="1"/>
  <c r="N1586" i="1"/>
  <c r="N1587" i="1"/>
  <c r="N1588" i="1"/>
  <c r="N1589" i="1"/>
  <c r="N1590" i="1"/>
  <c r="N1591" i="1"/>
  <c r="N1592" i="1"/>
  <c r="N1593" i="1"/>
  <c r="N1594" i="1"/>
  <c r="N1595" i="1"/>
  <c r="N1596" i="1"/>
  <c r="N1597" i="1"/>
  <c r="N1598" i="1"/>
  <c r="N1599" i="1"/>
  <c r="N1600" i="1"/>
  <c r="N1601" i="1"/>
  <c r="N1602" i="1"/>
  <c r="N1603" i="1"/>
  <c r="N1604" i="1"/>
  <c r="N1605" i="1"/>
  <c r="N1606" i="1"/>
  <c r="N1607" i="1"/>
  <c r="N1608" i="1"/>
  <c r="N1609" i="1"/>
  <c r="N1610" i="1"/>
  <c r="N1611" i="1"/>
  <c r="N1612" i="1"/>
  <c r="N1613" i="1"/>
  <c r="N1614" i="1"/>
  <c r="N1615" i="1"/>
  <c r="N1616" i="1"/>
  <c r="N1617" i="1"/>
  <c r="N1618" i="1"/>
  <c r="N1619" i="1"/>
  <c r="N1620" i="1"/>
  <c r="N1621" i="1"/>
  <c r="N1622" i="1"/>
  <c r="N1623" i="1"/>
  <c r="N1624" i="1"/>
  <c r="N1625" i="1"/>
  <c r="N1626" i="1"/>
  <c r="N1627" i="1"/>
  <c r="N1628" i="1"/>
  <c r="N1629" i="1"/>
  <c r="N1630" i="1"/>
  <c r="N1631" i="1"/>
  <c r="N1632" i="1"/>
  <c r="N1633" i="1"/>
  <c r="N1634" i="1"/>
  <c r="N1635" i="1"/>
  <c r="N1636" i="1"/>
  <c r="N1637" i="1"/>
  <c r="N1638" i="1"/>
  <c r="N1639" i="1"/>
  <c r="N1640" i="1"/>
  <c r="N1641" i="1"/>
  <c r="N1642" i="1"/>
  <c r="N1643" i="1"/>
  <c r="N1644" i="1"/>
  <c r="N1645" i="1"/>
  <c r="N1646" i="1"/>
  <c r="N1647" i="1"/>
  <c r="N1648" i="1"/>
  <c r="N1649" i="1"/>
  <c r="N1650" i="1"/>
  <c r="N1651" i="1"/>
  <c r="N1652" i="1"/>
  <c r="N1653" i="1"/>
  <c r="N1654" i="1"/>
  <c r="N1655" i="1"/>
  <c r="N1656" i="1"/>
  <c r="N1657" i="1"/>
  <c r="N1658" i="1"/>
  <c r="N1659" i="1"/>
  <c r="N1660" i="1"/>
  <c r="N1661" i="1"/>
  <c r="N1662" i="1"/>
  <c r="N1663" i="1"/>
  <c r="N1664" i="1"/>
  <c r="N1665" i="1"/>
  <c r="N1666" i="1"/>
  <c r="N1667" i="1"/>
  <c r="N1668" i="1"/>
  <c r="N1669" i="1"/>
  <c r="N1670" i="1"/>
  <c r="N1671" i="1"/>
  <c r="N1672" i="1"/>
  <c r="N1673" i="1"/>
  <c r="N1674" i="1"/>
  <c r="N1675" i="1"/>
  <c r="N1676" i="1"/>
  <c r="N1677" i="1"/>
  <c r="N1678" i="1"/>
  <c r="N1679" i="1"/>
  <c r="N1680" i="1"/>
  <c r="N1681" i="1"/>
  <c r="N1682" i="1"/>
  <c r="N1683" i="1"/>
  <c r="N1684" i="1"/>
  <c r="N1685" i="1"/>
  <c r="N1686" i="1"/>
  <c r="N1687" i="1"/>
  <c r="N1688" i="1"/>
  <c r="N1689" i="1"/>
  <c r="N1690" i="1"/>
  <c r="N1691" i="1"/>
  <c r="N1692" i="1"/>
  <c r="N1693" i="1"/>
  <c r="N1694" i="1"/>
  <c r="N1695" i="1"/>
  <c r="N1696" i="1"/>
  <c r="N1697" i="1"/>
  <c r="N1698" i="1"/>
  <c r="N1699" i="1"/>
  <c r="N1700" i="1"/>
  <c r="N1701" i="1"/>
  <c r="N1702" i="1"/>
  <c r="N1703" i="1"/>
  <c r="N1704" i="1"/>
  <c r="N1705" i="1"/>
  <c r="N1706" i="1"/>
  <c r="N1707" i="1"/>
  <c r="N1708" i="1"/>
  <c r="N1709" i="1"/>
  <c r="N1710" i="1"/>
  <c r="N1711" i="1"/>
  <c r="N1712" i="1"/>
  <c r="N1713" i="1"/>
  <c r="N1714" i="1"/>
  <c r="N1715" i="1"/>
  <c r="N1716" i="1"/>
  <c r="N1717" i="1"/>
  <c r="N1718" i="1"/>
  <c r="N1719" i="1"/>
  <c r="N1720" i="1"/>
  <c r="N1721" i="1"/>
  <c r="N1722" i="1"/>
  <c r="N1723" i="1"/>
  <c r="N1724" i="1"/>
  <c r="N1725" i="1"/>
  <c r="N1726" i="1"/>
  <c r="N1727" i="1"/>
  <c r="N1728" i="1"/>
  <c r="N1729" i="1"/>
  <c r="N1730" i="1"/>
  <c r="N1731" i="1"/>
  <c r="N1732" i="1"/>
  <c r="N1733" i="1"/>
  <c r="N1734" i="1"/>
  <c r="N1735" i="1"/>
  <c r="N1736" i="1"/>
  <c r="N1737" i="1"/>
  <c r="N1738" i="1"/>
  <c r="N1739" i="1"/>
  <c r="N1740" i="1"/>
  <c r="N1741" i="1"/>
  <c r="N1742" i="1"/>
  <c r="N1743" i="1"/>
  <c r="N1744" i="1"/>
  <c r="N1745" i="1"/>
  <c r="N1746" i="1"/>
  <c r="N1747" i="1"/>
  <c r="N1748" i="1"/>
  <c r="N1749" i="1"/>
  <c r="N1750" i="1"/>
  <c r="N1751" i="1"/>
  <c r="N1752" i="1"/>
  <c r="N1753" i="1"/>
  <c r="N1754" i="1"/>
  <c r="N1755" i="1"/>
  <c r="N1756" i="1"/>
  <c r="N1757" i="1"/>
  <c r="N1758" i="1"/>
  <c r="N1759" i="1"/>
  <c r="N1760" i="1"/>
  <c r="N1761" i="1"/>
  <c r="N1762" i="1"/>
  <c r="N1763" i="1"/>
  <c r="N1764" i="1"/>
  <c r="N1765" i="1"/>
  <c r="N1766" i="1"/>
  <c r="N1767" i="1"/>
  <c r="N1768" i="1"/>
  <c r="N1769" i="1"/>
  <c r="N1770" i="1"/>
  <c r="N1771" i="1"/>
  <c r="N1772" i="1"/>
  <c r="N1773" i="1"/>
  <c r="N1774" i="1"/>
  <c r="N1775" i="1"/>
  <c r="N1776" i="1"/>
  <c r="N1777" i="1"/>
  <c r="N1778" i="1"/>
  <c r="N1779" i="1"/>
  <c r="N1780" i="1"/>
  <c r="N1781" i="1"/>
  <c r="N1782" i="1"/>
  <c r="N1783" i="1"/>
  <c r="N1784" i="1"/>
  <c r="N1785" i="1"/>
  <c r="N1786" i="1"/>
  <c r="N1787" i="1"/>
  <c r="N1788" i="1"/>
  <c r="N1789" i="1"/>
  <c r="N1790" i="1"/>
  <c r="N1791" i="1"/>
  <c r="N1792" i="1"/>
  <c r="N1793" i="1"/>
  <c r="N1794" i="1"/>
  <c r="N1795" i="1"/>
  <c r="N1796" i="1"/>
  <c r="N1797" i="1"/>
  <c r="N1798" i="1"/>
  <c r="N1799" i="1"/>
  <c r="N1800" i="1"/>
  <c r="N1801" i="1"/>
  <c r="N1802" i="1"/>
  <c r="N1803" i="1"/>
  <c r="N1804" i="1"/>
  <c r="N1805" i="1"/>
  <c r="N1806" i="1"/>
  <c r="N1807" i="1"/>
  <c r="N1808" i="1"/>
  <c r="N1809" i="1"/>
  <c r="N1810" i="1"/>
  <c r="N1811" i="1"/>
  <c r="N1812" i="1"/>
  <c r="N1813" i="1"/>
  <c r="N1814" i="1"/>
  <c r="N1815" i="1"/>
  <c r="N1816" i="1"/>
  <c r="N1817" i="1"/>
  <c r="N1818" i="1"/>
  <c r="N1819" i="1"/>
  <c r="N1820" i="1"/>
  <c r="N1821" i="1"/>
  <c r="N1822" i="1"/>
  <c r="N1823" i="1"/>
  <c r="N1824" i="1"/>
  <c r="N1825" i="1"/>
  <c r="N1826" i="1"/>
  <c r="N1827" i="1"/>
  <c r="N1828" i="1"/>
  <c r="N1829" i="1"/>
  <c r="N1830" i="1"/>
  <c r="N1831" i="1"/>
  <c r="N1832" i="1"/>
  <c r="N1833" i="1"/>
  <c r="N1834" i="1"/>
  <c r="N1835" i="1"/>
  <c r="N1836" i="1"/>
  <c r="N1837" i="1"/>
  <c r="N1838" i="1"/>
  <c r="N1839" i="1"/>
  <c r="N1840" i="1"/>
  <c r="N1841" i="1"/>
  <c r="N1842" i="1"/>
  <c r="N1843" i="1"/>
  <c r="N1844" i="1"/>
  <c r="N1845" i="1"/>
  <c r="N1846" i="1"/>
  <c r="N1847" i="1"/>
  <c r="N1848" i="1"/>
  <c r="N1849" i="1"/>
  <c r="N1850" i="1"/>
  <c r="N1851" i="1"/>
  <c r="N1852" i="1"/>
  <c r="N1853" i="1"/>
  <c r="N1854" i="1"/>
  <c r="N1855" i="1"/>
  <c r="N1856" i="1"/>
  <c r="N1857" i="1"/>
  <c r="N1858" i="1"/>
  <c r="N1859" i="1"/>
  <c r="N1860" i="1"/>
  <c r="N1861" i="1"/>
  <c r="N1862" i="1"/>
  <c r="N1863" i="1"/>
  <c r="N1864" i="1"/>
  <c r="N1865" i="1"/>
  <c r="N1866" i="1"/>
  <c r="N1867" i="1"/>
  <c r="N1868" i="1"/>
  <c r="N1869" i="1"/>
  <c r="N1870" i="1"/>
  <c r="N1871" i="1"/>
  <c r="N1872" i="1"/>
  <c r="N1873" i="1"/>
  <c r="N1874" i="1"/>
  <c r="N1875" i="1"/>
  <c r="N1876" i="1"/>
  <c r="N1877" i="1"/>
  <c r="N1878" i="1"/>
  <c r="N1879" i="1"/>
  <c r="N1880" i="1"/>
  <c r="N1881" i="1"/>
  <c r="N1882" i="1"/>
  <c r="N1883" i="1"/>
  <c r="N1884" i="1"/>
  <c r="N1885" i="1"/>
  <c r="N1886" i="1"/>
  <c r="N1887" i="1"/>
  <c r="N1888" i="1"/>
  <c r="N1889" i="1"/>
  <c r="N1890" i="1"/>
  <c r="N1891" i="1"/>
  <c r="N1892" i="1"/>
  <c r="N1893" i="1"/>
  <c r="N1894" i="1"/>
  <c r="N1895" i="1"/>
  <c r="N1896" i="1"/>
  <c r="N1897" i="1"/>
  <c r="N1898" i="1"/>
  <c r="N1899" i="1"/>
  <c r="N1900" i="1"/>
  <c r="N1901" i="1"/>
  <c r="N1902" i="1"/>
  <c r="N1903" i="1"/>
  <c r="N1904" i="1"/>
  <c r="N1905" i="1"/>
  <c r="N1906" i="1"/>
  <c r="N1907" i="1"/>
  <c r="N1908" i="1"/>
  <c r="N1909" i="1"/>
  <c r="N1910" i="1"/>
  <c r="N1911" i="1"/>
  <c r="N1912" i="1"/>
  <c r="N1913" i="1"/>
  <c r="N1914" i="1"/>
  <c r="N1915" i="1"/>
  <c r="N1916" i="1"/>
  <c r="N1917" i="1"/>
  <c r="N1918" i="1"/>
  <c r="N1919" i="1"/>
  <c r="N1920" i="1"/>
  <c r="N1921" i="1"/>
  <c r="N1922" i="1"/>
  <c r="N1923" i="1"/>
  <c r="N1924" i="1"/>
  <c r="N1925" i="1"/>
  <c r="N1926" i="1"/>
  <c r="N1927" i="1"/>
  <c r="N1928" i="1"/>
  <c r="N1929" i="1"/>
  <c r="N1930" i="1"/>
  <c r="N1931" i="1"/>
  <c r="N1932" i="1"/>
  <c r="N1933" i="1"/>
  <c r="N1934" i="1"/>
  <c r="N1935" i="1"/>
  <c r="N1936" i="1"/>
  <c r="N1937" i="1"/>
  <c r="N1938" i="1"/>
  <c r="N1939" i="1"/>
  <c r="N1940" i="1"/>
  <c r="N1941" i="1"/>
  <c r="N1942" i="1"/>
  <c r="N1943" i="1"/>
  <c r="N1944" i="1"/>
  <c r="N1945" i="1"/>
  <c r="N1946" i="1"/>
  <c r="N1947" i="1"/>
  <c r="N1948" i="1"/>
  <c r="N1949" i="1"/>
  <c r="N1950" i="1"/>
  <c r="N1951" i="1"/>
  <c r="N1952" i="1"/>
  <c r="N1953" i="1"/>
  <c r="N1954" i="1"/>
  <c r="N1955" i="1"/>
  <c r="N1956" i="1"/>
  <c r="N1957" i="1"/>
  <c r="N1958" i="1"/>
  <c r="N1959" i="1"/>
  <c r="N1960" i="1"/>
  <c r="N1961" i="1"/>
  <c r="N1962" i="1"/>
  <c r="N1963" i="1"/>
  <c r="N1964" i="1"/>
  <c r="N1965" i="1"/>
  <c r="N1966" i="1"/>
  <c r="N1967" i="1"/>
  <c r="N1968" i="1"/>
  <c r="N1969" i="1"/>
  <c r="N1970" i="1"/>
  <c r="N1971" i="1"/>
  <c r="N1972" i="1"/>
  <c r="N1973" i="1"/>
  <c r="N1974" i="1"/>
  <c r="N1975" i="1"/>
  <c r="N1976" i="1"/>
  <c r="N1977" i="1"/>
  <c r="N1978" i="1"/>
  <c r="N1979" i="1"/>
  <c r="N1980" i="1"/>
  <c r="N1981" i="1"/>
  <c r="N1982" i="1"/>
  <c r="N1983" i="1"/>
  <c r="N1984" i="1"/>
  <c r="N1985" i="1"/>
  <c r="N1986" i="1"/>
  <c r="N1987" i="1"/>
  <c r="N1988" i="1"/>
  <c r="N1989" i="1"/>
  <c r="N1990" i="1"/>
  <c r="N1991" i="1"/>
  <c r="N1992" i="1"/>
  <c r="N1993" i="1"/>
  <c r="N1994" i="1"/>
  <c r="N1995" i="1"/>
  <c r="N1996" i="1"/>
  <c r="N1997" i="1"/>
  <c r="N1998" i="1"/>
  <c r="N1999" i="1"/>
  <c r="N2000" i="1"/>
  <c r="N2001" i="1"/>
  <c r="N2002" i="1"/>
  <c r="N2003" i="1"/>
  <c r="N2004" i="1"/>
  <c r="N2005" i="1"/>
  <c r="N2006" i="1"/>
  <c r="N2007" i="1"/>
  <c r="N2008" i="1"/>
  <c r="N2009" i="1"/>
  <c r="N2010" i="1"/>
  <c r="N2011" i="1"/>
  <c r="N2012" i="1"/>
  <c r="N2013" i="1"/>
  <c r="N2014" i="1"/>
  <c r="N2015" i="1"/>
  <c r="N2016" i="1"/>
  <c r="N2017" i="1"/>
  <c r="N2018" i="1"/>
  <c r="N2019" i="1"/>
  <c r="N2020" i="1"/>
  <c r="N2021" i="1"/>
  <c r="N2022" i="1"/>
  <c r="N2023" i="1"/>
  <c r="N2024" i="1"/>
  <c r="N2025" i="1"/>
  <c r="N2026" i="1"/>
  <c r="N2027" i="1"/>
  <c r="N2028" i="1"/>
  <c r="N2029" i="1"/>
  <c r="N2030" i="1"/>
  <c r="N2031" i="1"/>
  <c r="N2032" i="1"/>
  <c r="N2033" i="1"/>
  <c r="N2034" i="1"/>
  <c r="N2035" i="1"/>
  <c r="N2036" i="1"/>
  <c r="N2037" i="1"/>
  <c r="N2038" i="1"/>
  <c r="N2039" i="1"/>
  <c r="N2040" i="1"/>
  <c r="N2041" i="1"/>
  <c r="N2042" i="1"/>
  <c r="N2043" i="1"/>
  <c r="N2044" i="1"/>
  <c r="N2045" i="1"/>
  <c r="N2046" i="1"/>
  <c r="N2047" i="1"/>
  <c r="N2048" i="1"/>
  <c r="N2049" i="1"/>
  <c r="N2050" i="1"/>
  <c r="N2051" i="1"/>
  <c r="N2052" i="1"/>
  <c r="N2053" i="1"/>
  <c r="N2054" i="1"/>
  <c r="N2055" i="1"/>
  <c r="N2056" i="1"/>
  <c r="N2057" i="1"/>
  <c r="N2058" i="1"/>
  <c r="N2059" i="1"/>
  <c r="N2060" i="1"/>
  <c r="N2061" i="1"/>
  <c r="N2062" i="1"/>
  <c r="N2063" i="1"/>
  <c r="N2064" i="1"/>
  <c r="N2065" i="1"/>
  <c r="N2066" i="1"/>
  <c r="N2067" i="1"/>
  <c r="N2068" i="1"/>
  <c r="N2069" i="1"/>
  <c r="N2070" i="1"/>
  <c r="N2071" i="1"/>
  <c r="N2072" i="1"/>
  <c r="N2073" i="1"/>
  <c r="N2074" i="1"/>
  <c r="N2075" i="1"/>
  <c r="N2076" i="1"/>
  <c r="N2077" i="1"/>
  <c r="N2078" i="1"/>
  <c r="N2079" i="1"/>
  <c r="N2080" i="1"/>
  <c r="N2081" i="1"/>
  <c r="N2082" i="1"/>
  <c r="N2083" i="1"/>
  <c r="N2085" i="1"/>
  <c r="N2086" i="1"/>
  <c r="N2087" i="1"/>
  <c r="N2088" i="1"/>
  <c r="N2089" i="1"/>
  <c r="N2090" i="1"/>
  <c r="N2091" i="1"/>
  <c r="N2092" i="1"/>
  <c r="N2093" i="1"/>
  <c r="N2094" i="1"/>
  <c r="N2095" i="1"/>
  <c r="N2096" i="1"/>
  <c r="N2097" i="1"/>
  <c r="N2098" i="1"/>
  <c r="N2099" i="1"/>
  <c r="N2100" i="1"/>
  <c r="N2101" i="1"/>
  <c r="N2102" i="1"/>
  <c r="N2103" i="1"/>
  <c r="N2104" i="1"/>
  <c r="N2105" i="1"/>
  <c r="N2106" i="1"/>
  <c r="N2107" i="1"/>
  <c r="N2108" i="1"/>
  <c r="N2109" i="1"/>
  <c r="N2110" i="1"/>
  <c r="N2111" i="1"/>
  <c r="N2112" i="1"/>
  <c r="N2113" i="1"/>
  <c r="N2114" i="1"/>
  <c r="N2115" i="1"/>
  <c r="N2116" i="1"/>
  <c r="N2117" i="1"/>
  <c r="N2118" i="1"/>
  <c r="N2119" i="1"/>
  <c r="N2120" i="1"/>
  <c r="N2121" i="1"/>
  <c r="N2122" i="1"/>
  <c r="N2123" i="1"/>
  <c r="N2124" i="1"/>
  <c r="N2125" i="1"/>
  <c r="N2126" i="1"/>
  <c r="N2127" i="1"/>
  <c r="N2128" i="1"/>
  <c r="N2129" i="1"/>
  <c r="N2130" i="1"/>
  <c r="N2131" i="1"/>
  <c r="N2132" i="1"/>
  <c r="N2133" i="1"/>
  <c r="N2134" i="1"/>
  <c r="N2135" i="1"/>
  <c r="N2136" i="1"/>
  <c r="N2137" i="1"/>
  <c r="N2138" i="1"/>
  <c r="N2139" i="1"/>
  <c r="N2140" i="1"/>
  <c r="N2141" i="1"/>
  <c r="N2142" i="1"/>
  <c r="N2143" i="1"/>
  <c r="N2144" i="1"/>
  <c r="N2145" i="1"/>
  <c r="N2146" i="1"/>
  <c r="N2147" i="1"/>
  <c r="N2148" i="1"/>
  <c r="N2149" i="1"/>
  <c r="N2150" i="1"/>
  <c r="N2151" i="1"/>
  <c r="N2152" i="1"/>
  <c r="N2153" i="1"/>
  <c r="N2154" i="1"/>
  <c r="N2155" i="1"/>
  <c r="N2156" i="1"/>
  <c r="N2157" i="1"/>
  <c r="N2158" i="1"/>
  <c r="N2159" i="1"/>
  <c r="N2160" i="1"/>
  <c r="N2161" i="1"/>
  <c r="N2162" i="1"/>
  <c r="N2163" i="1"/>
  <c r="N2164" i="1"/>
  <c r="N2165" i="1"/>
  <c r="N2166" i="1"/>
  <c r="N2167" i="1"/>
  <c r="N2168" i="1"/>
  <c r="N2169" i="1"/>
  <c r="N2170" i="1"/>
  <c r="N2171" i="1"/>
  <c r="N2172" i="1"/>
  <c r="N2173" i="1"/>
  <c r="N2174" i="1"/>
  <c r="N2175" i="1"/>
  <c r="N2176" i="1"/>
  <c r="N2177" i="1"/>
  <c r="N2178" i="1"/>
  <c r="N2179" i="1"/>
  <c r="N2180" i="1"/>
  <c r="N2181" i="1"/>
  <c r="N2182" i="1"/>
  <c r="N2183" i="1"/>
  <c r="N2184" i="1"/>
  <c r="N2185" i="1"/>
  <c r="N2186" i="1"/>
  <c r="N2187" i="1"/>
  <c r="N2188" i="1"/>
  <c r="N2189" i="1"/>
  <c r="N2190" i="1"/>
  <c r="N2191" i="1"/>
  <c r="N2192" i="1"/>
  <c r="N2193" i="1"/>
  <c r="N2194" i="1"/>
  <c r="N2195" i="1"/>
  <c r="N2196" i="1"/>
  <c r="N2197" i="1"/>
  <c r="N2198" i="1"/>
  <c r="N2199" i="1"/>
  <c r="N2200" i="1"/>
  <c r="N2201" i="1"/>
  <c r="N2202" i="1"/>
  <c r="N2203" i="1"/>
  <c r="N2204" i="1"/>
  <c r="N2205" i="1"/>
  <c r="N2206" i="1"/>
  <c r="N2207" i="1"/>
  <c r="N2208" i="1"/>
  <c r="N2209" i="1"/>
  <c r="N2210" i="1"/>
  <c r="N2211" i="1"/>
  <c r="N2212" i="1"/>
  <c r="N2213" i="1"/>
  <c r="N2214" i="1"/>
  <c r="N2215" i="1"/>
  <c r="N2216" i="1"/>
  <c r="N2217" i="1"/>
  <c r="N2218" i="1"/>
  <c r="N2219" i="1"/>
  <c r="N2220" i="1"/>
  <c r="N2221" i="1"/>
  <c r="N2222" i="1"/>
  <c r="N2223" i="1"/>
  <c r="N2224" i="1"/>
  <c r="N2225" i="1"/>
  <c r="N2226" i="1"/>
  <c r="N2227" i="1"/>
  <c r="N2228" i="1"/>
  <c r="N2229" i="1"/>
  <c r="N2230" i="1"/>
  <c r="P2230" i="1"/>
  <c r="M2230" i="1"/>
  <c r="P2229" i="1"/>
  <c r="M2229" i="1"/>
  <c r="P2228" i="1"/>
  <c r="M2228" i="1"/>
  <c r="P2227" i="1"/>
  <c r="M2227" i="1"/>
  <c r="P2226" i="1"/>
  <c r="M2226" i="1"/>
  <c r="P2225" i="1"/>
  <c r="M2225" i="1"/>
  <c r="P2224" i="1"/>
  <c r="M2224" i="1"/>
  <c r="P2223" i="1"/>
  <c r="M2223" i="1"/>
  <c r="P2222" i="1"/>
  <c r="M2222" i="1"/>
  <c r="P2221" i="1"/>
  <c r="M2221" i="1"/>
  <c r="P2220" i="1"/>
  <c r="M2220" i="1"/>
  <c r="P2219" i="1"/>
  <c r="M2219" i="1"/>
  <c r="P2218" i="1"/>
  <c r="M2218" i="1"/>
  <c r="P2217" i="1"/>
  <c r="M2217" i="1"/>
  <c r="P2216" i="1"/>
  <c r="M2216" i="1"/>
  <c r="P2215" i="1"/>
  <c r="M2215" i="1"/>
  <c r="P2214" i="1"/>
  <c r="M2214" i="1"/>
  <c r="P2213" i="1"/>
  <c r="M2213" i="1"/>
  <c r="P2212" i="1"/>
  <c r="M2212" i="1"/>
  <c r="P2211" i="1"/>
  <c r="M2211" i="1"/>
  <c r="P2210" i="1"/>
  <c r="M2210" i="1"/>
  <c r="P2209" i="1"/>
  <c r="M2209" i="1"/>
  <c r="P2208" i="1"/>
  <c r="M2208" i="1"/>
  <c r="M2207" i="1"/>
  <c r="P2206" i="1"/>
  <c r="M2206" i="1"/>
  <c r="P2205" i="1"/>
  <c r="M2205" i="1"/>
  <c r="P2204" i="1"/>
  <c r="M2204" i="1"/>
  <c r="P2203" i="1"/>
  <c r="M2203" i="1"/>
  <c r="P2202" i="1"/>
  <c r="M2202" i="1"/>
  <c r="P2201" i="1"/>
  <c r="M2201" i="1"/>
  <c r="P2200" i="1"/>
  <c r="M2200" i="1"/>
  <c r="P2199" i="1"/>
  <c r="M2199" i="1"/>
  <c r="P2198" i="1"/>
  <c r="M2198" i="1"/>
  <c r="P2196" i="1"/>
  <c r="M2196" i="1"/>
  <c r="P2197" i="1"/>
  <c r="M2197" i="1"/>
  <c r="P2195" i="1"/>
  <c r="M2195" i="1"/>
  <c r="P2194" i="1"/>
  <c r="M2194" i="1"/>
  <c r="P2193" i="1"/>
  <c r="M2193" i="1"/>
  <c r="P2192" i="1"/>
  <c r="M2192" i="1"/>
  <c r="P2191" i="1"/>
  <c r="M2191" i="1"/>
  <c r="P2190" i="1"/>
  <c r="M2190" i="1"/>
  <c r="P2189" i="1"/>
  <c r="M2189" i="1"/>
  <c r="M2188" i="1"/>
  <c r="P2187" i="1"/>
  <c r="M2187" i="1"/>
  <c r="P2186" i="1"/>
  <c r="M2186" i="1"/>
  <c r="P2185" i="1"/>
  <c r="M2185" i="1"/>
  <c r="P2184" i="1"/>
  <c r="M2184" i="1"/>
  <c r="P2183" i="1"/>
  <c r="M2183" i="1"/>
  <c r="P2182" i="1"/>
  <c r="M2182" i="1"/>
  <c r="P2181" i="1"/>
  <c r="M2181" i="1"/>
  <c r="P2180" i="1"/>
  <c r="M2180" i="1"/>
  <c r="P2179" i="1"/>
  <c r="M2179" i="1"/>
  <c r="P2178" i="1"/>
  <c r="M2178" i="1"/>
  <c r="P2177" i="1"/>
  <c r="M2177" i="1"/>
  <c r="P2176" i="1"/>
  <c r="M2176" i="1"/>
  <c r="P2175" i="1"/>
  <c r="M2175" i="1"/>
  <c r="P2174" i="1"/>
  <c r="M2174" i="1"/>
  <c r="P2173" i="1"/>
  <c r="M2173" i="1"/>
  <c r="P2172" i="1"/>
  <c r="M2172" i="1"/>
  <c r="P2171" i="1"/>
  <c r="M2171" i="1"/>
  <c r="P2170" i="1"/>
  <c r="M2170" i="1"/>
  <c r="P2169" i="1"/>
  <c r="M2169" i="1"/>
  <c r="P2168" i="1"/>
  <c r="M2168" i="1"/>
  <c r="P2167" i="1"/>
  <c r="M2167" i="1"/>
  <c r="P2166" i="1"/>
  <c r="M2166" i="1"/>
  <c r="P2165" i="1"/>
  <c r="M2165" i="1"/>
  <c r="P2164" i="1"/>
  <c r="M2164" i="1"/>
  <c r="P2163" i="1"/>
  <c r="M2163" i="1"/>
  <c r="P2162" i="1"/>
  <c r="M2162" i="1"/>
  <c r="P2161" i="1"/>
  <c r="M2161" i="1"/>
  <c r="P2160" i="1"/>
  <c r="M2160" i="1"/>
  <c r="J12" i="8"/>
  <c r="I12" i="8"/>
  <c r="H12" i="8"/>
  <c r="G12" i="8"/>
  <c r="F12" i="8"/>
  <c r="E12" i="8"/>
  <c r="D12" i="8"/>
  <c r="C12" i="8"/>
  <c r="AO69" i="5"/>
  <c r="AN69" i="5"/>
  <c r="AM69" i="5"/>
  <c r="AL69" i="5"/>
  <c r="AK69" i="5"/>
  <c r="AJ69" i="5"/>
  <c r="AI69" i="5"/>
  <c r="AH69" i="5"/>
  <c r="AG69" i="5"/>
  <c r="AF69" i="5"/>
  <c r="AE69" i="5"/>
  <c r="AD69" i="5"/>
  <c r="AC69" i="5"/>
  <c r="AB69" i="5"/>
  <c r="AA69" i="5"/>
  <c r="Z69" i="5"/>
  <c r="Y69" i="5"/>
  <c r="X69" i="5"/>
  <c r="W69" i="5"/>
  <c r="V69" i="5"/>
  <c r="U69" i="5"/>
  <c r="T69" i="5"/>
  <c r="S69" i="5"/>
  <c r="R69" i="5"/>
  <c r="Q69" i="5"/>
  <c r="P69" i="5"/>
  <c r="O69" i="5"/>
  <c r="N69" i="5"/>
  <c r="M69" i="5"/>
  <c r="L69" i="5"/>
  <c r="K69" i="5"/>
  <c r="J69" i="5"/>
  <c r="I69" i="5"/>
  <c r="H69" i="5"/>
  <c r="G69" i="5"/>
  <c r="F69" i="5"/>
  <c r="E69" i="5"/>
  <c r="P2159" i="1"/>
  <c r="M2159" i="1"/>
  <c r="P2158" i="1"/>
  <c r="M2158" i="1"/>
  <c r="P2157" i="1"/>
  <c r="M2157" i="1"/>
  <c r="P2156" i="1"/>
  <c r="M2156" i="1"/>
  <c r="P2155" i="1"/>
  <c r="M2155" i="1"/>
  <c r="P2154" i="1"/>
  <c r="M2154" i="1"/>
  <c r="P2153" i="1"/>
  <c r="M2153" i="1"/>
  <c r="P2152" i="1"/>
  <c r="M2152" i="1"/>
  <c r="P2151" i="1"/>
  <c r="M2151" i="1"/>
  <c r="P2150" i="1"/>
  <c r="M2150" i="1"/>
  <c r="P2149" i="1"/>
  <c r="M2149" i="1"/>
  <c r="P2148" i="1"/>
  <c r="M2148" i="1"/>
  <c r="P2147" i="1"/>
  <c r="M2147" i="1"/>
  <c r="P2146" i="1"/>
  <c r="M2146" i="1"/>
  <c r="P2145" i="1"/>
  <c r="M2145" i="1"/>
  <c r="P2144" i="1"/>
  <c r="M2144" i="1"/>
  <c r="P2143" i="1"/>
  <c r="M2143" i="1"/>
  <c r="P2142" i="1"/>
  <c r="M2142" i="1"/>
  <c r="AI44" i="5"/>
  <c r="P2141" i="1"/>
  <c r="M2141" i="1"/>
  <c r="P2140" i="1"/>
  <c r="M2140" i="1"/>
  <c r="P2139" i="1"/>
  <c r="M2139" i="1"/>
  <c r="P2138" i="1"/>
  <c r="M2138" i="1"/>
  <c r="P2137" i="1"/>
  <c r="M2137" i="1"/>
  <c r="P2136" i="1"/>
  <c r="M2136" i="1"/>
  <c r="P2135" i="1"/>
  <c r="M2135" i="1"/>
  <c r="P2134" i="1"/>
  <c r="M2134" i="1"/>
  <c r="P2133" i="1"/>
  <c r="M2133" i="1"/>
  <c r="P2132" i="1"/>
  <c r="M2132" i="1"/>
  <c r="P2131" i="1"/>
  <c r="M2131" i="1"/>
  <c r="P2130" i="1"/>
  <c r="M2130" i="1"/>
  <c r="P2129" i="1"/>
  <c r="M2129" i="1"/>
  <c r="P2128" i="1"/>
  <c r="M2128" i="1"/>
  <c r="P2127" i="1"/>
  <c r="M2127" i="1"/>
  <c r="P2126" i="1"/>
  <c r="M2126" i="1"/>
  <c r="P2125" i="1"/>
  <c r="M2125" i="1"/>
  <c r="P2124" i="1"/>
  <c r="M2124" i="1"/>
  <c r="P2123" i="1"/>
  <c r="M2123" i="1"/>
  <c r="E15" i="12"/>
  <c r="J110" i="8"/>
  <c r="I110" i="8"/>
  <c r="H110" i="8"/>
  <c r="G110" i="8"/>
  <c r="F110" i="8"/>
  <c r="E110" i="8"/>
  <c r="D110" i="8"/>
  <c r="C110" i="8"/>
  <c r="AO132" i="5"/>
  <c r="AN132" i="5"/>
  <c r="AM132" i="5"/>
  <c r="AL132" i="5"/>
  <c r="AK132" i="5"/>
  <c r="AJ132" i="5"/>
  <c r="AI132" i="5"/>
  <c r="AH132" i="5"/>
  <c r="AG132" i="5"/>
  <c r="AF132" i="5"/>
  <c r="AE132" i="5"/>
  <c r="AD132" i="5"/>
  <c r="AC132" i="5"/>
  <c r="AB132" i="5"/>
  <c r="AA132" i="5"/>
  <c r="Z132" i="5"/>
  <c r="Y132" i="5"/>
  <c r="X132" i="5"/>
  <c r="W132" i="5"/>
  <c r="V132" i="5"/>
  <c r="U132" i="5"/>
  <c r="T132" i="5"/>
  <c r="S132" i="5"/>
  <c r="R132" i="5"/>
  <c r="Q132" i="5"/>
  <c r="P132" i="5"/>
  <c r="O132" i="5"/>
  <c r="N132" i="5"/>
  <c r="M132" i="5"/>
  <c r="L132" i="5"/>
  <c r="K132" i="5"/>
  <c r="J132" i="5"/>
  <c r="I132" i="5"/>
  <c r="H132" i="5"/>
  <c r="G132" i="5"/>
  <c r="F132" i="5"/>
  <c r="E132" i="5"/>
  <c r="E133" i="5"/>
  <c r="F133" i="5"/>
  <c r="G133" i="5"/>
  <c r="H133" i="5"/>
  <c r="I133" i="5"/>
  <c r="J133" i="5"/>
  <c r="K133" i="5"/>
  <c r="L133" i="5"/>
  <c r="M133" i="5"/>
  <c r="N133" i="5"/>
  <c r="O133" i="5"/>
  <c r="P133" i="5"/>
  <c r="Q133" i="5"/>
  <c r="R133" i="5"/>
  <c r="S133" i="5"/>
  <c r="T133" i="5"/>
  <c r="U133" i="5"/>
  <c r="V133" i="5"/>
  <c r="W133" i="5"/>
  <c r="X133" i="5"/>
  <c r="Y133" i="5"/>
  <c r="Z133" i="5"/>
  <c r="AA133" i="5"/>
  <c r="AB133" i="5"/>
  <c r="AC133" i="5"/>
  <c r="AD133" i="5"/>
  <c r="AE133" i="5"/>
  <c r="AF133" i="5"/>
  <c r="AG133" i="5"/>
  <c r="AH133" i="5"/>
  <c r="AI133" i="5"/>
  <c r="AJ133" i="5"/>
  <c r="AK133" i="5"/>
  <c r="AL133" i="5"/>
  <c r="AM133" i="5"/>
  <c r="AN133" i="5"/>
  <c r="AO133" i="5"/>
  <c r="P2122" i="1"/>
  <c r="M2122" i="1"/>
  <c r="P2121" i="1"/>
  <c r="M2121" i="1"/>
  <c r="P2120" i="1"/>
  <c r="M2120" i="1"/>
  <c r="P2119" i="1"/>
  <c r="M2119" i="1"/>
  <c r="P2118" i="1"/>
  <c r="M2118" i="1"/>
  <c r="M2117" i="1"/>
  <c r="P2117" i="1"/>
  <c r="P2116" i="1"/>
  <c r="M2116" i="1"/>
  <c r="P2115" i="1"/>
  <c r="M2115" i="1"/>
  <c r="P2114" i="1"/>
  <c r="M2114" i="1"/>
  <c r="P2113" i="1"/>
  <c r="M2113" i="1"/>
  <c r="P2112" i="1"/>
  <c r="M2112" i="1"/>
  <c r="J5" i="8"/>
  <c r="I5" i="8"/>
  <c r="H5" i="8"/>
  <c r="G5" i="8"/>
  <c r="F5" i="8"/>
  <c r="E5" i="8"/>
  <c r="D5" i="8"/>
  <c r="C5" i="8"/>
  <c r="AO73" i="5"/>
  <c r="AN73" i="5"/>
  <c r="AM73" i="5"/>
  <c r="AL73" i="5"/>
  <c r="AK73" i="5"/>
  <c r="AJ73" i="5"/>
  <c r="AI73" i="5"/>
  <c r="AH73" i="5"/>
  <c r="AG73" i="5"/>
  <c r="AF73" i="5"/>
  <c r="AE73" i="5"/>
  <c r="AD73" i="5"/>
  <c r="AC73" i="5"/>
  <c r="AB73" i="5"/>
  <c r="AA73" i="5"/>
  <c r="Z73" i="5"/>
  <c r="Y73" i="5"/>
  <c r="X73" i="5"/>
  <c r="W73" i="5"/>
  <c r="V73" i="5"/>
  <c r="U73" i="5"/>
  <c r="T73" i="5"/>
  <c r="S73" i="5"/>
  <c r="R73" i="5"/>
  <c r="Q73" i="5"/>
  <c r="P73" i="5"/>
  <c r="O73" i="5"/>
  <c r="N73" i="5"/>
  <c r="M73" i="5"/>
  <c r="L73" i="5"/>
  <c r="K73" i="5"/>
  <c r="J73" i="5"/>
  <c r="I73" i="5"/>
  <c r="H73" i="5"/>
  <c r="G73" i="5"/>
  <c r="F73" i="5"/>
  <c r="E73" i="5"/>
  <c r="P2111" i="1"/>
  <c r="M2111" i="1"/>
  <c r="P2110" i="1"/>
  <c r="M2110" i="1"/>
  <c r="AC146" i="5"/>
  <c r="AB146" i="5"/>
  <c r="AA146" i="5"/>
  <c r="Z146" i="5"/>
  <c r="Y146" i="5"/>
  <c r="X146" i="5"/>
  <c r="W146" i="5"/>
  <c r="V146" i="5"/>
  <c r="U146" i="5"/>
  <c r="T146" i="5"/>
  <c r="S146" i="5"/>
  <c r="R146" i="5"/>
  <c r="Q146" i="5"/>
  <c r="P146" i="5"/>
  <c r="O146" i="5"/>
  <c r="N146" i="5"/>
  <c r="M146" i="5"/>
  <c r="L146" i="5"/>
  <c r="K146" i="5"/>
  <c r="J146" i="5"/>
  <c r="I146" i="5"/>
  <c r="H146" i="5"/>
  <c r="G146" i="5"/>
  <c r="F146" i="5"/>
  <c r="AC145" i="5"/>
  <c r="AB145" i="5"/>
  <c r="AA145" i="5"/>
  <c r="Z145" i="5"/>
  <c r="Y145" i="5"/>
  <c r="X145" i="5"/>
  <c r="W145" i="5"/>
  <c r="V145" i="5"/>
  <c r="U145" i="5"/>
  <c r="T145" i="5"/>
  <c r="S145" i="5"/>
  <c r="R145" i="5"/>
  <c r="Q145" i="5"/>
  <c r="P145" i="5"/>
  <c r="O145" i="5"/>
  <c r="N145" i="5"/>
  <c r="M145" i="5"/>
  <c r="L145" i="5"/>
  <c r="K145" i="5"/>
  <c r="J145" i="5"/>
  <c r="I145" i="5"/>
  <c r="H145" i="5"/>
  <c r="G145" i="5"/>
  <c r="F145" i="5"/>
  <c r="P2109" i="1"/>
  <c r="M2109" i="1"/>
  <c r="P2108" i="1"/>
  <c r="M2108" i="1"/>
  <c r="P2107" i="1"/>
  <c r="M2107" i="1"/>
  <c r="P2106" i="1"/>
  <c r="M2106" i="1"/>
  <c r="P2105" i="1"/>
  <c r="M2105" i="1"/>
  <c r="P2104" i="1"/>
  <c r="M2104" i="1"/>
  <c r="M2103" i="1"/>
  <c r="P2103" i="1"/>
  <c r="P2102" i="1"/>
  <c r="M2102" i="1"/>
  <c r="P2101" i="1"/>
  <c r="M2101" i="1"/>
  <c r="P2100" i="1"/>
  <c r="M2100" i="1"/>
  <c r="P2099" i="1"/>
  <c r="M2099" i="1"/>
  <c r="P2096" i="1"/>
  <c r="P2098" i="1"/>
  <c r="M2098" i="1"/>
  <c r="P2097" i="1"/>
  <c r="M2097" i="1"/>
  <c r="M2096" i="1"/>
  <c r="P2095" i="1"/>
  <c r="M2095" i="1"/>
  <c r="P2094" i="1"/>
  <c r="M2094" i="1"/>
  <c r="P2093" i="1"/>
  <c r="M2093" i="1"/>
  <c r="P2092" i="1"/>
  <c r="M2092" i="1"/>
  <c r="P2091" i="1"/>
  <c r="M2091" i="1"/>
  <c r="P2090" i="1"/>
  <c r="M2090" i="1"/>
  <c r="M2089" i="1"/>
  <c r="P2089" i="1"/>
  <c r="P2088" i="1"/>
  <c r="M2088" i="1"/>
  <c r="P2087" i="1"/>
  <c r="M2087" i="1"/>
  <c r="P2086" i="1"/>
  <c r="M2086" i="1"/>
  <c r="P2085" i="1"/>
  <c r="M2085" i="1"/>
  <c r="P2083" i="1"/>
  <c r="M2083" i="1"/>
  <c r="P2082" i="1"/>
  <c r="M2082" i="1"/>
  <c r="P2081" i="1"/>
  <c r="M2081" i="1"/>
  <c r="P2080" i="1"/>
  <c r="M2080" i="1"/>
  <c r="P2079" i="1"/>
  <c r="M2079" i="1"/>
  <c r="P2075" i="1"/>
  <c r="P2078" i="1"/>
  <c r="M2078" i="1"/>
  <c r="P2077" i="1"/>
  <c r="M2077" i="1"/>
  <c r="P2076" i="1"/>
  <c r="M2076" i="1"/>
  <c r="M2075" i="1"/>
  <c r="P2074" i="1"/>
  <c r="M2074" i="1"/>
  <c r="P2073" i="1"/>
  <c r="M2073" i="1"/>
  <c r="P2072" i="1"/>
  <c r="M2072" i="1"/>
  <c r="P2071" i="1"/>
  <c r="M2071" i="1"/>
  <c r="P2070" i="1"/>
  <c r="M2070" i="1"/>
  <c r="AO127" i="5"/>
  <c r="AN127" i="5"/>
  <c r="AM127" i="5"/>
  <c r="AL127" i="5"/>
  <c r="AK127" i="5"/>
  <c r="AJ127" i="5"/>
  <c r="AI127" i="5"/>
  <c r="AH127" i="5"/>
  <c r="AG127" i="5"/>
  <c r="AF127" i="5"/>
  <c r="AE127" i="5"/>
  <c r="AD127" i="5"/>
  <c r="AC127" i="5"/>
  <c r="AB127" i="5"/>
  <c r="AA127" i="5"/>
  <c r="Z127" i="5"/>
  <c r="Y127" i="5"/>
  <c r="X127" i="5"/>
  <c r="W127" i="5"/>
  <c r="V127" i="5"/>
  <c r="U127" i="5"/>
  <c r="T127" i="5"/>
  <c r="S127" i="5"/>
  <c r="R127" i="5"/>
  <c r="Q127" i="5"/>
  <c r="P127" i="5"/>
  <c r="O127" i="5"/>
  <c r="N127" i="5"/>
  <c r="M127" i="5"/>
  <c r="L127" i="5"/>
  <c r="K127" i="5"/>
  <c r="J127" i="5"/>
  <c r="I127" i="5"/>
  <c r="H127" i="5"/>
  <c r="G127" i="5"/>
  <c r="F127" i="5"/>
  <c r="E127" i="5"/>
  <c r="BB127" i="5" s="1"/>
  <c r="P2069" i="1"/>
  <c r="M2069" i="1"/>
  <c r="P2068" i="1"/>
  <c r="M2068" i="1"/>
  <c r="M2067" i="1"/>
  <c r="P2066" i="1"/>
  <c r="M2066" i="1"/>
  <c r="P2065" i="1"/>
  <c r="M2065" i="1"/>
  <c r="P2064" i="1"/>
  <c r="M2064" i="1"/>
  <c r="P2063" i="1"/>
  <c r="M2063" i="1"/>
  <c r="M2062" i="1"/>
  <c r="P2061" i="1"/>
  <c r="M2061" i="1"/>
  <c r="P2060" i="1"/>
  <c r="M2060" i="1"/>
  <c r="P2059" i="1"/>
  <c r="M2059" i="1"/>
  <c r="P2058" i="1"/>
  <c r="M2058" i="1"/>
  <c r="P2057" i="1"/>
  <c r="M2057" i="1"/>
  <c r="P2056" i="1"/>
  <c r="M2056" i="1"/>
  <c r="P2055" i="1"/>
  <c r="M2055" i="1"/>
  <c r="P2054" i="1"/>
  <c r="M2054" i="1"/>
  <c r="P2053" i="1"/>
  <c r="M2053" i="1"/>
  <c r="P2052" i="1"/>
  <c r="M2052" i="1"/>
  <c r="P2051" i="1"/>
  <c r="M2051" i="1"/>
  <c r="P2050" i="1"/>
  <c r="M2050" i="1"/>
  <c r="P2049" i="1"/>
  <c r="M2049" i="1"/>
  <c r="P2048" i="1"/>
  <c r="M2048" i="1"/>
  <c r="P2047" i="1"/>
  <c r="M2047" i="1"/>
  <c r="P2046" i="1"/>
  <c r="M2046" i="1"/>
  <c r="P2045" i="1"/>
  <c r="M2045" i="1"/>
  <c r="P2044" i="1"/>
  <c r="M2044" i="1"/>
  <c r="P2043" i="1"/>
  <c r="M2043" i="1"/>
  <c r="P2042" i="1"/>
  <c r="M2042" i="1"/>
  <c r="P2041" i="1"/>
  <c r="M2041" i="1"/>
  <c r="P2040" i="1"/>
  <c r="M2040" i="1"/>
  <c r="P2039" i="1"/>
  <c r="M2039" i="1"/>
  <c r="P2038" i="1"/>
  <c r="M2038" i="1"/>
  <c r="P2037" i="1"/>
  <c r="M2037" i="1"/>
  <c r="P2036" i="1"/>
  <c r="M2036" i="1"/>
  <c r="P2035" i="1"/>
  <c r="M2035" i="1"/>
  <c r="P2034" i="1"/>
  <c r="M2034" i="1"/>
  <c r="P2033" i="1"/>
  <c r="M2033" i="1"/>
  <c r="P2032" i="1"/>
  <c r="M2032" i="1"/>
  <c r="P2031" i="1"/>
  <c r="M2031" i="1"/>
  <c r="P2030" i="1"/>
  <c r="M2030" i="1"/>
  <c r="P2029" i="1"/>
  <c r="M2029" i="1"/>
  <c r="P2028" i="1"/>
  <c r="M2028" i="1"/>
  <c r="P2027" i="1"/>
  <c r="M2027" i="1"/>
  <c r="P2026" i="1"/>
  <c r="M2026" i="1"/>
  <c r="P2025" i="1"/>
  <c r="M2025" i="1"/>
  <c r="P2024" i="1"/>
  <c r="M2024" i="1"/>
  <c r="P2023" i="1"/>
  <c r="M2023" i="1"/>
  <c r="P2022" i="1"/>
  <c r="M2022" i="1"/>
  <c r="P2021" i="1"/>
  <c r="M2021" i="1"/>
  <c r="P2020" i="1"/>
  <c r="M2020" i="1"/>
  <c r="P2019" i="1"/>
  <c r="M2019" i="1"/>
  <c r="P2018" i="1"/>
  <c r="M2018" i="1"/>
  <c r="P2017" i="1"/>
  <c r="M2017" i="1"/>
  <c r="P2016" i="1"/>
  <c r="M2016" i="1"/>
  <c r="P2015" i="1"/>
  <c r="M2015" i="1"/>
  <c r="P2014" i="1"/>
  <c r="M2014" i="1"/>
  <c r="P2013" i="1"/>
  <c r="M2013" i="1"/>
  <c r="P2012" i="1"/>
  <c r="M2012" i="1"/>
  <c r="P2011" i="1"/>
  <c r="M2011" i="1"/>
  <c r="P2010" i="1"/>
  <c r="M2010" i="1"/>
  <c r="P2009" i="1"/>
  <c r="M2009" i="1"/>
  <c r="P2008" i="1"/>
  <c r="M2008" i="1"/>
  <c r="P2007" i="1"/>
  <c r="M2007" i="1"/>
  <c r="M2006" i="1"/>
  <c r="P2005" i="1"/>
  <c r="M2005" i="1"/>
  <c r="P2004" i="1"/>
  <c r="M2004" i="1"/>
  <c r="P2003" i="1"/>
  <c r="M2003" i="1"/>
  <c r="P2002" i="1"/>
  <c r="M2002" i="1"/>
  <c r="P2001" i="1"/>
  <c r="M2001" i="1"/>
  <c r="P2000" i="1"/>
  <c r="M2000" i="1"/>
  <c r="P1999" i="1"/>
  <c r="M1999" i="1"/>
  <c r="P1998" i="1"/>
  <c r="M1998" i="1"/>
  <c r="P1997" i="1"/>
  <c r="M1997" i="1"/>
  <c r="P1996" i="1"/>
  <c r="M1996" i="1"/>
  <c r="P1995" i="1"/>
  <c r="M1995" i="1"/>
  <c r="P1994" i="1"/>
  <c r="M1994" i="1"/>
  <c r="P1993" i="1"/>
  <c r="M1993" i="1"/>
  <c r="P1992" i="1"/>
  <c r="M1992" i="1"/>
  <c r="P1991" i="1"/>
  <c r="M1991" i="1"/>
  <c r="P1677" i="1"/>
  <c r="P1884" i="1"/>
  <c r="P1990" i="1"/>
  <c r="M1990" i="1"/>
  <c r="P1989" i="1"/>
  <c r="M1989" i="1"/>
  <c r="P1988" i="1"/>
  <c r="M1988" i="1"/>
  <c r="P1987" i="1"/>
  <c r="M1987" i="1"/>
  <c r="P1986" i="1"/>
  <c r="M1986" i="1"/>
  <c r="P1985" i="1"/>
  <c r="M1985" i="1"/>
  <c r="P1984" i="1"/>
  <c r="M1984" i="1"/>
  <c r="P1983" i="1"/>
  <c r="M1983" i="1"/>
  <c r="P1982" i="1"/>
  <c r="M1982" i="1"/>
  <c r="P1981" i="1"/>
  <c r="M1981" i="1"/>
  <c r="P1980" i="1"/>
  <c r="M1980" i="1"/>
  <c r="P1979" i="1"/>
  <c r="M1979" i="1"/>
  <c r="P1978" i="1"/>
  <c r="M1978" i="1"/>
  <c r="P1977" i="1"/>
  <c r="M1977" i="1"/>
  <c r="P1976" i="1"/>
  <c r="M1976" i="1"/>
  <c r="P1975" i="1"/>
  <c r="M1975" i="1"/>
  <c r="P1974" i="1"/>
  <c r="M1974" i="1"/>
  <c r="P1973" i="1"/>
  <c r="M1973" i="1"/>
  <c r="P1972" i="1"/>
  <c r="M1972" i="1"/>
  <c r="P1971" i="1"/>
  <c r="M1971" i="1"/>
  <c r="P1970" i="1"/>
  <c r="M1970" i="1"/>
  <c r="P1969" i="1"/>
  <c r="M1969" i="1"/>
  <c r="M1968" i="1"/>
  <c r="P1967" i="1"/>
  <c r="M1967" i="1"/>
  <c r="P1966" i="1"/>
  <c r="M1966" i="1"/>
  <c r="J107" i="8"/>
  <c r="I107" i="8"/>
  <c r="H107" i="8"/>
  <c r="G107" i="8"/>
  <c r="F107" i="8"/>
  <c r="E107" i="8"/>
  <c r="D107" i="8"/>
  <c r="C108" i="8"/>
  <c r="D108" i="8"/>
  <c r="E108" i="8"/>
  <c r="F108" i="8"/>
  <c r="G108" i="8"/>
  <c r="H108" i="8"/>
  <c r="I108" i="8"/>
  <c r="J108" i="8"/>
  <c r="P1965" i="1"/>
  <c r="M1965" i="1"/>
  <c r="P1964" i="1"/>
  <c r="M1964" i="1"/>
  <c r="P1963" i="1"/>
  <c r="M1963" i="1"/>
  <c r="P1962" i="1"/>
  <c r="M1962" i="1"/>
  <c r="P1961" i="1"/>
  <c r="M1961" i="1"/>
  <c r="P1960" i="1"/>
  <c r="M1960" i="1"/>
  <c r="P1959" i="1"/>
  <c r="M1959" i="1"/>
  <c r="P1958" i="1"/>
  <c r="M1958" i="1"/>
  <c r="P1957" i="1"/>
  <c r="M1957" i="1"/>
  <c r="P1956" i="1"/>
  <c r="M1956" i="1"/>
  <c r="P1955" i="1"/>
  <c r="M1955" i="1"/>
  <c r="P1954" i="1"/>
  <c r="M1954" i="1"/>
  <c r="P1953" i="1"/>
  <c r="M1953" i="1"/>
  <c r="P1952" i="1"/>
  <c r="M1952" i="1"/>
  <c r="P1951" i="1"/>
  <c r="M1951" i="1"/>
  <c r="P1950" i="1"/>
  <c r="M1950" i="1"/>
  <c r="AO103" i="5"/>
  <c r="AN103" i="5"/>
  <c r="AM103" i="5"/>
  <c r="AL103" i="5"/>
  <c r="AK103" i="5"/>
  <c r="AJ103" i="5"/>
  <c r="AI103" i="5"/>
  <c r="AH103" i="5"/>
  <c r="AG103" i="5"/>
  <c r="AF103" i="5"/>
  <c r="AE103" i="5"/>
  <c r="AD103" i="5"/>
  <c r="AC103" i="5"/>
  <c r="AB103" i="5"/>
  <c r="AA103" i="5"/>
  <c r="Z103" i="5"/>
  <c r="Y103" i="5"/>
  <c r="X103" i="5"/>
  <c r="W103" i="5"/>
  <c r="V103" i="5"/>
  <c r="U103" i="5"/>
  <c r="T103" i="5"/>
  <c r="S103" i="5"/>
  <c r="R103" i="5"/>
  <c r="Q103" i="5"/>
  <c r="P103" i="5"/>
  <c r="O103" i="5"/>
  <c r="N103" i="5"/>
  <c r="M103" i="5"/>
  <c r="L103" i="5"/>
  <c r="K103" i="5"/>
  <c r="J103" i="5"/>
  <c r="I103" i="5"/>
  <c r="H103" i="5"/>
  <c r="G103" i="5"/>
  <c r="F103" i="5"/>
  <c r="E103" i="5"/>
  <c r="E104" i="5"/>
  <c r="F104" i="5"/>
  <c r="G104" i="5"/>
  <c r="H104" i="5"/>
  <c r="I104" i="5"/>
  <c r="J104" i="5"/>
  <c r="K104" i="5"/>
  <c r="L104" i="5"/>
  <c r="M104" i="5"/>
  <c r="N104" i="5"/>
  <c r="O104" i="5"/>
  <c r="P104" i="5"/>
  <c r="Q104" i="5"/>
  <c r="R104" i="5"/>
  <c r="S104" i="5"/>
  <c r="T104" i="5"/>
  <c r="U104" i="5"/>
  <c r="V104" i="5"/>
  <c r="W104" i="5"/>
  <c r="X104" i="5"/>
  <c r="Y104" i="5"/>
  <c r="Z104" i="5"/>
  <c r="AA104" i="5"/>
  <c r="AB104" i="5"/>
  <c r="AC104" i="5"/>
  <c r="AD104" i="5"/>
  <c r="AE104" i="5"/>
  <c r="AF104" i="5"/>
  <c r="AG104" i="5"/>
  <c r="AH104" i="5"/>
  <c r="AI104" i="5"/>
  <c r="AJ104" i="5"/>
  <c r="AK104" i="5"/>
  <c r="AL104" i="5"/>
  <c r="AM104" i="5"/>
  <c r="AN104" i="5"/>
  <c r="AO104" i="5"/>
  <c r="C107" i="9"/>
  <c r="P1949" i="1"/>
  <c r="M1949" i="1"/>
  <c r="P1948" i="1"/>
  <c r="M1948" i="1"/>
  <c r="P1947" i="1"/>
  <c r="M1947" i="1"/>
  <c r="P1946" i="1"/>
  <c r="M1946" i="1"/>
  <c r="P1945" i="1"/>
  <c r="M1945" i="1"/>
  <c r="P1944" i="1"/>
  <c r="M1944" i="1"/>
  <c r="P1943" i="1"/>
  <c r="M1943" i="1"/>
  <c r="P1942" i="1"/>
  <c r="M1942" i="1"/>
  <c r="P1941" i="1"/>
  <c r="M1941" i="1"/>
  <c r="P1940" i="1"/>
  <c r="M1940" i="1"/>
  <c r="P1939" i="1"/>
  <c r="M1939" i="1"/>
  <c r="P1938" i="1"/>
  <c r="M1938" i="1"/>
  <c r="P1937" i="1"/>
  <c r="M1937" i="1"/>
  <c r="P1936" i="1"/>
  <c r="M1936" i="1"/>
  <c r="P1935" i="1"/>
  <c r="M1935" i="1"/>
  <c r="P1934" i="1"/>
  <c r="M1934" i="1"/>
  <c r="P1933" i="1"/>
  <c r="M1933" i="1"/>
  <c r="P1932" i="1"/>
  <c r="M1932" i="1"/>
  <c r="P1931" i="1"/>
  <c r="M1931" i="1"/>
  <c r="P1930" i="1"/>
  <c r="M1930" i="1"/>
  <c r="P1929" i="1"/>
  <c r="M1929" i="1"/>
  <c r="P1928" i="1"/>
  <c r="M1928" i="1"/>
  <c r="P1927" i="1"/>
  <c r="M1927" i="1"/>
  <c r="P1926" i="1"/>
  <c r="M1926" i="1"/>
  <c r="P1925" i="1"/>
  <c r="M1925" i="1"/>
  <c r="P1924" i="1"/>
  <c r="M1924" i="1"/>
  <c r="P1923" i="1"/>
  <c r="M1923" i="1"/>
  <c r="P1922" i="1"/>
  <c r="M1922" i="1"/>
  <c r="AO41" i="5"/>
  <c r="AN41" i="5"/>
  <c r="AM41" i="5"/>
  <c r="E41" i="5"/>
  <c r="F41" i="5"/>
  <c r="G41" i="5"/>
  <c r="H41" i="5"/>
  <c r="I41" i="5"/>
  <c r="J41" i="5"/>
  <c r="K41" i="5"/>
  <c r="L41" i="5"/>
  <c r="M41" i="5"/>
  <c r="N41" i="5"/>
  <c r="O41" i="5"/>
  <c r="P41" i="5"/>
  <c r="Q41" i="5"/>
  <c r="R41" i="5"/>
  <c r="S41" i="5"/>
  <c r="T41" i="5"/>
  <c r="U41" i="5"/>
  <c r="Z41" i="5"/>
  <c r="AA41" i="5"/>
  <c r="AB41" i="5"/>
  <c r="AC41" i="5"/>
  <c r="AD41" i="5"/>
  <c r="AE41" i="5"/>
  <c r="AF41" i="5"/>
  <c r="AG41" i="5"/>
  <c r="AH41" i="5"/>
  <c r="AI41" i="5"/>
  <c r="AJ41" i="5"/>
  <c r="AK41" i="5"/>
  <c r="AL41" i="5"/>
  <c r="P1921" i="1"/>
  <c r="M1921" i="1"/>
  <c r="P1920" i="1"/>
  <c r="M1920" i="1"/>
  <c r="P1919" i="1"/>
  <c r="M1919" i="1"/>
  <c r="P1918" i="1"/>
  <c r="M1918" i="1"/>
  <c r="P1917" i="1"/>
  <c r="M1917" i="1"/>
  <c r="P1916" i="1"/>
  <c r="M1916" i="1"/>
  <c r="P1915" i="1"/>
  <c r="M1915" i="1"/>
  <c r="P1914" i="1"/>
  <c r="M1914" i="1"/>
  <c r="P1913" i="1"/>
  <c r="M1913" i="1"/>
  <c r="P1912" i="1"/>
  <c r="M1912" i="1"/>
  <c r="P1911" i="1"/>
  <c r="M1911" i="1"/>
  <c r="P1910" i="1"/>
  <c r="M1910" i="1"/>
  <c r="P1909" i="1"/>
  <c r="M1909" i="1"/>
  <c r="P1908" i="1"/>
  <c r="M1908" i="1"/>
  <c r="P1907" i="1"/>
  <c r="M1907" i="1"/>
  <c r="P1906" i="1"/>
  <c r="M1906" i="1"/>
  <c r="P1905" i="1"/>
  <c r="M1905" i="1"/>
  <c r="P1904" i="1"/>
  <c r="M1904" i="1"/>
  <c r="P1903" i="1"/>
  <c r="M1903" i="1"/>
  <c r="P1902" i="1"/>
  <c r="M1902" i="1"/>
  <c r="P1901" i="1"/>
  <c r="M1901" i="1"/>
  <c r="P1900" i="1"/>
  <c r="M1900" i="1"/>
  <c r="M1899" i="1"/>
  <c r="P1899" i="1"/>
  <c r="P1898" i="1"/>
  <c r="M1898" i="1"/>
  <c r="P1897" i="1"/>
  <c r="M1897" i="1"/>
  <c r="P1896" i="1"/>
  <c r="M1896" i="1"/>
  <c r="P1895" i="1"/>
  <c r="M1895" i="1"/>
  <c r="P1894" i="1"/>
  <c r="M1894" i="1"/>
  <c r="P1893" i="1"/>
  <c r="M1893" i="1"/>
  <c r="P1892" i="1"/>
  <c r="M1892" i="1"/>
  <c r="P1891" i="1"/>
  <c r="M1891" i="1"/>
  <c r="P1890" i="1"/>
  <c r="M1890" i="1"/>
  <c r="P1889" i="1"/>
  <c r="M1889" i="1"/>
  <c r="P1888" i="1"/>
  <c r="M1888" i="1"/>
  <c r="P1887" i="1"/>
  <c r="M1887" i="1"/>
  <c r="P1886" i="1"/>
  <c r="M1886" i="1"/>
  <c r="P1885" i="1"/>
  <c r="M1885" i="1"/>
  <c r="AR75" i="4"/>
  <c r="AR74" i="4"/>
  <c r="AR48" i="4"/>
  <c r="AR47" i="4"/>
  <c r="AR46" i="4"/>
  <c r="AR45" i="4"/>
  <c r="AR44" i="4"/>
  <c r="AR43" i="4"/>
  <c r="AR42" i="4"/>
  <c r="AR41" i="4"/>
  <c r="AR40" i="4"/>
  <c r="AR39" i="4"/>
  <c r="AR38" i="4"/>
  <c r="AR37" i="4"/>
  <c r="AR36" i="4"/>
  <c r="AR35" i="4"/>
  <c r="AR34" i="4"/>
  <c r="AR33" i="4"/>
  <c r="AR32" i="4"/>
  <c r="AR31" i="4"/>
  <c r="AR30" i="4"/>
  <c r="AR29" i="4"/>
  <c r="AR28" i="4"/>
  <c r="AR27" i="4"/>
  <c r="AR26" i="4"/>
  <c r="AR25" i="4"/>
  <c r="AR24" i="4"/>
  <c r="AR23" i="4"/>
  <c r="AR22" i="4"/>
  <c r="AR21" i="4"/>
  <c r="AR20" i="4"/>
  <c r="AR19" i="4"/>
  <c r="AR18" i="4"/>
  <c r="AR17" i="4"/>
  <c r="M1884" i="1"/>
  <c r="P1883" i="1"/>
  <c r="M1883" i="1"/>
  <c r="P1882" i="1"/>
  <c r="M1882" i="1"/>
  <c r="P1881" i="1"/>
  <c r="M1881" i="1"/>
  <c r="P1880" i="1"/>
  <c r="M1880" i="1"/>
  <c r="P1879" i="1"/>
  <c r="M1879" i="1"/>
  <c r="P1878" i="1"/>
  <c r="M1878" i="1"/>
  <c r="P1877" i="1"/>
  <c r="M1877" i="1"/>
  <c r="P1876" i="1"/>
  <c r="M1876" i="1"/>
  <c r="P1875" i="1"/>
  <c r="M1875" i="1"/>
  <c r="P1874" i="1"/>
  <c r="M1874" i="1"/>
  <c r="P1873" i="1"/>
  <c r="M1873" i="1"/>
  <c r="P1872" i="1"/>
  <c r="M1872" i="1"/>
  <c r="P1871" i="1"/>
  <c r="M1871" i="1"/>
  <c r="M1870" i="1"/>
  <c r="P1869" i="1"/>
  <c r="M1869" i="1"/>
  <c r="P1868" i="1"/>
  <c r="M1868" i="1"/>
  <c r="P1867" i="1"/>
  <c r="M1867" i="1"/>
  <c r="P1866" i="1"/>
  <c r="M1866" i="1"/>
  <c r="P1865" i="1"/>
  <c r="M1865" i="1"/>
  <c r="P1864" i="1"/>
  <c r="M1864" i="1"/>
  <c r="P1863" i="1"/>
  <c r="M1863" i="1"/>
  <c r="P1862" i="1"/>
  <c r="M1862" i="1"/>
  <c r="P1861" i="1"/>
  <c r="M1861" i="1"/>
  <c r="P1860" i="1"/>
  <c r="M1860" i="1"/>
  <c r="P1859" i="1"/>
  <c r="M1859" i="1"/>
  <c r="P1858" i="1"/>
  <c r="M1858" i="1"/>
  <c r="P1857" i="1"/>
  <c r="M1857" i="1"/>
  <c r="P1856" i="1"/>
  <c r="M1856" i="1"/>
  <c r="P1855" i="1"/>
  <c r="M1855" i="1"/>
  <c r="P1854" i="1"/>
  <c r="M1854" i="1"/>
  <c r="P1853" i="1"/>
  <c r="M1853" i="1"/>
  <c r="P1852" i="1"/>
  <c r="M1852" i="1"/>
  <c r="P1851" i="1"/>
  <c r="M1851" i="1"/>
  <c r="P1850" i="1"/>
  <c r="M1850" i="1"/>
  <c r="P1849" i="1"/>
  <c r="M1849" i="1"/>
  <c r="P1848" i="1"/>
  <c r="M1848" i="1"/>
  <c r="P1847" i="1"/>
  <c r="M1847" i="1"/>
  <c r="P1846" i="1"/>
  <c r="M1846" i="1"/>
  <c r="P1845" i="1"/>
  <c r="M1845" i="1"/>
  <c r="P1844" i="1"/>
  <c r="M1844" i="1"/>
  <c r="P1843" i="1"/>
  <c r="M1843" i="1"/>
  <c r="P1842" i="1"/>
  <c r="M1842" i="1"/>
  <c r="P1841" i="1"/>
  <c r="M1841" i="1"/>
  <c r="P1840" i="1"/>
  <c r="M1840" i="1"/>
  <c r="P1839" i="1"/>
  <c r="M1839" i="1"/>
  <c r="P1838" i="1"/>
  <c r="M1838" i="1"/>
  <c r="P1837" i="1"/>
  <c r="M1837" i="1"/>
  <c r="P1836" i="1"/>
  <c r="M1836" i="1"/>
  <c r="P1835" i="1"/>
  <c r="M1835" i="1"/>
  <c r="P1834" i="1"/>
  <c r="M1834" i="1"/>
  <c r="P1833" i="1"/>
  <c r="M1833" i="1"/>
  <c r="P1832" i="1"/>
  <c r="M1832" i="1"/>
  <c r="AD126" i="5"/>
  <c r="P1831" i="1"/>
  <c r="M1831" i="1"/>
  <c r="P1830" i="1"/>
  <c r="M1830" i="1"/>
  <c r="P1829" i="1"/>
  <c r="M1829" i="1"/>
  <c r="P1828" i="1"/>
  <c r="M1828" i="1"/>
  <c r="P1827" i="1"/>
  <c r="M1827" i="1"/>
  <c r="P1826" i="1"/>
  <c r="M1826" i="1"/>
  <c r="P1825" i="1"/>
  <c r="M1825" i="1"/>
  <c r="P1824" i="1"/>
  <c r="M1824" i="1"/>
  <c r="P1823" i="1"/>
  <c r="M1823" i="1"/>
  <c r="P1822" i="1"/>
  <c r="M1822" i="1"/>
  <c r="P1821" i="1"/>
  <c r="M1821" i="1"/>
  <c r="P1820" i="1"/>
  <c r="M1820" i="1"/>
  <c r="P1819" i="1"/>
  <c r="M1819" i="1"/>
  <c r="P1818" i="1"/>
  <c r="M1818" i="1"/>
  <c r="P1817" i="1"/>
  <c r="M1817" i="1"/>
  <c r="P1816" i="1"/>
  <c r="M1816" i="1"/>
  <c r="P1815" i="1"/>
  <c r="M1815" i="1"/>
  <c r="P1814" i="1"/>
  <c r="M1814" i="1"/>
  <c r="P1813" i="1"/>
  <c r="M1813" i="1"/>
  <c r="P1812" i="1"/>
  <c r="M1812" i="1"/>
  <c r="P1811" i="1"/>
  <c r="M1811" i="1"/>
  <c r="P1810" i="1"/>
  <c r="M1810" i="1"/>
  <c r="P1809" i="1"/>
  <c r="M1809" i="1"/>
  <c r="P1808" i="1"/>
  <c r="M1808" i="1"/>
  <c r="P1807" i="1"/>
  <c r="M1807" i="1"/>
  <c r="M1806" i="1"/>
  <c r="P1806" i="1"/>
  <c r="P1805" i="1"/>
  <c r="M1805" i="1"/>
  <c r="P1804" i="1"/>
  <c r="M1804" i="1"/>
  <c r="P1803" i="1"/>
  <c r="M1803" i="1"/>
  <c r="P1802" i="1"/>
  <c r="M1802" i="1"/>
  <c r="P1801" i="1"/>
  <c r="M1801" i="1"/>
  <c r="P1800" i="1"/>
  <c r="M1800" i="1"/>
  <c r="P1799" i="1"/>
  <c r="M1799" i="1"/>
  <c r="P1798" i="1"/>
  <c r="M1798" i="1"/>
  <c r="P1797" i="1"/>
  <c r="M1797" i="1"/>
  <c r="P1796" i="1"/>
  <c r="M1796" i="1"/>
  <c r="P1795" i="1"/>
  <c r="M1795" i="1"/>
  <c r="P1794" i="1"/>
  <c r="M1794" i="1"/>
  <c r="P1793" i="1"/>
  <c r="M1793" i="1"/>
  <c r="P1792" i="1"/>
  <c r="M1792" i="1"/>
  <c r="P1791" i="1"/>
  <c r="M1791" i="1"/>
  <c r="P1790" i="1"/>
  <c r="M1790" i="1"/>
  <c r="P1789" i="1"/>
  <c r="M1789" i="1"/>
  <c r="P1788" i="1"/>
  <c r="M1788" i="1"/>
  <c r="P1787" i="1"/>
  <c r="M1787" i="1"/>
  <c r="P1786" i="1"/>
  <c r="M1786" i="1"/>
  <c r="P1785" i="1"/>
  <c r="M1785" i="1"/>
  <c r="P1784" i="1"/>
  <c r="M1784" i="1"/>
  <c r="AB85" i="5"/>
  <c r="AC85" i="5"/>
  <c r="P1783" i="1"/>
  <c r="M1783" i="1"/>
  <c r="P1782" i="1"/>
  <c r="M1782" i="1"/>
  <c r="J11" i="8"/>
  <c r="I11" i="8"/>
  <c r="H11" i="8"/>
  <c r="G11" i="8"/>
  <c r="F11" i="8"/>
  <c r="E11" i="8"/>
  <c r="D11" i="8"/>
  <c r="C11" i="8"/>
  <c r="E68" i="5"/>
  <c r="F68" i="5"/>
  <c r="G68" i="5"/>
  <c r="H68" i="5"/>
  <c r="I68" i="5"/>
  <c r="J68" i="5"/>
  <c r="K68" i="5"/>
  <c r="L68" i="5"/>
  <c r="M68" i="5"/>
  <c r="N68" i="5"/>
  <c r="O68" i="5"/>
  <c r="P68" i="5"/>
  <c r="Q68" i="5"/>
  <c r="R68" i="5"/>
  <c r="S68" i="5"/>
  <c r="T68" i="5"/>
  <c r="U68" i="5"/>
  <c r="V68" i="5"/>
  <c r="W68" i="5"/>
  <c r="X68" i="5"/>
  <c r="Y68" i="5"/>
  <c r="Z68" i="5"/>
  <c r="AA68" i="5"/>
  <c r="AB68" i="5"/>
  <c r="AC68" i="5"/>
  <c r="AD68" i="5"/>
  <c r="AE68" i="5"/>
  <c r="AF68" i="5"/>
  <c r="AG68" i="5"/>
  <c r="AH68" i="5"/>
  <c r="AI68" i="5"/>
  <c r="AJ68" i="5"/>
  <c r="AK68" i="5"/>
  <c r="AL68" i="5"/>
  <c r="AM68" i="5"/>
  <c r="AN68" i="5"/>
  <c r="AO68" i="5"/>
  <c r="AI2" i="5"/>
  <c r="AI3" i="5"/>
  <c r="AI4" i="5"/>
  <c r="AI5" i="5"/>
  <c r="AI6" i="5"/>
  <c r="AI7" i="5"/>
  <c r="AI8" i="5"/>
  <c r="AI9" i="5"/>
  <c r="AI10" i="5"/>
  <c r="AI11" i="5"/>
  <c r="AI12" i="5"/>
  <c r="AI13" i="5"/>
  <c r="AI14" i="5"/>
  <c r="AI15" i="5"/>
  <c r="AI16" i="5"/>
  <c r="AI17" i="5"/>
  <c r="AI18" i="5"/>
  <c r="AI19" i="5"/>
  <c r="AI20" i="5"/>
  <c r="AI21" i="5"/>
  <c r="AI22" i="5"/>
  <c r="AI23" i="5"/>
  <c r="AI24" i="5"/>
  <c r="AI25" i="5"/>
  <c r="AI26" i="5"/>
  <c r="AI27" i="5"/>
  <c r="AI28" i="5"/>
  <c r="AI29" i="5"/>
  <c r="AI30" i="5"/>
  <c r="AI31" i="5"/>
  <c r="AI32" i="5"/>
  <c r="AI33" i="5"/>
  <c r="AI34" i="5"/>
  <c r="AI35" i="5"/>
  <c r="AI36" i="5"/>
  <c r="AI38" i="5"/>
  <c r="AI39" i="5"/>
  <c r="AI40" i="5"/>
  <c r="AI42" i="5"/>
  <c r="AI43" i="5"/>
  <c r="AI46" i="5"/>
  <c r="AI47" i="5"/>
  <c r="AI48" i="5"/>
  <c r="AI49" i="5"/>
  <c r="AI50" i="5"/>
  <c r="AI52" i="5"/>
  <c r="AI53" i="5"/>
  <c r="AI54" i="5"/>
  <c r="AI55" i="5"/>
  <c r="AI56" i="5"/>
  <c r="AI57" i="5"/>
  <c r="AI58" i="5"/>
  <c r="AI59" i="5"/>
  <c r="AI60" i="5"/>
  <c r="AI61" i="5"/>
  <c r="AI62" i="5"/>
  <c r="AI63" i="5"/>
  <c r="AI64" i="5"/>
  <c r="AI65" i="5"/>
  <c r="AI66" i="5"/>
  <c r="AI67" i="5"/>
  <c r="AI70" i="5"/>
  <c r="AI71" i="5"/>
  <c r="AI72" i="5"/>
  <c r="AI74" i="5"/>
  <c r="AI75" i="5"/>
  <c r="AI76" i="5"/>
  <c r="AI77" i="5"/>
  <c r="AI78" i="5"/>
  <c r="AI79" i="5"/>
  <c r="AI80" i="5"/>
  <c r="AI81" i="5"/>
  <c r="AI82" i="5"/>
  <c r="AI83" i="5"/>
  <c r="AI85" i="5"/>
  <c r="AI86" i="5"/>
  <c r="AI87" i="5"/>
  <c r="AI88" i="5"/>
  <c r="AI89" i="5"/>
  <c r="AI90" i="5"/>
  <c r="AI91" i="5"/>
  <c r="AI92" i="5"/>
  <c r="AI93" i="5"/>
  <c r="AI94" i="5"/>
  <c r="AI95" i="5"/>
  <c r="AI96" i="5"/>
  <c r="AI97" i="5"/>
  <c r="AI98" i="5"/>
  <c r="AI99" i="5"/>
  <c r="AI100" i="5"/>
  <c r="AI101" i="5"/>
  <c r="AI102" i="5"/>
  <c r="AI105" i="5"/>
  <c r="AI106" i="5"/>
  <c r="AI107" i="5"/>
  <c r="AI108" i="5"/>
  <c r="AI109" i="5"/>
  <c r="AI110" i="5"/>
  <c r="AI111" i="5"/>
  <c r="AI112" i="5"/>
  <c r="AI113" i="5"/>
  <c r="AI114" i="5"/>
  <c r="AI115" i="5"/>
  <c r="AI116" i="5"/>
  <c r="AI117" i="5"/>
  <c r="AI118" i="5"/>
  <c r="AI119" i="5"/>
  <c r="AI120" i="5"/>
  <c r="AI121" i="5"/>
  <c r="AI122" i="5"/>
  <c r="AI123" i="5"/>
  <c r="AI124" i="5"/>
  <c r="AI125" i="5"/>
  <c r="AI126" i="5"/>
  <c r="AI128" i="5"/>
  <c r="AI129" i="5"/>
  <c r="AI130" i="5"/>
  <c r="AI131" i="5"/>
  <c r="AI134" i="5"/>
  <c r="AI135" i="5"/>
  <c r="AI136" i="5"/>
  <c r="AI137" i="5"/>
  <c r="AI138" i="5"/>
  <c r="AI139" i="5"/>
  <c r="AI140" i="5"/>
  <c r="E12" i="5"/>
  <c r="F12" i="5"/>
  <c r="G12" i="5"/>
  <c r="H12" i="5"/>
  <c r="I12" i="5"/>
  <c r="J12" i="5"/>
  <c r="K12" i="5"/>
  <c r="L12" i="5"/>
  <c r="M12" i="5"/>
  <c r="N12" i="5"/>
  <c r="O12" i="5"/>
  <c r="P12" i="5"/>
  <c r="Q12" i="5"/>
  <c r="R12" i="5"/>
  <c r="S12" i="5"/>
  <c r="T12" i="5"/>
  <c r="U12" i="5"/>
  <c r="V12" i="5"/>
  <c r="W12" i="5"/>
  <c r="X12" i="5"/>
  <c r="Y12" i="5"/>
  <c r="Z12" i="5"/>
  <c r="AA12" i="5"/>
  <c r="AB12" i="5"/>
  <c r="AC12" i="5"/>
  <c r="AD12" i="5"/>
  <c r="AE12" i="5"/>
  <c r="AF12" i="5"/>
  <c r="AG12" i="5"/>
  <c r="AH12" i="5"/>
  <c r="AJ12" i="5"/>
  <c r="AK12" i="5"/>
  <c r="AL12" i="5"/>
  <c r="AM12" i="5"/>
  <c r="AN12" i="5"/>
  <c r="AO12" i="5"/>
  <c r="E14" i="5"/>
  <c r="F14" i="5"/>
  <c r="G14" i="5"/>
  <c r="H14" i="5"/>
  <c r="I14" i="5"/>
  <c r="J14" i="5"/>
  <c r="K14" i="5"/>
  <c r="L14" i="5"/>
  <c r="M14" i="5"/>
  <c r="N14" i="5"/>
  <c r="O14" i="5"/>
  <c r="P14" i="5"/>
  <c r="Q14" i="5"/>
  <c r="R14" i="5"/>
  <c r="S14" i="5"/>
  <c r="T14" i="5"/>
  <c r="U14" i="5"/>
  <c r="V14" i="5"/>
  <c r="W14" i="5"/>
  <c r="X14" i="5"/>
  <c r="Y14" i="5"/>
  <c r="Z14" i="5"/>
  <c r="AA14" i="5"/>
  <c r="AB14" i="5"/>
  <c r="AC14" i="5"/>
  <c r="AD14" i="5"/>
  <c r="AE14" i="5"/>
  <c r="AF14" i="5"/>
  <c r="AG14" i="5"/>
  <c r="AH14" i="5"/>
  <c r="AJ14" i="5"/>
  <c r="AK14" i="5"/>
  <c r="AL14" i="5"/>
  <c r="AM14" i="5"/>
  <c r="AN14" i="5"/>
  <c r="AO14" i="5"/>
  <c r="E16" i="5"/>
  <c r="F16" i="5"/>
  <c r="G16" i="5"/>
  <c r="H16" i="5"/>
  <c r="I16" i="5"/>
  <c r="J16" i="5"/>
  <c r="K16" i="5"/>
  <c r="L16" i="5"/>
  <c r="M16" i="5"/>
  <c r="N16" i="5"/>
  <c r="O16" i="5"/>
  <c r="P16" i="5"/>
  <c r="Q16" i="5"/>
  <c r="R16" i="5"/>
  <c r="S16" i="5"/>
  <c r="T16" i="5"/>
  <c r="U16" i="5"/>
  <c r="V16" i="5"/>
  <c r="W16" i="5"/>
  <c r="X16" i="5"/>
  <c r="Y16" i="5"/>
  <c r="Z16" i="5"/>
  <c r="AA16" i="5"/>
  <c r="AB16" i="5"/>
  <c r="AC16" i="5"/>
  <c r="AD16" i="5"/>
  <c r="AE16" i="5"/>
  <c r="AF16" i="5"/>
  <c r="AG16" i="5"/>
  <c r="AH16" i="5"/>
  <c r="AJ16" i="5"/>
  <c r="AK16" i="5"/>
  <c r="AL16" i="5"/>
  <c r="AM16" i="5"/>
  <c r="AN16" i="5"/>
  <c r="AO16" i="5"/>
  <c r="E70" i="5"/>
  <c r="F70" i="5"/>
  <c r="G70" i="5"/>
  <c r="H70" i="5"/>
  <c r="I70" i="5"/>
  <c r="J70" i="5"/>
  <c r="K70" i="5"/>
  <c r="L70" i="5"/>
  <c r="M70" i="5"/>
  <c r="N70" i="5"/>
  <c r="O70" i="5"/>
  <c r="P70" i="5"/>
  <c r="Q70" i="5"/>
  <c r="R70" i="5"/>
  <c r="S70" i="5"/>
  <c r="T70" i="5"/>
  <c r="U70" i="5"/>
  <c r="V70" i="5"/>
  <c r="W70" i="5"/>
  <c r="X70" i="5"/>
  <c r="Y70" i="5"/>
  <c r="Z70" i="5"/>
  <c r="AA70" i="5"/>
  <c r="AB70" i="5"/>
  <c r="AC70" i="5"/>
  <c r="AD70" i="5"/>
  <c r="AE70" i="5"/>
  <c r="AF70" i="5"/>
  <c r="AG70" i="5"/>
  <c r="AH70" i="5"/>
  <c r="AJ70" i="5"/>
  <c r="AK70" i="5"/>
  <c r="AL70" i="5"/>
  <c r="AM70" i="5"/>
  <c r="AM2" i="5"/>
  <c r="AM3" i="5"/>
  <c r="AM4" i="5"/>
  <c r="AM5" i="5"/>
  <c r="AM6" i="5"/>
  <c r="AM7" i="5"/>
  <c r="AM8" i="5"/>
  <c r="AM9" i="5"/>
  <c r="AM10" i="5"/>
  <c r="AM11" i="5"/>
  <c r="AM13" i="5"/>
  <c r="AM15" i="5"/>
  <c r="AM17" i="5"/>
  <c r="E17" i="5"/>
  <c r="F17" i="5"/>
  <c r="G17" i="5"/>
  <c r="H17" i="5"/>
  <c r="I17" i="5"/>
  <c r="J17" i="5"/>
  <c r="K17" i="5"/>
  <c r="L17" i="5"/>
  <c r="M17" i="5"/>
  <c r="N17" i="5"/>
  <c r="O17" i="5"/>
  <c r="P17" i="5"/>
  <c r="Q17" i="5"/>
  <c r="R17" i="5"/>
  <c r="S17" i="5"/>
  <c r="T17" i="5"/>
  <c r="U17" i="5"/>
  <c r="V17" i="5"/>
  <c r="W17" i="5"/>
  <c r="X17" i="5"/>
  <c r="Y17" i="5"/>
  <c r="Z17" i="5"/>
  <c r="AA17" i="5"/>
  <c r="AB17" i="5"/>
  <c r="AC17" i="5"/>
  <c r="AD17" i="5"/>
  <c r="AE17" i="5"/>
  <c r="AF17" i="5"/>
  <c r="AG17" i="5"/>
  <c r="AJ17" i="5"/>
  <c r="AK17" i="5"/>
  <c r="AL17" i="5"/>
  <c r="AN17" i="5"/>
  <c r="AO17" i="5"/>
  <c r="AM18" i="5"/>
  <c r="AM19" i="5"/>
  <c r="AM20" i="5"/>
  <c r="AM21" i="5"/>
  <c r="AM22" i="5"/>
  <c r="AM23" i="5"/>
  <c r="AM24" i="5"/>
  <c r="AM25" i="5"/>
  <c r="AM26" i="5"/>
  <c r="AM27" i="5"/>
  <c r="AM28" i="5"/>
  <c r="AM29" i="5"/>
  <c r="AM30" i="5"/>
  <c r="AM31" i="5"/>
  <c r="AM32" i="5"/>
  <c r="AM33" i="5"/>
  <c r="AM34" i="5"/>
  <c r="AM35" i="5"/>
  <c r="AM36" i="5"/>
  <c r="AM38" i="5"/>
  <c r="AM39" i="5"/>
  <c r="AM40" i="5"/>
  <c r="AM42" i="5"/>
  <c r="AM43" i="5"/>
  <c r="AM44" i="5"/>
  <c r="AM46" i="5"/>
  <c r="AM47" i="5"/>
  <c r="AM48" i="5"/>
  <c r="AM49" i="5"/>
  <c r="AM50" i="5"/>
  <c r="AM51" i="5"/>
  <c r="AM52" i="5"/>
  <c r="E52" i="5"/>
  <c r="F52" i="5"/>
  <c r="G52" i="5"/>
  <c r="H52" i="5"/>
  <c r="I52" i="5"/>
  <c r="J52" i="5"/>
  <c r="K52" i="5"/>
  <c r="L52" i="5"/>
  <c r="M52" i="5"/>
  <c r="N52" i="5"/>
  <c r="O52" i="5"/>
  <c r="P52" i="5"/>
  <c r="Q52" i="5"/>
  <c r="R52" i="5"/>
  <c r="S52" i="5"/>
  <c r="T52" i="5"/>
  <c r="U52" i="5"/>
  <c r="V52" i="5"/>
  <c r="W52" i="5"/>
  <c r="X52" i="5"/>
  <c r="Y52" i="5"/>
  <c r="Z52" i="5"/>
  <c r="AA52" i="5"/>
  <c r="AB52" i="5"/>
  <c r="AC52" i="5"/>
  <c r="AD52" i="5"/>
  <c r="AE52" i="5"/>
  <c r="AF52" i="5"/>
  <c r="AG52" i="5"/>
  <c r="AH52" i="5"/>
  <c r="AJ52" i="5"/>
  <c r="AK52" i="5"/>
  <c r="AL52" i="5"/>
  <c r="AN52" i="5"/>
  <c r="AN2" i="5"/>
  <c r="AN3" i="5"/>
  <c r="AN4" i="5"/>
  <c r="AN5" i="5"/>
  <c r="AN6" i="5"/>
  <c r="AN7" i="5"/>
  <c r="AN8" i="5"/>
  <c r="AN9" i="5"/>
  <c r="AN10" i="5"/>
  <c r="AN11" i="5"/>
  <c r="AN13" i="5"/>
  <c r="AN15" i="5"/>
  <c r="AN18" i="5"/>
  <c r="AN19" i="5"/>
  <c r="AN20" i="5"/>
  <c r="AN21" i="5"/>
  <c r="AN22" i="5"/>
  <c r="AN23" i="5"/>
  <c r="AN24" i="5"/>
  <c r="AN25" i="5"/>
  <c r="AN26" i="5"/>
  <c r="AN27" i="5"/>
  <c r="AN28" i="5"/>
  <c r="AN29" i="5"/>
  <c r="AN30" i="5"/>
  <c r="AN31" i="5"/>
  <c r="AN32" i="5"/>
  <c r="AN33" i="5"/>
  <c r="AN34" i="5"/>
  <c r="AN35" i="5"/>
  <c r="AN36" i="5"/>
  <c r="AN38" i="5"/>
  <c r="AN39" i="5"/>
  <c r="AN40" i="5"/>
  <c r="AN42" i="5"/>
  <c r="AN43" i="5"/>
  <c r="AN44" i="5"/>
  <c r="AN46" i="5"/>
  <c r="AN47" i="5"/>
  <c r="AN48" i="5"/>
  <c r="AN49" i="5"/>
  <c r="AN50" i="5"/>
  <c r="AN51" i="5"/>
  <c r="AN53" i="5"/>
  <c r="AN54" i="5"/>
  <c r="AN55" i="5"/>
  <c r="AN56" i="5"/>
  <c r="AN57" i="5"/>
  <c r="AN58" i="5"/>
  <c r="AN59" i="5"/>
  <c r="AN60" i="5"/>
  <c r="AN61" i="5"/>
  <c r="AN62" i="5"/>
  <c r="AN63" i="5"/>
  <c r="AN64" i="5"/>
  <c r="AN65" i="5"/>
  <c r="AN66" i="5"/>
  <c r="AN67" i="5"/>
  <c r="AN70" i="5"/>
  <c r="AN71" i="5"/>
  <c r="AN72" i="5"/>
  <c r="AN74" i="5"/>
  <c r="AN75" i="5"/>
  <c r="AN76" i="5"/>
  <c r="AN77" i="5"/>
  <c r="AN78" i="5"/>
  <c r="AN79" i="5"/>
  <c r="AN80" i="5"/>
  <c r="AN81" i="5"/>
  <c r="AN82" i="5"/>
  <c r="AN83" i="5"/>
  <c r="AN84" i="5"/>
  <c r="AN85" i="5"/>
  <c r="AN86" i="5"/>
  <c r="AN87" i="5"/>
  <c r="AN88" i="5"/>
  <c r="AN89" i="5"/>
  <c r="AN90" i="5"/>
  <c r="AN91" i="5"/>
  <c r="AN92" i="5"/>
  <c r="AN93" i="5"/>
  <c r="AN94" i="5"/>
  <c r="AN95" i="5"/>
  <c r="AN96" i="5"/>
  <c r="AN97" i="5"/>
  <c r="AN98" i="5"/>
  <c r="AN99" i="5"/>
  <c r="AN100" i="5"/>
  <c r="AN101" i="5"/>
  <c r="AN102" i="5"/>
  <c r="AN105" i="5"/>
  <c r="AN106" i="5"/>
  <c r="AN107" i="5"/>
  <c r="AN108" i="5"/>
  <c r="AN109" i="5"/>
  <c r="AN110" i="5"/>
  <c r="AN111" i="5"/>
  <c r="AN112" i="5"/>
  <c r="AN113" i="5"/>
  <c r="AN114" i="5"/>
  <c r="AN115" i="5"/>
  <c r="AN116" i="5"/>
  <c r="AN117" i="5"/>
  <c r="AN118" i="5"/>
  <c r="AN119" i="5"/>
  <c r="AN120" i="5"/>
  <c r="AN121" i="5"/>
  <c r="AN122" i="5"/>
  <c r="AN123" i="5"/>
  <c r="AN124" i="5"/>
  <c r="AN125" i="5"/>
  <c r="AN126" i="5"/>
  <c r="AN128" i="5"/>
  <c r="AN129" i="5"/>
  <c r="AN130" i="5"/>
  <c r="AN131" i="5"/>
  <c r="AN134" i="5"/>
  <c r="AN135" i="5"/>
  <c r="AN136" i="5"/>
  <c r="AN137" i="5"/>
  <c r="AN138" i="5"/>
  <c r="AN139" i="5"/>
  <c r="AN140" i="5"/>
  <c r="E2" i="5"/>
  <c r="E3" i="5"/>
  <c r="E4" i="5"/>
  <c r="E5" i="5"/>
  <c r="E6" i="5"/>
  <c r="E7" i="5"/>
  <c r="E8" i="5"/>
  <c r="E9" i="5"/>
  <c r="E10" i="5"/>
  <c r="E11" i="5"/>
  <c r="E13" i="5"/>
  <c r="E15" i="5"/>
  <c r="E18" i="5"/>
  <c r="E19" i="5"/>
  <c r="E20" i="5"/>
  <c r="E21" i="5"/>
  <c r="E22" i="5"/>
  <c r="E23" i="5"/>
  <c r="E24" i="5"/>
  <c r="E25" i="5"/>
  <c r="E26" i="5"/>
  <c r="E27" i="5"/>
  <c r="E28" i="5"/>
  <c r="E29" i="5"/>
  <c r="E30" i="5"/>
  <c r="E31" i="5"/>
  <c r="E32" i="5"/>
  <c r="E33" i="5"/>
  <c r="E34" i="5"/>
  <c r="E35" i="5"/>
  <c r="E36" i="5"/>
  <c r="E38" i="5"/>
  <c r="E39" i="5"/>
  <c r="E40" i="5"/>
  <c r="E42" i="5"/>
  <c r="E43" i="5"/>
  <c r="E44" i="5"/>
  <c r="E46" i="5"/>
  <c r="E47" i="5"/>
  <c r="E48" i="5"/>
  <c r="E49" i="5"/>
  <c r="E50" i="5"/>
  <c r="E51" i="5"/>
  <c r="E53" i="5"/>
  <c r="E54" i="5"/>
  <c r="E55" i="5"/>
  <c r="E56" i="5"/>
  <c r="E57" i="5"/>
  <c r="E58" i="5"/>
  <c r="E59" i="5"/>
  <c r="E60" i="5"/>
  <c r="E61" i="5"/>
  <c r="E62" i="5"/>
  <c r="E63" i="5"/>
  <c r="E64" i="5"/>
  <c r="E65" i="5"/>
  <c r="E66" i="5"/>
  <c r="E67" i="5"/>
  <c r="E71" i="5"/>
  <c r="E72"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5" i="5"/>
  <c r="E106" i="5"/>
  <c r="E107" i="5"/>
  <c r="E108" i="5"/>
  <c r="E109" i="5"/>
  <c r="E110" i="5"/>
  <c r="E111" i="5"/>
  <c r="E112" i="5"/>
  <c r="E113" i="5"/>
  <c r="E114" i="5"/>
  <c r="E115" i="5"/>
  <c r="E116" i="5"/>
  <c r="E117" i="5"/>
  <c r="E118" i="5"/>
  <c r="E119" i="5"/>
  <c r="E120" i="5"/>
  <c r="E121" i="5"/>
  <c r="E122" i="5"/>
  <c r="E123" i="5"/>
  <c r="E124" i="5"/>
  <c r="E125" i="5"/>
  <c r="E126" i="5"/>
  <c r="E128" i="5"/>
  <c r="E129" i="5"/>
  <c r="E130" i="5"/>
  <c r="E131" i="5"/>
  <c r="E134" i="5"/>
  <c r="E135" i="5"/>
  <c r="E136" i="5"/>
  <c r="E137" i="5"/>
  <c r="E138" i="5"/>
  <c r="E139" i="5"/>
  <c r="E140" i="5"/>
  <c r="F2" i="5"/>
  <c r="F3" i="5"/>
  <c r="F4" i="5"/>
  <c r="F5" i="5"/>
  <c r="F6" i="5"/>
  <c r="F7" i="5"/>
  <c r="F8" i="5"/>
  <c r="F9" i="5"/>
  <c r="F10" i="5"/>
  <c r="F11" i="5"/>
  <c r="F13" i="5"/>
  <c r="F15" i="5"/>
  <c r="F18" i="5"/>
  <c r="F19" i="5"/>
  <c r="F20" i="5"/>
  <c r="F21" i="5"/>
  <c r="F22" i="5"/>
  <c r="F23" i="5"/>
  <c r="F24" i="5"/>
  <c r="F25" i="5"/>
  <c r="F26" i="5"/>
  <c r="F27" i="5"/>
  <c r="F28" i="5"/>
  <c r="F29" i="5"/>
  <c r="F30" i="5"/>
  <c r="F31" i="5"/>
  <c r="F32" i="5"/>
  <c r="F33" i="5"/>
  <c r="F34" i="5"/>
  <c r="F35" i="5"/>
  <c r="F36" i="5"/>
  <c r="F38" i="5"/>
  <c r="F39" i="5"/>
  <c r="F40" i="5"/>
  <c r="F42" i="5"/>
  <c r="F43" i="5"/>
  <c r="F44" i="5"/>
  <c r="F46" i="5"/>
  <c r="F47" i="5"/>
  <c r="F48" i="5"/>
  <c r="F49" i="5"/>
  <c r="F50" i="5"/>
  <c r="F51" i="5"/>
  <c r="F53" i="5"/>
  <c r="F54" i="5"/>
  <c r="F55" i="5"/>
  <c r="F56" i="5"/>
  <c r="F57" i="5"/>
  <c r="F58" i="5"/>
  <c r="F59" i="5"/>
  <c r="F60" i="5"/>
  <c r="F61" i="5"/>
  <c r="F62" i="5"/>
  <c r="F63" i="5"/>
  <c r="F64" i="5"/>
  <c r="F65" i="5"/>
  <c r="F66" i="5"/>
  <c r="F67" i="5"/>
  <c r="F71" i="5"/>
  <c r="F72"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5" i="5"/>
  <c r="F106" i="5"/>
  <c r="F107" i="5"/>
  <c r="F108" i="5"/>
  <c r="F109" i="5"/>
  <c r="F110" i="5"/>
  <c r="F111" i="5"/>
  <c r="F112" i="5"/>
  <c r="F113" i="5"/>
  <c r="F114" i="5"/>
  <c r="F115" i="5"/>
  <c r="F116" i="5"/>
  <c r="F117" i="5"/>
  <c r="F118" i="5"/>
  <c r="F119" i="5"/>
  <c r="F120" i="5"/>
  <c r="F121" i="5"/>
  <c r="F122" i="5"/>
  <c r="F123" i="5"/>
  <c r="F124" i="5"/>
  <c r="F125" i="5"/>
  <c r="F126" i="5"/>
  <c r="F128" i="5"/>
  <c r="F129" i="5"/>
  <c r="F130" i="5"/>
  <c r="F131" i="5"/>
  <c r="F134" i="5"/>
  <c r="F135" i="5"/>
  <c r="F136" i="5"/>
  <c r="F137" i="5"/>
  <c r="F138" i="5"/>
  <c r="F139" i="5"/>
  <c r="F140" i="5"/>
  <c r="G2" i="5"/>
  <c r="G3" i="5"/>
  <c r="G4" i="5"/>
  <c r="G5" i="5"/>
  <c r="G6" i="5"/>
  <c r="G7" i="5"/>
  <c r="G8" i="5"/>
  <c r="G9" i="5"/>
  <c r="G10" i="5"/>
  <c r="G11" i="5"/>
  <c r="G13" i="5"/>
  <c r="G15" i="5"/>
  <c r="G18" i="5"/>
  <c r="G19" i="5"/>
  <c r="G20" i="5"/>
  <c r="G21" i="5"/>
  <c r="G22" i="5"/>
  <c r="G23" i="5"/>
  <c r="G24" i="5"/>
  <c r="G25" i="5"/>
  <c r="G26" i="5"/>
  <c r="G27" i="5"/>
  <c r="G28" i="5"/>
  <c r="G29" i="5"/>
  <c r="G30" i="5"/>
  <c r="G31" i="5"/>
  <c r="G32" i="5"/>
  <c r="G33" i="5"/>
  <c r="G34" i="5"/>
  <c r="G35" i="5"/>
  <c r="G36" i="5"/>
  <c r="G38" i="5"/>
  <c r="G39" i="5"/>
  <c r="G40" i="5"/>
  <c r="G42" i="5"/>
  <c r="G43" i="5"/>
  <c r="G44" i="5"/>
  <c r="G46" i="5"/>
  <c r="G47" i="5"/>
  <c r="G48" i="5"/>
  <c r="G49" i="5"/>
  <c r="G50" i="5"/>
  <c r="G51" i="5"/>
  <c r="G53" i="5"/>
  <c r="G54" i="5"/>
  <c r="G55" i="5"/>
  <c r="G56" i="5"/>
  <c r="G57" i="5"/>
  <c r="G58" i="5"/>
  <c r="G59" i="5"/>
  <c r="G60" i="5"/>
  <c r="G61" i="5"/>
  <c r="G62" i="5"/>
  <c r="G63" i="5"/>
  <c r="G64" i="5"/>
  <c r="G65" i="5"/>
  <c r="G66" i="5"/>
  <c r="G67" i="5"/>
  <c r="G71" i="5"/>
  <c r="G72"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5" i="5"/>
  <c r="G106" i="5"/>
  <c r="G107" i="5"/>
  <c r="G108" i="5"/>
  <c r="G109" i="5"/>
  <c r="G110" i="5"/>
  <c r="G111" i="5"/>
  <c r="G112" i="5"/>
  <c r="G113" i="5"/>
  <c r="G114" i="5"/>
  <c r="G115" i="5"/>
  <c r="G116" i="5"/>
  <c r="G117" i="5"/>
  <c r="G118" i="5"/>
  <c r="G119" i="5"/>
  <c r="G120" i="5"/>
  <c r="G121" i="5"/>
  <c r="G122" i="5"/>
  <c r="G123" i="5"/>
  <c r="G124" i="5"/>
  <c r="G125" i="5"/>
  <c r="G126" i="5"/>
  <c r="G128" i="5"/>
  <c r="G129" i="5"/>
  <c r="G130" i="5"/>
  <c r="G131" i="5"/>
  <c r="G134" i="5"/>
  <c r="G135" i="5"/>
  <c r="G136" i="5"/>
  <c r="G137" i="5"/>
  <c r="G138" i="5"/>
  <c r="G139" i="5"/>
  <c r="G140" i="5"/>
  <c r="H2" i="5"/>
  <c r="H3" i="5"/>
  <c r="H4" i="5"/>
  <c r="H5" i="5"/>
  <c r="H6" i="5"/>
  <c r="H7" i="5"/>
  <c r="H8" i="5"/>
  <c r="H9" i="5"/>
  <c r="H10" i="5"/>
  <c r="H11" i="5"/>
  <c r="H13" i="5"/>
  <c r="H15" i="5"/>
  <c r="H18" i="5"/>
  <c r="H19" i="5"/>
  <c r="H20" i="5"/>
  <c r="H21" i="5"/>
  <c r="H22" i="5"/>
  <c r="H23" i="5"/>
  <c r="H24" i="5"/>
  <c r="H25" i="5"/>
  <c r="H26" i="5"/>
  <c r="H27" i="5"/>
  <c r="H28" i="5"/>
  <c r="H29" i="5"/>
  <c r="H30" i="5"/>
  <c r="H31" i="5"/>
  <c r="H32" i="5"/>
  <c r="H33" i="5"/>
  <c r="H34" i="5"/>
  <c r="H35" i="5"/>
  <c r="H36" i="5"/>
  <c r="H38" i="5"/>
  <c r="H39" i="5"/>
  <c r="H40" i="5"/>
  <c r="H42" i="5"/>
  <c r="H43" i="5"/>
  <c r="H44" i="5"/>
  <c r="H46" i="5"/>
  <c r="H47" i="5"/>
  <c r="H48" i="5"/>
  <c r="H49" i="5"/>
  <c r="H50" i="5"/>
  <c r="H51" i="5"/>
  <c r="H53" i="5"/>
  <c r="H54" i="5"/>
  <c r="H55" i="5"/>
  <c r="H56" i="5"/>
  <c r="H57" i="5"/>
  <c r="H58" i="5"/>
  <c r="H59" i="5"/>
  <c r="H60" i="5"/>
  <c r="H61" i="5"/>
  <c r="H62" i="5"/>
  <c r="H63" i="5"/>
  <c r="H64" i="5"/>
  <c r="H65" i="5"/>
  <c r="H66" i="5"/>
  <c r="H67" i="5"/>
  <c r="H71" i="5"/>
  <c r="H72"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5" i="5"/>
  <c r="H106" i="5"/>
  <c r="H107" i="5"/>
  <c r="H108" i="5"/>
  <c r="H109" i="5"/>
  <c r="H110" i="5"/>
  <c r="H111" i="5"/>
  <c r="H112" i="5"/>
  <c r="H113" i="5"/>
  <c r="H114" i="5"/>
  <c r="H115" i="5"/>
  <c r="H116" i="5"/>
  <c r="H117" i="5"/>
  <c r="H118" i="5"/>
  <c r="H119" i="5"/>
  <c r="H120" i="5"/>
  <c r="H121" i="5"/>
  <c r="H122" i="5"/>
  <c r="H123" i="5"/>
  <c r="H124" i="5"/>
  <c r="H125" i="5"/>
  <c r="H126" i="5"/>
  <c r="H128" i="5"/>
  <c r="H129" i="5"/>
  <c r="H130" i="5"/>
  <c r="H131" i="5"/>
  <c r="H134" i="5"/>
  <c r="H135" i="5"/>
  <c r="H136" i="5"/>
  <c r="H137" i="5"/>
  <c r="H138" i="5"/>
  <c r="H139" i="5"/>
  <c r="H140" i="5"/>
  <c r="I2" i="5"/>
  <c r="I3" i="5"/>
  <c r="I4" i="5"/>
  <c r="I5" i="5"/>
  <c r="I6" i="5"/>
  <c r="I7" i="5"/>
  <c r="I8" i="5"/>
  <c r="I9" i="5"/>
  <c r="I10" i="5"/>
  <c r="I11" i="5"/>
  <c r="I13" i="5"/>
  <c r="I15" i="5"/>
  <c r="I18" i="5"/>
  <c r="I19" i="5"/>
  <c r="I20" i="5"/>
  <c r="I21" i="5"/>
  <c r="I22" i="5"/>
  <c r="I23" i="5"/>
  <c r="I24" i="5"/>
  <c r="I25" i="5"/>
  <c r="I26" i="5"/>
  <c r="I27" i="5"/>
  <c r="I28" i="5"/>
  <c r="I29" i="5"/>
  <c r="I30" i="5"/>
  <c r="I31" i="5"/>
  <c r="I32" i="5"/>
  <c r="I33" i="5"/>
  <c r="I34" i="5"/>
  <c r="I35" i="5"/>
  <c r="I36" i="5"/>
  <c r="I38" i="5"/>
  <c r="I39" i="5"/>
  <c r="I40" i="5"/>
  <c r="I42" i="5"/>
  <c r="I43" i="5"/>
  <c r="I44" i="5"/>
  <c r="I46" i="5"/>
  <c r="I47" i="5"/>
  <c r="I48" i="5"/>
  <c r="I49" i="5"/>
  <c r="I50" i="5"/>
  <c r="I51" i="5"/>
  <c r="I53" i="5"/>
  <c r="I54" i="5"/>
  <c r="I55" i="5"/>
  <c r="I56" i="5"/>
  <c r="I57" i="5"/>
  <c r="I58" i="5"/>
  <c r="I59" i="5"/>
  <c r="I60" i="5"/>
  <c r="I61" i="5"/>
  <c r="I62" i="5"/>
  <c r="I63" i="5"/>
  <c r="I64" i="5"/>
  <c r="I65" i="5"/>
  <c r="I66" i="5"/>
  <c r="I67" i="5"/>
  <c r="I71" i="5"/>
  <c r="I72"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5" i="5"/>
  <c r="I106" i="5"/>
  <c r="I107" i="5"/>
  <c r="I108" i="5"/>
  <c r="I109" i="5"/>
  <c r="I110" i="5"/>
  <c r="I111" i="5"/>
  <c r="I112" i="5"/>
  <c r="I113" i="5"/>
  <c r="I114" i="5"/>
  <c r="I115" i="5"/>
  <c r="I116" i="5"/>
  <c r="I117" i="5"/>
  <c r="I118" i="5"/>
  <c r="I119" i="5"/>
  <c r="I120" i="5"/>
  <c r="I121" i="5"/>
  <c r="I122" i="5"/>
  <c r="I123" i="5"/>
  <c r="I124" i="5"/>
  <c r="I125" i="5"/>
  <c r="I126" i="5"/>
  <c r="I128" i="5"/>
  <c r="I129" i="5"/>
  <c r="I130" i="5"/>
  <c r="I131" i="5"/>
  <c r="I134" i="5"/>
  <c r="I135" i="5"/>
  <c r="I136" i="5"/>
  <c r="I137" i="5"/>
  <c r="I138" i="5"/>
  <c r="I139" i="5"/>
  <c r="I140" i="5"/>
  <c r="J2" i="5"/>
  <c r="J3" i="5"/>
  <c r="J4" i="5"/>
  <c r="J5" i="5"/>
  <c r="J6" i="5"/>
  <c r="J7" i="5"/>
  <c r="J8" i="5"/>
  <c r="J9" i="5"/>
  <c r="J10" i="5"/>
  <c r="J11" i="5"/>
  <c r="J13" i="5"/>
  <c r="J15" i="5"/>
  <c r="J18" i="5"/>
  <c r="J19" i="5"/>
  <c r="J20" i="5"/>
  <c r="J21" i="5"/>
  <c r="J22" i="5"/>
  <c r="J23" i="5"/>
  <c r="J24" i="5"/>
  <c r="J25" i="5"/>
  <c r="J26" i="5"/>
  <c r="J27" i="5"/>
  <c r="J28" i="5"/>
  <c r="J29" i="5"/>
  <c r="J30" i="5"/>
  <c r="J31" i="5"/>
  <c r="J32" i="5"/>
  <c r="J33" i="5"/>
  <c r="J34" i="5"/>
  <c r="J35" i="5"/>
  <c r="J36" i="5"/>
  <c r="J38" i="5"/>
  <c r="J39" i="5"/>
  <c r="J40" i="5"/>
  <c r="J42" i="5"/>
  <c r="J43" i="5"/>
  <c r="J44" i="5"/>
  <c r="J46" i="5"/>
  <c r="J47" i="5"/>
  <c r="J48" i="5"/>
  <c r="J49" i="5"/>
  <c r="J50" i="5"/>
  <c r="J51" i="5"/>
  <c r="J53" i="5"/>
  <c r="J54" i="5"/>
  <c r="J55" i="5"/>
  <c r="J56" i="5"/>
  <c r="J57" i="5"/>
  <c r="J58" i="5"/>
  <c r="J59" i="5"/>
  <c r="J60" i="5"/>
  <c r="J61" i="5"/>
  <c r="J62" i="5"/>
  <c r="J63" i="5"/>
  <c r="J64" i="5"/>
  <c r="J65" i="5"/>
  <c r="J66" i="5"/>
  <c r="J67" i="5"/>
  <c r="J71" i="5"/>
  <c r="J72" i="5"/>
  <c r="J74" i="5"/>
  <c r="J75" i="5"/>
  <c r="J76" i="5"/>
  <c r="J77" i="5"/>
  <c r="J78" i="5"/>
  <c r="J79" i="5"/>
  <c r="J80" i="5"/>
  <c r="J81" i="5"/>
  <c r="J82" i="5"/>
  <c r="J83" i="5"/>
  <c r="J84" i="5"/>
  <c r="J85" i="5"/>
  <c r="J86" i="5"/>
  <c r="J87" i="5"/>
  <c r="J88" i="5"/>
  <c r="J89" i="5"/>
  <c r="J90" i="5"/>
  <c r="J91" i="5"/>
  <c r="J92" i="5"/>
  <c r="J93" i="5"/>
  <c r="J94" i="5"/>
  <c r="J95" i="5"/>
  <c r="J96" i="5"/>
  <c r="J97" i="5"/>
  <c r="J98" i="5"/>
  <c r="J99" i="5"/>
  <c r="J100" i="5"/>
  <c r="J101" i="5"/>
  <c r="J102" i="5"/>
  <c r="J105" i="5"/>
  <c r="J106" i="5"/>
  <c r="J107" i="5"/>
  <c r="J108" i="5"/>
  <c r="J109" i="5"/>
  <c r="J110" i="5"/>
  <c r="J111" i="5"/>
  <c r="J112" i="5"/>
  <c r="J113" i="5"/>
  <c r="J114" i="5"/>
  <c r="J115" i="5"/>
  <c r="J116" i="5"/>
  <c r="J117" i="5"/>
  <c r="J118" i="5"/>
  <c r="J119" i="5"/>
  <c r="J120" i="5"/>
  <c r="J121" i="5"/>
  <c r="J122" i="5"/>
  <c r="J123" i="5"/>
  <c r="J124" i="5"/>
  <c r="J125" i="5"/>
  <c r="J126" i="5"/>
  <c r="J128" i="5"/>
  <c r="J129" i="5"/>
  <c r="J130" i="5"/>
  <c r="J131" i="5"/>
  <c r="J134" i="5"/>
  <c r="J135" i="5"/>
  <c r="J136" i="5"/>
  <c r="J137" i="5"/>
  <c r="J138" i="5"/>
  <c r="J139" i="5"/>
  <c r="J140" i="5"/>
  <c r="K2" i="5"/>
  <c r="K3" i="5"/>
  <c r="K4" i="5"/>
  <c r="K5" i="5"/>
  <c r="K6" i="5"/>
  <c r="K7" i="5"/>
  <c r="K8" i="5"/>
  <c r="K9" i="5"/>
  <c r="K10" i="5"/>
  <c r="K11" i="5"/>
  <c r="K13" i="5"/>
  <c r="K15" i="5"/>
  <c r="K18" i="5"/>
  <c r="K19" i="5"/>
  <c r="K20" i="5"/>
  <c r="K21" i="5"/>
  <c r="K22" i="5"/>
  <c r="K23" i="5"/>
  <c r="K24" i="5"/>
  <c r="K25" i="5"/>
  <c r="K26" i="5"/>
  <c r="K27" i="5"/>
  <c r="K28" i="5"/>
  <c r="K29" i="5"/>
  <c r="K30" i="5"/>
  <c r="K31" i="5"/>
  <c r="K32" i="5"/>
  <c r="K33" i="5"/>
  <c r="K34" i="5"/>
  <c r="K35" i="5"/>
  <c r="K36" i="5"/>
  <c r="K38" i="5"/>
  <c r="K39" i="5"/>
  <c r="K40" i="5"/>
  <c r="K42" i="5"/>
  <c r="K43" i="5"/>
  <c r="K44" i="5"/>
  <c r="K46" i="5"/>
  <c r="K47" i="5"/>
  <c r="K48" i="5"/>
  <c r="K49" i="5"/>
  <c r="K50" i="5"/>
  <c r="K51" i="5"/>
  <c r="K53" i="5"/>
  <c r="K54" i="5"/>
  <c r="K55" i="5"/>
  <c r="K56" i="5"/>
  <c r="K57" i="5"/>
  <c r="K58" i="5"/>
  <c r="K59" i="5"/>
  <c r="K60" i="5"/>
  <c r="K61" i="5"/>
  <c r="K62" i="5"/>
  <c r="K63" i="5"/>
  <c r="K64" i="5"/>
  <c r="K65" i="5"/>
  <c r="K66" i="5"/>
  <c r="K67" i="5"/>
  <c r="K71" i="5"/>
  <c r="K72" i="5"/>
  <c r="K74" i="5"/>
  <c r="K75" i="5"/>
  <c r="K76" i="5"/>
  <c r="K77" i="5"/>
  <c r="K78" i="5"/>
  <c r="K79" i="5"/>
  <c r="K80" i="5"/>
  <c r="K81" i="5"/>
  <c r="K82" i="5"/>
  <c r="K83" i="5"/>
  <c r="K84" i="5"/>
  <c r="K85" i="5"/>
  <c r="K86" i="5"/>
  <c r="K87" i="5"/>
  <c r="K88" i="5"/>
  <c r="K89" i="5"/>
  <c r="K90" i="5"/>
  <c r="K91" i="5"/>
  <c r="K92" i="5"/>
  <c r="K93" i="5"/>
  <c r="K94" i="5"/>
  <c r="K95" i="5"/>
  <c r="K96" i="5"/>
  <c r="K97" i="5"/>
  <c r="K98" i="5"/>
  <c r="K99" i="5"/>
  <c r="K100" i="5"/>
  <c r="K101" i="5"/>
  <c r="K102" i="5"/>
  <c r="K105" i="5"/>
  <c r="K106" i="5"/>
  <c r="K107" i="5"/>
  <c r="K108" i="5"/>
  <c r="K109" i="5"/>
  <c r="K110" i="5"/>
  <c r="K111" i="5"/>
  <c r="K112" i="5"/>
  <c r="K113" i="5"/>
  <c r="K114" i="5"/>
  <c r="K115" i="5"/>
  <c r="K116" i="5"/>
  <c r="K117" i="5"/>
  <c r="K118" i="5"/>
  <c r="K119" i="5"/>
  <c r="K120" i="5"/>
  <c r="K121" i="5"/>
  <c r="K122" i="5"/>
  <c r="K123" i="5"/>
  <c r="K124" i="5"/>
  <c r="K125" i="5"/>
  <c r="K126" i="5"/>
  <c r="K128" i="5"/>
  <c r="K129" i="5"/>
  <c r="K130" i="5"/>
  <c r="K131" i="5"/>
  <c r="K134" i="5"/>
  <c r="K135" i="5"/>
  <c r="K136" i="5"/>
  <c r="K137" i="5"/>
  <c r="K138" i="5"/>
  <c r="K139" i="5"/>
  <c r="K140" i="5"/>
  <c r="L2" i="5"/>
  <c r="L3" i="5"/>
  <c r="L4" i="5"/>
  <c r="L5" i="5"/>
  <c r="L6" i="5"/>
  <c r="L7" i="5"/>
  <c r="L8" i="5"/>
  <c r="L9" i="5"/>
  <c r="L10" i="5"/>
  <c r="L11" i="5"/>
  <c r="L13" i="5"/>
  <c r="L15" i="5"/>
  <c r="L18" i="5"/>
  <c r="L19" i="5"/>
  <c r="L20" i="5"/>
  <c r="L21" i="5"/>
  <c r="L22" i="5"/>
  <c r="L23" i="5"/>
  <c r="L24" i="5"/>
  <c r="L25" i="5"/>
  <c r="L26" i="5"/>
  <c r="L27" i="5"/>
  <c r="L28" i="5"/>
  <c r="L29" i="5"/>
  <c r="L30" i="5"/>
  <c r="L31" i="5"/>
  <c r="L32" i="5"/>
  <c r="L33" i="5"/>
  <c r="L34" i="5"/>
  <c r="L35" i="5"/>
  <c r="L36" i="5"/>
  <c r="L38" i="5"/>
  <c r="L39" i="5"/>
  <c r="L40" i="5"/>
  <c r="L42" i="5"/>
  <c r="L43" i="5"/>
  <c r="L44" i="5"/>
  <c r="L46" i="5"/>
  <c r="L47" i="5"/>
  <c r="L48" i="5"/>
  <c r="L49" i="5"/>
  <c r="L50" i="5"/>
  <c r="L51" i="5"/>
  <c r="L53" i="5"/>
  <c r="L54" i="5"/>
  <c r="L55" i="5"/>
  <c r="L56" i="5"/>
  <c r="L57" i="5"/>
  <c r="L58" i="5"/>
  <c r="L59" i="5"/>
  <c r="L60" i="5"/>
  <c r="L61" i="5"/>
  <c r="L62" i="5"/>
  <c r="L63" i="5"/>
  <c r="L64" i="5"/>
  <c r="L65" i="5"/>
  <c r="L66" i="5"/>
  <c r="L67" i="5"/>
  <c r="L71" i="5"/>
  <c r="L72" i="5"/>
  <c r="L74" i="5"/>
  <c r="L75" i="5"/>
  <c r="L76" i="5"/>
  <c r="L77" i="5"/>
  <c r="L78" i="5"/>
  <c r="L79" i="5"/>
  <c r="L80" i="5"/>
  <c r="L81" i="5"/>
  <c r="L82" i="5"/>
  <c r="L83" i="5"/>
  <c r="L84" i="5"/>
  <c r="L85" i="5"/>
  <c r="L86" i="5"/>
  <c r="L87" i="5"/>
  <c r="L88" i="5"/>
  <c r="L89" i="5"/>
  <c r="L90" i="5"/>
  <c r="L91" i="5"/>
  <c r="L92" i="5"/>
  <c r="L93" i="5"/>
  <c r="L94" i="5"/>
  <c r="L95" i="5"/>
  <c r="L96" i="5"/>
  <c r="L97" i="5"/>
  <c r="L98" i="5"/>
  <c r="L99" i="5"/>
  <c r="L100" i="5"/>
  <c r="L101" i="5"/>
  <c r="L102" i="5"/>
  <c r="L105" i="5"/>
  <c r="L106" i="5"/>
  <c r="L107" i="5"/>
  <c r="L108" i="5"/>
  <c r="L109" i="5"/>
  <c r="L110" i="5"/>
  <c r="L111" i="5"/>
  <c r="L112" i="5"/>
  <c r="L113" i="5"/>
  <c r="L114" i="5"/>
  <c r="L115" i="5"/>
  <c r="L116" i="5"/>
  <c r="L117" i="5"/>
  <c r="L118" i="5"/>
  <c r="L119" i="5"/>
  <c r="L120" i="5"/>
  <c r="L121" i="5"/>
  <c r="L122" i="5"/>
  <c r="L123" i="5"/>
  <c r="L124" i="5"/>
  <c r="L125" i="5"/>
  <c r="L126" i="5"/>
  <c r="L128" i="5"/>
  <c r="L129" i="5"/>
  <c r="L130" i="5"/>
  <c r="L131" i="5"/>
  <c r="L134" i="5"/>
  <c r="L135" i="5"/>
  <c r="L136" i="5"/>
  <c r="L137" i="5"/>
  <c r="L138" i="5"/>
  <c r="L139" i="5"/>
  <c r="L140" i="5"/>
  <c r="M2" i="5"/>
  <c r="M3" i="5"/>
  <c r="M4" i="5"/>
  <c r="M5" i="5"/>
  <c r="M6" i="5"/>
  <c r="M7" i="5"/>
  <c r="M8" i="5"/>
  <c r="M9" i="5"/>
  <c r="M10" i="5"/>
  <c r="M11" i="5"/>
  <c r="M13" i="5"/>
  <c r="M15" i="5"/>
  <c r="M18" i="5"/>
  <c r="M19" i="5"/>
  <c r="M20" i="5"/>
  <c r="M21" i="5"/>
  <c r="M22" i="5"/>
  <c r="M23" i="5"/>
  <c r="M24" i="5"/>
  <c r="M25" i="5"/>
  <c r="M26" i="5"/>
  <c r="M27" i="5"/>
  <c r="M28" i="5"/>
  <c r="M29" i="5"/>
  <c r="M30" i="5"/>
  <c r="M31" i="5"/>
  <c r="M32" i="5"/>
  <c r="M33" i="5"/>
  <c r="M34" i="5"/>
  <c r="M35" i="5"/>
  <c r="M36" i="5"/>
  <c r="M38" i="5"/>
  <c r="M39" i="5"/>
  <c r="M40" i="5"/>
  <c r="M42" i="5"/>
  <c r="M43" i="5"/>
  <c r="M44" i="5"/>
  <c r="M46" i="5"/>
  <c r="M47" i="5"/>
  <c r="M48" i="5"/>
  <c r="M49" i="5"/>
  <c r="M50" i="5"/>
  <c r="M51" i="5"/>
  <c r="M53" i="5"/>
  <c r="M54" i="5"/>
  <c r="M55" i="5"/>
  <c r="M56" i="5"/>
  <c r="M57" i="5"/>
  <c r="M58" i="5"/>
  <c r="M59" i="5"/>
  <c r="M60" i="5"/>
  <c r="M61" i="5"/>
  <c r="M62" i="5"/>
  <c r="M63" i="5"/>
  <c r="M64" i="5"/>
  <c r="M65" i="5"/>
  <c r="M66" i="5"/>
  <c r="M67" i="5"/>
  <c r="M71" i="5"/>
  <c r="M72" i="5"/>
  <c r="M74" i="5"/>
  <c r="M75" i="5"/>
  <c r="M76" i="5"/>
  <c r="M77" i="5"/>
  <c r="M78" i="5"/>
  <c r="M79" i="5"/>
  <c r="M80" i="5"/>
  <c r="M81" i="5"/>
  <c r="M82" i="5"/>
  <c r="M83" i="5"/>
  <c r="M84" i="5"/>
  <c r="M85" i="5"/>
  <c r="M86" i="5"/>
  <c r="M87" i="5"/>
  <c r="M88" i="5"/>
  <c r="M89" i="5"/>
  <c r="M90" i="5"/>
  <c r="M91" i="5"/>
  <c r="M92" i="5"/>
  <c r="M93" i="5"/>
  <c r="M94" i="5"/>
  <c r="M95" i="5"/>
  <c r="M96" i="5"/>
  <c r="M97" i="5"/>
  <c r="M98" i="5"/>
  <c r="M99" i="5"/>
  <c r="M100" i="5"/>
  <c r="M101" i="5"/>
  <c r="M102" i="5"/>
  <c r="M105" i="5"/>
  <c r="M106" i="5"/>
  <c r="M107" i="5"/>
  <c r="M108" i="5"/>
  <c r="M109" i="5"/>
  <c r="M110" i="5"/>
  <c r="M111" i="5"/>
  <c r="M112" i="5"/>
  <c r="M113" i="5"/>
  <c r="M114" i="5"/>
  <c r="M115" i="5"/>
  <c r="M116" i="5"/>
  <c r="M117" i="5"/>
  <c r="M118" i="5"/>
  <c r="M119" i="5"/>
  <c r="M120" i="5"/>
  <c r="M121" i="5"/>
  <c r="M122" i="5"/>
  <c r="M123" i="5"/>
  <c r="M124" i="5"/>
  <c r="M125" i="5"/>
  <c r="M126" i="5"/>
  <c r="M128" i="5"/>
  <c r="M129" i="5"/>
  <c r="M130" i="5"/>
  <c r="M131" i="5"/>
  <c r="M134" i="5"/>
  <c r="M135" i="5"/>
  <c r="M136" i="5"/>
  <c r="M137" i="5"/>
  <c r="M138" i="5"/>
  <c r="M139" i="5"/>
  <c r="M140" i="5"/>
  <c r="N2" i="5"/>
  <c r="N3" i="5"/>
  <c r="N4" i="5"/>
  <c r="N5" i="5"/>
  <c r="N6" i="5"/>
  <c r="N7" i="5"/>
  <c r="N8" i="5"/>
  <c r="N9" i="5"/>
  <c r="N10" i="5"/>
  <c r="N11" i="5"/>
  <c r="N13" i="5"/>
  <c r="N15" i="5"/>
  <c r="N18" i="5"/>
  <c r="N19" i="5"/>
  <c r="N20" i="5"/>
  <c r="N21" i="5"/>
  <c r="N22" i="5"/>
  <c r="N23" i="5"/>
  <c r="N24" i="5"/>
  <c r="N25" i="5"/>
  <c r="N26" i="5"/>
  <c r="N27" i="5"/>
  <c r="N28" i="5"/>
  <c r="N29" i="5"/>
  <c r="N30" i="5"/>
  <c r="N31" i="5"/>
  <c r="N32" i="5"/>
  <c r="N33" i="5"/>
  <c r="N34" i="5"/>
  <c r="N35" i="5"/>
  <c r="N36" i="5"/>
  <c r="N38" i="5"/>
  <c r="N39" i="5"/>
  <c r="N40" i="5"/>
  <c r="N42" i="5"/>
  <c r="N43" i="5"/>
  <c r="N44" i="5"/>
  <c r="N46" i="5"/>
  <c r="N47" i="5"/>
  <c r="N48" i="5"/>
  <c r="N49" i="5"/>
  <c r="N50" i="5"/>
  <c r="N51" i="5"/>
  <c r="N53" i="5"/>
  <c r="N54" i="5"/>
  <c r="N55" i="5"/>
  <c r="N56" i="5"/>
  <c r="N57" i="5"/>
  <c r="N58" i="5"/>
  <c r="N59" i="5"/>
  <c r="N60" i="5"/>
  <c r="N61" i="5"/>
  <c r="N62" i="5"/>
  <c r="N63" i="5"/>
  <c r="N64" i="5"/>
  <c r="N65" i="5"/>
  <c r="N66" i="5"/>
  <c r="N67" i="5"/>
  <c r="N71" i="5"/>
  <c r="N72" i="5"/>
  <c r="N74" i="5"/>
  <c r="N75" i="5"/>
  <c r="N76" i="5"/>
  <c r="N77" i="5"/>
  <c r="N78" i="5"/>
  <c r="N79" i="5"/>
  <c r="N80" i="5"/>
  <c r="N81" i="5"/>
  <c r="N82" i="5"/>
  <c r="N83" i="5"/>
  <c r="N84" i="5"/>
  <c r="N85" i="5"/>
  <c r="N86" i="5"/>
  <c r="N87" i="5"/>
  <c r="N88" i="5"/>
  <c r="N89" i="5"/>
  <c r="N90" i="5"/>
  <c r="N91" i="5"/>
  <c r="N92" i="5"/>
  <c r="N93" i="5"/>
  <c r="N94" i="5"/>
  <c r="N95" i="5"/>
  <c r="N96" i="5"/>
  <c r="N97" i="5"/>
  <c r="N98" i="5"/>
  <c r="N99" i="5"/>
  <c r="N100" i="5"/>
  <c r="N101" i="5"/>
  <c r="N102" i="5"/>
  <c r="N105" i="5"/>
  <c r="N106" i="5"/>
  <c r="N107" i="5"/>
  <c r="N108" i="5"/>
  <c r="N109" i="5"/>
  <c r="N110" i="5"/>
  <c r="N111" i="5"/>
  <c r="N112" i="5"/>
  <c r="N113" i="5"/>
  <c r="N114" i="5"/>
  <c r="N115" i="5"/>
  <c r="N116" i="5"/>
  <c r="N117" i="5"/>
  <c r="N118" i="5"/>
  <c r="N119" i="5"/>
  <c r="N120" i="5"/>
  <c r="N121" i="5"/>
  <c r="N122" i="5"/>
  <c r="N123" i="5"/>
  <c r="N124" i="5"/>
  <c r="N125" i="5"/>
  <c r="N126" i="5"/>
  <c r="N128" i="5"/>
  <c r="N129" i="5"/>
  <c r="N130" i="5"/>
  <c r="N131" i="5"/>
  <c r="N134" i="5"/>
  <c r="N135" i="5"/>
  <c r="N136" i="5"/>
  <c r="N137" i="5"/>
  <c r="N138" i="5"/>
  <c r="N139" i="5"/>
  <c r="N140" i="5"/>
  <c r="O2" i="5"/>
  <c r="O3" i="5"/>
  <c r="O4" i="5"/>
  <c r="O5" i="5"/>
  <c r="O6" i="5"/>
  <c r="O7" i="5"/>
  <c r="O8" i="5"/>
  <c r="O9" i="5"/>
  <c r="O10" i="5"/>
  <c r="O11" i="5"/>
  <c r="O13" i="5"/>
  <c r="O15" i="5"/>
  <c r="O18" i="5"/>
  <c r="O19" i="5"/>
  <c r="O20" i="5"/>
  <c r="O21" i="5"/>
  <c r="O22" i="5"/>
  <c r="O23" i="5"/>
  <c r="O24" i="5"/>
  <c r="O25" i="5"/>
  <c r="O26" i="5"/>
  <c r="O27" i="5"/>
  <c r="O28" i="5"/>
  <c r="O29" i="5"/>
  <c r="O30" i="5"/>
  <c r="O31" i="5"/>
  <c r="O32" i="5"/>
  <c r="O33" i="5"/>
  <c r="O34" i="5"/>
  <c r="O35" i="5"/>
  <c r="O36" i="5"/>
  <c r="O38" i="5"/>
  <c r="O39" i="5"/>
  <c r="O40" i="5"/>
  <c r="O42" i="5"/>
  <c r="O43" i="5"/>
  <c r="O44" i="5"/>
  <c r="O46" i="5"/>
  <c r="O47" i="5"/>
  <c r="O48" i="5"/>
  <c r="O49" i="5"/>
  <c r="O50" i="5"/>
  <c r="O51" i="5"/>
  <c r="O53" i="5"/>
  <c r="O54" i="5"/>
  <c r="O55" i="5"/>
  <c r="O56" i="5"/>
  <c r="O57" i="5"/>
  <c r="O58" i="5"/>
  <c r="O59" i="5"/>
  <c r="O60" i="5"/>
  <c r="O61" i="5"/>
  <c r="O62" i="5"/>
  <c r="O63" i="5"/>
  <c r="O64" i="5"/>
  <c r="O65" i="5"/>
  <c r="O66" i="5"/>
  <c r="O67" i="5"/>
  <c r="O71" i="5"/>
  <c r="O72" i="5"/>
  <c r="O74" i="5"/>
  <c r="O75" i="5"/>
  <c r="O76" i="5"/>
  <c r="O77" i="5"/>
  <c r="O78" i="5"/>
  <c r="O79" i="5"/>
  <c r="O80" i="5"/>
  <c r="O81" i="5"/>
  <c r="O82" i="5"/>
  <c r="O83" i="5"/>
  <c r="O84" i="5"/>
  <c r="O85" i="5"/>
  <c r="O86" i="5"/>
  <c r="O87" i="5"/>
  <c r="O88" i="5"/>
  <c r="O89" i="5"/>
  <c r="O90" i="5"/>
  <c r="O91" i="5"/>
  <c r="O92" i="5"/>
  <c r="O93" i="5"/>
  <c r="O94" i="5"/>
  <c r="O95" i="5"/>
  <c r="O96" i="5"/>
  <c r="O97" i="5"/>
  <c r="O98" i="5"/>
  <c r="O99" i="5"/>
  <c r="O100" i="5"/>
  <c r="O101" i="5"/>
  <c r="O102" i="5"/>
  <c r="O105" i="5"/>
  <c r="O106" i="5"/>
  <c r="O107" i="5"/>
  <c r="O108" i="5"/>
  <c r="O109" i="5"/>
  <c r="O110" i="5"/>
  <c r="O111" i="5"/>
  <c r="O112" i="5"/>
  <c r="O113" i="5"/>
  <c r="O114" i="5"/>
  <c r="O115" i="5"/>
  <c r="O116" i="5"/>
  <c r="O117" i="5"/>
  <c r="O118" i="5"/>
  <c r="O119" i="5"/>
  <c r="O120" i="5"/>
  <c r="O121" i="5"/>
  <c r="O122" i="5"/>
  <c r="O123" i="5"/>
  <c r="O124" i="5"/>
  <c r="O125" i="5"/>
  <c r="O126" i="5"/>
  <c r="O128" i="5"/>
  <c r="O129" i="5"/>
  <c r="O130" i="5"/>
  <c r="O131" i="5"/>
  <c r="O134" i="5"/>
  <c r="O135" i="5"/>
  <c r="O136" i="5"/>
  <c r="O137" i="5"/>
  <c r="O138" i="5"/>
  <c r="O139" i="5"/>
  <c r="O140" i="5"/>
  <c r="P2" i="5"/>
  <c r="P3" i="5"/>
  <c r="P4" i="5"/>
  <c r="P5" i="5"/>
  <c r="P6" i="5"/>
  <c r="P7" i="5"/>
  <c r="P8" i="5"/>
  <c r="P9" i="5"/>
  <c r="P10" i="5"/>
  <c r="P11" i="5"/>
  <c r="P13" i="5"/>
  <c r="P15" i="5"/>
  <c r="P18" i="5"/>
  <c r="P19" i="5"/>
  <c r="P20" i="5"/>
  <c r="P21" i="5"/>
  <c r="P22" i="5"/>
  <c r="P23" i="5"/>
  <c r="P24" i="5"/>
  <c r="P25" i="5"/>
  <c r="P26" i="5"/>
  <c r="P27" i="5"/>
  <c r="P28" i="5"/>
  <c r="P29" i="5"/>
  <c r="P30" i="5"/>
  <c r="P31" i="5"/>
  <c r="P32" i="5"/>
  <c r="P33" i="5"/>
  <c r="P34" i="5"/>
  <c r="P35" i="5"/>
  <c r="P36" i="5"/>
  <c r="P38" i="5"/>
  <c r="P39" i="5"/>
  <c r="P40" i="5"/>
  <c r="P42" i="5"/>
  <c r="P43" i="5"/>
  <c r="P44" i="5"/>
  <c r="P46" i="5"/>
  <c r="P47" i="5"/>
  <c r="P48" i="5"/>
  <c r="P49" i="5"/>
  <c r="P50" i="5"/>
  <c r="P51" i="5"/>
  <c r="P53" i="5"/>
  <c r="P54" i="5"/>
  <c r="P55" i="5"/>
  <c r="P56" i="5"/>
  <c r="P57" i="5"/>
  <c r="P58" i="5"/>
  <c r="P59" i="5"/>
  <c r="P60" i="5"/>
  <c r="P61" i="5"/>
  <c r="P62" i="5"/>
  <c r="P63" i="5"/>
  <c r="P64" i="5"/>
  <c r="P65" i="5"/>
  <c r="P66" i="5"/>
  <c r="P67" i="5"/>
  <c r="P71" i="5"/>
  <c r="P72" i="5"/>
  <c r="P74" i="5"/>
  <c r="P75" i="5"/>
  <c r="P76" i="5"/>
  <c r="P77" i="5"/>
  <c r="P78" i="5"/>
  <c r="P79" i="5"/>
  <c r="P80" i="5"/>
  <c r="P81" i="5"/>
  <c r="P82" i="5"/>
  <c r="P83" i="5"/>
  <c r="P84" i="5"/>
  <c r="P85" i="5"/>
  <c r="P86" i="5"/>
  <c r="P87" i="5"/>
  <c r="P88" i="5"/>
  <c r="P89" i="5"/>
  <c r="P90" i="5"/>
  <c r="P91" i="5"/>
  <c r="P92" i="5"/>
  <c r="P93" i="5"/>
  <c r="P94" i="5"/>
  <c r="P95" i="5"/>
  <c r="P96" i="5"/>
  <c r="P97" i="5"/>
  <c r="P98" i="5"/>
  <c r="P99" i="5"/>
  <c r="P100" i="5"/>
  <c r="P101" i="5"/>
  <c r="P102" i="5"/>
  <c r="P105" i="5"/>
  <c r="P106" i="5"/>
  <c r="P107" i="5"/>
  <c r="P108" i="5"/>
  <c r="P109" i="5"/>
  <c r="P110" i="5"/>
  <c r="P111" i="5"/>
  <c r="P112" i="5"/>
  <c r="P113" i="5"/>
  <c r="P114" i="5"/>
  <c r="P115" i="5"/>
  <c r="P116" i="5"/>
  <c r="P117" i="5"/>
  <c r="P118" i="5"/>
  <c r="P119" i="5"/>
  <c r="P120" i="5"/>
  <c r="P121" i="5"/>
  <c r="P122" i="5"/>
  <c r="P123" i="5"/>
  <c r="P124" i="5"/>
  <c r="P125" i="5"/>
  <c r="P126" i="5"/>
  <c r="P128" i="5"/>
  <c r="P129" i="5"/>
  <c r="P130" i="5"/>
  <c r="P131" i="5"/>
  <c r="P134" i="5"/>
  <c r="P135" i="5"/>
  <c r="P136" i="5"/>
  <c r="P137" i="5"/>
  <c r="P138" i="5"/>
  <c r="P139" i="5"/>
  <c r="P140" i="5"/>
  <c r="Q2" i="5"/>
  <c r="Q3" i="5"/>
  <c r="Q4" i="5"/>
  <c r="Q5" i="5"/>
  <c r="Q6" i="5"/>
  <c r="Q7" i="5"/>
  <c r="Q8" i="5"/>
  <c r="Q9" i="5"/>
  <c r="Q10" i="5"/>
  <c r="Q11" i="5"/>
  <c r="Q13" i="5"/>
  <c r="Q15" i="5"/>
  <c r="Q18" i="5"/>
  <c r="Q19" i="5"/>
  <c r="Q20" i="5"/>
  <c r="Q21" i="5"/>
  <c r="Q22" i="5"/>
  <c r="Q23" i="5"/>
  <c r="Q24" i="5"/>
  <c r="Q25" i="5"/>
  <c r="Q26" i="5"/>
  <c r="Q27" i="5"/>
  <c r="Q28" i="5"/>
  <c r="Q29" i="5"/>
  <c r="Q30" i="5"/>
  <c r="Q31" i="5"/>
  <c r="Q32" i="5"/>
  <c r="Q33" i="5"/>
  <c r="Q34" i="5"/>
  <c r="Q35" i="5"/>
  <c r="Q36" i="5"/>
  <c r="Q38" i="5"/>
  <c r="Q39" i="5"/>
  <c r="Q40" i="5"/>
  <c r="Q42" i="5"/>
  <c r="Q43" i="5"/>
  <c r="Q44" i="5"/>
  <c r="Q46" i="5"/>
  <c r="Q47" i="5"/>
  <c r="Q48" i="5"/>
  <c r="Q49" i="5"/>
  <c r="Q50" i="5"/>
  <c r="Q51" i="5"/>
  <c r="Q53" i="5"/>
  <c r="Q54" i="5"/>
  <c r="Q55" i="5"/>
  <c r="Q56" i="5"/>
  <c r="Q57" i="5"/>
  <c r="Q58" i="5"/>
  <c r="Q59" i="5"/>
  <c r="Q60" i="5"/>
  <c r="Q61" i="5"/>
  <c r="Q62" i="5"/>
  <c r="Q63" i="5"/>
  <c r="Q64" i="5"/>
  <c r="Q65" i="5"/>
  <c r="Q66" i="5"/>
  <c r="Q67" i="5"/>
  <c r="Q71" i="5"/>
  <c r="Q72" i="5"/>
  <c r="Q74" i="5"/>
  <c r="Q75" i="5"/>
  <c r="Q76" i="5"/>
  <c r="Q77" i="5"/>
  <c r="Q78" i="5"/>
  <c r="Q79" i="5"/>
  <c r="Q80" i="5"/>
  <c r="Q81" i="5"/>
  <c r="Q82" i="5"/>
  <c r="Q83" i="5"/>
  <c r="Q84" i="5"/>
  <c r="Q85" i="5"/>
  <c r="Q86" i="5"/>
  <c r="Q87" i="5"/>
  <c r="Q88" i="5"/>
  <c r="Q89" i="5"/>
  <c r="Q90" i="5"/>
  <c r="Q91" i="5"/>
  <c r="Q92" i="5"/>
  <c r="Q93" i="5"/>
  <c r="Q94" i="5"/>
  <c r="Q95" i="5"/>
  <c r="Q96" i="5"/>
  <c r="Q97" i="5"/>
  <c r="Q98" i="5"/>
  <c r="Q99" i="5"/>
  <c r="Q100" i="5"/>
  <c r="Q101" i="5"/>
  <c r="Q102" i="5"/>
  <c r="Q105" i="5"/>
  <c r="Q106" i="5"/>
  <c r="Q107" i="5"/>
  <c r="Q108" i="5"/>
  <c r="Q109" i="5"/>
  <c r="Q110" i="5"/>
  <c r="Q111" i="5"/>
  <c r="Q112" i="5"/>
  <c r="Q113" i="5"/>
  <c r="Q114" i="5"/>
  <c r="Q115" i="5"/>
  <c r="Q116" i="5"/>
  <c r="Q117" i="5"/>
  <c r="Q118" i="5"/>
  <c r="Q119" i="5"/>
  <c r="Q120" i="5"/>
  <c r="Q121" i="5"/>
  <c r="Q122" i="5"/>
  <c r="Q123" i="5"/>
  <c r="Q124" i="5"/>
  <c r="Q125" i="5"/>
  <c r="Q126" i="5"/>
  <c r="Q128" i="5"/>
  <c r="Q129" i="5"/>
  <c r="Q130" i="5"/>
  <c r="Q131" i="5"/>
  <c r="Q134" i="5"/>
  <c r="Q135" i="5"/>
  <c r="Q136" i="5"/>
  <c r="Q137" i="5"/>
  <c r="Q138" i="5"/>
  <c r="Q139" i="5"/>
  <c r="Q140" i="5"/>
  <c r="R2" i="5"/>
  <c r="R3" i="5"/>
  <c r="R4" i="5"/>
  <c r="R5" i="5"/>
  <c r="R6" i="5"/>
  <c r="R7" i="5"/>
  <c r="R8" i="5"/>
  <c r="R9" i="5"/>
  <c r="R10" i="5"/>
  <c r="R11" i="5"/>
  <c r="R13" i="5"/>
  <c r="R15" i="5"/>
  <c r="R18" i="5"/>
  <c r="R19" i="5"/>
  <c r="R20" i="5"/>
  <c r="R21" i="5"/>
  <c r="R22" i="5"/>
  <c r="R23" i="5"/>
  <c r="R24" i="5"/>
  <c r="R25" i="5"/>
  <c r="R26" i="5"/>
  <c r="R27" i="5"/>
  <c r="R28" i="5"/>
  <c r="R29" i="5"/>
  <c r="R30" i="5"/>
  <c r="R31" i="5"/>
  <c r="R32" i="5"/>
  <c r="R33" i="5"/>
  <c r="R34" i="5"/>
  <c r="R35" i="5"/>
  <c r="R36" i="5"/>
  <c r="R38" i="5"/>
  <c r="R39" i="5"/>
  <c r="R40" i="5"/>
  <c r="R42" i="5"/>
  <c r="R43" i="5"/>
  <c r="R44" i="5"/>
  <c r="R46" i="5"/>
  <c r="R47" i="5"/>
  <c r="R48" i="5"/>
  <c r="R49" i="5"/>
  <c r="R50" i="5"/>
  <c r="R51" i="5"/>
  <c r="R53" i="5"/>
  <c r="R54" i="5"/>
  <c r="R55" i="5"/>
  <c r="R56" i="5"/>
  <c r="R57" i="5"/>
  <c r="R58" i="5"/>
  <c r="R59" i="5"/>
  <c r="R60" i="5"/>
  <c r="R61" i="5"/>
  <c r="R62" i="5"/>
  <c r="R63" i="5"/>
  <c r="R64" i="5"/>
  <c r="R65" i="5"/>
  <c r="R66" i="5"/>
  <c r="R67" i="5"/>
  <c r="R71" i="5"/>
  <c r="R72" i="5"/>
  <c r="R74" i="5"/>
  <c r="R75" i="5"/>
  <c r="R76" i="5"/>
  <c r="R77" i="5"/>
  <c r="R78" i="5"/>
  <c r="R79" i="5"/>
  <c r="R80" i="5"/>
  <c r="R81" i="5"/>
  <c r="R82" i="5"/>
  <c r="R83" i="5"/>
  <c r="R84" i="5"/>
  <c r="R85" i="5"/>
  <c r="R86" i="5"/>
  <c r="R87" i="5"/>
  <c r="R88" i="5"/>
  <c r="R89" i="5"/>
  <c r="R90" i="5"/>
  <c r="R91" i="5"/>
  <c r="R92" i="5"/>
  <c r="R93" i="5"/>
  <c r="R94" i="5"/>
  <c r="R95" i="5"/>
  <c r="R96" i="5"/>
  <c r="R97" i="5"/>
  <c r="R98" i="5"/>
  <c r="R99" i="5"/>
  <c r="R100" i="5"/>
  <c r="R101" i="5"/>
  <c r="R102" i="5"/>
  <c r="R105" i="5"/>
  <c r="R106" i="5"/>
  <c r="R107" i="5"/>
  <c r="R108" i="5"/>
  <c r="R109" i="5"/>
  <c r="R110" i="5"/>
  <c r="R111" i="5"/>
  <c r="R112" i="5"/>
  <c r="R113" i="5"/>
  <c r="R114" i="5"/>
  <c r="R115" i="5"/>
  <c r="R116" i="5"/>
  <c r="R117" i="5"/>
  <c r="R118" i="5"/>
  <c r="R119" i="5"/>
  <c r="R120" i="5"/>
  <c r="R121" i="5"/>
  <c r="R122" i="5"/>
  <c r="R123" i="5"/>
  <c r="R124" i="5"/>
  <c r="R125" i="5"/>
  <c r="R126" i="5"/>
  <c r="R128" i="5"/>
  <c r="R129" i="5"/>
  <c r="R130" i="5"/>
  <c r="R131" i="5"/>
  <c r="R134" i="5"/>
  <c r="R135" i="5"/>
  <c r="R136" i="5"/>
  <c r="R137" i="5"/>
  <c r="R138" i="5"/>
  <c r="R139" i="5"/>
  <c r="R140" i="5"/>
  <c r="S2" i="5"/>
  <c r="S3" i="5"/>
  <c r="S4" i="5"/>
  <c r="S5" i="5"/>
  <c r="S6" i="5"/>
  <c r="S7" i="5"/>
  <c r="S8" i="5"/>
  <c r="S9" i="5"/>
  <c r="S10" i="5"/>
  <c r="S11" i="5"/>
  <c r="S13" i="5"/>
  <c r="S15" i="5"/>
  <c r="S18" i="5"/>
  <c r="S19" i="5"/>
  <c r="S20" i="5"/>
  <c r="S21" i="5"/>
  <c r="S22" i="5"/>
  <c r="S23" i="5"/>
  <c r="S24" i="5"/>
  <c r="S25" i="5"/>
  <c r="S26" i="5"/>
  <c r="S27" i="5"/>
  <c r="S28" i="5"/>
  <c r="S29" i="5"/>
  <c r="S30" i="5"/>
  <c r="S31" i="5"/>
  <c r="S32" i="5"/>
  <c r="S33" i="5"/>
  <c r="S34" i="5"/>
  <c r="S35" i="5"/>
  <c r="S36" i="5"/>
  <c r="S38" i="5"/>
  <c r="S39" i="5"/>
  <c r="S40" i="5"/>
  <c r="S42" i="5"/>
  <c r="S43" i="5"/>
  <c r="S44" i="5"/>
  <c r="S46" i="5"/>
  <c r="S47" i="5"/>
  <c r="S48" i="5"/>
  <c r="S49" i="5"/>
  <c r="S50" i="5"/>
  <c r="S51" i="5"/>
  <c r="S53" i="5"/>
  <c r="S54" i="5"/>
  <c r="S55" i="5"/>
  <c r="S56" i="5"/>
  <c r="S57" i="5"/>
  <c r="S58" i="5"/>
  <c r="S59" i="5"/>
  <c r="S60" i="5"/>
  <c r="S61" i="5"/>
  <c r="S62" i="5"/>
  <c r="S63" i="5"/>
  <c r="S64" i="5"/>
  <c r="S65" i="5"/>
  <c r="S66" i="5"/>
  <c r="S67" i="5"/>
  <c r="S71" i="5"/>
  <c r="S72" i="5"/>
  <c r="S74" i="5"/>
  <c r="S75" i="5"/>
  <c r="S76" i="5"/>
  <c r="S77" i="5"/>
  <c r="S78" i="5"/>
  <c r="S79" i="5"/>
  <c r="S80" i="5"/>
  <c r="S81" i="5"/>
  <c r="S82" i="5"/>
  <c r="S83" i="5"/>
  <c r="S84" i="5"/>
  <c r="S85" i="5"/>
  <c r="S86" i="5"/>
  <c r="S87" i="5"/>
  <c r="S88" i="5"/>
  <c r="S89" i="5"/>
  <c r="S90" i="5"/>
  <c r="S91" i="5"/>
  <c r="S92" i="5"/>
  <c r="S93" i="5"/>
  <c r="S94" i="5"/>
  <c r="S95" i="5"/>
  <c r="S96" i="5"/>
  <c r="S97" i="5"/>
  <c r="S98" i="5"/>
  <c r="S99" i="5"/>
  <c r="S100" i="5"/>
  <c r="S101" i="5"/>
  <c r="S102" i="5"/>
  <c r="S105" i="5"/>
  <c r="S106" i="5"/>
  <c r="S107" i="5"/>
  <c r="S108" i="5"/>
  <c r="S109" i="5"/>
  <c r="S110" i="5"/>
  <c r="S111" i="5"/>
  <c r="S112" i="5"/>
  <c r="S113" i="5"/>
  <c r="S114" i="5"/>
  <c r="S115" i="5"/>
  <c r="S116" i="5"/>
  <c r="S117" i="5"/>
  <c r="S118" i="5"/>
  <c r="S119" i="5"/>
  <c r="S120" i="5"/>
  <c r="S121" i="5"/>
  <c r="S122" i="5"/>
  <c r="S123" i="5"/>
  <c r="S124" i="5"/>
  <c r="S125" i="5"/>
  <c r="S126" i="5"/>
  <c r="S128" i="5"/>
  <c r="S129" i="5"/>
  <c r="S130" i="5"/>
  <c r="S131" i="5"/>
  <c r="S134" i="5"/>
  <c r="S135" i="5"/>
  <c r="S136" i="5"/>
  <c r="S137" i="5"/>
  <c r="S138" i="5"/>
  <c r="S139" i="5"/>
  <c r="S140" i="5"/>
  <c r="T2" i="5"/>
  <c r="T3" i="5"/>
  <c r="T4" i="5"/>
  <c r="T5" i="5"/>
  <c r="T6" i="5"/>
  <c r="T7" i="5"/>
  <c r="T8" i="5"/>
  <c r="T9" i="5"/>
  <c r="T10" i="5"/>
  <c r="T11" i="5"/>
  <c r="T13" i="5"/>
  <c r="T15" i="5"/>
  <c r="T18" i="5"/>
  <c r="T19" i="5"/>
  <c r="T20" i="5"/>
  <c r="T21" i="5"/>
  <c r="T22" i="5"/>
  <c r="T23" i="5"/>
  <c r="T24" i="5"/>
  <c r="T25" i="5"/>
  <c r="T26" i="5"/>
  <c r="T27" i="5"/>
  <c r="T28" i="5"/>
  <c r="T29" i="5"/>
  <c r="T30" i="5"/>
  <c r="T31" i="5"/>
  <c r="T32" i="5"/>
  <c r="T33" i="5"/>
  <c r="T34" i="5"/>
  <c r="T35" i="5"/>
  <c r="T36" i="5"/>
  <c r="T38" i="5"/>
  <c r="T39" i="5"/>
  <c r="T40" i="5"/>
  <c r="T42" i="5"/>
  <c r="T43" i="5"/>
  <c r="T44" i="5"/>
  <c r="T46" i="5"/>
  <c r="T47" i="5"/>
  <c r="T48" i="5"/>
  <c r="T49" i="5"/>
  <c r="T50" i="5"/>
  <c r="T51" i="5"/>
  <c r="T53" i="5"/>
  <c r="T54" i="5"/>
  <c r="T55" i="5"/>
  <c r="T56" i="5"/>
  <c r="T57" i="5"/>
  <c r="T58" i="5"/>
  <c r="T59" i="5"/>
  <c r="T60" i="5"/>
  <c r="T61" i="5"/>
  <c r="T62" i="5"/>
  <c r="T63" i="5"/>
  <c r="T64" i="5"/>
  <c r="T65" i="5"/>
  <c r="T66" i="5"/>
  <c r="T67" i="5"/>
  <c r="T71" i="5"/>
  <c r="T72" i="5"/>
  <c r="T74" i="5"/>
  <c r="T75" i="5"/>
  <c r="T76" i="5"/>
  <c r="T77" i="5"/>
  <c r="T78" i="5"/>
  <c r="T79" i="5"/>
  <c r="T80" i="5"/>
  <c r="T81" i="5"/>
  <c r="T82" i="5"/>
  <c r="T83" i="5"/>
  <c r="T84" i="5"/>
  <c r="T85" i="5"/>
  <c r="T86" i="5"/>
  <c r="T87" i="5"/>
  <c r="T88" i="5"/>
  <c r="T89" i="5"/>
  <c r="T90" i="5"/>
  <c r="T91" i="5"/>
  <c r="T92" i="5"/>
  <c r="T93" i="5"/>
  <c r="T94" i="5"/>
  <c r="T95" i="5"/>
  <c r="T96" i="5"/>
  <c r="T97" i="5"/>
  <c r="T98" i="5"/>
  <c r="T99" i="5"/>
  <c r="T100" i="5"/>
  <c r="T101" i="5"/>
  <c r="T102" i="5"/>
  <c r="T105" i="5"/>
  <c r="T106" i="5"/>
  <c r="T107" i="5"/>
  <c r="T108" i="5"/>
  <c r="T109" i="5"/>
  <c r="T110" i="5"/>
  <c r="T111" i="5"/>
  <c r="T112" i="5"/>
  <c r="T113" i="5"/>
  <c r="T114" i="5"/>
  <c r="T115" i="5"/>
  <c r="T116" i="5"/>
  <c r="T117" i="5"/>
  <c r="T118" i="5"/>
  <c r="T119" i="5"/>
  <c r="T120" i="5"/>
  <c r="T121" i="5"/>
  <c r="T122" i="5"/>
  <c r="T123" i="5"/>
  <c r="T124" i="5"/>
  <c r="T125" i="5"/>
  <c r="T126" i="5"/>
  <c r="T128" i="5"/>
  <c r="T129" i="5"/>
  <c r="T130" i="5"/>
  <c r="T131" i="5"/>
  <c r="T134" i="5"/>
  <c r="T135" i="5"/>
  <c r="T136" i="5"/>
  <c r="T137" i="5"/>
  <c r="T138" i="5"/>
  <c r="T139" i="5"/>
  <c r="T140" i="5"/>
  <c r="U2" i="5"/>
  <c r="U3" i="5"/>
  <c r="U4" i="5"/>
  <c r="U5" i="5"/>
  <c r="U6" i="5"/>
  <c r="U7" i="5"/>
  <c r="U8" i="5"/>
  <c r="U9" i="5"/>
  <c r="U10" i="5"/>
  <c r="U11" i="5"/>
  <c r="U13" i="5"/>
  <c r="U15" i="5"/>
  <c r="U18" i="5"/>
  <c r="U19" i="5"/>
  <c r="U20" i="5"/>
  <c r="U21" i="5"/>
  <c r="U22" i="5"/>
  <c r="U23" i="5"/>
  <c r="U24" i="5"/>
  <c r="U25" i="5"/>
  <c r="U26" i="5"/>
  <c r="U27" i="5"/>
  <c r="U28" i="5"/>
  <c r="U29" i="5"/>
  <c r="U30" i="5"/>
  <c r="U31" i="5"/>
  <c r="U32" i="5"/>
  <c r="U33" i="5"/>
  <c r="U34" i="5"/>
  <c r="U35" i="5"/>
  <c r="U36" i="5"/>
  <c r="U38" i="5"/>
  <c r="U39" i="5"/>
  <c r="U40" i="5"/>
  <c r="U42" i="5"/>
  <c r="U43" i="5"/>
  <c r="U44" i="5"/>
  <c r="U46" i="5"/>
  <c r="U47" i="5"/>
  <c r="U48" i="5"/>
  <c r="U49" i="5"/>
  <c r="U50" i="5"/>
  <c r="U51" i="5"/>
  <c r="U53" i="5"/>
  <c r="U54" i="5"/>
  <c r="U55" i="5"/>
  <c r="U56" i="5"/>
  <c r="U57" i="5"/>
  <c r="U58" i="5"/>
  <c r="U59" i="5"/>
  <c r="U60" i="5"/>
  <c r="U61" i="5"/>
  <c r="U62" i="5"/>
  <c r="U63" i="5"/>
  <c r="U64" i="5"/>
  <c r="U65" i="5"/>
  <c r="U66" i="5"/>
  <c r="U67" i="5"/>
  <c r="U71" i="5"/>
  <c r="U72" i="5"/>
  <c r="U74" i="5"/>
  <c r="U75" i="5"/>
  <c r="U76" i="5"/>
  <c r="U77" i="5"/>
  <c r="U78" i="5"/>
  <c r="U79" i="5"/>
  <c r="U80" i="5"/>
  <c r="U81" i="5"/>
  <c r="U82" i="5"/>
  <c r="U83" i="5"/>
  <c r="U84" i="5"/>
  <c r="U85" i="5"/>
  <c r="U86" i="5"/>
  <c r="U87" i="5"/>
  <c r="U88" i="5"/>
  <c r="U89" i="5"/>
  <c r="U90" i="5"/>
  <c r="U91" i="5"/>
  <c r="U92" i="5"/>
  <c r="U93" i="5"/>
  <c r="U94" i="5"/>
  <c r="U95" i="5"/>
  <c r="U96" i="5"/>
  <c r="U97" i="5"/>
  <c r="U98" i="5"/>
  <c r="U99" i="5"/>
  <c r="U100" i="5"/>
  <c r="U101" i="5"/>
  <c r="U102" i="5"/>
  <c r="U105" i="5"/>
  <c r="U106" i="5"/>
  <c r="U107" i="5"/>
  <c r="U108" i="5"/>
  <c r="U109" i="5"/>
  <c r="U110" i="5"/>
  <c r="U111" i="5"/>
  <c r="U112" i="5"/>
  <c r="U113" i="5"/>
  <c r="U114" i="5"/>
  <c r="U115" i="5"/>
  <c r="U116" i="5"/>
  <c r="U117" i="5"/>
  <c r="U118" i="5"/>
  <c r="U119" i="5"/>
  <c r="U120" i="5"/>
  <c r="U121" i="5"/>
  <c r="U122" i="5"/>
  <c r="U123" i="5"/>
  <c r="U124" i="5"/>
  <c r="U125" i="5"/>
  <c r="U126" i="5"/>
  <c r="U128" i="5"/>
  <c r="U129" i="5"/>
  <c r="U130" i="5"/>
  <c r="U131" i="5"/>
  <c r="U134" i="5"/>
  <c r="U135" i="5"/>
  <c r="U136" i="5"/>
  <c r="U137" i="5"/>
  <c r="U138" i="5"/>
  <c r="U139" i="5"/>
  <c r="U140" i="5"/>
  <c r="V2" i="5"/>
  <c r="V3" i="5"/>
  <c r="V4" i="5"/>
  <c r="V5" i="5"/>
  <c r="V6" i="5"/>
  <c r="V7" i="5"/>
  <c r="V8" i="5"/>
  <c r="V9" i="5"/>
  <c r="V10" i="5"/>
  <c r="V11" i="5"/>
  <c r="V13" i="5"/>
  <c r="V15" i="5"/>
  <c r="V18" i="5"/>
  <c r="V19" i="5"/>
  <c r="V20" i="5"/>
  <c r="V21" i="5"/>
  <c r="V22" i="5"/>
  <c r="V23" i="5"/>
  <c r="V24" i="5"/>
  <c r="V25" i="5"/>
  <c r="V26" i="5"/>
  <c r="V27" i="5"/>
  <c r="V28" i="5"/>
  <c r="V29" i="5"/>
  <c r="V30" i="5"/>
  <c r="V31" i="5"/>
  <c r="V32" i="5"/>
  <c r="V33" i="5"/>
  <c r="V34" i="5"/>
  <c r="V35" i="5"/>
  <c r="V36" i="5"/>
  <c r="V38" i="5"/>
  <c r="V40" i="5"/>
  <c r="V42" i="5"/>
  <c r="V43" i="5"/>
  <c r="V44" i="5"/>
  <c r="V46" i="5"/>
  <c r="V47" i="5"/>
  <c r="V48" i="5"/>
  <c r="V49" i="5"/>
  <c r="V50" i="5"/>
  <c r="V51" i="5"/>
  <c r="V53" i="5"/>
  <c r="V54" i="5"/>
  <c r="V55" i="5"/>
  <c r="V56" i="5"/>
  <c r="V57" i="5"/>
  <c r="V58" i="5"/>
  <c r="V59" i="5"/>
  <c r="V60" i="5"/>
  <c r="V61" i="5"/>
  <c r="V62" i="5"/>
  <c r="V63" i="5"/>
  <c r="V64" i="5"/>
  <c r="V65" i="5"/>
  <c r="V66" i="5"/>
  <c r="V67" i="5"/>
  <c r="V71" i="5"/>
  <c r="V72" i="5"/>
  <c r="V74" i="5"/>
  <c r="V75" i="5"/>
  <c r="V76" i="5"/>
  <c r="V77" i="5"/>
  <c r="V78" i="5"/>
  <c r="V79" i="5"/>
  <c r="V80" i="5"/>
  <c r="V81" i="5"/>
  <c r="V82" i="5"/>
  <c r="V83" i="5"/>
  <c r="V84" i="5"/>
  <c r="V85" i="5"/>
  <c r="V86" i="5"/>
  <c r="V87" i="5"/>
  <c r="V88" i="5"/>
  <c r="V89" i="5"/>
  <c r="V90" i="5"/>
  <c r="V91" i="5"/>
  <c r="V92" i="5"/>
  <c r="V93" i="5"/>
  <c r="V94" i="5"/>
  <c r="V95" i="5"/>
  <c r="V96" i="5"/>
  <c r="V97" i="5"/>
  <c r="V98" i="5"/>
  <c r="V99" i="5"/>
  <c r="V100" i="5"/>
  <c r="V101" i="5"/>
  <c r="V102" i="5"/>
  <c r="V105" i="5"/>
  <c r="V106" i="5"/>
  <c r="V107" i="5"/>
  <c r="V109" i="5"/>
  <c r="V110" i="5"/>
  <c r="V111" i="5"/>
  <c r="V112" i="5"/>
  <c r="V113" i="5"/>
  <c r="V114" i="5"/>
  <c r="V115" i="5"/>
  <c r="V116" i="5"/>
  <c r="V117" i="5"/>
  <c r="V118" i="5"/>
  <c r="V119" i="5"/>
  <c r="V120" i="5"/>
  <c r="V121" i="5"/>
  <c r="V122" i="5"/>
  <c r="V123" i="5"/>
  <c r="V124" i="5"/>
  <c r="V125" i="5"/>
  <c r="V126" i="5"/>
  <c r="V128" i="5"/>
  <c r="V129" i="5"/>
  <c r="V130" i="5"/>
  <c r="V131" i="5"/>
  <c r="V134" i="5"/>
  <c r="V135" i="5"/>
  <c r="V136" i="5"/>
  <c r="V137" i="5"/>
  <c r="V138" i="5"/>
  <c r="V139" i="5"/>
  <c r="V140" i="5"/>
  <c r="W2" i="5"/>
  <c r="W3" i="5"/>
  <c r="W4" i="5"/>
  <c r="W5" i="5"/>
  <c r="W6" i="5"/>
  <c r="W7" i="5"/>
  <c r="W8" i="5"/>
  <c r="W9" i="5"/>
  <c r="W10" i="5"/>
  <c r="W11" i="5"/>
  <c r="W13" i="5"/>
  <c r="W15" i="5"/>
  <c r="W18" i="5"/>
  <c r="W19" i="5"/>
  <c r="W20" i="5"/>
  <c r="W21" i="5"/>
  <c r="W22" i="5"/>
  <c r="W23" i="5"/>
  <c r="W24" i="5"/>
  <c r="W25" i="5"/>
  <c r="W26" i="5"/>
  <c r="W27" i="5"/>
  <c r="W28" i="5"/>
  <c r="W29" i="5"/>
  <c r="W30" i="5"/>
  <c r="W31" i="5"/>
  <c r="W32" i="5"/>
  <c r="W33" i="5"/>
  <c r="W34" i="5"/>
  <c r="W35" i="5"/>
  <c r="W36" i="5"/>
  <c r="W38" i="5"/>
  <c r="W39" i="5"/>
  <c r="W40" i="5"/>
  <c r="W42" i="5"/>
  <c r="W43" i="5"/>
  <c r="W44" i="5"/>
  <c r="W46" i="5"/>
  <c r="W47" i="5"/>
  <c r="W48" i="5"/>
  <c r="W49" i="5"/>
  <c r="W50" i="5"/>
  <c r="W51" i="5"/>
  <c r="W53" i="5"/>
  <c r="W54" i="5"/>
  <c r="W55" i="5"/>
  <c r="W56" i="5"/>
  <c r="W57" i="5"/>
  <c r="W58" i="5"/>
  <c r="W59" i="5"/>
  <c r="W60" i="5"/>
  <c r="W61" i="5"/>
  <c r="W62" i="5"/>
  <c r="W63" i="5"/>
  <c r="W64" i="5"/>
  <c r="W65" i="5"/>
  <c r="W66" i="5"/>
  <c r="W67" i="5"/>
  <c r="W71" i="5"/>
  <c r="W72" i="5"/>
  <c r="W74" i="5"/>
  <c r="W75" i="5"/>
  <c r="W76" i="5"/>
  <c r="W77" i="5"/>
  <c r="W78" i="5"/>
  <c r="W79" i="5"/>
  <c r="W80" i="5"/>
  <c r="W81" i="5"/>
  <c r="W82" i="5"/>
  <c r="W83" i="5"/>
  <c r="W84" i="5"/>
  <c r="W85" i="5"/>
  <c r="W86" i="5"/>
  <c r="W87" i="5"/>
  <c r="W88" i="5"/>
  <c r="W89" i="5"/>
  <c r="W90" i="5"/>
  <c r="W91" i="5"/>
  <c r="W92" i="5"/>
  <c r="W93" i="5"/>
  <c r="W94" i="5"/>
  <c r="W95" i="5"/>
  <c r="W96" i="5"/>
  <c r="W97" i="5"/>
  <c r="W98" i="5"/>
  <c r="W99" i="5"/>
  <c r="W100" i="5"/>
  <c r="W101" i="5"/>
  <c r="W102" i="5"/>
  <c r="W105" i="5"/>
  <c r="W106" i="5"/>
  <c r="W107" i="5"/>
  <c r="W108" i="5"/>
  <c r="W109" i="5"/>
  <c r="W110" i="5"/>
  <c r="W111" i="5"/>
  <c r="W112" i="5"/>
  <c r="W113" i="5"/>
  <c r="W114" i="5"/>
  <c r="W115" i="5"/>
  <c r="W116" i="5"/>
  <c r="W117" i="5"/>
  <c r="W118" i="5"/>
  <c r="W119" i="5"/>
  <c r="W120" i="5"/>
  <c r="W121" i="5"/>
  <c r="W122" i="5"/>
  <c r="W123" i="5"/>
  <c r="W124" i="5"/>
  <c r="W125" i="5"/>
  <c r="W126" i="5"/>
  <c r="W128" i="5"/>
  <c r="W129" i="5"/>
  <c r="W130" i="5"/>
  <c r="W131" i="5"/>
  <c r="W134" i="5"/>
  <c r="W135" i="5"/>
  <c r="W136" i="5"/>
  <c r="W137" i="5"/>
  <c r="W138" i="5"/>
  <c r="W139" i="5"/>
  <c r="W140" i="5"/>
  <c r="X2" i="5"/>
  <c r="X3" i="5"/>
  <c r="X4" i="5"/>
  <c r="X5" i="5"/>
  <c r="X6" i="5"/>
  <c r="X7" i="5"/>
  <c r="X8" i="5"/>
  <c r="X9" i="5"/>
  <c r="X10" i="5"/>
  <c r="X11" i="5"/>
  <c r="X13" i="5"/>
  <c r="X15" i="5"/>
  <c r="X18" i="5"/>
  <c r="X19" i="5"/>
  <c r="X20" i="5"/>
  <c r="X21" i="5"/>
  <c r="X22" i="5"/>
  <c r="X23" i="5"/>
  <c r="X24" i="5"/>
  <c r="X25" i="5"/>
  <c r="X26" i="5"/>
  <c r="X27" i="5"/>
  <c r="X28" i="5"/>
  <c r="X29" i="5"/>
  <c r="X30" i="5"/>
  <c r="X31" i="5"/>
  <c r="X32" i="5"/>
  <c r="X33" i="5"/>
  <c r="X34" i="5"/>
  <c r="X35" i="5"/>
  <c r="X36" i="5"/>
  <c r="X38" i="5"/>
  <c r="X39" i="5"/>
  <c r="X40" i="5"/>
  <c r="X42" i="5"/>
  <c r="X43" i="5"/>
  <c r="X44" i="5"/>
  <c r="X46" i="5"/>
  <c r="X47" i="5"/>
  <c r="X48" i="5"/>
  <c r="X49" i="5"/>
  <c r="X50" i="5"/>
  <c r="X51" i="5"/>
  <c r="X53" i="5"/>
  <c r="X54" i="5"/>
  <c r="X55" i="5"/>
  <c r="X56" i="5"/>
  <c r="X57" i="5"/>
  <c r="X58" i="5"/>
  <c r="X59" i="5"/>
  <c r="X60" i="5"/>
  <c r="X61" i="5"/>
  <c r="X62" i="5"/>
  <c r="X63" i="5"/>
  <c r="X64" i="5"/>
  <c r="X65" i="5"/>
  <c r="X66" i="5"/>
  <c r="X67" i="5"/>
  <c r="X71" i="5"/>
  <c r="X72" i="5"/>
  <c r="X74" i="5"/>
  <c r="X75" i="5"/>
  <c r="X76" i="5"/>
  <c r="X77" i="5"/>
  <c r="X78" i="5"/>
  <c r="X79" i="5"/>
  <c r="X80" i="5"/>
  <c r="X81" i="5"/>
  <c r="X82" i="5"/>
  <c r="X83" i="5"/>
  <c r="X84" i="5"/>
  <c r="X85" i="5"/>
  <c r="X86" i="5"/>
  <c r="X87" i="5"/>
  <c r="X88" i="5"/>
  <c r="X89" i="5"/>
  <c r="X90" i="5"/>
  <c r="X91" i="5"/>
  <c r="X92" i="5"/>
  <c r="X93" i="5"/>
  <c r="X94" i="5"/>
  <c r="X95" i="5"/>
  <c r="X96" i="5"/>
  <c r="X97" i="5"/>
  <c r="X98" i="5"/>
  <c r="X99" i="5"/>
  <c r="X100" i="5"/>
  <c r="X101" i="5"/>
  <c r="X102" i="5"/>
  <c r="X105" i="5"/>
  <c r="X106" i="5"/>
  <c r="X107" i="5"/>
  <c r="X108" i="5"/>
  <c r="X109" i="5"/>
  <c r="X110" i="5"/>
  <c r="X111" i="5"/>
  <c r="X112" i="5"/>
  <c r="X113" i="5"/>
  <c r="X114" i="5"/>
  <c r="X115" i="5"/>
  <c r="X116" i="5"/>
  <c r="X117" i="5"/>
  <c r="X118" i="5"/>
  <c r="X119" i="5"/>
  <c r="X120" i="5"/>
  <c r="X121" i="5"/>
  <c r="X122" i="5"/>
  <c r="X123" i="5"/>
  <c r="X124" i="5"/>
  <c r="X125" i="5"/>
  <c r="X126" i="5"/>
  <c r="X128" i="5"/>
  <c r="X129" i="5"/>
  <c r="X130" i="5"/>
  <c r="X131" i="5"/>
  <c r="X134" i="5"/>
  <c r="X135" i="5"/>
  <c r="X136" i="5"/>
  <c r="X137" i="5"/>
  <c r="X138" i="5"/>
  <c r="X139" i="5"/>
  <c r="X140" i="5"/>
  <c r="Y2" i="5"/>
  <c r="Y3" i="5"/>
  <c r="Y4" i="5"/>
  <c r="Y5" i="5"/>
  <c r="Y6" i="5"/>
  <c r="Y7" i="5"/>
  <c r="Y8" i="5"/>
  <c r="Y9" i="5"/>
  <c r="Y10" i="5"/>
  <c r="Y11" i="5"/>
  <c r="Y13" i="5"/>
  <c r="Y15" i="5"/>
  <c r="Y18" i="5"/>
  <c r="Y19" i="5"/>
  <c r="Y20" i="5"/>
  <c r="Y21" i="5"/>
  <c r="Y22" i="5"/>
  <c r="Y23" i="5"/>
  <c r="Y24" i="5"/>
  <c r="Y25" i="5"/>
  <c r="Y26" i="5"/>
  <c r="Y27" i="5"/>
  <c r="Y28" i="5"/>
  <c r="Y29" i="5"/>
  <c r="Y30" i="5"/>
  <c r="Y31" i="5"/>
  <c r="Y32" i="5"/>
  <c r="Y33" i="5"/>
  <c r="Y34" i="5"/>
  <c r="Y35" i="5"/>
  <c r="Y36" i="5"/>
  <c r="Y38" i="5"/>
  <c r="Y39" i="5"/>
  <c r="Y40" i="5"/>
  <c r="Y42" i="5"/>
  <c r="Y43" i="5"/>
  <c r="Y44" i="5"/>
  <c r="Y46" i="5"/>
  <c r="Y47" i="5"/>
  <c r="Y48" i="5"/>
  <c r="Y49" i="5"/>
  <c r="Y50" i="5"/>
  <c r="Y51" i="5"/>
  <c r="Y53" i="5"/>
  <c r="Y54" i="5"/>
  <c r="Y55" i="5"/>
  <c r="Y56" i="5"/>
  <c r="Y57" i="5"/>
  <c r="Y58" i="5"/>
  <c r="Y59" i="5"/>
  <c r="Y60" i="5"/>
  <c r="Y61" i="5"/>
  <c r="Y62" i="5"/>
  <c r="Y63" i="5"/>
  <c r="Y64" i="5"/>
  <c r="Y65" i="5"/>
  <c r="Y66" i="5"/>
  <c r="Y67" i="5"/>
  <c r="Y71" i="5"/>
  <c r="Y72" i="5"/>
  <c r="Y74" i="5"/>
  <c r="Y75" i="5"/>
  <c r="Y76" i="5"/>
  <c r="Y77" i="5"/>
  <c r="Y78" i="5"/>
  <c r="Y79" i="5"/>
  <c r="Y80" i="5"/>
  <c r="Y81" i="5"/>
  <c r="Y82" i="5"/>
  <c r="Y83" i="5"/>
  <c r="Y84" i="5"/>
  <c r="Y85" i="5"/>
  <c r="Y86" i="5"/>
  <c r="Y87" i="5"/>
  <c r="Y88" i="5"/>
  <c r="Y89" i="5"/>
  <c r="Y90" i="5"/>
  <c r="Y91" i="5"/>
  <c r="Y92" i="5"/>
  <c r="Y93" i="5"/>
  <c r="Y94" i="5"/>
  <c r="Y95" i="5"/>
  <c r="Y96" i="5"/>
  <c r="Y97" i="5"/>
  <c r="Y98" i="5"/>
  <c r="Y99" i="5"/>
  <c r="Y100" i="5"/>
  <c r="Y101" i="5"/>
  <c r="Y102" i="5"/>
  <c r="Y105" i="5"/>
  <c r="Y106" i="5"/>
  <c r="Y107" i="5"/>
  <c r="Y108" i="5"/>
  <c r="Y109" i="5"/>
  <c r="Y110" i="5"/>
  <c r="Y111" i="5"/>
  <c r="Y112" i="5"/>
  <c r="Y113" i="5"/>
  <c r="Y114" i="5"/>
  <c r="Y115" i="5"/>
  <c r="Y116" i="5"/>
  <c r="Y117" i="5"/>
  <c r="Y118" i="5"/>
  <c r="Y119" i="5"/>
  <c r="Y120" i="5"/>
  <c r="Y121" i="5"/>
  <c r="Y122" i="5"/>
  <c r="Y123" i="5"/>
  <c r="Y124" i="5"/>
  <c r="Y125" i="5"/>
  <c r="Y126" i="5"/>
  <c r="Y128" i="5"/>
  <c r="Y129" i="5"/>
  <c r="Y130" i="5"/>
  <c r="Y131" i="5"/>
  <c r="Y134" i="5"/>
  <c r="Y135" i="5"/>
  <c r="Y136" i="5"/>
  <c r="Y137" i="5"/>
  <c r="Y138" i="5"/>
  <c r="Y139" i="5"/>
  <c r="Y140" i="5"/>
  <c r="Z2" i="5"/>
  <c r="Z3" i="5"/>
  <c r="Z4" i="5"/>
  <c r="Z5" i="5"/>
  <c r="Z6" i="5"/>
  <c r="Z7" i="5"/>
  <c r="Z8" i="5"/>
  <c r="Z9" i="5"/>
  <c r="Z10" i="5"/>
  <c r="Z11" i="5"/>
  <c r="Z13" i="5"/>
  <c r="Z15" i="5"/>
  <c r="Z18" i="5"/>
  <c r="Z19" i="5"/>
  <c r="Z20" i="5"/>
  <c r="Z21" i="5"/>
  <c r="Z22" i="5"/>
  <c r="Z23" i="5"/>
  <c r="Z24" i="5"/>
  <c r="Z25" i="5"/>
  <c r="Z26" i="5"/>
  <c r="Z27" i="5"/>
  <c r="Z28" i="5"/>
  <c r="Z29" i="5"/>
  <c r="Z30" i="5"/>
  <c r="Z31" i="5"/>
  <c r="Z32" i="5"/>
  <c r="Z33" i="5"/>
  <c r="Z34" i="5"/>
  <c r="Z35" i="5"/>
  <c r="Z36" i="5"/>
  <c r="Z38" i="5"/>
  <c r="Z39" i="5"/>
  <c r="Z40" i="5"/>
  <c r="Z42" i="5"/>
  <c r="Z43" i="5"/>
  <c r="Z44" i="5"/>
  <c r="Z46" i="5"/>
  <c r="Z47" i="5"/>
  <c r="Z48" i="5"/>
  <c r="Z49" i="5"/>
  <c r="Z50" i="5"/>
  <c r="Z51" i="5"/>
  <c r="Z53" i="5"/>
  <c r="Z54" i="5"/>
  <c r="Z55" i="5"/>
  <c r="Z56" i="5"/>
  <c r="Z57" i="5"/>
  <c r="Z58" i="5"/>
  <c r="Z59" i="5"/>
  <c r="Z60" i="5"/>
  <c r="Z61" i="5"/>
  <c r="Z62" i="5"/>
  <c r="Z63" i="5"/>
  <c r="Z64" i="5"/>
  <c r="Z65" i="5"/>
  <c r="Z66" i="5"/>
  <c r="Z67" i="5"/>
  <c r="Z71" i="5"/>
  <c r="Z72" i="5"/>
  <c r="Z74" i="5"/>
  <c r="Z75" i="5"/>
  <c r="Z76" i="5"/>
  <c r="Z77" i="5"/>
  <c r="Z78" i="5"/>
  <c r="Z79" i="5"/>
  <c r="Z80" i="5"/>
  <c r="Z81" i="5"/>
  <c r="Z82" i="5"/>
  <c r="Z83" i="5"/>
  <c r="Z84" i="5"/>
  <c r="Z85" i="5"/>
  <c r="Z86" i="5"/>
  <c r="Z87" i="5"/>
  <c r="Z88" i="5"/>
  <c r="Z89" i="5"/>
  <c r="Z90" i="5"/>
  <c r="Z91" i="5"/>
  <c r="Z92" i="5"/>
  <c r="Z93" i="5"/>
  <c r="Z94" i="5"/>
  <c r="Z95" i="5"/>
  <c r="Z96" i="5"/>
  <c r="Z97" i="5"/>
  <c r="Z98" i="5"/>
  <c r="Z99" i="5"/>
  <c r="Z100" i="5"/>
  <c r="Z101" i="5"/>
  <c r="Z102" i="5"/>
  <c r="Z105" i="5"/>
  <c r="Z106" i="5"/>
  <c r="Z107" i="5"/>
  <c r="Z108" i="5"/>
  <c r="Z109" i="5"/>
  <c r="Z110" i="5"/>
  <c r="Z111" i="5"/>
  <c r="Z112" i="5"/>
  <c r="Z113" i="5"/>
  <c r="Z114" i="5"/>
  <c r="Z115" i="5"/>
  <c r="Z116" i="5"/>
  <c r="Z117" i="5"/>
  <c r="Z118" i="5"/>
  <c r="Z119" i="5"/>
  <c r="Z120" i="5"/>
  <c r="Z121" i="5"/>
  <c r="Z122" i="5"/>
  <c r="Z123" i="5"/>
  <c r="Z124" i="5"/>
  <c r="Z125" i="5"/>
  <c r="Z126" i="5"/>
  <c r="Z128" i="5"/>
  <c r="Z129" i="5"/>
  <c r="Z130" i="5"/>
  <c r="Z131" i="5"/>
  <c r="Z134" i="5"/>
  <c r="Z135" i="5"/>
  <c r="Z136" i="5"/>
  <c r="Z137" i="5"/>
  <c r="Z138" i="5"/>
  <c r="Z139" i="5"/>
  <c r="Z140" i="5"/>
  <c r="AA2" i="5"/>
  <c r="AA3" i="5"/>
  <c r="AA4" i="5"/>
  <c r="AA5" i="5"/>
  <c r="AA6" i="5"/>
  <c r="AA7" i="5"/>
  <c r="AA8" i="5"/>
  <c r="AA9" i="5"/>
  <c r="AA10" i="5"/>
  <c r="AA11" i="5"/>
  <c r="AA13" i="5"/>
  <c r="AA15" i="5"/>
  <c r="AA18" i="5"/>
  <c r="AA19" i="5"/>
  <c r="AA20" i="5"/>
  <c r="AA21" i="5"/>
  <c r="AA22" i="5"/>
  <c r="AA23" i="5"/>
  <c r="AA24" i="5"/>
  <c r="AA25" i="5"/>
  <c r="AA26" i="5"/>
  <c r="AA27" i="5"/>
  <c r="AA28" i="5"/>
  <c r="AA29" i="5"/>
  <c r="AA30" i="5"/>
  <c r="AA31" i="5"/>
  <c r="AA32" i="5"/>
  <c r="AA33" i="5"/>
  <c r="AA34" i="5"/>
  <c r="AA35" i="5"/>
  <c r="AA36" i="5"/>
  <c r="AA38" i="5"/>
  <c r="AA39" i="5"/>
  <c r="AA40" i="5"/>
  <c r="AA42" i="5"/>
  <c r="AA43" i="5"/>
  <c r="AA44" i="5"/>
  <c r="AA46" i="5"/>
  <c r="AA47" i="5"/>
  <c r="AA48" i="5"/>
  <c r="AA49" i="5"/>
  <c r="AA50" i="5"/>
  <c r="AA51" i="5"/>
  <c r="AA53" i="5"/>
  <c r="AA54" i="5"/>
  <c r="AA55" i="5"/>
  <c r="AA56" i="5"/>
  <c r="AA57" i="5"/>
  <c r="AA58" i="5"/>
  <c r="AA59" i="5"/>
  <c r="AA60" i="5"/>
  <c r="AA61" i="5"/>
  <c r="AA62" i="5"/>
  <c r="AA63" i="5"/>
  <c r="AA64" i="5"/>
  <c r="AA65" i="5"/>
  <c r="AA66" i="5"/>
  <c r="AA67" i="5"/>
  <c r="AA71" i="5"/>
  <c r="AA72" i="5"/>
  <c r="AA74" i="5"/>
  <c r="AA76" i="5"/>
  <c r="AA77" i="5"/>
  <c r="AA78" i="5"/>
  <c r="AA79" i="5"/>
  <c r="AA80" i="5"/>
  <c r="AA81" i="5"/>
  <c r="AA82" i="5"/>
  <c r="AA83" i="5"/>
  <c r="AA84" i="5"/>
  <c r="AA85" i="5"/>
  <c r="AA86" i="5"/>
  <c r="AA87" i="5"/>
  <c r="AA88" i="5"/>
  <c r="AA89" i="5"/>
  <c r="AA90" i="5"/>
  <c r="AA91" i="5"/>
  <c r="AA92" i="5"/>
  <c r="AA93" i="5"/>
  <c r="AA94" i="5"/>
  <c r="AA95" i="5"/>
  <c r="AA96" i="5"/>
  <c r="AA97" i="5"/>
  <c r="AA98" i="5"/>
  <c r="AA99" i="5"/>
  <c r="AA100" i="5"/>
  <c r="AA101" i="5"/>
  <c r="AA102" i="5"/>
  <c r="AA105" i="5"/>
  <c r="AA106" i="5"/>
  <c r="AA107" i="5"/>
  <c r="AA108" i="5"/>
  <c r="AA109" i="5"/>
  <c r="AA110" i="5"/>
  <c r="AA111" i="5"/>
  <c r="AA112" i="5"/>
  <c r="AA113" i="5"/>
  <c r="AA114" i="5"/>
  <c r="AA115" i="5"/>
  <c r="AA116" i="5"/>
  <c r="AA117" i="5"/>
  <c r="AA118" i="5"/>
  <c r="AA119" i="5"/>
  <c r="AA120" i="5"/>
  <c r="AA121" i="5"/>
  <c r="AA122" i="5"/>
  <c r="AA123" i="5"/>
  <c r="AA124" i="5"/>
  <c r="AA125" i="5"/>
  <c r="AA126" i="5"/>
  <c r="AA128" i="5"/>
  <c r="AA129" i="5"/>
  <c r="AA130" i="5"/>
  <c r="AA131" i="5"/>
  <c r="AA134" i="5"/>
  <c r="AA135" i="5"/>
  <c r="AA136" i="5"/>
  <c r="AA137" i="5"/>
  <c r="AA138" i="5"/>
  <c r="AA139" i="5"/>
  <c r="AA140" i="5"/>
  <c r="AB2" i="5"/>
  <c r="AB3" i="5"/>
  <c r="AB4" i="5"/>
  <c r="AB5" i="5"/>
  <c r="AB6" i="5"/>
  <c r="AB7" i="5"/>
  <c r="AB8" i="5"/>
  <c r="AB9" i="5"/>
  <c r="AB10" i="5"/>
  <c r="AB11" i="5"/>
  <c r="AB13" i="5"/>
  <c r="AB15" i="5"/>
  <c r="AB18" i="5"/>
  <c r="AB19" i="5"/>
  <c r="AB20" i="5"/>
  <c r="AB21" i="5"/>
  <c r="AB22" i="5"/>
  <c r="AB23" i="5"/>
  <c r="AB24" i="5"/>
  <c r="AB25" i="5"/>
  <c r="AB26" i="5"/>
  <c r="AB27" i="5"/>
  <c r="AB28" i="5"/>
  <c r="AB29" i="5"/>
  <c r="AB30" i="5"/>
  <c r="AB31" i="5"/>
  <c r="AB32" i="5"/>
  <c r="AB33" i="5"/>
  <c r="AB34" i="5"/>
  <c r="AB35" i="5"/>
  <c r="AB36" i="5"/>
  <c r="AB38" i="5"/>
  <c r="AB39" i="5"/>
  <c r="AB40" i="5"/>
  <c r="AB42" i="5"/>
  <c r="AB43" i="5"/>
  <c r="AB44" i="5"/>
  <c r="AB46" i="5"/>
  <c r="AB47" i="5"/>
  <c r="AB48" i="5"/>
  <c r="AB49" i="5"/>
  <c r="AB50" i="5"/>
  <c r="AB51" i="5"/>
  <c r="AB53" i="5"/>
  <c r="AB54" i="5"/>
  <c r="AB55" i="5"/>
  <c r="AB56" i="5"/>
  <c r="AB57" i="5"/>
  <c r="AB58" i="5"/>
  <c r="AB59" i="5"/>
  <c r="AB60" i="5"/>
  <c r="AB61" i="5"/>
  <c r="AB62" i="5"/>
  <c r="AB63" i="5"/>
  <c r="AB64" i="5"/>
  <c r="AB65" i="5"/>
  <c r="AB66" i="5"/>
  <c r="AB67" i="5"/>
  <c r="AB71" i="5"/>
  <c r="AB72" i="5"/>
  <c r="AB74" i="5"/>
  <c r="AB75" i="5"/>
  <c r="AB76" i="5"/>
  <c r="AB77" i="5"/>
  <c r="AB78" i="5"/>
  <c r="AB79" i="5"/>
  <c r="AB80" i="5"/>
  <c r="AB81" i="5"/>
  <c r="AB82" i="5"/>
  <c r="AB83" i="5"/>
  <c r="AB84" i="5"/>
  <c r="AB86" i="5"/>
  <c r="AB87" i="5"/>
  <c r="AB88" i="5"/>
  <c r="AB89" i="5"/>
  <c r="AB90" i="5"/>
  <c r="AB91" i="5"/>
  <c r="AB92" i="5"/>
  <c r="AB93" i="5"/>
  <c r="AB94" i="5"/>
  <c r="AB95" i="5"/>
  <c r="AB96" i="5"/>
  <c r="AB97" i="5"/>
  <c r="AB98" i="5"/>
  <c r="AB99" i="5"/>
  <c r="AB100" i="5"/>
  <c r="AB101" i="5"/>
  <c r="AB102" i="5"/>
  <c r="AB105" i="5"/>
  <c r="AB106" i="5"/>
  <c r="AB107" i="5"/>
  <c r="AB108" i="5"/>
  <c r="AB109" i="5"/>
  <c r="AB110" i="5"/>
  <c r="AB111" i="5"/>
  <c r="AB112" i="5"/>
  <c r="AB113" i="5"/>
  <c r="AB114" i="5"/>
  <c r="AB115" i="5"/>
  <c r="AB116" i="5"/>
  <c r="AB117" i="5"/>
  <c r="AB118" i="5"/>
  <c r="AB119" i="5"/>
  <c r="AB120" i="5"/>
  <c r="AB121" i="5"/>
  <c r="AB122" i="5"/>
  <c r="AB123" i="5"/>
  <c r="AB124" i="5"/>
  <c r="AB125" i="5"/>
  <c r="AB126" i="5"/>
  <c r="AB128" i="5"/>
  <c r="AB129" i="5"/>
  <c r="AB130" i="5"/>
  <c r="AB131" i="5"/>
  <c r="AB134" i="5"/>
  <c r="AB135" i="5"/>
  <c r="AB136" i="5"/>
  <c r="AB137" i="5"/>
  <c r="AB138" i="5"/>
  <c r="AB139" i="5"/>
  <c r="AB140" i="5"/>
  <c r="AC2" i="5"/>
  <c r="AC3" i="5"/>
  <c r="AC4" i="5"/>
  <c r="AC5" i="5"/>
  <c r="AC6" i="5"/>
  <c r="AC7" i="5"/>
  <c r="AC8" i="5"/>
  <c r="AC9" i="5"/>
  <c r="AC10" i="5"/>
  <c r="AC11" i="5"/>
  <c r="AC13" i="5"/>
  <c r="AC15" i="5"/>
  <c r="AC18" i="5"/>
  <c r="AC19" i="5"/>
  <c r="AC20" i="5"/>
  <c r="AC21" i="5"/>
  <c r="AC22" i="5"/>
  <c r="AC23" i="5"/>
  <c r="AC24" i="5"/>
  <c r="AC25" i="5"/>
  <c r="AC26" i="5"/>
  <c r="AC27" i="5"/>
  <c r="AC28" i="5"/>
  <c r="AC29" i="5"/>
  <c r="AC30" i="5"/>
  <c r="AC31" i="5"/>
  <c r="AC32" i="5"/>
  <c r="AC33" i="5"/>
  <c r="AC34" i="5"/>
  <c r="AC35" i="5"/>
  <c r="AC36" i="5"/>
  <c r="AC38" i="5"/>
  <c r="AC39" i="5"/>
  <c r="AC40" i="5"/>
  <c r="AC42" i="5"/>
  <c r="AC43" i="5"/>
  <c r="AC44" i="5"/>
  <c r="AC46" i="5"/>
  <c r="AC47" i="5"/>
  <c r="AC48" i="5"/>
  <c r="AC49" i="5"/>
  <c r="AC50" i="5"/>
  <c r="AC51" i="5"/>
  <c r="AC53" i="5"/>
  <c r="AC54" i="5"/>
  <c r="AC55" i="5"/>
  <c r="AC56" i="5"/>
  <c r="AC57" i="5"/>
  <c r="AC58" i="5"/>
  <c r="AC59" i="5"/>
  <c r="AC60" i="5"/>
  <c r="AC61" i="5"/>
  <c r="AC62" i="5"/>
  <c r="AC63" i="5"/>
  <c r="AC64" i="5"/>
  <c r="AC65" i="5"/>
  <c r="AC66" i="5"/>
  <c r="AC67" i="5"/>
  <c r="AC71" i="5"/>
  <c r="AC72" i="5"/>
  <c r="AC74" i="5"/>
  <c r="AC75" i="5"/>
  <c r="AC76" i="5"/>
  <c r="AC77" i="5"/>
  <c r="AC78" i="5"/>
  <c r="AC79" i="5"/>
  <c r="AC80" i="5"/>
  <c r="AC81" i="5"/>
  <c r="AC82" i="5"/>
  <c r="AC83" i="5"/>
  <c r="AC84" i="5"/>
  <c r="AC86" i="5"/>
  <c r="AC87" i="5"/>
  <c r="AC88" i="5"/>
  <c r="AC89" i="5"/>
  <c r="AC90" i="5"/>
  <c r="AC91" i="5"/>
  <c r="AC92" i="5"/>
  <c r="AC93" i="5"/>
  <c r="AC94" i="5"/>
  <c r="AC95" i="5"/>
  <c r="AC96" i="5"/>
  <c r="AC97" i="5"/>
  <c r="AC98" i="5"/>
  <c r="AC99" i="5"/>
  <c r="AC100" i="5"/>
  <c r="AC101" i="5"/>
  <c r="AC102" i="5"/>
  <c r="AC105" i="5"/>
  <c r="AC106" i="5"/>
  <c r="AC107" i="5"/>
  <c r="AC108" i="5"/>
  <c r="AC109" i="5"/>
  <c r="AC110" i="5"/>
  <c r="AC111" i="5"/>
  <c r="AC112" i="5"/>
  <c r="AC113" i="5"/>
  <c r="AC114" i="5"/>
  <c r="AC115" i="5"/>
  <c r="AC116" i="5"/>
  <c r="AC117" i="5"/>
  <c r="AC118" i="5"/>
  <c r="AC119" i="5"/>
  <c r="AC120" i="5"/>
  <c r="AC121" i="5"/>
  <c r="AC122" i="5"/>
  <c r="AC123" i="5"/>
  <c r="AC124" i="5"/>
  <c r="AC125" i="5"/>
  <c r="AC126" i="5"/>
  <c r="AC128" i="5"/>
  <c r="AC129" i="5"/>
  <c r="AC130" i="5"/>
  <c r="AC131" i="5"/>
  <c r="AC134" i="5"/>
  <c r="AC135" i="5"/>
  <c r="AC136" i="5"/>
  <c r="AC137" i="5"/>
  <c r="AC138" i="5"/>
  <c r="AC139" i="5"/>
  <c r="AC140" i="5"/>
  <c r="AD2" i="5"/>
  <c r="AD3" i="5"/>
  <c r="AD4" i="5"/>
  <c r="AD5" i="5"/>
  <c r="AD6" i="5"/>
  <c r="AD7" i="5"/>
  <c r="AD8" i="5"/>
  <c r="AD9" i="5"/>
  <c r="AD10" i="5"/>
  <c r="AD11" i="5"/>
  <c r="AD13" i="5"/>
  <c r="AD15" i="5"/>
  <c r="AD18" i="5"/>
  <c r="AD19" i="5"/>
  <c r="AD20" i="5"/>
  <c r="AD21" i="5"/>
  <c r="AD22" i="5"/>
  <c r="AD23" i="5"/>
  <c r="AD24" i="5"/>
  <c r="AD25" i="5"/>
  <c r="AD26" i="5"/>
  <c r="AD27" i="5"/>
  <c r="AD28" i="5"/>
  <c r="AD29" i="5"/>
  <c r="AD30" i="5"/>
  <c r="AD31" i="5"/>
  <c r="AD32" i="5"/>
  <c r="AD33" i="5"/>
  <c r="AD34" i="5"/>
  <c r="AD35" i="5"/>
  <c r="AD36" i="5"/>
  <c r="AD38" i="5"/>
  <c r="AD39" i="5"/>
  <c r="AD40" i="5"/>
  <c r="AD42" i="5"/>
  <c r="AD43" i="5"/>
  <c r="AD44" i="5"/>
  <c r="AD46" i="5"/>
  <c r="AD47" i="5"/>
  <c r="AD48" i="5"/>
  <c r="AD49" i="5"/>
  <c r="AD50" i="5"/>
  <c r="AD51" i="5"/>
  <c r="AD53" i="5"/>
  <c r="AD54" i="5"/>
  <c r="AD55" i="5"/>
  <c r="AD56" i="5"/>
  <c r="AD57" i="5"/>
  <c r="AD58" i="5"/>
  <c r="AD59" i="5"/>
  <c r="AD60" i="5"/>
  <c r="AD61" i="5"/>
  <c r="AD62" i="5"/>
  <c r="AD63" i="5"/>
  <c r="AD64" i="5"/>
  <c r="AD65" i="5"/>
  <c r="AD66" i="5"/>
  <c r="AD67" i="5"/>
  <c r="AD71" i="5"/>
  <c r="AD72" i="5"/>
  <c r="AD74" i="5"/>
  <c r="AD75" i="5"/>
  <c r="AD76" i="5"/>
  <c r="AD77" i="5"/>
  <c r="AD78" i="5"/>
  <c r="AD79" i="5"/>
  <c r="AD80" i="5"/>
  <c r="AD81" i="5"/>
  <c r="AD82" i="5"/>
  <c r="AD83" i="5"/>
  <c r="AD84" i="5"/>
  <c r="AD85" i="5"/>
  <c r="AD86" i="5"/>
  <c r="AD87" i="5"/>
  <c r="AD88" i="5"/>
  <c r="AD89" i="5"/>
  <c r="AD90" i="5"/>
  <c r="AD91" i="5"/>
  <c r="AD92" i="5"/>
  <c r="AD93" i="5"/>
  <c r="AD94" i="5"/>
  <c r="AD95" i="5"/>
  <c r="AD96" i="5"/>
  <c r="AD97" i="5"/>
  <c r="AD98" i="5"/>
  <c r="AD99" i="5"/>
  <c r="AD100" i="5"/>
  <c r="AD101" i="5"/>
  <c r="AD102" i="5"/>
  <c r="AD105" i="5"/>
  <c r="AD106" i="5"/>
  <c r="AD107" i="5"/>
  <c r="AD108" i="5"/>
  <c r="AD109" i="5"/>
  <c r="AD110" i="5"/>
  <c r="AD111" i="5"/>
  <c r="AD112" i="5"/>
  <c r="AD113" i="5"/>
  <c r="AD114" i="5"/>
  <c r="AD115" i="5"/>
  <c r="AD116" i="5"/>
  <c r="AD117" i="5"/>
  <c r="AD118" i="5"/>
  <c r="AD119" i="5"/>
  <c r="AD120" i="5"/>
  <c r="AD121" i="5"/>
  <c r="AD122" i="5"/>
  <c r="AD123" i="5"/>
  <c r="AD124" i="5"/>
  <c r="AD125" i="5"/>
  <c r="AD128" i="5"/>
  <c r="AD129" i="5"/>
  <c r="AD130" i="5"/>
  <c r="AD131" i="5"/>
  <c r="AD134" i="5"/>
  <c r="AD135" i="5"/>
  <c r="AD136" i="5"/>
  <c r="AD137" i="5"/>
  <c r="AD138" i="5"/>
  <c r="AD139" i="5"/>
  <c r="AD140" i="5"/>
  <c r="AE2" i="5"/>
  <c r="AE3" i="5"/>
  <c r="AE4" i="5"/>
  <c r="AE5" i="5"/>
  <c r="AE6" i="5"/>
  <c r="AE7" i="5"/>
  <c r="AE8" i="5"/>
  <c r="AE9" i="5"/>
  <c r="AE10" i="5"/>
  <c r="AE11" i="5"/>
  <c r="AE13" i="5"/>
  <c r="AE15" i="5"/>
  <c r="AE18" i="5"/>
  <c r="AE19" i="5"/>
  <c r="AE20" i="5"/>
  <c r="AE21" i="5"/>
  <c r="AE22" i="5"/>
  <c r="AE23" i="5"/>
  <c r="AE24" i="5"/>
  <c r="AE25" i="5"/>
  <c r="AE26" i="5"/>
  <c r="AE27" i="5"/>
  <c r="AE28" i="5"/>
  <c r="AE29" i="5"/>
  <c r="AE30" i="5"/>
  <c r="AE31" i="5"/>
  <c r="AE32" i="5"/>
  <c r="AE33" i="5"/>
  <c r="AE34" i="5"/>
  <c r="AE35" i="5"/>
  <c r="AE36" i="5"/>
  <c r="AE38" i="5"/>
  <c r="AE39" i="5"/>
  <c r="AE40" i="5"/>
  <c r="AE42" i="5"/>
  <c r="AE43" i="5"/>
  <c r="AE44" i="5"/>
  <c r="AE46" i="5"/>
  <c r="AE47" i="5"/>
  <c r="AE48" i="5"/>
  <c r="AE49" i="5"/>
  <c r="AE50" i="5"/>
  <c r="AE51" i="5"/>
  <c r="AE53" i="5"/>
  <c r="AE54" i="5"/>
  <c r="AE55" i="5"/>
  <c r="AE56" i="5"/>
  <c r="AE57" i="5"/>
  <c r="AE58" i="5"/>
  <c r="AE59" i="5"/>
  <c r="AE60" i="5"/>
  <c r="AE61" i="5"/>
  <c r="AE62" i="5"/>
  <c r="AE63" i="5"/>
  <c r="AE64" i="5"/>
  <c r="AE65" i="5"/>
  <c r="AE66" i="5"/>
  <c r="AE67" i="5"/>
  <c r="AE71" i="5"/>
  <c r="AE72" i="5"/>
  <c r="AE74" i="5"/>
  <c r="AE75" i="5"/>
  <c r="AE76" i="5"/>
  <c r="AE77" i="5"/>
  <c r="AE78" i="5"/>
  <c r="AE79" i="5"/>
  <c r="AE80" i="5"/>
  <c r="AE81" i="5"/>
  <c r="AE82" i="5"/>
  <c r="AE83" i="5"/>
  <c r="AE84" i="5"/>
  <c r="AE85" i="5"/>
  <c r="AE86" i="5"/>
  <c r="AE87" i="5"/>
  <c r="AE88" i="5"/>
  <c r="AE89" i="5"/>
  <c r="AE90" i="5"/>
  <c r="AE91" i="5"/>
  <c r="AE92" i="5"/>
  <c r="AE93" i="5"/>
  <c r="AE94" i="5"/>
  <c r="AE95" i="5"/>
  <c r="AE96" i="5"/>
  <c r="AE97" i="5"/>
  <c r="AE98" i="5"/>
  <c r="AE99" i="5"/>
  <c r="AE100" i="5"/>
  <c r="AE101" i="5"/>
  <c r="AE102" i="5"/>
  <c r="AE105" i="5"/>
  <c r="AE106" i="5"/>
  <c r="AE107" i="5"/>
  <c r="AE108" i="5"/>
  <c r="AE109" i="5"/>
  <c r="AE110" i="5"/>
  <c r="AE111" i="5"/>
  <c r="AE112" i="5"/>
  <c r="AE114" i="5"/>
  <c r="AE115" i="5"/>
  <c r="AE116" i="5"/>
  <c r="AE117" i="5"/>
  <c r="AE118" i="5"/>
  <c r="AE119" i="5"/>
  <c r="AE120" i="5"/>
  <c r="AE121" i="5"/>
  <c r="AE122" i="5"/>
  <c r="AE123" i="5"/>
  <c r="AE124" i="5"/>
  <c r="AE125" i="5"/>
  <c r="AE126" i="5"/>
  <c r="AE128" i="5"/>
  <c r="AE129" i="5"/>
  <c r="AE130" i="5"/>
  <c r="AE131" i="5"/>
  <c r="AE134" i="5"/>
  <c r="AE135" i="5"/>
  <c r="AE136" i="5"/>
  <c r="AE137" i="5"/>
  <c r="AE138" i="5"/>
  <c r="AE139" i="5"/>
  <c r="AE140" i="5"/>
  <c r="AF2" i="5"/>
  <c r="AF3" i="5"/>
  <c r="AF4" i="5"/>
  <c r="AF5" i="5"/>
  <c r="AF6" i="5"/>
  <c r="AF7" i="5"/>
  <c r="AF8" i="5"/>
  <c r="AF9" i="5"/>
  <c r="AF10" i="5"/>
  <c r="AF11" i="5"/>
  <c r="AF13" i="5"/>
  <c r="AF15" i="5"/>
  <c r="AF18" i="5"/>
  <c r="AF19" i="5"/>
  <c r="AF20" i="5"/>
  <c r="AF21" i="5"/>
  <c r="AF22" i="5"/>
  <c r="AF23" i="5"/>
  <c r="AF24" i="5"/>
  <c r="AF25" i="5"/>
  <c r="AF26" i="5"/>
  <c r="AF27" i="5"/>
  <c r="AF28" i="5"/>
  <c r="AF29" i="5"/>
  <c r="AF30" i="5"/>
  <c r="AF31" i="5"/>
  <c r="AF32" i="5"/>
  <c r="AF33" i="5"/>
  <c r="AF34" i="5"/>
  <c r="AF35" i="5"/>
  <c r="AF36" i="5"/>
  <c r="AF38" i="5"/>
  <c r="AF39" i="5"/>
  <c r="AF40" i="5"/>
  <c r="AF42" i="5"/>
  <c r="AF43" i="5"/>
  <c r="AF44" i="5"/>
  <c r="AF46" i="5"/>
  <c r="AF47" i="5"/>
  <c r="AF48" i="5"/>
  <c r="AF49" i="5"/>
  <c r="AF50" i="5"/>
  <c r="AF51" i="5"/>
  <c r="AF53" i="5"/>
  <c r="AF54" i="5"/>
  <c r="AF55" i="5"/>
  <c r="AF56" i="5"/>
  <c r="AF57" i="5"/>
  <c r="AF58" i="5"/>
  <c r="AF59" i="5"/>
  <c r="AF60" i="5"/>
  <c r="AF61" i="5"/>
  <c r="AF62" i="5"/>
  <c r="AF63" i="5"/>
  <c r="AF64" i="5"/>
  <c r="AF65" i="5"/>
  <c r="AF66" i="5"/>
  <c r="AF67" i="5"/>
  <c r="AF71" i="5"/>
  <c r="AF72" i="5"/>
  <c r="AF74" i="5"/>
  <c r="AF75" i="5"/>
  <c r="AF76" i="5"/>
  <c r="AF77" i="5"/>
  <c r="AF78" i="5"/>
  <c r="AF79" i="5"/>
  <c r="AF80" i="5"/>
  <c r="AF81" i="5"/>
  <c r="AF82" i="5"/>
  <c r="AF83" i="5"/>
  <c r="AF84" i="5"/>
  <c r="AF85" i="5"/>
  <c r="AF86" i="5"/>
  <c r="AF87" i="5"/>
  <c r="AF88" i="5"/>
  <c r="AF89" i="5"/>
  <c r="AF90" i="5"/>
  <c r="AF91" i="5"/>
  <c r="AF92" i="5"/>
  <c r="AF93" i="5"/>
  <c r="AF94" i="5"/>
  <c r="AF95" i="5"/>
  <c r="AF96" i="5"/>
  <c r="AF97" i="5"/>
  <c r="AF98" i="5"/>
  <c r="AF99" i="5"/>
  <c r="AF100" i="5"/>
  <c r="AF101" i="5"/>
  <c r="AF102" i="5"/>
  <c r="AF105" i="5"/>
  <c r="AF106" i="5"/>
  <c r="AF107" i="5"/>
  <c r="AF108" i="5"/>
  <c r="AF109" i="5"/>
  <c r="AF110" i="5"/>
  <c r="AF111" i="5"/>
  <c r="AF112" i="5"/>
  <c r="AF113" i="5"/>
  <c r="AF114" i="5"/>
  <c r="AF115" i="5"/>
  <c r="AF116" i="5"/>
  <c r="AF117" i="5"/>
  <c r="AF118" i="5"/>
  <c r="AF119" i="5"/>
  <c r="AF120" i="5"/>
  <c r="AF121" i="5"/>
  <c r="AF122" i="5"/>
  <c r="AF123" i="5"/>
  <c r="AF124" i="5"/>
  <c r="AF125" i="5"/>
  <c r="AF126" i="5"/>
  <c r="AF128" i="5"/>
  <c r="AF129" i="5"/>
  <c r="AF130" i="5"/>
  <c r="AF131" i="5"/>
  <c r="AF134" i="5"/>
  <c r="AF135" i="5"/>
  <c r="AF136" i="5"/>
  <c r="AF137" i="5"/>
  <c r="AF138" i="5"/>
  <c r="AF139" i="5"/>
  <c r="AF140" i="5"/>
  <c r="AG2" i="5"/>
  <c r="AG3" i="5"/>
  <c r="AG4" i="5"/>
  <c r="AG5" i="5"/>
  <c r="AG6" i="5"/>
  <c r="AG8" i="5"/>
  <c r="AG9" i="5"/>
  <c r="AG10" i="5"/>
  <c r="AG11" i="5"/>
  <c r="AG13" i="5"/>
  <c r="AG15" i="5"/>
  <c r="AG18" i="5"/>
  <c r="AG19" i="5"/>
  <c r="AG20" i="5"/>
  <c r="AG21" i="5"/>
  <c r="AG22" i="5"/>
  <c r="AG24" i="5"/>
  <c r="AG25" i="5"/>
  <c r="AG26" i="5"/>
  <c r="AG27" i="5"/>
  <c r="AG28" i="5"/>
  <c r="AG29" i="5"/>
  <c r="AG30" i="5"/>
  <c r="AG31" i="5"/>
  <c r="AG32" i="5"/>
  <c r="AG33" i="5"/>
  <c r="AG34" i="5"/>
  <c r="AG35" i="5"/>
  <c r="AG36" i="5"/>
  <c r="AG39" i="5"/>
  <c r="AG40" i="5"/>
  <c r="AG42" i="5"/>
  <c r="AG43" i="5"/>
  <c r="AG44" i="5"/>
  <c r="AG46" i="5"/>
  <c r="AG47" i="5"/>
  <c r="AG48" i="5"/>
  <c r="AG49" i="5"/>
  <c r="AG50" i="5"/>
  <c r="AG51" i="5"/>
  <c r="AG53" i="5"/>
  <c r="AG54" i="5"/>
  <c r="AG55" i="5"/>
  <c r="AG56" i="5"/>
  <c r="AG57" i="5"/>
  <c r="AG58" i="5"/>
  <c r="AG59" i="5"/>
  <c r="AG60" i="5"/>
  <c r="AG61" i="5"/>
  <c r="AG62" i="5"/>
  <c r="AG63" i="5"/>
  <c r="AG64" i="5"/>
  <c r="AG66" i="5"/>
  <c r="AG67" i="5"/>
  <c r="AG71" i="5"/>
  <c r="AG72" i="5"/>
  <c r="AG74" i="5"/>
  <c r="AG75" i="5"/>
  <c r="AG76" i="5"/>
  <c r="AG77" i="5"/>
  <c r="AG78" i="5"/>
  <c r="AG79" i="5"/>
  <c r="AG80" i="5"/>
  <c r="AG81" i="5"/>
  <c r="AG82" i="5"/>
  <c r="AG83" i="5"/>
  <c r="AG84" i="5"/>
  <c r="AG85" i="5"/>
  <c r="AG86" i="5"/>
  <c r="AG87" i="5"/>
  <c r="AG88" i="5"/>
  <c r="AG89" i="5"/>
  <c r="AG90" i="5"/>
  <c r="AG91" i="5"/>
  <c r="AG92" i="5"/>
  <c r="AG93" i="5"/>
  <c r="AG94" i="5"/>
  <c r="AG95" i="5"/>
  <c r="AG96" i="5"/>
  <c r="AG97" i="5"/>
  <c r="AG98" i="5"/>
  <c r="AG99" i="5"/>
  <c r="AG100" i="5"/>
  <c r="AG101" i="5"/>
  <c r="AG102" i="5"/>
  <c r="AG105" i="5"/>
  <c r="AG106" i="5"/>
  <c r="AG107" i="5"/>
  <c r="AG108" i="5"/>
  <c r="AG109" i="5"/>
  <c r="AG110" i="5"/>
  <c r="AG111" i="5"/>
  <c r="AG112" i="5"/>
  <c r="AG113" i="5"/>
  <c r="AG114" i="5"/>
  <c r="AG115" i="5"/>
  <c r="AG116" i="5"/>
  <c r="AG117" i="5"/>
  <c r="AG118" i="5"/>
  <c r="AG119" i="5"/>
  <c r="AG120" i="5"/>
  <c r="AG121" i="5"/>
  <c r="AG122" i="5"/>
  <c r="AG123" i="5"/>
  <c r="AG124" i="5"/>
  <c r="AG125" i="5"/>
  <c r="AG126" i="5"/>
  <c r="AG129" i="5"/>
  <c r="AG130" i="5"/>
  <c r="AG131" i="5"/>
  <c r="AG134" i="5"/>
  <c r="AG135" i="5"/>
  <c r="AG136" i="5"/>
  <c r="AG137" i="5"/>
  <c r="AG138" i="5"/>
  <c r="AG139" i="5"/>
  <c r="AH2" i="5"/>
  <c r="AH3" i="5"/>
  <c r="AH4" i="5"/>
  <c r="AH5" i="5"/>
  <c r="AH6" i="5"/>
  <c r="AH7" i="5"/>
  <c r="AH8" i="5"/>
  <c r="AH10" i="5"/>
  <c r="AH11" i="5"/>
  <c r="AH13" i="5"/>
  <c r="AH15" i="5"/>
  <c r="AH18" i="5"/>
  <c r="AH19" i="5"/>
  <c r="AH20" i="5"/>
  <c r="AH21" i="5"/>
  <c r="AH22" i="5"/>
  <c r="AH23" i="5"/>
  <c r="AH24" i="5"/>
  <c r="AH25" i="5"/>
  <c r="AH26" i="5"/>
  <c r="AH27" i="5"/>
  <c r="AH28" i="5"/>
  <c r="AH29" i="5"/>
  <c r="AH30" i="5"/>
  <c r="AH31" i="5"/>
  <c r="AH32" i="5"/>
  <c r="AH33" i="5"/>
  <c r="AH34" i="5"/>
  <c r="AH35" i="5"/>
  <c r="AH36" i="5"/>
  <c r="AH38" i="5"/>
  <c r="AH39" i="5"/>
  <c r="AH40" i="5"/>
  <c r="AH42" i="5"/>
  <c r="AH43" i="5"/>
  <c r="AH44" i="5"/>
  <c r="AH46" i="5"/>
  <c r="AH47" i="5"/>
  <c r="AH48" i="5"/>
  <c r="AH49" i="5"/>
  <c r="AH50" i="5"/>
  <c r="AH51" i="5"/>
  <c r="AH53" i="5"/>
  <c r="AH54" i="5"/>
  <c r="AH55" i="5"/>
  <c r="AH56" i="5"/>
  <c r="AH57" i="5"/>
  <c r="AH58" i="5"/>
  <c r="AH59" i="5"/>
  <c r="AH60" i="5"/>
  <c r="AH61" i="5"/>
  <c r="AH62" i="5"/>
  <c r="AH63" i="5"/>
  <c r="AH64" i="5"/>
  <c r="AH65" i="5"/>
  <c r="AH66" i="5"/>
  <c r="AH67" i="5"/>
  <c r="AH71" i="5"/>
  <c r="AH72" i="5"/>
  <c r="AH74" i="5"/>
  <c r="AH75" i="5"/>
  <c r="AH76" i="5"/>
  <c r="AH77" i="5"/>
  <c r="AH78" i="5"/>
  <c r="AH79" i="5"/>
  <c r="AH80" i="5"/>
  <c r="AH81" i="5"/>
  <c r="AH82" i="5"/>
  <c r="AH83" i="5"/>
  <c r="AH84" i="5"/>
  <c r="AH85" i="5"/>
  <c r="AH86" i="5"/>
  <c r="AH87" i="5"/>
  <c r="AH88" i="5"/>
  <c r="AH89" i="5"/>
  <c r="AH90" i="5"/>
  <c r="AH91" i="5"/>
  <c r="AH92" i="5"/>
  <c r="AH93" i="5"/>
  <c r="AH94" i="5"/>
  <c r="AH95" i="5"/>
  <c r="AH96" i="5"/>
  <c r="AH97" i="5"/>
  <c r="AH98" i="5"/>
  <c r="AH99" i="5"/>
  <c r="AH100" i="5"/>
  <c r="AH101" i="5"/>
  <c r="AH102" i="5"/>
  <c r="AH105" i="5"/>
  <c r="AH106" i="5"/>
  <c r="AH107" i="5"/>
  <c r="AH108" i="5"/>
  <c r="AH109" i="5"/>
  <c r="AH110" i="5"/>
  <c r="AH111" i="5"/>
  <c r="AH112" i="5"/>
  <c r="AH113" i="5"/>
  <c r="AH114" i="5"/>
  <c r="AH115" i="5"/>
  <c r="AH116" i="5"/>
  <c r="AH117" i="5"/>
  <c r="AH118" i="5"/>
  <c r="AH119" i="5"/>
  <c r="AH120" i="5"/>
  <c r="AH121" i="5"/>
  <c r="AH122" i="5"/>
  <c r="AH123" i="5"/>
  <c r="AH124" i="5"/>
  <c r="AH125" i="5"/>
  <c r="AH126" i="5"/>
  <c r="AH128" i="5"/>
  <c r="AH129" i="5"/>
  <c r="AH130" i="5"/>
  <c r="AH131" i="5"/>
  <c r="AH134" i="5"/>
  <c r="AH135" i="5"/>
  <c r="AH136" i="5"/>
  <c r="AH137" i="5"/>
  <c r="AH138" i="5"/>
  <c r="AH139" i="5"/>
  <c r="AH140" i="5"/>
  <c r="AJ2" i="5"/>
  <c r="AJ3" i="5"/>
  <c r="AJ4" i="5"/>
  <c r="AJ5" i="5"/>
  <c r="AJ6" i="5"/>
  <c r="AJ7" i="5"/>
  <c r="AJ8" i="5"/>
  <c r="AJ9" i="5"/>
  <c r="AJ10" i="5"/>
  <c r="AJ11" i="5"/>
  <c r="AJ13" i="5"/>
  <c r="AJ15" i="5"/>
  <c r="AJ18" i="5"/>
  <c r="AJ19" i="5"/>
  <c r="AJ20" i="5"/>
  <c r="AJ21" i="5"/>
  <c r="AJ22" i="5"/>
  <c r="AJ23" i="5"/>
  <c r="AJ24" i="5"/>
  <c r="AJ25" i="5"/>
  <c r="AJ26" i="5"/>
  <c r="AJ27" i="5"/>
  <c r="AJ28" i="5"/>
  <c r="AJ29" i="5"/>
  <c r="AJ30" i="5"/>
  <c r="AJ31" i="5"/>
  <c r="AJ32" i="5"/>
  <c r="AJ33" i="5"/>
  <c r="AJ34" i="5"/>
  <c r="AJ35" i="5"/>
  <c r="AJ36" i="5"/>
  <c r="AJ38" i="5"/>
  <c r="AJ39" i="5"/>
  <c r="AJ40" i="5"/>
  <c r="AJ42" i="5"/>
  <c r="AJ43" i="5"/>
  <c r="AJ44" i="5"/>
  <c r="AJ46" i="5"/>
  <c r="AJ47" i="5"/>
  <c r="AJ48" i="5"/>
  <c r="AJ49" i="5"/>
  <c r="AJ50" i="5"/>
  <c r="AJ51" i="5"/>
  <c r="AJ53" i="5"/>
  <c r="AJ54" i="5"/>
  <c r="AJ55" i="5"/>
  <c r="AJ56" i="5"/>
  <c r="AJ57" i="5"/>
  <c r="AJ58" i="5"/>
  <c r="AJ59" i="5"/>
  <c r="AJ60" i="5"/>
  <c r="AJ61" i="5"/>
  <c r="AJ62" i="5"/>
  <c r="AJ63" i="5"/>
  <c r="AJ64" i="5"/>
  <c r="AJ65" i="5"/>
  <c r="AJ66" i="5"/>
  <c r="AJ67" i="5"/>
  <c r="AJ71" i="5"/>
  <c r="AJ72" i="5"/>
  <c r="AJ74" i="5"/>
  <c r="AJ75" i="5"/>
  <c r="AJ76" i="5"/>
  <c r="AJ77" i="5"/>
  <c r="AJ78" i="5"/>
  <c r="AJ79" i="5"/>
  <c r="AJ80" i="5"/>
  <c r="AJ81" i="5"/>
  <c r="AJ82" i="5"/>
  <c r="AJ83" i="5"/>
  <c r="AJ84" i="5"/>
  <c r="AJ85" i="5"/>
  <c r="AJ86" i="5"/>
  <c r="AJ87" i="5"/>
  <c r="AJ88" i="5"/>
  <c r="AJ89" i="5"/>
  <c r="AJ90" i="5"/>
  <c r="AJ91" i="5"/>
  <c r="AJ92" i="5"/>
  <c r="AJ93" i="5"/>
  <c r="AJ94" i="5"/>
  <c r="AJ95" i="5"/>
  <c r="AJ96" i="5"/>
  <c r="AJ97" i="5"/>
  <c r="AJ98" i="5"/>
  <c r="AJ99" i="5"/>
  <c r="AJ100" i="5"/>
  <c r="AJ101" i="5"/>
  <c r="AJ105" i="5"/>
  <c r="AJ106" i="5"/>
  <c r="AJ107" i="5"/>
  <c r="AJ108" i="5"/>
  <c r="AJ109" i="5"/>
  <c r="AJ110" i="5"/>
  <c r="AJ111" i="5"/>
  <c r="AJ112" i="5"/>
  <c r="AJ113" i="5"/>
  <c r="AJ114" i="5"/>
  <c r="AJ115" i="5"/>
  <c r="AJ116" i="5"/>
  <c r="AJ117" i="5"/>
  <c r="AJ118" i="5"/>
  <c r="AJ119" i="5"/>
  <c r="AJ120" i="5"/>
  <c r="AJ121" i="5"/>
  <c r="AJ122" i="5"/>
  <c r="AJ123" i="5"/>
  <c r="AJ124" i="5"/>
  <c r="AJ125" i="5"/>
  <c r="AJ126" i="5"/>
  <c r="AJ128" i="5"/>
  <c r="AJ129" i="5"/>
  <c r="AJ130" i="5"/>
  <c r="AJ131" i="5"/>
  <c r="AJ134" i="5"/>
  <c r="AJ135" i="5"/>
  <c r="AJ136" i="5"/>
  <c r="AJ137" i="5"/>
  <c r="AJ138" i="5"/>
  <c r="AJ139" i="5"/>
  <c r="AJ140" i="5"/>
  <c r="AK2" i="5"/>
  <c r="AK3" i="5"/>
  <c r="AK4" i="5"/>
  <c r="AK5" i="5"/>
  <c r="AK6" i="5"/>
  <c r="AK7" i="5"/>
  <c r="AK8" i="5"/>
  <c r="AK9" i="5"/>
  <c r="AK10" i="5"/>
  <c r="AK11" i="5"/>
  <c r="AK13" i="5"/>
  <c r="AK15" i="5"/>
  <c r="AK18" i="5"/>
  <c r="AK19" i="5"/>
  <c r="AK20" i="5"/>
  <c r="AK21" i="5"/>
  <c r="AK22" i="5"/>
  <c r="AK23" i="5"/>
  <c r="AK24" i="5"/>
  <c r="AK25" i="5"/>
  <c r="AK26" i="5"/>
  <c r="AK27" i="5"/>
  <c r="AK28" i="5"/>
  <c r="AK29" i="5"/>
  <c r="AK30" i="5"/>
  <c r="AK31" i="5"/>
  <c r="AK32" i="5"/>
  <c r="AK33" i="5"/>
  <c r="AK34" i="5"/>
  <c r="AK35" i="5"/>
  <c r="AK36" i="5"/>
  <c r="AK38" i="5"/>
  <c r="AK39" i="5"/>
  <c r="AK40" i="5"/>
  <c r="AK42" i="5"/>
  <c r="AK43" i="5"/>
  <c r="AK44" i="5"/>
  <c r="AK46" i="5"/>
  <c r="AK47" i="5"/>
  <c r="AK48" i="5"/>
  <c r="AK49" i="5"/>
  <c r="AK50" i="5"/>
  <c r="AK51" i="5"/>
  <c r="AK53" i="5"/>
  <c r="AK54" i="5"/>
  <c r="AK55" i="5"/>
  <c r="AK56" i="5"/>
  <c r="AK57" i="5"/>
  <c r="AK58" i="5"/>
  <c r="AK59" i="5"/>
  <c r="AK60" i="5"/>
  <c r="AK61" i="5"/>
  <c r="AK62" i="5"/>
  <c r="AK63" i="5"/>
  <c r="AK64" i="5"/>
  <c r="AK65" i="5"/>
  <c r="AK66" i="5"/>
  <c r="AK67" i="5"/>
  <c r="AK71" i="5"/>
  <c r="AK72" i="5"/>
  <c r="AK74" i="5"/>
  <c r="AK75" i="5"/>
  <c r="AK76" i="5"/>
  <c r="AK77" i="5"/>
  <c r="AK78" i="5"/>
  <c r="AK79" i="5"/>
  <c r="AK80" i="5"/>
  <c r="AK81" i="5"/>
  <c r="AK82" i="5"/>
  <c r="AK83" i="5"/>
  <c r="AK84" i="5"/>
  <c r="AK85" i="5"/>
  <c r="AK86" i="5"/>
  <c r="AK87" i="5"/>
  <c r="AK88" i="5"/>
  <c r="AK89" i="5"/>
  <c r="AK90" i="5"/>
  <c r="AK91" i="5"/>
  <c r="AK92" i="5"/>
  <c r="AK93" i="5"/>
  <c r="AK94" i="5"/>
  <c r="AK95" i="5"/>
  <c r="AK96" i="5"/>
  <c r="AK97" i="5"/>
  <c r="AK98" i="5"/>
  <c r="AK99" i="5"/>
  <c r="AK100" i="5"/>
  <c r="AK101" i="5"/>
  <c r="AK102" i="5"/>
  <c r="AK105" i="5"/>
  <c r="AK106" i="5"/>
  <c r="AK107" i="5"/>
  <c r="AK108" i="5"/>
  <c r="AK109" i="5"/>
  <c r="AK110" i="5"/>
  <c r="AK111" i="5"/>
  <c r="AK112" i="5"/>
  <c r="AK113" i="5"/>
  <c r="AK114" i="5"/>
  <c r="AK115" i="5"/>
  <c r="AK116" i="5"/>
  <c r="AK117" i="5"/>
  <c r="AK118" i="5"/>
  <c r="AK119" i="5"/>
  <c r="AK120" i="5"/>
  <c r="AK121" i="5"/>
  <c r="AK122" i="5"/>
  <c r="AK123" i="5"/>
  <c r="AK124" i="5"/>
  <c r="AK125" i="5"/>
  <c r="AK126" i="5"/>
  <c r="AK128" i="5"/>
  <c r="AK129" i="5"/>
  <c r="AK130" i="5"/>
  <c r="AK131" i="5"/>
  <c r="AK134" i="5"/>
  <c r="AK135" i="5"/>
  <c r="AK136" i="5"/>
  <c r="AK137" i="5"/>
  <c r="AK138" i="5"/>
  <c r="AK139" i="5"/>
  <c r="AK140" i="5"/>
  <c r="AL2" i="5"/>
  <c r="AL3" i="5"/>
  <c r="AL4" i="5"/>
  <c r="AL5" i="5"/>
  <c r="AL6" i="5"/>
  <c r="AL7" i="5"/>
  <c r="AL8" i="5"/>
  <c r="AL9" i="5"/>
  <c r="AL10" i="5"/>
  <c r="AL11" i="5"/>
  <c r="AL13" i="5"/>
  <c r="AL15" i="5"/>
  <c r="AL18" i="5"/>
  <c r="AL19" i="5"/>
  <c r="AL20" i="5"/>
  <c r="AL21" i="5"/>
  <c r="AL22" i="5"/>
  <c r="AL23" i="5"/>
  <c r="AL24" i="5"/>
  <c r="AL25" i="5"/>
  <c r="AL26" i="5"/>
  <c r="AL27" i="5"/>
  <c r="AL28" i="5"/>
  <c r="AL29" i="5"/>
  <c r="AL30" i="5"/>
  <c r="AL31" i="5"/>
  <c r="AL32" i="5"/>
  <c r="AL33" i="5"/>
  <c r="AL34" i="5"/>
  <c r="AL35" i="5"/>
  <c r="AL36" i="5"/>
  <c r="AL38" i="5"/>
  <c r="AL39" i="5"/>
  <c r="AL40" i="5"/>
  <c r="AL42" i="5"/>
  <c r="AL43" i="5"/>
  <c r="AL44" i="5"/>
  <c r="AL46" i="5"/>
  <c r="AL47" i="5"/>
  <c r="AL48" i="5"/>
  <c r="AL49" i="5"/>
  <c r="AL50" i="5"/>
  <c r="AL51" i="5"/>
  <c r="AL53" i="5"/>
  <c r="AL54" i="5"/>
  <c r="AL55" i="5"/>
  <c r="AL56" i="5"/>
  <c r="AL57" i="5"/>
  <c r="AL58" i="5"/>
  <c r="AL59" i="5"/>
  <c r="AL60" i="5"/>
  <c r="AL61" i="5"/>
  <c r="AL62" i="5"/>
  <c r="AL63" i="5"/>
  <c r="AL64" i="5"/>
  <c r="AL65" i="5"/>
  <c r="AL66" i="5"/>
  <c r="AL67" i="5"/>
  <c r="AL71" i="5"/>
  <c r="AL72" i="5"/>
  <c r="AL74" i="5"/>
  <c r="AL75" i="5"/>
  <c r="AL76" i="5"/>
  <c r="AL77" i="5"/>
  <c r="AL78" i="5"/>
  <c r="AL79" i="5"/>
  <c r="AL80" i="5"/>
  <c r="AL81" i="5"/>
  <c r="AL82" i="5"/>
  <c r="AL83" i="5"/>
  <c r="AL84" i="5"/>
  <c r="AL85" i="5"/>
  <c r="AL86" i="5"/>
  <c r="AL87" i="5"/>
  <c r="AL88" i="5"/>
  <c r="AL89" i="5"/>
  <c r="AL90" i="5"/>
  <c r="AL91" i="5"/>
  <c r="AL92" i="5"/>
  <c r="AL93" i="5"/>
  <c r="AL94" i="5"/>
  <c r="AL95" i="5"/>
  <c r="AL96" i="5"/>
  <c r="AL97" i="5"/>
  <c r="AL98" i="5"/>
  <c r="AL99" i="5"/>
  <c r="AL100" i="5"/>
  <c r="AL101" i="5"/>
  <c r="AL102" i="5"/>
  <c r="AL105" i="5"/>
  <c r="AL106" i="5"/>
  <c r="AL107" i="5"/>
  <c r="AL108" i="5"/>
  <c r="AL109" i="5"/>
  <c r="AL110" i="5"/>
  <c r="AL111" i="5"/>
  <c r="AL112" i="5"/>
  <c r="AL113" i="5"/>
  <c r="AL114" i="5"/>
  <c r="AL115" i="5"/>
  <c r="AL116" i="5"/>
  <c r="AL117" i="5"/>
  <c r="AL118" i="5"/>
  <c r="AL119" i="5"/>
  <c r="AL120" i="5"/>
  <c r="AL121" i="5"/>
  <c r="AL122" i="5"/>
  <c r="AL123" i="5"/>
  <c r="AL124" i="5"/>
  <c r="AL125" i="5"/>
  <c r="AL126" i="5"/>
  <c r="AL128" i="5"/>
  <c r="AL129" i="5"/>
  <c r="AL130" i="5"/>
  <c r="AL131" i="5"/>
  <c r="AL134" i="5"/>
  <c r="AL135" i="5"/>
  <c r="AL136" i="5"/>
  <c r="AL137" i="5"/>
  <c r="AL138" i="5"/>
  <c r="AL139" i="5"/>
  <c r="AL140" i="5"/>
  <c r="AM53" i="5"/>
  <c r="AM54" i="5"/>
  <c r="AM55" i="5"/>
  <c r="AM56" i="5"/>
  <c r="AM57" i="5"/>
  <c r="AM58" i="5"/>
  <c r="AM59" i="5"/>
  <c r="AM60" i="5"/>
  <c r="AM61" i="5"/>
  <c r="AM62" i="5"/>
  <c r="AM63" i="5"/>
  <c r="AM64" i="5"/>
  <c r="AM65" i="5"/>
  <c r="AM66" i="5"/>
  <c r="AM67" i="5"/>
  <c r="AM71" i="5"/>
  <c r="AM72" i="5"/>
  <c r="AM74" i="5"/>
  <c r="AM75" i="5"/>
  <c r="AM76" i="5"/>
  <c r="AM77" i="5"/>
  <c r="AM78" i="5"/>
  <c r="AM79" i="5"/>
  <c r="AM80" i="5"/>
  <c r="AM81" i="5"/>
  <c r="AM82" i="5"/>
  <c r="AM83" i="5"/>
  <c r="AM84" i="5"/>
  <c r="AM85" i="5"/>
  <c r="AM86" i="5"/>
  <c r="AM87" i="5"/>
  <c r="AM88" i="5"/>
  <c r="AM89" i="5"/>
  <c r="AM90" i="5"/>
  <c r="AM91" i="5"/>
  <c r="AM92" i="5"/>
  <c r="AM93" i="5"/>
  <c r="AM94" i="5"/>
  <c r="AM95" i="5"/>
  <c r="AM96" i="5"/>
  <c r="AM97" i="5"/>
  <c r="AM98" i="5"/>
  <c r="AM99" i="5"/>
  <c r="AM100" i="5"/>
  <c r="AM101" i="5"/>
  <c r="AM102" i="5"/>
  <c r="AM105" i="5"/>
  <c r="AM106" i="5"/>
  <c r="AM107" i="5"/>
  <c r="AM108" i="5"/>
  <c r="AM109" i="5"/>
  <c r="AM110" i="5"/>
  <c r="AM111" i="5"/>
  <c r="AM112" i="5"/>
  <c r="AM113" i="5"/>
  <c r="AM114" i="5"/>
  <c r="AM115" i="5"/>
  <c r="AM116" i="5"/>
  <c r="AM117" i="5"/>
  <c r="AM118" i="5"/>
  <c r="AM119" i="5"/>
  <c r="AM120" i="5"/>
  <c r="AM121" i="5"/>
  <c r="AM122" i="5"/>
  <c r="AM123" i="5"/>
  <c r="AM124" i="5"/>
  <c r="AM125" i="5"/>
  <c r="AM126" i="5"/>
  <c r="AM128" i="5"/>
  <c r="AM129" i="5"/>
  <c r="AM130" i="5"/>
  <c r="AM131" i="5"/>
  <c r="AM134" i="5"/>
  <c r="AM135" i="5"/>
  <c r="AM136" i="5"/>
  <c r="AM137" i="5"/>
  <c r="AM138" i="5"/>
  <c r="AM139" i="5"/>
  <c r="AM140" i="5"/>
  <c r="AO2" i="5"/>
  <c r="AO3" i="5"/>
  <c r="AO4" i="5"/>
  <c r="AO5" i="5"/>
  <c r="AO6" i="5"/>
  <c r="AO7" i="5"/>
  <c r="AO8" i="5"/>
  <c r="AO9" i="5"/>
  <c r="AO10" i="5"/>
  <c r="AO11" i="5"/>
  <c r="AO13" i="5"/>
  <c r="AO15" i="5"/>
  <c r="AO18" i="5"/>
  <c r="AO19" i="5"/>
  <c r="AO20" i="5"/>
  <c r="AO21" i="5"/>
  <c r="AO22" i="5"/>
  <c r="AO23" i="5"/>
  <c r="AO24" i="5"/>
  <c r="AO25" i="5"/>
  <c r="AO26" i="5"/>
  <c r="AO27" i="5"/>
  <c r="AO28" i="5"/>
  <c r="AO29" i="5"/>
  <c r="AO30" i="5"/>
  <c r="AO31" i="5"/>
  <c r="AO32" i="5"/>
  <c r="AO33" i="5"/>
  <c r="AO34" i="5"/>
  <c r="AO35" i="5"/>
  <c r="AO36" i="5"/>
  <c r="AO38" i="5"/>
  <c r="AO39" i="5"/>
  <c r="AO40" i="5"/>
  <c r="AO42" i="5"/>
  <c r="AO43" i="5"/>
  <c r="AO44" i="5"/>
  <c r="AO46" i="5"/>
  <c r="AO47" i="5"/>
  <c r="AO48" i="5"/>
  <c r="AO49" i="5"/>
  <c r="AO50" i="5"/>
  <c r="AO51" i="5"/>
  <c r="AO52" i="5"/>
  <c r="AO53" i="5"/>
  <c r="AO54" i="5"/>
  <c r="AO55" i="5"/>
  <c r="AO56" i="5"/>
  <c r="AO57" i="5"/>
  <c r="AO58" i="5"/>
  <c r="AO59" i="5"/>
  <c r="AO60" i="5"/>
  <c r="AO61" i="5"/>
  <c r="AO62" i="5"/>
  <c r="AO63" i="5"/>
  <c r="AO64" i="5"/>
  <c r="AO65" i="5"/>
  <c r="AO66" i="5"/>
  <c r="AO67" i="5"/>
  <c r="AO70" i="5"/>
  <c r="AO71" i="5"/>
  <c r="AO72" i="5"/>
  <c r="AO74" i="5"/>
  <c r="AO75" i="5"/>
  <c r="AO76" i="5"/>
  <c r="AO77" i="5"/>
  <c r="AO78" i="5"/>
  <c r="AO79" i="5"/>
  <c r="AO80" i="5"/>
  <c r="AO81" i="5"/>
  <c r="AO82" i="5"/>
  <c r="AO83" i="5"/>
  <c r="AO84" i="5"/>
  <c r="AO85" i="5"/>
  <c r="AO86" i="5"/>
  <c r="AO87" i="5"/>
  <c r="AO88" i="5"/>
  <c r="AO89" i="5"/>
  <c r="AO90" i="5"/>
  <c r="AO91" i="5"/>
  <c r="AO92" i="5"/>
  <c r="AO93" i="5"/>
  <c r="AO94" i="5"/>
  <c r="AO95" i="5"/>
  <c r="AO96" i="5"/>
  <c r="AO97" i="5"/>
  <c r="AO98" i="5"/>
  <c r="AO99" i="5"/>
  <c r="AO100" i="5"/>
  <c r="AO101" i="5"/>
  <c r="AO102" i="5"/>
  <c r="AO105" i="5"/>
  <c r="AO106" i="5"/>
  <c r="AO107" i="5"/>
  <c r="AO108" i="5"/>
  <c r="AO109" i="5"/>
  <c r="AO110" i="5"/>
  <c r="AO111" i="5"/>
  <c r="AO112" i="5"/>
  <c r="AO113" i="5"/>
  <c r="AO114" i="5"/>
  <c r="AO115" i="5"/>
  <c r="AO116" i="5"/>
  <c r="AO117" i="5"/>
  <c r="AO118" i="5"/>
  <c r="AO119" i="5"/>
  <c r="AO120" i="5"/>
  <c r="AO121" i="5"/>
  <c r="AO122" i="5"/>
  <c r="AO123" i="5"/>
  <c r="AO124" i="5"/>
  <c r="AO125" i="5"/>
  <c r="AO126" i="5"/>
  <c r="AO128" i="5"/>
  <c r="AO129" i="5"/>
  <c r="AO130" i="5"/>
  <c r="AO131" i="5"/>
  <c r="AO134" i="5"/>
  <c r="AO135" i="5"/>
  <c r="AO136" i="5"/>
  <c r="AO137" i="5"/>
  <c r="AO138" i="5"/>
  <c r="AO139" i="5"/>
  <c r="AO140" i="5"/>
  <c r="P1781" i="1"/>
  <c r="M1781" i="1"/>
  <c r="P1780" i="1"/>
  <c r="M1780" i="1"/>
  <c r="P1779" i="1"/>
  <c r="M1779" i="1"/>
  <c r="P1778" i="1"/>
  <c r="M1778" i="1"/>
  <c r="P1777" i="1"/>
  <c r="M1777" i="1"/>
  <c r="P1776" i="1"/>
  <c r="M1776" i="1"/>
  <c r="P1775" i="1"/>
  <c r="M1775" i="1"/>
  <c r="P1774" i="1"/>
  <c r="M1774" i="1"/>
  <c r="P1773" i="1"/>
  <c r="M1773" i="1"/>
  <c r="P1772" i="1"/>
  <c r="M1772" i="1"/>
  <c r="P1771" i="1"/>
  <c r="M1771" i="1"/>
  <c r="P1770" i="1"/>
  <c r="M1770" i="1"/>
  <c r="P1769" i="1"/>
  <c r="M1769" i="1"/>
  <c r="P1768" i="1"/>
  <c r="M1768" i="1"/>
  <c r="P1767" i="1"/>
  <c r="M1767" i="1"/>
  <c r="P1766" i="1"/>
  <c r="M1766" i="1"/>
  <c r="P1765" i="1"/>
  <c r="M1765" i="1"/>
  <c r="P1764" i="1"/>
  <c r="M1764" i="1"/>
  <c r="P1763" i="1"/>
  <c r="M1763" i="1"/>
  <c r="P1762" i="1"/>
  <c r="M1762" i="1"/>
  <c r="P1761" i="1"/>
  <c r="M1761" i="1"/>
  <c r="P1760" i="1"/>
  <c r="M1760" i="1"/>
  <c r="P1759" i="1"/>
  <c r="M1759" i="1"/>
  <c r="P1758" i="1"/>
  <c r="M1758" i="1"/>
  <c r="P1757" i="1"/>
  <c r="M1757" i="1"/>
  <c r="P1756" i="1"/>
  <c r="M1756" i="1"/>
  <c r="P1755" i="1"/>
  <c r="M1755" i="1"/>
  <c r="P1754" i="1"/>
  <c r="M1754" i="1"/>
  <c r="P1753" i="1"/>
  <c r="M1753" i="1"/>
  <c r="P1752" i="1"/>
  <c r="M1752" i="1"/>
  <c r="P1751" i="1"/>
  <c r="M1751" i="1"/>
  <c r="P1750" i="1"/>
  <c r="M1750" i="1"/>
  <c r="P1749" i="1"/>
  <c r="M1749" i="1"/>
  <c r="P1748" i="1"/>
  <c r="M1748" i="1"/>
  <c r="P1747" i="1"/>
  <c r="M1747" i="1"/>
  <c r="P1746" i="1"/>
  <c r="M1746" i="1"/>
  <c r="P1745" i="1"/>
  <c r="M1745" i="1"/>
  <c r="P1744" i="1"/>
  <c r="M1744" i="1"/>
  <c r="P1743" i="1"/>
  <c r="M1743" i="1"/>
  <c r="P1742" i="1"/>
  <c r="M1742" i="1"/>
  <c r="P1741" i="1"/>
  <c r="M1741" i="1"/>
  <c r="M1670" i="1"/>
  <c r="P1670" i="1"/>
  <c r="P1740" i="1"/>
  <c r="M1740" i="1"/>
  <c r="P1739" i="1"/>
  <c r="M1739" i="1"/>
  <c r="P1738" i="1"/>
  <c r="M1738" i="1"/>
  <c r="P1737" i="1"/>
  <c r="M1737" i="1"/>
  <c r="P1736" i="1"/>
  <c r="M1736" i="1"/>
  <c r="P1735" i="1"/>
  <c r="M1735" i="1"/>
  <c r="P1734" i="1"/>
  <c r="M1734" i="1"/>
  <c r="P1733" i="1"/>
  <c r="M1733" i="1"/>
  <c r="P1732" i="1"/>
  <c r="M1732" i="1"/>
  <c r="P1731" i="1"/>
  <c r="M1731" i="1"/>
  <c r="P1730" i="1"/>
  <c r="M1730" i="1"/>
  <c r="P1729" i="1"/>
  <c r="M1729" i="1"/>
  <c r="P1728" i="1"/>
  <c r="M1728" i="1"/>
  <c r="P1727" i="1"/>
  <c r="M1727" i="1"/>
  <c r="P1726" i="1"/>
  <c r="M1726" i="1"/>
  <c r="P1725" i="1"/>
  <c r="M1725" i="1"/>
  <c r="M1724" i="1"/>
  <c r="P1724" i="1"/>
  <c r="P1723" i="1"/>
  <c r="M1723" i="1"/>
  <c r="P1722" i="1"/>
  <c r="M1722" i="1"/>
  <c r="P1721" i="1"/>
  <c r="M1721" i="1"/>
  <c r="P1720" i="1"/>
  <c r="M1720" i="1"/>
  <c r="P1719" i="1"/>
  <c r="M1719" i="1"/>
  <c r="P1718" i="1"/>
  <c r="M1718" i="1"/>
  <c r="P1717" i="1"/>
  <c r="M1717" i="1"/>
  <c r="P1716" i="1"/>
  <c r="M1716" i="1"/>
  <c r="P1715" i="1"/>
  <c r="M1715" i="1"/>
  <c r="P1714" i="1"/>
  <c r="M1714" i="1"/>
  <c r="P1713" i="1"/>
  <c r="M1713" i="1"/>
  <c r="P1712" i="1"/>
  <c r="M1712" i="1"/>
  <c r="P1711" i="1"/>
  <c r="M1711" i="1"/>
  <c r="P1710" i="1"/>
  <c r="M1710" i="1"/>
  <c r="P1709" i="1"/>
  <c r="M1709" i="1"/>
  <c r="P1708" i="1"/>
  <c r="M1708" i="1"/>
  <c r="P1707" i="1"/>
  <c r="M1707" i="1"/>
  <c r="P1706" i="1"/>
  <c r="M1706" i="1"/>
  <c r="P1705" i="1"/>
  <c r="M1705" i="1"/>
  <c r="P1704" i="1"/>
  <c r="M1704" i="1"/>
  <c r="P1703" i="1"/>
  <c r="M1703" i="1"/>
  <c r="P1702" i="1"/>
  <c r="M1702" i="1"/>
  <c r="P1701" i="1"/>
  <c r="M1701" i="1"/>
  <c r="P1700" i="1"/>
  <c r="M1700" i="1"/>
  <c r="P1699" i="1"/>
  <c r="M1699" i="1"/>
  <c r="P1698" i="1"/>
  <c r="M1698" i="1"/>
  <c r="P1697" i="1"/>
  <c r="M1697" i="1"/>
  <c r="P1696" i="1"/>
  <c r="M1696" i="1"/>
  <c r="P1695" i="1"/>
  <c r="M1695" i="1"/>
  <c r="P1694" i="1"/>
  <c r="M1694" i="1"/>
  <c r="P1693" i="1"/>
  <c r="M1693" i="1"/>
  <c r="P1692" i="1"/>
  <c r="M1692" i="1"/>
  <c r="P1691" i="1"/>
  <c r="M1691" i="1"/>
  <c r="P1690" i="1"/>
  <c r="M1690" i="1"/>
  <c r="P1689" i="1"/>
  <c r="M1689" i="1"/>
  <c r="P1688" i="1"/>
  <c r="M1688" i="1"/>
  <c r="P1687" i="1"/>
  <c r="M1687" i="1"/>
  <c r="P1686" i="1"/>
  <c r="M1686" i="1"/>
  <c r="P1685" i="1"/>
  <c r="M1685" i="1"/>
  <c r="P1684" i="1"/>
  <c r="M1684" i="1"/>
  <c r="P1683" i="1"/>
  <c r="M1683" i="1"/>
  <c r="P1682" i="1"/>
  <c r="M1682" i="1"/>
  <c r="P1681" i="1"/>
  <c r="M1681" i="1"/>
  <c r="P1680" i="1"/>
  <c r="M1680" i="1"/>
  <c r="P1679" i="1"/>
  <c r="M1679" i="1"/>
  <c r="P1678" i="1"/>
  <c r="M1678" i="1"/>
  <c r="M1677" i="1"/>
  <c r="P1676" i="1"/>
  <c r="M1676" i="1"/>
  <c r="P1675" i="1"/>
  <c r="M1675" i="1"/>
  <c r="P1674" i="1"/>
  <c r="M1674" i="1"/>
  <c r="P1673" i="1"/>
  <c r="M1673" i="1"/>
  <c r="P1672" i="1"/>
  <c r="M1672" i="1"/>
  <c r="P1671" i="1"/>
  <c r="M1671" i="1"/>
  <c r="P1669" i="1"/>
  <c r="M1669" i="1"/>
  <c r="P1668" i="1"/>
  <c r="M1668" i="1"/>
  <c r="M1667" i="1"/>
  <c r="P1666" i="1"/>
  <c r="M1666" i="1"/>
  <c r="P1665" i="1"/>
  <c r="M1665" i="1"/>
  <c r="P1664" i="1"/>
  <c r="M1664" i="1"/>
  <c r="P1663" i="1"/>
  <c r="M1663" i="1"/>
  <c r="P1662" i="1"/>
  <c r="M1662" i="1"/>
  <c r="P1661" i="1"/>
  <c r="M1661" i="1"/>
  <c r="P1660" i="1"/>
  <c r="M1660" i="1"/>
  <c r="P1659" i="1"/>
  <c r="M1659" i="1"/>
  <c r="P1658" i="1"/>
  <c r="M1658" i="1"/>
  <c r="P1657" i="1"/>
  <c r="M1657" i="1"/>
  <c r="P1656" i="1"/>
  <c r="M1656" i="1"/>
  <c r="P1655" i="1"/>
  <c r="M1655" i="1"/>
  <c r="P1654" i="1"/>
  <c r="M1654" i="1"/>
  <c r="P1653" i="1"/>
  <c r="M1653" i="1"/>
  <c r="P1652" i="1"/>
  <c r="M1652" i="1"/>
  <c r="P1651" i="1"/>
  <c r="M1651" i="1"/>
  <c r="P1650" i="1"/>
  <c r="M1650" i="1"/>
  <c r="P1649" i="1"/>
  <c r="M1649" i="1"/>
  <c r="P1648" i="1"/>
  <c r="M1648" i="1"/>
  <c r="P1647" i="1"/>
  <c r="M1647" i="1"/>
  <c r="P1646" i="1"/>
  <c r="M1646" i="1"/>
  <c r="P1645" i="1"/>
  <c r="M1645" i="1"/>
  <c r="P1644" i="1"/>
  <c r="M1644" i="1"/>
  <c r="P1643" i="1"/>
  <c r="M1643" i="1"/>
  <c r="P1642" i="1"/>
  <c r="M1642" i="1"/>
  <c r="P1641" i="1"/>
  <c r="M1641" i="1"/>
  <c r="P1640" i="1"/>
  <c r="M1640" i="1"/>
  <c r="P1639" i="1"/>
  <c r="M1639" i="1"/>
  <c r="P1638" i="1"/>
  <c r="M1638" i="1"/>
  <c r="P1637" i="1"/>
  <c r="M1637" i="1"/>
  <c r="P1636" i="1"/>
  <c r="M1636" i="1"/>
  <c r="P1635" i="1"/>
  <c r="M1635" i="1"/>
  <c r="P1634" i="1"/>
  <c r="M1634" i="1"/>
  <c r="P1633" i="1"/>
  <c r="M1633" i="1"/>
  <c r="P1632" i="1"/>
  <c r="M1632" i="1"/>
  <c r="P1631" i="1"/>
  <c r="M1631" i="1"/>
  <c r="P1630" i="1"/>
  <c r="M1630" i="1"/>
  <c r="P1629" i="1"/>
  <c r="M1629" i="1"/>
  <c r="P1628" i="1"/>
  <c r="M1628" i="1"/>
  <c r="P1627" i="1"/>
  <c r="M1627" i="1"/>
  <c r="P1626" i="1"/>
  <c r="M1626" i="1"/>
  <c r="P1625" i="1"/>
  <c r="M1625" i="1"/>
  <c r="P1624" i="1"/>
  <c r="M1624" i="1"/>
  <c r="P1623" i="1"/>
  <c r="M1623" i="1"/>
  <c r="P1622" i="1"/>
  <c r="M1622" i="1"/>
  <c r="P1621" i="1"/>
  <c r="M1621" i="1"/>
  <c r="P1620" i="1"/>
  <c r="M1620" i="1"/>
  <c r="P1619" i="1"/>
  <c r="M1619" i="1"/>
  <c r="P1618" i="1"/>
  <c r="M1618" i="1"/>
  <c r="P1617" i="1"/>
  <c r="M1617" i="1"/>
  <c r="C68" i="9"/>
  <c r="C48" i="9"/>
  <c r="C34" i="9"/>
  <c r="C25" i="9"/>
  <c r="C22" i="9"/>
  <c r="C21" i="9"/>
  <c r="C19" i="9"/>
  <c r="C15" i="9"/>
  <c r="P1616" i="1"/>
  <c r="M1616" i="1"/>
  <c r="M1615" i="1"/>
  <c r="P1615" i="1"/>
  <c r="P1614" i="1"/>
  <c r="M1614" i="1"/>
  <c r="P1613" i="1"/>
  <c r="M1613" i="1"/>
  <c r="P1612" i="1"/>
  <c r="M1612" i="1"/>
  <c r="P1611" i="1"/>
  <c r="M1611" i="1"/>
  <c r="P1610" i="1"/>
  <c r="M1610" i="1"/>
  <c r="P1609" i="1"/>
  <c r="M1609" i="1"/>
  <c r="P1608" i="1"/>
  <c r="M1608" i="1"/>
  <c r="P1607" i="1"/>
  <c r="M1607" i="1"/>
  <c r="P1606" i="1"/>
  <c r="M1606" i="1"/>
  <c r="P1605" i="1"/>
  <c r="M1605" i="1"/>
  <c r="P1604" i="1"/>
  <c r="M1604" i="1"/>
  <c r="P1603" i="1"/>
  <c r="M1603" i="1"/>
  <c r="P1602" i="1"/>
  <c r="M1602" i="1"/>
  <c r="P1601" i="1"/>
  <c r="M1601" i="1"/>
  <c r="P1600" i="1"/>
  <c r="M1600" i="1"/>
  <c r="P1599" i="1"/>
  <c r="M1599" i="1"/>
  <c r="P1598" i="1"/>
  <c r="M1598" i="1"/>
  <c r="P1597" i="1"/>
  <c r="M1597" i="1"/>
  <c r="P1596" i="1"/>
  <c r="M1596" i="1"/>
  <c r="P1595" i="1"/>
  <c r="M1595" i="1"/>
  <c r="P1594" i="1"/>
  <c r="M1594" i="1"/>
  <c r="P1593" i="1"/>
  <c r="M1593" i="1"/>
  <c r="M1592" i="1"/>
  <c r="P1591" i="1"/>
  <c r="M1591" i="1"/>
  <c r="P1590" i="1"/>
  <c r="M1590" i="1"/>
  <c r="P1589" i="1"/>
  <c r="M1589" i="1"/>
  <c r="P1588" i="1"/>
  <c r="M1588" i="1"/>
  <c r="P1587" i="1"/>
  <c r="M1587" i="1"/>
  <c r="P1586" i="1"/>
  <c r="M1586" i="1"/>
  <c r="P1585" i="1"/>
  <c r="M1585" i="1"/>
  <c r="P1584" i="1"/>
  <c r="M1584" i="1"/>
  <c r="P1583" i="1"/>
  <c r="M1583" i="1"/>
  <c r="P1582" i="1"/>
  <c r="M1582" i="1"/>
  <c r="P1581" i="1"/>
  <c r="M1581" i="1"/>
  <c r="P1580" i="1"/>
  <c r="M1580" i="1"/>
  <c r="M1579" i="1"/>
  <c r="P1578" i="1"/>
  <c r="M1578" i="1"/>
  <c r="P1577" i="1"/>
  <c r="M1577" i="1"/>
  <c r="P1576" i="1"/>
  <c r="M1576" i="1"/>
  <c r="P1575" i="1"/>
  <c r="M1575" i="1"/>
  <c r="P1574" i="1"/>
  <c r="M1574" i="1"/>
  <c r="P1573" i="1"/>
  <c r="M1573" i="1"/>
  <c r="P1572" i="1"/>
  <c r="M1572" i="1"/>
  <c r="P1571" i="1"/>
  <c r="M1571" i="1"/>
  <c r="P1570" i="1"/>
  <c r="M1570" i="1"/>
  <c r="P1569" i="1"/>
  <c r="M1569" i="1"/>
  <c r="P1568" i="1"/>
  <c r="M1568" i="1"/>
  <c r="P1567" i="1"/>
  <c r="M1567" i="1"/>
  <c r="P1566" i="1"/>
  <c r="M1566" i="1"/>
  <c r="P1565" i="1"/>
  <c r="M1565" i="1"/>
  <c r="P1564" i="1"/>
  <c r="M1564" i="1"/>
  <c r="P1563" i="1"/>
  <c r="M1563" i="1"/>
  <c r="P1562" i="1"/>
  <c r="M1562" i="1"/>
  <c r="P1561" i="1"/>
  <c r="M1561" i="1"/>
  <c r="P1560" i="1"/>
  <c r="M1560" i="1"/>
  <c r="P1559" i="1"/>
  <c r="M1559" i="1"/>
  <c r="P1558" i="1"/>
  <c r="M1558" i="1"/>
  <c r="M1557" i="1"/>
  <c r="P1556" i="1"/>
  <c r="M1556" i="1"/>
  <c r="P1555" i="1"/>
  <c r="M1555" i="1"/>
  <c r="P1554" i="1"/>
  <c r="M1554" i="1"/>
  <c r="P1553" i="1"/>
  <c r="M1553" i="1"/>
  <c r="P1552" i="1"/>
  <c r="M1552" i="1"/>
  <c r="P1551" i="1"/>
  <c r="M1551" i="1"/>
  <c r="P1550" i="1"/>
  <c r="M1550" i="1"/>
  <c r="P1549" i="1"/>
  <c r="M1549" i="1"/>
  <c r="P1548" i="1"/>
  <c r="M1548" i="1"/>
  <c r="P1547" i="1"/>
  <c r="M1547" i="1"/>
  <c r="P1546" i="1"/>
  <c r="M1546" i="1"/>
  <c r="P1545" i="1"/>
  <c r="M1545" i="1"/>
  <c r="P1544" i="1"/>
  <c r="M1544" i="1"/>
  <c r="P1543" i="1"/>
  <c r="M1543" i="1"/>
  <c r="P1542" i="1"/>
  <c r="M1542" i="1"/>
  <c r="P1541" i="1"/>
  <c r="M1541" i="1"/>
  <c r="P1540" i="1"/>
  <c r="M1540" i="1"/>
  <c r="P1538" i="1"/>
  <c r="P1539" i="1"/>
  <c r="M1539" i="1"/>
  <c r="M1538" i="1"/>
  <c r="P1537" i="1"/>
  <c r="M1537" i="1"/>
  <c r="P1536" i="1"/>
  <c r="M1536" i="1"/>
  <c r="P1535" i="1"/>
  <c r="M1535" i="1"/>
  <c r="P1534" i="1"/>
  <c r="M1534" i="1"/>
  <c r="P1533" i="1"/>
  <c r="M1533" i="1"/>
  <c r="P1532" i="1"/>
  <c r="M1532" i="1"/>
  <c r="P1531" i="1"/>
  <c r="M1531" i="1"/>
  <c r="P1530" i="1"/>
  <c r="M1530" i="1"/>
  <c r="P1529" i="1"/>
  <c r="M1529" i="1"/>
  <c r="P1528" i="1"/>
  <c r="M1528" i="1"/>
  <c r="P1527" i="1"/>
  <c r="M1527" i="1"/>
  <c r="P1526" i="1"/>
  <c r="M1526" i="1"/>
  <c r="P1525" i="1"/>
  <c r="M1525" i="1"/>
  <c r="P1524" i="1"/>
  <c r="M1524" i="1"/>
  <c r="P1523" i="1"/>
  <c r="M1523" i="1"/>
  <c r="P1522" i="1"/>
  <c r="M1522" i="1"/>
  <c r="P1521" i="1"/>
  <c r="M1521" i="1"/>
  <c r="M1520" i="1"/>
  <c r="P1519" i="1"/>
  <c r="M1519" i="1"/>
  <c r="P1518" i="1"/>
  <c r="M1518" i="1"/>
  <c r="P1517" i="1"/>
  <c r="M1517" i="1"/>
  <c r="P1516" i="1"/>
  <c r="M1516" i="1"/>
  <c r="P1515" i="1"/>
  <c r="M1515" i="1"/>
  <c r="P1514" i="1"/>
  <c r="M1514" i="1"/>
  <c r="F2" i="8"/>
  <c r="F3" i="8"/>
  <c r="F4" i="8"/>
  <c r="F7" i="8"/>
  <c r="F8" i="8"/>
  <c r="F9" i="8"/>
  <c r="F10" i="8"/>
  <c r="F13" i="8"/>
  <c r="F14" i="8"/>
  <c r="F15" i="8"/>
  <c r="F16" i="8"/>
  <c r="F17" i="8"/>
  <c r="F19" i="8"/>
  <c r="F20" i="8"/>
  <c r="F23" i="8"/>
  <c r="F24" i="8"/>
  <c r="F25" i="8"/>
  <c r="F27" i="8"/>
  <c r="F29" i="8"/>
  <c r="F31" i="8"/>
  <c r="F33" i="8"/>
  <c r="F35" i="8"/>
  <c r="F37" i="8"/>
  <c r="F38" i="8"/>
  <c r="F39" i="8"/>
  <c r="F40" i="8"/>
  <c r="F41" i="8"/>
  <c r="F44" i="8"/>
  <c r="F45" i="8"/>
  <c r="F47" i="8"/>
  <c r="F48" i="8"/>
  <c r="F52" i="8"/>
  <c r="F53" i="8"/>
  <c r="F54" i="8"/>
  <c r="F55" i="8"/>
  <c r="F58" i="8"/>
  <c r="F59" i="8"/>
  <c r="F62" i="8"/>
  <c r="F63" i="8"/>
  <c r="F66" i="8"/>
  <c r="F67" i="8"/>
  <c r="F70" i="8"/>
  <c r="F71" i="8"/>
  <c r="F74" i="8"/>
  <c r="F75" i="8"/>
  <c r="F78" i="8"/>
  <c r="F79" i="8"/>
  <c r="F80" i="8"/>
  <c r="F81" i="8"/>
  <c r="F82" i="8"/>
  <c r="F83" i="8"/>
  <c r="F84" i="8"/>
  <c r="F85" i="8"/>
  <c r="F88" i="8"/>
  <c r="F89" i="8"/>
  <c r="F90" i="8"/>
  <c r="F91" i="8"/>
  <c r="F92" i="8"/>
  <c r="F93" i="8"/>
  <c r="F94" i="8"/>
  <c r="F95" i="8"/>
  <c r="F98" i="8"/>
  <c r="F99" i="8"/>
  <c r="F102" i="8"/>
  <c r="F103" i="8"/>
  <c r="F104" i="8"/>
  <c r="F105" i="8"/>
  <c r="F109" i="8"/>
  <c r="F112" i="8"/>
  <c r="F113" i="8"/>
  <c r="F114" i="8"/>
  <c r="F116" i="8"/>
  <c r="F117" i="8"/>
  <c r="F118" i="8"/>
  <c r="F120" i="8"/>
  <c r="F121" i="8"/>
  <c r="F122" i="8"/>
  <c r="F125" i="8"/>
  <c r="F126" i="8"/>
  <c r="F127" i="8"/>
  <c r="F130" i="8"/>
  <c r="F132" i="8"/>
  <c r="F134" i="8"/>
  <c r="F136" i="8"/>
  <c r="F137" i="8"/>
  <c r="F138" i="8"/>
  <c r="E143" i="8"/>
  <c r="J5" i="11" s="1"/>
  <c r="E2" i="8"/>
  <c r="E3" i="8"/>
  <c r="E4" i="8"/>
  <c r="E7" i="8"/>
  <c r="E8" i="8"/>
  <c r="E9" i="8"/>
  <c r="E10" i="8"/>
  <c r="E13" i="8"/>
  <c r="E14" i="8"/>
  <c r="E15" i="8"/>
  <c r="E16" i="8"/>
  <c r="E17" i="8"/>
  <c r="E19" i="8"/>
  <c r="E20" i="8"/>
  <c r="E23" i="8"/>
  <c r="E24" i="8"/>
  <c r="E25" i="8"/>
  <c r="E27" i="8"/>
  <c r="E29" i="8"/>
  <c r="E31" i="8"/>
  <c r="E33" i="8"/>
  <c r="E35" i="8"/>
  <c r="E37" i="8"/>
  <c r="E38" i="8"/>
  <c r="E39" i="8"/>
  <c r="E40" i="8"/>
  <c r="E41" i="8"/>
  <c r="E44" i="8"/>
  <c r="E45" i="8"/>
  <c r="E47" i="8"/>
  <c r="E48" i="8"/>
  <c r="E52" i="8"/>
  <c r="E53" i="8"/>
  <c r="E54" i="8"/>
  <c r="E55" i="8"/>
  <c r="E58" i="8"/>
  <c r="E59" i="8"/>
  <c r="E62" i="8"/>
  <c r="E63" i="8"/>
  <c r="E66" i="8"/>
  <c r="E67" i="8"/>
  <c r="E70" i="8"/>
  <c r="E71" i="8"/>
  <c r="E74" i="8"/>
  <c r="E75" i="8"/>
  <c r="E78" i="8"/>
  <c r="E79" i="8"/>
  <c r="E80" i="8"/>
  <c r="E81" i="8"/>
  <c r="E82" i="8"/>
  <c r="E83" i="8"/>
  <c r="E84" i="8"/>
  <c r="E85" i="8"/>
  <c r="E88" i="8"/>
  <c r="E89" i="8"/>
  <c r="E90" i="8"/>
  <c r="E91" i="8"/>
  <c r="E92" i="8"/>
  <c r="E93" i="8"/>
  <c r="E94" i="8"/>
  <c r="E95" i="8"/>
  <c r="E98" i="8"/>
  <c r="E99" i="8"/>
  <c r="E102" i="8"/>
  <c r="E103" i="8"/>
  <c r="E104" i="8"/>
  <c r="E105" i="8"/>
  <c r="E109" i="8"/>
  <c r="E112" i="8"/>
  <c r="E113" i="8"/>
  <c r="E114" i="8"/>
  <c r="E116" i="8"/>
  <c r="E117" i="8"/>
  <c r="E118" i="8"/>
  <c r="E120" i="8"/>
  <c r="E121" i="8"/>
  <c r="E122" i="8"/>
  <c r="E125" i="8"/>
  <c r="E126" i="8"/>
  <c r="E127" i="8"/>
  <c r="E130" i="8"/>
  <c r="E132" i="8"/>
  <c r="E134" i="8"/>
  <c r="E136" i="8"/>
  <c r="E137" i="8"/>
  <c r="E138" i="8"/>
  <c r="D143" i="8"/>
  <c r="D2" i="8"/>
  <c r="D3" i="8"/>
  <c r="D4" i="8"/>
  <c r="D7" i="8"/>
  <c r="D8" i="8"/>
  <c r="D9" i="8"/>
  <c r="D10" i="8"/>
  <c r="D13" i="8"/>
  <c r="D14" i="8"/>
  <c r="D15" i="8"/>
  <c r="D16" i="8"/>
  <c r="D17" i="8"/>
  <c r="D19" i="8"/>
  <c r="D20" i="8"/>
  <c r="D23" i="8"/>
  <c r="D24" i="8"/>
  <c r="D25" i="8"/>
  <c r="D27" i="8"/>
  <c r="D29" i="8"/>
  <c r="D31" i="8"/>
  <c r="D33" i="8"/>
  <c r="D35" i="8"/>
  <c r="D37" i="8"/>
  <c r="D38" i="8"/>
  <c r="D39" i="8"/>
  <c r="D40" i="8"/>
  <c r="D41" i="8"/>
  <c r="D44" i="8"/>
  <c r="D45" i="8"/>
  <c r="D47" i="8"/>
  <c r="D48" i="8"/>
  <c r="D52" i="8"/>
  <c r="D53" i="8"/>
  <c r="D54" i="8"/>
  <c r="D55" i="8"/>
  <c r="D58" i="8"/>
  <c r="D59" i="8"/>
  <c r="D62" i="8"/>
  <c r="D63" i="8"/>
  <c r="D66" i="8"/>
  <c r="D67" i="8"/>
  <c r="D70" i="8"/>
  <c r="D71" i="8"/>
  <c r="D74" i="8"/>
  <c r="D75" i="8"/>
  <c r="D78" i="8"/>
  <c r="D79" i="8"/>
  <c r="D80" i="8"/>
  <c r="D81" i="8"/>
  <c r="D82" i="8"/>
  <c r="D83" i="8"/>
  <c r="D84" i="8"/>
  <c r="D85" i="8"/>
  <c r="D88" i="8"/>
  <c r="D89" i="8"/>
  <c r="D90" i="8"/>
  <c r="D91" i="8"/>
  <c r="D92" i="8"/>
  <c r="D93" i="8"/>
  <c r="D94" i="8"/>
  <c r="D95" i="8"/>
  <c r="D98" i="8"/>
  <c r="D99" i="8"/>
  <c r="D102" i="8"/>
  <c r="D103" i="8"/>
  <c r="D104" i="8"/>
  <c r="D105" i="8"/>
  <c r="D109" i="8"/>
  <c r="D112" i="8"/>
  <c r="D113" i="8"/>
  <c r="D114" i="8"/>
  <c r="D116" i="8"/>
  <c r="D117" i="8"/>
  <c r="D118" i="8"/>
  <c r="D120" i="8"/>
  <c r="D121" i="8"/>
  <c r="D122" i="8"/>
  <c r="D125" i="8"/>
  <c r="D126" i="8"/>
  <c r="D127" i="8"/>
  <c r="D130" i="8"/>
  <c r="D132" i="8"/>
  <c r="D134" i="8"/>
  <c r="D136" i="8"/>
  <c r="D137" i="8"/>
  <c r="D138" i="8"/>
  <c r="Q19" i="11"/>
  <c r="C143" i="8"/>
  <c r="C2" i="8"/>
  <c r="C3" i="8"/>
  <c r="C4" i="8"/>
  <c r="C7" i="8"/>
  <c r="C8" i="8"/>
  <c r="C9" i="8"/>
  <c r="C10" i="8"/>
  <c r="C13" i="8"/>
  <c r="C14" i="8"/>
  <c r="C15" i="8"/>
  <c r="C16" i="8"/>
  <c r="C17" i="8"/>
  <c r="C19" i="8"/>
  <c r="C20" i="8"/>
  <c r="C23" i="8"/>
  <c r="C24" i="8"/>
  <c r="C25" i="8"/>
  <c r="C27" i="8"/>
  <c r="C29" i="8"/>
  <c r="C31" i="8"/>
  <c r="C33" i="8"/>
  <c r="C35" i="8"/>
  <c r="C37" i="8"/>
  <c r="C38" i="8"/>
  <c r="C39" i="8"/>
  <c r="C40" i="8"/>
  <c r="C41" i="8"/>
  <c r="C44" i="8"/>
  <c r="C45" i="8"/>
  <c r="C47" i="8"/>
  <c r="C48" i="8"/>
  <c r="C52" i="8"/>
  <c r="C53" i="8"/>
  <c r="C54" i="8"/>
  <c r="C55" i="8"/>
  <c r="C58" i="8"/>
  <c r="C59" i="8"/>
  <c r="C62" i="8"/>
  <c r="C63" i="8"/>
  <c r="C66" i="8"/>
  <c r="C67" i="8"/>
  <c r="C70" i="8"/>
  <c r="C71" i="8"/>
  <c r="C74" i="8"/>
  <c r="C75" i="8"/>
  <c r="C78" i="8"/>
  <c r="C79" i="8"/>
  <c r="C80" i="8"/>
  <c r="C81" i="8"/>
  <c r="C82" i="8"/>
  <c r="C83" i="8"/>
  <c r="C84" i="8"/>
  <c r="C85" i="8"/>
  <c r="C88" i="8"/>
  <c r="C89" i="8"/>
  <c r="C90" i="8"/>
  <c r="C91" i="8"/>
  <c r="C92" i="8"/>
  <c r="C93" i="8"/>
  <c r="C94" i="8"/>
  <c r="C95" i="8"/>
  <c r="C98" i="8"/>
  <c r="C99" i="8"/>
  <c r="C102" i="8"/>
  <c r="C103" i="8"/>
  <c r="C104" i="8"/>
  <c r="C105" i="8"/>
  <c r="C109" i="8"/>
  <c r="C112" i="8"/>
  <c r="C113" i="8"/>
  <c r="C114" i="8"/>
  <c r="C116" i="8"/>
  <c r="C117" i="8"/>
  <c r="C118" i="8"/>
  <c r="C120" i="8"/>
  <c r="C121" i="8"/>
  <c r="C122" i="8"/>
  <c r="C125" i="8"/>
  <c r="C126" i="8"/>
  <c r="C127" i="8"/>
  <c r="C130" i="8"/>
  <c r="C132" i="8"/>
  <c r="C134" i="8"/>
  <c r="C136" i="8"/>
  <c r="C137" i="8"/>
  <c r="C138" i="8"/>
  <c r="P1513" i="1"/>
  <c r="M1513" i="1"/>
  <c r="P1512" i="1"/>
  <c r="M1512" i="1"/>
  <c r="P1511" i="1"/>
  <c r="M1511" i="1"/>
  <c r="P1510" i="1"/>
  <c r="M1510" i="1"/>
  <c r="P1509" i="1"/>
  <c r="M1509" i="1"/>
  <c r="P1508" i="1"/>
  <c r="M1508" i="1"/>
  <c r="P1507" i="1"/>
  <c r="M1507" i="1"/>
  <c r="P1506" i="1"/>
  <c r="M1506" i="1"/>
  <c r="P1505" i="1"/>
  <c r="M1505" i="1"/>
  <c r="P1504" i="1"/>
  <c r="M1504" i="1"/>
  <c r="P1503" i="1"/>
  <c r="M1503" i="1"/>
  <c r="M1502" i="1"/>
  <c r="P1502" i="1"/>
  <c r="M1501" i="1"/>
  <c r="P1501" i="1"/>
  <c r="J138" i="8"/>
  <c r="I138" i="8"/>
  <c r="H138" i="8"/>
  <c r="G138" i="8"/>
  <c r="P1500" i="1"/>
  <c r="M1500" i="1"/>
  <c r="P1499" i="1"/>
  <c r="M1499" i="1"/>
  <c r="P1498" i="1"/>
  <c r="M1498" i="1"/>
  <c r="P1497" i="1"/>
  <c r="M1497" i="1"/>
  <c r="P1496" i="1"/>
  <c r="M1496" i="1"/>
  <c r="P1495" i="1"/>
  <c r="M1495" i="1"/>
  <c r="P1494" i="1"/>
  <c r="M1494" i="1"/>
  <c r="P1493" i="1"/>
  <c r="M1493" i="1"/>
  <c r="P1492" i="1"/>
  <c r="M1492" i="1"/>
  <c r="P1491" i="1"/>
  <c r="M1491" i="1"/>
  <c r="P1490" i="1"/>
  <c r="M1490" i="1"/>
  <c r="P1489" i="1"/>
  <c r="M1489" i="1"/>
  <c r="P1488" i="1"/>
  <c r="M1488" i="1"/>
  <c r="P1487" i="1"/>
  <c r="M1487" i="1"/>
  <c r="P1486" i="1"/>
  <c r="M1486" i="1"/>
  <c r="P1485" i="1"/>
  <c r="M1485" i="1"/>
  <c r="P1484" i="1"/>
  <c r="M1484" i="1"/>
  <c r="P1483" i="1"/>
  <c r="M1483" i="1"/>
  <c r="P1482" i="1"/>
  <c r="M1482" i="1"/>
  <c r="P1481" i="1"/>
  <c r="M1481" i="1"/>
  <c r="P1480" i="1"/>
  <c r="M1480" i="1"/>
  <c r="P1479" i="1"/>
  <c r="M1479" i="1"/>
  <c r="P1478" i="1"/>
  <c r="M1478" i="1"/>
  <c r="P1477" i="1"/>
  <c r="M1477" i="1"/>
  <c r="P1476" i="1"/>
  <c r="M1476" i="1"/>
  <c r="P1475" i="1"/>
  <c r="M1475" i="1"/>
  <c r="P1474" i="1"/>
  <c r="M1474" i="1"/>
  <c r="P5" i="11"/>
  <c r="P1473" i="1"/>
  <c r="M1473" i="1"/>
  <c r="P1472" i="1"/>
  <c r="M1472" i="1"/>
  <c r="P1471" i="1"/>
  <c r="M1471" i="1"/>
  <c r="P1470" i="1"/>
  <c r="M1470" i="1"/>
  <c r="P1469" i="1"/>
  <c r="M1469" i="1"/>
  <c r="P1468" i="1"/>
  <c r="M1468" i="1"/>
  <c r="P1467" i="1"/>
  <c r="M1467" i="1"/>
  <c r="P1466" i="1"/>
  <c r="M1466" i="1"/>
  <c r="P1465" i="1"/>
  <c r="M1465" i="1"/>
  <c r="P1464" i="1"/>
  <c r="M1464" i="1"/>
  <c r="P1463" i="1"/>
  <c r="M1463" i="1"/>
  <c r="P1462" i="1"/>
  <c r="M1462" i="1"/>
  <c r="P1461" i="1"/>
  <c r="M1461" i="1"/>
  <c r="P1460" i="1"/>
  <c r="M1460" i="1"/>
  <c r="P1459" i="1"/>
  <c r="M1459" i="1"/>
  <c r="P1458" i="1"/>
  <c r="M1458" i="1"/>
  <c r="P1457" i="1"/>
  <c r="M1457" i="1"/>
  <c r="P1456" i="1"/>
  <c r="M1456" i="1"/>
  <c r="P1455" i="1"/>
  <c r="M1455" i="1"/>
  <c r="P1454" i="1"/>
  <c r="M1454" i="1"/>
  <c r="P1453" i="1"/>
  <c r="M1453" i="1"/>
  <c r="P1452" i="1"/>
  <c r="M1452" i="1"/>
  <c r="P1451" i="1"/>
  <c r="M1451" i="1"/>
  <c r="P1450" i="1"/>
  <c r="M1450" i="1"/>
  <c r="P1449" i="1"/>
  <c r="M1449" i="1"/>
  <c r="P1448" i="1"/>
  <c r="M1448" i="1"/>
  <c r="P1447" i="1"/>
  <c r="M1447" i="1"/>
  <c r="P1446" i="1"/>
  <c r="M1446" i="1"/>
  <c r="P1445" i="1"/>
  <c r="M1445" i="1"/>
  <c r="P1444" i="1"/>
  <c r="M1444" i="1"/>
  <c r="P1443" i="1"/>
  <c r="M1443" i="1"/>
  <c r="P1442" i="1"/>
  <c r="M1442" i="1"/>
  <c r="P1441" i="1"/>
  <c r="M1441" i="1"/>
  <c r="P1440" i="1"/>
  <c r="M1440" i="1"/>
  <c r="P1439" i="1"/>
  <c r="M1439" i="1"/>
  <c r="P1438" i="1"/>
  <c r="M1438" i="1"/>
  <c r="P1437" i="1"/>
  <c r="M1437" i="1"/>
  <c r="P1436" i="1"/>
  <c r="M1436" i="1"/>
  <c r="N4" i="4"/>
  <c r="N5" i="4"/>
  <c r="N6" i="4" s="1"/>
  <c r="N7" i="4" s="1"/>
  <c r="N8" i="4" s="1"/>
  <c r="N9" i="4" s="1"/>
  <c r="N10" i="4" s="1"/>
  <c r="N11" i="4" s="1"/>
  <c r="N12" i="4" s="1"/>
  <c r="N13" i="4" s="1"/>
  <c r="N14" i="4" s="1"/>
  <c r="N15" i="4" s="1"/>
  <c r="N16" i="4" s="1"/>
  <c r="N17" i="4" s="1"/>
  <c r="N18" i="4" s="1"/>
  <c r="N19" i="4" s="1"/>
  <c r="N20" i="4" s="1"/>
  <c r="N21" i="4" s="1"/>
  <c r="N22" i="4" s="1"/>
  <c r="N23" i="4" s="1"/>
  <c r="N24" i="4" s="1"/>
  <c r="N25" i="4" s="1"/>
  <c r="N26" i="4" s="1"/>
  <c r="N27" i="4" s="1"/>
  <c r="N28" i="4" s="1"/>
  <c r="N29" i="4" s="1"/>
  <c r="N30" i="4" s="1"/>
  <c r="N31" i="4" s="1"/>
  <c r="N32" i="4" s="1"/>
  <c r="P1435" i="1"/>
  <c r="M1435" i="1"/>
  <c r="P1434" i="1"/>
  <c r="M1434" i="1"/>
  <c r="P1433" i="1"/>
  <c r="M1433" i="1"/>
  <c r="AW75" i="4"/>
  <c r="AW74" i="4"/>
  <c r="AW48" i="4"/>
  <c r="AW47" i="4"/>
  <c r="AW46" i="4"/>
  <c r="AW45" i="4"/>
  <c r="AW44" i="4"/>
  <c r="AW43" i="4"/>
  <c r="AW42" i="4"/>
  <c r="AW41" i="4"/>
  <c r="AW40" i="4"/>
  <c r="AW39" i="4"/>
  <c r="AW38" i="4"/>
  <c r="AW37" i="4"/>
  <c r="AW36" i="4"/>
  <c r="AW35" i="4"/>
  <c r="AW34" i="4"/>
  <c r="AW33" i="4"/>
  <c r="AW32" i="4"/>
  <c r="AW31" i="4"/>
  <c r="AW30" i="4"/>
  <c r="AW29" i="4"/>
  <c r="AW28" i="4"/>
  <c r="AW27" i="4"/>
  <c r="AW26" i="4"/>
  <c r="AW25" i="4"/>
  <c r="AW24" i="4"/>
  <c r="AW23" i="4"/>
  <c r="AW22" i="4"/>
  <c r="AW21" i="4"/>
  <c r="AW20" i="4"/>
  <c r="AW19" i="4"/>
  <c r="AW18" i="4"/>
  <c r="AW17" i="4"/>
  <c r="AW16" i="4"/>
  <c r="AW15" i="4"/>
  <c r="AW14" i="4"/>
  <c r="AW13" i="4"/>
  <c r="AW12" i="4"/>
  <c r="AW11" i="4"/>
  <c r="AW10" i="4"/>
  <c r="AW9" i="4"/>
  <c r="AW8" i="4"/>
  <c r="AW5" i="4"/>
  <c r="AW6" i="4" s="1"/>
  <c r="AW7" i="4" s="1"/>
  <c r="AM75" i="4"/>
  <c r="AM74" i="4"/>
  <c r="AM48" i="4"/>
  <c r="AM47" i="4"/>
  <c r="AM46" i="4"/>
  <c r="AM45" i="4"/>
  <c r="AM44" i="4"/>
  <c r="AM43" i="4"/>
  <c r="AM42" i="4"/>
  <c r="AM41" i="4"/>
  <c r="AM40" i="4"/>
  <c r="AM39" i="4"/>
  <c r="AM38" i="4"/>
  <c r="AM37" i="4"/>
  <c r="AM36" i="4"/>
  <c r="AM35" i="4"/>
  <c r="AM34" i="4"/>
  <c r="AM33" i="4"/>
  <c r="AM32" i="4"/>
  <c r="AM31" i="4"/>
  <c r="AM30" i="4"/>
  <c r="AM29" i="4"/>
  <c r="AM28" i="4"/>
  <c r="AM5" i="4"/>
  <c r="AM6" i="4" s="1"/>
  <c r="AM7" i="4" s="1"/>
  <c r="AM8" i="4" s="1"/>
  <c r="AM9" i="4" s="1"/>
  <c r="AM10" i="4" s="1"/>
  <c r="AM11" i="4" s="1"/>
  <c r="AM12" i="4" s="1"/>
  <c r="AM13" i="4" s="1"/>
  <c r="AM14" i="4" s="1"/>
  <c r="AM15" i="4" s="1"/>
  <c r="AM16" i="4" s="1"/>
  <c r="AH4" i="4"/>
  <c r="AH5" i="4" s="1"/>
  <c r="AH6" i="4" s="1"/>
  <c r="AH7" i="4" s="1"/>
  <c r="AH8" i="4" s="1"/>
  <c r="AH9" i="4" s="1"/>
  <c r="AH10" i="4" s="1"/>
  <c r="AH11" i="4" s="1"/>
  <c r="AH12" i="4" s="1"/>
  <c r="AH13" i="4" s="1"/>
  <c r="AH14" i="4" s="1"/>
  <c r="AH15" i="4" s="1"/>
  <c r="AH16" i="4" s="1"/>
  <c r="AC75" i="4"/>
  <c r="AC74" i="4"/>
  <c r="AC48" i="4"/>
  <c r="AC47" i="4"/>
  <c r="AC46" i="4"/>
  <c r="AC45" i="4"/>
  <c r="AC44" i="4"/>
  <c r="AC43" i="4"/>
  <c r="AC42" i="4"/>
  <c r="AC41" i="4"/>
  <c r="AC40" i="4"/>
  <c r="AC39" i="4"/>
  <c r="AC38" i="4"/>
  <c r="AC37" i="4"/>
  <c r="AC36" i="4"/>
  <c r="AC35" i="4"/>
  <c r="AC34" i="4"/>
  <c r="AC33" i="4"/>
  <c r="AC32" i="4"/>
  <c r="AC31" i="4"/>
  <c r="AC30" i="4"/>
  <c r="AC29" i="4"/>
  <c r="AC28" i="4"/>
  <c r="AC27" i="4"/>
  <c r="AC26" i="4"/>
  <c r="AC25" i="4"/>
  <c r="AC24" i="4"/>
  <c r="AC23" i="4"/>
  <c r="AC22" i="4"/>
  <c r="AC21" i="4"/>
  <c r="X75" i="4"/>
  <c r="X74" i="4"/>
  <c r="X48" i="4"/>
  <c r="X47" i="4"/>
  <c r="X46" i="4"/>
  <c r="X45" i="4"/>
  <c r="X44" i="4"/>
  <c r="X43" i="4"/>
  <c r="X42" i="4"/>
  <c r="X41" i="4"/>
  <c r="X40" i="4"/>
  <c r="X39" i="4"/>
  <c r="X38" i="4"/>
  <c r="X37" i="4"/>
  <c r="X36" i="4"/>
  <c r="X35" i="4"/>
  <c r="X34" i="4"/>
  <c r="X33" i="4"/>
  <c r="X32" i="4"/>
  <c r="X5" i="4"/>
  <c r="X6" i="4" s="1"/>
  <c r="X7" i="4" s="1"/>
  <c r="X8" i="4" s="1"/>
  <c r="X9" i="4" s="1"/>
  <c r="X10" i="4" s="1"/>
  <c r="X11" i="4" s="1"/>
  <c r="X12" i="4" s="1"/>
  <c r="X13" i="4" s="1"/>
  <c r="X14" i="4" s="1"/>
  <c r="X15" i="4" s="1"/>
  <c r="X16" i="4" s="1"/>
  <c r="X26" i="4"/>
  <c r="X27" i="4"/>
  <c r="X28" i="4"/>
  <c r="X29" i="4"/>
  <c r="X30" i="4"/>
  <c r="X31" i="4"/>
  <c r="S75" i="4"/>
  <c r="S74" i="4"/>
  <c r="S48" i="4"/>
  <c r="S47" i="4"/>
  <c r="S46" i="4"/>
  <c r="S45" i="4"/>
  <c r="S44" i="4"/>
  <c r="S43" i="4"/>
  <c r="S42" i="4"/>
  <c r="S41" i="4"/>
  <c r="S40" i="4"/>
  <c r="S39" i="4"/>
  <c r="S38" i="4"/>
  <c r="S37" i="4"/>
  <c r="S36" i="4"/>
  <c r="S35" i="4"/>
  <c r="S34" i="4"/>
  <c r="S33" i="4"/>
  <c r="S32" i="4"/>
  <c r="S31" i="4"/>
  <c r="S30" i="4"/>
  <c r="S29" i="4"/>
  <c r="S28" i="4"/>
  <c r="S27" i="4"/>
  <c r="S26" i="4"/>
  <c r="S25" i="4"/>
  <c r="S24" i="4"/>
  <c r="S23" i="4"/>
  <c r="S22" i="4"/>
  <c r="S21" i="4"/>
  <c r="S20" i="4"/>
  <c r="S19" i="4"/>
  <c r="S18" i="4"/>
  <c r="S17" i="4"/>
  <c r="S16" i="4"/>
  <c r="S15" i="4"/>
  <c r="S14" i="4"/>
  <c r="S13" i="4"/>
  <c r="S12" i="4"/>
  <c r="S11" i="4"/>
  <c r="S10" i="4"/>
  <c r="S9" i="4"/>
  <c r="I75" i="4"/>
  <c r="I74" i="4"/>
  <c r="P1432" i="1"/>
  <c r="M1432" i="1"/>
  <c r="P1431" i="1"/>
  <c r="M1431" i="1"/>
  <c r="P1430" i="1"/>
  <c r="M1430" i="1"/>
  <c r="P1427" i="1"/>
  <c r="M1427" i="1"/>
  <c r="P1426" i="1"/>
  <c r="M1426" i="1"/>
  <c r="P1429" i="1"/>
  <c r="M1429" i="1"/>
  <c r="P1428" i="1"/>
  <c r="M1428" i="1"/>
  <c r="P1425" i="1"/>
  <c r="M1425" i="1"/>
  <c r="P1424" i="1"/>
  <c r="M1424" i="1"/>
  <c r="P1423" i="1"/>
  <c r="M1423" i="1"/>
  <c r="P1422" i="1"/>
  <c r="M1422" i="1"/>
  <c r="P1421" i="1"/>
  <c r="M1421" i="1"/>
  <c r="P1420" i="1"/>
  <c r="M1420" i="1"/>
  <c r="P1419" i="1"/>
  <c r="M1419" i="1"/>
  <c r="P1418" i="1"/>
  <c r="M1418" i="1"/>
  <c r="P1417" i="1"/>
  <c r="M1417" i="1"/>
  <c r="P1416" i="1"/>
  <c r="M1416" i="1"/>
  <c r="P1415" i="1"/>
  <c r="M1415" i="1"/>
  <c r="P1414" i="1"/>
  <c r="M1414" i="1"/>
  <c r="P1413" i="1"/>
  <c r="M1413" i="1"/>
  <c r="P1412" i="1"/>
  <c r="M1412" i="1"/>
  <c r="P1411" i="1"/>
  <c r="M1411" i="1"/>
  <c r="P1410" i="1"/>
  <c r="M1410" i="1"/>
  <c r="P1409" i="1"/>
  <c r="M1409" i="1"/>
  <c r="P1408" i="1"/>
  <c r="M1408" i="1"/>
  <c r="P1407" i="1"/>
  <c r="M1407" i="1"/>
  <c r="P1406" i="1"/>
  <c r="M1406" i="1"/>
  <c r="P1405" i="1"/>
  <c r="M1405" i="1"/>
  <c r="P1404" i="1"/>
  <c r="M1404" i="1"/>
  <c r="P1403" i="1"/>
  <c r="M1403" i="1"/>
  <c r="P1402" i="1"/>
  <c r="M1402" i="1"/>
  <c r="P1401" i="1"/>
  <c r="M1401" i="1"/>
  <c r="P1400" i="1"/>
  <c r="M1400" i="1"/>
  <c r="P1399" i="1"/>
  <c r="M1399" i="1"/>
  <c r="P1398" i="1"/>
  <c r="M1398" i="1"/>
  <c r="P1397" i="1"/>
  <c r="M1397" i="1"/>
  <c r="P1396" i="1"/>
  <c r="M1396" i="1"/>
  <c r="P1395" i="1"/>
  <c r="M1395" i="1"/>
  <c r="P1394" i="1"/>
  <c r="M1394" i="1"/>
  <c r="P1393" i="1"/>
  <c r="M1393" i="1"/>
  <c r="P1392" i="1"/>
  <c r="M1392" i="1"/>
  <c r="P1391" i="1"/>
  <c r="M1391" i="1"/>
  <c r="P1390" i="1"/>
  <c r="M1390" i="1"/>
  <c r="P1389" i="1"/>
  <c r="M1389" i="1"/>
  <c r="P1388" i="1"/>
  <c r="M1388" i="1"/>
  <c r="P1387" i="1"/>
  <c r="M1387" i="1"/>
  <c r="P1386" i="1"/>
  <c r="M1386" i="1"/>
  <c r="P1385" i="1"/>
  <c r="M1385" i="1"/>
  <c r="P1384" i="1"/>
  <c r="M1384" i="1"/>
  <c r="P1383" i="1"/>
  <c r="M1383" i="1"/>
  <c r="P1382" i="1"/>
  <c r="M1382" i="1"/>
  <c r="P1381" i="1"/>
  <c r="M1381" i="1"/>
  <c r="D5" i="11"/>
  <c r="P1380" i="1"/>
  <c r="M1380" i="1"/>
  <c r="P1379" i="1"/>
  <c r="M1379" i="1"/>
  <c r="P1378" i="1"/>
  <c r="M1378" i="1"/>
  <c r="P1377" i="1"/>
  <c r="M1377" i="1"/>
  <c r="P1376" i="1"/>
  <c r="M1376" i="1"/>
  <c r="P1375" i="1"/>
  <c r="M1375" i="1"/>
  <c r="P1374" i="1"/>
  <c r="M1374" i="1"/>
  <c r="P1373" i="1"/>
  <c r="M1373" i="1"/>
  <c r="M1372" i="1"/>
  <c r="P1372" i="1"/>
  <c r="M1371" i="1"/>
  <c r="P1371" i="1"/>
  <c r="P1370" i="1"/>
  <c r="M1370" i="1"/>
  <c r="P1369" i="1"/>
  <c r="M1369" i="1"/>
  <c r="P1368" i="1"/>
  <c r="M1368" i="1"/>
  <c r="M1367" i="1"/>
  <c r="P1367" i="1"/>
  <c r="P1366" i="1"/>
  <c r="M1366" i="1"/>
  <c r="M1365" i="1"/>
  <c r="P1365" i="1"/>
  <c r="P1364" i="1"/>
  <c r="M1364" i="1"/>
  <c r="P1363" i="1"/>
  <c r="M1363" i="1"/>
  <c r="P1362" i="1"/>
  <c r="M1362" i="1"/>
  <c r="P1361" i="1"/>
  <c r="M1361" i="1"/>
  <c r="P1360" i="1"/>
  <c r="M1360" i="1"/>
  <c r="P1359" i="1"/>
  <c r="M1359" i="1"/>
  <c r="P1358" i="1"/>
  <c r="M1358" i="1"/>
  <c r="P1357" i="1"/>
  <c r="M1357" i="1"/>
  <c r="P1356" i="1"/>
  <c r="M1356" i="1"/>
  <c r="P1355" i="1"/>
  <c r="M1355" i="1"/>
  <c r="P1354" i="1"/>
  <c r="M1354" i="1"/>
  <c r="P1353" i="1"/>
  <c r="M1353" i="1"/>
  <c r="P1352" i="1"/>
  <c r="M1352" i="1"/>
  <c r="P1351" i="1"/>
  <c r="M1351" i="1"/>
  <c r="P1350" i="1"/>
  <c r="M1350" i="1"/>
  <c r="P1349" i="1"/>
  <c r="M1349" i="1"/>
  <c r="P1348" i="1"/>
  <c r="M1348" i="1"/>
  <c r="P1347" i="1"/>
  <c r="M1347" i="1"/>
  <c r="P1346" i="1"/>
  <c r="M1346" i="1"/>
  <c r="P1345" i="1"/>
  <c r="M1345" i="1"/>
  <c r="P1344" i="1"/>
  <c r="M1344" i="1"/>
  <c r="P1343" i="1"/>
  <c r="M1343" i="1"/>
  <c r="P1342" i="1"/>
  <c r="M1342" i="1"/>
  <c r="P1341" i="1"/>
  <c r="M1341" i="1"/>
  <c r="M1340" i="1"/>
  <c r="P1340" i="1"/>
  <c r="P1339" i="1"/>
  <c r="M1339" i="1"/>
  <c r="M1338" i="1"/>
  <c r="P1338" i="1"/>
  <c r="P1337" i="1"/>
  <c r="M1337" i="1"/>
  <c r="P1336" i="1"/>
  <c r="M1336" i="1"/>
  <c r="P1335" i="1"/>
  <c r="M1335" i="1"/>
  <c r="P1334" i="1"/>
  <c r="M1334" i="1"/>
  <c r="P1333" i="1"/>
  <c r="M1333" i="1"/>
  <c r="P1332" i="1"/>
  <c r="M1332" i="1"/>
  <c r="P1331" i="1"/>
  <c r="M1331" i="1"/>
  <c r="P1330" i="1"/>
  <c r="M1330" i="1"/>
  <c r="P1329" i="1"/>
  <c r="M1329" i="1"/>
  <c r="P1328" i="1"/>
  <c r="M1328" i="1"/>
  <c r="P1327" i="1"/>
  <c r="M1327" i="1"/>
  <c r="M1326" i="1"/>
  <c r="P1326" i="1"/>
  <c r="P1325" i="1"/>
  <c r="M1325" i="1"/>
  <c r="P1324" i="1"/>
  <c r="M1324" i="1"/>
  <c r="P1323" i="1"/>
  <c r="M1323" i="1"/>
  <c r="P1322" i="1"/>
  <c r="M1322" i="1"/>
  <c r="P1321" i="1"/>
  <c r="M1321" i="1"/>
  <c r="P1320" i="1"/>
  <c r="M1320" i="1"/>
  <c r="P1319" i="1"/>
  <c r="M1319" i="1"/>
  <c r="P1318" i="1"/>
  <c r="M1318" i="1"/>
  <c r="P1317" i="1"/>
  <c r="M1317" i="1"/>
  <c r="P1315" i="1"/>
  <c r="P1316" i="1"/>
  <c r="M1316" i="1"/>
  <c r="M1315" i="1"/>
  <c r="P1314" i="1"/>
  <c r="M1314" i="1"/>
  <c r="J2" i="8"/>
  <c r="J3" i="8"/>
  <c r="J4" i="8"/>
  <c r="J7" i="8"/>
  <c r="J8" i="8"/>
  <c r="J9" i="8"/>
  <c r="J10" i="8"/>
  <c r="J13" i="8"/>
  <c r="J14" i="8"/>
  <c r="J15" i="8"/>
  <c r="J16" i="8"/>
  <c r="J17" i="8"/>
  <c r="J19" i="8"/>
  <c r="J20" i="8"/>
  <c r="J23" i="8"/>
  <c r="J24" i="8"/>
  <c r="J25" i="8"/>
  <c r="J27" i="8"/>
  <c r="J29" i="8"/>
  <c r="J31" i="8"/>
  <c r="J33" i="8"/>
  <c r="J35" i="8"/>
  <c r="J37" i="8"/>
  <c r="J38" i="8"/>
  <c r="J39" i="8"/>
  <c r="J40" i="8"/>
  <c r="J41" i="8"/>
  <c r="J44" i="8"/>
  <c r="J45" i="8"/>
  <c r="J47" i="8"/>
  <c r="J48" i="8"/>
  <c r="J51" i="8"/>
  <c r="J52" i="8"/>
  <c r="J53" i="8"/>
  <c r="J54" i="8"/>
  <c r="J55" i="8"/>
  <c r="J57" i="8"/>
  <c r="J58" i="8"/>
  <c r="J59" i="8"/>
  <c r="J60" i="8"/>
  <c r="J61" i="8"/>
  <c r="J62" i="8"/>
  <c r="J63" i="8"/>
  <c r="J64" i="8"/>
  <c r="J65" i="8"/>
  <c r="J66" i="8"/>
  <c r="J67" i="8"/>
  <c r="J68" i="8"/>
  <c r="J69" i="8"/>
  <c r="J70" i="8"/>
  <c r="J71" i="8"/>
  <c r="J72" i="8"/>
  <c r="J73" i="8"/>
  <c r="J74" i="8"/>
  <c r="J75" i="8"/>
  <c r="J76" i="8"/>
  <c r="J77" i="8"/>
  <c r="J78" i="8"/>
  <c r="J79" i="8"/>
  <c r="J80" i="8"/>
  <c r="J81" i="8"/>
  <c r="J82" i="8"/>
  <c r="J83" i="8"/>
  <c r="J84" i="8"/>
  <c r="J85" i="8"/>
  <c r="J86" i="8"/>
  <c r="J87" i="8"/>
  <c r="J88" i="8"/>
  <c r="J89" i="8"/>
  <c r="J90" i="8"/>
  <c r="J91" i="8"/>
  <c r="J92" i="8"/>
  <c r="J93" i="8"/>
  <c r="J94" i="8"/>
  <c r="J95" i="8"/>
  <c r="J96" i="8"/>
  <c r="J97" i="8"/>
  <c r="J98" i="8"/>
  <c r="J99" i="8"/>
  <c r="J100" i="8"/>
  <c r="J101" i="8"/>
  <c r="J102" i="8"/>
  <c r="J103" i="8"/>
  <c r="J104" i="8"/>
  <c r="J105" i="8"/>
  <c r="J109" i="8"/>
  <c r="J111" i="8"/>
  <c r="J112" i="8"/>
  <c r="J113" i="8"/>
  <c r="J114" i="8"/>
  <c r="J115" i="8"/>
  <c r="J116" i="8"/>
  <c r="J117" i="8"/>
  <c r="J118" i="8"/>
  <c r="J119" i="8"/>
  <c r="J120" i="8"/>
  <c r="J121" i="8"/>
  <c r="J122" i="8"/>
  <c r="J123" i="8"/>
  <c r="J125" i="8"/>
  <c r="J126" i="8"/>
  <c r="J127" i="8"/>
  <c r="J129" i="8"/>
  <c r="J130" i="8"/>
  <c r="J131" i="8"/>
  <c r="J132" i="8"/>
  <c r="J133" i="8"/>
  <c r="J134" i="8"/>
  <c r="J136" i="8"/>
  <c r="J137" i="8"/>
  <c r="J139" i="8"/>
  <c r="I2" i="8"/>
  <c r="I3" i="8"/>
  <c r="I4" i="8"/>
  <c r="I6" i="8"/>
  <c r="I7" i="8"/>
  <c r="I8" i="8"/>
  <c r="I9" i="8"/>
  <c r="I10" i="8"/>
  <c r="I13" i="8"/>
  <c r="I14" i="8"/>
  <c r="I15" i="8"/>
  <c r="I16" i="8"/>
  <c r="I17" i="8"/>
  <c r="I18" i="8"/>
  <c r="I19" i="8"/>
  <c r="I20" i="8"/>
  <c r="I22" i="8"/>
  <c r="I23" i="8"/>
  <c r="I24" i="8"/>
  <c r="I25" i="8"/>
  <c r="I26" i="8"/>
  <c r="I27" i="8"/>
  <c r="I28" i="8"/>
  <c r="I29" i="8"/>
  <c r="I30" i="8"/>
  <c r="I31" i="8"/>
  <c r="I32" i="8"/>
  <c r="I33" i="8"/>
  <c r="I34" i="8"/>
  <c r="I35" i="8"/>
  <c r="I36" i="8"/>
  <c r="I37" i="8"/>
  <c r="I38" i="8"/>
  <c r="I39" i="8"/>
  <c r="I40" i="8"/>
  <c r="I41" i="8"/>
  <c r="I44" i="8"/>
  <c r="I45" i="8"/>
  <c r="I47" i="8"/>
  <c r="I48" i="8"/>
  <c r="I51" i="8"/>
  <c r="I52" i="8"/>
  <c r="I53" i="8"/>
  <c r="I54" i="8"/>
  <c r="I55" i="8"/>
  <c r="I56" i="8"/>
  <c r="I57" i="8"/>
  <c r="I58" i="8"/>
  <c r="I59" i="8"/>
  <c r="I60" i="8"/>
  <c r="I61" i="8"/>
  <c r="I62" i="8"/>
  <c r="I63" i="8"/>
  <c r="I64" i="8"/>
  <c r="I65" i="8"/>
  <c r="I66" i="8"/>
  <c r="I67" i="8"/>
  <c r="I68" i="8"/>
  <c r="I69" i="8"/>
  <c r="I70" i="8"/>
  <c r="I71" i="8"/>
  <c r="I72" i="8"/>
  <c r="I73" i="8"/>
  <c r="I74" i="8"/>
  <c r="I75" i="8"/>
  <c r="I76" i="8"/>
  <c r="I77" i="8"/>
  <c r="I78" i="8"/>
  <c r="I79" i="8"/>
  <c r="I80" i="8"/>
  <c r="I81" i="8"/>
  <c r="I82" i="8"/>
  <c r="I83" i="8"/>
  <c r="I84" i="8"/>
  <c r="I85" i="8"/>
  <c r="I86" i="8"/>
  <c r="I87" i="8"/>
  <c r="I88" i="8"/>
  <c r="I89" i="8"/>
  <c r="I90" i="8"/>
  <c r="I91" i="8"/>
  <c r="I92" i="8"/>
  <c r="I93" i="8"/>
  <c r="I94" i="8"/>
  <c r="I95" i="8"/>
  <c r="I96" i="8"/>
  <c r="I97" i="8"/>
  <c r="I98" i="8"/>
  <c r="I99" i="8"/>
  <c r="I100" i="8"/>
  <c r="I101" i="8"/>
  <c r="I102" i="8"/>
  <c r="I103" i="8"/>
  <c r="I104" i="8"/>
  <c r="I105" i="8"/>
  <c r="I109" i="8"/>
  <c r="I111" i="8"/>
  <c r="I112" i="8"/>
  <c r="I113" i="8"/>
  <c r="I114" i="8"/>
  <c r="I115" i="8"/>
  <c r="I116" i="8"/>
  <c r="I117" i="8"/>
  <c r="I118" i="8"/>
  <c r="I119" i="8"/>
  <c r="I120" i="8"/>
  <c r="I121" i="8"/>
  <c r="I122" i="8"/>
  <c r="I123" i="8"/>
  <c r="I125" i="8"/>
  <c r="I126" i="8"/>
  <c r="I127" i="8"/>
  <c r="I129" i="8"/>
  <c r="I130" i="8"/>
  <c r="I131" i="8"/>
  <c r="I132" i="8"/>
  <c r="I133" i="8"/>
  <c r="I134" i="8"/>
  <c r="I136" i="8"/>
  <c r="I137" i="8"/>
  <c r="I139" i="8"/>
  <c r="H2" i="8"/>
  <c r="H3" i="8"/>
  <c r="H4" i="8"/>
  <c r="H6" i="8"/>
  <c r="H7" i="8"/>
  <c r="H8" i="8"/>
  <c r="H9" i="8"/>
  <c r="H10" i="8"/>
  <c r="H13" i="8"/>
  <c r="H14" i="8"/>
  <c r="H15" i="8"/>
  <c r="H16" i="8"/>
  <c r="H17" i="8"/>
  <c r="H18" i="8"/>
  <c r="H19" i="8"/>
  <c r="H20" i="8"/>
  <c r="H22" i="8"/>
  <c r="H23" i="8"/>
  <c r="H24" i="8"/>
  <c r="H25" i="8"/>
  <c r="H26" i="8"/>
  <c r="H27" i="8"/>
  <c r="H28" i="8"/>
  <c r="H29" i="8"/>
  <c r="H30" i="8"/>
  <c r="H31" i="8"/>
  <c r="H32" i="8"/>
  <c r="H33" i="8"/>
  <c r="H34" i="8"/>
  <c r="H35" i="8"/>
  <c r="H36" i="8"/>
  <c r="H37" i="8"/>
  <c r="H38" i="8"/>
  <c r="H39" i="8"/>
  <c r="H40" i="8"/>
  <c r="H41" i="8"/>
  <c r="H44" i="8"/>
  <c r="H45" i="8"/>
  <c r="H47" i="8"/>
  <c r="H48" i="8"/>
  <c r="H51" i="8"/>
  <c r="H52" i="8"/>
  <c r="H53" i="8"/>
  <c r="H54" i="8"/>
  <c r="H55" i="8"/>
  <c r="H56" i="8"/>
  <c r="H57" i="8"/>
  <c r="H58" i="8"/>
  <c r="H59" i="8"/>
  <c r="H60" i="8"/>
  <c r="H61" i="8"/>
  <c r="H62" i="8"/>
  <c r="H63" i="8"/>
  <c r="H64" i="8"/>
  <c r="H65" i="8"/>
  <c r="H66" i="8"/>
  <c r="H67" i="8"/>
  <c r="H68" i="8"/>
  <c r="H69" i="8"/>
  <c r="H70" i="8"/>
  <c r="H71" i="8"/>
  <c r="H72" i="8"/>
  <c r="H73" i="8"/>
  <c r="H74" i="8"/>
  <c r="H75" i="8"/>
  <c r="H76" i="8"/>
  <c r="H77" i="8"/>
  <c r="H78" i="8"/>
  <c r="H79" i="8"/>
  <c r="H80" i="8"/>
  <c r="H81" i="8"/>
  <c r="H82" i="8"/>
  <c r="H83" i="8"/>
  <c r="H84" i="8"/>
  <c r="H85" i="8"/>
  <c r="H86" i="8"/>
  <c r="H87" i="8"/>
  <c r="H88" i="8"/>
  <c r="H89" i="8"/>
  <c r="H90" i="8"/>
  <c r="H91" i="8"/>
  <c r="H92" i="8"/>
  <c r="H93" i="8"/>
  <c r="H94" i="8"/>
  <c r="H95" i="8"/>
  <c r="H96" i="8"/>
  <c r="H97" i="8"/>
  <c r="H98" i="8"/>
  <c r="H99" i="8"/>
  <c r="H100" i="8"/>
  <c r="H101" i="8"/>
  <c r="H102" i="8"/>
  <c r="H103" i="8"/>
  <c r="H104" i="8"/>
  <c r="H105" i="8"/>
  <c r="H109" i="8"/>
  <c r="H111" i="8"/>
  <c r="H112" i="8"/>
  <c r="H113" i="8"/>
  <c r="H114" i="8"/>
  <c r="H115" i="8"/>
  <c r="H116" i="8"/>
  <c r="H117" i="8"/>
  <c r="H118" i="8"/>
  <c r="H119" i="8"/>
  <c r="H120" i="8"/>
  <c r="H121" i="8"/>
  <c r="H122" i="8"/>
  <c r="H123" i="8"/>
  <c r="H125" i="8"/>
  <c r="H126" i="8"/>
  <c r="H127" i="8"/>
  <c r="H129" i="8"/>
  <c r="H130" i="8"/>
  <c r="H131" i="8"/>
  <c r="H132" i="8"/>
  <c r="H133" i="8"/>
  <c r="H134" i="8"/>
  <c r="H136" i="8"/>
  <c r="H137" i="8"/>
  <c r="H139" i="8"/>
  <c r="G2" i="8"/>
  <c r="G3" i="8"/>
  <c r="G4" i="8"/>
  <c r="G6" i="8"/>
  <c r="G7" i="8"/>
  <c r="G8" i="8"/>
  <c r="G9" i="8"/>
  <c r="G10" i="8"/>
  <c r="G13" i="8"/>
  <c r="G14" i="8"/>
  <c r="G15" i="8"/>
  <c r="G16" i="8"/>
  <c r="G17" i="8"/>
  <c r="G18" i="8"/>
  <c r="G19" i="8"/>
  <c r="G20" i="8"/>
  <c r="G22" i="8"/>
  <c r="G23" i="8"/>
  <c r="G24" i="8"/>
  <c r="G25" i="8"/>
  <c r="G26" i="8"/>
  <c r="G27" i="8"/>
  <c r="G28" i="8"/>
  <c r="G29" i="8"/>
  <c r="G30" i="8"/>
  <c r="G31" i="8"/>
  <c r="G32" i="8"/>
  <c r="G33" i="8"/>
  <c r="G34" i="8"/>
  <c r="G35" i="8"/>
  <c r="G36" i="8"/>
  <c r="G37" i="8"/>
  <c r="G38" i="8"/>
  <c r="G39" i="8"/>
  <c r="G40" i="8"/>
  <c r="G41" i="8"/>
  <c r="G44" i="8"/>
  <c r="G45" i="8"/>
  <c r="G47" i="8"/>
  <c r="G48" i="8"/>
  <c r="G51" i="8"/>
  <c r="G52" i="8"/>
  <c r="G53" i="8"/>
  <c r="G54" i="8"/>
  <c r="G55" i="8"/>
  <c r="G56" i="8"/>
  <c r="G57" i="8"/>
  <c r="G58" i="8"/>
  <c r="G59" i="8"/>
  <c r="G60" i="8"/>
  <c r="G61" i="8"/>
  <c r="G62" i="8"/>
  <c r="G63" i="8"/>
  <c r="G64" i="8"/>
  <c r="G65" i="8"/>
  <c r="G66" i="8"/>
  <c r="G67" i="8"/>
  <c r="G68" i="8"/>
  <c r="G69" i="8"/>
  <c r="G70" i="8"/>
  <c r="G71" i="8"/>
  <c r="G72" i="8"/>
  <c r="G73" i="8"/>
  <c r="G74" i="8"/>
  <c r="G75" i="8"/>
  <c r="G76" i="8"/>
  <c r="G77" i="8"/>
  <c r="G78" i="8"/>
  <c r="G79" i="8"/>
  <c r="G80" i="8"/>
  <c r="G81" i="8"/>
  <c r="G82" i="8"/>
  <c r="G83" i="8"/>
  <c r="G84" i="8"/>
  <c r="G85" i="8"/>
  <c r="G86" i="8"/>
  <c r="G87" i="8"/>
  <c r="G88" i="8"/>
  <c r="G89" i="8"/>
  <c r="G90" i="8"/>
  <c r="G91" i="8"/>
  <c r="G92" i="8"/>
  <c r="G93" i="8"/>
  <c r="G94" i="8"/>
  <c r="G95" i="8"/>
  <c r="G96" i="8"/>
  <c r="G97" i="8"/>
  <c r="G98" i="8"/>
  <c r="G99" i="8"/>
  <c r="G100" i="8"/>
  <c r="G101" i="8"/>
  <c r="G102" i="8"/>
  <c r="G103" i="8"/>
  <c r="G104" i="8"/>
  <c r="G105" i="8"/>
  <c r="G109" i="8"/>
  <c r="G111" i="8"/>
  <c r="G112" i="8"/>
  <c r="G113" i="8"/>
  <c r="G114" i="8"/>
  <c r="G115" i="8"/>
  <c r="G116" i="8"/>
  <c r="G117" i="8"/>
  <c r="G118" i="8"/>
  <c r="G119" i="8"/>
  <c r="G120" i="8"/>
  <c r="G121" i="8"/>
  <c r="G122" i="8"/>
  <c r="G123" i="8"/>
  <c r="G125" i="8"/>
  <c r="G126" i="8"/>
  <c r="G127" i="8"/>
  <c r="G129" i="8"/>
  <c r="G130" i="8"/>
  <c r="G131" i="8"/>
  <c r="G132" i="8"/>
  <c r="G133" i="8"/>
  <c r="G134" i="8"/>
  <c r="G136" i="8"/>
  <c r="G137" i="8"/>
  <c r="G139" i="8"/>
  <c r="P1313" i="1"/>
  <c r="M1313" i="1"/>
  <c r="P1312" i="1"/>
  <c r="M1312" i="1"/>
  <c r="P1311" i="1"/>
  <c r="M1311" i="1"/>
  <c r="P1310" i="1"/>
  <c r="M1310" i="1"/>
  <c r="P1309" i="1"/>
  <c r="M1309" i="1"/>
  <c r="P1308" i="1"/>
  <c r="M1308" i="1"/>
  <c r="P1307" i="1"/>
  <c r="M1307" i="1"/>
  <c r="P1306" i="1"/>
  <c r="M1306" i="1"/>
  <c r="P1305" i="1"/>
  <c r="M1305" i="1"/>
  <c r="P1304" i="1"/>
  <c r="M1304" i="1"/>
  <c r="P1303" i="1"/>
  <c r="M1303" i="1"/>
  <c r="P1302" i="1"/>
  <c r="M1302" i="1"/>
  <c r="P1301" i="1"/>
  <c r="M1301" i="1"/>
  <c r="P1300" i="1"/>
  <c r="M1300" i="1"/>
  <c r="P1299" i="1"/>
  <c r="M1299" i="1"/>
  <c r="P1298" i="1"/>
  <c r="M1298" i="1"/>
  <c r="P1297" i="1"/>
  <c r="M1297" i="1"/>
  <c r="P1296" i="1"/>
  <c r="M1296" i="1"/>
  <c r="P1295" i="1"/>
  <c r="M1295" i="1"/>
  <c r="P1294" i="1"/>
  <c r="M1294" i="1"/>
  <c r="P1293" i="1"/>
  <c r="M1293" i="1"/>
  <c r="P1292" i="1"/>
  <c r="M1292" i="1"/>
  <c r="P1291" i="1"/>
  <c r="M1291" i="1"/>
  <c r="P1290" i="1"/>
  <c r="M1290" i="1"/>
  <c r="E19" i="11"/>
  <c r="P1289" i="1"/>
  <c r="M1289" i="1"/>
  <c r="P1288" i="1"/>
  <c r="M1288" i="1"/>
  <c r="P1287" i="1"/>
  <c r="M1287" i="1"/>
  <c r="P1286" i="1"/>
  <c r="M1286" i="1"/>
  <c r="P1285" i="1"/>
  <c r="M1285" i="1"/>
  <c r="P1284" i="1"/>
  <c r="M1284" i="1"/>
  <c r="K19" i="11"/>
  <c r="J149" i="8"/>
  <c r="I149" i="8"/>
  <c r="J148" i="8"/>
  <c r="I148" i="8"/>
  <c r="J147" i="8"/>
  <c r="I147" i="8"/>
  <c r="J146" i="8"/>
  <c r="I146" i="8"/>
  <c r="J145" i="8"/>
  <c r="I145" i="8"/>
  <c r="J144" i="8"/>
  <c r="I144" i="8"/>
  <c r="H149" i="8"/>
  <c r="G149" i="8"/>
  <c r="H148" i="8"/>
  <c r="G148" i="8"/>
  <c r="H147" i="8"/>
  <c r="G147" i="8"/>
  <c r="H146" i="8"/>
  <c r="G146" i="8"/>
  <c r="H145" i="8"/>
  <c r="G145" i="8"/>
  <c r="H144" i="8"/>
  <c r="G144" i="8"/>
  <c r="P1283" i="1"/>
  <c r="M1283" i="1"/>
  <c r="P1282" i="1"/>
  <c r="M1282" i="1"/>
  <c r="P1281" i="1"/>
  <c r="M1281" i="1"/>
  <c r="P1280" i="1"/>
  <c r="M1280" i="1"/>
  <c r="P1279" i="1"/>
  <c r="M1279" i="1"/>
  <c r="P1278" i="1"/>
  <c r="M1278" i="1"/>
  <c r="P1277" i="1"/>
  <c r="M1277" i="1"/>
  <c r="P1276" i="1"/>
  <c r="M1276" i="1"/>
  <c r="P1275" i="1"/>
  <c r="M1275" i="1"/>
  <c r="P1274" i="1"/>
  <c r="M1274" i="1"/>
  <c r="M1273" i="1"/>
  <c r="P1273" i="1"/>
  <c r="D1" i="4"/>
  <c r="P1182" i="1"/>
  <c r="P1272" i="1"/>
  <c r="M1272" i="1"/>
  <c r="P1271" i="1"/>
  <c r="M1271" i="1"/>
  <c r="P1270" i="1"/>
  <c r="M1270" i="1"/>
  <c r="P1269" i="1"/>
  <c r="M1269" i="1"/>
  <c r="P1268" i="1"/>
  <c r="M1268" i="1"/>
  <c r="P1267" i="1"/>
  <c r="M1267" i="1"/>
  <c r="P1266" i="1"/>
  <c r="M1266" i="1"/>
  <c r="P1265" i="1"/>
  <c r="M1265" i="1"/>
  <c r="P1264" i="1"/>
  <c r="M1264" i="1"/>
  <c r="P1263" i="1"/>
  <c r="M1263" i="1"/>
  <c r="P1262" i="1"/>
  <c r="M1262" i="1"/>
  <c r="M1261" i="1"/>
  <c r="P1261" i="1"/>
  <c r="M1260" i="1"/>
  <c r="P1260" i="1"/>
  <c r="P1259" i="1"/>
  <c r="M1259" i="1"/>
  <c r="P1258" i="1"/>
  <c r="M1258" i="1"/>
  <c r="P1257" i="1"/>
  <c r="M1257" i="1"/>
  <c r="P1256" i="1"/>
  <c r="M1256" i="1"/>
  <c r="P1255" i="1"/>
  <c r="M1255" i="1"/>
  <c r="P1254" i="1"/>
  <c r="M1254" i="1"/>
  <c r="P1253" i="1"/>
  <c r="M1253" i="1"/>
  <c r="P1252" i="1"/>
  <c r="M1252" i="1"/>
  <c r="M1251" i="1"/>
  <c r="P1251" i="1"/>
  <c r="P1250" i="1"/>
  <c r="M1250" i="1"/>
  <c r="P1249" i="1"/>
  <c r="M1249" i="1"/>
  <c r="P1248" i="1"/>
  <c r="M1248" i="1"/>
  <c r="P1247" i="1"/>
  <c r="M1247" i="1"/>
  <c r="P1246" i="1"/>
  <c r="M1246" i="1"/>
  <c r="P1245" i="1"/>
  <c r="M1245" i="1"/>
  <c r="P1244" i="1"/>
  <c r="M1244" i="1"/>
  <c r="P1243" i="1"/>
  <c r="M1243" i="1"/>
  <c r="P1242" i="1"/>
  <c r="M1242" i="1"/>
  <c r="P1241" i="1"/>
  <c r="M1241" i="1"/>
  <c r="P1240" i="1"/>
  <c r="M1240" i="1"/>
  <c r="P1239" i="1"/>
  <c r="M1239" i="1"/>
  <c r="P1238" i="1"/>
  <c r="M1238" i="1"/>
  <c r="P1237" i="1"/>
  <c r="M1237" i="1"/>
  <c r="P1236" i="1"/>
  <c r="M1236" i="1"/>
  <c r="P1235" i="1"/>
  <c r="M1235" i="1"/>
  <c r="P1234" i="1"/>
  <c r="M1234" i="1"/>
  <c r="P1233" i="1"/>
  <c r="M1233" i="1"/>
  <c r="P1232" i="1"/>
  <c r="M1232" i="1"/>
  <c r="P1231" i="1"/>
  <c r="M1231" i="1"/>
  <c r="P1230" i="1"/>
  <c r="M1230" i="1"/>
  <c r="M1229" i="1"/>
  <c r="P1229" i="1"/>
  <c r="P1228" i="1"/>
  <c r="M1228" i="1"/>
  <c r="M1227" i="1"/>
  <c r="P1227" i="1"/>
  <c r="P1226" i="1"/>
  <c r="M1226" i="1"/>
  <c r="M1225" i="1"/>
  <c r="P1225" i="1"/>
  <c r="P1224" i="1"/>
  <c r="M1224" i="1"/>
  <c r="P1223" i="1"/>
  <c r="M1223" i="1"/>
  <c r="P1222" i="1"/>
  <c r="M1222" i="1"/>
  <c r="P1221" i="1"/>
  <c r="M1221" i="1"/>
  <c r="P1220" i="1"/>
  <c r="M1220" i="1"/>
  <c r="P1219" i="1"/>
  <c r="M1219" i="1"/>
  <c r="P1218" i="1"/>
  <c r="M1218" i="1"/>
  <c r="P1217" i="1"/>
  <c r="M1217" i="1"/>
  <c r="P1216" i="1"/>
  <c r="M1216" i="1"/>
  <c r="P1215" i="1"/>
  <c r="M1215" i="1"/>
  <c r="P1214" i="1"/>
  <c r="M1214" i="1"/>
  <c r="P1213" i="1"/>
  <c r="M1213" i="1"/>
  <c r="P1212" i="1"/>
  <c r="M1212" i="1"/>
  <c r="P544" i="1"/>
  <c r="P658" i="1"/>
  <c r="P661" i="1"/>
  <c r="P676" i="1"/>
  <c r="C82" i="9"/>
  <c r="P695" i="1"/>
  <c r="P713" i="1"/>
  <c r="C103" i="9"/>
  <c r="P719" i="1"/>
  <c r="P740" i="1"/>
  <c r="C115" i="9"/>
  <c r="P802" i="1"/>
  <c r="P815" i="1"/>
  <c r="P818" i="1"/>
  <c r="P830" i="1"/>
  <c r="P834" i="1"/>
  <c r="P856" i="1"/>
  <c r="P882" i="1"/>
  <c r="P977" i="1"/>
  <c r="P1009" i="1"/>
  <c r="P1099" i="1"/>
  <c r="P1114" i="1"/>
  <c r="P1128" i="1"/>
  <c r="P1167" i="1"/>
  <c r="P1169" i="1"/>
  <c r="P1194" i="1"/>
  <c r="P1211" i="1"/>
  <c r="M1211" i="1"/>
  <c r="P1210" i="1"/>
  <c r="M1210" i="1"/>
  <c r="P1209" i="1"/>
  <c r="M1209" i="1"/>
  <c r="M1208" i="1"/>
  <c r="P1208" i="1"/>
  <c r="P1207" i="1"/>
  <c r="M1207" i="1"/>
  <c r="P1206" i="1"/>
  <c r="M1206" i="1"/>
  <c r="P1205" i="1"/>
  <c r="M1205" i="1"/>
  <c r="P1204" i="1"/>
  <c r="M1204" i="1"/>
  <c r="P1203" i="1"/>
  <c r="M1203" i="1"/>
  <c r="P1202" i="1"/>
  <c r="M1202" i="1"/>
  <c r="P1201" i="1"/>
  <c r="M1201" i="1"/>
  <c r="P1200" i="1"/>
  <c r="M1200" i="1"/>
  <c r="P1199" i="1"/>
  <c r="M1199" i="1"/>
  <c r="P1198" i="1"/>
  <c r="M1198" i="1"/>
  <c r="M1197" i="1"/>
  <c r="P1197" i="1"/>
  <c r="P1196" i="1"/>
  <c r="M1196" i="1"/>
  <c r="P1195" i="1"/>
  <c r="M1195" i="1"/>
  <c r="M1194" i="1"/>
  <c r="P1193" i="1"/>
  <c r="M1193" i="1"/>
  <c r="P1192" i="1"/>
  <c r="M1192" i="1"/>
  <c r="P1191" i="1"/>
  <c r="M1191" i="1"/>
  <c r="P1190" i="1"/>
  <c r="M1190" i="1"/>
  <c r="P1189" i="1"/>
  <c r="M1189" i="1"/>
  <c r="P1188" i="1"/>
  <c r="M1188" i="1"/>
  <c r="P1187" i="1"/>
  <c r="M1187" i="1"/>
  <c r="P1186" i="1"/>
  <c r="M1186" i="1"/>
  <c r="P1185" i="1"/>
  <c r="M1185" i="1"/>
  <c r="P1184" i="1"/>
  <c r="M1184" i="1"/>
  <c r="P1183" i="1"/>
  <c r="M1183" i="1"/>
  <c r="M1182" i="1"/>
  <c r="P1181" i="1"/>
  <c r="M1181" i="1"/>
  <c r="P1180" i="1"/>
  <c r="M1180" i="1"/>
  <c r="M1179" i="1"/>
  <c r="P1179" i="1"/>
  <c r="P1178" i="1"/>
  <c r="M1178" i="1"/>
  <c r="P1177" i="1"/>
  <c r="M1177" i="1"/>
  <c r="P1176" i="1"/>
  <c r="M1176" i="1"/>
  <c r="P1175" i="1"/>
  <c r="M1175" i="1"/>
  <c r="M1174" i="1"/>
  <c r="P1174" i="1"/>
  <c r="P1173" i="1"/>
  <c r="M1173" i="1"/>
  <c r="P1172" i="1"/>
  <c r="M1172" i="1"/>
  <c r="P1171" i="1"/>
  <c r="M1171" i="1"/>
  <c r="P1170" i="1"/>
  <c r="M1170" i="1"/>
  <c r="M1169" i="1"/>
  <c r="P1168" i="1"/>
  <c r="M1168" i="1"/>
  <c r="M1167" i="1"/>
  <c r="P1166" i="1"/>
  <c r="M1166" i="1"/>
  <c r="P1165" i="1"/>
  <c r="M1165" i="1"/>
  <c r="P1164" i="1"/>
  <c r="M1164" i="1"/>
  <c r="P1163" i="1"/>
  <c r="M1163" i="1"/>
  <c r="P1162" i="1"/>
  <c r="M1162" i="1"/>
  <c r="P1161" i="1"/>
  <c r="M1161" i="1"/>
  <c r="P1160" i="1"/>
  <c r="M1160" i="1"/>
  <c r="P1159" i="1"/>
  <c r="M1159" i="1"/>
  <c r="P1158" i="1"/>
  <c r="M1158" i="1"/>
  <c r="P1157" i="1"/>
  <c r="M1157" i="1"/>
  <c r="P1156" i="1"/>
  <c r="M1156" i="1"/>
  <c r="C126" i="9"/>
  <c r="P1155" i="1"/>
  <c r="M1155" i="1"/>
  <c r="P1154" i="1"/>
  <c r="M1154" i="1"/>
  <c r="P1153" i="1"/>
  <c r="M1153" i="1"/>
  <c r="P1152" i="1"/>
  <c r="M1152" i="1"/>
  <c r="M1151" i="1"/>
  <c r="P1151" i="1"/>
  <c r="P1150" i="1"/>
  <c r="M1150" i="1"/>
  <c r="P1149" i="1"/>
  <c r="M1149" i="1"/>
  <c r="P1148" i="1"/>
  <c r="M1148" i="1"/>
  <c r="P1147" i="1"/>
  <c r="M1147" i="1"/>
  <c r="P1146" i="1"/>
  <c r="M1146" i="1"/>
  <c r="P1145" i="1"/>
  <c r="M1145" i="1"/>
  <c r="P1144" i="1"/>
  <c r="M1144" i="1"/>
  <c r="P1143" i="1"/>
  <c r="M1143" i="1"/>
  <c r="P1142" i="1"/>
  <c r="M1142" i="1"/>
  <c r="P1141" i="1"/>
  <c r="M1141" i="1"/>
  <c r="P1140" i="1"/>
  <c r="M1140" i="1"/>
  <c r="P1139" i="1"/>
  <c r="M1139" i="1"/>
  <c r="P1138" i="1"/>
  <c r="M1138" i="1"/>
  <c r="P1137" i="1"/>
  <c r="M1137" i="1"/>
  <c r="P1136" i="1"/>
  <c r="M1136" i="1"/>
  <c r="P1135" i="1"/>
  <c r="M1135" i="1"/>
  <c r="P1134" i="1"/>
  <c r="M1134" i="1"/>
  <c r="P1133" i="1"/>
  <c r="M1133" i="1"/>
  <c r="P1132" i="1"/>
  <c r="M1132" i="1"/>
  <c r="P1131" i="1"/>
  <c r="M1131" i="1"/>
  <c r="P1130" i="1"/>
  <c r="M1130" i="1"/>
  <c r="P1129" i="1"/>
  <c r="M1129" i="1"/>
  <c r="M1128" i="1"/>
  <c r="P1127" i="1"/>
  <c r="M1127" i="1"/>
  <c r="P1126" i="1"/>
  <c r="M1126" i="1"/>
  <c r="P1125" i="1"/>
  <c r="M1125" i="1"/>
  <c r="P1124" i="1"/>
  <c r="M1124" i="1"/>
  <c r="P1123" i="1"/>
  <c r="M1123" i="1"/>
  <c r="P1122" i="1"/>
  <c r="M1122" i="1"/>
  <c r="P1121" i="1"/>
  <c r="M1121" i="1"/>
  <c r="P1120" i="1"/>
  <c r="M1120" i="1"/>
  <c r="P1119" i="1"/>
  <c r="M1119" i="1"/>
  <c r="P1118" i="1"/>
  <c r="M1118" i="1"/>
  <c r="P1117" i="1"/>
  <c r="M1117" i="1"/>
  <c r="P1116" i="1"/>
  <c r="M1116" i="1"/>
  <c r="P1115" i="1"/>
  <c r="M1115" i="1"/>
  <c r="M1114" i="1"/>
  <c r="P1113" i="1"/>
  <c r="M1113" i="1"/>
  <c r="P1112" i="1"/>
  <c r="M1112" i="1"/>
  <c r="P1111" i="1"/>
  <c r="M1111" i="1"/>
  <c r="P1110" i="1"/>
  <c r="M1110" i="1"/>
  <c r="P1109" i="1"/>
  <c r="M1109" i="1"/>
  <c r="P1108" i="1"/>
  <c r="M1108" i="1"/>
  <c r="P1107" i="1"/>
  <c r="M1107" i="1"/>
  <c r="P1106" i="1"/>
  <c r="M1106" i="1"/>
  <c r="P1105" i="1"/>
  <c r="M1105" i="1"/>
  <c r="P1104" i="1"/>
  <c r="M1104" i="1"/>
  <c r="P1103" i="1"/>
  <c r="M1103" i="1"/>
  <c r="P1102" i="1"/>
  <c r="M1102" i="1"/>
  <c r="P1101" i="1"/>
  <c r="M1101" i="1"/>
  <c r="P1100" i="1"/>
  <c r="M1100" i="1"/>
  <c r="M1099" i="1"/>
  <c r="P1098" i="1"/>
  <c r="M1098" i="1"/>
  <c r="P1097" i="1"/>
  <c r="M1097" i="1"/>
  <c r="P1096" i="1"/>
  <c r="M1096" i="1"/>
  <c r="P1095" i="1"/>
  <c r="M1095" i="1"/>
  <c r="P1094" i="1"/>
  <c r="M1094" i="1"/>
  <c r="P1093" i="1"/>
  <c r="M1093" i="1"/>
  <c r="P1092" i="1"/>
  <c r="M1092" i="1"/>
  <c r="P1091" i="1"/>
  <c r="M1091" i="1"/>
  <c r="P1090" i="1"/>
  <c r="M1090" i="1"/>
  <c r="P1089" i="1"/>
  <c r="M1089" i="1"/>
  <c r="P1088" i="1"/>
  <c r="M1088" i="1"/>
  <c r="P1087" i="1"/>
  <c r="M1087" i="1"/>
  <c r="P1086" i="1"/>
  <c r="M1086" i="1"/>
  <c r="P1085" i="1"/>
  <c r="M1085" i="1"/>
  <c r="P1084" i="1"/>
  <c r="M1084" i="1"/>
  <c r="P1083" i="1"/>
  <c r="M1083" i="1"/>
  <c r="P1082" i="1"/>
  <c r="M1082" i="1"/>
  <c r="P1081" i="1"/>
  <c r="M1081" i="1"/>
  <c r="P1080" i="1"/>
  <c r="M1080" i="1"/>
  <c r="P1079" i="1"/>
  <c r="M1079" i="1"/>
  <c r="M1078" i="1"/>
  <c r="P1078" i="1"/>
  <c r="P1077" i="1"/>
  <c r="M1077" i="1"/>
  <c r="C45" i="9"/>
  <c r="P1076" i="1"/>
  <c r="M1076" i="1"/>
  <c r="P1075" i="1"/>
  <c r="M1075" i="1"/>
  <c r="P1074" i="1"/>
  <c r="M1074" i="1"/>
  <c r="P1073" i="1"/>
  <c r="M1073" i="1"/>
  <c r="P1072" i="1"/>
  <c r="M1072" i="1"/>
  <c r="P1071" i="1"/>
  <c r="M1071" i="1"/>
  <c r="P1070" i="1"/>
  <c r="M1070" i="1"/>
  <c r="P1069" i="1"/>
  <c r="M1069" i="1"/>
  <c r="M1068" i="1"/>
  <c r="P1068" i="1"/>
  <c r="P1067" i="1"/>
  <c r="M1067" i="1"/>
  <c r="P1066" i="1"/>
  <c r="M1066" i="1"/>
  <c r="M1065" i="1"/>
  <c r="P1065" i="1"/>
  <c r="P1064" i="1"/>
  <c r="M1064" i="1"/>
  <c r="P1063" i="1"/>
  <c r="M1063" i="1"/>
  <c r="P1062" i="1"/>
  <c r="M1062" i="1"/>
  <c r="P1061" i="1"/>
  <c r="M1061" i="1"/>
  <c r="P1060" i="1"/>
  <c r="M1060" i="1"/>
  <c r="P1059" i="1"/>
  <c r="M1059" i="1"/>
  <c r="P1058" i="1"/>
  <c r="M1058" i="1"/>
  <c r="P1057" i="1"/>
  <c r="M1057" i="1"/>
  <c r="P1056" i="1"/>
  <c r="M1056" i="1"/>
  <c r="P1055" i="1"/>
  <c r="M1055" i="1"/>
  <c r="P1054" i="1"/>
  <c r="M1054" i="1"/>
  <c r="P1053" i="1"/>
  <c r="M1053" i="1"/>
  <c r="P1052" i="1"/>
  <c r="M1052" i="1"/>
  <c r="P1051" i="1"/>
  <c r="M1051" i="1"/>
  <c r="P1050" i="1"/>
  <c r="M1050" i="1"/>
  <c r="P1049" i="1"/>
  <c r="M1049" i="1"/>
  <c r="P1048" i="1"/>
  <c r="M1048" i="1"/>
  <c r="P1047" i="1"/>
  <c r="M1047" i="1"/>
  <c r="P1046" i="1"/>
  <c r="M1046" i="1"/>
  <c r="P1045" i="1"/>
  <c r="M1045" i="1"/>
  <c r="P1044" i="1"/>
  <c r="M1044" i="1"/>
  <c r="M1043" i="1"/>
  <c r="P1043" i="1"/>
  <c r="M1042" i="1"/>
  <c r="P1042" i="1"/>
  <c r="P1041" i="1"/>
  <c r="M1041" i="1"/>
  <c r="P1040" i="1"/>
  <c r="M1040" i="1"/>
  <c r="P1039" i="1"/>
  <c r="M1039" i="1"/>
  <c r="P1038" i="1"/>
  <c r="M1038" i="1"/>
  <c r="P1037" i="1"/>
  <c r="M1037" i="1"/>
  <c r="P1036" i="1"/>
  <c r="M1036" i="1"/>
  <c r="P1035" i="1"/>
  <c r="M1035" i="1"/>
  <c r="P1034" i="1"/>
  <c r="M1034" i="1"/>
  <c r="P1033" i="1"/>
  <c r="M1033" i="1"/>
  <c r="AC144" i="5"/>
  <c r="AB144" i="5"/>
  <c r="AA144" i="5"/>
  <c r="Z144" i="5"/>
  <c r="Y144" i="5"/>
  <c r="X144" i="5"/>
  <c r="W144" i="5"/>
  <c r="V144" i="5"/>
  <c r="U144" i="5"/>
  <c r="T144" i="5"/>
  <c r="S144" i="5"/>
  <c r="R144" i="5"/>
  <c r="Q144" i="5"/>
  <c r="P144" i="5"/>
  <c r="O144" i="5"/>
  <c r="N144" i="5"/>
  <c r="M144" i="5"/>
  <c r="L144" i="5"/>
  <c r="K144" i="5"/>
  <c r="J144" i="5"/>
  <c r="I144" i="5"/>
  <c r="H144" i="5"/>
  <c r="G144" i="5"/>
  <c r="F144" i="5"/>
  <c r="P1032" i="1"/>
  <c r="M1032" i="1"/>
  <c r="P1031" i="1"/>
  <c r="M1031" i="1"/>
  <c r="P1030" i="1"/>
  <c r="M1030" i="1"/>
  <c r="P1029" i="1"/>
  <c r="M1029" i="1"/>
  <c r="P1028" i="1"/>
  <c r="M1028" i="1"/>
  <c r="P1027" i="1"/>
  <c r="M1027" i="1"/>
  <c r="P1026" i="1"/>
  <c r="M1026" i="1"/>
  <c r="M1025" i="1"/>
  <c r="P1025" i="1"/>
  <c r="P1024" i="1"/>
  <c r="M1024" i="1"/>
  <c r="P1023" i="1"/>
  <c r="M1023" i="1"/>
  <c r="P1022" i="1"/>
  <c r="M1022" i="1"/>
  <c r="P1021" i="1"/>
  <c r="M1021" i="1"/>
  <c r="P1020" i="1"/>
  <c r="M1020" i="1"/>
  <c r="P1019" i="1"/>
  <c r="M1019" i="1"/>
  <c r="P1018" i="1"/>
  <c r="M1018" i="1"/>
  <c r="P1017" i="1"/>
  <c r="M1017" i="1"/>
  <c r="P1016" i="1"/>
  <c r="M1016" i="1"/>
  <c r="P1015" i="1"/>
  <c r="M1015" i="1"/>
  <c r="P1014" i="1"/>
  <c r="M1014" i="1"/>
  <c r="P1013" i="1"/>
  <c r="M1013" i="1"/>
  <c r="P1012" i="1"/>
  <c r="M1012" i="1"/>
  <c r="P1011" i="1"/>
  <c r="M1011" i="1"/>
  <c r="P1010" i="1"/>
  <c r="M1010" i="1"/>
  <c r="M1009" i="1"/>
  <c r="P1008" i="1"/>
  <c r="M1008" i="1"/>
  <c r="P1007" i="1"/>
  <c r="M1007" i="1"/>
  <c r="P1006" i="1"/>
  <c r="M1006" i="1"/>
  <c r="P1005" i="1"/>
  <c r="M1005" i="1"/>
  <c r="P1004" i="1"/>
  <c r="M1004" i="1"/>
  <c r="P1003" i="1"/>
  <c r="M1003" i="1"/>
  <c r="P1002" i="1"/>
  <c r="M1002" i="1"/>
  <c r="P1001" i="1"/>
  <c r="M1001" i="1"/>
  <c r="P1000" i="1"/>
  <c r="M1000" i="1"/>
  <c r="P999" i="1"/>
  <c r="M999" i="1"/>
  <c r="P998" i="1"/>
  <c r="M998" i="1"/>
  <c r="P997" i="1"/>
  <c r="M997" i="1"/>
  <c r="M993" i="1"/>
  <c r="P993" i="1"/>
  <c r="P996" i="1"/>
  <c r="M996" i="1"/>
  <c r="P995" i="1"/>
  <c r="M995" i="1"/>
  <c r="P994" i="1"/>
  <c r="M994" i="1"/>
  <c r="P992" i="1"/>
  <c r="M992" i="1"/>
  <c r="M991" i="1"/>
  <c r="P991" i="1"/>
  <c r="P990" i="1"/>
  <c r="M990" i="1"/>
  <c r="P989" i="1"/>
  <c r="M989" i="1"/>
  <c r="P988" i="1"/>
  <c r="M988" i="1"/>
  <c r="P987" i="1"/>
  <c r="M987" i="1"/>
  <c r="M986" i="1"/>
  <c r="P986" i="1"/>
  <c r="P985" i="1"/>
  <c r="M985" i="1"/>
  <c r="P984" i="1"/>
  <c r="M984" i="1"/>
  <c r="P983" i="1"/>
  <c r="M983" i="1"/>
  <c r="P982" i="1"/>
  <c r="M982" i="1"/>
  <c r="P981" i="1"/>
  <c r="M981" i="1"/>
  <c r="P980" i="1"/>
  <c r="M980" i="1"/>
  <c r="P979" i="1"/>
  <c r="M979" i="1"/>
  <c r="P978" i="1"/>
  <c r="M978" i="1"/>
  <c r="M977" i="1"/>
  <c r="P976" i="1"/>
  <c r="M976" i="1"/>
  <c r="P975" i="1"/>
  <c r="M975" i="1"/>
  <c r="P974" i="1"/>
  <c r="M974" i="1"/>
  <c r="P973" i="1"/>
  <c r="M973" i="1"/>
  <c r="P972" i="1"/>
  <c r="M972" i="1"/>
  <c r="P971" i="1"/>
  <c r="M971" i="1"/>
  <c r="P970" i="1"/>
  <c r="M970" i="1"/>
  <c r="P969" i="1"/>
  <c r="M969" i="1"/>
  <c r="P968" i="1"/>
  <c r="M968" i="1"/>
  <c r="M967" i="1"/>
  <c r="P967" i="1"/>
  <c r="P966" i="1"/>
  <c r="M966" i="1"/>
  <c r="P965" i="1"/>
  <c r="M965" i="1"/>
  <c r="P964" i="1"/>
  <c r="M964" i="1"/>
  <c r="P963" i="1"/>
  <c r="M963" i="1"/>
  <c r="P962" i="1"/>
  <c r="M962" i="1"/>
  <c r="P961" i="1"/>
  <c r="M961" i="1"/>
  <c r="P960" i="1"/>
  <c r="M960" i="1"/>
  <c r="P959" i="1"/>
  <c r="M959" i="1"/>
  <c r="P958" i="1"/>
  <c r="M958" i="1"/>
  <c r="P957" i="1"/>
  <c r="M957" i="1"/>
  <c r="P956" i="1"/>
  <c r="M956" i="1"/>
  <c r="P955" i="1"/>
  <c r="M955" i="1"/>
  <c r="P954" i="1"/>
  <c r="M954" i="1"/>
  <c r="P953" i="1"/>
  <c r="M953" i="1"/>
  <c r="P952" i="1"/>
  <c r="M952" i="1"/>
  <c r="P951" i="1"/>
  <c r="M951" i="1"/>
  <c r="P950" i="1"/>
  <c r="M950" i="1"/>
  <c r="P949" i="1"/>
  <c r="M949" i="1"/>
  <c r="P948" i="1"/>
  <c r="M948" i="1"/>
  <c r="P947" i="1"/>
  <c r="M947" i="1"/>
  <c r="P946" i="1"/>
  <c r="M946" i="1"/>
  <c r="P945" i="1"/>
  <c r="M945" i="1"/>
  <c r="P944" i="1"/>
  <c r="M944" i="1"/>
  <c r="P943" i="1"/>
  <c r="M943" i="1"/>
  <c r="P942" i="1"/>
  <c r="M942" i="1"/>
  <c r="P941" i="1"/>
  <c r="M941" i="1"/>
  <c r="P940" i="1"/>
  <c r="M940" i="1"/>
  <c r="P939" i="1"/>
  <c r="M939" i="1"/>
  <c r="P938" i="1"/>
  <c r="M938" i="1"/>
  <c r="P937" i="1"/>
  <c r="M937" i="1"/>
  <c r="P936" i="1"/>
  <c r="M936" i="1"/>
  <c r="P935" i="1"/>
  <c r="M935" i="1"/>
  <c r="P934" i="1"/>
  <c r="M934" i="1"/>
  <c r="P933" i="1"/>
  <c r="M933" i="1"/>
  <c r="P932" i="1"/>
  <c r="M932" i="1"/>
  <c r="P931" i="1"/>
  <c r="M931" i="1"/>
  <c r="P930" i="1"/>
  <c r="M930" i="1"/>
  <c r="P929" i="1"/>
  <c r="M929" i="1"/>
  <c r="P928" i="1"/>
  <c r="M928" i="1"/>
  <c r="P927" i="1"/>
  <c r="M927" i="1"/>
  <c r="P926" i="1"/>
  <c r="M926" i="1"/>
  <c r="P925" i="1"/>
  <c r="M925" i="1"/>
  <c r="P924" i="1"/>
  <c r="M924" i="1"/>
  <c r="P923" i="1"/>
  <c r="M923" i="1"/>
  <c r="P922" i="1"/>
  <c r="M922" i="1"/>
  <c r="P921" i="1"/>
  <c r="M921" i="1"/>
  <c r="P920" i="1"/>
  <c r="M920" i="1"/>
  <c r="P919" i="1"/>
  <c r="M919" i="1"/>
  <c r="P918" i="1"/>
  <c r="M918" i="1"/>
  <c r="P917" i="1"/>
  <c r="M917" i="1"/>
  <c r="P916" i="1"/>
  <c r="M916" i="1"/>
  <c r="P915" i="1"/>
  <c r="M915" i="1"/>
  <c r="P914" i="1"/>
  <c r="M914" i="1"/>
  <c r="P913" i="1"/>
  <c r="M913" i="1"/>
  <c r="M912" i="1"/>
  <c r="P912" i="1"/>
  <c r="M911" i="1"/>
  <c r="P911" i="1"/>
  <c r="P910" i="1"/>
  <c r="M910" i="1"/>
  <c r="M909" i="1"/>
  <c r="P909" i="1"/>
  <c r="P908" i="1"/>
  <c r="M908" i="1"/>
  <c r="P907" i="1"/>
  <c r="M907" i="1"/>
  <c r="M906" i="1"/>
  <c r="P906" i="1"/>
  <c r="P905" i="1"/>
  <c r="M905" i="1"/>
  <c r="P904" i="1"/>
  <c r="M904" i="1"/>
  <c r="P903" i="1"/>
  <c r="M903" i="1"/>
  <c r="P902" i="1"/>
  <c r="M902" i="1"/>
  <c r="P901" i="1"/>
  <c r="M901" i="1"/>
  <c r="P900" i="1"/>
  <c r="M900" i="1"/>
  <c r="P899" i="1"/>
  <c r="M899" i="1"/>
  <c r="P898" i="1"/>
  <c r="M898" i="1"/>
  <c r="P897" i="1"/>
  <c r="M897" i="1"/>
  <c r="M896" i="1"/>
  <c r="P896" i="1"/>
  <c r="P895" i="1"/>
  <c r="M895" i="1"/>
  <c r="P894" i="1"/>
  <c r="M894" i="1"/>
  <c r="P893" i="1"/>
  <c r="M893" i="1"/>
  <c r="P892" i="1"/>
  <c r="M892" i="1"/>
  <c r="P891" i="1"/>
  <c r="M891" i="1"/>
  <c r="P890" i="1"/>
  <c r="M890" i="1"/>
  <c r="P889" i="1"/>
  <c r="M889" i="1"/>
  <c r="P888" i="1"/>
  <c r="M888" i="1"/>
  <c r="P887" i="1"/>
  <c r="M887" i="1"/>
  <c r="P886" i="1"/>
  <c r="M886" i="1"/>
  <c r="P885" i="1"/>
  <c r="M885" i="1"/>
  <c r="P884" i="1"/>
  <c r="M884" i="1"/>
  <c r="P883" i="1"/>
  <c r="M883" i="1"/>
  <c r="M882" i="1"/>
  <c r="M881" i="1"/>
  <c r="P881" i="1"/>
  <c r="P880" i="1"/>
  <c r="M880" i="1"/>
  <c r="P874" i="1"/>
  <c r="P879" i="1"/>
  <c r="M879" i="1"/>
  <c r="P878" i="1"/>
  <c r="M878" i="1"/>
  <c r="P877" i="1"/>
  <c r="M877" i="1"/>
  <c r="P876" i="1"/>
  <c r="M876" i="1"/>
  <c r="P875" i="1"/>
  <c r="M875" i="1"/>
  <c r="M874" i="1"/>
  <c r="P873" i="1"/>
  <c r="M873" i="1"/>
  <c r="P872" i="1"/>
  <c r="M872" i="1"/>
  <c r="P871" i="1"/>
  <c r="M871" i="1"/>
  <c r="P870" i="1"/>
  <c r="M870" i="1"/>
  <c r="P869" i="1"/>
  <c r="M869" i="1"/>
  <c r="M868" i="1"/>
  <c r="P868" i="1"/>
  <c r="P867" i="1"/>
  <c r="M867" i="1"/>
  <c r="P866" i="1"/>
  <c r="M866" i="1"/>
  <c r="P865" i="1"/>
  <c r="M865" i="1"/>
  <c r="P864" i="1"/>
  <c r="M864" i="1"/>
  <c r="P863" i="1"/>
  <c r="M863" i="1"/>
  <c r="P862" i="1"/>
  <c r="M862" i="1"/>
  <c r="P861" i="1"/>
  <c r="M861" i="1"/>
  <c r="P860" i="1"/>
  <c r="M860" i="1"/>
  <c r="P859" i="1"/>
  <c r="M859" i="1"/>
  <c r="P858" i="1"/>
  <c r="M858" i="1"/>
  <c r="P857" i="1"/>
  <c r="M857" i="1"/>
  <c r="M856" i="1"/>
  <c r="P855" i="1"/>
  <c r="M855" i="1"/>
  <c r="P854" i="1"/>
  <c r="M854" i="1"/>
  <c r="M853" i="1"/>
  <c r="P853" i="1"/>
  <c r="P852" i="1"/>
  <c r="M852" i="1"/>
  <c r="P851" i="1"/>
  <c r="M851" i="1"/>
  <c r="P850" i="1"/>
  <c r="M850" i="1"/>
  <c r="P849" i="1"/>
  <c r="M849" i="1"/>
  <c r="P848" i="1"/>
  <c r="M848" i="1"/>
  <c r="P847" i="1"/>
  <c r="M847" i="1"/>
  <c r="P846" i="1"/>
  <c r="M846" i="1"/>
  <c r="P845" i="1"/>
  <c r="M845" i="1"/>
  <c r="P844" i="1"/>
  <c r="M844" i="1"/>
  <c r="P843" i="1"/>
  <c r="M843" i="1"/>
  <c r="P842" i="1"/>
  <c r="M842" i="1"/>
  <c r="P841" i="1"/>
  <c r="M841" i="1"/>
  <c r="P840" i="1"/>
  <c r="M840" i="1"/>
  <c r="P839" i="1"/>
  <c r="M839" i="1"/>
  <c r="P838" i="1"/>
  <c r="M838" i="1"/>
  <c r="P837" i="1"/>
  <c r="M837" i="1"/>
  <c r="P836" i="1"/>
  <c r="M836" i="1"/>
  <c r="P835" i="1"/>
  <c r="M835" i="1"/>
  <c r="M834" i="1"/>
  <c r="P833" i="1"/>
  <c r="M833" i="1"/>
  <c r="P832" i="1"/>
  <c r="M832" i="1"/>
  <c r="P831" i="1"/>
  <c r="M831" i="1"/>
  <c r="M830" i="1"/>
  <c r="M829" i="1"/>
  <c r="P829" i="1"/>
  <c r="M828" i="1"/>
  <c r="P828" i="1"/>
  <c r="P827" i="1"/>
  <c r="M827" i="1"/>
  <c r="M826" i="1"/>
  <c r="P826" i="1"/>
  <c r="P825" i="1"/>
  <c r="M825" i="1"/>
  <c r="P824" i="1"/>
  <c r="M824" i="1"/>
  <c r="P823" i="1"/>
  <c r="M823" i="1"/>
  <c r="P822" i="1"/>
  <c r="M822" i="1"/>
  <c r="P821" i="1"/>
  <c r="M821" i="1"/>
  <c r="P820" i="1"/>
  <c r="M820" i="1"/>
  <c r="P819" i="1"/>
  <c r="M819" i="1"/>
  <c r="M818" i="1"/>
  <c r="P817" i="1"/>
  <c r="M817" i="1"/>
  <c r="P816" i="1"/>
  <c r="M816" i="1"/>
  <c r="M815" i="1"/>
  <c r="P814" i="1"/>
  <c r="M814" i="1"/>
  <c r="P813" i="1"/>
  <c r="M813" i="1"/>
  <c r="P812" i="1"/>
  <c r="M812" i="1"/>
  <c r="P811" i="1"/>
  <c r="M811" i="1"/>
  <c r="P810" i="1"/>
  <c r="M810" i="1"/>
  <c r="P809" i="1"/>
  <c r="M809" i="1"/>
  <c r="P808" i="1"/>
  <c r="M808" i="1"/>
  <c r="P807" i="1"/>
  <c r="M807" i="1"/>
  <c r="P806" i="1"/>
  <c r="M806" i="1"/>
  <c r="P805" i="1"/>
  <c r="M805" i="1"/>
  <c r="P804" i="1"/>
  <c r="M804" i="1"/>
  <c r="M803" i="1"/>
  <c r="P803" i="1"/>
  <c r="M802" i="1"/>
  <c r="P801" i="1"/>
  <c r="M801" i="1"/>
  <c r="P800" i="1"/>
  <c r="M800" i="1"/>
  <c r="M799" i="1"/>
  <c r="P799" i="1"/>
  <c r="M798" i="1"/>
  <c r="P798" i="1"/>
  <c r="P797" i="1"/>
  <c r="M797" i="1"/>
  <c r="P796" i="1"/>
  <c r="M796" i="1"/>
  <c r="P795" i="1"/>
  <c r="M795" i="1"/>
  <c r="P794" i="1"/>
  <c r="M794" i="1"/>
  <c r="P793" i="1"/>
  <c r="M793" i="1"/>
  <c r="P792" i="1"/>
  <c r="M792" i="1"/>
  <c r="P791" i="1"/>
  <c r="M791" i="1"/>
  <c r="P790" i="1"/>
  <c r="M790" i="1"/>
  <c r="P789" i="1"/>
  <c r="M789" i="1"/>
  <c r="P788" i="1"/>
  <c r="M788" i="1"/>
  <c r="P787" i="1"/>
  <c r="M787" i="1"/>
  <c r="P786" i="1"/>
  <c r="M786" i="1"/>
  <c r="P785" i="1"/>
  <c r="M785" i="1"/>
  <c r="P784" i="1"/>
  <c r="M784" i="1"/>
  <c r="P783" i="1"/>
  <c r="M783" i="1"/>
  <c r="P782" i="1"/>
  <c r="M782" i="1"/>
  <c r="P781" i="1"/>
  <c r="M781" i="1"/>
  <c r="P780" i="1"/>
  <c r="M780" i="1"/>
  <c r="P779" i="1"/>
  <c r="M779" i="1"/>
  <c r="P778" i="1"/>
  <c r="M778" i="1"/>
  <c r="P777" i="1"/>
  <c r="M777" i="1"/>
  <c r="P776" i="1"/>
  <c r="M776" i="1"/>
  <c r="P775" i="1"/>
  <c r="M775" i="1"/>
  <c r="P774" i="1"/>
  <c r="M774" i="1"/>
  <c r="M773" i="1"/>
  <c r="P773" i="1"/>
  <c r="P772" i="1"/>
  <c r="M772" i="1"/>
  <c r="M771" i="1"/>
  <c r="P771" i="1"/>
  <c r="P770" i="1"/>
  <c r="M770" i="1"/>
  <c r="P769" i="1"/>
  <c r="M769" i="1"/>
  <c r="P768" i="1"/>
  <c r="M768" i="1"/>
  <c r="M767" i="1"/>
  <c r="P767" i="1"/>
  <c r="M766" i="1"/>
  <c r="P766" i="1"/>
  <c r="P765" i="1"/>
  <c r="M765" i="1"/>
  <c r="P764" i="1"/>
  <c r="M764" i="1"/>
  <c r="M763" i="1"/>
  <c r="P763" i="1"/>
  <c r="P762" i="1"/>
  <c r="M762" i="1"/>
  <c r="P761" i="1"/>
  <c r="M761" i="1"/>
  <c r="P760" i="1"/>
  <c r="M760" i="1"/>
  <c r="P759" i="1"/>
  <c r="M759" i="1"/>
  <c r="M758" i="1"/>
  <c r="P758" i="1"/>
  <c r="P757" i="1"/>
  <c r="M757" i="1"/>
  <c r="P756" i="1"/>
  <c r="M756" i="1"/>
  <c r="P755" i="1"/>
  <c r="M755" i="1"/>
  <c r="P754" i="1"/>
  <c r="M754" i="1"/>
  <c r="P753" i="1"/>
  <c r="M753" i="1"/>
  <c r="P752" i="1"/>
  <c r="M752" i="1"/>
  <c r="P751" i="1"/>
  <c r="M751" i="1"/>
  <c r="P750" i="1"/>
  <c r="M750" i="1"/>
  <c r="P749" i="1"/>
  <c r="M749" i="1"/>
  <c r="P748" i="1"/>
  <c r="M748" i="1"/>
  <c r="P747" i="1"/>
  <c r="M747" i="1"/>
  <c r="P746" i="1"/>
  <c r="M746" i="1"/>
  <c r="P745" i="1"/>
  <c r="M745" i="1"/>
  <c r="P744" i="1"/>
  <c r="M744" i="1"/>
  <c r="P743" i="1"/>
  <c r="M743" i="1"/>
  <c r="P742" i="1"/>
  <c r="M742" i="1"/>
  <c r="P741" i="1"/>
  <c r="M741" i="1"/>
  <c r="M740" i="1"/>
  <c r="P739" i="1"/>
  <c r="M739" i="1"/>
  <c r="P738" i="1"/>
  <c r="M738" i="1"/>
  <c r="P737" i="1"/>
  <c r="M737" i="1"/>
  <c r="P736" i="1"/>
  <c r="M736" i="1"/>
  <c r="P735" i="1"/>
  <c r="M735" i="1"/>
  <c r="P734" i="1"/>
  <c r="M734" i="1"/>
  <c r="P733" i="1"/>
  <c r="M733" i="1"/>
  <c r="M732" i="1"/>
  <c r="P731" i="1"/>
  <c r="M731" i="1"/>
  <c r="P730" i="1"/>
  <c r="M730" i="1"/>
  <c r="P729" i="1"/>
  <c r="M729" i="1"/>
  <c r="P728" i="1"/>
  <c r="M728" i="1"/>
  <c r="P727" i="1"/>
  <c r="M727" i="1"/>
  <c r="P726" i="1"/>
  <c r="M726" i="1"/>
  <c r="P725" i="1"/>
  <c r="M725" i="1"/>
  <c r="P724" i="1"/>
  <c r="M724" i="1"/>
  <c r="P723" i="1"/>
  <c r="M723" i="1"/>
  <c r="P722" i="1"/>
  <c r="M722" i="1"/>
  <c r="P721" i="1"/>
  <c r="M721" i="1"/>
  <c r="P720" i="1"/>
  <c r="M720" i="1"/>
  <c r="M719" i="1"/>
  <c r="P718" i="1"/>
  <c r="M718" i="1"/>
  <c r="P717" i="1"/>
  <c r="M717" i="1"/>
  <c r="P716" i="1"/>
  <c r="M716" i="1"/>
  <c r="P681" i="1"/>
  <c r="M715" i="1"/>
  <c r="P714" i="1"/>
  <c r="M714" i="1"/>
  <c r="M713" i="1"/>
  <c r="P712" i="1"/>
  <c r="M712" i="1"/>
  <c r="P711" i="1"/>
  <c r="M711" i="1"/>
  <c r="P710" i="1"/>
  <c r="M710" i="1"/>
  <c r="P709" i="1"/>
  <c r="M709" i="1"/>
  <c r="P708" i="1"/>
  <c r="M708" i="1"/>
  <c r="P707" i="1"/>
  <c r="M707" i="1"/>
  <c r="M706" i="1"/>
  <c r="P706" i="1"/>
  <c r="G1" i="5"/>
  <c r="F1" i="5"/>
  <c r="E1" i="5"/>
  <c r="P705" i="1"/>
  <c r="M705" i="1"/>
  <c r="P704" i="1"/>
  <c r="M704" i="1"/>
  <c r="P703" i="1"/>
  <c r="M703" i="1"/>
  <c r="P702" i="1"/>
  <c r="M702" i="1"/>
  <c r="P701" i="1"/>
  <c r="M701" i="1"/>
  <c r="P700" i="1"/>
  <c r="M700" i="1"/>
  <c r="P698" i="1"/>
  <c r="M698" i="1"/>
  <c r="P699" i="1"/>
  <c r="M699" i="1"/>
  <c r="P697" i="1"/>
  <c r="M697" i="1"/>
  <c r="P696" i="1"/>
  <c r="M696" i="1"/>
  <c r="C120" i="9"/>
  <c r="C109" i="9"/>
  <c r="P581" i="1"/>
  <c r="P612" i="1"/>
  <c r="P624" i="1"/>
  <c r="P635" i="1"/>
  <c r="P645" i="1"/>
  <c r="P659" i="1"/>
  <c r="P663" i="1"/>
  <c r="P670" i="1"/>
  <c r="P675" i="1"/>
  <c r="P688" i="1"/>
  <c r="P689" i="1"/>
  <c r="P693" i="1"/>
  <c r="P672" i="1"/>
  <c r="C139" i="9"/>
  <c r="C136" i="9"/>
  <c r="C112" i="9"/>
  <c r="C111" i="9"/>
  <c r="C98" i="9"/>
  <c r="C83" i="9"/>
  <c r="C79" i="9"/>
  <c r="C75" i="9"/>
  <c r="C72" i="9"/>
  <c r="C63" i="9"/>
  <c r="C51" i="9"/>
  <c r="C31" i="9"/>
  <c r="C29" i="9"/>
  <c r="C27" i="9"/>
  <c r="C23" i="9"/>
  <c r="C18" i="9"/>
  <c r="C14" i="9"/>
  <c r="M695" i="1"/>
  <c r="M694" i="1"/>
  <c r="M693" i="1"/>
  <c r="P692" i="1"/>
  <c r="M692" i="1"/>
  <c r="P691" i="1"/>
  <c r="M691" i="1"/>
  <c r="P690" i="1"/>
  <c r="M690" i="1"/>
  <c r="M689" i="1"/>
  <c r="M688" i="1"/>
  <c r="P687" i="1"/>
  <c r="M687" i="1"/>
  <c r="P686" i="1"/>
  <c r="M686" i="1"/>
  <c r="P685" i="1"/>
  <c r="M685" i="1"/>
  <c r="P684" i="1"/>
  <c r="M684" i="1"/>
  <c r="P683" i="1"/>
  <c r="M683" i="1"/>
  <c r="P682" i="1"/>
  <c r="M682" i="1"/>
  <c r="M681" i="1"/>
  <c r="P680" i="1"/>
  <c r="M680" i="1"/>
  <c r="P679" i="1"/>
  <c r="M679" i="1"/>
  <c r="P678" i="1"/>
  <c r="M678" i="1"/>
  <c r="P677" i="1"/>
  <c r="M677" i="1"/>
  <c r="M676" i="1"/>
  <c r="M675" i="1"/>
  <c r="P674" i="1"/>
  <c r="M674" i="1"/>
  <c r="P673" i="1"/>
  <c r="M673" i="1"/>
  <c r="M672" i="1"/>
  <c r="P671" i="1"/>
  <c r="M671" i="1"/>
  <c r="M670" i="1"/>
  <c r="P669" i="1"/>
  <c r="M669" i="1"/>
  <c r="P668" i="1"/>
  <c r="M668" i="1"/>
  <c r="P667" i="1"/>
  <c r="M667" i="1"/>
  <c r="P666" i="1"/>
  <c r="M666" i="1"/>
  <c r="P665" i="1"/>
  <c r="M665" i="1"/>
  <c r="P664" i="1"/>
  <c r="M664" i="1"/>
  <c r="M663" i="1"/>
  <c r="P662" i="1"/>
  <c r="M662" i="1"/>
  <c r="M661" i="1"/>
  <c r="P660" i="1"/>
  <c r="M660" i="1"/>
  <c r="M659" i="1"/>
  <c r="M658" i="1"/>
  <c r="P657" i="1"/>
  <c r="M657" i="1"/>
  <c r="P656" i="1"/>
  <c r="M656" i="1"/>
  <c r="P655" i="1"/>
  <c r="M655" i="1"/>
  <c r="P654" i="1"/>
  <c r="M654" i="1"/>
  <c r="P653" i="1"/>
  <c r="M653" i="1"/>
  <c r="P652" i="1"/>
  <c r="M652" i="1"/>
  <c r="P651" i="1"/>
  <c r="M651" i="1"/>
  <c r="P650" i="1"/>
  <c r="M650" i="1"/>
  <c r="P649" i="1"/>
  <c r="M649" i="1"/>
  <c r="P648" i="1"/>
  <c r="M648" i="1"/>
  <c r="P647" i="1"/>
  <c r="M647" i="1"/>
  <c r="P646" i="1"/>
  <c r="M646" i="1"/>
  <c r="M645" i="1"/>
  <c r="P644" i="1"/>
  <c r="M644" i="1"/>
  <c r="P643" i="1"/>
  <c r="M643" i="1"/>
  <c r="P642" i="1"/>
  <c r="M642" i="1"/>
  <c r="P641" i="1"/>
  <c r="M641" i="1"/>
  <c r="P640" i="1"/>
  <c r="M640" i="1"/>
  <c r="P639" i="1"/>
  <c r="M639" i="1"/>
  <c r="P638" i="1"/>
  <c r="M638" i="1"/>
  <c r="P637" i="1"/>
  <c r="M637" i="1"/>
  <c r="P636" i="1"/>
  <c r="M636" i="1"/>
  <c r="M635" i="1"/>
  <c r="P634" i="1"/>
  <c r="M634" i="1"/>
  <c r="P633" i="1"/>
  <c r="M633" i="1"/>
  <c r="P632" i="1"/>
  <c r="M632" i="1"/>
  <c r="P631" i="1"/>
  <c r="M631" i="1"/>
  <c r="P630" i="1"/>
  <c r="M630" i="1"/>
  <c r="P629" i="1"/>
  <c r="M629" i="1"/>
  <c r="P628" i="1"/>
  <c r="M628" i="1"/>
  <c r="P627" i="1"/>
  <c r="M627" i="1"/>
  <c r="P626" i="1"/>
  <c r="M626" i="1"/>
  <c r="P625" i="1"/>
  <c r="M625" i="1"/>
  <c r="M624" i="1"/>
  <c r="P623" i="1"/>
  <c r="M623" i="1"/>
  <c r="P622" i="1"/>
  <c r="M622" i="1"/>
  <c r="P621" i="1"/>
  <c r="M621" i="1"/>
  <c r="P620" i="1"/>
  <c r="M620" i="1"/>
  <c r="P619" i="1"/>
  <c r="M619" i="1"/>
  <c r="P618" i="1"/>
  <c r="M618" i="1"/>
  <c r="P617" i="1"/>
  <c r="M617" i="1"/>
  <c r="P616" i="1"/>
  <c r="M616" i="1"/>
  <c r="P615" i="1"/>
  <c r="M615" i="1"/>
  <c r="P614" i="1"/>
  <c r="M614" i="1"/>
  <c r="P613" i="1"/>
  <c r="M613" i="1"/>
  <c r="M612" i="1"/>
  <c r="P611" i="1"/>
  <c r="M611" i="1"/>
  <c r="P610" i="1"/>
  <c r="M610" i="1"/>
  <c r="P609" i="1"/>
  <c r="M609" i="1"/>
  <c r="P608" i="1"/>
  <c r="M608" i="1"/>
  <c r="P607" i="1"/>
  <c r="M607" i="1"/>
  <c r="P606" i="1"/>
  <c r="M606" i="1"/>
  <c r="P605" i="1"/>
  <c r="M605" i="1"/>
  <c r="P604" i="1"/>
  <c r="M604" i="1"/>
  <c r="P603" i="1"/>
  <c r="M603" i="1"/>
  <c r="P602" i="1"/>
  <c r="M602" i="1"/>
  <c r="P601" i="1"/>
  <c r="M601" i="1"/>
  <c r="P600" i="1"/>
  <c r="M600" i="1"/>
  <c r="P599" i="1"/>
  <c r="M599" i="1"/>
  <c r="P598" i="1"/>
  <c r="M598" i="1"/>
  <c r="P597" i="1"/>
  <c r="M597" i="1"/>
  <c r="P596" i="1"/>
  <c r="M596" i="1"/>
  <c r="P595" i="1"/>
  <c r="M595" i="1"/>
  <c r="P594" i="1"/>
  <c r="M594" i="1"/>
  <c r="P593" i="1"/>
  <c r="M593" i="1"/>
  <c r="P592" i="1"/>
  <c r="M592" i="1"/>
  <c r="P591" i="1"/>
  <c r="M591" i="1"/>
  <c r="P590" i="1"/>
  <c r="M590" i="1"/>
  <c r="P589" i="1"/>
  <c r="M589" i="1"/>
  <c r="P588" i="1"/>
  <c r="M588" i="1"/>
  <c r="P587" i="1"/>
  <c r="M587" i="1"/>
  <c r="P586" i="1"/>
  <c r="M586" i="1"/>
  <c r="P585" i="1"/>
  <c r="M585" i="1"/>
  <c r="P584" i="1"/>
  <c r="M584" i="1"/>
  <c r="P583" i="1"/>
  <c r="M583" i="1"/>
  <c r="P582" i="1"/>
  <c r="M582" i="1"/>
  <c r="M581" i="1"/>
  <c r="P580" i="1"/>
  <c r="M580" i="1"/>
  <c r="P579" i="1"/>
  <c r="M579" i="1"/>
  <c r="P578" i="1"/>
  <c r="M578" i="1"/>
  <c r="P577" i="1"/>
  <c r="M577" i="1"/>
  <c r="P576" i="1"/>
  <c r="M576" i="1"/>
  <c r="P575" i="1"/>
  <c r="M575" i="1"/>
  <c r="P574" i="1"/>
  <c r="M574" i="1"/>
  <c r="P573" i="1"/>
  <c r="M573" i="1"/>
  <c r="P572" i="1"/>
  <c r="M572" i="1"/>
  <c r="C129" i="9"/>
  <c r="C99" i="9"/>
  <c r="C96" i="9"/>
  <c r="C89" i="9"/>
  <c r="C73" i="9"/>
  <c r="C26" i="9"/>
  <c r="C3" i="9"/>
  <c r="M571" i="1"/>
  <c r="P570" i="1"/>
  <c r="M570" i="1"/>
  <c r="P569" i="1"/>
  <c r="M569" i="1"/>
  <c r="P568" i="1"/>
  <c r="M568" i="1"/>
  <c r="P567" i="1"/>
  <c r="M567" i="1"/>
  <c r="P566" i="1"/>
  <c r="M566" i="1"/>
  <c r="P565" i="1"/>
  <c r="M565" i="1"/>
  <c r="P564" i="1"/>
  <c r="M564" i="1"/>
  <c r="P563" i="1"/>
  <c r="M563" i="1"/>
  <c r="P562" i="1"/>
  <c r="M562" i="1"/>
  <c r="P561" i="1"/>
  <c r="M561" i="1"/>
  <c r="P560" i="1"/>
  <c r="M560" i="1"/>
  <c r="P559" i="1"/>
  <c r="M559" i="1"/>
  <c r="P558" i="1"/>
  <c r="M558" i="1"/>
  <c r="P557" i="1"/>
  <c r="M557" i="1"/>
  <c r="P556" i="1"/>
  <c r="M556" i="1"/>
  <c r="P555" i="1"/>
  <c r="M555" i="1"/>
  <c r="P554" i="1"/>
  <c r="M554" i="1"/>
  <c r="P553" i="1"/>
  <c r="M553" i="1"/>
  <c r="P552" i="1"/>
  <c r="M552" i="1"/>
  <c r="P551" i="1"/>
  <c r="M551" i="1"/>
  <c r="P550" i="1"/>
  <c r="M550" i="1"/>
  <c r="P549" i="1"/>
  <c r="M549" i="1"/>
  <c r="P548" i="1"/>
  <c r="M548" i="1"/>
  <c r="P547" i="1"/>
  <c r="M547" i="1"/>
  <c r="P546" i="1"/>
  <c r="M546" i="1"/>
  <c r="P545" i="1"/>
  <c r="M545" i="1"/>
  <c r="M544" i="1"/>
  <c r="P543" i="1"/>
  <c r="M543" i="1"/>
  <c r="P542" i="1"/>
  <c r="M542" i="1"/>
  <c r="P541" i="1"/>
  <c r="M541" i="1"/>
  <c r="P540" i="1"/>
  <c r="M540" i="1"/>
  <c r="P539" i="1"/>
  <c r="M539" i="1"/>
  <c r="P538" i="1"/>
  <c r="M538" i="1"/>
  <c r="P537" i="1"/>
  <c r="M537" i="1"/>
  <c r="P536" i="1"/>
  <c r="M536" i="1"/>
  <c r="P535" i="1"/>
  <c r="M535" i="1"/>
  <c r="P534" i="1"/>
  <c r="M534" i="1"/>
  <c r="P533" i="1"/>
  <c r="M533" i="1"/>
  <c r="P532" i="1"/>
  <c r="M532" i="1"/>
  <c r="P531" i="1"/>
  <c r="M531" i="1"/>
  <c r="P530" i="1"/>
  <c r="M530" i="1"/>
  <c r="P529" i="1"/>
  <c r="M529" i="1"/>
  <c r="P528" i="1"/>
  <c r="M528" i="1"/>
  <c r="P527" i="1"/>
  <c r="M527" i="1"/>
  <c r="P526" i="1"/>
  <c r="M526" i="1"/>
  <c r="P525" i="1"/>
  <c r="M525" i="1"/>
  <c r="P524" i="1"/>
  <c r="M524" i="1"/>
  <c r="P523" i="1"/>
  <c r="M523" i="1"/>
  <c r="P522" i="1"/>
  <c r="M522" i="1"/>
  <c r="P521" i="1"/>
  <c r="M521" i="1"/>
  <c r="P520" i="1"/>
  <c r="M520" i="1"/>
  <c r="P519" i="1"/>
  <c r="M519" i="1"/>
  <c r="P518" i="1"/>
  <c r="M518" i="1"/>
  <c r="P517" i="1"/>
  <c r="M517" i="1"/>
  <c r="P516" i="1"/>
  <c r="M516" i="1"/>
  <c r="P515" i="1"/>
  <c r="M515" i="1"/>
  <c r="P514" i="1"/>
  <c r="M514" i="1"/>
  <c r="P513" i="1"/>
  <c r="M513" i="1"/>
  <c r="P512" i="1"/>
  <c r="M512" i="1"/>
  <c r="P511" i="1"/>
  <c r="M511" i="1"/>
  <c r="P510" i="1"/>
  <c r="M510" i="1"/>
  <c r="P509" i="1"/>
  <c r="M509" i="1"/>
  <c r="P508" i="1"/>
  <c r="M508" i="1"/>
  <c r="P507" i="1"/>
  <c r="M507" i="1"/>
  <c r="P506" i="1"/>
  <c r="M506" i="1"/>
  <c r="P505" i="1"/>
  <c r="M505" i="1"/>
  <c r="P504" i="1"/>
  <c r="M504" i="1"/>
  <c r="P503" i="1"/>
  <c r="M503" i="1"/>
  <c r="P502" i="1"/>
  <c r="M502" i="1"/>
  <c r="P501" i="1"/>
  <c r="M501" i="1"/>
  <c r="P500" i="1"/>
  <c r="M500" i="1"/>
  <c r="P499" i="1"/>
  <c r="M499" i="1"/>
  <c r="P498" i="1"/>
  <c r="M498" i="1"/>
  <c r="P497" i="1"/>
  <c r="M497" i="1"/>
  <c r="P496" i="1"/>
  <c r="M496" i="1"/>
  <c r="P495" i="1"/>
  <c r="M495" i="1"/>
  <c r="P494" i="1"/>
  <c r="M494" i="1"/>
  <c r="P493" i="1"/>
  <c r="M493" i="1"/>
  <c r="P492" i="1"/>
  <c r="M492" i="1"/>
  <c r="P491" i="1"/>
  <c r="M491" i="1"/>
  <c r="P490" i="1"/>
  <c r="M490" i="1"/>
  <c r="P489" i="1"/>
  <c r="M489" i="1"/>
  <c r="P488" i="1"/>
  <c r="M488" i="1"/>
  <c r="P487" i="1"/>
  <c r="M487" i="1"/>
  <c r="P486" i="1"/>
  <c r="M486" i="1"/>
  <c r="P485" i="1"/>
  <c r="M485" i="1"/>
  <c r="P484" i="1"/>
  <c r="M484" i="1"/>
  <c r="P483" i="1"/>
  <c r="M483" i="1"/>
  <c r="P482" i="1"/>
  <c r="M482" i="1"/>
  <c r="P481" i="1"/>
  <c r="M481" i="1"/>
  <c r="P480" i="1"/>
  <c r="M480" i="1"/>
  <c r="P479" i="1"/>
  <c r="M479" i="1"/>
  <c r="P478" i="1"/>
  <c r="M478" i="1"/>
  <c r="P477" i="1"/>
  <c r="M477" i="1"/>
  <c r="P476" i="1"/>
  <c r="M476" i="1"/>
  <c r="P475" i="1"/>
  <c r="M475" i="1"/>
  <c r="P474" i="1"/>
  <c r="M474" i="1"/>
  <c r="P473" i="1"/>
  <c r="M473" i="1"/>
  <c r="P472" i="1"/>
  <c r="M472" i="1"/>
  <c r="P471" i="1"/>
  <c r="M471" i="1"/>
  <c r="P470" i="1"/>
  <c r="M470" i="1"/>
  <c r="P469" i="1"/>
  <c r="M469" i="1"/>
  <c r="P468" i="1"/>
  <c r="M468" i="1"/>
  <c r="P467" i="1"/>
  <c r="M467" i="1"/>
  <c r="P466" i="1"/>
  <c r="M466" i="1"/>
  <c r="P465" i="1"/>
  <c r="M465" i="1"/>
  <c r="P464" i="1"/>
  <c r="M464" i="1"/>
  <c r="P463" i="1"/>
  <c r="M463" i="1"/>
  <c r="P462" i="1"/>
  <c r="M462" i="1"/>
  <c r="P461" i="1"/>
  <c r="M461" i="1"/>
  <c r="P460" i="1"/>
  <c r="M460" i="1"/>
  <c r="P459" i="1"/>
  <c r="M459" i="1"/>
  <c r="P458" i="1"/>
  <c r="M458" i="1"/>
  <c r="P457" i="1"/>
  <c r="M457" i="1"/>
  <c r="P456" i="1"/>
  <c r="M456" i="1"/>
  <c r="P455" i="1"/>
  <c r="M455" i="1"/>
  <c r="P454" i="1"/>
  <c r="M454" i="1"/>
  <c r="P453" i="1"/>
  <c r="M453" i="1"/>
  <c r="P452" i="1"/>
  <c r="M452" i="1"/>
  <c r="P451" i="1"/>
  <c r="M451" i="1"/>
  <c r="P450" i="1"/>
  <c r="M450" i="1"/>
  <c r="P449" i="1"/>
  <c r="M449" i="1"/>
  <c r="P448" i="1"/>
  <c r="M448" i="1"/>
  <c r="P447" i="1"/>
  <c r="M447" i="1"/>
  <c r="P446" i="1"/>
  <c r="M446" i="1"/>
  <c r="P445" i="1"/>
  <c r="M445" i="1"/>
  <c r="P444" i="1"/>
  <c r="M444" i="1"/>
  <c r="P443" i="1"/>
  <c r="M443" i="1"/>
  <c r="P442" i="1"/>
  <c r="M442" i="1"/>
  <c r="P441" i="1"/>
  <c r="M441" i="1"/>
  <c r="P440" i="1"/>
  <c r="M440" i="1"/>
  <c r="P439" i="1"/>
  <c r="M439" i="1"/>
  <c r="P438" i="1"/>
  <c r="M438" i="1"/>
  <c r="P437" i="1"/>
  <c r="M437" i="1"/>
  <c r="P436" i="1"/>
  <c r="M436" i="1"/>
  <c r="P435" i="1"/>
  <c r="M435" i="1"/>
  <c r="P434" i="1"/>
  <c r="M434" i="1"/>
  <c r="P433" i="1"/>
  <c r="M433" i="1"/>
  <c r="P432" i="1"/>
  <c r="M432" i="1"/>
  <c r="P431" i="1"/>
  <c r="M431" i="1"/>
  <c r="P430" i="1"/>
  <c r="M430" i="1"/>
  <c r="P429" i="1"/>
  <c r="M429" i="1"/>
  <c r="P428" i="1"/>
  <c r="M428" i="1"/>
  <c r="P427" i="1"/>
  <c r="M427" i="1"/>
  <c r="P426" i="1"/>
  <c r="M426" i="1"/>
  <c r="P425" i="1"/>
  <c r="M425" i="1"/>
  <c r="P424" i="1"/>
  <c r="M424" i="1"/>
  <c r="P423" i="1"/>
  <c r="M423" i="1"/>
  <c r="P422" i="1"/>
  <c r="M422" i="1"/>
  <c r="P421" i="1"/>
  <c r="M421" i="1"/>
  <c r="P420" i="1"/>
  <c r="M420" i="1"/>
  <c r="P419" i="1"/>
  <c r="M419" i="1"/>
  <c r="P418" i="1"/>
  <c r="M418" i="1"/>
  <c r="P417" i="1"/>
  <c r="M417" i="1"/>
  <c r="P416" i="1"/>
  <c r="M416" i="1"/>
  <c r="P415" i="1"/>
  <c r="M415" i="1"/>
  <c r="P414" i="1"/>
  <c r="M414" i="1"/>
  <c r="P413" i="1"/>
  <c r="M413" i="1"/>
  <c r="M412" i="1"/>
  <c r="P412" i="1"/>
  <c r="P411" i="1"/>
  <c r="M411" i="1"/>
  <c r="P410" i="1"/>
  <c r="M410" i="1"/>
  <c r="P409" i="1"/>
  <c r="M409" i="1"/>
  <c r="P408" i="1"/>
  <c r="M408" i="1"/>
  <c r="P407" i="1"/>
  <c r="M407" i="1"/>
  <c r="M406" i="1"/>
  <c r="P406" i="1"/>
  <c r="M405" i="1"/>
  <c r="M404" i="1"/>
  <c r="P404" i="1"/>
  <c r="P403" i="1"/>
  <c r="M403" i="1"/>
  <c r="P402" i="1"/>
  <c r="M402" i="1"/>
  <c r="P401" i="1"/>
  <c r="M401" i="1"/>
  <c r="P400" i="1"/>
  <c r="M400" i="1"/>
  <c r="P399" i="1"/>
  <c r="M399" i="1"/>
  <c r="P398" i="1"/>
  <c r="M398" i="1"/>
  <c r="P397" i="1"/>
  <c r="M397" i="1"/>
  <c r="P396" i="1"/>
  <c r="M396" i="1"/>
  <c r="P395" i="1"/>
  <c r="M395" i="1"/>
  <c r="P394" i="1"/>
  <c r="M394" i="1"/>
  <c r="P393" i="1"/>
  <c r="M393" i="1"/>
  <c r="P392" i="1"/>
  <c r="M392" i="1"/>
  <c r="P391" i="1"/>
  <c r="M391" i="1"/>
  <c r="P390" i="1"/>
  <c r="M390" i="1"/>
  <c r="P389" i="1"/>
  <c r="M389" i="1"/>
  <c r="P388" i="1"/>
  <c r="M388" i="1"/>
  <c r="P387" i="1"/>
  <c r="M387" i="1"/>
  <c r="M386" i="1"/>
  <c r="P386" i="1"/>
  <c r="P385" i="1"/>
  <c r="M385" i="1"/>
  <c r="P384" i="1"/>
  <c r="M384" i="1"/>
  <c r="P383" i="1"/>
  <c r="M383" i="1"/>
  <c r="P382" i="1"/>
  <c r="M382" i="1"/>
  <c r="P381" i="1"/>
  <c r="M381" i="1"/>
  <c r="P380" i="1"/>
  <c r="M380" i="1"/>
  <c r="P379" i="1"/>
  <c r="M379" i="1"/>
  <c r="P378" i="1"/>
  <c r="M378" i="1"/>
  <c r="M377" i="1"/>
  <c r="P377" i="1"/>
  <c r="P376" i="1"/>
  <c r="M376" i="1"/>
  <c r="P375" i="1"/>
  <c r="M375" i="1"/>
  <c r="P374" i="1"/>
  <c r="M374" i="1"/>
  <c r="M373" i="1"/>
  <c r="P373" i="1"/>
  <c r="P372" i="1"/>
  <c r="M372" i="1"/>
  <c r="P371" i="1"/>
  <c r="M371" i="1"/>
  <c r="P370" i="1"/>
  <c r="M370" i="1"/>
  <c r="P369" i="1"/>
  <c r="M369" i="1"/>
  <c r="P368" i="1"/>
  <c r="M368" i="1"/>
  <c r="M367" i="1"/>
  <c r="P367" i="1"/>
  <c r="P366" i="1"/>
  <c r="M366" i="1"/>
  <c r="P365" i="1"/>
  <c r="M365" i="1"/>
  <c r="P364" i="1"/>
  <c r="M364" i="1"/>
  <c r="P363" i="1"/>
  <c r="M363" i="1"/>
  <c r="P362" i="1"/>
  <c r="M362" i="1"/>
  <c r="P361" i="1"/>
  <c r="M361" i="1"/>
  <c r="P360" i="1"/>
  <c r="M360" i="1"/>
  <c r="P359" i="1"/>
  <c r="M359" i="1"/>
  <c r="P358" i="1"/>
  <c r="M358" i="1"/>
  <c r="P357" i="1"/>
  <c r="M357" i="1"/>
  <c r="P356" i="1"/>
  <c r="M356" i="1"/>
  <c r="P355" i="1"/>
  <c r="M355" i="1"/>
  <c r="P354" i="1"/>
  <c r="M354" i="1"/>
  <c r="P353" i="1"/>
  <c r="M353" i="1"/>
  <c r="P352" i="1"/>
  <c r="M352" i="1"/>
  <c r="P351" i="1"/>
  <c r="M351" i="1"/>
  <c r="P350" i="1"/>
  <c r="M350" i="1"/>
  <c r="M349" i="1"/>
  <c r="P349" i="1"/>
  <c r="P348" i="1"/>
  <c r="M348" i="1"/>
  <c r="P347" i="1"/>
  <c r="M347" i="1"/>
  <c r="P346" i="1"/>
  <c r="M346" i="1"/>
  <c r="P345" i="1"/>
  <c r="M345" i="1"/>
  <c r="P344" i="1"/>
  <c r="M344" i="1"/>
  <c r="P343" i="1"/>
  <c r="M343" i="1"/>
  <c r="P342" i="1"/>
  <c r="M342" i="1"/>
  <c r="M341" i="1"/>
  <c r="P341" i="1"/>
  <c r="M340" i="1"/>
  <c r="P340" i="1"/>
  <c r="M339" i="1"/>
  <c r="P339" i="1"/>
  <c r="P338" i="1"/>
  <c r="M338" i="1"/>
  <c r="P337" i="1"/>
  <c r="M337" i="1"/>
  <c r="M336" i="1"/>
  <c r="P336" i="1"/>
  <c r="P335" i="1"/>
  <c r="M335" i="1"/>
  <c r="P334" i="1"/>
  <c r="M334" i="1"/>
  <c r="P333" i="1"/>
  <c r="M333" i="1"/>
  <c r="P332" i="1"/>
  <c r="M332" i="1"/>
  <c r="P331" i="1"/>
  <c r="M331" i="1"/>
  <c r="P329" i="1"/>
  <c r="M329" i="1"/>
  <c r="P330" i="1"/>
  <c r="M330" i="1"/>
  <c r="P328" i="1"/>
  <c r="M328" i="1"/>
  <c r="P327" i="1"/>
  <c r="M327" i="1"/>
  <c r="P326" i="1"/>
  <c r="M326" i="1"/>
  <c r="P325" i="1"/>
  <c r="M325" i="1"/>
  <c r="P324" i="1"/>
  <c r="M324" i="1"/>
  <c r="M323" i="1"/>
  <c r="P323" i="1"/>
  <c r="P322" i="1"/>
  <c r="M322" i="1"/>
  <c r="P321" i="1"/>
  <c r="M321" i="1"/>
  <c r="P320" i="1"/>
  <c r="M320" i="1"/>
  <c r="P319" i="1"/>
  <c r="M319" i="1"/>
  <c r="P318" i="1"/>
  <c r="M318" i="1"/>
  <c r="P317" i="1"/>
  <c r="M317" i="1"/>
  <c r="M316" i="1"/>
  <c r="P316" i="1"/>
  <c r="P315" i="1"/>
  <c r="M315" i="1"/>
  <c r="P314" i="1"/>
  <c r="M314" i="1"/>
  <c r="P313" i="1"/>
  <c r="M313" i="1"/>
  <c r="P312" i="1"/>
  <c r="M312" i="1"/>
  <c r="M311" i="1"/>
  <c r="P311" i="1"/>
  <c r="M310" i="1"/>
  <c r="M309" i="1"/>
  <c r="P309" i="1"/>
  <c r="M308" i="1"/>
  <c r="P308" i="1"/>
  <c r="P307" i="1"/>
  <c r="M307" i="1"/>
  <c r="P306" i="1"/>
  <c r="M306" i="1"/>
  <c r="P305" i="1"/>
  <c r="M305" i="1"/>
  <c r="P304" i="1"/>
  <c r="M304" i="1"/>
  <c r="M303" i="1"/>
  <c r="M302" i="1"/>
  <c r="M301" i="1"/>
  <c r="M300" i="1"/>
  <c r="M299" i="1"/>
  <c r="M298" i="1"/>
  <c r="M297" i="1"/>
  <c r="M296" i="1"/>
  <c r="M295" i="1"/>
  <c r="M294" i="1"/>
  <c r="M293" i="1"/>
  <c r="M292" i="1"/>
  <c r="M291" i="1"/>
  <c r="M290" i="1"/>
  <c r="M289" i="1"/>
  <c r="M288" i="1"/>
  <c r="M287" i="1"/>
  <c r="M286" i="1"/>
  <c r="M285" i="1"/>
  <c r="M284" i="1"/>
  <c r="M283" i="1"/>
  <c r="M282" i="1"/>
  <c r="M281" i="1"/>
  <c r="M280" i="1"/>
  <c r="M279" i="1"/>
  <c r="M278" i="1"/>
  <c r="M277" i="1"/>
  <c r="M276" i="1"/>
  <c r="M275" i="1"/>
  <c r="M274" i="1"/>
  <c r="M273" i="1"/>
  <c r="M272" i="1"/>
  <c r="M271" i="1"/>
  <c r="M270" i="1"/>
  <c r="M269" i="1"/>
  <c r="M268" i="1"/>
  <c r="M267" i="1"/>
  <c r="M266" i="1"/>
  <c r="M265" i="1"/>
  <c r="M263" i="1"/>
  <c r="M262" i="1"/>
  <c r="M261" i="1"/>
  <c r="M260" i="1"/>
  <c r="M259" i="1"/>
  <c r="M258" i="1"/>
  <c r="M257" i="1"/>
  <c r="M256" i="1"/>
  <c r="M255" i="1"/>
  <c r="M254" i="1"/>
  <c r="M253" i="1"/>
  <c r="M252" i="1"/>
  <c r="M251" i="1"/>
  <c r="M250" i="1"/>
  <c r="M249" i="1"/>
  <c r="M248" i="1"/>
  <c r="M247" i="1"/>
  <c r="M246" i="1"/>
  <c r="M245" i="1"/>
  <c r="M244" i="1"/>
  <c r="M243" i="1"/>
  <c r="M242" i="1"/>
  <c r="M241" i="1"/>
  <c r="M240" i="1"/>
  <c r="M239" i="1"/>
  <c r="M238" i="1"/>
  <c r="M237" i="1"/>
  <c r="M236" i="1"/>
  <c r="M235" i="1"/>
  <c r="M234" i="1"/>
  <c r="M233" i="1"/>
  <c r="M232" i="1"/>
  <c r="M231" i="1"/>
  <c r="M230" i="1"/>
  <c r="M229" i="1"/>
  <c r="M228" i="1"/>
  <c r="M227" i="1"/>
  <c r="M226" i="1"/>
  <c r="M225" i="1"/>
  <c r="M224" i="1"/>
  <c r="M223" i="1"/>
  <c r="M222" i="1"/>
  <c r="M221" i="1"/>
  <c r="M220" i="1"/>
  <c r="M219" i="1"/>
  <c r="M218" i="1"/>
  <c r="M217" i="1"/>
  <c r="M216" i="1"/>
  <c r="M215" i="1"/>
  <c r="M214" i="1"/>
  <c r="M213" i="1"/>
  <c r="M212" i="1"/>
  <c r="M211" i="1"/>
  <c r="M210" i="1"/>
  <c r="M209" i="1"/>
  <c r="M208" i="1"/>
  <c r="M207" i="1"/>
  <c r="M206" i="1"/>
  <c r="M205" i="1"/>
  <c r="M204" i="1"/>
  <c r="M203" i="1"/>
  <c r="M202" i="1"/>
  <c r="M201" i="1"/>
  <c r="M200" i="1"/>
  <c r="M199" i="1"/>
  <c r="M198" i="1"/>
  <c r="M197" i="1"/>
  <c r="M196" i="1"/>
  <c r="M195" i="1"/>
  <c r="M194" i="1"/>
  <c r="M193" i="1"/>
  <c r="M192" i="1"/>
  <c r="M191" i="1"/>
  <c r="M190" i="1"/>
  <c r="M189" i="1"/>
  <c r="M188" i="1"/>
  <c r="M187" i="1"/>
  <c r="M186" i="1"/>
  <c r="M185" i="1"/>
  <c r="M184" i="1"/>
  <c r="M183" i="1"/>
  <c r="M182" i="1"/>
  <c r="M181" i="1"/>
  <c r="M180" i="1"/>
  <c r="M179" i="1"/>
  <c r="M178" i="1"/>
  <c r="M177" i="1"/>
  <c r="M176" i="1"/>
  <c r="M175" i="1"/>
  <c r="M174" i="1"/>
  <c r="M173" i="1"/>
  <c r="M172" i="1"/>
  <c r="M171" i="1"/>
  <c r="M170" i="1"/>
  <c r="M169" i="1"/>
  <c r="M168" i="1"/>
  <c r="M167" i="1"/>
  <c r="M166" i="1"/>
  <c r="M165" i="1"/>
  <c r="M164" i="1"/>
  <c r="M163" i="1"/>
  <c r="M162" i="1"/>
  <c r="M161" i="1"/>
  <c r="M160" i="1"/>
  <c r="M159" i="1"/>
  <c r="M158" i="1"/>
  <c r="M157" i="1"/>
  <c r="M156" i="1"/>
  <c r="M155" i="1"/>
  <c r="M154" i="1"/>
  <c r="M153" i="1"/>
  <c r="M152" i="1"/>
  <c r="M151" i="1"/>
  <c r="M150" i="1"/>
  <c r="M149" i="1"/>
  <c r="M148" i="1"/>
  <c r="M147" i="1"/>
  <c r="M146" i="1"/>
  <c r="M145" i="1"/>
  <c r="M144" i="1"/>
  <c r="M143" i="1"/>
  <c r="M142" i="1"/>
  <c r="M141" i="1"/>
  <c r="M140" i="1"/>
  <c r="M139" i="1"/>
  <c r="M138" i="1"/>
  <c r="M137" i="1"/>
  <c r="M136" i="1"/>
  <c r="M135" i="1"/>
  <c r="M134" i="1"/>
  <c r="M133" i="1"/>
  <c r="M132" i="1"/>
  <c r="M131" i="1"/>
  <c r="M130" i="1"/>
  <c r="M129" i="1"/>
  <c r="M128" i="1"/>
  <c r="M127" i="1"/>
  <c r="M126" i="1"/>
  <c r="M125" i="1"/>
  <c r="M124" i="1"/>
  <c r="M123" i="1"/>
  <c r="M122" i="1"/>
  <c r="M121" i="1"/>
  <c r="M120" i="1"/>
  <c r="M119" i="1"/>
  <c r="M118" i="1"/>
  <c r="M117" i="1"/>
  <c r="M116" i="1"/>
  <c r="M115" i="1"/>
  <c r="M114" i="1"/>
  <c r="M113" i="1"/>
  <c r="M112" i="1"/>
  <c r="M111" i="1"/>
  <c r="M110" i="1"/>
  <c r="M109" i="1"/>
  <c r="M108" i="1"/>
  <c r="M107" i="1"/>
  <c r="M106" i="1"/>
  <c r="M105" i="1"/>
  <c r="M104" i="1"/>
  <c r="M103" i="1"/>
  <c r="M102" i="1"/>
  <c r="M101" i="1"/>
  <c r="M100" i="1"/>
  <c r="M99" i="1"/>
  <c r="M98" i="1"/>
  <c r="M97" i="1"/>
  <c r="M96" i="1"/>
  <c r="M95" i="1"/>
  <c r="M94" i="1"/>
  <c r="M93" i="1"/>
  <c r="M92" i="1"/>
  <c r="M91" i="1"/>
  <c r="M90" i="1"/>
  <c r="M89" i="1"/>
  <c r="M88" i="1"/>
  <c r="M87" i="1"/>
  <c r="M86" i="1"/>
  <c r="M85" i="1"/>
  <c r="M84" i="1"/>
  <c r="M83" i="1"/>
  <c r="M82" i="1"/>
  <c r="M81" i="1"/>
  <c r="M80" i="1"/>
  <c r="M79" i="1"/>
  <c r="M78" i="1"/>
  <c r="M77" i="1"/>
  <c r="M76" i="1"/>
  <c r="M75" i="1"/>
  <c r="M74" i="1"/>
  <c r="M73" i="1"/>
  <c r="M72" i="1"/>
  <c r="M71" i="1"/>
  <c r="M70" i="1"/>
  <c r="M69" i="1"/>
  <c r="M68" i="1"/>
  <c r="M67" i="1"/>
  <c r="M66" i="1"/>
  <c r="M65" i="1"/>
  <c r="M64" i="1"/>
  <c r="M63" i="1"/>
  <c r="M62" i="1"/>
  <c r="M61" i="1"/>
  <c r="M60" i="1"/>
  <c r="M59" i="1"/>
  <c r="M58" i="1"/>
  <c r="M57" i="1"/>
  <c r="M56" i="1"/>
  <c r="M55" i="1"/>
  <c r="M54" i="1"/>
  <c r="M53" i="1"/>
  <c r="M52" i="1"/>
  <c r="M51" i="1"/>
  <c r="M50" i="1"/>
  <c r="M49" i="1"/>
  <c r="M48" i="1"/>
  <c r="M47" i="1"/>
  <c r="M46" i="1"/>
  <c r="M45" i="1"/>
  <c r="M44" i="1"/>
  <c r="M43" i="1"/>
  <c r="M42" i="1"/>
  <c r="M41" i="1"/>
  <c r="M40" i="1"/>
  <c r="M39" i="1"/>
  <c r="M38" i="1"/>
  <c r="M37" i="1"/>
  <c r="M36" i="1"/>
  <c r="M35" i="1"/>
  <c r="M34" i="1"/>
  <c r="M33" i="1"/>
  <c r="M32" i="1"/>
  <c r="M31" i="1"/>
  <c r="M30" i="1"/>
  <c r="M29" i="1"/>
  <c r="M28" i="1"/>
  <c r="M27" i="1"/>
  <c r="M26" i="1"/>
  <c r="M25" i="1"/>
  <c r="M24" i="1"/>
  <c r="M23" i="1"/>
  <c r="M22" i="1"/>
  <c r="M21" i="1"/>
  <c r="M20" i="1"/>
  <c r="M19" i="1"/>
  <c r="M18" i="1"/>
  <c r="M17" i="1"/>
  <c r="M16" i="1"/>
  <c r="M15" i="1"/>
  <c r="M14" i="1"/>
  <c r="M13" i="1"/>
  <c r="M12" i="1"/>
  <c r="M11" i="1"/>
  <c r="M10" i="1"/>
  <c r="M9" i="1"/>
  <c r="M8" i="1"/>
  <c r="M7" i="1"/>
  <c r="M6" i="1"/>
  <c r="M5" i="1"/>
  <c r="M4" i="1"/>
  <c r="M3" i="1"/>
  <c r="M2" i="1"/>
  <c r="M264" i="1"/>
  <c r="P310" i="1"/>
  <c r="P303" i="1"/>
  <c r="P302" i="1"/>
  <c r="P301" i="1"/>
  <c r="P300" i="1"/>
  <c r="P299" i="1"/>
  <c r="P298" i="1"/>
  <c r="P297" i="1"/>
  <c r="P296" i="1"/>
  <c r="P295" i="1"/>
  <c r="P294" i="1"/>
  <c r="P293" i="1"/>
  <c r="P292" i="1"/>
  <c r="P291" i="1"/>
  <c r="P290" i="1"/>
  <c r="P289" i="1"/>
  <c r="P288" i="1"/>
  <c r="P287" i="1"/>
  <c r="P286" i="1"/>
  <c r="P285" i="1"/>
  <c r="P284" i="1"/>
  <c r="P283" i="1"/>
  <c r="P282" i="1"/>
  <c r="P281" i="1"/>
  <c r="P280" i="1"/>
  <c r="P277" i="1"/>
  <c r="P278" i="1"/>
  <c r="P279" i="1"/>
  <c r="P97" i="1"/>
  <c r="P117" i="1"/>
  <c r="P276" i="1"/>
  <c r="P275" i="1"/>
  <c r="L3" i="1"/>
  <c r="P3"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70" i="1"/>
  <c r="P71" i="1"/>
  <c r="P72" i="1"/>
  <c r="P73" i="1"/>
  <c r="P74" i="1"/>
  <c r="P75" i="1"/>
  <c r="P76" i="1"/>
  <c r="P77" i="1"/>
  <c r="P78" i="1"/>
  <c r="P79" i="1"/>
  <c r="P80" i="1"/>
  <c r="P81" i="1"/>
  <c r="P82" i="1"/>
  <c r="P83" i="1"/>
  <c r="P84" i="1"/>
  <c r="P85" i="1"/>
  <c r="P86" i="1"/>
  <c r="P87" i="1"/>
  <c r="P88" i="1"/>
  <c r="P89" i="1"/>
  <c r="P90" i="1"/>
  <c r="P91" i="1"/>
  <c r="P92" i="1"/>
  <c r="P93" i="1"/>
  <c r="P94" i="1"/>
  <c r="P95" i="1"/>
  <c r="P96" i="1"/>
  <c r="P98" i="1"/>
  <c r="P100" i="1"/>
  <c r="P101" i="1"/>
  <c r="P102" i="1"/>
  <c r="P103" i="1"/>
  <c r="P104" i="1"/>
  <c r="P105" i="1"/>
  <c r="P106" i="1"/>
  <c r="P107" i="1"/>
  <c r="P108" i="1"/>
  <c r="P109" i="1"/>
  <c r="P110" i="1"/>
  <c r="P111" i="1"/>
  <c r="P112" i="1"/>
  <c r="P113" i="1"/>
  <c r="P114" i="1"/>
  <c r="P115" i="1"/>
  <c r="P116" i="1"/>
  <c r="P118"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8" i="1"/>
  <c r="P199" i="1"/>
  <c r="P200" i="1"/>
  <c r="P202" i="1"/>
  <c r="P203" i="1"/>
  <c r="P204" i="1"/>
  <c r="P205" i="1"/>
  <c r="P206" i="1"/>
  <c r="P207" i="1"/>
  <c r="P208" i="1"/>
  <c r="P209" i="1"/>
  <c r="P210" i="1"/>
  <c r="P211" i="1"/>
  <c r="P212" i="1"/>
  <c r="P213" i="1"/>
  <c r="P214" i="1"/>
  <c r="P215" i="1"/>
  <c r="P216" i="1"/>
  <c r="P217" i="1"/>
  <c r="P218" i="1"/>
  <c r="P219" i="1"/>
  <c r="P220"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4" i="1"/>
  <c r="P265" i="1"/>
  <c r="P266" i="1"/>
  <c r="P267" i="1"/>
  <c r="P268" i="1"/>
  <c r="P269" i="1"/>
  <c r="P270" i="1"/>
  <c r="P271" i="1"/>
  <c r="P272" i="1"/>
  <c r="P274" i="1"/>
  <c r="L2" i="1"/>
  <c r="P2" i="1"/>
  <c r="P273" i="1"/>
  <c r="P263" i="1"/>
  <c r="P221" i="1"/>
  <c r="P201" i="1"/>
  <c r="P197" i="1"/>
  <c r="P119" i="1"/>
  <c r="P99" i="1"/>
  <c r="P69" i="1"/>
  <c r="P694" i="1"/>
  <c r="P715" i="1"/>
  <c r="P571" i="1"/>
  <c r="C44" i="9"/>
  <c r="C127" i="9"/>
  <c r="P732" i="1"/>
  <c r="H1" i="5"/>
  <c r="I1" i="5"/>
  <c r="BB94" i="5"/>
  <c r="BB22" i="5"/>
  <c r="P2067" i="1"/>
  <c r="C11" i="9"/>
  <c r="BB67" i="5"/>
  <c r="BB111" i="5"/>
  <c r="BB18" i="5"/>
  <c r="BB63" i="5"/>
  <c r="BB41" i="5"/>
  <c r="BB48" i="5"/>
  <c r="BB121" i="5"/>
  <c r="BA134" i="9"/>
  <c r="C134" i="9"/>
  <c r="BA133" i="9"/>
  <c r="C133" i="9"/>
  <c r="BA131" i="9"/>
  <c r="C131" i="9"/>
  <c r="BA119" i="9"/>
  <c r="C119" i="9"/>
  <c r="BA117" i="9"/>
  <c r="C117" i="9"/>
  <c r="BA116" i="9"/>
  <c r="C116" i="9"/>
  <c r="BA114" i="9"/>
  <c r="C114" i="9"/>
  <c r="BA104" i="9"/>
  <c r="C104" i="9"/>
  <c r="BA102" i="9"/>
  <c r="C102" i="9"/>
  <c r="BA93" i="9"/>
  <c r="C93" i="9"/>
  <c r="BA84" i="9"/>
  <c r="C84" i="9"/>
  <c r="BA69" i="9"/>
  <c r="C69" i="9"/>
  <c r="BA60" i="9"/>
  <c r="C60" i="9"/>
  <c r="BA59" i="9"/>
  <c r="C59" i="9"/>
  <c r="BA57" i="9"/>
  <c r="C57" i="9"/>
  <c r="BA54" i="9"/>
  <c r="C54" i="9"/>
  <c r="BA43" i="9"/>
  <c r="C43" i="9"/>
  <c r="BA41" i="9"/>
  <c r="C41" i="9"/>
  <c r="BA40" i="9"/>
  <c r="C40" i="9"/>
  <c r="BA38" i="9"/>
  <c r="C38" i="9"/>
  <c r="BA35" i="9"/>
  <c r="C35" i="9"/>
  <c r="BA16" i="9"/>
  <c r="C16" i="9"/>
  <c r="BA10" i="9"/>
  <c r="C10" i="9"/>
  <c r="BA4" i="9"/>
  <c r="C4" i="9"/>
  <c r="BA2" i="9"/>
  <c r="C2" i="9"/>
  <c r="BA132" i="9"/>
  <c r="C132" i="9"/>
  <c r="BA128" i="9"/>
  <c r="C128" i="9"/>
  <c r="BA113" i="9"/>
  <c r="C113" i="9"/>
  <c r="BA92" i="9"/>
  <c r="C92" i="9"/>
  <c r="BA87" i="9"/>
  <c r="C87" i="9"/>
  <c r="BA77" i="9"/>
  <c r="C77" i="9"/>
  <c r="BA76" i="9"/>
  <c r="C76" i="9"/>
  <c r="BA66" i="9"/>
  <c r="C66" i="9"/>
  <c r="BA65" i="9"/>
  <c r="C65" i="9"/>
  <c r="BA64" i="9"/>
  <c r="C64" i="9"/>
  <c r="BA61" i="9"/>
  <c r="C61" i="9"/>
  <c r="BA55" i="9"/>
  <c r="C55" i="9"/>
  <c r="BA53" i="9"/>
  <c r="C53" i="9"/>
  <c r="BA52" i="9"/>
  <c r="C52" i="9"/>
  <c r="BA47" i="9"/>
  <c r="C47" i="9"/>
  <c r="BA33" i="9"/>
  <c r="C33" i="9"/>
  <c r="BA20" i="9"/>
  <c r="C20" i="9"/>
  <c r="BA13" i="9"/>
  <c r="C13" i="9"/>
  <c r="BB52" i="5"/>
  <c r="AN141" i="5"/>
  <c r="AC141" i="5"/>
  <c r="AA141" i="5"/>
  <c r="BB66" i="5"/>
  <c r="BB123" i="5"/>
  <c r="BB114" i="5"/>
  <c r="BB68" i="5"/>
  <c r="Z141" i="5"/>
  <c r="BB120" i="5"/>
  <c r="BB28" i="5"/>
  <c r="F141" i="5"/>
  <c r="BB79" i="5"/>
  <c r="BB11" i="5"/>
  <c r="BB69" i="5"/>
  <c r="S141" i="5"/>
  <c r="BB139" i="5"/>
  <c r="BB92" i="5"/>
  <c r="BB39" i="5"/>
  <c r="BB17" i="5"/>
  <c r="Y141" i="5"/>
  <c r="Q141" i="5"/>
  <c r="BB134" i="5"/>
  <c r="BB99" i="5"/>
  <c r="BB59" i="5"/>
  <c r="BB104" i="5"/>
  <c r="H37" i="14"/>
  <c r="L37" i="14"/>
  <c r="BB40" i="5"/>
  <c r="C123" i="9"/>
  <c r="C74" i="9"/>
  <c r="C58" i="9"/>
  <c r="BB73" i="5"/>
  <c r="BB138" i="5"/>
  <c r="BB91" i="5"/>
  <c r="BB57" i="5"/>
  <c r="BB38" i="5"/>
  <c r="BB25" i="5"/>
  <c r="BB9" i="5"/>
  <c r="BB137" i="5"/>
  <c r="BB126" i="5"/>
  <c r="BB108" i="5"/>
  <c r="BB88" i="5"/>
  <c r="BB56" i="5"/>
  <c r="BB49" i="5"/>
  <c r="BB36" i="5"/>
  <c r="BB10" i="5"/>
  <c r="BB2" i="5"/>
  <c r="BB16" i="5"/>
  <c r="BB12" i="5"/>
  <c r="BB132" i="5"/>
  <c r="AL142" i="9"/>
  <c r="AM142" i="5"/>
  <c r="AJ142" i="9"/>
  <c r="AK142" i="5"/>
  <c r="AH142" i="9"/>
  <c r="AI142" i="5"/>
  <c r="AF142" i="9"/>
  <c r="AG142" i="5"/>
  <c r="BA42" i="9"/>
  <c r="C42" i="9"/>
  <c r="AM37" i="5"/>
  <c r="F6" i="14"/>
  <c r="A7" i="14"/>
  <c r="BB37" i="5"/>
  <c r="I36" i="14"/>
  <c r="I30" i="14"/>
  <c r="I22" i="14"/>
  <c r="I14" i="14"/>
  <c r="I6" i="14"/>
  <c r="I34" i="14"/>
  <c r="I26" i="14"/>
  <c r="I18" i="14"/>
  <c r="I10" i="14"/>
  <c r="I35" i="14"/>
  <c r="I31" i="14"/>
  <c r="I27" i="14"/>
  <c r="I23" i="14"/>
  <c r="I19" i="14"/>
  <c r="I15" i="14"/>
  <c r="I11" i="14"/>
  <c r="I7" i="14"/>
  <c r="I33" i="14"/>
  <c r="I29" i="14"/>
  <c r="I25" i="14"/>
  <c r="I21" i="14"/>
  <c r="I17" i="14"/>
  <c r="I13" i="14"/>
  <c r="I9" i="14"/>
  <c r="I5" i="14"/>
  <c r="L4" i="1"/>
  <c r="BB131" i="5"/>
  <c r="BB124" i="5"/>
  <c r="BB118" i="5"/>
  <c r="BB30" i="5"/>
  <c r="BB26" i="5"/>
  <c r="BB24" i="5"/>
  <c r="BB4" i="5"/>
  <c r="BB100" i="5"/>
  <c r="BB98" i="5"/>
  <c r="BB84" i="5"/>
  <c r="BB82" i="5"/>
  <c r="BB80" i="5"/>
  <c r="BB78" i="5"/>
  <c r="BB74" i="5"/>
  <c r="BB71" i="5"/>
  <c r="BB60" i="5"/>
  <c r="BB54" i="5"/>
  <c r="BB47" i="5"/>
  <c r="BB44" i="5"/>
  <c r="V141" i="5"/>
  <c r="T141" i="5"/>
  <c r="R141" i="5"/>
  <c r="P141" i="5"/>
  <c r="K141" i="5"/>
  <c r="I141" i="5"/>
  <c r="BB7" i="5"/>
  <c r="BB119" i="5"/>
  <c r="BB115" i="5"/>
  <c r="BB101" i="5"/>
  <c r="BB85" i="5"/>
  <c r="BB83" i="5"/>
  <c r="BB81" i="5"/>
  <c r="BB55" i="5"/>
  <c r="BB50" i="5"/>
  <c r="BB43" i="5"/>
  <c r="BB35" i="5"/>
  <c r="BB33" i="5"/>
  <c r="BB21" i="5"/>
  <c r="AE141" i="5"/>
  <c r="BB103" i="5"/>
  <c r="AO141" i="5"/>
  <c r="AL141" i="5"/>
  <c r="AK141" i="5"/>
  <c r="BB96" i="5"/>
  <c r="BB86" i="5"/>
  <c r="BB64" i="5"/>
  <c r="BB58" i="5"/>
  <c r="BB42" i="5"/>
  <c r="U141" i="5"/>
  <c r="BB140" i="5"/>
  <c r="BB136" i="5"/>
  <c r="BB130" i="5"/>
  <c r="BB128" i="5"/>
  <c r="BB125" i="5"/>
  <c r="BB117" i="5"/>
  <c r="BB113" i="5"/>
  <c r="BB109" i="5"/>
  <c r="BB107" i="5"/>
  <c r="BB105" i="5"/>
  <c r="BB97" i="5"/>
  <c r="BB95" i="5"/>
  <c r="BB93" i="5"/>
  <c r="BB89" i="5"/>
  <c r="BB87" i="5"/>
  <c r="BB77" i="5"/>
  <c r="BB75" i="5"/>
  <c r="BB72" i="5"/>
  <c r="BB65" i="5"/>
  <c r="BB61" i="5"/>
  <c r="BB53" i="5"/>
  <c r="BB46" i="5"/>
  <c r="BB31" i="5"/>
  <c r="BB29" i="5"/>
  <c r="BB27" i="5"/>
  <c r="BB19" i="5"/>
  <c r="BB15" i="5"/>
  <c r="BB5" i="5"/>
  <c r="E141" i="5"/>
  <c r="G141" i="5"/>
  <c r="H141" i="5"/>
  <c r="J141" i="5"/>
  <c r="L141" i="5"/>
  <c r="M141" i="5"/>
  <c r="N141" i="5"/>
  <c r="O141" i="5"/>
  <c r="W141" i="5"/>
  <c r="X141" i="5"/>
  <c r="AB141" i="5"/>
  <c r="AD141" i="5"/>
  <c r="AF141" i="5"/>
  <c r="AG23" i="5"/>
  <c r="AG141" i="5"/>
  <c r="AH141" i="5"/>
  <c r="AI141" i="5"/>
  <c r="AJ102" i="5"/>
  <c r="AJ141" i="5"/>
  <c r="AM141" i="5"/>
  <c r="BB70" i="5"/>
  <c r="BB133" i="5"/>
  <c r="BB106" i="5"/>
  <c r="BB90" i="5"/>
  <c r="BB76" i="5"/>
  <c r="BB62" i="5"/>
  <c r="BB51" i="5"/>
  <c r="BB3" i="5"/>
  <c r="BB135" i="5"/>
  <c r="BB129" i="5"/>
  <c r="BB122" i="5"/>
  <c r="BB116" i="5"/>
  <c r="BB112" i="5"/>
  <c r="BB110" i="5"/>
  <c r="BB32" i="5"/>
  <c r="BB20" i="5"/>
  <c r="BB13" i="5"/>
  <c r="BB8" i="5"/>
  <c r="BB6" i="5"/>
  <c r="BB34" i="5"/>
  <c r="C36" i="9"/>
  <c r="I4" i="14"/>
  <c r="I8" i="14"/>
  <c r="I12" i="14"/>
  <c r="I16" i="14"/>
  <c r="I20" i="14"/>
  <c r="I24" i="14"/>
  <c r="I28" i="14"/>
  <c r="I32" i="14"/>
  <c r="AP141" i="5"/>
  <c r="F7" i="14"/>
  <c r="A8" i="14"/>
  <c r="A9" i="14" s="1"/>
  <c r="A10" i="14"/>
  <c r="A11" i="14" s="1"/>
  <c r="F11" i="14" s="1"/>
  <c r="L5" i="1"/>
  <c r="F8" i="14"/>
  <c r="L6" i="1"/>
  <c r="L7" i="1"/>
  <c r="L8" i="1"/>
  <c r="L9" i="1"/>
  <c r="L10" i="1"/>
  <c r="L11" i="1"/>
  <c r="L12" i="1"/>
  <c r="L13" i="1"/>
  <c r="L14" i="1"/>
  <c r="L15" i="1"/>
  <c r="L16" i="1"/>
  <c r="L17" i="1"/>
  <c r="L18" i="1"/>
  <c r="L19" i="1"/>
  <c r="L20" i="1"/>
  <c r="L21" i="1"/>
  <c r="L22" i="1"/>
  <c r="L23" i="1"/>
  <c r="L24" i="1"/>
  <c r="L25" i="1"/>
  <c r="L26" i="1"/>
  <c r="L27" i="1"/>
  <c r="L28" i="1"/>
  <c r="L29" i="1"/>
  <c r="L30" i="1"/>
  <c r="L31" i="1"/>
  <c r="L32" i="1"/>
  <c r="L33" i="1"/>
  <c r="L34" i="1"/>
  <c r="L35" i="1"/>
  <c r="L36" i="1"/>
  <c r="L37" i="1"/>
  <c r="L38" i="1"/>
  <c r="L39" i="1"/>
  <c r="L40" i="1"/>
  <c r="L41" i="1"/>
  <c r="L42" i="1"/>
  <c r="L43" i="1"/>
  <c r="L44" i="1"/>
  <c r="L45" i="1"/>
  <c r="L46" i="1"/>
  <c r="L47" i="1"/>
  <c r="L48" i="1"/>
  <c r="L49" i="1"/>
  <c r="L50" i="1"/>
  <c r="L51" i="1"/>
  <c r="L52" i="1"/>
  <c r="L53" i="1"/>
  <c r="L54" i="1"/>
  <c r="L55" i="1"/>
  <c r="L56" i="1"/>
  <c r="L57" i="1"/>
  <c r="L58" i="1"/>
  <c r="L59" i="1"/>
  <c r="L60" i="1"/>
  <c r="L61" i="1"/>
  <c r="L62" i="1"/>
  <c r="L63" i="1"/>
  <c r="L64" i="1"/>
  <c r="L65" i="1"/>
  <c r="L66" i="1"/>
  <c r="L67" i="1"/>
  <c r="L68" i="1"/>
  <c r="L69" i="1"/>
  <c r="L70" i="1"/>
  <c r="L71" i="1"/>
  <c r="L72" i="1"/>
  <c r="L73" i="1"/>
  <c r="L74" i="1"/>
  <c r="L75" i="1"/>
  <c r="L76" i="1"/>
  <c r="L77" i="1"/>
  <c r="L78" i="1"/>
  <c r="L79" i="1"/>
  <c r="L80" i="1"/>
  <c r="L81" i="1"/>
  <c r="L82" i="1"/>
  <c r="L83" i="1"/>
  <c r="L84" i="1"/>
  <c r="L85" i="1"/>
  <c r="L86" i="1"/>
  <c r="L87" i="1"/>
  <c r="L88" i="1"/>
  <c r="L89" i="1"/>
  <c r="L90" i="1"/>
  <c r="L91" i="1"/>
  <c r="L92" i="1"/>
  <c r="L93" i="1"/>
  <c r="L94" i="1"/>
  <c r="L95" i="1"/>
  <c r="L96" i="1"/>
  <c r="L97" i="1"/>
  <c r="L98" i="1"/>
  <c r="L99" i="1"/>
  <c r="L100" i="1"/>
  <c r="L101" i="1"/>
  <c r="L102" i="1"/>
  <c r="L103" i="1"/>
  <c r="L104" i="1"/>
  <c r="L105" i="1"/>
  <c r="L106" i="1"/>
  <c r="L107" i="1"/>
  <c r="L108" i="1"/>
  <c r="L109" i="1"/>
  <c r="L110" i="1"/>
  <c r="L111" i="1"/>
  <c r="L112" i="1"/>
  <c r="L113" i="1"/>
  <c r="L114" i="1"/>
  <c r="L115" i="1"/>
  <c r="L116" i="1"/>
  <c r="L117" i="1"/>
  <c r="L118" i="1"/>
  <c r="L119" i="1"/>
  <c r="L120" i="1"/>
  <c r="L121" i="1"/>
  <c r="L122" i="1"/>
  <c r="L123" i="1"/>
  <c r="L124" i="1"/>
  <c r="L125" i="1"/>
  <c r="L126" i="1"/>
  <c r="L127" i="1"/>
  <c r="L128" i="1"/>
  <c r="L129" i="1"/>
  <c r="L130" i="1"/>
  <c r="L131" i="1"/>
  <c r="L132" i="1"/>
  <c r="L133" i="1"/>
  <c r="L134" i="1"/>
  <c r="L135" i="1"/>
  <c r="L136" i="1"/>
  <c r="L137" i="1"/>
  <c r="L138" i="1"/>
  <c r="L139" i="1"/>
  <c r="L140" i="1"/>
  <c r="L141" i="1"/>
  <c r="L142" i="1"/>
  <c r="L143" i="1"/>
  <c r="L144" i="1"/>
  <c r="L145" i="1"/>
  <c r="L146" i="1"/>
  <c r="L147" i="1"/>
  <c r="L148" i="1"/>
  <c r="L149" i="1"/>
  <c r="L150" i="1"/>
  <c r="L151" i="1"/>
  <c r="L152" i="1"/>
  <c r="L153" i="1"/>
  <c r="L154" i="1"/>
  <c r="L155" i="1"/>
  <c r="L156" i="1"/>
  <c r="L157" i="1"/>
  <c r="L158" i="1"/>
  <c r="L159" i="1"/>
  <c r="L160" i="1"/>
  <c r="L161" i="1"/>
  <c r="L162" i="1"/>
  <c r="L163" i="1"/>
  <c r="L164" i="1"/>
  <c r="L165" i="1"/>
  <c r="L166" i="1"/>
  <c r="L167" i="1"/>
  <c r="L168" i="1"/>
  <c r="L169" i="1"/>
  <c r="L170" i="1"/>
  <c r="L171" i="1"/>
  <c r="L172" i="1"/>
  <c r="L173" i="1"/>
  <c r="L174" i="1"/>
  <c r="L175" i="1"/>
  <c r="L176" i="1"/>
  <c r="L177" i="1"/>
  <c r="L178" i="1"/>
  <c r="L179" i="1"/>
  <c r="L180" i="1"/>
  <c r="L181" i="1"/>
  <c r="L182" i="1"/>
  <c r="L183" i="1"/>
  <c r="L184" i="1"/>
  <c r="L185" i="1"/>
  <c r="L186" i="1"/>
  <c r="L187" i="1"/>
  <c r="L188" i="1"/>
  <c r="L189" i="1"/>
  <c r="L190" i="1"/>
  <c r="L191" i="1"/>
  <c r="L192" i="1"/>
  <c r="L193" i="1"/>
  <c r="L194" i="1"/>
  <c r="L195" i="1"/>
  <c r="L196" i="1"/>
  <c r="L197" i="1"/>
  <c r="L198" i="1"/>
  <c r="L199" i="1"/>
  <c r="L200" i="1"/>
  <c r="L201" i="1"/>
  <c r="L202" i="1"/>
  <c r="L203" i="1"/>
  <c r="L204" i="1"/>
  <c r="L205" i="1"/>
  <c r="L206" i="1"/>
  <c r="L207" i="1"/>
  <c r="L208" i="1"/>
  <c r="L209" i="1"/>
  <c r="L210" i="1"/>
  <c r="L211" i="1"/>
  <c r="L212" i="1"/>
  <c r="L213" i="1"/>
  <c r="L214" i="1"/>
  <c r="L215" i="1"/>
  <c r="L216" i="1"/>
  <c r="L217" i="1"/>
  <c r="L218" i="1"/>
  <c r="L219" i="1"/>
  <c r="L220" i="1"/>
  <c r="L221" i="1"/>
  <c r="L222" i="1"/>
  <c r="L223" i="1"/>
  <c r="L224" i="1"/>
  <c r="L225" i="1"/>
  <c r="L226" i="1"/>
  <c r="L227" i="1"/>
  <c r="L228" i="1"/>
  <c r="L229" i="1"/>
  <c r="L230" i="1"/>
  <c r="L231" i="1"/>
  <c r="L232" i="1"/>
  <c r="L233" i="1"/>
  <c r="L234" i="1"/>
  <c r="L235" i="1"/>
  <c r="L236" i="1"/>
  <c r="L237" i="1"/>
  <c r="L238" i="1"/>
  <c r="L239" i="1"/>
  <c r="L240" i="1"/>
  <c r="L241" i="1"/>
  <c r="L242" i="1"/>
  <c r="L243" i="1"/>
  <c r="L244" i="1"/>
  <c r="L245" i="1"/>
  <c r="L246" i="1"/>
  <c r="L247" i="1"/>
  <c r="L248" i="1"/>
  <c r="L249" i="1"/>
  <c r="L250" i="1"/>
  <c r="L251" i="1"/>
  <c r="L252" i="1"/>
  <c r="L253" i="1"/>
  <c r="L254" i="1"/>
  <c r="L255" i="1"/>
  <c r="L256" i="1"/>
  <c r="L257" i="1"/>
  <c r="L258" i="1"/>
  <c r="L259" i="1"/>
  <c r="L260" i="1"/>
  <c r="L261" i="1"/>
  <c r="L262" i="1"/>
  <c r="L263" i="1"/>
  <c r="L264" i="1"/>
  <c r="L265" i="1"/>
  <c r="L266" i="1"/>
  <c r="L267" i="1"/>
  <c r="L268" i="1"/>
  <c r="L269" i="1"/>
  <c r="L270" i="1"/>
  <c r="L271" i="1"/>
  <c r="L272" i="1"/>
  <c r="L273" i="1"/>
  <c r="L274" i="1"/>
  <c r="L275" i="1"/>
  <c r="L276" i="1"/>
  <c r="L277" i="1"/>
  <c r="L278" i="1"/>
  <c r="L279" i="1"/>
  <c r="L280" i="1"/>
  <c r="L281" i="1"/>
  <c r="L282" i="1"/>
  <c r="L283" i="1"/>
  <c r="L284" i="1"/>
  <c r="L285" i="1"/>
  <c r="L286" i="1"/>
  <c r="L287" i="1"/>
  <c r="L288" i="1"/>
  <c r="L289" i="1"/>
  <c r="L290" i="1"/>
  <c r="L291" i="1"/>
  <c r="L292" i="1"/>
  <c r="L293" i="1"/>
  <c r="L294" i="1"/>
  <c r="L295" i="1"/>
  <c r="L296" i="1"/>
  <c r="L297" i="1"/>
  <c r="L298" i="1"/>
  <c r="L299" i="1"/>
  <c r="L300" i="1"/>
  <c r="L301" i="1"/>
  <c r="L302" i="1"/>
  <c r="L303" i="1"/>
  <c r="L304" i="1"/>
  <c r="L305" i="1"/>
  <c r="L306" i="1"/>
  <c r="L307" i="1"/>
  <c r="L308" i="1"/>
  <c r="L309" i="1"/>
  <c r="L310" i="1"/>
  <c r="L311" i="1"/>
  <c r="L312" i="1"/>
  <c r="L313" i="1"/>
  <c r="L314" i="1"/>
  <c r="L315" i="1"/>
  <c r="L316" i="1"/>
  <c r="L317" i="1"/>
  <c r="L318" i="1"/>
  <c r="L319" i="1"/>
  <c r="L320" i="1"/>
  <c r="L321" i="1"/>
  <c r="L322" i="1"/>
  <c r="L323" i="1"/>
  <c r="L324" i="1"/>
  <c r="L325" i="1"/>
  <c r="L326" i="1"/>
  <c r="L327" i="1"/>
  <c r="L328" i="1"/>
  <c r="L329" i="1"/>
  <c r="L330" i="1"/>
  <c r="L331" i="1"/>
  <c r="L332" i="1"/>
  <c r="L333" i="1"/>
  <c r="L334" i="1"/>
  <c r="L335" i="1"/>
  <c r="L336" i="1"/>
  <c r="L337" i="1"/>
  <c r="L338" i="1"/>
  <c r="L339" i="1"/>
  <c r="L340" i="1"/>
  <c r="L341" i="1"/>
  <c r="L342" i="1"/>
  <c r="L343" i="1"/>
  <c r="L344" i="1"/>
  <c r="L345" i="1"/>
  <c r="L346" i="1"/>
  <c r="L347" i="1"/>
  <c r="L348" i="1"/>
  <c r="L349" i="1"/>
  <c r="L350" i="1"/>
  <c r="L351" i="1"/>
  <c r="L352" i="1"/>
  <c r="L353" i="1"/>
  <c r="L354" i="1"/>
  <c r="L355" i="1"/>
  <c r="L356" i="1"/>
  <c r="L357" i="1"/>
  <c r="L358" i="1"/>
  <c r="L359" i="1"/>
  <c r="L360" i="1"/>
  <c r="L361" i="1"/>
  <c r="L362" i="1"/>
  <c r="L363" i="1"/>
  <c r="L364" i="1"/>
  <c r="L365" i="1"/>
  <c r="L366" i="1"/>
  <c r="L367" i="1"/>
  <c r="L368" i="1"/>
  <c r="L369" i="1"/>
  <c r="L370" i="1"/>
  <c r="L371" i="1"/>
  <c r="L372" i="1"/>
  <c r="L373" i="1"/>
  <c r="L374" i="1"/>
  <c r="L375" i="1"/>
  <c r="L376" i="1"/>
  <c r="L377" i="1"/>
  <c r="L378" i="1"/>
  <c r="L379" i="1"/>
  <c r="L380" i="1"/>
  <c r="L381" i="1"/>
  <c r="L382" i="1"/>
  <c r="L383" i="1"/>
  <c r="L384" i="1"/>
  <c r="L385" i="1"/>
  <c r="L386" i="1"/>
  <c r="L387" i="1"/>
  <c r="L388" i="1"/>
  <c r="L389" i="1"/>
  <c r="L390" i="1"/>
  <c r="L391" i="1"/>
  <c r="L392" i="1"/>
  <c r="L393" i="1"/>
  <c r="L394" i="1"/>
  <c r="L395" i="1"/>
  <c r="L396" i="1"/>
  <c r="L397" i="1"/>
  <c r="L398" i="1"/>
  <c r="L399" i="1"/>
  <c r="L400" i="1"/>
  <c r="L401" i="1"/>
  <c r="L402" i="1"/>
  <c r="L403" i="1"/>
  <c r="L404" i="1"/>
  <c r="L405" i="1"/>
  <c r="L406" i="1"/>
  <c r="L407" i="1"/>
  <c r="L408" i="1"/>
  <c r="L409" i="1"/>
  <c r="L410" i="1"/>
  <c r="L411" i="1"/>
  <c r="L412" i="1"/>
  <c r="L413" i="1"/>
  <c r="L414" i="1"/>
  <c r="L415" i="1"/>
  <c r="L416" i="1"/>
  <c r="L417" i="1"/>
  <c r="L418" i="1"/>
  <c r="L419" i="1"/>
  <c r="L420" i="1"/>
  <c r="L421" i="1"/>
  <c r="L422" i="1"/>
  <c r="L423" i="1"/>
  <c r="L424" i="1"/>
  <c r="L425" i="1"/>
  <c r="L426" i="1"/>
  <c r="L427" i="1"/>
  <c r="L428" i="1"/>
  <c r="L429" i="1"/>
  <c r="L430" i="1"/>
  <c r="L431" i="1"/>
  <c r="L432" i="1"/>
  <c r="L433" i="1"/>
  <c r="L434" i="1"/>
  <c r="L435" i="1"/>
  <c r="L436" i="1"/>
  <c r="L437" i="1"/>
  <c r="L438" i="1"/>
  <c r="L439" i="1"/>
  <c r="L440" i="1"/>
  <c r="L441" i="1"/>
  <c r="L442" i="1"/>
  <c r="L443" i="1"/>
  <c r="L444" i="1"/>
  <c r="L445" i="1"/>
  <c r="L446" i="1"/>
  <c r="L447" i="1"/>
  <c r="L448" i="1"/>
  <c r="L449" i="1"/>
  <c r="L450" i="1"/>
  <c r="L451" i="1"/>
  <c r="L452" i="1"/>
  <c r="L453" i="1"/>
  <c r="L454" i="1"/>
  <c r="L455" i="1"/>
  <c r="L456" i="1"/>
  <c r="L457" i="1"/>
  <c r="L458" i="1"/>
  <c r="L459" i="1"/>
  <c r="L460" i="1"/>
  <c r="L461" i="1"/>
  <c r="L462" i="1"/>
  <c r="L463" i="1"/>
  <c r="L464" i="1"/>
  <c r="L465" i="1"/>
  <c r="L466" i="1"/>
  <c r="L467" i="1"/>
  <c r="L468" i="1"/>
  <c r="L469" i="1"/>
  <c r="L470" i="1"/>
  <c r="L471" i="1"/>
  <c r="L472" i="1"/>
  <c r="L473" i="1"/>
  <c r="L474" i="1"/>
  <c r="L475" i="1"/>
  <c r="L476" i="1"/>
  <c r="L477" i="1"/>
  <c r="L478" i="1"/>
  <c r="L479" i="1"/>
  <c r="L480" i="1"/>
  <c r="L481" i="1"/>
  <c r="L482" i="1"/>
  <c r="L483" i="1"/>
  <c r="L484" i="1"/>
  <c r="L485" i="1"/>
  <c r="L486" i="1"/>
  <c r="L487" i="1"/>
  <c r="L488" i="1"/>
  <c r="L489" i="1"/>
  <c r="L490" i="1"/>
  <c r="L491" i="1"/>
  <c r="L492" i="1"/>
  <c r="L493" i="1"/>
  <c r="L494" i="1"/>
  <c r="L495" i="1"/>
  <c r="L496" i="1"/>
  <c r="L497" i="1"/>
  <c r="L498" i="1"/>
  <c r="L499" i="1"/>
  <c r="L500" i="1"/>
  <c r="L501" i="1"/>
  <c r="L502" i="1"/>
  <c r="L503" i="1"/>
  <c r="L504" i="1"/>
  <c r="L505" i="1"/>
  <c r="L506" i="1"/>
  <c r="L507" i="1"/>
  <c r="L508" i="1"/>
  <c r="L509" i="1"/>
  <c r="L510" i="1"/>
  <c r="L511" i="1"/>
  <c r="L512" i="1"/>
  <c r="L513" i="1"/>
  <c r="L514" i="1"/>
  <c r="L515" i="1"/>
  <c r="L516" i="1"/>
  <c r="L517" i="1"/>
  <c r="L518" i="1"/>
  <c r="L519" i="1"/>
  <c r="L520" i="1"/>
  <c r="L521" i="1"/>
  <c r="L522" i="1"/>
  <c r="L523" i="1"/>
  <c r="L524" i="1"/>
  <c r="L525" i="1"/>
  <c r="L526" i="1"/>
  <c r="L527" i="1"/>
  <c r="L528" i="1"/>
  <c r="L529" i="1"/>
  <c r="L530" i="1"/>
  <c r="L531" i="1"/>
  <c r="L532" i="1"/>
  <c r="L533" i="1"/>
  <c r="L534" i="1"/>
  <c r="L535" i="1"/>
  <c r="L536" i="1"/>
  <c r="L537" i="1"/>
  <c r="L538" i="1"/>
  <c r="L539" i="1"/>
  <c r="L540" i="1"/>
  <c r="L541" i="1"/>
  <c r="L542" i="1"/>
  <c r="L543" i="1"/>
  <c r="L544" i="1"/>
  <c r="L545" i="1"/>
  <c r="L546" i="1"/>
  <c r="L547" i="1"/>
  <c r="L548" i="1"/>
  <c r="L549" i="1"/>
  <c r="L550" i="1"/>
  <c r="L551" i="1"/>
  <c r="L552" i="1"/>
  <c r="L553" i="1"/>
  <c r="L554" i="1"/>
  <c r="L555" i="1"/>
  <c r="L556" i="1"/>
  <c r="L557" i="1"/>
  <c r="L558" i="1"/>
  <c r="L559" i="1"/>
  <c r="L560" i="1"/>
  <c r="L561" i="1"/>
  <c r="L562" i="1"/>
  <c r="L563" i="1"/>
  <c r="L564" i="1"/>
  <c r="L565" i="1"/>
  <c r="L566" i="1"/>
  <c r="L567" i="1"/>
  <c r="L568" i="1"/>
  <c r="L569" i="1"/>
  <c r="L570" i="1"/>
  <c r="L571" i="1"/>
  <c r="L572" i="1"/>
  <c r="L573" i="1"/>
  <c r="L574" i="1"/>
  <c r="L575" i="1"/>
  <c r="L576" i="1"/>
  <c r="L577" i="1"/>
  <c r="L578" i="1"/>
  <c r="L579" i="1"/>
  <c r="L580" i="1"/>
  <c r="L581" i="1"/>
  <c r="L582" i="1"/>
  <c r="L583" i="1"/>
  <c r="L584" i="1"/>
  <c r="L585" i="1"/>
  <c r="L586" i="1"/>
  <c r="L587" i="1"/>
  <c r="L588" i="1"/>
  <c r="L589" i="1"/>
  <c r="L590" i="1"/>
  <c r="L591" i="1"/>
  <c r="L592" i="1"/>
  <c r="L593" i="1"/>
  <c r="L594" i="1"/>
  <c r="L595" i="1"/>
  <c r="L596" i="1"/>
  <c r="L597" i="1"/>
  <c r="L598" i="1"/>
  <c r="L599" i="1"/>
  <c r="L600" i="1"/>
  <c r="L601" i="1"/>
  <c r="L602" i="1"/>
  <c r="L603" i="1"/>
  <c r="L604" i="1"/>
  <c r="L605" i="1"/>
  <c r="L606" i="1"/>
  <c r="L607" i="1"/>
  <c r="L608" i="1"/>
  <c r="L609" i="1"/>
  <c r="L610" i="1"/>
  <c r="L611" i="1"/>
  <c r="L612" i="1"/>
  <c r="L613" i="1"/>
  <c r="L614" i="1"/>
  <c r="L615" i="1"/>
  <c r="L616" i="1"/>
  <c r="L617" i="1"/>
  <c r="L618" i="1"/>
  <c r="L619" i="1"/>
  <c r="L620" i="1"/>
  <c r="L621" i="1"/>
  <c r="L622" i="1"/>
  <c r="L623" i="1"/>
  <c r="L624" i="1"/>
  <c r="L625" i="1"/>
  <c r="L626" i="1"/>
  <c r="L627" i="1"/>
  <c r="L628" i="1"/>
  <c r="L629" i="1"/>
  <c r="L630" i="1"/>
  <c r="L631" i="1"/>
  <c r="L632" i="1"/>
  <c r="L633" i="1"/>
  <c r="L634" i="1"/>
  <c r="L635" i="1"/>
  <c r="L636" i="1"/>
  <c r="L637" i="1"/>
  <c r="L638" i="1"/>
  <c r="L639" i="1"/>
  <c r="L640" i="1"/>
  <c r="L641" i="1"/>
  <c r="L642" i="1"/>
  <c r="L643" i="1"/>
  <c r="L644" i="1"/>
  <c r="L645" i="1"/>
  <c r="L646" i="1"/>
  <c r="L647" i="1"/>
  <c r="L648" i="1"/>
  <c r="L649" i="1"/>
  <c r="L650" i="1"/>
  <c r="L651" i="1"/>
  <c r="L652" i="1"/>
  <c r="L653" i="1"/>
  <c r="L654" i="1"/>
  <c r="L655" i="1"/>
  <c r="L656" i="1"/>
  <c r="L657" i="1"/>
  <c r="L658" i="1"/>
  <c r="L659" i="1"/>
  <c r="L660" i="1"/>
  <c r="L661" i="1"/>
  <c r="L662" i="1"/>
  <c r="L663" i="1"/>
  <c r="L664" i="1"/>
  <c r="L665" i="1"/>
  <c r="L666" i="1"/>
  <c r="L667" i="1"/>
  <c r="L668" i="1"/>
  <c r="L669" i="1"/>
  <c r="L670" i="1"/>
  <c r="L671" i="1"/>
  <c r="L672" i="1"/>
  <c r="L673" i="1"/>
  <c r="L674" i="1"/>
  <c r="L675" i="1"/>
  <c r="L676" i="1"/>
  <c r="L677" i="1"/>
  <c r="L678" i="1"/>
  <c r="L679" i="1"/>
  <c r="L680" i="1"/>
  <c r="L681" i="1"/>
  <c r="L682" i="1"/>
  <c r="L683" i="1"/>
  <c r="L684" i="1"/>
  <c r="L685" i="1"/>
  <c r="L686" i="1"/>
  <c r="L687" i="1"/>
  <c r="L688" i="1"/>
  <c r="L689" i="1"/>
  <c r="L690" i="1"/>
  <c r="L691" i="1"/>
  <c r="L692" i="1"/>
  <c r="L693" i="1"/>
  <c r="L694" i="1"/>
  <c r="L695" i="1"/>
  <c r="L696" i="1"/>
  <c r="L697" i="1"/>
  <c r="L698" i="1"/>
  <c r="L699" i="1"/>
  <c r="L700" i="1"/>
  <c r="L701" i="1"/>
  <c r="L702" i="1"/>
  <c r="L703" i="1"/>
  <c r="L704" i="1"/>
  <c r="L705" i="1"/>
  <c r="L706" i="1"/>
  <c r="L707" i="1"/>
  <c r="L708" i="1"/>
  <c r="L709" i="1"/>
  <c r="L710" i="1"/>
  <c r="L711" i="1"/>
  <c r="L712" i="1"/>
  <c r="L713" i="1"/>
  <c r="L714" i="1"/>
  <c r="L715" i="1"/>
  <c r="L716" i="1"/>
  <c r="L717" i="1"/>
  <c r="L718" i="1"/>
  <c r="L719" i="1"/>
  <c r="L720" i="1"/>
  <c r="L721" i="1"/>
  <c r="L722" i="1"/>
  <c r="L723" i="1"/>
  <c r="L724" i="1"/>
  <c r="L725" i="1"/>
  <c r="L726" i="1"/>
  <c r="L727" i="1"/>
  <c r="L728" i="1"/>
  <c r="L729" i="1"/>
  <c r="L730" i="1"/>
  <c r="L731" i="1"/>
  <c r="L732" i="1"/>
  <c r="L733" i="1"/>
  <c r="L734" i="1"/>
  <c r="L735" i="1"/>
  <c r="L736" i="1"/>
  <c r="L737" i="1"/>
  <c r="L738" i="1"/>
  <c r="L739" i="1"/>
  <c r="L740" i="1"/>
  <c r="L741" i="1"/>
  <c r="L742" i="1"/>
  <c r="L743" i="1"/>
  <c r="L744" i="1"/>
  <c r="L745" i="1"/>
  <c r="L746" i="1"/>
  <c r="L747" i="1"/>
  <c r="L748" i="1"/>
  <c r="L749" i="1"/>
  <c r="L750" i="1"/>
  <c r="L751" i="1"/>
  <c r="L752" i="1"/>
  <c r="L753" i="1"/>
  <c r="L754" i="1"/>
  <c r="L755" i="1"/>
  <c r="L756" i="1"/>
  <c r="L757" i="1"/>
  <c r="L758" i="1"/>
  <c r="L759" i="1"/>
  <c r="L760" i="1"/>
  <c r="L761" i="1"/>
  <c r="L762" i="1"/>
  <c r="L763" i="1"/>
  <c r="L764" i="1"/>
  <c r="L765" i="1"/>
  <c r="L766" i="1"/>
  <c r="L767" i="1"/>
  <c r="L768" i="1"/>
  <c r="L769" i="1"/>
  <c r="L770" i="1"/>
  <c r="L771" i="1"/>
  <c r="L772" i="1"/>
  <c r="L773" i="1"/>
  <c r="L774" i="1"/>
  <c r="L775" i="1"/>
  <c r="L776" i="1"/>
  <c r="L777" i="1"/>
  <c r="L778" i="1"/>
  <c r="L779" i="1"/>
  <c r="L780" i="1"/>
  <c r="L781" i="1"/>
  <c r="L782" i="1"/>
  <c r="L783" i="1"/>
  <c r="L784" i="1"/>
  <c r="L785" i="1"/>
  <c r="L786" i="1"/>
  <c r="L787" i="1"/>
  <c r="L788" i="1"/>
  <c r="L789" i="1"/>
  <c r="L790" i="1"/>
  <c r="L791" i="1"/>
  <c r="L792" i="1"/>
  <c r="L793" i="1"/>
  <c r="L794" i="1"/>
  <c r="L795" i="1"/>
  <c r="L796" i="1"/>
  <c r="L797" i="1"/>
  <c r="L798" i="1"/>
  <c r="L799" i="1"/>
  <c r="L800" i="1"/>
  <c r="L801" i="1"/>
  <c r="L802" i="1"/>
  <c r="L803" i="1"/>
  <c r="L804" i="1"/>
  <c r="L805" i="1"/>
  <c r="L806" i="1"/>
  <c r="L807" i="1"/>
  <c r="L808" i="1"/>
  <c r="L809" i="1"/>
  <c r="L810" i="1"/>
  <c r="L811" i="1"/>
  <c r="L812" i="1"/>
  <c r="L813" i="1"/>
  <c r="L814" i="1"/>
  <c r="L815" i="1"/>
  <c r="L816" i="1"/>
  <c r="L817" i="1"/>
  <c r="L818" i="1"/>
  <c r="L819" i="1"/>
  <c r="L820" i="1"/>
  <c r="L821" i="1"/>
  <c r="L822" i="1"/>
  <c r="L823" i="1"/>
  <c r="L824" i="1"/>
  <c r="L825" i="1"/>
  <c r="L826" i="1"/>
  <c r="L827" i="1"/>
  <c r="L828" i="1"/>
  <c r="L829" i="1"/>
  <c r="L830" i="1"/>
  <c r="L831" i="1"/>
  <c r="L832" i="1"/>
  <c r="L833" i="1"/>
  <c r="L834" i="1"/>
  <c r="L835" i="1"/>
  <c r="L836" i="1"/>
  <c r="L837" i="1"/>
  <c r="L838" i="1"/>
  <c r="L839" i="1"/>
  <c r="L840" i="1"/>
  <c r="L841" i="1"/>
  <c r="L842" i="1"/>
  <c r="L843" i="1"/>
  <c r="L844" i="1"/>
  <c r="L845" i="1"/>
  <c r="L846" i="1"/>
  <c r="L847" i="1"/>
  <c r="L848" i="1"/>
  <c r="L849" i="1"/>
  <c r="L850" i="1"/>
  <c r="L851" i="1"/>
  <c r="L852" i="1"/>
  <c r="L853" i="1"/>
  <c r="L854" i="1"/>
  <c r="L855" i="1"/>
  <c r="L856" i="1"/>
  <c r="L857" i="1"/>
  <c r="L858" i="1"/>
  <c r="L859" i="1"/>
  <c r="L860" i="1"/>
  <c r="L861" i="1"/>
  <c r="L862" i="1"/>
  <c r="L863" i="1"/>
  <c r="L864" i="1"/>
  <c r="L865" i="1"/>
  <c r="L866" i="1"/>
  <c r="L867" i="1"/>
  <c r="L868" i="1"/>
  <c r="L869" i="1"/>
  <c r="L870" i="1"/>
  <c r="L871" i="1"/>
  <c r="L872" i="1"/>
  <c r="L873" i="1"/>
  <c r="L874" i="1"/>
  <c r="L875" i="1"/>
  <c r="L876" i="1"/>
  <c r="L877" i="1"/>
  <c r="L878" i="1"/>
  <c r="L879" i="1"/>
  <c r="L880" i="1"/>
  <c r="L881" i="1"/>
  <c r="L882" i="1"/>
  <c r="L883" i="1"/>
  <c r="L884" i="1"/>
  <c r="L885" i="1"/>
  <c r="L886" i="1"/>
  <c r="L887" i="1"/>
  <c r="L888" i="1"/>
  <c r="L889" i="1"/>
  <c r="L890" i="1"/>
  <c r="L891" i="1"/>
  <c r="L892" i="1"/>
  <c r="L893" i="1"/>
  <c r="L894" i="1"/>
  <c r="L895" i="1"/>
  <c r="L896" i="1"/>
  <c r="L897" i="1"/>
  <c r="L898" i="1"/>
  <c r="L899" i="1"/>
  <c r="L900" i="1"/>
  <c r="L901" i="1"/>
  <c r="L902" i="1"/>
  <c r="L903" i="1"/>
  <c r="L904" i="1"/>
  <c r="L905" i="1"/>
  <c r="L906" i="1"/>
  <c r="L907" i="1"/>
  <c r="L908" i="1"/>
  <c r="L909" i="1"/>
  <c r="L910" i="1"/>
  <c r="L911" i="1"/>
  <c r="L912" i="1"/>
  <c r="L913" i="1"/>
  <c r="L914" i="1"/>
  <c r="L915" i="1"/>
  <c r="L916" i="1"/>
  <c r="L917" i="1"/>
  <c r="L918" i="1"/>
  <c r="L919" i="1"/>
  <c r="L920" i="1"/>
  <c r="L921" i="1"/>
  <c r="L922" i="1"/>
  <c r="L923" i="1"/>
  <c r="L924" i="1"/>
  <c r="L925" i="1"/>
  <c r="L926" i="1"/>
  <c r="L927" i="1"/>
  <c r="L928" i="1"/>
  <c r="L929" i="1"/>
  <c r="L930" i="1"/>
  <c r="L931" i="1"/>
  <c r="L932" i="1"/>
  <c r="L933" i="1"/>
  <c r="L934" i="1"/>
  <c r="L935" i="1"/>
  <c r="L936" i="1"/>
  <c r="L937" i="1"/>
  <c r="L938" i="1"/>
  <c r="L939" i="1"/>
  <c r="L940" i="1"/>
  <c r="L941" i="1"/>
  <c r="L942" i="1"/>
  <c r="L943" i="1"/>
  <c r="L944" i="1"/>
  <c r="L945" i="1"/>
  <c r="L946" i="1"/>
  <c r="L947" i="1"/>
  <c r="L948" i="1"/>
  <c r="L949" i="1"/>
  <c r="L950" i="1"/>
  <c r="L951" i="1"/>
  <c r="L952" i="1"/>
  <c r="L953" i="1"/>
  <c r="L954" i="1"/>
  <c r="L955" i="1"/>
  <c r="L956" i="1"/>
  <c r="L957" i="1"/>
  <c r="L958" i="1"/>
  <c r="L959" i="1"/>
  <c r="L960" i="1"/>
  <c r="L961" i="1"/>
  <c r="L962" i="1"/>
  <c r="L963" i="1"/>
  <c r="L964" i="1"/>
  <c r="L965" i="1"/>
  <c r="L966" i="1"/>
  <c r="L967" i="1"/>
  <c r="L968" i="1"/>
  <c r="L969" i="1"/>
  <c r="L970" i="1"/>
  <c r="L971" i="1"/>
  <c r="L972" i="1"/>
  <c r="L973" i="1"/>
  <c r="L974" i="1"/>
  <c r="L975" i="1"/>
  <c r="L976" i="1"/>
  <c r="L977" i="1"/>
  <c r="L978" i="1"/>
  <c r="L979" i="1"/>
  <c r="L980" i="1"/>
  <c r="L981" i="1"/>
  <c r="L982" i="1"/>
  <c r="L983" i="1"/>
  <c r="L984" i="1"/>
  <c r="L985" i="1"/>
  <c r="L986" i="1"/>
  <c r="L987" i="1"/>
  <c r="L988" i="1"/>
  <c r="L989" i="1"/>
  <c r="L990" i="1"/>
  <c r="L991" i="1"/>
  <c r="L992" i="1"/>
  <c r="L993" i="1"/>
  <c r="L994" i="1"/>
  <c r="L995" i="1"/>
  <c r="L996" i="1"/>
  <c r="L997" i="1"/>
  <c r="L998" i="1"/>
  <c r="L999" i="1"/>
  <c r="L1000" i="1"/>
  <c r="L1001" i="1"/>
  <c r="L1002" i="1"/>
  <c r="L1003" i="1"/>
  <c r="L1004" i="1"/>
  <c r="L1005" i="1"/>
  <c r="L1006" i="1"/>
  <c r="L1007" i="1"/>
  <c r="L1008" i="1"/>
  <c r="L1009" i="1"/>
  <c r="L1010" i="1"/>
  <c r="L1011" i="1"/>
  <c r="L1012" i="1"/>
  <c r="L1013" i="1"/>
  <c r="L1014" i="1"/>
  <c r="L1015" i="1"/>
  <c r="L1016" i="1"/>
  <c r="L1017" i="1"/>
  <c r="L1018" i="1"/>
  <c r="L1019" i="1"/>
  <c r="L1020" i="1"/>
  <c r="L1021" i="1"/>
  <c r="L1022" i="1"/>
  <c r="L1023" i="1"/>
  <c r="L1024" i="1"/>
  <c r="L1025" i="1"/>
  <c r="L1026" i="1"/>
  <c r="L1027" i="1"/>
  <c r="L1028" i="1"/>
  <c r="L1029" i="1"/>
  <c r="L1030" i="1"/>
  <c r="L1031" i="1"/>
  <c r="L1032" i="1"/>
  <c r="L1033" i="1"/>
  <c r="L1034" i="1"/>
  <c r="L1035" i="1"/>
  <c r="L1036" i="1"/>
  <c r="L1037" i="1"/>
  <c r="L1038" i="1"/>
  <c r="L1039" i="1"/>
  <c r="L1040" i="1"/>
  <c r="L1041" i="1"/>
  <c r="L1042" i="1"/>
  <c r="L1043" i="1"/>
  <c r="L1044" i="1"/>
  <c r="L1045" i="1"/>
  <c r="L1046" i="1"/>
  <c r="L1047" i="1"/>
  <c r="L1048" i="1"/>
  <c r="L1049" i="1"/>
  <c r="L1050" i="1"/>
  <c r="L1051" i="1"/>
  <c r="L1052" i="1"/>
  <c r="L1053" i="1"/>
  <c r="L1054" i="1"/>
  <c r="L1055" i="1"/>
  <c r="L1056" i="1"/>
  <c r="L1057" i="1"/>
  <c r="L1058" i="1"/>
  <c r="L1059" i="1"/>
  <c r="L1060" i="1"/>
  <c r="L1061" i="1"/>
  <c r="L1062" i="1"/>
  <c r="L1063" i="1"/>
  <c r="L1064" i="1"/>
  <c r="L1065" i="1"/>
  <c r="L1066" i="1"/>
  <c r="L1067" i="1"/>
  <c r="L1068" i="1"/>
  <c r="L1069" i="1"/>
  <c r="L1070" i="1"/>
  <c r="L1071" i="1"/>
  <c r="L1072" i="1"/>
  <c r="L1073" i="1"/>
  <c r="L1074" i="1"/>
  <c r="L1075" i="1"/>
  <c r="L1076" i="1"/>
  <c r="L1077" i="1"/>
  <c r="L1078" i="1"/>
  <c r="L1079" i="1"/>
  <c r="L1080" i="1"/>
  <c r="L1081" i="1"/>
  <c r="L1082" i="1"/>
  <c r="L1083" i="1"/>
  <c r="L1084" i="1"/>
  <c r="L1085" i="1"/>
  <c r="L1086" i="1"/>
  <c r="L1087" i="1"/>
  <c r="L1088" i="1"/>
  <c r="L1089" i="1"/>
  <c r="L1090" i="1"/>
  <c r="L1091" i="1"/>
  <c r="L1092" i="1"/>
  <c r="L1093" i="1"/>
  <c r="L1094" i="1"/>
  <c r="L1095" i="1"/>
  <c r="L1096" i="1"/>
  <c r="L1097" i="1"/>
  <c r="L1098" i="1"/>
  <c r="L1099" i="1"/>
  <c r="L1100" i="1"/>
  <c r="L1101" i="1"/>
  <c r="L1102" i="1"/>
  <c r="L1103" i="1"/>
  <c r="L1104" i="1"/>
  <c r="L1105" i="1"/>
  <c r="L1106" i="1"/>
  <c r="L1107" i="1"/>
  <c r="L1108" i="1"/>
  <c r="L1109" i="1"/>
  <c r="L1110" i="1"/>
  <c r="L1111" i="1"/>
  <c r="L1112" i="1"/>
  <c r="L1113" i="1"/>
  <c r="L1114" i="1"/>
  <c r="L1115" i="1"/>
  <c r="L1116" i="1"/>
  <c r="L1117" i="1"/>
  <c r="L1118" i="1"/>
  <c r="L1119" i="1"/>
  <c r="L1120" i="1"/>
  <c r="L1121" i="1"/>
  <c r="L1122" i="1"/>
  <c r="L1123" i="1"/>
  <c r="L1124" i="1"/>
  <c r="L1125" i="1"/>
  <c r="L1126" i="1"/>
  <c r="L1127" i="1"/>
  <c r="L1128" i="1"/>
  <c r="L1129" i="1"/>
  <c r="L1130" i="1"/>
  <c r="L1131" i="1"/>
  <c r="L1132" i="1"/>
  <c r="L1133" i="1"/>
  <c r="L1134" i="1"/>
  <c r="L1135" i="1"/>
  <c r="L1136" i="1"/>
  <c r="L1137" i="1"/>
  <c r="L1138" i="1"/>
  <c r="L1139" i="1"/>
  <c r="L1140" i="1"/>
  <c r="L1141" i="1"/>
  <c r="L1142" i="1"/>
  <c r="L1143" i="1"/>
  <c r="L1144" i="1"/>
  <c r="L1145" i="1"/>
  <c r="L1146" i="1"/>
  <c r="L1147" i="1"/>
  <c r="L1148" i="1"/>
  <c r="L1149" i="1"/>
  <c r="L1150" i="1"/>
  <c r="L1151" i="1"/>
  <c r="L1152" i="1"/>
  <c r="L1153" i="1"/>
  <c r="L1154" i="1"/>
  <c r="L1155" i="1"/>
  <c r="L1156" i="1"/>
  <c r="L1157" i="1"/>
  <c r="L1158" i="1"/>
  <c r="L1159" i="1"/>
  <c r="L1160" i="1"/>
  <c r="L1161" i="1"/>
  <c r="L1162" i="1"/>
  <c r="L1163" i="1"/>
  <c r="L1164" i="1"/>
  <c r="L1165" i="1"/>
  <c r="L1166" i="1"/>
  <c r="L1167" i="1"/>
  <c r="L1168" i="1"/>
  <c r="L1169" i="1"/>
  <c r="L1170" i="1"/>
  <c r="L1171" i="1"/>
  <c r="L1172" i="1"/>
  <c r="L1173" i="1"/>
  <c r="L1174" i="1"/>
  <c r="L1175" i="1"/>
  <c r="L1176" i="1"/>
  <c r="L1177" i="1"/>
  <c r="L1178" i="1"/>
  <c r="L1179" i="1"/>
  <c r="L1180" i="1"/>
  <c r="L1181" i="1"/>
  <c r="L1182" i="1"/>
  <c r="L1183" i="1"/>
  <c r="L1184" i="1"/>
  <c r="L1185" i="1"/>
  <c r="L1186" i="1"/>
  <c r="L1187" i="1"/>
  <c r="L1188" i="1"/>
  <c r="L1189" i="1"/>
  <c r="L1190" i="1"/>
  <c r="L1191" i="1"/>
  <c r="L1192" i="1"/>
  <c r="L1193" i="1"/>
  <c r="L1194" i="1"/>
  <c r="L1195" i="1"/>
  <c r="L1196" i="1"/>
  <c r="L1197" i="1"/>
  <c r="L1198" i="1"/>
  <c r="L1199" i="1"/>
  <c r="L1200" i="1"/>
  <c r="L1201" i="1"/>
  <c r="L1202" i="1"/>
  <c r="L1203" i="1"/>
  <c r="L1204" i="1"/>
  <c r="L1205" i="1"/>
  <c r="L1206" i="1"/>
  <c r="L1207" i="1"/>
  <c r="L1208" i="1"/>
  <c r="L1209" i="1"/>
  <c r="L1210" i="1"/>
  <c r="L1211" i="1"/>
  <c r="L1212" i="1"/>
  <c r="L1213" i="1"/>
  <c r="L1214" i="1"/>
  <c r="L1215" i="1"/>
  <c r="L1216" i="1"/>
  <c r="L1217" i="1"/>
  <c r="L1218" i="1"/>
  <c r="L1219" i="1"/>
  <c r="L1220" i="1"/>
  <c r="L1221" i="1"/>
  <c r="L1222" i="1"/>
  <c r="L1223" i="1"/>
  <c r="L1224" i="1"/>
  <c r="L1225" i="1"/>
  <c r="L1226" i="1"/>
  <c r="L1227" i="1"/>
  <c r="L1228" i="1"/>
  <c r="L1229" i="1"/>
  <c r="L1230" i="1"/>
  <c r="L1231" i="1"/>
  <c r="L1232" i="1"/>
  <c r="L1233" i="1"/>
  <c r="L1234" i="1"/>
  <c r="L1235" i="1"/>
  <c r="L1236" i="1"/>
  <c r="L1237" i="1"/>
  <c r="L1238" i="1"/>
  <c r="L1239" i="1"/>
  <c r="L1240" i="1"/>
  <c r="L1241" i="1"/>
  <c r="L1242" i="1"/>
  <c r="L1243" i="1"/>
  <c r="L1244" i="1"/>
  <c r="L1245" i="1"/>
  <c r="L1246" i="1"/>
  <c r="L1247" i="1"/>
  <c r="L1248" i="1"/>
  <c r="L1249" i="1"/>
  <c r="L1250" i="1"/>
  <c r="L1251" i="1"/>
  <c r="L1252" i="1"/>
  <c r="L1253" i="1"/>
  <c r="L1254" i="1"/>
  <c r="L1255" i="1"/>
  <c r="L1256" i="1"/>
  <c r="L1257" i="1"/>
  <c r="L1258" i="1"/>
  <c r="L1259" i="1"/>
  <c r="L1260" i="1"/>
  <c r="L1261" i="1"/>
  <c r="L1262" i="1"/>
  <c r="L1263" i="1"/>
  <c r="L1264" i="1"/>
  <c r="L1265" i="1"/>
  <c r="L1266" i="1"/>
  <c r="L1267" i="1"/>
  <c r="L1268" i="1"/>
  <c r="L1269" i="1"/>
  <c r="L1270" i="1"/>
  <c r="L1271" i="1"/>
  <c r="L1272" i="1"/>
  <c r="L1273" i="1"/>
  <c r="L1274" i="1"/>
  <c r="L1275" i="1"/>
  <c r="L1276" i="1"/>
  <c r="L1277" i="1"/>
  <c r="L1278" i="1"/>
  <c r="L1279" i="1"/>
  <c r="L1280" i="1"/>
  <c r="L1281" i="1"/>
  <c r="L1282" i="1"/>
  <c r="L1283" i="1"/>
  <c r="L1284" i="1"/>
  <c r="L1285" i="1"/>
  <c r="L1286" i="1"/>
  <c r="L1287" i="1"/>
  <c r="L1288" i="1"/>
  <c r="L1289" i="1"/>
  <c r="L1290" i="1"/>
  <c r="L1291" i="1"/>
  <c r="L1292" i="1"/>
  <c r="L1293" i="1"/>
  <c r="L1294" i="1"/>
  <c r="L1295" i="1"/>
  <c r="L1296" i="1"/>
  <c r="L1297" i="1"/>
  <c r="L1298" i="1"/>
  <c r="L1299" i="1"/>
  <c r="L1300" i="1"/>
  <c r="L1301" i="1"/>
  <c r="L1302" i="1"/>
  <c r="L1303" i="1"/>
  <c r="L1304" i="1"/>
  <c r="L1305" i="1"/>
  <c r="L1306" i="1"/>
  <c r="L1307" i="1"/>
  <c r="L1308" i="1"/>
  <c r="L1309" i="1"/>
  <c r="L1310" i="1"/>
  <c r="L1311" i="1"/>
  <c r="L1312" i="1"/>
  <c r="L1313" i="1"/>
  <c r="L1314" i="1"/>
  <c r="L1315" i="1"/>
  <c r="L1316" i="1"/>
  <c r="L1317" i="1"/>
  <c r="L1318" i="1"/>
  <c r="L1319" i="1"/>
  <c r="L1320" i="1"/>
  <c r="L1321" i="1"/>
  <c r="L1322" i="1"/>
  <c r="L1323" i="1"/>
  <c r="L1324" i="1"/>
  <c r="L1325" i="1"/>
  <c r="L1326" i="1"/>
  <c r="L1327" i="1"/>
  <c r="L1328" i="1"/>
  <c r="L1329" i="1"/>
  <c r="L1330" i="1"/>
  <c r="L1331" i="1"/>
  <c r="L1332" i="1"/>
  <c r="L1333" i="1"/>
  <c r="L1334" i="1"/>
  <c r="L1335" i="1"/>
  <c r="L1336" i="1"/>
  <c r="L1337" i="1"/>
  <c r="L1338" i="1"/>
  <c r="L1339" i="1"/>
  <c r="L1340" i="1"/>
  <c r="L1341" i="1"/>
  <c r="L1342" i="1"/>
  <c r="L1343" i="1"/>
  <c r="L1344" i="1"/>
  <c r="L1345" i="1"/>
  <c r="L1346" i="1"/>
  <c r="L1347" i="1"/>
  <c r="L1348" i="1"/>
  <c r="L1349" i="1"/>
  <c r="L1350" i="1"/>
  <c r="L1351" i="1"/>
  <c r="L1352" i="1"/>
  <c r="L1353" i="1"/>
  <c r="L1354" i="1"/>
  <c r="L1355" i="1"/>
  <c r="L1356" i="1"/>
  <c r="L1357" i="1"/>
  <c r="L1358" i="1"/>
  <c r="L1359" i="1"/>
  <c r="L1360" i="1"/>
  <c r="L1361" i="1"/>
  <c r="L1362" i="1"/>
  <c r="L1363" i="1"/>
  <c r="L1364" i="1"/>
  <c r="L1365" i="1"/>
  <c r="L1366" i="1"/>
  <c r="L1367" i="1"/>
  <c r="L1368" i="1"/>
  <c r="L1369" i="1"/>
  <c r="L1370" i="1"/>
  <c r="L1371" i="1"/>
  <c r="L1372" i="1"/>
  <c r="L1373" i="1"/>
  <c r="L1374" i="1"/>
  <c r="L1375" i="1"/>
  <c r="L1376" i="1"/>
  <c r="L1377" i="1"/>
  <c r="L1378" i="1"/>
  <c r="L1379" i="1"/>
  <c r="L1380" i="1"/>
  <c r="L1381" i="1"/>
  <c r="L1382" i="1"/>
  <c r="L1383" i="1"/>
  <c r="L1384" i="1"/>
  <c r="L1385" i="1"/>
  <c r="L1386" i="1"/>
  <c r="L1387" i="1"/>
  <c r="L1388" i="1"/>
  <c r="L1389" i="1"/>
  <c r="L1390" i="1"/>
  <c r="L1391" i="1"/>
  <c r="L1392" i="1"/>
  <c r="L1393" i="1"/>
  <c r="L1394" i="1"/>
  <c r="L1395" i="1"/>
  <c r="L1396" i="1"/>
  <c r="L1397" i="1"/>
  <c r="L1398" i="1"/>
  <c r="L1399" i="1"/>
  <c r="L1400" i="1"/>
  <c r="L1401" i="1"/>
  <c r="L1402" i="1"/>
  <c r="L1403" i="1"/>
  <c r="L1404" i="1"/>
  <c r="L1405" i="1"/>
  <c r="L1406" i="1"/>
  <c r="L1407" i="1"/>
  <c r="L1408" i="1"/>
  <c r="L1409" i="1"/>
  <c r="L1410" i="1"/>
  <c r="L1411" i="1"/>
  <c r="L1412" i="1"/>
  <c r="L1413" i="1"/>
  <c r="L1414" i="1"/>
  <c r="L1415" i="1"/>
  <c r="L1416" i="1"/>
  <c r="L1417" i="1"/>
  <c r="L1418" i="1"/>
  <c r="L1419" i="1"/>
  <c r="L1420" i="1"/>
  <c r="L1421" i="1"/>
  <c r="L1422" i="1"/>
  <c r="L1423" i="1"/>
  <c r="L1424" i="1"/>
  <c r="L1425" i="1"/>
  <c r="L1426" i="1"/>
  <c r="L1427" i="1"/>
  <c r="L1428" i="1"/>
  <c r="L1429" i="1"/>
  <c r="L1430" i="1"/>
  <c r="L1431" i="1"/>
  <c r="L1432" i="1"/>
  <c r="L1433" i="1"/>
  <c r="L1434" i="1"/>
  <c r="L1435" i="1"/>
  <c r="L1436" i="1"/>
  <c r="L1437" i="1"/>
  <c r="L1438" i="1"/>
  <c r="L1439" i="1"/>
  <c r="L1440" i="1"/>
  <c r="L1441" i="1"/>
  <c r="L1442" i="1"/>
  <c r="L1443" i="1"/>
  <c r="L1444" i="1"/>
  <c r="L1445" i="1"/>
  <c r="L1446" i="1"/>
  <c r="L1447" i="1"/>
  <c r="L1448" i="1"/>
  <c r="L1449" i="1"/>
  <c r="L1450" i="1"/>
  <c r="L1451" i="1"/>
  <c r="L1452" i="1"/>
  <c r="L1453" i="1"/>
  <c r="L1454" i="1"/>
  <c r="L1455" i="1"/>
  <c r="L1456" i="1"/>
  <c r="L1457" i="1"/>
  <c r="L1458" i="1"/>
  <c r="L1459" i="1"/>
  <c r="L1460" i="1"/>
  <c r="L1461" i="1"/>
  <c r="L1462" i="1"/>
  <c r="L1463" i="1"/>
  <c r="L1464" i="1"/>
  <c r="L1465" i="1"/>
  <c r="L1466" i="1"/>
  <c r="L1467" i="1"/>
  <c r="L1468" i="1"/>
  <c r="L1469" i="1"/>
  <c r="L1470" i="1"/>
  <c r="L1471" i="1"/>
  <c r="L1472" i="1"/>
  <c r="L1473" i="1"/>
  <c r="L1474" i="1"/>
  <c r="L1475" i="1"/>
  <c r="L1476" i="1"/>
  <c r="L1477" i="1"/>
  <c r="L1478" i="1"/>
  <c r="L1479" i="1"/>
  <c r="L1480" i="1"/>
  <c r="L1481" i="1"/>
  <c r="L1482" i="1"/>
  <c r="L1483" i="1"/>
  <c r="L1484" i="1"/>
  <c r="L1485" i="1"/>
  <c r="L1486" i="1"/>
  <c r="L1487" i="1"/>
  <c r="L1488" i="1"/>
  <c r="L1489" i="1"/>
  <c r="L1490" i="1"/>
  <c r="L1491" i="1"/>
  <c r="L1492" i="1"/>
  <c r="L1493" i="1"/>
  <c r="L1494" i="1"/>
  <c r="L1495" i="1"/>
  <c r="L1496" i="1"/>
  <c r="L1497" i="1"/>
  <c r="L1498" i="1"/>
  <c r="L1499" i="1"/>
  <c r="L1500" i="1"/>
  <c r="L1501" i="1"/>
  <c r="L1502" i="1"/>
  <c r="L1503" i="1"/>
  <c r="L1504" i="1"/>
  <c r="L1505" i="1"/>
  <c r="L1506" i="1"/>
  <c r="L1507" i="1"/>
  <c r="L1508" i="1"/>
  <c r="L1509" i="1"/>
  <c r="L1510" i="1"/>
  <c r="L1511" i="1"/>
  <c r="L1512" i="1"/>
  <c r="L1513" i="1"/>
  <c r="L1514" i="1"/>
  <c r="L1515" i="1"/>
  <c r="L1516" i="1"/>
  <c r="L1517" i="1"/>
  <c r="L1518" i="1"/>
  <c r="L1519" i="1"/>
  <c r="L1520" i="1"/>
  <c r="L1521" i="1"/>
  <c r="L1522" i="1"/>
  <c r="L1523" i="1"/>
  <c r="L1524" i="1"/>
  <c r="L1525" i="1"/>
  <c r="L1526" i="1"/>
  <c r="L1527" i="1"/>
  <c r="L1528" i="1"/>
  <c r="L1529" i="1"/>
  <c r="L1530" i="1"/>
  <c r="L1531" i="1"/>
  <c r="L1532" i="1"/>
  <c r="L1533" i="1"/>
  <c r="L1534" i="1"/>
  <c r="L1535" i="1"/>
  <c r="L1536" i="1"/>
  <c r="L1537" i="1"/>
  <c r="L1538" i="1"/>
  <c r="L1539" i="1"/>
  <c r="L1540" i="1"/>
  <c r="L1541" i="1"/>
  <c r="L1542" i="1"/>
  <c r="L1543" i="1"/>
  <c r="L1544" i="1"/>
  <c r="L1545" i="1"/>
  <c r="L1546" i="1"/>
  <c r="L1547" i="1"/>
  <c r="L1548" i="1"/>
  <c r="L1549" i="1"/>
  <c r="L1550" i="1"/>
  <c r="L1551" i="1"/>
  <c r="L1552" i="1"/>
  <c r="L1553" i="1"/>
  <c r="L1554" i="1"/>
  <c r="L1555" i="1"/>
  <c r="L1556" i="1"/>
  <c r="L1557" i="1"/>
  <c r="L1558" i="1"/>
  <c r="L1559" i="1"/>
  <c r="L1560" i="1"/>
  <c r="L1561" i="1"/>
  <c r="L1562" i="1"/>
  <c r="L1563" i="1"/>
  <c r="L1564" i="1"/>
  <c r="L1565" i="1"/>
  <c r="L1566" i="1"/>
  <c r="L1567" i="1"/>
  <c r="L1568" i="1"/>
  <c r="L1569" i="1"/>
  <c r="L1570" i="1"/>
  <c r="L1571" i="1"/>
  <c r="L1572" i="1"/>
  <c r="L1573" i="1"/>
  <c r="L1574" i="1"/>
  <c r="L1575" i="1"/>
  <c r="L1576" i="1"/>
  <c r="L1577" i="1"/>
  <c r="L1578" i="1"/>
  <c r="L1579" i="1"/>
  <c r="L1580" i="1"/>
  <c r="L1581" i="1"/>
  <c r="L1582" i="1"/>
  <c r="L1583" i="1"/>
  <c r="L1584" i="1"/>
  <c r="L1585" i="1"/>
  <c r="L1586" i="1"/>
  <c r="L1587" i="1"/>
  <c r="L1588" i="1"/>
  <c r="L1589" i="1"/>
  <c r="L1590" i="1"/>
  <c r="L1591" i="1"/>
  <c r="L1592" i="1"/>
  <c r="L1593" i="1"/>
  <c r="L1594" i="1"/>
  <c r="L1595" i="1"/>
  <c r="L1596" i="1"/>
  <c r="L1597" i="1"/>
  <c r="L1598" i="1"/>
  <c r="L1599" i="1"/>
  <c r="L1600" i="1"/>
  <c r="L1601" i="1"/>
  <c r="L1602" i="1"/>
  <c r="L1603" i="1"/>
  <c r="L1604" i="1"/>
  <c r="L1605" i="1"/>
  <c r="L1606" i="1"/>
  <c r="L1607" i="1"/>
  <c r="L1608" i="1"/>
  <c r="L1609" i="1"/>
  <c r="L1610" i="1"/>
  <c r="L1611" i="1"/>
  <c r="L1612" i="1"/>
  <c r="L1613" i="1"/>
  <c r="L1614" i="1"/>
  <c r="L1615" i="1"/>
  <c r="L1616" i="1"/>
  <c r="L1617" i="1"/>
  <c r="L1618" i="1"/>
  <c r="L1619" i="1"/>
  <c r="L1620" i="1"/>
  <c r="L1621" i="1"/>
  <c r="L1622" i="1"/>
  <c r="L1623" i="1"/>
  <c r="L1624" i="1"/>
  <c r="L1625" i="1"/>
  <c r="L1626" i="1"/>
  <c r="L1627" i="1"/>
  <c r="L1628" i="1"/>
  <c r="L1629" i="1"/>
  <c r="L1630" i="1"/>
  <c r="L1631" i="1"/>
  <c r="L1632" i="1"/>
  <c r="L1633" i="1"/>
  <c r="L1634" i="1"/>
  <c r="L1635" i="1"/>
  <c r="L1636" i="1"/>
  <c r="L1637" i="1"/>
  <c r="L1638" i="1"/>
  <c r="L1639" i="1"/>
  <c r="L1640" i="1"/>
  <c r="L1641" i="1"/>
  <c r="L1642" i="1"/>
  <c r="L1643" i="1"/>
  <c r="L1644" i="1"/>
  <c r="L1645" i="1"/>
  <c r="L1646" i="1"/>
  <c r="L1647" i="1"/>
  <c r="L1648" i="1"/>
  <c r="L1649" i="1"/>
  <c r="L1650" i="1"/>
  <c r="L1651" i="1"/>
  <c r="L1652" i="1"/>
  <c r="L1653" i="1"/>
  <c r="L1654" i="1"/>
  <c r="L1655" i="1"/>
  <c r="L1656" i="1"/>
  <c r="L1657" i="1"/>
  <c r="L1658" i="1"/>
  <c r="L1659" i="1"/>
  <c r="L1660" i="1"/>
  <c r="L1661" i="1"/>
  <c r="L1662" i="1"/>
  <c r="L1663" i="1"/>
  <c r="L1664" i="1"/>
  <c r="L1665" i="1"/>
  <c r="L1666" i="1"/>
  <c r="L1667" i="1"/>
  <c r="L1668" i="1"/>
  <c r="L1669" i="1"/>
  <c r="L1670" i="1"/>
  <c r="L1671" i="1"/>
  <c r="L1672" i="1"/>
  <c r="L1673" i="1"/>
  <c r="L1674" i="1"/>
  <c r="L1675" i="1"/>
  <c r="L1676" i="1"/>
  <c r="L1677" i="1"/>
  <c r="L1678" i="1"/>
  <c r="L1679" i="1"/>
  <c r="L1680" i="1"/>
  <c r="L1681" i="1"/>
  <c r="L1682" i="1"/>
  <c r="L1683" i="1"/>
  <c r="L1684" i="1"/>
  <c r="L1685" i="1"/>
  <c r="L1686" i="1"/>
  <c r="L1687" i="1"/>
  <c r="L1688" i="1"/>
  <c r="L1689" i="1"/>
  <c r="L1690" i="1"/>
  <c r="L1691" i="1"/>
  <c r="L1692" i="1"/>
  <c r="L1693" i="1"/>
  <c r="L1694" i="1"/>
  <c r="L1695" i="1"/>
  <c r="L1696" i="1"/>
  <c r="L1697" i="1"/>
  <c r="L1698" i="1"/>
  <c r="L1699" i="1"/>
  <c r="L1700" i="1"/>
  <c r="L1701" i="1"/>
  <c r="L1702" i="1"/>
  <c r="L1703" i="1"/>
  <c r="L1704" i="1"/>
  <c r="L1705" i="1"/>
  <c r="L1706" i="1"/>
  <c r="L1707" i="1"/>
  <c r="L1708" i="1"/>
  <c r="L1709" i="1"/>
  <c r="L1710" i="1"/>
  <c r="L1711" i="1"/>
  <c r="L1712" i="1"/>
  <c r="L1713" i="1"/>
  <c r="L1714" i="1"/>
  <c r="L1715" i="1"/>
  <c r="L1716" i="1"/>
  <c r="L1717" i="1"/>
  <c r="L1718" i="1"/>
  <c r="L1719" i="1"/>
  <c r="L1720" i="1"/>
  <c r="L1721" i="1"/>
  <c r="L1722" i="1"/>
  <c r="L1723" i="1"/>
  <c r="L1724" i="1"/>
  <c r="L1725" i="1"/>
  <c r="L1726" i="1"/>
  <c r="L1727" i="1"/>
  <c r="L1728" i="1"/>
  <c r="L1729" i="1"/>
  <c r="L1730" i="1"/>
  <c r="L1731" i="1"/>
  <c r="L1732" i="1"/>
  <c r="L1733" i="1"/>
  <c r="L1734" i="1"/>
  <c r="L1735" i="1"/>
  <c r="L1736" i="1"/>
  <c r="L1737" i="1"/>
  <c r="L1738" i="1"/>
  <c r="L1739" i="1"/>
  <c r="L1740" i="1"/>
  <c r="L1741" i="1"/>
  <c r="L1742" i="1"/>
  <c r="L1743" i="1"/>
  <c r="L1744" i="1"/>
  <c r="L1745" i="1"/>
  <c r="L1746" i="1"/>
  <c r="L1747" i="1"/>
  <c r="L1748" i="1"/>
  <c r="L1749" i="1"/>
  <c r="L1750" i="1"/>
  <c r="L1751" i="1"/>
  <c r="L1752" i="1"/>
  <c r="L1753" i="1"/>
  <c r="L1754" i="1"/>
  <c r="L1755" i="1"/>
  <c r="L1756" i="1"/>
  <c r="L1757" i="1"/>
  <c r="L1758" i="1"/>
  <c r="L1759" i="1"/>
  <c r="L1760" i="1"/>
  <c r="L1761" i="1"/>
  <c r="L1762" i="1"/>
  <c r="L1763" i="1"/>
  <c r="L1764" i="1"/>
  <c r="L1765" i="1"/>
  <c r="L1766" i="1"/>
  <c r="L1767" i="1"/>
  <c r="L1768" i="1"/>
  <c r="L1769" i="1"/>
  <c r="L1770" i="1"/>
  <c r="L1771" i="1"/>
  <c r="L1772" i="1"/>
  <c r="L1773" i="1"/>
  <c r="L1774" i="1"/>
  <c r="L1775" i="1"/>
  <c r="L1776" i="1"/>
  <c r="L1777" i="1"/>
  <c r="L1778" i="1"/>
  <c r="L1779" i="1"/>
  <c r="L1780" i="1"/>
  <c r="L1781" i="1"/>
  <c r="L1782" i="1"/>
  <c r="L1783" i="1"/>
  <c r="L1784" i="1"/>
  <c r="L1785" i="1"/>
  <c r="L1786" i="1"/>
  <c r="L1787" i="1"/>
  <c r="L1788" i="1"/>
  <c r="L1789" i="1"/>
  <c r="L1790" i="1"/>
  <c r="L1791" i="1"/>
  <c r="L1792" i="1"/>
  <c r="L1793" i="1"/>
  <c r="L1794" i="1"/>
  <c r="L1795" i="1"/>
  <c r="L1796" i="1"/>
  <c r="L1797" i="1"/>
  <c r="L1798" i="1"/>
  <c r="L1799" i="1"/>
  <c r="L1800" i="1"/>
  <c r="L1801" i="1"/>
  <c r="L1802" i="1"/>
  <c r="L1803" i="1"/>
  <c r="L1804" i="1"/>
  <c r="L1805" i="1"/>
  <c r="L1806" i="1"/>
  <c r="L1807" i="1"/>
  <c r="L1808" i="1"/>
  <c r="L1809" i="1"/>
  <c r="L1810" i="1"/>
  <c r="L1811" i="1"/>
  <c r="L1812" i="1"/>
  <c r="L1813" i="1"/>
  <c r="L1814" i="1"/>
  <c r="L1815" i="1"/>
  <c r="L1816" i="1"/>
  <c r="L1817" i="1"/>
  <c r="L1818" i="1"/>
  <c r="L1819" i="1"/>
  <c r="L1820" i="1"/>
  <c r="L1821" i="1"/>
  <c r="L1822" i="1"/>
  <c r="L1823" i="1"/>
  <c r="L1824" i="1"/>
  <c r="L1825" i="1"/>
  <c r="L1826" i="1"/>
  <c r="L1827" i="1"/>
  <c r="L1828" i="1"/>
  <c r="L1829" i="1"/>
  <c r="L1830" i="1"/>
  <c r="L1831" i="1"/>
  <c r="L1832" i="1"/>
  <c r="L1833" i="1"/>
  <c r="L1834" i="1"/>
  <c r="L1835" i="1"/>
  <c r="L1836" i="1"/>
  <c r="L1837" i="1"/>
  <c r="L1838" i="1"/>
  <c r="L1839" i="1"/>
  <c r="L1840" i="1"/>
  <c r="L1841" i="1"/>
  <c r="L1842" i="1"/>
  <c r="L1843" i="1"/>
  <c r="L1844" i="1"/>
  <c r="L1845" i="1"/>
  <c r="L1846" i="1"/>
  <c r="L1847" i="1"/>
  <c r="L1848" i="1"/>
  <c r="L1849" i="1"/>
  <c r="L1850" i="1"/>
  <c r="L1851" i="1"/>
  <c r="L1852" i="1"/>
  <c r="L1853" i="1"/>
  <c r="L1854" i="1"/>
  <c r="L1855" i="1"/>
  <c r="L1856" i="1"/>
  <c r="L1857" i="1"/>
  <c r="L1858" i="1"/>
  <c r="L1859" i="1"/>
  <c r="L1860" i="1"/>
  <c r="L1861" i="1"/>
  <c r="L1862" i="1"/>
  <c r="L1863" i="1"/>
  <c r="L1864" i="1"/>
  <c r="L1865" i="1"/>
  <c r="L1866" i="1"/>
  <c r="L1867" i="1"/>
  <c r="L1868" i="1"/>
  <c r="L1869" i="1"/>
  <c r="L1870" i="1"/>
  <c r="L1871" i="1"/>
  <c r="L1872" i="1"/>
  <c r="L1873" i="1"/>
  <c r="L1874" i="1"/>
  <c r="L1875" i="1"/>
  <c r="L1876" i="1"/>
  <c r="L1877" i="1"/>
  <c r="L1878" i="1"/>
  <c r="L1879" i="1"/>
  <c r="L1880" i="1"/>
  <c r="L1881" i="1"/>
  <c r="L1882" i="1"/>
  <c r="L1883" i="1"/>
  <c r="L1884" i="1"/>
  <c r="L1885" i="1"/>
  <c r="L1886" i="1"/>
  <c r="L1887" i="1"/>
  <c r="L1888" i="1"/>
  <c r="L1889" i="1"/>
  <c r="L1890" i="1"/>
  <c r="L1891" i="1"/>
  <c r="L1892" i="1"/>
  <c r="L1893" i="1"/>
  <c r="L1894" i="1"/>
  <c r="L1895" i="1"/>
  <c r="L1896" i="1"/>
  <c r="L1897" i="1"/>
  <c r="L1898" i="1"/>
  <c r="L1899" i="1"/>
  <c r="L1900" i="1"/>
  <c r="L1901" i="1"/>
  <c r="L1902" i="1"/>
  <c r="L1903" i="1"/>
  <c r="L1904" i="1"/>
  <c r="L1905" i="1"/>
  <c r="L1906" i="1"/>
  <c r="L1907" i="1"/>
  <c r="L1908" i="1"/>
  <c r="L1909" i="1"/>
  <c r="L1910" i="1"/>
  <c r="L1911" i="1"/>
  <c r="L1912" i="1"/>
  <c r="L1913" i="1"/>
  <c r="L1914" i="1"/>
  <c r="L1915" i="1"/>
  <c r="L1916" i="1"/>
  <c r="L1917" i="1"/>
  <c r="L1918" i="1"/>
  <c r="L1919" i="1"/>
  <c r="L1920" i="1"/>
  <c r="L1921" i="1"/>
  <c r="L1922" i="1"/>
  <c r="L1923" i="1"/>
  <c r="L1924" i="1"/>
  <c r="L1925" i="1"/>
  <c r="L1926" i="1"/>
  <c r="L1927" i="1"/>
  <c r="L1928" i="1"/>
  <c r="L1929" i="1"/>
  <c r="L1930" i="1"/>
  <c r="L1931" i="1"/>
  <c r="L1932" i="1"/>
  <c r="L1933" i="1"/>
  <c r="L1934" i="1"/>
  <c r="L1935" i="1"/>
  <c r="L1936" i="1"/>
  <c r="L1937" i="1"/>
  <c r="L1938" i="1"/>
  <c r="L1939" i="1"/>
  <c r="L1940" i="1"/>
  <c r="L1941" i="1"/>
  <c r="L1942" i="1"/>
  <c r="L1943" i="1"/>
  <c r="L1944" i="1"/>
  <c r="L1945" i="1"/>
  <c r="L1946" i="1"/>
  <c r="L1947" i="1"/>
  <c r="L1948" i="1"/>
  <c r="L1949" i="1"/>
  <c r="L1950" i="1"/>
  <c r="L1951" i="1"/>
  <c r="L1952" i="1"/>
  <c r="L1953" i="1"/>
  <c r="L1954" i="1"/>
  <c r="L1955" i="1"/>
  <c r="L1956" i="1"/>
  <c r="L1957" i="1"/>
  <c r="L1958" i="1"/>
  <c r="L1959" i="1"/>
  <c r="L1960" i="1"/>
  <c r="L1961" i="1"/>
  <c r="L1962" i="1"/>
  <c r="L1963" i="1"/>
  <c r="L1964" i="1"/>
  <c r="L1965" i="1"/>
  <c r="L1966" i="1"/>
  <c r="L1967" i="1"/>
  <c r="L1968" i="1"/>
  <c r="L1969" i="1"/>
  <c r="L1970" i="1"/>
  <c r="L1971" i="1"/>
  <c r="L1972" i="1"/>
  <c r="L1973" i="1"/>
  <c r="L1974" i="1"/>
  <c r="L1975" i="1"/>
  <c r="L1976" i="1"/>
  <c r="L1977" i="1"/>
  <c r="L1978" i="1"/>
  <c r="L1979" i="1"/>
  <c r="L1980" i="1"/>
  <c r="L1981" i="1"/>
  <c r="L1982" i="1"/>
  <c r="L1983" i="1"/>
  <c r="L1984" i="1"/>
  <c r="L1985" i="1"/>
  <c r="L1986" i="1"/>
  <c r="L1987" i="1"/>
  <c r="L1988" i="1"/>
  <c r="L1989" i="1"/>
  <c r="L1990" i="1"/>
  <c r="L1991" i="1"/>
  <c r="L1992" i="1"/>
  <c r="L1993" i="1"/>
  <c r="L1994" i="1"/>
  <c r="L1995" i="1"/>
  <c r="L1996" i="1"/>
  <c r="L1997" i="1"/>
  <c r="L1998" i="1"/>
  <c r="L1999" i="1"/>
  <c r="L2000" i="1"/>
  <c r="L2001" i="1"/>
  <c r="L2002" i="1"/>
  <c r="L2003" i="1"/>
  <c r="L2004" i="1"/>
  <c r="L2005" i="1"/>
  <c r="L2006" i="1"/>
  <c r="L2007" i="1"/>
  <c r="L2008" i="1"/>
  <c r="L2009" i="1"/>
  <c r="L2010" i="1"/>
  <c r="L2011" i="1"/>
  <c r="L2012" i="1"/>
  <c r="L2013" i="1"/>
  <c r="L2014" i="1"/>
  <c r="L2015" i="1"/>
  <c r="L2016" i="1"/>
  <c r="L2017" i="1"/>
  <c r="L2018" i="1"/>
  <c r="L2019" i="1"/>
  <c r="L2020" i="1"/>
  <c r="L2021" i="1"/>
  <c r="L2022" i="1"/>
  <c r="L2023" i="1"/>
  <c r="L2024" i="1"/>
  <c r="L2025" i="1"/>
  <c r="L2026" i="1"/>
  <c r="L2027" i="1"/>
  <c r="L2028" i="1"/>
  <c r="L2029" i="1"/>
  <c r="L2030" i="1"/>
  <c r="L2031" i="1"/>
  <c r="L2032" i="1"/>
  <c r="L2033" i="1"/>
  <c r="L2034" i="1"/>
  <c r="L2035" i="1"/>
  <c r="L2036" i="1"/>
  <c r="L2037" i="1"/>
  <c r="L2038" i="1"/>
  <c r="L2039" i="1"/>
  <c r="L2040" i="1"/>
  <c r="L2041" i="1"/>
  <c r="L2042" i="1"/>
  <c r="L2043" i="1"/>
  <c r="L2044" i="1"/>
  <c r="L2045" i="1"/>
  <c r="L2046" i="1"/>
  <c r="L2047" i="1"/>
  <c r="L2048" i="1"/>
  <c r="L2049" i="1"/>
  <c r="L2050" i="1"/>
  <c r="L2051" i="1"/>
  <c r="L2052" i="1"/>
  <c r="L2053" i="1"/>
  <c r="L2054" i="1"/>
  <c r="L2055" i="1"/>
  <c r="L2056" i="1"/>
  <c r="L2057" i="1"/>
  <c r="L2058" i="1"/>
  <c r="L2059" i="1"/>
  <c r="L2060" i="1"/>
  <c r="L2061" i="1"/>
  <c r="L2062" i="1"/>
  <c r="L2063" i="1"/>
  <c r="L2064" i="1"/>
  <c r="L2065" i="1"/>
  <c r="L2066" i="1"/>
  <c r="L2067" i="1"/>
  <c r="L2068" i="1"/>
  <c r="L2069" i="1"/>
  <c r="L2070" i="1"/>
  <c r="L2071" i="1"/>
  <c r="L2072" i="1"/>
  <c r="L2073" i="1"/>
  <c r="L2074" i="1"/>
  <c r="L2075" i="1"/>
  <c r="L2076" i="1"/>
  <c r="L2077" i="1"/>
  <c r="L2078" i="1"/>
  <c r="L2079" i="1"/>
  <c r="L2080" i="1"/>
  <c r="L2081" i="1"/>
  <c r="L2082" i="1"/>
  <c r="L2083" i="1"/>
  <c r="L2084" i="1"/>
  <c r="L2085" i="1"/>
  <c r="L2086" i="1"/>
  <c r="L2087" i="1"/>
  <c r="L2088" i="1"/>
  <c r="L2089" i="1"/>
  <c r="L2090" i="1"/>
  <c r="L2091" i="1"/>
  <c r="L2092" i="1"/>
  <c r="L2093" i="1"/>
  <c r="L2094" i="1"/>
  <c r="L2095" i="1"/>
  <c r="L2096" i="1"/>
  <c r="L2097" i="1"/>
  <c r="L2098" i="1"/>
  <c r="L2099" i="1"/>
  <c r="L2100" i="1"/>
  <c r="L2101" i="1"/>
  <c r="L2102" i="1"/>
  <c r="L2103" i="1"/>
  <c r="L2104" i="1"/>
  <c r="L2105" i="1"/>
  <c r="L2106" i="1"/>
  <c r="L2107" i="1"/>
  <c r="L2108" i="1"/>
  <c r="L2109" i="1"/>
  <c r="L2110" i="1"/>
  <c r="L2111" i="1"/>
  <c r="L2112" i="1"/>
  <c r="L2113" i="1"/>
  <c r="L2114" i="1"/>
  <c r="L2115" i="1"/>
  <c r="L2116" i="1"/>
  <c r="L2117" i="1"/>
  <c r="L2118" i="1"/>
  <c r="L2119" i="1"/>
  <c r="L2120" i="1"/>
  <c r="L2121" i="1"/>
  <c r="L2122" i="1"/>
  <c r="L2123" i="1"/>
  <c r="L2124" i="1"/>
  <c r="L2125" i="1"/>
  <c r="L2126" i="1"/>
  <c r="L2127" i="1"/>
  <c r="L2128" i="1"/>
  <c r="L2129" i="1"/>
  <c r="L2130" i="1"/>
  <c r="L2131" i="1"/>
  <c r="L2132" i="1"/>
  <c r="L2133" i="1"/>
  <c r="L2134" i="1"/>
  <c r="L2135" i="1"/>
  <c r="L2136" i="1"/>
  <c r="L2137" i="1"/>
  <c r="L2138" i="1"/>
  <c r="L2139" i="1"/>
  <c r="L2140" i="1"/>
  <c r="L2141" i="1"/>
  <c r="L2142" i="1"/>
  <c r="L2143" i="1"/>
  <c r="L2144" i="1"/>
  <c r="L2145" i="1"/>
  <c r="L2146" i="1"/>
  <c r="L2147" i="1"/>
  <c r="L2148" i="1"/>
  <c r="L2149" i="1"/>
  <c r="L2150" i="1"/>
  <c r="L2151" i="1"/>
  <c r="L2152" i="1"/>
  <c r="L2153" i="1"/>
  <c r="L2154" i="1"/>
  <c r="L2155" i="1"/>
  <c r="L2156" i="1"/>
  <c r="L2157" i="1"/>
  <c r="L2158" i="1"/>
  <c r="L2159" i="1"/>
  <c r="L2160" i="1"/>
  <c r="L2161" i="1"/>
  <c r="L2162" i="1"/>
  <c r="L2163" i="1"/>
  <c r="L2164" i="1"/>
  <c r="L2165" i="1"/>
  <c r="L2166" i="1"/>
  <c r="L2167" i="1"/>
  <c r="L2168" i="1"/>
  <c r="L2169" i="1"/>
  <c r="L2170" i="1"/>
  <c r="L2171" i="1"/>
  <c r="L2172" i="1"/>
  <c r="L2173" i="1"/>
  <c r="L2174" i="1"/>
  <c r="L2175" i="1"/>
  <c r="L2176" i="1"/>
  <c r="L2177" i="1"/>
  <c r="L2178" i="1"/>
  <c r="L2179" i="1"/>
  <c r="L2180" i="1"/>
  <c r="L2181" i="1"/>
  <c r="L2182" i="1"/>
  <c r="L2183" i="1"/>
  <c r="L2184" i="1"/>
  <c r="L2185" i="1"/>
  <c r="L2186" i="1"/>
  <c r="L2187" i="1"/>
  <c r="L2188" i="1"/>
  <c r="L2189" i="1"/>
  <c r="L2190" i="1"/>
  <c r="L2191" i="1"/>
  <c r="L2192" i="1"/>
  <c r="L2193" i="1"/>
  <c r="L2194" i="1"/>
  <c r="L2195" i="1"/>
  <c r="L2196" i="1"/>
  <c r="L2197" i="1"/>
  <c r="L2198" i="1"/>
  <c r="L2199" i="1"/>
  <c r="L2200" i="1"/>
  <c r="L2201" i="1"/>
  <c r="L2202" i="1"/>
  <c r="L2203" i="1"/>
  <c r="L2204" i="1"/>
  <c r="L2205" i="1"/>
  <c r="L2206" i="1"/>
  <c r="L2207" i="1"/>
  <c r="L2208" i="1"/>
  <c r="L2209" i="1"/>
  <c r="L2210" i="1"/>
  <c r="L2211" i="1"/>
  <c r="L2212" i="1"/>
  <c r="L2213" i="1"/>
  <c r="L2214" i="1"/>
  <c r="L2215" i="1"/>
  <c r="L2216" i="1"/>
  <c r="L2217" i="1"/>
  <c r="L2218" i="1"/>
  <c r="L2219" i="1"/>
  <c r="L2220" i="1"/>
  <c r="L2221" i="1"/>
  <c r="L2222" i="1"/>
  <c r="L2223" i="1"/>
  <c r="L2224" i="1"/>
  <c r="L2225" i="1"/>
  <c r="L2226" i="1"/>
  <c r="L2227" i="1"/>
  <c r="L2228" i="1"/>
  <c r="L2229" i="1"/>
  <c r="L2230" i="1"/>
  <c r="L2231" i="1"/>
  <c r="L2232" i="1"/>
  <c r="L2233" i="1"/>
  <c r="L2234" i="1"/>
  <c r="L2235" i="1"/>
  <c r="L2236" i="1"/>
  <c r="L2237" i="1"/>
  <c r="L2238" i="1"/>
  <c r="L2239" i="1"/>
  <c r="L2240" i="1"/>
  <c r="L2241" i="1"/>
  <c r="L2242" i="1"/>
  <c r="L2243" i="1"/>
  <c r="L2244" i="1"/>
  <c r="L2245" i="1"/>
  <c r="L2246" i="1"/>
  <c r="L2247" i="1"/>
  <c r="L2248" i="1"/>
  <c r="L2249" i="1"/>
  <c r="L2250" i="1"/>
  <c r="L2251" i="1"/>
  <c r="L2252" i="1"/>
  <c r="L2253" i="1"/>
  <c r="L2254" i="1"/>
  <c r="L2255" i="1"/>
  <c r="L2256" i="1"/>
  <c r="L2257" i="1"/>
  <c r="L2258" i="1"/>
  <c r="L2259" i="1"/>
  <c r="L2260" i="1"/>
  <c r="L2261" i="1"/>
  <c r="L2262" i="1"/>
  <c r="L2263" i="1"/>
  <c r="L2264" i="1"/>
  <c r="L2265" i="1"/>
  <c r="L2266" i="1"/>
  <c r="L2267" i="1"/>
  <c r="L2268" i="1"/>
  <c r="L2269" i="1"/>
  <c r="L2270" i="1"/>
  <c r="L2271" i="1"/>
  <c r="L2272" i="1"/>
  <c r="L2273" i="1"/>
  <c r="L2274" i="1"/>
  <c r="L2275" i="1"/>
  <c r="L2276" i="1"/>
  <c r="L2277" i="1"/>
  <c r="L2278" i="1"/>
  <c r="L2279" i="1"/>
  <c r="L2280" i="1"/>
  <c r="L2281" i="1"/>
  <c r="L2282" i="1"/>
  <c r="L2283" i="1"/>
  <c r="L2284" i="1"/>
  <c r="L2285" i="1"/>
  <c r="L2286" i="1"/>
  <c r="L2287" i="1"/>
  <c r="L2288" i="1"/>
  <c r="L2289" i="1"/>
  <c r="L2290" i="1"/>
  <c r="L2291" i="1"/>
  <c r="L2292" i="1"/>
  <c r="L2293" i="1"/>
  <c r="L2294" i="1"/>
  <c r="L2295" i="1"/>
  <c r="L2296" i="1"/>
  <c r="L2297" i="1"/>
  <c r="L2298" i="1"/>
  <c r="L2299" i="1"/>
  <c r="L2300" i="1"/>
  <c r="L2301" i="1"/>
  <c r="L2302" i="1"/>
  <c r="L2303" i="1"/>
  <c r="L2304" i="1"/>
  <c r="L2305" i="1"/>
  <c r="L2306" i="1"/>
  <c r="L2307" i="1"/>
  <c r="L2308" i="1"/>
  <c r="L2309" i="1"/>
  <c r="L2310" i="1"/>
  <c r="L2311" i="1"/>
  <c r="L2312" i="1"/>
  <c r="L2313" i="1"/>
  <c r="L2314" i="1"/>
  <c r="L2315" i="1"/>
  <c r="L2316" i="1"/>
  <c r="L2317" i="1"/>
  <c r="L2318" i="1"/>
  <c r="L2319" i="1"/>
  <c r="L2320" i="1"/>
  <c r="L2321" i="1"/>
  <c r="L2322" i="1"/>
  <c r="L2323" i="1"/>
  <c r="L2324" i="1"/>
  <c r="L2325" i="1"/>
  <c r="L2326" i="1"/>
  <c r="L2327" i="1"/>
  <c r="L2328" i="1"/>
  <c r="L2329" i="1"/>
  <c r="L2330" i="1"/>
  <c r="L2331" i="1"/>
  <c r="L2332" i="1"/>
  <c r="L2333" i="1"/>
  <c r="L2334" i="1"/>
  <c r="L2335" i="1"/>
  <c r="L2336" i="1"/>
  <c r="L2337" i="1"/>
  <c r="L2338" i="1"/>
  <c r="L2339" i="1"/>
  <c r="L2340" i="1"/>
  <c r="L2341" i="1"/>
  <c r="L2342" i="1"/>
  <c r="L2343" i="1"/>
  <c r="L2344" i="1"/>
  <c r="L2345" i="1"/>
  <c r="L2346" i="1"/>
  <c r="L2347" i="1"/>
  <c r="L2348" i="1"/>
  <c r="L2349" i="1"/>
  <c r="L2350" i="1"/>
  <c r="L2351" i="1"/>
  <c r="L2352" i="1"/>
  <c r="L2353" i="1"/>
  <c r="L2354" i="1"/>
  <c r="L2355" i="1"/>
  <c r="L2356" i="1"/>
  <c r="L2357" i="1"/>
  <c r="L2358" i="1"/>
  <c r="L2359" i="1"/>
  <c r="L2360" i="1"/>
  <c r="L2361" i="1"/>
  <c r="L2362" i="1"/>
  <c r="L2363" i="1"/>
  <c r="L2364" i="1"/>
  <c r="L2365" i="1"/>
  <c r="L2366" i="1"/>
  <c r="L2367" i="1"/>
  <c r="L2368" i="1"/>
  <c r="L2369" i="1"/>
  <c r="L2370" i="1"/>
  <c r="L2371" i="1"/>
  <c r="L2372" i="1"/>
  <c r="L2373" i="1"/>
  <c r="L2374" i="1"/>
  <c r="L2375" i="1"/>
  <c r="L2376" i="1"/>
  <c r="L2377" i="1"/>
  <c r="L2378" i="1"/>
  <c r="L2379" i="1"/>
  <c r="L2380" i="1"/>
  <c r="L2381" i="1"/>
  <c r="L2382" i="1"/>
  <c r="L2383" i="1"/>
  <c r="L2384" i="1"/>
  <c r="L2385" i="1"/>
  <c r="L2386" i="1"/>
  <c r="L2387" i="1"/>
  <c r="L2388" i="1"/>
  <c r="L2389" i="1"/>
  <c r="L2390" i="1"/>
  <c r="L2391" i="1"/>
  <c r="L2392" i="1"/>
  <c r="L2393" i="1"/>
  <c r="L2394" i="1"/>
  <c r="L2395" i="1"/>
  <c r="L2396" i="1"/>
  <c r="L2397" i="1"/>
  <c r="L2398" i="1"/>
  <c r="L2399" i="1"/>
  <c r="L2400" i="1"/>
  <c r="L2401" i="1"/>
  <c r="L2402" i="1"/>
  <c r="L2403" i="1"/>
  <c r="L2404" i="1"/>
  <c r="L2405" i="1"/>
  <c r="L2406" i="1"/>
  <c r="L2407" i="1"/>
  <c r="L2408" i="1"/>
  <c r="L2409" i="1"/>
  <c r="L2410" i="1"/>
  <c r="L2411" i="1"/>
  <c r="L2412" i="1"/>
  <c r="L2413" i="1"/>
  <c r="L2414" i="1"/>
  <c r="L2415" i="1"/>
  <c r="L2416" i="1"/>
  <c r="L2417" i="1"/>
  <c r="L2418" i="1"/>
  <c r="L2419" i="1"/>
  <c r="L2420" i="1"/>
  <c r="L2421" i="1"/>
  <c r="L2422" i="1"/>
  <c r="L2423" i="1"/>
  <c r="L2424" i="1"/>
  <c r="L2425" i="1"/>
  <c r="L2426" i="1"/>
  <c r="L2427" i="1"/>
  <c r="L2428" i="1"/>
  <c r="L2429" i="1"/>
  <c r="L2430" i="1"/>
  <c r="L2431" i="1"/>
  <c r="L2432" i="1"/>
  <c r="L2433" i="1"/>
  <c r="L2434" i="1"/>
  <c r="L2435" i="1"/>
  <c r="L2436" i="1"/>
  <c r="L2437" i="1"/>
  <c r="L2438" i="1"/>
  <c r="L2439" i="1"/>
  <c r="L2440" i="1"/>
  <c r="L2441" i="1"/>
  <c r="L2442" i="1"/>
  <c r="L2443" i="1"/>
  <c r="L2444" i="1"/>
  <c r="L2445" i="1"/>
  <c r="L2446" i="1"/>
  <c r="L2447" i="1"/>
  <c r="L2448" i="1"/>
  <c r="L2449" i="1"/>
  <c r="L2450" i="1"/>
  <c r="L2451" i="1"/>
  <c r="L2452" i="1"/>
  <c r="L2453" i="1"/>
  <c r="L2454" i="1"/>
  <c r="L2455" i="1"/>
  <c r="L2456" i="1"/>
  <c r="L2457" i="1"/>
  <c r="L2458" i="1"/>
  <c r="L2459" i="1"/>
  <c r="L2460" i="1"/>
  <c r="L2461" i="1"/>
  <c r="L2462" i="1"/>
  <c r="L2463" i="1"/>
  <c r="L2464" i="1"/>
  <c r="L2465" i="1"/>
  <c r="L2466" i="1"/>
  <c r="L2467" i="1"/>
  <c r="L2468" i="1"/>
  <c r="L2469" i="1"/>
  <c r="L2470" i="1"/>
  <c r="L2471" i="1"/>
  <c r="L2472" i="1"/>
  <c r="L2473" i="1"/>
  <c r="L2474" i="1"/>
  <c r="L2475" i="1"/>
  <c r="L2476" i="1"/>
  <c r="L2477" i="1"/>
  <c r="L2478" i="1"/>
  <c r="L2479" i="1"/>
  <c r="L2480" i="1"/>
  <c r="L2481" i="1"/>
  <c r="L2482" i="1"/>
  <c r="L2483" i="1"/>
  <c r="L2484" i="1"/>
  <c r="L2485" i="1"/>
  <c r="L2486" i="1"/>
  <c r="L2487" i="1"/>
  <c r="L2488" i="1"/>
  <c r="L2489" i="1"/>
  <c r="L2490" i="1"/>
  <c r="L2491" i="1"/>
  <c r="L2492" i="1"/>
  <c r="L2493" i="1"/>
  <c r="L2494" i="1"/>
  <c r="L2495" i="1"/>
  <c r="L2496" i="1"/>
  <c r="L2497" i="1"/>
  <c r="L2498" i="1"/>
  <c r="L2499" i="1"/>
  <c r="L2500" i="1"/>
  <c r="L2501" i="1"/>
  <c r="L2502" i="1"/>
  <c r="L2503" i="1"/>
  <c r="L2504" i="1"/>
  <c r="L2505" i="1"/>
  <c r="L2506" i="1"/>
  <c r="L2507" i="1"/>
  <c r="L2508" i="1"/>
  <c r="L2509" i="1"/>
  <c r="L2510" i="1"/>
  <c r="L2511" i="1"/>
  <c r="L2512" i="1"/>
  <c r="L2513" i="1"/>
  <c r="L2514" i="1"/>
  <c r="L2515" i="1"/>
  <c r="L2516" i="1"/>
  <c r="L2517" i="1"/>
  <c r="L2518" i="1"/>
  <c r="L2519" i="1"/>
  <c r="L2520" i="1"/>
  <c r="L2521" i="1"/>
  <c r="L2522" i="1"/>
  <c r="L2523" i="1"/>
  <c r="L2524" i="1"/>
  <c r="L2525" i="1"/>
  <c r="L2526" i="1"/>
  <c r="L2527" i="1"/>
  <c r="L2528" i="1"/>
  <c r="L2529" i="1"/>
  <c r="L2530" i="1"/>
  <c r="L2531" i="1"/>
  <c r="L2532" i="1"/>
  <c r="L2533" i="1"/>
  <c r="L2534" i="1"/>
  <c r="L2535" i="1"/>
  <c r="L2536" i="1"/>
  <c r="L2537" i="1"/>
  <c r="L2538" i="1"/>
  <c r="L2539" i="1"/>
  <c r="L2540" i="1"/>
  <c r="L2541" i="1"/>
  <c r="L2542" i="1"/>
  <c r="L2543" i="1"/>
  <c r="L2544" i="1"/>
  <c r="L2545" i="1"/>
  <c r="L2546" i="1"/>
  <c r="L2547" i="1"/>
  <c r="L2548" i="1"/>
  <c r="L2549" i="1"/>
  <c r="L2550" i="1"/>
  <c r="L2551" i="1"/>
  <c r="L2552" i="1"/>
  <c r="L2553" i="1"/>
  <c r="L2554" i="1"/>
  <c r="L2555" i="1"/>
  <c r="L2556" i="1"/>
  <c r="L2557" i="1"/>
  <c r="L2558" i="1"/>
  <c r="L2559" i="1"/>
  <c r="L2560" i="1"/>
  <c r="L2561" i="1"/>
  <c r="L2562" i="1"/>
  <c r="L2563" i="1"/>
  <c r="L2564" i="1"/>
  <c r="L2565" i="1"/>
  <c r="L2566" i="1"/>
  <c r="L2567" i="1"/>
  <c r="L2568" i="1"/>
  <c r="L2569" i="1"/>
  <c r="L2570" i="1"/>
  <c r="L2571" i="1"/>
  <c r="L2572" i="1"/>
  <c r="L2573" i="1"/>
  <c r="L2574" i="1"/>
  <c r="L2575" i="1"/>
  <c r="L2576" i="1"/>
  <c r="L2577" i="1"/>
  <c r="L2578" i="1"/>
  <c r="L2579" i="1"/>
  <c r="L2580" i="1"/>
  <c r="L2581" i="1"/>
  <c r="L2582" i="1"/>
  <c r="L2583" i="1"/>
  <c r="L2584" i="1"/>
  <c r="L2585" i="1"/>
  <c r="L2586" i="1"/>
  <c r="L2587" i="1"/>
  <c r="L2588" i="1"/>
  <c r="L2589" i="1"/>
  <c r="L2590" i="1"/>
  <c r="L2591" i="1"/>
  <c r="L2592" i="1"/>
  <c r="L2593" i="1"/>
  <c r="L2594" i="1"/>
  <c r="L2595" i="1"/>
  <c r="L2596" i="1"/>
  <c r="L2597" i="1"/>
  <c r="L2598" i="1"/>
  <c r="L2599" i="1"/>
  <c r="L2600" i="1"/>
  <c r="L2601" i="1"/>
  <c r="L2602" i="1"/>
  <c r="L2603" i="1"/>
  <c r="L2604" i="1"/>
  <c r="L2605" i="1"/>
  <c r="L2606" i="1"/>
  <c r="L2607" i="1"/>
  <c r="L2608" i="1"/>
  <c r="L2609" i="1"/>
  <c r="L2610" i="1"/>
  <c r="L2611" i="1"/>
  <c r="L2612" i="1"/>
  <c r="L2613" i="1"/>
  <c r="L2614" i="1"/>
  <c r="L2615" i="1"/>
  <c r="L2616" i="1"/>
  <c r="L2617" i="1"/>
  <c r="L2618" i="1"/>
  <c r="L2619" i="1"/>
  <c r="L2620" i="1"/>
  <c r="L2621" i="1"/>
  <c r="L2622" i="1"/>
  <c r="L2623" i="1"/>
  <c r="L2624" i="1"/>
  <c r="L2625" i="1"/>
  <c r="L2626" i="1"/>
  <c r="L2627" i="1"/>
  <c r="L2628" i="1"/>
  <c r="L2629" i="1"/>
  <c r="L2630" i="1"/>
  <c r="L2631" i="1"/>
  <c r="L2632" i="1"/>
  <c r="L2633" i="1"/>
  <c r="L2634" i="1"/>
  <c r="L2635" i="1"/>
  <c r="L2636" i="1"/>
  <c r="L2637" i="1"/>
  <c r="L2638" i="1"/>
  <c r="L2639" i="1"/>
  <c r="L2640" i="1"/>
  <c r="L2641" i="1"/>
  <c r="L2642" i="1"/>
  <c r="L2643" i="1"/>
  <c r="L2644" i="1"/>
  <c r="L2645" i="1"/>
  <c r="L2646" i="1"/>
  <c r="L2647" i="1"/>
  <c r="L2648" i="1"/>
  <c r="L2649" i="1"/>
  <c r="L2650" i="1"/>
  <c r="L2651" i="1"/>
  <c r="L2652" i="1"/>
  <c r="L2653" i="1"/>
  <c r="L2654" i="1"/>
  <c r="L2655" i="1"/>
  <c r="L2656" i="1"/>
  <c r="L2657" i="1"/>
  <c r="L2658" i="1"/>
  <c r="L2659" i="1"/>
  <c r="L2660" i="1"/>
  <c r="L2661" i="1"/>
  <c r="L2662" i="1"/>
  <c r="L2663" i="1"/>
  <c r="L2664" i="1"/>
  <c r="L2665" i="1"/>
  <c r="L2666" i="1"/>
  <c r="L2667" i="1"/>
  <c r="L2668" i="1"/>
  <c r="L2669" i="1"/>
  <c r="L2670" i="1"/>
  <c r="L2671" i="1"/>
  <c r="L2672" i="1"/>
  <c r="L2673" i="1"/>
  <c r="L2674" i="1"/>
  <c r="L2675" i="1"/>
  <c r="L2676" i="1"/>
  <c r="L2677" i="1"/>
  <c r="L2678" i="1"/>
  <c r="L2679" i="1"/>
  <c r="L2680" i="1"/>
  <c r="L2681" i="1"/>
  <c r="L2682" i="1"/>
  <c r="L2683" i="1"/>
  <c r="L2684" i="1"/>
  <c r="L2685" i="1"/>
  <c r="L2686" i="1"/>
  <c r="L2687" i="1"/>
  <c r="L2688" i="1"/>
  <c r="L2689" i="1"/>
  <c r="L2690" i="1"/>
  <c r="F9" i="14"/>
  <c r="J1" i="9"/>
  <c r="J1" i="5"/>
  <c r="AI142" i="9"/>
  <c r="AJ142" i="5"/>
  <c r="L22" i="14"/>
  <c r="J22" i="14"/>
  <c r="L24" i="14"/>
  <c r="J24" i="14"/>
  <c r="L59" i="14"/>
  <c r="H60" i="14"/>
  <c r="H61" i="14" s="1"/>
  <c r="L2691" i="1"/>
  <c r="BB14" i="5"/>
  <c r="AD141" i="9"/>
  <c r="AD142" i="9"/>
  <c r="AE142" i="5" s="1"/>
  <c r="AG141" i="9"/>
  <c r="AJ141" i="9"/>
  <c r="AQ141" i="5"/>
  <c r="AS141" i="5"/>
  <c r="AU141" i="5"/>
  <c r="AW141" i="5"/>
  <c r="AY141" i="5"/>
  <c r="BA141" i="5"/>
  <c r="BA39" i="9"/>
  <c r="C39" i="9" s="1"/>
  <c r="AC141" i="9"/>
  <c r="AK141" i="9"/>
  <c r="A12" i="5"/>
  <c r="A14" i="5"/>
  <c r="A16" i="5"/>
  <c r="A18" i="5"/>
  <c r="A20" i="5"/>
  <c r="A51" i="5"/>
  <c r="A53" i="5"/>
  <c r="A79" i="5"/>
  <c r="A81" i="5"/>
  <c r="A83" i="5"/>
  <c r="A92" i="5"/>
  <c r="A130" i="5"/>
  <c r="A136" i="5"/>
  <c r="A139" i="5"/>
  <c r="B138" i="8"/>
  <c r="B134" i="8"/>
  <c r="B130" i="8"/>
  <c r="B126" i="8"/>
  <c r="B122" i="8"/>
  <c r="B118" i="8"/>
  <c r="B114" i="8"/>
  <c r="B110" i="8"/>
  <c r="B106" i="8"/>
  <c r="B102" i="8"/>
  <c r="B98" i="8"/>
  <c r="B94" i="8"/>
  <c r="B90" i="8"/>
  <c r="B86" i="8"/>
  <c r="B82" i="8"/>
  <c r="B78" i="8"/>
  <c r="B74" i="8"/>
  <c r="B70" i="8"/>
  <c r="B66" i="8"/>
  <c r="B62" i="8"/>
  <c r="B58" i="8"/>
  <c r="B54" i="8"/>
  <c r="B49" i="8"/>
  <c r="B45" i="8"/>
  <c r="B41" i="8"/>
  <c r="B37" i="8"/>
  <c r="B33" i="8"/>
  <c r="B29" i="8"/>
  <c r="B25" i="8"/>
  <c r="B21" i="8"/>
  <c r="B17" i="8"/>
  <c r="B11" i="8"/>
  <c r="B7" i="8"/>
  <c r="B3" i="8"/>
  <c r="W143" i="9"/>
  <c r="X143" i="5" s="1"/>
  <c r="H142" i="9"/>
  <c r="I142" i="5" s="1"/>
  <c r="J142" i="9"/>
  <c r="K142" i="5" s="1"/>
  <c r="P142" i="9"/>
  <c r="Q142" i="5" s="1"/>
  <c r="R142" i="9"/>
  <c r="S142" i="5" s="1"/>
  <c r="V143" i="9"/>
  <c r="W143" i="5" s="1"/>
  <c r="W142" i="9"/>
  <c r="X142" i="5" s="1"/>
  <c r="Y141" i="9"/>
  <c r="Y144" i="9" s="1"/>
  <c r="U143" i="9"/>
  <c r="V143" i="5"/>
  <c r="Q143" i="9"/>
  <c r="R143" i="5"/>
  <c r="M143" i="9"/>
  <c r="N143" i="5"/>
  <c r="I143" i="9"/>
  <c r="J143" i="5"/>
  <c r="E143" i="9"/>
  <c r="F143" i="5"/>
  <c r="B2" i="12"/>
  <c r="V2" i="12"/>
  <c r="L60" i="14"/>
  <c r="I63" i="14"/>
  <c r="I61" i="14"/>
  <c r="I43" i="14"/>
  <c r="I41" i="14"/>
  <c r="I38" i="14"/>
  <c r="I46" i="14"/>
  <c r="I54" i="14"/>
  <c r="I58" i="14"/>
  <c r="I39" i="14"/>
  <c r="I37" i="14"/>
  <c r="I51" i="14"/>
  <c r="I44" i="14"/>
  <c r="I52" i="14"/>
  <c r="I62" i="14"/>
  <c r="I60" i="14"/>
  <c r="I57" i="14"/>
  <c r="I53" i="14"/>
  <c r="I47" i="14"/>
  <c r="I42" i="14"/>
  <c r="I50" i="14"/>
  <c r="I59" i="14"/>
  <c r="I56" i="14"/>
  <c r="I49" i="14"/>
  <c r="I45" i="14"/>
  <c r="I40" i="14"/>
  <c r="I48" i="14"/>
  <c r="I55" i="14"/>
  <c r="K1" i="9"/>
  <c r="L1" i="5"/>
  <c r="K1" i="5"/>
  <c r="BB102" i="5"/>
  <c r="BB23" i="5"/>
  <c r="F10" i="14"/>
  <c r="L2693" i="1"/>
  <c r="AH17" i="4"/>
  <c r="AH18" i="4" s="1"/>
  <c r="X17" i="4"/>
  <c r="X18" i="4" s="1"/>
  <c r="X19" i="4"/>
  <c r="X20" i="4" s="1"/>
  <c r="X21" i="4" s="1"/>
  <c r="X22" i="4" s="1"/>
  <c r="X23" i="4"/>
  <c r="X24" i="4" s="1"/>
  <c r="X25" i="4" s="1"/>
  <c r="L1" i="9"/>
  <c r="L2692" i="1"/>
  <c r="D8" i="4"/>
  <c r="E18" i="8"/>
  <c r="D18" i="8"/>
  <c r="J18" i="8"/>
  <c r="F18" i="8"/>
  <c r="C18" i="8"/>
  <c r="E26" i="8"/>
  <c r="D26" i="8"/>
  <c r="J26" i="8"/>
  <c r="F26" i="8"/>
  <c r="C26" i="8"/>
  <c r="E28" i="8"/>
  <c r="D28" i="8"/>
  <c r="J28" i="8"/>
  <c r="F28" i="8"/>
  <c r="C28" i="8"/>
  <c r="E30" i="8"/>
  <c r="D30" i="8"/>
  <c r="J30" i="8"/>
  <c r="F30" i="8"/>
  <c r="C30" i="8"/>
  <c r="E32" i="8"/>
  <c r="D32" i="8"/>
  <c r="J32" i="8"/>
  <c r="F32" i="8"/>
  <c r="C32" i="8"/>
  <c r="E34" i="8"/>
  <c r="D34" i="8"/>
  <c r="J34" i="8"/>
  <c r="F34" i="8"/>
  <c r="C34" i="8"/>
  <c r="E36" i="8"/>
  <c r="D36" i="8"/>
  <c r="J36" i="8"/>
  <c r="F36" i="8"/>
  <c r="C36" i="8"/>
  <c r="J46" i="8"/>
  <c r="H46" i="8"/>
  <c r="F46" i="8"/>
  <c r="D46" i="8"/>
  <c r="I46" i="8"/>
  <c r="G46" i="8"/>
  <c r="E46" i="8"/>
  <c r="C46" i="8"/>
  <c r="E56" i="8"/>
  <c r="D56" i="8"/>
  <c r="J56" i="8"/>
  <c r="F56" i="8"/>
  <c r="C56" i="8"/>
  <c r="F61" i="8"/>
  <c r="C61" i="8"/>
  <c r="E61" i="8"/>
  <c r="D61" i="8"/>
  <c r="E64" i="8"/>
  <c r="D64" i="8"/>
  <c r="F64" i="8"/>
  <c r="C64" i="8"/>
  <c r="F69" i="8"/>
  <c r="C69" i="8"/>
  <c r="E69" i="8"/>
  <c r="D69" i="8"/>
  <c r="E72" i="8"/>
  <c r="D72" i="8"/>
  <c r="F72" i="8"/>
  <c r="C72" i="8"/>
  <c r="F77" i="8"/>
  <c r="C77" i="8"/>
  <c r="E77" i="8"/>
  <c r="D77" i="8"/>
  <c r="F87" i="8"/>
  <c r="C87" i="8"/>
  <c r="E87" i="8"/>
  <c r="D87" i="8"/>
  <c r="F97" i="8"/>
  <c r="C97" i="8"/>
  <c r="E97" i="8"/>
  <c r="D97" i="8"/>
  <c r="E100" i="8"/>
  <c r="D100" i="8"/>
  <c r="F100" i="8"/>
  <c r="C100" i="8"/>
  <c r="E115" i="8"/>
  <c r="D115" i="8"/>
  <c r="F115" i="8"/>
  <c r="C115" i="8"/>
  <c r="E123" i="8"/>
  <c r="D123" i="8"/>
  <c r="F123" i="8"/>
  <c r="C123" i="8"/>
  <c r="F139" i="8"/>
  <c r="C139" i="8"/>
  <c r="E139" i="8"/>
  <c r="D139" i="8"/>
  <c r="L54" i="14"/>
  <c r="H55" i="14"/>
  <c r="L55" i="14" s="1"/>
  <c r="E6" i="8"/>
  <c r="D6" i="8"/>
  <c r="J6" i="8"/>
  <c r="F6" i="8"/>
  <c r="C6" i="8"/>
  <c r="E22" i="8"/>
  <c r="D22" i="8"/>
  <c r="J22" i="8"/>
  <c r="F22" i="8"/>
  <c r="C22" i="8"/>
  <c r="J42" i="8"/>
  <c r="H42" i="8"/>
  <c r="F42" i="8"/>
  <c r="D42" i="8"/>
  <c r="I42" i="8"/>
  <c r="G42" i="8"/>
  <c r="E42" i="8"/>
  <c r="C42" i="8"/>
  <c r="F51" i="8"/>
  <c r="C51" i="8"/>
  <c r="E51" i="8"/>
  <c r="D51" i="8"/>
  <c r="F57" i="8"/>
  <c r="C57" i="8"/>
  <c r="E57" i="8"/>
  <c r="D57" i="8"/>
  <c r="E60" i="8"/>
  <c r="D60" i="8"/>
  <c r="F60" i="8"/>
  <c r="C60" i="8"/>
  <c r="F65" i="8"/>
  <c r="C65" i="8"/>
  <c r="E65" i="8"/>
  <c r="D65" i="8"/>
  <c r="E68" i="8"/>
  <c r="D68" i="8"/>
  <c r="F68" i="8"/>
  <c r="C68" i="8"/>
  <c r="F73" i="8"/>
  <c r="C73" i="8"/>
  <c r="E73" i="8"/>
  <c r="D73" i="8"/>
  <c r="E76" i="8"/>
  <c r="D76" i="8"/>
  <c r="F76" i="8"/>
  <c r="C76" i="8"/>
  <c r="E86" i="8"/>
  <c r="D86" i="8"/>
  <c r="F86" i="8"/>
  <c r="C86" i="8"/>
  <c r="E96" i="8"/>
  <c r="D96" i="8"/>
  <c r="F96" i="8"/>
  <c r="C96" i="8"/>
  <c r="F101" i="8"/>
  <c r="C101" i="8"/>
  <c r="E101" i="8"/>
  <c r="D101" i="8"/>
  <c r="E111" i="8"/>
  <c r="D111" i="8"/>
  <c r="F111" i="8"/>
  <c r="C111" i="8"/>
  <c r="E119" i="8"/>
  <c r="D119" i="8"/>
  <c r="F119" i="8"/>
  <c r="C119" i="8"/>
  <c r="E129" i="8"/>
  <c r="D129" i="8"/>
  <c r="F129" i="8"/>
  <c r="C129" i="8"/>
  <c r="E131" i="8"/>
  <c r="D131" i="8"/>
  <c r="F131" i="8"/>
  <c r="C131" i="8"/>
  <c r="E133" i="8"/>
  <c r="D133" i="8"/>
  <c r="F133" i="8"/>
  <c r="C133" i="8"/>
  <c r="I135" i="8"/>
  <c r="G135" i="8"/>
  <c r="E135" i="8"/>
  <c r="C135" i="8"/>
  <c r="J135" i="8"/>
  <c r="H135" i="8"/>
  <c r="F135" i="8"/>
  <c r="D135" i="8"/>
  <c r="AG142" i="9"/>
  <c r="AH142" i="5" s="1"/>
  <c r="AE142" i="9"/>
  <c r="AF142" i="5" s="1"/>
  <c r="C85" i="9"/>
  <c r="I43" i="8"/>
  <c r="I50" i="8"/>
  <c r="A106" i="8"/>
  <c r="I106" i="8"/>
  <c r="A124" i="8"/>
  <c r="I124" i="8"/>
  <c r="G43" i="8"/>
  <c r="E43" i="8"/>
  <c r="E50" i="8"/>
  <c r="E106" i="8"/>
  <c r="E124" i="8"/>
  <c r="C110" i="9"/>
  <c r="C97" i="9"/>
  <c r="C9" i="9"/>
  <c r="C28" i="9"/>
  <c r="C32" i="9"/>
  <c r="BA70" i="9"/>
  <c r="C70" i="9"/>
  <c r="C122" i="9"/>
  <c r="C140" i="9"/>
  <c r="A3" i="5"/>
  <c r="A22" i="5"/>
  <c r="A25" i="5"/>
  <c r="A31" i="5"/>
  <c r="A37" i="5"/>
  <c r="A41" i="5"/>
  <c r="A46" i="5"/>
  <c r="A77" i="5"/>
  <c r="A100" i="5"/>
  <c r="A138" i="5"/>
  <c r="B140" i="8"/>
  <c r="B132" i="8"/>
  <c r="B124" i="8"/>
  <c r="B116" i="8"/>
  <c r="B108" i="8"/>
  <c r="B100" i="8"/>
  <c r="B92" i="8"/>
  <c r="B84" i="8"/>
  <c r="B76" i="8"/>
  <c r="B68" i="8"/>
  <c r="B60" i="8"/>
  <c r="B52" i="8"/>
  <c r="B43" i="8"/>
  <c r="B35" i="8"/>
  <c r="B27" i="8"/>
  <c r="B19" i="8"/>
  <c r="B9" i="8"/>
  <c r="D142" i="9"/>
  <c r="F142" i="9"/>
  <c r="G142" i="5"/>
  <c r="T142" i="9"/>
  <c r="U142" i="5"/>
  <c r="D143" i="9"/>
  <c r="E143" i="5"/>
  <c r="Z142" i="9"/>
  <c r="AA142" i="5"/>
  <c r="S143" i="9"/>
  <c r="T143" i="5"/>
  <c r="K143" i="9"/>
  <c r="L143" i="5"/>
  <c r="S142" i="9"/>
  <c r="T142" i="5"/>
  <c r="I141" i="9"/>
  <c r="I144" i="9"/>
  <c r="H141" i="9"/>
  <c r="H144" i="9"/>
  <c r="F50" i="8"/>
  <c r="F106" i="8"/>
  <c r="F124" i="8"/>
  <c r="B50" i="8"/>
  <c r="D9" i="4"/>
  <c r="AH141" i="9"/>
  <c r="AF141" i="9"/>
  <c r="AL141" i="9"/>
  <c r="C124" i="8"/>
  <c r="D124" i="8"/>
  <c r="D106" i="8"/>
  <c r="J124" i="8"/>
  <c r="H124" i="8"/>
  <c r="G124" i="8"/>
  <c r="G106" i="8"/>
  <c r="L2694" i="1"/>
  <c r="C106" i="8"/>
  <c r="J106" i="8"/>
  <c r="H106" i="8"/>
  <c r="A12" i="14"/>
  <c r="H56" i="14"/>
  <c r="L56" i="14" s="1"/>
  <c r="H57" i="14"/>
  <c r="H58" i="14" s="1"/>
  <c r="L58" i="14" s="1"/>
  <c r="L2695" i="1"/>
  <c r="L2696" i="1"/>
  <c r="L57" i="14"/>
  <c r="L2697" i="1"/>
  <c r="L2698" i="1"/>
  <c r="L2699" i="1"/>
  <c r="L2700" i="1"/>
  <c r="L2701" i="1"/>
  <c r="L2702" i="1"/>
  <c r="L2703" i="1"/>
  <c r="L2704" i="1"/>
  <c r="L2705" i="1"/>
  <c r="L2706" i="1"/>
  <c r="L2707" i="1"/>
  <c r="L2708" i="1"/>
  <c r="L2709" i="1"/>
  <c r="L2710" i="1"/>
  <c r="L2711" i="1"/>
  <c r="L2712" i="1"/>
  <c r="L2713" i="1"/>
  <c r="L2714" i="1"/>
  <c r="L2715" i="1"/>
  <c r="L2716" i="1"/>
  <c r="L2717" i="1"/>
  <c r="L2718" i="1"/>
  <c r="L2719" i="1"/>
  <c r="L2720" i="1"/>
  <c r="L2721" i="1"/>
  <c r="L2722" i="1"/>
  <c r="L2723" i="1"/>
  <c r="L2724" i="1"/>
  <c r="L2725" i="1"/>
  <c r="L2726" i="1"/>
  <c r="L2727" i="1"/>
  <c r="L2728" i="1"/>
  <c r="L2729" i="1"/>
  <c r="L2730" i="1"/>
  <c r="L2731" i="1"/>
  <c r="L2732" i="1"/>
  <c r="L2733" i="1"/>
  <c r="L2734" i="1"/>
  <c r="L2735" i="1"/>
  <c r="L2736" i="1"/>
  <c r="L2737" i="1"/>
  <c r="L2738" i="1"/>
  <c r="L2739" i="1"/>
  <c r="L2740" i="1"/>
  <c r="L2741" i="1"/>
  <c r="L2742" i="1"/>
  <c r="L2743" i="1"/>
  <c r="L2744" i="1"/>
  <c r="L2745" i="1"/>
  <c r="L2747" i="1"/>
  <c r="L2746" i="1"/>
  <c r="Q2747" i="1"/>
  <c r="Q2746" i="1"/>
  <c r="Q2742" i="1"/>
  <c r="Q2737" i="1"/>
  <c r="Q2729" i="1"/>
  <c r="Q2722" i="1"/>
  <c r="Q2716" i="1"/>
  <c r="Q2739" i="1"/>
  <c r="Q2730" i="1"/>
  <c r="Q2721" i="1"/>
  <c r="Q2714" i="1"/>
  <c r="Q2684" i="1"/>
  <c r="Q2668" i="1"/>
  <c r="Q2565" i="1"/>
  <c r="Q2540" i="1"/>
  <c r="Q338" i="1"/>
  <c r="Q2143" i="1"/>
  <c r="Q80" i="1"/>
  <c r="Q1418" i="1"/>
  <c r="Q130" i="1"/>
  <c r="Q1643" i="1"/>
  <c r="Q1091" i="1"/>
  <c r="Q535" i="1"/>
  <c r="Q78" i="1"/>
  <c r="Q2481" i="1"/>
  <c r="Q192" i="1"/>
  <c r="Q2703" i="1"/>
  <c r="Q2677" i="1"/>
  <c r="Q300" i="1"/>
  <c r="Q1581" i="1"/>
  <c r="Q572" i="1"/>
  <c r="Q2356" i="1"/>
  <c r="Q1362" i="1"/>
  <c r="Q936" i="1"/>
  <c r="Q239" i="1"/>
  <c r="Q2031" i="1"/>
  <c r="Q2069" i="1"/>
  <c r="Q1112" i="1"/>
  <c r="Q2613" i="1"/>
  <c r="Q2670" i="1"/>
  <c r="Q153" i="1"/>
  <c r="Q1876" i="1"/>
  <c r="Q1511" i="1"/>
  <c r="Q528" i="1"/>
  <c r="Q1795" i="1"/>
  <c r="Q2482" i="1"/>
  <c r="Q2704" i="1"/>
  <c r="Q2648" i="1"/>
  <c r="Q2425" i="1"/>
  <c r="Q2644" i="1"/>
  <c r="Q1869" i="1"/>
  <c r="Q2623" i="1"/>
  <c r="Q684" i="1"/>
  <c r="Q1298" i="1"/>
  <c r="Q244" i="1"/>
  <c r="Q806" i="1"/>
  <c r="Q2649" i="1"/>
  <c r="Q2636" i="1"/>
  <c r="Q2630" i="1"/>
  <c r="Q1502" i="1"/>
  <c r="Q296" i="1"/>
  <c r="Q336" i="1"/>
  <c r="Q2380" i="1"/>
  <c r="Q2618" i="1"/>
  <c r="Q1922" i="1"/>
  <c r="Q95" i="1"/>
  <c r="Q797" i="1"/>
  <c r="Q2728" i="1"/>
  <c r="Q2712" i="1"/>
  <c r="Q2727" i="1"/>
  <c r="Q2701" i="1"/>
  <c r="Q2662" i="1"/>
  <c r="Q1422" i="1"/>
  <c r="Q1902" i="1"/>
  <c r="Q2061" i="1"/>
  <c r="Q2550" i="1"/>
  <c r="Q2656" i="1"/>
  <c r="Q2653" i="1"/>
  <c r="Q2698" i="1"/>
  <c r="Q2545" i="1"/>
  <c r="Q2561" i="1"/>
  <c r="Q2326" i="1"/>
  <c r="Q2745" i="1"/>
  <c r="Q2744" i="1"/>
  <c r="Q2743" i="1"/>
  <c r="Q2734" i="1"/>
  <c r="Q2718" i="1"/>
  <c r="Q2733" i="1"/>
  <c r="Q2717" i="1"/>
  <c r="Q2675" i="1"/>
  <c r="Q58" i="1"/>
  <c r="Q1600" i="1"/>
  <c r="Q1049" i="1"/>
  <c r="Q319" i="1"/>
  <c r="Q2468" i="1"/>
  <c r="Q1721" i="1"/>
  <c r="Q2709" i="1"/>
  <c r="Q2664" i="1"/>
  <c r="Q610" i="1"/>
  <c r="Q446" i="1"/>
  <c r="Q1915" i="1"/>
  <c r="Q1495" i="1"/>
  <c r="Q759" i="1"/>
  <c r="Q1208" i="1"/>
  <c r="Q767" i="1"/>
  <c r="Q344" i="1"/>
  <c r="Q1379" i="1"/>
  <c r="Q656" i="1"/>
  <c r="Q2658" i="1"/>
  <c r="Q31" i="1"/>
  <c r="Q1363" i="1"/>
  <c r="Q2504" i="1"/>
  <c r="Q140" i="1"/>
  <c r="Q2583" i="1"/>
  <c r="Q746" i="1"/>
  <c r="Q1471" i="1"/>
  <c r="Q1569" i="1"/>
  <c r="Q2720" i="1"/>
  <c r="Q2719" i="1"/>
  <c r="Q1295" i="1"/>
  <c r="Q2453" i="1"/>
  <c r="Q1991" i="1"/>
  <c r="Q2711" i="1"/>
  <c r="Q937" i="1"/>
  <c r="Q605" i="1"/>
  <c r="Q2214" i="1"/>
  <c r="Q951" i="1"/>
  <c r="Q2654" i="1"/>
  <c r="Q2607" i="1"/>
  <c r="Q2642" i="1"/>
  <c r="Q2194" i="1"/>
  <c r="Q1957" i="1"/>
  <c r="Q565" i="1"/>
  <c r="Q1966" i="1"/>
  <c r="Q2588" i="1"/>
  <c r="Q2686" i="1"/>
  <c r="Q377" i="1"/>
  <c r="Q1942" i="1"/>
  <c r="Q1655" i="1"/>
  <c r="Q1685" i="1"/>
  <c r="Q1045" i="1"/>
  <c r="Q527" i="1"/>
  <c r="Q2514" i="1"/>
  <c r="Q2570" i="1"/>
  <c r="Q1152" i="1"/>
  <c r="Q1011" i="1"/>
  <c r="Q2638" i="1"/>
  <c r="Q1391" i="1"/>
  <c r="Q2706" i="1"/>
  <c r="Q564" i="1"/>
  <c r="Q476" i="1"/>
  <c r="Q2592" i="1"/>
  <c r="Q1329" i="1"/>
  <c r="Q1153" i="1"/>
  <c r="Q1653" i="1"/>
  <c r="Q1998" i="1"/>
  <c r="Q1284" i="1"/>
  <c r="Q2023" i="1"/>
  <c r="Q750" i="1"/>
  <c r="Q1934" i="1"/>
  <c r="Q1808" i="1"/>
  <c r="Q2626" i="1"/>
  <c r="Q2327" i="1"/>
  <c r="Q477" i="1"/>
  <c r="Q1667" i="1"/>
  <c r="Q158" i="1"/>
  <c r="Q1597" i="1"/>
  <c r="Q334" i="1"/>
  <c r="Q1640" i="1"/>
  <c r="Q2266" i="1"/>
  <c r="Q93" i="1"/>
  <c r="Q1818" i="1"/>
  <c r="Q2166" i="1"/>
  <c r="Q590" i="1"/>
  <c r="Q2415" i="1"/>
  <c r="Q581" i="1"/>
  <c r="Q891" i="1"/>
  <c r="Q2708" i="1"/>
  <c r="Q2619" i="1"/>
  <c r="Q2273" i="1"/>
  <c r="Q1668" i="1"/>
  <c r="Q2617" i="1"/>
  <c r="Q618" i="1"/>
  <c r="Q295" i="1"/>
  <c r="Q1330" i="1"/>
  <c r="Q1104" i="1"/>
  <c r="Q182" i="1"/>
  <c r="Q1025" i="1"/>
  <c r="Q579" i="1"/>
  <c r="Q2176" i="1"/>
  <c r="Q1974" i="1"/>
  <c r="Q695" i="1"/>
  <c r="Q1914" i="1"/>
  <c r="Q1486" i="1"/>
  <c r="Q1867" i="1"/>
  <c r="Q1905" i="1"/>
  <c r="Q2187" i="1"/>
  <c r="Q1068" i="1"/>
  <c r="Q1595" i="1"/>
  <c r="Q1937" i="1"/>
  <c r="Q1455" i="1"/>
  <c r="Q2505" i="1"/>
  <c r="Q1916" i="1"/>
  <c r="Q2464" i="1"/>
  <c r="Q1814" i="1"/>
  <c r="Q484" i="1"/>
  <c r="Q1134" i="1"/>
  <c r="Q494" i="1"/>
  <c r="Q2685" i="1"/>
  <c r="Q2616" i="1"/>
  <c r="Q2669" i="1"/>
  <c r="Q1943" i="1"/>
  <c r="Q180" i="1"/>
  <c r="Q2589" i="1"/>
  <c r="Q2084" i="1"/>
  <c r="Q1307" i="1"/>
  <c r="Q1313" i="1"/>
  <c r="Q1719" i="1"/>
  <c r="Q856" i="1"/>
  <c r="Q533" i="1"/>
  <c r="Q2471" i="1"/>
  <c r="Q2078" i="1"/>
  <c r="Q1793" i="1"/>
  <c r="Q1151" i="1"/>
  <c r="Q561" i="1"/>
  <c r="Q2524" i="1"/>
  <c r="Q490" i="1"/>
  <c r="Q812" i="1"/>
  <c r="Q1699" i="1"/>
  <c r="Q2096" i="1"/>
  <c r="Q383" i="1"/>
  <c r="Q632" i="1"/>
  <c r="Q183" i="1"/>
  <c r="Q1893" i="1"/>
  <c r="Q1453" i="1"/>
  <c r="Q1514" i="1"/>
  <c r="Q2041" i="1"/>
  <c r="Q2715" i="1"/>
  <c r="Q2713" i="1"/>
  <c r="Q2655" i="1"/>
  <c r="Q1677" i="1"/>
  <c r="Q2620" i="1"/>
  <c r="Q2705" i="1"/>
  <c r="Q225" i="1"/>
  <c r="Q2055" i="1"/>
  <c r="Q920" i="1"/>
  <c r="Q218" i="1"/>
  <c r="Q2710" i="1"/>
  <c r="Q1678" i="1"/>
  <c r="Q1140" i="1"/>
  <c r="Q2508" i="1"/>
  <c r="Q1018" i="1"/>
  <c r="Q1096" i="1"/>
  <c r="Q1599" i="1"/>
  <c r="Q2690" i="1"/>
  <c r="Q36" i="1"/>
  <c r="Q2689" i="1"/>
  <c r="Q152" i="1"/>
  <c r="Q2277" i="1"/>
  <c r="Q808" i="1"/>
  <c r="Q796" i="1"/>
  <c r="Q2610" i="1"/>
  <c r="Q1863" i="1"/>
  <c r="Q671" i="1"/>
  <c r="Q1119" i="1"/>
  <c r="Q2290" i="1"/>
  <c r="Q715" i="1"/>
  <c r="Q1285" i="1"/>
  <c r="Q1896" i="1"/>
  <c r="Q237" i="1"/>
  <c r="Q553" i="1"/>
  <c r="Q2660" i="1"/>
  <c r="Q1723" i="1"/>
  <c r="Q1777" i="1"/>
  <c r="Q1026" i="1"/>
  <c r="Q555" i="1"/>
  <c r="Q1132" i="1"/>
  <c r="Q235" i="1"/>
  <c r="Q955" i="1"/>
  <c r="Q1838" i="1"/>
  <c r="Q1630" i="1"/>
  <c r="Q2375" i="1"/>
  <c r="Q147" i="1"/>
  <c r="Q599" i="1"/>
  <c r="Q2387" i="1"/>
  <c r="Q1301" i="1"/>
  <c r="Q3" i="1"/>
  <c r="Q262" i="1"/>
  <c r="Q1235" i="1"/>
  <c r="Q717" i="1"/>
  <c r="Q74" i="1"/>
  <c r="Q2575" i="1"/>
  <c r="Q423" i="1"/>
  <c r="Q1293" i="1"/>
  <c r="Q654" i="1"/>
  <c r="Q2563" i="1"/>
  <c r="Q2447" i="1"/>
  <c r="Q2477" i="1"/>
  <c r="Q1878" i="1"/>
  <c r="Q582" i="1"/>
  <c r="Q1815" i="1"/>
  <c r="Q716" i="1"/>
  <c r="Q1898" i="1"/>
  <c r="Q2125" i="1"/>
  <c r="Q1494" i="1"/>
  <c r="Q2673" i="1"/>
  <c r="Q245" i="1"/>
  <c r="Q270" i="1"/>
  <c r="Q822" i="1"/>
  <c r="Q2311" i="1"/>
  <c r="Q1470" i="1"/>
  <c r="Q217" i="1"/>
  <c r="Q1910" i="1"/>
  <c r="Q142" i="1"/>
  <c r="Q1613" i="1"/>
  <c r="Q22" i="1"/>
  <c r="Q2413" i="1"/>
  <c r="Q2305" i="1"/>
  <c r="Q458" i="1"/>
  <c r="Q539" i="1"/>
  <c r="Q2344" i="1"/>
  <c r="Q1258" i="1"/>
  <c r="Q2490" i="1"/>
  <c r="Q1034" i="1"/>
  <c r="Q417" i="1"/>
  <c r="Q2725" i="1"/>
  <c r="Q2726" i="1"/>
  <c r="Q557" i="1"/>
  <c r="Q1618" i="1"/>
  <c r="Q382" i="1"/>
  <c r="Q543" i="1"/>
  <c r="Q1116" i="1"/>
  <c r="Q2074" i="1"/>
  <c r="Q1870" i="1"/>
  <c r="Q285" i="1"/>
  <c r="Q2416" i="1"/>
  <c r="Q1062" i="1"/>
  <c r="Q409" i="1"/>
  <c r="Q2552" i="1"/>
  <c r="Q1220" i="1"/>
  <c r="Q2174" i="1"/>
  <c r="Q2735" i="1"/>
  <c r="Q1868" i="1"/>
  <c r="Q1462" i="1"/>
  <c r="Q2543" i="1"/>
  <c r="Q2335" i="1"/>
  <c r="Q306" i="1"/>
  <c r="Q1094" i="1"/>
  <c r="Q1718" i="1"/>
  <c r="Q2530" i="1"/>
  <c r="Q2088" i="1"/>
  <c r="Q815" i="1"/>
  <c r="Q2052" i="1"/>
  <c r="Q2601" i="1"/>
  <c r="Q1052" i="1"/>
  <c r="Q61" i="1"/>
  <c r="Q2160" i="1"/>
  <c r="Q2627" i="1"/>
  <c r="Q1308" i="1"/>
  <c r="Q117" i="1"/>
  <c r="Q2624" i="1"/>
  <c r="Q1287" i="1"/>
  <c r="Q2006" i="1"/>
  <c r="Q1039" i="1"/>
  <c r="Q1706" i="1"/>
  <c r="Q1323" i="1"/>
  <c r="Q1467" i="1"/>
  <c r="Q649" i="1"/>
  <c r="Q2293" i="1"/>
  <c r="Q1214" i="1"/>
  <c r="Q333" i="1"/>
  <c r="Q2639" i="1"/>
  <c r="Q2569" i="1"/>
  <c r="Q122" i="1"/>
  <c r="Q911" i="1"/>
  <c r="Q196" i="1"/>
  <c r="Q1491" i="1"/>
  <c r="Q81" i="1"/>
  <c r="Q2492" i="1"/>
  <c r="Q1022" i="1"/>
  <c r="Q847" i="1"/>
  <c r="Q280" i="1"/>
  <c r="Q2573" i="1"/>
  <c r="Q434" i="1"/>
  <c r="Q1123" i="1"/>
  <c r="Q495" i="1"/>
  <c r="Q2142" i="1"/>
  <c r="Q2584" i="1"/>
  <c r="Q2466" i="1"/>
  <c r="Q667" i="1"/>
  <c r="Q1013" i="1"/>
  <c r="Q1357" i="1"/>
  <c r="Q1992" i="1"/>
  <c r="Q2412" i="1"/>
  <c r="Q772" i="1"/>
  <c r="Q1276" i="1"/>
  <c r="Q1669" i="1"/>
  <c r="Q2577" i="1"/>
  <c r="Q1145" i="1"/>
  <c r="Q1555" i="1"/>
  <c r="Q2502" i="1"/>
  <c r="Q2732" i="1"/>
  <c r="Q830" i="1"/>
  <c r="Q1574" i="1"/>
  <c r="Q1050" i="1"/>
  <c r="Q2250" i="1"/>
  <c r="Q931" i="1"/>
  <c r="Q2204" i="1"/>
  <c r="Q1135" i="1"/>
  <c r="Q1315" i="1"/>
  <c r="Q2611" i="1"/>
  <c r="Q2652" i="1"/>
  <c r="Q2124" i="1"/>
  <c r="Q1252" i="1"/>
  <c r="Q2275" i="1"/>
  <c r="Q675" i="1"/>
  <c r="Q1786" i="1"/>
  <c r="Q250" i="1"/>
  <c r="Q837" i="1"/>
  <c r="Q2538" i="1"/>
  <c r="Q318" i="1"/>
  <c r="Q366" i="1"/>
  <c r="Q1257" i="1"/>
  <c r="Q37" i="1"/>
  <c r="Q2428" i="1"/>
  <c r="Q549" i="1"/>
  <c r="Q1021" i="1"/>
  <c r="Q954" i="1"/>
  <c r="Q710" i="1"/>
  <c r="Q135" i="1"/>
  <c r="Q2574" i="1"/>
  <c r="Q311" i="1"/>
  <c r="Q2443" i="1"/>
  <c r="Q168" i="1"/>
  <c r="Q2436" i="1"/>
  <c r="Q877" i="1"/>
  <c r="Q1478" i="1"/>
  <c r="Q233" i="1"/>
  <c r="Q1131" i="1"/>
  <c r="Q1500" i="1"/>
  <c r="Q2571" i="1"/>
  <c r="Q1804" i="1"/>
  <c r="Q2593" i="1"/>
  <c r="Q1684" i="1"/>
  <c r="Q790" i="1"/>
  <c r="Q681" i="1"/>
  <c r="Q743" i="1"/>
  <c r="Q1642" i="1"/>
  <c r="Q1861" i="1"/>
  <c r="Q2223" i="1"/>
  <c r="Q1848" i="1"/>
  <c r="Q1982" i="1"/>
  <c r="Q2517" i="1"/>
  <c r="Q492" i="1"/>
  <c r="Q1249" i="1"/>
  <c r="Q1865" i="1"/>
  <c r="Q537" i="1"/>
  <c r="Q2245" i="1"/>
  <c r="Q839" i="1"/>
  <c r="Q1408" i="1"/>
  <c r="Q1273" i="1"/>
  <c r="Q177" i="1"/>
  <c r="Q453" i="1"/>
  <c r="Q1429" i="1"/>
  <c r="Q1947" i="1"/>
  <c r="Q2256" i="1"/>
  <c r="Q1980" i="1"/>
  <c r="Q432" i="1"/>
  <c r="Q1237" i="1"/>
  <c r="Q923" i="1"/>
  <c r="Q783" i="1"/>
  <c r="Q71" i="1"/>
  <c r="Q1076" i="1"/>
  <c r="Q248" i="1"/>
  <c r="Q1193" i="1"/>
  <c r="Q996" i="1"/>
  <c r="Q799" i="1"/>
  <c r="Q928" i="1"/>
  <c r="Q1251" i="1"/>
  <c r="Q2319" i="1"/>
  <c r="Q720" i="1"/>
  <c r="Q2109" i="1"/>
  <c r="Q914" i="1"/>
  <c r="Q1615" i="1"/>
  <c r="Q1374" i="1"/>
  <c r="Q1970" i="1"/>
  <c r="Q13" i="1"/>
  <c r="Q2526" i="1"/>
  <c r="Q354" i="1"/>
  <c r="Q1185" i="1"/>
  <c r="Q2298" i="1"/>
  <c r="Q902" i="1"/>
  <c r="Q460" i="1"/>
  <c r="Q2625" i="1"/>
  <c r="Q643" i="1"/>
  <c r="Q1483" i="1"/>
  <c r="Q2079" i="1"/>
  <c r="Q313" i="1"/>
  <c r="Q2156" i="1"/>
  <c r="Q641" i="1"/>
  <c r="Q342" i="1"/>
  <c r="Q782" i="1"/>
  <c r="Q1787" i="1"/>
  <c r="Q1549" i="1"/>
  <c r="Q357" i="1"/>
  <c r="Q1407" i="1"/>
  <c r="Q1582" i="1"/>
  <c r="Q2095" i="1"/>
  <c r="Q2199" i="1"/>
  <c r="Q72" i="1"/>
  <c r="Q321" i="1"/>
  <c r="Q393" i="1"/>
  <c r="Q171" i="1"/>
  <c r="Q2269" i="1"/>
  <c r="Q2253" i="1"/>
  <c r="Q829" i="1"/>
  <c r="Q2274" i="1"/>
  <c r="Q1687" i="1"/>
  <c r="Q766" i="1"/>
  <c r="Q1665" i="1"/>
  <c r="Q2702" i="1"/>
  <c r="Q1378" i="1"/>
  <c r="Q365" i="1"/>
  <c r="Q1553" i="1"/>
  <c r="Q392" i="1"/>
  <c r="Q1830" i="1"/>
  <c r="Q1604" i="1"/>
  <c r="Q320" i="1"/>
  <c r="Q159" i="1"/>
  <c r="Q733" i="1"/>
  <c r="Q2394" i="1"/>
  <c r="Q635" i="1"/>
  <c r="Q2534" i="1"/>
  <c r="Q422" i="1"/>
  <c r="Q213" i="1"/>
  <c r="Q1516" i="1"/>
  <c r="Q1397" i="1"/>
  <c r="Q773" i="1"/>
  <c r="Q854" i="1"/>
  <c r="Q284" i="1"/>
  <c r="Q1136" i="1"/>
  <c r="Q520" i="1"/>
  <c r="Q2479" i="1"/>
  <c r="Q2310" i="1"/>
  <c r="Q2549" i="1"/>
  <c r="Q2370" i="1"/>
  <c r="Q817" i="1"/>
  <c r="Q1735" i="1"/>
  <c r="Q317" i="1"/>
  <c r="Q653" i="1"/>
  <c r="Q60" i="1"/>
  <c r="Q2107" i="1"/>
  <c r="Q1286" i="1"/>
  <c r="Q2021" i="1"/>
  <c r="Q1686" i="1"/>
  <c r="Q1159" i="1"/>
  <c r="Q2522" i="1"/>
  <c r="Q1415" i="1"/>
  <c r="Q457" i="1"/>
  <c r="Q1044" i="1"/>
  <c r="Q1206" i="1"/>
  <c r="Q1924" i="1"/>
  <c r="Q2029" i="1"/>
  <c r="Q2138" i="1"/>
  <c r="Q2645" i="1"/>
  <c r="Q163" i="1"/>
  <c r="Q1246" i="1"/>
  <c r="Q1691" i="1"/>
  <c r="Q2603" i="1"/>
  <c r="Q2691" i="1"/>
  <c r="Q1710" i="1"/>
  <c r="Q1652" i="1"/>
  <c r="Q1128" i="1"/>
  <c r="Q584" i="1"/>
  <c r="Q2337" i="1"/>
  <c r="Q1647" i="1"/>
  <c r="Q2406" i="1"/>
  <c r="Q1261" i="1"/>
  <c r="Q297" i="1"/>
  <c r="Q620" i="1"/>
  <c r="Q2260" i="1"/>
  <c r="Q2345" i="1"/>
  <c r="Q845" i="1"/>
  <c r="Q1572" i="1"/>
  <c r="Q1058" i="1"/>
  <c r="Q1036" i="1"/>
  <c r="Q1059" i="1"/>
  <c r="Q1503" i="1"/>
  <c r="Q2300" i="1"/>
  <c r="Q1189" i="1"/>
  <c r="Q2469" i="1"/>
  <c r="Q2030" i="1"/>
  <c r="Q800" i="1"/>
  <c r="Q1563" i="1"/>
  <c r="Q1529" i="1"/>
  <c r="Q1074" i="1"/>
  <c r="Q2510" i="1"/>
  <c r="Q540" i="1"/>
  <c r="Q1253" i="1"/>
  <c r="Q2473" i="1"/>
  <c r="Q2276" i="1"/>
  <c r="Q1704" i="1"/>
  <c r="Q2433" i="1"/>
  <c r="Q929" i="1"/>
  <c r="Q1274" i="1"/>
  <c r="Q331" i="1"/>
  <c r="Q1367" i="1"/>
  <c r="Q2432" i="1"/>
  <c r="Q2518" i="1"/>
  <c r="Q1586" i="1"/>
  <c r="Q1314" i="1"/>
  <c r="Q1310" i="1"/>
  <c r="Q2724" i="1"/>
  <c r="Q2576" i="1"/>
  <c r="Q1278" i="1"/>
  <c r="Q2604" i="1"/>
  <c r="Q1567" i="1"/>
  <c r="Q2131" i="1"/>
  <c r="Q1953" i="1"/>
  <c r="Q2516" i="1"/>
  <c r="Q2488" i="1"/>
  <c r="Q2631" i="1"/>
  <c r="Q2595" i="1"/>
  <c r="Q1730" i="1"/>
  <c r="Q1188" i="1"/>
  <c r="Q8" i="1"/>
  <c r="Q1941" i="1"/>
  <c r="Q2210" i="1"/>
  <c r="Q2628" i="1"/>
  <c r="Q2657" i="1"/>
  <c r="Q1768" i="1"/>
  <c r="Q1590" i="1"/>
  <c r="Q1316" i="1"/>
  <c r="Q2051" i="1"/>
  <c r="Q1476" i="1"/>
  <c r="Q1766" i="1"/>
  <c r="Q1715" i="1"/>
  <c r="Q668" i="1"/>
  <c r="Q597" i="1"/>
  <c r="Q9" i="1"/>
  <c r="Q1194" i="1"/>
  <c r="Q861" i="1"/>
  <c r="Q1702" i="1"/>
  <c r="Q345" i="1"/>
  <c r="Q294" i="1"/>
  <c r="Q2366" i="1"/>
  <c r="Q2692" i="1"/>
  <c r="Q1512" i="1"/>
  <c r="Q2005" i="1"/>
  <c r="Q85" i="1"/>
  <c r="Q2506" i="1"/>
  <c r="Q200" i="1"/>
  <c r="Q1617" i="1"/>
  <c r="Q155" i="1"/>
  <c r="Q104" i="1"/>
  <c r="Q805" i="1"/>
  <c r="Q795" i="1"/>
  <c r="Q1106" i="1"/>
  <c r="Q677" i="1"/>
  <c r="Q1921" i="1"/>
  <c r="Q2155" i="1"/>
  <c r="Q1864" i="1"/>
  <c r="Q2382" i="1"/>
  <c r="Q2346" i="1"/>
  <c r="Q2135" i="1"/>
  <c r="Q1086" i="1"/>
  <c r="Q2089" i="1"/>
  <c r="Q2016" i="1"/>
  <c r="Q2572" i="1"/>
  <c r="Q204" i="1"/>
  <c r="Q1570" i="1"/>
  <c r="Q1042" i="1"/>
  <c r="Q2049" i="1"/>
  <c r="Q1164" i="1"/>
  <c r="Q68" i="1"/>
  <c r="Q1729" i="1"/>
  <c r="Q983" i="1"/>
  <c r="Q2033" i="1"/>
  <c r="Q2134" i="1"/>
  <c r="Q150" i="1"/>
  <c r="Q179" i="1"/>
  <c r="Q1346" i="1"/>
  <c r="Q738" i="1"/>
  <c r="Q1474" i="1"/>
  <c r="Q2566" i="1"/>
  <c r="Q1482" i="1"/>
  <c r="Q178" i="1"/>
  <c r="Q1633" i="1"/>
  <c r="Q2424" i="1"/>
  <c r="Q816" i="1"/>
  <c r="Q1178" i="1"/>
  <c r="Q701" i="1"/>
  <c r="Q2222" i="1"/>
  <c r="Q2320" i="1"/>
  <c r="Q1183" i="1"/>
  <c r="Q1078" i="1"/>
  <c r="Q2671" i="1"/>
  <c r="Q1650" i="1"/>
  <c r="Q1833" i="1"/>
  <c r="Q2115" i="1"/>
  <c r="Q1364" i="1"/>
  <c r="Q350" i="1"/>
  <c r="Q2008" i="1"/>
  <c r="Q1789" i="1"/>
  <c r="Q1336" i="1"/>
  <c r="Q1221" i="1"/>
  <c r="Q1626" i="1"/>
  <c r="Q1109" i="1"/>
  <c r="Q576" i="1"/>
  <c r="Q169" i="1"/>
  <c r="Q1464" i="1"/>
  <c r="Q238" i="1"/>
  <c r="Q578" i="1"/>
  <c r="Q587" i="1"/>
  <c r="Q174" i="1"/>
  <c r="Q642" i="1"/>
  <c r="Q1816" i="1"/>
  <c r="Q414" i="1"/>
  <c r="Q1812" i="1"/>
  <c r="Q2284" i="1"/>
  <c r="Q852" i="1"/>
  <c r="Q2551" i="1"/>
  <c r="Q2557" i="1"/>
  <c r="Q652" i="1"/>
  <c r="Q259" i="1"/>
  <c r="Q1736" i="1"/>
  <c r="Q108" i="1"/>
  <c r="Q138" i="1"/>
  <c r="Q2198" i="1"/>
  <c r="Q729" i="1"/>
  <c r="Q1749" i="1"/>
  <c r="Q968" i="1"/>
  <c r="Q562" i="1"/>
  <c r="Q1163" i="1"/>
  <c r="Q1324" i="1"/>
  <c r="Q2602" i="1"/>
  <c r="Q286" i="1"/>
  <c r="Q1834" i="1"/>
  <c r="Q1925" i="1"/>
  <c r="Q1577" i="1"/>
  <c r="Q935" i="1"/>
  <c r="Q1856" i="1"/>
  <c r="Q1451" i="1"/>
  <c r="Q1341" i="1"/>
  <c r="Q728" i="1"/>
  <c r="Q1225" i="1"/>
  <c r="Q1457" i="1"/>
  <c r="Q2499" i="1"/>
  <c r="Q505" i="1"/>
  <c r="Q356" i="1"/>
  <c r="Q1381" i="1"/>
  <c r="Q1141" i="1"/>
  <c r="Q2098" i="1"/>
  <c r="Q1342" i="1"/>
  <c r="Q471" i="1"/>
  <c r="Q2162" i="1"/>
  <c r="Q918" i="1"/>
  <c r="Q1990" i="1"/>
  <c r="Q1168" i="1"/>
  <c r="Q1676" i="1"/>
  <c r="Q1584" i="1"/>
  <c r="Q463" i="1"/>
  <c r="Q2193" i="1"/>
  <c r="Q1711" i="1"/>
  <c r="Q977" i="1"/>
  <c r="Q762" i="1"/>
  <c r="Q897" i="1"/>
  <c r="Q1836" i="1"/>
  <c r="Q1309" i="1"/>
  <c r="Q408" i="1"/>
  <c r="Q727" i="1"/>
  <c r="Q711" i="1"/>
  <c r="Q1009" i="1"/>
  <c r="Q2145" i="1"/>
  <c r="Q2539" i="1"/>
  <c r="Q2283" i="1"/>
  <c r="Q54" i="1"/>
  <c r="Q1769" i="1"/>
  <c r="Q2467" i="1"/>
  <c r="Q454" i="1"/>
  <c r="Q2475" i="1"/>
  <c r="Q489" i="1"/>
  <c r="Q1879" i="1"/>
  <c r="Q2092" i="1"/>
  <c r="Q637" i="1"/>
  <c r="Q1513" i="1"/>
  <c r="Q1972" i="1"/>
  <c r="Q724" i="1"/>
  <c r="Q814" i="1"/>
  <c r="Q2248" i="1"/>
  <c r="Q466" i="1"/>
  <c r="Q1124" i="1"/>
  <c r="Q908" i="1"/>
  <c r="Q426" i="1"/>
  <c r="Q1840" i="1"/>
  <c r="Q536" i="1"/>
  <c r="Q2352" i="1"/>
  <c r="Q2192" i="1"/>
  <c r="Q1722" i="1"/>
  <c r="Q1437" i="1"/>
  <c r="Q2161" i="1"/>
  <c r="Q1071" i="1"/>
  <c r="Q1405" i="1"/>
  <c r="Q848" i="1"/>
  <c r="Q843" i="1"/>
  <c r="Q1181" i="1"/>
  <c r="Q648" i="1"/>
  <c r="Q226" i="1"/>
  <c r="Q89" i="1"/>
  <c r="Q2404" i="1"/>
  <c r="Q787" i="1"/>
  <c r="Q2587" i="1"/>
  <c r="Q2040" i="1"/>
  <c r="Q1449" i="1"/>
  <c r="Q2411" i="1"/>
  <c r="Q18" i="1"/>
  <c r="Q2212" i="1"/>
  <c r="Q646" i="1"/>
  <c r="Q2035" i="1"/>
  <c r="Q395" i="1"/>
  <c r="Q2002" i="1"/>
  <c r="Q370" i="1"/>
  <c r="Q2379" i="1"/>
  <c r="Q2128" i="1"/>
  <c r="Q1778" i="1"/>
  <c r="Q193" i="1"/>
  <c r="Q1875" i="1"/>
  <c r="Q2410" i="1"/>
  <c r="Q1885" i="1"/>
  <c r="Q1984" i="1"/>
  <c r="Q2741" i="1"/>
  <c r="Q1125" i="1"/>
  <c r="Q2597" i="1"/>
  <c r="Q580" i="1"/>
  <c r="Q2687" i="1"/>
  <c r="Q2676" i="1"/>
  <c r="Q1874" i="1"/>
  <c r="Q469" i="1"/>
  <c r="Q2681" i="1"/>
  <c r="Q2667" i="1"/>
  <c r="Q2699" i="1"/>
  <c r="Q2697" i="1"/>
  <c r="Q437" i="1"/>
  <c r="Q1245" i="1"/>
  <c r="Q835" i="1"/>
  <c r="Q83" i="1"/>
  <c r="Q1679" i="1"/>
  <c r="Q1918" i="1"/>
  <c r="Q2322" i="1"/>
  <c r="Q2634" i="1"/>
  <c r="Q1432" i="1"/>
  <c r="Q2360" i="1"/>
  <c r="Q1888" i="1"/>
  <c r="Q2384" i="1"/>
  <c r="Q534" i="1"/>
  <c r="Q278" i="1"/>
  <c r="Q550" i="1"/>
  <c r="Q2037" i="1"/>
  <c r="Q2614" i="1"/>
  <c r="Q1690" i="1"/>
  <c r="Q2220" i="1"/>
  <c r="Q842" i="1"/>
  <c r="Q2172" i="1"/>
  <c r="Q220" i="1"/>
  <c r="Q2578" i="1"/>
  <c r="Q2126" i="1"/>
  <c r="Q2102" i="1"/>
  <c r="Q2581" i="1"/>
  <c r="Q2672" i="1"/>
  <c r="Q1233" i="1"/>
  <c r="Q2560" i="1"/>
  <c r="Q1933" i="1"/>
  <c r="Q1539" i="1"/>
  <c r="Q1083" i="1"/>
  <c r="Q59" i="1"/>
  <c r="Q980" i="1"/>
  <c r="Q2680" i="1"/>
  <c r="Q2150" i="1"/>
  <c r="Q1118" i="1"/>
  <c r="Q1620" i="1"/>
  <c r="Q2350" i="1"/>
  <c r="Q786" i="1"/>
  <c r="Q2643" i="1"/>
  <c r="Q1544" i="1"/>
  <c r="Q888" i="1"/>
  <c r="Q1498" i="1"/>
  <c r="Q491" i="1"/>
  <c r="Q612" i="1"/>
  <c r="Q111" i="1"/>
  <c r="Q1959" i="1"/>
  <c r="Q1111" i="1"/>
  <c r="Q234" i="1"/>
  <c r="Q1913" i="1"/>
  <c r="Q325" i="1"/>
  <c r="Q346" i="1"/>
  <c r="Q1961" i="1"/>
  <c r="Q989" i="1"/>
  <c r="Q658" i="1"/>
  <c r="Q1594" i="1"/>
  <c r="Q986" i="1"/>
  <c r="Q554" i="1"/>
  <c r="Q991" i="1"/>
  <c r="Q260" i="1"/>
  <c r="Q1028" i="1"/>
  <c r="Q75" i="1"/>
  <c r="Q1343" i="1"/>
  <c r="Q2254" i="1"/>
  <c r="Q431" i="1"/>
  <c r="Q1349" i="1"/>
  <c r="Q1724" i="1"/>
  <c r="Q803" i="1"/>
  <c r="Q2378" i="1"/>
  <c r="Q206" i="1"/>
  <c r="Q2299" i="1"/>
  <c r="Q1198" i="1"/>
  <c r="Q2532" i="1"/>
  <c r="Q214" i="1"/>
  <c r="Q1158" i="1"/>
  <c r="Q2227" i="1"/>
  <c r="Q1857" i="1"/>
  <c r="Q1187" i="1"/>
  <c r="Q2556" i="1"/>
  <c r="Q1306" i="1"/>
  <c r="Q751" i="1"/>
  <c r="Q1155" i="1"/>
  <c r="Q1439" i="1"/>
  <c r="Q70" i="1"/>
  <c r="Q1060" i="1"/>
  <c r="Q1320" i="1"/>
  <c r="Q195" i="1"/>
  <c r="Q2661" i="1"/>
  <c r="Q475" i="1"/>
  <c r="Q386" i="1"/>
  <c r="Q2118" i="1"/>
  <c r="Q1837" i="1"/>
  <c r="Q2010" i="1"/>
  <c r="Q2339" i="1"/>
  <c r="Q2081" i="1"/>
  <c r="Q2267" i="1"/>
  <c r="Q2353" i="1"/>
  <c r="Q2020" i="1"/>
  <c r="Q615" i="1"/>
  <c r="Q2188" i="1"/>
  <c r="Q1614" i="1"/>
  <c r="Q1463" i="1"/>
  <c r="Q2328" i="1"/>
  <c r="Q2599" i="1"/>
  <c r="Q1070" i="1"/>
  <c r="Q2460" i="1"/>
  <c r="Q1080" i="1"/>
  <c r="Q390" i="1"/>
  <c r="Q737" i="1"/>
  <c r="Q502" i="1"/>
  <c r="Q1817" i="1"/>
  <c r="Q524" i="1"/>
  <c r="Q2457" i="1"/>
  <c r="Q919" i="1"/>
  <c r="Q1010" i="1"/>
  <c r="Q94" i="1"/>
  <c r="Q1560" i="1"/>
  <c r="Q232" i="1"/>
  <c r="Q973" i="1"/>
  <c r="Q2114" i="1"/>
  <c r="Q2132" i="1"/>
  <c r="Q591" i="1"/>
  <c r="Q2421" i="1"/>
  <c r="Q2240" i="1"/>
  <c r="Q1556" i="1"/>
  <c r="Q5" i="1"/>
  <c r="Q1240" i="1"/>
  <c r="Q1448" i="1"/>
  <c r="Q1347" i="1"/>
  <c r="Q2303" i="1"/>
  <c r="Q1520" i="1"/>
  <c r="Q373" i="1"/>
  <c r="Q145" i="1"/>
  <c r="Q1231" i="1"/>
  <c r="Q2042" i="1"/>
  <c r="Q202" i="1"/>
  <c r="Q2580" i="1"/>
  <c r="Q99" i="1"/>
  <c r="Q893" i="1"/>
  <c r="Q1855" i="1"/>
  <c r="Q127" i="1"/>
  <c r="Q2544" i="1"/>
  <c r="Q855" i="1"/>
  <c r="Q1165" i="1"/>
  <c r="Q1748" i="1"/>
  <c r="Q1860" i="1"/>
  <c r="Q2201" i="1"/>
  <c r="Q1445" i="1"/>
  <c r="Q1673" i="1"/>
  <c r="Q340" i="1"/>
  <c r="Q1932" i="1"/>
  <c r="Q1532" i="1"/>
  <c r="Q1392" i="1"/>
  <c r="Q2026" i="1"/>
  <c r="Q1302" i="1"/>
  <c r="Q360" i="1"/>
  <c r="Q885" i="1"/>
  <c r="Q363" i="1"/>
  <c r="Q1583" i="1"/>
  <c r="Q601" i="1"/>
  <c r="Q1843" i="1"/>
  <c r="Q1338" i="1"/>
  <c r="Q2027" i="1"/>
  <c r="Q2205" i="1"/>
  <c r="Q1002" i="1"/>
  <c r="Q1388" i="1"/>
  <c r="Q705" i="1"/>
  <c r="Q1275" i="1"/>
  <c r="Q1458" i="1"/>
  <c r="Q1895" i="1"/>
  <c r="Q1182" i="1"/>
  <c r="Q956" i="1"/>
  <c r="Q1949" i="1"/>
  <c r="Q1927" i="1"/>
  <c r="Q764" i="1"/>
  <c r="Q2234" i="1"/>
  <c r="Q1779" i="1"/>
  <c r="Q2017" i="1"/>
  <c r="Q69" i="1"/>
  <c r="Q2279" i="1"/>
  <c r="Q170" i="1"/>
  <c r="Q1382" i="1"/>
  <c r="Q2202" i="1"/>
  <c r="Q151" i="1"/>
  <c r="Q1238" i="1"/>
  <c r="Q2296" i="1"/>
  <c r="Q1796" i="1"/>
  <c r="Q517" i="1"/>
  <c r="Q1810" i="1"/>
  <c r="Q384" i="1"/>
  <c r="Q1827" i="1"/>
  <c r="Q532" i="1"/>
  <c r="Q367" i="1"/>
  <c r="Q2063" i="1"/>
  <c r="Q1054" i="1"/>
  <c r="Q1383" i="1"/>
  <c r="Q2075" i="1"/>
  <c r="Q552" i="1"/>
  <c r="Q2104" i="1"/>
  <c r="Q459" i="1"/>
  <c r="Q455" i="1"/>
  <c r="Q442" i="1"/>
  <c r="Q2388" i="1"/>
  <c r="Q1683" i="1"/>
  <c r="Q164" i="1"/>
  <c r="Q1081" i="1"/>
  <c r="Q1682" i="1"/>
  <c r="Q718" i="1"/>
  <c r="Q2423" i="1"/>
  <c r="Q634" i="1"/>
  <c r="Q1762" i="1"/>
  <c r="Q116" i="1"/>
  <c r="Q1877" i="1"/>
  <c r="Q2015" i="1"/>
  <c r="Q287" i="1"/>
  <c r="Q657" i="1"/>
  <c r="Q1497" i="1"/>
  <c r="Q55" i="1"/>
  <c r="Q1489" i="1"/>
  <c r="Q2117" i="1"/>
  <c r="Q221" i="1"/>
  <c r="Q391" i="1"/>
  <c r="Q2024" i="1"/>
  <c r="Q859" i="1"/>
  <c r="Q789" i="1"/>
  <c r="Q322" i="1"/>
  <c r="Q1611" i="1"/>
  <c r="Q1606" i="1"/>
  <c r="Q661" i="1"/>
  <c r="Q1638" i="1"/>
  <c r="Q1150" i="1"/>
  <c r="Q1262" i="1"/>
  <c r="Q993" i="1"/>
  <c r="Q2241" i="1"/>
  <c r="Q673" i="1"/>
  <c r="Q2489" i="1"/>
  <c r="Q1345" i="1"/>
  <c r="Q2373" i="1"/>
  <c r="Q1849" i="1"/>
  <c r="Q2108" i="1"/>
  <c r="Q133" i="1"/>
  <c r="Q1454" i="1"/>
  <c r="Q96" i="1"/>
  <c r="Q2203" i="1"/>
  <c r="Q411" i="1"/>
  <c r="Q2157" i="1"/>
  <c r="Q375" i="1"/>
  <c r="Q2007" i="1"/>
  <c r="Q1067" i="1"/>
  <c r="Q90" i="1"/>
  <c r="Q2401" i="1"/>
  <c r="Q1543" i="1"/>
  <c r="Q330" i="1"/>
  <c r="Q881" i="1"/>
  <c r="Q2483" i="1"/>
  <c r="Q404" i="1"/>
  <c r="Q236" i="1"/>
  <c r="Q1317" i="1"/>
  <c r="Q2185" i="1"/>
  <c r="Q2219" i="1"/>
  <c r="Q1989" i="1"/>
  <c r="Q512" i="1"/>
  <c r="Q46" i="1"/>
  <c r="Q1542" i="1"/>
  <c r="Q1340" i="1"/>
  <c r="Q964" i="1"/>
  <c r="Q308" i="1"/>
  <c r="Q1619" i="1"/>
  <c r="Q1088" i="1"/>
  <c r="Q2456" i="1"/>
  <c r="Q97" i="1"/>
  <c r="Q1353" i="1"/>
  <c r="Q516" i="1"/>
  <c r="Q1504" i="1"/>
  <c r="Q223" i="1"/>
  <c r="Q2408" i="1"/>
  <c r="Q227" i="1"/>
  <c r="Q447" i="1"/>
  <c r="Q2308" i="1"/>
  <c r="Q1851" i="1"/>
  <c r="Q890" i="1"/>
  <c r="Q1535" i="1"/>
  <c r="Q934" i="1"/>
  <c r="Q702" i="1"/>
  <c r="Q2306" i="1"/>
  <c r="Q2461" i="1"/>
  <c r="Q1385" i="1"/>
  <c r="Q1419" i="1"/>
  <c r="Q2054" i="1"/>
  <c r="Q804" i="1"/>
  <c r="Q506" i="1"/>
  <c r="Q930" i="1"/>
  <c r="Q732" i="1"/>
  <c r="Q1674" i="1"/>
  <c r="Q990" i="1"/>
  <c r="Q544" i="1"/>
  <c r="Q2288" i="1"/>
  <c r="Q501" i="1"/>
  <c r="Q1195" i="1"/>
  <c r="Q277" i="1"/>
  <c r="Q1649" i="1"/>
  <c r="Q328" i="1"/>
  <c r="Q899" i="1"/>
  <c r="Q167" i="1"/>
  <c r="Q606" i="1"/>
  <c r="Q12" i="1"/>
  <c r="Q833" i="1"/>
  <c r="Q1694" i="1"/>
  <c r="Q2641" i="1"/>
  <c r="Q1485" i="1"/>
  <c r="Q949" i="1"/>
  <c r="Q1192" i="1"/>
  <c r="Q660" i="1"/>
  <c r="Q659" i="1"/>
  <c r="Q2693" i="1"/>
  <c r="Q472" i="1"/>
  <c r="Q1447" i="1"/>
  <c r="Q769" i="1"/>
  <c r="Q961" i="1"/>
  <c r="Q1410" i="1"/>
  <c r="Q771" i="1"/>
  <c r="Q2177" i="1"/>
  <c r="Q1547" i="1"/>
  <c r="Q1523" i="1"/>
  <c r="Q2057" i="1"/>
  <c r="Q1598" i="1"/>
  <c r="Q1903" i="1"/>
  <c r="Q1101" i="1"/>
  <c r="Q742" i="1"/>
  <c r="Q1084" i="1"/>
  <c r="Q2071" i="1"/>
  <c r="Q761" i="1"/>
  <c r="Q2175" i="1"/>
  <c r="Q699" i="1"/>
  <c r="Q1820" i="1"/>
  <c r="Q35" i="1"/>
  <c r="Q734" i="1"/>
  <c r="Q984" i="1"/>
  <c r="Q1714" i="1"/>
  <c r="Q1728" i="1"/>
  <c r="Q2341" i="1"/>
  <c r="Q1443" i="1"/>
  <c r="Q982" i="1"/>
  <c r="Q2371" i="1"/>
  <c r="Q2438" i="1"/>
  <c r="Q932" i="1"/>
  <c r="Q7" i="1"/>
  <c r="Q1807" i="1"/>
  <c r="Q1788" i="1"/>
  <c r="Q251" i="1"/>
  <c r="Q1526" i="1"/>
  <c r="Q1950" i="1"/>
  <c r="Q362" i="1"/>
  <c r="Q828" i="1"/>
  <c r="Q1019" i="1"/>
  <c r="Q1917" i="1"/>
  <c r="Q1884" i="1"/>
  <c r="Q1043" i="1"/>
  <c r="Q912" i="1"/>
  <c r="Q388" i="1"/>
  <c r="Q64" i="1"/>
  <c r="Q2221" i="1"/>
  <c r="Q100" i="1"/>
  <c r="Q2244" i="1"/>
  <c r="Q1421" i="1"/>
  <c r="Q1801" i="1"/>
  <c r="Q1250" i="1"/>
  <c r="Q1247" i="1"/>
  <c r="Q1696" i="1"/>
  <c r="Q1612" i="1"/>
  <c r="Q1963" i="1"/>
  <c r="Q1794" i="1"/>
  <c r="Q943" i="1"/>
  <c r="Q1196" i="1"/>
  <c r="Q1776" i="1"/>
  <c r="Q1780" i="1"/>
  <c r="Q2045" i="1"/>
  <c r="Q1268" i="1"/>
  <c r="Q2472" i="1"/>
  <c r="Q1394" i="1"/>
  <c r="Q242" i="1"/>
  <c r="Q669" i="1"/>
  <c r="Q305" i="1"/>
  <c r="Q2122" i="1"/>
  <c r="Q2312" i="1"/>
  <c r="Q1395" i="1"/>
  <c r="Q1632" i="1"/>
  <c r="Q427" i="1"/>
  <c r="Q602" i="1"/>
  <c r="Q1853" i="1"/>
  <c r="Q1380" i="1"/>
  <c r="Q827" i="1"/>
  <c r="Q960" i="1"/>
  <c r="Q1545" i="1"/>
  <c r="Q2034" i="1"/>
  <c r="Q972" i="1"/>
  <c r="Q1755" i="1"/>
  <c r="Q493" i="1"/>
  <c r="Q2011" i="1"/>
  <c r="Q2076" i="1"/>
  <c r="Q2629" i="1"/>
  <c r="Q921" i="1"/>
  <c r="Q2001" i="1"/>
  <c r="Q2101" i="1"/>
  <c r="Q1000" i="1"/>
  <c r="Q781" i="1"/>
  <c r="Q1858" i="1"/>
  <c r="Q326" i="1"/>
  <c r="Q444" i="1"/>
  <c r="Q953" i="1"/>
  <c r="Q698" i="1"/>
  <c r="Q1935" i="1"/>
  <c r="Q1254" i="1"/>
  <c r="Q2252" i="1"/>
  <c r="Q2338" i="1"/>
  <c r="Q1854" i="1"/>
  <c r="Q1844" i="1"/>
  <c r="Q32" i="1"/>
  <c r="Q2355" i="1"/>
  <c r="Q415" i="1"/>
  <c r="Q1280" i="1"/>
  <c r="Q266" i="1"/>
  <c r="Q1172" i="1"/>
  <c r="Q1403" i="1"/>
  <c r="Q2476" i="1"/>
  <c r="Q1537" i="1"/>
  <c r="Q707" i="1"/>
  <c r="Q301" i="1"/>
  <c r="Q2367" i="1"/>
  <c r="Q2265" i="1"/>
  <c r="Q1554" i="1"/>
  <c r="Q1672" i="1"/>
  <c r="Q2403" i="1"/>
  <c r="Q933" i="1"/>
  <c r="Q148" i="1"/>
  <c r="Q1588" i="1"/>
  <c r="Q655" i="1"/>
  <c r="Q2229" i="1"/>
  <c r="Q713" i="1"/>
  <c r="Q1576" i="1"/>
  <c r="Q65" i="1"/>
  <c r="Q1211" i="1"/>
  <c r="Q692" i="1"/>
  <c r="Q1197" i="1"/>
  <c r="Q588" i="1"/>
  <c r="Q2294" i="1"/>
  <c r="Q449" i="1"/>
  <c r="Q114" i="1"/>
  <c r="Q1580" i="1"/>
  <c r="Q2165" i="1"/>
  <c r="Q1713" i="1"/>
  <c r="Q1148" i="1"/>
  <c r="Q1800" i="1"/>
  <c r="Q725" i="1"/>
  <c r="Q818" i="1"/>
  <c r="Q721" i="1"/>
  <c r="Q1219" i="1"/>
  <c r="Q1631" i="1"/>
  <c r="Q1738" i="1"/>
  <c r="Q1983" i="1"/>
  <c r="Q1334" i="1"/>
  <c r="Q811" i="1"/>
  <c r="Q2402" i="1"/>
  <c r="Q2009" i="1"/>
  <c r="Q2178" i="1"/>
  <c r="Q1115" i="1"/>
  <c r="Q1805" i="1"/>
  <c r="Q396" i="1"/>
  <c r="Q1601" i="1"/>
  <c r="Q630" i="1"/>
  <c r="Q2106" i="1"/>
  <c r="Q1266" i="1"/>
  <c r="Q1117" i="1"/>
  <c r="Q2343" i="1"/>
  <c r="Q1130" i="1"/>
  <c r="Q1508" i="1"/>
  <c r="Q62" i="1"/>
  <c r="Q1355" i="1"/>
  <c r="Q1743" i="1"/>
  <c r="Q48" i="1"/>
  <c r="Q2349" i="1"/>
  <c r="Q2497" i="1"/>
  <c r="Q44" i="1"/>
  <c r="Q2738" i="1"/>
  <c r="Q2688" i="1"/>
  <c r="Q2391" i="1"/>
  <c r="Q2683" i="1"/>
  <c r="Q1082" i="1"/>
  <c r="Q901" i="1"/>
  <c r="Q397" i="1"/>
  <c r="Q2062" i="1"/>
  <c r="Q938" i="1"/>
  <c r="Q1452" i="1"/>
  <c r="Q478" i="1"/>
  <c r="Q2674" i="1"/>
  <c r="Q709" i="1"/>
  <c r="Q1143" i="1"/>
  <c r="Q823" i="1"/>
  <c r="Q1603" i="1"/>
  <c r="Q2633" i="1"/>
  <c r="Q1122" i="1"/>
  <c r="Q633" i="1"/>
  <c r="Q2562" i="1"/>
  <c r="Q2153" i="1"/>
  <c r="Q2243" i="1"/>
  <c r="Q1423" i="1"/>
  <c r="Q2579" i="1"/>
  <c r="Q969" i="1"/>
  <c r="Q1540" i="1"/>
  <c r="Q898" i="1"/>
  <c r="Q666" i="1"/>
  <c r="Q448" i="1"/>
  <c r="Q1956" i="1"/>
  <c r="Q780" i="1"/>
  <c r="Q2446" i="1"/>
  <c r="Q1783" i="1"/>
  <c r="Q682" i="1"/>
  <c r="Q744" i="1"/>
  <c r="Q1179" i="1"/>
  <c r="Q2659" i="1"/>
  <c r="Q2585" i="1"/>
  <c r="Q1038" i="1"/>
  <c r="Q522" i="1"/>
  <c r="Q1446" i="1"/>
  <c r="Q1750" i="1"/>
  <c r="Q1593" i="1"/>
  <c r="Q1271" i="1"/>
  <c r="Q186" i="1"/>
  <c r="Q2390" i="1"/>
  <c r="Q1940" i="1"/>
  <c r="Q1046" i="1"/>
  <c r="Q2140" i="1"/>
  <c r="Q874" i="1"/>
  <c r="Q1971" i="1"/>
  <c r="Q1479" i="1"/>
  <c r="Q1217" i="1"/>
  <c r="Q2180" i="1"/>
  <c r="Q291" i="1"/>
  <c r="Q2200" i="1"/>
  <c r="Q651" i="1"/>
  <c r="Q1997" i="1"/>
  <c r="Q1035" i="1"/>
  <c r="Q102" i="1"/>
  <c r="Q2050" i="1"/>
  <c r="Q927" i="1"/>
  <c r="Q623" i="1"/>
  <c r="Q631" i="1"/>
  <c r="Q500" i="1"/>
  <c r="Q1248" i="1"/>
  <c r="Q2032" i="1"/>
  <c r="Q1472" i="1"/>
  <c r="Q1290" i="1"/>
  <c r="Q364" i="1"/>
  <c r="Q1107" i="1"/>
  <c r="Q592" i="1"/>
  <c r="Q1029" i="1"/>
  <c r="Q629" i="1"/>
  <c r="Q1337" i="1"/>
  <c r="Q2590" i="1"/>
  <c r="Q836" i="1"/>
  <c r="Q2090" i="1"/>
  <c r="Q2444" i="1"/>
  <c r="Q1967" i="1"/>
  <c r="Q1402" i="1"/>
  <c r="Q1969" i="1"/>
  <c r="Q1466" i="1"/>
  <c r="Q1528" i="1"/>
  <c r="Q487" i="1"/>
  <c r="Q1993" i="1"/>
  <c r="Q735" i="1"/>
  <c r="Q1636" i="1"/>
  <c r="Q758" i="1"/>
  <c r="Q1352" i="1"/>
  <c r="Q865" i="1"/>
  <c r="Q1414" i="1"/>
  <c r="Q1305" i="1"/>
  <c r="Q1369" i="1"/>
  <c r="Q2206" i="1"/>
  <c r="Q1461" i="1"/>
  <c r="Q2179" i="1"/>
  <c r="Q551" i="1"/>
  <c r="Q1609" i="1"/>
  <c r="Q999" i="1"/>
  <c r="Q757" i="1"/>
  <c r="Q1645" i="1"/>
  <c r="Q1698" i="1"/>
  <c r="Q98" i="1"/>
  <c r="Q979" i="1"/>
  <c r="Q92" i="1"/>
  <c r="Q2493" i="1"/>
  <c r="Q1522" i="1"/>
  <c r="Q312" i="1"/>
  <c r="Q413" i="1"/>
  <c r="Q1938" i="1"/>
  <c r="Q1726" i="1"/>
  <c r="Q1033" i="1"/>
  <c r="Q987" i="1"/>
  <c r="Q875" i="1"/>
  <c r="Q2451" i="1"/>
  <c r="Q73" i="1"/>
  <c r="Q2368" i="1"/>
  <c r="Q967" i="1"/>
  <c r="Q1496" i="1"/>
  <c r="Q2478" i="1"/>
  <c r="Q1456" i="1"/>
  <c r="Q2564" i="1"/>
  <c r="Q689" i="1"/>
  <c r="Q846" i="1"/>
  <c r="Q2182" i="1"/>
  <c r="Q2372" i="1"/>
  <c r="Q714" i="1"/>
  <c r="Q547" i="1"/>
  <c r="Q2496" i="1"/>
  <c r="Q793" i="1"/>
  <c r="Q1100" i="1"/>
  <c r="Q515" i="1"/>
  <c r="Q482" i="1"/>
  <c r="Q1608" i="1"/>
  <c r="Q176" i="1"/>
  <c r="Q263" i="1"/>
  <c r="Q126" i="1"/>
  <c r="Q2053" i="1"/>
  <c r="Q1427" i="1"/>
  <c r="Q1438" i="1"/>
  <c r="Q2146" i="1"/>
  <c r="Q2164" i="1"/>
  <c r="Q1592" i="1"/>
  <c r="Q1734" i="1"/>
  <c r="Q1075" i="1"/>
  <c r="Q1994" i="1"/>
  <c r="Q749" i="1"/>
  <c r="Q2297" i="1"/>
  <c r="Q1157" i="1"/>
  <c r="Q685" i="1"/>
  <c r="Q2046" i="1"/>
  <c r="Q1602" i="1"/>
  <c r="Q1242" i="1"/>
  <c r="Q2324" i="1"/>
  <c r="Q1441" i="1"/>
  <c r="Q1681" i="1"/>
  <c r="Q863" i="1"/>
  <c r="Q1926" i="1"/>
  <c r="Q776" i="1"/>
  <c r="Q2064" i="1"/>
  <c r="Q1955" i="1"/>
  <c r="Q86" i="1"/>
  <c r="Q577" i="1"/>
  <c r="Q670" i="1"/>
  <c r="Q2386" i="1"/>
  <c r="Q2525" i="1"/>
  <c r="Q1473" i="1"/>
  <c r="Q1986" i="1"/>
  <c r="Q558" i="1"/>
  <c r="Q2105" i="1"/>
  <c r="Q430" i="1"/>
  <c r="Q1326" i="1"/>
  <c r="Q139" i="1"/>
  <c r="Q1507" i="1"/>
  <c r="Q1965" i="1"/>
  <c r="Q1177" i="1"/>
  <c r="Q17" i="1"/>
  <c r="Q1591" i="1"/>
  <c r="Q638" i="1"/>
  <c r="Q1999" i="1"/>
  <c r="Q1527" i="1"/>
  <c r="Q813" i="1"/>
  <c r="Q2048" i="1"/>
  <c r="Q586" i="1"/>
  <c r="Q1920" i="1"/>
  <c r="Q2501" i="1"/>
  <c r="Q1756" i="1"/>
  <c r="Q886" i="1"/>
  <c r="Q2120" i="1"/>
  <c r="Q2445" i="1"/>
  <c r="Q2163" i="1"/>
  <c r="Q1328" i="1"/>
  <c r="Q616" i="1"/>
  <c r="Q704" i="1"/>
  <c r="Q1089" i="1"/>
  <c r="Q1790" i="1"/>
  <c r="Q910" i="1"/>
  <c r="Q2621" i="1"/>
  <c r="Q1173" i="1"/>
  <c r="Q741" i="1"/>
  <c r="Q1167" i="1"/>
  <c r="Q1332" i="1"/>
  <c r="Q1936" i="1"/>
  <c r="Q1785" i="1"/>
  <c r="Q2217" i="1"/>
  <c r="Q255" i="1"/>
  <c r="Q268" i="1"/>
  <c r="Q2127" i="1"/>
  <c r="Q904" i="1"/>
  <c r="Q798" i="1"/>
  <c r="Q894" i="1"/>
  <c r="Q1234" i="1"/>
  <c r="Q1160" i="1"/>
  <c r="Q1063" i="1"/>
  <c r="Q1530" i="1"/>
  <c r="Q2369" i="1"/>
  <c r="Q1051" i="1"/>
  <c r="Q2439" i="1"/>
  <c r="Q1733" i="1"/>
  <c r="Q229" i="1"/>
  <c r="Q2068" i="1"/>
  <c r="Q1184" i="1"/>
  <c r="Q2347" i="1"/>
  <c r="Q1176" i="1"/>
  <c r="Q348" i="1"/>
  <c r="Q412" i="1"/>
  <c r="Q2329" i="1"/>
  <c r="Q1872" i="1"/>
  <c r="Q970" i="1"/>
  <c r="Q435" i="1"/>
  <c r="Q809" i="1"/>
  <c r="Q2333" i="1"/>
  <c r="Q425" i="1"/>
  <c r="Q1826" i="1"/>
  <c r="Q209" i="1"/>
  <c r="Q207" i="1"/>
  <c r="Q871" i="1"/>
  <c r="Q1289" i="1"/>
  <c r="Q1832" i="1"/>
  <c r="Q1218" i="1"/>
  <c r="Q1518" i="1"/>
  <c r="Q2520" i="1"/>
  <c r="Q136" i="1"/>
  <c r="Q1256" i="1"/>
  <c r="Q529" i="1"/>
  <c r="Q2141" i="1"/>
  <c r="Q2361" i="1"/>
  <c r="Q1191" i="1"/>
  <c r="Q1048" i="1"/>
  <c r="Q2077" i="1"/>
  <c r="Q708" i="1"/>
  <c r="Q531" i="1"/>
  <c r="Q2167" i="1"/>
  <c r="Q134" i="1"/>
  <c r="Q604" i="1"/>
  <c r="Q779" i="1"/>
  <c r="Q157" i="1"/>
  <c r="Q253" i="1"/>
  <c r="Q486" i="1"/>
  <c r="Q1964" i="1"/>
  <c r="Q1114" i="1"/>
  <c r="Q2111" i="1"/>
  <c r="Q617" i="1"/>
  <c r="Q1436" i="1"/>
  <c r="Q2419" i="1"/>
  <c r="Q2197" i="1"/>
  <c r="Q774" i="1"/>
  <c r="Q368" i="1"/>
  <c r="Q841" i="1"/>
  <c r="Q2258" i="1"/>
  <c r="Q1210" i="1"/>
  <c r="Q2529" i="1"/>
  <c r="Q16" i="1"/>
  <c r="Q275" i="1"/>
  <c r="Q760" i="1"/>
  <c r="Q1886" i="1"/>
  <c r="Q1105" i="1"/>
  <c r="Q2119" i="1"/>
  <c r="Q1566" i="1"/>
  <c r="Q508" i="1"/>
  <c r="Q1099" i="1"/>
  <c r="Q2280" i="1"/>
  <c r="Q419" i="1"/>
  <c r="Q2330" i="1"/>
  <c r="Q1806" i="1"/>
  <c r="Q1803" i="1"/>
  <c r="Q215" i="1"/>
  <c r="Q1024" i="1"/>
  <c r="Q498" i="1"/>
  <c r="Q788" i="1"/>
  <c r="Q1282" i="1"/>
  <c r="Q2431" i="1"/>
  <c r="Q939" i="1"/>
  <c r="Q2500" i="1"/>
  <c r="Q778" i="1"/>
  <c r="Q464" i="1"/>
  <c r="Q470" i="1"/>
  <c r="Q2364" i="1"/>
  <c r="Q25" i="1"/>
  <c r="Q292" i="1"/>
  <c r="Q399" i="1"/>
  <c r="Q503" i="1"/>
  <c r="Q1365" i="1"/>
  <c r="Q1784" i="1"/>
  <c r="Q1792" i="1"/>
  <c r="Q2036" i="1"/>
  <c r="Q1459" i="1"/>
  <c r="Q691" i="1"/>
  <c r="Q1267" i="1"/>
  <c r="Q479" i="1"/>
  <c r="Q2454" i="1"/>
  <c r="Q719" i="1"/>
  <c r="Q2230" i="1"/>
  <c r="Q1450" i="1"/>
  <c r="Q775" i="1"/>
  <c r="Q1171" i="1"/>
  <c r="Q755" i="1"/>
  <c r="Q2004" i="1"/>
  <c r="Q2242" i="1"/>
  <c r="Q1883" i="1"/>
  <c r="Q240" i="1"/>
  <c r="Q212" i="1"/>
  <c r="Q1475" i="1"/>
  <c r="Q1635" i="1"/>
  <c r="Q966" i="1"/>
  <c r="Q394" i="1"/>
  <c r="Q2190" i="1"/>
  <c r="Q2270" i="1"/>
  <c r="Q15" i="1"/>
  <c r="Q172" i="1"/>
  <c r="Q571" i="1"/>
  <c r="Q47" i="1"/>
  <c r="Q2066" i="1"/>
  <c r="Q1904" i="1"/>
  <c r="Q870" i="1"/>
  <c r="Q129" i="1"/>
  <c r="Q1327" i="1"/>
  <c r="Q946" i="1"/>
  <c r="Q1169" i="1"/>
  <c r="Q1624" i="1"/>
  <c r="Q777" i="1"/>
  <c r="Q2523" i="1"/>
  <c r="Q125" i="1"/>
  <c r="Q600" i="1"/>
  <c r="Q1040" i="1"/>
  <c r="Q216" i="1"/>
  <c r="Q574" i="1"/>
  <c r="Q2480" i="1"/>
  <c r="Q1695" i="1"/>
  <c r="Q2246" i="1"/>
  <c r="Q1995" i="1"/>
  <c r="Q785" i="1"/>
  <c r="Q530" i="1"/>
  <c r="Q103" i="1"/>
  <c r="Q2418" i="1"/>
  <c r="Q887" i="1"/>
  <c r="Q162" i="1"/>
  <c r="Q324" i="1"/>
  <c r="Q1627" i="1"/>
  <c r="Q1055" i="1"/>
  <c r="Q2216" i="1"/>
  <c r="Q2448" i="1"/>
  <c r="Q160" i="1"/>
  <c r="Q323" i="1"/>
  <c r="Q802" i="1"/>
  <c r="Q1575" i="1"/>
  <c r="Q1946" i="1"/>
  <c r="Q957" i="1"/>
  <c r="Q387" i="1"/>
  <c r="Q1095" i="1"/>
  <c r="Q1142" i="1"/>
  <c r="Q2086" i="1"/>
  <c r="Q1662" i="1"/>
  <c r="Q252" i="1"/>
  <c r="Q1014" i="1"/>
  <c r="Q1657" i="1"/>
  <c r="Q844" i="1"/>
  <c r="Q293" i="1"/>
  <c r="Q2612" i="1"/>
  <c r="Q569" i="1"/>
  <c r="Q258" i="1"/>
  <c r="Q1389" i="1"/>
  <c r="Q1988" i="1"/>
  <c r="Q1770" i="1"/>
  <c r="Q1962" i="1"/>
  <c r="Q1424" i="1"/>
  <c r="Q2278" i="1"/>
  <c r="Q42" i="1"/>
  <c r="Q1519" i="1"/>
  <c r="Q820" i="1"/>
  <c r="Q1064" i="1"/>
  <c r="Q1376" i="1"/>
  <c r="Q341" i="1"/>
  <c r="Q1228" i="1"/>
  <c r="Q2582" i="1"/>
  <c r="Q2151" i="1"/>
  <c r="Q2398" i="1"/>
  <c r="Q2396" i="1"/>
  <c r="Q1186" i="1"/>
  <c r="Q959" i="1"/>
  <c r="Q1847" i="1"/>
  <c r="Q1703" i="1"/>
  <c r="Q2317" i="1"/>
  <c r="Q2359" i="1"/>
  <c r="Q1958" i="1"/>
  <c r="Q2313" i="1"/>
  <c r="Q2547" i="1"/>
  <c r="Q1291" i="1"/>
  <c r="Q1484" i="1"/>
  <c r="Q2383" i="1"/>
  <c r="Q1978" i="1"/>
  <c r="Q619" i="1"/>
  <c r="Q985" i="1"/>
  <c r="Q1725" i="1"/>
  <c r="Q1435" i="1"/>
  <c r="Q1288" i="1"/>
  <c r="Q1928" i="1"/>
  <c r="Q1585" i="1"/>
  <c r="Q374" i="1"/>
  <c r="Q838" i="1"/>
  <c r="Q628" i="1"/>
  <c r="Q1098" i="1"/>
  <c r="Q1625" i="1"/>
  <c r="Q916" i="1"/>
  <c r="Q834" i="1"/>
  <c r="Q1129" i="1"/>
  <c r="Q1087" i="1"/>
  <c r="Q594" i="1"/>
  <c r="Q1072" i="1"/>
  <c r="Q542" i="1"/>
  <c r="Q67" i="1"/>
  <c r="Q556" i="1"/>
  <c r="Q49" i="1"/>
  <c r="Q1538" i="1"/>
  <c r="Q1465" i="1"/>
  <c r="Q607" i="1"/>
  <c r="Q736" i="1"/>
  <c r="Q2000" i="1"/>
  <c r="Q2225" i="1"/>
  <c r="Q726" i="1"/>
  <c r="Q976" i="1"/>
  <c r="Q428" i="1"/>
  <c r="Q1370" i="1"/>
  <c r="Q2536" i="1"/>
  <c r="Q1431" i="1"/>
  <c r="Q2195" i="1"/>
  <c r="Q825" i="1"/>
  <c r="Q1551" i="1"/>
  <c r="Q1506" i="1"/>
  <c r="Q603" i="1"/>
  <c r="Q271" i="1"/>
  <c r="Q2044" i="1"/>
  <c r="Q1629" i="1"/>
  <c r="Q361" i="1"/>
  <c r="Q175" i="1"/>
  <c r="Q1501" i="1"/>
  <c r="Q256" i="1"/>
  <c r="Q1605" i="1"/>
  <c r="Q137" i="1"/>
  <c r="Q672" i="1"/>
  <c r="Q2113" i="1"/>
  <c r="Q2695" i="1"/>
  <c r="Q2559" i="1"/>
  <c r="Q2696" i="1"/>
  <c r="Q1892" i="1"/>
  <c r="Q2314" i="1"/>
  <c r="Q2558" i="1"/>
  <c r="Q1509" i="1"/>
  <c r="Q2736" i="1"/>
  <c r="Q1203" i="1"/>
  <c r="Q2608" i="1"/>
  <c r="Q2615" i="1"/>
  <c r="Q567" i="1"/>
  <c r="Q1272" i="1"/>
  <c r="Q1161" i="1"/>
  <c r="Q2678" i="1"/>
  <c r="Q2637" i="1"/>
  <c r="Q1387" i="1"/>
  <c r="Q882" i="1"/>
  <c r="Q2407" i="1"/>
  <c r="Q1269" i="1"/>
  <c r="Q1303" i="1"/>
  <c r="Q2531" i="1"/>
  <c r="Q1236" i="1"/>
  <c r="Q568" i="1"/>
  <c r="Q274" i="1"/>
  <c r="Q625" i="1"/>
  <c r="Q2541" i="1"/>
  <c r="Q570" i="1"/>
  <c r="Q640" i="1"/>
  <c r="Q2365" i="1"/>
  <c r="Q1037" i="1"/>
  <c r="Q706" i="1"/>
  <c r="Q57" i="1"/>
  <c r="Q1835" i="1"/>
  <c r="Q560" i="1"/>
  <c r="Q2080" i="1"/>
  <c r="Q1430" i="1"/>
  <c r="Q2731" i="1"/>
  <c r="Q1975" i="1"/>
  <c r="Q2043" i="1"/>
  <c r="Q2606" i="1"/>
  <c r="Q84" i="1"/>
  <c r="Q2605" i="1"/>
  <c r="Q1296" i="1"/>
  <c r="Q739" i="1"/>
  <c r="Q2065" i="1"/>
  <c r="Q2014" i="1"/>
  <c r="Q2515" i="1"/>
  <c r="Q403" i="1"/>
  <c r="Q924" i="1"/>
  <c r="Q2170" i="1"/>
  <c r="Q2091" i="1"/>
  <c r="Q1318" i="1"/>
  <c r="Q1737" i="1"/>
  <c r="Q2694" i="1"/>
  <c r="Q45" i="1"/>
  <c r="Q1300" i="1"/>
  <c r="Q526" i="1"/>
  <c r="Q38" i="1"/>
  <c r="Q1559" i="1"/>
  <c r="Q1797" i="1"/>
  <c r="Q2336" i="1"/>
  <c r="Q676" i="1"/>
  <c r="Q1020" i="1"/>
  <c r="Q1222" i="1"/>
  <c r="Q66" i="1"/>
  <c r="Q1680" i="1"/>
  <c r="Q107" i="1"/>
  <c r="Q2112" i="1"/>
  <c r="Q747" i="1"/>
  <c r="Q1552" i="1"/>
  <c r="Q2647" i="1"/>
  <c r="Q2441" i="1"/>
  <c r="Q2491" i="1"/>
  <c r="Q679" i="1"/>
  <c r="Q465" i="1"/>
  <c r="Q1968" i="1"/>
  <c r="Q1227" i="1"/>
  <c r="Q1174" i="1"/>
  <c r="Q593" i="1"/>
  <c r="Q1666" i="1"/>
  <c r="Q1979" i="1"/>
  <c r="Q224" i="1"/>
  <c r="Q141" i="1"/>
  <c r="Q1579" i="1"/>
  <c r="Q907" i="1"/>
  <c r="Q1126" i="1"/>
  <c r="Q1149" i="1"/>
  <c r="Q304" i="1"/>
  <c r="Q1564" i="1"/>
  <c r="Q1411" i="1"/>
  <c r="Q1255" i="1"/>
  <c r="Q688" i="1"/>
  <c r="Q2038" i="1"/>
  <c r="Q2235" i="1"/>
  <c r="Q380" i="1"/>
  <c r="Q2207" i="1"/>
  <c r="Q1811" i="1"/>
  <c r="Q860" i="1"/>
  <c r="Q756" i="1"/>
  <c r="Q2226" i="1"/>
  <c r="Q509" i="1"/>
  <c r="Q1487" i="1"/>
  <c r="Q2452" i="1"/>
  <c r="Q53" i="1"/>
  <c r="Q2003" i="1"/>
  <c r="Q2405" i="1"/>
  <c r="Q2110" i="1"/>
  <c r="Q962" i="1"/>
  <c r="Q1031" i="1"/>
  <c r="Q1499" i="1"/>
  <c r="Q264" i="1"/>
  <c r="Q1384" i="1"/>
  <c r="Q2666" i="1"/>
  <c r="Q2700" i="1"/>
  <c r="Q1069" i="1"/>
  <c r="Q402" i="1"/>
  <c r="Q1371" i="1"/>
  <c r="Q144" i="1"/>
  <c r="Q566" i="1"/>
  <c r="Q29" i="1"/>
  <c r="Q1621" i="1"/>
  <c r="Q496" i="1"/>
  <c r="Q731" i="1"/>
  <c r="Q2513" i="1"/>
  <c r="Q639" i="1"/>
  <c r="Q997" i="1"/>
  <c r="Q978" i="1"/>
  <c r="Q674" i="1"/>
  <c r="Q1562" i="1"/>
  <c r="Q1716" i="1"/>
  <c r="Q2609" i="1"/>
  <c r="Q1880" i="1"/>
  <c r="Q909" i="1"/>
  <c r="Q1842" i="1"/>
  <c r="Q645" i="1"/>
  <c r="Q687" i="1"/>
  <c r="Q290" i="1"/>
  <c r="Q1900" i="1"/>
  <c r="Q868" i="1"/>
  <c r="Q1488" i="1"/>
  <c r="Q1782" i="1"/>
  <c r="Q975" i="1"/>
  <c r="Q1774" i="1"/>
  <c r="Q369" i="1"/>
  <c r="Q869" i="1"/>
  <c r="Q50" i="1"/>
  <c r="Q247" i="1"/>
  <c r="Q456" i="1"/>
  <c r="Q2389" i="1"/>
  <c r="Q1085" i="1"/>
  <c r="Q1073" i="1"/>
  <c r="Q1213" i="1"/>
  <c r="Q2494" i="1"/>
  <c r="Q2542" i="1"/>
  <c r="Q2289" i="1"/>
  <c r="Q791" i="1"/>
  <c r="Q1360" i="1"/>
  <c r="Q1460" i="1"/>
  <c r="Q2594" i="1"/>
  <c r="Q2449" i="1"/>
  <c r="Q351" i="1"/>
  <c r="Q873" i="1"/>
  <c r="Q2435" i="1"/>
  <c r="Q2377" i="1"/>
  <c r="Q1663" i="1"/>
  <c r="Q91" i="1"/>
  <c r="Q1304" i="1"/>
  <c r="Q511" i="1"/>
  <c r="Q2261" i="1"/>
  <c r="Q1919" i="1"/>
  <c r="Q474" i="1"/>
  <c r="Q1871" i="1"/>
  <c r="Q2512" i="1"/>
  <c r="Q884" i="1"/>
  <c r="Q2591" i="1"/>
  <c r="Q1660" i="1"/>
  <c r="Q27" i="1"/>
  <c r="Q1144" i="1"/>
  <c r="Q1644" i="1"/>
  <c r="Q1823" i="1"/>
  <c r="Q2039" i="1"/>
  <c r="Q1356" i="1"/>
  <c r="Q2635" i="1"/>
  <c r="Q1866" i="1"/>
  <c r="Q190" i="1"/>
  <c r="Q1017" i="1"/>
  <c r="Q2152" i="1"/>
  <c r="Q2272" i="1"/>
  <c r="Q2533" i="1"/>
  <c r="Q575" i="1"/>
  <c r="Q1102" i="1"/>
  <c r="Q307" i="1"/>
  <c r="Q166" i="1"/>
  <c r="Q316" i="1"/>
  <c r="Q1775" i="1"/>
  <c r="Q765" i="1"/>
  <c r="Q441" i="1"/>
  <c r="Q203" i="1"/>
  <c r="Q821" i="1"/>
  <c r="Q2385" i="1"/>
  <c r="Q1279" i="1"/>
  <c r="Q1664" i="1"/>
  <c r="Q1440" i="1"/>
  <c r="Q197" i="1"/>
  <c r="Q1550" i="1"/>
  <c r="Q2123" i="1"/>
  <c r="Q2186" i="1"/>
  <c r="Q51" i="1"/>
  <c r="Q1065" i="1"/>
  <c r="Q1358" i="1"/>
  <c r="Q1230" i="1"/>
  <c r="Q2271" i="1"/>
  <c r="Q722" i="1"/>
  <c r="Q1079" i="1"/>
  <c r="Q1428" i="1"/>
  <c r="Q189" i="1"/>
  <c r="Q2047" i="1"/>
  <c r="Q443" i="1"/>
  <c r="Q521" i="1"/>
  <c r="Q352" i="1"/>
  <c r="Q281" i="1"/>
  <c r="Q2682" i="1"/>
  <c r="Q339" i="1"/>
  <c r="Q28" i="1"/>
  <c r="Q1882" i="1"/>
  <c r="Q1277" i="1"/>
  <c r="Q389" i="1"/>
  <c r="Q198" i="1"/>
  <c r="Q1368" i="1"/>
  <c r="Q1056" i="1"/>
  <c r="Q583" i="1"/>
  <c r="Q519" i="1"/>
  <c r="Q468" i="1"/>
  <c r="Q925" i="1"/>
  <c r="Q965" i="1"/>
  <c r="Q1533" i="1"/>
  <c r="Q310" i="1"/>
  <c r="Q2136" i="1"/>
  <c r="Q1760" i="1"/>
  <c r="Q1260" i="1"/>
  <c r="Q231" i="1"/>
  <c r="Q1929" i="1"/>
  <c r="Q1746" i="1"/>
  <c r="Q1401" i="1"/>
  <c r="Q23" i="1"/>
  <c r="Q915" i="1"/>
  <c r="Q467" i="1"/>
  <c r="Q1322" i="1"/>
  <c r="Q2268" i="1"/>
  <c r="Q2183" i="1"/>
  <c r="Q146" i="1"/>
  <c r="Q299" i="1"/>
  <c r="Q595" i="1"/>
  <c r="Q1007" i="1"/>
  <c r="Q4" i="1"/>
  <c r="Q2093" i="1"/>
  <c r="Q1312" i="1"/>
  <c r="Q1889" i="1"/>
  <c r="Q826" i="1"/>
  <c r="Q2332" i="1"/>
  <c r="Q473" i="1"/>
  <c r="Q115" i="1"/>
  <c r="Q1697" i="1"/>
  <c r="Q906" i="1"/>
  <c r="Q1705" i="1"/>
  <c r="Q1032" i="1"/>
  <c r="Q2334" i="1"/>
  <c r="Q992" i="1"/>
  <c r="Q87" i="1"/>
  <c r="Q626" i="1"/>
  <c r="Q1444" i="1"/>
  <c r="Q1265" i="1"/>
  <c r="Q2301" i="1"/>
  <c r="Q740" i="1"/>
  <c r="Q2309" i="1"/>
  <c r="Q2392" i="1"/>
  <c r="Q314" i="1"/>
  <c r="Q686" i="1"/>
  <c r="Q510" i="1"/>
  <c r="Q1244" i="1"/>
  <c r="Q876" i="1"/>
  <c r="Q1881" i="1"/>
  <c r="Q892" i="1"/>
  <c r="Q850" i="1"/>
  <c r="Q573" i="1"/>
  <c r="Q1890" i="1"/>
  <c r="Q2397" i="1"/>
  <c r="Q1799" i="1"/>
  <c r="Q2358" i="1"/>
  <c r="Q1204" i="1"/>
  <c r="Q1416" i="1"/>
  <c r="Q883" i="1"/>
  <c r="Q944" i="1"/>
  <c r="Q24" i="1"/>
  <c r="Q1596" i="1"/>
  <c r="Q1093" i="1"/>
  <c r="Q864" i="1"/>
  <c r="Q1558" i="1"/>
  <c r="Q282" i="1"/>
  <c r="Q1781" i="1"/>
  <c r="Q481" i="1"/>
  <c r="Q358" i="1"/>
  <c r="Q1607" i="1"/>
  <c r="Q1008" i="1"/>
  <c r="Q105" i="1"/>
  <c r="Q1294" i="1"/>
  <c r="Q2060" i="1"/>
  <c r="Q1821" i="1"/>
  <c r="Q942" i="1"/>
  <c r="Q2740" i="1"/>
  <c r="Q1199" i="1"/>
  <c r="Q2679" i="1"/>
  <c r="Q303" i="1"/>
  <c r="Q2059" i="1"/>
  <c r="Q452" i="1"/>
  <c r="Q548" i="1"/>
  <c r="Q2485" i="1"/>
  <c r="Q2462" i="1"/>
  <c r="Q2651" i="1"/>
  <c r="Q2600" i="1"/>
  <c r="Q748" i="1"/>
  <c r="Q945" i="1"/>
  <c r="Q210" i="1"/>
  <c r="Q1108" i="1"/>
  <c r="Q730" i="1"/>
  <c r="Q1985" i="1"/>
  <c r="Q2663" i="1"/>
  <c r="Q2528" i="1"/>
  <c r="Q608" i="1"/>
  <c r="Q485" i="1"/>
  <c r="Q2429" i="1"/>
  <c r="Q523" i="1"/>
  <c r="Q2495" i="1"/>
  <c r="Q187" i="1"/>
  <c r="Q2083" i="1"/>
  <c r="Q1708" i="1"/>
  <c r="Q1753" i="1"/>
  <c r="Q1515" i="1"/>
  <c r="Q2218" i="1"/>
  <c r="Q1030" i="1"/>
  <c r="Q230" i="1"/>
  <c r="Q1634" i="1"/>
  <c r="Q1406" i="1"/>
  <c r="Q2554" i="1"/>
  <c r="Q2354" i="1"/>
  <c r="Q1517" i="1"/>
  <c r="Q1212" i="1"/>
  <c r="Q2304" i="1"/>
  <c r="Q421" i="1"/>
  <c r="Q1692" i="1"/>
  <c r="Q2409" i="1"/>
  <c r="Q21" i="1"/>
  <c r="Q2535" i="1"/>
  <c r="Q1207" i="1"/>
  <c r="Q1170" i="1"/>
  <c r="Q1097" i="1"/>
  <c r="Q872" i="1"/>
  <c r="Q123" i="1"/>
  <c r="Q1824" i="1"/>
  <c r="Q2085" i="1"/>
  <c r="Q1951" i="1"/>
  <c r="Q2287" i="1"/>
  <c r="Q963" i="1"/>
  <c r="Q1133" i="1"/>
  <c r="Q2357" i="1"/>
  <c r="Q2323" i="1"/>
  <c r="Q697" i="1"/>
  <c r="Q2231" i="1"/>
  <c r="Q1819" i="1"/>
  <c r="Q563" i="1"/>
  <c r="Q272" i="1"/>
  <c r="Q905" i="1"/>
  <c r="Q2650" i="1"/>
  <c r="Q1201" i="1"/>
  <c r="Q1841" i="1"/>
  <c r="Q1740" i="1"/>
  <c r="Q700" i="1"/>
  <c r="Q11" i="1"/>
  <c r="Q488" i="1"/>
  <c r="Q1524" i="1"/>
  <c r="Q410" i="1"/>
  <c r="Q1139" i="1"/>
  <c r="Q2285" i="1"/>
  <c r="Q1154" i="1"/>
  <c r="Q913" i="1"/>
  <c r="Q1637" i="1"/>
  <c r="Q2281" i="1"/>
  <c r="Q154" i="1"/>
  <c r="Q2723" i="1"/>
  <c r="Q507" i="1"/>
  <c r="Q2484" i="1"/>
  <c r="Q2318" i="1"/>
  <c r="Q1477" i="1"/>
  <c r="Q1016" i="1"/>
  <c r="Q1390" i="1"/>
  <c r="Q52" i="1"/>
  <c r="Q2238" i="1"/>
  <c r="Q824" i="1"/>
  <c r="Q2094" i="1"/>
  <c r="Q2459" i="1"/>
  <c r="Q343" i="1"/>
  <c r="Q2013" i="1"/>
  <c r="Q2237" i="1"/>
  <c r="Q2465" i="1"/>
  <c r="Q1469" i="1"/>
  <c r="Q636" i="1"/>
  <c r="Q30" i="1"/>
  <c r="Q2302" i="1"/>
  <c r="Q1386" i="1"/>
  <c r="Q2596" i="1"/>
  <c r="Q2130" i="1"/>
  <c r="Q1846" i="1"/>
  <c r="Q858" i="1"/>
  <c r="Q2291" i="1"/>
  <c r="Q1757" i="1"/>
  <c r="Q1752" i="1"/>
  <c r="Q1659" i="1"/>
  <c r="Q416" i="1"/>
  <c r="Q2121" i="1"/>
  <c r="Q40" i="1"/>
  <c r="Q279" i="1"/>
  <c r="Q1944" i="1"/>
  <c r="Q2149" i="1"/>
  <c r="Q1209" i="1"/>
  <c r="Q371" i="1"/>
  <c r="Q2168" i="1"/>
  <c r="Q1331" i="1"/>
  <c r="Q1442" i="1"/>
  <c r="Q971" i="1"/>
  <c r="Q1641" i="1"/>
  <c r="Q124" i="1"/>
  <c r="Q794" i="1"/>
  <c r="Q1828" i="1"/>
  <c r="Q693" i="1"/>
  <c r="Q1646" i="1"/>
  <c r="Q2213" i="1"/>
  <c r="Q831" i="1"/>
  <c r="Q228" i="1"/>
  <c r="Q514" i="1"/>
  <c r="Q298" i="1"/>
  <c r="Q1739" i="1"/>
  <c r="Q853" i="1"/>
  <c r="Q948" i="1"/>
  <c r="Q690" i="1"/>
  <c r="Q1761" i="1"/>
  <c r="Q1831" i="1"/>
  <c r="Q958" i="1"/>
  <c r="Q1565" i="1"/>
  <c r="Q2259" i="1"/>
  <c r="Q2233" i="1"/>
  <c r="Q1166" i="1"/>
  <c r="Q249" i="1"/>
  <c r="Q1180" i="1"/>
  <c r="Q867" i="1"/>
  <c r="Q745" i="1"/>
  <c r="Q1571" i="1"/>
  <c r="Q1616" i="1"/>
  <c r="Q840" i="1"/>
  <c r="Q161" i="1"/>
  <c r="Q792" i="1"/>
  <c r="Q1939" i="1"/>
  <c r="Q2440" i="1"/>
  <c r="Q559" i="1"/>
  <c r="Q2249" i="1"/>
  <c r="Q1693" i="1"/>
  <c r="Q807" i="1"/>
  <c r="Q2498" i="1"/>
  <c r="Q546" i="1"/>
  <c r="Q2400" i="1"/>
  <c r="Q538" i="1"/>
  <c r="Q662" i="1"/>
  <c r="Q1873" i="1"/>
  <c r="Q261" i="1"/>
  <c r="Q1772" i="1"/>
  <c r="Q241" i="1"/>
  <c r="Q359" i="1"/>
  <c r="Q2487" i="1"/>
  <c r="Q541" i="1"/>
  <c r="Q994" i="1"/>
  <c r="Q1156" i="1"/>
  <c r="Q1899" i="1"/>
  <c r="Q1146" i="1"/>
  <c r="Q2022" i="1"/>
  <c r="Q1852" i="1"/>
  <c r="Q1120" i="1"/>
  <c r="Q1923" i="1"/>
  <c r="Q1561" i="1"/>
  <c r="Q2381" i="1"/>
  <c r="Q1845" i="1"/>
  <c r="Q1066" i="1"/>
  <c r="Q483" i="1"/>
  <c r="Q1763" i="1"/>
  <c r="Q2028" i="1"/>
  <c r="Q2503" i="1"/>
  <c r="Q1744" i="1"/>
  <c r="Q355" i="1"/>
  <c r="Q450" i="1"/>
  <c r="Q1897" i="1"/>
  <c r="Q1765" i="1"/>
  <c r="Q1754" i="1"/>
  <c r="Q1773" i="1"/>
  <c r="Q1759" i="1"/>
  <c r="Q188" i="1"/>
  <c r="Q219" i="1"/>
  <c r="Q1190" i="1"/>
  <c r="Q1829" i="1"/>
  <c r="Q712" i="1"/>
  <c r="Q1973" i="1"/>
  <c r="Q77" i="1"/>
  <c r="Q1259" i="1"/>
  <c r="Q650" i="1"/>
  <c r="Q436" i="1"/>
  <c r="Q379" i="1"/>
  <c r="Q110" i="1"/>
  <c r="Q1351" i="1"/>
  <c r="Q119" i="1"/>
  <c r="Q1399" i="1"/>
  <c r="Q2263" i="1"/>
  <c r="Q1398" i="1"/>
  <c r="Q2082" i="1"/>
  <c r="Q1480" i="1"/>
  <c r="Q2159" i="1"/>
  <c r="Q2067" i="1"/>
  <c r="Q596" i="1"/>
  <c r="Q257" i="1"/>
  <c r="Q849" i="1"/>
  <c r="Q1623" i="1"/>
  <c r="Q2058" i="1"/>
  <c r="Q79" i="1"/>
  <c r="Q1859" i="1"/>
  <c r="Q1510" i="1"/>
  <c r="Q2325" i="1"/>
  <c r="Q372" i="1"/>
  <c r="Q120" i="1"/>
  <c r="Q2181" i="1"/>
  <c r="Q2348" i="1"/>
  <c r="Q438" i="1"/>
  <c r="Q903" i="1"/>
  <c r="Q462" i="1"/>
  <c r="Q461" i="1"/>
  <c r="Q2116" i="1"/>
  <c r="Q2342" i="1"/>
  <c r="Q1742" i="1"/>
  <c r="Q2399" i="1"/>
  <c r="Q1720" i="1"/>
  <c r="Q451" i="1"/>
  <c r="Q1281" i="1"/>
  <c r="Q2019" i="1"/>
  <c r="Q191" i="1"/>
  <c r="Q181" i="1"/>
  <c r="Q1420" i="1"/>
  <c r="Q267" i="1"/>
  <c r="Q1047" i="1"/>
  <c r="Q832" i="1"/>
  <c r="Q309" i="1"/>
  <c r="Q1490" i="1"/>
  <c r="Q194" i="1"/>
  <c r="Q246" i="1"/>
  <c r="Q1764" i="1"/>
  <c r="Q205" i="1"/>
  <c r="Q1335" i="1"/>
  <c r="Q703" i="1"/>
  <c r="Q445" i="1"/>
  <c r="Q1400" i="1"/>
  <c r="Q1006" i="1"/>
  <c r="Q2507" i="1"/>
  <c r="Q922" i="1"/>
  <c r="Q2665" i="1"/>
  <c r="Q1675" i="1"/>
  <c r="Q39" i="1"/>
  <c r="Q1264" i="1"/>
  <c r="Q2568" i="1"/>
  <c r="Q1348" i="1"/>
  <c r="Q2640" i="1"/>
  <c r="Q2232" i="1"/>
  <c r="Q1200" i="1"/>
  <c r="Q1568" i="1"/>
  <c r="Q1325" i="1"/>
  <c r="Q1639" i="1"/>
  <c r="Q2598" i="1"/>
  <c r="Q2509" i="1"/>
  <c r="Q76" i="1"/>
  <c r="Q2374" i="1"/>
  <c r="Q941" i="1"/>
  <c r="Q2422" i="1"/>
  <c r="Q433" i="1"/>
  <c r="Q1656" i="1"/>
  <c r="Q598" i="1"/>
  <c r="Q518" i="1"/>
  <c r="Q88" i="1"/>
  <c r="Q1319" i="1"/>
  <c r="Q2144" i="1"/>
  <c r="Q1731" i="1"/>
  <c r="Q2450" i="1"/>
  <c r="Q2430" i="1"/>
  <c r="Q1162" i="1"/>
  <c r="Q106" i="1"/>
  <c r="Q2264" i="1"/>
  <c r="Q315" i="1"/>
  <c r="Q132" i="1"/>
  <c r="Q34" i="1"/>
  <c r="Q2208" i="1"/>
  <c r="Q2546" i="1"/>
  <c r="Q995" i="1"/>
  <c r="Q2567" i="1"/>
  <c r="Q926" i="1"/>
  <c r="Q2315" i="1"/>
  <c r="Q6" i="1"/>
  <c r="Q1628" i="1"/>
  <c r="Q288" i="1"/>
  <c r="Q753" i="1"/>
  <c r="Q2137" i="1"/>
  <c r="Q988" i="1"/>
  <c r="Q269" i="1"/>
  <c r="Q2395" i="1"/>
  <c r="Q420" i="1"/>
  <c r="Q754" i="1"/>
  <c r="Q613" i="1"/>
  <c r="Q1361" i="1"/>
  <c r="Q857" i="1"/>
  <c r="Q1243" i="1"/>
  <c r="Q1137" i="1"/>
  <c r="Q149" i="1"/>
  <c r="Q1573" i="1"/>
  <c r="Q2148" i="1"/>
  <c r="Q545" i="1"/>
  <c r="Q2154" i="1"/>
  <c r="Q1906" i="1"/>
  <c r="Q1894" i="1"/>
  <c r="Q2215" i="1"/>
  <c r="Q1113" i="1"/>
  <c r="Q440" i="1"/>
  <c r="Q1751" i="1"/>
  <c r="Q2553" i="1"/>
  <c r="Q1802" i="1"/>
  <c r="Q1263" i="1"/>
  <c r="Q276" i="1"/>
  <c r="Q1798" i="1"/>
  <c r="Q1931" i="1"/>
  <c r="Q1658" i="1"/>
  <c r="Q385" i="1"/>
  <c r="Q2437" i="1"/>
  <c r="Q429" i="1"/>
  <c r="Q1127" i="1"/>
  <c r="Q1344" i="1"/>
  <c r="Q1224" i="1"/>
  <c r="Q327" i="1"/>
  <c r="Q2239" i="1"/>
  <c r="Q1434" i="1"/>
  <c r="Q2072" i="1"/>
  <c r="Q1758" i="1"/>
  <c r="Q1003" i="1"/>
  <c r="Q2251" i="1"/>
  <c r="Q2247" i="1"/>
  <c r="Q1701" i="1"/>
  <c r="Q14" i="1"/>
  <c r="Q19" i="1"/>
  <c r="Q801" i="1"/>
  <c r="Q1717" i="1"/>
  <c r="Q1223" i="1"/>
  <c r="Q1850" i="1"/>
  <c r="Q1138" i="1"/>
  <c r="Q1531" i="1"/>
  <c r="Q2707" i="1"/>
  <c r="Q981" i="1"/>
  <c r="Q499" i="1"/>
  <c r="Q254" i="1"/>
  <c r="Q2486" i="1"/>
  <c r="Q1366" i="1"/>
  <c r="Q1954" i="1"/>
  <c r="Q2426" i="1"/>
  <c r="Q665" i="1"/>
  <c r="Q1987" i="1"/>
  <c r="Q1911" i="1"/>
  <c r="Q1468" i="1"/>
  <c r="Q1481" i="1"/>
  <c r="Q1232" i="1"/>
  <c r="Q424" i="1"/>
  <c r="Q819" i="1"/>
  <c r="Q1417" i="1"/>
  <c r="Q2191" i="1"/>
  <c r="Q1945" i="1"/>
  <c r="Q1648" i="1"/>
  <c r="Q265" i="1"/>
  <c r="Q211" i="1"/>
  <c r="Q1283" i="1"/>
  <c r="Q2340" i="1"/>
  <c r="Q1534" i="1"/>
  <c r="Q2189" i="1"/>
  <c r="Q2224" i="1"/>
  <c r="Q1372" i="1"/>
  <c r="Q1809" i="1"/>
  <c r="Q1610" i="1"/>
  <c r="Q208" i="1"/>
  <c r="Q2316" i="1"/>
  <c r="Q2427" i="1"/>
  <c r="Q1907" i="1"/>
  <c r="Q2025" i="1"/>
  <c r="Q1887" i="1"/>
  <c r="Q1960" i="1"/>
  <c r="Q1404" i="1"/>
  <c r="Q2307" i="1"/>
  <c r="Q1505" i="1"/>
  <c r="Q1226" i="1"/>
  <c r="Q1057" i="1"/>
  <c r="Q2511" i="1"/>
  <c r="Q1229" i="1"/>
  <c r="Q2586" i="1"/>
  <c r="Q1908" i="1"/>
  <c r="Q337" i="1"/>
  <c r="Q2257" i="1"/>
  <c r="Q2474" i="1"/>
  <c r="Q2018" i="1"/>
  <c r="Q1027" i="1"/>
  <c r="Q56" i="1"/>
  <c r="Q143" i="1"/>
  <c r="Q664" i="1"/>
  <c r="Q1670" i="1"/>
  <c r="Q2173" i="1"/>
  <c r="Q1493" i="1"/>
  <c r="Q900" i="1"/>
  <c r="Q896" i="1"/>
  <c r="Q480" i="1"/>
  <c r="Q353" i="1"/>
  <c r="Q784" i="1"/>
  <c r="Q1103" i="1"/>
  <c r="Q1205" i="1"/>
  <c r="Q2211" i="1"/>
  <c r="Q1350" i="1"/>
  <c r="Q1270" i="1"/>
  <c r="Q2255" i="1"/>
  <c r="Q243" i="1"/>
  <c r="Q1622" i="1"/>
  <c r="Q1930" i="1"/>
  <c r="Q165" i="1"/>
  <c r="Q1996" i="1"/>
  <c r="Q26" i="1"/>
  <c r="Q1215" i="1"/>
  <c r="Q1292" i="1"/>
  <c r="Q880" i="1"/>
  <c r="Q2171" i="1"/>
  <c r="Q185" i="1"/>
  <c r="Q2622" i="1"/>
  <c r="Q2262" i="1"/>
  <c r="Q1216" i="1"/>
  <c r="Q112" i="1"/>
  <c r="Q585" i="1"/>
  <c r="Q1661" i="1"/>
  <c r="Q694" i="1"/>
  <c r="Q622" i="1"/>
  <c r="Q1546" i="1"/>
  <c r="Q2012" i="1"/>
  <c r="Q1709" i="1"/>
  <c r="Q2228" i="1"/>
  <c r="Q2184" i="1"/>
  <c r="Q1359" i="1"/>
  <c r="Q763" i="1"/>
  <c r="Q680" i="1"/>
  <c r="Q609" i="1"/>
  <c r="Q381" i="1"/>
  <c r="Q199" i="1"/>
  <c r="Q2292" i="1"/>
  <c r="Q2632" i="1"/>
  <c r="Q2073" i="1"/>
  <c r="Q1654" i="1"/>
  <c r="Q41" i="1"/>
  <c r="Q1707" i="1"/>
  <c r="Q663" i="1"/>
  <c r="Q810" i="1"/>
  <c r="Q439" i="1"/>
  <c r="Q20" i="1"/>
  <c r="Q1061" i="1"/>
  <c r="Q2417" i="1"/>
  <c r="Q283" i="1"/>
  <c r="Q1771" i="1"/>
  <c r="Q2548" i="1"/>
  <c r="Q1862" i="1"/>
  <c r="Q1557" i="1"/>
  <c r="Q1791" i="1"/>
  <c r="Q407" i="1"/>
  <c r="Q589" i="1"/>
  <c r="Q2129" i="1"/>
  <c r="Q1688" i="1"/>
  <c r="Q2420" i="1"/>
  <c r="Q2196" i="1"/>
  <c r="Q998" i="1"/>
  <c r="Q201" i="1"/>
  <c r="Q2100" i="1"/>
  <c r="Q1425" i="1"/>
  <c r="Q131" i="1"/>
  <c r="Q2147" i="1"/>
  <c r="Q2463" i="1"/>
  <c r="Q2521" i="1"/>
  <c r="Q2321" i="1"/>
  <c r="Q889" i="1"/>
  <c r="Q1001" i="1"/>
  <c r="Q2087" i="1"/>
  <c r="Q644" i="1"/>
  <c r="Q1377" i="1"/>
  <c r="Q1005" i="1"/>
  <c r="Q1413" i="1"/>
  <c r="Q950" i="1"/>
  <c r="Q109" i="1"/>
  <c r="Q1015" i="1"/>
  <c r="Q2158" i="1"/>
  <c r="Q723" i="1"/>
  <c r="Q1741" i="1"/>
  <c r="Q1053" i="1"/>
  <c r="Q895" i="1"/>
  <c r="Q289" i="1"/>
  <c r="Q1121" i="1"/>
  <c r="Q513" i="1"/>
  <c r="Q624" i="1"/>
  <c r="Q851" i="1"/>
  <c r="Q768" i="1"/>
  <c r="Q1767" i="1"/>
  <c r="Q1976" i="1"/>
  <c r="Q156" i="1"/>
  <c r="Q82" i="1"/>
  <c r="Q378" i="1"/>
  <c r="Q611" i="1"/>
  <c r="Q1651" i="1"/>
  <c r="Q1147" i="1"/>
  <c r="Q504" i="1"/>
  <c r="Q1671" i="1"/>
  <c r="Q1375" i="1"/>
  <c r="Q1839" i="1"/>
  <c r="Q917" i="1"/>
  <c r="Q273" i="1"/>
  <c r="Q2097" i="1"/>
  <c r="Q1426" i="1"/>
  <c r="Q2646" i="1"/>
  <c r="Q2209" i="1"/>
  <c r="Q1433" i="1"/>
  <c r="Q1825" i="1"/>
  <c r="Q1948" i="1"/>
  <c r="Q878" i="1"/>
  <c r="Q1333" i="1"/>
  <c r="Q2362" i="1"/>
  <c r="Q63" i="1"/>
  <c r="Q2133" i="1"/>
  <c r="Q173" i="1"/>
  <c r="Q525" i="1"/>
  <c r="Q1004" i="1"/>
  <c r="Q302" i="1"/>
  <c r="Q974" i="1"/>
  <c r="Q2434" i="1"/>
  <c r="Q1321" i="1"/>
  <c r="Q1912" i="1"/>
  <c r="Q400" i="1"/>
  <c r="Q1952" i="1"/>
  <c r="Q770" i="1"/>
  <c r="Q335" i="1"/>
  <c r="Q1700" i="1"/>
  <c r="Q866" i="1"/>
  <c r="Q1589" i="1"/>
  <c r="Q121" i="1"/>
  <c r="Q1712" i="1"/>
  <c r="Q2455" i="1"/>
  <c r="Q1202" i="1"/>
  <c r="Q1727" i="1"/>
  <c r="Q1587" i="1"/>
  <c r="Q418" i="1"/>
  <c r="Q1891" i="1"/>
  <c r="Q1396" i="1"/>
  <c r="Q1525" i="1"/>
  <c r="Q2103" i="1"/>
  <c r="Q347" i="1"/>
  <c r="Q332" i="1"/>
  <c r="Q2286" i="1"/>
  <c r="Q10" i="1"/>
  <c r="Q862" i="1"/>
  <c r="Q101" i="1"/>
  <c r="Q1909" i="1"/>
  <c r="Q1339" i="1"/>
  <c r="Q1548" i="1"/>
  <c r="Q349" i="1"/>
  <c r="Q376" i="1"/>
  <c r="Q1175" i="1"/>
  <c r="Q1092" i="1"/>
  <c r="Q1110" i="1"/>
  <c r="Q940" i="1"/>
  <c r="Q1077" i="1"/>
  <c r="Q1241" i="1"/>
  <c r="Q184" i="1"/>
  <c r="Q398" i="1"/>
  <c r="Q2527" i="1"/>
  <c r="Q1239" i="1"/>
  <c r="Q128" i="1"/>
  <c r="Q2519" i="1"/>
  <c r="Q329" i="1"/>
  <c r="Q113" i="1"/>
  <c r="Q2139" i="1"/>
  <c r="Q1393" i="1"/>
  <c r="Q2" i="1"/>
  <c r="Q1023" i="1"/>
  <c r="Q1409" i="1"/>
  <c r="Q2376" i="1"/>
  <c r="Q1813" i="1"/>
  <c r="Q683" i="1"/>
  <c r="Q1745" i="1"/>
  <c r="Q1578" i="1"/>
  <c r="Q752" i="1"/>
  <c r="Q1299" i="1"/>
  <c r="Q406" i="1"/>
  <c r="Q647" i="1"/>
  <c r="Q222" i="1"/>
  <c r="Q2555" i="1"/>
  <c r="Q2295" i="1"/>
  <c r="Q1354" i="1"/>
  <c r="Q1541" i="1"/>
  <c r="Q2458" i="1"/>
  <c r="Q401" i="1"/>
  <c r="Q497" i="1"/>
  <c r="Q43" i="1"/>
  <c r="Q879" i="1"/>
  <c r="Q1373" i="1"/>
  <c r="Q696" i="1"/>
  <c r="Q1822" i="1"/>
  <c r="Q1689" i="1"/>
  <c r="Q1492" i="1"/>
  <c r="Q1012" i="1"/>
  <c r="Q118" i="1"/>
  <c r="Q2393" i="1"/>
  <c r="Q33" i="1"/>
  <c r="Q2363" i="1"/>
  <c r="Q1981" i="1"/>
  <c r="Q2169" i="1"/>
  <c r="Q678" i="1"/>
  <c r="Q2351" i="1"/>
  <c r="Q2282" i="1"/>
  <c r="Q2331" i="1"/>
  <c r="Q1901" i="1"/>
  <c r="Q2537" i="1"/>
  <c r="Q1732" i="1"/>
  <c r="Q2099" i="1"/>
  <c r="Q1412" i="1"/>
  <c r="Q1747" i="1"/>
  <c r="Q621" i="1"/>
  <c r="Q1521" i="1"/>
  <c r="Q627" i="1"/>
  <c r="Q614" i="1"/>
  <c r="Q947" i="1"/>
  <c r="Q2056" i="1"/>
  <c r="Q1311" i="1"/>
  <c r="Q1090" i="1"/>
  <c r="Q952" i="1"/>
  <c r="Q2236" i="1"/>
  <c r="Q2470" i="1"/>
  <c r="Q2414" i="1"/>
  <c r="Q1536" i="1"/>
  <c r="Q1297" i="1"/>
  <c r="Q2070" i="1"/>
  <c r="Q1041" i="1"/>
  <c r="Q2442" i="1"/>
  <c r="Q1977" i="1"/>
  <c r="Q2" i="12"/>
  <c r="Z15" i="12"/>
  <c r="Z13" i="12" s="1"/>
  <c r="S32" i="12"/>
  <c r="V32" i="12" s="1"/>
  <c r="S28" i="12"/>
  <c r="V28" i="12" s="1"/>
  <c r="S20" i="12"/>
  <c r="V20" i="12" s="1"/>
  <c r="S30" i="12"/>
  <c r="V30" i="12" s="1"/>
  <c r="S26" i="12"/>
  <c r="V26" i="12" s="1"/>
  <c r="S22" i="12"/>
  <c r="V22" i="12" s="1"/>
  <c r="S29" i="12"/>
  <c r="V29" i="12" s="1"/>
  <c r="S27" i="12"/>
  <c r="V27" i="12" s="1"/>
  <c r="S25" i="12"/>
  <c r="V25" i="12" s="1"/>
  <c r="S23" i="12"/>
  <c r="V23" i="12" s="1"/>
  <c r="S21" i="12"/>
  <c r="V21" i="12" s="1"/>
  <c r="S19" i="12"/>
  <c r="V19" i="12" s="1"/>
  <c r="S33" i="12"/>
  <c r="V33" i="12" s="1"/>
  <c r="S31" i="12"/>
  <c r="V31" i="12" s="1"/>
  <c r="C18" i="12"/>
  <c r="S24" i="12"/>
  <c r="V24" i="12" s="1"/>
  <c r="Z3" i="12"/>
  <c r="P2" i="12"/>
  <c r="M7" i="13"/>
  <c r="M16" i="13"/>
  <c r="M18" i="13"/>
  <c r="N9" i="13"/>
  <c r="L12" i="13"/>
  <c r="N10" i="13"/>
  <c r="N8" i="13"/>
  <c r="N13" i="13"/>
  <c r="N18" i="13"/>
  <c r="L8" i="13"/>
  <c r="N7" i="13"/>
  <c r="L11" i="13"/>
  <c r="M13" i="13"/>
  <c r="M12" i="13"/>
  <c r="L13" i="13"/>
  <c r="L14" i="13"/>
  <c r="M10" i="13"/>
  <c r="M11" i="13"/>
  <c r="N17" i="13"/>
  <c r="N14" i="13"/>
  <c r="N16" i="13"/>
  <c r="N12" i="13"/>
  <c r="L17" i="13"/>
  <c r="M8" i="13"/>
  <c r="M14" i="13"/>
  <c r="M17" i="13"/>
  <c r="N11" i="13"/>
  <c r="M15" i="13"/>
  <c r="L15" i="13"/>
  <c r="M19" i="13"/>
  <c r="L9" i="13"/>
  <c r="L7" i="13"/>
  <c r="L18" i="13"/>
  <c r="N19" i="13"/>
  <c r="L10" i="13"/>
  <c r="M9" i="13"/>
  <c r="N15" i="13"/>
  <c r="L19" i="13"/>
  <c r="L16" i="13"/>
  <c r="Z6" i="12" l="1"/>
  <c r="Z12" i="12"/>
  <c r="Z10" i="12"/>
  <c r="Z4" i="12"/>
  <c r="Z11" i="12"/>
  <c r="Z9" i="12"/>
  <c r="Z7" i="12"/>
  <c r="Z5" i="12"/>
  <c r="Z8" i="12"/>
  <c r="Z14" i="12"/>
  <c r="O16" i="13"/>
  <c r="O19" i="13"/>
  <c r="O10" i="13"/>
  <c r="O18" i="13"/>
  <c r="O7" i="13"/>
  <c r="L20" i="13"/>
  <c r="O9" i="13"/>
  <c r="O15" i="13"/>
  <c r="O17" i="13"/>
  <c r="O14" i="13"/>
  <c r="O13" i="13"/>
  <c r="O11" i="13"/>
  <c r="N20" i="13"/>
  <c r="O8" i="13"/>
  <c r="O12" i="13"/>
  <c r="M20" i="13"/>
  <c r="O2" i="12"/>
  <c r="F12" i="14"/>
  <c r="A13" i="14"/>
  <c r="M1" i="5"/>
  <c r="M1" i="9"/>
  <c r="E142" i="5"/>
  <c r="H62" i="14"/>
  <c r="L61" i="14"/>
  <c r="BB141" i="5"/>
  <c r="D11" i="4"/>
  <c r="AM17" i="4"/>
  <c r="AM18" i="4" s="1"/>
  <c r="AM19" i="4" s="1"/>
  <c r="AM20" i="4" s="1"/>
  <c r="AM21" i="4" s="1"/>
  <c r="AM22" i="4" s="1"/>
  <c r="AM23" i="4" s="1"/>
  <c r="AM24" i="4" s="1"/>
  <c r="AM25" i="4" s="1"/>
  <c r="AM26" i="4" s="1"/>
  <c r="AM27" i="4" s="1"/>
  <c r="D12" i="4"/>
  <c r="N33" i="4"/>
  <c r="N34" i="4" s="1"/>
  <c r="N35" i="4" s="1"/>
  <c r="N36" i="4" s="1"/>
  <c r="N37" i="4" s="1"/>
  <c r="N38" i="4" s="1"/>
  <c r="N39" i="4" s="1"/>
  <c r="N40" i="4" s="1"/>
  <c r="N41" i="4" s="1"/>
  <c r="N42" i="4" s="1"/>
  <c r="N43" i="4" s="1"/>
  <c r="N44" i="4" s="1"/>
  <c r="N45" i="4" s="1"/>
  <c r="N46" i="4" s="1"/>
  <c r="N47" i="4" s="1"/>
  <c r="N48" i="4" s="1"/>
  <c r="N49" i="4" s="1"/>
  <c r="N50" i="4" s="1"/>
  <c r="N51" i="4" s="1"/>
  <c r="N52" i="4" s="1"/>
  <c r="N53" i="4" s="1"/>
  <c r="N54" i="4" s="1"/>
  <c r="N55" i="4" s="1"/>
  <c r="D6" i="4"/>
  <c r="AC17" i="4"/>
  <c r="AC18" i="4" s="1"/>
  <c r="AC19" i="4" s="1"/>
  <c r="AC20" i="4" s="1"/>
  <c r="D10" i="4"/>
  <c r="AV141" i="5"/>
  <c r="BA125" i="9"/>
  <c r="C125" i="9" s="1"/>
  <c r="AC142" i="9"/>
  <c r="AD142" i="5" s="1"/>
  <c r="AK142" i="9"/>
  <c r="AL142" i="5" s="1"/>
  <c r="AE141" i="9"/>
  <c r="B62" i="5"/>
  <c r="B15" i="8"/>
  <c r="E141" i="9"/>
  <c r="E142" i="9"/>
  <c r="F142" i="5" s="1"/>
  <c r="K142" i="9"/>
  <c r="L142" i="5" s="1"/>
  <c r="K141" i="9"/>
  <c r="K144" i="9" s="1"/>
  <c r="BA8" i="9"/>
  <c r="C8" i="9" s="1"/>
  <c r="F141" i="9"/>
  <c r="F144" i="9" s="1"/>
  <c r="F143" i="9"/>
  <c r="C49" i="9"/>
  <c r="A5" i="5"/>
  <c r="A9" i="5"/>
  <c r="A15" i="5"/>
  <c r="A33" i="5"/>
  <c r="A64" i="5"/>
  <c r="A75" i="5"/>
  <c r="A78" i="5"/>
  <c r="A82" i="5"/>
  <c r="A85" i="5"/>
  <c r="A96" i="5"/>
  <c r="A105" i="5"/>
  <c r="A111" i="5"/>
  <c r="A116" i="5"/>
  <c r="A123" i="5"/>
  <c r="A140" i="5"/>
  <c r="A21" i="8"/>
  <c r="A49" i="8"/>
  <c r="A128" i="8"/>
  <c r="B119" i="5"/>
  <c r="B83" i="5"/>
  <c r="B79" i="5"/>
  <c r="B51" i="5"/>
  <c r="B46" i="5"/>
  <c r="B31" i="5"/>
  <c r="B6" i="5"/>
  <c r="B63" i="5"/>
  <c r="G143" i="9"/>
  <c r="H143" i="5" s="1"/>
  <c r="N141" i="9"/>
  <c r="N144" i="9" s="1"/>
  <c r="L141" i="9"/>
  <c r="L144" i="9" s="1"/>
  <c r="L143" i="9"/>
  <c r="M143" i="5" s="1"/>
  <c r="N143" i="9"/>
  <c r="O143" i="5" s="1"/>
  <c r="P143" i="9"/>
  <c r="Q143" i="5" s="1"/>
  <c r="V141" i="9"/>
  <c r="V144" i="9" s="1"/>
  <c r="Q142" i="9"/>
  <c r="R142" i="5" s="1"/>
  <c r="U141" i="9"/>
  <c r="U144" i="9" s="1"/>
  <c r="J143" i="9"/>
  <c r="K143" i="5" s="1"/>
  <c r="T143" i="9"/>
  <c r="U143" i="5" s="1"/>
  <c r="T141" i="9"/>
  <c r="T144" i="9" s="1"/>
  <c r="O142" i="9"/>
  <c r="P142" i="5" s="1"/>
  <c r="O143" i="9"/>
  <c r="P143" i="5" s="1"/>
  <c r="C78" i="9"/>
  <c r="BA108" i="9"/>
  <c r="C108" i="9" s="1"/>
  <c r="AB143" i="9"/>
  <c r="AC143" i="5" s="1"/>
  <c r="AB142" i="9"/>
  <c r="AC142" i="5" s="1"/>
  <c r="I5" i="4"/>
  <c r="I6" i="4" s="1"/>
  <c r="I7" i="4" s="1"/>
  <c r="I8" i="4" s="1"/>
  <c r="I9" i="4" s="1"/>
  <c r="I10" i="4" s="1"/>
  <c r="I11" i="4" s="1"/>
  <c r="I12" i="4" s="1"/>
  <c r="I13" i="4" s="1"/>
  <c r="I14" i="4" s="1"/>
  <c r="I15" i="4" s="1"/>
  <c r="I16" i="4" s="1"/>
  <c r="I17" i="4" s="1"/>
  <c r="I18" i="4" s="1"/>
  <c r="I19" i="4" s="1"/>
  <c r="I20" i="4" s="1"/>
  <c r="I21" i="4" s="1"/>
  <c r="I22" i="4" s="1"/>
  <c r="I23" i="4" s="1"/>
  <c r="I24" i="4" s="1"/>
  <c r="I25" i="4" s="1"/>
  <c r="I26" i="4" s="1"/>
  <c r="I27" i="4" s="1"/>
  <c r="I28" i="4" s="1"/>
  <c r="I29" i="4" s="1"/>
  <c r="I30" i="4" s="1"/>
  <c r="I31" i="4" s="1"/>
  <c r="I32" i="4" s="1"/>
  <c r="BA124" i="9"/>
  <c r="C124" i="9" s="1"/>
  <c r="AA142" i="9"/>
  <c r="AB142" i="5" s="1"/>
  <c r="AA143" i="9"/>
  <c r="AB143" i="5" s="1"/>
  <c r="Y143" i="9"/>
  <c r="Z143" i="5" s="1"/>
  <c r="I33" i="4" l="1"/>
  <c r="I34" i="4" s="1"/>
  <c r="I35" i="4" s="1"/>
  <c r="I36" i="4" s="1"/>
  <c r="I37" i="4" s="1"/>
  <c r="I38" i="4" s="1"/>
  <c r="I39" i="4" s="1"/>
  <c r="I40" i="4" s="1"/>
  <c r="I41" i="4" s="1"/>
  <c r="I42" i="4" s="1"/>
  <c r="I43" i="4" s="1"/>
  <c r="I44" i="4" s="1"/>
  <c r="I45" i="4" s="1"/>
  <c r="I46" i="4" s="1"/>
  <c r="I47" i="4" s="1"/>
  <c r="I48" i="4" s="1"/>
  <c r="I49" i="4" s="1"/>
  <c r="I50" i="4" s="1"/>
  <c r="I51" i="4" s="1"/>
  <c r="I52" i="4" s="1"/>
  <c r="I53" i="4" s="1"/>
  <c r="I54" i="4" s="1"/>
  <c r="E21" i="8"/>
  <c r="D21" i="8"/>
  <c r="F21" i="8"/>
  <c r="C21" i="8"/>
  <c r="J21" i="8"/>
  <c r="I21" i="8"/>
  <c r="H21" i="8"/>
  <c r="G21" i="8"/>
  <c r="E49" i="8"/>
  <c r="D49" i="8"/>
  <c r="I49" i="8"/>
  <c r="H49" i="8"/>
  <c r="G49" i="8"/>
  <c r="F49" i="8"/>
  <c r="C49" i="8"/>
  <c r="J49" i="8"/>
  <c r="G143" i="5"/>
  <c r="E144" i="9"/>
  <c r="BA141" i="9"/>
  <c r="C1" i="9" s="1"/>
  <c r="C141" i="9" s="1"/>
  <c r="BA142" i="9"/>
  <c r="L62" i="14"/>
  <c r="H63" i="14"/>
  <c r="BB142" i="5"/>
  <c r="N1" i="9"/>
  <c r="N1" i="5"/>
  <c r="F13" i="14"/>
  <c r="A14" i="14"/>
  <c r="O20" i="13"/>
  <c r="E128" i="8"/>
  <c r="D128" i="8"/>
  <c r="F128" i="8"/>
  <c r="C128" i="8"/>
  <c r="J128" i="8"/>
  <c r="I128" i="8"/>
  <c r="H128" i="8"/>
  <c r="G128" i="8"/>
  <c r="D4" i="4"/>
  <c r="N2" i="12"/>
  <c r="F148" i="8" l="1"/>
  <c r="O9" i="11" s="1"/>
  <c r="F142" i="8"/>
  <c r="F147" i="8"/>
  <c r="Q8" i="11" s="1"/>
  <c r="F146" i="8"/>
  <c r="O8" i="11" s="1"/>
  <c r="F144" i="8"/>
  <c r="O7" i="11" s="1"/>
  <c r="F141" i="8"/>
  <c r="F145" i="8"/>
  <c r="Q7" i="11" s="1"/>
  <c r="F149" i="8"/>
  <c r="Q9" i="11" s="1"/>
  <c r="O1" i="9"/>
  <c r="O1" i="5"/>
  <c r="I142" i="8"/>
  <c r="I150" i="8" s="1"/>
  <c r="I141" i="8"/>
  <c r="D147" i="8"/>
  <c r="E8" i="11" s="1"/>
  <c r="D141" i="8"/>
  <c r="D148" i="8"/>
  <c r="C9" i="11" s="1"/>
  <c r="D146" i="8"/>
  <c r="C8" i="11" s="1"/>
  <c r="D142" i="8"/>
  <c r="D149" i="8"/>
  <c r="E9" i="11" s="1"/>
  <c r="D145" i="8"/>
  <c r="E7" i="11" s="1"/>
  <c r="D144" i="8"/>
  <c r="C7" i="11" s="1"/>
  <c r="H141" i="8"/>
  <c r="H142" i="8"/>
  <c r="H150" i="8" s="1"/>
  <c r="A15" i="14"/>
  <c r="F14" i="14"/>
  <c r="J142" i="8"/>
  <c r="J150" i="8" s="1"/>
  <c r="J141" i="8"/>
  <c r="E144" i="8"/>
  <c r="I7" i="11" s="1"/>
  <c r="E149" i="8"/>
  <c r="K9" i="11" s="1"/>
  <c r="E145" i="8"/>
  <c r="K7" i="11" s="1"/>
  <c r="E146" i="8"/>
  <c r="I8" i="11" s="1"/>
  <c r="E148" i="8"/>
  <c r="I9" i="11" s="1"/>
  <c r="E142" i="8"/>
  <c r="E147" i="8"/>
  <c r="K8" i="11" s="1"/>
  <c r="E141" i="8"/>
  <c r="H64" i="14"/>
  <c r="L64" i="14" s="1"/>
  <c r="L63" i="14"/>
  <c r="G142" i="8"/>
  <c r="G150" i="8" s="1"/>
  <c r="G141" i="8"/>
  <c r="C144" i="8"/>
  <c r="C142" i="8"/>
  <c r="C148" i="8"/>
  <c r="C149" i="8"/>
  <c r="C145" i="8"/>
  <c r="C141" i="8"/>
  <c r="C147" i="8"/>
  <c r="C146" i="8"/>
  <c r="D5" i="4"/>
  <c r="E150" i="8" l="1"/>
  <c r="Q10" i="11"/>
  <c r="Q21" i="11" s="1"/>
  <c r="E10" i="11"/>
  <c r="E21" i="11" s="1"/>
  <c r="A16" i="14"/>
  <c r="F15" i="14"/>
  <c r="D150" i="8"/>
  <c r="F150" i="8"/>
  <c r="C150" i="8"/>
  <c r="K10" i="11"/>
  <c r="K21" i="11" s="1"/>
  <c r="P1" i="9"/>
  <c r="P1" i="5"/>
  <c r="Q1" i="9" l="1"/>
  <c r="Q1" i="5"/>
  <c r="A17" i="14"/>
  <c r="F16" i="14"/>
  <c r="F17" i="14" l="1"/>
  <c r="A18" i="14"/>
  <c r="R1" i="9"/>
  <c r="R1" i="5"/>
  <c r="F18" i="14" l="1"/>
  <c r="A19" i="14"/>
  <c r="S1" i="5"/>
  <c r="S1" i="9"/>
  <c r="F19" i="14" l="1"/>
  <c r="A20" i="14"/>
  <c r="T1" i="9"/>
  <c r="T1" i="5"/>
  <c r="U1" i="9" l="1"/>
  <c r="U1" i="5"/>
  <c r="F20" i="14"/>
  <c r="A21" i="14"/>
  <c r="A22" i="14" l="1"/>
  <c r="F21" i="14"/>
  <c r="V1" i="9"/>
  <c r="V1" i="5"/>
  <c r="W1" i="5" l="1"/>
  <c r="W1" i="9"/>
  <c r="F22" i="14"/>
  <c r="A23" i="14"/>
  <c r="X1" i="5" l="1"/>
  <c r="X1" i="9"/>
  <c r="F23" i="14"/>
  <c r="A24" i="14"/>
  <c r="A25" i="14" l="1"/>
  <c r="F24" i="14"/>
  <c r="Y1" i="5"/>
  <c r="Y1" i="9"/>
  <c r="Z1" i="5" l="1"/>
  <c r="Z1" i="9"/>
  <c r="F25" i="14"/>
  <c r="A26" i="14"/>
  <c r="A27" i="14" l="1"/>
  <c r="F26" i="14"/>
  <c r="AA1" i="9"/>
  <c r="AA1" i="5"/>
  <c r="AB1" i="9" l="1"/>
  <c r="AB1" i="5"/>
  <c r="F27" i="14"/>
  <c r="A28" i="14"/>
  <c r="A29" i="14" l="1"/>
  <c r="F28" i="14"/>
  <c r="AC1" i="9"/>
  <c r="AC1" i="5"/>
  <c r="AD1" i="9" l="1"/>
  <c r="AD1" i="5"/>
  <c r="F29" i="14"/>
  <c r="A30" i="14"/>
  <c r="F30" i="14" l="1"/>
  <c r="A31" i="14"/>
  <c r="AE1" i="5"/>
  <c r="AE1" i="9"/>
  <c r="AF1" i="5" l="1"/>
  <c r="AF1" i="9"/>
  <c r="F31" i="14"/>
  <c r="A32" i="14"/>
  <c r="AG1" i="5" l="1"/>
  <c r="AG1" i="9"/>
  <c r="A33" i="14"/>
  <c r="F32" i="14"/>
  <c r="AH1" i="9" l="1"/>
  <c r="AH1" i="5"/>
  <c r="F33" i="14"/>
  <c r="A34" i="14"/>
  <c r="A35" i="14" l="1"/>
  <c r="F34" i="14"/>
  <c r="AI1" i="5"/>
  <c r="AI1" i="9"/>
  <c r="AJ1" i="5" l="1"/>
  <c r="AJ1" i="9"/>
  <c r="H152" i="8"/>
  <c r="H153" i="8" s="1"/>
  <c r="J152" i="8"/>
  <c r="J153" i="8" s="1"/>
  <c r="C152" i="8"/>
  <c r="C153" i="8" s="1"/>
  <c r="E152" i="8"/>
  <c r="E153" i="8" s="1"/>
  <c r="A36" i="14"/>
  <c r="F36" i="14" s="1"/>
  <c r="AC145" i="9" s="1"/>
  <c r="F35" i="14"/>
  <c r="D152" i="8"/>
  <c r="D153" i="8" s="1"/>
  <c r="F152" i="8"/>
  <c r="F153" i="8" s="1"/>
  <c r="G152" i="8"/>
  <c r="G153" i="8" s="1"/>
  <c r="I152" i="8"/>
  <c r="I153" i="8" s="1"/>
  <c r="AE145" i="9" l="1"/>
  <c r="AK1" i="5"/>
  <c r="AJ145" i="9"/>
  <c r="AK1" i="9"/>
  <c r="AD145" i="9"/>
  <c r="AH145" i="9"/>
  <c r="AF145" i="9"/>
  <c r="AI145" i="9"/>
  <c r="AC146" i="9"/>
  <c r="AD145" i="5" s="1"/>
  <c r="AC147" i="9"/>
  <c r="AD146" i="5" s="1"/>
  <c r="AC143" i="9"/>
  <c r="AD144" i="5"/>
  <c r="AC144" i="9"/>
  <c r="AG145" i="9"/>
  <c r="AD143" i="5" l="1"/>
  <c r="AF143" i="9"/>
  <c r="AG143" i="5" s="1"/>
  <c r="AG144" i="5"/>
  <c r="AF147" i="9"/>
  <c r="AG146" i="5" s="1"/>
  <c r="AF146" i="9"/>
  <c r="AG145" i="5" s="1"/>
  <c r="AF144" i="9"/>
  <c r="AK145" i="9"/>
  <c r="AL1" i="9"/>
  <c r="AL1" i="5"/>
  <c r="AJ144" i="9"/>
  <c r="AJ143" i="9"/>
  <c r="AK143" i="5" s="1"/>
  <c r="AK144" i="5"/>
  <c r="AJ146" i="9"/>
  <c r="AK145" i="5" s="1"/>
  <c r="AJ147" i="9"/>
  <c r="AK146" i="5" s="1"/>
  <c r="AG143" i="9"/>
  <c r="AH143" i="5" s="1"/>
  <c r="AG146" i="9"/>
  <c r="AH145" i="5" s="1"/>
  <c r="AH144" i="5"/>
  <c r="AG147" i="9"/>
  <c r="AH146" i="5" s="1"/>
  <c r="AG144" i="9"/>
  <c r="AD144" i="9"/>
  <c r="AD143" i="9"/>
  <c r="AE143" i="5" s="1"/>
  <c r="AD146" i="9"/>
  <c r="AE145" i="5" s="1"/>
  <c r="AE144" i="5"/>
  <c r="AD147" i="9"/>
  <c r="AE146" i="5" s="1"/>
  <c r="AH147" i="9"/>
  <c r="AI146" i="5" s="1"/>
  <c r="AH143" i="9"/>
  <c r="AI143" i="5" s="1"/>
  <c r="AH146" i="9"/>
  <c r="AI145" i="5" s="1"/>
  <c r="AI144" i="5"/>
  <c r="AH144" i="9"/>
  <c r="AI143" i="9"/>
  <c r="AJ143" i="5" s="1"/>
  <c r="AI144" i="9"/>
  <c r="AI148" i="9"/>
  <c r="AJ148" i="9" s="1"/>
  <c r="AI147" i="9"/>
  <c r="AJ146" i="5" s="1"/>
  <c r="AI146" i="9"/>
  <c r="AJ145" i="5" s="1"/>
  <c r="AJ144" i="5"/>
  <c r="AE147" i="9"/>
  <c r="AF146" i="5" s="1"/>
  <c r="AE146" i="9"/>
  <c r="AF145" i="5" s="1"/>
  <c r="AE143" i="9"/>
  <c r="AF143" i="5" s="1"/>
  <c r="AF144" i="5"/>
  <c r="AE144" i="9"/>
  <c r="AL144" i="5" l="1"/>
  <c r="AK146" i="9"/>
  <c r="AL145" i="5" s="1"/>
  <c r="AK147" i="9"/>
  <c r="AL146" i="5" s="1"/>
  <c r="AK144" i="9"/>
  <c r="AK148" i="9"/>
  <c r="AK143" i="9"/>
  <c r="AL143" i="5" s="1"/>
  <c r="AL145" i="9"/>
  <c r="AM1" i="5"/>
  <c r="AM1" i="9"/>
  <c r="N37" i="12"/>
  <c r="N35" i="12"/>
  <c r="N3" i="12" s="1"/>
  <c r="N4" i="12" l="1"/>
  <c r="AM145" i="9"/>
  <c r="AN1" i="5"/>
  <c r="AN1" i="9"/>
  <c r="AL147" i="9"/>
  <c r="AM146" i="5" s="1"/>
  <c r="AL146" i="9"/>
  <c r="AM145" i="5" s="1"/>
  <c r="AL143" i="9"/>
  <c r="AM143" i="5" s="1"/>
  <c r="AM144" i="5"/>
  <c r="AL148" i="9"/>
  <c r="AL144" i="9"/>
  <c r="N5" i="12" l="1"/>
  <c r="AN145" i="9"/>
  <c r="AO1" i="5"/>
  <c r="AO1" i="9"/>
  <c r="AA12" i="12"/>
  <c r="AA6" i="12"/>
  <c r="AA7" i="12"/>
  <c r="AA9" i="12"/>
  <c r="AA11" i="12"/>
  <c r="AA8" i="12"/>
  <c r="AA4" i="12"/>
  <c r="AA3" i="12"/>
  <c r="AA10" i="12"/>
  <c r="AA5" i="12"/>
  <c r="Q37" i="12"/>
  <c r="AM146" i="9"/>
  <c r="AN145" i="5" s="1"/>
  <c r="AM143" i="9"/>
  <c r="AN143" i="5" s="1"/>
  <c r="AM148" i="9"/>
  <c r="AM144" i="9"/>
  <c r="AN144" i="5"/>
  <c r="AM147" i="9"/>
  <c r="AN146" i="5" s="1"/>
  <c r="AO145" i="9" l="1"/>
  <c r="AP1" i="9"/>
  <c r="AP1" i="5"/>
  <c r="AA13" i="12"/>
  <c r="AO144" i="5"/>
  <c r="AN146" i="9"/>
  <c r="AN147" i="9"/>
  <c r="AO146" i="5" s="1"/>
  <c r="AN148" i="9"/>
  <c r="AN144" i="9"/>
  <c r="AN143" i="9"/>
  <c r="AO143" i="5" s="1"/>
  <c r="BB143" i="5" s="1"/>
  <c r="N6" i="12"/>
  <c r="N7" i="12" l="1"/>
  <c r="AO145" i="5"/>
  <c r="D18" i="12"/>
  <c r="AQ1" i="5"/>
  <c r="AQ1" i="9"/>
  <c r="AP150" i="9"/>
  <c r="AP145" i="9"/>
  <c r="O35" i="12"/>
  <c r="O3" i="12" s="1"/>
  <c r="O37" i="12"/>
  <c r="P35" i="12"/>
  <c r="P3" i="12" s="1"/>
  <c r="P4" i="12" s="1"/>
  <c r="P5" i="12" s="1"/>
  <c r="P6" i="12" s="1"/>
  <c r="P7" i="12" s="1"/>
  <c r="P8" i="12" s="1"/>
  <c r="P9" i="12" s="1"/>
  <c r="P10" i="12" s="1"/>
  <c r="P11" i="12" s="1"/>
  <c r="P12" i="12" s="1"/>
  <c r="P13" i="12" s="1"/>
  <c r="P14" i="12" s="1"/>
  <c r="P15" i="12" s="1"/>
  <c r="P16" i="12" s="1"/>
  <c r="P17" i="12" s="1"/>
  <c r="P18" i="12" s="1"/>
  <c r="P19" i="12" s="1"/>
  <c r="P20" i="12" s="1"/>
  <c r="P21" i="12" s="1"/>
  <c r="P22" i="12" s="1"/>
  <c r="P23" i="12" s="1"/>
  <c r="P24" i="12" s="1"/>
  <c r="P25" i="12" s="1"/>
  <c r="P26" i="12" s="1"/>
  <c r="P27" i="12" s="1"/>
  <c r="P28" i="12" s="1"/>
  <c r="P29" i="12" s="1"/>
  <c r="P30" i="12" s="1"/>
  <c r="P31" i="12" s="1"/>
  <c r="P32" i="12" s="1"/>
  <c r="P33" i="12" s="1"/>
  <c r="P37" i="12"/>
  <c r="R37" i="12"/>
  <c r="S37" i="12"/>
  <c r="S35" i="12"/>
  <c r="S3" i="12" s="1"/>
  <c r="R35" i="12"/>
  <c r="R3" i="12" s="1"/>
  <c r="R4" i="12" s="1"/>
  <c r="R5" i="12" s="1"/>
  <c r="R6" i="12" s="1"/>
  <c r="R7" i="12" s="1"/>
  <c r="R8" i="12" s="1"/>
  <c r="R9" i="12" s="1"/>
  <c r="R10" i="12" s="1"/>
  <c r="R11" i="12" s="1"/>
  <c r="R12" i="12" s="1"/>
  <c r="R13" i="12" s="1"/>
  <c r="R14" i="12" s="1"/>
  <c r="R15" i="12" s="1"/>
  <c r="R16" i="12" s="1"/>
  <c r="R17" i="12" s="1"/>
  <c r="R18" i="12" s="1"/>
  <c r="R19" i="12" s="1"/>
  <c r="R20" i="12" s="1"/>
  <c r="R21" i="12" s="1"/>
  <c r="R22" i="12" s="1"/>
  <c r="R23" i="12" s="1"/>
  <c r="R24" i="12" s="1"/>
  <c r="R25" i="12" s="1"/>
  <c r="R26" i="12" s="1"/>
  <c r="R27" i="12" s="1"/>
  <c r="R28" i="12" s="1"/>
  <c r="R29" i="12" s="1"/>
  <c r="R30" i="12" s="1"/>
  <c r="R31" i="12" s="1"/>
  <c r="R32" i="12" s="1"/>
  <c r="R33" i="12" s="1"/>
  <c r="Q35" i="12"/>
  <c r="Q3" i="12" s="1"/>
  <c r="Q4" i="12" s="1"/>
  <c r="Q5" i="12" s="1"/>
  <c r="Q6" i="12" s="1"/>
  <c r="Q7" i="12" s="1"/>
  <c r="Q8" i="12" s="1"/>
  <c r="Q9" i="12" s="1"/>
  <c r="Q10" i="12" s="1"/>
  <c r="Q11" i="12" s="1"/>
  <c r="Q12" i="12" s="1"/>
  <c r="Q13" i="12" s="1"/>
  <c r="Q14" i="12" s="1"/>
  <c r="Q15" i="12" s="1"/>
  <c r="Q16" i="12" s="1"/>
  <c r="Q17" i="12" s="1"/>
  <c r="Q18" i="12" s="1"/>
  <c r="Q19" i="12" s="1"/>
  <c r="Q20" i="12" s="1"/>
  <c r="Q21" i="12" s="1"/>
  <c r="Q22" i="12" s="1"/>
  <c r="Q23" i="12" s="1"/>
  <c r="Q24" i="12" s="1"/>
  <c r="Q25" i="12" s="1"/>
  <c r="Q26" i="12" s="1"/>
  <c r="Q27" i="12" s="1"/>
  <c r="Q28" i="12" s="1"/>
  <c r="Q29" i="12" s="1"/>
  <c r="Q30" i="12" s="1"/>
  <c r="Q31" i="12" s="1"/>
  <c r="Q32" i="12" s="1"/>
  <c r="Q33" i="12" s="1"/>
  <c r="AO144" i="9"/>
  <c r="AO148" i="9"/>
  <c r="AO143" i="9"/>
  <c r="AP143" i="5" s="1"/>
  <c r="AO146" i="9"/>
  <c r="AP145" i="5" s="1"/>
  <c r="AP144" i="5"/>
  <c r="AO147" i="9"/>
  <c r="AP146" i="5" s="1"/>
  <c r="V3" i="12" l="1"/>
  <c r="S4" i="12"/>
  <c r="AR1" i="9"/>
  <c r="AR1" i="5"/>
  <c r="AQ150" i="9"/>
  <c r="AQ145" i="9"/>
  <c r="N8" i="12"/>
  <c r="O4" i="12"/>
  <c r="U3" i="12"/>
  <c r="AP143" i="9"/>
  <c r="AQ143" i="5" s="1"/>
  <c r="AP146" i="9"/>
  <c r="AQ145" i="5" s="1"/>
  <c r="AQ144" i="5"/>
  <c r="AP147" i="9"/>
  <c r="AQ146" i="5" s="1"/>
  <c r="AP148" i="9"/>
  <c r="AP144" i="9"/>
  <c r="AQ144" i="9" l="1"/>
  <c r="AQ143" i="9"/>
  <c r="AR143" i="5" s="1"/>
  <c r="AR144" i="5"/>
  <c r="AQ148" i="9"/>
  <c r="AQ146" i="9"/>
  <c r="AR145" i="5" s="1"/>
  <c r="AQ147" i="9"/>
  <c r="AR146" i="5" s="1"/>
  <c r="N9" i="12"/>
  <c r="AR145" i="9"/>
  <c r="AS1" i="9"/>
  <c r="AS1" i="5"/>
  <c r="AR150" i="9"/>
  <c r="V4" i="12"/>
  <c r="S5" i="12"/>
  <c r="O5" i="12"/>
  <c r="U4" i="12"/>
  <c r="N10" i="12" l="1"/>
  <c r="O6" i="12"/>
  <c r="U5" i="12"/>
  <c r="AS145" i="9"/>
  <c r="AT1" i="5"/>
  <c r="AT1" i="9"/>
  <c r="AS150" i="9"/>
  <c r="S6" i="12"/>
  <c r="V5" i="12"/>
  <c r="AR144" i="9"/>
  <c r="AR148" i="9"/>
  <c r="AS144" i="5"/>
  <c r="AR143" i="9"/>
  <c r="AS143" i="5" s="1"/>
  <c r="AR146" i="9"/>
  <c r="AS145" i="5" s="1"/>
  <c r="AR147" i="9"/>
  <c r="AS146" i="5" s="1"/>
  <c r="AT145" i="9" l="1"/>
  <c r="AU1" i="9"/>
  <c r="AU1" i="5"/>
  <c r="AT150" i="9"/>
  <c r="AA15" i="12"/>
  <c r="AA14" i="12"/>
  <c r="AB3" i="12" s="1"/>
  <c r="O7" i="12"/>
  <c r="U6" i="12"/>
  <c r="N11" i="12"/>
  <c r="V6" i="12"/>
  <c r="S7" i="12"/>
  <c r="AS143" i="9"/>
  <c r="AT143" i="5" s="1"/>
  <c r="AS144" i="9"/>
  <c r="AT144" i="5"/>
  <c r="AS147" i="9"/>
  <c r="AT146" i="5" s="1"/>
  <c r="AS146" i="9"/>
  <c r="AT145" i="5" s="1"/>
  <c r="AS148" i="9"/>
  <c r="S8" i="12" l="1"/>
  <c r="V7" i="12"/>
  <c r="O8" i="12"/>
  <c r="U7" i="12"/>
  <c r="N12" i="12"/>
  <c r="AB8" i="12"/>
  <c r="AB9" i="12"/>
  <c r="AB2" i="12"/>
  <c r="AB11" i="12"/>
  <c r="AB15" i="12"/>
  <c r="AB5" i="12"/>
  <c r="AB7" i="12"/>
  <c r="AB4" i="12"/>
  <c r="AB12" i="12"/>
  <c r="AB14" i="12"/>
  <c r="AB13" i="12"/>
  <c r="AB10" i="12"/>
  <c r="AB6" i="12"/>
  <c r="AV1" i="9"/>
  <c r="AV1" i="5"/>
  <c r="AU150" i="9"/>
  <c r="AU145" i="9"/>
  <c r="AT143" i="9"/>
  <c r="AU143" i="5" s="1"/>
  <c r="AT148" i="9"/>
  <c r="AT146" i="9"/>
  <c r="AU145" i="5" s="1"/>
  <c r="AU144" i="5"/>
  <c r="AT144" i="9"/>
  <c r="AT147" i="9"/>
  <c r="AU146" i="5" s="1"/>
  <c r="AU143" i="9" l="1"/>
  <c r="AV143" i="5" s="1"/>
  <c r="AU144" i="9"/>
  <c r="AV144" i="5"/>
  <c r="AU146" i="9"/>
  <c r="AV145" i="5" s="1"/>
  <c r="AU148" i="9"/>
  <c r="AU147" i="9"/>
  <c r="AV146" i="5" s="1"/>
  <c r="AV145" i="9"/>
  <c r="AW1" i="9"/>
  <c r="AW1" i="5"/>
  <c r="AV150" i="9"/>
  <c r="O9" i="12"/>
  <c r="U8" i="12"/>
  <c r="N13" i="12"/>
  <c r="S9" i="12"/>
  <c r="V8" i="12"/>
  <c r="S10" i="12" l="1"/>
  <c r="V9" i="12"/>
  <c r="AW145" i="9"/>
  <c r="AX1" i="5"/>
  <c r="AW150" i="9"/>
  <c r="AX1" i="9"/>
  <c r="AV144" i="9"/>
  <c r="AV143" i="9"/>
  <c r="AW143" i="5" s="1"/>
  <c r="AV147" i="9"/>
  <c r="AW146" i="5" s="1"/>
  <c r="AV148" i="9"/>
  <c r="AV146" i="9"/>
  <c r="AW145" i="5" s="1"/>
  <c r="AW144" i="5"/>
  <c r="O10" i="12"/>
  <c r="U9" i="12"/>
  <c r="N14" i="12"/>
  <c r="O11" i="12" l="1"/>
  <c r="U10" i="12"/>
  <c r="N15" i="12"/>
  <c r="AW143" i="9"/>
  <c r="AX143" i="5" s="1"/>
  <c r="AW144" i="9"/>
  <c r="AW148" i="9"/>
  <c r="AW147" i="9"/>
  <c r="AX146" i="5" s="1"/>
  <c r="AX144" i="5"/>
  <c r="AW146" i="9"/>
  <c r="AX145" i="5" s="1"/>
  <c r="AX145" i="9"/>
  <c r="AY1" i="9"/>
  <c r="AY1" i="5"/>
  <c r="AX150" i="9"/>
  <c r="S11" i="12"/>
  <c r="V10" i="12"/>
  <c r="AZ1" i="9" l="1"/>
  <c r="AZ1" i="5"/>
  <c r="AY145" i="9"/>
  <c r="AY150" i="9"/>
  <c r="N16" i="12"/>
  <c r="V11" i="12"/>
  <c r="S12" i="12"/>
  <c r="AX143" i="9"/>
  <c r="AY143" i="5" s="1"/>
  <c r="AX148" i="9"/>
  <c r="AX147" i="9"/>
  <c r="AY146" i="5" s="1"/>
  <c r="AY144" i="5"/>
  <c r="AX146" i="9"/>
  <c r="AY145" i="5" s="1"/>
  <c r="AX144" i="9"/>
  <c r="O12" i="12"/>
  <c r="U11" i="12"/>
  <c r="V12" i="12" l="1"/>
  <c r="S13" i="12"/>
  <c r="AY143" i="9"/>
  <c r="AZ143" i="5" s="1"/>
  <c r="AY144" i="9"/>
  <c r="AZ144" i="5"/>
  <c r="AY147" i="9"/>
  <c r="AZ146" i="5" s="1"/>
  <c r="AY148" i="9"/>
  <c r="AY146" i="9"/>
  <c r="AZ145" i="5" s="1"/>
  <c r="O13" i="12"/>
  <c r="U12" i="12"/>
  <c r="N17" i="12"/>
  <c r="AZ145" i="9"/>
  <c r="BA1" i="5"/>
  <c r="AZ150" i="9"/>
  <c r="N18" i="12" l="1"/>
  <c r="AZ144" i="9"/>
  <c r="BA144" i="9" s="1"/>
  <c r="AZ147" i="9"/>
  <c r="BA146" i="5" s="1"/>
  <c r="AZ143" i="9"/>
  <c r="AZ148" i="9"/>
  <c r="AZ146" i="9"/>
  <c r="BA145" i="5" s="1"/>
  <c r="BA144" i="5"/>
  <c r="V13" i="12"/>
  <c r="S14" i="12"/>
  <c r="O14" i="12"/>
  <c r="U13" i="12"/>
  <c r="O15" i="12" l="1"/>
  <c r="U14" i="12"/>
  <c r="N19" i="12"/>
  <c r="S15" i="12"/>
  <c r="V14" i="12"/>
  <c r="BA143" i="5"/>
  <c r="BA143" i="9"/>
  <c r="BB143" i="9" s="1"/>
  <c r="S16" i="12" l="1"/>
  <c r="V15" i="12"/>
  <c r="N20" i="12"/>
  <c r="O16" i="12"/>
  <c r="U15" i="12"/>
  <c r="V16" i="12" l="1"/>
  <c r="S17" i="12"/>
  <c r="O17" i="12"/>
  <c r="U16" i="12"/>
  <c r="N21" i="12"/>
  <c r="V17" i="12" l="1"/>
  <c r="S18" i="12"/>
  <c r="V18" i="12" s="1"/>
  <c r="B18" i="12" s="1"/>
  <c r="N22" i="12"/>
  <c r="O18" i="12"/>
  <c r="U17" i="12"/>
  <c r="O19" i="12" l="1"/>
  <c r="U18" i="12"/>
  <c r="N23" i="12"/>
  <c r="N24" i="12" l="1"/>
  <c r="O20" i="12"/>
  <c r="U19" i="12"/>
  <c r="N25" i="12" l="1"/>
  <c r="O21" i="12"/>
  <c r="U20" i="12"/>
  <c r="O22" i="12" l="1"/>
  <c r="U21" i="12"/>
  <c r="N26" i="12"/>
  <c r="N27" i="12" l="1"/>
  <c r="O23" i="12"/>
  <c r="U22" i="12"/>
  <c r="O24" i="12" l="1"/>
  <c r="U23" i="12"/>
  <c r="N28" i="12"/>
  <c r="N29" i="12" l="1"/>
  <c r="O25" i="12"/>
  <c r="U24" i="12"/>
  <c r="O26" i="12" l="1"/>
  <c r="U25" i="12"/>
  <c r="N30" i="12"/>
  <c r="N31" i="12" l="1"/>
  <c r="O27" i="12"/>
  <c r="U26" i="12"/>
  <c r="N32" i="12" l="1"/>
  <c r="O28" i="12"/>
  <c r="U27" i="12"/>
  <c r="O29" i="12" l="1"/>
  <c r="U28" i="12"/>
  <c r="N33" i="12"/>
  <c r="O30" i="12" l="1"/>
  <c r="U29" i="12"/>
  <c r="O31" i="12" l="1"/>
  <c r="U30" i="12"/>
  <c r="O32" i="12" l="1"/>
  <c r="U31" i="12"/>
  <c r="O33" i="12" l="1"/>
  <c r="U33" i="12" s="1"/>
  <c r="U32"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tc={5F9A15B7-DE45-41C1-AE06-E2B1F8F84AE2}</author>
    <author>tc={6EFEBA0E-0814-4CD9-9D16-938C11DC6B4C}</author>
    <author>tc={01681DDA-784B-4CFE-810E-91F6BCBA0660}</author>
    <author>tc={23A1429E-2F80-425E-949D-EC701DE2A337}</author>
    <author>tc={2FC930F1-EA3E-41DE-9F79-DAABB6F41018}</author>
    <author>tc={2E4BA2F8-8A81-4CC0-91B3-E1DF434C6C26}</author>
    <author>tc={B68B4C01-2238-4A65-ACCA-34F297610E00}</author>
    <author>tc={3A200B24-0317-408D-AC7A-FB66B144728D}</author>
    <author>tc={063106D1-8E0B-48A0-AD56-9833B756D251}</author>
    <author>tc={2517FBF5-FD40-42AC-8771-4DA824B254E2}</author>
    <author>tc={D98AE982-9ADB-49F7-9675-207450373B06}</author>
    <author>tc={E6F8D89E-D9F8-409A-8F6B-13125ED00F86}</author>
    <author>tc={F8C0B29F-9757-4AD7-B13B-86C67DFF7704}</author>
    <author>tc={371249CA-90A1-4796-9F3E-51A0EAB49269}</author>
    <author>tc={33FF4648-4161-492E-A554-F2CEFCD86063}</author>
    <author>tc={4D3A6990-1F5F-4DCB-88B5-B3620A50D76D}</author>
    <author>tc={2C416140-2146-4424-B98D-3B355512CDF8}</author>
    <author>tc={F4E8149E-6EA8-477A-A00A-20A33208032E}</author>
    <author>tc={2A8E2A5A-F677-47B1-96D4-D071BA3558F4}</author>
    <author>tc={ED7DC259-7125-4B04-BB83-D932F1759DAF}</author>
    <author>tc={0E21F493-C6DB-4216-B94B-4FFABFE539E6}</author>
    <author>tc={DB8B1FBC-001B-4B18-968C-25CB4A270731}</author>
    <author>tc={9C67A871-82DD-4228-8018-5407188D0814}</author>
    <author>tc={215036DF-E179-4048-82AA-52AC73C88027}</author>
    <author>tc={F849F1B9-C24A-434A-B936-FAE3F0D5A7DD}</author>
    <author>tc={B700CC0D-16C6-4A53-97DD-085F28E8A5C7}</author>
    <author>tc={09FAA690-0377-451F-A305-CD0AF14E0C85}</author>
    <author>tc={61868B71-58F8-4C55-978D-257601C5573E}</author>
    <author>tc={5B060EA2-2604-4296-8535-7A3C7DB39400}</author>
    <author>tc={E21D0547-DE68-4ABA-ACAF-735DC95C9DD2}</author>
    <author>tc={89BCA17C-97DC-4F22-9FCF-18D463B432E8}</author>
    <author>tc={5D0035AB-AE46-4E9B-B5F9-9DD6FBE10836}</author>
    <author>tc={E4A32EAA-04D5-4D65-B6D0-318CF6EDB5A0}</author>
    <author>tc={C9FE728B-9CB0-4A65-8497-5A9841FA94C5}</author>
    <author>tc={F0497BBA-2D8D-4214-A4F7-BF25199FA234}</author>
    <author>tc={63E3F924-7EF3-4CDE-8498-5489C55F3377}</author>
    <author>tc={0ED5A8D3-462D-444D-B4E4-5183E772FAB4}</author>
    <author>tc={AFD94319-7F1C-4A99-B0A6-B95C90F39D7B}</author>
    <author>tc={3AAF244A-E450-4BCC-BB6B-FAA8BC37A4B3}</author>
    <author>tc={292911AE-6B5E-4A9C-B546-1B469236A19A}</author>
    <author>tc={8D657225-F64F-4BFB-BEBB-9DCAB609256C}</author>
    <author>tc={A8B4B31E-DFA3-46E2-A635-B28A00469C06}</author>
    <author>tc={13C8C810-C39A-4F98-8D0A-1C4B5F2F5613}</author>
    <author>tc={33D959E0-70EF-428B-9C0B-E42CEB5078BF}</author>
    <author>tc={783D297F-9C06-4309-89C7-9AD7A7A25CC1}</author>
    <author>tc={A23CB201-8FF6-4C31-B1DC-CD4012E9D3AD}</author>
    <author>tc={F850DAFE-C3CE-470B-844F-7D29354EA93A}</author>
    <author>tc={FEF018AC-4C75-40F0-BABC-8824F81B6819}</author>
    <author>tc={C0617F6E-E438-44AB-A4EA-3811DCAD96D4}</author>
    <author>tc={CF1F5D37-0CED-40F5-A75A-1584B3B7BB97}</author>
    <author>tc={8DF29CC7-0E68-455C-87EC-977C98A9C038}</author>
    <author>tc={559FCB07-2861-4961-862B-D57FAE1B70F0}</author>
    <author>tc={4BF3893E-E39B-43DC-B48D-973F6DD9B6B3}</author>
    <author>tc={76F5E833-864D-4183-B59B-7F3F67A7938F}</author>
    <author>tc={6D441E0C-7353-4503-9A69-54E363FADF1A}</author>
    <author>tc={4EC86C62-C591-4DA1-9F6B-204ADD28BFE5}</author>
    <author>tc={5D0D3F47-DD4D-447C-9F7C-9EA2C4AB5ED2}</author>
    <author>tc={2A5DE486-02CB-49AE-AD07-9AA4FD65E326}</author>
    <author>tc={1B4CCF0D-8394-4881-8F84-249EFE12F08B}</author>
    <author>tc={9051F4B6-8F45-48FB-8E5E-3846F8053BB5}</author>
    <author>tc={9A9B0695-C0B6-4F80-BE9F-56B8A3DCC5EA}</author>
    <author>tc={6A54040E-C77A-4D0C-98E1-951B0698BA63}</author>
    <author>tc={B715ED14-7C65-4662-9F19-473F63565788}</author>
    <author>tc={F6563D1F-E614-4784-BEFF-8D60B2978EDA}</author>
    <author>tc={770ECEBE-830E-4245-B926-B0008EB955BD}</author>
    <author>tc={2F0F019A-91C4-40A8-88C2-4F26EFD12A46}</author>
    <author>tc={98B309F7-17CD-4D33-89AE-43ED5255C287}</author>
    <author>tc={6C9CF329-B024-499A-B4D3-F9662330B755}</author>
    <author>tc={E6D3BC99-BA58-4346-9F50-96674B425B9A}</author>
    <author>tc={05DC736B-82D5-480A-9B9B-A377D1959230}</author>
    <author>tc={E343E698-9EC3-4983-9D57-1E8536000244}</author>
    <author>tc={068D844B-5743-450B-9450-ABF6CA1A4A5E}</author>
    <author>tc={C6DD7A99-A1A0-41F4-A965-6BCF38CD0375}</author>
    <author>tc={E247231E-7514-459A-A6A6-FB4EB0119385}</author>
    <author>tc={A68F38FC-57DB-4C1A-B087-E1D339F5D16E}</author>
    <author>tc={6CD747A2-9D29-4E3D-864F-DFCD59ECCE1B}</author>
    <author>tc={E247231E-7514-459B-A6A6-FB4EB0119385}</author>
    <author>tc={4070D77B-7B3D-4FDA-9ED7-98531DC24768}</author>
    <author>Mario Colosso</author>
    <author>tc={F3AE276C-04A0-4469-AC09-445EE168F79A}</author>
    <author>tc={734E991F-24EF-4A55-A7CE-F358C7EE440F}</author>
    <author>tc={9ED0130F-635E-4F2F-A531-BBB0CE107C19}</author>
    <author>tc={C958876A-D835-4344-BB1C-AECEC76FD985}</author>
    <author>tc={0E322785-844D-4A5D-8754-15C89B1F7C58}</author>
    <author>tc={9CBACDBB-5782-498B-B583-A948D3E22D59}</author>
    <author>tc={9D9A3A8C-96FC-46BF-921F-20E9FB8091BB}</author>
    <author>tc={6A6FBBD2-1E2B-46D6-A481-5306D744D6F8}</author>
  </authors>
  <commentList>
    <comment ref="G96" authorId="0" shapeId="0" xr:uid="{00000000-0006-0000-0000-000001000000}">
      <text>
        <t>[Threaded comment]
Your version of Excel allows you to read this threaded comment; however, any edits to it will get removed if the file is opened in a newer version of Excel. Learn more: https://go.microsoft.com/fwlink/?linkid=870924
Comment:
    Sólo por WhatsApp</t>
      </text>
    </comment>
    <comment ref="F136" authorId="1" shapeId="0" xr:uid="{00000000-0006-0000-0000-000002000000}">
      <text>
        <t>[Threaded comment]
Your version of Excel allows you to read this threaded comment; however, any edits to it will get removed if the file is opened in a newer version of Excel. Learn more: https://go.microsoft.com/fwlink/?linkid=870924
Comment:
Miguel, el de la vigilancia</t>
      </text>
    </comment>
    <comment ref="G237" authorId="2" shapeId="0" xr:uid="{00000000-0006-0000-0000-000003000000}">
      <text>
        <t>[Threaded comment]
Your version of Excel allows you to read this threaded comment; however, any edits to it will get removed if the file is opened in a newer version of Excel. Learn more: https://go.microsoft.com/fwlink/?linkid=870924
Comment:
    Sólo por WhatsApp</t>
      </text>
    </comment>
    <comment ref="G242" authorId="3" shapeId="0" xr:uid="{00000000-0006-0000-0000-000004000000}">
      <text>
        <t>[Threaded comment]
Your version of Excel allows you to read this threaded comment; however, any edits to it will get removed if the file is opened in a newer version of Excel. Learn more: https://go.microsoft.com/fwlink/?linkid=870924
Comment:
    Sólo por WhatsApp</t>
      </text>
    </comment>
    <comment ref="G308" authorId="4" shapeId="0" xr:uid="{00000000-0006-0000-0000-000005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309" authorId="5" shapeId="0" xr:uid="{00000000-0006-0000-0000-000006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431" authorId="6" shapeId="0" xr:uid="{00000000-0006-0000-0000-000007000000}">
      <text>
        <t>[Threaded comment]
Your version of Excel allows you to read this threaded comment; however, any edits to it will get removed if the file is opened in a newer version of Excel. Learn more: https://go.microsoft.com/fwlink/?linkid=870924
Comment:
    Sólo por WhatsApp</t>
      </text>
    </comment>
    <comment ref="J452" authorId="7" shapeId="0" xr:uid="{00000000-0006-0000-0000-000008000000}">
      <text>
        <t>[Threaded comment]
Your version of Excel allows you to read this threaded comment; however, any edits to it will get removed if the file is opened in a newer version of Excel. Learn more: https://go.microsoft.com/fwlink/?linkid=870924
Comment:
    El pago corresponde a la Familia Zavarce Barón y no a Luis Zavarce</t>
      </text>
    </comment>
    <comment ref="J453" authorId="8" shapeId="0" xr:uid="{00000000-0006-0000-0000-000009000000}">
      <text>
        <t>[Threaded comment]
Your version of Excel allows you to read this threaded comment; however, any edits to it will get removed if the file is opened in a newer version of Excel. Learn more: https://go.microsoft.com/fwlink/?linkid=870924
Comment:
    El pago corresponde a la Familia Zavarce Barón y no a Luis Zavarce</t>
      </text>
    </comment>
    <comment ref="J454" authorId="9" shapeId="0" xr:uid="{00000000-0006-0000-0000-00000A000000}">
      <text>
        <t>[Threaded comment]
Your version of Excel allows you to read this threaded comment; however, any edits to it will get removed if the file is opened in a newer version of Excel. Learn more: https://go.microsoft.com/fwlink/?linkid=870924
Comment:
    El pago corresponde a la Familia Zavarce Barón y no a Luis Zavarce</t>
      </text>
    </comment>
    <comment ref="I481" authorId="10" shapeId="0" xr:uid="{00000000-0006-0000-0000-00000B000000}">
      <text>
        <t>[Threaded comment]
Your version of Excel allows you to read this threaded comment; however, any edits to it will get removed if the file is opened in a newer version of Excel. Learn more: https://go.microsoft.com/fwlink/?linkid=870924
Comment:
    Compra de bombillos</t>
      </text>
    </comment>
    <comment ref="G538" authorId="11" shapeId="0" xr:uid="{00000000-0006-0000-0000-00000C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567" authorId="12" shapeId="0" xr:uid="{00000000-0006-0000-0000-00000D000000}">
      <text>
        <t>[Threaded comment]
Your version of Excel allows you to read this threaded comment; however, any edits to it will get removed if the file is opened in a newer version of Excel. Learn more: https://go.microsoft.com/fwlink/?linkid=870924
Comment:
    Sólo por WhatsApp</t>
      </text>
    </comment>
    <comment ref="G631" authorId="13" shapeId="0" xr:uid="{00000000-0006-0000-0000-00000E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I652" authorId="14" shapeId="0" xr:uid="{00000000-0006-0000-0000-00000F000000}">
      <text>
        <t>[Threaded comment]
Your version of Excel allows you to read this threaded comment; however, any edits to it will get removed if the file is opened in a newer version of Excel. Learn more: https://go.microsoft.com/fwlink/?linkid=870924
Comment:
    Compra de bombillo de emergencia para la caseta de vigilancia</t>
      </text>
    </comment>
    <comment ref="G676" authorId="15" shapeId="0" xr:uid="{00000000-0006-0000-0000-000010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744" authorId="16" shapeId="0" xr:uid="{00000000-0006-0000-0000-000011000000}">
      <text>
        <t>[Threaded comment]
Your version of Excel allows you to read this threaded comment; however, any edits to it will get removed if the file is opened in a newer version of Excel. Learn more: https://go.microsoft.com/fwlink/?linkid=870924
Comment:
    Bco. Mercantil Ch. 136129.
El cheque es de un paciente de ella llamado Félix Hernán Ibarra Aranda</t>
      </text>
    </comment>
    <comment ref="E746" authorId="17" shapeId="0" xr:uid="{00000000-0006-0000-0000-000012000000}">
      <text>
        <t>[Threaded comment]
Your version of Excel allows you to read this threaded comment; however, any edits to it will get removed if the file is opened in a newer version of Excel. Learn more: https://go.microsoft.com/fwlink/?linkid=870924
Comment:
    BOD Ch. 01000840</t>
      </text>
    </comment>
    <comment ref="E754" authorId="18" shapeId="0" xr:uid="{00000000-0006-0000-0000-000013000000}">
      <text>
        <t>[Threaded comment]
Your version of Excel allows you to read this threaded comment; however, any edits to it will get removed if the file is opened in a newer version of Excel. Learn more: https://go.microsoft.com/fwlink/?linkid=870924
Comment:
    BOD Ch. 63003907 de Oscar Méndez</t>
      </text>
    </comment>
    <comment ref="E755" authorId="19" shapeId="0" xr:uid="{00000000-0006-0000-0000-000014000000}">
      <text>
        <t>[Threaded comment]
Your version of Excel allows you to read this threaded comment; however, any edits to it will get removed if the file is opened in a newer version of Excel. Learn more: https://go.microsoft.com/fwlink/?linkid=870924
Comment:
    BOD Ch. 59000523 de Carmen Saavedra de Ibarra</t>
      </text>
    </comment>
    <comment ref="E792" authorId="20" shapeId="0" xr:uid="{00000000-0006-0000-0000-000015000000}">
      <text>
        <t>[Threaded comment]
Your version of Excel allows you to read this threaded comment; however, any edits to it will get removed if the file is opened in a newer version of Excel. Learn more: https://go.microsoft.com/fwlink/?linkid=870924
Comment:
    Cheque BOD 00000282</t>
      </text>
    </comment>
    <comment ref="E801" authorId="21" shapeId="0" xr:uid="{00000000-0006-0000-0000-000016000000}">
      <text>
        <t>[Threaded comment]
Your version of Excel allows you to read this threaded comment; however, any edits to it will get removed if the file is opened in a newer version of Excel. Learn more: https://go.microsoft.com/fwlink/?linkid=870924
Comment:
    Bco. Mercantil, cheque nro. 63146627</t>
      </text>
    </comment>
    <comment ref="E804" authorId="22" shapeId="0" xr:uid="{00000000-0006-0000-0000-000017000000}">
      <text>
        <t>[Threaded comment]
Your version of Excel allows you to read this threaded comment; however, any edits to it will get removed if the file is opened in a newer version of Excel. Learn more: https://go.microsoft.com/fwlink/?linkid=870924
Comment:
    BOD cheque nro. 03642165</t>
      </text>
    </comment>
    <comment ref="E805" authorId="23" shapeId="0" xr:uid="{00000000-0006-0000-0000-000018000000}">
      <text>
        <t>[Threaded comment]
Your version of Excel allows you to read this threaded comment; however, any edits to it will get removed if the file is opened in a newer version of Excel. Learn more: https://go.microsoft.com/fwlink/?linkid=870924
Comment:
    BOD Ch. 87003914</t>
      </text>
    </comment>
    <comment ref="E807" authorId="24" shapeId="0" xr:uid="{00000000-0006-0000-0000-000019000000}">
      <text>
        <t>[Threaded comment]
Your version of Excel allows you to read this threaded comment; however, any edits to it will get removed if the file is opened in a newer version of Excel. Learn more: https://go.microsoft.com/fwlink/?linkid=870924
Comment:
    BOD Ch. 34000803</t>
      </text>
    </comment>
    <comment ref="E837" authorId="25" shapeId="0" xr:uid="{00000000-0006-0000-0000-00001A000000}">
      <text>
        <t xml:space="preserve">[Threaded comment]
Your version of Excel allows you to read this threaded comment; however, any edits to it will get removed if the file is opened in a newer version of Excel. Learn more: https://go.microsoft.com/fwlink/?linkid=870924
Comment:
    Bco. Mercantil, cheque nro. </t>
      </text>
    </comment>
    <comment ref="G868" authorId="26" shapeId="0" xr:uid="{00000000-0006-0000-0000-00001B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903" authorId="27" shapeId="0" xr:uid="{00000000-0006-0000-0000-00001C000000}">
      <text>
        <t>[Threaded comment]
Your version of Excel allows you to read this threaded comment; however, any edits to it will get removed if the file is opened in a newer version of Excel. Learn more: https://go.microsoft.com/fwlink/?linkid=870924
Comment:
    Bco. Mercantil, cheque nro. 07148741</t>
      </text>
    </comment>
    <comment ref="E916" authorId="28" shapeId="0" xr:uid="{00000000-0006-0000-0000-00001D000000}">
      <text>
        <t>[Threaded comment]
Your version of Excel allows you to read this threaded comment; however, any edits to it will get removed if the file is opened in a newer version of Excel. Learn more: https://go.microsoft.com/fwlink/?linkid=870924
Comment:
    Baco. Mercantil, cheque nro. 19428894</t>
      </text>
    </comment>
    <comment ref="G938" authorId="29" shapeId="0" xr:uid="{00000000-0006-0000-0000-00001E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947" authorId="30" shapeId="0" xr:uid="{00000000-0006-0000-0000-00001F000000}">
      <text>
        <t>[Threaded comment]
Your version of Excel allows you to read this threaded comment; however, any edits to it will get removed if the file is opened in a newer version of Excel. Learn more: https://go.microsoft.com/fwlink/?linkid=870924
Comment:
    BOD cheque nro. 92000183</t>
      </text>
    </comment>
    <comment ref="E951" authorId="31" shapeId="0" xr:uid="{00000000-0006-0000-0000-000020000000}">
      <text>
        <t>[Threaded comment]
Your version of Excel allows you to read this threaded comment; however, any edits to it will get removed if the file is opened in a newer version of Excel. Learn more: https://go.microsoft.com/fwlink/?linkid=870924
Comment:
    Bco. Mercantil, cheque nro. 07148741</t>
      </text>
    </comment>
    <comment ref="J980" authorId="32" shapeId="0" xr:uid="{00000000-0006-0000-0000-000021000000}">
      <text>
        <t>[Threaded comment]
Your version of Excel allows you to read this threaded comment; however, any edits to it will get removed if the file is opened in a newer version of Excel. Learn more: https://go.microsoft.com/fwlink/?linkid=870924
Comment:
    La totalidad del pago fue acreditado al mes de Abril/2018</t>
      </text>
    </comment>
    <comment ref="E1008" authorId="33" shapeId="0" xr:uid="{00000000-0006-0000-0000-000022000000}">
      <text>
        <t>[Threaded comment]
Your version of Excel allows you to read this threaded comment; however, any edits to it will get removed if the file is opened in a newer version of Excel. Learn more: https://go.microsoft.com/fwlink/?linkid=870924
Comment:
    BBVA Ch. 03642311</t>
      </text>
    </comment>
    <comment ref="E1009" authorId="34" shapeId="0" xr:uid="{00000000-0006-0000-0000-000023000000}">
      <text>
        <t>[Threaded comment]
Your version of Excel allows you to read this threaded comment; however, any edits to it will get removed if the file is opened in a newer version of Excel. Learn more: https://go.microsoft.com/fwlink/?linkid=870924
Comment:
    Ch. Bco. de Venezuela s92 7003668
Ch. Bco. Mercantil 69105020</t>
      </text>
    </comment>
    <comment ref="E1028" authorId="35" shapeId="0" xr:uid="{00000000-0006-0000-0000-000024000000}">
      <text>
        <t>[Threaded comment]
Your version of Excel allows you to read this threaded comment; however, any edits to it will get removed if the file is opened in a newer version of Excel. Learn more: https://go.microsoft.com/fwlink/?linkid=870924
Comment:
    BOD cheque nro. 59000184</t>
      </text>
    </comment>
    <comment ref="J1059" authorId="36" shapeId="0" xr:uid="{00000000-0006-0000-0000-000025000000}">
      <text>
        <t>[Threaded comment]
Your version of Excel allows you to read this threaded comment; however, any edits to it will get removed if the file is opened in a newer version of Excel. Learn more: https://go.microsoft.com/fwlink/?linkid=870924
Comment:
    El monto fue convertido en un adelanto del mes de Junio/2018</t>
      </text>
    </comment>
    <comment ref="E1093" authorId="37" shapeId="0" xr:uid="{00000000-0006-0000-0000-000026000000}">
      <text>
        <t>[Threaded comment]
Your version of Excel allows you to read this threaded comment; however, any edits to it will get removed if the file is opened in a newer version of Excel. Learn more: https://go.microsoft.com/fwlink/?linkid=870924
Comment:
    BBVA Ch. 03642347
Bs. 550.000</t>
      </text>
    </comment>
    <comment ref="E1094" authorId="38" shapeId="0" xr:uid="{00000000-0006-0000-0000-000027000000}">
      <text>
        <t>[Threaded comment]
Your version of Excel allows you to read this threaded comment; however, any edits to it will get removed if the file is opened in a newer version of Excel. Learn more: https://go.microsoft.com/fwlink/?linkid=870924
Comment:
    BBVA Ch. 03642347
Bs. 550.000</t>
      </text>
    </comment>
    <comment ref="G1104" authorId="39" shapeId="0" xr:uid="{00000000-0006-0000-0000-000028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1135" authorId="40" shapeId="0" xr:uid="{00000000-0006-0000-0000-000029000000}">
      <text>
        <t>[Threaded comment]
Your version of Excel allows you to read this threaded comment; however, any edits to it will get removed if the file is opened in a newer version of Excel. Learn more: https://go.microsoft.com/fwlink/?linkid=870924
Comment:
    BOD cheque nro. 84000185</t>
      </text>
    </comment>
    <comment ref="E1136" authorId="41" shapeId="0" xr:uid="{00000000-0006-0000-0000-00002A000000}">
      <text>
        <t>[Threaded comment]
Your version of Excel allows you to read this threaded comment; however, any edits to it will get removed if the file is opened in a newer version of Excel. Learn more: https://go.microsoft.com/fwlink/?linkid=870924
Comment:
    BOD cheque nro. 84000185</t>
      </text>
    </comment>
    <comment ref="E1147" authorId="42" shapeId="0" xr:uid="{00000000-0006-0000-0000-00002B000000}">
      <text>
        <t>[Threaded comment]
Your version of Excel allows you to read this threaded comment; however, any edits to it will get removed if the file is opened in a newer version of Excel. Learn more: https://go.microsoft.com/fwlink/?linkid=870924
Comment:
    Cheque BOD 57000855</t>
      </text>
    </comment>
    <comment ref="E1217" authorId="43" shapeId="0" xr:uid="{00000000-0006-0000-0000-00002C000000}">
      <text>
        <t>[Threaded comment]
Your version of Excel allows you to read this threaded comment; however, any edits to it will get removed if the file is opened in a newer version of Excel. Learn more: https://go.microsoft.com/fwlink/?linkid=870924
Comment:
    BBVA Ch. 03642414
Bs. 600.000</t>
      </text>
    </comment>
    <comment ref="G1225" authorId="44" shapeId="0" xr:uid="{00000000-0006-0000-0000-00002D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1226" authorId="45" shapeId="0" xr:uid="{00000000-0006-0000-0000-00002E000000}">
      <text>
        <t>[Threaded comment]
Your version of Excel allows you to read this threaded comment; however, any edits to it will get removed if the file is opened in a newer version of Excel. Learn more: https://go.microsoft.com/fwlink/?linkid=870924
Comment:
    BOD cheque nro. 56000186</t>
      </text>
    </comment>
    <comment ref="E1283" authorId="46" shapeId="0" xr:uid="{00000000-0006-0000-0000-00002F000000}">
      <text>
        <t>[Threaded comment]
Your version of Excel allows you to read this threaded comment; however, any edits to it will get removed if the file is opened in a newer version of Excel. Learn more: https://go.microsoft.com/fwlink/?linkid=870924
Comment:
    Cheque BOD 66000857</t>
      </text>
    </comment>
    <comment ref="G1345" authorId="47" shapeId="0" xr:uid="{00000000-0006-0000-0000-000030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1389" authorId="48" shapeId="0" xr:uid="{00000000-0006-0000-0000-000031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1436" authorId="49" shapeId="0" xr:uid="{00000000-0006-0000-0000-000032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1594" authorId="50" shapeId="0" xr:uid="{00000000-0006-0000-0000-000033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1661" authorId="51" shapeId="0" xr:uid="{00000000-0006-0000-0000-000034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1728" authorId="52" shapeId="0" xr:uid="{00000000-0006-0000-0000-000035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1734" authorId="53" shapeId="0" xr:uid="{00000000-0006-0000-0000-000036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J1816" authorId="54" shapeId="0" xr:uid="{00000000-0006-0000-0000-000037000000}">
      <text>
        <t>[Threaded comment]
Your version of Excel allows you to read this threaded comment; however, any edits to it will get removed if the file is opened in a newer version of Excel. Learn more: https://go.microsoft.com/fwlink/?linkid=870924
Comment:
    Se acreditó por error a la Familia Il Grande Franceschi en lugar de a la Familia Franco Gómez</t>
      </text>
    </comment>
    <comment ref="G1833" authorId="55" shapeId="0" xr:uid="{00000000-0006-0000-0000-000038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1986" authorId="56" shapeId="0" xr:uid="{00000000-0006-0000-0000-000039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2062" authorId="57" shapeId="0" xr:uid="{00000000-0006-0000-0000-00003A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J2084" authorId="58" shapeId="0" xr:uid="{00000000-0006-0000-0000-00003B000000}">
      <text>
        <t>[Threaded comment]
Your version of Excel allows you to read this threaded comment; however, any edits to it will get removed if the file is opened in a newer version of Excel. Learn more: https://go.microsoft.com/fwlink/?linkid=870924
Comment:
    Se acreditó por error a la Sra. Reina Meléndez en lugar de a la Sra. Gloria Molina</t>
      </text>
    </comment>
    <comment ref="G2141" authorId="59" shapeId="0" xr:uid="{00000000-0006-0000-0000-00003C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2188" authorId="60" shapeId="0" xr:uid="{00000000-0006-0000-0000-00003D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2189" authorId="61" shapeId="0" xr:uid="{00000000-0006-0000-0000-00003E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2292" authorId="62" shapeId="0" xr:uid="{00000000-0006-0000-0000-00003F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2319" authorId="63" shapeId="0" xr:uid="{00000000-0006-0000-0000-000040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2336" authorId="64" shapeId="0" xr:uid="{00000000-0006-0000-0000-000041000000}">
      <text>
        <t>[Threaded comment]
Your version of Excel allows you to read this threaded comment; however, any edits to it will get removed if the file is opened in a newer version of Excel. Learn more: https://go.microsoft.com/fwlink/?linkid=870924
Comment:
    En efectivo:
1 $, serial L 47212353 R</t>
      </text>
    </comment>
    <comment ref="E2343" authorId="65" shapeId="0" xr:uid="{00000000-0006-0000-0000-000042000000}">
      <text>
        <t>[Threaded comment]
Your version of Excel allows you to read this threaded comment; however, any edits to it will get removed if the file is opened in a newer version of Excel. Learn more: https://go.microsoft.com/fwlink/?linkid=870924
Comment:
    En efectivo:
1 $, serial L 91564055 N</t>
      </text>
    </comment>
    <comment ref="E2345" authorId="66" shapeId="0" xr:uid="{00000000-0006-0000-0000-000043000000}">
      <text>
        <t>[Threaded comment]
Your version of Excel allows you to read this threaded comment; however, any edits to it will get removed if the file is opened in a newer version of Excel. Learn more: https://go.microsoft.com/fwlink/?linkid=870924
Comment:
    En efectivo:
1 $, serial L 56027958 E</t>
      </text>
    </comment>
    <comment ref="E2350" authorId="67" shapeId="0" xr:uid="{00000000-0006-0000-0000-000044000000}">
      <text>
        <t>[Threaded comment]
Your version of Excel allows you to read this threaded comment; however, any edits to it will get removed if the file is opened in a newer version of Excel. Learn more: https://go.microsoft.com/fwlink/?linkid=870924
Comment:
    En efectivo:
1 US$, serial K 80274842 G</t>
      </text>
    </comment>
    <comment ref="E2370" authorId="68" shapeId="0" xr:uid="{00000000-0006-0000-0000-000045000000}">
      <text>
        <t>[Threaded comment]
Your version of Excel allows you to read this threaded comment; however, any edits to it will get removed if the file is opened in a newer version of Excel. Learn more: https://go.microsoft.com/fwlink/?linkid=870924
Comment:
    En efectivo:
1 US$, serial A 76874432 C</t>
      </text>
    </comment>
    <comment ref="E2401" authorId="69" shapeId="0" xr:uid="{00000000-0006-0000-0000-000046000000}">
      <text>
        <t>[Threaded comment]
Your version of Excel allows you to read this threaded comment; however, any edits to it will get removed if the file is opened in a newer version of Excel. Learn more: https://go.microsoft.com/fwlink/?linkid=870924
Comment:
    En efectivo:
4 monedas de 25 centavos de dólar</t>
      </text>
    </comment>
    <comment ref="E2443" authorId="70" shapeId="0" xr:uid="{00000000-0006-0000-0000-000047000000}">
      <text>
        <t>[Threaded comment]
Your version of Excel allows you to read this threaded comment; however, any edits to it will get removed if the file is opened in a newer version of Excel. Learn more: https://go.microsoft.com/fwlink/?linkid=870924
Comment:
    En efectivo:
5 monedas de 25 centavos de dólar, 1 de 5 centavos y 2 de 10 centavos</t>
      </text>
    </comment>
    <comment ref="G2447" authorId="71" shapeId="0" xr:uid="{00000000-0006-0000-0000-000048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D2478" authorId="72" shapeId="0" xr:uid="{00000000-0006-0000-0000-000049000000}">
      <text>
        <t>[Threaded comment]
Your version of Excel allows you to read this threaded comment; however, any edits to it will get removed if the file is opened in a newer version of Excel. Learn more: https://go.microsoft.com/fwlink/?linkid=870924
Comment:
    Ajustada la fecha de pago (del 30/10 al 27/10) para que no se mostrase con un saldo pendiente a Octubre</t>
      </text>
    </comment>
    <comment ref="E2511" authorId="73" shapeId="0" xr:uid="{00000000-0006-0000-0000-00004A000000}">
      <text>
        <t>[Threaded comment]
Your version of Excel allows you to read this threaded comment; however, any edits to it will get removed if the file is opened in a newer version of Excel. Learn more: https://go.microsoft.com/fwlink/?linkid=870924
Comment:
    En efectivo:
1 US$, serial H 74755074 A
4 monedas de 10 centavos de dólar</t>
      </text>
    </comment>
    <comment ref="E2533" authorId="74" shapeId="0" xr:uid="{00000000-0006-0000-0000-00004B000000}">
      <text>
        <t xml:space="preserve">[Threaded comment]
Your version of Excel allows you to read this threaded comment; however, any edits to it will get removed if the file is opened in a newer version of Excel. Learn more: https://go.microsoft.com/fwlink/?linkid=870924
Comment:
    En efectivo:
5 US$, serial MF 41360215 F
</t>
      </text>
    </comment>
    <comment ref="G2542" authorId="75" shapeId="0" xr:uid="{00000000-0006-0000-0000-00004C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2556" authorId="76" shapeId="0" xr:uid="{00000000-0006-0000-0000-00004D000000}">
      <text>
        <t>[Threaded comment]
Your version of Excel allows you to read this threaded comment; however, any edits to it will get removed if the file is opened in a newer version of Excel. Learn more: https://go.microsoft.com/fwlink/?linkid=870924
Comment:
    En efectivo:
1 US$, serial H 74755074 A
4 monedas de 10 centavos de dólar</t>
      </text>
    </comment>
    <comment ref="G2587" authorId="77" shapeId="0" xr:uid="{00000000-0006-0000-0000-00004E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J2601" authorId="78" shapeId="0" xr:uid="{00000000-0006-0000-0000-00004F000000}">
      <text>
        <r>
          <rPr>
            <sz val="11"/>
            <color theme="1"/>
            <rFont val="Calibri"/>
            <family val="2"/>
            <scheme val="minor"/>
          </rPr>
          <t>Se reconsideró el pago de noviembre, asumiéndolo como total, quedando este pago como la cancelación de diciembre y enero</t>
        </r>
      </text>
    </comment>
    <comment ref="G2682" authorId="79" shapeId="0" xr:uid="{00000000-0006-0000-0000-000050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2686" authorId="80" shapeId="0" xr:uid="{00000000-0006-0000-0000-000051000000}">
      <text>
        <t xml:space="preserve">[Threaded comment]
Your version of Excel allows you to read this threaded comment; however, any edits to it will get removed if the file is opened in a newer version of Excel. Learn more: https://go.microsoft.com/fwlink/?linkid=870924
Comment:
    En efectivo:
1 US$, serial B 58396426 G
Bs.S 70.000
</t>
      </text>
    </comment>
    <comment ref="E2687" authorId="81" shapeId="0" xr:uid="{00000000-0006-0000-0000-000052000000}">
      <text>
        <t xml:space="preserve">[Threaded comment]
Your version of Excel allows you to read this threaded comment; however, any edits to it will get removed if the file is opened in a newer version of Excel. Learn more: https://go.microsoft.com/fwlink/?linkid=870924
Comment:
    En efectivo:
1 US$, serial B 58396426 G
Bs.S 70.000
</t>
      </text>
    </comment>
    <comment ref="E2723" authorId="82" shapeId="0" xr:uid="{00000000-0006-0000-0000-000053000000}">
      <text>
        <t xml:space="preserve">[Threaded comment]
Your version of Excel allows you to read this threaded comment; however, any edits to it will get removed if the file is opened in a newer version of Excel. Learn more: https://go.microsoft.com/fwlink/?linkid=870924
Comment:
    En efectivo:
Pagó 10 US$ con un billete de 20 US$, serial ML 80192407 L
Se le devolveron 10 US$, serial MF 57042790 D
Tasa utilizada: Bs.S 73.400
</t>
      </text>
    </comment>
    <comment ref="E2724" authorId="83" shapeId="0" xr:uid="{00000000-0006-0000-0000-000054000000}">
      <text>
        <t xml:space="preserve">[Threaded comment]
Your version of Excel allows you to read this threaded comment; however, any edits to it will get removed if the file is opened in a newer version of Excel. Learn more: https://go.microsoft.com/fwlink/?linkid=870924
Comment:
    En efectivo:
2 US$, serial ??? (tasa 73.400), más
Bs.S 20.000
</t>
      </text>
    </comment>
    <comment ref="G2729" authorId="84" shapeId="0" xr:uid="{00000000-0006-0000-0000-000055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2730" authorId="85" shapeId="0" xr:uid="{00000000-0006-0000-0000-000056000000}">
      <text>
        <t xml:space="preserve">[Threaded comment]
Your version of Excel allows you to read this threaded comment; however, any edits to it will get removed if the file is opened in a newer version of Excel. Learn more: https://go.microsoft.com/fwlink/?linkid=870924
Comment:
    En efectivo:
2 US$, serial ??? (tasa 73.400), más
Bs.S 36.000
</t>
      </text>
    </comment>
    <comment ref="E2743" authorId="86" shapeId="0" xr:uid="{00000000-0006-0000-0000-000057000000}">
      <text>
        <t xml:space="preserve">[Threaded comment]
Your version of Excel allows you to read this threaded comment; however, any edits to it will get removed if the file is opened in a newer version of Excel. Learn more: https://go.microsoft.com/fwlink/?linkid=870924
Comment:
    En efectivo:
1 US$, serial F 21933555 B, más
Bs.S 50.000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tc={39D6F919-C5DB-4036-8B88-1BF61CA3A3DF}</author>
    <author>tc={28900678-92FF-459B-AED8-6120B57FC98B}</author>
    <author>tc={4B9DED9D-F6E1-4C97-BA82-D0B62F52AF85}</author>
    <author>tc={81052E88-2125-463B-8443-D25839B4767D}</author>
    <author>tc={429E367C-080F-4103-8262-A9E124D83CAB}</author>
    <author>tc={1779862F-85EA-48AC-8478-0DA31E0410E9}</author>
    <author>tc={B664B36B-655E-4AD8-842B-3F499C307165}</author>
  </authors>
  <commentList>
    <comment ref="I60" authorId="0" shapeId="0" xr:uid="{00000000-0006-0000-0100-000001000000}">
      <text>
        <t>[Threaded comment]
Your version of Excel allows you to read this threaded comment; however, any edits to it will get removed if the file is opened in a newer version of Excel. Learn more: https://go.microsoft.com/fwlink/?linkid=870924
Comment:
    Hola buen día Fabiola, lamento no haber podido explicarme adecuadamente con relación al pago de la mensualidad de vigilancia. Hasta el mes de junio estas solvente, cancelarías cuotas de 26.000 Bs. Por ahora y si hay aumento del sueldo mínimo pagarías la diferencia si has pagado por adelantado. Disculpa las molestias, reiterando mi disposición de aclarar cualquier duda que puedas tener. Marisol Mendoza.</t>
      </text>
    </comment>
    <comment ref="B70" authorId="1" shapeId="0" xr:uid="{00000000-0006-0000-0100-000002000000}">
      <text>
        <t>[Threaded comment]
Your version of Excel allows you to read this threaded comment; however, any edits to it will get removed if the file is opened in a newer version of Excel. Learn more: https://go.microsoft.com/fwlink/?linkid=870924
Comment:
    Marisol dice que es 89-93, y no 90</t>
      </text>
    </comment>
    <comment ref="B71" authorId="2" shapeId="0" xr:uid="{00000000-0006-0000-0100-000003000000}">
      <text>
        <t>[Threaded comment]
Your version of Excel allows you to read this threaded comment; however, any edits to it will get removed if the file is opened in a newer version of Excel. Learn more: https://go.microsoft.com/fwlink/?linkid=870924
Comment:
    Marisol indica que el número de la casa es 89-110</t>
      </text>
    </comment>
    <comment ref="Q106" authorId="3" shapeId="0" xr:uid="{00000000-0006-0000-0100-000004000000}">
      <text>
        <t>[Threaded comment]
Your version of Excel allows you to read this threaded comment; however, any edits to it will get removed if the file is opened in a newer version of Excel. Learn more: https://go.microsoft.com/fwlink/?linkid=870924
Comment:
    Condonado por donación de pego y fondo anticorrosivo</t>
      </text>
    </comment>
    <comment ref="Q108" authorId="4" shapeId="0" xr:uid="{00000000-0006-0000-0100-000005000000}">
      <text>
        <t>[Threaded comment]
Your version of Excel allows you to read this threaded comment; however, any edits to it will get removed if the file is opened in a newer version of Excel. Learn more: https://go.microsoft.com/fwlink/?linkid=870924
Comment:
    Bs. 50.000 anticipo
Bs. 12.450 cancelados al Sr. Francisco
Bs. 17550 diferencia</t>
      </text>
    </comment>
    <comment ref="U120" authorId="5" shapeId="0" xr:uid="{00000000-0006-0000-0100-000006000000}">
      <text>
        <t>[Threaded comment]
Your version of Excel allows you to read this threaded comment; however, any edits to it will get removed if the file is opened in a newer version of Excel. Learn more: https://go.microsoft.com/fwlink/?linkid=870924
Comment:
    Donación de tubo estructural para reparación de la caseta de vitilancia: Enero a Diciembre/2018</t>
      </text>
    </comment>
    <comment ref="AL124" authorId="6" shapeId="0" xr:uid="{00000000-0006-0000-0100-000007000000}">
      <text>
        <t>[Threaded comment]
Your version of Excel allows you to read this threaded comment; however, any edits to it will get removed if the file is opened in a newer version of Excel. Learn more: https://go.microsoft.com/fwlink/?linkid=870924
Comment:
    Por indicaciones de Marisol, se toma como pago total</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Mario Colosso</author>
  </authors>
  <commentList>
    <comment ref="H55" authorId="0" shapeId="0" xr:uid="{00000000-0006-0000-0200-000001000000}">
      <text>
        <r>
          <rPr>
            <sz val="11"/>
            <color theme="1"/>
            <rFont val="Calibri"/>
            <family val="2"/>
            <scheme val="minor"/>
          </rPr>
          <t>La cuota fue "congelada" hasta fin de mes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tc={A4B9DBF7-222B-4E92-B574-4BC34CA8E3FC}</author>
  </authors>
  <commentList>
    <comment ref="AF7" authorId="0" shapeId="0" xr:uid="{00000000-0006-0000-0300-000001000000}">
      <text>
        <t>[Threaded comment]
Your version of Excel allows you to read this threaded comment; however, any edits to it will get removed if the file is opened in a newer version of Excel. Learn more: https://go.microsoft.com/fwlink/?linkid=870924
Comment:
    Martha Rivas:
Se compraron 6 y quedan 4 para una eventualidad</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tc={D012610D-39B3-4534-A812-18FD8FCE22F9}</author>
    <author>tc={6FC948A9-24E3-41AD-B732-CED8ECECF4AC}</author>
    <author>MColosso</author>
    <author>tc={BAC0DF17-C194-4E98-81CB-6312E25EED7D}</author>
    <author>tc={8AA48C56-AFDF-48F9-A5EB-34697D8F1182}</author>
    <author>tc={4AF21287-5CD9-4695-AE65-DA618CC23733}</author>
    <author>tc={51961700-5B93-4183-8AAE-35BD0D40006C}</author>
    <author>tc={8BEAA087-D0E9-4908-8834-4786EFAACC57}</author>
    <author>tc={480D3F0C-2BC6-4617-B556-AA843D6BD589}</author>
  </authors>
  <commentList>
    <comment ref="C15" authorId="0" shapeId="0" xr:uid="{00000000-0006-0000-0500-000001000000}">
      <text>
        <t xml:space="preserve">[Threaded comment]
Your version of Excel allows you to read this threaded comment; however, any edits to it will get removed if the file is opened in a newer version of Excel. Learn more: https://go.microsoft.com/fwlink/?linkid=870924
Comment:
    Anteriormente "Cuota completa"
</t>
      </text>
    </comment>
    <comment ref="J17" authorId="1" shapeId="0" xr:uid="{00000000-0006-0000-0500-000002000000}">
      <text>
        <t>[Threaded comment]
Your version of Excel allows you to read this threaded comment; however, any edits to it will get removed if the file is opened in a newer version of Excel. Learn more: https://go.microsoft.com/fwlink/?linkid=870924
Comment:
    Hola buen día Fabiola, lamento no haber podido explicarme adecuadamente con relación al pago de la mensualidad de vigilancia. Hasta el mes de junio estas solvente, cancelarías cuotas de 26.000 Bs. Por ahora y si hay aumento del sueldo mínimo pagarías la diferencia si has pagado por adelantado. Disculpa las molestias, reiterando mi disposición de aclarar cualquier duda que puedas tener. Marisol Mendoza.</t>
      </text>
    </comment>
    <comment ref="D19" authorId="2" shapeId="0" xr:uid="{00000000-0006-0000-0500-000003000000}">
      <text>
        <r>
          <rPr>
            <b/>
            <sz val="9"/>
            <color indexed="81"/>
            <rFont val="Tahoma"/>
            <charset val="1"/>
          </rPr>
          <t>MColosso:</t>
        </r>
        <r>
          <rPr>
            <sz val="9"/>
            <color indexed="81"/>
            <rFont val="Tahoma"/>
            <charset val="1"/>
          </rPr>
          <t xml:space="preserve">
Hasta enero 2020</t>
        </r>
      </text>
    </comment>
    <comment ref="B20" authorId="3" shapeId="0" xr:uid="{00000000-0006-0000-0500-000004000000}">
      <text>
        <t>[Threaded comment]
Your version of Excel allows you to read this threaded comment; however, any edits to it will get removed if the file is opened in a newer version of Excel. Learn more: https://go.microsoft.com/fwlink/?linkid=870924
Comment:
    Marisol indica que el número de la casa es 89-110</t>
      </text>
    </comment>
    <comment ref="D38" authorId="4" shapeId="0" xr:uid="{00000000-0006-0000-0500-000005000000}">
      <text>
        <t>[Threaded comment]
Your version of Excel allows you to read this threaded comment; however, any edits to it will get removed if the file is opened in a newer version of Excel. Learn more: https://go.microsoft.com/fwlink/?linkid=870924
Comment:
    Incorporado el 01 de Julio de 2019</t>
      </text>
    </comment>
    <comment ref="B50" authorId="5" shapeId="0" xr:uid="{00000000-0006-0000-0500-000006000000}">
      <text>
        <t>[Threaded comment]
Your version of Excel allows you to read this threaded comment; however, any edits to it will get removed if the file is opened in a newer version of Excel. Learn more: https://go.microsoft.com/fwlink/?linkid=870924
Comment:
    Marisol dice que es 89-93, y no 90</t>
      </text>
    </comment>
    <comment ref="D51" authorId="2" shapeId="0" xr:uid="{00000000-0006-0000-0500-000007000000}">
      <text>
        <r>
          <rPr>
            <b/>
            <sz val="9"/>
            <color indexed="81"/>
            <rFont val="Tahoma"/>
            <charset val="1"/>
          </rPr>
          <t>MColosso:</t>
        </r>
        <r>
          <rPr>
            <sz val="9"/>
            <color indexed="81"/>
            <rFont val="Tahoma"/>
            <charset val="1"/>
          </rPr>
          <t xml:space="preserve">
Hasta enero 2020</t>
        </r>
      </text>
    </comment>
    <comment ref="C82" authorId="6" shapeId="0" xr:uid="{00000000-0006-0000-0500-000008000000}">
      <text>
        <t xml:space="preserve">[Threaded comment]
Your version of Excel allows you to read this threaded comment; however, any edits to it will get removed if the file is opened in a newer version of Excel. Learn more: https://go.microsoft.com/fwlink/?linkid=870924
Comment:
    Anteriormente "Cuota completa"
</t>
      </text>
    </comment>
    <comment ref="C86" authorId="7" shapeId="0" xr:uid="{00000000-0006-0000-0500-000009000000}">
      <text>
        <t xml:space="preserve">[Threaded comment]
Your version of Excel allows you to read this threaded comment; however, any edits to it will get removed if the file is opened in a newer version of Excel. Learn more: https://go.microsoft.com/fwlink/?linkid=870924
Comment:
    Anteriormente "Cuota completa"
</t>
      </text>
    </comment>
    <comment ref="D110" authorId="2" shapeId="0" xr:uid="{00000000-0006-0000-0500-00000A000000}">
      <text>
        <r>
          <rPr>
            <b/>
            <sz val="9"/>
            <color indexed="81"/>
            <rFont val="Tahoma"/>
            <charset val="1"/>
          </rPr>
          <t>MColosso:</t>
        </r>
        <r>
          <rPr>
            <sz val="9"/>
            <color indexed="81"/>
            <rFont val="Tahoma"/>
            <charset val="1"/>
          </rPr>
          <t xml:space="preserve">
Hasta enero 2020</t>
        </r>
      </text>
    </comment>
    <comment ref="D137" authorId="8" shapeId="0" xr:uid="{00000000-0006-0000-0500-00000B000000}">
      <text>
        <t>[Threaded comment]
Your version of Excel allows you to read this threaded comment; however, any edits to it will get removed if the file is opened in a newer version of Excel. Learn more: https://go.microsoft.com/fwlink/?linkid=870924
Comment:
    Eliminado el 01 de Julio de 2019</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tc={3DAC56FE-504E-4B89-8DF2-0110B4EB5076}</author>
    <author>tc={25088AD0-CA0F-4C1C-9145-20DBCEF5310E}</author>
    <author>tc={257FF8DF-03CF-45AD-B57A-3000761851FD}</author>
  </authors>
  <commentList>
    <comment ref="E57" authorId="0" shapeId="0" xr:uid="{00000000-0006-0000-0700-000001000000}">
      <text>
        <t>[Threaded comment]
Your version of Excel allows you to read this threaded comment; however, any edits to it will get removed if the file is opened in a newer version of Excel. Learn more: https://go.microsoft.com/fwlink/?linkid=870924
Comment:
    Donación de tres (03) camisas para los vigilantes (5 MMBs c/u)</t>
      </text>
    </comment>
    <comment ref="B70" authorId="1" shapeId="0" xr:uid="{00000000-0006-0000-0700-000002000000}">
      <text>
        <t>[Threaded comment]
Your version of Excel allows you to read this threaded comment; however, any edits to it will get removed if the file is opened in a newer version of Excel. Learn more: https://go.microsoft.com/fwlink/?linkid=870924
Comment:
    Marisol dice que es 89-93, y no 90</t>
      </text>
    </comment>
    <comment ref="B71" authorId="2" shapeId="0" xr:uid="{00000000-0006-0000-0700-000003000000}">
      <text>
        <t>[Threaded comment]
Your version of Excel allows you to read this threaded comment; however, any edits to it will get removed if the file is opened in a newer version of Excel. Learn more: https://go.microsoft.com/fwlink/?linkid=870924
Comment:
    Marisol indica que el número de la casa es 89-110</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tc={F0178A2A-8F3E-49F7-9867-6BA1E85F76BF}</author>
    <author>tc={18891FC0-C5E1-4335-835C-743808DB2F5C}</author>
    <author>tc={89328B46-E82E-40F0-945B-196CA209FEBC}</author>
  </authors>
  <commentList>
    <comment ref="A7" authorId="0" shapeId="0" xr:uid="{00000000-0006-0000-0900-000001000000}">
      <text>
        <t>[Threaded comment]
Your version of Excel allows you to read this threaded comment; however, any edits to it will get removed if the file is opened in a newer version of Excel. Learn more: https://go.microsoft.com/fwlink/?linkid=870924
Comment:
    Betsahy</t>
      </text>
    </comment>
    <comment ref="C70" authorId="1" shapeId="0" xr:uid="{00000000-0006-0000-0900-000002000000}">
      <text>
        <t>[Threaded comment]
Your version of Excel allows you to read this threaded comment; however, any edits to it will get removed if the file is opened in a newer version of Excel. Learn more: https://go.microsoft.com/fwlink/?linkid=870924
Comment:
    Marisol dice que es 89-93, y no 90</t>
      </text>
    </comment>
    <comment ref="C71" authorId="2" shapeId="0" xr:uid="{00000000-0006-0000-0900-000003000000}">
      <text>
        <t>[Threaded comment]
Your version of Excel allows you to read this threaded comment; however, any edits to it will get removed if the file is opened in a newer version of Excel. Learn more: https://go.microsoft.com/fwlink/?linkid=870924
Comment:
    Marisol indica que el número de la casa es 89-110</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<sst xmlns="http://schemas.openxmlformats.org/spreadsheetml/2006/main" count="18115" uniqueCount="1535">
  <si>
    <t>Nro. Recibo</t>
  </si>
  <si>
    <t>Generar</t>
  </si>
  <si>
    <t>Enviado</t>
  </si>
  <si>
    <t>Fecha</t>
  </si>
  <si>
    <t>Monto</t>
  </si>
  <si>
    <t>Beneficiario</t>
  </si>
  <si>
    <t>E-mail o celular</t>
  </si>
  <si>
    <t>Dirección</t>
  </si>
  <si>
    <t>Concepto</t>
  </si>
  <si>
    <t>Categoría</t>
  </si>
  <si>
    <t>Shared Link</t>
  </si>
  <si>
    <t>Recibo (ed)</t>
  </si>
  <si>
    <t>Fecha (ed)</t>
  </si>
  <si>
    <t>Día</t>
  </si>
  <si>
    <t>Mes</t>
  </si>
  <si>
    <t>Monto (ed)</t>
  </si>
  <si>
    <t>Monto en letras</t>
  </si>
  <si>
    <t>ü</t>
  </si>
  <si>
    <t>Familia Del Negro Palermo</t>
  </si>
  <si>
    <t>vdelnegro@gmail.com</t>
  </si>
  <si>
    <t>Calle Guacara Nro. 88-45</t>
  </si>
  <si>
    <t>Anticipo Vigilancia, mes de Enero 2017</t>
  </si>
  <si>
    <t>Vigilancia</t>
  </si>
  <si>
    <t>https://drive.google.com/open?id=0ByOb8wNqoBtVQ2JYRkVQTFVWQU0</t>
  </si>
  <si>
    <t>Familia Colosso Delgado</t>
  </si>
  <si>
    <t>mcolosso@gmail.com</t>
  </si>
  <si>
    <t>Calle Güigüe Nro. 88-44</t>
  </si>
  <si>
    <t>https://drive.google.com/open?id=0ByOb8wNqoBtVWTdmYzQ4N0NUQ3c</t>
  </si>
  <si>
    <t>Familia Méndez Parra</t>
  </si>
  <si>
    <t>briceidamp@hotmail.com</t>
  </si>
  <si>
    <t>Calle Guacara Nro. 88-19</t>
  </si>
  <si>
    <t>https://drive.google.com/open?id=0ByOb8wNqoBtVZU5vcE5wOUtYRVU</t>
  </si>
  <si>
    <t>Familia Martínez Boada</t>
  </si>
  <si>
    <t>florcitakmz@gmail.com</t>
  </si>
  <si>
    <t>Calle Güigüe Nro. 88-62</t>
  </si>
  <si>
    <t>https://drive.google.com/open?id=0ByOb8wNqoBtVbnMxZWNSWHF3WlU</t>
  </si>
  <si>
    <t>Familia Fermín Rivas</t>
  </si>
  <si>
    <t>angelferminb@gmail.com</t>
  </si>
  <si>
    <t>Calle Güigüe Nro. 89-55</t>
  </si>
  <si>
    <t>https://drive.google.com/open?id=0ByOb8wNqoBtVcm9mb2w4S1F3N1k</t>
  </si>
  <si>
    <t>Familia Loponte Arteaga</t>
  </si>
  <si>
    <t>nancyloponte@hotmail.com</t>
  </si>
  <si>
    <t>Calle Güigüe Nro. 88-120</t>
  </si>
  <si>
    <t>https://drive.google.com/open?id=0ByOb8wNqoBtVM1MzMzhjNmMzeEE</t>
  </si>
  <si>
    <t>Familia Durvelle Serrano</t>
  </si>
  <si>
    <t>sdurvelle@hotmail.com</t>
  </si>
  <si>
    <t>Calle Guacara Nro. 89-60</t>
  </si>
  <si>
    <t>https://drive.google.com/open?id=0ByOb8wNqoBtVUmlGT0tPUnR5WU0</t>
  </si>
  <si>
    <t>Chin Chun Ya (Goya)</t>
  </si>
  <si>
    <t>uc2721@gmail.com</t>
  </si>
  <si>
    <t>Calle Guacara Nro. 87-86</t>
  </si>
  <si>
    <t>Colaboración Vigilancia, mes de Enero 2017</t>
  </si>
  <si>
    <t>https://drive.google.com/open?id=0ByOb8wNqoBtVb0Z2TFRxN0pyLTA</t>
  </si>
  <si>
    <t>Familia Castro Jiménez</t>
  </si>
  <si>
    <t>0426-543.4303</t>
  </si>
  <si>
    <t>Calle Guacara Nro. 90-51</t>
  </si>
  <si>
    <t>https://drive.google.com/open?id=0ByOb8wNqoBtVRXNhMmNDZkI0eVE</t>
  </si>
  <si>
    <t>La Casita Encantada</t>
  </si>
  <si>
    <t>En Físico</t>
  </si>
  <si>
    <t>Av. "M" Nro. 146-30</t>
  </si>
  <si>
    <t>Cancelación Vigilancia, mes de Enero 2017</t>
  </si>
  <si>
    <t>https://drive.google.com/open?id=0ByOb8wNqoBtVRDZWQUxwZm43cUU</t>
  </si>
  <si>
    <t>Familia Barreto Pérez</t>
  </si>
  <si>
    <t>bbetsa19@hotmail.com</t>
  </si>
  <si>
    <t>Av. "M" Nro. 146-15</t>
  </si>
  <si>
    <t>https://drive.google.com/open?id=0ByOb8wNqoBtVc1BVRG1xMDFyck0</t>
  </si>
  <si>
    <t>Familia González Arévalo</t>
  </si>
  <si>
    <t>feryenis@hotmail.com</t>
  </si>
  <si>
    <t>Calle Guacara Nro. 89-86</t>
  </si>
  <si>
    <t>https://drive.google.com/open?id=0ByOb8wNqoBtVLTlZOGVxSlVYV0U</t>
  </si>
  <si>
    <t>Familia Arcia Polanco</t>
  </si>
  <si>
    <t>misipo29@gmail.com</t>
  </si>
  <si>
    <t>Calle Guacara Nro. 89-20</t>
  </si>
  <si>
    <t>https://drive.google.com/open?id=0ByOb8wNqoBtVQzNkS1BObWJDMWs</t>
  </si>
  <si>
    <t>Familia Herrera Guada</t>
  </si>
  <si>
    <t>Calle Güigüe Nro. 89-90</t>
  </si>
  <si>
    <t>https://drive.google.com/open?id=0ByOb8wNqoBtVUnAtM1N6cFhtTlU</t>
  </si>
  <si>
    <t>Cancelación saldo Vigilancia, mes de Enero 2017</t>
  </si>
  <si>
    <t>https://drive.google.com/open?id=0ByOb8wNqoBtVQU84dFVIUlhueVk</t>
  </si>
  <si>
    <t>https://drive.google.com/open?id=0ByOb8wNqoBtVTXZQd1FMTHZsSHc</t>
  </si>
  <si>
    <t>Familia Ferrer Bahri</t>
  </si>
  <si>
    <t>bahrimariela@hotmail.com</t>
  </si>
  <si>
    <t>Calle Güigüe Nro. 89-83</t>
  </si>
  <si>
    <t>https://drive.google.com/open?id=0ByOb8wNqoBtVbmVRMlBsVFN0b0U</t>
  </si>
  <si>
    <t>Héctor Hernández</t>
  </si>
  <si>
    <t>eof64@hotmail.com</t>
  </si>
  <si>
    <t>Calle Guacara Nro. 89-94</t>
  </si>
  <si>
    <t>https://drive.google.com/open?id=0ByOb8wNqoBtVQW1LSko5bFZRUUE</t>
  </si>
  <si>
    <t>https://drive.google.com/open?id=0ByOb8wNqoBtVcEo1SFFiUkRWVTg</t>
  </si>
  <si>
    <t>https://drive.google.com/open?id=0ByOb8wNqoBtVTU4tNjBsajdQRDQ</t>
  </si>
  <si>
    <t>Wu Hung Fung</t>
  </si>
  <si>
    <t>carolinahung24@gmail.com</t>
  </si>
  <si>
    <t>Calle Guacara Nro. 90-81</t>
  </si>
  <si>
    <t>https://drive.google.com/open?id=0ByOb8wNqoBtVS3l5VmhmSjFmSVU</t>
  </si>
  <si>
    <t>Familia Flores Montagne</t>
  </si>
  <si>
    <t>namaricakes@gmail.com</t>
  </si>
  <si>
    <t>Av. "M" Nro. 146-20</t>
  </si>
  <si>
    <t>https://drive.google.com/open?id=0ByOb8wNqoBtVWUo3dWpkTk55NmM</t>
  </si>
  <si>
    <t>Cancelación Saldo Vigilancia, mes de Enero 2017</t>
  </si>
  <si>
    <t>https://drive.google.com/open?id=0ByOb8wNqoBtVQmtEU3cxY0lSZkk</t>
  </si>
  <si>
    <t>Familia Puerta Burguillos</t>
  </si>
  <si>
    <t>Calle Guacara Nro. 87-100</t>
  </si>
  <si>
    <t>https://drive.google.com/open?id=0ByOb8wNqoBtVYlZIVVZKODlkY2s</t>
  </si>
  <si>
    <t>Beatriz Lara</t>
  </si>
  <si>
    <t>valentina.gutierrez@hotmail.com</t>
  </si>
  <si>
    <t>Calle Guacara Nro. 89-130</t>
  </si>
  <si>
    <t>https://drive.google.com/open?id=0ByOb8wNqoBtVOGxVVDBFdjFoOEE</t>
  </si>
  <si>
    <t>Familia Lomeña Agudo</t>
  </si>
  <si>
    <t>claudialomena@hotmail.com</t>
  </si>
  <si>
    <t>Calle Guacara Nro. 89-30</t>
  </si>
  <si>
    <t>https://drive.google.com/open?id=0ByOb8wNqoBtVWWhHMFRzN19FMkE</t>
  </si>
  <si>
    <t>https://drive.google.com/open?id=0ByOb8wNqoBtVaE9MMGtlUFp2OHM</t>
  </si>
  <si>
    <t>Anticipo Vigilancia, mes de Febrero 2017</t>
  </si>
  <si>
    <t>https://drive.google.com/open?id=0ByOb8wNqoBtVMWUwa3dUWW1rNjg</t>
  </si>
  <si>
    <t>Familia Ochoa Mendoza</t>
  </si>
  <si>
    <t>marisoljudithm@hotmail.com</t>
  </si>
  <si>
    <t>Calle Güigüe Nro. 89-105</t>
  </si>
  <si>
    <t>https://drive.google.com/open?id=0ByOb8wNqoBtVTFo0NGg5NmJjTWM</t>
  </si>
  <si>
    <t>Victoria Francischiello</t>
  </si>
  <si>
    <t>victoriafrancischiello@hotmail.com</t>
  </si>
  <si>
    <t>Calle Guacara Nro. 88-25</t>
  </si>
  <si>
    <t>https://drive.google.com/open?id=0ByOb8wNqoBtVcjJtZUVZdEZrak0</t>
  </si>
  <si>
    <t>Familia Díaz González</t>
  </si>
  <si>
    <t>luisrdt57@gmail.com</t>
  </si>
  <si>
    <t>Calle Güigüe Nro. 88-116</t>
  </si>
  <si>
    <t>https://drive.google.com/open?id=0ByOb8wNqoBtVZWtLcEtyMWxfV28</t>
  </si>
  <si>
    <t>Familia Navarro Assing</t>
  </si>
  <si>
    <t>liliaassing@gmail.com</t>
  </si>
  <si>
    <t>Calle Güigüe Nro. 88-54</t>
  </si>
  <si>
    <t>https://drive.google.com/open?id=0ByOb8wNqoBtVYzd4OGlhTTFJTlU</t>
  </si>
  <si>
    <t>Familia Rodríguez Aular</t>
  </si>
  <si>
    <t>mvaular@hotmail.com</t>
  </si>
  <si>
    <t>Calle Güigüe Nro. 88-58</t>
  </si>
  <si>
    <t>https://drive.google.com/open?id=0ByOb8wNqoBtVclJQNllLdEJPQXc</t>
  </si>
  <si>
    <t>Amarilis Guerra</t>
  </si>
  <si>
    <t>amarilisguerra1@yahoo.com</t>
  </si>
  <si>
    <t>Calle Güigüe Nro. 89-96</t>
  </si>
  <si>
    <t>https://drive.google.com/open?id=0ByOb8wNqoBtVbTczRzFtWnRLVDg</t>
  </si>
  <si>
    <t>Anahiz Seijas</t>
  </si>
  <si>
    <t>anahiz_2@hotmail.es</t>
  </si>
  <si>
    <t>Calle Güigüe Nro. 89-106</t>
  </si>
  <si>
    <t>https://drive.google.com/open?id=0ByOb8wNqoBtVempWaXRRMXprTkE</t>
  </si>
  <si>
    <t>Cancelación Vigilancia, mes de Febrero 2017</t>
  </si>
  <si>
    <t>https://drive.google.com/open?id=0ByOb8wNqoBtVQm9MS3FaU19uRDQ</t>
  </si>
  <si>
    <t>Ma. de Jesus Alonso</t>
  </si>
  <si>
    <t>marjoriealonsoh@hotmail.com</t>
  </si>
  <si>
    <t>Calle Güigüe Nro. 88-30</t>
  </si>
  <si>
    <t>https://drive.google.com/open?id=0ByOb8wNqoBtVamduZWo4ZThvSUE</t>
  </si>
  <si>
    <t>Familia Fernández Parés</t>
  </si>
  <si>
    <t>vultecca@gmail.com</t>
  </si>
  <si>
    <t>Calle Guacara Nro. 88-75</t>
  </si>
  <si>
    <t>https://drive.google.com/open?id=0ByOb8wNqoBtVZVhicDRZalZyTVk</t>
  </si>
  <si>
    <t>Familia Sayago Peñaranda</t>
  </si>
  <si>
    <t>alexissayago@gmail.com</t>
  </si>
  <si>
    <t>Calle Güigüe Nro. 89-04</t>
  </si>
  <si>
    <t>https://drive.google.com/open?id=0ByOb8wNqoBtVS2lTMnE2M0UzVW8</t>
  </si>
  <si>
    <t>Cancelación saldo Vigilancia, mes de Febrero 2017</t>
  </si>
  <si>
    <t>https://drive.google.com/open?id=0ByOb8wNqoBtVT1Qzd0hkN1g1OWs</t>
  </si>
  <si>
    <t>Colaboración Vigilancia, mes de Febrero 2017</t>
  </si>
  <si>
    <t>https://drive.google.com/open?id=0ByOb8wNqoBtVVktmTlFfRDdlUGM</t>
  </si>
  <si>
    <t>https://drive.google.com/open?id=0ByOb8wNqoBtVNXZxU2VEOEt0RlU</t>
  </si>
  <si>
    <t>https://drive.google.com/open?id=0ByOb8wNqoBtVUUtRcEp5REVFOUk</t>
  </si>
  <si>
    <t>Familia Kattar González</t>
  </si>
  <si>
    <t>jagiak123@yahoo.es</t>
  </si>
  <si>
    <t>Calle Güigüe Nro. 89-95</t>
  </si>
  <si>
    <t>https://drive.google.com/open?id=0ByOb8wNqoBtVaDZDQ2JQMkRIWjQ</t>
  </si>
  <si>
    <t>https://drive.google.com/open?id=0ByOb8wNqoBtVRDFXdWdqZF81b28</t>
  </si>
  <si>
    <t>Familia Morales Sesar</t>
  </si>
  <si>
    <t>moralesesar@gmail.com</t>
  </si>
  <si>
    <t>Calle Güigüe Nro. 89-120</t>
  </si>
  <si>
    <t>https://drive.google.com/open?id=0ByOb8wNqoBtVT0ZSd3ZWTVMybFE</t>
  </si>
  <si>
    <t>Familia Pérez Malpica</t>
  </si>
  <si>
    <t>Calle Güigüe Nro. 88-110</t>
  </si>
  <si>
    <t>https://drive.google.com/open?id=0ByOb8wNqoBtVTGt0X2pvUXozaEU</t>
  </si>
  <si>
    <t>https://drive.google.com/open?id=0ByOb8wNqoBtVb0pxcE91dkRwNUk</t>
  </si>
  <si>
    <t>https://drive.google.com/open?id=0ByOb8wNqoBtVb1VuTmFjUDNaME0</t>
  </si>
  <si>
    <t>https://drive.google.com/open?id=0ByOb8wNqoBtVaXZKdk1qOVM3Tjg</t>
  </si>
  <si>
    <t>Familia Hurtado</t>
  </si>
  <si>
    <t>francisco_hurtado@hotmail.com</t>
  </si>
  <si>
    <t>Av. "O" Nro. 146-11</t>
  </si>
  <si>
    <t>https://drive.google.com/open?id=0ByOb8wNqoBtVN3BPaFhSVWZpTms</t>
  </si>
  <si>
    <t>Familia Kablan Sarmiento</t>
  </si>
  <si>
    <t>norisjsb56@hotmail.com</t>
  </si>
  <si>
    <t>Calle Güigüe Nro. 89-80</t>
  </si>
  <si>
    <t>https://drive.google.com/open?id=0ByOb8wNqoBtVdzdwOHk0RlotOEE</t>
  </si>
  <si>
    <t>Familia Acosta Carpio</t>
  </si>
  <si>
    <t>pablo962@hotmail.com</t>
  </si>
  <si>
    <t>Calle Güigüe Nro. 89-10</t>
  </si>
  <si>
    <t>https://drive.google.com/open?id=0ByOb8wNqoBtVYlNEMFVTUC1EUjg</t>
  </si>
  <si>
    <t>https://drive.google.com/open?id=0ByOb8wNqoBtVWnlXMTFuSzA5dm8</t>
  </si>
  <si>
    <t>https://drive.google.com/open?id=0ByOb8wNqoBtVR3NHX2RBVHdMRUE</t>
  </si>
  <si>
    <t>https://drive.google.com/open?id=0ByOb8wNqoBtVOFV5X3hsb2tkLXc</t>
  </si>
  <si>
    <t>https://drive.google.com/open?id=0ByOb8wNqoBtVUjQ4Q0swVTVHZEU</t>
  </si>
  <si>
    <t>https://drive.google.com/open?id=0ByOb8wNqoBtVdWRXdWdtZ1YwdXM</t>
  </si>
  <si>
    <t>https://drive.google.com/open?id=0ByOb8wNqoBtVWHhMdUtYekJUV1U</t>
  </si>
  <si>
    <t>Cancelación Vigilancia, meses de Feb-Mar 2017</t>
  </si>
  <si>
    <t>https://drive.google.com/open?id=0ByOb8wNqoBtVM2ZQQjdkOVV6UVE</t>
  </si>
  <si>
    <t>Familia Il Grande Franceschi</t>
  </si>
  <si>
    <t>arcifran75@hotmail.com</t>
  </si>
  <si>
    <t>Av. "I" Nro. 146-40</t>
  </si>
  <si>
    <t>https://drive.google.com/open?id=0ByOb8wNqoBtVQWlFM0g0XzIxcU0</t>
  </si>
  <si>
    <t>Familia Nava Gordon</t>
  </si>
  <si>
    <t>maru_19_66@hotmail.com</t>
  </si>
  <si>
    <t>Calle Guacara Nro. 89-78</t>
  </si>
  <si>
    <t>https://drive.google.com/open?id=0ByOb8wNqoBtVTGhxT2p0M2pybG8</t>
  </si>
  <si>
    <t>https://drive.google.com/open?id=0ByOb8wNqoBtVWF9BSkxwOHgzMDA</t>
  </si>
  <si>
    <t>Familia Astor Zamora</t>
  </si>
  <si>
    <t>imzastor@gmail.com</t>
  </si>
  <si>
    <t>Calle Güigüe Nro. 88-111</t>
  </si>
  <si>
    <t>https://drive.google.com/open?id=0ByOb8wNqoBtVUnJDbUZaZ3k2NDQ</t>
  </si>
  <si>
    <t>https://drive.google.com/open?id=0ByOb8wNqoBtVVDhUS2R2Z2xoWTg</t>
  </si>
  <si>
    <t>Familia Castillo Mena</t>
  </si>
  <si>
    <t>emmecas@hotmail.com</t>
  </si>
  <si>
    <t>Calle Güigüe Nro. 88-101</t>
  </si>
  <si>
    <t>https://drive.google.com/open?id=0ByOb8wNqoBtVTlB1OEItUXRHYk0</t>
  </si>
  <si>
    <t>Familia Castillo Rodríguez</t>
  </si>
  <si>
    <t>vesperanzacastillor@gmail.com</t>
  </si>
  <si>
    <t>Calle Güigüe Nro. 88-91</t>
  </si>
  <si>
    <t>https://drive.google.com/open?id=0ByOb8wNqoBtVakxqRFctYlFad0U</t>
  </si>
  <si>
    <t>Familia López Hermoso</t>
  </si>
  <si>
    <t>lopez.humberto14@yahoo.com.ve</t>
  </si>
  <si>
    <t>Calle Güigüe Nro. 89-79</t>
  </si>
  <si>
    <t>Cancelación Vigilancia, meses de Ene-Feb 2017</t>
  </si>
  <si>
    <t>https://drive.google.com/open?id=0ByOb8wNqoBtVNFRlVVkyeENWb3c</t>
  </si>
  <si>
    <t>https://drive.google.com/open?id=0ByOb8wNqoBtVSG1iQnZKWnJRTGM</t>
  </si>
  <si>
    <t>û</t>
  </si>
  <si>
    <t>Anticipo Vigilancia y compra de control</t>
  </si>
  <si>
    <t>Anticipo</t>
  </si>
  <si>
    <t>https://drive.google.com/open?id=0ByOb8wNqoBtVbWtSbzJfSnl2NkE</t>
  </si>
  <si>
    <t>https://drive.google.com/open?id=0ByOb8wNqoBtVdXUwLVFWVWlEUDA</t>
  </si>
  <si>
    <t>Familia Jiménez Navarro</t>
  </si>
  <si>
    <t>joyasonline2012@gmail.com</t>
  </si>
  <si>
    <t>Calle Güigüe Nro. 88-50</t>
  </si>
  <si>
    <t>https://drive.google.com/open?id=0ByOb8wNqoBtVUllDQVNEdWdNVjg</t>
  </si>
  <si>
    <t>https://drive.google.com/open?id=0ByOb8wNqoBtVcDFJWTY3dkhSZWc</t>
  </si>
  <si>
    <t>https://drive.google.com/open?id=0ByOb8wNqoBtVcWc4NWNJMzBqakE</t>
  </si>
  <si>
    <t>https://drive.google.com/open?id=0ByOb8wNqoBtVRG13cEJ2M3poNFk</t>
  </si>
  <si>
    <t>https://drive.google.com/open?id=0ByOb8wNqoBtVR0hrSGxIT3dpNkk</t>
  </si>
  <si>
    <t>https://drive.google.com/open?id=0ByOb8wNqoBtVSTZKZWhwQ1hZODA</t>
  </si>
  <si>
    <t>Familia Manrique Riera</t>
  </si>
  <si>
    <t>patriciamanrique@gmail.com</t>
  </si>
  <si>
    <t>Calle Guacara Nro. 89-40</t>
  </si>
  <si>
    <t>https://drive.google.com/open?id=0ByOb8wNqoBtVM2RKU0ZLUldzR1U</t>
  </si>
  <si>
    <t>Familia Narváez Caldera</t>
  </si>
  <si>
    <t>jeannette_nc@yahoo.com</t>
  </si>
  <si>
    <t>Calle Güigüe Nro. 87-A-11</t>
  </si>
  <si>
    <t>https://drive.google.com/open?id=0ByOb8wNqoBtVeTdod09mT0JMdnc</t>
  </si>
  <si>
    <t>https://drive.google.com/open?id=0ByOb8wNqoBtVOFNfaUFxSXA2MFk</t>
  </si>
  <si>
    <t>Familia Scabuzzo Gómez</t>
  </si>
  <si>
    <t>sfscabuzzo@msn.com</t>
  </si>
  <si>
    <t>Av. "I" Nro. 146-20</t>
  </si>
  <si>
    <t>https://drive.google.com/open?id=0ByOb8wNqoBtVbGFhMEVMdDkwS2M</t>
  </si>
  <si>
    <t>Zoraida Khair</t>
  </si>
  <si>
    <t>zorakhair@hotmail.com</t>
  </si>
  <si>
    <t>Calle Güigüe Nro. 88-80</t>
  </si>
  <si>
    <t>https://drive.google.com/open?id=0ByOb8wNqoBtVTm16QVpmaGpjcDg</t>
  </si>
  <si>
    <t>https://drive.google.com/open?id=0ByOb8wNqoBtVbzFKV21LSDBaMTQ</t>
  </si>
  <si>
    <t>https://drive.google.com/open?id=0ByOb8wNqoBtVblhXQTV6U0ZQN2s</t>
  </si>
  <si>
    <t>https://drive.google.com/open?id=0ByOb8wNqoBtVYjBuQ3lYdlJqM2M</t>
  </si>
  <si>
    <t>Familia Matta Palomino</t>
  </si>
  <si>
    <t>normaapm@hotmail.com</t>
  </si>
  <si>
    <t>Calle Güigüe Nro. 88-90</t>
  </si>
  <si>
    <t>https://drive.google.com/open?id=0ByOb8wNqoBtVdTZiMWp5M1djRlE</t>
  </si>
  <si>
    <t>https://drive.google.com/open?id=0ByOb8wNqoBtVeHJtMFp0d3Zxd0k</t>
  </si>
  <si>
    <t>Ana de González</t>
  </si>
  <si>
    <t>mikelnowak25@gmail.com</t>
  </si>
  <si>
    <t>Av. "O" Nro. 146-17</t>
  </si>
  <si>
    <t>https://drive.google.com/open?id=0ByOb8wNqoBtVTmhhUDVjeEk4VTg</t>
  </si>
  <si>
    <t>https://drive.google.com/open?id=0ByOb8wNqoBtVMVAxRHh5N0RINDA</t>
  </si>
  <si>
    <t>https://drive.google.com/open?id=0ByOb8wNqoBtVbmRuMUwxWTU0dE0</t>
  </si>
  <si>
    <t>Familia Hoyte Rafmari</t>
  </si>
  <si>
    <t>0412-741.3242</t>
  </si>
  <si>
    <t>Av. "I" Nro. 146-30</t>
  </si>
  <si>
    <t>https://drive.google.com/open?id=0ByOb8wNqoBtVMC1WZ3ZxQlNDdnM</t>
  </si>
  <si>
    <t>https://drive.google.com/open?id=0ByOb8wNqoBtVY3BmbmVXU1BhRGc</t>
  </si>
  <si>
    <t>Familia García Hurtado</t>
  </si>
  <si>
    <t>0414-241.8055</t>
  </si>
  <si>
    <t>Calle Guacara Nro. 90-110</t>
  </si>
  <si>
    <t>Colaboración Vigilancia, meses de Enero y Febrero 2017</t>
  </si>
  <si>
    <t>https://drive.google.com/open?id=0ByOb8wNqoBtVODlZNnBTM1Z6NlU</t>
  </si>
  <si>
    <t>Familia Jiménez Salvatierra</t>
  </si>
  <si>
    <t>0414-582.8909</t>
  </si>
  <si>
    <t>Calle Güigüe Nro. 89-45</t>
  </si>
  <si>
    <t>https://drive.google.com/open?id=0ByOb8wNqoBtVWHVhTFJKcGZHWUk</t>
  </si>
  <si>
    <t>Familia Zavarce Barón</t>
  </si>
  <si>
    <t>Calle Guacara Nro. 88-91</t>
  </si>
  <si>
    <t>https://drive.google.com/open?id=0ByOb8wNqoBtVRHRIOGp5T3BLbmc</t>
  </si>
  <si>
    <t>Familia Piñero Padilla</t>
  </si>
  <si>
    <t>achepaul2005@hotmail.com</t>
  </si>
  <si>
    <t>Calle Güigüe Nro. 89-21</t>
  </si>
  <si>
    <t>https://drive.google.com/open?id=0ByOb8wNqoBtVOE52UWMwV2J5ajg</t>
  </si>
  <si>
    <t>Silvia Power</t>
  </si>
  <si>
    <t>spowermeneses@gmail.com</t>
  </si>
  <si>
    <t>Calle Güigüe Nro. 89-16</t>
  </si>
  <si>
    <t>Colaboración Vigilancia, meses de Ene-Feb 2017</t>
  </si>
  <si>
    <t>https://drive.google.com/open?id=0ByOb8wNqoBtVd01iVE5RNTlwbXM</t>
  </si>
  <si>
    <t>Familia Gascón Domínguez</t>
  </si>
  <si>
    <t>vrgascon@gmail.com</t>
  </si>
  <si>
    <t>Calle Güigüe Nro. 88-70</t>
  </si>
  <si>
    <t>https://drive.google.com/open?id=0ByOb8wNqoBtVSnQtSDhQbFktRmc</t>
  </si>
  <si>
    <t>https://drive.google.com/open?id=0ByOb8wNqoBtVTllwTk1GcEZFZVE</t>
  </si>
  <si>
    <t>Anticipo Vigilancia, mes de Marzo 2017</t>
  </si>
  <si>
    <t>https://drive.google.com/open?id=0ByOb8wNqoBtVSTY3V2lRMUxyTzQ</t>
  </si>
  <si>
    <t>Familia Rivero</t>
  </si>
  <si>
    <t>Calle Güigüe Nro. 88-40</t>
  </si>
  <si>
    <t>https://drive.google.com/open?id=0ByOb8wNqoBtVU1lmUmtjYmFJOEU</t>
  </si>
  <si>
    <t>Cancelación Vigilancia, mes de Marzo 2017</t>
  </si>
  <si>
    <t>https://drive.google.com/open?id=0ByOb8wNqoBtVXzBQUk5oOTdOdnc</t>
  </si>
  <si>
    <t>Donación Vigilancia, mes de Marzo 2017</t>
  </si>
  <si>
    <t>https://drive.google.com/open?id=0ByOb8wNqoBtVeUlCb3hya095NGc</t>
  </si>
  <si>
    <t>Cancelación Saldo Vigilancia, mes de Enero 2017 y cancelación Vigilancia, mes de Febrero 2017</t>
  </si>
  <si>
    <t>https://drive.google.com/open?id=0ByOb8wNqoBtVdUo1SDNIdi1tRm8</t>
  </si>
  <si>
    <t>Dra. Lilia Magallanes</t>
  </si>
  <si>
    <t>liliamagallanes2010@gmail.com</t>
  </si>
  <si>
    <t>Calle Güigüe Nro. 88-51</t>
  </si>
  <si>
    <t>Colaboración Vigilancia, meses de Ene-Mar 2017</t>
  </si>
  <si>
    <t>https://drive.google.com/open?id=0ByOb8wNqoBtVRFlqUkZfeGp5M28</t>
  </si>
  <si>
    <t>Colaboración Vigilancia, mes de Marzo 2017</t>
  </si>
  <si>
    <t>https://drive.google.com/open?id=0ByOb8wNqoBtVdlNhb0wyRkNIOTQ</t>
  </si>
  <si>
    <t>Familia Zavarce Pérez</t>
  </si>
  <si>
    <t>Calle Guacara Nro. 90-35</t>
  </si>
  <si>
    <t>https://drive.google.com/open?id=0ByOb8wNqoBtVakQ5Z2l1RTAtNGs</t>
  </si>
  <si>
    <t>anticipo Vigilancia, mes de Marzo 2017</t>
  </si>
  <si>
    <t>https://drive.google.com/open?id=0ByOb8wNqoBtVcVZvTjdxQUE4cUk</t>
  </si>
  <si>
    <t>Familia Hatem Medina</t>
  </si>
  <si>
    <t>hhatem1@hotmail.com</t>
  </si>
  <si>
    <t>Calle Guacara Nro. 88-51</t>
  </si>
  <si>
    <t>https://drive.google.com/open?id=0ByOb8wNqoBtVOVluZ3Z6aGNXSjg</t>
  </si>
  <si>
    <t>https://drive.google.com/open?id=0ByOb8wNqoBtVUlpEa2NybWVrNWc</t>
  </si>
  <si>
    <t>https://drive.google.com/open?id=0ByOb8wNqoBtVd1Bha1RaTXJVTW8</t>
  </si>
  <si>
    <t>https://drive.google.com/open?id=0ByOb8wNqoBtVTjVGLW5McTNyTEU</t>
  </si>
  <si>
    <t>Cancelación Saldo Vigilancia, mes de Enero 2017 y cancelación Vigilancia, meses de Feb-Mar 2017</t>
  </si>
  <si>
    <t>https://drive.google.com/open?id=0ByOb8wNqoBtVVTZMQ3JGNkpOQ2s</t>
  </si>
  <si>
    <t>https://drive.google.com/open?id=0ByOb8wNqoBtVc182N2Job1dvOVk</t>
  </si>
  <si>
    <t>Familia Franco Gómez</t>
  </si>
  <si>
    <t>Calle Guacara Nro. 87-07</t>
  </si>
  <si>
    <t>https://drive.google.com/open?id=0ByOb8wNqoBtVY2hIMjBnenBHUlU</t>
  </si>
  <si>
    <t>Sra. Reina Meléndez</t>
  </si>
  <si>
    <t>olgajipe@gmail.com</t>
  </si>
  <si>
    <t>Av. "M" Nro. 145-10</t>
  </si>
  <si>
    <t>https://drive.google.com/open?id=0ByOb8wNqoBtVdC1VZzF5Rk9vTEE</t>
  </si>
  <si>
    <t>https://drive.google.com/open?id=0ByOb8wNqoBtVT0ZVSFpaVlNyN0U</t>
  </si>
  <si>
    <t>Familia Machado Stoppa</t>
  </si>
  <si>
    <t>machadoru@hotmail.com</t>
  </si>
  <si>
    <t>Calle Guacara Nro. 88-85</t>
  </si>
  <si>
    <t>https://drive.google.com/open?id=0ByOb8wNqoBtVeC1SNVJRNjFuTVE</t>
  </si>
  <si>
    <t>https://drive.google.com/open?id=0ByOb8wNqoBtVQlRuWnlZdnQ2MEE</t>
  </si>
  <si>
    <t>https://drive.google.com/open?id=0ByOb8wNqoBtVc1NYcl9LRWhfVUU</t>
  </si>
  <si>
    <t>https://drive.google.com/open?id=0ByOb8wNqoBtVbkNhZV92RVBBeDQ</t>
  </si>
  <si>
    <t>Cancelación Saldo Vigilancia, mes de Marzo 2017</t>
  </si>
  <si>
    <t>https://drive.google.com/open?id=0ByOb8wNqoBtVajFsUEY4SXhtSG8</t>
  </si>
  <si>
    <t>https://drive.google.com/open?id=0ByOb8wNqoBtVMDl1eDRUSl9QVkU</t>
  </si>
  <si>
    <t>https://drive.google.com/open?id=0ByOb8wNqoBtVUFhOUEVycGNfNEU</t>
  </si>
  <si>
    <t>Familia Cegarra Villamizar</t>
  </si>
  <si>
    <t>jesus.villamizar.ra@gmail.com</t>
  </si>
  <si>
    <t>Calle Guacara Nro. 88-35</t>
  </si>
  <si>
    <t>https://drive.google.com/open?id=0ByOb8wNqoBtVVm9PdXd6U0VPdXM</t>
  </si>
  <si>
    <t>https://drive.google.com/open?id=0ByOb8wNqoBtVUU9TdUdRckFETmc</t>
  </si>
  <si>
    <t>https://drive.google.com/open?id=0ByOb8wNqoBtVSElUZ2ctWVVhbmc</t>
  </si>
  <si>
    <t>https://drive.google.com/open?id=0ByOb8wNqoBtVbGZjSklOSWZMMUU</t>
  </si>
  <si>
    <t>https://drive.google.com/open?id=0ByOb8wNqoBtVT2tYRlNoMkMwdUE</t>
  </si>
  <si>
    <t>https://drive.google.com/open?id=0ByOb8wNqoBtVTktPck5mMlpEY3c</t>
  </si>
  <si>
    <t>Familia Delgado Hidalgo</t>
  </si>
  <si>
    <t>ardh@hotmail.com</t>
  </si>
  <si>
    <t>Calle Güigüe Nro. 88-10</t>
  </si>
  <si>
    <t>https://drive.google.com/open?id=0ByOb8wNqoBtVUGJmeHI2UTZKVlE</t>
  </si>
  <si>
    <t>https://drive.google.com/open?id=0ByOb8wNqoBtVYlpzUXFSREtCTUE</t>
  </si>
  <si>
    <t>14 02 2017 Bs. 6.200 - Cancelación control del portón</t>
  </si>
  <si>
    <t>Control</t>
  </si>
  <si>
    <t>https://drive.google.com/open?id=0ByOb8wNqoBtVLWdrMGVUemh6cGs</t>
  </si>
  <si>
    <t>https://drive.google.com/open?id=0ByOb8wNqoBtVUFJvVmpSWnB4T2M</t>
  </si>
  <si>
    <t>Familia Medina Colina</t>
  </si>
  <si>
    <t>0414-409.4702</t>
  </si>
  <si>
    <t>Calle Güigüe Nro. 89-70</t>
  </si>
  <si>
    <t>https://drive.google.com/open?id=0ByOb8wNqoBtVVHhGTUdTOWd3TVk</t>
  </si>
  <si>
    <t>https://drive.google.com/open?id=0ByOb8wNqoBtVNm52V1J6V0N3aUE</t>
  </si>
  <si>
    <t>https://drive.google.com/open?id=0ByOb8wNqoBtVLVJ1Tk96RUN1M3M</t>
  </si>
  <si>
    <t>https://drive.google.com/open?id=0ByOb8wNqoBtVcTJ2N1lNUHpoR1k</t>
  </si>
  <si>
    <t>https://drive.google.com/open?id=0ByOb8wNqoBtVejltaUpYVXh5VlE</t>
  </si>
  <si>
    <t>https://drive.google.com/open?id=0ByOb8wNqoBtVdWZOUWFPdnR1N1E</t>
  </si>
  <si>
    <t>https://drive.google.com/open?id=0ByOb8wNqoBtVX2NYLWV3YkpZb28</t>
  </si>
  <si>
    <t>Colaboración Vigilancia, mes de Marzo 2017 y anticipo Abril 2017</t>
  </si>
  <si>
    <t>https://drive.google.com/open?id=0ByOb8wNqoBtVeHBDSHplc2c4Z2M</t>
  </si>
  <si>
    <t>https://drive.google.com/open?id=0ByOb8wNqoBtVWV95R2U0RFZyYW8</t>
  </si>
  <si>
    <t>https://drive.google.com/open?id=0ByOb8wNqoBtVcjJvNUUza2ZRa0k</t>
  </si>
  <si>
    <t>https://drive.google.com/open?id=0ByOb8wNqoBtVel83UkE2ZGl3cjA</t>
  </si>
  <si>
    <t>https://drive.google.com/open?id=0ByOb8wNqoBtVU0Nna2k1YjJ4aHc</t>
  </si>
  <si>
    <t>Cancelación saldo Vigilancia, mes de Febrero 2017 y anticipo Bs. 10.500 mes de Marzo 2017</t>
  </si>
  <si>
    <t>https://drive.google.com/open?id=0ByOb8wNqoBtVbWI4bUszb2tYckk</t>
  </si>
  <si>
    <t>https://drive.google.com/open?id=0ByOb8wNqoBtVcGNWQVhDdkhfVXc</t>
  </si>
  <si>
    <t>https://drive.google.com/open?id=0ByOb8wNqoBtVcFRNQVpiR0dNS2M</t>
  </si>
  <si>
    <t>https://drive.google.com/open?id=0ByOb8wNqoBtVZTJBYXhQdlBrX0k</t>
  </si>
  <si>
    <t>https://drive.google.com/open?id=0ByOb8wNqoBtVQm55c1Jmdm54bTg</t>
  </si>
  <si>
    <t>https://drive.google.com/open?id=0ByOb8wNqoBtVLTlOUkRqZEtQYms</t>
  </si>
  <si>
    <t>https://drive.google.com/open?id=0ByOb8wNqoBtVb0J3bGZITmRla0k</t>
  </si>
  <si>
    <t>Cancelación Vigilancia, mes de Abril 2017</t>
  </si>
  <si>
    <t>Colaboración Vigilancia, meses de Mar-Abr 2017</t>
  </si>
  <si>
    <t>Familia Santos Carrillo</t>
  </si>
  <si>
    <t>Calle Guacara Nro. 90-93</t>
  </si>
  <si>
    <t>Colaboración Vigilancia, meses de Noviembre 2016 a Enero 2017</t>
  </si>
  <si>
    <t>Cancelación Vigilancia, meses de Mar-Abr 2017</t>
  </si>
  <si>
    <t>Familia Rodríguez Landaeta</t>
  </si>
  <si>
    <t>mrl58@hotmail.com</t>
  </si>
  <si>
    <t>Calle Güigüe Nro. 89-29</t>
  </si>
  <si>
    <t>Colaboración Vigilancia, mes de Abril 2017</t>
  </si>
  <si>
    <t>Cancelación Saldo Vigilancia, mes de Mar 2017</t>
  </si>
  <si>
    <t>Cancelación Vigilancia, meses de Abril y Mayo 2017 *DEFINITIVO*</t>
  </si>
  <si>
    <t>Familia Guerra Miret</t>
  </si>
  <si>
    <t>antoniojguerrag@hotmail.com</t>
  </si>
  <si>
    <t>Calle Güigüe Nro. 89-40</t>
  </si>
  <si>
    <t>Yuraima Rodríguez</t>
  </si>
  <si>
    <t>Calle Guacara Nro. 89-70</t>
  </si>
  <si>
    <t>Gloria Molina</t>
  </si>
  <si>
    <t>glomola2@yahoo.es</t>
  </si>
  <si>
    <t>Calle Güigüe Nro. 89-71</t>
  </si>
  <si>
    <t>Cancelación Saldo Vigilancia, mes de Enero 2017 y Cancelación Vigilancia, meses de Feb-Abr 2017</t>
  </si>
  <si>
    <t>Anticipo Vigilancia, mes de Mayo 2017</t>
  </si>
  <si>
    <t>Familia Sirit Palencia</t>
  </si>
  <si>
    <t>irasirit@gmail.com</t>
  </si>
  <si>
    <t>Calle Güigüe Nro. 89-35</t>
  </si>
  <si>
    <t>Cancelación Vigilancia, mes de Mayo 2017</t>
  </si>
  <si>
    <t>Cancelación Saldo Vigilancia, mes de Mayo 2017</t>
  </si>
  <si>
    <t>Colegio El Trigal</t>
  </si>
  <si>
    <t>Calle Güigüe Nros. 88-71 y 88-81</t>
  </si>
  <si>
    <t>Cancelación Vigilancia, mes de Abr 2017 y anticipo May 2017</t>
  </si>
  <si>
    <t>ANULADO: Cancelación Vigilancia, mes de Marzo 2017</t>
  </si>
  <si>
    <t>ANULADO</t>
  </si>
  <si>
    <t>Colaboración Vigilancia, mes de Mayo 2017</t>
  </si>
  <si>
    <t>Cancelación Vigilancia, mes de Abril 2017, contra facturas</t>
  </si>
  <si>
    <t>Cancelación Vigilancia, mes de Mayo 2017 y Bs. 17.000 adelanto Junio 2017</t>
  </si>
  <si>
    <t>Cancelación Vigilancia, meses de Marzo, Abril y Mayo 2017</t>
  </si>
  <si>
    <t>Cancelación Vigilancia, mes de Junio 2017 *DEFINITIVO*</t>
  </si>
  <si>
    <t>Cancelación Vigilancia, mes de Abril 2017 y anticipo Mayo 2017 (Bs. 17.000)</t>
  </si>
  <si>
    <t>Familia Chávez Hernández</t>
  </si>
  <si>
    <t>mercedesch23@hotmail.com</t>
  </si>
  <si>
    <t>Calle Güigüe Nro. 88-20</t>
  </si>
  <si>
    <t>Colaboración Vigilancia, meses de Noviembre 2016 a Marzo 2017</t>
  </si>
  <si>
    <t>Cancelación Vigilancia, meses de Abril, Mayo y Junio 2017</t>
  </si>
  <si>
    <t>Ely Saúl Rivero Gómez</t>
  </si>
  <si>
    <t>hhs.admon@gmail.com</t>
  </si>
  <si>
    <t>Av. "Ñ" Nro. 145-25</t>
  </si>
  <si>
    <t>Cancelación Vigilancia, meses de Ene-Jun 2017 (saldo a favor: Bs. 156.000)</t>
  </si>
  <si>
    <t>Cancelación Vigilancia, mes de Junio 2017 (saldo a favor: Bs. 165.000)</t>
  </si>
  <si>
    <t>Familia Montilla García</t>
  </si>
  <si>
    <t>dairy252525@hotmail.com</t>
  </si>
  <si>
    <t>Cancelación Vigilancia, mes de Junio 2017</t>
  </si>
  <si>
    <t>Colaboración Vigilancia, mes de Junio 2017</t>
  </si>
  <si>
    <t>Cancelación Vigilancia, saldo mes de Mayo 2017 y Junio 2017</t>
  </si>
  <si>
    <t>Cancelación Vigilancia, meses de Mayo y Junio 2017</t>
  </si>
  <si>
    <t>Cancelación Vigilancia, mes de Junio y anticipo de Julio y Agosto 2017 (contra facturas)</t>
  </si>
  <si>
    <t>Colaboración Vigilancia, meses de Junio y Julio 2017 (contra facturas)</t>
  </si>
  <si>
    <t>Cuota especial, reja vereda Centro Comercial</t>
  </si>
  <si>
    <t>Reja CC</t>
  </si>
  <si>
    <t>Anticipo Vigilancia, meses de Mayo y Junio 2017</t>
  </si>
  <si>
    <t>Amparo Acosta</t>
  </si>
  <si>
    <t>Calle Guacara Nro. 88-65</t>
  </si>
  <si>
    <t>Colaboración Vigilancia, meses de Febrero a Junio 2017</t>
  </si>
  <si>
    <t>Colaboración cuota especial, reja vereda Centro Comercial</t>
  </si>
  <si>
    <t>Compra de tres (03) calcomanías a Bs. 500 c u</t>
  </si>
  <si>
    <t>Logo</t>
  </si>
  <si>
    <t>Cancelación Vigilancia, mes de Mayo y anticipo de Junio 2017</t>
  </si>
  <si>
    <t>Cancelación Vigilancia, mes de Junio 2017, contra factura</t>
  </si>
  <si>
    <t>Cancelación Vigilancia, meses de Abril y Mayo 2017 y adelanto del mes de Junio 2017, contra factura</t>
  </si>
  <si>
    <t>Cancelación saldo Vigilancia, mes de Junio 2017</t>
  </si>
  <si>
    <t>Familia Ramírez</t>
  </si>
  <si>
    <t>0414-433.7527</t>
  </si>
  <si>
    <t>Calle Güigüe Nro. 88-61</t>
  </si>
  <si>
    <t>Anticipo cuota especial, reja vereda Centro Comercial</t>
  </si>
  <si>
    <t>Colaboración Vigilancia, meses de Abril y Mayo 2017</t>
  </si>
  <si>
    <t>ANULADO: Cuota especial, reja vereda Centro Comercial</t>
  </si>
  <si>
    <t>Cancelación saldo cuota especial, reja vereda Centro Comercial</t>
  </si>
  <si>
    <t>Familia Molina Estopiñán</t>
  </si>
  <si>
    <t>Calle Güigüe Nro. 89-30</t>
  </si>
  <si>
    <t>Anticipo Vigilancia, mes de Julio 2017</t>
  </si>
  <si>
    <t>Colaboración Vigilancia, meses de Junio y Julio 2017</t>
  </si>
  <si>
    <t>Anticipo Vigilancia, mes de Julio 2017 (saldo a favor: Bs. 139.000)</t>
  </si>
  <si>
    <t>Anticipo Vigilancia, mes de Julio 2017 (saldo a favor: Bs. 130.000)</t>
  </si>
  <si>
    <t>Cancelación saldo Vigilancia, mes de Feb 2017, y cancelación Vigilancia, meses de Mar-Jun 2017 (saldo a favor: Bs. 36.613)</t>
  </si>
  <si>
    <t>Colaboración Vigilancia, mes de Julio 2017</t>
  </si>
  <si>
    <t>Familia Leung</t>
  </si>
  <si>
    <t>0412-406.5167</t>
  </si>
  <si>
    <t>Calle Guacara Nro. 88-55</t>
  </si>
  <si>
    <t>Cancelación Vigilancia, meses de Enero, Febrero, Marzo, Abril y Mayo 2017</t>
  </si>
  <si>
    <t>Familia Milanés Carmona</t>
  </si>
  <si>
    <t>yndira11m@gmail.com</t>
  </si>
  <si>
    <t>Calle Güigüe Nro. 89-65</t>
  </si>
  <si>
    <t>Cancelación Vigilancia, mes de Junio y anticipo Julio 2017</t>
  </si>
  <si>
    <t>Donación de láminas de acerolit, manto asfáltico y vidrios para la caseta de vigilancia, quedando exonerada de pago hasta Diciembre 2017</t>
  </si>
  <si>
    <t>DONACION</t>
  </si>
  <si>
    <t xml:space="preserve"> - - - </t>
  </si>
  <si>
    <t>- - -</t>
  </si>
  <si>
    <t>Colaboración Vigilancia, meses de Abril, Mayo y Junio 2017</t>
  </si>
  <si>
    <t>Familia Triana González</t>
  </si>
  <si>
    <t>Calle Guacara Nro. 90-61</t>
  </si>
  <si>
    <t>Colaboración Vigilancia, meses de Ene-May 2017</t>
  </si>
  <si>
    <t>Cancelación saldo Vigilancia, meses de Mayo y Junio 2017</t>
  </si>
  <si>
    <t>Cancelación Vigilancia, meses de Marzo y Abril 2017</t>
  </si>
  <si>
    <t>Cancelación Vigilancia, mes de Junio y anticipo del mes de Julio 2017</t>
  </si>
  <si>
    <t>Cancelación saldo Vigilancia, mes de Mayo 2017</t>
  </si>
  <si>
    <t>Cancelación saldo Vigilancia, mes de Julio 2017</t>
  </si>
  <si>
    <t>Cancelación Vigilancia, mes de Julio 2017</t>
  </si>
  <si>
    <t>Complemento colaboración Vigilancia, mes de Mayo y Cancelación mes de Junio 2017</t>
  </si>
  <si>
    <t>Colaboración Vigilancia, meses de Mayo y Junio 2017</t>
  </si>
  <si>
    <t>Cancelación saldo Vigilancia, mes de Julio 2017 (saldo a favor: Bs. 130.000)</t>
  </si>
  <si>
    <t>Cancelación saldo Vigilancia, mes de Julio 2017 (saldo a favor: Bs. 121.000)</t>
  </si>
  <si>
    <t>Cancelación Vigilancia, mes de Junio y anticipo mes de Julio 2017</t>
  </si>
  <si>
    <t>Complemento colaboración Vigilancia, mes de Abril 2017, contra factura</t>
  </si>
  <si>
    <t>Cancelación saldo Vigilancia, mes de Julio y Cancelación Vigilancia Agosto 2017</t>
  </si>
  <si>
    <t>Cancelación Vigilancia, meses de Julio y Agosto 2017</t>
  </si>
  <si>
    <t>ANULADO: Colaboración Vigilancia, mes de Marzo 2017</t>
  </si>
  <si>
    <t>ANULADO: Colaboración Vigilancia, mes de Abril 2017</t>
  </si>
  <si>
    <t>ANULADO: Colaboración Vigilancia, meses de Mayo y Junio 2017</t>
  </si>
  <si>
    <t>Cuota especial, reja vereda Centro Comercial (saldo a favor: Bs. 114.000)</t>
  </si>
  <si>
    <t>Colaboración Vigilancia, mes de Agosto 2017</t>
  </si>
  <si>
    <t>Cancelación Vigilancia, mes de Agosto 2017</t>
  </si>
  <si>
    <t>Cancelación Vigilancia, mes de Julio 2017 (saldo a favor: Bs. 1.613)</t>
  </si>
  <si>
    <t>Cancelación Vigilancia, mes de Agosto 2017 (saldo a favor: Bs. 95.000)</t>
  </si>
  <si>
    <t>Cancelación saldo Vigilancia, mes de Agosto 2017 (saldo a favor: Bs. 79.000)</t>
  </si>
  <si>
    <t>Cancelación saldo Vigilancia, mes de Agosto 2017</t>
  </si>
  <si>
    <t>Cancelación Vigilancia, mes de Junio 2017: transferencia y contra factura</t>
  </si>
  <si>
    <t>Cancelación Vigilancia, mes de Agosto 2017, transferencia y contra factura</t>
  </si>
  <si>
    <t>Cancelación diferencia pago controles</t>
  </si>
  <si>
    <t>Cancelación Vigilancia, meses de Junio y Julio 2017 y anticipo mes de Agosto 2017 (Bs. 1.000)</t>
  </si>
  <si>
    <t>Colaboración Vigilancia, meses de Julio y Agosto 2017</t>
  </si>
  <si>
    <t>Cancelación Vigilancia, meses de Abril a Agosto 2017</t>
  </si>
  <si>
    <t>Cancelación Vigilancia, meses de Junio y Julio 2017</t>
  </si>
  <si>
    <t>Cancelación saldo Vigilancia, mes de Julio 2017 y Cancelación Vigilancia mes de Agosto 2017</t>
  </si>
  <si>
    <t>Cancelación Vigilancia, mes de Julio 2017, y anticipo del mes de Agosto 2017</t>
  </si>
  <si>
    <t>Cancelación Vigilancia, mes de Septiembre 2017</t>
  </si>
  <si>
    <t>Cancelación Vigilancia, meses de Agosto y Septiembre 2017</t>
  </si>
  <si>
    <t>Cancelación Vigilancia, meses de Julio y Agosto 2017 y Anticipo Vigilancia Septiembre 2017</t>
  </si>
  <si>
    <t>Colaboración Vigilancia, meses de Junio, Julio, Agosto y Septiembre 2017</t>
  </si>
  <si>
    <t>Cancelación saldo Vigilancia, mes de Septiembre 2017 (saldo a favor: Bs. 44.000)</t>
  </si>
  <si>
    <t>Cancelación Vigilancia, mes de Septiembre 2017 (saldo a favor: Bs. 60.000)</t>
  </si>
  <si>
    <t>Colaboración Vigilancia, mes de Septiembre 2017</t>
  </si>
  <si>
    <t>Cancelación Vigilancia, meses de Septiembre y Octubre 2017</t>
  </si>
  <si>
    <t>Cancelación Vigilancia, meses de Julio, Agosto y Septiembre 2017</t>
  </si>
  <si>
    <t>Familia Navarrete Medina</t>
  </si>
  <si>
    <t>juanin1919@yahoo.com</t>
  </si>
  <si>
    <t>Calle Güigüe Nro. 89-22</t>
  </si>
  <si>
    <t>Cancelación Vigilancia, mes de Septiembre 2017, transferencia y contra factura</t>
  </si>
  <si>
    <t>Anticipo Vigilancia (saldo a favor: Bs. 105.000)</t>
  </si>
  <si>
    <t>Cancelación saldo Vigilancia, mes de Agosto 2017 y anticipo mes de Septiembre 2017 (Bs. 1.000)</t>
  </si>
  <si>
    <t>Colaboración Vigilancia, meses de Abril a Octubre 2017</t>
  </si>
  <si>
    <t>Cancelación saldo Vigilancia, mes de Agosto 2017, y anticipo del mes de Septiembre 2017</t>
  </si>
  <si>
    <t>Cancelación Vigilancia, mes de Octubre 2017</t>
  </si>
  <si>
    <t>Colaboración Vigilancia, mes de Octubre 2017</t>
  </si>
  <si>
    <t>Cancelación Vigilancia, mes de Octubre 2017 (saldo a favor: Bs. 70.000)</t>
  </si>
  <si>
    <t>Cancelación Vigilancia, mes de Octubre 2017 (saldo a favor: Bs. 9.000)</t>
  </si>
  <si>
    <t>Anticipo Vigilancia (saldo a favor: Bs. 165.000)</t>
  </si>
  <si>
    <t>Cancelación saldo Vigilancia, mes de Septiembre 2017, y anticipo del mes de Octubre 2017</t>
  </si>
  <si>
    <t>Cancelación Vigilancia, mes de Octubre 2017, transferencia y Bs. 7.868 contra factura</t>
  </si>
  <si>
    <t>Cancelación Vigilancia, mes de Octubre 2017, transferencia y Bs. 12.000 contra factura</t>
  </si>
  <si>
    <t>Cancelación Vigilancia, meses de Septiembre y Octubre 2017, y Anticipo Vigilancia, mes de Noviembre 2017</t>
  </si>
  <si>
    <t>Cancelación saldo Vigilancia, mes de Septiembre, cancelación mes de Octubre y anticipo mes de Noviembre 2017 (Bs. 1.000)</t>
  </si>
  <si>
    <t>Anticipo Vigilancia, mes de Noviembre 2017</t>
  </si>
  <si>
    <t>Cancelación saldo Vigilancia, mes de Septiembre 2017 y Cancelación Vigilancia, mes de Octubre 2017</t>
  </si>
  <si>
    <t>Cancelación Vigilancia, mes de Octubre 2017, y Anticipo Vigilancia, mes de Noviembre 2017</t>
  </si>
  <si>
    <t>Familia Alonso Rojas</t>
  </si>
  <si>
    <t>redjc01@gmail.com</t>
  </si>
  <si>
    <t>Calle Güigüe Nro. 89-54</t>
  </si>
  <si>
    <t>Cancelación Vigilancia, mes de Noviembre 2017</t>
  </si>
  <si>
    <t>Cancelación Vigilancia, meses de Agosto, Septiembre y Octubre 2017</t>
  </si>
  <si>
    <t>Cancelación Vigilancia, mes de Octubre y anticipo mes de Noviembre 2017: transferencia y contra factura</t>
  </si>
  <si>
    <t>Cancelación Vigilancia, mes de Noviembre 2017 (saldo a favor: Bs. 20.000)</t>
  </si>
  <si>
    <t>Cancelación Vigilancia, mes de Noviembre 2017 (saldo a favor: Bs. 115.000)</t>
  </si>
  <si>
    <t>Colaboración Vigilancia, mes de Noviembre 2017</t>
  </si>
  <si>
    <t>Cancelación Vigilancia, meses de Octubre y Noviembre 2017</t>
  </si>
  <si>
    <t>Cancelación Vigilancia, meses de Octubre, Noviembre y Diciembre 2017</t>
  </si>
  <si>
    <t>Cancelación Vigilancia, meses de Septiembre, Octubre y Noviembre 2017</t>
  </si>
  <si>
    <t>Cancelación Vigilancia, meses de Noviembre y Diciembre 2017</t>
  </si>
  <si>
    <t>Cancelación saldo Vigilancia, mes de Noviembre 2017</t>
  </si>
  <si>
    <t>Cancelación Vigilancia, meses de Octubre, Noviembre , diciembre 2017 y mes de Enero 2018</t>
  </si>
  <si>
    <t>Cancelación Vigilancia, mes de Noviembre 2017 (transferencia y Bs. 14.600 contra factura)</t>
  </si>
  <si>
    <t>Cancelación Vigilancia, meses de Septiembre y Octubre 2017, y anticipo Vigilancia, mes de Noviembre 2017</t>
  </si>
  <si>
    <t>Cancelación Vigilancia, mes de Diciembre 2017</t>
  </si>
  <si>
    <t>Colaboración Vigilancia, meses de Septiembre y Octubre 2017</t>
  </si>
  <si>
    <t>Cancelación Vigilancia, meses de Septiembre, Octubre, Noviembre y Diciembre 2017</t>
  </si>
  <si>
    <t>Familia Jiménez de Avila</t>
  </si>
  <si>
    <t>meji2333@gmail.com</t>
  </si>
  <si>
    <t>Calle Güigüe Nro. 89-116</t>
  </si>
  <si>
    <t>Cancelación Vigilancia, saldo mes de Noviembre y mes de Diciembre 2017</t>
  </si>
  <si>
    <t>Cancelación Vigilancia, saldo mes de Noviembre, mes de Diciembre 2017 y Anticipo Vigilancia, mes de Enero 2018 (Bs. 5.850)</t>
  </si>
  <si>
    <t>Cancelación Vigilancia, meses de Diciembre 2017 y Enero 2018</t>
  </si>
  <si>
    <t>Cancelación Vigilancia, saldo mes de Noviembre y anticipo mes de Diciembre 2017</t>
  </si>
  <si>
    <t>Cancelación Vigilancia, mes de Diciembre 2017 (saldo a favor: Bs. 600.000)</t>
  </si>
  <si>
    <t>Cancelación Vigilancia, mes de Diciembre 2017 (saldo a favor: Bs. 65.000)</t>
  </si>
  <si>
    <t>Colaboración Vigilancia, mes de Diciembre 2017</t>
  </si>
  <si>
    <t>Cancelación saldo Vigilancia, mes de Octubre 2017 y anticipo del mes de Noviembre 2017</t>
  </si>
  <si>
    <t>Cancelación Vigilancia, mes de Diciembre 2017 (transferencia y Bs. 15.200 contra factura)</t>
  </si>
  <si>
    <t>Colaboración Vigilancia, meses de Octubre, Noviembre y Diciembre 2017</t>
  </si>
  <si>
    <t>Colaboración Vigilancia, meses de Septiembre, Octubre, Noviembre y Diciembre 2017</t>
  </si>
  <si>
    <t>Cancelación Vigilancia, saldo mes de Noviembre y meses de Diciembre 2017 y Enero 2018</t>
  </si>
  <si>
    <t>Cancelación Vigilancia, meses de Octubre y Diciembre 2017</t>
  </si>
  <si>
    <t>Familia Romero</t>
  </si>
  <si>
    <t>autoescuela21@gmail.com</t>
  </si>
  <si>
    <t>Calle Guacara Nro. 89-50</t>
  </si>
  <si>
    <t>Cancelación Vigilancia, saldo mes de Diciembre 2017</t>
  </si>
  <si>
    <t>Cancelación Vigilancia, ajuste mes de Noviembre, cancelación mes de Diciembre 2017 y anticipo mes de Enero 2018</t>
  </si>
  <si>
    <t>Colaboración Vigilancia, meses de Noviembre y Diciembre 2017</t>
  </si>
  <si>
    <t>Cancelación Vigilancia, mes de Enero 2018</t>
  </si>
  <si>
    <t>Colaboración Vigilancia, mes de Enero 2018</t>
  </si>
  <si>
    <t>Anticipo Vigilancia, mes de Enero 2018</t>
  </si>
  <si>
    <t>Cancelación saldo Vigilancia, mes de Enero 2018</t>
  </si>
  <si>
    <t>Cancelación Vigilancia, mes de Enero 2018 (saldo a favor: Bs. 880.000)</t>
  </si>
  <si>
    <t>Cancelación Vigilancia, mes de Noviembre y anticipo mes de Diciembre 2017 (Bs. 21.000)</t>
  </si>
  <si>
    <t>Cancelación Vigilancia, saldo mes de Enero, y Anticipo Vigilancia meses de Febrero 2018 (Bs. 80.000) y Febrero 2018 (Bs. 5.850)</t>
  </si>
  <si>
    <t>martaflores@gmail.com</t>
  </si>
  <si>
    <t>Cancelación Vigilancia, meses de Enero y Febrero 2018</t>
  </si>
  <si>
    <t>Colaboración Vigilancia, meses de Enero y Febrero 2018</t>
  </si>
  <si>
    <t>Cancelación Vigilancia, mes de Enero y anticipo mes de Febrero 2018</t>
  </si>
  <si>
    <t>Cancelación Vigilancia, mes de Enero 2018 (saldo a favor: Bs. 945.000)</t>
  </si>
  <si>
    <t>Familia Ozar Rivero</t>
  </si>
  <si>
    <t>vanessarivero81@hotmail.com</t>
  </si>
  <si>
    <t>Calle Güigüe Nro. 88-06</t>
  </si>
  <si>
    <t>Cancelación Vigilancia, meses de Octubre 2017 a Enero 2018 y anticipo Febrero 2018 (Bs. 65.000)</t>
  </si>
  <si>
    <t>Cancelación Vigilancia, mes de Febrero 2018</t>
  </si>
  <si>
    <t>Cancelación Vigilancia, saldo mes de Enero, Febrero 2018 y colaboración adicional</t>
  </si>
  <si>
    <t>Cancelación Vigilancia, saldo mes de Enero y anticipo mes de Febrero 2018</t>
  </si>
  <si>
    <t>Cancelación Vigilancia, saldo mes de Enero y Febrero 2018</t>
  </si>
  <si>
    <t>Cancelación Vigilancia, saldo Diciembre 2017 y meses de Enero y Febrero 2018</t>
  </si>
  <si>
    <t>Cancelación Vigilancia, saldo Enero 2018 y meses de Febrero, Marzo y Abril 2018</t>
  </si>
  <si>
    <t>Cancelación Vigilancia, meses de Enero, Febrero, Marzo y Abril 2018</t>
  </si>
  <si>
    <t>Cancelación Vigilancia, mes de Febrero 2018 (saldo a favor: Bs. 800.000)</t>
  </si>
  <si>
    <t>Cancelación Vigilancia, mes de Febrero 2018 (saldo a favor: Bs. 865.000)</t>
  </si>
  <si>
    <t>Cancelación Vigilancia, saldo mes de Febrero, mes de Marzo y anticipo mes de Abril 2018</t>
  </si>
  <si>
    <t>Colaboración Vigilancia, mes de Febrero 2018</t>
  </si>
  <si>
    <t>Cancelación saldo Vigilancia, mes de Febrero 2018</t>
  </si>
  <si>
    <t>Colaboración Vigilancia, meses de Enero, Febrero, Marzo y Abril 2018</t>
  </si>
  <si>
    <t>Cancelación Vigilancia, meses de Marzo, Abril y Mayo 2018</t>
  </si>
  <si>
    <t>Cancelación Vigilancia, mes de Marzo 2018</t>
  </si>
  <si>
    <t>Cancelación Vigilancia, meses de Diciembre 2017, Enero, Febrero y anticipo de Marzo 2018</t>
  </si>
  <si>
    <t>Colaboración Vigilancia, mes de Marzo 2018</t>
  </si>
  <si>
    <t>Familia Costermani Terrer</t>
  </si>
  <si>
    <t>claudiacostermani@hotmail.com</t>
  </si>
  <si>
    <t>Calle Güigüe Nro. 88-11</t>
  </si>
  <si>
    <t>Anticipo Vigilancia, mes de Enero 2018 (anticipo al Sr. Francisco en su primer día de trabajo)</t>
  </si>
  <si>
    <t>Cancelación Vigilancia, saldo mes de Enero, Febrero y anticipo Marzo 2018</t>
  </si>
  <si>
    <t>Colaboración Vigilancia, meses de Diciembre 2017, Enero y Febrero 2018</t>
  </si>
  <si>
    <t>Cancelación Vigilancia, mes de Marzo 2018 y aporte especial</t>
  </si>
  <si>
    <t>Cancelación Vigilancia, meses de Febrero y Marzo 2018</t>
  </si>
  <si>
    <t>Cancelación Vigilancia, anticipo mes de Marzo 2018</t>
  </si>
  <si>
    <t>Cancelación Vigilancia, saldo mes de Marzo 2018</t>
  </si>
  <si>
    <t>Cancelación Vigilancia, saldo meses de Marzo y Abril 2018 (saldo a favor: Bs. 393.000)</t>
  </si>
  <si>
    <t>Cancelación Vigilancia, saldo mes de Febrero y cancelación mes de Marzo 2018</t>
  </si>
  <si>
    <t>Colaboración Vigilancia, meses de Febrero y Marzo 2018</t>
  </si>
  <si>
    <t>Cancelación Vigilancia, mes de Marzo 2018 (saldo a favor: Bs. 660.000)</t>
  </si>
  <si>
    <t>Colaboración Vigilancia, meses de Febrero y Marzo, y anticipo Abril 2018</t>
  </si>
  <si>
    <t>Cancelación saldo Vigilancia, mes de Marzo 2018</t>
  </si>
  <si>
    <t>Cancelación Vigilancia, mes de Marzo 2018 (saldo a favor: Bs. 725.000)</t>
  </si>
  <si>
    <t>Cancelación Vigilancia, meses de Enero, Febrero, Marzo y Abril, y anticipo Mayo 2018</t>
  </si>
  <si>
    <t xml:space="preserve">Venta de tubería </t>
  </si>
  <si>
    <t>Otros</t>
  </si>
  <si>
    <t>Cancelación ajuste de Vigilancia, meses de Marzo y Abril 2018</t>
  </si>
  <si>
    <t>Cancelación Vigilancia, meses de Septiembre a Diciembre 2017 y Enero a Marzo 2018</t>
  </si>
  <si>
    <t>Cancelación Vigilancia, meses de Enero, Febrero y Marzo 2018</t>
  </si>
  <si>
    <t>Cancelación Vigilancia, saldo mes de Marzo, y anticipo meses de Abril y Mayo 2018</t>
  </si>
  <si>
    <t>Cancelación Vigilancia, mes de Marzo y anticipo Abril 2018</t>
  </si>
  <si>
    <t>Cancelación saldo Vigilancia, meses de Marzo y Abril 2018</t>
  </si>
  <si>
    <t>Colaboración Vigilancia, meses de Enero, Febrero y Marzo 2017</t>
  </si>
  <si>
    <t>Cancelación Vigilancia, meses de Marzo y Abril 2018</t>
  </si>
  <si>
    <t>alonsojg@gmail.com</t>
  </si>
  <si>
    <t>Colaboración Vigilancia, meses de Marzo, Abril y Mayo 2018</t>
  </si>
  <si>
    <t>Cancelación Vigilancia, meses de Noviembre y Diciembre 2017 y de Enero a Marzo 2018</t>
  </si>
  <si>
    <t>Cancelación Vigilancia, saldo mes de Marzo y mes de Abril 2018</t>
  </si>
  <si>
    <t>Cancelación Vigilancia, mes de Marzo 2018 (saldo a favor: Bs. 700.000)</t>
  </si>
  <si>
    <t>Colaboración Vigilancia, complemento mes de Marzo 2018</t>
  </si>
  <si>
    <t>Vigilancia, saldo mes de Marzo y cancelación mes de Abril 2018</t>
  </si>
  <si>
    <t>Cancelación Vigilancia, mes de Abril 2018</t>
  </si>
  <si>
    <t>Colaboración Vigilancia, mes de Abril 2018</t>
  </si>
  <si>
    <t>Anticipo Vigilancia, mes de Junio 2018</t>
  </si>
  <si>
    <t>Cancelación Vigilancia, mes de Abril 2018 y aporte especial</t>
  </si>
  <si>
    <t>Colaboración mantenimiento Caseta de Vigilancia</t>
  </si>
  <si>
    <t>Caseta Vigilancia</t>
  </si>
  <si>
    <t>Cancelación Vigilancia, mes de Abril 2018 (saldo a favor: Bs. 520.000)</t>
  </si>
  <si>
    <t>Cancelación Vigilancia, mes de Abril 2018 (saldo a favor: Bs. 585.000)</t>
  </si>
  <si>
    <t>Cancelación Vigilancia, mes de Abril 2018 (saldo a favor: Bs. 560.000)</t>
  </si>
  <si>
    <t>aurycastrojimenez@gmail.com</t>
  </si>
  <si>
    <t>Cancelación Vigilancia, meses de Marzo y Abril 2018 y aporte especial</t>
  </si>
  <si>
    <t>Colaboración Vigilancia, saldo mes de Abril 2018</t>
  </si>
  <si>
    <t>Colaboración Vigilancia, meses de Marzo y Abril 2018</t>
  </si>
  <si>
    <t>Cancelación Vigilancia, saldo mes de Marzo y cancelación mes de Abril 2018</t>
  </si>
  <si>
    <t>josesantos071073@gmail.com</t>
  </si>
  <si>
    <t>Cancelación Vigilancia, saldo mes de Abril 2018</t>
  </si>
  <si>
    <t>Cancelación Vigilancia, mes de Mayo 2018</t>
  </si>
  <si>
    <t>Cancelación Vigilancia, mes de Mayo 2018 y aporte especial</t>
  </si>
  <si>
    <t>ANULADO: Colaboración mantenimiento Caseta de Vigilancia</t>
  </si>
  <si>
    <t>alexanderzavarce@gmail.com</t>
  </si>
  <si>
    <t>Colaboración Vigilancia, meses de Enero, Febrero, Marzo, Abril y anticipo mes de Mayo 2018</t>
  </si>
  <si>
    <t>Cancelación Vigilancia, mes de Mayo 2018 (saldo a favor: Bs. 360.000)</t>
  </si>
  <si>
    <t>Cancelación Vigilancia, mes de Mayo 2018 (saldo a favor: Bs. 1.393.000)</t>
  </si>
  <si>
    <t>Cancelación Vigilancia, mes de Mayo 2018 (saldo a favor: Bs. 185.000)</t>
  </si>
  <si>
    <t>Cancelación Vigilancia, mes de Mayo 2018 (saldo a favor: Bs. 120.000)</t>
  </si>
  <si>
    <t>Cancelación Vigilancia, mes de Mayo 2018 (saldo a favor: Bs. 160.000)</t>
  </si>
  <si>
    <t>Cancelación Vigilancia, saldo meses de Marzo y Abril y cancelación mes de Mayo 2018</t>
  </si>
  <si>
    <t>Cancelación Vigilancia, meses de Abril y Mayo 2018</t>
  </si>
  <si>
    <t>Cancelación Vigilancia, saldo mes de Mayo y anticipo Junio 2018</t>
  </si>
  <si>
    <t>Cancelación Vigilancia, saldo mes de Mayo 2018</t>
  </si>
  <si>
    <t>Isbeth Palacios</t>
  </si>
  <si>
    <t>ispalparcpc@gmail.com</t>
  </si>
  <si>
    <t>Cancelación Vigilancia, saldo mes de Mayo, y anticipo meses de Junio, Julio, Agosto, Septiembre y Octubre 2018</t>
  </si>
  <si>
    <t>Cancelación Vigilancia, mes de Abril y anticipo Mayo 2018</t>
  </si>
  <si>
    <t>Colaboración Vigilancia, mes de Mayo 2018</t>
  </si>
  <si>
    <t>Cancelación Vigilancia, meses de Noviembre y Diciembre 2017, Enero y Febrero 2018, y anticipo Marzo 2018</t>
  </si>
  <si>
    <t>Cancelación Vigilancia, meses de Mayo, Junio, Julio y Agosto 2018</t>
  </si>
  <si>
    <t>Colaboración Vigilancia, meses de Febrero, Marzo, Abril y Mayo 2018</t>
  </si>
  <si>
    <t>Cancelación Vigilancia, anticipo mes de Mayo 2018</t>
  </si>
  <si>
    <t>Cancelación Vigilancia, mes de Junio 2018</t>
  </si>
  <si>
    <t>Cancelación Vigilancia, meses de Mayo y Junio 2018</t>
  </si>
  <si>
    <t>ANULADO: Complemento colaboración mantenimiento Caseta de Vigilancia</t>
  </si>
  <si>
    <t>Colaboración mantenimiento Caseta de Vigilancia (saldo a favor: Bs. 1.493.000)</t>
  </si>
  <si>
    <t>Vigilancia, saldo mes de Mayo y cancelación mes de Junio 2018</t>
  </si>
  <si>
    <t>Complemento colaboración mantenimiento Caseta de Vigilancia</t>
  </si>
  <si>
    <t>Carmen Moreno</t>
  </si>
  <si>
    <t>carmenemoreno10@gmail.com</t>
  </si>
  <si>
    <t>Ajuste Colaboración Vigilancia, meses de Febrero, Marzo, Abril y Mayo 2018</t>
  </si>
  <si>
    <t>briceidademendez@gmail.com</t>
  </si>
  <si>
    <t>Familia Civitico Rueda</t>
  </si>
  <si>
    <t>ruedaelizabeth@gmail.com</t>
  </si>
  <si>
    <t>Calle Güigüe Nro. 89-89</t>
  </si>
  <si>
    <t>Cancelación Vigilancia, meses de Abril, Mayo y Junio 2018</t>
  </si>
  <si>
    <t>Cancelación Vigilancia, saldo mes de Mayo y mes de Junio 2018</t>
  </si>
  <si>
    <t>Cancelación Vigilancia, meses de Junio y Julio 2018</t>
  </si>
  <si>
    <t>Cancelación Vigilancia, mes de Junio 2018 (saldo a favor: Bs. 4.720.000)</t>
  </si>
  <si>
    <t>Cancelación Vigilancia, mes de Junio 2018 (saldo a favor: Bs. 3.435.000)</t>
  </si>
  <si>
    <t>Cancelación Vigilancia, mes de Junio 2018 (saldo a favor: Bs. 1.593.000)</t>
  </si>
  <si>
    <t>Cancelación Vigilancia, mes de Junio 2018 (saldo a favor: Bs. 660.000)</t>
  </si>
  <si>
    <t>Colaboración Vigilancia, meses de Mayo y Junio 2018</t>
  </si>
  <si>
    <t>Cancelación Vigilancia, meses de Marzo, Abril, Mayo y Junio 2018</t>
  </si>
  <si>
    <t>Colaboración Vigilancia, mes de Junio 2018</t>
  </si>
  <si>
    <t>Cancelación Vigilancia, meses de Abril, Mayo, Junio, Julio, Agosto y Septiembre 2017</t>
  </si>
  <si>
    <t>Cancelación Vigilancia, mes de Junio y anticipo Julio 2018</t>
  </si>
  <si>
    <t>Colaboración para comida de vigilantes</t>
  </si>
  <si>
    <t>Comida Vigilantes</t>
  </si>
  <si>
    <t>Cancelación Vigilancia, meses de Mayo y Junio y anticipo mes de Julio 2018</t>
  </si>
  <si>
    <t>Cancelación Vigilancia, meses de Junio, Julio y Agosto, y anticipo Septiembre 2018</t>
  </si>
  <si>
    <t>Cancelación Vigilancia, ajuste mes de Junio y cancelación mes de Julio 2018</t>
  </si>
  <si>
    <t>Cancelación Vigilancia, anticipo mes de Junio 2018</t>
  </si>
  <si>
    <t>Cancelación Vigilancia, ajuste mes de Junio 2018 (saldo a favor: Bs. 435.000)</t>
  </si>
  <si>
    <t>Cancelación Vigilancia, ajuste mes de Junio 2018 (saldo a favor: Bs. 4.495.000)</t>
  </si>
  <si>
    <t>Cancelación Vigilancia, ajuste mes de Junio 2018 (saldo a favor: Bs. 3.210.000)</t>
  </si>
  <si>
    <t>Cancelación Vigilancia, ajuste mes de Junio 2018 (saldo a favor: Bs. 1.368.000)</t>
  </si>
  <si>
    <t>Cancelación Vigilancia, ajuste mes de Junio 2018</t>
  </si>
  <si>
    <t>Cancelación Vigilancia, ajuste mes de Junio, y saldo mes de Junio 2018</t>
  </si>
  <si>
    <t>Colaboración reparación portón principal</t>
  </si>
  <si>
    <t>Reparación Portón</t>
  </si>
  <si>
    <t>Cancelación Vigilancia, saldo mes de Julio 2018</t>
  </si>
  <si>
    <t>Cancelación Vigilancia, ajuste mes de Junio, saldo mes de Julio 2018</t>
  </si>
  <si>
    <t>Cancelación Vigilancia, ajuste mes de Junio, saldo mes de Julio y anticipo mes de Agosto 2018</t>
  </si>
  <si>
    <t>Cancelación Vigilancia, ajuste mes de Junio 2018, más adicional de Bs. 25.000</t>
  </si>
  <si>
    <t>Cancelación Vigilancia, mes de Julio 2018</t>
  </si>
  <si>
    <t>Cancelación Vigilancia, meses de Junio, Julio y Agosto 2018</t>
  </si>
  <si>
    <t>Cancelación Vigilancia, anticipo mes de Julio 2018</t>
  </si>
  <si>
    <t>Cancelación Vigilancia, meses de Junio y Julio 2018 (saldo a favor: Bs. 3.535.000)</t>
  </si>
  <si>
    <t>Cancelación Vigilancia, ajuste mes de Julio 2018</t>
  </si>
  <si>
    <t>Cancelación Vigilancia, ajuste meses de Junio y Julio 2018</t>
  </si>
  <si>
    <t>Cancelación Vigilancia, mes de Julio 2018 (saldo a favor: Bs. 2.210.000)</t>
  </si>
  <si>
    <t>Cancelación Vigilancia, mes de Julio 2018 (saldo a favor: Bs. 1.518.000)</t>
  </si>
  <si>
    <t>Cancelación Vigilancia, mes de Julio 2018 (saldo a favor: Bs. 3.495.000)</t>
  </si>
  <si>
    <t>Cancelación Vigilancia, mes de Junio y anticipo mes de Julio 2018</t>
  </si>
  <si>
    <t>Colaboración Vigilancia, mes de Julio 2018</t>
  </si>
  <si>
    <t>amparonatividad@hotmail.com</t>
  </si>
  <si>
    <t>Cancelación Vigilancia, saldo mes de Junio 2018</t>
  </si>
  <si>
    <t>Cancelación Vigilancia, ajuste mes de Junio, cancelación mes de Julio y anticipo mes de Agosto 2018</t>
  </si>
  <si>
    <t>Cancelación Vigilancia, ajuste mes de Junio y mes de Julio 2018</t>
  </si>
  <si>
    <t>Colaboración Vigilancia, ajuste mes de Junio y mes de Julio 2018</t>
  </si>
  <si>
    <t>Colaboración reparación portón principal (saldo a favor Bs. 2.298.000)</t>
  </si>
  <si>
    <t>Colaboración reparación portón principal (saldo a favor Bs. 2.315.000)</t>
  </si>
  <si>
    <t>Colaboración reparación portón principal (saldo a favor Bs. 990.000)</t>
  </si>
  <si>
    <t>Cancelación Vigilancia, ajuste mes de Julio y Agosto 2018</t>
  </si>
  <si>
    <t>Cancelación Vigilancia, ajuste mes de Junio y anticipo mes de Julio 2018</t>
  </si>
  <si>
    <t>Familia Wu Acevedo</t>
  </si>
  <si>
    <t>rudyacevedo90@gmail.com</t>
  </si>
  <si>
    <t>Calle Guacara Nro. 88-A-10</t>
  </si>
  <si>
    <t>Cancelación Vigilancia, mes de junio y anticipo mes de Julio 2018</t>
  </si>
  <si>
    <t>Colaboración reparación portón principal (saldo a favor Bs. 3.255.000)</t>
  </si>
  <si>
    <t>Cancelación Vigilancia, ajuste mes de Junio y diferencia mes de Julio 2018</t>
  </si>
  <si>
    <t>Cancelación Vigilancia, ajuste mes de Junio y cancelación meses de Julio y Agosto 2018</t>
  </si>
  <si>
    <t>Colaboración Vigilancia, meses de Junio y Julio 2018</t>
  </si>
  <si>
    <t>Donativo para los vigilantes</t>
  </si>
  <si>
    <t>Cancelación Vigilancia, ajuste mes de Junio 2018 (saldo a favor Bs. 2.775.000)</t>
  </si>
  <si>
    <t>Cancelación Vigilancia, saldo mes de Julio 2018 (saldo a favor Bs. 2.175.000)</t>
  </si>
  <si>
    <t>Colaboración reparación portón principal (saldo a favor Bs. 995.000)</t>
  </si>
  <si>
    <t>Cancelación Vigilancia, meses de Julio y Agosto 2018</t>
  </si>
  <si>
    <t>Cancelación Vigilancia, meses de Febrero, Marzo, Abril, Mayo, Junio y Julio 2018</t>
  </si>
  <si>
    <t>Wilson Escamilla</t>
  </si>
  <si>
    <t>wilsonescamilla45@gmail.com</t>
  </si>
  <si>
    <t>Cancelación Vigilancia, mes de Agosto 2018</t>
  </si>
  <si>
    <t>Cancelación Vigilancia, saldo mes de Agosto 2018</t>
  </si>
  <si>
    <t>Cancelación Vigilancia, ajuste mes de Julio y cancelación mes de Agosto 2018</t>
  </si>
  <si>
    <t>Cancelación Vigilancia, mes de Agosto y anticipo Septiembre 2018</t>
  </si>
  <si>
    <t>Cancelación Vigilancia, mes de Agosto 2018 (saldo a favor: Bs. 3.598.000)</t>
  </si>
  <si>
    <t>Cancelación Vigilancia, mes de Agosto 2018 (saldo a favor: Bs. 2.055.000)</t>
  </si>
  <si>
    <t>Cancelación Vigilancia, mes de Agosto 2018 (saldo a favor: Bs. 1.155.000)</t>
  </si>
  <si>
    <t>Cancelación Vigilancia, mes de Agosto 2018 (saldo a favor: Bs. 580.000)</t>
  </si>
  <si>
    <t>Cancelación Vigilancia, mes de Agosto 2018 (saldo a favor: Bs. 2.295.000)</t>
  </si>
  <si>
    <t>Anticipo Vigilancia, mes de Agosto 2018 (saldo pendiente: Bs. 210.000)</t>
  </si>
  <si>
    <t>Cancelación Vigilancia, saldo mes de Agosto 2018 (saldo a favor: Bs. 7.200.000)</t>
  </si>
  <si>
    <t>Cancelación Vigilancia, saldo mes de Julio y anticipo mes de Agosto 2018</t>
  </si>
  <si>
    <t>Cancelación Vigilancia, ajuste mes de Junio y cancelación mes de Agosto 2018</t>
  </si>
  <si>
    <t>Cancelación Vigilancia, saldo mes de Agosto y anticipo mes de Septiembre 2018</t>
  </si>
  <si>
    <t>Cancelación Vigilancia, saldo mes de Agosto 2018 (saldo a favor Bs. 10.155.000)</t>
  </si>
  <si>
    <t>Cancelación Vigilancia, mes de Agosto y anticipo mes de Septiembre 2018</t>
  </si>
  <si>
    <t>Cancelación Vigilancia, saldo meses de Julio y Agosto 2018</t>
  </si>
  <si>
    <t>Donación para vigilante Ana María Mogollón</t>
  </si>
  <si>
    <t>Cancelación Vigilancia, saldo mes de Julio y cancelación mes de Agosto 2018</t>
  </si>
  <si>
    <t>Cancelación Vigilancia, anticipo mes de Agosto 2018</t>
  </si>
  <si>
    <t>Colaboración Vigilancia, mes de Agosto 2018</t>
  </si>
  <si>
    <t>Cancelación Vigilancia, mes de Septiembre y anticipo mes de Octubre 2018</t>
  </si>
  <si>
    <t>Cancelación Vigilancia, anticipo mes de Septiembre 2018</t>
  </si>
  <si>
    <t>Cancelación Vigilancia, mes de Septiembre 2018</t>
  </si>
  <si>
    <t>Cancelación Vigilancia, mes de Septiembre 2018 más aporte</t>
  </si>
  <si>
    <t>Cancelación Vigilancia, mes de Septiembre 2018 (saldo a favor: Bs. 5,80)</t>
  </si>
  <si>
    <t>Cancelación Vigilancia, mes de Septiembre 2018 (saldo a favor: Bs.S. 0,00)</t>
  </si>
  <si>
    <t>Cancelación Vigilancia, mes de Septiembre 2018 (saldo a favor: Bs. 1.302,95)</t>
  </si>
  <si>
    <t>Cancelación Vigilancia, saldo mes de Agosto, cancelación mes de Septiembre y anticipo mes de Octubre 2018 (Bs.S 168,50)</t>
  </si>
  <si>
    <t>Cancelación Vigilancia, mes de Septiembre y anticipo de Octubre 2018</t>
  </si>
  <si>
    <t>Cancelación Vigilancia, meses de Julio, Agosto y Septiembre 2018</t>
  </si>
  <si>
    <t>Cancelación Vigilancia, meses de Junio, Julio, Agosto y Septiembre 2018</t>
  </si>
  <si>
    <t>Cancelación Vigilancia, saldo mes de Septiembre y cancelación mes de Octubre 2018</t>
  </si>
  <si>
    <t>Anticipo Vigilancia, mes de Septiembre 2018</t>
  </si>
  <si>
    <t>Cancelación Vigilancia, mes de Septiembre 2018 (saldo a favor: Bs. 11,15)</t>
  </si>
  <si>
    <t>Colaboración Vigilancia, mes de Septiembre 2018</t>
  </si>
  <si>
    <t>Cancelación Vigilancia, mes de Octubre 2018</t>
  </si>
  <si>
    <t>Cancelación Vigilancia, meses de Agosto y Septiembre, y anticipo mes de Octubre 2018</t>
  </si>
  <si>
    <t>Cancelación Vigilancia, mes de Octubre 2018 más aporte</t>
  </si>
  <si>
    <t>Colaboración reparación del portón principal</t>
  </si>
  <si>
    <t>Reparación Portón 2</t>
  </si>
  <si>
    <t>Cancelación Vigilancia, saldo mes de Octubre 2018</t>
  </si>
  <si>
    <t>Cancelación Vigilancia, saldo mes de Agosto y cancelación mes de Septiembre 2018</t>
  </si>
  <si>
    <t>Judith Lazo</t>
  </si>
  <si>
    <t>0414-412.3763</t>
  </si>
  <si>
    <t>Av. "M" Nro. 146-25</t>
  </si>
  <si>
    <t>Colaboración Vigilancia, meses de Julio, Agosto y Septiembre 2018</t>
  </si>
  <si>
    <t>Cancelación Vigilancia, saldo mes de Octubre y anticipo mes de Noviembre 2018</t>
  </si>
  <si>
    <t>Cancelación Vigilancia, meses de Septiembre y Octubre 2018</t>
  </si>
  <si>
    <t>Cancelación Vigilancia, mes de Octubre 2018 (saldo a favor: Bs. 982,95)</t>
  </si>
  <si>
    <t>Cancelación Vigilancia, mes de Octubre y anticipo meses de Noviembre y Diciembre 2018</t>
  </si>
  <si>
    <t>Cancelación Vigilancia, mes de Octubre y anticipo mes de Noviembre 2018</t>
  </si>
  <si>
    <t>Colaboración Vigilancia, mes de Octubre 2018</t>
  </si>
  <si>
    <t>Colaboración reparación del portón principal (saldo a favor: Bs. 3.272)</t>
  </si>
  <si>
    <t>Cancelación Vigilancia meses de Septiembre y Octubre 2018 (saldo a favor: Bs. 3.272)</t>
  </si>
  <si>
    <t>Cancelación Vigilancia, saldo meses de Julio y Agosto, y cancelación meses de Septiembre y Octubre 2018</t>
  </si>
  <si>
    <t>Familia Abbinante Pinto</t>
  </si>
  <si>
    <t>abbinante47@gmail.com</t>
  </si>
  <si>
    <t>Colaboración Vigilancia, meses de Septiembre y Octubre 2018</t>
  </si>
  <si>
    <t>Cancelación Vigilancia, meses de Octubre y Noviembre 2018</t>
  </si>
  <si>
    <t>Cancelación Vigilancia, meses de Octubre, Noviembre y Diciembre 2018</t>
  </si>
  <si>
    <t>Cancelación Vigilancia, mes de Noviembre 2018</t>
  </si>
  <si>
    <t>Cancelación Vigilancia, mes de Octubre 2018 (saldo a favor: Bs. 11,15)</t>
  </si>
  <si>
    <t>Colaboración Vigilancia, meses de Octubre y Noviembre 2018</t>
  </si>
  <si>
    <t>Cancelación Vigilancia, meses de Noviembre y Diciembre 2018</t>
  </si>
  <si>
    <t>Cancelación Vigilancia, saldo meses de Septiembre y Octubre, cancelación mes de Noviembre y anticipo mes de Diciembre 2018</t>
  </si>
  <si>
    <t>Cancelación Vigilancia, mes de Noviembre 2018 (saldo a favor: Bs. 662,95)</t>
  </si>
  <si>
    <t>Cancelación Vigilancia, mes de Noviembre 2018 (saldo a favor: Bs. 2.952,00)</t>
  </si>
  <si>
    <t>Cancelación Vigilancia, mes de Noviembre 2018 más aporte</t>
  </si>
  <si>
    <t>Colaboración Vigilancia, meses de Diciembre 2017, Enero a Diciembre 2018 y Enero a Junio 2019</t>
  </si>
  <si>
    <t>Cancelación Vigilancia, saldo mes de Noviembre y anticipo mes de Diciembre 2018</t>
  </si>
  <si>
    <t>Colaboración Vigilancia, mes de Noviembre 2018</t>
  </si>
  <si>
    <t>Cancelación Vigilancia, mes de Noviembre y anticipo mes de Diciembre 2018</t>
  </si>
  <si>
    <t>Cancelación Vigilancia, mes de Diciembre 2018 y Enero 2019</t>
  </si>
  <si>
    <t>Cancelación Vigilancia, mes de Diciembre 2018</t>
  </si>
  <si>
    <t>Anticipo Vigilancia, mes de Diciembre 2018</t>
  </si>
  <si>
    <t>Cancelación Vigilancia, saldo mes de Diciembre 2018</t>
  </si>
  <si>
    <t>Vigilancia: cancelación saldo mes de Diciembre 2018 y mes de Enero 2019</t>
  </si>
  <si>
    <t>Cancelación Vigilancia, mes de Diciembre 2018 más aporte</t>
  </si>
  <si>
    <t>Cancelación Vigilancia, mes de Diciembre 2018 (saldo a favor: Bs. 0,00)</t>
  </si>
  <si>
    <t>Cancelación Vigilancia, mes de Diciembre 2018 (saldo a favor: Bs. 2.152,00)</t>
  </si>
  <si>
    <t>Vigilancia: saldo mes de Octubre 2018, cancelación Noviembre 2018 y anticipo Enero 2019</t>
  </si>
  <si>
    <t>Cancelación Vigilancia, saldo mes de Diciembre 2018 y anticipo mes de Enero 2019</t>
  </si>
  <si>
    <t>Cancelación Vigilancia, meses de Noviembre y Diciembre 2018 (saldo a favor: Bs. 11,15)</t>
  </si>
  <si>
    <t>Vigilancia: Cancelación meses de Octubre, Noviembre y Diciembre 2018 y anticipo mes de Enero 2019</t>
  </si>
  <si>
    <t>Cancelación Vigilancia, meses de Septiembre, Octubre, Noviembre y Diciembre 2018</t>
  </si>
  <si>
    <t>Colaboración Vigilancia, meses de Noviembre y Diciembre 2018</t>
  </si>
  <si>
    <t>Cancelación Vigilancia, meses de Octubre, Noviembre y Diciembre 2018, y adelanto mes de Enero 2019</t>
  </si>
  <si>
    <t>Cancelación Vigilancia, meses de Noviembre y Diciembre 2018, y Enero 2019</t>
  </si>
  <si>
    <t>Contribución Vigilancia, mes de Diciembre 2018 y cancelación mes de Enero 2019</t>
  </si>
  <si>
    <t>Cancelación Vigilancia, meses de Octubre, Noviembre y Diciembre 2018, y anticipo mes de Enero 2019</t>
  </si>
  <si>
    <t>Colaboración Vigilancia, mes de Diciembre 2018</t>
  </si>
  <si>
    <t>Cancelación Vigilancia, meses de Diciembre 2018 y Enero 2019</t>
  </si>
  <si>
    <t>Vigilancia: Anticipo meses de Enero y Febrero 2019</t>
  </si>
  <si>
    <t>Vigilancia: Anticipo mes de Enero 2019</t>
  </si>
  <si>
    <t>Vigilancia: Cancelación saldo mes de Diciembre 2018 y anticipo mes de Enero 2019 (saldo a favor: Bs. 9.062,95)</t>
  </si>
  <si>
    <t>Vigilancia: Cancelación mes de Diciembre 2018 y anticipo mes de Enero 2019</t>
  </si>
  <si>
    <t>Vigilancia: Anticipo mes de Enero 2019 (saldo a favor: Bs. 1.352,00)</t>
  </si>
  <si>
    <t>Vigilancia: Cancelación saldo mes de Diciembre 2018 y anticipo mes de Enero 2019</t>
  </si>
  <si>
    <t>Vigilancia: Cancelación saldo mes de Enero 2019</t>
  </si>
  <si>
    <t>Cancelación Vigilancia, mes de Enero 2019</t>
  </si>
  <si>
    <t>Vigilancia: Cancelación saldo mes de Enero 2019 (saldo a favor: Bs. 6.862,95)</t>
  </si>
  <si>
    <t>Cancelación Vigilancia, meses de Noviembre y Diciembre 2018 y Enero 2019</t>
  </si>
  <si>
    <t>Vigilancia: Cancelación saldo mes de Diciembre 2018, mes de Enero y anticipo mes de Febrero 2019</t>
  </si>
  <si>
    <t>Cancelación Vigilancia, mes de Enero 2019 (saldo a favor: Bs. 17.005,80)</t>
  </si>
  <si>
    <t>Familia Calzadilla Trujillo</t>
  </si>
  <si>
    <t>calzadilla40@hotmail.com</t>
  </si>
  <si>
    <t>Vigilancia: Cancelación saldo mes de Enero y anticipo mes de Febrero 2019</t>
  </si>
  <si>
    <t>Vigilancia: Cancelación saldo mes de Enero y mes de Febrero 2019</t>
  </si>
  <si>
    <t>Vigilancia: Anticipo mes de Febrero 2019 (contra factura)</t>
  </si>
  <si>
    <t>Cancelación Vigilancia, mes de Febrero 2019</t>
  </si>
  <si>
    <t>Vigilancia: Anticipo mes de Febrero 2019</t>
  </si>
  <si>
    <t>Vigilancia: Cancelación saldo meses de Enero y Febrero y anticipo mes de Marzo 2019</t>
  </si>
  <si>
    <t>Colaboración Vigilancia, mes de Enero 2019</t>
  </si>
  <si>
    <t>Colaboración Vigilancia, mes de Febrero 2019</t>
  </si>
  <si>
    <t>Vigilancia: Cancelación saldo mes de Enero y mes de Febrero 2019 (saldo a favor: Bs. 31.352,00)</t>
  </si>
  <si>
    <t>Cancelación Vigilancia, meses de Enero y Febrero 2019</t>
  </si>
  <si>
    <t>Vigilancia: Cancelación saldo mes de Febrero 2019 (saldo a favor: Bs. 3.862,95)</t>
  </si>
  <si>
    <t>Vigilancia: Cancelación saldo mes de Marzo 2019</t>
  </si>
  <si>
    <t>Cancelación Vigilancia, mes de Febrero 2019 (saldo a favor: Bs. 14.005,80)</t>
  </si>
  <si>
    <t>ANULADO; Cancelación Vigilancia, mes de Febrero 2019</t>
  </si>
  <si>
    <t>Vigilancia: Cancelación saldo mes de Febrero 2019</t>
  </si>
  <si>
    <t>Cancelación Vigilancia, mes de Marzo 2019</t>
  </si>
  <si>
    <t>Vigilancia: Cancelación saldo mes de Enero, mes de Febrero y anticipo mes de Marzo 2019</t>
  </si>
  <si>
    <t>Cancelación Vigilancia, mes de Marzo 2019 y aporte especial</t>
  </si>
  <si>
    <t>Cancelación Vigilancia, meses de Febrero y Marzo 2019</t>
  </si>
  <si>
    <t>Cancelación Vigilancia, mes de Febrero 2019 y aporte especial</t>
  </si>
  <si>
    <t>Cancelación Vigilancia, meses de Febrero, Marzo y Abril 2019</t>
  </si>
  <si>
    <t>Colaboración Vigilancia, meses de Enero y Febrero 2019</t>
  </si>
  <si>
    <t>Vigilancia: Aporte saldo mes de Enero y cancelación meses de Febrero y Marzo 2019</t>
  </si>
  <si>
    <t>Cancelación Vigilancia, mes de Abril 2019</t>
  </si>
  <si>
    <t>Cancelación Vigilancia, meses de Marzo y Abril 2019</t>
  </si>
  <si>
    <t>Cancelación Vigilancia, meses de Enero, Febrero y Marzo 2018 (saldo a favor: Bs. 11.000,00)</t>
  </si>
  <si>
    <t>Cancelación Vigilancia, mes de Marzo 2019 (saldo a favor: Bs. 862,95)</t>
  </si>
  <si>
    <t>Cancelación Vigilancia, mes de Marzo 2019 (saldo a favor: Bs. 11.005,80)</t>
  </si>
  <si>
    <t>Cancelación Vigilancia, mes de Marzo 2019 (saldo a favor: Bs. 28.352,00)</t>
  </si>
  <si>
    <t>Vigilancia: Cancelación mes de Marzo y anticipo Abril 2019</t>
  </si>
  <si>
    <t>Vigilancia: Cancelación meses de Septiembre, Octubre, Noviembre y Diciembre 2018 y Enero 2019 (saldo a favor Bs. 1.345,55)</t>
  </si>
  <si>
    <t>Cancelación Vigilancia, meses de Abril y Mayo 2019</t>
  </si>
  <si>
    <t>Vigilancia: Cancelación saldo mes de Febrero y cancelación mes de Marzo 2019</t>
  </si>
  <si>
    <t>Cancelación Vigilancia, meses de Enero, Febrero y Marzo 2019</t>
  </si>
  <si>
    <t>Colaboración Vigilancia, mes de Marzo 2019</t>
  </si>
  <si>
    <t>Cancelación Vigilancia, meses de Marzo y Abril 2019 y aporte especial</t>
  </si>
  <si>
    <t>Cancelación Vigilancia, mes de Abril 2019 y aporte especial</t>
  </si>
  <si>
    <t>REVERTIDO: Cancelación Vigilancia, mes de Abril 2019</t>
  </si>
  <si>
    <t>REVERSADO</t>
  </si>
  <si>
    <t>Colaboración Vigilancia, meses de Marzo y Abril 2019</t>
  </si>
  <si>
    <t>Cancelación Vigilancia, anticipo mes de Abril 2019</t>
  </si>
  <si>
    <t>Andrea Valor</t>
  </si>
  <si>
    <t>aavp992@gmail.com</t>
  </si>
  <si>
    <t>Colaboración Vigilancia, mes de Abril 2019</t>
  </si>
  <si>
    <t>Cancelación Vigilancia, meses de Enero, Febrero, Marzo y Abril 2019</t>
  </si>
  <si>
    <t>Cancelación Vigilancia, meses de Noviembre y Diciembre 2018, de Enero a Abril 2019, y anticipo de Mayo 2019</t>
  </si>
  <si>
    <t>Cancelación Vigilancia, meses de Febrero, Marzo y  Abril, y anticipo del  mes de Mayo 2019</t>
  </si>
  <si>
    <t>hurtadomilena@gmail.com</t>
  </si>
  <si>
    <t>Cancelación Vigilancia, mes de Diciembre 2018. Transferencia Banesco nro. 10643789740</t>
  </si>
  <si>
    <t>Cancelación Vigilancia, mes de Enero 2019. Transferencia Banesco nro. 10824360060</t>
  </si>
  <si>
    <t>Cancelación Vigilancia, mes de Febrero 2019. Transferencia Banesco nro. 10936247652</t>
  </si>
  <si>
    <t>Cancelación Vigilancia, mes de Marzo 2019. Transferencia Banesco nro. 11022452320</t>
  </si>
  <si>
    <t>Cancelación Vigilancia, mes de Abril 2019. Transferencia Banesco nro. 11051108616</t>
  </si>
  <si>
    <t>Familia Soto Urdaneta</t>
  </si>
  <si>
    <t>esotom61@gmail.com</t>
  </si>
  <si>
    <t>Calle Guacara Nro. 89-102</t>
  </si>
  <si>
    <t>Cancelación Vigilancia, saldo mes de Abril 2019</t>
  </si>
  <si>
    <t>Cancelación Vigilancia, saldo mes de Abril 2019 y aporte especial</t>
  </si>
  <si>
    <t>Vigilancia: Cancelación meses de Marzo y Abril 2019, y anticipo mes de Mayo 2019</t>
  </si>
  <si>
    <t>Colaboración Vigilancia, meses de Febrero, Marzo y Abril 2019</t>
  </si>
  <si>
    <t>Cancelación Vigilancia, mes de Abril 2019 (saldo a favor: Bs. 23.352,00)</t>
  </si>
  <si>
    <t>Cancelación Vigilancia, mes de Abril 2019 (saldo a favor: Bs. 6.005,80)</t>
  </si>
  <si>
    <t>Cancelación Vigilancia, mes de Abril 2019 (saldo a favor: Bs. 6.000,00)</t>
  </si>
  <si>
    <t>Cancelación Vigilancia, mes de Abril 2019 (saldo a favor: Bs. 95.862,95)</t>
  </si>
  <si>
    <t>zorakhair@hotmail.com | lbracamonte@netuno.net</t>
  </si>
  <si>
    <t>Cancelación Vigilancia, mes de Febrero 2019 (saldo a favor Bs. 345,55)</t>
  </si>
  <si>
    <t>Vigilancia: Cancelación saldo mes de Abril y anticipo mes de Mayo 2019</t>
  </si>
  <si>
    <t>Cancelación Vigilancia: saldo mes de Marzo 2019</t>
  </si>
  <si>
    <t>Vigilancia: Saldo meses de Abril y Mayo y cancelación mes de Junio 2019</t>
  </si>
  <si>
    <t>Vigilancia: Cancelación mes de Abril y anticipo mes de Mayo 2019</t>
  </si>
  <si>
    <t>Vigilancia: Cancelación mes de Abril y anticipo del mes de Mayo 2019</t>
  </si>
  <si>
    <t>Vigilancia: Anticipo mes de Mayo 2019</t>
  </si>
  <si>
    <t>Cancelación Vigilancia, anticipo mes de Mayo 2019</t>
  </si>
  <si>
    <t>Cancelación Vigilancia, mes de Abril y anticipo mes de Mayo 2019</t>
  </si>
  <si>
    <t>Colaboración Vigilancia, mes de Mayo 2019</t>
  </si>
  <si>
    <t>Cancelación Vigilancia, saldo mes de Mayo 2019</t>
  </si>
  <si>
    <t>Cancelación Vigilancia, mes de Mayo 2019</t>
  </si>
  <si>
    <t>Cancelación Vigilancia, saldo mes de Abril y mes de Mayo 2019</t>
  </si>
  <si>
    <t>Cancelación Vigilancia, saldo mes de Abril y anticipo mes de Mayo 2019</t>
  </si>
  <si>
    <t>Cancelación Vigilancia, mes de Mayo 2019 (saldo a favor: Bs. 87.862,95)</t>
  </si>
  <si>
    <t>Cancelación Vigilancia, mes de Mayo 2019 (saldo a favor: Bs. 15.352,00)</t>
  </si>
  <si>
    <t>Cancelación Vigilancia, saldo mes de Enero y meses de Febrero, Marzo, Abril y Mayo 2019</t>
  </si>
  <si>
    <t>Colaboración Vigilancia, meses de Noviembre y Diciembre 2018, y Enero, Febrero, Marzo, Abril y Mayo 2019</t>
  </si>
  <si>
    <t>Cancelación Vigilancia, saldo mes de Abril, mes de Mayo y anticipo mes de Junio 2019</t>
  </si>
  <si>
    <t>carolinahung24@gmail.com | barbarahung15@hotmail.com</t>
  </si>
  <si>
    <t>Vigilancia: mes de Mayo y anticipo Junio 2019</t>
  </si>
  <si>
    <t>Anticipo Vigilancia, mes de Mayo 2019</t>
  </si>
  <si>
    <t>Cancelación Vigilancia, meses de Diciembre 2018, de Enero a Abril 2019 y anticipo Mayo 2019</t>
  </si>
  <si>
    <t>Anticipo Vigilancia, mes de Junio 2019 (Bs. 3.500)</t>
  </si>
  <si>
    <t>Cancelación Vigilancia, mes de Mayo 2019 (saldo a favor: Bs. 46.005,80)</t>
  </si>
  <si>
    <t>Cancelación Vigilancia, saldo mes de Mayo y mes de Junio 2019</t>
  </si>
  <si>
    <t>Cancelación Vigilancia, mes de Mayo 2019 (saldo a favor: Bs. 48.000,00)</t>
  </si>
  <si>
    <t>Cancelación Vigilancia, mes de Junio 2019</t>
  </si>
  <si>
    <t>Vigilancia: Cancelación saldo mes de Mayo y mes de Junio 2019</t>
  </si>
  <si>
    <t>Vigilancia: saldo mes de Abril (Bs. 1.480), cancelación mes de Mayo (Bs. 8.000) y anticipo mes de Junio 2019 (Bs. 2.040)</t>
  </si>
  <si>
    <t>Cancelación Vigilancia, saldo mes de Abril y mes de Mayo 2019. Transferencia Banesco nro. 11216214961</t>
  </si>
  <si>
    <t>ANULADO: Cancelación Vigilancia, mes de Junio 2019</t>
  </si>
  <si>
    <t>Colaboración Vigilancia, mes de Junio 2019</t>
  </si>
  <si>
    <t>Anticipo Vigilancia, mes de Junio 2019</t>
  </si>
  <si>
    <t>Cancelación Vigilancia, saldo mes de Junio, mes de Julio y anticipo mes de Agosto 2019 (contra factura)</t>
  </si>
  <si>
    <t>Cancelación Vigilancia, mes de Junio 2019 (saldo a favor: Bs. 36.005,80)</t>
  </si>
  <si>
    <t>Cancelación Vigilancia, mes de Junio 2019 (saldo a favor: Bs. 79.862,95)</t>
  </si>
  <si>
    <t>Cancelación Vigilancia, mes de Junio 2019 (saldo a favor: Bs. 40.000,00)</t>
  </si>
  <si>
    <t>Cancelación Vigilancia, mes de Junio 2019 (saldo a favor: Bs. 7.352,00)</t>
  </si>
  <si>
    <t>Jocsan Orta Correa</t>
  </si>
  <si>
    <t>carlos_arturox@hotmail.com</t>
  </si>
  <si>
    <t>Av. "L" anexo de Los Tronquitos</t>
  </si>
  <si>
    <t>Cancelación Vigilancia, meses de Mayo y Junio 2019</t>
  </si>
  <si>
    <t>Cancelación Vigilancia, saldo mes de Mayo y anticipo mes de Junio 2019</t>
  </si>
  <si>
    <t>Cancelación Vigilancia, saldo mes de Junio 2019</t>
  </si>
  <si>
    <t>Familia Rodríguez Girón</t>
  </si>
  <si>
    <t>daniellegt4@gmail.com</t>
  </si>
  <si>
    <t>Colaboración Vigilancia, meses de Julio a Diciembre 2019</t>
  </si>
  <si>
    <t>Cancelación Vigilancia, mes de Julio 2019</t>
  </si>
  <si>
    <t>Cancelación Vigilancia, mes de Junio y anticipo mes de Julio 2019</t>
  </si>
  <si>
    <t>Cancelación Vigilancia, saldo mes de Junio y mes de  Julio 2019</t>
  </si>
  <si>
    <t>Cancelación Vigilancia, saldo mes de Mayo y meses de Junio y Julio 2019</t>
  </si>
  <si>
    <t>Cancelación Vigilancia, meses de Junio, Julio y Agosto 2019</t>
  </si>
  <si>
    <t>Cancelación Vigilancia, anticipo mes de Julio 2019</t>
  </si>
  <si>
    <t>Colaboración Vigilancia, mes de Julio 2019</t>
  </si>
  <si>
    <t>Cancelación Vigilancia, saldo mes de Julio y anticipo meses de Agosto y Septiembre 2019 (contra factura)</t>
  </si>
  <si>
    <t>Santiago Varela</t>
  </si>
  <si>
    <t>svg0583@gmail.com</t>
  </si>
  <si>
    <t>Familia Chan García</t>
  </si>
  <si>
    <t>chanalberto10@hotmail.com | endrinagarciah@gmail.com</t>
  </si>
  <si>
    <t>Cancelación Vigilancia, meses de Mayo y Junio 2019 y anticipo mes de Julio 2019</t>
  </si>
  <si>
    <t>Cancelación Vigilancia, saldo mes de Julio 2019</t>
  </si>
  <si>
    <t>Cancelación Vigilancia, mes de Julio 2019 (saldo a favor: Bs. 69.862,95)</t>
  </si>
  <si>
    <t>Cancelación Vigilancia, mes de Julio 2019 (saldo a favor: Bs. 26.005,80)</t>
  </si>
  <si>
    <t>Cancelación Vigilancia, mes de Julio 2019 (saldo a favor: Bs. 30.000,00)</t>
  </si>
  <si>
    <t>Cancelación Vigilancia, meses de Junio y Julio 2019</t>
  </si>
  <si>
    <t>Cancelación Vigilancia, meses de Julio y Agosto 2019</t>
  </si>
  <si>
    <t>Cancelación Vigilancia, mes de Agosto 2019</t>
  </si>
  <si>
    <t>Colaboración Vigilancia, mes de Agosto 2019</t>
  </si>
  <si>
    <t>Cancelación Vigilancia, mes de Agosto 2019 (saldo a favor: Bs. 16.005,80)</t>
  </si>
  <si>
    <t>Cancelación Vigilancia, mes de Agosto 2019 (saldo a favor: Bs. 59.862,95)</t>
  </si>
  <si>
    <t>Cancelación Vigilancia, mes de Agosto 2019 (saldo a favor: Bs. 20.000,00)</t>
  </si>
  <si>
    <t>Cancelación Vigilancia, meses de Agosto y Septiembre 2019</t>
  </si>
  <si>
    <t>Cancelación Vigilancia, saldo mes de Julio, mes de Agosto y anticipo mes de Septiembre 2019</t>
  </si>
  <si>
    <t>Cancelación Vigilancia, meses de Julio y Agosto 2019 (saldo a favor: Bs.87.352,00)</t>
  </si>
  <si>
    <t>Cancelación Vigilancia, meses de Abril, Mayo y Junio 2019</t>
  </si>
  <si>
    <t>Cancelación Vigilancia, mes de Septiembre 2019</t>
  </si>
  <si>
    <t>machadoru@hotmail.com | marisa2710chardan@gmail.com</t>
  </si>
  <si>
    <t>Cancelación Vigilancia, saldo mes de Agosto y meses de Septiembre y Octubre 2019</t>
  </si>
  <si>
    <t>Cancelación Vigilancia, mes de Junio 2019. Transferencia Banesco nro. 11316930451</t>
  </si>
  <si>
    <t>Cancelación Vigilancia, mes de Julio 2019. Transferencia Banesco nro. 11403142575</t>
  </si>
  <si>
    <t>Cancelación Vigilancia, saldo mes de Julio y mes de Agosto 2019</t>
  </si>
  <si>
    <t>Cancelación Vigilancia, mes de Septiembre y anticipo mes de Octubre 2019</t>
  </si>
  <si>
    <t>Cancelación Vigilancia, saldo mes de Septiembre 2019</t>
  </si>
  <si>
    <t>Cancelación Vigilancia, mes de Septiembre 2019 (saldo a favor: Bs. 36.462,95)</t>
  </si>
  <si>
    <t>Cancelación Vigilancia, mes de Septiembre 2019 (saldo a favor: Bs. 63.952,00)</t>
  </si>
  <si>
    <t>Colaboración Vigilancia, mes de Septiembre 2019</t>
  </si>
  <si>
    <t>Cancelación Vigilancia, mes de Agosto 2019. Transferencia Banesco nro. 11476317553</t>
  </si>
  <si>
    <t>arquitectoag@gmail.com</t>
  </si>
  <si>
    <t>Cancelación Vigilancia, mes de Septiembre 2019 (US$ 1,00)</t>
  </si>
  <si>
    <t>Cancelación Vigilancia, anticipo mes de Agosto y cancelación mes de Septiembre 2019</t>
  </si>
  <si>
    <t>Cancelación Vigilancia, anticipo mes de Octubre 2019</t>
  </si>
  <si>
    <t>almacenajeiri@gmail.com</t>
  </si>
  <si>
    <t>Cancelación Vigilancia, meses de Agosto y Septiembre, y anticipo mes de Octubre 2019</t>
  </si>
  <si>
    <t>Cancelación Vigilancia, mes de Septiembre 2019 (saldo a favor: Bs. 44.405,80)</t>
  </si>
  <si>
    <t>vaular@kromi-market.com | mvaular@hotmail.com</t>
  </si>
  <si>
    <t>Cancelación Vigilancia, mes de Septiembre 2019 (saldo a favor: Bs. 200,00)</t>
  </si>
  <si>
    <t>Cancelación Vigilancia, mes de Octubre 2019 (US$ 1,00)</t>
  </si>
  <si>
    <t>Cancelación Vigilancia, saldo mes de  Septiembre 2019</t>
  </si>
  <si>
    <t>Aporte para la caseta de vigilancia</t>
  </si>
  <si>
    <t>Aporte caseta</t>
  </si>
  <si>
    <t>Cancelación Vigilancia, mes de Octubre 2019</t>
  </si>
  <si>
    <t>Colaboración Vigilancia, meses de Septiembre y Octubre 2019</t>
  </si>
  <si>
    <t>Cancelación Vigilancia, mes de Octubre 2019 (saldo a favor: Bs. 15.362,95)</t>
  </si>
  <si>
    <t>Cancelación Vigilancia, mes de Octubre 2019 (saldo a favor: Bs. 42.852,00)</t>
  </si>
  <si>
    <t>Cancelación Vigilancia, mes de Octubre 2019 (saldo a favor: Bs. 23.305,80)</t>
  </si>
  <si>
    <t>Cancelación Vigilancia, saldo mes de Octubre 2019</t>
  </si>
  <si>
    <t>Cancelación Vigilancia, meses de Septiembre y Octubre 2019</t>
  </si>
  <si>
    <t>Cancelación Vigilancia, mes de Septiembre 2019. Transferencia Banesco nro. 11536535772</t>
  </si>
  <si>
    <t>Colaboración Vigilancia, mes de Octubre 2019</t>
  </si>
  <si>
    <t>Familia Zhen</t>
  </si>
  <si>
    <t>Cancelación Vigilancia, meses de Mayo, Junio, Julio, Agosto y Septiembre, y anticipo mes de Octubre 2019</t>
  </si>
  <si>
    <t>REVERTIDO: Cancelación Vigilancia, mes de Octubre 2019</t>
  </si>
  <si>
    <t>Cancelación Vigilancia, saldo mes de Octubre 2019 (saldo a favor: Bs. 16.952,00)</t>
  </si>
  <si>
    <t>Cancelación Vigilancia, mes de Octubre 2019 (saldo a favor: Bs. 200,00)</t>
  </si>
  <si>
    <t>Cancelación Vigilancia, saldo mes de Octubre y anticipo mes de Noviembre 2019</t>
  </si>
  <si>
    <t>Cancelación Vigilancia, saldo mes de Octubre 2019 (US$ 1,50)</t>
  </si>
  <si>
    <t>Cancelación Vigilancia, saldo mes de Octubre 2019 (saldo a favor: Bs. 197.405,80)</t>
  </si>
  <si>
    <t>Cancelación Vigilancia, saldo mes de Octubre y anticipó mes de Noviembre 2019</t>
  </si>
  <si>
    <t>Cancelación Vigilancia, saldo mes de Octubre y mes de Noviembre 2019</t>
  </si>
  <si>
    <t>Colaboración Vigilancia, meses de Octubre, Noviembre y Diciembre 2019</t>
  </si>
  <si>
    <t>Cancelación Vigilancia, complemento mes de Octubre 2019</t>
  </si>
  <si>
    <t>Cancelación Vigilancia, anticipo mes de Noviembre 2019</t>
  </si>
  <si>
    <t>Cancelación Vigilancia, mes de Noviembre 2019</t>
  </si>
  <si>
    <t>Cancelación Vigilancia, complemento mes de Octubre y anticipo mes de Noviembre 2019</t>
  </si>
  <si>
    <t>Cancelación Vigilancia, saldo mes de Noviembre 2019</t>
  </si>
  <si>
    <t>Cancelación Vigilancia, saldo mes de Noviembre y anticipo mes de Diciembre 2019</t>
  </si>
  <si>
    <t>Cancelación Vigilancia, mes de Noviembre 2019 (saldo a favor: Bs. 146.155,80)</t>
  </si>
  <si>
    <t>Colaboración Vigilancia, mes de Noviembre 2019</t>
  </si>
  <si>
    <t>Cancelación Vigilancia, meses de Octubre y Noviembre 2019</t>
  </si>
  <si>
    <t>Cancelación Vigilancia, saldo mes de Octubre, cancelación mes de Noviembre y anticipo mes de Diciembre 2019</t>
  </si>
  <si>
    <t>Cancelación Vigilancia, anticipo mes de Noviembre 2019 (US$ 1,40)</t>
  </si>
  <si>
    <t>Cancelación Vigilancia, saldo mes de Octubre y cancelación mes de Noviembre 2019</t>
  </si>
  <si>
    <t>Cancelación Vigilancia, meses de Noviembre y Diciembre 2019 (US$ 5,00)</t>
  </si>
  <si>
    <t>Cancelación Vigilancia, mes de Octubre 2019. Transferencia Banesco nro. 11608170091</t>
  </si>
  <si>
    <t>Cancelación Vigilancia, saldo mes de Octubre y mes de Noviembre 2019 (saldo a favor: Bs. 407.462,95)</t>
  </si>
  <si>
    <t>Cancelación Vigilancia, abono mes de Noviembre 2019</t>
  </si>
  <si>
    <t>Cancelación Vigilancia, mes de Noviembre 2019 (saldo a favor: Bs. 43.452,00)</t>
  </si>
  <si>
    <t>Cancelación Vigilancia, meses de Diciembre 2019 y Enero 2020</t>
  </si>
  <si>
    <t>Cancelación Vigilancia, mes de Noviembre 2019 (saldo a favor: Bs. 200,00)</t>
  </si>
  <si>
    <t>Cancelación Vigilancia, saldo mes de Noviembre 2019 (US$ 1,10)</t>
  </si>
  <si>
    <t>Cancelación Vigilancia, mes de Diciembre 2019</t>
  </si>
  <si>
    <t>vesperanzacastillor@gmail.com | emmecas@hotmail.com</t>
  </si>
  <si>
    <t>Colaboración Vigilancia, meses de Julio 2017 a Octubre 2019</t>
  </si>
  <si>
    <t>Cancelación Vigilancia, mes de Diciembre 2019 (saldo a favor: Bs. 325.712,95)</t>
  </si>
  <si>
    <t>Cancelación Vigilancia, mes de Diciembre 2019 (saldo a favor: Bs. 64.425,80)</t>
  </si>
  <si>
    <t>Colaboración Vigilancia, mes de Diciembre 2019</t>
  </si>
  <si>
    <t>Cancelación Vigilancia, meses de Agosto a Noviembre 2019</t>
  </si>
  <si>
    <t>Cancelación Vigilancia, saldo mes de Diciembre 2019 y anticipo mes de Enero 2020 (Bs. 2.300)</t>
  </si>
  <si>
    <t>Cancelación Vigilancia, meses de Noviembre y Diciembre 2019</t>
  </si>
  <si>
    <t>Colaboración Vigilancia, meses de Noviembre y Diciembre 2019</t>
  </si>
  <si>
    <t>ANULADO: Cancelación Vigilancia, saldo mes de Noviembre, Diciembre 2019 y anticipo mes de Enero 2020 (Bs. 77.100)</t>
  </si>
  <si>
    <t>Cancelación Vigilancia, mes de Diciembre 2019 (saldo a favor: Bs. 200,00)</t>
  </si>
  <si>
    <t>Cancelación Vigilancia, mes de Diciembre 2019 (saldo a favor: Bs. 138.202,00)</t>
  </si>
  <si>
    <t>Familia Chávez Moncada</t>
  </si>
  <si>
    <t>alechavezmoncada@gmail.com</t>
  </si>
  <si>
    <t>Calle Guacara Nro. 88-95</t>
  </si>
  <si>
    <t>Cancelación Vigilancia, meses de Enero 2016 a Diciembre 2019</t>
  </si>
  <si>
    <t>SOLVENCIA: Cancelación Vigilancia, meses de Enero 2016 a Diciembre 2019</t>
  </si>
  <si>
    <t>SOLVENTE</t>
  </si>
  <si>
    <t>Cancelación Vigilancia, mes de Noviembre 2019. Transferencia Banesco nro. 11672199428</t>
  </si>
  <si>
    <t>Cancelación Vigilancia, saldo mes de Diciembre 2019 y anticipo mes de Enero 2020</t>
  </si>
  <si>
    <t>Cancelación Vigilancia, mes de Enero 2020</t>
  </si>
  <si>
    <t>Cancelación Vigilancia, saldo mes de Diciembre 2019</t>
  </si>
  <si>
    <t>Cancelación Vigilancia, mes de Enero 2020 (saldo a favor: Bs. 189.462,95)</t>
  </si>
  <si>
    <t>Cancelación Vigilancia, mes de Enero 2020 (saldo a favor: Bs. 1.952,00)</t>
  </si>
  <si>
    <t>Cancelación Vigilancia, anticipo mes de Enero 2020</t>
  </si>
  <si>
    <t>Cancelación Vigilancia, saldo mes de Enero 2020</t>
  </si>
  <si>
    <t>Cancelación Vigilancia, mes de Diciembre 2019. Transferencia Banesco nro. 11711787408</t>
  </si>
  <si>
    <t>Cancelación Vigilancia, saldo mes de Enero y anticipo mes de Febrero 2020</t>
  </si>
  <si>
    <t>Cancelación Vigilancia, mes de Enero y anticipo Febrero 2020</t>
  </si>
  <si>
    <t>Cancelación Vigilancia, mes de Enero y anticipo mes de Febrero 2020 (Bs. 2.300)</t>
  </si>
  <si>
    <t>Cancelación Vigilancia, mes de Febrero 2020 (saldo a favor: Bs. 5.702,00)</t>
  </si>
  <si>
    <t>Colaboración Vigilancia, mes de Enero 2020</t>
  </si>
  <si>
    <t>Colaboración Vigilancia, meses de Enero a Marzo 2020</t>
  </si>
  <si>
    <t>Colaboración Vigilancia, anticipo mes de Enero 2020</t>
  </si>
  <si>
    <t>Cancelación Vigilancia, anticipo mes de Diciembre 2019</t>
  </si>
  <si>
    <t>Cancelación Vigilancia, mes de Enero 2020 (saldo a favor Bs. 64.405,80)</t>
  </si>
  <si>
    <t>Cancelación Vigilancia, anticipo mes de Febrero 2020 (saldo a favor Bs. 0,00)</t>
  </si>
  <si>
    <t>Familia Brito Viana</t>
  </si>
  <si>
    <t>alejbrito92@gmail.com</t>
  </si>
  <si>
    <t>Cancelación Vigilancia, mes de Enero y anticipo mes de Febrero 2020 (Bs. 7.950)</t>
  </si>
  <si>
    <t>Cancelación Vigilancia, mes de Enero 2020. Transferencia Banesco nro. 11755669819</t>
  </si>
  <si>
    <t>Cancelación Vigilancia, mes de Febrero 2020</t>
  </si>
  <si>
    <t>Colaboración Vigilancia, saldo mes de Enero 2020</t>
  </si>
  <si>
    <t>Cancelación Vigilancia, saldo mes de Febrero y anticipo mes de Marzo 2020</t>
  </si>
  <si>
    <t>Cancelación Vigilancia, mes de Febrero 2020 (saldo a favor: Bs. 53.212,95)</t>
  </si>
  <si>
    <t>Colaboración Vigilancia, mes de Febrero 2020</t>
  </si>
  <si>
    <t>Cancelación Vigilancia, mes de Enero 2020 (Transferencia 648817, Banco Exterior)</t>
  </si>
  <si>
    <t>Cancelación Vigilancia, mes de Febrero 2020 (Transferencia 220529)</t>
  </si>
  <si>
    <t>Cancelación Vigilancia, meses de Diciembre 2019, Enero, Febrero y Marzo 2020</t>
  </si>
  <si>
    <t>Cancelación Vigilancia, meses de Diciembre 2019, Enero y Febrero 2020</t>
  </si>
  <si>
    <t>Cancelación Vigilancia, mes de Febrero y anticipo mes de Marzo 2020 (Bs. 2.300)</t>
  </si>
  <si>
    <t>Cancelación Vigilancia, mes de Diciembre 2019, Enero y Febrero 2020</t>
  </si>
  <si>
    <t>Cancelación Vigilancia, saldo mes de Febrero 2020</t>
  </si>
  <si>
    <t>Cancelación Vigilancia, meses de Febrero y Marzo 2020</t>
  </si>
  <si>
    <t>Cancelación Vigilancia, saldo mes de Enero y mes de Febrero 2020</t>
  </si>
  <si>
    <t>TOTAL</t>
  </si>
  <si>
    <t>CESE DE OPERACIONES</t>
  </si>
  <si>
    <t>VENDIDA</t>
  </si>
  <si>
    <t>FUERA DEL PAÍS</t>
  </si>
  <si>
    <t>ALQUILADA</t>
  </si>
  <si>
    <t>FIN DE CONTRATO DE ALQUILER</t>
  </si>
  <si>
    <t>NÚMERO DE PAGOS</t>
  </si>
  <si>
    <t>PAGOS 100% CUOTA</t>
  </si>
  <si>
    <t>PAGOS 100% EQUIVALENTES</t>
  </si>
  <si>
    <t>CUOTAS MENSUALES</t>
  </si>
  <si>
    <t>CUOTA La Casita Encantada</t>
  </si>
  <si>
    <t>CUOTA Colegio El Trigal</t>
  </si>
  <si>
    <t>PAGO ESTIMADO DE VIGILANCIA (Vigilantes, Pasivos y Consumibles)</t>
  </si>
  <si>
    <t>CONSTANTES</t>
  </si>
  <si>
    <t>IPC último mes</t>
  </si>
  <si>
    <t>Última tasa Bs./US$</t>
  </si>
  <si>
    <t>Cantidad</t>
  </si>
  <si>
    <t>Moneda</t>
  </si>
  <si>
    <t>Tasa Bs./US$</t>
  </si>
  <si>
    <t>IPC base Dic 2007</t>
  </si>
  <si>
    <t>Tasa redondeada</t>
  </si>
  <si>
    <t>CUOTA</t>
  </si>
  <si>
    <t>Reexpr. por inflación</t>
  </si>
  <si>
    <t>USD La Casita Encantada</t>
  </si>
  <si>
    <t>USD Colegio El Trigal</t>
  </si>
  <si>
    <t>VEB</t>
  </si>
  <si>
    <t>-</t>
  </si>
  <si>
    <t>USD</t>
  </si>
  <si>
    <t>Saldos a la Fecha</t>
  </si>
  <si>
    <r>
      <rPr>
        <b/>
        <sz val="14"/>
        <color theme="1"/>
        <rFont val="Calibri"/>
        <family val="2"/>
        <scheme val="minor"/>
      </rPr>
      <t>Familia Del Negro Palermo</t>
    </r>
    <r>
      <rPr>
        <b/>
        <sz val="12"/>
        <color theme="1"/>
        <rFont val="Calibri"/>
        <family val="2"/>
        <scheme val="minor"/>
      </rPr>
      <t>, Calle Guacara Nro. 88-45</t>
    </r>
  </si>
  <si>
    <r>
      <rPr>
        <b/>
        <sz val="14"/>
        <color theme="1"/>
        <rFont val="Calibri"/>
        <family val="2"/>
        <scheme val="minor"/>
      </rPr>
      <t>Ely Saúl Rivero Gómez</t>
    </r>
    <r>
      <rPr>
        <b/>
        <sz val="11"/>
        <color theme="1"/>
        <rFont val="Calibri"/>
        <family val="2"/>
        <scheme val="minor"/>
      </rPr>
      <t>, Av. "Ñ" Nro. 145-25</t>
    </r>
  </si>
  <si>
    <r>
      <rPr>
        <b/>
        <sz val="14"/>
        <color theme="1"/>
        <rFont val="Calibri"/>
        <family val="2"/>
        <scheme val="minor"/>
      </rPr>
      <t>Familia Ozar Rivero</t>
    </r>
    <r>
      <rPr>
        <b/>
        <sz val="11"/>
        <color theme="1"/>
        <rFont val="Calibri"/>
        <family val="2"/>
        <scheme val="minor"/>
      </rPr>
      <t>, Calle Güigue Nro. 88-06</t>
    </r>
  </si>
  <si>
    <t>Familia Wu Acevedo, Calle Guacara Nro. 88-A-10</t>
  </si>
  <si>
    <r>
      <rPr>
        <b/>
        <sz val="14"/>
        <color theme="1"/>
        <rFont val="Calibri"/>
        <family val="2"/>
        <scheme val="minor"/>
      </rPr>
      <t>Familia Jiménez Salvatierra</t>
    </r>
    <r>
      <rPr>
        <b/>
        <sz val="11"/>
        <color theme="1"/>
        <rFont val="Calibri"/>
        <family val="2"/>
        <scheme val="minor"/>
      </rPr>
      <t>, Calle Güigüe Nro. 89-45</t>
    </r>
  </si>
  <si>
    <r>
      <rPr>
        <b/>
        <sz val="14"/>
        <color theme="1"/>
        <rFont val="Calibri"/>
        <family val="2"/>
        <scheme val="minor"/>
      </rPr>
      <t>Familia Fermín Rivas</t>
    </r>
    <r>
      <rPr>
        <b/>
        <sz val="11"/>
        <color theme="1"/>
        <rFont val="Calibri"/>
        <family val="2"/>
        <scheme val="minor"/>
      </rPr>
      <t>, Calle Güigüe Nro. 89-55</t>
    </r>
  </si>
  <si>
    <r>
      <rPr>
        <b/>
        <sz val="14"/>
        <color theme="1"/>
        <rFont val="Calibri"/>
        <family val="2"/>
        <scheme val="minor"/>
      </rPr>
      <t>Familia López Hermoso</t>
    </r>
    <r>
      <rPr>
        <b/>
        <sz val="11"/>
        <color theme="1"/>
        <rFont val="Calibri"/>
        <family val="2"/>
        <scheme val="minor"/>
      </rPr>
      <t>, Calle Güigüe Nro. 89-79</t>
    </r>
  </si>
  <si>
    <r>
      <rPr>
        <b/>
        <sz val="14"/>
        <color theme="1"/>
        <rFont val="Calibri"/>
        <family val="2"/>
        <scheme val="minor"/>
      </rPr>
      <t>Zoraida Khair,</t>
    </r>
    <r>
      <rPr>
        <b/>
        <sz val="11"/>
        <color theme="1"/>
        <rFont val="Calibri"/>
        <family val="2"/>
        <scheme val="minor"/>
      </rPr>
      <t xml:space="preserve"> Calle Güigüe Nro. 88-80</t>
    </r>
  </si>
  <si>
    <r>
      <rPr>
        <b/>
        <sz val="14"/>
        <color theme="1"/>
        <rFont val="Calibri"/>
        <family val="2"/>
        <scheme val="minor"/>
      </rPr>
      <t>Familia Martínez Boada</t>
    </r>
    <r>
      <rPr>
        <b/>
        <sz val="11"/>
        <color theme="1"/>
        <rFont val="Calibri"/>
        <family val="2"/>
        <scheme val="minor"/>
      </rPr>
      <t>, Calle Güigüe Nro. 88-62</t>
    </r>
  </si>
  <si>
    <t>Saldo</t>
  </si>
  <si>
    <t>Anticipo Vigilancia y compra de controles</t>
  </si>
  <si>
    <t>» Transferencia</t>
  </si>
  <si>
    <t>Deposito</t>
  </si>
  <si>
    <t>Duplicado de llave portón p/Colegio El Trigal</t>
  </si>
  <si>
    <t>Compra de pintura para reja centro comercial</t>
  </si>
  <si>
    <t>Compra de dos (02) controles</t>
  </si>
  <si>
    <t>Cancelación Vigilancia, saldo meses de Marzo y Abril 2018</t>
  </si>
  <si>
    <t>Compra de cemento y arena p/rep. caseta</t>
  </si>
  <si>
    <t>Saldo febrero + cuotas Mar-Jun 2017</t>
  </si>
  <si>
    <t>Cancelación Vigilancia, meses de Ene-Jun 2017</t>
  </si>
  <si>
    <t>Compra de control para el portón</t>
  </si>
  <si>
    <t>Cancelación Vigilancia, Mes de Agosto 2018</t>
  </si>
  <si>
    <t>Compra de remaches p/cerradura</t>
  </si>
  <si>
    <t>&gt;&gt; Anulación de saldo &lt;&lt;</t>
  </si>
  <si>
    <t>Cancelación Vigilancia, saldo mes de Septiembre 2018</t>
  </si>
  <si>
    <t>Compra de rejilla p/baño rep. Caseta</t>
  </si>
  <si>
    <t>» Transferencia 9957128286 de Banesco</t>
  </si>
  <si>
    <t>Compra de materiales p/rep. Caseta</t>
  </si>
  <si>
    <t>» Deposito 10964404396, Banesco</t>
  </si>
  <si>
    <t>Reverso anticipo mes de Septiembre</t>
  </si>
  <si>
    <t>Vigilancia: cancelación meses de Septiembre, Octubre, Noviembre, Diciembre 2018 y Enero 2019</t>
  </si>
  <si>
    <t>» Transferencia 74630425, Bco. Provincial</t>
  </si>
  <si>
    <t>Cancelación Dayana Alonso: Vigilancia 30-06-2018</t>
  </si>
  <si>
    <t>» Transferencia 11062598286, Banesco</t>
  </si>
  <si>
    <t>Anticipo Vigilancia, mes de Julio 2018</t>
  </si>
  <si>
    <t>Compra de electrodos</t>
  </si>
  <si>
    <t>» Transferencia 11088303656, Banesco</t>
  </si>
  <si>
    <t>Compra de talonario de recibos</t>
  </si>
  <si>
    <t>» Transferencia 92758760, Bco. Provincial</t>
  </si>
  <si>
    <t xml:space="preserve">» Transferencia </t>
  </si>
  <si>
    <t>» Transferencia 97075737, Bco. Provincial</t>
  </si>
  <si>
    <t>Cancelaciòn Vigilancia, anticipo mes de Febrero 2020</t>
  </si>
  <si>
    <t>» Transferencia 78086053, Bco. Provincial</t>
  </si>
  <si>
    <t>» Transferencia 47763780, Bco. Provincial</t>
  </si>
  <si>
    <t>» Transferencia 67778032, Bco. Provincial</t>
  </si>
  <si>
    <t>» Transferencia 273632763</t>
  </si>
  <si>
    <t>» Transferencia 310253844</t>
  </si>
  <si>
    <t>» Transferencia 99959262, Bco. Provincial</t>
  </si>
  <si>
    <t>» Transferencia 3319625574</t>
  </si>
  <si>
    <t>» Transferencia 329305830</t>
  </si>
  <si>
    <t>Cancelación Vigilancia, anticipo mes de Febrero 2020</t>
  </si>
  <si>
    <t>Recuerde insertar esta fila en las siguientes para asegurar la correctitud de las fórmulas</t>
  </si>
  <si>
    <t>% Cobertura de Pago de Vigilantes, Pasivos y Consumibles</t>
  </si>
  <si>
    <t>A graficar</t>
  </si>
  <si>
    <t>Pagos 100% Equivalentes</t>
  </si>
  <si>
    <t>Promedio 5 últimos meses</t>
  </si>
  <si>
    <t>Pago Vigilantes</t>
  </si>
  <si>
    <t>100% eqv.</t>
  </si>
  <si>
    <t>Pago vigilantes =</t>
  </si>
  <si>
    <t>Cuotas =</t>
  </si>
  <si>
    <t>Comida</t>
  </si>
  <si>
    <t>F.Desde</t>
  </si>
  <si>
    <t>F.Hasta</t>
  </si>
  <si>
    <t xml:space="preserve"> </t>
  </si>
  <si>
    <t>Cuota completa</t>
  </si>
  <si>
    <t>No participa</t>
  </si>
  <si>
    <t>Colaboración</t>
  </si>
  <si>
    <t>OCULTO</t>
  </si>
  <si>
    <t>Sólo comida</t>
  </si>
  <si>
    <t>GyG - Total de Ingresos Mensuales</t>
  </si>
  <si>
    <t>Expresado en Bs. Soberanos</t>
  </si>
  <si>
    <t>(Varios elementos)</t>
  </si>
  <si>
    <t>Categorías</t>
  </si>
  <si>
    <t>Total general</t>
  </si>
  <si>
    <t>Aporte Caseta</t>
  </si>
  <si>
    <r>
      <rPr>
        <b/>
        <sz val="11"/>
        <color theme="1"/>
        <rFont val="Calibri"/>
        <family val="2"/>
        <scheme val="minor"/>
      </rPr>
      <t>CORREGIR</t>
    </r>
    <r>
      <rPr>
        <sz val="11"/>
        <color theme="1"/>
        <rFont val="Calibri"/>
        <family val="2"/>
        <scheme val="minor"/>
      </rPr>
      <t xml:space="preserve"> - Sumar en la categoría Vigilancia los depósitos reportados en </t>
    </r>
    <r>
      <rPr>
        <b/>
        <sz val="11"/>
        <color theme="1"/>
        <rFont val="Calibri"/>
        <family val="2"/>
        <scheme val="minor"/>
      </rPr>
      <t>Saldos</t>
    </r>
    <r>
      <rPr>
        <sz val="11"/>
        <color theme="1"/>
        <rFont val="Calibri"/>
        <family val="2"/>
        <scheme val="minor"/>
      </rPr>
      <t xml:space="preserve"> y restar los descuentos realizados en esos mismos períodos - </t>
    </r>
    <r>
      <rPr>
        <b/>
        <sz val="11"/>
        <color theme="1"/>
        <rFont val="Calibri"/>
        <family val="2"/>
        <scheme val="minor"/>
      </rPr>
      <t>OK</t>
    </r>
  </si>
  <si>
    <t>Pagos &lt; Cuota -- Cantidad</t>
  </si>
  <si>
    <t>Subtotal</t>
  </si>
  <si>
    <t>Pagos = Cuota -- Cantidad</t>
  </si>
  <si>
    <t>Pagos &gt; Cuota -- Cantidad</t>
  </si>
  <si>
    <t>Total pagos cuota-equivalentes</t>
  </si>
  <si>
    <t>IPC a la fecha</t>
  </si>
  <si>
    <t>Cuota reexpresada según IPC</t>
  </si>
  <si>
    <t>Proyectos</t>
  </si>
  <si>
    <t>REPARACIÓN CASETA VIGILANCIA</t>
  </si>
  <si>
    <t>REPARACIÓN PORTON PRINCIPAL</t>
  </si>
  <si>
    <t>REPARACIÓN PORTON PRINCIPAL (2da. rueda)</t>
  </si>
  <si>
    <t>Mayo/2018</t>
  </si>
  <si>
    <t>Julio/2018</t>
  </si>
  <si>
    <t>Octubre/2018</t>
  </si>
  <si>
    <t>Ingresos:</t>
  </si>
  <si>
    <t>Total ingresos</t>
  </si>
  <si>
    <t>Egresos:</t>
  </si>
  <si>
    <t xml:space="preserve"> - Mano de obra</t>
  </si>
  <si>
    <t xml:space="preserve"> - Mano de Obra</t>
  </si>
  <si>
    <t xml:space="preserve"> - Cemento</t>
  </si>
  <si>
    <t xml:space="preserve"> - Ruedas para el portón</t>
  </si>
  <si>
    <t xml:space="preserve"> - Electrodos</t>
  </si>
  <si>
    <t xml:space="preserve"> - Llave de lavamanos</t>
  </si>
  <si>
    <t xml:space="preserve"> - Tubería de drenaje</t>
  </si>
  <si>
    <t xml:space="preserve"> - Rejila de drenaje</t>
  </si>
  <si>
    <t>Total egresos</t>
  </si>
  <si>
    <t>Saldo:</t>
  </si>
  <si>
    <t>Donaciones:</t>
  </si>
  <si>
    <t xml:space="preserve"> - Ozar Rivero: Disco de corte</t>
  </si>
  <si>
    <t xml:space="preserve"> - Del Negro Palermo: Disco de corte</t>
  </si>
  <si>
    <t xml:space="preserve"> - Carolina Colina: Viga estructural</t>
  </si>
  <si>
    <t xml:space="preserve"> - Castillo Mena: Malla para el piso</t>
  </si>
  <si>
    <t xml:space="preserve"> - Silvia Power: Fondo para herrería</t>
  </si>
  <si>
    <t>E-mail</t>
  </si>
  <si>
    <t>SMS</t>
  </si>
  <si>
    <t>WhatsApp</t>
  </si>
  <si>
    <t>Nombre 1</t>
  </si>
  <si>
    <t>Teléfono 1</t>
  </si>
  <si>
    <t>Nombre 2</t>
  </si>
  <si>
    <t>Teléfono 2</t>
  </si>
  <si>
    <t>0414-259.5154</t>
  </si>
  <si>
    <t>0414-126.9675</t>
  </si>
  <si>
    <t>boty111111@gmail.com</t>
  </si>
  <si>
    <t>0412-435.7465</t>
  </si>
  <si>
    <t>0414-148.6886</t>
  </si>
  <si>
    <t>Olga (sobrina de Reina Meléndez)</t>
  </si>
  <si>
    <t>0414-341.3070</t>
  </si>
  <si>
    <t>victor8manuel@hotmail.com</t>
  </si>
  <si>
    <t>0424-446.5349</t>
  </si>
  <si>
    <t>Betzahy</t>
  </si>
  <si>
    <t>&lt;- Error en dirección</t>
  </si>
  <si>
    <t>0414-530.0177</t>
  </si>
  <si>
    <t>oflormo@hotmail.com</t>
  </si>
  <si>
    <t>mercy_0709@hotmail.com</t>
  </si>
  <si>
    <t>Mercedes Trujillo de Calzadilla</t>
  </si>
  <si>
    <t>0424-498.6453</t>
  </si>
  <si>
    <t>0414-078.3540</t>
  </si>
  <si>
    <t>Elizabeth Sánchez (Home House Service, C.A.)</t>
  </si>
  <si>
    <t>(anteriormente Rogelio García)</t>
  </si>
  <si>
    <t>Familia González López</t>
  </si>
  <si>
    <t>Av. "Ñ" Nro. 145-27</t>
  </si>
  <si>
    <t>Familia Coronel</t>
  </si>
  <si>
    <t>Av. "O" Nro. 146-10</t>
  </si>
  <si>
    <t>Francisco Hurtado</t>
  </si>
  <si>
    <t>0416-436.8348</t>
  </si>
  <si>
    <t>efigam@hotmail.com</t>
  </si>
  <si>
    <t>0414-419.5299</t>
  </si>
  <si>
    <t>María Luisa Gornés</t>
  </si>
  <si>
    <t>Calle Guacara Nro. 87-05</t>
  </si>
  <si>
    <t>Familia Aponte . Anexo</t>
  </si>
  <si>
    <t>hugoemilioaponte@hotmail.com</t>
  </si>
  <si>
    <t>raul1franco@gmail.com</t>
  </si>
  <si>
    <t>0412-342.5692</t>
  </si>
  <si>
    <t>Doris Valderrama</t>
  </si>
  <si>
    <t>Calle Guacara Nro. 87-15</t>
  </si>
  <si>
    <t>Familia Delgado</t>
  </si>
  <si>
    <t>Calle Guacara Nro. 87-19</t>
  </si>
  <si>
    <t>Familia Pereira</t>
  </si>
  <si>
    <t>Calle Guacara Nro. 87-27</t>
  </si>
  <si>
    <t>Familia Padrón C. Bollingher</t>
  </si>
  <si>
    <t>Calle Guacara Nro. 87-30</t>
  </si>
  <si>
    <t>Familia Morillo</t>
  </si>
  <si>
    <t>leszamoro2011@hotmail.com</t>
  </si>
  <si>
    <t>Calle Guacara Nro. 87-35</t>
  </si>
  <si>
    <t>Familia Gorrín Gianfrancesco</t>
  </si>
  <si>
    <t>Calle Guacara Nro. 87-40</t>
  </si>
  <si>
    <t>Familia Moretti</t>
  </si>
  <si>
    <t>Calle Guacara Nro. 87-51</t>
  </si>
  <si>
    <t>Familia Ramírez (Guacara)</t>
  </si>
  <si>
    <t>Calle Guacara Nro. 87-59</t>
  </si>
  <si>
    <t>Familia De Sousa Pereira</t>
  </si>
  <si>
    <t>Calle Guacara Nro. 87-65</t>
  </si>
  <si>
    <t>Familia De Libero Marinelli</t>
  </si>
  <si>
    <t>Calle Guacara Nro. 87-70</t>
  </si>
  <si>
    <t>Familia Martínez</t>
  </si>
  <si>
    <t>Calle Guacara Nro. 87-80</t>
  </si>
  <si>
    <t>Familia Suarez</t>
  </si>
  <si>
    <t>Calle Guacara Nro. 87-82</t>
  </si>
  <si>
    <t>Chen Ying Hsuan
Chrn Tsai</t>
  </si>
  <si>
    <t>Lisbeth Marilyn Sambrano Kent</t>
  </si>
  <si>
    <t>Teresita Román</t>
  </si>
  <si>
    <t>Calle Guacara Nro. 87-90</t>
  </si>
  <si>
    <t>amburguillos@yahoo.com</t>
  </si>
  <si>
    <t>Briceida</t>
  </si>
  <si>
    <t>0414-434.0037</t>
  </si>
  <si>
    <t>0416-644.7309</t>
  </si>
  <si>
    <t>Jesús Villamizar</t>
  </si>
  <si>
    <t>0424-465.1808</t>
  </si>
  <si>
    <t>Valter Del Negro</t>
  </si>
  <si>
    <t>0414-415.1612</t>
  </si>
  <si>
    <t>Hanna Hatem</t>
  </si>
  <si>
    <t>0412-402.5080</t>
  </si>
  <si>
    <t>&lt;&lt;&lt; RECIBO EN FÍSICO</t>
  </si>
  <si>
    <t>Lenín Fernández</t>
  </si>
  <si>
    <t>0426-741.7401</t>
  </si>
  <si>
    <t>0426-565.1307</t>
  </si>
  <si>
    <t>Alexander Zavarce</t>
  </si>
  <si>
    <t>Olga Moncada</t>
  </si>
  <si>
    <t>Alejandro Brito</t>
  </si>
  <si>
    <t>0424-496.2884</t>
  </si>
  <si>
    <t>Familia Zampini Scaccia</t>
  </si>
  <si>
    <t>Rudy Acevedo
Jhonatan Bolívar</t>
  </si>
  <si>
    <t>+57 322 9509262
0412-4000799</t>
  </si>
  <si>
    <t>(Anteriormente Familia Zampini Scaccia)</t>
  </si>
  <si>
    <t>frankiarcia@hotmail.com</t>
  </si>
  <si>
    <t>Claudia Agudo</t>
  </si>
  <si>
    <t>0414-432.9301</t>
  </si>
  <si>
    <t>0414-422.5598</t>
  </si>
  <si>
    <t>Stephen Durvelle</t>
  </si>
  <si>
    <t>Rosve</t>
  </si>
  <si>
    <t>0424-442.5593</t>
  </si>
  <si>
    <t>0414-431.9293</t>
  </si>
  <si>
    <t>Ma. Eugenia Gordon</t>
  </si>
  <si>
    <t>0416-640.8634</t>
  </si>
  <si>
    <t>0414-436.8893</t>
  </si>
  <si>
    <t>0414-264.8109</t>
  </si>
  <si>
    <t>Eduardo Soto</t>
  </si>
  <si>
    <t>Rosana Urdaneta</t>
  </si>
  <si>
    <t>Familia Aparicio. Anexo</t>
  </si>
  <si>
    <t>Calle Guacara Nro. 89-129</t>
  </si>
  <si>
    <t>0414-430.0164</t>
  </si>
  <si>
    <t>0414-422.3473</t>
  </si>
  <si>
    <t>Elena Zavarce</t>
  </si>
  <si>
    <t>(Anteriormente Lugo Zavarce)</t>
  </si>
  <si>
    <t>Aurymar Castro</t>
  </si>
  <si>
    <t>0414-439.7774</t>
  </si>
  <si>
    <t>Neira Chacón</t>
  </si>
  <si>
    <t>Calle Guacara Nro. 90-71</t>
  </si>
  <si>
    <t>Carolina Hung</t>
  </si>
  <si>
    <t>0412-850.0478</t>
  </si>
  <si>
    <t>barbarahung15@hotmail.com</t>
  </si>
  <si>
    <t>(Anteriormente Hilda Carrillo)</t>
  </si>
  <si>
    <t>Familia Rodríguez Chiappeta</t>
  </si>
  <si>
    <t>Calle Guacara Nro. 90-120</t>
  </si>
  <si>
    <t>Familia Ledezma Hernández</t>
  </si>
  <si>
    <t>josemanuel.ledezma@gmail.com</t>
  </si>
  <si>
    <t>Calle Guacara Nro. 145-30</t>
  </si>
  <si>
    <t>Mario Narváez</t>
  </si>
  <si>
    <t>0414-341.5456</t>
  </si>
  <si>
    <t>0414-325.5322</t>
  </si>
  <si>
    <t>Claudia González</t>
  </si>
  <si>
    <t>(anteriormente Claudia González)</t>
  </si>
  <si>
    <t>Carlos Delgado</t>
  </si>
  <si>
    <t>0412-673.3016</t>
  </si>
  <si>
    <t>Raquel Hidalgo</t>
  </si>
  <si>
    <t>0414-438.4292</t>
  </si>
  <si>
    <t>0416-644.1242</t>
  </si>
  <si>
    <t>Dora Chávez</t>
  </si>
  <si>
    <t>0414-413.6103</t>
  </si>
  <si>
    <t>Familia Alonso Hernández</t>
  </si>
  <si>
    <t>0414-406.8469</t>
  </si>
  <si>
    <t>Familia Moyetones</t>
  </si>
  <si>
    <t>evelynmoyetones@hotmail.com</t>
  </si>
  <si>
    <t>Calle Güigüe Nro. 88-36</t>
  </si>
  <si>
    <t>Evelyn Moyetones</t>
  </si>
  <si>
    <t>0426-942.5637</t>
  </si>
  <si>
    <t>Morella Rivero</t>
  </si>
  <si>
    <t>0414-040.3440</t>
  </si>
  <si>
    <t>Thanya Albornoz</t>
  </si>
  <si>
    <t>thanyaalbornozm@hotmail.com</t>
  </si>
  <si>
    <t>Calle Güigüe Nro. 88-42</t>
  </si>
  <si>
    <t>Mario Colosso</t>
  </si>
  <si>
    <t>0414-438.8316</t>
  </si>
  <si>
    <t>Migdalia Delgado</t>
  </si>
  <si>
    <t>0414-426.6592</t>
  </si>
  <si>
    <t>0424-439.7539</t>
  </si>
  <si>
    <t>LizJorge2007@gmail.com</t>
  </si>
  <si>
    <t>0414-341.5549</t>
  </si>
  <si>
    <t>0414-348.3180</t>
  </si>
  <si>
    <t>Verónica Aular</t>
  </si>
  <si>
    <t>0416-795.7276</t>
  </si>
  <si>
    <t>mayela.rey@kamikaze.com.ve</t>
  </si>
  <si>
    <t>0414-437.6667</t>
  </si>
  <si>
    <t>Valerio Rafael Gascón</t>
  </si>
  <si>
    <t>0412-742.3161</t>
  </si>
  <si>
    <t>amnesquirm@gmail.com</t>
  </si>
  <si>
    <t>Raquel Martínez Rodríguez</t>
  </si>
  <si>
    <t>lbracamonte@netuno.net</t>
  </si>
  <si>
    <t>0414-432.5901</t>
  </si>
  <si>
    <t>0412-684.8327</t>
  </si>
  <si>
    <t>0414-437.3537</t>
  </si>
  <si>
    <t>Familia Hernández Castillo</t>
  </si>
  <si>
    <t>0414-340.1447</t>
  </si>
  <si>
    <t>Calle Güigüe Nro. 88-94</t>
  </si>
  <si>
    <t>Emma Castillo</t>
  </si>
  <si>
    <t>0414-423.3509</t>
  </si>
  <si>
    <t>&lt;&lt;&lt;</t>
  </si>
  <si>
    <t>Familia Centeno Rizzo</t>
  </si>
  <si>
    <t>Calle Güigüe Nro. 88-102</t>
  </si>
  <si>
    <t>0412-438.3576</t>
  </si>
  <si>
    <t>Luis Díaz</t>
  </si>
  <si>
    <t>0414-410.1709</t>
  </si>
  <si>
    <t>0414-437.0414</t>
  </si>
  <si>
    <t>Alexis Sayago</t>
  </si>
  <si>
    <t>0424-430.1332</t>
  </si>
  <si>
    <t>Pablo Acosta</t>
  </si>
  <si>
    <t>0414-342.6030</t>
  </si>
  <si>
    <t>0424-496.4253</t>
  </si>
  <si>
    <t>Mibzar Cárdenas</t>
  </si>
  <si>
    <t>Gerardo Piñero</t>
  </si>
  <si>
    <t>0414-440.5502</t>
  </si>
  <si>
    <t>(anteriormente Gerardo Piñero)</t>
  </si>
  <si>
    <t>0414-342.1752</t>
  </si>
  <si>
    <t>Jose Vicente Rodríguez</t>
  </si>
  <si>
    <t>0414-479.3810</t>
  </si>
  <si>
    <t>Daniela Girón</t>
  </si>
  <si>
    <t>0414-407.0795</t>
  </si>
  <si>
    <t>(Alexander Godoy)</t>
  </si>
  <si>
    <t>0414-837.1556</t>
  </si>
  <si>
    <t>Manuel Rodríguez</t>
  </si>
  <si>
    <t>0414-359.4806</t>
  </si>
  <si>
    <t>0414-420.3953</t>
  </si>
  <si>
    <t>0412-486.1241</t>
  </si>
  <si>
    <t>(anteriormente Familia Alonso Rodríguez)</t>
  </si>
  <si>
    <t>aferminb@hotmail.com</t>
  </si>
  <si>
    <t>0412-199.0834</t>
  </si>
  <si>
    <t>Familia Blonval Hernández</t>
  </si>
  <si>
    <t>Calle Güigüe Nro. 89-64</t>
  </si>
  <si>
    <t>0424-496.3683</t>
  </si>
  <si>
    <t>0414-340.1631</t>
  </si>
  <si>
    <t>Familia Gurmeitte</t>
  </si>
  <si>
    <t>Calle Güigüe Nro. 89-74</t>
  </si>
  <si>
    <t>0424-426.4098</t>
  </si>
  <si>
    <t>0426-343.0173</t>
  </si>
  <si>
    <t>0414-409.3239</t>
  </si>
  <si>
    <t>Familia Amirante</t>
  </si>
  <si>
    <t>Elizabeth Rueda de Civitico</t>
  </si>
  <si>
    <t>0412-474.9513</t>
  </si>
  <si>
    <t>Alquiló la casa a la Sra. Elizabeth Rueda</t>
  </si>
  <si>
    <t>Dairobys (Dairy) García</t>
  </si>
  <si>
    <t>0412-681.5408</t>
  </si>
  <si>
    <t>Jagia Kattar</t>
  </si>
  <si>
    <t>0412-406.9573</t>
  </si>
  <si>
    <t>0414-437.7970</t>
  </si>
  <si>
    <t>0414-430.0037</t>
  </si>
  <si>
    <t>0426-354.2153</t>
  </si>
  <si>
    <t>Alberto Chan</t>
  </si>
  <si>
    <t>0414-436.1394</t>
  </si>
  <si>
    <t>Gabriela García
Endrina García</t>
  </si>
  <si>
    <t>0414-183.1037
0414-595.3269</t>
  </si>
  <si>
    <t>0414-088.9050</t>
  </si>
  <si>
    <t>Elizabeth Morales</t>
  </si>
  <si>
    <t>Antonio Abbinante</t>
  </si>
  <si>
    <t>Claudia Pinto</t>
  </si>
  <si>
    <t>claudiap68@hotmail.com</t>
  </si>
  <si>
    <t>Alexander Pena</t>
  </si>
  <si>
    <t>alexanderpenao@hotmail.com</t>
  </si>
  <si>
    <t>Calle Güigüe Nro. 89-126</t>
  </si>
  <si>
    <t>Familia Pena Wierman</t>
  </si>
  <si>
    <t>¿Quiénes solicitan recibos en físico?</t>
  </si>
  <si>
    <t>Etiquetas de columna</t>
  </si>
  <si>
    <t>Familia</t>
  </si>
  <si>
    <t>Familia Triana</t>
  </si>
  <si>
    <t>zoraida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</si>
</sst>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43" formatCode="_-* #,##0.00\ _€_-;\-* #,##0.00\ _€_-;_-* &quot;-&quot;??\ _€_-;_-@_-"/>
    <numFmt numFmtId="164" formatCode="00000"/>
    <numFmt numFmtId="165" formatCode="mmmm/yyyy"/>
    <numFmt numFmtId="166" formatCode="#,##0;[Red]\-#,##0;"/>
    <numFmt numFmtId="167" formatCode="mm/yyyy"/>
    <numFmt numFmtId="168" formatCode="mmm/yyyy"/>
    <numFmt numFmtId="169" formatCode="[$-C0A]mmmyyyy;@"/>
    <numFmt numFmtId="170" formatCode="0;\-0;"/>
    <numFmt numFmtId="171" formatCode="#,##0.0"/>
    <numFmt numFmtId="172" formatCode="#,##0.00_ ;[Red]\-#,##0.00\ ;"/>
    <numFmt numFmtId="173" formatCode="#,##0.00_ ;[Red]\-#,##0.00\ "/>
    <numFmt numFmtId="174" formatCode="\ü"/>
    <numFmt numFmtId="175" formatCode="mmm\.yyyy"/>
    <numFmt numFmtId="176" formatCode="0.0%"/>
    <numFmt numFmtId="177" formatCode="&quot;Fecha de referencia =&quot;\ dd/mm/yyyy"/>
    <numFmt numFmtId="178" formatCode="\+\ #,##0.00_ ;[Red]\-#,##0.00\ "/>
    <numFmt numFmtId="179" formatCode="mmm\.\ yyyy"/>
    <numFmt numFmtId="180" formatCode="#,##0_ ;[Red]\-#,##0\ ;"/>
    <numFmt numFmtId="181" formatCode="&quot;linea&quot;\ 0"/>
    <numFmt numFmtId="182" formatCode="&quot;Pto.Equilibrio =&quot;\ 0\ &quot;familias&quot;"/>
    <numFmt numFmtId="183" formatCode="[$-C0A]mmm\ yyyy;@"/>
  </numFmts>
  <fonts count="31">
    <font>
      <sz val="11"/>
      <color theme="1"/>
      <name val="Calibri"/>
      <family val="2"/>
      <scheme val="minor"/>
    </font>
    <font>
      <sz val="11"/>
      <color theme="0"/>
      <name val="Calibri"/>
      <family val="2"/>
      <scheme val="minor"/>
    </font>
    <font>
      <sz val="11"/>
      <color theme="1"/>
      <name val="Wingdings"/>
      <charset val="2"/>
    </font>
    <font>
      <sz val="10"/>
      <color rgb="FF000000"/>
      <name val="Arial"/>
      <family val="2"/>
    </font>
    <font>
      <b/>
      <sz val="11"/>
      <color theme="1"/>
      <name val="Calibri"/>
      <family val="2"/>
      <scheme val="minor"/>
    </font>
    <font>
      <b/>
      <sz val="12"/>
      <color theme="1"/>
      <name val="Calibri"/>
      <family val="2"/>
      <scheme val="minor"/>
    </font>
    <font>
      <b/>
      <sz val="14"/>
      <color theme="1"/>
      <name val="Calibri"/>
      <family val="2"/>
      <scheme val="minor"/>
    </font>
    <font>
      <b/>
      <sz val="11"/>
      <color rgb="FFC00000"/>
      <name val="Calibri"/>
      <family val="2"/>
      <scheme val="minor"/>
    </font>
    <font>
      <sz val="10"/>
      <color theme="1"/>
      <name val="Calibri"/>
      <family val="2"/>
      <scheme val="minor"/>
    </font>
    <font>
      <b/>
      <sz val="10"/>
      <color rgb="FFC00000"/>
      <name val="Calibri"/>
      <family val="2"/>
      <scheme val="minor"/>
    </font>
    <font>
      <sz val="10"/>
      <color theme="1"/>
      <name val="Wingdings"/>
      <charset val="2"/>
    </font>
    <font>
      <b/>
      <sz val="10"/>
      <color theme="1"/>
      <name val="Calibri"/>
      <family val="2"/>
      <scheme val="minor"/>
    </font>
    <font>
      <sz val="11"/>
      <color theme="1"/>
      <name val="Calibri"/>
      <family val="2"/>
      <scheme val="minor"/>
    </font>
    <font>
      <sz val="10"/>
      <color theme="1"/>
      <name val="Wingdings"/>
      <family val="34"/>
      <charset val="2"/>
    </font>
    <font>
      <b/>
      <sz val="10"/>
      <color theme="0"/>
      <name val="Calibri"/>
      <family val="2"/>
      <scheme val="minor"/>
    </font>
    <font>
      <u/>
      <sz val="10"/>
      <color theme="1"/>
      <name val="Calibri"/>
      <family val="2"/>
      <scheme val="minor"/>
    </font>
    <font>
      <sz val="9"/>
      <color theme="1"/>
      <name val="Calibri"/>
      <family val="2"/>
      <scheme val="minor"/>
    </font>
    <font>
      <b/>
      <sz val="10"/>
      <color rgb="FFFF0000"/>
      <name val="Calibri"/>
      <family val="2"/>
      <scheme val="minor"/>
    </font>
    <font>
      <b/>
      <sz val="10"/>
      <color theme="1"/>
      <name val="Wingdings"/>
      <charset val="2"/>
    </font>
    <font>
      <sz val="12"/>
      <color theme="1"/>
      <name val="Calibri"/>
      <family val="2"/>
      <scheme val="minor"/>
    </font>
    <font>
      <b/>
      <sz val="18"/>
      <color theme="1"/>
      <name val="Calibri"/>
      <family val="2"/>
      <scheme val="minor"/>
    </font>
    <font>
      <b/>
      <sz val="16"/>
      <color theme="1"/>
      <name val="Calibri"/>
      <family val="2"/>
      <scheme val="minor"/>
    </font>
    <font>
      <sz val="10"/>
      <name val="Calibri"/>
      <family val="2"/>
      <scheme val="minor"/>
    </font>
    <font>
      <b/>
      <u/>
      <sz val="10"/>
      <color theme="1"/>
      <name val="Calibri"/>
      <family val="2"/>
      <scheme val="minor"/>
    </font>
    <font>
      <b/>
      <sz val="11"/>
      <color theme="0"/>
      <name val="Calibri"/>
      <family val="2"/>
      <scheme val="minor"/>
    </font>
    <font>
      <i/>
      <sz val="9"/>
      <color theme="1"/>
      <name val="Calibri"/>
      <family val="2"/>
      <scheme val="minor"/>
    </font>
    <font>
      <sz val="11"/>
      <color theme="0"/>
      <name val="Wingdings"/>
      <charset val="2"/>
    </font>
    <font>
      <u/>
      <sz val="11"/>
      <color theme="10"/>
      <name val="Calibri"/>
      <family val="2"/>
      <scheme val="minor"/>
    </font>
    <font>
      <sz val="9"/>
      <color indexed="81"/>
      <name val="Tahoma"/>
      <charset val="1"/>
    </font>
    <font>
      <b/>
      <sz val="9"/>
      <color indexed="81"/>
      <name val="Tahoma"/>
      <charset val="1"/>
    </font>
    <font>
      <sz val="10"/>
      <color theme="0"/>
      <name val="Calibri"/>
      <family val="2"/>
      <scheme val="minor"/>
    </font>
  </fonts>
  <fills count="44">
    <fill>
      <patternFill patternType="none"/>
    </fill>
    <fill>
      <patternFill patternType="gray125"/>
    </fill>
    <fill>
      <patternFill patternType="solid">
        <fgColor rgb="FFFFFFCC"/>
        <bgColor indexed="64"/>
      </patternFill>
    </fill>
    <fill>
      <patternFill patternType="solid">
        <fgColor rgb="FFFF66FF"/>
        <bgColor indexed="64"/>
      </patternFill>
    </fill>
    <fill>
      <patternFill patternType="solid">
        <fgColor rgb="FFFFFF00"/>
        <bgColor indexed="64"/>
      </patternFill>
    </fill>
    <fill>
      <patternFill patternType="solid">
        <fgColor rgb="FFCCFFCC"/>
        <bgColor indexed="64"/>
      </patternFill>
    </fill>
    <fill>
      <patternFill patternType="lightUp">
        <fgColor theme="3"/>
      </patternFill>
    </fill>
    <fill>
      <patternFill patternType="lightUp">
        <fgColor theme="3"/>
        <bgColor rgb="FFCCFFCC"/>
      </patternFill>
    </fill>
    <fill>
      <patternFill patternType="solid">
        <fgColor theme="4" tint="0.59996337778862885"/>
        <bgColor indexed="64"/>
      </patternFill>
    </fill>
    <fill>
      <patternFill patternType="lightUp">
        <fgColor theme="4" tint="-0.24994659260841701"/>
        <bgColor indexed="65"/>
      </patternFill>
    </fill>
    <fill>
      <patternFill patternType="solid">
        <fgColor indexed="65"/>
        <bgColor auto="1"/>
      </patternFill>
    </fill>
    <fill>
      <patternFill patternType="solid">
        <fgColor rgb="FFFFFF00"/>
        <bgColor auto="1"/>
      </patternFill>
    </fill>
    <fill>
      <patternFill patternType="solid">
        <fgColor rgb="FFCCFFCC"/>
        <bgColor auto="1"/>
      </patternFill>
    </fill>
    <fill>
      <patternFill patternType="solid">
        <fgColor theme="4" tint="0.59999389629810485"/>
        <bgColor indexed="64"/>
      </patternFill>
    </fill>
    <fill>
      <patternFill patternType="solid">
        <fgColor rgb="FFFF0000"/>
        <bgColor indexed="64"/>
      </patternFill>
    </fill>
    <fill>
      <patternFill patternType="solid">
        <fgColor rgb="FF00B050"/>
        <bgColor indexed="64"/>
      </patternFill>
    </fill>
    <fill>
      <patternFill patternType="solid">
        <fgColor indexed="65"/>
        <bgColor indexed="64"/>
      </patternFill>
    </fill>
    <fill>
      <patternFill patternType="solid">
        <fgColor indexed="65"/>
        <bgColor theme="4" tint="-0.24994659260841701"/>
      </patternFill>
    </fill>
    <fill>
      <patternFill patternType="lightUp">
        <fgColor rgb="FFC00000"/>
      </patternFill>
    </fill>
    <fill>
      <patternFill patternType="lightUp">
        <fgColor theme="3" tint="0.39994506668294322"/>
        <bgColor indexed="65"/>
      </patternFill>
    </fill>
    <fill>
      <patternFill patternType="lightUp">
        <fgColor theme="3" tint="0.39994506668294322"/>
        <bgColor auto="1"/>
      </patternFill>
    </fill>
    <fill>
      <patternFill patternType="lightUp">
        <fgColor rgb="FFC00000"/>
        <bgColor auto="1"/>
      </patternFill>
    </fill>
    <fill>
      <patternFill patternType="lightUp">
        <fgColor theme="3" tint="0.39988402966399123"/>
        <bgColor auto="1"/>
      </patternFill>
    </fill>
    <fill>
      <patternFill patternType="lightUp">
        <fgColor rgb="FFC00000"/>
        <bgColor rgb="FFFFFF00"/>
      </patternFill>
    </fill>
    <fill>
      <patternFill patternType="solid">
        <fgColor rgb="FF66FF66"/>
        <bgColor indexed="64"/>
      </patternFill>
    </fill>
    <fill>
      <patternFill patternType="lightUp">
        <fgColor rgb="FFFF0000"/>
      </patternFill>
    </fill>
    <fill>
      <patternFill patternType="lightUp">
        <fgColor rgb="FFFFFF00"/>
        <bgColor rgb="FFFF0000"/>
      </patternFill>
    </fill>
    <fill>
      <patternFill patternType="solid">
        <fgColor rgb="FFCCFF99"/>
        <bgColor indexed="64"/>
      </patternFill>
    </fill>
    <fill>
      <patternFill patternType="solid">
        <fgColor rgb="FF00FF00"/>
        <bgColor indexed="64"/>
      </patternFill>
    </fill>
    <fill>
      <patternFill patternType="lightUp">
        <fgColor theme="8"/>
      </patternFill>
    </fill>
    <fill>
      <patternFill patternType="solid">
        <fgColor rgb="FFFF5D5D"/>
        <bgColor indexed="64"/>
      </patternFill>
    </fill>
    <fill>
      <patternFill patternType="solid">
        <fgColor rgb="FF99FF99"/>
        <bgColor indexed="64"/>
      </patternFill>
    </fill>
    <fill>
      <patternFill patternType="solid">
        <fgColor theme="4" tint="0.39997558519241921"/>
        <bgColor indexed="64"/>
      </patternFill>
    </fill>
    <fill>
      <patternFill patternType="solid">
        <fgColor theme="4" tint="-0.24994659260841701"/>
        <bgColor theme="4" tint="0.79992065187536243"/>
      </patternFill>
    </fill>
    <fill>
      <patternFill patternType="solid">
        <fgColor theme="4" tint="-0.24994659260841701"/>
        <bgColor theme="4" tint="0.79995117038483843"/>
      </patternFill>
    </fill>
    <fill>
      <patternFill patternType="solid">
        <fgColor theme="4" tint="0.79998168889431442"/>
        <bgColor indexed="64"/>
      </patternFill>
    </fill>
    <fill>
      <patternFill patternType="solid">
        <fgColor theme="5"/>
      </patternFill>
    </fill>
    <fill>
      <patternFill patternType="solid">
        <fgColor theme="8"/>
      </patternFill>
    </fill>
    <fill>
      <patternFill patternType="solid">
        <fgColor rgb="FF002060"/>
        <bgColor indexed="64"/>
      </patternFill>
    </fill>
    <fill>
      <patternFill patternType="solid">
        <fgColor indexed="65"/>
        <bgColor theme="3"/>
      </patternFill>
    </fill>
    <fill>
      <patternFill patternType="solid">
        <fgColor rgb="FFCCFFCC"/>
        <bgColor theme="3"/>
      </patternFill>
    </fill>
    <fill>
      <patternFill patternType="lightUp">
        <fgColor theme="3"/>
        <bgColor rgb="FFCCFF99"/>
      </patternFill>
    </fill>
    <fill>
      <patternFill patternType="solid">
        <fgColor rgb="FF5B9BD5"/>
        <bgColor indexed="64"/>
      </patternFill>
    </fill>
    <fill>
      <patternFill patternType="solid">
        <fgColor rgb="FF7030A0"/>
        <bgColor indexed="64"/>
      </patternFill>
    </fill>
  </fills>
  <borders count="159">
    <border>
      <left/>
      <right/>
      <top/>
      <bottom/>
      <diagonal/>
    </border>
    <border>
      <left/>
      <right style="thin">
        <color auto="1"/>
      </right>
      <top/>
      <bottom/>
      <diagonal/>
    </border>
    <border>
      <left style="medium">
        <color rgb="FFC00000"/>
      </left>
      <right style="medium">
        <color rgb="FFC00000"/>
      </right>
      <top style="medium">
        <color rgb="FFC00000"/>
      </top>
      <bottom style="medium">
        <color rgb="FFC00000"/>
      </bottom>
      <diagonal/>
    </border>
    <border>
      <left style="medium">
        <color rgb="FFC00000"/>
      </left>
      <right/>
      <top style="medium">
        <color rgb="FFC00000"/>
      </top>
      <bottom style="medium">
        <color rgb="FFC00000"/>
      </bottom>
      <diagonal/>
    </border>
    <border>
      <left/>
      <right/>
      <top style="medium">
        <color rgb="FFC00000"/>
      </top>
      <bottom style="medium">
        <color rgb="FFC00000"/>
      </bottom>
      <diagonal/>
    </border>
    <border>
      <left/>
      <right style="medium">
        <color rgb="FFC00000"/>
      </right>
      <top style="medium">
        <color rgb="FFC00000"/>
      </top>
      <bottom style="medium">
        <color rgb="FFC00000"/>
      </bottom>
      <diagonal/>
    </border>
    <border>
      <left style="medium">
        <color rgb="FFFF0000"/>
      </left>
      <right/>
      <top style="medium">
        <color rgb="FFFF0000"/>
      </top>
      <bottom style="medium">
        <color rgb="FFFF0000"/>
      </bottom>
      <diagonal/>
    </border>
    <border>
      <left/>
      <right/>
      <top style="medium">
        <color rgb="FFFF0000"/>
      </top>
      <bottom style="medium">
        <color rgb="FFFF0000"/>
      </bottom>
      <diagonal/>
    </border>
    <border>
      <left/>
      <right style="medium">
        <color rgb="FFFF0000"/>
      </right>
      <top style="medium">
        <color rgb="FFFF0000"/>
      </top>
      <bottom style="medium">
        <color rgb="FFFF0000"/>
      </bottom>
      <diagonal/>
    </border>
    <border>
      <left style="thin">
        <color auto="1"/>
      </left>
      <right/>
      <top/>
      <bottom style="thin">
        <color theme="0" tint="-0.24994659260841701"/>
      </bottom>
      <diagonal/>
    </border>
    <border>
      <left style="thin">
        <color auto="1"/>
      </left>
      <right/>
      <top style="thin">
        <color theme="0" tint="-0.24994659260841701"/>
      </top>
      <bottom style="thin">
        <color theme="0" tint="-0.24994659260841701"/>
      </bottom>
      <diagonal/>
    </border>
    <border>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right style="thin">
        <color auto="1"/>
      </right>
      <top/>
      <bottom style="thin">
        <color theme="0" tint="-0.24994659260841701"/>
      </bottom>
      <diagonal/>
    </border>
    <border>
      <left style="thin">
        <color auto="1"/>
      </left>
      <right style="thin">
        <color auto="1"/>
      </right>
      <top style="thin">
        <color auto="1"/>
      </top>
      <bottom style="thin">
        <color auto="1"/>
      </bottom>
      <diagonal/>
    </border>
    <border>
      <left style="thin">
        <color auto="1"/>
      </left>
      <right/>
      <top style="thin">
        <color theme="0" tint="-0.24994659260841701"/>
      </top>
      <bottom/>
      <diagonal/>
    </border>
    <border>
      <left/>
      <right style="thin">
        <color auto="1"/>
      </right>
      <top style="thin">
        <color theme="0" tint="-0.24994659260841701"/>
      </top>
      <bottom/>
      <diagonal/>
    </border>
    <border>
      <left style="thin">
        <color auto="1"/>
      </left>
      <right style="thin">
        <color auto="1"/>
      </right>
      <top style="thin">
        <color theme="0" tint="-0.24994659260841701"/>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rgb="FF505050"/>
      </left>
      <right/>
      <top style="thin">
        <color rgb="FF505050"/>
      </top>
      <bottom style="thin">
        <color rgb="FF505050"/>
      </bottom>
      <diagonal/>
    </border>
    <border>
      <left/>
      <right style="thin">
        <color rgb="FF505050"/>
      </right>
      <top style="thin">
        <color rgb="FF505050"/>
      </top>
      <bottom style="thin">
        <color rgb="FF505050"/>
      </bottom>
      <diagonal/>
    </border>
    <border>
      <left style="thin">
        <color rgb="FF505050"/>
      </left>
      <right style="thin">
        <color rgb="FF505050"/>
      </right>
      <top style="thin">
        <color rgb="FF505050"/>
      </top>
      <bottom style="thin">
        <color rgb="FF505050"/>
      </bottom>
      <diagonal/>
    </border>
    <border>
      <left/>
      <right/>
      <top style="thin">
        <color rgb="FF505050"/>
      </top>
      <bottom style="thin">
        <color rgb="FF505050"/>
      </bottom>
      <diagonal/>
    </border>
    <border>
      <left/>
      <right/>
      <top style="thin">
        <color theme="0" tint="-0.24994659260841701"/>
      </top>
      <bottom style="thin">
        <color theme="0" tint="-0.24994659260841701"/>
      </bottom>
      <diagonal/>
    </border>
    <border>
      <left/>
      <right/>
      <top style="thin">
        <color theme="0" tint="-0.24994659260841701"/>
      </top>
      <bottom/>
      <diagonal/>
    </border>
    <border>
      <left style="thin">
        <color rgb="FF505050"/>
      </left>
      <right style="double">
        <color rgb="FF505050"/>
      </right>
      <top style="thin">
        <color rgb="FF505050"/>
      </top>
      <bottom style="thin">
        <color rgb="FF505050"/>
      </bottom>
      <diagonal/>
    </border>
    <border>
      <left style="thin">
        <color auto="1"/>
      </left>
      <right style="double">
        <color rgb="FF505050"/>
      </right>
      <top/>
      <bottom style="thin">
        <color theme="0" tint="-0.24994659260841701"/>
      </bottom>
      <diagonal/>
    </border>
    <border>
      <left style="thin">
        <color auto="1"/>
      </left>
      <right style="double">
        <color rgb="FF505050"/>
      </right>
      <top style="thin">
        <color theme="0" tint="-0.24994659260841701"/>
      </top>
      <bottom style="thin">
        <color theme="0" tint="-0.24994659260841701"/>
      </bottom>
      <diagonal/>
    </border>
    <border>
      <left style="thin">
        <color auto="1"/>
      </left>
      <right style="double">
        <color rgb="FF505050"/>
      </right>
      <top style="thin">
        <color theme="0" tint="-0.24994659260841701"/>
      </top>
      <bottom/>
      <diagonal/>
    </border>
    <border>
      <left style="thin">
        <color auto="1"/>
      </left>
      <right style="double">
        <color rgb="FF505050"/>
      </right>
      <top style="thin">
        <color auto="1"/>
      </top>
      <bottom style="thin">
        <color auto="1"/>
      </bottom>
      <diagonal/>
    </border>
    <border>
      <left/>
      <right style="thin">
        <color rgb="FF505050"/>
      </right>
      <top/>
      <bottom style="thin">
        <color theme="0" tint="-0.24994659260841701"/>
      </bottom>
      <diagonal/>
    </border>
    <border>
      <left/>
      <right style="thin">
        <color rgb="FF505050"/>
      </right>
      <top style="thin">
        <color theme="0" tint="-0.24994659260841701"/>
      </top>
      <bottom style="thin">
        <color theme="0" tint="-0.24994659260841701"/>
      </bottom>
      <diagonal/>
    </border>
    <border>
      <left/>
      <right style="thin">
        <color rgb="FF505050"/>
      </right>
      <top style="thin">
        <color theme="0" tint="-0.24994659260841701"/>
      </top>
      <bottom/>
      <diagonal/>
    </border>
    <border>
      <left/>
      <right style="thin">
        <color rgb="FF505050"/>
      </right>
      <top style="thin">
        <color auto="1"/>
      </top>
      <bottom style="thin">
        <color auto="1"/>
      </bottom>
      <diagonal/>
    </border>
    <border>
      <left style="thin">
        <color auto="1"/>
      </left>
      <right style="thin">
        <color rgb="FF505050"/>
      </right>
      <top style="thin">
        <color theme="0" tint="-0.24994659260841701"/>
      </top>
      <bottom style="thin">
        <color theme="0" tint="-0.24994659260841701"/>
      </bottom>
      <diagonal/>
    </border>
    <border>
      <left style="thin">
        <color auto="1"/>
      </left>
      <right style="thin">
        <color rgb="FF505050"/>
      </right>
      <top style="thin">
        <color theme="0" tint="-0.24994659260841701"/>
      </top>
      <bottom/>
      <diagonal/>
    </border>
    <border>
      <left style="thin">
        <color auto="1"/>
      </left>
      <right style="thin">
        <color rgb="FF505050"/>
      </right>
      <top style="thin">
        <color auto="1"/>
      </top>
      <bottom style="thin">
        <color auto="1"/>
      </bottom>
      <diagonal/>
    </border>
    <border>
      <left/>
      <right style="double">
        <color rgb="FF505050"/>
      </right>
      <top style="thin">
        <color rgb="FF505050"/>
      </top>
      <bottom style="thin">
        <color rgb="FF505050"/>
      </bottom>
      <diagonal/>
    </border>
    <border>
      <left style="double">
        <color rgb="FF505050"/>
      </left>
      <right style="thin">
        <color auto="1"/>
      </right>
      <top style="thin">
        <color theme="0" tint="-0.24994659260841701"/>
      </top>
      <bottom style="thin">
        <color theme="0" tint="-0.24994659260841701"/>
      </bottom>
      <diagonal/>
    </border>
    <border>
      <left style="double">
        <color rgb="FF505050"/>
      </left>
      <right style="thin">
        <color auto="1"/>
      </right>
      <top style="thin">
        <color theme="0" tint="-0.24994659260841701"/>
      </top>
      <bottom/>
      <diagonal/>
    </border>
    <border>
      <left style="double">
        <color rgb="FF505050"/>
      </left>
      <right style="double">
        <color rgb="FF505050"/>
      </right>
      <top style="thin">
        <color auto="1"/>
      </top>
      <bottom style="thin">
        <color auto="1"/>
      </bottom>
      <diagonal/>
    </border>
    <border>
      <left style="double">
        <color rgb="FF505050"/>
      </left>
      <right style="thin">
        <color auto="1"/>
      </right>
      <top style="thin">
        <color auto="1"/>
      </top>
      <bottom style="thin">
        <color auto="1"/>
      </bottom>
      <diagonal/>
    </border>
    <border>
      <left/>
      <right/>
      <top style="thin">
        <color auto="1"/>
      </top>
      <bottom style="thin">
        <color rgb="FF505050"/>
      </bottom>
      <diagonal/>
    </border>
    <border>
      <left/>
      <right/>
      <top style="thin">
        <color indexed="64"/>
      </top>
      <bottom/>
      <diagonal/>
    </border>
    <border>
      <left style="double">
        <color rgb="FF505050"/>
      </left>
      <right style="thin">
        <color rgb="FF505050"/>
      </right>
      <top style="thin">
        <color rgb="FF505050"/>
      </top>
      <bottom style="thin">
        <color rgb="FF505050"/>
      </bottom>
      <diagonal/>
    </border>
    <border>
      <left/>
      <right/>
      <top/>
      <bottom style="thin">
        <color rgb="FF505050"/>
      </bottom>
      <diagonal/>
    </border>
    <border>
      <left style="thin">
        <color auto="1"/>
      </left>
      <right style="thin">
        <color auto="1"/>
      </right>
      <top/>
      <bottom style="thin">
        <color theme="0" tint="-0.24994659260841701"/>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rgb="FF505050"/>
      </left>
      <right/>
      <top style="thin">
        <color rgb="FF505050"/>
      </top>
      <bottom/>
      <diagonal/>
    </border>
    <border>
      <left style="thin">
        <color rgb="FF505050"/>
      </left>
      <right/>
      <top/>
      <bottom style="thin">
        <color rgb="FF505050"/>
      </bottom>
      <diagonal/>
    </border>
    <border>
      <left style="thin">
        <color auto="1"/>
      </left>
      <right style="thin">
        <color auto="1"/>
      </right>
      <top style="thin">
        <color auto="1"/>
      </top>
      <bottom style="thin">
        <color theme="1" tint="0.499984740745262"/>
      </bottom>
      <diagonal/>
    </border>
    <border>
      <left/>
      <right/>
      <top style="thin">
        <color rgb="FF505050"/>
      </top>
      <bottom/>
      <diagonal/>
    </border>
    <border>
      <left style="thin">
        <color theme="1"/>
      </left>
      <right style="thin">
        <color auto="1"/>
      </right>
      <top style="thin">
        <color auto="1"/>
      </top>
      <bottom style="thin">
        <color theme="1" tint="0.499984740745262"/>
      </bottom>
      <diagonal/>
    </border>
    <border>
      <left style="thin">
        <color theme="1"/>
      </left>
      <right style="thin">
        <color indexed="64"/>
      </right>
      <top/>
      <bottom style="thin">
        <color indexed="64"/>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style="thin">
        <color auto="1"/>
      </left>
      <right style="thin">
        <color auto="1"/>
      </right>
      <top style="thin">
        <color indexed="64"/>
      </top>
      <bottom style="double">
        <color indexed="64"/>
      </bottom>
      <diagonal/>
    </border>
    <border>
      <left style="thin">
        <color rgb="FF505050"/>
      </left>
      <right/>
      <top style="double">
        <color indexed="64"/>
      </top>
      <bottom/>
      <diagonal/>
    </border>
    <border>
      <left/>
      <right/>
      <top style="double">
        <color indexed="64"/>
      </top>
      <bottom/>
      <diagonal/>
    </border>
    <border>
      <left style="thin">
        <color theme="1"/>
      </left>
      <right style="thin">
        <color auto="1"/>
      </right>
      <top style="double">
        <color indexed="64"/>
      </top>
      <bottom style="thin">
        <color theme="1" tint="0.499984740745262"/>
      </bottom>
      <diagonal/>
    </border>
    <border>
      <left style="thin">
        <color auto="1"/>
      </left>
      <right style="thin">
        <color auto="1"/>
      </right>
      <top style="double">
        <color indexed="64"/>
      </top>
      <bottom style="thin">
        <color theme="1" tint="0.499984740745262"/>
      </bottom>
      <diagonal/>
    </border>
    <border>
      <left/>
      <right/>
      <top/>
      <bottom style="medium">
        <color rgb="FF505050"/>
      </bottom>
      <diagonal/>
    </border>
    <border>
      <left/>
      <right style="thin">
        <color rgb="FF505050"/>
      </right>
      <top/>
      <bottom style="medium">
        <color rgb="FF505050"/>
      </bottom>
      <diagonal/>
    </border>
    <border>
      <left style="thin">
        <color rgb="FF505050"/>
      </left>
      <right/>
      <top style="medium">
        <color rgb="FF505050"/>
      </top>
      <bottom style="thin">
        <color rgb="FF505050"/>
      </bottom>
      <diagonal/>
    </border>
    <border>
      <left/>
      <right/>
      <top style="medium">
        <color rgb="FF505050"/>
      </top>
      <bottom style="thin">
        <color rgb="FF505050"/>
      </bottom>
      <diagonal/>
    </border>
    <border>
      <left/>
      <right style="thin">
        <color auto="1"/>
      </right>
      <top style="medium">
        <color rgb="FF505050"/>
      </top>
      <bottom style="thin">
        <color rgb="FF505050"/>
      </bottom>
      <diagonal/>
    </border>
    <border>
      <left style="thin">
        <color auto="1"/>
      </left>
      <right style="double">
        <color rgb="FF505050"/>
      </right>
      <top style="medium">
        <color rgb="FF505050"/>
      </top>
      <bottom style="thin">
        <color rgb="FF505050"/>
      </bottom>
      <diagonal/>
    </border>
    <border>
      <left/>
      <right style="thin">
        <color rgb="FF505050"/>
      </right>
      <top style="medium">
        <color rgb="FF505050"/>
      </top>
      <bottom style="thin">
        <color rgb="FF505050"/>
      </bottom>
      <diagonal/>
    </border>
    <border>
      <left style="thin">
        <color rgb="FF505050"/>
      </left>
      <right style="thin">
        <color rgb="FF505050"/>
      </right>
      <top style="medium">
        <color rgb="FF505050"/>
      </top>
      <bottom style="thin">
        <color rgb="FF505050"/>
      </bottom>
      <diagonal/>
    </border>
    <border>
      <left style="thin">
        <color rgb="FF505050"/>
      </left>
      <right style="double">
        <color rgb="FF505050"/>
      </right>
      <top style="medium">
        <color rgb="FF505050"/>
      </top>
      <bottom style="thin">
        <color rgb="FF505050"/>
      </bottom>
      <diagonal/>
    </border>
    <border>
      <left style="thin">
        <color auto="1"/>
      </left>
      <right/>
      <top style="thin">
        <color auto="1"/>
      </top>
      <bottom style="medium">
        <color rgb="FF505050"/>
      </bottom>
      <diagonal/>
    </border>
    <border>
      <left/>
      <right/>
      <top style="thin">
        <color auto="1"/>
      </top>
      <bottom style="medium">
        <color rgb="FF505050"/>
      </bottom>
      <diagonal/>
    </border>
    <border>
      <left style="thin">
        <color auto="1"/>
      </left>
      <right style="double">
        <color rgb="FF505050"/>
      </right>
      <top style="thin">
        <color auto="1"/>
      </top>
      <bottom style="medium">
        <color rgb="FF505050"/>
      </bottom>
      <diagonal/>
    </border>
    <border>
      <left style="thin">
        <color auto="1"/>
      </left>
      <right style="thin">
        <color auto="1"/>
      </right>
      <top style="thin">
        <color auto="1"/>
      </top>
      <bottom style="medium">
        <color rgb="FF505050"/>
      </bottom>
      <diagonal/>
    </border>
    <border>
      <left/>
      <right style="thin">
        <color rgb="FF505050"/>
      </right>
      <top style="thin">
        <color auto="1"/>
      </top>
      <bottom style="medium">
        <color rgb="FF505050"/>
      </bottom>
      <diagonal/>
    </border>
    <border>
      <left/>
      <right/>
      <top style="medium">
        <color rgb="FF505050"/>
      </top>
      <bottom style="thin">
        <color auto="1"/>
      </bottom>
      <diagonal/>
    </border>
    <border>
      <left style="thin">
        <color auto="1"/>
      </left>
      <right style="double">
        <color rgb="FF505050"/>
      </right>
      <top style="medium">
        <color rgb="FF505050"/>
      </top>
      <bottom style="thin">
        <color auto="1"/>
      </bottom>
      <diagonal/>
    </border>
    <border>
      <left style="thin">
        <color auto="1"/>
      </left>
      <right style="thin">
        <color auto="1"/>
      </right>
      <top style="medium">
        <color rgb="FF505050"/>
      </top>
      <bottom style="thin">
        <color auto="1"/>
      </bottom>
      <diagonal/>
    </border>
    <border>
      <left/>
      <right style="thin">
        <color rgb="FF505050"/>
      </right>
      <top style="medium">
        <color rgb="FF505050"/>
      </top>
      <bottom style="thin">
        <color auto="1"/>
      </bottom>
      <diagonal/>
    </border>
    <border>
      <left style="double">
        <color rgb="FF505050"/>
      </left>
      <right style="thin">
        <color auto="1"/>
      </right>
      <top style="thin">
        <color auto="1"/>
      </top>
      <bottom style="medium">
        <color rgb="FF505050"/>
      </bottom>
      <diagonal/>
    </border>
    <border>
      <left style="thin">
        <color auto="1"/>
      </left>
      <right style="double">
        <color auto="1"/>
      </right>
      <top style="thin">
        <color auto="1"/>
      </top>
      <bottom style="medium">
        <color rgb="FF505050"/>
      </bottom>
      <diagonal/>
    </border>
    <border>
      <left style="double">
        <color auto="1"/>
      </left>
      <right style="thin">
        <color auto="1"/>
      </right>
      <top style="thin">
        <color auto="1"/>
      </top>
      <bottom style="medium">
        <color rgb="FF505050"/>
      </bottom>
      <diagonal/>
    </border>
    <border>
      <left style="thin">
        <color rgb="FF505050"/>
      </left>
      <right style="double">
        <color auto="1"/>
      </right>
      <top style="medium">
        <color rgb="FF505050"/>
      </top>
      <bottom style="thin">
        <color rgb="FF505050"/>
      </bottom>
      <diagonal/>
    </border>
    <border>
      <left style="double">
        <color auto="1"/>
      </left>
      <right/>
      <top style="medium">
        <color rgb="FF505050"/>
      </top>
      <bottom style="thin">
        <color rgb="FF505050"/>
      </bottom>
      <diagonal/>
    </border>
    <border>
      <left style="thin">
        <color rgb="FF505050"/>
      </left>
      <right style="double">
        <color auto="1"/>
      </right>
      <top style="thin">
        <color rgb="FF505050"/>
      </top>
      <bottom style="thin">
        <color rgb="FF505050"/>
      </bottom>
      <diagonal/>
    </border>
    <border>
      <left style="double">
        <color auto="1"/>
      </left>
      <right style="thin">
        <color rgb="FF505050"/>
      </right>
      <top style="thin">
        <color rgb="FF505050"/>
      </top>
      <bottom style="thin">
        <color rgb="FF505050"/>
      </bottom>
      <diagonal/>
    </border>
    <border>
      <left style="double">
        <color auto="1"/>
      </left>
      <right style="thin">
        <color auto="1"/>
      </right>
      <top style="medium">
        <color rgb="FF505050"/>
      </top>
      <bottom style="thin">
        <color auto="1"/>
      </bottom>
      <diagonal/>
    </border>
    <border>
      <left style="double">
        <color auto="1"/>
      </left>
      <right style="thin">
        <color auto="1"/>
      </right>
      <top style="thin">
        <color auto="1"/>
      </top>
      <bottom style="thin">
        <color auto="1"/>
      </bottom>
      <diagonal/>
    </border>
    <border>
      <left/>
      <right style="double">
        <color rgb="FF505050"/>
      </right>
      <top/>
      <bottom style="medium">
        <color rgb="FF505050"/>
      </bottom>
      <diagonal/>
    </border>
    <border>
      <left style="double">
        <color rgb="FF505050"/>
      </left>
      <right style="double">
        <color rgb="FF505050"/>
      </right>
      <top/>
      <bottom style="medium">
        <color rgb="FF505050"/>
      </bottom>
      <diagonal/>
    </border>
    <border>
      <left/>
      <right style="double">
        <color rgb="FF505050"/>
      </right>
      <top style="thin">
        <color auto="1"/>
      </top>
      <bottom style="medium">
        <color rgb="FF505050"/>
      </bottom>
      <diagonal/>
    </border>
    <border>
      <left style="double">
        <color rgb="FF505050"/>
      </left>
      <right style="double">
        <color rgb="FF505050"/>
      </right>
      <top style="thin">
        <color auto="1"/>
      </top>
      <bottom style="medium">
        <color rgb="FF505050"/>
      </bottom>
      <diagonal/>
    </border>
    <border>
      <left/>
      <right style="double">
        <color rgb="FF505050"/>
      </right>
      <top style="medium">
        <color rgb="FF505050"/>
      </top>
      <bottom style="thin">
        <color auto="1"/>
      </bottom>
      <diagonal/>
    </border>
    <border>
      <left style="double">
        <color rgb="FF505050"/>
      </left>
      <right style="double">
        <color rgb="FF505050"/>
      </right>
      <top style="medium">
        <color rgb="FF505050"/>
      </top>
      <bottom style="thin">
        <color auto="1"/>
      </bottom>
      <diagonal/>
    </border>
    <border>
      <left/>
      <right style="double">
        <color rgb="FF505050"/>
      </right>
      <top style="thin">
        <color auto="1"/>
      </top>
      <bottom style="thin">
        <color rgb="FF505050"/>
      </bottom>
      <diagonal/>
    </border>
    <border>
      <left style="double">
        <color rgb="FF505050"/>
      </left>
      <right style="thin">
        <color rgb="FF505050"/>
      </right>
      <top style="thin">
        <color auto="1"/>
      </top>
      <bottom style="medium">
        <color rgb="FF505050"/>
      </bottom>
      <diagonal/>
    </border>
    <border>
      <left style="thin">
        <color rgb="FF505050"/>
      </left>
      <right style="thin">
        <color rgb="FF505050"/>
      </right>
      <top style="thin">
        <color auto="1"/>
      </top>
      <bottom style="medium">
        <color rgb="FF505050"/>
      </bottom>
      <diagonal/>
    </border>
    <border>
      <left style="thin">
        <color rgb="FF505050"/>
      </left>
      <right style="double">
        <color auto="1"/>
      </right>
      <top style="thin">
        <color auto="1"/>
      </top>
      <bottom style="medium">
        <color rgb="FF505050"/>
      </bottom>
      <diagonal/>
    </border>
    <border>
      <left style="double">
        <color rgb="FF505050"/>
      </left>
      <right style="thin">
        <color rgb="FF505050"/>
      </right>
      <top style="medium">
        <color rgb="FF505050"/>
      </top>
      <bottom style="thin">
        <color auto="1"/>
      </bottom>
      <diagonal/>
    </border>
    <border>
      <left style="thin">
        <color rgb="FF505050"/>
      </left>
      <right style="thin">
        <color rgb="FF505050"/>
      </right>
      <top style="medium">
        <color rgb="FF505050"/>
      </top>
      <bottom style="thin">
        <color auto="1"/>
      </bottom>
      <diagonal/>
    </border>
    <border>
      <left style="thin">
        <color rgb="FF505050"/>
      </left>
      <right style="double">
        <color auto="1"/>
      </right>
      <top style="medium">
        <color rgb="FF505050"/>
      </top>
      <bottom style="thin">
        <color auto="1"/>
      </bottom>
      <diagonal/>
    </border>
    <border>
      <left style="double">
        <color rgb="FF505050"/>
      </left>
      <right style="thin">
        <color rgb="FF505050"/>
      </right>
      <top style="thin">
        <color auto="1"/>
      </top>
      <bottom style="thin">
        <color auto="1"/>
      </bottom>
      <diagonal/>
    </border>
    <border>
      <left style="thin">
        <color rgb="FF505050"/>
      </left>
      <right style="thin">
        <color rgb="FF505050"/>
      </right>
      <top style="thin">
        <color auto="1"/>
      </top>
      <bottom style="thin">
        <color auto="1"/>
      </bottom>
      <diagonal/>
    </border>
    <border>
      <left style="thin">
        <color rgb="FF505050"/>
      </left>
      <right style="double">
        <color auto="1"/>
      </right>
      <top style="thin">
        <color auto="1"/>
      </top>
      <bottom style="thin">
        <color auto="1"/>
      </bottom>
      <diagonal/>
    </border>
    <border>
      <left style="thin">
        <color theme="0" tint="-0.34998626667073579"/>
      </left>
      <right style="thin">
        <color theme="0" tint="-0.34998626667073579"/>
      </right>
      <top/>
      <bottom/>
      <diagonal/>
    </border>
    <border>
      <left style="double">
        <color rgb="FF505050"/>
      </left>
      <right style="thin">
        <color rgb="FF505050"/>
      </right>
      <top/>
      <bottom style="thin">
        <color theme="0" tint="-0.24994659260841701"/>
      </bottom>
      <diagonal/>
    </border>
    <border>
      <left style="thin">
        <color rgb="FF505050"/>
      </left>
      <right style="thin">
        <color rgb="FF505050"/>
      </right>
      <top/>
      <bottom style="thin">
        <color theme="0" tint="-0.24994659260841701"/>
      </bottom>
      <diagonal/>
    </border>
    <border>
      <left style="thin">
        <color rgb="FF505050"/>
      </left>
      <right style="double">
        <color rgb="FF505050"/>
      </right>
      <top/>
      <bottom style="thin">
        <color theme="0" tint="-0.24994659260841701"/>
      </bottom>
      <diagonal/>
    </border>
    <border>
      <left style="double">
        <color rgb="FF505050"/>
      </left>
      <right style="thin">
        <color rgb="FF505050"/>
      </right>
      <top style="thin">
        <color theme="0" tint="-0.24994659260841701"/>
      </top>
      <bottom style="thin">
        <color theme="0" tint="-0.24994659260841701"/>
      </bottom>
      <diagonal/>
    </border>
    <border>
      <left style="thin">
        <color rgb="FF505050"/>
      </left>
      <right style="thin">
        <color rgb="FF505050"/>
      </right>
      <top style="thin">
        <color theme="0" tint="-0.24994659260841701"/>
      </top>
      <bottom style="thin">
        <color theme="0" tint="-0.24994659260841701"/>
      </bottom>
      <diagonal/>
    </border>
    <border>
      <left style="thin">
        <color rgb="FF505050"/>
      </left>
      <right style="double">
        <color rgb="FF505050"/>
      </right>
      <top style="thin">
        <color theme="0" tint="-0.24994659260841701"/>
      </top>
      <bottom style="thin">
        <color theme="0" tint="-0.24994659260841701"/>
      </bottom>
      <diagonal/>
    </border>
    <border>
      <left style="double">
        <color rgb="FF505050"/>
      </left>
      <right style="thin">
        <color rgb="FF505050"/>
      </right>
      <top style="thin">
        <color theme="0" tint="-0.24994659260841701"/>
      </top>
      <bottom/>
      <diagonal/>
    </border>
    <border>
      <left style="thin">
        <color rgb="FF505050"/>
      </left>
      <right style="thin">
        <color rgb="FF505050"/>
      </right>
      <top style="thin">
        <color theme="0" tint="-0.24994659260841701"/>
      </top>
      <bottom/>
      <diagonal/>
    </border>
    <border>
      <left style="thin">
        <color rgb="FF505050"/>
      </left>
      <right style="double">
        <color rgb="FF505050"/>
      </right>
      <top style="thin">
        <color theme="0" tint="-0.24994659260841701"/>
      </top>
      <bottom/>
      <diagonal/>
    </border>
    <border>
      <left style="thin">
        <color rgb="FF505050"/>
      </left>
      <right style="double">
        <color rgb="FF505050"/>
      </right>
      <top style="thin">
        <color auto="1"/>
      </top>
      <bottom style="medium">
        <color rgb="FF505050"/>
      </bottom>
      <diagonal/>
    </border>
    <border>
      <left style="thin">
        <color rgb="FF505050"/>
      </left>
      <right style="double">
        <color rgb="FF505050"/>
      </right>
      <top style="medium">
        <color rgb="FF505050"/>
      </top>
      <bottom style="thin">
        <color auto="1"/>
      </bottom>
      <diagonal/>
    </border>
    <border>
      <left style="thin">
        <color rgb="FF505050"/>
      </left>
      <right style="double">
        <color rgb="FF505050"/>
      </right>
      <top style="thin">
        <color auto="1"/>
      </top>
      <bottom style="thin">
        <color auto="1"/>
      </bottom>
      <diagonal/>
    </border>
    <border>
      <left style="double">
        <color rgb="FF505050"/>
      </left>
      <right style="thin">
        <color rgb="FF505050"/>
      </right>
      <top style="medium">
        <color rgb="FF505050"/>
      </top>
      <bottom style="thin">
        <color rgb="FF505050"/>
      </bottom>
      <diagonal/>
    </border>
    <border>
      <left/>
      <right style="double">
        <color rgb="FF505050"/>
      </right>
      <top style="thin">
        <color theme="0" tint="-0.24994659260841701"/>
      </top>
      <bottom style="thin">
        <color theme="0" tint="-0.24994659260841701"/>
      </bottom>
      <diagonal/>
    </border>
    <border>
      <left/>
      <right style="double">
        <color rgb="FF505050"/>
      </right>
      <top style="thin">
        <color theme="0" tint="-0.24994659260841701"/>
      </top>
      <bottom/>
      <diagonal/>
    </border>
    <border>
      <left/>
      <right style="double">
        <color rgb="FF505050"/>
      </right>
      <top style="thin">
        <color auto="1"/>
      </top>
      <bottom style="thin">
        <color auto="1"/>
      </bottom>
      <diagonal/>
    </border>
    <border>
      <left style="double">
        <color rgb="FF505050"/>
      </left>
      <right style="double">
        <color rgb="FF505050"/>
      </right>
      <top style="thin">
        <color theme="0" tint="-0.24994659260841701"/>
      </top>
      <bottom style="thin">
        <color theme="0" tint="-0.24994659260841701"/>
      </bottom>
      <diagonal/>
    </border>
    <border>
      <left style="double">
        <color rgb="FF505050"/>
      </left>
      <right style="double">
        <color rgb="FF505050"/>
      </right>
      <top style="thin">
        <color theme="0" tint="-0.24994659260841701"/>
      </top>
      <bottom/>
      <diagonal/>
    </border>
    <border>
      <left/>
      <right style="thin">
        <color theme="0" tint="-0.34998626667073579"/>
      </right>
      <top/>
      <bottom style="thin">
        <color theme="0" tint="-0.34998626667073579"/>
      </bottom>
      <diagonal/>
    </border>
    <border>
      <left style="double">
        <color rgb="FF505050"/>
      </left>
      <right/>
      <top style="thin">
        <color auto="1"/>
      </top>
      <bottom style="thin">
        <color auto="1"/>
      </bottom>
      <diagonal/>
    </border>
    <border>
      <left style="double">
        <color rgb="FF505050"/>
      </left>
      <right/>
      <top style="thin">
        <color auto="1"/>
      </top>
      <bottom style="thin">
        <color rgb="FF505050"/>
      </bottom>
      <diagonal/>
    </border>
    <border>
      <left/>
      <right style="double">
        <color rgb="FF505050"/>
      </right>
      <top/>
      <bottom style="thin">
        <color rgb="FF505050"/>
      </bottom>
      <diagonal/>
    </border>
    <border>
      <left style="medium">
        <color theme="9" tint="-0.24994659260841701"/>
      </left>
      <right style="medium">
        <color theme="9" tint="-0.24994659260841701"/>
      </right>
      <top style="medium">
        <color theme="9" tint="-0.24994659260841701"/>
      </top>
      <bottom style="medium">
        <color theme="9" tint="-0.24994659260841701"/>
      </bottom>
      <diagonal/>
    </border>
    <border>
      <left style="thin">
        <color auto="1"/>
      </left>
      <right style="double">
        <color auto="1"/>
      </right>
      <top style="thin">
        <color theme="0" tint="-0.24994659260841701"/>
      </top>
      <bottom style="thin">
        <color theme="0" tint="-0.24994659260841701"/>
      </bottom>
      <diagonal/>
    </border>
    <border>
      <left style="double">
        <color auto="1"/>
      </left>
      <right style="thin">
        <color auto="1"/>
      </right>
      <top style="thin">
        <color theme="0" tint="-0.24994659260841701"/>
      </top>
      <bottom style="thin">
        <color theme="0" tint="-0.24994659260841701"/>
      </bottom>
      <diagonal/>
    </border>
    <border>
      <left style="double">
        <color rgb="FF505050"/>
      </left>
      <right/>
      <top style="thin">
        <color rgb="FF505050"/>
      </top>
      <bottom style="thin">
        <color rgb="FF505050"/>
      </bottom>
      <diagonal/>
    </border>
    <border>
      <left/>
      <right style="thin">
        <color theme="0" tint="-0.34998626667073579"/>
      </right>
      <top/>
      <bottom/>
      <diagonal/>
    </border>
    <border>
      <left style="thin">
        <color theme="0" tint="-0.34998626667073579"/>
      </left>
      <right/>
      <top/>
      <bottom/>
      <diagonal/>
    </border>
    <border>
      <left style="thin">
        <color theme="0" tint="-4.9989318521683403E-2"/>
      </left>
      <right style="thin">
        <color theme="0" tint="-4.9989318521683403E-2"/>
      </right>
      <top style="thin">
        <color theme="0" tint="-4.9989318521683403E-2"/>
      </top>
      <bottom style="thin">
        <color theme="4" tint="0.39997558519241921"/>
      </bottom>
      <diagonal/>
    </border>
    <border>
      <left style="thin">
        <color theme="0" tint="-0.34998626667073579"/>
      </left>
      <right style="thin">
        <color theme="0" tint="-4.9989318521683403E-2"/>
      </right>
      <top/>
      <bottom/>
      <diagonal/>
    </border>
    <border>
      <left style="thin">
        <color theme="0" tint="-0.34998626667073579"/>
      </left>
      <right style="thin">
        <color theme="0" tint="-4.9989318521683403E-2"/>
      </right>
      <top/>
      <bottom style="thin">
        <color theme="4" tint="0.39997558519241921"/>
      </bottom>
      <diagonal/>
    </border>
    <border>
      <left style="thin">
        <color theme="0" tint="-4.9989318521683403E-2"/>
      </left>
      <right style="thin">
        <color theme="0" tint="-0.34998626667073579"/>
      </right>
      <top/>
      <bottom/>
      <diagonal/>
    </border>
    <border>
      <left style="thin">
        <color theme="0" tint="-4.9989318521683403E-2"/>
      </left>
      <right style="thin">
        <color theme="0" tint="-0.34998626667073579"/>
      </right>
      <top/>
      <bottom style="thin">
        <color theme="4" tint="0.39997558519241921"/>
      </bottom>
      <diagonal/>
    </border>
    <border>
      <left style="thin">
        <color theme="0" tint="-4.9989318521683403E-2"/>
      </left>
      <right/>
      <top/>
      <bottom style="thin">
        <color theme="0" tint="-4.9989318521683403E-2"/>
      </bottom>
      <diagonal/>
    </border>
    <border>
      <left/>
      <right/>
      <top/>
      <bottom style="thin">
        <color theme="0" tint="-4.9989318521683403E-2"/>
      </bottom>
      <diagonal/>
    </border>
    <border>
      <left style="thin">
        <color theme="0" tint="-0.34998626667073579"/>
      </left>
      <right style="thin">
        <color theme="0" tint="-4.9989318521683403E-2"/>
      </right>
      <top style="thin">
        <color theme="4" tint="0.39997558519241921"/>
      </top>
      <bottom/>
      <diagonal/>
    </border>
    <border>
      <left style="thin">
        <color theme="0" tint="-4.9989318521683403E-2"/>
      </left>
      <right style="thin">
        <color theme="0" tint="-4.9989318521683403E-2"/>
      </right>
      <top style="thin">
        <color theme="4" tint="0.39997558519241921"/>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style="thin">
        <color rgb="FF505050"/>
      </left>
      <right style="double">
        <color rgb="FF000000"/>
      </right>
      <top style="thin">
        <color theme="0" tint="-0.24994659260841701"/>
      </top>
      <bottom style="thin">
        <color theme="0" tint="-0.2499465926084170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s>
  <cellStyleXfs count="4">
    <xf numFmtId="0" fontId="0" fillId="0" borderId="0"/>
    <xf numFmtId="0" fontId="1" fillId="36" borderId="0" applyNumberFormat="0" applyBorder="0" applyAlignment="0" applyProtection="0"/>
    <xf numFmtId="0" fontId="1" fillId="37" borderId="0" applyNumberFormat="0" applyBorder="0" applyAlignment="0" applyProtection="0"/>
    <xf numFmtId="0" fontId="27" fillId="0" borderId="0" applyNumberFormat="0" applyFill="0" applyBorder="0" applyAlignment="0" applyProtection="0"/>
  </cellStyleXfs>
  <cellXfs count="666">
    <xf numFmtId="0" fontId="0" fillId="0" borderId="0" xfId="0"/>
    <xf numFmtId="164" fontId="0" fillId="0" borderId="0" xfId="0" applyNumberFormat="1" applyAlignment="1">
      <alignment horizontal="center"/>
    </xf>
    <xf numFmtId="14" fontId="0" fillId="0" borderId="0" xfId="0" applyNumberFormat="1" applyAlignment="1">
      <alignment horizontal="center"/>
    </xf>
    <xf numFmtId="4" fontId="0" fillId="0" borderId="0" xfId="0" applyNumberFormat="1" applyAlignment="1">
      <alignment horizontal="right" indent="1"/>
    </xf>
    <xf numFmtId="0" fontId="0" fillId="2" borderId="0" xfId="0" applyFill="1" applyAlignment="1">
      <alignment horizontal="left" indent="1"/>
    </xf>
    <xf numFmtId="165" fontId="0" fillId="2" borderId="0" xfId="0" applyNumberFormat="1" applyFill="1" applyAlignment="1">
      <alignment horizontal="center"/>
    </xf>
    <xf numFmtId="165" fontId="0" fillId="0" borderId="0" xfId="0" applyNumberFormat="1"/>
    <xf numFmtId="0" fontId="0" fillId="4" borderId="0" xfId="0" applyFill="1"/>
    <xf numFmtId="164" fontId="2" fillId="0" borderId="0" xfId="0" applyNumberFormat="1" applyFont="1" applyAlignment="1">
      <alignment horizontal="center"/>
    </xf>
    <xf numFmtId="165" fontId="0" fillId="4" borderId="0" xfId="0" applyNumberFormat="1" applyFill="1"/>
    <xf numFmtId="4" fontId="0" fillId="4" borderId="0" xfId="0" applyNumberFormat="1" applyFill="1" applyAlignment="1">
      <alignment horizontal="right" indent="1"/>
    </xf>
    <xf numFmtId="49" fontId="0" fillId="5" borderId="0" xfId="0" applyNumberFormat="1" applyFill="1"/>
    <xf numFmtId="164" fontId="2" fillId="6" borderId="0" xfId="0" applyNumberFormat="1" applyFont="1" applyFill="1" applyAlignment="1">
      <alignment horizontal="center"/>
    </xf>
    <xf numFmtId="4" fontId="0" fillId="6" borderId="0" xfId="0" applyNumberFormat="1" applyFill="1" applyAlignment="1">
      <alignment horizontal="right" indent="1"/>
    </xf>
    <xf numFmtId="0" fontId="0" fillId="6" borderId="0" xfId="0" applyFill="1"/>
    <xf numFmtId="165" fontId="0" fillId="6" borderId="0" xfId="0" applyNumberFormat="1" applyFill="1"/>
    <xf numFmtId="49" fontId="0" fillId="7" borderId="0" xfId="0" applyNumberFormat="1" applyFill="1"/>
    <xf numFmtId="14" fontId="0" fillId="6" borderId="0" xfId="0" applyNumberFormat="1" applyFill="1" applyAlignment="1">
      <alignment horizontal="center"/>
    </xf>
    <xf numFmtId="0" fontId="4" fillId="4" borderId="2" xfId="0" applyFont="1" applyFill="1" applyBorder="1" applyAlignment="1">
      <alignment horizontal="center"/>
    </xf>
    <xf numFmtId="14" fontId="4" fillId="0" borderId="0" xfId="0" applyNumberFormat="1" applyFont="1"/>
    <xf numFmtId="0" fontId="4" fillId="11" borderId="0" xfId="0" applyFont="1" applyFill="1"/>
    <xf numFmtId="0" fontId="0" fillId="10" borderId="0" xfId="0" applyFill="1"/>
    <xf numFmtId="49" fontId="0" fillId="12" borderId="0" xfId="0" applyNumberFormat="1" applyFill="1"/>
    <xf numFmtId="0" fontId="4" fillId="4" borderId="0" xfId="0" applyFont="1" applyFill="1"/>
    <xf numFmtId="0" fontId="0" fillId="0" borderId="0" xfId="0" pivotButton="1"/>
    <xf numFmtId="167" fontId="0" fillId="2" borderId="0" xfId="0" applyNumberFormat="1" applyFill="1" applyAlignment="1">
      <alignment horizontal="center"/>
    </xf>
    <xf numFmtId="3" fontId="8" fillId="0" borderId="14" xfId="0" applyNumberFormat="1" applyFont="1" applyBorder="1" applyAlignment="1">
      <alignment horizontal="right" indent="1"/>
    </xf>
    <xf numFmtId="3" fontId="8" fillId="0" borderId="0" xfId="0" applyNumberFormat="1" applyFont="1" applyAlignment="1">
      <alignment horizontal="right" indent="1"/>
    </xf>
    <xf numFmtId="166" fontId="8" fillId="0" borderId="0" xfId="0" applyNumberFormat="1" applyFont="1"/>
    <xf numFmtId="0" fontId="8" fillId="0" borderId="0" xfId="0" applyFont="1" applyAlignment="1">
      <alignment vertical="center"/>
    </xf>
    <xf numFmtId="0" fontId="8" fillId="0" borderId="10" xfId="0" applyFont="1" applyBorder="1" applyAlignment="1">
      <alignment vertical="center"/>
    </xf>
    <xf numFmtId="0" fontId="8" fillId="0" borderId="11" xfId="0" applyFont="1" applyBorder="1" applyAlignment="1">
      <alignment vertical="center"/>
    </xf>
    <xf numFmtId="0" fontId="10" fillId="0" borderId="13" xfId="0" applyFont="1" applyBorder="1" applyAlignment="1">
      <alignment horizontal="center" vertical="center"/>
    </xf>
    <xf numFmtId="0" fontId="8" fillId="4" borderId="10" xfId="0" applyFont="1" applyFill="1" applyBorder="1" applyAlignment="1">
      <alignment vertical="center"/>
    </xf>
    <xf numFmtId="0" fontId="8" fillId="4" borderId="11" xfId="0" applyFont="1" applyFill="1" applyBorder="1" applyAlignment="1">
      <alignment vertical="center"/>
    </xf>
    <xf numFmtId="0" fontId="10" fillId="4" borderId="11" xfId="0" applyFont="1" applyFill="1" applyBorder="1" applyAlignment="1">
      <alignment horizontal="center" vertical="center"/>
    </xf>
    <xf numFmtId="0" fontId="10" fillId="0" borderId="11" xfId="0" applyFont="1" applyBorder="1" applyAlignment="1">
      <alignment horizontal="center" vertical="center"/>
    </xf>
    <xf numFmtId="0" fontId="8" fillId="3" borderId="10" xfId="0" applyFont="1" applyFill="1" applyBorder="1" applyAlignment="1">
      <alignment vertical="center"/>
    </xf>
    <xf numFmtId="0" fontId="8" fillId="3" borderId="11" xfId="0" applyFont="1" applyFill="1" applyBorder="1" applyAlignment="1">
      <alignment vertical="center"/>
    </xf>
    <xf numFmtId="0" fontId="10" fillId="3" borderId="11" xfId="0" applyFont="1" applyFill="1" applyBorder="1" applyAlignment="1">
      <alignment horizontal="center" vertical="center"/>
    </xf>
    <xf numFmtId="0" fontId="8" fillId="9" borderId="15" xfId="0" applyFont="1" applyFill="1" applyBorder="1" applyAlignment="1">
      <alignment vertical="center"/>
    </xf>
    <xf numFmtId="0" fontId="8" fillId="9" borderId="16" xfId="0" applyFont="1" applyFill="1" applyBorder="1" applyAlignment="1">
      <alignment vertical="center"/>
    </xf>
    <xf numFmtId="0" fontId="10" fillId="9" borderId="16" xfId="0" applyFont="1" applyFill="1" applyBorder="1" applyAlignment="1">
      <alignment horizontal="center" vertical="center"/>
    </xf>
    <xf numFmtId="0" fontId="8" fillId="0" borderId="18" xfId="0" applyFont="1" applyBorder="1"/>
    <xf numFmtId="0" fontId="11" fillId="0" borderId="19" xfId="0" applyFont="1" applyBorder="1" applyAlignment="1">
      <alignment horizontal="right" indent="1"/>
    </xf>
    <xf numFmtId="0" fontId="8" fillId="0" borderId="0" xfId="0" applyFont="1"/>
    <xf numFmtId="0" fontId="10" fillId="0" borderId="0" xfId="0" applyFont="1" applyAlignment="1">
      <alignment horizontal="center"/>
    </xf>
    <xf numFmtId="165" fontId="0" fillId="2" borderId="0" xfId="0" applyNumberFormat="1" applyFill="1"/>
    <xf numFmtId="0" fontId="0" fillId="4" borderId="2" xfId="0" applyFill="1" applyBorder="1"/>
    <xf numFmtId="165" fontId="0" fillId="4" borderId="0" xfId="0" quotePrefix="1" applyNumberFormat="1" applyFill="1" applyAlignment="1">
      <alignment horizontal="center"/>
    </xf>
    <xf numFmtId="0" fontId="0" fillId="4" borderId="0" xfId="0" quotePrefix="1" applyFill="1" applyAlignment="1">
      <alignment horizontal="left" indent="1"/>
    </xf>
    <xf numFmtId="14" fontId="0" fillId="4" borderId="0" xfId="0" applyNumberFormat="1" applyFill="1" applyAlignment="1">
      <alignment horizontal="center"/>
    </xf>
    <xf numFmtId="14" fontId="4" fillId="0" borderId="0" xfId="0" applyNumberFormat="1" applyFont="1" applyAlignment="1">
      <alignment horizontal="left"/>
    </xf>
    <xf numFmtId="0" fontId="0" fillId="0" borderId="0" xfId="0" applyAlignment="1">
      <alignment vertical="center"/>
    </xf>
    <xf numFmtId="0" fontId="14" fillId="15" borderId="10" xfId="0" applyFont="1" applyFill="1" applyBorder="1" applyAlignment="1">
      <alignment vertical="center"/>
    </xf>
    <xf numFmtId="0" fontId="14" fillId="15" borderId="11" xfId="0" applyFont="1" applyFill="1" applyBorder="1" applyAlignment="1">
      <alignment vertical="center"/>
    </xf>
    <xf numFmtId="3" fontId="8" fillId="0" borderId="35" xfId="0" applyNumberFormat="1" applyFont="1" applyBorder="1"/>
    <xf numFmtId="0" fontId="8" fillId="16" borderId="24" xfId="0" applyFont="1" applyFill="1" applyBorder="1"/>
    <xf numFmtId="3" fontId="8" fillId="0" borderId="0" xfId="0" applyNumberFormat="1" applyFont="1" applyAlignment="1">
      <alignment horizontal="left"/>
    </xf>
    <xf numFmtId="0" fontId="8" fillId="18" borderId="10" xfId="0" applyFont="1" applyFill="1" applyBorder="1" applyAlignment="1">
      <alignment vertical="center"/>
    </xf>
    <xf numFmtId="0" fontId="8" fillId="18" borderId="11" xfId="0" applyFont="1" applyFill="1" applyBorder="1" applyAlignment="1">
      <alignment vertical="center"/>
    </xf>
    <xf numFmtId="165" fontId="0" fillId="0" borderId="0" xfId="0" applyNumberFormat="1" applyAlignment="1">
      <alignment horizontal="center" shrinkToFit="1"/>
    </xf>
    <xf numFmtId="165" fontId="0" fillId="6" borderId="0" xfId="0" applyNumberFormat="1" applyFill="1" applyAlignment="1">
      <alignment horizontal="center" shrinkToFit="1"/>
    </xf>
    <xf numFmtId="165" fontId="0" fillId="0" borderId="0" xfId="0" applyNumberFormat="1" applyAlignment="1">
      <alignment shrinkToFit="1"/>
    </xf>
    <xf numFmtId="0" fontId="8" fillId="0" borderId="16" xfId="0" applyFont="1" applyBorder="1" applyAlignment="1">
      <alignment vertical="center"/>
    </xf>
    <xf numFmtId="0" fontId="8" fillId="0" borderId="13" xfId="0" applyFont="1" applyBorder="1" applyAlignment="1">
      <alignment vertical="center"/>
    </xf>
    <xf numFmtId="0" fontId="8" fillId="0" borderId="15" xfId="0" applyFont="1" applyBorder="1" applyAlignment="1">
      <alignment vertical="center"/>
    </xf>
    <xf numFmtId="0" fontId="8" fillId="0" borderId="9" xfId="0" applyFont="1" applyBorder="1" applyAlignment="1">
      <alignment vertical="center"/>
    </xf>
    <xf numFmtId="0" fontId="8" fillId="21" borderId="10" xfId="0" applyFont="1" applyFill="1" applyBorder="1" applyAlignment="1">
      <alignment vertical="center"/>
    </xf>
    <xf numFmtId="0" fontId="8" fillId="21" borderId="11" xfId="0" applyFont="1" applyFill="1" applyBorder="1" applyAlignment="1">
      <alignment vertical="center"/>
    </xf>
    <xf numFmtId="0" fontId="0" fillId="0" borderId="0" xfId="0" applyAlignment="1">
      <alignment horizontal="left"/>
    </xf>
    <xf numFmtId="0" fontId="6" fillId="0" borderId="0" xfId="0" applyFont="1"/>
    <xf numFmtId="0" fontId="5" fillId="0" borderId="0" xfId="0" applyFont="1" applyAlignment="1">
      <alignment horizontal="left"/>
    </xf>
    <xf numFmtId="0" fontId="4" fillId="4" borderId="2" xfId="0" applyFont="1" applyFill="1" applyBorder="1"/>
    <xf numFmtId="0" fontId="8" fillId="0" borderId="19" xfId="0" applyFont="1" applyBorder="1"/>
    <xf numFmtId="0" fontId="8" fillId="0" borderId="44" xfId="0" applyFont="1" applyBorder="1"/>
    <xf numFmtId="0" fontId="11" fillId="0" borderId="44" xfId="0" applyFont="1" applyBorder="1" applyAlignment="1">
      <alignment horizontal="right" indent="1"/>
    </xf>
    <xf numFmtId="170" fontId="8" fillId="0" borderId="31" xfId="0" applyNumberFormat="1" applyFont="1" applyBorder="1" applyAlignment="1">
      <alignment horizontal="right" indent="1"/>
    </xf>
    <xf numFmtId="170" fontId="8" fillId="0" borderId="20" xfId="0" applyNumberFormat="1" applyFont="1" applyBorder="1" applyAlignment="1">
      <alignment horizontal="right" indent="1"/>
    </xf>
    <xf numFmtId="170" fontId="8" fillId="0" borderId="14" xfId="0" applyNumberFormat="1" applyFont="1" applyBorder="1" applyAlignment="1">
      <alignment horizontal="right" indent="1"/>
    </xf>
    <xf numFmtId="14" fontId="16" fillId="0" borderId="0" xfId="0" applyNumberFormat="1" applyFont="1"/>
    <xf numFmtId="0" fontId="8" fillId="0" borderId="25" xfId="0" applyFont="1" applyBorder="1" applyAlignment="1">
      <alignment vertical="center"/>
    </xf>
    <xf numFmtId="0" fontId="8" fillId="0" borderId="21" xfId="0" applyFont="1" applyBorder="1" applyAlignment="1">
      <alignment horizontal="left" indent="2"/>
    </xf>
    <xf numFmtId="0" fontId="8" fillId="0" borderId="24" xfId="0" applyFont="1" applyBorder="1"/>
    <xf numFmtId="0" fontId="10" fillId="0" borderId="22" xfId="0" applyFont="1" applyBorder="1" applyAlignment="1">
      <alignment horizontal="center"/>
    </xf>
    <xf numFmtId="164" fontId="2" fillId="4" borderId="0" xfId="0" applyNumberFormat="1" applyFont="1" applyFill="1" applyAlignment="1">
      <alignment horizontal="center"/>
    </xf>
    <xf numFmtId="0" fontId="0" fillId="0" borderId="0" xfId="0" quotePrefix="1" applyAlignment="1">
      <alignment vertical="center"/>
    </xf>
    <xf numFmtId="0" fontId="0" fillId="4" borderId="0" xfId="0" applyFill="1" applyAlignment="1">
      <alignment vertical="center"/>
    </xf>
    <xf numFmtId="0" fontId="0" fillId="0" borderId="0" xfId="0" applyAlignment="1">
      <alignment horizontal="right" vertical="center"/>
    </xf>
    <xf numFmtId="0" fontId="0" fillId="3" borderId="0" xfId="0" applyFill="1" applyAlignment="1">
      <alignment vertical="center"/>
    </xf>
    <xf numFmtId="0" fontId="0" fillId="0" borderId="6" xfId="0" applyBorder="1" applyAlignment="1">
      <alignment vertical="center"/>
    </xf>
    <xf numFmtId="0" fontId="0" fillId="0" borderId="7" xfId="0" applyBorder="1" applyAlignment="1">
      <alignment vertical="center"/>
    </xf>
    <xf numFmtId="0" fontId="4" fillId="0" borderId="4" xfId="0" applyFont="1" applyBorder="1" applyAlignment="1">
      <alignment vertical="center"/>
    </xf>
    <xf numFmtId="0" fontId="0" fillId="0" borderId="8" xfId="0" applyBorder="1" applyAlignment="1">
      <alignment vertical="center"/>
    </xf>
    <xf numFmtId="0" fontId="0" fillId="18" borderId="0" xfId="0" applyFill="1" applyAlignment="1">
      <alignment vertical="center"/>
    </xf>
    <xf numFmtId="0" fontId="0" fillId="0" borderId="0" xfId="0" applyAlignment="1">
      <alignment vertical="center" wrapText="1"/>
    </xf>
    <xf numFmtId="0" fontId="0" fillId="0" borderId="0" xfId="0" quotePrefix="1" applyAlignment="1">
      <alignment vertical="center" wrapText="1"/>
    </xf>
    <xf numFmtId="0" fontId="0" fillId="4" borderId="3" xfId="0" applyFill="1" applyBorder="1" applyAlignment="1">
      <alignment vertical="center"/>
    </xf>
    <xf numFmtId="0" fontId="0" fillId="4" borderId="4" xfId="0" applyFill="1" applyBorder="1" applyAlignment="1">
      <alignment vertical="center"/>
    </xf>
    <xf numFmtId="0" fontId="0" fillId="0" borderId="4" xfId="0" applyBorder="1" applyAlignment="1">
      <alignment vertical="center"/>
    </xf>
    <xf numFmtId="0" fontId="0" fillId="0" borderId="5" xfId="0" applyBorder="1" applyAlignment="1">
      <alignment vertical="center"/>
    </xf>
    <xf numFmtId="0" fontId="0" fillId="24" borderId="0" xfId="0" applyFill="1" applyAlignment="1">
      <alignment vertical="center"/>
    </xf>
    <xf numFmtId="0" fontId="0" fillId="4" borderId="6" xfId="0" applyFill="1" applyBorder="1" applyAlignment="1">
      <alignment vertical="center"/>
    </xf>
    <xf numFmtId="0" fontId="4" fillId="0" borderId="7" xfId="0" applyFont="1" applyBorder="1" applyAlignment="1">
      <alignment vertical="center"/>
    </xf>
    <xf numFmtId="0" fontId="0" fillId="23" borderId="3" xfId="0" applyFill="1" applyBorder="1" applyAlignment="1">
      <alignment vertical="center"/>
    </xf>
    <xf numFmtId="0" fontId="0" fillId="18" borderId="4" xfId="0" applyFill="1" applyBorder="1" applyAlignment="1">
      <alignment vertical="center"/>
    </xf>
    <xf numFmtId="0" fontId="0" fillId="23" borderId="4" xfId="0" applyFill="1" applyBorder="1" applyAlignment="1">
      <alignment vertical="center"/>
    </xf>
    <xf numFmtId="0" fontId="4" fillId="18" borderId="4" xfId="0" applyFont="1" applyFill="1" applyBorder="1" applyAlignment="1">
      <alignment vertical="center"/>
    </xf>
    <xf numFmtId="0" fontId="7" fillId="18" borderId="5" xfId="0" applyFont="1" applyFill="1" applyBorder="1" applyAlignment="1">
      <alignment horizontal="center" vertical="center"/>
    </xf>
    <xf numFmtId="0" fontId="0" fillId="9" borderId="0" xfId="0" applyFill="1" applyAlignment="1">
      <alignment vertical="center"/>
    </xf>
    <xf numFmtId="168" fontId="8" fillId="3" borderId="33" xfId="0" applyNumberFormat="1" applyFont="1" applyFill="1" applyBorder="1" applyAlignment="1">
      <alignment horizontal="center" vertical="center"/>
    </xf>
    <xf numFmtId="168" fontId="8" fillId="4" borderId="33" xfId="0" applyNumberFormat="1" applyFont="1" applyFill="1" applyBorder="1" applyAlignment="1">
      <alignment horizontal="center" vertical="center"/>
    </xf>
    <xf numFmtId="168" fontId="8" fillId="0" borderId="33" xfId="0" applyNumberFormat="1" applyFont="1" applyBorder="1" applyAlignment="1">
      <alignment horizontal="center" vertical="center"/>
    </xf>
    <xf numFmtId="168" fontId="8" fillId="21" borderId="33" xfId="0" applyNumberFormat="1" applyFont="1" applyFill="1" applyBorder="1" applyAlignment="1">
      <alignment horizontal="center" vertical="center"/>
    </xf>
    <xf numFmtId="168" fontId="8" fillId="0" borderId="32" xfId="0" applyNumberFormat="1" applyFont="1" applyBorder="1" applyAlignment="1">
      <alignment horizontal="center" vertical="center"/>
    </xf>
    <xf numFmtId="168" fontId="8" fillId="9" borderId="34" xfId="0" applyNumberFormat="1" applyFont="1" applyFill="1" applyBorder="1" applyAlignment="1">
      <alignment horizontal="center" vertical="center"/>
    </xf>
    <xf numFmtId="168" fontId="8" fillId="18" borderId="33" xfId="0" applyNumberFormat="1" applyFont="1" applyFill="1" applyBorder="1" applyAlignment="1">
      <alignment horizontal="center" vertical="center"/>
    </xf>
    <xf numFmtId="168" fontId="8" fillId="0" borderId="34" xfId="0" applyNumberFormat="1" applyFont="1" applyBorder="1" applyAlignment="1">
      <alignment horizontal="center" vertical="center"/>
    </xf>
    <xf numFmtId="168" fontId="8" fillId="0" borderId="22" xfId="0" applyNumberFormat="1" applyFont="1" applyBorder="1" applyAlignment="1">
      <alignment horizontal="center"/>
    </xf>
    <xf numFmtId="168" fontId="8" fillId="0" borderId="35" xfId="0" applyNumberFormat="1" applyFont="1" applyBorder="1" applyAlignment="1">
      <alignment horizontal="center"/>
    </xf>
    <xf numFmtId="168" fontId="8" fillId="9" borderId="22" xfId="0" applyNumberFormat="1" applyFont="1" applyFill="1" applyBorder="1" applyAlignment="1">
      <alignment horizontal="center" vertical="center"/>
    </xf>
    <xf numFmtId="168" fontId="8" fillId="0" borderId="0" xfId="0" applyNumberFormat="1" applyFont="1" applyAlignment="1">
      <alignment horizontal="center"/>
    </xf>
    <xf numFmtId="0" fontId="0" fillId="4" borderId="51" xfId="0" applyFill="1" applyBorder="1"/>
    <xf numFmtId="0" fontId="0" fillId="4" borderId="52" xfId="0" applyFill="1" applyBorder="1"/>
    <xf numFmtId="0" fontId="0" fillId="4" borderId="53" xfId="0" applyFill="1" applyBorder="1"/>
    <xf numFmtId="0" fontId="8" fillId="25" borderId="10" xfId="0" applyFont="1" applyFill="1" applyBorder="1" applyAlignment="1">
      <alignment vertical="center"/>
    </xf>
    <xf numFmtId="0" fontId="8" fillId="25" borderId="11" xfId="0" applyFont="1" applyFill="1" applyBorder="1" applyAlignment="1">
      <alignment vertical="center"/>
    </xf>
    <xf numFmtId="0" fontId="0" fillId="0" borderId="54" xfId="0" applyBorder="1"/>
    <xf numFmtId="0" fontId="0" fillId="0" borderId="55" xfId="0" applyBorder="1"/>
    <xf numFmtId="3" fontId="8" fillId="0" borderId="56" xfId="0" applyNumberFormat="1" applyFont="1" applyBorder="1" applyAlignment="1">
      <alignment horizontal="right" indent="1"/>
    </xf>
    <xf numFmtId="3" fontId="8" fillId="0" borderId="49" xfId="0" applyNumberFormat="1" applyFont="1" applyBorder="1" applyAlignment="1">
      <alignment horizontal="right" indent="1"/>
    </xf>
    <xf numFmtId="3" fontId="8" fillId="0" borderId="58" xfId="0" applyNumberFormat="1" applyFont="1" applyBorder="1" applyAlignment="1">
      <alignment horizontal="right" indent="1"/>
    </xf>
    <xf numFmtId="3" fontId="8" fillId="0" borderId="59" xfId="0" applyNumberFormat="1" applyFont="1" applyBorder="1" applyAlignment="1">
      <alignment horizontal="right" indent="1"/>
    </xf>
    <xf numFmtId="0" fontId="0" fillId="0" borderId="50" xfId="0" applyBorder="1"/>
    <xf numFmtId="0" fontId="0" fillId="0" borderId="45" xfId="0" applyBorder="1"/>
    <xf numFmtId="0" fontId="0" fillId="0" borderId="60" xfId="0" applyBorder="1"/>
    <xf numFmtId="0" fontId="0" fillId="0" borderId="61" xfId="0" applyBorder="1"/>
    <xf numFmtId="3" fontId="4" fillId="0" borderId="0" xfId="0" applyNumberFormat="1" applyFont="1" applyBorder="1"/>
    <xf numFmtId="3" fontId="0" fillId="0" borderId="0" xfId="0" applyNumberFormat="1" applyBorder="1"/>
    <xf numFmtId="0" fontId="0" fillId="0" borderId="1" xfId="0" applyBorder="1"/>
    <xf numFmtId="0" fontId="0" fillId="0" borderId="62" xfId="0" applyBorder="1"/>
    <xf numFmtId="0" fontId="0" fillId="0" borderId="63" xfId="0" applyBorder="1"/>
    <xf numFmtId="0" fontId="0" fillId="0" borderId="64" xfId="0" applyBorder="1"/>
    <xf numFmtId="0" fontId="0" fillId="0" borderId="0" xfId="0" applyBorder="1"/>
    <xf numFmtId="0" fontId="19" fillId="0" borderId="0" xfId="0" applyFont="1"/>
    <xf numFmtId="0" fontId="19" fillId="0" borderId="61" xfId="0" applyFont="1" applyBorder="1"/>
    <xf numFmtId="0" fontId="19" fillId="0" borderId="1" xfId="0" applyFont="1" applyBorder="1"/>
    <xf numFmtId="0" fontId="20" fillId="0" borderId="0" xfId="0" applyFont="1"/>
    <xf numFmtId="0" fontId="0" fillId="0" borderId="0" xfId="0" applyFont="1"/>
    <xf numFmtId="0" fontId="16" fillId="0" borderId="61" xfId="0" applyFont="1" applyBorder="1" applyAlignment="1">
      <alignment vertical="top"/>
    </xf>
    <xf numFmtId="0" fontId="16" fillId="0" borderId="1" xfId="0" applyFont="1" applyBorder="1" applyAlignment="1">
      <alignment vertical="top"/>
    </xf>
    <xf numFmtId="0" fontId="16" fillId="0" borderId="0" xfId="0" applyFont="1" applyAlignment="1">
      <alignment vertical="top"/>
    </xf>
    <xf numFmtId="0" fontId="8" fillId="0" borderId="65" xfId="0" applyFont="1" applyBorder="1"/>
    <xf numFmtId="0" fontId="11" fillId="0" borderId="66" xfId="0" applyFont="1" applyBorder="1" applyAlignment="1">
      <alignment horizontal="right" indent="1"/>
    </xf>
    <xf numFmtId="0" fontId="0" fillId="0" borderId="68" xfId="0" applyBorder="1"/>
    <xf numFmtId="3" fontId="8" fillId="0" borderId="70" xfId="0" applyNumberFormat="1" applyFont="1" applyBorder="1" applyAlignment="1">
      <alignment horizontal="right" indent="1"/>
    </xf>
    <xf numFmtId="3" fontId="8" fillId="0" borderId="71" xfId="0" applyNumberFormat="1" applyFont="1" applyBorder="1" applyAlignment="1">
      <alignment horizontal="right" indent="1"/>
    </xf>
    <xf numFmtId="0" fontId="0" fillId="0" borderId="69" xfId="0" applyBorder="1" applyAlignment="1">
      <alignment horizontal="right" indent="1"/>
    </xf>
    <xf numFmtId="0" fontId="0" fillId="0" borderId="47" xfId="0" applyBorder="1" applyAlignment="1">
      <alignment horizontal="right" indent="1"/>
    </xf>
    <xf numFmtId="0" fontId="0" fillId="0" borderId="0" xfId="0" applyAlignment="1">
      <alignment horizontal="right" indent="1"/>
    </xf>
    <xf numFmtId="0" fontId="0" fillId="0" borderId="57" xfId="0" applyBorder="1" applyAlignment="1">
      <alignment horizontal="right" indent="1"/>
    </xf>
    <xf numFmtId="165" fontId="0" fillId="0" borderId="0" xfId="0" applyNumberFormat="1" applyFill="1"/>
    <xf numFmtId="4" fontId="0" fillId="0" borderId="0" xfId="0" applyNumberFormat="1" applyFill="1" applyAlignment="1">
      <alignment horizontal="right" indent="1"/>
    </xf>
    <xf numFmtId="0" fontId="0" fillId="0" borderId="19" xfId="0" applyFont="1" applyBorder="1" applyAlignment="1">
      <alignment horizontal="right" indent="1"/>
    </xf>
    <xf numFmtId="0" fontId="8" fillId="0" borderId="72" xfId="0" applyFont="1" applyBorder="1"/>
    <xf numFmtId="0" fontId="11" fillId="0" borderId="72" xfId="0" applyFont="1" applyBorder="1" applyAlignment="1">
      <alignment horizontal="right" indent="1"/>
    </xf>
    <xf numFmtId="0" fontId="11" fillId="0" borderId="74" xfId="0" applyFont="1" applyBorder="1"/>
    <xf numFmtId="0" fontId="11" fillId="16" borderId="75" xfId="0" applyFont="1" applyFill="1" applyBorder="1"/>
    <xf numFmtId="0" fontId="18" fillId="17" borderId="76" xfId="0" applyFont="1" applyFill="1" applyBorder="1" applyAlignment="1">
      <alignment horizontal="center" vertical="center"/>
    </xf>
    <xf numFmtId="0" fontId="8" fillId="0" borderId="86" xfId="0" applyFont="1" applyBorder="1"/>
    <xf numFmtId="0" fontId="11" fillId="0" borderId="86" xfId="0" applyFont="1" applyBorder="1" applyAlignment="1">
      <alignment horizontal="right" indent="1"/>
    </xf>
    <xf numFmtId="170" fontId="8" fillId="0" borderId="87" xfId="0" applyNumberFormat="1" applyFont="1" applyBorder="1" applyAlignment="1">
      <alignment horizontal="right" indent="1"/>
    </xf>
    <xf numFmtId="170" fontId="8" fillId="0" borderId="88" xfId="0" applyNumberFormat="1" applyFont="1" applyBorder="1" applyAlignment="1">
      <alignment horizontal="right" indent="1"/>
    </xf>
    <xf numFmtId="170" fontId="8" fillId="0" borderId="90" xfId="0" applyNumberFormat="1" applyFont="1" applyBorder="1" applyAlignment="1">
      <alignment horizontal="right" indent="1"/>
    </xf>
    <xf numFmtId="170" fontId="8" fillId="0" borderId="84" xfId="0" applyNumberFormat="1" applyFont="1" applyBorder="1" applyAlignment="1">
      <alignment horizontal="right" indent="1"/>
    </xf>
    <xf numFmtId="170" fontId="8" fillId="0" borderId="83" xfId="0" applyNumberFormat="1" applyFont="1" applyBorder="1" applyAlignment="1">
      <alignment horizontal="right" indent="1"/>
    </xf>
    <xf numFmtId="170" fontId="8" fillId="0" borderId="91" xfId="0" applyNumberFormat="1" applyFont="1" applyBorder="1" applyAlignment="1">
      <alignment horizontal="right" indent="1"/>
    </xf>
    <xf numFmtId="170" fontId="8" fillId="0" borderId="92" xfId="0" applyNumberFormat="1" applyFont="1" applyBorder="1" applyAlignment="1">
      <alignment horizontal="right" indent="1"/>
    </xf>
    <xf numFmtId="164" fontId="0" fillId="0" borderId="0" xfId="0" applyNumberFormat="1" applyFill="1" applyAlignment="1">
      <alignment horizontal="center"/>
    </xf>
    <xf numFmtId="171" fontId="8" fillId="0" borderId="14" xfId="0" applyNumberFormat="1" applyFont="1" applyBorder="1" applyAlignment="1">
      <alignment horizontal="right" indent="1"/>
    </xf>
    <xf numFmtId="172" fontId="8" fillId="0" borderId="29" xfId="0" applyNumberFormat="1" applyFont="1" applyBorder="1" applyAlignment="1">
      <alignment horizontal="right" vertical="center" indent="1"/>
    </xf>
    <xf numFmtId="172" fontId="8" fillId="0" borderId="11" xfId="0" applyNumberFormat="1" applyFont="1" applyBorder="1" applyAlignment="1">
      <alignment horizontal="right" vertical="center" indent="1"/>
    </xf>
    <xf numFmtId="172" fontId="8" fillId="0" borderId="12" xfId="0" applyNumberFormat="1" applyFont="1" applyBorder="1" applyAlignment="1">
      <alignment horizontal="right" vertical="center" indent="1"/>
    </xf>
    <xf numFmtId="172" fontId="8" fillId="8" borderId="12" xfId="0" applyNumberFormat="1" applyFont="1" applyFill="1" applyBorder="1" applyAlignment="1">
      <alignment horizontal="right" vertical="center" indent="1"/>
    </xf>
    <xf numFmtId="172" fontId="8" fillId="0" borderId="25" xfId="0" applyNumberFormat="1" applyFont="1" applyBorder="1" applyAlignment="1">
      <alignment horizontal="right" vertical="center" indent="1"/>
    </xf>
    <xf numFmtId="172" fontId="8" fillId="0" borderId="10" xfId="0" applyNumberFormat="1" applyFont="1" applyBorder="1" applyAlignment="1">
      <alignment horizontal="right" vertical="center" indent="1"/>
    </xf>
    <xf numFmtId="172" fontId="8" fillId="0" borderId="9" xfId="0" applyNumberFormat="1" applyFont="1" applyBorder="1" applyAlignment="1">
      <alignment horizontal="right" vertical="center" indent="1"/>
    </xf>
    <xf numFmtId="172" fontId="8" fillId="4" borderId="29" xfId="0" applyNumberFormat="1" applyFont="1" applyFill="1" applyBorder="1" applyAlignment="1">
      <alignment horizontal="right" vertical="center" indent="1"/>
    </xf>
    <xf numFmtId="172" fontId="8" fillId="4" borderId="11" xfId="0" applyNumberFormat="1" applyFont="1" applyFill="1" applyBorder="1" applyAlignment="1">
      <alignment horizontal="right" vertical="center" indent="1"/>
    </xf>
    <xf numFmtId="172" fontId="8" fillId="4" borderId="12" xfId="0" applyNumberFormat="1" applyFont="1" applyFill="1" applyBorder="1" applyAlignment="1">
      <alignment horizontal="right" vertical="center" indent="1"/>
    </xf>
    <xf numFmtId="172" fontId="8" fillId="4" borderId="25" xfId="0" applyNumberFormat="1" applyFont="1" applyFill="1" applyBorder="1" applyAlignment="1">
      <alignment horizontal="right" vertical="center" indent="1"/>
    </xf>
    <xf numFmtId="172" fontId="8" fillId="4" borderId="10" xfId="0" applyNumberFormat="1" applyFont="1" applyFill="1" applyBorder="1" applyAlignment="1">
      <alignment horizontal="right" vertical="center" indent="1"/>
    </xf>
    <xf numFmtId="172" fontId="8" fillId="0" borderId="10" xfId="0" applyNumberFormat="1" applyFont="1" applyFill="1" applyBorder="1" applyAlignment="1">
      <alignment horizontal="right" vertical="center" indent="1"/>
    </xf>
    <xf numFmtId="172" fontId="8" fillId="8" borderId="10" xfId="0" applyNumberFormat="1" applyFont="1" applyFill="1" applyBorder="1" applyAlignment="1">
      <alignment horizontal="right" vertical="center" indent="1"/>
    </xf>
    <xf numFmtId="172" fontId="8" fillId="4" borderId="12" xfId="0" quotePrefix="1" applyNumberFormat="1" applyFont="1" applyFill="1" applyBorder="1" applyAlignment="1">
      <alignment horizontal="center" vertical="center"/>
    </xf>
    <xf numFmtId="172" fontId="8" fillId="4" borderId="29" xfId="0" applyNumberFormat="1" applyFont="1" applyFill="1" applyBorder="1" applyAlignment="1">
      <alignment horizontal="center" vertical="center"/>
    </xf>
    <xf numFmtId="172" fontId="8" fillId="8" borderId="11" xfId="0" applyNumberFormat="1" applyFont="1" applyFill="1" applyBorder="1" applyAlignment="1">
      <alignment horizontal="right" vertical="center" indent="1"/>
    </xf>
    <xf numFmtId="172" fontId="8" fillId="13" borderId="10" xfId="0" applyNumberFormat="1" applyFont="1" applyFill="1" applyBorder="1" applyAlignment="1">
      <alignment horizontal="right" vertical="center" indent="1"/>
    </xf>
    <xf numFmtId="172" fontId="8" fillId="3" borderId="29" xfId="0" applyNumberFormat="1" applyFont="1" applyFill="1" applyBorder="1" applyAlignment="1">
      <alignment horizontal="right" vertical="center" indent="1"/>
    </xf>
    <xf numFmtId="172" fontId="8" fillId="3" borderId="11" xfId="0" applyNumberFormat="1" applyFont="1" applyFill="1" applyBorder="1" applyAlignment="1">
      <alignment horizontal="right" vertical="center" indent="1"/>
    </xf>
    <xf numFmtId="172" fontId="8" fillId="3" borderId="12" xfId="0" applyNumberFormat="1" applyFont="1" applyFill="1" applyBorder="1" applyAlignment="1">
      <alignment horizontal="right" vertical="center" indent="1"/>
    </xf>
    <xf numFmtId="172" fontId="8" fillId="3" borderId="25" xfId="0" applyNumberFormat="1" applyFont="1" applyFill="1" applyBorder="1" applyAlignment="1">
      <alignment horizontal="right" vertical="center" indent="1"/>
    </xf>
    <xf numFmtId="172" fontId="8" fillId="3" borderId="10" xfId="0" applyNumberFormat="1" applyFont="1" applyFill="1" applyBorder="1" applyAlignment="1">
      <alignment horizontal="right" vertical="center" indent="1"/>
    </xf>
    <xf numFmtId="172" fontId="8" fillId="0" borderId="12" xfId="0" applyNumberFormat="1" applyFont="1" applyBorder="1" applyAlignment="1">
      <alignment horizontal="center" vertical="center" indent="1"/>
    </xf>
    <xf numFmtId="172" fontId="8" fillId="0" borderId="29" xfId="0" applyNumberFormat="1" applyFont="1" applyBorder="1" applyAlignment="1">
      <alignment horizontal="center" vertical="center" indent="1"/>
    </xf>
    <xf numFmtId="172" fontId="17" fillId="18" borderId="10" xfId="0" applyNumberFormat="1" applyFont="1" applyFill="1" applyBorder="1" applyAlignment="1">
      <alignment horizontal="left" vertical="center" indent="1"/>
    </xf>
    <xf numFmtId="172" fontId="8" fillId="18" borderId="10" xfId="0" applyNumberFormat="1" applyFont="1" applyFill="1" applyBorder="1" applyAlignment="1">
      <alignment horizontal="right" vertical="center" indent="1"/>
    </xf>
    <xf numFmtId="172" fontId="8" fillId="18" borderId="29" xfId="0" applyNumberFormat="1" applyFont="1" applyFill="1" applyBorder="1" applyAlignment="1">
      <alignment horizontal="right" vertical="center" indent="1"/>
    </xf>
    <xf numFmtId="172" fontId="8" fillId="20" borderId="29" xfId="0" applyNumberFormat="1" applyFont="1" applyFill="1" applyBorder="1" applyAlignment="1">
      <alignment horizontal="right" vertical="center" indent="1"/>
    </xf>
    <xf numFmtId="172" fontId="8" fillId="20" borderId="11" xfId="0" applyNumberFormat="1" applyFont="1" applyFill="1" applyBorder="1" applyAlignment="1">
      <alignment horizontal="right" vertical="center" indent="1"/>
    </xf>
    <xf numFmtId="172" fontId="8" fillId="20" borderId="12" xfId="0" applyNumberFormat="1" applyFont="1" applyFill="1" applyBorder="1" applyAlignment="1">
      <alignment horizontal="right" vertical="center" indent="1"/>
    </xf>
    <xf numFmtId="172" fontId="8" fillId="20" borderId="25" xfId="0" applyNumberFormat="1" applyFont="1" applyFill="1" applyBorder="1" applyAlignment="1">
      <alignment horizontal="right" vertical="center" indent="1"/>
    </xf>
    <xf numFmtId="172" fontId="8" fillId="20" borderId="10" xfId="0" applyNumberFormat="1" applyFont="1" applyFill="1" applyBorder="1" applyAlignment="1">
      <alignment horizontal="right" vertical="center" indent="1"/>
    </xf>
    <xf numFmtId="172" fontId="17" fillId="18" borderId="12" xfId="0" applyNumberFormat="1" applyFont="1" applyFill="1" applyBorder="1" applyAlignment="1">
      <alignment horizontal="left" vertical="center" indent="1"/>
    </xf>
    <xf numFmtId="172" fontId="8" fillId="18" borderId="12" xfId="0" applyNumberFormat="1" applyFont="1" applyFill="1" applyBorder="1" applyAlignment="1">
      <alignment horizontal="right" vertical="center" indent="1"/>
    </xf>
    <xf numFmtId="172" fontId="8" fillId="19" borderId="29" xfId="0" applyNumberFormat="1" applyFont="1" applyFill="1" applyBorder="1" applyAlignment="1">
      <alignment horizontal="right" vertical="center" indent="1"/>
    </xf>
    <xf numFmtId="172" fontId="8" fillId="19" borderId="11" xfId="0" applyNumberFormat="1" applyFont="1" applyFill="1" applyBorder="1" applyAlignment="1">
      <alignment horizontal="right" vertical="center" indent="1"/>
    </xf>
    <xf numFmtId="172" fontId="8" fillId="19" borderId="12" xfId="0" applyNumberFormat="1" applyFont="1" applyFill="1" applyBorder="1" applyAlignment="1">
      <alignment horizontal="right" vertical="center" indent="1"/>
    </xf>
    <xf numFmtId="172" fontId="8" fillId="19" borderId="25" xfId="0" applyNumberFormat="1" applyFont="1" applyFill="1" applyBorder="1" applyAlignment="1">
      <alignment horizontal="right" vertical="center" indent="1"/>
    </xf>
    <xf numFmtId="172" fontId="8" fillId="19" borderId="10" xfId="0" applyNumberFormat="1" applyFont="1" applyFill="1" applyBorder="1" applyAlignment="1">
      <alignment horizontal="right" vertical="center" indent="1"/>
    </xf>
    <xf numFmtId="172" fontId="8" fillId="0" borderId="17" xfId="0" applyNumberFormat="1" applyFont="1" applyBorder="1" applyAlignment="1">
      <alignment horizontal="right" vertical="center" indent="1"/>
    </xf>
    <xf numFmtId="172" fontId="8" fillId="0" borderId="48" xfId="0" applyNumberFormat="1" applyFont="1" applyBorder="1" applyAlignment="1">
      <alignment horizontal="right" vertical="center" indent="1"/>
    </xf>
    <xf numFmtId="172" fontId="9" fillId="21" borderId="12" xfId="0" applyNumberFormat="1" applyFont="1" applyFill="1" applyBorder="1" applyAlignment="1">
      <alignment horizontal="left" vertical="center" indent="1"/>
    </xf>
    <xf numFmtId="172" fontId="8" fillId="21" borderId="29" xfId="0" applyNumberFormat="1" applyFont="1" applyFill="1" applyBorder="1" applyAlignment="1">
      <alignment horizontal="right" vertical="center" indent="1"/>
    </xf>
    <xf numFmtId="172" fontId="8" fillId="21" borderId="25" xfId="0" applyNumberFormat="1" applyFont="1" applyFill="1" applyBorder="1" applyAlignment="1">
      <alignment horizontal="right" vertical="center" indent="1"/>
    </xf>
    <xf numFmtId="172" fontId="8" fillId="21" borderId="10" xfId="0" applyNumberFormat="1" applyFont="1" applyFill="1" applyBorder="1" applyAlignment="1">
      <alignment horizontal="right" vertical="center" indent="1"/>
    </xf>
    <xf numFmtId="172" fontId="8" fillId="14" borderId="12" xfId="0" applyNumberFormat="1" applyFont="1" applyFill="1" applyBorder="1" applyAlignment="1">
      <alignment horizontal="right" vertical="center" indent="1"/>
    </xf>
    <xf numFmtId="172" fontId="8" fillId="13" borderId="12" xfId="0" applyNumberFormat="1" applyFont="1" applyFill="1" applyBorder="1" applyAlignment="1">
      <alignment horizontal="right" vertical="center" indent="1"/>
    </xf>
    <xf numFmtId="172" fontId="13" fillId="4" borderId="12" xfId="0" applyNumberFormat="1" applyFont="1" applyFill="1" applyBorder="1" applyAlignment="1">
      <alignment horizontal="center" vertical="center"/>
    </xf>
    <xf numFmtId="172" fontId="13" fillId="4" borderId="29" xfId="0" applyNumberFormat="1" applyFont="1" applyFill="1" applyBorder="1" applyAlignment="1">
      <alignment horizontal="center" vertical="center"/>
    </xf>
    <xf numFmtId="172" fontId="13" fillId="4" borderId="25" xfId="0" applyNumberFormat="1" applyFont="1" applyFill="1" applyBorder="1" applyAlignment="1">
      <alignment horizontal="center" vertical="center"/>
    </xf>
    <xf numFmtId="172" fontId="10" fillId="0" borderId="25" xfId="0" applyNumberFormat="1" applyFont="1" applyBorder="1" applyAlignment="1">
      <alignment horizontal="center" vertical="center"/>
    </xf>
    <xf numFmtId="172" fontId="10" fillId="0" borderId="10" xfId="0" applyNumberFormat="1" applyFont="1" applyBorder="1" applyAlignment="1">
      <alignment horizontal="center" vertical="center"/>
    </xf>
    <xf numFmtId="172" fontId="10" fillId="0" borderId="29" xfId="0" applyNumberFormat="1" applyFont="1" applyBorder="1" applyAlignment="1">
      <alignment horizontal="center" vertical="center"/>
    </xf>
    <xf numFmtId="172" fontId="8" fillId="21" borderId="12" xfId="0" applyNumberFormat="1" applyFont="1" applyFill="1" applyBorder="1" applyAlignment="1">
      <alignment horizontal="right" vertical="center" indent="1"/>
    </xf>
    <xf numFmtId="172" fontId="8" fillId="0" borderId="12" xfId="0" quotePrefix="1" applyNumberFormat="1" applyFont="1" applyBorder="1" applyAlignment="1">
      <alignment horizontal="center" vertical="center" indent="1"/>
    </xf>
    <xf numFmtId="172" fontId="8" fillId="9" borderId="30" xfId="0" applyNumberFormat="1" applyFont="1" applyFill="1" applyBorder="1" applyAlignment="1">
      <alignment horizontal="right" vertical="center" indent="1"/>
    </xf>
    <xf numFmtId="172" fontId="8" fillId="9" borderId="16" xfId="0" applyNumberFormat="1" applyFont="1" applyFill="1" applyBorder="1" applyAlignment="1">
      <alignment horizontal="right" vertical="center" indent="1"/>
    </xf>
    <xf numFmtId="172" fontId="8" fillId="9" borderId="17" xfId="0" applyNumberFormat="1" applyFont="1" applyFill="1" applyBorder="1" applyAlignment="1">
      <alignment horizontal="right" vertical="center" indent="1"/>
    </xf>
    <xf numFmtId="172" fontId="8" fillId="9" borderId="26" xfId="0" applyNumberFormat="1" applyFont="1" applyFill="1" applyBorder="1" applyAlignment="1">
      <alignment horizontal="right" vertical="center" indent="1"/>
    </xf>
    <xf numFmtId="172" fontId="8" fillId="9" borderId="15" xfId="0" applyNumberFormat="1" applyFont="1" applyFill="1" applyBorder="1" applyAlignment="1">
      <alignment horizontal="right" vertical="center" indent="1"/>
    </xf>
    <xf numFmtId="172" fontId="8" fillId="0" borderId="32" xfId="0" applyNumberFormat="1" applyFont="1" applyBorder="1" applyAlignment="1">
      <alignment vertical="center"/>
    </xf>
    <xf numFmtId="172" fontId="8" fillId="4" borderId="33" xfId="0" applyNumberFormat="1" applyFont="1" applyFill="1" applyBorder="1" applyAlignment="1">
      <alignment vertical="center"/>
    </xf>
    <xf numFmtId="172" fontId="8" fillId="0" borderId="33" xfId="0" applyNumberFormat="1" applyFont="1" applyBorder="1" applyAlignment="1">
      <alignment vertical="center"/>
    </xf>
    <xf numFmtId="172" fontId="8" fillId="3" borderId="33" xfId="0" applyNumberFormat="1" applyFont="1" applyFill="1" applyBorder="1" applyAlignment="1">
      <alignment vertical="center"/>
    </xf>
    <xf numFmtId="172" fontId="8" fillId="18" borderId="33" xfId="0" applyNumberFormat="1" applyFont="1" applyFill="1" applyBorder="1" applyAlignment="1">
      <alignment vertical="center"/>
    </xf>
    <xf numFmtId="172" fontId="8" fillId="21" borderId="33" xfId="0" applyNumberFormat="1" applyFont="1" applyFill="1" applyBorder="1" applyAlignment="1">
      <alignment vertical="center"/>
    </xf>
    <xf numFmtId="172" fontId="8" fillId="9" borderId="34" xfId="0" applyNumberFormat="1" applyFont="1" applyFill="1" applyBorder="1" applyAlignment="1">
      <alignment vertical="center"/>
    </xf>
    <xf numFmtId="172" fontId="11" fillId="17" borderId="77" xfId="0" applyNumberFormat="1" applyFont="1" applyFill="1" applyBorder="1" applyAlignment="1">
      <alignment horizontal="right" vertical="center" indent="1"/>
    </xf>
    <xf numFmtId="172" fontId="11" fillId="0" borderId="78" xfId="0" applyNumberFormat="1" applyFont="1" applyBorder="1" applyAlignment="1">
      <alignment horizontal="right" indent="1"/>
    </xf>
    <xf numFmtId="172" fontId="11" fillId="0" borderId="79" xfId="0" applyNumberFormat="1" applyFont="1" applyBorder="1" applyAlignment="1">
      <alignment horizontal="right" indent="1"/>
    </xf>
    <xf numFmtId="172" fontId="11" fillId="0" borderId="93" xfId="0" applyNumberFormat="1" applyFont="1" applyBorder="1" applyAlignment="1">
      <alignment horizontal="right" indent="1"/>
    </xf>
    <xf numFmtId="172" fontId="11" fillId="0" borderId="94" xfId="0" applyNumberFormat="1" applyFont="1" applyBorder="1" applyAlignment="1">
      <alignment horizontal="right" indent="1"/>
    </xf>
    <xf numFmtId="172" fontId="11" fillId="0" borderId="74" xfId="0" applyNumberFormat="1" applyFont="1" applyBorder="1" applyAlignment="1">
      <alignment horizontal="right" indent="1"/>
    </xf>
    <xf numFmtId="172" fontId="11" fillId="0" borderId="80" xfId="0" applyNumberFormat="1" applyFont="1" applyBorder="1" applyAlignment="1">
      <alignment horizontal="right" indent="1"/>
    </xf>
    <xf numFmtId="172" fontId="8" fillId="0" borderId="27" xfId="0" applyNumberFormat="1" applyFont="1" applyBorder="1" applyAlignment="1">
      <alignment horizontal="right" indent="1"/>
    </xf>
    <xf numFmtId="172" fontId="8" fillId="0" borderId="46" xfId="0" applyNumberFormat="1" applyFont="1" applyBorder="1" applyAlignment="1">
      <alignment horizontal="right" indent="1"/>
    </xf>
    <xf numFmtId="172" fontId="8" fillId="0" borderId="23" xfId="0" applyNumberFormat="1" applyFont="1" applyBorder="1" applyAlignment="1">
      <alignment horizontal="right" indent="1"/>
    </xf>
    <xf numFmtId="172" fontId="8" fillId="0" borderId="95" xfId="0" applyNumberFormat="1" applyFont="1" applyBorder="1" applyAlignment="1">
      <alignment horizontal="right" indent="1"/>
    </xf>
    <xf numFmtId="172" fontId="8" fillId="0" borderId="96" xfId="0" applyNumberFormat="1" applyFont="1" applyBorder="1" applyAlignment="1">
      <alignment horizontal="right" indent="1"/>
    </xf>
    <xf numFmtId="172" fontId="8" fillId="0" borderId="22" xfId="0" applyNumberFormat="1" applyFont="1" applyBorder="1" applyAlignment="1">
      <alignment horizontal="right" indent="1"/>
    </xf>
    <xf numFmtId="172" fontId="8" fillId="0" borderId="24" xfId="0" applyNumberFormat="1" applyFont="1" applyBorder="1" applyAlignment="1">
      <alignment horizontal="right" indent="1"/>
    </xf>
    <xf numFmtId="172" fontId="8" fillId="0" borderId="21" xfId="0" applyNumberFormat="1" applyFont="1" applyBorder="1" applyAlignment="1">
      <alignment horizontal="right" indent="1"/>
    </xf>
    <xf numFmtId="172" fontId="8" fillId="9" borderId="22" xfId="0" applyNumberFormat="1" applyFont="1" applyFill="1" applyBorder="1" applyAlignment="1">
      <alignment vertical="center"/>
    </xf>
    <xf numFmtId="172" fontId="8" fillId="3" borderId="40" xfId="0" applyNumberFormat="1" applyFont="1" applyFill="1" applyBorder="1" applyAlignment="1">
      <alignment horizontal="right" vertical="center" indent="1"/>
    </xf>
    <xf numFmtId="172" fontId="8" fillId="3" borderId="36" xfId="0" applyNumberFormat="1" applyFont="1" applyFill="1" applyBorder="1" applyAlignment="1">
      <alignment horizontal="right" vertical="center" indent="1"/>
    </xf>
    <xf numFmtId="172" fontId="8" fillId="3" borderId="33" xfId="0" applyNumberFormat="1" applyFont="1" applyFill="1" applyBorder="1" applyAlignment="1">
      <alignment horizontal="right" vertical="center" indent="1"/>
    </xf>
    <xf numFmtId="172" fontId="8" fillId="4" borderId="40" xfId="0" applyNumberFormat="1" applyFont="1" applyFill="1" applyBorder="1" applyAlignment="1">
      <alignment horizontal="right" vertical="center" indent="1"/>
    </xf>
    <xf numFmtId="172" fontId="8" fillId="4" borderId="36" xfId="0" applyNumberFormat="1" applyFont="1" applyFill="1" applyBorder="1" applyAlignment="1">
      <alignment horizontal="right" vertical="center" indent="1"/>
    </xf>
    <xf numFmtId="172" fontId="8" fillId="4" borderId="33" xfId="0" applyNumberFormat="1" applyFont="1" applyFill="1" applyBorder="1" applyAlignment="1">
      <alignment horizontal="right" vertical="center" indent="1"/>
    </xf>
    <xf numFmtId="172" fontId="8" fillId="0" borderId="40" xfId="0" applyNumberFormat="1" applyFont="1" applyBorder="1" applyAlignment="1">
      <alignment horizontal="right" vertical="center" indent="1"/>
    </xf>
    <xf numFmtId="172" fontId="8" fillId="0" borderId="36" xfId="0" applyNumberFormat="1" applyFont="1" applyBorder="1" applyAlignment="1">
      <alignment horizontal="right" vertical="center" indent="1"/>
    </xf>
    <xf numFmtId="172" fontId="8" fillId="0" borderId="33" xfId="0" applyNumberFormat="1" applyFont="1" applyBorder="1" applyAlignment="1">
      <alignment horizontal="right" vertical="center" indent="1"/>
    </xf>
    <xf numFmtId="172" fontId="8" fillId="0" borderId="36" xfId="0" applyNumberFormat="1" applyFont="1" applyFill="1" applyBorder="1" applyAlignment="1">
      <alignment horizontal="right" vertical="center" indent="1"/>
    </xf>
    <xf numFmtId="172" fontId="8" fillId="8" borderId="40" xfId="0" applyNumberFormat="1" applyFont="1" applyFill="1" applyBorder="1" applyAlignment="1">
      <alignment horizontal="right" vertical="center" indent="1"/>
    </xf>
    <xf numFmtId="172" fontId="9" fillId="21" borderId="36" xfId="0" applyNumberFormat="1" applyFont="1" applyFill="1" applyBorder="1" applyAlignment="1">
      <alignment horizontal="left" vertical="center" indent="1"/>
    </xf>
    <xf numFmtId="172" fontId="8" fillId="21" borderId="36" xfId="0" applyNumberFormat="1" applyFont="1" applyFill="1" applyBorder="1" applyAlignment="1">
      <alignment horizontal="right" vertical="center" indent="1"/>
    </xf>
    <xf numFmtId="172" fontId="8" fillId="22" borderId="29" xfId="0" applyNumberFormat="1" applyFont="1" applyFill="1" applyBorder="1" applyAlignment="1">
      <alignment horizontal="right" vertical="center" indent="1"/>
    </xf>
    <xf numFmtId="172" fontId="8" fillId="22" borderId="40" xfId="0" applyNumberFormat="1" applyFont="1" applyFill="1" applyBorder="1" applyAlignment="1">
      <alignment horizontal="right" vertical="center" indent="1"/>
    </xf>
    <xf numFmtId="172" fontId="8" fillId="22" borderId="12" xfId="0" applyNumberFormat="1" applyFont="1" applyFill="1" applyBorder="1" applyAlignment="1">
      <alignment horizontal="right" vertical="center" indent="1"/>
    </xf>
    <xf numFmtId="172" fontId="8" fillId="22" borderId="36" xfId="0" applyNumberFormat="1" applyFont="1" applyFill="1" applyBorder="1" applyAlignment="1">
      <alignment horizontal="right" vertical="center" indent="1"/>
    </xf>
    <xf numFmtId="172" fontId="8" fillId="22" borderId="33" xfId="0" applyNumberFormat="1" applyFont="1" applyFill="1" applyBorder="1" applyAlignment="1">
      <alignment horizontal="right" vertical="center" indent="1"/>
    </xf>
    <xf numFmtId="172" fontId="8" fillId="18" borderId="36" xfId="0" applyNumberFormat="1" applyFont="1" applyFill="1" applyBorder="1" applyAlignment="1">
      <alignment horizontal="right" vertical="center" indent="1"/>
    </xf>
    <xf numFmtId="172" fontId="8" fillId="20" borderId="40" xfId="0" applyNumberFormat="1" applyFont="1" applyFill="1" applyBorder="1" applyAlignment="1">
      <alignment horizontal="right" vertical="center" indent="1"/>
    </xf>
    <xf numFmtId="172" fontId="8" fillId="19" borderId="36" xfId="0" applyNumberFormat="1" applyFont="1" applyFill="1" applyBorder="1" applyAlignment="1">
      <alignment horizontal="right" vertical="center" indent="1"/>
    </xf>
    <xf numFmtId="172" fontId="8" fillId="19" borderId="33" xfId="0" applyNumberFormat="1" applyFont="1" applyFill="1" applyBorder="1" applyAlignment="1">
      <alignment horizontal="right" vertical="center" indent="1"/>
    </xf>
    <xf numFmtId="172" fontId="9" fillId="21" borderId="29" xfId="0" applyNumberFormat="1" applyFont="1" applyFill="1" applyBorder="1" applyAlignment="1">
      <alignment horizontal="left" vertical="center" indent="1"/>
    </xf>
    <xf numFmtId="172" fontId="9" fillId="21" borderId="33" xfId="0" applyNumberFormat="1" applyFont="1" applyFill="1" applyBorder="1" applyAlignment="1">
      <alignment horizontal="left" vertical="center" indent="1"/>
    </xf>
    <xf numFmtId="172" fontId="13" fillId="4" borderId="36" xfId="0" applyNumberFormat="1" applyFont="1" applyFill="1" applyBorder="1" applyAlignment="1">
      <alignment horizontal="center" vertical="center"/>
    </xf>
    <xf numFmtId="172" fontId="13" fillId="4" borderId="33" xfId="0" applyNumberFormat="1" applyFont="1" applyFill="1" applyBorder="1" applyAlignment="1">
      <alignment horizontal="center" vertical="center"/>
    </xf>
    <xf numFmtId="172" fontId="8" fillId="9" borderId="41" xfId="0" applyNumberFormat="1" applyFont="1" applyFill="1" applyBorder="1" applyAlignment="1">
      <alignment horizontal="right" vertical="center" indent="1"/>
    </xf>
    <xf numFmtId="172" fontId="8" fillId="9" borderId="37" xfId="0" applyNumberFormat="1" applyFont="1" applyFill="1" applyBorder="1" applyAlignment="1">
      <alignment horizontal="right" vertical="center" indent="1"/>
    </xf>
    <xf numFmtId="172" fontId="8" fillId="9" borderId="34" xfId="0" applyNumberFormat="1" applyFont="1" applyFill="1" applyBorder="1" applyAlignment="1">
      <alignment horizontal="right" vertical="center" indent="1"/>
    </xf>
    <xf numFmtId="172" fontId="8" fillId="20" borderId="36" xfId="0" applyNumberFormat="1" applyFont="1" applyFill="1" applyBorder="1" applyAlignment="1">
      <alignment horizontal="right" vertical="center" indent="1"/>
    </xf>
    <xf numFmtId="172" fontId="8" fillId="20" borderId="33" xfId="0" applyNumberFormat="1" applyFont="1" applyFill="1" applyBorder="1" applyAlignment="1">
      <alignment horizontal="right" vertical="center" indent="1"/>
    </xf>
    <xf numFmtId="172" fontId="10" fillId="0" borderId="33" xfId="0" applyNumberFormat="1" applyFont="1" applyBorder="1" applyAlignment="1">
      <alignment horizontal="center" vertical="center"/>
    </xf>
    <xf numFmtId="172" fontId="10" fillId="0" borderId="36" xfId="0" applyNumberFormat="1" applyFont="1" applyBorder="1" applyAlignment="1">
      <alignment horizontal="center" vertical="center"/>
    </xf>
    <xf numFmtId="172" fontId="8" fillId="21" borderId="33" xfId="0" applyNumberFormat="1" applyFont="1" applyFill="1" applyBorder="1" applyAlignment="1">
      <alignment horizontal="right" vertical="center" indent="1"/>
    </xf>
    <xf numFmtId="172" fontId="8" fillId="19" borderId="40" xfId="0" applyNumberFormat="1" applyFont="1" applyFill="1" applyBorder="1" applyAlignment="1">
      <alignment horizontal="right" vertical="center" indent="1"/>
    </xf>
    <xf numFmtId="172" fontId="8" fillId="0" borderId="34" xfId="0" applyNumberFormat="1" applyFont="1" applyBorder="1" applyAlignment="1">
      <alignment vertical="center"/>
    </xf>
    <xf numFmtId="172" fontId="8" fillId="0" borderId="43" xfId="0" applyNumberFormat="1" applyFont="1" applyBorder="1" applyAlignment="1">
      <alignment horizontal="right" indent="1"/>
    </xf>
    <xf numFmtId="172" fontId="8" fillId="0" borderId="14" xfId="0" applyNumberFormat="1" applyFont="1" applyBorder="1" applyAlignment="1">
      <alignment horizontal="right" indent="1"/>
    </xf>
    <xf numFmtId="172" fontId="8" fillId="0" borderId="38" xfId="0" applyNumberFormat="1" applyFont="1" applyBorder="1" applyAlignment="1">
      <alignment horizontal="right" indent="1"/>
    </xf>
    <xf numFmtId="172" fontId="8" fillId="0" borderId="39" xfId="0" applyNumberFormat="1" applyFont="1" applyBorder="1" applyAlignment="1">
      <alignment horizontal="right" indent="1"/>
    </xf>
    <xf numFmtId="172" fontId="8" fillId="0" borderId="22" xfId="0" applyNumberFormat="1" applyFont="1" applyBorder="1"/>
    <xf numFmtId="172" fontId="8" fillId="0" borderId="12" xfId="0" applyNumberFormat="1" applyFont="1" applyFill="1" applyBorder="1" applyAlignment="1">
      <alignment horizontal="right" vertical="center" indent="1"/>
    </xf>
    <xf numFmtId="172" fontId="8" fillId="18" borderId="11" xfId="0" applyNumberFormat="1" applyFont="1" applyFill="1" applyBorder="1" applyAlignment="1">
      <alignment horizontal="right" vertical="center" indent="1"/>
    </xf>
    <xf numFmtId="172" fontId="8" fillId="25" borderId="12" xfId="0" applyNumberFormat="1" applyFont="1" applyFill="1" applyBorder="1" applyAlignment="1">
      <alignment horizontal="right" vertical="center" indent="1"/>
    </xf>
    <xf numFmtId="172" fontId="8" fillId="25" borderId="11" xfId="0" applyNumberFormat="1" applyFont="1" applyFill="1" applyBorder="1" applyAlignment="1">
      <alignment horizontal="right" vertical="center" indent="1"/>
    </xf>
    <xf numFmtId="172" fontId="8" fillId="25" borderId="10" xfId="0" applyNumberFormat="1" applyFont="1" applyFill="1" applyBorder="1" applyAlignment="1">
      <alignment horizontal="right" vertical="center" indent="1"/>
    </xf>
    <xf numFmtId="173" fontId="8" fillId="0" borderId="67" xfId="0" applyNumberFormat="1" applyFont="1" applyBorder="1" applyAlignment="1">
      <alignment horizontal="right" indent="1"/>
    </xf>
    <xf numFmtId="173" fontId="0" fillId="0" borderId="0" xfId="0" applyNumberFormat="1" applyBorder="1"/>
    <xf numFmtId="173" fontId="0" fillId="0" borderId="47" xfId="0" applyNumberFormat="1" applyBorder="1"/>
    <xf numFmtId="173" fontId="0" fillId="0" borderId="0" xfId="0" applyNumberFormat="1"/>
    <xf numFmtId="165" fontId="0" fillId="0" borderId="0" xfId="0" applyNumberFormat="1" applyFont="1"/>
    <xf numFmtId="0" fontId="0" fillId="0" borderId="0" xfId="0" applyFill="1" applyAlignment="1">
      <alignment vertical="center"/>
    </xf>
    <xf numFmtId="174" fontId="10" fillId="4" borderId="12" xfId="0" applyNumberFormat="1" applyFont="1" applyFill="1" applyBorder="1" applyAlignment="1">
      <alignment horizontal="center" vertical="center"/>
    </xf>
    <xf numFmtId="170" fontId="8" fillId="0" borderId="97" xfId="0" applyNumberFormat="1" applyFont="1" applyBorder="1" applyAlignment="1">
      <alignment horizontal="right" indent="1"/>
    </xf>
    <xf numFmtId="170" fontId="8" fillId="0" borderId="98" xfId="0" applyNumberFormat="1" applyFont="1" applyBorder="1" applyAlignment="1">
      <alignment horizontal="right" indent="1"/>
    </xf>
    <xf numFmtId="164" fontId="0" fillId="6" borderId="0" xfId="0" applyNumberFormat="1" applyFill="1" applyAlignment="1">
      <alignment horizontal="center"/>
    </xf>
    <xf numFmtId="0" fontId="0" fillId="0" borderId="0" xfId="0" applyAlignment="1">
      <alignment horizontal="right"/>
    </xf>
    <xf numFmtId="175" fontId="0" fillId="0" borderId="0" xfId="0" applyNumberFormat="1"/>
    <xf numFmtId="4" fontId="0" fillId="0" borderId="0" xfId="0" applyNumberFormat="1"/>
    <xf numFmtId="0" fontId="0" fillId="2" borderId="0" xfId="0" applyNumberFormat="1" applyFill="1" applyAlignment="1">
      <alignment horizontal="center"/>
    </xf>
    <xf numFmtId="0" fontId="6" fillId="0" borderId="0" xfId="0" applyFont="1" applyAlignment="1">
      <alignment horizontal="centerContinuous"/>
    </xf>
    <xf numFmtId="175" fontId="0" fillId="0" borderId="0" xfId="0" applyNumberFormat="1" applyFont="1"/>
    <xf numFmtId="175" fontId="0" fillId="8" borderId="0" xfId="0" applyNumberFormat="1" applyFont="1" applyFill="1" applyAlignment="1"/>
    <xf numFmtId="175" fontId="0" fillId="8" borderId="0" xfId="0" applyNumberFormat="1" applyFont="1" applyFill="1" applyAlignment="1">
      <alignment horizontal="center"/>
    </xf>
    <xf numFmtId="4" fontId="6" fillId="0" borderId="0" xfId="0" applyNumberFormat="1" applyFont="1" applyAlignment="1">
      <alignment horizontal="centerContinuous"/>
    </xf>
    <xf numFmtId="176" fontId="0" fillId="0" borderId="0" xfId="0" applyNumberFormat="1"/>
    <xf numFmtId="176" fontId="0" fillId="0" borderId="0" xfId="0" applyNumberFormat="1" applyAlignment="1">
      <alignment horizontal="right" indent="1"/>
    </xf>
    <xf numFmtId="0" fontId="10" fillId="0" borderId="99" xfId="0" applyFont="1" applyBorder="1" applyAlignment="1">
      <alignment horizontal="center"/>
    </xf>
    <xf numFmtId="170" fontId="8" fillId="0" borderId="100" xfId="0" applyNumberFormat="1" applyFont="1" applyBorder="1" applyAlignment="1">
      <alignment horizontal="right" indent="1"/>
    </xf>
    <xf numFmtId="0" fontId="10" fillId="0" borderId="103" xfId="0" applyFont="1" applyBorder="1" applyAlignment="1">
      <alignment horizontal="center"/>
    </xf>
    <xf numFmtId="170" fontId="8" fillId="0" borderId="104" xfId="0" applyNumberFormat="1" applyFont="1" applyBorder="1" applyAlignment="1">
      <alignment horizontal="right" indent="1"/>
    </xf>
    <xf numFmtId="0" fontId="10" fillId="0" borderId="105" xfId="0" applyFont="1" applyBorder="1" applyAlignment="1">
      <alignment horizontal="center"/>
    </xf>
    <xf numFmtId="170" fontId="8" fillId="0" borderId="42" xfId="0" applyNumberFormat="1" applyFont="1" applyBorder="1" applyAlignment="1">
      <alignment horizontal="right" indent="1"/>
    </xf>
    <xf numFmtId="170" fontId="8" fillId="0" borderId="109" xfId="0" applyNumberFormat="1" applyFont="1" applyBorder="1" applyAlignment="1">
      <alignment horizontal="right" indent="1"/>
    </xf>
    <xf numFmtId="170" fontId="8" fillId="0" borderId="110" xfId="0" applyNumberFormat="1" applyFont="1" applyBorder="1" applyAlignment="1">
      <alignment horizontal="right" indent="1"/>
    </xf>
    <xf numFmtId="170" fontId="8" fillId="0" borderId="111" xfId="0" applyNumberFormat="1" applyFont="1" applyBorder="1" applyAlignment="1">
      <alignment horizontal="right" indent="1"/>
    </xf>
    <xf numFmtId="170" fontId="8" fillId="0" borderId="112" xfId="0" applyNumberFormat="1" applyFont="1" applyBorder="1" applyAlignment="1">
      <alignment horizontal="right" indent="1"/>
    </xf>
    <xf numFmtId="170" fontId="8" fillId="0" borderId="113" xfId="0" applyNumberFormat="1" applyFont="1" applyBorder="1" applyAlignment="1">
      <alignment horizontal="right" indent="1"/>
    </xf>
    <xf numFmtId="170" fontId="8" fillId="0" borderId="114" xfId="0" applyNumberFormat="1" applyFont="1" applyBorder="1" applyAlignment="1">
      <alignment horizontal="right" indent="1"/>
    </xf>
    <xf numFmtId="0" fontId="0" fillId="0" borderId="0" xfId="0" applyNumberFormat="1"/>
    <xf numFmtId="178" fontId="4" fillId="0" borderId="0" xfId="0" applyNumberFormat="1" applyFont="1" applyBorder="1"/>
    <xf numFmtId="3" fontId="16" fillId="0" borderId="0" xfId="0" quotePrefix="1" applyNumberFormat="1" applyFont="1" applyBorder="1" applyAlignment="1">
      <alignment vertical="top"/>
    </xf>
    <xf numFmtId="0" fontId="0" fillId="18" borderId="3" xfId="0" applyFill="1" applyBorder="1" applyAlignment="1">
      <alignment vertical="center"/>
    </xf>
    <xf numFmtId="172" fontId="8" fillId="0" borderId="33" xfId="0" applyNumberFormat="1" applyFont="1" applyFill="1" applyBorder="1" applyAlignment="1">
      <alignment horizontal="right" vertical="center" indent="1"/>
    </xf>
    <xf numFmtId="172" fontId="8" fillId="18" borderId="33" xfId="0" applyNumberFormat="1" applyFont="1" applyFill="1" applyBorder="1" applyAlignment="1">
      <alignment horizontal="right" vertical="center" indent="1"/>
    </xf>
    <xf numFmtId="172" fontId="8" fillId="18" borderId="25" xfId="0" applyNumberFormat="1" applyFont="1" applyFill="1" applyBorder="1" applyAlignment="1">
      <alignment horizontal="right" vertical="center" indent="1"/>
    </xf>
    <xf numFmtId="172" fontId="8" fillId="18" borderId="12" xfId="0" quotePrefix="1" applyNumberFormat="1" applyFont="1" applyFill="1" applyBorder="1" applyAlignment="1">
      <alignment horizontal="center" vertical="center" indent="1"/>
    </xf>
    <xf numFmtId="172" fontId="8" fillId="18" borderId="29" xfId="0" applyNumberFormat="1" applyFont="1" applyFill="1" applyBorder="1" applyAlignment="1">
      <alignment horizontal="center" vertical="center" indent="1"/>
    </xf>
    <xf numFmtId="172" fontId="8" fillId="0" borderId="9" xfId="0" applyNumberFormat="1" applyFont="1" applyFill="1" applyBorder="1" applyAlignment="1">
      <alignment horizontal="right" vertical="center" indent="1"/>
    </xf>
    <xf numFmtId="4" fontId="8" fillId="0" borderId="49" xfId="0" applyNumberFormat="1" applyFont="1" applyBorder="1" applyAlignment="1">
      <alignment horizontal="right" indent="1"/>
    </xf>
    <xf numFmtId="172" fontId="8" fillId="8" borderId="29" xfId="0" applyNumberFormat="1" applyFont="1" applyFill="1" applyBorder="1" applyAlignment="1">
      <alignment horizontal="right" vertical="center" indent="1"/>
    </xf>
    <xf numFmtId="179" fontId="6" fillId="0" borderId="0" xfId="0" applyNumberFormat="1" applyFont="1"/>
    <xf numFmtId="179" fontId="11" fillId="0" borderId="0" xfId="0" applyNumberFormat="1" applyFont="1"/>
    <xf numFmtId="173" fontId="8" fillId="0" borderId="0" xfId="0" applyNumberFormat="1" applyFont="1"/>
    <xf numFmtId="0" fontId="0" fillId="0" borderId="115" xfId="0" applyBorder="1"/>
    <xf numFmtId="173" fontId="0" fillId="0" borderId="115" xfId="0" applyNumberFormat="1" applyBorder="1" applyAlignment="1">
      <alignment horizontal="center" wrapText="1"/>
    </xf>
    <xf numFmtId="0" fontId="0" fillId="0" borderId="0" xfId="0" applyAlignment="1">
      <alignment wrapText="1"/>
    </xf>
    <xf numFmtId="179" fontId="0" fillId="0" borderId="115" xfId="0" applyNumberFormat="1" applyBorder="1" applyAlignment="1">
      <alignment horizontal="left"/>
    </xf>
    <xf numFmtId="173" fontId="0" fillId="0" borderId="115" xfId="0" applyNumberFormat="1" applyBorder="1"/>
    <xf numFmtId="179" fontId="0" fillId="0" borderId="0" xfId="0" applyNumberFormat="1"/>
    <xf numFmtId="0" fontId="0" fillId="0" borderId="115" xfId="0" pivotButton="1" applyBorder="1"/>
    <xf numFmtId="0" fontId="0" fillId="0" borderId="115" xfId="0" pivotButton="1" applyBorder="1" applyAlignment="1">
      <alignment wrapText="1"/>
    </xf>
    <xf numFmtId="172" fontId="8" fillId="0" borderId="29" xfId="0" applyNumberFormat="1" applyFont="1" applyFill="1" applyBorder="1" applyAlignment="1">
      <alignment horizontal="right" vertical="center" indent="1"/>
    </xf>
    <xf numFmtId="172" fontId="8" fillId="0" borderId="40" xfId="0" applyNumberFormat="1" applyFont="1" applyFill="1" applyBorder="1" applyAlignment="1">
      <alignment horizontal="right" vertical="center" indent="1"/>
    </xf>
    <xf numFmtId="172" fontId="8" fillId="0" borderId="33" xfId="0" applyNumberFormat="1" applyFont="1" applyFill="1" applyBorder="1" applyAlignment="1">
      <alignment vertical="center"/>
    </xf>
    <xf numFmtId="168" fontId="8" fillId="0" borderId="33" xfId="0" applyNumberFormat="1" applyFont="1" applyFill="1" applyBorder="1" applyAlignment="1">
      <alignment horizontal="center" vertical="center"/>
    </xf>
    <xf numFmtId="172" fontId="8" fillId="13" borderId="29" xfId="0" applyNumberFormat="1" applyFont="1" applyFill="1" applyBorder="1" applyAlignment="1">
      <alignment horizontal="right" vertical="center" indent="1"/>
    </xf>
    <xf numFmtId="170" fontId="8" fillId="0" borderId="126" xfId="0" applyNumberFormat="1" applyFont="1" applyBorder="1" applyAlignment="1">
      <alignment horizontal="right" indent="1"/>
    </xf>
    <xf numFmtId="170" fontId="8" fillId="0" borderId="127" xfId="0" applyNumberFormat="1" applyFont="1" applyBorder="1" applyAlignment="1">
      <alignment horizontal="right" indent="1"/>
    </xf>
    <xf numFmtId="170" fontId="8" fillId="0" borderId="106" xfId="0" applyNumberFormat="1" applyFont="1" applyBorder="1" applyAlignment="1">
      <alignment horizontal="right" indent="1"/>
    </xf>
    <xf numFmtId="170" fontId="8" fillId="0" borderId="107" xfId="0" applyNumberFormat="1" applyFont="1" applyBorder="1" applyAlignment="1">
      <alignment horizontal="right" indent="1"/>
    </xf>
    <xf numFmtId="170" fontId="8" fillId="0" borderId="125" xfId="0" applyNumberFormat="1" applyFont="1" applyBorder="1" applyAlignment="1">
      <alignment horizontal="right" indent="1"/>
    </xf>
    <xf numFmtId="172" fontId="8" fillId="14" borderId="10" xfId="0" applyNumberFormat="1" applyFont="1" applyFill="1" applyBorder="1" applyAlignment="1">
      <alignment horizontal="right" vertical="center" indent="1"/>
    </xf>
    <xf numFmtId="172" fontId="8" fillId="26" borderId="10" xfId="0" applyNumberFormat="1" applyFont="1" applyFill="1" applyBorder="1" applyAlignment="1">
      <alignment horizontal="right" vertical="center" indent="1"/>
    </xf>
    <xf numFmtId="172" fontId="8" fillId="0" borderId="28" xfId="0" applyNumberFormat="1" applyFont="1" applyFill="1" applyBorder="1" applyAlignment="1">
      <alignment horizontal="right" vertical="center" indent="1"/>
    </xf>
    <xf numFmtId="14" fontId="21" fillId="0" borderId="0" xfId="0" applyNumberFormat="1" applyFont="1"/>
    <xf numFmtId="0" fontId="8" fillId="0" borderId="10" xfId="0" applyFont="1" applyFill="1" applyBorder="1" applyAlignment="1">
      <alignment vertical="center"/>
    </xf>
    <xf numFmtId="0" fontId="8" fillId="0" borderId="11" xfId="0" applyFont="1" applyFill="1" applyBorder="1" applyAlignment="1">
      <alignment vertical="center"/>
    </xf>
    <xf numFmtId="0" fontId="10" fillId="0" borderId="11" xfId="0" applyFont="1" applyFill="1" applyBorder="1" applyAlignment="1">
      <alignment horizontal="center" vertical="center"/>
    </xf>
    <xf numFmtId="0" fontId="22" fillId="0" borderId="10" xfId="0" applyFont="1" applyFill="1" applyBorder="1" applyAlignment="1">
      <alignment vertical="center"/>
    </xf>
    <xf numFmtId="0" fontId="22" fillId="0" borderId="11" xfId="0" applyFont="1" applyFill="1" applyBorder="1" applyAlignment="1">
      <alignment vertical="center"/>
    </xf>
    <xf numFmtId="3" fontId="0" fillId="0" borderId="0" xfId="0" applyNumberFormat="1"/>
    <xf numFmtId="180" fontId="11" fillId="0" borderId="128" xfId="0" applyNumberFormat="1" applyFont="1" applyBorder="1" applyAlignment="1">
      <alignment horizontal="right" indent="1"/>
    </xf>
    <xf numFmtId="180" fontId="11" fillId="0" borderId="79" xfId="0" applyNumberFormat="1" applyFont="1" applyBorder="1" applyAlignment="1">
      <alignment horizontal="right" indent="1"/>
    </xf>
    <xf numFmtId="180" fontId="11" fillId="0" borderId="80" xfId="0" applyNumberFormat="1" applyFont="1" applyBorder="1" applyAlignment="1">
      <alignment horizontal="right" indent="1"/>
    </xf>
    <xf numFmtId="180" fontId="8" fillId="0" borderId="46" xfId="0" applyNumberFormat="1" applyFont="1" applyBorder="1" applyAlignment="1">
      <alignment horizontal="right" indent="1"/>
    </xf>
    <xf numFmtId="180" fontId="8" fillId="0" borderId="23" xfId="0" applyNumberFormat="1" applyFont="1" applyBorder="1" applyAlignment="1">
      <alignment horizontal="right" indent="1"/>
    </xf>
    <xf numFmtId="180" fontId="8" fillId="0" borderId="27" xfId="0" applyNumberFormat="1" applyFont="1" applyBorder="1" applyAlignment="1">
      <alignment horizontal="right" indent="1"/>
    </xf>
    <xf numFmtId="180" fontId="8" fillId="0" borderId="116" xfId="0" applyNumberFormat="1" applyFont="1" applyFill="1" applyBorder="1" applyAlignment="1">
      <alignment horizontal="right" vertical="center" indent="1"/>
    </xf>
    <xf numFmtId="180" fontId="8" fillId="0" borderId="117" xfId="0" applyNumberFormat="1" applyFont="1" applyFill="1" applyBorder="1" applyAlignment="1">
      <alignment horizontal="right" vertical="center" indent="1"/>
    </xf>
    <xf numFmtId="180" fontId="8" fillId="0" borderId="117" xfId="0" applyNumberFormat="1" applyFont="1" applyBorder="1" applyAlignment="1">
      <alignment horizontal="right" vertical="center" indent="1"/>
    </xf>
    <xf numFmtId="180" fontId="8" fillId="0" borderId="118" xfId="0" applyNumberFormat="1" applyFont="1" applyBorder="1" applyAlignment="1">
      <alignment horizontal="right" vertical="center" indent="1"/>
    </xf>
    <xf numFmtId="180" fontId="8" fillId="4" borderId="119" xfId="0" applyNumberFormat="1" applyFont="1" applyFill="1" applyBorder="1" applyAlignment="1">
      <alignment horizontal="right" vertical="center" indent="1"/>
    </xf>
    <xf numFmtId="180" fontId="8" fillId="4" borderId="120" xfId="0" applyNumberFormat="1" applyFont="1" applyFill="1" applyBorder="1" applyAlignment="1">
      <alignment horizontal="right" vertical="center" indent="1"/>
    </xf>
    <xf numFmtId="180" fontId="8" fillId="4" borderId="121" xfId="0" applyNumberFormat="1" applyFont="1" applyFill="1" applyBorder="1" applyAlignment="1">
      <alignment horizontal="right" vertical="center" indent="1"/>
    </xf>
    <xf numFmtId="180" fontId="8" fillId="0" borderId="119" xfId="0" applyNumberFormat="1" applyFont="1" applyBorder="1" applyAlignment="1">
      <alignment horizontal="right" vertical="center" indent="1"/>
    </xf>
    <xf numFmtId="180" fontId="8" fillId="0" borderId="120" xfId="0" applyNumberFormat="1" applyFont="1" applyBorder="1" applyAlignment="1">
      <alignment horizontal="right" vertical="center" indent="1"/>
    </xf>
    <xf numFmtId="180" fontId="8" fillId="0" borderId="121" xfId="0" applyNumberFormat="1" applyFont="1" applyBorder="1" applyAlignment="1">
      <alignment horizontal="right" vertical="center" indent="1"/>
    </xf>
    <xf numFmtId="180" fontId="17" fillId="18" borderId="119" xfId="0" applyNumberFormat="1" applyFont="1" applyFill="1" applyBorder="1" applyAlignment="1">
      <alignment horizontal="left" vertical="center" indent="1"/>
    </xf>
    <xf numFmtId="180" fontId="8" fillId="18" borderId="120" xfId="0" applyNumberFormat="1" applyFont="1" applyFill="1" applyBorder="1" applyAlignment="1">
      <alignment horizontal="right" vertical="center" indent="1"/>
    </xf>
    <xf numFmtId="180" fontId="8" fillId="0" borderId="119" xfId="0" applyNumberFormat="1" applyFont="1" applyFill="1" applyBorder="1" applyAlignment="1">
      <alignment horizontal="right" vertical="center" indent="1"/>
    </xf>
    <xf numFmtId="180" fontId="8" fillId="0" borderId="120" xfId="0" applyNumberFormat="1" applyFont="1" applyFill="1" applyBorder="1" applyAlignment="1">
      <alignment horizontal="right" vertical="center" indent="1"/>
    </xf>
    <xf numFmtId="180" fontId="8" fillId="8" borderId="119" xfId="0" applyNumberFormat="1" applyFont="1" applyFill="1" applyBorder="1" applyAlignment="1">
      <alignment horizontal="right" vertical="center" indent="1"/>
    </xf>
    <xf numFmtId="180" fontId="8" fillId="3" borderId="119" xfId="0" applyNumberFormat="1" applyFont="1" applyFill="1" applyBorder="1" applyAlignment="1">
      <alignment horizontal="right" vertical="center" indent="1"/>
    </xf>
    <xf numFmtId="180" fontId="8" fillId="3" borderId="120" xfId="0" applyNumberFormat="1" applyFont="1" applyFill="1" applyBorder="1" applyAlignment="1">
      <alignment horizontal="right" vertical="center" indent="1"/>
    </xf>
    <xf numFmtId="180" fontId="8" fillId="3" borderId="121" xfId="0" applyNumberFormat="1" applyFont="1" applyFill="1" applyBorder="1" applyAlignment="1">
      <alignment horizontal="right" vertical="center" indent="1"/>
    </xf>
    <xf numFmtId="180" fontId="8" fillId="0" borderId="121" xfId="0" applyNumberFormat="1" applyFont="1" applyFill="1" applyBorder="1" applyAlignment="1">
      <alignment horizontal="right" vertical="center" indent="1"/>
    </xf>
    <xf numFmtId="180" fontId="8" fillId="8" borderId="120" xfId="0" applyNumberFormat="1" applyFont="1" applyFill="1" applyBorder="1" applyAlignment="1">
      <alignment horizontal="right" vertical="center" indent="1"/>
    </xf>
    <xf numFmtId="180" fontId="8" fillId="13" borderId="120" xfId="0" applyNumberFormat="1" applyFont="1" applyFill="1" applyBorder="1" applyAlignment="1">
      <alignment horizontal="right" vertical="center" indent="1"/>
    </xf>
    <xf numFmtId="180" fontId="8" fillId="18" borderId="119" xfId="0" applyNumberFormat="1" applyFont="1" applyFill="1" applyBorder="1" applyAlignment="1">
      <alignment horizontal="right" vertical="center" indent="1"/>
    </xf>
    <xf numFmtId="180" fontId="8" fillId="18" borderId="121" xfId="0" applyNumberFormat="1" applyFont="1" applyFill="1" applyBorder="1" applyAlignment="1">
      <alignment horizontal="right" vertical="center" indent="1"/>
    </xf>
    <xf numFmtId="180" fontId="8" fillId="21" borderId="119" xfId="0" applyNumberFormat="1" applyFont="1" applyFill="1" applyBorder="1" applyAlignment="1">
      <alignment horizontal="right" vertical="center" indent="1"/>
    </xf>
    <xf numFmtId="180" fontId="8" fillId="21" borderId="120" xfId="0" applyNumberFormat="1" applyFont="1" applyFill="1" applyBorder="1" applyAlignment="1">
      <alignment horizontal="right" vertical="center" indent="1"/>
    </xf>
    <xf numFmtId="180" fontId="8" fillId="21" borderId="121" xfId="0" applyNumberFormat="1" applyFont="1" applyFill="1" applyBorder="1" applyAlignment="1">
      <alignment horizontal="right" vertical="center" indent="1"/>
    </xf>
    <xf numFmtId="180" fontId="10" fillId="0" borderId="119" xfId="0" applyNumberFormat="1" applyFont="1" applyBorder="1" applyAlignment="1">
      <alignment horizontal="center" vertical="center"/>
    </xf>
    <xf numFmtId="180" fontId="10" fillId="0" borderId="120" xfId="0" applyNumberFormat="1" applyFont="1" applyBorder="1" applyAlignment="1">
      <alignment horizontal="center" vertical="center"/>
    </xf>
    <xf numFmtId="180" fontId="10" fillId="0" borderId="121" xfId="0" applyNumberFormat="1" applyFont="1" applyBorder="1" applyAlignment="1">
      <alignment horizontal="center" vertical="center"/>
    </xf>
    <xf numFmtId="180" fontId="8" fillId="9" borderId="122" xfId="0" applyNumberFormat="1" applyFont="1" applyFill="1" applyBorder="1" applyAlignment="1">
      <alignment horizontal="right" vertical="center" indent="1"/>
    </xf>
    <xf numFmtId="180" fontId="8" fillId="9" borderId="123" xfId="0" applyNumberFormat="1" applyFont="1" applyFill="1" applyBorder="1" applyAlignment="1">
      <alignment horizontal="right" vertical="center" indent="1"/>
    </xf>
    <xf numFmtId="180" fontId="8" fillId="9" borderId="124" xfId="0" applyNumberFormat="1" applyFont="1" applyFill="1" applyBorder="1" applyAlignment="1">
      <alignment horizontal="right" vertical="center" indent="1"/>
    </xf>
    <xf numFmtId="180" fontId="8" fillId="0" borderId="32" xfId="0" applyNumberFormat="1" applyFont="1" applyBorder="1" applyAlignment="1">
      <alignment horizontal="right" vertical="center" indent="1"/>
    </xf>
    <xf numFmtId="180" fontId="8" fillId="4" borderId="33" xfId="0" applyNumberFormat="1" applyFont="1" applyFill="1" applyBorder="1" applyAlignment="1">
      <alignment horizontal="right" vertical="center" indent="1"/>
    </xf>
    <xf numFmtId="180" fontId="8" fillId="0" borderId="33" xfId="0" applyNumberFormat="1" applyFont="1" applyBorder="1" applyAlignment="1">
      <alignment horizontal="right" vertical="center" indent="1"/>
    </xf>
    <xf numFmtId="180" fontId="8" fillId="3" borderId="33" xfId="0" applyNumberFormat="1" applyFont="1" applyFill="1" applyBorder="1" applyAlignment="1">
      <alignment horizontal="right" vertical="center" indent="1"/>
    </xf>
    <xf numFmtId="180" fontId="8" fillId="0" borderId="33" xfId="0" applyNumberFormat="1" applyFont="1" applyFill="1" applyBorder="1" applyAlignment="1">
      <alignment horizontal="right" vertical="center" indent="1"/>
    </xf>
    <xf numFmtId="180" fontId="8" fillId="18" borderId="33" xfId="0" applyNumberFormat="1" applyFont="1" applyFill="1" applyBorder="1" applyAlignment="1">
      <alignment horizontal="right" vertical="center" indent="1"/>
    </xf>
    <xf numFmtId="180" fontId="8" fillId="21" borderId="33" xfId="0" applyNumberFormat="1" applyFont="1" applyFill="1" applyBorder="1" applyAlignment="1">
      <alignment horizontal="right" vertical="center" indent="1"/>
    </xf>
    <xf numFmtId="180" fontId="8" fillId="9" borderId="34" xfId="0" applyNumberFormat="1" applyFont="1" applyFill="1" applyBorder="1" applyAlignment="1">
      <alignment horizontal="right" vertical="center" indent="1"/>
    </xf>
    <xf numFmtId="3" fontId="8" fillId="0" borderId="89" xfId="0" applyNumberFormat="1" applyFont="1" applyBorder="1" applyAlignment="1">
      <alignment horizontal="right" indent="1"/>
    </xf>
    <xf numFmtId="3" fontId="8" fillId="0" borderId="35" xfId="0" applyNumberFormat="1" applyFont="1" applyBorder="1" applyAlignment="1">
      <alignment horizontal="right" indent="1"/>
    </xf>
    <xf numFmtId="3" fontId="8" fillId="0" borderId="73" xfId="0" applyNumberFormat="1" applyFont="1" applyBorder="1" applyAlignment="1">
      <alignment horizontal="right" indent="1"/>
    </xf>
    <xf numFmtId="172" fontId="8" fillId="9" borderId="78" xfId="0" applyNumberFormat="1" applyFont="1" applyFill="1" applyBorder="1" applyAlignment="1">
      <alignment horizontal="right" vertical="center" indent="1"/>
    </xf>
    <xf numFmtId="172" fontId="8" fillId="9" borderId="46" xfId="0" applyNumberFormat="1" applyFont="1" applyFill="1" applyBorder="1" applyAlignment="1">
      <alignment horizontal="right" vertical="center" indent="1"/>
    </xf>
    <xf numFmtId="166" fontId="8" fillId="0" borderId="0" xfId="0" applyNumberFormat="1" applyFont="1" applyAlignment="1">
      <alignment horizontal="right" indent="1"/>
    </xf>
    <xf numFmtId="172" fontId="8" fillId="3" borderId="129" xfId="0" applyNumberFormat="1" applyFont="1" applyFill="1" applyBorder="1" applyAlignment="1">
      <alignment horizontal="right" vertical="center" indent="1"/>
    </xf>
    <xf numFmtId="172" fontId="8" fillId="4" borderId="129" xfId="0" applyNumberFormat="1" applyFont="1" applyFill="1" applyBorder="1" applyAlignment="1">
      <alignment horizontal="right" vertical="center" indent="1"/>
    </xf>
    <xf numFmtId="172" fontId="8" fillId="0" borderId="129" xfId="0" applyNumberFormat="1" applyFont="1" applyBorder="1" applyAlignment="1">
      <alignment horizontal="right" vertical="center" indent="1"/>
    </xf>
    <xf numFmtId="172" fontId="8" fillId="22" borderId="129" xfId="0" applyNumberFormat="1" applyFont="1" applyFill="1" applyBorder="1" applyAlignment="1">
      <alignment horizontal="right" vertical="center" indent="1"/>
    </xf>
    <xf numFmtId="172" fontId="8" fillId="20" borderId="129" xfId="0" applyNumberFormat="1" applyFont="1" applyFill="1" applyBorder="1" applyAlignment="1">
      <alignment horizontal="right" vertical="center" indent="1"/>
    </xf>
    <xf numFmtId="172" fontId="8" fillId="19" borderId="129" xfId="0" applyNumberFormat="1" applyFont="1" applyFill="1" applyBorder="1" applyAlignment="1">
      <alignment horizontal="right" vertical="center" indent="1"/>
    </xf>
    <xf numFmtId="172" fontId="8" fillId="0" borderId="129" xfId="0" applyNumberFormat="1" applyFont="1" applyFill="1" applyBorder="1" applyAlignment="1">
      <alignment horizontal="right" vertical="center" indent="1"/>
    </xf>
    <xf numFmtId="172" fontId="8" fillId="9" borderId="130" xfId="0" applyNumberFormat="1" applyFont="1" applyFill="1" applyBorder="1" applyAlignment="1">
      <alignment horizontal="right" vertical="center" indent="1"/>
    </xf>
    <xf numFmtId="172" fontId="8" fillId="0" borderId="131" xfId="0" applyNumberFormat="1" applyFont="1" applyBorder="1" applyAlignment="1">
      <alignment horizontal="right" indent="1"/>
    </xf>
    <xf numFmtId="170" fontId="8" fillId="0" borderId="131" xfId="0" applyNumberFormat="1" applyFont="1" applyBorder="1" applyAlignment="1">
      <alignment horizontal="right" indent="1"/>
    </xf>
    <xf numFmtId="172" fontId="8" fillId="17" borderId="39" xfId="0" applyNumberFormat="1" applyFont="1" applyFill="1" applyBorder="1" applyAlignment="1">
      <alignment horizontal="right" vertical="center" indent="1"/>
    </xf>
    <xf numFmtId="3" fontId="15" fillId="3" borderId="132" xfId="0" applyNumberFormat="1" applyFont="1" applyFill="1" applyBorder="1" applyAlignment="1">
      <alignment horizontal="left" vertical="center"/>
    </xf>
    <xf numFmtId="3" fontId="8" fillId="3" borderId="132" xfId="0" applyNumberFormat="1" applyFont="1" applyFill="1" applyBorder="1" applyAlignment="1">
      <alignment horizontal="left" vertical="center"/>
    </xf>
    <xf numFmtId="3" fontId="8" fillId="4" borderId="132" xfId="0" applyNumberFormat="1" applyFont="1" applyFill="1" applyBorder="1" applyAlignment="1">
      <alignment horizontal="left" vertical="center"/>
    </xf>
    <xf numFmtId="3" fontId="8" fillId="0" borderId="132" xfId="0" applyNumberFormat="1" applyFont="1" applyBorder="1" applyAlignment="1">
      <alignment horizontal="left" vertical="center"/>
    </xf>
    <xf numFmtId="3" fontId="8" fillId="0" borderId="132" xfId="0" applyNumberFormat="1" applyFont="1" applyFill="1" applyBorder="1" applyAlignment="1">
      <alignment horizontal="left" vertical="center"/>
    </xf>
    <xf numFmtId="3" fontId="8" fillId="9" borderId="133" xfId="0" applyNumberFormat="1" applyFont="1" applyFill="1" applyBorder="1" applyAlignment="1">
      <alignment horizontal="left" vertical="center"/>
    </xf>
    <xf numFmtId="0" fontId="0" fillId="0" borderId="134" xfId="0" pivotButton="1" applyBorder="1"/>
    <xf numFmtId="172" fontId="8" fillId="26" borderId="29" xfId="0" applyNumberFormat="1" applyFont="1" applyFill="1" applyBorder="1" applyAlignment="1">
      <alignment horizontal="right" vertical="center" indent="1"/>
    </xf>
    <xf numFmtId="172" fontId="9" fillId="0" borderId="36" xfId="0" applyNumberFormat="1" applyFont="1" applyFill="1" applyBorder="1" applyAlignment="1">
      <alignment horizontal="left" vertical="center" indent="1"/>
    </xf>
    <xf numFmtId="3" fontId="10" fillId="3" borderId="129" xfId="0" applyNumberFormat="1" applyFont="1" applyFill="1" applyBorder="1" applyAlignment="1">
      <alignment horizontal="center" vertical="center"/>
    </xf>
    <xf numFmtId="3" fontId="10" fillId="0" borderId="129" xfId="0" applyNumberFormat="1" applyFont="1" applyFill="1" applyBorder="1" applyAlignment="1">
      <alignment horizontal="center" vertical="center"/>
    </xf>
    <xf numFmtId="3" fontId="10" fillId="0" borderId="129" xfId="0" applyNumberFormat="1" applyFont="1" applyBorder="1" applyAlignment="1">
      <alignment horizontal="center" vertical="center"/>
    </xf>
    <xf numFmtId="3" fontId="10" fillId="4" borderId="129" xfId="0" applyNumberFormat="1" applyFont="1" applyFill="1" applyBorder="1" applyAlignment="1">
      <alignment horizontal="center" vertical="center"/>
    </xf>
    <xf numFmtId="3" fontId="10" fillId="9" borderId="130" xfId="0" applyNumberFormat="1" applyFont="1" applyFill="1" applyBorder="1" applyAlignment="1">
      <alignment horizontal="center" vertical="center"/>
    </xf>
    <xf numFmtId="3" fontId="10" fillId="9" borderId="131" xfId="0" applyNumberFormat="1" applyFont="1" applyFill="1" applyBorder="1" applyAlignment="1">
      <alignment horizontal="center"/>
    </xf>
    <xf numFmtId="3" fontId="10" fillId="0" borderId="0" xfId="0" applyNumberFormat="1" applyFont="1" applyAlignment="1">
      <alignment horizontal="center"/>
    </xf>
    <xf numFmtId="3" fontId="8" fillId="9" borderId="135" xfId="0" applyNumberFormat="1" applyFont="1" applyFill="1" applyBorder="1" applyAlignment="1">
      <alignment horizontal="left"/>
    </xf>
    <xf numFmtId="3" fontId="8" fillId="9" borderId="136" xfId="0" applyNumberFormat="1" applyFont="1" applyFill="1" applyBorder="1" applyAlignment="1">
      <alignment horizontal="left"/>
    </xf>
    <xf numFmtId="3" fontId="10" fillId="9" borderId="137" xfId="0" applyNumberFormat="1" applyFont="1" applyFill="1" applyBorder="1" applyAlignment="1">
      <alignment horizontal="center"/>
    </xf>
    <xf numFmtId="3" fontId="18" fillId="0" borderId="129" xfId="0" applyNumberFormat="1" applyFont="1" applyBorder="1" applyAlignment="1">
      <alignment horizontal="center" vertical="center"/>
    </xf>
    <xf numFmtId="3" fontId="18" fillId="4" borderId="129" xfId="0" applyNumberFormat="1" applyFont="1" applyFill="1" applyBorder="1" applyAlignment="1">
      <alignment horizontal="center" vertical="center"/>
    </xf>
    <xf numFmtId="168" fontId="15" fillId="4" borderId="33" xfId="0" applyNumberFormat="1" applyFont="1" applyFill="1" applyBorder="1" applyAlignment="1">
      <alignment horizontal="center" vertical="center"/>
    </xf>
    <xf numFmtId="0" fontId="0" fillId="0" borderId="0" xfId="0" applyFont="1" applyFill="1" applyBorder="1"/>
    <xf numFmtId="0" fontId="0" fillId="25" borderId="3" xfId="0" applyFill="1" applyBorder="1" applyAlignment="1">
      <alignment vertical="center"/>
    </xf>
    <xf numFmtId="0" fontId="7" fillId="18" borderId="5" xfId="0" applyFont="1" applyFill="1" applyBorder="1" applyAlignment="1">
      <alignment horizontal="right" vertical="center" indent="1"/>
    </xf>
    <xf numFmtId="181" fontId="0" fillId="0" borderId="0" xfId="0" applyNumberFormat="1"/>
    <xf numFmtId="0" fontId="0" fillId="27" borderId="138" xfId="0" applyFont="1" applyFill="1" applyBorder="1" applyAlignment="1"/>
    <xf numFmtId="172" fontId="8" fillId="4" borderId="29" xfId="0" applyNumberFormat="1" applyFont="1" applyFill="1" applyBorder="1" applyAlignment="1">
      <alignment horizontal="center" vertical="center" indent="1"/>
    </xf>
    <xf numFmtId="172" fontId="8" fillId="20" borderId="139" xfId="0" applyNumberFormat="1" applyFont="1" applyFill="1" applyBorder="1" applyAlignment="1">
      <alignment horizontal="right" vertical="center" indent="1"/>
    </xf>
    <xf numFmtId="172" fontId="8" fillId="20" borderId="140" xfId="0" applyNumberFormat="1" applyFont="1" applyFill="1" applyBorder="1" applyAlignment="1">
      <alignment horizontal="right" vertical="center" indent="1"/>
    </xf>
    <xf numFmtId="180" fontId="8" fillId="3" borderId="36" xfId="0" applyNumberFormat="1" applyFont="1" applyFill="1" applyBorder="1" applyAlignment="1">
      <alignment horizontal="right" vertical="center" indent="1"/>
    </xf>
    <xf numFmtId="180" fontId="8" fillId="3" borderId="29" xfId="0" applyNumberFormat="1" applyFont="1" applyFill="1" applyBorder="1" applyAlignment="1">
      <alignment horizontal="right" vertical="center" indent="1"/>
    </xf>
    <xf numFmtId="180" fontId="8" fillId="0" borderId="36" xfId="0" applyNumberFormat="1" applyFont="1" applyBorder="1" applyAlignment="1">
      <alignment horizontal="right" vertical="center" indent="1"/>
    </xf>
    <xf numFmtId="180" fontId="8" fillId="0" borderId="29" xfId="0" applyNumberFormat="1" applyFont="1" applyBorder="1" applyAlignment="1">
      <alignment horizontal="right" vertical="center" indent="1"/>
    </xf>
    <xf numFmtId="180" fontId="8" fillId="0" borderId="29" xfId="0" applyNumberFormat="1" applyFont="1" applyFill="1" applyBorder="1" applyAlignment="1">
      <alignment horizontal="right" vertical="center" indent="1"/>
    </xf>
    <xf numFmtId="180" fontId="8" fillId="0" borderId="36" xfId="0" applyNumberFormat="1" applyFont="1" applyFill="1" applyBorder="1" applyAlignment="1">
      <alignment horizontal="right" vertical="center" indent="1"/>
    </xf>
    <xf numFmtId="180" fontId="8" fillId="4" borderId="36" xfId="0" applyNumberFormat="1" applyFont="1" applyFill="1" applyBorder="1" applyAlignment="1">
      <alignment horizontal="right" vertical="center" indent="1"/>
    </xf>
    <xf numFmtId="180" fontId="8" fillId="4" borderId="29" xfId="0" applyNumberFormat="1" applyFont="1" applyFill="1" applyBorder="1" applyAlignment="1">
      <alignment horizontal="right" vertical="center" indent="1"/>
    </xf>
    <xf numFmtId="180" fontId="8" fillId="21" borderId="36" xfId="0" applyNumberFormat="1" applyFont="1" applyFill="1" applyBorder="1" applyAlignment="1">
      <alignment horizontal="right" vertical="center" indent="1"/>
    </xf>
    <xf numFmtId="180" fontId="8" fillId="21" borderId="29" xfId="0" applyNumberFormat="1" applyFont="1" applyFill="1" applyBorder="1" applyAlignment="1">
      <alignment horizontal="right" vertical="center" indent="1"/>
    </xf>
    <xf numFmtId="180" fontId="8" fillId="22" borderId="36" xfId="0" applyNumberFormat="1" applyFont="1" applyFill="1" applyBorder="1" applyAlignment="1">
      <alignment horizontal="right" vertical="center" indent="1"/>
    </xf>
    <xf numFmtId="180" fontId="8" fillId="18" borderId="36" xfId="0" applyNumberFormat="1" applyFont="1" applyFill="1" applyBorder="1" applyAlignment="1">
      <alignment horizontal="right" vertical="center" indent="1"/>
    </xf>
    <xf numFmtId="180" fontId="8" fillId="18" borderId="29" xfId="0" applyNumberFormat="1" applyFont="1" applyFill="1" applyBorder="1" applyAlignment="1">
      <alignment horizontal="right" vertical="center" indent="1"/>
    </xf>
    <xf numFmtId="180" fontId="8" fillId="19" borderId="36" xfId="0" applyNumberFormat="1" applyFont="1" applyFill="1" applyBorder="1" applyAlignment="1">
      <alignment horizontal="right" vertical="center" indent="1"/>
    </xf>
    <xf numFmtId="180" fontId="8" fillId="19" borderId="29" xfId="0" applyNumberFormat="1" applyFont="1" applyFill="1" applyBorder="1" applyAlignment="1">
      <alignment horizontal="right" vertical="center" indent="1"/>
    </xf>
    <xf numFmtId="180" fontId="9" fillId="21" borderId="36" xfId="0" applyNumberFormat="1" applyFont="1" applyFill="1" applyBorder="1" applyAlignment="1">
      <alignment horizontal="left" vertical="center" indent="1"/>
    </xf>
    <xf numFmtId="180" fontId="9" fillId="21" borderId="29" xfId="0" applyNumberFormat="1" applyFont="1" applyFill="1" applyBorder="1" applyAlignment="1">
      <alignment horizontal="left" vertical="center" indent="1"/>
    </xf>
    <xf numFmtId="180" fontId="9" fillId="21" borderId="119" xfId="0" applyNumberFormat="1" applyFont="1" applyFill="1" applyBorder="1" applyAlignment="1">
      <alignment horizontal="left" vertical="center" indent="1"/>
    </xf>
    <xf numFmtId="180" fontId="9" fillId="21" borderId="120" xfId="0" applyNumberFormat="1" applyFont="1" applyFill="1" applyBorder="1" applyAlignment="1">
      <alignment horizontal="left" vertical="center" indent="1"/>
    </xf>
    <xf numFmtId="180" fontId="9" fillId="21" borderId="121" xfId="0" applyNumberFormat="1" applyFont="1" applyFill="1" applyBorder="1" applyAlignment="1">
      <alignment horizontal="left" vertical="center" indent="1"/>
    </xf>
    <xf numFmtId="180" fontId="8" fillId="14" borderId="36" xfId="0" applyNumberFormat="1" applyFont="1" applyFill="1" applyBorder="1" applyAlignment="1">
      <alignment horizontal="right" vertical="center" indent="1"/>
    </xf>
    <xf numFmtId="180" fontId="10" fillId="0" borderId="36" xfId="0" applyNumberFormat="1" applyFont="1" applyBorder="1" applyAlignment="1">
      <alignment horizontal="center" vertical="center"/>
    </xf>
    <xf numFmtId="180" fontId="10" fillId="0" borderId="29" xfId="0" applyNumberFormat="1" applyFont="1" applyBorder="1" applyAlignment="1">
      <alignment horizontal="center" vertical="center"/>
    </xf>
    <xf numFmtId="180" fontId="8" fillId="9" borderId="37" xfId="0" applyNumberFormat="1" applyFont="1" applyFill="1" applyBorder="1" applyAlignment="1">
      <alignment horizontal="right" vertical="center" indent="1"/>
    </xf>
    <xf numFmtId="180" fontId="8" fillId="9" borderId="30" xfId="0" applyNumberFormat="1" applyFont="1" applyFill="1" applyBorder="1" applyAlignment="1">
      <alignment horizontal="right" vertical="center" indent="1"/>
    </xf>
    <xf numFmtId="180" fontId="17" fillId="21" borderId="36" xfId="0" applyNumberFormat="1" applyFont="1" applyFill="1" applyBorder="1" applyAlignment="1">
      <alignment horizontal="right" vertical="center" indent="1"/>
    </xf>
    <xf numFmtId="180" fontId="17" fillId="18" borderId="120" xfId="0" applyNumberFormat="1" applyFont="1" applyFill="1" applyBorder="1" applyAlignment="1">
      <alignment horizontal="left" vertical="center" indent="1"/>
    </xf>
    <xf numFmtId="180" fontId="8" fillId="19" borderId="119" xfId="0" applyNumberFormat="1" applyFont="1" applyFill="1" applyBorder="1" applyAlignment="1">
      <alignment horizontal="right" vertical="center" indent="1"/>
    </xf>
    <xf numFmtId="180" fontId="8" fillId="19" borderId="120" xfId="0" applyNumberFormat="1" applyFont="1" applyFill="1" applyBorder="1" applyAlignment="1">
      <alignment horizontal="right" vertical="center" indent="1"/>
    </xf>
    <xf numFmtId="180" fontId="8" fillId="0" borderId="21" xfId="0" applyNumberFormat="1" applyFont="1" applyBorder="1" applyAlignment="1">
      <alignment horizontal="right" indent="1"/>
    </xf>
    <xf numFmtId="180" fontId="8" fillId="28" borderId="120" xfId="0" applyNumberFormat="1" applyFont="1" applyFill="1" applyBorder="1" applyAlignment="1">
      <alignment horizontal="right" vertical="center" indent="1"/>
    </xf>
    <xf numFmtId="3" fontId="8" fillId="9" borderId="141" xfId="0" applyNumberFormat="1" applyFont="1" applyFill="1" applyBorder="1" applyAlignment="1">
      <alignment horizontal="left"/>
    </xf>
    <xf numFmtId="0" fontId="11" fillId="0" borderId="21" xfId="0" applyFont="1" applyBorder="1"/>
    <xf numFmtId="180" fontId="8" fillId="20" borderId="119" xfId="0" applyNumberFormat="1" applyFont="1" applyFill="1" applyBorder="1" applyAlignment="1">
      <alignment horizontal="right" vertical="center" indent="1"/>
    </xf>
    <xf numFmtId="180" fontId="8" fillId="20" borderId="120" xfId="0" applyNumberFormat="1" applyFont="1" applyFill="1" applyBorder="1" applyAlignment="1">
      <alignment horizontal="right" vertical="center" indent="1"/>
    </xf>
    <xf numFmtId="0" fontId="0" fillId="0" borderId="0" xfId="0" applyAlignment="1">
      <alignment horizontal="center" vertical="center"/>
    </xf>
    <xf numFmtId="0" fontId="0" fillId="18" borderId="0" xfId="0" applyFill="1" applyAlignment="1">
      <alignment horizontal="center" vertical="center"/>
    </xf>
    <xf numFmtId="0" fontId="0" fillId="3" borderId="0" xfId="0" applyFill="1" applyAlignment="1">
      <alignment horizontal="center" vertical="center"/>
    </xf>
    <xf numFmtId="0" fontId="0" fillId="0" borderId="7" xfId="0" applyBorder="1" applyAlignment="1">
      <alignment horizontal="center" vertical="center"/>
    </xf>
    <xf numFmtId="0" fontId="0" fillId="0" borderId="4" xfId="0" applyBorder="1" applyAlignment="1">
      <alignment horizontal="center" vertical="center"/>
    </xf>
    <xf numFmtId="0" fontId="0" fillId="23" borderId="4" xfId="0" applyFill="1" applyBorder="1" applyAlignment="1">
      <alignment horizontal="center" vertical="center"/>
    </xf>
    <xf numFmtId="0" fontId="0" fillId="18" borderId="4" xfId="0" applyFill="1" applyBorder="1" applyAlignment="1">
      <alignment horizontal="center" vertical="center"/>
    </xf>
    <xf numFmtId="0" fontId="0" fillId="9" borderId="0" xfId="0" applyFill="1" applyAlignment="1">
      <alignment horizontal="center" vertical="center"/>
    </xf>
    <xf numFmtId="0" fontId="0" fillId="0" borderId="0" xfId="0" applyAlignment="1">
      <alignment horizontal="center"/>
    </xf>
    <xf numFmtId="172" fontId="8" fillId="29" borderId="29" xfId="0" applyNumberFormat="1" applyFont="1" applyFill="1" applyBorder="1" applyAlignment="1">
      <alignment horizontal="right" vertical="center" indent="1"/>
    </xf>
    <xf numFmtId="172" fontId="8" fillId="29" borderId="11" xfId="0" applyNumberFormat="1" applyFont="1" applyFill="1" applyBorder="1" applyAlignment="1">
      <alignment horizontal="right" vertical="center" indent="1"/>
    </xf>
    <xf numFmtId="172" fontId="8" fillId="29" borderId="12" xfId="0" applyNumberFormat="1" applyFont="1" applyFill="1" applyBorder="1" applyAlignment="1">
      <alignment horizontal="right" vertical="center" indent="1"/>
    </xf>
    <xf numFmtId="172" fontId="8" fillId="29" borderId="25" xfId="0" applyNumberFormat="1" applyFont="1" applyFill="1" applyBorder="1" applyAlignment="1">
      <alignment horizontal="right" vertical="center" indent="1"/>
    </xf>
    <xf numFmtId="172" fontId="8" fillId="29" borderId="10" xfId="0" applyNumberFormat="1" applyFont="1" applyFill="1" applyBorder="1" applyAlignment="1">
      <alignment horizontal="right" vertical="center" indent="1"/>
    </xf>
    <xf numFmtId="180" fontId="8" fillId="29" borderId="119" xfId="0" applyNumberFormat="1" applyFont="1" applyFill="1" applyBorder="1" applyAlignment="1">
      <alignment horizontal="right" vertical="center" indent="1"/>
    </xf>
    <xf numFmtId="180" fontId="8" fillId="29" borderId="120" xfId="0" applyNumberFormat="1" applyFont="1" applyFill="1" applyBorder="1" applyAlignment="1">
      <alignment horizontal="right" vertical="center" indent="1"/>
    </xf>
    <xf numFmtId="172" fontId="8" fillId="29" borderId="33" xfId="0" applyNumberFormat="1" applyFont="1" applyFill="1" applyBorder="1" applyAlignment="1">
      <alignment horizontal="right" vertical="center" indent="1"/>
    </xf>
    <xf numFmtId="172" fontId="8" fillId="29" borderId="36" xfId="0" applyNumberFormat="1" applyFont="1" applyFill="1" applyBorder="1" applyAlignment="1">
      <alignment horizontal="right" vertical="center" indent="1"/>
    </xf>
    <xf numFmtId="180" fontId="8" fillId="29" borderId="36" xfId="0" applyNumberFormat="1" applyFont="1" applyFill="1" applyBorder="1" applyAlignment="1">
      <alignment horizontal="right" vertical="center" indent="1"/>
    </xf>
    <xf numFmtId="180" fontId="8" fillId="29" borderId="29" xfId="0" applyNumberFormat="1" applyFont="1" applyFill="1" applyBorder="1" applyAlignment="1">
      <alignment horizontal="right" vertical="center" indent="1"/>
    </xf>
    <xf numFmtId="172" fontId="8" fillId="29" borderId="129" xfId="0" applyNumberFormat="1" applyFont="1" applyFill="1" applyBorder="1" applyAlignment="1">
      <alignment horizontal="right" vertical="center" indent="1"/>
    </xf>
    <xf numFmtId="172" fontId="8" fillId="29" borderId="40" xfId="0" applyNumberFormat="1" applyFont="1" applyFill="1" applyBorder="1" applyAlignment="1">
      <alignment horizontal="right" vertical="center" indent="1"/>
    </xf>
    <xf numFmtId="180" fontId="17" fillId="18" borderId="120" xfId="0" applyNumberFormat="1" applyFont="1" applyFill="1" applyBorder="1" applyAlignment="1">
      <alignment horizontal="right" vertical="center" indent="1"/>
    </xf>
    <xf numFmtId="172" fontId="17" fillId="18" borderId="120" xfId="0" applyNumberFormat="1" applyFont="1" applyFill="1" applyBorder="1" applyAlignment="1">
      <alignment horizontal="left" vertical="center" indent="1"/>
    </xf>
    <xf numFmtId="172" fontId="10" fillId="4" borderId="33" xfId="0" applyNumberFormat="1" applyFont="1" applyFill="1" applyBorder="1" applyAlignment="1">
      <alignment horizontal="center" vertical="center"/>
    </xf>
    <xf numFmtId="172" fontId="10" fillId="4" borderId="36" xfId="0" applyNumberFormat="1" applyFont="1" applyFill="1" applyBorder="1" applyAlignment="1">
      <alignment horizontal="center" vertical="center"/>
    </xf>
    <xf numFmtId="180" fontId="10" fillId="4" borderId="36" xfId="0" applyNumberFormat="1" applyFont="1" applyFill="1" applyBorder="1" applyAlignment="1">
      <alignment horizontal="center" vertical="center"/>
    </xf>
    <xf numFmtId="180" fontId="10" fillId="4" borderId="29" xfId="0" applyNumberFormat="1" applyFont="1" applyFill="1" applyBorder="1" applyAlignment="1">
      <alignment horizontal="center" vertical="center"/>
    </xf>
    <xf numFmtId="180" fontId="10" fillId="4" borderId="119" xfId="0" applyNumberFormat="1" applyFont="1" applyFill="1" applyBorder="1" applyAlignment="1">
      <alignment horizontal="center" vertical="center"/>
    </xf>
    <xf numFmtId="180" fontId="10" fillId="4" borderId="120" xfId="0" applyNumberFormat="1" applyFont="1" applyFill="1" applyBorder="1" applyAlignment="1">
      <alignment horizontal="center" vertical="center"/>
    </xf>
    <xf numFmtId="172" fontId="10" fillId="4" borderId="25" xfId="0" applyNumberFormat="1" applyFont="1" applyFill="1" applyBorder="1" applyAlignment="1">
      <alignment horizontal="center" vertical="center"/>
    </xf>
    <xf numFmtId="172" fontId="10" fillId="4" borderId="10" xfId="0" applyNumberFormat="1" applyFont="1" applyFill="1" applyBorder="1" applyAlignment="1">
      <alignment horizontal="center" vertical="center"/>
    </xf>
    <xf numFmtId="172" fontId="10" fillId="4" borderId="29" xfId="0" applyNumberFormat="1" applyFont="1" applyFill="1" applyBorder="1" applyAlignment="1">
      <alignment horizontal="center" vertical="center"/>
    </xf>
    <xf numFmtId="3" fontId="0" fillId="0" borderId="0" xfId="0" applyNumberFormat="1" applyAlignment="1">
      <alignment horizontal="center"/>
    </xf>
    <xf numFmtId="1" fontId="0" fillId="0" borderId="0" xfId="0" applyNumberFormat="1" applyAlignment="1">
      <alignment horizontal="center"/>
    </xf>
    <xf numFmtId="0" fontId="0" fillId="8" borderId="0" xfId="0" applyFill="1" applyAlignment="1">
      <alignment horizontal="center"/>
    </xf>
    <xf numFmtId="4" fontId="0" fillId="8" borderId="0" xfId="0" applyNumberFormat="1" applyFill="1" applyAlignment="1">
      <alignment horizontal="center"/>
    </xf>
    <xf numFmtId="4" fontId="0" fillId="8" borderId="0" xfId="0" applyNumberFormat="1" applyFill="1"/>
    <xf numFmtId="0" fontId="22" fillId="18" borderId="10" xfId="0" applyFont="1" applyFill="1" applyBorder="1" applyAlignment="1">
      <alignment vertical="center"/>
    </xf>
    <xf numFmtId="0" fontId="22" fillId="18" borderId="11" xfId="0" applyFont="1" applyFill="1" applyBorder="1" applyAlignment="1">
      <alignment vertical="center"/>
    </xf>
    <xf numFmtId="3" fontId="10" fillId="30" borderId="129" xfId="0" applyNumberFormat="1" applyFont="1" applyFill="1" applyBorder="1" applyAlignment="1">
      <alignment horizontal="center" vertical="center"/>
    </xf>
    <xf numFmtId="3" fontId="10" fillId="31" borderId="129" xfId="0" applyNumberFormat="1" applyFont="1" applyFill="1" applyBorder="1" applyAlignment="1">
      <alignment horizontal="center" vertical="center"/>
    </xf>
    <xf numFmtId="180" fontId="23" fillId="0" borderId="79" xfId="0" applyNumberFormat="1" applyFont="1" applyBorder="1" applyAlignment="1">
      <alignment horizontal="right" indent="1"/>
    </xf>
    <xf numFmtId="0" fontId="8" fillId="0" borderId="81" xfId="0" applyFont="1" applyBorder="1" applyAlignment="1">
      <alignment vertical="center"/>
    </xf>
    <xf numFmtId="3" fontId="10" fillId="0" borderId="101" xfId="0" applyNumberFormat="1" applyFont="1" applyBorder="1" applyAlignment="1">
      <alignment horizontal="center" vertical="center"/>
    </xf>
    <xf numFmtId="3" fontId="8" fillId="0" borderId="102" xfId="0" applyNumberFormat="1" applyFont="1" applyBorder="1" applyAlignment="1">
      <alignment horizontal="right" vertical="center"/>
    </xf>
    <xf numFmtId="3" fontId="8" fillId="0" borderId="106" xfId="0" applyNumberFormat="1" applyFont="1" applyBorder="1" applyAlignment="1">
      <alignment horizontal="right" vertical="center"/>
    </xf>
    <xf numFmtId="3" fontId="8" fillId="0" borderId="107" xfId="0" applyNumberFormat="1" applyFont="1" applyBorder="1" applyAlignment="1">
      <alignment horizontal="right" vertical="center"/>
    </xf>
    <xf numFmtId="3" fontId="8" fillId="0" borderId="108" xfId="0" applyNumberFormat="1" applyFont="1" applyBorder="1" applyAlignment="1">
      <alignment horizontal="right" vertical="center"/>
    </xf>
    <xf numFmtId="3" fontId="8" fillId="0" borderId="92" xfId="0" applyNumberFormat="1" applyFont="1" applyBorder="1" applyAlignment="1">
      <alignment horizontal="right" vertical="center"/>
    </xf>
    <xf numFmtId="3" fontId="8" fillId="0" borderId="84" xfId="0" applyNumberFormat="1" applyFont="1" applyBorder="1" applyAlignment="1">
      <alignment horizontal="right" vertical="center"/>
    </xf>
    <xf numFmtId="0" fontId="11" fillId="0" borderId="82" xfId="0" applyFont="1" applyBorder="1" applyAlignment="1">
      <alignment horizontal="right" vertical="center" indent="1"/>
    </xf>
    <xf numFmtId="3" fontId="8" fillId="0" borderId="84" xfId="0" applyNumberFormat="1" applyFont="1" applyBorder="1" applyAlignment="1">
      <alignment horizontal="right" vertical="center" indent="1"/>
    </xf>
    <xf numFmtId="3" fontId="8" fillId="0" borderId="83" xfId="0" applyNumberFormat="1" applyFont="1" applyBorder="1" applyAlignment="1">
      <alignment horizontal="right" vertical="center" indent="1"/>
    </xf>
    <xf numFmtId="3" fontId="8" fillId="0" borderId="106" xfId="0" applyNumberFormat="1" applyFont="1" applyBorder="1" applyAlignment="1">
      <alignment horizontal="right" vertical="center" indent="1"/>
    </xf>
    <xf numFmtId="3" fontId="8" fillId="0" borderId="107" xfId="0" applyNumberFormat="1" applyFont="1" applyBorder="1" applyAlignment="1">
      <alignment horizontal="right" vertical="center" indent="1"/>
    </xf>
    <xf numFmtId="3" fontId="8" fillId="0" borderId="125" xfId="0" applyNumberFormat="1" applyFont="1" applyBorder="1" applyAlignment="1">
      <alignment horizontal="right" vertical="center" indent="1"/>
    </xf>
    <xf numFmtId="180" fontId="8" fillId="0" borderId="85" xfId="0" applyNumberFormat="1" applyFont="1" applyBorder="1" applyAlignment="1">
      <alignment horizontal="right" vertical="center" indent="1"/>
    </xf>
    <xf numFmtId="180" fontId="8" fillId="18" borderId="119" xfId="0" applyNumberFormat="1" applyFont="1" applyFill="1" applyBorder="1" applyAlignment="1">
      <alignment horizontal="right" vertical="center" indent="2"/>
    </xf>
    <xf numFmtId="0" fontId="2" fillId="0" borderId="0" xfId="0" applyNumberFormat="1" applyFont="1" applyAlignment="1">
      <alignment horizontal="center"/>
    </xf>
    <xf numFmtId="0" fontId="2" fillId="6" borderId="0" xfId="0" applyNumberFormat="1" applyFont="1" applyFill="1" applyAlignment="1">
      <alignment horizontal="center"/>
    </xf>
    <xf numFmtId="180" fontId="8" fillId="32" borderId="120" xfId="0" applyNumberFormat="1" applyFont="1" applyFill="1" applyBorder="1" applyAlignment="1">
      <alignment horizontal="right" vertical="center" indent="1"/>
    </xf>
    <xf numFmtId="0" fontId="0" fillId="0" borderId="142" xfId="0" pivotButton="1" applyBorder="1"/>
    <xf numFmtId="0" fontId="0" fillId="0" borderId="143" xfId="0" applyBorder="1" applyAlignment="1">
      <alignment wrapText="1"/>
    </xf>
    <xf numFmtId="14" fontId="0" fillId="0" borderId="45" xfId="0" applyNumberFormat="1" applyBorder="1" applyAlignment="1">
      <alignment horizontal="center"/>
    </xf>
    <xf numFmtId="173" fontId="0" fillId="0" borderId="45" xfId="0" applyNumberFormat="1" applyBorder="1"/>
    <xf numFmtId="0" fontId="1" fillId="0" borderId="0" xfId="0" applyFont="1" applyAlignment="1">
      <alignment horizontal="center"/>
    </xf>
    <xf numFmtId="167" fontId="1" fillId="0" borderId="0" xfId="0" applyNumberFormat="1" applyFont="1" applyAlignment="1">
      <alignment horizontal="center"/>
    </xf>
    <xf numFmtId="0" fontId="1" fillId="0" borderId="45" xfId="0" applyFont="1" applyBorder="1" applyAlignment="1">
      <alignment horizontal="center"/>
    </xf>
    <xf numFmtId="179" fontId="0" fillId="0" borderId="115" xfId="0" applyNumberFormat="1" applyBorder="1" applyAlignment="1">
      <alignment horizontal="left" indent="1"/>
    </xf>
    <xf numFmtId="172" fontId="0" fillId="0" borderId="115" xfId="0" applyNumberFormat="1" applyBorder="1"/>
    <xf numFmtId="172" fontId="0" fillId="0" borderId="115" xfId="0" applyNumberFormat="1" applyBorder="1" applyAlignment="1">
      <alignment horizontal="right" indent="1"/>
    </xf>
    <xf numFmtId="173" fontId="24" fillId="33" borderId="144" xfId="0" applyNumberFormat="1" applyFont="1" applyFill="1" applyBorder="1" applyAlignment="1">
      <alignment horizontal="center" wrapText="1"/>
    </xf>
    <xf numFmtId="0" fontId="24" fillId="33" borderId="145" xfId="0" applyFont="1" applyFill="1" applyBorder="1"/>
    <xf numFmtId="0" fontId="24" fillId="33" borderId="146" xfId="0" applyFont="1" applyFill="1" applyBorder="1" applyAlignment="1">
      <alignment horizontal="center" wrapText="1"/>
    </xf>
    <xf numFmtId="0" fontId="24" fillId="33" borderId="147" xfId="0" applyFont="1" applyFill="1" applyBorder="1"/>
    <xf numFmtId="173" fontId="24" fillId="33" borderId="148" xfId="0" applyNumberFormat="1" applyFont="1" applyFill="1" applyBorder="1" applyAlignment="1">
      <alignment horizontal="center" wrapText="1"/>
    </xf>
    <xf numFmtId="0" fontId="24" fillId="33" borderId="149" xfId="0" applyFont="1" applyFill="1" applyBorder="1" applyAlignment="1">
      <alignment horizontal="left" indent="1"/>
    </xf>
    <xf numFmtId="0" fontId="24" fillId="33" borderId="150" xfId="0" applyFont="1" applyFill="1" applyBorder="1"/>
    <xf numFmtId="173" fontId="24" fillId="34" borderId="152" xfId="0" applyNumberFormat="1" applyFont="1" applyFill="1" applyBorder="1"/>
    <xf numFmtId="179" fontId="24" fillId="34" borderId="151" xfId="0" applyNumberFormat="1" applyFont="1" applyFill="1" applyBorder="1" applyAlignment="1">
      <alignment horizontal="center"/>
    </xf>
    <xf numFmtId="0" fontId="25" fillId="0" borderId="0" xfId="0" applyFont="1"/>
    <xf numFmtId="4" fontId="0" fillId="0" borderId="0" xfId="0" applyNumberFormat="1" applyAlignment="1">
      <alignment horizontal="right" wrapText="1"/>
    </xf>
    <xf numFmtId="4" fontId="0" fillId="27" borderId="138" xfId="0" applyNumberFormat="1" applyFont="1" applyFill="1" applyBorder="1" applyAlignment="1">
      <alignment horizontal="right" indent="1"/>
    </xf>
    <xf numFmtId="165" fontId="0" fillId="0" borderId="0" xfId="0" applyNumberFormat="1" applyFill="1" applyAlignment="1"/>
    <xf numFmtId="0" fontId="0" fillId="0" borderId="0" xfId="0" applyFill="1"/>
    <xf numFmtId="179" fontId="24" fillId="0" borderId="0" xfId="0" applyNumberFormat="1" applyFont="1" applyFill="1" applyBorder="1" applyAlignment="1">
      <alignment horizontal="center"/>
    </xf>
    <xf numFmtId="173" fontId="24" fillId="0" borderId="0" xfId="0" applyNumberFormat="1" applyFont="1" applyFill="1" applyBorder="1"/>
    <xf numFmtId="173" fontId="24" fillId="0" borderId="0" xfId="0" applyNumberFormat="1" applyFont="1" applyFill="1" applyBorder="1" applyAlignment="1">
      <alignment horizontal="right" indent="1"/>
    </xf>
    <xf numFmtId="0" fontId="0" fillId="0" borderId="0" xfId="0" applyBorder="1" applyAlignment="1">
      <alignment vertical="center"/>
    </xf>
    <xf numFmtId="0" fontId="12" fillId="0" borderId="0" xfId="0" applyNumberFormat="1" applyFont="1" applyFill="1" applyAlignment="1">
      <alignment horizontal="center"/>
    </xf>
    <xf numFmtId="0" fontId="0" fillId="0" borderId="25" xfId="0" applyNumberFormat="1" applyFont="1" applyFill="1" applyBorder="1" applyAlignment="1">
      <alignment horizontal="center"/>
    </xf>
    <xf numFmtId="4" fontId="0" fillId="0" borderId="25" xfId="0" quotePrefix="1" applyNumberFormat="1" applyFont="1" applyFill="1" applyBorder="1" applyAlignment="1">
      <alignment horizontal="right" indent="1"/>
    </xf>
    <xf numFmtId="4" fontId="0" fillId="0" borderId="25" xfId="0" applyNumberFormat="1" applyBorder="1" applyAlignment="1">
      <alignment horizontal="right" wrapText="1"/>
    </xf>
    <xf numFmtId="4" fontId="0" fillId="0" borderId="25" xfId="0" applyNumberFormat="1" applyFont="1" applyFill="1" applyBorder="1" applyAlignment="1">
      <alignment horizontal="right"/>
    </xf>
    <xf numFmtId="4" fontId="0" fillId="35" borderId="25" xfId="0" applyNumberFormat="1" applyFont="1" applyFill="1" applyBorder="1" applyAlignment="1">
      <alignment horizontal="right"/>
    </xf>
    <xf numFmtId="4" fontId="0" fillId="35" borderId="25" xfId="0" applyNumberFormat="1" applyFill="1" applyBorder="1" applyAlignment="1">
      <alignment horizontal="right" wrapText="1"/>
    </xf>
    <xf numFmtId="0" fontId="0" fillId="0" borderId="0" xfId="0" applyNumberFormat="1" applyAlignment="1">
      <alignment horizontal="center"/>
    </xf>
    <xf numFmtId="182" fontId="0" fillId="8" borderId="0" xfId="0" applyNumberFormat="1" applyFill="1" applyAlignment="1">
      <alignment horizontal="center"/>
    </xf>
    <xf numFmtId="180" fontId="8" fillId="28" borderId="121" xfId="0" applyNumberFormat="1" applyFont="1" applyFill="1" applyBorder="1" applyAlignment="1">
      <alignment horizontal="right" vertical="center" indent="1"/>
    </xf>
    <xf numFmtId="0" fontId="12" fillId="4" borderId="154" xfId="0" applyNumberFormat="1" applyFont="1" applyFill="1" applyBorder="1" applyAlignment="1">
      <alignment horizontal="center"/>
    </xf>
    <xf numFmtId="4" fontId="0" fillId="4" borderId="154" xfId="0" applyNumberFormat="1" applyFill="1" applyBorder="1" applyAlignment="1">
      <alignment horizontal="right" wrapText="1"/>
    </xf>
    <xf numFmtId="4" fontId="0" fillId="4" borderId="154" xfId="0" applyNumberFormat="1" applyFill="1" applyBorder="1" applyAlignment="1">
      <alignment horizontal="right"/>
    </xf>
    <xf numFmtId="11" fontId="0" fillId="4" borderId="154" xfId="0" applyNumberFormat="1" applyFill="1" applyBorder="1"/>
    <xf numFmtId="43" fontId="0" fillId="4" borderId="154" xfId="0" applyNumberFormat="1" applyFill="1" applyBorder="1"/>
    <xf numFmtId="180" fontId="8" fillId="28" borderId="155" xfId="0" applyNumberFormat="1" applyFont="1" applyFill="1" applyBorder="1" applyAlignment="1">
      <alignment horizontal="right" vertical="center" indent="1"/>
    </xf>
    <xf numFmtId="0" fontId="0" fillId="0" borderId="0" xfId="0" applyFont="1" applyFill="1" applyBorder="1" applyAlignment="1">
      <alignment horizontal="right" indent="1"/>
    </xf>
    <xf numFmtId="183" fontId="0" fillId="0" borderId="0" xfId="0" applyNumberFormat="1" applyAlignment="1">
      <alignment horizontal="center"/>
    </xf>
    <xf numFmtId="0" fontId="0" fillId="0" borderId="0" xfId="0" applyNumberFormat="1" applyAlignment="1"/>
    <xf numFmtId="14" fontId="4" fillId="4" borderId="153" xfId="0" applyNumberFormat="1" applyFont="1" applyFill="1" applyBorder="1" applyAlignment="1">
      <alignment horizontal="left" indent="1"/>
    </xf>
    <xf numFmtId="0" fontId="1" fillId="36" borderId="0" xfId="1"/>
    <xf numFmtId="183" fontId="1" fillId="38" borderId="0" xfId="2" applyNumberFormat="1" applyFill="1" applyAlignment="1">
      <alignment vertical="center"/>
    </xf>
    <xf numFmtId="183" fontId="26" fillId="38" borderId="0" xfId="2" applyNumberFormat="1" applyFont="1" applyFill="1" applyAlignment="1">
      <alignment horizontal="center" vertical="center"/>
    </xf>
    <xf numFmtId="183" fontId="1" fillId="38" borderId="0" xfId="2" applyNumberFormat="1" applyFill="1" applyAlignment="1">
      <alignment horizontal="center" vertical="center"/>
    </xf>
    <xf numFmtId="0" fontId="1" fillId="38" borderId="0" xfId="2" applyFill="1"/>
    <xf numFmtId="0" fontId="1" fillId="38" borderId="0" xfId="2" applyFill="1" applyAlignment="1">
      <alignment vertical="center"/>
    </xf>
    <xf numFmtId="0" fontId="1" fillId="38" borderId="0" xfId="2" applyFill="1" applyAlignment="1">
      <alignment wrapText="1"/>
    </xf>
    <xf numFmtId="0" fontId="1" fillId="38" borderId="0" xfId="2" applyFill="1" applyAlignment="1">
      <alignment horizontal="center" wrapText="1"/>
    </xf>
    <xf numFmtId="14" fontId="1" fillId="38" borderId="0" xfId="2" applyNumberFormat="1" applyFill="1" applyAlignment="1">
      <alignment horizontal="center" wrapText="1"/>
    </xf>
    <xf numFmtId="169" fontId="0" fillId="4" borderId="154" xfId="0" applyNumberFormat="1" applyFill="1" applyBorder="1" applyAlignment="1">
      <alignment horizontal="center" wrapText="1"/>
    </xf>
    <xf numFmtId="169" fontId="0" fillId="35" borderId="25" xfId="0" quotePrefix="1" applyNumberFormat="1" applyFont="1" applyFill="1" applyBorder="1" applyAlignment="1">
      <alignment horizontal="center"/>
    </xf>
    <xf numFmtId="169" fontId="0" fillId="0" borderId="25" xfId="0" applyNumberFormat="1" applyBorder="1" applyAlignment="1">
      <alignment horizontal="center" wrapText="1"/>
    </xf>
    <xf numFmtId="169" fontId="0" fillId="0" borderId="0" xfId="0" applyNumberFormat="1" applyAlignment="1">
      <alignment horizontal="center" wrapText="1"/>
    </xf>
    <xf numFmtId="14" fontId="1" fillId="38" borderId="25" xfId="2" applyNumberFormat="1" applyFill="1" applyBorder="1" applyAlignment="1">
      <alignment horizontal="center"/>
    </xf>
    <xf numFmtId="0" fontId="0" fillId="0" borderId="25" xfId="0" applyBorder="1" applyAlignment="1">
      <alignment horizontal="center"/>
    </xf>
    <xf numFmtId="0" fontId="1" fillId="38" borderId="0" xfId="2" applyFill="1" applyAlignment="1">
      <alignment horizontal="center"/>
    </xf>
    <xf numFmtId="0" fontId="1" fillId="38" borderId="0" xfId="0" applyFont="1" applyFill="1"/>
    <xf numFmtId="0" fontId="1" fillId="38" borderId="0" xfId="0" applyFont="1" applyFill="1" applyAlignment="1">
      <alignment horizontal="center"/>
    </xf>
    <xf numFmtId="14" fontId="4" fillId="0" borderId="0" xfId="0" applyNumberFormat="1" applyFont="1" applyAlignment="1"/>
    <xf numFmtId="169" fontId="0" fillId="0" borderId="0" xfId="0" applyNumberFormat="1"/>
    <xf numFmtId="169" fontId="1" fillId="38" borderId="0" xfId="2" applyNumberFormat="1" applyFill="1" applyAlignment="1">
      <alignment horizontal="center"/>
    </xf>
    <xf numFmtId="0" fontId="1" fillId="38" borderId="0" xfId="2" applyFill="1" applyAlignment="1"/>
    <xf numFmtId="0" fontId="1" fillId="38" borderId="0" xfId="2" applyNumberFormat="1" applyFill="1" applyAlignment="1">
      <alignment horizontal="center" vertical="center"/>
    </xf>
    <xf numFmtId="0" fontId="1" fillId="38" borderId="0" xfId="2" applyNumberFormat="1" applyFill="1" applyAlignment="1">
      <alignment horizontal="center"/>
    </xf>
    <xf numFmtId="164" fontId="0" fillId="39" borderId="156" xfId="0" applyNumberFormat="1" applyFill="1" applyBorder="1" applyAlignment="1">
      <alignment horizontal="center"/>
    </xf>
    <xf numFmtId="164" fontId="2" fillId="39" borderId="157" xfId="0" applyNumberFormat="1" applyFont="1" applyFill="1" applyBorder="1" applyAlignment="1">
      <alignment horizontal="center"/>
    </xf>
    <xf numFmtId="14" fontId="0" fillId="39" borderId="157" xfId="0" applyNumberFormat="1" applyFill="1" applyBorder="1" applyAlignment="1">
      <alignment horizontal="center"/>
    </xf>
    <xf numFmtId="4" fontId="0" fillId="39" borderId="157" xfId="0" applyNumberFormat="1" applyFill="1" applyBorder="1" applyAlignment="1">
      <alignment horizontal="right" indent="1"/>
    </xf>
    <xf numFmtId="0" fontId="0" fillId="39" borderId="157" xfId="0" applyFill="1" applyBorder="1"/>
    <xf numFmtId="165" fontId="0" fillId="39" borderId="157" xfId="0" applyNumberFormat="1" applyFill="1" applyBorder="1"/>
    <xf numFmtId="165" fontId="0" fillId="39" borderId="157" xfId="0" applyNumberFormat="1" applyFill="1" applyBorder="1" applyAlignment="1">
      <alignment horizontal="center" shrinkToFit="1"/>
    </xf>
    <xf numFmtId="49" fontId="0" fillId="40" borderId="158" xfId="0" applyNumberFormat="1" applyFill="1" applyBorder="1"/>
    <xf numFmtId="164" fontId="0" fillId="0" borderId="0" xfId="0" applyNumberFormat="1" applyFont="1" applyAlignment="1">
      <alignment horizontal="center"/>
    </xf>
    <xf numFmtId="0" fontId="3" fillId="0" borderId="0" xfId="0" applyFont="1" applyAlignment="1">
      <alignment vertical="center" wrapText="1"/>
    </xf>
    <xf numFmtId="180" fontId="8" fillId="19" borderId="121" xfId="0" applyNumberFormat="1" applyFont="1" applyFill="1" applyBorder="1" applyAlignment="1">
      <alignment horizontal="right" vertical="center" indent="1"/>
    </xf>
    <xf numFmtId="0" fontId="0" fillId="0" borderId="143" xfId="0" applyBorder="1"/>
    <xf numFmtId="4" fontId="0" fillId="41" borderId="138" xfId="0" applyNumberFormat="1" applyFont="1" applyFill="1" applyBorder="1" applyAlignment="1">
      <alignment horizontal="right" indent="1"/>
    </xf>
    <xf numFmtId="180" fontId="8" fillId="42" borderId="33" xfId="0" applyNumberFormat="1" applyFont="1" applyFill="1" applyBorder="1" applyAlignment="1">
      <alignment horizontal="right" vertical="center" indent="1"/>
    </xf>
    <xf numFmtId="180" fontId="30" fillId="43" borderId="119" xfId="0" applyNumberFormat="1" applyFont="1" applyFill="1" applyBorder="1" applyAlignment="1">
      <alignment horizontal="right" vertical="center" indent="1"/>
    </xf>
    <xf numFmtId="177" fontId="0" fillId="0" borderId="0" xfId="0" applyNumberFormat="1" applyAlignment="1">
      <alignment horizontal="left" indent="1"/>
    </xf>
    <xf numFmtId="3" fontId="16" fillId="0" borderId="0" xfId="0" applyNumberFormat="1" applyFont="1" applyBorder="1" applyAlignment="1">
      <alignment horizontal="right" vertical="top"/>
    </xf>
    <xf numFmtId="3" fontId="5" fillId="0" borderId="0" xfId="0" applyNumberFormat="1" applyFont="1" applyBorder="1" applyAlignment="1">
      <alignment shrinkToFit="1"/>
    </xf>
  </cellXfs>
  <cellStyles count="4">
    <cellStyle name="Énfasis2" xfId="1" builtinId="33"/>
    <cellStyle name="Énfasis5" xfId="2" builtinId="45"/>
    <cellStyle name="Hyperlink" xfId="3" xr:uid="{00000000-0005-0000-0000-000002000000}"/>
    <cellStyle name="Normal" xfId="0" builtinId="0"/>
  </cellStyles>
  <dxfs count="849">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ont>
        <color theme="0"/>
      </font>
      <fill>
        <patternFill>
          <bgColor rgb="FFFF0000"/>
        </patternFill>
      </fill>
    </dxf>
    <dxf>
      <fill>
        <patternFill>
          <bgColor rgb="FFFF00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numFmt numFmtId="173" formatCode="#,##0.00_ ;[Red]\-#,##0.00\ "/>
    </dxf>
    <dxf>
      <numFmt numFmtId="173" formatCode="#,##0.00_ ;[Red]\-#,##0.00\ "/>
    </dxf>
    <dxf>
      <numFmt numFmtId="173" formatCode="#,##0.00_ ;[Red]\-#,##0.00\ "/>
    </dxf>
    <dxf>
      <numFmt numFmtId="179" formatCode="mmm\.\ yyyy"/>
    </dxf>
    <dxf>
      <numFmt numFmtId="179" formatCode="mmm\.\ yyyy"/>
    </dxf>
    <dxf>
      <alignment wrapText="1" readingOrder="0"/>
    </dxf>
    <dxf>
      <alignment wrapText="1" readingOrder="0"/>
    </dxf>
    <dxf>
      <alignment wrapText="1" readingOrder="0"/>
    </dxf>
    <dxf>
      <alignment horizontal="right" readingOrder="0"/>
    </dxf>
    <dxf>
      <alignment horizontal="right" readingOrder="0"/>
    </dxf>
    <dxf>
      <border>
        <vertical style="thin">
          <color theme="0" tint="-0.34998626667073579"/>
        </vertical>
      </border>
    </dxf>
    <dxf>
      <border>
        <bottom style="thin">
          <color theme="0" tint="-0.34998626667073579"/>
        </bottom>
        <vertical/>
      </border>
    </dxf>
    <dxf>
      <border>
        <right style="thin">
          <color theme="0" tint="-0.34998626667073579"/>
        </right>
      </border>
    </dxf>
    <dxf>
      <border>
        <left style="thin">
          <color theme="0" tint="-0.34998626667073579"/>
        </left>
      </border>
    </dxf>
    <dxf>
      <border>
        <left style="thin">
          <color theme="0" tint="-0.34998626667073579"/>
        </left>
      </border>
    </dxf>
    <dxf>
      <border>
        <left style="thin">
          <color theme="0" tint="-0.34998626667073579"/>
        </left>
      </border>
    </dxf>
    <dxf>
      <border>
        <horizontal/>
      </border>
    </dxf>
    <dxf>
      <alignment horizontal="center" readingOrder="0"/>
    </dxf>
    <dxf>
      <border>
        <right style="thin">
          <color theme="0" tint="-0.34998626667073579"/>
        </right>
      </border>
    </dxf>
    <dxf>
      <border>
        <right style="thin">
          <color theme="0" tint="-0.34998626667073579"/>
        </right>
      </border>
    </dxf>
    <dxf>
      <alignment horizontal="center" readingOrder="0"/>
    </dxf>
    <dxf>
      <border>
        <right style="thin">
          <color theme="0" tint="-0.34998626667073579"/>
        </right>
      </border>
    </dxf>
    <dxf>
      <alignment wrapText="1" readingOrder="0"/>
    </dxf>
  </dxfs>
  <tableStyles count="0" defaultTableStyle="TableStyleMedium2" defaultPivotStyle="PivotStyleLight16"/>
  <colors>
    <mruColors>
      <color rgb="FFFFFFCC"/>
      <color rgb="FF66FF66"/>
      <color rgb="FF00FF00"/>
      <color rgb="FFCCFFCC"/>
      <color rgb="FF99FF99"/>
      <color rgb="FFFF5D5D"/>
      <color rgb="FFCCFF99"/>
      <color rgb="FF505050"/>
      <color rgb="FFFF66FF"/>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2.xml"/><Relationship Id="rId1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lang="es-VE" sz="1400" b="1" i="0" u="none" strike="noStrike" kern="1200" spc="0" baseline="0">
                <a:solidFill>
                  <a:sysClr val="windowText" lastClr="000000">
                    <a:lumMod val="65000"/>
                    <a:lumOff val="35000"/>
                  </a:sysClr>
                </a:solidFill>
                <a:latin typeface="+mn-lt"/>
                <a:ea typeface="+mn-ea"/>
                <a:cs typeface="+mn-cs"/>
              </a:defRPr>
            </a:pPr>
            <a:r>
              <a:rPr lang="es-VE" sz="1400" b="1" i="0" u="none" strike="noStrike" kern="1200" spc="0" baseline="0">
                <a:solidFill>
                  <a:sysClr val="windowText" lastClr="000000">
                    <a:lumMod val="65000"/>
                    <a:lumOff val="35000"/>
                  </a:sysClr>
                </a:solidFill>
                <a:latin typeface="+mn-lt"/>
                <a:ea typeface="+mn-ea"/>
                <a:cs typeface="+mn-cs"/>
              </a:rPr>
              <a:t>Gestión de Cobranzas</a:t>
            </a:r>
          </a:p>
        </c:rich>
      </c:tx>
      <c:overlay val="0"/>
      <c:spPr>
        <a:noFill/>
        <a:ln>
          <a:noFill/>
        </a:ln>
        <a:effectLst/>
      </c:spPr>
      <c:txPr>
        <a:bodyPr rot="0" spcFirstLastPara="1" vertOverflow="ellipsis" vert="horz" wrap="square" anchor="ctr" anchorCtr="1"/>
        <a:lstStyle/>
        <a:p>
          <a:pPr algn="ctr" rtl="0">
            <a:defRPr lang="es-VE" sz="1400" b="1" i="0" u="none" strike="noStrike" kern="1200" spc="0" baseline="0">
              <a:solidFill>
                <a:sysClr val="windowText" lastClr="000000">
                  <a:lumMod val="65000"/>
                  <a:lumOff val="35000"/>
                </a:sysClr>
              </a:solidFill>
              <a:latin typeface="+mn-lt"/>
              <a:ea typeface="+mn-ea"/>
              <a:cs typeface="+mn-cs"/>
            </a:defRPr>
          </a:pPr>
          <a:endParaRPr lang="en-US"/>
        </a:p>
      </c:txPr>
    </c:title>
    <c:autoTitleDeleted val="0"/>
    <c:plotArea>
      <c:layout/>
      <c:lineChart>
        <c:grouping val="standard"/>
        <c:varyColors val="0"/>
        <c:ser>
          <c:idx val="1"/>
          <c:order val="0"/>
          <c:tx>
            <c:strRef>
              <c:f>Cobranzas!$V$2</c:f>
              <c:strCache>
                <c:ptCount val="1"/>
                <c:pt idx="0">
                  <c:v>feb.2020</c:v>
                </c:pt>
              </c:strCache>
            </c:strRef>
          </c:tx>
          <c:spPr>
            <a:ln w="41275" cap="rnd">
              <a:solidFill>
                <a:schemeClr val="accent2"/>
              </a:solidFill>
              <a:round/>
            </a:ln>
            <a:effectLst/>
          </c:spPr>
          <c:marker>
            <c:symbol val="none"/>
          </c:marker>
          <c:trendline>
            <c:spPr>
              <a:ln w="19050" cap="rnd">
                <a:solidFill>
                  <a:schemeClr val="accent2"/>
                </a:solidFill>
                <a:prstDash val="sysDot"/>
              </a:ln>
              <a:effectLst/>
            </c:spPr>
            <c:trendlineType val="linear"/>
            <c:dispRSqr val="0"/>
            <c:dispEq val="0"/>
          </c:trendline>
          <c:val>
            <c:numRef>
              <c:f>Cobranzas!$V$3:$V$33</c:f>
              <c:numCache>
                <c:formatCode>0.0%</c:formatCode>
                <c:ptCount val="31"/>
                <c:pt idx="0">
                  <c:v>5.2847972383298102E-2</c:v>
                </c:pt>
                <c:pt idx="1">
                  <c:v>0.28488451021081007</c:v>
                </c:pt>
                <c:pt idx="2">
                  <c:v>0.3932470957857378</c:v>
                </c:pt>
                <c:pt idx="3">
                  <c:v>0.50645811919399564</c:v>
                </c:pt>
                <c:pt idx="4">
                  <c:v>0.78685297597114201</c:v>
                </c:pt>
                <c:pt idx="5">
                  <c:v>1.1168958361615886</c:v>
                </c:pt>
                <c:pt idx="6">
                  <c:v>1.2378789054166746</c:v>
                </c:pt>
                <c:pt idx="7">
                  <c:v>1.3450293815332697</c:v>
                </c:pt>
                <c:pt idx="8">
                  <c:v>1.3450293815332697</c:v>
                </c:pt>
                <c:pt idx="9">
                  <c:v>1.3978773539165679</c:v>
                </c:pt>
                <c:pt idx="10">
                  <c:v>1.4814644221631788</c:v>
                </c:pt>
                <c:pt idx="11">
                  <c:v>1.4814644221631788</c:v>
                </c:pt>
                <c:pt idx="12">
                  <c:v>1.5607363807381258</c:v>
                </c:pt>
                <c:pt idx="13">
                  <c:v>1.5607363807381258</c:v>
                </c:pt>
                <c:pt idx="14">
                  <c:v>1.6210994317630856</c:v>
                </c:pt>
                <c:pt idx="15">
                  <c:v>1.6210994317630856</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numCache>
            </c:numRef>
          </c:val>
          <c:smooth val="0"/>
          <c:extLst>
            <c:ext xmlns:c16="http://schemas.microsoft.com/office/drawing/2014/chart" uri="{C3380CC4-5D6E-409C-BE32-E72D297353CC}">
              <c16:uniqueId val="{00000000-D068-2349-8814-D70DFC8BAEA5}"/>
            </c:ext>
          </c:extLst>
        </c:ser>
        <c:ser>
          <c:idx val="0"/>
          <c:order val="1"/>
          <c:tx>
            <c:strRef>
              <c:f>Cobranzas!$U$2</c:f>
              <c:strCache>
                <c:ptCount val="1"/>
                <c:pt idx="0">
                  <c:v>Promedio 5 últimos meses</c:v>
                </c:pt>
              </c:strCache>
            </c:strRef>
          </c:tx>
          <c:spPr>
            <a:ln w="41275" cap="rnd">
              <a:solidFill>
                <a:schemeClr val="accent1"/>
              </a:solidFill>
              <a:round/>
            </a:ln>
            <a:effectLst/>
          </c:spPr>
          <c:marker>
            <c:symbol val="none"/>
          </c:marker>
          <c:val>
            <c:numRef>
              <c:f>Cobranzas!$U$3:$U$33</c:f>
              <c:numCache>
                <c:formatCode>0.0%</c:formatCode>
                <c:ptCount val="31"/>
                <c:pt idx="0">
                  <c:v>7.4449551739883962E-2</c:v>
                </c:pt>
                <c:pt idx="1">
                  <c:v>9.2394925176947335E-2</c:v>
                </c:pt>
                <c:pt idx="2">
                  <c:v>0.18815147532436563</c:v>
                </c:pt>
                <c:pt idx="3">
                  <c:v>0.26865833476840367</c:v>
                </c:pt>
                <c:pt idx="4">
                  <c:v>0.31774379220224358</c:v>
                </c:pt>
                <c:pt idx="5">
                  <c:v>0.37000936877748297</c:v>
                </c:pt>
                <c:pt idx="6">
                  <c:v>0.41859443035208288</c:v>
                </c:pt>
                <c:pt idx="7">
                  <c:v>0.43314459228990659</c:v>
                </c:pt>
                <c:pt idx="8">
                  <c:v>0.51042023873253173</c:v>
                </c:pt>
                <c:pt idx="9">
                  <c:v>0.55263876141058554</c:v>
                </c:pt>
                <c:pt idx="10">
                  <c:v>0.69379587041229362</c:v>
                </c:pt>
                <c:pt idx="11">
                  <c:v>0.72707379809098072</c:v>
                </c:pt>
                <c:pt idx="12">
                  <c:v>0.76891188670413757</c:v>
                </c:pt>
                <c:pt idx="13">
                  <c:v>0.79446354536532093</c:v>
                </c:pt>
                <c:pt idx="14">
                  <c:v>0.81709217765757192</c:v>
                </c:pt>
                <c:pt idx="15">
                  <c:v>0.82069217765757185</c:v>
                </c:pt>
                <c:pt idx="16">
                  <c:v>0.849627408302014</c:v>
                </c:pt>
                <c:pt idx="17">
                  <c:v>0.86082490223765973</c:v>
                </c:pt>
                <c:pt idx="18">
                  <c:v>0.89880079783214062</c:v>
                </c:pt>
                <c:pt idx="19">
                  <c:v>0.92415223352804432</c:v>
                </c:pt>
                <c:pt idx="20">
                  <c:v>0.97677260648751307</c:v>
                </c:pt>
                <c:pt idx="21">
                  <c:v>1.017297482180479</c:v>
                </c:pt>
                <c:pt idx="22">
                  <c:v>1.1010868824973117</c:v>
                </c:pt>
                <c:pt idx="23">
                  <c:v>1.1318969691678458</c:v>
                </c:pt>
                <c:pt idx="24">
                  <c:v>1.155440075711275</c:v>
                </c:pt>
                <c:pt idx="25">
                  <c:v>1.1868650312820064</c:v>
                </c:pt>
                <c:pt idx="26">
                  <c:v>1.2166028854897459</c:v>
                </c:pt>
                <c:pt idx="27">
                  <c:v>1.2477539851058042</c:v>
                </c:pt>
                <c:pt idx="28">
                  <c:v>1.2970374129834483</c:v>
                </c:pt>
                <c:pt idx="29">
                  <c:v>1.3814968925698152</c:v>
                </c:pt>
                <c:pt idx="30">
                  <c:v>1.3979340524607167</c:v>
                </c:pt>
              </c:numCache>
            </c:numRef>
          </c:val>
          <c:smooth val="0"/>
          <c:extLst>
            <c:ext xmlns:c16="http://schemas.microsoft.com/office/drawing/2014/chart" uri="{C3380CC4-5D6E-409C-BE32-E72D297353CC}">
              <c16:uniqueId val="{00000001-D068-2349-8814-D70DFC8BAEA5}"/>
            </c:ext>
          </c:extLst>
        </c:ser>
        <c:ser>
          <c:idx val="2"/>
          <c:order val="2"/>
          <c:tx>
            <c:strRef>
              <c:f>Cobranzas!$W$2</c:f>
              <c:strCache>
                <c:ptCount val="1"/>
                <c:pt idx="0">
                  <c:v>Pago Vigilantes</c:v>
                </c:pt>
              </c:strCache>
            </c:strRef>
          </c:tx>
          <c:spPr>
            <a:ln w="19050" cap="rnd">
              <a:solidFill>
                <a:schemeClr val="accent3"/>
              </a:solidFill>
              <a:round/>
            </a:ln>
            <a:effectLst/>
          </c:spPr>
          <c:marker>
            <c:symbol val="none"/>
          </c:marker>
          <c:val>
            <c:numRef>
              <c:f>Cobranzas!$W$3:$W$33</c:f>
              <c:numCache>
                <c:formatCode>0.0%</c:formatCode>
                <c:ptCount val="31"/>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numCache>
            </c:numRef>
          </c:val>
          <c:smooth val="0"/>
          <c:extLst>
            <c:ext xmlns:c16="http://schemas.microsoft.com/office/drawing/2014/chart" uri="{C3380CC4-5D6E-409C-BE32-E72D297353CC}">
              <c16:uniqueId val="{00000002-D068-2349-8814-D70DFC8BAEA5}"/>
            </c:ext>
          </c:extLst>
        </c:ser>
        <c:dLbls>
          <c:showLegendKey val="0"/>
          <c:showVal val="0"/>
          <c:showCatName val="0"/>
          <c:showSerName val="0"/>
          <c:showPercent val="0"/>
          <c:showBubbleSize val="0"/>
        </c:dLbls>
        <c:smooth val="0"/>
        <c:axId val="181318616"/>
        <c:axId val="181316656"/>
      </c:lineChart>
      <c:catAx>
        <c:axId val="18131861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1316656"/>
        <c:crosses val="autoZero"/>
        <c:auto val="1"/>
        <c:lblAlgn val="ctr"/>
        <c:lblOffset val="100"/>
        <c:tickLblSkip val="1"/>
        <c:noMultiLvlLbl val="0"/>
      </c:catAx>
      <c:valAx>
        <c:axId val="181316656"/>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 Cobertura de Pago de Vigilantes, Pasivos</a:t>
                </a:r>
                <a:r>
                  <a:rPr lang="en-US" baseline="0"/>
                  <a:t> </a:t>
                </a:r>
                <a:r>
                  <a:rPr lang="en-US"/>
                  <a:t>y Consumibles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131861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US" baseline="0">
                <a:solidFill>
                  <a:sysClr val="windowText" lastClr="000000"/>
                </a:solidFill>
              </a:rPr>
              <a:t>Cuotas equivalentes</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barChart>
        <c:barDir val="col"/>
        <c:grouping val="clustered"/>
        <c:varyColors val="0"/>
        <c:ser>
          <c:idx val="0"/>
          <c:order val="0"/>
          <c:tx>
            <c:strRef>
              <c:f>Cobranzas!$AA$2</c:f>
              <c:strCache>
                <c:ptCount val="1"/>
                <c:pt idx="0">
                  <c:v>100% eqv.</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Cobranzas!$Z$3:$Z$15</c:f>
              <c:numCache>
                <c:formatCode>[$-C0A]mmmyyyy;@</c:formatCode>
                <c:ptCount val="13"/>
                <c:pt idx="0">
                  <c:v>43497</c:v>
                </c:pt>
                <c:pt idx="1">
                  <c:v>43525</c:v>
                </c:pt>
                <c:pt idx="2">
                  <c:v>43556</c:v>
                </c:pt>
                <c:pt idx="3">
                  <c:v>43586</c:v>
                </c:pt>
                <c:pt idx="4">
                  <c:v>43617</c:v>
                </c:pt>
                <c:pt idx="5">
                  <c:v>43647</c:v>
                </c:pt>
                <c:pt idx="6">
                  <c:v>43678</c:v>
                </c:pt>
                <c:pt idx="7">
                  <c:v>43709</c:v>
                </c:pt>
                <c:pt idx="8">
                  <c:v>43739</c:v>
                </c:pt>
                <c:pt idx="9">
                  <c:v>43770</c:v>
                </c:pt>
                <c:pt idx="10">
                  <c:v>43800</c:v>
                </c:pt>
                <c:pt idx="11">
                  <c:v>43831</c:v>
                </c:pt>
                <c:pt idx="12">
                  <c:v>43862</c:v>
                </c:pt>
              </c:numCache>
            </c:numRef>
          </c:cat>
          <c:val>
            <c:numRef>
              <c:f>Cobranzas!$AA$3:$AA$15</c:f>
              <c:numCache>
                <c:formatCode>#,##0</c:formatCode>
                <c:ptCount val="13"/>
                <c:pt idx="0">
                  <c:v>76.49666666666667</c:v>
                </c:pt>
                <c:pt idx="1">
                  <c:v>81.238516666666669</c:v>
                </c:pt>
                <c:pt idx="2">
                  <c:v>78.426000000000002</c:v>
                </c:pt>
                <c:pt idx="3">
                  <c:v>79.122500000000002</c:v>
                </c:pt>
                <c:pt idx="4">
                  <c:v>80.704999999999998</c:v>
                </c:pt>
                <c:pt idx="5">
                  <c:v>80.95</c:v>
                </c:pt>
                <c:pt idx="6">
                  <c:v>80.94</c:v>
                </c:pt>
                <c:pt idx="7">
                  <c:v>83.164875482625476</c:v>
                </c:pt>
                <c:pt idx="8">
                  <c:v>78.368935323383084</c:v>
                </c:pt>
                <c:pt idx="9">
                  <c:v>108.52362108479755</c:v>
                </c:pt>
                <c:pt idx="10">
                  <c:v>71.027155351936685</c:v>
                </c:pt>
                <c:pt idx="11">
                  <c:v>72.148981161091882</c:v>
                </c:pt>
                <c:pt idx="12">
                  <c:v>45.129033394495409</c:v>
                </c:pt>
              </c:numCache>
            </c:numRef>
          </c:val>
          <c:extLst>
            <c:ext xmlns:c16="http://schemas.microsoft.com/office/drawing/2014/chart" uri="{C3380CC4-5D6E-409C-BE32-E72D297353CC}">
              <c16:uniqueId val="{00000000-96F4-264C-82B5-A47F2444F5CA}"/>
            </c:ext>
          </c:extLst>
        </c:ser>
        <c:dLbls>
          <c:showLegendKey val="0"/>
          <c:showVal val="0"/>
          <c:showCatName val="0"/>
          <c:showSerName val="0"/>
          <c:showPercent val="0"/>
          <c:showBubbleSize val="0"/>
        </c:dLbls>
        <c:gapWidth val="219"/>
        <c:overlap val="-27"/>
        <c:axId val="181319008"/>
        <c:axId val="246290232"/>
      </c:barChart>
      <c:lineChart>
        <c:grouping val="standard"/>
        <c:varyColors val="0"/>
        <c:ser>
          <c:idx val="1"/>
          <c:order val="1"/>
          <c:tx>
            <c:strRef>
              <c:f>Cobranzas!$AB$2</c:f>
              <c:strCache>
                <c:ptCount val="1"/>
                <c:pt idx="0">
                  <c:v>Promedio últimos 12 meses = 81; actual = 45</c:v>
                </c:pt>
              </c:strCache>
            </c:strRef>
          </c:tx>
          <c:spPr>
            <a:ln w="19050" cap="rnd">
              <a:solidFill>
                <a:schemeClr val="accent2"/>
              </a:solidFill>
              <a:round/>
            </a:ln>
            <a:effectLst/>
          </c:spPr>
          <c:marker>
            <c:symbol val="none"/>
          </c:marker>
          <c:cat>
            <c:numRef>
              <c:f>Cobranzas!$Z$3:$Z$15</c:f>
              <c:numCache>
                <c:formatCode>[$-C0A]mmmyyyy;@</c:formatCode>
                <c:ptCount val="13"/>
                <c:pt idx="0">
                  <c:v>43497</c:v>
                </c:pt>
                <c:pt idx="1">
                  <c:v>43525</c:v>
                </c:pt>
                <c:pt idx="2">
                  <c:v>43556</c:v>
                </c:pt>
                <c:pt idx="3">
                  <c:v>43586</c:v>
                </c:pt>
                <c:pt idx="4">
                  <c:v>43617</c:v>
                </c:pt>
                <c:pt idx="5">
                  <c:v>43647</c:v>
                </c:pt>
                <c:pt idx="6">
                  <c:v>43678</c:v>
                </c:pt>
                <c:pt idx="7">
                  <c:v>43709</c:v>
                </c:pt>
                <c:pt idx="8">
                  <c:v>43739</c:v>
                </c:pt>
                <c:pt idx="9">
                  <c:v>43770</c:v>
                </c:pt>
                <c:pt idx="10">
                  <c:v>43800</c:v>
                </c:pt>
                <c:pt idx="11">
                  <c:v>43831</c:v>
                </c:pt>
                <c:pt idx="12">
                  <c:v>43862</c:v>
                </c:pt>
              </c:numCache>
            </c:numRef>
          </c:cat>
          <c:val>
            <c:numRef>
              <c:f>Cobranzas!$AB$3:$AB$15</c:f>
              <c:numCache>
                <c:formatCode>0</c:formatCode>
                <c:ptCount val="13"/>
                <c:pt idx="0">
                  <c:v>80.926020978097341</c:v>
                </c:pt>
                <c:pt idx="1">
                  <c:v>80.926020978097341</c:v>
                </c:pt>
                <c:pt idx="2">
                  <c:v>80.926020978097341</c:v>
                </c:pt>
                <c:pt idx="3">
                  <c:v>80.926020978097341</c:v>
                </c:pt>
                <c:pt idx="4">
                  <c:v>80.926020978097341</c:v>
                </c:pt>
                <c:pt idx="5">
                  <c:v>80.926020978097341</c:v>
                </c:pt>
                <c:pt idx="6">
                  <c:v>80.926020978097341</c:v>
                </c:pt>
                <c:pt idx="7">
                  <c:v>80.926020978097341</c:v>
                </c:pt>
                <c:pt idx="8">
                  <c:v>80.926020978097341</c:v>
                </c:pt>
                <c:pt idx="9">
                  <c:v>80.926020978097341</c:v>
                </c:pt>
                <c:pt idx="10">
                  <c:v>80.926020978097341</c:v>
                </c:pt>
                <c:pt idx="11">
                  <c:v>80.926020978097341</c:v>
                </c:pt>
                <c:pt idx="12">
                  <c:v>80.926020978097341</c:v>
                </c:pt>
              </c:numCache>
            </c:numRef>
          </c:val>
          <c:smooth val="0"/>
          <c:extLst>
            <c:ext xmlns:c16="http://schemas.microsoft.com/office/drawing/2014/chart" uri="{C3380CC4-5D6E-409C-BE32-E72D297353CC}">
              <c16:uniqueId val="{00000001-96F4-264C-82B5-A47F2444F5CA}"/>
            </c:ext>
          </c:extLst>
        </c:ser>
        <c:ser>
          <c:idx val="2"/>
          <c:order val="2"/>
          <c:tx>
            <c:strRef>
              <c:f>Cobranzas!$AC$2</c:f>
              <c:strCache>
                <c:ptCount val="1"/>
                <c:pt idx="0">
                  <c:v>Pto.Equilibrio = 55 familias</c:v>
                </c:pt>
              </c:strCache>
            </c:strRef>
          </c:tx>
          <c:spPr>
            <a:ln w="15875" cap="rnd">
              <a:solidFill>
                <a:srgbClr val="FFC000"/>
              </a:solidFill>
              <a:prstDash val="dash"/>
              <a:round/>
            </a:ln>
            <a:effectLst/>
          </c:spPr>
          <c:marker>
            <c:symbol val="none"/>
          </c:marker>
          <c:cat>
            <c:numRef>
              <c:f>Cobranzas!$Z$3:$Z$15</c:f>
              <c:numCache>
                <c:formatCode>[$-C0A]mmmyyyy;@</c:formatCode>
                <c:ptCount val="13"/>
                <c:pt idx="0">
                  <c:v>43497</c:v>
                </c:pt>
                <c:pt idx="1">
                  <c:v>43525</c:v>
                </c:pt>
                <c:pt idx="2">
                  <c:v>43556</c:v>
                </c:pt>
                <c:pt idx="3">
                  <c:v>43586</c:v>
                </c:pt>
                <c:pt idx="4">
                  <c:v>43617</c:v>
                </c:pt>
                <c:pt idx="5">
                  <c:v>43647</c:v>
                </c:pt>
                <c:pt idx="6">
                  <c:v>43678</c:v>
                </c:pt>
                <c:pt idx="7">
                  <c:v>43709</c:v>
                </c:pt>
                <c:pt idx="8">
                  <c:v>43739</c:v>
                </c:pt>
                <c:pt idx="9">
                  <c:v>43770</c:v>
                </c:pt>
                <c:pt idx="10">
                  <c:v>43800</c:v>
                </c:pt>
                <c:pt idx="11">
                  <c:v>43831</c:v>
                </c:pt>
                <c:pt idx="12">
                  <c:v>43862</c:v>
                </c:pt>
              </c:numCache>
            </c:numRef>
          </c:cat>
          <c:val>
            <c:numRef>
              <c:f>Cobranzas!$AC$3:$AC$15</c:f>
              <c:numCache>
                <c:formatCode>General</c:formatCode>
                <c:ptCount val="13"/>
                <c:pt idx="0">
                  <c:v>55</c:v>
                </c:pt>
                <c:pt idx="1">
                  <c:v>55</c:v>
                </c:pt>
                <c:pt idx="2">
                  <c:v>55</c:v>
                </c:pt>
                <c:pt idx="3">
                  <c:v>55</c:v>
                </c:pt>
                <c:pt idx="4">
                  <c:v>55</c:v>
                </c:pt>
                <c:pt idx="5">
                  <c:v>55</c:v>
                </c:pt>
                <c:pt idx="6">
                  <c:v>55</c:v>
                </c:pt>
                <c:pt idx="7">
                  <c:v>55</c:v>
                </c:pt>
                <c:pt idx="8">
                  <c:v>55</c:v>
                </c:pt>
                <c:pt idx="9">
                  <c:v>55</c:v>
                </c:pt>
                <c:pt idx="10">
                  <c:v>55</c:v>
                </c:pt>
                <c:pt idx="11">
                  <c:v>55</c:v>
                </c:pt>
                <c:pt idx="12">
                  <c:v>55</c:v>
                </c:pt>
              </c:numCache>
            </c:numRef>
          </c:val>
          <c:smooth val="0"/>
          <c:extLst>
            <c:ext xmlns:c16="http://schemas.microsoft.com/office/drawing/2014/chart" uri="{C3380CC4-5D6E-409C-BE32-E72D297353CC}">
              <c16:uniqueId val="{00000000-227A-1C4F-9AF3-3D5FF15905D5}"/>
            </c:ext>
          </c:extLst>
        </c:ser>
        <c:dLbls>
          <c:showLegendKey val="0"/>
          <c:showVal val="0"/>
          <c:showCatName val="0"/>
          <c:showSerName val="0"/>
          <c:showPercent val="0"/>
          <c:showBubbleSize val="0"/>
        </c:dLbls>
        <c:marker val="1"/>
        <c:smooth val="0"/>
        <c:axId val="181319008"/>
        <c:axId val="246290232"/>
      </c:lineChart>
      <c:dateAx>
        <c:axId val="181319008"/>
        <c:scaling>
          <c:orientation val="minMax"/>
        </c:scaling>
        <c:delete val="0"/>
        <c:axPos val="b"/>
        <c:numFmt formatCode="[$-C0A]mmm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6290232"/>
        <c:crosses val="autoZero"/>
        <c:auto val="1"/>
        <c:lblOffset val="100"/>
        <c:baseTimeUnit val="months"/>
      </c:dateAx>
      <c:valAx>
        <c:axId val="24629023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13190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135467</xdr:colOff>
      <xdr:row>0</xdr:row>
      <xdr:rowOff>35983</xdr:rowOff>
    </xdr:from>
    <xdr:to>
      <xdr:col>10</xdr:col>
      <xdr:colOff>345016</xdr:colOff>
      <xdr:row>18</xdr:row>
      <xdr:rowOff>150283</xdr:rowOff>
    </xdr:to>
    <xdr:graphicFrame macro="">
      <xdr:nvGraphicFramePr>
        <xdr:cNvPr id="6" name="Gráfico 5">
          <a:extLst>
            <a:ext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707144</xdr:colOff>
      <xdr:row>1</xdr:row>
      <xdr:rowOff>33177</xdr:rowOff>
    </xdr:from>
    <xdr:to>
      <xdr:col>6</xdr:col>
      <xdr:colOff>351664</xdr:colOff>
      <xdr:row>2</xdr:row>
      <xdr:rowOff>100231</xdr:rowOff>
    </xdr:to>
    <xdr:sp macro="" textlink="B2">
      <xdr:nvSpPr>
        <xdr:cNvPr id="2" name="CuadroTexto 1">
          <a:extLst>
            <a:ext uri="{FF2B5EF4-FFF2-40B4-BE49-F238E27FC236}">
              <a16:creationId xmlns:a16="http://schemas.microsoft.com/office/drawing/2014/main" id="{00000000-0008-0000-0400-000002000000}"/>
            </a:ext>
          </a:extLst>
        </xdr:cNvPr>
        <xdr:cNvSpPr txBox="1"/>
      </xdr:nvSpPr>
      <xdr:spPr>
        <a:xfrm>
          <a:off x="2548644" y="276594"/>
          <a:ext cx="1591853" cy="2575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C49D2B3A-1B19-4DBD-8208-11CF4A69FC42}" type="TxLink">
            <a:rPr lang="en-US" sz="1050" b="0" i="1" u="none" strike="noStrike" baseline="0">
              <a:solidFill>
                <a:srgbClr val="595959"/>
              </a:solidFill>
              <a:latin typeface="+mn-lt"/>
              <a:cs typeface="Calibri"/>
            </a:rPr>
            <a:pPr algn="ctr"/>
            <a:t>al 16 feb. 2020</a:t>
          </a:fld>
          <a:endParaRPr lang="es-VE" sz="1050" i="1" baseline="0">
            <a:solidFill>
              <a:srgbClr val="595959"/>
            </a:solidFill>
            <a:latin typeface="+mn-lt"/>
          </a:endParaRPr>
        </a:p>
      </xdr:txBody>
    </xdr:sp>
    <xdr:clientData/>
  </xdr:twoCellAnchor>
  <xdr:twoCellAnchor>
    <xdr:from>
      <xdr:col>3</xdr:col>
      <xdr:colOff>426416</xdr:colOff>
      <xdr:row>13</xdr:row>
      <xdr:rowOff>136250</xdr:rowOff>
    </xdr:from>
    <xdr:to>
      <xdr:col>10</xdr:col>
      <xdr:colOff>273923</xdr:colOff>
      <xdr:row>15</xdr:row>
      <xdr:rowOff>20200</xdr:rowOff>
    </xdr:to>
    <xdr:sp macro="" textlink="$B$18">
      <xdr:nvSpPr>
        <xdr:cNvPr id="3" name="CuadroTexto 2">
          <a:extLst>
            <a:ext uri="{FF2B5EF4-FFF2-40B4-BE49-F238E27FC236}">
              <a16:creationId xmlns:a16="http://schemas.microsoft.com/office/drawing/2014/main" id="{00000000-0008-0000-0400-000003000000}"/>
            </a:ext>
          </a:extLst>
        </xdr:cNvPr>
        <xdr:cNvSpPr txBox="1"/>
      </xdr:nvSpPr>
      <xdr:spPr>
        <a:xfrm>
          <a:off x="2267916" y="2665667"/>
          <a:ext cx="4250174" cy="2649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r"/>
          <a:fld id="{6E7B2C0F-0945-4223-A46E-A3F32FAD52D5}" type="TxLink">
            <a:rPr lang="en-US" sz="1100" b="0" i="0" u="none" strike="noStrike" baseline="0">
              <a:solidFill>
                <a:srgbClr val="595959"/>
              </a:solidFill>
              <a:latin typeface="Calibri"/>
              <a:cs typeface="Calibri"/>
            </a:rPr>
            <a:pPr algn="r"/>
            <a:t>Recaudado: Bs. 8.358.875 (162% del estimado)</a:t>
          </a:fld>
          <a:endParaRPr lang="es-VE" sz="1100" baseline="0">
            <a:solidFill>
              <a:srgbClr val="595959"/>
            </a:solidFill>
          </a:endParaRPr>
        </a:p>
      </xdr:txBody>
    </xdr:sp>
    <xdr:clientData/>
  </xdr:twoCellAnchor>
  <xdr:twoCellAnchor>
    <xdr:from>
      <xdr:col>0</xdr:col>
      <xdr:colOff>142874</xdr:colOff>
      <xdr:row>19</xdr:row>
      <xdr:rowOff>56091</xdr:rowOff>
    </xdr:from>
    <xdr:to>
      <xdr:col>10</xdr:col>
      <xdr:colOff>352424</xdr:colOff>
      <xdr:row>33</xdr:row>
      <xdr:rowOff>132291</xdr:rowOff>
    </xdr:to>
    <xdr:grpSp>
      <xdr:nvGrpSpPr>
        <xdr:cNvPr id="4" name="Grupo 3">
          <a:extLst>
            <a:ext uri="{FF2B5EF4-FFF2-40B4-BE49-F238E27FC236}">
              <a16:creationId xmlns:a16="http://schemas.microsoft.com/office/drawing/2014/main" id="{00000000-0008-0000-0400-000004000000}"/>
            </a:ext>
          </a:extLst>
        </xdr:cNvPr>
        <xdr:cNvGrpSpPr/>
      </xdr:nvGrpSpPr>
      <xdr:grpSpPr>
        <a:xfrm>
          <a:off x="142874" y="3723216"/>
          <a:ext cx="6410325" cy="2743200"/>
          <a:chOff x="142874" y="3728508"/>
          <a:chExt cx="6453717" cy="2743200"/>
        </a:xfrm>
      </xdr:grpSpPr>
      <xdr:graphicFrame macro="">
        <xdr:nvGraphicFramePr>
          <xdr:cNvPr id="7" name="Gráfico 6">
            <a:extLst>
              <a:ext uri="{FF2B5EF4-FFF2-40B4-BE49-F238E27FC236}">
                <a16:creationId xmlns:a16="http://schemas.microsoft.com/office/drawing/2014/main" id="{00000000-0008-0000-0400-000007000000}"/>
              </a:ext>
              <a:ext uri="{147F2762-F138-4A5C-976F-8EAC2B608ADB}">
                <a16:predDERef xmlns:a16="http://schemas.microsoft.com/office/drawing/2014/main" pred="{00000000-0008-0000-0200-000004000000}"/>
              </a:ext>
            </a:extLst>
          </xdr:cNvPr>
          <xdr:cNvGraphicFramePr>
            <a:graphicFrameLocks/>
          </xdr:cNvGraphicFramePr>
        </xdr:nvGraphicFramePr>
        <xdr:xfrm>
          <a:off x="142874" y="3728508"/>
          <a:ext cx="6453717" cy="2743200"/>
        </xdr:xfrm>
        <a:graphic>
          <a:graphicData uri="http://schemas.openxmlformats.org/drawingml/2006/chart">
            <c:chart xmlns:c="http://schemas.openxmlformats.org/drawingml/2006/chart" xmlns:r="http://schemas.openxmlformats.org/officeDocument/2006/relationships" r:id="rId2"/>
          </a:graphicData>
        </a:graphic>
      </xdr:graphicFrame>
      <xdr:sp macro="" textlink="B2">
        <xdr:nvSpPr>
          <xdr:cNvPr id="8" name="CuadroTexto 7">
            <a:extLst>
              <a:ext uri="{FF2B5EF4-FFF2-40B4-BE49-F238E27FC236}">
                <a16:creationId xmlns:a16="http://schemas.microsoft.com/office/drawing/2014/main" id="{00000000-0008-0000-0400-000008000000}"/>
              </a:ext>
            </a:extLst>
          </xdr:cNvPr>
          <xdr:cNvSpPr txBox="1"/>
        </xdr:nvSpPr>
        <xdr:spPr>
          <a:xfrm>
            <a:off x="2552880" y="3963821"/>
            <a:ext cx="1591853" cy="2575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C49D2B3A-1B19-4DBD-8208-11CF4A69FC42}" type="TxLink">
              <a:rPr lang="en-US" sz="1050" b="0" i="1" u="none" strike="noStrike" baseline="0">
                <a:solidFill>
                  <a:srgbClr val="595959"/>
                </a:solidFill>
                <a:latin typeface="+mn-lt"/>
                <a:cs typeface="Calibri"/>
              </a:rPr>
              <a:pPr algn="ctr"/>
              <a:t>al 16 feb. 2020</a:t>
            </a:fld>
            <a:endParaRPr lang="es-VE" sz="1050" i="1" baseline="0">
              <a:solidFill>
                <a:srgbClr val="595959"/>
              </a:solidFill>
              <a:latin typeface="+mn-lt"/>
            </a:endParaRPr>
          </a:p>
        </xdr:txBody>
      </xdr:sp>
    </xdr:grpSp>
    <xdr:clientData/>
  </xdr:twoCellAnchor>
</xdr:wsDr>
</file>

<file path=xl/persons/person.xml><?xml version="1.0" encoding="utf-8"?>
<personList xmlns="http://schemas.microsoft.com/office/spreadsheetml/2018/threadedcomments" xmlns:x="http://schemas.openxmlformats.org/spreadsheetml/2006/main">
  <person displayName="Mario Colosso" id="{9C042599-BB1B-4767-9133-4A877AA7D484}" userId="" providerId=""/>
  <person displayName="MColosso" id="{83E57F0F-77DB-46B2-9417-DD17A5D4CA1D}" userId="MColosso" providerId="None"/>
  <person displayName="Mario Colosso" id="{9511D04E-3370-441C-9D1A-E6B7DD65868A}" userId="Mario Colosso" providerId="None"/>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Colosso" refreshedDate="43699.834664236114" createdVersion="5" refreshedVersion="5" minRefreshableVersion="3" recordCount="1994" xr:uid="{00000000-000A-0000-FFFF-FFFF00000000}">
  <cacheSource type="worksheet">
    <worksheetSource ref="A1:Q1995" sheet="Vigilancia"/>
  </cacheSource>
  <cacheFields count="17">
    <cacheField name="Nro. Recibo" numFmtId="164">
      <sharedItems containsSemiMixedTypes="0" containsString="0" containsNumber="1" containsInteger="1" minValue="1" maxValue="1994"/>
    </cacheField>
    <cacheField name="Generar" numFmtId="0">
      <sharedItems containsNonDate="0" containsString="0" containsBlank="1"/>
    </cacheField>
    <cacheField name="Enviado" numFmtId="164">
      <sharedItems/>
    </cacheField>
    <cacheField name="Fecha" numFmtId="14">
      <sharedItems containsNonDate="0" containsDate="1" containsString="0" containsBlank="1" minDate="2016-12-09T00:00:00" maxDate="2019-05-03T00:00:00"/>
    </cacheField>
    <cacheField name="Monto" numFmtId="4">
      <sharedItems containsString="0" containsBlank="1" containsNumber="1" minValue="1.4999999999999999E-2" maxValue="15000"/>
    </cacheField>
    <cacheField name="Beneficiario" numFmtId="0">
      <sharedItems containsBlank="1" count="108">
        <s v="Familia Del Negro Palermo"/>
        <s v="Familia Colosso Delgado"/>
        <s v="Familia Méndez Parra"/>
        <s v="Familia Martínez Boada"/>
        <s v="Familia Fermín Rivas"/>
        <s v="Familia Loponte Arteaga"/>
        <s v="Familia Durvelle Serrano"/>
        <s v="Chin Chun Ya (Goya)"/>
        <s v="Familia Castro Jiménez"/>
        <s v="La Casita Encantada"/>
        <s v="Familia Barreto Pérez"/>
        <s v="Familia González Arévalo"/>
        <s v="Familia Arcia Polanco"/>
        <s v="Familia Herrera Guada"/>
        <s v="Familia Ferrer Bahri"/>
        <s v="Héctor Hernández"/>
        <s v="Wu Hung Fung"/>
        <s v="Familia Flores Montagne"/>
        <s v="Familia Puerta Burguillos"/>
        <s v="Beatriz Lara"/>
        <s v="Familia Lomeña Agudo"/>
        <s v="Familia Ochoa Mendoza"/>
        <s v="Victoria Francischiello"/>
        <s v="Familia Díaz González"/>
        <s v="Familia Navarro Assing"/>
        <s v="Familia Rodríguez Aular"/>
        <s v="Amarilis Guerra"/>
        <s v="Anahiz Seijas"/>
        <s v="Ma. de Jesus Alonso"/>
        <s v="Familia Fernández Parés"/>
        <s v="Familia Sayago Peñaranda"/>
        <s v="Familia Kattar González"/>
        <s v="Familia Morales Sesar"/>
        <s v="Familia Pérez Malpica"/>
        <s v="Familia Hurtado"/>
        <s v="Familia Kablan Sarmiento"/>
        <s v="Familia Acosta Carpio"/>
        <s v="Familia Il Grande Franceschi"/>
        <s v="Familia Nava Gordon"/>
        <s v="Familia Astor Zamora"/>
        <s v="Familia Castillo Mena"/>
        <s v="Familia Castillo Rodríguez"/>
        <s v="Familia López Hermoso"/>
        <s v="Familia Jiménez Navarro"/>
        <s v="Familia Manrique Riera"/>
        <s v="Familia Narváez Caldera"/>
        <s v="Familia Scabuzzo Gómez"/>
        <s v="Zoraida Khair"/>
        <s v="Familia Matta Palomino"/>
        <s v="Ana de González"/>
        <s v="Familia Hoyte Rafmari"/>
        <s v="Familia García Hurtado"/>
        <s v="Familia Jiménez Salvatierra"/>
        <s v="Familia Zavarce Barón"/>
        <s v="Familia Piñero Padilla"/>
        <s v="Silvia Power"/>
        <s v="Familia Gascón Domínguez"/>
        <s v="Familia Rivero"/>
        <s v="Dra. Lilia Magallanes"/>
        <s v="Familia Zavarce Pérez"/>
        <s v="Familia Hatem Medina"/>
        <s v="Familia Franco Gómez"/>
        <s v="Sra. Reina Meléndez"/>
        <s v="Familia Machado Stoppa"/>
        <s v="Familia Cegarra Villamizar"/>
        <s v="Familia Delgado Hidalgo"/>
        <s v="Familia Medina Colina"/>
        <s v="Familia Santos Carrillo"/>
        <s v="Familia Rodríguez Landaeta"/>
        <s v="Familia Guerra Miret"/>
        <s v="Yuraima Rodríguez"/>
        <s v="Gloria Molina"/>
        <s v="Familia Sirit Palencia"/>
        <s v="Colegio El Trigal"/>
        <s v="Familia Chávez Hernández"/>
        <s v="Ely Saúl Rivero Gómez"/>
        <s v="Familia Montilla García"/>
        <s v="Amparo Acosta"/>
        <s v="Familia Ramírez"/>
        <s v="Familia Molina Estopiñán"/>
        <s v="Familia Leung"/>
        <s v="Familia Milanés Carmona"/>
        <s v="Familia Triana"/>
        <s v="Familia Navarrete Medina"/>
        <s v="Familia Alonso Rojas"/>
        <s v="Familia Jiménez de Avila"/>
        <s v="Familia Romero"/>
        <s v="Familia Ozar Rivero"/>
        <s v="Familia Costermani Terrer"/>
        <s v="Isbeth Palacios"/>
        <s v="Carmen Moreno"/>
        <s v="Familia Civitico Rueda"/>
        <s v="Familia Acevedo"/>
        <s v="Wilson Escamilla"/>
        <s v="Judith Lazo"/>
        <s v="Familia Abbinante Pinto"/>
        <s v="Familia Calzadilla Trujillo"/>
        <s v="Andrea Valor"/>
        <s v="Familia Soto Urdaneta"/>
        <m u="1"/>
        <s v="Familia Kabblan Sarmiento" u="1"/>
        <s v="Familia Kabblan" u="1"/>
        <s v="Familia Acosta" u="1"/>
        <s v="Familia Kattar" u="1"/>
        <s v="Franco Gómez" u="1"/>
        <s v="Manuel Rodríguez" u="1"/>
        <s v="Ely Saúl Rivero Gómez, C.I 18.448.557" u="1"/>
        <s v="Ely Saúl Rivero Gómez, C.I 18.448.557" u="1"/>
      </sharedItems>
    </cacheField>
    <cacheField name="E-mail o celular" numFmtId="0">
      <sharedItems containsBlank="1" count="96">
        <s v="vdelnegro@gmail.com"/>
        <s v="mcolosso@gmail.com"/>
        <s v="briceidamp@hotmail.com"/>
        <s v="florcitakmz@gmail.com"/>
        <s v="angelferminb@gmail.com"/>
        <s v="nancyloponte@hotmail.com"/>
        <s v="sdurvelle@hotmail.com"/>
        <s v="uc2721@gmail.com"/>
        <s v="0426-543.4303"/>
        <s v="En Físico"/>
        <s v="bbetsa19@hotmail.com"/>
        <s v="feryenis@hotmail.com"/>
        <s v="misipo29@gmail.com"/>
        <s v="bahrimariela@hotmail.com"/>
        <s v="eof64@hotmail.com"/>
        <s v="carolinahung24@gmail.com"/>
        <s v="namaricakes@gmail.com"/>
        <s v="valentina.gutierrez@hotmail.com"/>
        <s v="claudialomena@hotmail.com"/>
        <s v="marisoljudithm@hotmail.com"/>
        <s v="victoriafrancischiello@hotmail.com"/>
        <s v="luisrdt57@gmail.com"/>
        <s v="liliaassing@gmail.com"/>
        <s v="mvaular@hotmail.com"/>
        <s v="amarilisguerra1@yahoo.com"/>
        <s v="anahiz_2@hotmail.es"/>
        <s v="marjoriealonsoh@hotmail.com"/>
        <s v="vultecca@gmail.com"/>
        <s v="alexissayago@gmail.com"/>
        <s v="jagiak123@yahoo.es"/>
        <s v="moralesesar@gmail.com"/>
        <s v="francisco_hurtado@hotmail.com"/>
        <s v="norisjsb56@hotmail.com"/>
        <s v="pablo962@hotmail.com"/>
        <s v="arcifran75@hotmail.com"/>
        <s v="maru_19_66@hotmail.com"/>
        <s v="imzastor@gmail.com"/>
        <s v="emmecas@hotmail.com"/>
        <s v="vesperanzacastillor@gmail.com"/>
        <s v="lopez.humberto14@yahoo.com.ve"/>
        <s v="joyasonline2012@gmail.com"/>
        <s v="patriciamanrique@gmail.com"/>
        <s v="jeannette_nc@yahoo.com"/>
        <s v="sfscabuzzo@msn.com"/>
        <s v="zorakhair@hotmail.com"/>
        <s v="normaapm@hotmail.com"/>
        <s v="mikelnowak25@gmail.com"/>
        <s v="0412-741.3242"/>
        <s v="0414-241.8055"/>
        <s v="0414-582.8909"/>
        <s v="achepaul2005@hotmail.com"/>
        <s v="spowermeneses@gmail.com"/>
        <s v="vrgascon@gmail.com"/>
        <s v="liliamagallanes2010@gmail.com"/>
        <s v="hhatem1@hotmail.com"/>
        <s v="olgajipe@gmail.com"/>
        <s v="machadoru@hotmail.com"/>
        <s v="jesus.villamizar.ra@gmail.com"/>
        <s v="ardh@hotmail.com"/>
        <s v="0414-409.4702"/>
        <s v="mrl58@hotmail.com"/>
        <s v="antoniojguerrag@hotmail.com"/>
        <s v="glomola2@yahoo.es"/>
        <s v="irasirit@gmail.com"/>
        <s v="mercedesch23@hotmail.com"/>
        <s v="hhs.admon@gmail.com"/>
        <s v="dairy252525@hotmail.com"/>
        <s v="0414-433.7527"/>
        <s v="0412-406.5167"/>
        <s v="yndira11m@gmail.com"/>
        <s v="juanin1919@yahoo.com"/>
        <s v="redjc01@gmail.com"/>
        <s v="meji2333@gmail.com"/>
        <s v="autoescuela21@gmail.com"/>
        <s v="martaflores@gmail.com"/>
        <s v="vanessarivero81@hotmail.com"/>
        <s v="claudiacostermani@hotmail.com"/>
        <s v="alonsojg@gmail.com"/>
        <s v="aurycastrojimenez@gmail.com"/>
        <s v="josesantos071073@gmail.com"/>
        <s v="alexanderzavarce@gmail.com"/>
        <s v="ispalparcpc@gmail.com"/>
        <s v="carmenemoreno10@gmail.com"/>
        <s v="briceidademendez@gmail.com"/>
        <s v="ruedaelizabeth@gmail.com"/>
        <s v="amparonatividad@hotmail.com"/>
        <s v="rudyacevedo90@gmail.com"/>
        <s v="wilsonescamilla45@gmail.com"/>
        <s v="0414-412.3763"/>
        <s v="abbinante47@gmail.com"/>
        <s v="calzadilla40@hotmail.com"/>
        <s v="aavp992@gmail.com"/>
        <s v="hurtadomilena@gmail.com"/>
        <s v="esotom61@gmail.com"/>
        <s v="zorakhair@hotmail.com | lbracamonte@netuno.net"/>
        <m u="1"/>
      </sharedItems>
    </cacheField>
    <cacheField name="Dirección" numFmtId="0">
      <sharedItems/>
    </cacheField>
    <cacheField name="Concepto" numFmtId="0">
      <sharedItems/>
    </cacheField>
    <cacheField name="Categoría" numFmtId="165">
      <sharedItems/>
    </cacheField>
    <cacheField name="Shared Link" numFmtId="49">
      <sharedItems containsBlank="1"/>
    </cacheField>
    <cacheField name="Recibo (ed)" numFmtId="165">
      <sharedItems/>
    </cacheField>
    <cacheField name="Fecha (ed)" numFmtId="165">
      <sharedItems/>
    </cacheField>
    <cacheField name="Día" numFmtId="0">
      <sharedItems containsSemiMixedTypes="0" containsString="0" containsNumber="1" containsInteger="1" minValue="0" maxValue="31"/>
    </cacheField>
    <cacheField name="Mes" numFmtId="167">
      <sharedItems containsSemiMixedTypes="0" containsNonDate="0" containsDate="1" containsString="0" minDate="1899-12-31T00:00:00" maxDate="2019-05-02T00:00:00"/>
    </cacheField>
    <cacheField name="Monto (ed)" numFmtId="165">
      <sharedItems/>
    </cacheField>
    <cacheField name="Monto en letras" numFmtId="0">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3864.074795370369" createdVersion="5" refreshedVersion="6" minRefreshableVersion="3" recordCount="2707" xr:uid="{00000000-000A-0000-FFFF-FFFF01000000}">
  <cacheSource type="worksheet">
    <worksheetSource ref="A1:Q1048576" sheet="Vigilancia"/>
  </cacheSource>
  <cacheFields count="17">
    <cacheField name="Nro. Recibo" numFmtId="164">
      <sharedItems containsString="0" containsBlank="1" containsNumber="1" containsInteger="1" minValue="1" maxValue="2706"/>
    </cacheField>
    <cacheField name="Generar" numFmtId="0">
      <sharedItems containsNonDate="0" containsString="0" containsBlank="1"/>
    </cacheField>
    <cacheField name="Enviado" numFmtId="164">
      <sharedItems containsBlank="1" count="3">
        <s v="ü"/>
        <s v="û"/>
        <m/>
      </sharedItems>
    </cacheField>
    <cacheField name="Fecha" numFmtId="14">
      <sharedItems containsNonDate="0" containsDate="1" containsString="0" containsBlank="1" minDate="2016-12-09T00:00:00" maxDate="2020-02-03T00:00:00"/>
    </cacheField>
    <cacheField name="Monto" numFmtId="4">
      <sharedItems containsString="0" containsBlank="1" containsNumber="1" minValue="1.4999999999999999E-2" maxValue="2387000"/>
    </cacheField>
    <cacheField name="Beneficiario" numFmtId="0">
      <sharedItems containsBlank="1"/>
    </cacheField>
    <cacheField name="E-mail o celular" numFmtId="0">
      <sharedItems containsBlank="1"/>
    </cacheField>
    <cacheField name="Dirección" numFmtId="0">
      <sharedItems containsBlank="1"/>
    </cacheField>
    <cacheField name="Concepto" numFmtId="0">
      <sharedItems containsBlank="1"/>
    </cacheField>
    <cacheField name="Categoría" numFmtId="165">
      <sharedItems containsBlank="1" count="17">
        <s v="Vigilancia"/>
        <s v="Anticipo"/>
        <s v="Control"/>
        <s v="ANULADO"/>
        <s v="Reja CC"/>
        <s v="Logo"/>
        <s v="DONACION"/>
        <s v="Otros"/>
        <s v="Caseta Vigilancia"/>
        <s v="Comida Vigilantes"/>
        <s v="Reparación Portón"/>
        <s v="Reparación Portón 2"/>
        <s v="REVERSADO"/>
        <s v="Aporte caseta"/>
        <s v="SOLVENTE"/>
        <m/>
        <s v="REVERTIDO" u="1"/>
      </sharedItems>
    </cacheField>
    <cacheField name="Shared Link" numFmtId="49">
      <sharedItems containsBlank="1"/>
    </cacheField>
    <cacheField name="Recibo (ed)" numFmtId="165">
      <sharedItems containsBlank="1"/>
    </cacheField>
    <cacheField name="Fecha (ed)" numFmtId="165">
      <sharedItems containsBlank="1"/>
    </cacheField>
    <cacheField name="Día" numFmtId="0">
      <sharedItems containsString="0" containsBlank="1" containsNumber="1" containsInteger="1" minValue="0" maxValue="31"/>
    </cacheField>
    <cacheField name="Mes" numFmtId="167">
      <sharedItems containsNonDate="0" containsDate="1" containsString="0" containsBlank="1" minDate="1899-12-31T00:00:00" maxDate="2020-12-02T00:00:00" count="42">
        <d v="2016-12-01T00:00:00"/>
        <d v="2017-01-01T00:00:00"/>
        <d v="2017-02-01T00:00:00"/>
        <d v="2017-03-01T00:00:00"/>
        <d v="2017-04-01T00:00:00"/>
        <d v="2017-05-01T00:00:00"/>
        <d v="1899-12-31T00:00:00"/>
        <d v="2017-06-01T00:00:00"/>
        <d v="2017-07-01T00:00:00"/>
        <d v="2017-08-01T00:00:00"/>
        <d v="2017-09-01T00:00:00"/>
        <d v="2017-10-01T00:00:00"/>
        <d v="2017-11-01T00:00:00"/>
        <d v="2017-12-01T00:00:00"/>
        <d v="2018-01-01T00:00:00"/>
        <d v="2018-02-01T00:00:00"/>
        <d v="2018-03-01T00:00:00"/>
        <d v="2018-04-01T00:00:00"/>
        <d v="2018-05-01T00:00:00"/>
        <d v="2018-06-01T00:00:00"/>
        <d v="2018-07-01T00:00:00"/>
        <d v="2018-08-01T00:00:00"/>
        <d v="2018-09-01T00:00:00"/>
        <d v="2018-10-01T00:00:00"/>
        <d v="2018-11-01T00:00:00"/>
        <d v="2018-12-01T00:00:00"/>
        <d v="2019-01-01T00:00:00"/>
        <d v="2019-02-01T00:00:00"/>
        <d v="2019-03-01T00:00:00"/>
        <d v="2019-04-01T00:00:00"/>
        <d v="2019-05-01T00:00:00"/>
        <d v="2019-06-01T00:00:00"/>
        <d v="2019-07-01T00:00:00"/>
        <d v="2019-08-01T00:00:00"/>
        <d v="2019-09-01T00:00:00"/>
        <d v="2019-10-01T00:00:00"/>
        <d v="2019-11-01T00:00:00"/>
        <d v="2019-12-01T00:00:00"/>
        <d v="2020-01-01T00:00:00"/>
        <d v="2020-02-01T00:00:00"/>
        <m/>
        <d v="2020-12-01T00:00:00" u="1"/>
      </sharedItems>
    </cacheField>
    <cacheField name="Monto (ed)" numFmtId="165">
      <sharedItems containsBlank="1"/>
    </cacheField>
    <cacheField name="Monto en letras"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94">
  <r>
    <n v="1"/>
    <m/>
    <s v="ü"/>
    <d v="2016-12-09T00:00:00"/>
    <n v="0.105"/>
    <x v="0"/>
    <x v="0"/>
    <s v="Calle Guacara Nro. 88-45"/>
    <s v="Anticipo Vigilancia, mes de Enero 2017"/>
    <s v="Vigilancia"/>
    <s v="https://drive.google.com/open?id=0ByOb8wNqoBtVQ2JYRkVQTFVWQU0"/>
    <s v="00001"/>
    <s v="09 de Diciembre de 2016"/>
    <n v="9"/>
    <d v="2016-12-01T00:00:00"/>
    <s v="0,11"/>
    <s v="Cero Bolívares con 10/100"/>
  </r>
  <r>
    <n v="2"/>
    <m/>
    <s v="ü"/>
    <d v="2016-12-13T00:00:00"/>
    <n v="0.105"/>
    <x v="1"/>
    <x v="1"/>
    <s v="Calle Güigüe Nro. 88-44"/>
    <s v="Anticipo Vigilancia, mes de Enero 2017"/>
    <s v="Vigilancia"/>
    <s v="https://drive.google.com/open?id=0ByOb8wNqoBtVWTdmYzQ4N0NUQ3c"/>
    <s v="00002"/>
    <s v="13 de Diciembre de 2016"/>
    <n v="13"/>
    <d v="2016-12-01T00:00:00"/>
    <s v="0,11"/>
    <s v="Cero Bolívares con 10/100"/>
  </r>
  <r>
    <n v="3"/>
    <m/>
    <s v="ü"/>
    <d v="2016-12-20T00:00:00"/>
    <n v="4.4999999999999998E-2"/>
    <x v="2"/>
    <x v="2"/>
    <s v="Calle Guacara Nro. 88-19"/>
    <s v="Anticipo Vigilancia, mes de Enero 2017"/>
    <s v="Vigilancia"/>
    <s v="https://drive.google.com/open?id=0ByOb8wNqoBtVZU5vcE5wOUtYRVU"/>
    <s v="00003"/>
    <s v="20 de Diciembre de 2016"/>
    <n v="20"/>
    <d v="2016-12-01T00:00:00"/>
    <s v="0,05"/>
    <s v="Cero Bolívares con 04/100"/>
  </r>
  <r>
    <n v="4"/>
    <m/>
    <s v="ü"/>
    <d v="2017-01-02T00:00:00"/>
    <n v="0.105"/>
    <x v="3"/>
    <x v="3"/>
    <s v="Calle Güigüe Nro. 88-62"/>
    <s v="Anticipo Vigilancia, mes de Enero 2017"/>
    <s v="Vigilancia"/>
    <s v="https://drive.google.com/open?id=0ByOb8wNqoBtVbnMxZWNSWHF3WlU"/>
    <s v="00004"/>
    <s v="02 de Enero de 2017"/>
    <n v="2"/>
    <d v="2017-01-01T00:00:00"/>
    <s v="0,11"/>
    <s v="Cero Bolívares con 10/100"/>
  </r>
  <r>
    <n v="5"/>
    <m/>
    <s v="ü"/>
    <d v="2017-01-06T00:00:00"/>
    <n v="0.105"/>
    <x v="4"/>
    <x v="4"/>
    <s v="Calle Güigüe Nro. 89-55"/>
    <s v="Anticipo Vigilancia, mes de Enero 2017"/>
    <s v="Vigilancia"/>
    <s v="https://drive.google.com/open?id=0ByOb8wNqoBtVcm9mb2w4S1F3N1k"/>
    <s v="00005"/>
    <s v="06 de Enero de 2017"/>
    <n v="6"/>
    <d v="2017-01-01T00:00:00"/>
    <s v="0,11"/>
    <s v="Cero Bolívares con 10/100"/>
  </r>
  <r>
    <n v="6"/>
    <m/>
    <s v="ü"/>
    <d v="2017-01-07T00:00:00"/>
    <n v="0.105"/>
    <x v="5"/>
    <x v="5"/>
    <s v="Calle Güigüe Nro. 88-120"/>
    <s v="Anticipo Vigilancia, mes de Enero 2017"/>
    <s v="Vigilancia"/>
    <s v="https://drive.google.com/open?id=0ByOb8wNqoBtVM1MzMzhjNmMzeEE"/>
    <s v="00006"/>
    <s v="07 de Enero de 2017"/>
    <n v="7"/>
    <d v="2017-01-01T00:00:00"/>
    <s v="0,11"/>
    <s v="Cero Bolívares con 10/100"/>
  </r>
  <r>
    <n v="7"/>
    <m/>
    <s v="ü"/>
    <d v="2017-01-10T00:00:00"/>
    <n v="0.1"/>
    <x v="6"/>
    <x v="6"/>
    <s v="Calle Guacara Nro. 89-60"/>
    <s v="Anticipo Vigilancia, mes de Enero 2017"/>
    <s v="Vigilancia"/>
    <s v="https://drive.google.com/open?id=0ByOb8wNqoBtVUmlGT0tPUnR5WU0"/>
    <s v="00007"/>
    <s v="10 de Enero de 2017"/>
    <n v="10"/>
    <d v="2017-01-01T00:00:00"/>
    <s v="0,10"/>
    <s v="Cero Bolívares con 10/100"/>
  </r>
  <r>
    <n v="8"/>
    <m/>
    <s v="ü"/>
    <d v="2017-01-11T00:00:00"/>
    <n v="0.05"/>
    <x v="7"/>
    <x v="7"/>
    <s v="Calle Guacara Nro. 87-86"/>
    <s v="Colaboración Vigilancia, mes de Enero 2017"/>
    <s v="Vigilancia"/>
    <s v="https://drive.google.com/open?id=0ByOb8wNqoBtVb0Z2TFRxN0pyLTA"/>
    <s v="00008"/>
    <s v="11 de Enero de 2017"/>
    <n v="11"/>
    <d v="2017-01-01T00:00:00"/>
    <s v="0,05"/>
    <s v="Cero Bolívares con 05/100"/>
  </r>
  <r>
    <n v="9"/>
    <m/>
    <s v="ü"/>
    <d v="2017-01-11T00:00:00"/>
    <n v="0.105"/>
    <x v="8"/>
    <x v="8"/>
    <s v="Calle Guacara Nro. 90-51"/>
    <s v="Anticipo Vigilancia, mes de Enero 2017"/>
    <s v="Vigilancia"/>
    <s v="https://drive.google.com/open?id=0ByOb8wNqoBtVRXNhMmNDZkI0eVE"/>
    <s v="00009"/>
    <s v="11 de Enero de 2017"/>
    <n v="11"/>
    <d v="2017-01-01T00:00:00"/>
    <s v="0,11"/>
    <s v="Cero Bolívares con 10/100"/>
  </r>
  <r>
    <n v="10"/>
    <m/>
    <s v="ü"/>
    <d v="2017-01-15T00:00:00"/>
    <n v="0.12"/>
    <x v="9"/>
    <x v="9"/>
    <s v="Av. &quot;M&quot; Nro. 146-30"/>
    <s v="Cancelación Vigilancia, mes de Enero 2017"/>
    <s v="Vigilancia"/>
    <s v="https://drive.google.com/open?id=0ByOb8wNqoBtVRDZWQUxwZm43cUU"/>
    <s v="00010"/>
    <s v="15 de Enero de 2017"/>
    <n v="15"/>
    <d v="2017-01-01T00:00:00"/>
    <s v="0,12"/>
    <s v="Cero Bolívares con 12/100"/>
  </r>
  <r>
    <n v="11"/>
    <m/>
    <s v="ü"/>
    <d v="2017-01-13T00:00:00"/>
    <n v="0.105"/>
    <x v="10"/>
    <x v="10"/>
    <s v="Av. &quot;M&quot; Nro. 146-15"/>
    <s v="Anticipo Vigilancia, mes de Enero 2017"/>
    <s v="Vigilancia"/>
    <s v="https://drive.google.com/open?id=0ByOb8wNqoBtVc1BVRG1xMDFyck0"/>
    <s v="00011"/>
    <s v="13 de Enero de 2017"/>
    <n v="13"/>
    <d v="2017-01-01T00:00:00"/>
    <s v="0,11"/>
    <s v="Cero Bolívares con 10/100"/>
  </r>
  <r>
    <n v="12"/>
    <m/>
    <s v="ü"/>
    <d v="2017-01-15T00:00:00"/>
    <n v="0.105"/>
    <x v="11"/>
    <x v="11"/>
    <s v="Calle Guacara Nro. 89-86"/>
    <s v="Anticipo Vigilancia, mes de Enero 2017"/>
    <s v="Vigilancia"/>
    <s v="https://drive.google.com/open?id=0ByOb8wNqoBtVLTlZOGVxSlVYV0U"/>
    <s v="00012"/>
    <s v="15 de Enero de 2017"/>
    <n v="15"/>
    <d v="2017-01-01T00:00:00"/>
    <s v="0,11"/>
    <s v="Cero Bolívares con 10/100"/>
  </r>
  <r>
    <n v="13"/>
    <m/>
    <s v="ü"/>
    <d v="2017-01-19T00:00:00"/>
    <n v="0.105"/>
    <x v="12"/>
    <x v="12"/>
    <s v="Calle Guacara Nro. 89-20"/>
    <s v="Anticipo Vigilancia, mes de Enero 2017"/>
    <s v="Vigilancia"/>
    <s v="https://drive.google.com/open?id=0ByOb8wNqoBtVQzNkS1BObWJDMWs"/>
    <s v="00013"/>
    <s v="19 de Enero de 2017"/>
    <n v="19"/>
    <d v="2017-01-01T00:00:00"/>
    <s v="0,11"/>
    <s v="Cero Bolívares con 10/100"/>
  </r>
  <r>
    <n v="14"/>
    <m/>
    <s v="ü"/>
    <d v="2017-01-19T00:00:00"/>
    <n v="4.4999999999999998E-2"/>
    <x v="13"/>
    <x v="9"/>
    <s v="Calle Güigüe Nro. 89-90"/>
    <s v="Colaboración Vigilancia, mes de Enero 2017"/>
    <s v="Vigilancia"/>
    <s v="https://drive.google.com/open?id=0ByOb8wNqoBtVUnAtM1N6cFhtTlU"/>
    <s v="00014"/>
    <s v="19 de Enero de 2017"/>
    <n v="19"/>
    <d v="2017-01-01T00:00:00"/>
    <s v="0,05"/>
    <s v="Cero Bolívares con 04/100"/>
  </r>
  <r>
    <n v="15"/>
    <m/>
    <s v="ü"/>
    <d v="2017-01-20T00:00:00"/>
    <n v="6.5000000000000002E-2"/>
    <x v="12"/>
    <x v="12"/>
    <s v="Calle Guacara Nro. 89-20"/>
    <s v="Cancelación saldo Vigilancia, mes de Enero 2017"/>
    <s v="Vigilancia"/>
    <s v="https://drive.google.com/open?id=0ByOb8wNqoBtVQU84dFVIUlhueVk"/>
    <s v="00015"/>
    <s v="20 de Enero de 2017"/>
    <n v="20"/>
    <d v="2017-01-01T00:00:00"/>
    <s v="0,07"/>
    <s v="Cero Bolívares con 06/100"/>
  </r>
  <r>
    <n v="16"/>
    <m/>
    <s v="ü"/>
    <d v="2017-01-20T00:00:00"/>
    <n v="6.5000000000000002E-2"/>
    <x v="0"/>
    <x v="0"/>
    <s v="Calle Guacara Nro. 88-45"/>
    <s v="Cancelación saldo Vigilancia, mes de Enero 2017"/>
    <s v="Vigilancia"/>
    <s v="https://drive.google.com/open?id=0ByOb8wNqoBtVTXZQd1FMTHZsSHc"/>
    <s v="00016"/>
    <s v="20 de Enero de 2017"/>
    <n v="20"/>
    <d v="2017-01-01T00:00:00"/>
    <s v="0,07"/>
    <s v="Cero Bolívares con 06/100"/>
  </r>
  <r>
    <n v="17"/>
    <m/>
    <s v="ü"/>
    <d v="2017-01-20T00:00:00"/>
    <n v="0.17"/>
    <x v="14"/>
    <x v="13"/>
    <s v="Calle Güigüe Nro. 89-83"/>
    <s v="Cancelación Vigilancia, mes de Enero 2017"/>
    <s v="Vigilancia"/>
    <s v="https://drive.google.com/open?id=0ByOb8wNqoBtVbmVRMlBsVFN0b0U"/>
    <s v="00017"/>
    <s v="20 de Enero de 2017"/>
    <n v="20"/>
    <d v="2017-01-01T00:00:00"/>
    <s v="0,17"/>
    <s v="Cero Bolívares con 17/100"/>
  </r>
  <r>
    <n v="18"/>
    <m/>
    <s v="ü"/>
    <d v="2017-01-20T00:00:00"/>
    <n v="0.06"/>
    <x v="15"/>
    <x v="14"/>
    <s v="Calle Guacara Nro. 89-94"/>
    <s v="Colaboración Vigilancia, mes de Enero 2017"/>
    <s v="Vigilancia"/>
    <s v="https://drive.google.com/open?id=0ByOb8wNqoBtVQW1LSko5bFZRUUE"/>
    <s v="00018"/>
    <s v="20 de Enero de 2017"/>
    <n v="20"/>
    <d v="2017-01-01T00:00:00"/>
    <s v="0,06"/>
    <s v="Cero Bolívares con 06/100"/>
  </r>
  <r>
    <n v="19"/>
    <m/>
    <s v="ü"/>
    <d v="2017-01-24T00:00:00"/>
    <n v="6.5000000000000002E-2"/>
    <x v="1"/>
    <x v="1"/>
    <s v="Calle Güigüe Nro. 88-44"/>
    <s v="Cancelación saldo Vigilancia, mes de Enero 2017"/>
    <s v="Vigilancia"/>
    <s v="https://drive.google.com/open?id=0ByOb8wNqoBtVcEo1SFFiUkRWVTg"/>
    <s v="00019"/>
    <s v="24 de Enero de 2017"/>
    <n v="24"/>
    <d v="2017-01-01T00:00:00"/>
    <s v="0,07"/>
    <s v="Cero Bolívares con 06/100"/>
  </r>
  <r>
    <n v="20"/>
    <m/>
    <s v="ü"/>
    <d v="2017-01-24T00:00:00"/>
    <n v="0.1"/>
    <x v="2"/>
    <x v="2"/>
    <s v="Calle Guacara Nro. 88-19"/>
    <s v="Anticipo Vigilancia, mes de Enero 2017"/>
    <s v="Vigilancia"/>
    <s v="https://drive.google.com/open?id=0ByOb8wNqoBtVTU4tNjBsajdQRDQ"/>
    <s v="00020"/>
    <s v="24 de Enero de 2017"/>
    <n v="24"/>
    <d v="2017-01-01T00:00:00"/>
    <s v="0,10"/>
    <s v="Cero Bolívares con 10/100"/>
  </r>
  <r>
    <n v="21"/>
    <m/>
    <s v="ü"/>
    <d v="2017-01-24T00:00:00"/>
    <n v="0.17"/>
    <x v="16"/>
    <x v="15"/>
    <s v="Calle Guacara Nro. 90-81"/>
    <s v="Cancelación Vigilancia, mes de Enero 2017"/>
    <s v="Vigilancia"/>
    <s v="https://drive.google.com/open?id=0ByOb8wNqoBtVS3l5VmhmSjFmSVU"/>
    <s v="00021"/>
    <s v="24 de Enero de 2017"/>
    <n v="24"/>
    <d v="2017-01-01T00:00:00"/>
    <s v="0,17"/>
    <s v="Cero Bolívares con 17/100"/>
  </r>
  <r>
    <n v="22"/>
    <m/>
    <s v="ü"/>
    <d v="2017-01-25T00:00:00"/>
    <n v="0.02"/>
    <x v="17"/>
    <x v="16"/>
    <s v="Av. &quot;M&quot; Nro. 146-20"/>
    <s v="Colaboración Vigilancia, mes de Enero 2017"/>
    <s v="Vigilancia"/>
    <s v="https://drive.google.com/open?id=0ByOb8wNqoBtVWUo3dWpkTk55NmM"/>
    <s v="00022"/>
    <s v="25 de Enero de 2017"/>
    <n v="25"/>
    <d v="2017-01-01T00:00:00"/>
    <s v="0,02"/>
    <s v="Cero Bolívares con 02/100"/>
  </r>
  <r>
    <n v="23"/>
    <m/>
    <s v="ü"/>
    <d v="2017-01-25T00:00:00"/>
    <n v="6.5000000000000002E-2"/>
    <x v="3"/>
    <x v="3"/>
    <s v="Calle Güigüe Nro. 88-62"/>
    <s v="Cancelación saldo Vigilancia, mes de Enero 2017"/>
    <s v="Vigilancia"/>
    <s v="https://drive.google.com/open?id=0ByOb8wNqoBtVQmtEU3cxY0lSZkk"/>
    <s v="00023"/>
    <s v="25 de Enero de 2017"/>
    <n v="25"/>
    <d v="2017-01-01T00:00:00"/>
    <s v="0,07"/>
    <s v="Cero Bolívares con 06/100"/>
  </r>
  <r>
    <n v="24"/>
    <m/>
    <s v="ü"/>
    <d v="2017-01-25T00:00:00"/>
    <n v="0.17"/>
    <x v="18"/>
    <x v="16"/>
    <s v="Calle Guacara Nro. 87-100"/>
    <s v="Cancelación Vigilancia, mes de Enero 2017"/>
    <s v="Vigilancia"/>
    <s v="https://drive.google.com/open?id=0ByOb8wNqoBtVYlZIVVZKODlkY2s"/>
    <s v="00024"/>
    <s v="25 de Enero de 2017"/>
    <n v="25"/>
    <d v="2017-01-01T00:00:00"/>
    <s v="0,17"/>
    <s v="Cero Bolívares con 17/100"/>
  </r>
  <r>
    <n v="25"/>
    <m/>
    <s v="ü"/>
    <d v="2017-01-26T00:00:00"/>
    <n v="0.17"/>
    <x v="19"/>
    <x v="17"/>
    <s v="Calle Guacara Nro. 89-130"/>
    <s v="Cancelación Vigilancia, mes de Enero 2017"/>
    <s v="Vigilancia"/>
    <s v="https://drive.google.com/open?id=0ByOb8wNqoBtVOGxVVDBFdjFoOEE"/>
    <s v="00025"/>
    <s v="26 de Enero de 2017"/>
    <n v="26"/>
    <d v="2017-01-01T00:00:00"/>
    <s v="0,17"/>
    <s v="Cero Bolívares con 17/100"/>
  </r>
  <r>
    <n v="26"/>
    <m/>
    <s v="ü"/>
    <d v="2017-01-27T00:00:00"/>
    <n v="0.17"/>
    <x v="20"/>
    <x v="18"/>
    <s v="Calle Guacara Nro. 89-30"/>
    <s v="Cancelación Vigilancia, mes de Enero 2017"/>
    <s v="Vigilancia"/>
    <s v="https://drive.google.com/open?id=0ByOb8wNqoBtVWWhHMFRzN19FMkE"/>
    <s v="00026"/>
    <s v="27 de Enero de 2017"/>
    <n v="27"/>
    <d v="2017-01-01T00:00:00"/>
    <s v="0,17"/>
    <s v="Cero Bolívares con 17/100"/>
  </r>
  <r>
    <n v="27"/>
    <m/>
    <s v="ü"/>
    <d v="2017-01-30T00:00:00"/>
    <n v="6.5000000000000002E-2"/>
    <x v="4"/>
    <x v="4"/>
    <s v="Calle Güigüe Nro. 89-55"/>
    <s v="Cancelación saldo Vigilancia, mes de Enero 2017"/>
    <s v="Vigilancia"/>
    <s v="https://drive.google.com/open?id=0ByOb8wNqoBtVaE9MMGtlUFp2OHM"/>
    <s v="00027"/>
    <s v="30 de Enero de 2017"/>
    <n v="30"/>
    <d v="2017-01-01T00:00:00"/>
    <s v="0,07"/>
    <s v="Cero Bolívares con 06/100"/>
  </r>
  <r>
    <n v="28"/>
    <m/>
    <s v="ü"/>
    <d v="2017-01-30T00:00:00"/>
    <n v="7.4880000000000002E-2"/>
    <x v="4"/>
    <x v="4"/>
    <s v="Calle Güigüe Nro. 89-55"/>
    <s v="Anticipo Vigilancia, mes de Febrero 2017"/>
    <s v="Vigilancia"/>
    <s v="https://drive.google.com/open?id=0ByOb8wNqoBtVMWUwa3dUWW1rNjg"/>
    <s v="00028"/>
    <s v="30 de Enero de 2017"/>
    <n v="30"/>
    <d v="2017-01-01T00:00:00"/>
    <s v="0,07"/>
    <s v="Cero Bolívares con 07/100"/>
  </r>
  <r>
    <n v="29"/>
    <m/>
    <s v="ü"/>
    <d v="2017-01-31T00:00:00"/>
    <n v="0.17"/>
    <x v="21"/>
    <x v="19"/>
    <s v="Calle Güigüe Nro. 89-105"/>
    <s v="Cancelación Vigilancia, mes de Enero 2017"/>
    <s v="Vigilancia"/>
    <s v="https://drive.google.com/open?id=0ByOb8wNqoBtVTFo0NGg5NmJjTWM"/>
    <s v="00029"/>
    <s v="31 de Enero de 2017"/>
    <n v="31"/>
    <d v="2017-01-01T00:00:00"/>
    <s v="0,17"/>
    <s v="Cero Bolívares con 17/100"/>
  </r>
  <r>
    <n v="30"/>
    <m/>
    <s v="ü"/>
    <d v="2017-01-31T00:00:00"/>
    <n v="7.9600000000000004E-2"/>
    <x v="22"/>
    <x v="20"/>
    <s v="Calle Guacara Nro. 88-25"/>
    <s v="Colaboración Vigilancia, mes de Enero 2017"/>
    <s v="Vigilancia"/>
    <s v="https://drive.google.com/open?id=0ByOb8wNqoBtVcjJtZUVZdEZrak0"/>
    <s v="00030"/>
    <s v="31 de Enero de 2017"/>
    <n v="31"/>
    <d v="2017-01-01T00:00:00"/>
    <s v="0,08"/>
    <s v="Cero Bolívares con 08/100"/>
  </r>
  <r>
    <n v="31"/>
    <m/>
    <s v="ü"/>
    <d v="2017-02-01T00:00:00"/>
    <n v="0.17"/>
    <x v="23"/>
    <x v="21"/>
    <s v="Calle Güigüe Nro. 88-116"/>
    <s v="Cancelación Vigilancia, mes de Enero 2017"/>
    <s v="Vigilancia"/>
    <s v="https://drive.google.com/open?id=0ByOb8wNqoBtVZWtLcEtyMWxfV28"/>
    <s v="00031"/>
    <s v="01 de Febrero de 2017"/>
    <n v="1"/>
    <d v="2017-02-01T00:00:00"/>
    <s v="0,17"/>
    <s v="Cero Bolívares con 17/100"/>
  </r>
  <r>
    <n v="32"/>
    <m/>
    <s v="ü"/>
    <d v="2017-02-01T00:00:00"/>
    <n v="0.17"/>
    <x v="24"/>
    <x v="22"/>
    <s v="Calle Güigüe Nro. 88-54"/>
    <s v="Cancelación Vigilancia, mes de Enero 2017"/>
    <s v="Vigilancia"/>
    <s v="https://drive.google.com/open?id=0ByOb8wNqoBtVYzd4OGlhTTFJTlU"/>
    <s v="00032"/>
    <s v="01 de Febrero de 2017"/>
    <n v="1"/>
    <d v="2017-02-01T00:00:00"/>
    <s v="0,17"/>
    <s v="Cero Bolívares con 17/100"/>
  </r>
  <r>
    <n v="33"/>
    <m/>
    <s v="ü"/>
    <d v="2017-02-01T00:00:00"/>
    <n v="0.105"/>
    <x v="25"/>
    <x v="23"/>
    <s v="Calle Güigüe Nro. 88-58"/>
    <s v="Colaboración Vigilancia, mes de Enero 2017"/>
    <s v="Vigilancia"/>
    <s v="https://drive.google.com/open?id=0ByOb8wNqoBtVclJQNllLdEJPQXc"/>
    <s v="00033"/>
    <s v="01 de Febrero de 2017"/>
    <n v="1"/>
    <d v="2017-02-01T00:00:00"/>
    <s v="0,11"/>
    <s v="Cero Bolívares con 10/100"/>
  </r>
  <r>
    <n v="34"/>
    <m/>
    <s v="ü"/>
    <d v="2017-02-02T00:00:00"/>
    <n v="0.17"/>
    <x v="26"/>
    <x v="24"/>
    <s v="Calle Güigüe Nro. 89-96"/>
    <s v="Cancelación Vigilancia, mes de Enero 2017"/>
    <s v="Vigilancia"/>
    <s v="https://drive.google.com/open?id=0ByOb8wNqoBtVbTczRzFtWnRLVDg"/>
    <s v="00034"/>
    <s v="02 de Febrero de 2017"/>
    <n v="2"/>
    <d v="2017-02-01T00:00:00"/>
    <s v="0,17"/>
    <s v="Cero Bolívares con 17/100"/>
  </r>
  <r>
    <n v="35"/>
    <m/>
    <s v="ü"/>
    <d v="2017-02-02T00:00:00"/>
    <n v="0.17"/>
    <x v="27"/>
    <x v="25"/>
    <s v="Calle Güigüe Nro. 89-106"/>
    <s v="Cancelación Vigilancia, mes de Enero 2017"/>
    <s v="Vigilancia"/>
    <s v="https://drive.google.com/open?id=0ByOb8wNqoBtVempWaXRRMXprTkE"/>
    <s v="00035"/>
    <s v="02 de Febrero de 2017"/>
    <n v="2"/>
    <d v="2017-02-01T00:00:00"/>
    <s v="0,17"/>
    <s v="Cero Bolívares con 17/100"/>
  </r>
  <r>
    <n v="36"/>
    <m/>
    <s v="ü"/>
    <d v="2017-02-02T00:00:00"/>
    <n v="0.17"/>
    <x v="6"/>
    <x v="6"/>
    <s v="Calle Guacara Nro. 89-60"/>
    <s v="Cancelación Vigilancia, mes de Febrero 2017"/>
    <s v="Vigilancia"/>
    <s v="https://drive.google.com/open?id=0ByOb8wNqoBtVQm9MS3FaU19uRDQ"/>
    <s v="00036"/>
    <s v="02 de Febrero de 2017"/>
    <n v="2"/>
    <d v="2017-02-01T00:00:00"/>
    <s v="0,17"/>
    <s v="Cero Bolívares con 17/100"/>
  </r>
  <r>
    <n v="37"/>
    <m/>
    <s v="ü"/>
    <d v="2017-02-02T00:00:00"/>
    <n v="0.03"/>
    <x v="28"/>
    <x v="26"/>
    <s v="Calle Güigüe Nro. 88-30"/>
    <s v="Colaboración Vigilancia, mes de Enero 2017"/>
    <s v="Vigilancia"/>
    <s v="https://drive.google.com/open?id=0ByOb8wNqoBtVamduZWo4ZThvSUE"/>
    <s v="00037"/>
    <s v="02 de Febrero de 2017"/>
    <n v="2"/>
    <d v="2017-02-01T00:00:00"/>
    <s v="0,03"/>
    <s v="Cero Bolívares con 03/100"/>
  </r>
  <r>
    <n v="38"/>
    <m/>
    <s v="ü"/>
    <d v="2017-02-03T00:00:00"/>
    <n v="0.17"/>
    <x v="29"/>
    <x v="27"/>
    <s v="Calle Guacara Nro. 88-75"/>
    <s v="Cancelación Vigilancia, mes de Enero 2017"/>
    <s v="Vigilancia"/>
    <s v="https://drive.google.com/open?id=0ByOb8wNqoBtVZVhicDRZalZyTVk"/>
    <s v="00038"/>
    <s v="03 de Febrero de 2017"/>
    <n v="3"/>
    <d v="2017-02-01T00:00:00"/>
    <s v="0,17"/>
    <s v="Cero Bolívares con 17/100"/>
  </r>
  <r>
    <n v="39"/>
    <m/>
    <s v="ü"/>
    <d v="2017-02-03T00:00:00"/>
    <n v="0.17"/>
    <x v="30"/>
    <x v="28"/>
    <s v="Calle Güigüe Nro. 89-04"/>
    <s v="Cancelación Vigilancia, mes de Enero 2017"/>
    <s v="Vigilancia"/>
    <s v="https://drive.google.com/open?id=0ByOb8wNqoBtVS2lTMnE2M0UzVW8"/>
    <s v="00039"/>
    <s v="03 de Febrero de 2017"/>
    <n v="3"/>
    <d v="2017-02-01T00:00:00"/>
    <s v="0,17"/>
    <s v="Cero Bolívares con 17/100"/>
  </r>
  <r>
    <n v="40"/>
    <m/>
    <s v="ü"/>
    <d v="2017-02-04T00:00:00"/>
    <n v="9.5119999999999996E-2"/>
    <x v="4"/>
    <x v="4"/>
    <s v="Calle Güigüe Nro. 89-55"/>
    <s v="Cancelación saldo Vigilancia, mes de Febrero 2017"/>
    <s v="Vigilancia"/>
    <s v="https://drive.google.com/open?id=0ByOb8wNqoBtVT1Qzd0hkN1g1OWs"/>
    <s v="00040"/>
    <s v="04 de Febrero de 2017"/>
    <n v="4"/>
    <d v="2017-02-01T00:00:00"/>
    <s v="0,10"/>
    <s v="Cero Bolívares con 10/100"/>
  </r>
  <r>
    <n v="41"/>
    <m/>
    <s v="ü"/>
    <d v="2017-02-05T00:00:00"/>
    <n v="0.05"/>
    <x v="7"/>
    <x v="7"/>
    <s v="Calle Guacara Nro. 87-86"/>
    <s v="Colaboración Vigilancia, mes de Febrero 2017"/>
    <s v="Vigilancia"/>
    <s v="https://drive.google.com/open?id=0ByOb8wNqoBtVVktmTlFfRDdlUGM"/>
    <s v="00041"/>
    <s v="05 de Febrero de 2017"/>
    <n v="5"/>
    <d v="2017-02-01T00:00:00"/>
    <s v="0,05"/>
    <s v="Cero Bolívares con 05/100"/>
  </r>
  <r>
    <n v="42"/>
    <m/>
    <s v="ü"/>
    <d v="2017-02-05T00:00:00"/>
    <n v="0.04"/>
    <x v="15"/>
    <x v="14"/>
    <s v="Calle Guacara Nro. 89-94"/>
    <s v="Colaboración Vigilancia, mes de Enero 2017"/>
    <s v="Vigilancia"/>
    <s v="https://drive.google.com/open?id=0ByOb8wNqoBtVNXZxU2VEOEt0RlU"/>
    <s v="00042"/>
    <s v="05 de Febrero de 2017"/>
    <n v="5"/>
    <d v="2017-02-01T00:00:00"/>
    <s v="0,04"/>
    <s v="Cero Bolívares con 04/100"/>
  </r>
  <r>
    <n v="43"/>
    <m/>
    <s v="ü"/>
    <d v="2017-02-07T00:00:00"/>
    <n v="0.17"/>
    <x v="1"/>
    <x v="1"/>
    <s v="Calle Güigüe Nro. 88-44"/>
    <s v="Cancelación Vigilancia, mes de Febrero 2017"/>
    <s v="Vigilancia"/>
    <s v="https://drive.google.com/open?id=0ByOb8wNqoBtVUUtRcEp5REVFOUk"/>
    <s v="00043"/>
    <s v="07 de Febrero de 2017"/>
    <n v="7"/>
    <d v="2017-02-01T00:00:00"/>
    <s v="0,17"/>
    <s v="Cero Bolívares con 17/100"/>
  </r>
  <r>
    <n v="44"/>
    <m/>
    <s v="ü"/>
    <d v="2017-02-08T00:00:00"/>
    <n v="0.17"/>
    <x v="31"/>
    <x v="29"/>
    <s v="Calle Güigüe Nro. 89-95"/>
    <s v="Cancelación Vigilancia, mes de Enero 2017"/>
    <s v="Vigilancia"/>
    <s v="https://drive.google.com/open?id=0ByOb8wNqoBtVaDZDQ2JQMkRIWjQ"/>
    <s v="00044"/>
    <s v="08 de Febrero de 2017"/>
    <n v="8"/>
    <d v="2017-02-01T00:00:00"/>
    <s v="0,17"/>
    <s v="Cero Bolívares con 17/100"/>
  </r>
  <r>
    <n v="45"/>
    <m/>
    <s v="ü"/>
    <d v="2017-02-08T00:00:00"/>
    <n v="0.12"/>
    <x v="31"/>
    <x v="29"/>
    <s v="Calle Güigüe Nro. 89-95"/>
    <s v="Anticipo Vigilancia, mes de Febrero 2017"/>
    <s v="Vigilancia"/>
    <s v="https://drive.google.com/open?id=0ByOb8wNqoBtVRDFXdWdqZF81b28"/>
    <s v="00045"/>
    <s v="08 de Febrero de 2017"/>
    <n v="8"/>
    <d v="2017-02-01T00:00:00"/>
    <s v="0,12"/>
    <s v="Cero Bolívares con 12/100"/>
  </r>
  <r>
    <n v="46"/>
    <m/>
    <s v="ü"/>
    <d v="2017-02-08T00:00:00"/>
    <n v="0.17"/>
    <x v="32"/>
    <x v="30"/>
    <s v="Calle Güigüe Nro. 89-120"/>
    <s v="Cancelación Vigilancia, mes de Enero 2017"/>
    <s v="Vigilancia"/>
    <s v="https://drive.google.com/open?id=0ByOb8wNqoBtVT0ZSd3ZWTVMybFE"/>
    <s v="00046"/>
    <s v="08 de Febrero de 2017"/>
    <n v="8"/>
    <d v="2017-02-01T00:00:00"/>
    <s v="0,17"/>
    <s v="Cero Bolívares con 17/100"/>
  </r>
  <r>
    <n v="47"/>
    <m/>
    <s v="ü"/>
    <d v="2017-02-08T00:00:00"/>
    <n v="0.02"/>
    <x v="33"/>
    <x v="9"/>
    <s v="Calle Güigüe Nro. 88-110"/>
    <s v="Colaboración Vigilancia, mes de Enero 2017"/>
    <s v="Vigilancia"/>
    <s v="https://drive.google.com/open?id=0ByOb8wNqoBtVTGt0X2pvUXozaEU"/>
    <s v="00047"/>
    <s v="08 de Febrero de 2017"/>
    <n v="8"/>
    <d v="2017-02-01T00:00:00"/>
    <s v="0,02"/>
    <s v="Cero Bolívares con 02/100"/>
  </r>
  <r>
    <n v="48"/>
    <m/>
    <s v="ü"/>
    <d v="2017-02-08T00:00:00"/>
    <n v="0.03"/>
    <x v="28"/>
    <x v="26"/>
    <s v="Calle Güigüe Nro. 88-30"/>
    <s v="Colaboración Vigilancia, mes de Febrero 2017"/>
    <s v="Vigilancia"/>
    <s v="https://drive.google.com/open?id=0ByOb8wNqoBtVb0pxcE91dkRwNUk"/>
    <s v="00048"/>
    <s v="08 de Febrero de 2017"/>
    <n v="8"/>
    <d v="2017-02-01T00:00:00"/>
    <s v="0,03"/>
    <s v="Cero Bolívares con 03/100"/>
  </r>
  <r>
    <n v="49"/>
    <m/>
    <s v="ü"/>
    <d v="2017-02-08T00:00:00"/>
    <n v="0.17"/>
    <x v="16"/>
    <x v="15"/>
    <s v="Calle Guacara Nro. 90-81"/>
    <s v="Cancelación Vigilancia, mes de Febrero 2017"/>
    <s v="Vigilancia"/>
    <s v="https://drive.google.com/open?id=0ByOb8wNqoBtVb1VuTmFjUDNaME0"/>
    <s v="00049"/>
    <s v="08 de Febrero de 2017"/>
    <n v="8"/>
    <d v="2017-02-01T00:00:00"/>
    <s v="0,17"/>
    <s v="Cero Bolívares con 17/100"/>
  </r>
  <r>
    <n v="50"/>
    <m/>
    <s v="ü"/>
    <d v="2017-02-09T00:00:00"/>
    <n v="4.4999999999999998E-2"/>
    <x v="13"/>
    <x v="9"/>
    <s v="Calle Güigüe Nro. 89-90"/>
    <s v="Colaboración Vigilancia, mes de Febrero 2017"/>
    <s v="Vigilancia"/>
    <s v="https://drive.google.com/open?id=0ByOb8wNqoBtVaXZKdk1qOVM3Tjg"/>
    <s v="00050"/>
    <s v="09 de Febrero de 2017"/>
    <n v="9"/>
    <d v="2017-02-01T00:00:00"/>
    <s v="0,05"/>
    <s v="Cero Bolívares con 04/100"/>
  </r>
  <r>
    <n v="51"/>
    <m/>
    <s v="ü"/>
    <d v="2017-02-09T00:00:00"/>
    <n v="0.105"/>
    <x v="34"/>
    <x v="31"/>
    <s v="Av. &quot;O&quot; Nro. 146-11"/>
    <s v="Colaboración Vigilancia, mes de Enero 2017"/>
    <s v="Vigilancia"/>
    <s v="https://drive.google.com/open?id=0ByOb8wNqoBtVN3BPaFhSVWZpTms"/>
    <s v="00051"/>
    <s v="09 de Febrero de 2017"/>
    <n v="9"/>
    <d v="2017-02-01T00:00:00"/>
    <s v="0,11"/>
    <s v="Cero Bolívares con 10/100"/>
  </r>
  <r>
    <n v="52"/>
    <m/>
    <s v="ü"/>
    <d v="2017-02-09T00:00:00"/>
    <n v="0.1"/>
    <x v="35"/>
    <x v="32"/>
    <s v="Calle Güigüe Nro. 89-80"/>
    <s v="Colaboración Vigilancia, mes de Enero 2017"/>
    <s v="Vigilancia"/>
    <s v="https://drive.google.com/open?id=0ByOb8wNqoBtVdzdwOHk0RlotOEE"/>
    <s v="00052"/>
    <s v="09 de Febrero de 2017"/>
    <n v="9"/>
    <d v="2017-02-01T00:00:00"/>
    <s v="0,10"/>
    <s v="Cero Bolívares con 10/100"/>
  </r>
  <r>
    <n v="53"/>
    <m/>
    <s v="ü"/>
    <d v="2017-02-11T00:00:00"/>
    <n v="0.17"/>
    <x v="36"/>
    <x v="33"/>
    <s v="Calle Güigüe Nro. 89-10"/>
    <s v="Cancelación Vigilancia, mes de Enero 2017"/>
    <s v="Vigilancia"/>
    <s v="https://drive.google.com/open?id=0ByOb8wNqoBtVYlNEMFVTUC1EUjg"/>
    <s v="00053"/>
    <s v="11 de Febrero de 2017"/>
    <n v="11"/>
    <d v="2017-02-01T00:00:00"/>
    <s v="0,17"/>
    <s v="Cero Bolívares con 17/100"/>
  </r>
  <r>
    <n v="54"/>
    <m/>
    <s v="ü"/>
    <d v="2017-02-12T00:00:00"/>
    <n v="0.17"/>
    <x v="14"/>
    <x v="13"/>
    <s v="Calle Güigüe Nro. 89-83"/>
    <s v="Cancelación Vigilancia, mes de Febrero 2017"/>
    <s v="Vigilancia"/>
    <s v="https://drive.google.com/open?id=0ByOb8wNqoBtVWnlXMTFuSzA5dm8"/>
    <s v="00054"/>
    <s v="12 de Febrero de 2017"/>
    <n v="12"/>
    <d v="2017-02-01T00:00:00"/>
    <s v="0,17"/>
    <s v="Cero Bolívares con 17/100"/>
  </r>
  <r>
    <n v="55"/>
    <m/>
    <s v="ü"/>
    <d v="2017-02-12T00:00:00"/>
    <n v="0.17"/>
    <x v="11"/>
    <x v="11"/>
    <s v="Calle Guacara Nro. 89-86"/>
    <s v="Cancelación Vigilancia, mes de Febrero 2017"/>
    <s v="Vigilancia"/>
    <s v="https://drive.google.com/open?id=0ByOb8wNqoBtVR3NHX2RBVHdMRUE"/>
    <s v="00055"/>
    <s v="12 de Febrero de 2017"/>
    <n v="12"/>
    <d v="2017-02-01T00:00:00"/>
    <s v="0,17"/>
    <s v="Cero Bolívares con 17/100"/>
  </r>
  <r>
    <n v="56"/>
    <m/>
    <s v="ü"/>
    <d v="2017-02-12T00:00:00"/>
    <n v="2.0400000000000001E-2"/>
    <x v="22"/>
    <x v="20"/>
    <s v="Calle Guacara Nro. 88-25"/>
    <s v="Colaboración Vigilancia, mes de Enero 2017"/>
    <s v="Vigilancia"/>
    <s v="https://drive.google.com/open?id=0ByOb8wNqoBtVOFV5X3hsb2tkLXc"/>
    <s v="00056"/>
    <s v="12 de Febrero de 2017"/>
    <n v="12"/>
    <d v="2017-02-01T00:00:00"/>
    <s v="0,02"/>
    <s v="Cero Bolívares con 02/100"/>
  </r>
  <r>
    <n v="57"/>
    <m/>
    <s v="ü"/>
    <d v="2017-02-13T00:00:00"/>
    <n v="0.1"/>
    <x v="15"/>
    <x v="14"/>
    <s v="Calle Guacara Nro. 89-94"/>
    <s v="Colaboración Vigilancia, mes de Febrero 2017"/>
    <s v="Vigilancia"/>
    <s v="https://drive.google.com/open?id=0ByOb8wNqoBtVUjQ4Q0swVTVHZEU"/>
    <s v="00057"/>
    <s v="13 de Febrero de 2017"/>
    <n v="13"/>
    <d v="2017-02-01T00:00:00"/>
    <s v="0,10"/>
    <s v="Cero Bolívares con 10/100"/>
  </r>
  <r>
    <n v="58"/>
    <m/>
    <s v="ü"/>
    <d v="2017-02-14T00:00:00"/>
    <n v="0.17"/>
    <x v="27"/>
    <x v="25"/>
    <s v="Calle Güigüe Nro. 89-106"/>
    <s v="Cancelación Vigilancia, mes de Febrero 2017"/>
    <s v="Vigilancia"/>
    <s v="https://drive.google.com/open?id=0ByOb8wNqoBtVdWRXdWdtZ1YwdXM"/>
    <s v="00058"/>
    <s v="14 de Febrero de 2017"/>
    <n v="14"/>
    <d v="2017-02-01T00:00:00"/>
    <s v="0,17"/>
    <s v="Cero Bolívares con 17/100"/>
  </r>
  <r>
    <n v="59"/>
    <m/>
    <s v="ü"/>
    <d v="2017-02-14T00:00:00"/>
    <n v="0.17"/>
    <x v="19"/>
    <x v="17"/>
    <s v="Calle Guacara Nro. 89-130"/>
    <s v="Cancelación Vigilancia, mes de Febrero 2017"/>
    <s v="Vigilancia"/>
    <s v="https://drive.google.com/open?id=0ByOb8wNqoBtVWHhMdUtYekJUV1U"/>
    <s v="00059"/>
    <s v="14 de Febrero de 2017"/>
    <n v="14"/>
    <d v="2017-02-01T00:00:00"/>
    <s v="0,17"/>
    <s v="Cero Bolívares con 17/100"/>
  </r>
  <r>
    <n v="60"/>
    <m/>
    <s v="ü"/>
    <d v="2017-02-14T00:00:00"/>
    <n v="0.34"/>
    <x v="0"/>
    <x v="0"/>
    <s v="Calle Guacara Nro. 88-45"/>
    <s v="Cancelación Vigilancia, meses de Feb-Mar 2017"/>
    <s v="Vigilancia"/>
    <s v="https://drive.google.com/open?id=0ByOb8wNqoBtVM2ZQQjdkOVV6UVE"/>
    <s v="00060"/>
    <s v="14 de Febrero de 2017"/>
    <n v="14"/>
    <d v="2017-02-01T00:00:00"/>
    <s v="0,34"/>
    <s v="Cero Bolívares con 34/100"/>
  </r>
  <r>
    <n v="61"/>
    <m/>
    <s v="ü"/>
    <d v="2017-02-14T00:00:00"/>
    <n v="0.17"/>
    <x v="37"/>
    <x v="34"/>
    <s v="Av. &quot;I&quot; Nro. 146-40"/>
    <s v="Cancelación Vigilancia, mes de Enero 2017"/>
    <s v="Vigilancia"/>
    <s v="https://drive.google.com/open?id=0ByOb8wNqoBtVQWlFM0g0XzIxcU0"/>
    <s v="00061"/>
    <s v="14 de Febrero de 2017"/>
    <n v="14"/>
    <d v="2017-02-01T00:00:00"/>
    <s v="0,17"/>
    <s v="Cero Bolívares con 17/100"/>
  </r>
  <r>
    <n v="62"/>
    <m/>
    <s v="ü"/>
    <d v="2017-02-14T00:00:00"/>
    <n v="0.17"/>
    <x v="38"/>
    <x v="35"/>
    <s v="Calle Guacara Nro. 89-78"/>
    <s v="Cancelación Vigilancia, mes de Enero 2017"/>
    <s v="Vigilancia"/>
    <s v="https://drive.google.com/open?id=0ByOb8wNqoBtVTGhxT2p0M2pybG8"/>
    <s v="00062"/>
    <s v="14 de Febrero de 2017"/>
    <n v="14"/>
    <d v="2017-02-01T00:00:00"/>
    <s v="0,17"/>
    <s v="Cero Bolívares con 17/100"/>
  </r>
  <r>
    <n v="63"/>
    <m/>
    <s v="ü"/>
    <d v="2017-02-14T00:00:00"/>
    <n v="0.17"/>
    <x v="21"/>
    <x v="19"/>
    <s v="Calle Güigüe Nro. 89-105"/>
    <s v="Cancelación Vigilancia, mes de Febrero 2017"/>
    <s v="Vigilancia"/>
    <s v="https://drive.google.com/open?id=0ByOb8wNqoBtVWF9BSkxwOHgzMDA"/>
    <s v="00063"/>
    <s v="14 de Febrero de 2017"/>
    <n v="14"/>
    <d v="2017-02-01T00:00:00"/>
    <s v="0,17"/>
    <s v="Cero Bolívares con 17/100"/>
  </r>
  <r>
    <n v="64"/>
    <m/>
    <s v="ü"/>
    <d v="2017-02-15T00:00:00"/>
    <n v="0.17"/>
    <x v="39"/>
    <x v="36"/>
    <s v="Calle Güigüe Nro. 88-111"/>
    <s v="Cancelación Vigilancia, mes de Enero 2017"/>
    <s v="Vigilancia"/>
    <s v="https://drive.google.com/open?id=0ByOb8wNqoBtVUnJDbUZaZ3k2NDQ"/>
    <s v="00064"/>
    <s v="15 de Febrero de 2017"/>
    <n v="15"/>
    <d v="2017-02-01T00:00:00"/>
    <s v="0,17"/>
    <s v="Cero Bolívares con 17/100"/>
  </r>
  <r>
    <n v="65"/>
    <m/>
    <s v="ü"/>
    <d v="2017-02-15T00:00:00"/>
    <n v="0.17"/>
    <x v="10"/>
    <x v="10"/>
    <s v="Av. &quot;M&quot; Nro. 146-15"/>
    <s v="Cancelación Vigilancia, mes de Febrero 2017"/>
    <s v="Vigilancia"/>
    <s v="https://drive.google.com/open?id=0ByOb8wNqoBtVVDhUS2R2Z2xoWTg"/>
    <s v="00065"/>
    <s v="15 de Febrero de 2017"/>
    <n v="15"/>
    <d v="2017-02-01T00:00:00"/>
    <s v="0,17"/>
    <s v="Cero Bolívares con 17/100"/>
  </r>
  <r>
    <n v="66"/>
    <m/>
    <s v="ü"/>
    <d v="2017-02-15T00:00:00"/>
    <n v="0.17"/>
    <x v="40"/>
    <x v="37"/>
    <s v="Calle Güigüe Nro. 88-101"/>
    <s v="Cancelación Vigilancia, mes de Enero 2017"/>
    <s v="Vigilancia"/>
    <s v="https://drive.google.com/open?id=0ByOb8wNqoBtVTlB1OEItUXRHYk0"/>
    <s v="00066"/>
    <s v="15 de Febrero de 2017"/>
    <n v="15"/>
    <d v="2017-02-01T00:00:00"/>
    <s v="0,17"/>
    <s v="Cero Bolívares con 17/100"/>
  </r>
  <r>
    <n v="67"/>
    <m/>
    <s v="ü"/>
    <d v="2017-02-15T00:00:00"/>
    <n v="0.17"/>
    <x v="41"/>
    <x v="38"/>
    <s v="Calle Güigüe Nro. 88-91"/>
    <s v="Cancelación Vigilancia, mes de Enero 2017"/>
    <s v="Vigilancia"/>
    <s v="https://drive.google.com/open?id=0ByOb8wNqoBtVakxqRFctYlFad0U"/>
    <s v="00067"/>
    <s v="15 de Febrero de 2017"/>
    <n v="15"/>
    <d v="2017-02-01T00:00:00"/>
    <s v="0,17"/>
    <s v="Cero Bolívares con 17/100"/>
  </r>
  <r>
    <n v="68"/>
    <m/>
    <s v="ü"/>
    <d v="2017-02-15T00:00:00"/>
    <n v="0.34"/>
    <x v="42"/>
    <x v="39"/>
    <s v="Calle Güigüe Nro. 89-79"/>
    <s v="Cancelación Vigilancia, meses de Ene-Feb 2017"/>
    <s v="Vigilancia"/>
    <s v="https://drive.google.com/open?id=0ByOb8wNqoBtVNFRlVVkyeENWb3c"/>
    <s v="00068"/>
    <s v="15 de Febrero de 2017"/>
    <n v="15"/>
    <d v="2017-02-01T00:00:00"/>
    <s v="0,34"/>
    <s v="Cero Bolívares con 34/100"/>
  </r>
  <r>
    <n v="69"/>
    <m/>
    <s v="ü"/>
    <d v="2017-02-15T00:00:00"/>
    <n v="0.1"/>
    <x v="22"/>
    <x v="20"/>
    <s v="Calle Guacara Nro. 88-25"/>
    <s v="Colaboración Vigilancia, mes de Febrero 2017"/>
    <s v="Vigilancia"/>
    <s v="https://drive.google.com/open?id=0ByOb8wNqoBtVSG1iQnZKWnJRTGM"/>
    <s v="00069"/>
    <s v="15 de Febrero de 2017"/>
    <n v="15"/>
    <d v="2017-02-01T00:00:00"/>
    <s v="0,10"/>
    <s v="Cero Bolívares con 10/100"/>
  </r>
  <r>
    <n v="70"/>
    <m/>
    <s v="û"/>
    <d v="2017-02-16T00:00:00"/>
    <n v="1.7"/>
    <x v="0"/>
    <x v="0"/>
    <s v="Calle Guacara Nro. 88-45"/>
    <s v="Anticipo Vigilancia y compra de control"/>
    <s v="Anticipo"/>
    <s v="https://drive.google.com/open?id=0ByOb8wNqoBtVbWtSbzJfSnl2NkE"/>
    <s v="00070"/>
    <s v="16 de Febrero de 2017"/>
    <n v="16"/>
    <d v="2017-02-01T00:00:00"/>
    <s v="1,70"/>
    <s v="Un Bolívares con 70/100"/>
  </r>
  <r>
    <n v="71"/>
    <m/>
    <s v="ü"/>
    <d v="2017-02-16T00:00:00"/>
    <n v="0.17"/>
    <x v="29"/>
    <x v="27"/>
    <s v="Calle Guacara Nro. 88-75"/>
    <s v="Cancelación Vigilancia, mes de Febrero 2017"/>
    <s v="Vigilancia"/>
    <s v="https://drive.google.com/open?id=0ByOb8wNqoBtVdXUwLVFWVWlEUDA"/>
    <s v="00071"/>
    <s v="16 de Febrero de 2017"/>
    <n v="16"/>
    <d v="2017-02-01T00:00:00"/>
    <s v="0,17"/>
    <s v="Cero Bolívares con 17/100"/>
  </r>
  <r>
    <n v="72"/>
    <m/>
    <s v="ü"/>
    <d v="2017-02-16T00:00:00"/>
    <n v="0.17"/>
    <x v="43"/>
    <x v="40"/>
    <s v="Calle Güigüe Nro. 88-50"/>
    <s v="Cancelación Vigilancia, mes de Enero 2017"/>
    <s v="Vigilancia"/>
    <s v="https://drive.google.com/open?id=0ByOb8wNqoBtVUllDQVNEdWdNVjg"/>
    <s v="00072"/>
    <s v="16 de Febrero de 2017"/>
    <n v="16"/>
    <d v="2017-02-01T00:00:00"/>
    <s v="0,17"/>
    <s v="Cero Bolívares con 17/100"/>
  </r>
  <r>
    <n v="73"/>
    <m/>
    <s v="ü"/>
    <d v="2017-02-16T00:00:00"/>
    <n v="0.17"/>
    <x v="20"/>
    <x v="18"/>
    <s v="Calle Guacara Nro. 89-30"/>
    <s v="Cancelación Vigilancia, mes de Febrero 2017"/>
    <s v="Vigilancia"/>
    <s v="https://drive.google.com/open?id=0ByOb8wNqoBtVcDFJWTY3dkhSZWc"/>
    <s v="00073"/>
    <s v="16 de Febrero de 2017"/>
    <n v="16"/>
    <d v="2017-02-01T00:00:00"/>
    <s v="0,17"/>
    <s v="Cero Bolívares con 17/100"/>
  </r>
  <r>
    <n v="74"/>
    <m/>
    <s v="ü"/>
    <d v="2017-02-17T00:00:00"/>
    <n v="0.17"/>
    <x v="24"/>
    <x v="22"/>
    <s v="Calle Güigüe Nro. 88-54"/>
    <s v="Cancelación Vigilancia, mes de Febrero 2017"/>
    <s v="Vigilancia"/>
    <s v="https://drive.google.com/open?id=0ByOb8wNqoBtVcWc4NWNJMzBqakE"/>
    <s v="00074"/>
    <s v="17 de Febrero de 2017"/>
    <n v="17"/>
    <d v="2017-02-01T00:00:00"/>
    <s v="0,17"/>
    <s v="Cero Bolívares con 17/100"/>
  </r>
  <r>
    <n v="75"/>
    <m/>
    <s v="ü"/>
    <d v="2017-02-17T00:00:00"/>
    <n v="0.17"/>
    <x v="38"/>
    <x v="35"/>
    <s v="Calle Guacara Nro. 89-78"/>
    <s v="Cancelación Vigilancia, mes de Febrero 2017"/>
    <s v="Vigilancia"/>
    <s v="https://drive.google.com/open?id=0ByOb8wNqoBtVRG13cEJ2M3poNFk"/>
    <s v="00075"/>
    <s v="17 de Febrero de 2017"/>
    <n v="17"/>
    <d v="2017-02-01T00:00:00"/>
    <s v="0,17"/>
    <s v="Cero Bolívares con 17/100"/>
  </r>
  <r>
    <n v="76"/>
    <m/>
    <s v="ü"/>
    <d v="2017-02-18T00:00:00"/>
    <n v="0.17"/>
    <x v="12"/>
    <x v="12"/>
    <s v="Calle Guacara Nro. 89-20"/>
    <s v="Cancelación Vigilancia, mes de Febrero 2017"/>
    <s v="Vigilancia"/>
    <s v="https://drive.google.com/open?id=0ByOb8wNqoBtVR0hrSGxIT3dpNkk"/>
    <s v="00076"/>
    <s v="18 de Febrero de 2017"/>
    <n v="18"/>
    <d v="2017-02-01T00:00:00"/>
    <s v="0,17"/>
    <s v="Cero Bolívares con 17/100"/>
  </r>
  <r>
    <n v="77"/>
    <m/>
    <s v="ü"/>
    <d v="2017-02-18T00:00:00"/>
    <n v="0.17"/>
    <x v="8"/>
    <x v="8"/>
    <s v="Calle Guacara Nro. 90-51"/>
    <s v="Cancelación Vigilancia, mes de Febrero 2017"/>
    <s v="Vigilancia"/>
    <s v="https://drive.google.com/open?id=0ByOb8wNqoBtVSTZKZWhwQ1hZODA"/>
    <s v="00077"/>
    <s v="18 de Febrero de 2017"/>
    <n v="18"/>
    <d v="2017-02-01T00:00:00"/>
    <s v="0,17"/>
    <s v="Cero Bolívares con 17/100"/>
  </r>
  <r>
    <n v="78"/>
    <m/>
    <s v="ü"/>
    <d v="2017-02-18T00:00:00"/>
    <n v="0.14000000000000001"/>
    <x v="44"/>
    <x v="41"/>
    <s v="Calle Guacara Nro. 89-40"/>
    <s v="Anticipo Vigilancia, mes de Enero 2017"/>
    <s v="Vigilancia"/>
    <s v="https://drive.google.com/open?id=0ByOb8wNqoBtVM2RKU0ZLUldzR1U"/>
    <s v="00078"/>
    <s v="18 de Febrero de 2017"/>
    <n v="18"/>
    <d v="2017-02-01T00:00:00"/>
    <s v="0,14"/>
    <s v="Cero Bolívares con 14/100"/>
  </r>
  <r>
    <n v="79"/>
    <m/>
    <s v="ü"/>
    <d v="2017-02-18T00:00:00"/>
    <n v="0.1"/>
    <x v="45"/>
    <x v="42"/>
    <s v="Calle Güigüe Nro. 87-A-11"/>
    <s v="Anticipo Vigilancia, mes de Enero 2017"/>
    <s v="Vigilancia"/>
    <s v="https://drive.google.com/open?id=0ByOb8wNqoBtVeTdod09mT0JMdnc"/>
    <s v="00079"/>
    <s v="18 de Febrero de 2017"/>
    <n v="18"/>
    <d v="2017-02-01T00:00:00"/>
    <s v="0,10"/>
    <s v="Cero Bolívares con 10/100"/>
  </r>
  <r>
    <n v="80"/>
    <m/>
    <s v="ü"/>
    <d v="2017-02-18T00:00:00"/>
    <n v="0.17"/>
    <x v="30"/>
    <x v="28"/>
    <s v="Calle Güigüe Nro. 89-04"/>
    <s v="Cancelación Vigilancia, mes de Febrero 2017"/>
    <s v="Vigilancia"/>
    <s v="https://drive.google.com/open?id=0ByOb8wNqoBtVOFNfaUFxSXA2MFk"/>
    <s v="00080"/>
    <s v="18 de Febrero de 2017"/>
    <n v="18"/>
    <d v="2017-02-01T00:00:00"/>
    <s v="0,17"/>
    <s v="Cero Bolívares con 17/100"/>
  </r>
  <r>
    <n v="81"/>
    <m/>
    <s v="ü"/>
    <d v="2017-02-18T00:00:00"/>
    <n v="0.34"/>
    <x v="46"/>
    <x v="43"/>
    <s v="Av. &quot;I&quot; Nro. 146-20"/>
    <s v="Cancelación Vigilancia, meses de Ene-Feb 2017"/>
    <s v="Vigilancia"/>
    <s v="https://drive.google.com/open?id=0ByOb8wNqoBtVbGFhMEVMdDkwS2M"/>
    <s v="00081"/>
    <s v="18 de Febrero de 2017"/>
    <n v="18"/>
    <d v="2017-02-01T00:00:00"/>
    <s v="0,34"/>
    <s v="Cero Bolívares con 34/100"/>
  </r>
  <r>
    <n v="82"/>
    <m/>
    <s v="ü"/>
    <d v="2017-02-19T00:00:00"/>
    <n v="0.06"/>
    <x v="47"/>
    <x v="44"/>
    <s v="Calle Güigüe Nro. 88-80"/>
    <s v="Colaboración Vigilancia, mes de Febrero 2017"/>
    <s v="Vigilancia"/>
    <s v="https://drive.google.com/open?id=0ByOb8wNqoBtVTm16QVpmaGpjcDg"/>
    <s v="00082"/>
    <s v="19 de Febrero de 2017"/>
    <n v="19"/>
    <d v="2017-02-01T00:00:00"/>
    <s v="0,06"/>
    <s v="Cero Bolívares con 06/100"/>
  </r>
  <r>
    <n v="83"/>
    <m/>
    <s v="ü"/>
    <d v="2017-02-20T00:00:00"/>
    <n v="0.02"/>
    <x v="17"/>
    <x v="16"/>
    <s v="Av. &quot;M&quot; Nro. 146-20"/>
    <s v="Colaboración Vigilancia, mes de Febrero 2017"/>
    <s v="Vigilancia"/>
    <s v="https://drive.google.com/open?id=0ByOb8wNqoBtVbzFKV21LSDBaMTQ"/>
    <s v="00083"/>
    <s v="20 de Febrero de 2017"/>
    <n v="20"/>
    <d v="2017-02-01T00:00:00"/>
    <s v="0,02"/>
    <s v="Cero Bolívares con 02/100"/>
  </r>
  <r>
    <n v="84"/>
    <m/>
    <s v="ü"/>
    <d v="2017-02-20T00:00:00"/>
    <n v="0.17"/>
    <x v="43"/>
    <x v="40"/>
    <s v="Calle Güigüe Nro. 88-50"/>
    <s v="Cancelación Vigilancia, mes de Febrero 2017"/>
    <s v="Vigilancia"/>
    <s v="https://drive.google.com/open?id=0ByOb8wNqoBtVblhXQTV6U0ZQN2s"/>
    <s v="00084"/>
    <s v="20 de Febrero de 2017"/>
    <n v="20"/>
    <d v="2017-02-01T00:00:00"/>
    <s v="0,17"/>
    <s v="Cero Bolívares con 17/100"/>
  </r>
  <r>
    <n v="85"/>
    <m/>
    <s v="ü"/>
    <d v="2017-02-20T00:00:00"/>
    <n v="0.1"/>
    <x v="35"/>
    <x v="32"/>
    <s v="Calle Güigüe Nro. 89-80"/>
    <s v="Colaboración Vigilancia, mes de Febrero 2017"/>
    <s v="Vigilancia"/>
    <s v="https://drive.google.com/open?id=0ByOb8wNqoBtVYjBuQ3lYdlJqM2M"/>
    <s v="00085"/>
    <s v="20 de Febrero de 2017"/>
    <n v="20"/>
    <d v="2017-02-01T00:00:00"/>
    <s v="0,10"/>
    <s v="Cero Bolívares con 10/100"/>
  </r>
  <r>
    <n v="86"/>
    <m/>
    <s v="ü"/>
    <d v="2017-02-20T00:00:00"/>
    <n v="0.17"/>
    <x v="48"/>
    <x v="45"/>
    <s v="Calle Güigüe Nro. 88-90"/>
    <s v="Cancelación Vigilancia, mes de Febrero 2017"/>
    <s v="Vigilancia"/>
    <s v="https://drive.google.com/open?id=0ByOb8wNqoBtVdTZiMWp5M1djRlE"/>
    <s v="00086"/>
    <s v="20 de Febrero de 2017"/>
    <n v="20"/>
    <d v="2017-02-01T00:00:00"/>
    <s v="0,17"/>
    <s v="Cero Bolívares con 17/100"/>
  </r>
  <r>
    <n v="87"/>
    <m/>
    <s v="ü"/>
    <d v="2017-02-20T00:00:00"/>
    <n v="0.17"/>
    <x v="18"/>
    <x v="16"/>
    <s v="Calle Guacara Nro. 87-100"/>
    <s v="Cancelación Vigilancia, mes de Febrero 2017"/>
    <s v="Vigilancia"/>
    <s v="https://drive.google.com/open?id=0ByOb8wNqoBtVeHJtMFp0d3Zxd0k"/>
    <s v="00087"/>
    <s v="20 de Febrero de 2017"/>
    <n v="20"/>
    <d v="2017-02-01T00:00:00"/>
    <s v="0,17"/>
    <s v="Cero Bolívares con 17/100"/>
  </r>
  <r>
    <n v="88"/>
    <m/>
    <s v="ü"/>
    <d v="2017-02-22T00:00:00"/>
    <n v="0.34"/>
    <x v="49"/>
    <x v="46"/>
    <s v="Av. &quot;O&quot; Nro. 146-17"/>
    <s v="Cancelación Vigilancia, meses de Ene-Feb 2017"/>
    <s v="Vigilancia"/>
    <s v="https://drive.google.com/open?id=0ByOb8wNqoBtVTmhhUDVjeEk4VTg"/>
    <s v="00088"/>
    <s v="22 de Febrero de 2017"/>
    <n v="22"/>
    <d v="2017-02-01T00:00:00"/>
    <s v="0,34"/>
    <s v="Cero Bolívares con 34/100"/>
  </r>
  <r>
    <n v="89"/>
    <m/>
    <s v="ü"/>
    <d v="2017-02-22T00:00:00"/>
    <n v="0.34"/>
    <x v="5"/>
    <x v="5"/>
    <s v="Calle Güigüe Nro. 88-120"/>
    <s v="Cancelación Vigilancia, meses de Feb-Mar 2017"/>
    <s v="Vigilancia"/>
    <s v="https://drive.google.com/open?id=0ByOb8wNqoBtVMVAxRHh5N0RINDA"/>
    <s v="00089"/>
    <s v="22 de Febrero de 2017"/>
    <n v="22"/>
    <d v="2017-02-01T00:00:00"/>
    <s v="0,34"/>
    <s v="Cero Bolívares con 34/100"/>
  </r>
  <r>
    <n v="90"/>
    <m/>
    <s v="ü"/>
    <d v="2017-02-23T00:00:00"/>
    <n v="0.17"/>
    <x v="26"/>
    <x v="24"/>
    <s v="Calle Güigüe Nro. 89-96"/>
    <s v="Cancelación Vigilancia, mes de Febrero 2017"/>
    <s v="Vigilancia"/>
    <s v="https://drive.google.com/open?id=0ByOb8wNqoBtVbmRuMUwxWTU0dE0"/>
    <s v="00090"/>
    <s v="23 de Febrero de 2017"/>
    <n v="23"/>
    <d v="2017-02-01T00:00:00"/>
    <s v="0,17"/>
    <s v="Cero Bolívares con 17/100"/>
  </r>
  <r>
    <n v="91"/>
    <m/>
    <s v="ü"/>
    <d v="2017-02-23T00:00:00"/>
    <n v="0.105"/>
    <x v="50"/>
    <x v="47"/>
    <s v="Av. &quot;I&quot; Nro. 146-30"/>
    <s v="Colaboración Vigilancia, mes de Enero 2017"/>
    <s v="Vigilancia"/>
    <s v="https://drive.google.com/open?id=0ByOb8wNqoBtVMC1WZ3ZxQlNDdnM"/>
    <s v="00091"/>
    <s v="23 de Febrero de 2017"/>
    <n v="23"/>
    <d v="2017-02-01T00:00:00"/>
    <s v="0,11"/>
    <s v="Cero Bolívares con 10/100"/>
  </r>
  <r>
    <n v="92"/>
    <m/>
    <s v="ü"/>
    <d v="2017-02-23T00:00:00"/>
    <n v="0.17"/>
    <x v="32"/>
    <x v="30"/>
    <s v="Calle Güigüe Nro. 89-120"/>
    <s v="Cancelación Vigilancia, mes de Febrero 2017"/>
    <s v="Vigilancia"/>
    <s v="https://drive.google.com/open?id=0ByOb8wNqoBtVY3BmbmVXU1BhRGc"/>
    <s v="00092"/>
    <s v="23 de Febrero de 2017"/>
    <n v="23"/>
    <d v="2017-02-01T00:00:00"/>
    <s v="0,17"/>
    <s v="Cero Bolívares con 17/100"/>
  </r>
  <r>
    <n v="93"/>
    <m/>
    <s v="ü"/>
    <d v="2017-02-24T00:00:00"/>
    <n v="0.2"/>
    <x v="51"/>
    <x v="48"/>
    <s v="Calle Guacara Nro. 90-110"/>
    <s v="Colaboración Vigilancia, meses de Enero y Febrero 2017"/>
    <s v="Vigilancia"/>
    <s v="https://drive.google.com/open?id=0ByOb8wNqoBtVODlZNnBTM1Z6NlU"/>
    <s v="00093"/>
    <s v="24 de Febrero de 2017"/>
    <n v="24"/>
    <d v="2017-02-01T00:00:00"/>
    <s v="0,20"/>
    <s v="Cero Bolívares con 20/100"/>
  </r>
  <r>
    <n v="94"/>
    <m/>
    <s v="ü"/>
    <d v="2017-02-24T00:00:00"/>
    <n v="0.16"/>
    <x v="52"/>
    <x v="49"/>
    <s v="Calle Güigüe Nro. 89-45"/>
    <s v="Anticipo Vigilancia, mes de Enero 2017"/>
    <s v="Vigilancia"/>
    <s v="https://drive.google.com/open?id=0ByOb8wNqoBtVWHVhTFJKcGZHWUk"/>
    <s v="00094"/>
    <s v="24 de Febrero de 2017"/>
    <n v="24"/>
    <d v="2017-02-01T00:00:00"/>
    <s v="0,16"/>
    <s v="Cero Bolívares con 16/100"/>
  </r>
  <r>
    <n v="95"/>
    <m/>
    <s v="ü"/>
    <d v="2017-02-23T00:00:00"/>
    <n v="0.2"/>
    <x v="53"/>
    <x v="48"/>
    <s v="Calle Guacara Nro. 88-91"/>
    <s v="Colaboración Vigilancia, meses de Enero y Febrero 2017"/>
    <s v="Vigilancia"/>
    <s v="https://drive.google.com/open?id=0ByOb8wNqoBtVRHRIOGp5T3BLbmc"/>
    <s v="00095"/>
    <s v="23 de Febrero de 2017"/>
    <n v="23"/>
    <d v="2017-02-01T00:00:00"/>
    <s v="0,20"/>
    <s v="Cero Bolívares con 20/100"/>
  </r>
  <r>
    <n v="96"/>
    <m/>
    <s v="ü"/>
    <d v="2017-02-24T00:00:00"/>
    <n v="0.34"/>
    <x v="54"/>
    <x v="50"/>
    <s v="Calle Güigüe Nro. 89-21"/>
    <s v="Cancelación Vigilancia, meses de Ene-Feb 2017"/>
    <s v="Vigilancia"/>
    <s v="https://drive.google.com/open?id=0ByOb8wNqoBtVOE52UWMwV2J5ajg"/>
    <s v="00096"/>
    <s v="24 de Febrero de 2017"/>
    <n v="24"/>
    <d v="2017-02-01T00:00:00"/>
    <s v="0,34"/>
    <s v="Cero Bolívares con 34/100"/>
  </r>
  <r>
    <n v="97"/>
    <m/>
    <s v="ü"/>
    <d v="2017-02-24T00:00:00"/>
    <n v="0.03"/>
    <x v="55"/>
    <x v="51"/>
    <s v="Calle Güigüe Nro. 89-16"/>
    <s v="Colaboración Vigilancia, meses de Ene-Feb 2017"/>
    <s v="Vigilancia"/>
    <s v="https://drive.google.com/open?id=0ByOb8wNqoBtVd01iVE5RNTlwbXM"/>
    <s v="00097"/>
    <s v="24 de Febrero de 2017"/>
    <n v="24"/>
    <d v="2017-02-01T00:00:00"/>
    <s v="0,03"/>
    <s v="Cero Bolívares con 03/100"/>
  </r>
  <r>
    <n v="98"/>
    <m/>
    <s v="ü"/>
    <d v="2017-02-25T00:00:00"/>
    <n v="0.2"/>
    <x v="56"/>
    <x v="52"/>
    <s v="Calle Güigüe Nro. 88-70"/>
    <s v="Colaboración Vigilancia, meses de Ene-Feb 2017"/>
    <s v="Vigilancia"/>
    <s v="https://drive.google.com/open?id=0ByOb8wNqoBtVSnQtSDhQbFktRmc"/>
    <s v="00098"/>
    <s v="25 de Febrero de 2017"/>
    <n v="25"/>
    <d v="2017-02-01T00:00:00"/>
    <s v="0,20"/>
    <s v="Cero Bolívares con 20/100"/>
  </r>
  <r>
    <n v="99"/>
    <m/>
    <s v="ü"/>
    <d v="2017-02-25T00:00:00"/>
    <n v="0.105"/>
    <x v="2"/>
    <x v="2"/>
    <s v="Calle Guacara Nro. 88-19"/>
    <s v="Colaboración Vigilancia, mes de Febrero 2017"/>
    <s v="Vigilancia"/>
    <s v="https://drive.google.com/open?id=0ByOb8wNqoBtVTllwTk1GcEZFZVE"/>
    <s v="00099"/>
    <s v="25 de Febrero de 2017"/>
    <n v="25"/>
    <d v="2017-02-01T00:00:00"/>
    <s v="0,11"/>
    <s v="Cero Bolívares con 10/100"/>
  </r>
  <r>
    <n v="100"/>
    <m/>
    <s v="ü"/>
    <d v="2017-03-01T00:00:00"/>
    <n v="0.14199999999999999"/>
    <x v="18"/>
    <x v="16"/>
    <s v="Calle Guacara Nro. 87-100"/>
    <s v="Anticipo Vigilancia, mes de Marzo 2017"/>
    <s v="Vigilancia"/>
    <s v="https://drive.google.com/open?id=0ByOb8wNqoBtVSTY3V2lRMUxyTzQ"/>
    <s v="00100"/>
    <s v="01 de Marzo de 2017"/>
    <n v="1"/>
    <d v="2017-03-01T00:00:00"/>
    <s v="0,14"/>
    <s v="Cero Bolívares con 14/100"/>
  </r>
  <r>
    <n v="101"/>
    <m/>
    <s v="ü"/>
    <d v="2017-03-02T00:00:00"/>
    <n v="0.06"/>
    <x v="57"/>
    <x v="9"/>
    <s v="Calle Güigüe Nro. 88-40"/>
    <s v="Colaboración Vigilancia, meses de Ene-Feb 2017"/>
    <s v="Vigilancia"/>
    <s v="https://drive.google.com/open?id=0ByOb8wNqoBtVU1lmUmtjYmFJOEU"/>
    <s v="00101"/>
    <s v="02 de Marzo de 2017"/>
    <n v="2"/>
    <d v="2017-03-01T00:00:00"/>
    <s v="0,06"/>
    <s v="Cero Bolívares con 06/100"/>
  </r>
  <r>
    <n v="102"/>
    <m/>
    <s v="ü"/>
    <d v="2017-03-02T00:00:00"/>
    <n v="0.17"/>
    <x v="16"/>
    <x v="15"/>
    <s v="Calle Guacara Nro. 90-81"/>
    <s v="Cancelación Vigilancia, mes de Marzo 2017"/>
    <s v="Vigilancia"/>
    <s v="https://drive.google.com/open?id=0ByOb8wNqoBtVXzBQUk5oOTdOdnc"/>
    <s v="00102"/>
    <s v="02 de Marzo de 2017"/>
    <n v="2"/>
    <d v="2017-03-01T00:00:00"/>
    <s v="0,17"/>
    <s v="Cero Bolívares con 17/100"/>
  </r>
  <r>
    <n v="103"/>
    <m/>
    <s v="ü"/>
    <d v="2017-03-02T00:00:00"/>
    <n v="0.02"/>
    <x v="16"/>
    <x v="15"/>
    <s v="Calle Guacara Nro. 90-81"/>
    <s v="Donación Vigilancia, mes de Marzo 2017"/>
    <s v="Vigilancia"/>
    <s v="https://drive.google.com/open?id=0ByOb8wNqoBtVeUlCb3hya095NGc"/>
    <s v="00103"/>
    <s v="02 de Marzo de 2017"/>
    <n v="2"/>
    <d v="2017-03-01T00:00:00"/>
    <s v="0,02"/>
    <s v="Cero Bolívares con 02/100"/>
  </r>
  <r>
    <n v="104"/>
    <m/>
    <s v="ü"/>
    <d v="2017-03-03T00:00:00"/>
    <n v="0.24"/>
    <x v="45"/>
    <x v="42"/>
    <s v="Calle Güigüe Nro. 87-A-11"/>
    <s v="Cancelación Saldo Vigilancia, mes de Enero 2017 y cancelación Vigilancia, mes de Febrero 2017"/>
    <s v="Vigilancia"/>
    <s v="https://drive.google.com/open?id=0ByOb8wNqoBtVdUo1SDNIdi1tRm8"/>
    <s v="00104"/>
    <s v="03 de Marzo de 2017"/>
    <n v="3"/>
    <d v="2017-03-01T00:00:00"/>
    <s v="0,24"/>
    <s v="Cero Bolívares con 24/100"/>
  </r>
  <r>
    <n v="105"/>
    <m/>
    <s v="ü"/>
    <d v="2017-03-03T00:00:00"/>
    <n v="0.17"/>
    <x v="58"/>
    <x v="53"/>
    <s v="Calle Güigüe Nro. 88-51"/>
    <s v="Colaboración Vigilancia, meses de Ene-Mar 2017"/>
    <s v="Vigilancia"/>
    <s v="https://drive.google.com/open?id=0ByOb8wNqoBtVRFlqUkZfeGp5M28"/>
    <s v="00105"/>
    <s v="03 de Marzo de 2017"/>
    <n v="3"/>
    <d v="2017-03-01T00:00:00"/>
    <s v="0,17"/>
    <s v="Cero Bolívares con 17/100"/>
  </r>
  <r>
    <n v="106"/>
    <m/>
    <s v="ü"/>
    <d v="2017-03-05T00:00:00"/>
    <n v="7.0000000000000007E-2"/>
    <x v="7"/>
    <x v="7"/>
    <s v="Calle Guacara Nro. 87-86"/>
    <s v="Colaboración Vigilancia, mes de Marzo 2017"/>
    <s v="Vigilancia"/>
    <s v="https://drive.google.com/open?id=0ByOb8wNqoBtVdlNhb0wyRkNIOTQ"/>
    <s v="00106"/>
    <s v="05 de Marzo de 2017"/>
    <n v="5"/>
    <d v="2017-03-01T00:00:00"/>
    <s v="0,07"/>
    <s v="Cero Bolívares con 07/100"/>
  </r>
  <r>
    <n v="107"/>
    <m/>
    <s v="ü"/>
    <d v="2017-03-05T00:00:00"/>
    <n v="0.34"/>
    <x v="59"/>
    <x v="9"/>
    <s v="Calle Guacara Nro. 90-35"/>
    <s v="Cancelación Vigilancia, meses de Ene-Feb 2017"/>
    <s v="Vigilancia"/>
    <s v="https://drive.google.com/open?id=0ByOb8wNqoBtVakQ5Z2l1RTAtNGs"/>
    <s v="00107"/>
    <s v="05 de Marzo de 2017"/>
    <n v="5"/>
    <d v="2017-03-01T00:00:00"/>
    <s v="0,34"/>
    <s v="Cero Bolívares con 34/100"/>
  </r>
  <r>
    <n v="108"/>
    <m/>
    <s v="ü"/>
    <d v="2017-03-05T00:00:00"/>
    <n v="0.03"/>
    <x v="59"/>
    <x v="9"/>
    <s v="Calle Guacara Nro. 90-35"/>
    <s v="Anticipo Vigilancia, mes de Marzo 2017"/>
    <s v="Vigilancia"/>
    <s v="https://drive.google.com/open?id=0ByOb8wNqoBtVcVZvTjdxQUE4cUk"/>
    <s v="00108"/>
    <s v="05 de Marzo de 2017"/>
    <n v="5"/>
    <d v="2017-03-01T00:00:00"/>
    <s v="0,03"/>
    <s v="Cero Bolívares con 03/100"/>
  </r>
  <r>
    <n v="109"/>
    <m/>
    <s v="ü"/>
    <d v="2017-03-06T00:00:00"/>
    <n v="0.26500000000000001"/>
    <x v="60"/>
    <x v="54"/>
    <s v="Calle Guacara Nro. 88-51"/>
    <s v="Colaboración Vigilancia, meses de Ene-Feb 2017"/>
    <s v="Vigilancia"/>
    <s v="https://drive.google.com/open?id=0ByOb8wNqoBtVOVluZ3Z6aGNXSjg"/>
    <s v="00109"/>
    <s v="06 de Marzo de 2017"/>
    <n v="6"/>
    <d v="2017-03-01T00:00:00"/>
    <s v="0,27"/>
    <s v="Cero Bolívares con 26/100"/>
  </r>
  <r>
    <n v="110"/>
    <m/>
    <s v="ü"/>
    <d v="2017-03-08T00:00:00"/>
    <n v="0.17"/>
    <x v="1"/>
    <x v="1"/>
    <s v="Calle Güigüe Nro. 88-44"/>
    <s v="Cancelación Vigilancia, mes de Marzo 2017"/>
    <s v="Vigilancia"/>
    <s v="https://drive.google.com/open?id=0ByOb8wNqoBtVUlpEa2NybWVrNWc"/>
    <s v="00110"/>
    <s v="08 de Marzo de 2017"/>
    <n v="8"/>
    <d v="2017-03-01T00:00:00"/>
    <s v="0,17"/>
    <s v="Cero Bolívares con 17/100"/>
  </r>
  <r>
    <n v="111"/>
    <m/>
    <s v="ü"/>
    <d v="2017-03-08T00:00:00"/>
    <n v="0.17"/>
    <x v="4"/>
    <x v="4"/>
    <s v="Calle Güigüe Nro. 89-55"/>
    <s v="Cancelación Vigilancia, mes de Marzo 2017"/>
    <s v="Vigilancia"/>
    <s v="https://drive.google.com/open?id=0ByOb8wNqoBtVd1Bha1RaTXJVTW8"/>
    <s v="00111"/>
    <s v="08 de Marzo de 2017"/>
    <n v="8"/>
    <d v="2017-03-01T00:00:00"/>
    <s v="0,17"/>
    <s v="Cero Bolívares con 17/100"/>
  </r>
  <r>
    <n v="112"/>
    <m/>
    <s v="ü"/>
    <d v="2017-03-08T00:00:00"/>
    <n v="0.17"/>
    <x v="37"/>
    <x v="34"/>
    <s v="Av. &quot;I&quot; Nro. 146-40"/>
    <s v="Cancelación Vigilancia, mes de Febrero 2017"/>
    <s v="Vigilancia"/>
    <s v="https://drive.google.com/open?id=0ByOb8wNqoBtVTjVGLW5McTNyTEU"/>
    <s v="00112"/>
    <s v="08 de Marzo de 2017"/>
    <n v="8"/>
    <d v="2017-03-01T00:00:00"/>
    <s v="0,17"/>
    <s v="Cero Bolívares con 17/100"/>
  </r>
  <r>
    <n v="113"/>
    <m/>
    <s v="ü"/>
    <d v="2017-03-08T00:00:00"/>
    <n v="0.35"/>
    <x v="52"/>
    <x v="49"/>
    <s v="Calle Güigüe Nro. 89-45"/>
    <s v="Cancelación Saldo Vigilancia, mes de Enero 2017 y cancelación Vigilancia, meses de Feb-Mar 2017"/>
    <s v="Vigilancia"/>
    <s v="https://drive.google.com/open?id=0ByOb8wNqoBtVVTZMQ3JGNkpOQ2s"/>
    <s v="00113"/>
    <s v="08 de Marzo de 2017"/>
    <n v="8"/>
    <d v="2017-03-01T00:00:00"/>
    <s v="0,35"/>
    <s v="Cero Bolívares con 35/100"/>
  </r>
  <r>
    <n v="114"/>
    <m/>
    <s v="ü"/>
    <d v="2017-03-08T00:00:00"/>
    <n v="0.17"/>
    <x v="20"/>
    <x v="18"/>
    <s v="Calle Guacara Nro. 89-30"/>
    <s v="Cancelación Vigilancia, mes de Marzo 2017"/>
    <s v="Vigilancia"/>
    <s v="https://drive.google.com/open?id=0ByOb8wNqoBtVc182N2Job1dvOVk"/>
    <s v="00114"/>
    <s v="08 de Marzo de 2017"/>
    <n v="8"/>
    <d v="2017-03-01T00:00:00"/>
    <s v="0,17"/>
    <s v="Cero Bolívares con 17/100"/>
  </r>
  <r>
    <n v="115"/>
    <m/>
    <s v="ü"/>
    <d v="2017-03-08T00:00:00"/>
    <n v="0.34"/>
    <x v="61"/>
    <x v="14"/>
    <s v="Calle Guacara Nro. 87-07"/>
    <s v="Cancelación Vigilancia, meses de Ene-Feb 2017"/>
    <s v="Vigilancia"/>
    <s v="https://drive.google.com/open?id=0ByOb8wNqoBtVY2hIMjBnenBHUlU"/>
    <s v="00115"/>
    <s v="08 de Marzo de 2017"/>
    <n v="8"/>
    <d v="2017-03-01T00:00:00"/>
    <s v="0,34"/>
    <s v="Cero Bolívares con 34/100"/>
  </r>
  <r>
    <n v="116"/>
    <m/>
    <s v="ü"/>
    <d v="2017-03-08T00:00:00"/>
    <n v="0.34"/>
    <x v="62"/>
    <x v="55"/>
    <s v="Av. &quot;M&quot; Nro. 145-10"/>
    <s v="Cancelación Vigilancia, meses de Ene-Feb 2017"/>
    <s v="Vigilancia"/>
    <s v="https://drive.google.com/open?id=0ByOb8wNqoBtVdC1VZzF5Rk9vTEE"/>
    <s v="00116"/>
    <s v="08 de Marzo de 2017"/>
    <n v="8"/>
    <d v="2017-03-01T00:00:00"/>
    <s v="0,34"/>
    <s v="Cero Bolívares con 34/100"/>
  </r>
  <r>
    <n v="117"/>
    <m/>
    <s v="ü"/>
    <d v="2017-03-10T00:00:00"/>
    <n v="0.17"/>
    <x v="12"/>
    <x v="12"/>
    <s v="Calle Guacara Nro. 89-20"/>
    <s v="Cancelación Vigilancia, mes de Marzo 2017"/>
    <s v="Vigilancia"/>
    <s v="https://drive.google.com/open?id=0ByOb8wNqoBtVT0ZVSFpaVlNyN0U"/>
    <s v="00117"/>
    <s v="10 de Marzo de 2017"/>
    <n v="10"/>
    <d v="2017-03-01T00:00:00"/>
    <s v="0,17"/>
    <s v="Cero Bolívares con 17/100"/>
  </r>
  <r>
    <n v="118"/>
    <m/>
    <s v="ü"/>
    <d v="2017-03-10T00:00:00"/>
    <n v="0.45"/>
    <x v="63"/>
    <x v="56"/>
    <s v="Calle Guacara Nro. 88-85"/>
    <s v="Colaboración Vigilancia, meses de Ene-Mar 2017"/>
    <s v="Vigilancia"/>
    <s v="https://drive.google.com/open?id=0ByOb8wNqoBtVeC1SNVJRNjFuTVE"/>
    <s v="00118"/>
    <s v="10 de Marzo de 2017"/>
    <n v="10"/>
    <d v="2017-03-01T00:00:00"/>
    <s v="0,45"/>
    <s v="Cero Bolívares con 45/100"/>
  </r>
  <r>
    <n v="119"/>
    <m/>
    <s v="ü"/>
    <d v="2017-03-10T00:00:00"/>
    <n v="0.13613"/>
    <x v="3"/>
    <x v="3"/>
    <s v="Calle Güigüe Nro. 88-62"/>
    <s v="Anticipo Vigilancia, mes de Febrero 2017"/>
    <s v="Vigilancia"/>
    <s v="https://drive.google.com/open?id=0ByOb8wNqoBtVQlRuWnlZdnQ2MEE"/>
    <s v="00119"/>
    <s v="10 de Marzo de 2017"/>
    <n v="10"/>
    <d v="2017-03-01T00:00:00"/>
    <s v="0,14"/>
    <s v="Cero Bolívares con 14/100"/>
  </r>
  <r>
    <n v="120"/>
    <m/>
    <s v="ü"/>
    <d v="2017-03-06T00:00:00"/>
    <n v="0.17"/>
    <x v="48"/>
    <x v="45"/>
    <s v="Calle Güigüe Nro. 88-90"/>
    <s v="Cancelación Vigilancia, mes de Enero 2017"/>
    <s v="Vigilancia"/>
    <s v="https://drive.google.com/open?id=0ByOb8wNqoBtVc1NYcl9LRWhfVUU"/>
    <s v="00120"/>
    <s v="06 de Marzo de 2017"/>
    <n v="6"/>
    <d v="2017-03-01T00:00:00"/>
    <s v="0,17"/>
    <s v="Cero Bolívares con 17/100"/>
  </r>
  <r>
    <n v="121"/>
    <m/>
    <s v="ü"/>
    <d v="2017-03-10T00:00:00"/>
    <n v="0.17"/>
    <x v="45"/>
    <x v="42"/>
    <s v="Calle Güigüe Nro. 87-A-11"/>
    <s v="Cancelación Vigilancia, mes de Marzo 2017"/>
    <s v="Vigilancia"/>
    <s v="https://drive.google.com/open?id=0ByOb8wNqoBtVbkNhZV92RVBBeDQ"/>
    <s v="00121"/>
    <s v="10 de Marzo de 2017"/>
    <n v="10"/>
    <d v="2017-03-01T00:00:00"/>
    <s v="0,17"/>
    <s v="Cero Bolívares con 17/100"/>
  </r>
  <r>
    <n v="122"/>
    <m/>
    <s v="ü"/>
    <d v="2017-03-10T00:00:00"/>
    <n v="2.8000000000000001E-2"/>
    <x v="18"/>
    <x v="16"/>
    <s v="Calle Guacara Nro. 87-100"/>
    <s v="Cancelación Saldo Vigilancia, mes de Marzo 2017"/>
    <s v="Vigilancia"/>
    <s v="https://drive.google.com/open?id=0ByOb8wNqoBtVajFsUEY4SXhtSG8"/>
    <s v="00122"/>
    <s v="10 de Marzo de 2017"/>
    <n v="10"/>
    <d v="2017-03-01T00:00:00"/>
    <s v="0,03"/>
    <s v="Cero Bolívares con 03/100"/>
  </r>
  <r>
    <n v="123"/>
    <m/>
    <s v="ü"/>
    <d v="2017-03-10T00:00:00"/>
    <n v="0.1"/>
    <x v="15"/>
    <x v="14"/>
    <s v="Calle Guacara Nro. 89-94"/>
    <s v="Colaboración Vigilancia, mes de Marzo 2017"/>
    <s v="Vigilancia"/>
    <s v="https://drive.google.com/open?id=0ByOb8wNqoBtVMDl1eDRUSl9QVkU"/>
    <s v="00123"/>
    <s v="10 de Marzo de 2017"/>
    <n v="10"/>
    <d v="2017-03-01T00:00:00"/>
    <s v="0,10"/>
    <s v="Cero Bolívares con 10/100"/>
  </r>
  <r>
    <n v="124"/>
    <m/>
    <s v="ü"/>
    <d v="2017-03-11T00:00:00"/>
    <n v="0.1"/>
    <x v="35"/>
    <x v="32"/>
    <s v="Calle Güigüe Nro. 89-80"/>
    <s v="Colaboración Vigilancia, mes de Marzo 2017"/>
    <s v="Vigilancia"/>
    <s v="https://drive.google.com/open?id=0ByOb8wNqoBtVUFhOUEVycGNfNEU"/>
    <s v="00124"/>
    <s v="11 de Marzo de 2017"/>
    <n v="11"/>
    <d v="2017-03-01T00:00:00"/>
    <s v="0,10"/>
    <s v="Cero Bolívares con 10/100"/>
  </r>
  <r>
    <n v="125"/>
    <m/>
    <s v="ü"/>
    <d v="2017-03-11T00:00:00"/>
    <n v="0.17"/>
    <x v="64"/>
    <x v="57"/>
    <s v="Calle Guacara Nro. 88-35"/>
    <s v="Cancelación Vigilancia, mes de Enero 2017"/>
    <s v="Vigilancia"/>
    <s v="https://drive.google.com/open?id=0ByOb8wNqoBtVVm9PdXd6U0VPdXM"/>
    <s v="00125"/>
    <s v="11 de Marzo de 2017"/>
    <n v="11"/>
    <d v="2017-03-01T00:00:00"/>
    <s v="0,17"/>
    <s v="Cero Bolívares con 17/100"/>
  </r>
  <r>
    <n v="126"/>
    <m/>
    <s v="ü"/>
    <d v="2017-03-14T00:00:00"/>
    <n v="0.17"/>
    <x v="46"/>
    <x v="43"/>
    <s v="Av. &quot;I&quot; Nro. 146-20"/>
    <s v="Cancelación Vigilancia, mes de Marzo 2017"/>
    <s v="Vigilancia"/>
    <s v="https://drive.google.com/open?id=0ByOb8wNqoBtVUU9TdUdRckFETmc"/>
    <s v="00126"/>
    <s v="14 de Marzo de 2017"/>
    <n v="14"/>
    <d v="2017-03-01T00:00:00"/>
    <s v="0,17"/>
    <s v="Cero Bolívares con 17/100"/>
  </r>
  <r>
    <n v="127"/>
    <m/>
    <s v="ü"/>
    <d v="2017-03-10T00:00:00"/>
    <n v="0.03"/>
    <x v="17"/>
    <x v="16"/>
    <s v="Av. &quot;M&quot; Nro. 146-20"/>
    <s v="Colaboración Vigilancia, mes de Marzo 2017"/>
    <s v="Vigilancia"/>
    <s v="https://drive.google.com/open?id=0ByOb8wNqoBtVSElUZ2ctWVVhbmc"/>
    <s v="00127"/>
    <s v="10 de Marzo de 2017"/>
    <n v="10"/>
    <d v="2017-03-01T00:00:00"/>
    <s v="0,03"/>
    <s v="Cero Bolívares con 03/100"/>
  </r>
  <r>
    <n v="128"/>
    <m/>
    <s v="ü"/>
    <d v="2017-01-13T00:00:00"/>
    <n v="6.5000000000000002E-2"/>
    <x v="10"/>
    <x v="10"/>
    <s v="Av. &quot;M&quot; Nro. 146-15"/>
    <s v="Cancelación saldo Vigilancia, mes de Enero 2017"/>
    <s v="Vigilancia"/>
    <s v="https://drive.google.com/open?id=0ByOb8wNqoBtVbGZjSklOSWZMMUU"/>
    <s v="00128"/>
    <s v="13 de Enero de 2017"/>
    <n v="13"/>
    <d v="2017-01-01T00:00:00"/>
    <s v="0,07"/>
    <s v="Cero Bolívares con 06/100"/>
  </r>
  <r>
    <n v="129"/>
    <m/>
    <s v="ü"/>
    <d v="2017-03-01T00:00:00"/>
    <n v="0.17"/>
    <x v="40"/>
    <x v="37"/>
    <s v="Calle Güigüe Nro. 88-101"/>
    <s v="Cancelación Vigilancia, mes de Febrero 2017"/>
    <s v="Vigilancia"/>
    <s v="https://drive.google.com/open?id=0ByOb8wNqoBtVT2tYRlNoMkMwdUE"/>
    <s v="00129"/>
    <s v="01 de Marzo de 2017"/>
    <n v="1"/>
    <d v="2017-03-01T00:00:00"/>
    <s v="0,17"/>
    <s v="Cero Bolívares con 17/100"/>
  </r>
  <r>
    <n v="130"/>
    <m/>
    <s v="ü"/>
    <d v="2017-03-06T00:00:00"/>
    <n v="0.17"/>
    <x v="41"/>
    <x v="38"/>
    <s v="Calle Güigüe Nro. 88-91"/>
    <s v="Cancelación Vigilancia, mes de Febrero 2017"/>
    <s v="Vigilancia"/>
    <s v="https://drive.google.com/open?id=0ByOb8wNqoBtVTktPck5mMlpEY3c"/>
    <s v="00130"/>
    <s v="06 de Marzo de 2017"/>
    <n v="6"/>
    <d v="2017-03-01T00:00:00"/>
    <s v="0,17"/>
    <s v="Cero Bolívares con 17/100"/>
  </r>
  <r>
    <n v="131"/>
    <m/>
    <s v="ü"/>
    <d v="2017-02-27T00:00:00"/>
    <n v="0.17"/>
    <x v="65"/>
    <x v="58"/>
    <s v="Calle Güigüe Nro. 88-10"/>
    <s v="Cancelación Vigilancia, mes de Enero 2017"/>
    <s v="Vigilancia"/>
    <s v="https://drive.google.com/open?id=0ByOb8wNqoBtVUGJmeHI2UTZKVlE"/>
    <s v="00131"/>
    <s v="27 de Febrero de 2017"/>
    <n v="27"/>
    <d v="2017-02-01T00:00:00"/>
    <s v="0,17"/>
    <s v="Cero Bolívares con 17/100"/>
  </r>
  <r>
    <n v="132"/>
    <m/>
    <s v="ü"/>
    <d v="2017-02-14T00:00:00"/>
    <n v="0.17"/>
    <x v="23"/>
    <x v="21"/>
    <s v="Calle Güigüe Nro. 88-116"/>
    <s v="Cancelación Vigilancia, mes de Febrero 2017"/>
    <s v="Vigilancia"/>
    <s v="https://drive.google.com/open?id=0ByOb8wNqoBtVYlpzUXFSREtCTUE"/>
    <s v="00132"/>
    <s v="14 de Febrero de 2017"/>
    <n v="14"/>
    <d v="2017-02-01T00:00:00"/>
    <s v="0,17"/>
    <s v="Cero Bolívares con 17/100"/>
  </r>
  <r>
    <n v="133"/>
    <m/>
    <s v="ü"/>
    <d v="2017-02-14T00:00:00"/>
    <n v="6.2E-2"/>
    <x v="6"/>
    <x v="6"/>
    <s v="Calle Guacara Nro. 89-60"/>
    <s v="14 02 2017 Bs. 6.200 - Cancelación control del portón"/>
    <s v="Control"/>
    <s v="https://drive.google.com/open?id=0ByOb8wNqoBtVLWdrMGVUemh6cGs"/>
    <s v="00133"/>
    <s v="14 de Febrero de 2017"/>
    <n v="14"/>
    <d v="2017-02-01T00:00:00"/>
    <s v="0,06"/>
    <s v="Cero Bolívares con 06/100"/>
  </r>
  <r>
    <n v="134"/>
    <m/>
    <s v="ü"/>
    <d v="2017-01-11T00:00:00"/>
    <n v="6.5000000000000002E-2"/>
    <x v="8"/>
    <x v="8"/>
    <s v="Calle Guacara Nro. 90-51"/>
    <s v="Cancelación saldo Vigilancia, mes de Enero 2017"/>
    <s v="Vigilancia"/>
    <s v="https://drive.google.com/open?id=0ByOb8wNqoBtVUFJvVmpSWnB4T2M"/>
    <s v="00134"/>
    <s v="11 de Enero de 2017"/>
    <n v="11"/>
    <d v="2017-01-01T00:00:00"/>
    <s v="0,07"/>
    <s v="Cero Bolívares con 06/100"/>
  </r>
  <r>
    <n v="135"/>
    <m/>
    <s v="ü"/>
    <d v="2017-02-20T00:00:00"/>
    <n v="0.34"/>
    <x v="66"/>
    <x v="59"/>
    <s v="Calle Güigüe Nro. 89-70"/>
    <s v="Cancelación Vigilancia, meses de Ene-Feb 2017"/>
    <s v="Vigilancia"/>
    <s v="https://drive.google.com/open?id=0ByOb8wNqoBtVVHhGTUdTOWd3TVk"/>
    <s v="00135"/>
    <s v="20 de Febrero de 2017"/>
    <n v="20"/>
    <d v="2017-02-01T00:00:00"/>
    <s v="0,34"/>
    <s v="Cero Bolívares con 34/100"/>
  </r>
  <r>
    <n v="136"/>
    <m/>
    <s v="ü"/>
    <d v="2017-03-14T00:00:00"/>
    <n v="0.17"/>
    <x v="23"/>
    <x v="21"/>
    <s v="Calle Güigüe Nro. 88-116"/>
    <s v="Cancelación Vigilancia, mes de Marzo 2017"/>
    <s v="Vigilancia"/>
    <s v="https://drive.google.com/open?id=0ByOb8wNqoBtVNm52V1J6V0N3aUE"/>
    <s v="00136"/>
    <s v="14 de Marzo de 2017"/>
    <n v="14"/>
    <d v="2017-03-01T00:00:00"/>
    <s v="0,17"/>
    <s v="Cero Bolívares con 17/100"/>
  </r>
  <r>
    <n v="137"/>
    <m/>
    <s v="ü"/>
    <d v="2017-03-14T00:00:00"/>
    <n v="0.05"/>
    <x v="13"/>
    <x v="9"/>
    <s v="Calle Güigüe Nro. 89-90"/>
    <s v="Colaboración Vigilancia, mes de Marzo 2017"/>
    <s v="Vigilancia"/>
    <s v="https://drive.google.com/open?id=0ByOb8wNqoBtVLVJ1Tk96RUN1M3M"/>
    <s v="00137"/>
    <s v="14 de Marzo de 2017"/>
    <n v="14"/>
    <d v="2017-03-01T00:00:00"/>
    <s v="0,05"/>
    <s v="Cero Bolívares con 05/100"/>
  </r>
  <r>
    <n v="138"/>
    <m/>
    <s v="ü"/>
    <d v="2017-03-10T00:00:00"/>
    <n v="0.22"/>
    <x v="11"/>
    <x v="11"/>
    <s v="Calle Guacara Nro. 89-86"/>
    <s v="Cancelación Vigilancia, mes de Marzo 2017"/>
    <s v="Vigilancia"/>
    <s v="https://drive.google.com/open?id=0ByOb8wNqoBtVcTJ2N1lNUHpoR1k"/>
    <s v="00138"/>
    <s v="10 de Marzo de 2017"/>
    <n v="10"/>
    <d v="2017-03-01T00:00:00"/>
    <s v="0,22"/>
    <s v="Cero Bolívares con 22/100"/>
  </r>
  <r>
    <n v="139"/>
    <m/>
    <s v="ü"/>
    <d v="2017-03-16T00:00:00"/>
    <n v="0.17"/>
    <x v="6"/>
    <x v="6"/>
    <s v="Calle Guacara Nro. 89-60"/>
    <s v="Cancelación Vigilancia, mes de Marzo 2017"/>
    <s v="Vigilancia"/>
    <s v="https://drive.google.com/open?id=0ByOb8wNqoBtVejltaUpYVXh5VlE"/>
    <s v="00139"/>
    <s v="16 de Marzo de 2017"/>
    <n v="16"/>
    <d v="2017-03-01T00:00:00"/>
    <s v="0,17"/>
    <s v="Cero Bolívares con 17/100"/>
  </r>
  <r>
    <n v="140"/>
    <m/>
    <s v="ü"/>
    <d v="2017-03-19T00:00:00"/>
    <n v="0.17"/>
    <x v="61"/>
    <x v="14"/>
    <s v="Calle Guacara Nro. 87-07"/>
    <s v="Cancelación Vigilancia, mes de Marzo 2017"/>
    <s v="Vigilancia"/>
    <s v="https://drive.google.com/open?id=0ByOb8wNqoBtVdWZOUWFPdnR1N1E"/>
    <s v="00140"/>
    <s v="19 de Marzo de 2017"/>
    <n v="19"/>
    <d v="2017-03-01T00:00:00"/>
    <s v="0,17"/>
    <s v="Cero Bolívares con 17/100"/>
  </r>
  <r>
    <n v="141"/>
    <m/>
    <s v="ü"/>
    <d v="2017-03-18T00:00:00"/>
    <n v="0.1"/>
    <x v="22"/>
    <x v="20"/>
    <s v="Calle Guacara Nro. 88-25"/>
    <s v="Colaboración Vigilancia, mes de Marzo 2017"/>
    <s v="Vigilancia"/>
    <s v="https://drive.google.com/open?id=0ByOb8wNqoBtVX2NYLWV3YkpZb28"/>
    <s v="00141"/>
    <s v="18 de Marzo de 2017"/>
    <n v="18"/>
    <d v="2017-03-01T00:00:00"/>
    <s v="0,10"/>
    <s v="Cero Bolívares con 10/100"/>
  </r>
  <r>
    <n v="142"/>
    <m/>
    <s v="ü"/>
    <d v="2017-03-16T00:00:00"/>
    <n v="0.18"/>
    <x v="60"/>
    <x v="54"/>
    <s v="Calle Guacara Nro. 88-51"/>
    <s v="Colaboración Vigilancia, mes de Marzo 2017 y anticipo Abril 2017"/>
    <s v="Vigilancia"/>
    <s v="https://drive.google.com/open?id=0ByOb8wNqoBtVeHBDSHplc2c4Z2M"/>
    <s v="00142"/>
    <s v="16 de Marzo de 2017"/>
    <n v="16"/>
    <d v="2017-03-01T00:00:00"/>
    <s v="0,18"/>
    <s v="Cero Bolívares con 18/100"/>
  </r>
  <r>
    <n v="143"/>
    <m/>
    <s v="ü"/>
    <d v="2017-03-15T00:00:00"/>
    <n v="0.17"/>
    <x v="29"/>
    <x v="27"/>
    <s v="Calle Guacara Nro. 88-75"/>
    <s v="Cancelación Vigilancia, mes de Marzo 2017"/>
    <s v="Vigilancia"/>
    <s v="https://drive.google.com/open?id=0ByOb8wNqoBtVWV95R2U0RFZyYW8"/>
    <s v="00143"/>
    <s v="15 de Marzo de 2017"/>
    <n v="15"/>
    <d v="2017-03-01T00:00:00"/>
    <s v="0,17"/>
    <s v="Cero Bolívares con 17/100"/>
  </r>
  <r>
    <n v="144"/>
    <m/>
    <s v="ü"/>
    <d v="2017-03-16T00:00:00"/>
    <n v="0.17"/>
    <x v="19"/>
    <x v="17"/>
    <s v="Calle Guacara Nro. 89-130"/>
    <s v="Cancelación Vigilancia, mes de Marzo 2017"/>
    <s v="Vigilancia"/>
    <s v="https://drive.google.com/open?id=0ByOb8wNqoBtVcjJvNUUza2ZRa0k"/>
    <s v="00144"/>
    <s v="16 de Marzo de 2017"/>
    <n v="16"/>
    <d v="2017-03-01T00:00:00"/>
    <s v="0,17"/>
    <s v="Cero Bolívares con 17/100"/>
  </r>
  <r>
    <n v="145"/>
    <m/>
    <s v="ü"/>
    <d v="2017-03-15T00:00:00"/>
    <n v="0.17"/>
    <x v="14"/>
    <x v="13"/>
    <s v="Calle Güigüe Nro. 89-83"/>
    <s v="Cancelación Vigilancia, mes de Marzo 2017"/>
    <s v="Vigilancia"/>
    <s v="https://drive.google.com/open?id=0ByOb8wNqoBtVel83UkE2ZGl3cjA"/>
    <s v="00145"/>
    <s v="15 de Marzo de 2017"/>
    <n v="15"/>
    <d v="2017-03-01T00:00:00"/>
    <s v="0,17"/>
    <s v="Cero Bolívares con 17/100"/>
  </r>
  <r>
    <n v="146"/>
    <m/>
    <s v="ü"/>
    <d v="2017-03-15T00:00:00"/>
    <n v="0.105"/>
    <x v="34"/>
    <x v="31"/>
    <s v="Av. &quot;O&quot; Nro. 146-11"/>
    <s v="Anticipo Vigilancia, mes de Febrero 2017"/>
    <s v="Vigilancia"/>
    <s v="https://drive.google.com/open?id=0ByOb8wNqoBtVU0Nna2k1YjJ4aHc"/>
    <s v="00146"/>
    <s v="15 de Marzo de 2017"/>
    <n v="15"/>
    <d v="2017-03-01T00:00:00"/>
    <s v="0,11"/>
    <s v="Cero Bolívares con 10/100"/>
  </r>
  <r>
    <n v="147"/>
    <m/>
    <s v="ü"/>
    <d v="2017-03-25T00:00:00"/>
    <n v="0.17"/>
    <x v="34"/>
    <x v="31"/>
    <s v="Av. &quot;O&quot; Nro. 146-11"/>
    <s v="Cancelación saldo Vigilancia, mes de Febrero 2017 y anticipo Bs. 10.500 mes de Marzo 2017"/>
    <s v="Vigilancia"/>
    <s v="https://drive.google.com/open?id=0ByOb8wNqoBtVbWI4bUszb2tYckk"/>
    <s v="00147"/>
    <s v="25 de Marzo de 2017"/>
    <n v="25"/>
    <d v="2017-03-01T00:00:00"/>
    <s v="0,17"/>
    <s v="Cero Bolívares con 17/100"/>
  </r>
  <r>
    <n v="148"/>
    <m/>
    <s v="ü"/>
    <d v="2017-03-21T00:00:00"/>
    <n v="0.17"/>
    <x v="36"/>
    <x v="33"/>
    <s v="Calle Güigüe Nro. 89-10"/>
    <s v="Cancelación Vigilancia, mes de Febrero 2017"/>
    <s v="Vigilancia"/>
    <s v="https://drive.google.com/open?id=0ByOb8wNqoBtVcGNWQVhDdkhfVXc"/>
    <s v="00148"/>
    <s v="21 de Marzo de 2017"/>
    <n v="21"/>
    <d v="2017-03-01T00:00:00"/>
    <s v="0,17"/>
    <s v="Cero Bolívares con 17/100"/>
  </r>
  <r>
    <n v="149"/>
    <m/>
    <s v="ü"/>
    <d v="2017-03-24T00:00:00"/>
    <n v="0.17"/>
    <x v="32"/>
    <x v="30"/>
    <s v="Calle Güigüe Nro. 89-120"/>
    <s v="Cancelación Vigilancia, mes de Marzo 2017"/>
    <s v="Vigilancia"/>
    <s v="https://drive.google.com/open?id=0ByOb8wNqoBtVcFRNQVpiR0dNS2M"/>
    <s v="00149"/>
    <s v="24 de Marzo de 2017"/>
    <n v="24"/>
    <d v="2017-03-01T00:00:00"/>
    <s v="0,17"/>
    <s v="Cero Bolívares con 17/100"/>
  </r>
  <r>
    <n v="150"/>
    <m/>
    <s v="ü"/>
    <d v="2017-03-26T00:00:00"/>
    <n v="0.03"/>
    <x v="57"/>
    <x v="9"/>
    <s v="Calle Güigüe Nro. 88-40"/>
    <s v="Colaboración Vigilancia, mes de Marzo 2017"/>
    <s v="Vigilancia"/>
    <s v="https://drive.google.com/open?id=0ByOb8wNqoBtVZTJBYXhQdlBrX0k"/>
    <s v="00150"/>
    <s v="26 de Marzo de 2017"/>
    <n v="26"/>
    <d v="2017-03-01T00:00:00"/>
    <s v="0,03"/>
    <s v="Cero Bolívares con 03/100"/>
  </r>
  <r>
    <n v="151"/>
    <m/>
    <s v="ü"/>
    <d v="2017-03-27T00:00:00"/>
    <n v="0.17"/>
    <x v="24"/>
    <x v="22"/>
    <s v="Calle Güigüe Nro. 88-54"/>
    <s v="Cancelación Vigilancia, mes de Marzo 2017"/>
    <s v="Vigilancia"/>
    <s v="https://drive.google.com/open?id=0ByOb8wNqoBtVQm55c1Jmdm54bTg"/>
    <s v="00151"/>
    <s v="27 de Marzo de 2017"/>
    <n v="27"/>
    <d v="2017-03-01T00:00:00"/>
    <s v="0,17"/>
    <s v="Cero Bolívares con 17/100"/>
  </r>
  <r>
    <n v="152"/>
    <m/>
    <s v="ü"/>
    <d v="2017-03-30T00:00:00"/>
    <n v="0.04"/>
    <x v="28"/>
    <x v="26"/>
    <s v="Calle Güigüe Nro. 88-30"/>
    <s v="Colaboración Vigilancia, mes de Marzo 2017"/>
    <s v="Vigilancia"/>
    <s v="https://drive.google.com/open?id=0ByOb8wNqoBtVLTlOUkRqZEtQYms"/>
    <s v="00152"/>
    <s v="30 de Marzo de 2017"/>
    <n v="30"/>
    <d v="2017-03-01T00:00:00"/>
    <s v="0,04"/>
    <s v="Cero Bolívares con 04/100"/>
  </r>
  <r>
    <n v="153"/>
    <m/>
    <s v="ü"/>
    <d v="2017-03-30T00:00:00"/>
    <n v="0.1"/>
    <x v="56"/>
    <x v="52"/>
    <s v="Calle Güigüe Nro. 88-70"/>
    <s v="Colaboración Vigilancia, mes de Marzo 2017"/>
    <s v="Vigilancia"/>
    <s v="https://drive.google.com/open?id=0ByOb8wNqoBtVb0J3bGZITmRla0k"/>
    <s v="00153"/>
    <s v="30 de Marzo de 2017"/>
    <n v="30"/>
    <d v="2017-03-01T00:00:00"/>
    <s v="0,10"/>
    <s v="Cero Bolívares con 10/100"/>
  </r>
  <r>
    <n v="154"/>
    <m/>
    <s v="ü"/>
    <d v="2017-04-04T00:00:00"/>
    <n v="0.17"/>
    <x v="20"/>
    <x v="18"/>
    <s v="Calle Guacara Nro. 89-30"/>
    <s v="Cancelación Vigilancia, mes de Abril 2017"/>
    <s v="Vigilancia"/>
    <m/>
    <s v="00154"/>
    <s v="04 de Abril de 2017"/>
    <n v="4"/>
    <d v="2017-04-01T00:00:00"/>
    <s v="0,17"/>
    <s v="Cero Bolívares con 17/100"/>
  </r>
  <r>
    <n v="155"/>
    <m/>
    <s v="ü"/>
    <d v="2017-04-04T00:00:00"/>
    <n v="0.21"/>
    <x v="2"/>
    <x v="2"/>
    <s v="Calle Guacara Nro. 88-19"/>
    <s v="Colaboración Vigilancia, meses de Mar-Abr 2017"/>
    <s v="Vigilancia"/>
    <m/>
    <s v="00155"/>
    <s v="04 de Abril de 2017"/>
    <n v="4"/>
    <d v="2017-04-01T00:00:00"/>
    <s v="0,21"/>
    <s v="Cero Bolívares con 21/100"/>
  </r>
  <r>
    <n v="156"/>
    <m/>
    <s v="ü"/>
    <d v="2017-03-27T00:00:00"/>
    <n v="0.34"/>
    <x v="64"/>
    <x v="57"/>
    <s v="Calle Guacara Nro. 88-35"/>
    <s v="Cancelación Vigilancia, meses de Feb-Mar 2017"/>
    <s v="Vigilancia"/>
    <m/>
    <s v="00156"/>
    <s v="27 de Marzo de 2017"/>
    <n v="27"/>
    <d v="2017-03-01T00:00:00"/>
    <s v="0,34"/>
    <s v="Cero Bolívares con 34/100"/>
  </r>
  <r>
    <n v="157"/>
    <m/>
    <s v="ü"/>
    <d v="2017-03-24T00:00:00"/>
    <n v="7.0000000000000007E-2"/>
    <x v="67"/>
    <x v="9"/>
    <s v="Calle Guacara Nro. 90-93"/>
    <s v="Colaboración Vigilancia, meses de Noviembre 2016 a Enero 2017"/>
    <s v="Vigilancia"/>
    <m/>
    <s v="00157"/>
    <s v="24 de Marzo de 2017"/>
    <n v="24"/>
    <d v="2017-03-01T00:00:00"/>
    <s v="0,07"/>
    <s v="Cero Bolívares con 07/100"/>
  </r>
  <r>
    <n v="158"/>
    <m/>
    <s v="ü"/>
    <d v="2017-03-26T00:00:00"/>
    <n v="0.17"/>
    <x v="27"/>
    <x v="25"/>
    <s v="Calle Güigüe Nro. 89-106"/>
    <s v="Cancelación Vigilancia, mes de Marzo 2017"/>
    <s v="Vigilancia"/>
    <m/>
    <s v="00158"/>
    <s v="26 de Marzo de 2017"/>
    <n v="26"/>
    <d v="2017-03-01T00:00:00"/>
    <s v="0,17"/>
    <s v="Cero Bolívares con 17/100"/>
  </r>
  <r>
    <n v="159"/>
    <m/>
    <s v="ü"/>
    <d v="2017-03-31T00:00:00"/>
    <n v="0.17"/>
    <x v="38"/>
    <x v="35"/>
    <s v="Calle Guacara Nro. 89-78"/>
    <s v="Cancelación Vigilancia, mes de Marzo 2017"/>
    <s v="Vigilancia"/>
    <m/>
    <s v="00159"/>
    <s v="31 de Marzo de 2017"/>
    <n v="31"/>
    <d v="2017-03-01T00:00:00"/>
    <s v="0,17"/>
    <s v="Cero Bolívares con 17/100"/>
  </r>
  <r>
    <n v="160"/>
    <m/>
    <s v="ü"/>
    <d v="2017-03-31T00:00:00"/>
    <n v="0.17"/>
    <x v="10"/>
    <x v="10"/>
    <s v="Av. &quot;M&quot; Nro. 146-15"/>
    <s v="Cancelación Vigilancia, mes de Marzo 2017"/>
    <s v="Vigilancia"/>
    <m/>
    <s v="00160"/>
    <s v="31 de Marzo de 2017"/>
    <n v="31"/>
    <d v="2017-03-01T00:00:00"/>
    <s v="0,17"/>
    <s v="Cero Bolívares con 17/100"/>
  </r>
  <r>
    <n v="161"/>
    <m/>
    <s v="ü"/>
    <d v="2017-03-27T00:00:00"/>
    <n v="0.34"/>
    <x v="42"/>
    <x v="39"/>
    <s v="Calle Güigüe Nro. 89-79"/>
    <s v="Cancelación Vigilancia, meses de Mar-Abr 2017"/>
    <s v="Vigilancia"/>
    <m/>
    <s v="00161"/>
    <s v="27 de Marzo de 2017"/>
    <n v="27"/>
    <d v="2017-03-01T00:00:00"/>
    <s v="0,34"/>
    <s v="Cero Bolívares con 34/100"/>
  </r>
  <r>
    <n v="162"/>
    <m/>
    <s v="ü"/>
    <d v="2017-04-03T00:00:00"/>
    <n v="0.1"/>
    <x v="68"/>
    <x v="60"/>
    <s v="Calle Güigüe Nro. 89-29"/>
    <s v="Colaboración Vigilancia, mes de Abril 2017"/>
    <s v="Vigilancia"/>
    <m/>
    <s v="00162"/>
    <s v="03 de Abril de 2017"/>
    <n v="3"/>
    <d v="2017-04-01T00:00:00"/>
    <s v="0,10"/>
    <s v="Cero Bolívares con 10/100"/>
  </r>
  <r>
    <n v="163"/>
    <m/>
    <s v="ü"/>
    <d v="2017-04-05T00:00:00"/>
    <n v="0.17"/>
    <x v="6"/>
    <x v="6"/>
    <s v="Calle Guacara Nro. 89-60"/>
    <s v="Cancelación Vigilancia, mes de Abril 2017"/>
    <s v="Vigilancia"/>
    <m/>
    <s v="00163"/>
    <s v="05 de Abril de 2017"/>
    <n v="5"/>
    <d v="2017-04-01T00:00:00"/>
    <s v="0,17"/>
    <s v="Cero Bolívares con 17/100"/>
  </r>
  <r>
    <n v="164"/>
    <m/>
    <s v="ü"/>
    <d v="2017-04-06T00:00:00"/>
    <n v="0.17"/>
    <x v="1"/>
    <x v="1"/>
    <s v="Calle Güigüe Nro. 88-44"/>
    <s v="Cancelación Vigilancia, mes de Abril 2017"/>
    <s v="Vigilancia"/>
    <m/>
    <s v="00164"/>
    <s v="06 de Abril de 2017"/>
    <n v="6"/>
    <d v="2017-04-01T00:00:00"/>
    <s v="0,17"/>
    <s v="Cero Bolívares con 17/100"/>
  </r>
  <r>
    <n v="165"/>
    <m/>
    <s v="ü"/>
    <d v="2017-04-06T00:00:00"/>
    <n v="0.17"/>
    <x v="0"/>
    <x v="0"/>
    <s v="Calle Guacara Nro. 88-45"/>
    <s v="Cancelación Vigilancia, mes de Abril 2017"/>
    <s v="Vigilancia"/>
    <m/>
    <s v="00165"/>
    <s v="06 de Abril de 2017"/>
    <n v="6"/>
    <d v="2017-04-01T00:00:00"/>
    <s v="0,17"/>
    <s v="Cero Bolívares con 17/100"/>
  </r>
  <r>
    <n v="166"/>
    <m/>
    <s v="ü"/>
    <d v="2017-04-06T00:00:00"/>
    <n v="0.14000000000000001"/>
    <x v="59"/>
    <x v="9"/>
    <s v="Calle Guacara Nro. 90-35"/>
    <s v="Cancelación Saldo Vigilancia, mes de Mar 2017"/>
    <s v="Vigilancia"/>
    <m/>
    <s v="00166"/>
    <s v="06 de Abril de 2017"/>
    <n v="6"/>
    <d v="2017-04-01T00:00:00"/>
    <s v="0,14"/>
    <s v="Cero Bolívares con 14/100"/>
  </r>
  <r>
    <n v="167"/>
    <m/>
    <s v="ü"/>
    <d v="2017-03-15T00:00:00"/>
    <n v="0.17"/>
    <x v="40"/>
    <x v="37"/>
    <s v="Calle Güigüe Nro. 88-101"/>
    <s v="Cancelación Vigilancia, mes de Marzo 2017"/>
    <s v="Vigilancia"/>
    <m/>
    <s v="00167"/>
    <s v="15 de Marzo de 2017"/>
    <n v="15"/>
    <d v="2017-03-01T00:00:00"/>
    <s v="0,17"/>
    <s v="Cero Bolívares con 17/100"/>
  </r>
  <r>
    <n v="168"/>
    <m/>
    <s v="ü"/>
    <d v="2017-04-05T00:00:00"/>
    <n v="0.17"/>
    <x v="43"/>
    <x v="40"/>
    <s v="Calle Güigüe Nro. 88-50"/>
    <s v="Cancelación Vigilancia, mes de Marzo 2017"/>
    <s v="Vigilancia"/>
    <m/>
    <s v="00168"/>
    <s v="05 de Abril de 2017"/>
    <n v="5"/>
    <d v="2017-04-01T00:00:00"/>
    <s v="0,17"/>
    <s v="Cero Bolívares con 17/100"/>
  </r>
  <r>
    <n v="169"/>
    <m/>
    <s v="ü"/>
    <d v="2017-04-06T00:00:00"/>
    <n v="0.17"/>
    <x v="14"/>
    <x v="13"/>
    <s v="Calle Güigüe Nro. 89-83"/>
    <s v="Cancelación Vigilancia, mes de Abril 2017"/>
    <s v="Vigilancia"/>
    <m/>
    <s v="00169"/>
    <s v="06 de Abril de 2017"/>
    <n v="6"/>
    <d v="2017-04-01T00:00:00"/>
    <s v="0,17"/>
    <s v="Cero Bolívares con 17/100"/>
  </r>
  <r>
    <n v="170"/>
    <m/>
    <s v="ü"/>
    <d v="2017-04-09T00:00:00"/>
    <n v="0.17"/>
    <x v="4"/>
    <x v="4"/>
    <s v="Calle Güigüe Nro. 89-55"/>
    <s v="Cancelación Vigilancia, mes de Abril 2017"/>
    <s v="Vigilancia"/>
    <m/>
    <s v="00170"/>
    <s v="09 de Abril de 2017"/>
    <n v="9"/>
    <d v="2017-04-01T00:00:00"/>
    <s v="0,17"/>
    <s v="Cero Bolívares con 17/100"/>
  </r>
  <r>
    <n v="171"/>
    <m/>
    <s v="ü"/>
    <d v="2017-03-13T00:00:00"/>
    <n v="0.17"/>
    <x v="26"/>
    <x v="24"/>
    <s v="Calle Güigüe Nro. 89-96"/>
    <s v="Cancelación Vigilancia, mes de Marzo 2017"/>
    <s v="Vigilancia"/>
    <m/>
    <s v="00171"/>
    <s v="13 de Marzo de 2017"/>
    <n v="13"/>
    <d v="2017-03-01T00:00:00"/>
    <s v="0,17"/>
    <s v="Cero Bolívares con 17/100"/>
  </r>
  <r>
    <n v="172"/>
    <m/>
    <s v="ü"/>
    <d v="2017-04-08T00:00:00"/>
    <n v="0.17"/>
    <x v="26"/>
    <x v="24"/>
    <s v="Calle Güigüe Nro. 89-96"/>
    <s v="Cancelación Vigilancia, mes de Abril 2017"/>
    <s v="Vigilancia"/>
    <m/>
    <s v="00172"/>
    <s v="08 de Abril de 2017"/>
    <n v="8"/>
    <d v="2017-04-01T00:00:00"/>
    <s v="0,17"/>
    <s v="Cero Bolívares con 17/100"/>
  </r>
  <r>
    <n v="173"/>
    <m/>
    <s v="ü"/>
    <d v="2017-04-11T00:00:00"/>
    <n v="0.1"/>
    <x v="35"/>
    <x v="32"/>
    <s v="Calle Güigüe Nro. 89-80"/>
    <s v="Colaboración Vigilancia, mes de Abril 2017"/>
    <s v="Vigilancia"/>
    <m/>
    <s v="00173"/>
    <s v="11 de Abril de 2017"/>
    <n v="11"/>
    <d v="2017-04-01T00:00:00"/>
    <s v="0,10"/>
    <s v="Cero Bolívares con 10/100"/>
  </r>
  <r>
    <n v="174"/>
    <m/>
    <s v="ü"/>
    <d v="2017-04-12T00:00:00"/>
    <n v="0.34"/>
    <x v="37"/>
    <x v="34"/>
    <s v="Av. &quot;I&quot; Nro. 146-40"/>
    <s v="Cancelación Vigilancia, meses de Mar-Abr 2017"/>
    <s v="Vigilancia"/>
    <m/>
    <s v="00174"/>
    <s v="12 de Abril de 2017"/>
    <n v="12"/>
    <d v="2017-04-01T00:00:00"/>
    <s v="0,34"/>
    <s v="Cero Bolívares con 34/100"/>
  </r>
  <r>
    <n v="175"/>
    <m/>
    <s v="ü"/>
    <d v="2017-04-06T00:00:00"/>
    <n v="0.05"/>
    <x v="13"/>
    <x v="9"/>
    <s v="Calle Güigüe Nro. 89-90"/>
    <s v="Colaboración Vigilancia, mes de Abril 2017"/>
    <s v="Vigilancia"/>
    <m/>
    <s v="00175"/>
    <s v="06 de Abril de 2017"/>
    <n v="6"/>
    <d v="2017-04-01T00:00:00"/>
    <s v="0,05"/>
    <s v="Cero Bolívares con 05/100"/>
  </r>
  <r>
    <n v="176"/>
    <m/>
    <s v="ü"/>
    <d v="2017-04-06T00:00:00"/>
    <n v="0.12"/>
    <x v="25"/>
    <x v="23"/>
    <s v="Calle Güigüe Nro. 88-58"/>
    <s v="Colaboración Vigilancia, mes de Febrero 2017"/>
    <s v="Vigilancia"/>
    <m/>
    <s v="00176"/>
    <s v="06 de Abril de 2017"/>
    <n v="6"/>
    <d v="2017-04-01T00:00:00"/>
    <s v="0,12"/>
    <s v="Cero Bolívares con 12/100"/>
  </r>
  <r>
    <n v="177"/>
    <m/>
    <s v="ü"/>
    <d v="2017-04-16T00:00:00"/>
    <n v="0.17"/>
    <x v="12"/>
    <x v="12"/>
    <s v="Calle Guacara Nro. 89-20"/>
    <s v="Cancelación Vigilancia, mes de Abril 2017"/>
    <s v="Vigilancia"/>
    <m/>
    <s v="00177"/>
    <s v="16 de Abril de 2017"/>
    <n v="16"/>
    <d v="2017-04-01T00:00:00"/>
    <s v="0,17"/>
    <s v="Cero Bolívares con 17/100"/>
  </r>
  <r>
    <n v="178"/>
    <m/>
    <s v="ü"/>
    <d v="2017-04-17T00:00:00"/>
    <n v="0.44"/>
    <x v="11"/>
    <x v="11"/>
    <s v="Calle Guacara Nro. 89-86"/>
    <s v="Cancelación Vigilancia, meses de Abril y Mayo 2017 *DEFINITIVO*"/>
    <s v="Vigilancia"/>
    <m/>
    <s v="00178"/>
    <s v="17 de Abril de 2017"/>
    <n v="17"/>
    <d v="2017-04-01T00:00:00"/>
    <s v="0,44"/>
    <s v="Cero Bolívares con 44/100"/>
  </r>
  <r>
    <n v="179"/>
    <m/>
    <s v="ü"/>
    <d v="2017-04-17T00:00:00"/>
    <n v="0.1"/>
    <x v="22"/>
    <x v="20"/>
    <s v="Calle Guacara Nro. 88-25"/>
    <s v="Colaboración Vigilancia, mes de Abril 2017"/>
    <s v="Vigilancia"/>
    <m/>
    <s v="00179"/>
    <s v="17 de Abril de 2017"/>
    <n v="17"/>
    <d v="2017-04-01T00:00:00"/>
    <s v="0,10"/>
    <s v="Cero Bolívares con 10/100"/>
  </r>
  <r>
    <n v="180"/>
    <m/>
    <s v="ü"/>
    <d v="2017-04-17T00:00:00"/>
    <n v="0.17"/>
    <x v="29"/>
    <x v="27"/>
    <s v="Calle Guacara Nro. 88-75"/>
    <s v="Cancelación Vigilancia, mes de Abril 2017"/>
    <s v="Vigilancia"/>
    <m/>
    <s v="00180"/>
    <s v="17 de Abril de 2017"/>
    <n v="17"/>
    <d v="2017-04-01T00:00:00"/>
    <s v="0,17"/>
    <s v="Cero Bolívares con 17/100"/>
  </r>
  <r>
    <n v="181"/>
    <m/>
    <s v="ü"/>
    <d v="2017-04-16T00:00:00"/>
    <n v="0.17"/>
    <x v="19"/>
    <x v="17"/>
    <s v="Calle Guacara Nro. 89-130"/>
    <s v="Cancelación Vigilancia, mes de Abril 2017"/>
    <s v="Vigilancia"/>
    <m/>
    <s v="00181"/>
    <s v="16 de Abril de 2017"/>
    <n v="16"/>
    <d v="2017-04-01T00:00:00"/>
    <s v="0,17"/>
    <s v="Cero Bolívares con 17/100"/>
  </r>
  <r>
    <n v="182"/>
    <m/>
    <s v="ü"/>
    <d v="2017-04-17T00:00:00"/>
    <n v="0.32"/>
    <x v="48"/>
    <x v="45"/>
    <s v="Calle Güigüe Nro. 88-90"/>
    <s v="Colaboración Vigilancia, meses de Mar-Abr 2017"/>
    <s v="Vigilancia"/>
    <m/>
    <s v="00182"/>
    <s v="17 de Abril de 2017"/>
    <n v="17"/>
    <d v="2017-04-01T00:00:00"/>
    <s v="0,32"/>
    <s v="Cero Bolívares con 32/100"/>
  </r>
  <r>
    <n v="183"/>
    <m/>
    <s v="ü"/>
    <d v="2017-04-18T00:00:00"/>
    <n v="0.17"/>
    <x v="32"/>
    <x v="30"/>
    <s v="Calle Güigüe Nro. 89-120"/>
    <s v="Cancelación Vigilancia, mes de Abril 2017"/>
    <s v="Vigilancia"/>
    <m/>
    <s v="00183"/>
    <s v="18 de Abril de 2017"/>
    <n v="18"/>
    <d v="2017-04-01T00:00:00"/>
    <s v="0,17"/>
    <s v="Cero Bolívares con 17/100"/>
  </r>
  <r>
    <n v="184"/>
    <m/>
    <s v="ü"/>
    <d v="2017-04-17T00:00:00"/>
    <n v="0.34"/>
    <x v="54"/>
    <x v="50"/>
    <s v="Calle Güigüe Nro. 89-21"/>
    <s v="Cancelación Vigilancia, meses de Mar-Abr 2017"/>
    <s v="Vigilancia"/>
    <m/>
    <s v="00184"/>
    <s v="17 de Abril de 2017"/>
    <n v="17"/>
    <d v="2017-04-01T00:00:00"/>
    <s v="0,34"/>
    <s v="Cero Bolívares con 34/100"/>
  </r>
  <r>
    <n v="185"/>
    <m/>
    <s v="ü"/>
    <d v="2017-04-17T00:00:00"/>
    <n v="0.17"/>
    <x v="61"/>
    <x v="14"/>
    <s v="Calle Guacara Nro. 87-07"/>
    <s v="Cancelación Vigilancia, mes de Abril 2017"/>
    <s v="Vigilancia"/>
    <m/>
    <s v="00185"/>
    <s v="17 de Abril de 2017"/>
    <n v="17"/>
    <d v="2017-04-01T00:00:00"/>
    <s v="0,17"/>
    <s v="Cero Bolívares con 17/100"/>
  </r>
  <r>
    <n v="186"/>
    <m/>
    <s v="ü"/>
    <d v="2017-04-20T00:00:00"/>
    <n v="0.1"/>
    <x v="15"/>
    <x v="14"/>
    <s v="Calle Guacara Nro. 89-94"/>
    <s v="Colaboración Vigilancia, mes de Abril 2017"/>
    <s v="Vigilancia"/>
    <m/>
    <s v="00186"/>
    <s v="20 de Abril de 2017"/>
    <n v="20"/>
    <d v="2017-04-01T00:00:00"/>
    <s v="0,10"/>
    <s v="Cero Bolívares con 10/100"/>
  </r>
  <r>
    <n v="187"/>
    <m/>
    <s v="ü"/>
    <d v="2017-04-06T00:00:00"/>
    <n v="7.0000000000000007E-2"/>
    <x v="7"/>
    <x v="7"/>
    <s v="Calle Guacara Nro. 87-86"/>
    <s v="Colaboración Vigilancia, mes de Abril 2017"/>
    <s v="Vigilancia"/>
    <m/>
    <s v="00187"/>
    <s v="06 de Abril de 2017"/>
    <n v="6"/>
    <d v="2017-04-01T00:00:00"/>
    <s v="0,07"/>
    <s v="Cero Bolívares con 07/100"/>
  </r>
  <r>
    <n v="188"/>
    <m/>
    <s v="ü"/>
    <d v="2017-04-20T00:00:00"/>
    <n v="0.03"/>
    <x v="57"/>
    <x v="9"/>
    <s v="Calle Güigüe Nro. 88-40"/>
    <s v="Colaboración Vigilancia, mes de Abril 2017"/>
    <s v="Vigilancia"/>
    <m/>
    <s v="00188"/>
    <s v="20 de Abril de 2017"/>
    <n v="20"/>
    <d v="2017-04-01T00:00:00"/>
    <s v="0,03"/>
    <s v="Cero Bolívares con 03/100"/>
  </r>
  <r>
    <n v="189"/>
    <m/>
    <s v="ü"/>
    <d v="2017-01-15T00:00:00"/>
    <n v="0.12"/>
    <x v="69"/>
    <x v="61"/>
    <s v="Calle Güigüe Nro. 89-40"/>
    <s v="Colaboración Vigilancia, mes de Enero 2017"/>
    <s v="Vigilancia"/>
    <m/>
    <s v="00189"/>
    <s v="15 de Enero de 2017"/>
    <n v="15"/>
    <d v="2017-01-01T00:00:00"/>
    <s v="0,12"/>
    <s v="Cero Bolívares con 12/100"/>
  </r>
  <r>
    <n v="190"/>
    <m/>
    <s v="ü"/>
    <d v="2017-02-16T00:00:00"/>
    <n v="0.12"/>
    <x v="69"/>
    <x v="61"/>
    <s v="Calle Güigüe Nro. 89-40"/>
    <s v="Colaboración Vigilancia, mes de Febrero 2017"/>
    <s v="Vigilancia"/>
    <m/>
    <s v="00190"/>
    <s v="16 de Febrero de 2017"/>
    <n v="16"/>
    <d v="2017-02-01T00:00:00"/>
    <s v="0,12"/>
    <s v="Cero Bolívares con 12/100"/>
  </r>
  <r>
    <n v="191"/>
    <m/>
    <s v="ü"/>
    <d v="2017-03-15T00:00:00"/>
    <n v="0.12"/>
    <x v="69"/>
    <x v="61"/>
    <s v="Calle Güigüe Nro. 89-40"/>
    <s v="Colaboración Vigilancia, mes de Marzo 2017"/>
    <s v="Vigilancia"/>
    <m/>
    <s v="00191"/>
    <s v="15 de Marzo de 2017"/>
    <n v="15"/>
    <d v="2017-03-01T00:00:00"/>
    <s v="0,12"/>
    <s v="Cero Bolívares con 12/100"/>
  </r>
  <r>
    <n v="192"/>
    <m/>
    <s v="ü"/>
    <d v="2017-04-21T00:00:00"/>
    <n v="0.34"/>
    <x v="62"/>
    <x v="55"/>
    <s v="Av. &quot;M&quot; Nro. 145-10"/>
    <s v="Cancelación Vigilancia, meses de Mar-Abr 2017"/>
    <s v="Vigilancia"/>
    <m/>
    <s v="00192"/>
    <s v="21 de Abril de 2017"/>
    <n v="21"/>
    <d v="2017-04-01T00:00:00"/>
    <s v="0,34"/>
    <s v="Cero Bolívares con 34/100"/>
  </r>
  <r>
    <n v="193"/>
    <m/>
    <s v="ü"/>
    <d v="2017-04-21T00:00:00"/>
    <n v="0.17"/>
    <x v="23"/>
    <x v="21"/>
    <s v="Calle Güigüe Nro. 88-116"/>
    <s v="Cancelación Vigilancia, mes de Abril 2017"/>
    <s v="Vigilancia"/>
    <m/>
    <s v="00193"/>
    <s v="21 de Abril de 2017"/>
    <n v="21"/>
    <d v="2017-04-01T00:00:00"/>
    <s v="0,17"/>
    <s v="Cero Bolívares con 17/100"/>
  </r>
  <r>
    <n v="194"/>
    <m/>
    <s v="ü"/>
    <d v="2017-04-20T00:00:00"/>
    <n v="0.17"/>
    <x v="36"/>
    <x v="33"/>
    <s v="Calle Güigüe Nro. 89-10"/>
    <s v="Cancelación Vigilancia, mes de Marzo 2017"/>
    <s v="Vigilancia"/>
    <m/>
    <s v="00194"/>
    <s v="20 de Abril de 2017"/>
    <n v="20"/>
    <d v="2017-04-01T00:00:00"/>
    <s v="0,17"/>
    <s v="Cero Bolívares con 17/100"/>
  </r>
  <r>
    <n v="195"/>
    <m/>
    <s v="ü"/>
    <d v="2017-04-22T00:00:00"/>
    <n v="0.17"/>
    <x v="5"/>
    <x v="5"/>
    <s v="Calle Güigüe Nro. 88-120"/>
    <s v="Cancelación Vigilancia, mes de Abril 2017"/>
    <s v="Vigilancia"/>
    <m/>
    <s v="00195"/>
    <s v="22 de Abril de 2017"/>
    <n v="22"/>
    <d v="2017-04-01T00:00:00"/>
    <s v="0,17"/>
    <s v="Cero Bolívares con 17/100"/>
  </r>
  <r>
    <n v="196"/>
    <m/>
    <s v="ü"/>
    <d v="2017-04-22T00:00:00"/>
    <n v="0.34"/>
    <x v="70"/>
    <x v="9"/>
    <s v="Calle Guacara Nro. 89-70"/>
    <s v="Cancelación Vigilancia, meses de Ene-Feb 2017"/>
    <s v="Vigilancia"/>
    <m/>
    <s v="00196"/>
    <s v="22 de Abril de 2017"/>
    <n v="22"/>
    <d v="2017-04-01T00:00:00"/>
    <s v="0,34"/>
    <s v="Cero Bolívares con 34/100"/>
  </r>
  <r>
    <n v="197"/>
    <m/>
    <s v="ü"/>
    <d v="2017-04-23T00:00:00"/>
    <n v="0.34"/>
    <x v="39"/>
    <x v="36"/>
    <s v="Calle Güigüe Nro. 88-111"/>
    <s v="Cancelación Vigilancia, meses de Feb-Mar 2017"/>
    <s v="Vigilancia"/>
    <m/>
    <s v="00197"/>
    <s v="23 de Abril de 2017"/>
    <n v="23"/>
    <d v="2017-04-01T00:00:00"/>
    <s v="0,34"/>
    <s v="Cero Bolívares con 34/100"/>
  </r>
  <r>
    <n v="198"/>
    <m/>
    <s v="ü"/>
    <d v="2017-04-23T00:00:00"/>
    <n v="0.3"/>
    <x v="71"/>
    <x v="62"/>
    <s v="Calle Güigüe Nro. 89-71"/>
    <s v="Colaboración Vigilancia, meses de Ene-Mar 2017"/>
    <s v="Vigilancia"/>
    <m/>
    <s v="00198"/>
    <s v="23 de Abril de 2017"/>
    <n v="23"/>
    <d v="2017-04-01T00:00:00"/>
    <s v="0,30"/>
    <s v="Cero Bolívares con 30/100"/>
  </r>
  <r>
    <n v="199"/>
    <m/>
    <s v="ü"/>
    <d v="2017-04-24T00:00:00"/>
    <n v="0.17"/>
    <x v="40"/>
    <x v="37"/>
    <s v="Calle Güigüe Nro. 88-101"/>
    <s v="Cancelación Vigilancia, mes de Abril 2017"/>
    <s v="Vigilancia"/>
    <m/>
    <s v="00199"/>
    <s v="24 de Abril de 2017"/>
    <n v="24"/>
    <d v="2017-04-01T00:00:00"/>
    <s v="0,17"/>
    <s v="Cero Bolívares con 17/100"/>
  </r>
  <r>
    <n v="200"/>
    <m/>
    <s v="ü"/>
    <d v="2017-04-24T00:00:00"/>
    <n v="0.54"/>
    <x v="44"/>
    <x v="41"/>
    <s v="Calle Guacara Nro. 89-40"/>
    <s v="Cancelación Saldo Vigilancia, mes de Enero 2017 y Cancelación Vigilancia, meses de Feb-Abr 2017"/>
    <s v="Vigilancia"/>
    <m/>
    <s v="00200"/>
    <s v="24 de Abril de 2017"/>
    <n v="24"/>
    <d v="2017-04-01T00:00:00"/>
    <s v="0,54"/>
    <s v="Cero Bolívares con 54/100"/>
  </r>
  <r>
    <n v="201"/>
    <m/>
    <s v="ü"/>
    <d v="2017-03-10T00:00:00"/>
    <n v="0.17"/>
    <x v="30"/>
    <x v="28"/>
    <s v="Calle Güigüe Nro. 89-04"/>
    <s v="Cancelación Vigilancia, mes de Marzo 2017"/>
    <s v="Vigilancia"/>
    <m/>
    <s v="00201"/>
    <s v="10 de Marzo de 2017"/>
    <n v="10"/>
    <d v="2017-03-01T00:00:00"/>
    <s v="0,17"/>
    <s v="Cero Bolívares con 17/100"/>
  </r>
  <r>
    <n v="202"/>
    <m/>
    <s v="ü"/>
    <d v="2017-04-21T00:00:00"/>
    <n v="0.17"/>
    <x v="30"/>
    <x v="28"/>
    <s v="Calle Güigüe Nro. 89-04"/>
    <s v="Cancelación Vigilancia, mes de Abril 2017"/>
    <s v="Vigilancia"/>
    <m/>
    <s v="00202"/>
    <s v="21 de Abril de 2017"/>
    <n v="21"/>
    <d v="2017-04-01T00:00:00"/>
    <s v="0,17"/>
    <s v="Cero Bolívares con 17/100"/>
  </r>
  <r>
    <n v="203"/>
    <m/>
    <s v="ü"/>
    <d v="2017-04-26T00:00:00"/>
    <n v="0.34"/>
    <x v="49"/>
    <x v="46"/>
    <s v="Av. &quot;O&quot; Nro. 146-17"/>
    <s v="Cancelación Vigilancia, meses de Mar-Abr 2017"/>
    <s v="Vigilancia"/>
    <m/>
    <s v="00203"/>
    <s v="26 de Abril de 2017"/>
    <n v="26"/>
    <d v="2017-04-01T00:00:00"/>
    <s v="0,34"/>
    <s v="Cero Bolívares con 34/100"/>
  </r>
  <r>
    <n v="204"/>
    <m/>
    <s v="ü"/>
    <d v="2017-04-27T00:00:00"/>
    <n v="0.17"/>
    <x v="18"/>
    <x v="16"/>
    <s v="Calle Guacara Nro. 87-100"/>
    <s v="Cancelación Vigilancia, mes de Abril 2017"/>
    <s v="Vigilancia"/>
    <m/>
    <s v="00204"/>
    <s v="27 de Abril de 2017"/>
    <n v="27"/>
    <d v="2017-04-01T00:00:00"/>
    <s v="0,17"/>
    <s v="Cero Bolívares con 17/100"/>
  </r>
  <r>
    <n v="205"/>
    <m/>
    <s v="ü"/>
    <d v="2017-04-27T00:00:00"/>
    <n v="0.03"/>
    <x v="17"/>
    <x v="16"/>
    <s v="Av. &quot;M&quot; Nro. 146-20"/>
    <s v="Colaboración Vigilancia, mes de Abril 2017"/>
    <s v="Vigilancia"/>
    <m/>
    <s v="00205"/>
    <s v="27 de Abril de 2017"/>
    <n v="27"/>
    <d v="2017-04-01T00:00:00"/>
    <s v="0,03"/>
    <s v="Cero Bolívares con 03/100"/>
  </r>
  <r>
    <n v="206"/>
    <m/>
    <s v="ü"/>
    <d v="2017-04-27T00:00:00"/>
    <n v="0.17"/>
    <x v="69"/>
    <x v="61"/>
    <s v="Calle Güigüe Nro. 89-40"/>
    <s v="Colaboración Vigilancia, mes de Abril 2017"/>
    <s v="Vigilancia"/>
    <m/>
    <s v="00206"/>
    <s v="27 de Abril de 2017"/>
    <n v="27"/>
    <d v="2017-04-01T00:00:00"/>
    <s v="0,17"/>
    <s v="Cero Bolívares con 17/100"/>
  </r>
  <r>
    <n v="207"/>
    <m/>
    <s v="ü"/>
    <d v="2017-03-27T00:00:00"/>
    <n v="0.105"/>
    <x v="50"/>
    <x v="47"/>
    <s v="Av. &quot;I&quot; Nro. 146-30"/>
    <s v="Colaboración Vigilancia, mes de Febrero 2017"/>
    <s v="Vigilancia"/>
    <m/>
    <s v="00207"/>
    <s v="27 de Marzo de 2017"/>
    <n v="27"/>
    <d v="2017-03-01T00:00:00"/>
    <s v="0,11"/>
    <s v="Cero Bolívares con 10/100"/>
  </r>
  <r>
    <n v="208"/>
    <m/>
    <s v="ü"/>
    <d v="2017-05-02T00:00:00"/>
    <n v="0.1"/>
    <x v="58"/>
    <x v="53"/>
    <s v="Calle Güigüe Nro. 88-51"/>
    <s v="Colaboración Vigilancia, mes de Abril 2017"/>
    <s v="Vigilancia"/>
    <m/>
    <s v="00208"/>
    <s v="02 de Mayo de 2017"/>
    <n v="2"/>
    <d v="2017-05-01T00:00:00"/>
    <s v="0,10"/>
    <s v="Cero Bolívares con 10/100"/>
  </r>
  <r>
    <n v="209"/>
    <m/>
    <s v="ü"/>
    <d v="2017-05-05T00:00:00"/>
    <n v="0.17"/>
    <x v="56"/>
    <x v="52"/>
    <s v="Calle Güigüe Nro. 88-70"/>
    <s v="Cancelación Vigilancia, mes de Abril 2017"/>
    <s v="Vigilancia"/>
    <m/>
    <s v="00209"/>
    <s v="05 de Mayo de 2017"/>
    <n v="5"/>
    <d v="2017-05-01T00:00:00"/>
    <s v="0,17"/>
    <s v="Cero Bolívares con 17/100"/>
  </r>
  <r>
    <n v="210"/>
    <m/>
    <s v="ü"/>
    <d v="2017-05-05T00:00:00"/>
    <n v="0.17"/>
    <x v="32"/>
    <x v="30"/>
    <s v="Calle Güigüe Nro. 89-120"/>
    <s v="Anticipo Vigilancia, mes de Mayo 2017"/>
    <s v="Vigilancia"/>
    <m/>
    <s v="00210"/>
    <s v="05 de Mayo de 2017"/>
    <n v="5"/>
    <d v="2017-05-01T00:00:00"/>
    <s v="0,17"/>
    <s v="Cero Bolívares con 17/100"/>
  </r>
  <r>
    <n v="211"/>
    <m/>
    <s v="ü"/>
    <d v="2017-05-05T00:00:00"/>
    <n v="0.17"/>
    <x v="10"/>
    <x v="10"/>
    <s v="Av. &quot;M&quot; Nro. 146-15"/>
    <s v="Cancelación Vigilancia, mes de Abril 2017"/>
    <s v="Vigilancia"/>
    <m/>
    <s v="00211"/>
    <s v="05 de Mayo de 2017"/>
    <n v="5"/>
    <d v="2017-05-01T00:00:00"/>
    <s v="0,17"/>
    <s v="Cero Bolívares con 17/100"/>
  </r>
  <r>
    <n v="212"/>
    <m/>
    <s v="ü"/>
    <d v="2017-05-05T00:00:00"/>
    <n v="0.17"/>
    <x v="27"/>
    <x v="25"/>
    <s v="Calle Güigüe Nro. 89-106"/>
    <s v="Cancelación Vigilancia, mes de Abril 2017"/>
    <s v="Vigilancia"/>
    <m/>
    <s v="00212"/>
    <s v="05 de Mayo de 2017"/>
    <n v="5"/>
    <d v="2017-05-01T00:00:00"/>
    <s v="0,17"/>
    <s v="Cero Bolívares con 17/100"/>
  </r>
  <r>
    <n v="213"/>
    <m/>
    <s v="ü"/>
    <d v="2017-04-28T00:00:00"/>
    <n v="0.05"/>
    <x v="72"/>
    <x v="63"/>
    <s v="Calle Güigüe Nro. 89-35"/>
    <s v="Colaboración Vigilancia, mes de Abril 2017"/>
    <s v="Vigilancia"/>
    <m/>
    <s v="00213"/>
    <s v="28 de Abril de 2017"/>
    <n v="28"/>
    <d v="2017-04-01T00:00:00"/>
    <s v="0,05"/>
    <s v="Cero Bolívares con 05/100"/>
  </r>
  <r>
    <n v="214"/>
    <m/>
    <s v="ü"/>
    <d v="2017-05-06T00:00:00"/>
    <n v="0.26"/>
    <x v="6"/>
    <x v="6"/>
    <s v="Calle Guacara Nro. 89-60"/>
    <s v="Cancelación Vigilancia, mes de Mayo 2017"/>
    <s v="Vigilancia"/>
    <m/>
    <s v="00214"/>
    <s v="06 de Mayo de 2017"/>
    <n v="6"/>
    <d v="2017-05-01T00:00:00"/>
    <s v="0,26"/>
    <s v="Cero Bolívares con 26/100"/>
  </r>
  <r>
    <n v="215"/>
    <m/>
    <s v="ü"/>
    <d v="2017-04-05T00:00:00"/>
    <n v="0.17"/>
    <x v="16"/>
    <x v="15"/>
    <s v="Calle Guacara Nro. 90-81"/>
    <s v="Cancelación Vigilancia, mes de Abril 2017"/>
    <s v="Vigilancia"/>
    <m/>
    <s v="00215"/>
    <s v="05 de Abril de 2017"/>
    <n v="5"/>
    <d v="2017-04-01T00:00:00"/>
    <s v="0,17"/>
    <s v="Cero Bolívares con 17/100"/>
  </r>
  <r>
    <n v="216"/>
    <m/>
    <s v="ü"/>
    <d v="2017-05-03T00:00:00"/>
    <n v="0.17"/>
    <x v="16"/>
    <x v="15"/>
    <s v="Calle Guacara Nro. 90-81"/>
    <s v="Anticipo Vigilancia, mes de Mayo 2017"/>
    <s v="Vigilancia"/>
    <m/>
    <s v="00216"/>
    <s v="03 de Mayo de 2017"/>
    <n v="3"/>
    <d v="2017-05-01T00:00:00"/>
    <s v="0,17"/>
    <s v="Cero Bolívares con 17/100"/>
  </r>
  <r>
    <n v="217"/>
    <m/>
    <s v="ü"/>
    <d v="2017-05-07T00:00:00"/>
    <n v="0.09"/>
    <x v="16"/>
    <x v="15"/>
    <s v="Calle Guacara Nro. 90-81"/>
    <s v="Cancelación Saldo Vigilancia, mes de Mayo 2017"/>
    <s v="Vigilancia"/>
    <m/>
    <s v="00217"/>
    <s v="07 de Mayo de 2017"/>
    <n v="7"/>
    <d v="2017-05-01T00:00:00"/>
    <s v="0,09"/>
    <s v="Cero Bolívares con 09/100"/>
  </r>
  <r>
    <n v="218"/>
    <m/>
    <s v="ü"/>
    <d v="2017-05-07T00:00:00"/>
    <n v="0.26"/>
    <x v="5"/>
    <x v="5"/>
    <s v="Calle Güigüe Nro. 88-120"/>
    <s v="Cancelación Vigilancia, mes de Mayo 2017"/>
    <s v="Vigilancia"/>
    <m/>
    <s v="00218"/>
    <s v="07 de Mayo de 2017"/>
    <n v="7"/>
    <d v="2017-05-01T00:00:00"/>
    <s v="0,26"/>
    <s v="Cero Bolívares con 26/100"/>
  </r>
  <r>
    <n v="219"/>
    <m/>
    <s v="ü"/>
    <d v="2017-05-07T00:00:00"/>
    <n v="0.26"/>
    <x v="1"/>
    <x v="1"/>
    <s v="Calle Güigüe Nro. 88-44"/>
    <s v="Cancelación Vigilancia, mes de Mayo 2017"/>
    <s v="Vigilancia"/>
    <m/>
    <s v="00219"/>
    <s v="07 de Mayo de 2017"/>
    <n v="7"/>
    <d v="2017-05-01T00:00:00"/>
    <s v="0,26"/>
    <s v="Cero Bolívares con 26/100"/>
  </r>
  <r>
    <n v="220"/>
    <m/>
    <s v="ü"/>
    <d v="2017-05-07T00:00:00"/>
    <n v="0.17"/>
    <x v="34"/>
    <x v="9"/>
    <s v="Av. &quot;O&quot; Nro. 146-11"/>
    <s v="Cancelación Vigilancia, mes de Abril 2017"/>
    <s v="Vigilancia"/>
    <m/>
    <s v="00220"/>
    <s v="07 de Mayo de 2017"/>
    <n v="7"/>
    <d v="2017-05-01T00:00:00"/>
    <s v="0,17"/>
    <s v="Cero Bolívares con 17/100"/>
  </r>
  <r>
    <n v="221"/>
    <m/>
    <s v="ü"/>
    <d v="2017-02-15T00:00:00"/>
    <n v="0.2"/>
    <x v="9"/>
    <x v="9"/>
    <s v="Av. &quot;M&quot; Nro. 146-30"/>
    <s v="Cancelación Vigilancia, mes de Febrero 2017"/>
    <s v="Vigilancia"/>
    <m/>
    <s v="00221"/>
    <s v="15 de Febrero de 2017"/>
    <n v="15"/>
    <d v="2017-02-01T00:00:00"/>
    <s v="0,20"/>
    <s v="Cero Bolívares con 20/100"/>
  </r>
  <r>
    <n v="222"/>
    <m/>
    <s v="ü"/>
    <d v="2017-01-15T00:00:00"/>
    <n v="0.3"/>
    <x v="73"/>
    <x v="9"/>
    <s v="Calle Güigüe Nros. 88-71 y 88-81"/>
    <s v="Cancelación Vigilancia, mes de Enero 2017"/>
    <s v="Vigilancia"/>
    <m/>
    <s v="00222"/>
    <s v="15 de Enero de 2017"/>
    <n v="15"/>
    <d v="2017-01-01T00:00:00"/>
    <s v="0,30"/>
    <s v="Cero Bolívares con 30/100"/>
  </r>
  <r>
    <n v="223"/>
    <m/>
    <s v="ü"/>
    <d v="2017-05-08T00:00:00"/>
    <n v="0.26"/>
    <x v="12"/>
    <x v="12"/>
    <s v="Calle Guacara Nro. 89-20"/>
    <s v="Cancelación Vigilancia, mes de Mayo 2017"/>
    <s v="Vigilancia"/>
    <m/>
    <s v="00223"/>
    <s v="08 de Mayo de 2017"/>
    <n v="8"/>
    <d v="2017-05-01T00:00:00"/>
    <s v="0,26"/>
    <s v="Cero Bolívares con 26/100"/>
  </r>
  <r>
    <n v="224"/>
    <m/>
    <s v="ü"/>
    <d v="2017-05-08T00:00:00"/>
    <n v="0.26"/>
    <x v="0"/>
    <x v="0"/>
    <s v="Calle Guacara Nro. 88-45"/>
    <s v="Cancelación Vigilancia, mes de Mayo 2017"/>
    <s v="Vigilancia"/>
    <m/>
    <s v="00224"/>
    <s v="08 de Mayo de 2017"/>
    <n v="8"/>
    <d v="2017-05-01T00:00:00"/>
    <s v="0,26"/>
    <s v="Cero Bolívares con 26/100"/>
  </r>
  <r>
    <n v="225"/>
    <m/>
    <s v="ü"/>
    <d v="2017-03-15T00:00:00"/>
    <n v="0.17"/>
    <x v="8"/>
    <x v="8"/>
    <s v="Calle Guacara Nro. 90-51"/>
    <s v="Cancelación Vigilancia, mes de Marzo 2017"/>
    <s v="Vigilancia"/>
    <m/>
    <s v="00225"/>
    <s v="15 de Marzo de 2017"/>
    <n v="15"/>
    <d v="2017-03-01T00:00:00"/>
    <s v="0,17"/>
    <s v="Cero Bolívares con 17/100"/>
  </r>
  <r>
    <n v="226"/>
    <m/>
    <s v="ü"/>
    <d v="2017-05-08T00:00:00"/>
    <n v="0.34"/>
    <x v="46"/>
    <x v="43"/>
    <s v="Av. &quot;I&quot; Nro. 146-20"/>
    <s v="Cancelación Vigilancia, mes de Abr 2017 y anticipo May 2017"/>
    <s v="Vigilancia"/>
    <m/>
    <s v="00226"/>
    <s v="08 de Mayo de 2017"/>
    <n v="8"/>
    <d v="2017-05-01T00:00:00"/>
    <s v="0,34"/>
    <s v="Cero Bolívares con 34/100"/>
  </r>
  <r>
    <n v="227"/>
    <m/>
    <s v="ü"/>
    <d v="2017-03-15T00:00:00"/>
    <n v="0.17"/>
    <x v="65"/>
    <x v="58"/>
    <s v="Calle Güigüe Nro. 88-10"/>
    <s v="Cancelación Vigilancia, mes de Febrero 2017"/>
    <s v="Vigilancia"/>
    <m/>
    <s v="00227"/>
    <s v="15 de Marzo de 2017"/>
    <n v="15"/>
    <d v="2017-03-01T00:00:00"/>
    <s v="0,17"/>
    <s v="Cero Bolívares con 17/100"/>
  </r>
  <r>
    <n v="228"/>
    <m/>
    <s v="û"/>
    <m/>
    <m/>
    <x v="65"/>
    <x v="58"/>
    <s v="Calle Güigüe Nro. 88-10"/>
    <s v="ANULADO: Cancelación Vigilancia, mes de Marzo 2017"/>
    <s v="ANULADO"/>
    <m/>
    <s v="00228"/>
    <s v=""/>
    <n v="0"/>
    <d v="1899-12-31T00:00:00"/>
    <s v="0,00"/>
    <s v="Cero Bolívares con 00/100"/>
  </r>
  <r>
    <n v="229"/>
    <m/>
    <s v="ü"/>
    <d v="2017-05-05T00:00:00"/>
    <n v="0.17"/>
    <x v="65"/>
    <x v="58"/>
    <s v="Calle Güigüe Nro. 88-10"/>
    <s v="Cancelación Vigilancia, mes de Marzo 2017"/>
    <s v="Vigilancia"/>
    <m/>
    <s v="00229"/>
    <s v="05 de Mayo de 2017"/>
    <n v="5"/>
    <d v="2017-05-01T00:00:00"/>
    <s v="0,17"/>
    <s v="Cero Bolívares con 17/100"/>
  </r>
  <r>
    <n v="230"/>
    <m/>
    <s v="ü"/>
    <d v="2017-05-08T00:00:00"/>
    <n v="0.17"/>
    <x v="24"/>
    <x v="22"/>
    <s v="Calle Güigüe Nro. 88-54"/>
    <s v="Cancelación Vigilancia, mes de Abril 2017"/>
    <s v="Vigilancia"/>
    <m/>
    <s v="00230"/>
    <s v="08 de Mayo de 2017"/>
    <n v="8"/>
    <d v="2017-05-01T00:00:00"/>
    <s v="0,17"/>
    <s v="Cero Bolívares con 17/100"/>
  </r>
  <r>
    <n v="231"/>
    <m/>
    <s v="ü"/>
    <d v="2017-05-09T00:00:00"/>
    <n v="0.26"/>
    <x v="18"/>
    <x v="16"/>
    <s v="Calle Guacara Nro. 87-100"/>
    <s v="Cancelación Vigilancia, mes de Mayo 2017"/>
    <s v="Vigilancia"/>
    <m/>
    <s v="00231"/>
    <s v="09 de Mayo de 2017"/>
    <n v="9"/>
    <d v="2017-05-01T00:00:00"/>
    <s v="0,26"/>
    <s v="Cero Bolívares con 26/100"/>
  </r>
  <r>
    <n v="232"/>
    <m/>
    <s v="ü"/>
    <d v="2017-05-09T00:00:00"/>
    <n v="0.04"/>
    <x v="17"/>
    <x v="16"/>
    <s v="Av. &quot;M&quot; Nro. 146-20"/>
    <s v="Colaboración Vigilancia, mes de Mayo 2017"/>
    <s v="Vigilancia"/>
    <m/>
    <s v="00232"/>
    <s v="09 de Mayo de 2017"/>
    <n v="9"/>
    <d v="2017-05-01T00:00:00"/>
    <s v="0,04"/>
    <s v="Cero Bolívares con 04/100"/>
  </r>
  <r>
    <n v="233"/>
    <m/>
    <s v="ü"/>
    <d v="2017-04-30T00:00:00"/>
    <n v="0.17"/>
    <x v="64"/>
    <x v="57"/>
    <s v="Calle Guacara Nro. 88-35"/>
    <s v="Cancelación Vigilancia, mes de Abril 2017, contra facturas"/>
    <s v="Vigilancia"/>
    <m/>
    <s v="00233"/>
    <s v="30 de Abril de 2017"/>
    <n v="30"/>
    <d v="2017-04-01T00:00:00"/>
    <s v="0,17"/>
    <s v="Cero Bolívares con 17/100"/>
  </r>
  <r>
    <n v="234"/>
    <m/>
    <s v="ü"/>
    <d v="2017-05-09T00:00:00"/>
    <n v="0.43"/>
    <x v="42"/>
    <x v="39"/>
    <s v="Calle Güigüe Nro. 89-79"/>
    <s v="Cancelación Vigilancia, mes de Mayo 2017 y Bs. 17.000 adelanto Junio 2017"/>
    <s v="Vigilancia"/>
    <m/>
    <s v="00234"/>
    <s v="09 de Mayo de 2017"/>
    <n v="9"/>
    <d v="2017-05-01T00:00:00"/>
    <s v="0,43"/>
    <s v="Cero Bolívares con 43/100"/>
  </r>
  <r>
    <n v="235"/>
    <m/>
    <s v="ü"/>
    <d v="2017-05-09T00:00:00"/>
    <n v="0.26"/>
    <x v="40"/>
    <x v="37"/>
    <s v="Calle Güigüe Nro. 88-101"/>
    <s v="Cancelación Vigilancia, mes de Mayo 2017"/>
    <s v="Vigilancia"/>
    <m/>
    <s v="00235"/>
    <s v="09 de Mayo de 2017"/>
    <n v="9"/>
    <d v="2017-05-01T00:00:00"/>
    <s v="0,26"/>
    <s v="Cero Bolívares con 26/100"/>
  </r>
  <r>
    <n v="236"/>
    <m/>
    <s v="ü"/>
    <d v="2017-04-06T00:00:00"/>
    <n v="0.14000000000000001"/>
    <x v="53"/>
    <x v="48"/>
    <s v="Calle Guacara Nro. 88-91"/>
    <s v="Colaboración Vigilancia, mes de Marzo 2017"/>
    <s v="Vigilancia"/>
    <m/>
    <s v="00236"/>
    <s v="06 de Abril de 2017"/>
    <n v="6"/>
    <d v="2017-04-01T00:00:00"/>
    <s v="0,14"/>
    <s v="Cero Bolívares con 14/100"/>
  </r>
  <r>
    <n v="237"/>
    <m/>
    <s v="ü"/>
    <d v="2017-05-09T00:00:00"/>
    <n v="0.105"/>
    <x v="50"/>
    <x v="47"/>
    <s v="Av. &quot;I&quot; Nro. 146-30"/>
    <s v="Colaboración Vigilancia, mes de Marzo 2017"/>
    <s v="Vigilancia"/>
    <m/>
    <s v="00237"/>
    <s v="09 de Mayo de 2017"/>
    <n v="9"/>
    <d v="2017-05-01T00:00:00"/>
    <s v="0,11"/>
    <s v="Cero Bolívares con 10/100"/>
  </r>
  <r>
    <n v="238"/>
    <m/>
    <s v="ü"/>
    <d v="2017-05-09T00:00:00"/>
    <n v="0.24"/>
    <x v="25"/>
    <x v="23"/>
    <s v="Calle Güigüe Nro. 88-58"/>
    <s v="Colaboración Vigilancia, meses de Mar-Abr 2017"/>
    <s v="Vigilancia"/>
    <m/>
    <s v="00238"/>
    <s v="09 de Mayo de 2017"/>
    <n v="9"/>
    <d v="2017-05-01T00:00:00"/>
    <s v="0,24"/>
    <s v="Cero Bolívares con 24/100"/>
  </r>
  <r>
    <n v="239"/>
    <m/>
    <s v="ü"/>
    <d v="2017-05-09T00:00:00"/>
    <n v="0.6"/>
    <x v="21"/>
    <x v="19"/>
    <s v="Calle Güigüe Nro. 89-105"/>
    <s v="Cancelación Vigilancia, meses de Marzo, Abril y Mayo 2017"/>
    <s v="Vigilancia"/>
    <m/>
    <s v="00239"/>
    <s v="09 de Mayo de 2017"/>
    <n v="9"/>
    <d v="2017-05-01T00:00:00"/>
    <s v="0,60"/>
    <s v="Cero Bolívares con 60/100"/>
  </r>
  <r>
    <n v="240"/>
    <m/>
    <s v="ü"/>
    <d v="2017-05-10T00:00:00"/>
    <n v="0.26"/>
    <x v="19"/>
    <x v="17"/>
    <s v="Calle Guacara Nro. 89-130"/>
    <s v="Cancelación Vigilancia, mes de Mayo 2017"/>
    <s v="Vigilancia"/>
    <m/>
    <s v="00240"/>
    <s v="10 de Mayo de 2017"/>
    <n v="10"/>
    <d v="2017-05-01T00:00:00"/>
    <s v="0,26"/>
    <s v="Cero Bolívares con 26/100"/>
  </r>
  <r>
    <n v="241"/>
    <m/>
    <s v="ü"/>
    <d v="2017-05-10T00:00:00"/>
    <n v="0.17"/>
    <x v="53"/>
    <x v="48"/>
    <s v="Calle Guacara Nro. 88-91"/>
    <s v="Cancelación Vigilancia, mes de Abril 2017"/>
    <s v="Vigilancia"/>
    <m/>
    <s v="00241"/>
    <s v="10 de Mayo de 2017"/>
    <n v="10"/>
    <d v="2017-05-01T00:00:00"/>
    <s v="0,17"/>
    <s v="Cero Bolívares con 17/100"/>
  </r>
  <r>
    <n v="242"/>
    <m/>
    <s v="ü"/>
    <d v="2017-05-10T00:00:00"/>
    <n v="0.1"/>
    <x v="68"/>
    <x v="60"/>
    <s v="Calle Güigüe Nro. 89-29"/>
    <s v="Colaboración Vigilancia, mes de Mayo 2017"/>
    <s v="Vigilancia"/>
    <m/>
    <s v="00242"/>
    <s v="10 de Mayo de 2017"/>
    <n v="10"/>
    <d v="2017-05-01T00:00:00"/>
    <s v="0,10"/>
    <s v="Cero Bolívares con 10/100"/>
  </r>
  <r>
    <n v="243"/>
    <m/>
    <s v="ü"/>
    <d v="2017-05-11T00:00:00"/>
    <n v="0.26"/>
    <x v="11"/>
    <x v="11"/>
    <s v="Calle Guacara Nro. 89-86"/>
    <s v="Cancelación Vigilancia, mes de Junio 2017 *DEFINITIVO*"/>
    <s v="Vigilancia"/>
    <m/>
    <s v="00243"/>
    <s v="11 de Mayo de 2017"/>
    <n v="11"/>
    <d v="2017-05-01T00:00:00"/>
    <s v="0,26"/>
    <s v="Cero Bolívares con 26/100"/>
  </r>
  <r>
    <n v="244"/>
    <m/>
    <s v="ü"/>
    <d v="2017-05-11T00:00:00"/>
    <n v="0.15"/>
    <x v="35"/>
    <x v="32"/>
    <s v="Calle Güigüe Nro. 89-80"/>
    <s v="Colaboración Vigilancia, mes de Mayo 2017"/>
    <s v="Vigilancia"/>
    <m/>
    <s v="00244"/>
    <s v="11 de Mayo de 2017"/>
    <n v="11"/>
    <d v="2017-05-01T00:00:00"/>
    <s v="0,15"/>
    <s v="Cero Bolívares con 15/100"/>
  </r>
  <r>
    <n v="245"/>
    <m/>
    <s v="ü"/>
    <d v="2017-05-11T00:00:00"/>
    <n v="0.1"/>
    <x v="47"/>
    <x v="44"/>
    <s v="Calle Güigüe Nro. 88-80"/>
    <s v="Colaboración Vigilancia, mes de Mayo 2017"/>
    <s v="Vigilancia"/>
    <m/>
    <s v="00245"/>
    <s v="11 de Mayo de 2017"/>
    <n v="11"/>
    <d v="2017-05-01T00:00:00"/>
    <s v="0,10"/>
    <s v="Cero Bolívares con 10/100"/>
  </r>
  <r>
    <n v="246"/>
    <m/>
    <s v="ü"/>
    <d v="2017-05-13T00:00:00"/>
    <n v="7.0000000000000007E-2"/>
    <x v="7"/>
    <x v="7"/>
    <s v="Calle Guacara Nro. 87-86"/>
    <s v="Colaboración Vigilancia, mes de Mayo 2017"/>
    <s v="Vigilancia"/>
    <m/>
    <s v="00246"/>
    <s v="13 de Mayo de 2017"/>
    <n v="13"/>
    <d v="2017-05-01T00:00:00"/>
    <s v="0,07"/>
    <s v="Cero Bolívares con 07/100"/>
  </r>
  <r>
    <n v="247"/>
    <m/>
    <s v="ü"/>
    <d v="2017-05-15T00:00:00"/>
    <n v="0.26"/>
    <x v="4"/>
    <x v="4"/>
    <s v="Calle Güigüe Nro. 89-55"/>
    <s v="Cancelación Vigilancia, mes de Mayo 2017"/>
    <s v="Vigilancia"/>
    <m/>
    <s v="00247"/>
    <s v="15 de Mayo de 2017"/>
    <n v="15"/>
    <d v="2017-05-01T00:00:00"/>
    <s v="0,26"/>
    <s v="Cero Bolívares con 26/100"/>
  </r>
  <r>
    <n v="248"/>
    <m/>
    <s v="ü"/>
    <d v="2017-05-15T00:00:00"/>
    <n v="0.17"/>
    <x v="38"/>
    <x v="35"/>
    <s v="Calle Guacara Nro. 89-78"/>
    <s v="Cancelación Vigilancia, mes de Abril 2017"/>
    <s v="Vigilancia"/>
    <m/>
    <s v="00248"/>
    <s v="15 de Mayo de 2017"/>
    <n v="15"/>
    <d v="2017-05-01T00:00:00"/>
    <s v="0,17"/>
    <s v="Cero Bolívares con 17/100"/>
  </r>
  <r>
    <n v="249"/>
    <m/>
    <s v="ü"/>
    <d v="2017-05-15T00:00:00"/>
    <n v="0.2"/>
    <x v="2"/>
    <x v="2"/>
    <s v="Calle Guacara Nro. 88-19"/>
    <s v="Colaboración Vigilancia, mes de Mayo 2017"/>
    <s v="Vigilancia"/>
    <m/>
    <s v="00249"/>
    <s v="15 de Mayo de 2017"/>
    <n v="15"/>
    <d v="2017-05-01T00:00:00"/>
    <s v="0,20"/>
    <s v="Cero Bolívares con 20/100"/>
  </r>
  <r>
    <n v="250"/>
    <m/>
    <s v="ü"/>
    <d v="2017-05-15T00:00:00"/>
    <n v="0.26"/>
    <x v="23"/>
    <x v="21"/>
    <s v="Calle Güigüe Nro. 88-116"/>
    <s v="Cancelación Vigilancia, mes de Mayo 2017"/>
    <s v="Vigilancia"/>
    <m/>
    <s v="00250"/>
    <s v="15 de Mayo de 2017"/>
    <n v="15"/>
    <d v="2017-05-01T00:00:00"/>
    <s v="0,26"/>
    <s v="Cero Bolívares con 26/100"/>
  </r>
  <r>
    <n v="251"/>
    <m/>
    <s v="ü"/>
    <d v="2017-05-15T00:00:00"/>
    <n v="0.26"/>
    <x v="30"/>
    <x v="28"/>
    <s v="Calle Güigüe Nro. 89-04"/>
    <s v="Cancelación Vigilancia, mes de Mayo 2017"/>
    <s v="Vigilancia"/>
    <m/>
    <s v="00251"/>
    <s v="15 de Mayo de 2017"/>
    <n v="15"/>
    <d v="2017-05-01T00:00:00"/>
    <s v="0,26"/>
    <s v="Cero Bolívares con 26/100"/>
  </r>
  <r>
    <n v="252"/>
    <m/>
    <s v="ü"/>
    <d v="2017-05-09T00:00:00"/>
    <n v="0.05"/>
    <x v="13"/>
    <x v="9"/>
    <s v="Calle Güigüe Nro. 89-90"/>
    <s v="Colaboración Vigilancia, mes de Mayo 2017"/>
    <s v="Vigilancia"/>
    <m/>
    <s v="00252"/>
    <s v="09 de Mayo de 2017"/>
    <n v="9"/>
    <d v="2017-05-01T00:00:00"/>
    <s v="0,05"/>
    <s v="Cero Bolívares con 05/100"/>
  </r>
  <r>
    <n v="253"/>
    <m/>
    <s v="ü"/>
    <d v="2017-05-16T00:00:00"/>
    <n v="0.17"/>
    <x v="61"/>
    <x v="14"/>
    <s v="Calle Guacara Nro. 87-07"/>
    <s v="Colaboración Vigilancia, mes de Mayo 2017"/>
    <s v="Vigilancia"/>
    <m/>
    <s v="00253"/>
    <s v="16 de Mayo de 2017"/>
    <n v="16"/>
    <d v="2017-05-01T00:00:00"/>
    <s v="0,17"/>
    <s v="Cero Bolívares con 17/100"/>
  </r>
  <r>
    <n v="254"/>
    <m/>
    <s v="ü"/>
    <d v="2017-05-17T00:00:00"/>
    <n v="0.26"/>
    <x v="14"/>
    <x v="13"/>
    <s v="Calle Güigüe Nro. 89-83"/>
    <s v="Cancelación Vigilancia, mes de Mayo 2017"/>
    <s v="Vigilancia"/>
    <m/>
    <s v="00254"/>
    <s v="17 de Mayo de 2017"/>
    <n v="17"/>
    <d v="2017-05-01T00:00:00"/>
    <s v="0,26"/>
    <s v="Cero Bolívares con 26/100"/>
  </r>
  <r>
    <n v="255"/>
    <m/>
    <s v="ü"/>
    <d v="2017-03-15T00:00:00"/>
    <n v="0.2"/>
    <x v="9"/>
    <x v="9"/>
    <s v="Av. &quot;M&quot; Nro. 146-30"/>
    <s v="Cancelación Vigilancia, mes de Marzo 2017"/>
    <s v="Vigilancia"/>
    <m/>
    <s v="00255"/>
    <s v="15 de Marzo de 2017"/>
    <n v="15"/>
    <d v="2017-03-01T00:00:00"/>
    <s v="0,20"/>
    <s v="Cero Bolívares con 20/100"/>
  </r>
  <r>
    <n v="256"/>
    <m/>
    <s v="ü"/>
    <d v="2017-04-15T00:00:00"/>
    <n v="0.2"/>
    <x v="9"/>
    <x v="9"/>
    <s v="Av. &quot;M&quot; Nro. 146-30"/>
    <s v="Cancelación Vigilancia, mes de Abril 2017"/>
    <s v="Vigilancia"/>
    <m/>
    <s v="00256"/>
    <s v="15 de Abril de 2017"/>
    <n v="15"/>
    <d v="2017-04-01T00:00:00"/>
    <s v="0,20"/>
    <s v="Cero Bolívares con 20/100"/>
  </r>
  <r>
    <n v="257"/>
    <m/>
    <s v="ü"/>
    <d v="2017-02-15T00:00:00"/>
    <n v="0.3"/>
    <x v="73"/>
    <x v="9"/>
    <s v="Calle Güigüe Nros. 88-71 y 88-81"/>
    <s v="Cancelación Vigilancia, mes de Febrero 2017"/>
    <s v="Vigilancia"/>
    <m/>
    <s v="00257"/>
    <s v="15 de Febrero de 2017"/>
    <n v="15"/>
    <d v="2017-02-01T00:00:00"/>
    <s v="0,30"/>
    <s v="Cero Bolívares con 30/100"/>
  </r>
  <r>
    <n v="258"/>
    <m/>
    <s v="ü"/>
    <d v="2017-03-15T00:00:00"/>
    <n v="0.3"/>
    <x v="73"/>
    <x v="9"/>
    <s v="Calle Güigüe Nros. 88-71 y 88-81"/>
    <s v="Cancelación Vigilancia, mes de Marzo 2017"/>
    <s v="Vigilancia"/>
    <m/>
    <s v="00258"/>
    <s v="15 de Marzo de 2017"/>
    <n v="15"/>
    <d v="2017-03-01T00:00:00"/>
    <s v="0,30"/>
    <s v="Cero Bolívares con 30/100"/>
  </r>
  <r>
    <n v="259"/>
    <m/>
    <s v="ü"/>
    <d v="2017-04-15T00:00:00"/>
    <n v="0.3"/>
    <x v="73"/>
    <x v="9"/>
    <s v="Calle Güigüe Nros. 88-71 y 88-81"/>
    <s v="Cancelación Vigilancia, mes de Abril 2017"/>
    <s v="Vigilancia"/>
    <m/>
    <s v="00259"/>
    <s v="15 de Abril de 2017"/>
    <n v="15"/>
    <d v="2017-04-01T00:00:00"/>
    <s v="0,30"/>
    <s v="Cero Bolívares con 30/100"/>
  </r>
  <r>
    <n v="260"/>
    <m/>
    <s v="ü"/>
    <d v="2017-05-18T00:00:00"/>
    <n v="0.2"/>
    <x v="22"/>
    <x v="20"/>
    <s v="Calle Guacara Nro. 88-25"/>
    <s v="Colaboración Vigilancia, mes de Mayo 2017"/>
    <s v="Vigilancia"/>
    <m/>
    <s v="00260"/>
    <s v="18 de Mayo de 2017"/>
    <n v="18"/>
    <d v="2017-05-01T00:00:00"/>
    <s v="0,20"/>
    <s v="Cero Bolívares con 20/100"/>
  </r>
  <r>
    <n v="261"/>
    <m/>
    <s v="ü"/>
    <d v="2017-05-22T00:00:00"/>
    <n v="0.3"/>
    <x v="9"/>
    <x v="9"/>
    <s v="Av. &quot;M&quot; Nro. 146-30"/>
    <s v="Cancelación Vigilancia, mes de Mayo 2017"/>
    <s v="Vigilancia"/>
    <m/>
    <s v="00261"/>
    <s v="22 de Mayo de 2017"/>
    <n v="22"/>
    <d v="2017-05-01T00:00:00"/>
    <s v="0,30"/>
    <s v="Cero Bolívares con 30/100"/>
  </r>
  <r>
    <n v="262"/>
    <m/>
    <s v="ü"/>
    <d v="2017-05-22T00:00:00"/>
    <n v="0.34"/>
    <x v="59"/>
    <x v="9"/>
    <s v="Calle Guacara Nro. 90-35"/>
    <s v="Cancelación Vigilancia, mes de Abril 2017 y anticipo Mayo 2017 (Bs. 17.000)"/>
    <s v="Vigilancia"/>
    <m/>
    <s v="00262"/>
    <s v="22 de Mayo de 2017"/>
    <n v="22"/>
    <d v="2017-05-01T00:00:00"/>
    <s v="0,34"/>
    <s v="Cero Bolívares con 34/100"/>
  </r>
  <r>
    <n v="263"/>
    <m/>
    <s v="ü"/>
    <d v="2017-05-23T00:00:00"/>
    <n v="0.4"/>
    <x v="73"/>
    <x v="9"/>
    <s v="Calle Güigüe Nros. 88-71 y 88-81"/>
    <s v="Cancelación Vigilancia, mes de Mayo 2017"/>
    <s v="Vigilancia"/>
    <m/>
    <s v="00263"/>
    <s v="23 de Mayo de 2017"/>
    <n v="23"/>
    <d v="2017-05-01T00:00:00"/>
    <s v="0,40"/>
    <s v="Cero Bolívares con 40/100"/>
  </r>
  <r>
    <n v="264"/>
    <m/>
    <s v="ü"/>
    <d v="2017-05-24T00:00:00"/>
    <n v="0.26"/>
    <x v="48"/>
    <x v="9"/>
    <s v="Calle Güigüe Nro. 88-90"/>
    <s v="Cancelación Vigilancia, mes de Mayo 2017"/>
    <s v="Vigilancia"/>
    <m/>
    <s v="00264"/>
    <s v="24 de Mayo de 2017"/>
    <n v="24"/>
    <d v="2017-05-01T00:00:00"/>
    <s v="0,26"/>
    <s v="Cero Bolívares con 26/100"/>
  </r>
  <r>
    <n v="265"/>
    <m/>
    <s v="ü"/>
    <d v="2017-05-26T00:00:00"/>
    <n v="0.22"/>
    <x v="24"/>
    <x v="22"/>
    <s v="Calle Güigüe Nro. 88-54"/>
    <s v="Anticipo Vigilancia, mes de Mayo 2017"/>
    <s v="Vigilancia"/>
    <m/>
    <s v="00265"/>
    <s v="26 de Mayo de 2017"/>
    <n v="26"/>
    <d v="2017-05-01T00:00:00"/>
    <s v="0,22"/>
    <s v="Cero Bolívares con 22/100"/>
  </r>
  <r>
    <n v="266"/>
    <m/>
    <s v="ü"/>
    <d v="2017-05-24T00:00:00"/>
    <n v="0.03"/>
    <x v="28"/>
    <x v="26"/>
    <s v="Calle Güigüe Nro. 88-30"/>
    <s v="Colaboración Vigilancia, mes de Abril 2017"/>
    <s v="Vigilancia"/>
    <m/>
    <s v="00266"/>
    <s v="24 de Mayo de 2017"/>
    <n v="24"/>
    <d v="2017-05-01T00:00:00"/>
    <s v="0,03"/>
    <s v="Cero Bolívares con 03/100"/>
  </r>
  <r>
    <n v="267"/>
    <m/>
    <s v="ü"/>
    <d v="2017-05-26T00:00:00"/>
    <n v="0.05"/>
    <x v="57"/>
    <x v="9"/>
    <s v="Calle Güigüe Nro. 88-40"/>
    <s v="Colaboración Vigilancia, mes de Mayo 2017"/>
    <s v="Vigilancia"/>
    <m/>
    <s v="00267"/>
    <s v="26 de Mayo de 2017"/>
    <n v="26"/>
    <d v="2017-05-01T00:00:00"/>
    <s v="0,05"/>
    <s v="Cero Bolívares con 05/100"/>
  </r>
  <r>
    <n v="268"/>
    <m/>
    <s v="ü"/>
    <d v="2017-05-27T00:00:00"/>
    <n v="0.26"/>
    <x v="41"/>
    <x v="38"/>
    <s v="Calle Güigüe Nro. 88-91"/>
    <s v="Cancelación Vigilancia, mes de Mayo 2017"/>
    <s v="Vigilancia"/>
    <m/>
    <s v="00268"/>
    <s v="27 de Mayo de 2017"/>
    <n v="27"/>
    <d v="2017-05-01T00:00:00"/>
    <s v="0,26"/>
    <s v="Cero Bolívares con 26/100"/>
  </r>
  <r>
    <n v="269"/>
    <m/>
    <s v="ü"/>
    <d v="2017-05-27T00:00:00"/>
    <n v="0.15"/>
    <x v="74"/>
    <x v="64"/>
    <s v="Calle Güigüe Nro. 88-20"/>
    <s v="Colaboración Vigilancia, meses de Noviembre 2016 a Marzo 2017"/>
    <s v="Vigilancia"/>
    <m/>
    <s v="00269"/>
    <s v="27 de Mayo de 2017"/>
    <n v="27"/>
    <d v="2017-05-01T00:00:00"/>
    <s v="0,15"/>
    <s v="Cero Bolívares con 15/100"/>
  </r>
  <r>
    <n v="270"/>
    <m/>
    <s v="ü"/>
    <d v="2017-05-28T00:00:00"/>
    <n v="0.09"/>
    <x v="59"/>
    <x v="9"/>
    <s v="Calle Guacara Nro. 90-35"/>
    <s v="Cancelación Saldo Vigilancia, mes de Mayo 2017"/>
    <s v="Vigilancia"/>
    <m/>
    <s v="00270"/>
    <s v="28 de Mayo de 2017"/>
    <n v="28"/>
    <d v="2017-05-01T00:00:00"/>
    <s v="0,09"/>
    <s v="Cero Bolívares con 09/100"/>
  </r>
  <r>
    <n v="271"/>
    <m/>
    <s v="ü"/>
    <d v="2017-05-28T00:00:00"/>
    <n v="0.26"/>
    <x v="27"/>
    <x v="25"/>
    <s v="Calle Güigüe Nro. 89-106"/>
    <s v="Cancelación Vigilancia, mes de Mayo 2017"/>
    <s v="Vigilancia"/>
    <m/>
    <s v="00271"/>
    <s v="28 de Mayo de 2017"/>
    <n v="28"/>
    <d v="2017-05-01T00:00:00"/>
    <s v="0,26"/>
    <s v="Cero Bolívares con 26/100"/>
  </r>
  <r>
    <n v="272"/>
    <m/>
    <s v="ü"/>
    <d v="2017-05-29T00:00:00"/>
    <n v="0.69"/>
    <x v="45"/>
    <x v="42"/>
    <s v="Calle Güigüe Nro. 87-A-11"/>
    <s v="Cancelación Vigilancia, meses de Abril, Mayo y Junio 2017"/>
    <s v="Vigilancia"/>
    <m/>
    <s v="00272"/>
    <s v="29 de Mayo de 2017"/>
    <n v="29"/>
    <d v="2017-05-01T00:00:00"/>
    <s v="0,69"/>
    <s v="Cero Bolívares con 69/100"/>
  </r>
  <r>
    <n v="273"/>
    <m/>
    <s v="ü"/>
    <d v="2017-05-29T00:00:00"/>
    <n v="0.26"/>
    <x v="39"/>
    <x v="36"/>
    <s v="Calle Güigüe Nro. 88-111"/>
    <s v="Cancelación Vigilancia, mes de Mayo 2017"/>
    <s v="Vigilancia"/>
    <m/>
    <s v="00273"/>
    <s v="29 de Mayo de 2017"/>
    <n v="29"/>
    <d v="2017-05-01T00:00:00"/>
    <s v="0,26"/>
    <s v="Cero Bolívares con 26/100"/>
  </r>
  <r>
    <n v="274"/>
    <m/>
    <s v="ü"/>
    <d v="2017-05-29T00:00:00"/>
    <n v="0.27"/>
    <x v="26"/>
    <x v="24"/>
    <s v="Calle Güigüe Nro. 89-96"/>
    <s v="Cancelación Vigilancia, mes de Mayo 2017"/>
    <s v="Vigilancia"/>
    <m/>
    <s v="00274"/>
    <s v="29 de Mayo de 2017"/>
    <n v="29"/>
    <d v="2017-05-01T00:00:00"/>
    <s v="0,27"/>
    <s v="Cero Bolívares con 27/100"/>
  </r>
  <r>
    <n v="275"/>
    <m/>
    <s v="ü"/>
    <d v="2017-06-01T00:00:00"/>
    <n v="0.2"/>
    <x v="58"/>
    <x v="53"/>
    <s v="Calle Güigüe Nro. 88-51"/>
    <s v="Colaboración Vigilancia, mes de Mayo 2017"/>
    <s v="Vigilancia"/>
    <m/>
    <s v="00275"/>
    <s v="01 de Junio de 2017"/>
    <n v="1"/>
    <d v="2017-06-01T00:00:00"/>
    <s v="0,20"/>
    <s v="Cero Bolívares con 20/100"/>
  </r>
  <r>
    <n v="276"/>
    <m/>
    <s v="ü"/>
    <d v="2017-06-01T00:00:00"/>
    <n v="0.04"/>
    <x v="24"/>
    <x v="22"/>
    <s v="Calle Güigüe Nro. 88-54"/>
    <s v="Cancelación Saldo Vigilancia, mes de Mayo 2017"/>
    <s v="Vigilancia"/>
    <m/>
    <s v="00276"/>
    <s v="01 de Junio de 2017"/>
    <n v="1"/>
    <d v="2017-06-01T00:00:00"/>
    <s v="0,04"/>
    <s v="Cero Bolívares con 04/100"/>
  </r>
  <r>
    <n v="277"/>
    <m/>
    <s v="ü"/>
    <d v="2017-06-01T00:00:00"/>
    <n v="1.2"/>
    <x v="75"/>
    <x v="65"/>
    <s v="Av. &quot;Ñ&quot; Nro. 145-25"/>
    <s v="Cancelación Vigilancia, meses de Ene-Jun 2017 (saldo a favor: Bs. 156.000)"/>
    <s v="Vigilancia"/>
    <m/>
    <s v="00277"/>
    <s v="01 de Junio de 2017"/>
    <n v="1"/>
    <d v="2017-06-01T00:00:00"/>
    <s v="1,20"/>
    <s v="Un Bolívares con 20/100"/>
  </r>
  <r>
    <n v="278"/>
    <m/>
    <s v="ü"/>
    <d v="2017-06-01T00:00:00"/>
    <n v="0.26"/>
    <x v="0"/>
    <x v="0"/>
    <s v="Calle Guacara Nro. 88-45"/>
    <s v="Cancelación Vigilancia, mes de Junio 2017 (saldo a favor: Bs. 165.000)"/>
    <s v="Vigilancia"/>
    <m/>
    <s v="00278"/>
    <s v="01 de Junio de 2017"/>
    <n v="1"/>
    <d v="2017-06-01T00:00:00"/>
    <s v="0,26"/>
    <s v="Cero Bolívares con 26/100"/>
  </r>
  <r>
    <n v="279"/>
    <m/>
    <s v="ü"/>
    <d v="2017-06-04T00:00:00"/>
    <n v="0.26"/>
    <x v="76"/>
    <x v="66"/>
    <s v="Calle Güigüe Nro. 89-90"/>
    <s v="Cancelación Vigilancia, mes de Junio 2017"/>
    <s v="Vigilancia"/>
    <m/>
    <s v="00279"/>
    <s v="04 de Junio de 2017"/>
    <n v="4"/>
    <d v="2017-06-01T00:00:00"/>
    <s v="0,26"/>
    <s v="Cero Bolívares con 26/100"/>
  </r>
  <r>
    <n v="280"/>
    <m/>
    <s v="ü"/>
    <d v="2017-06-04T00:00:00"/>
    <n v="0.17"/>
    <x v="43"/>
    <x v="40"/>
    <s v="Calle Güigüe Nro. 88-50"/>
    <s v="Cancelación Vigilancia, mes de Abril 2017"/>
    <s v="Vigilancia"/>
    <m/>
    <s v="00280"/>
    <s v="04 de Junio de 2017"/>
    <n v="4"/>
    <d v="2017-06-01T00:00:00"/>
    <s v="0,17"/>
    <s v="Cero Bolívares con 17/100"/>
  </r>
  <r>
    <n v="281"/>
    <m/>
    <s v="ü"/>
    <d v="2017-06-05T00:00:00"/>
    <n v="0.1"/>
    <x v="7"/>
    <x v="7"/>
    <s v="Calle Guacara Nro. 87-86"/>
    <s v="Colaboración Vigilancia, mes de Junio 2017"/>
    <s v="Vigilancia"/>
    <m/>
    <s v="00281"/>
    <s v="05 de Junio de 2017"/>
    <n v="5"/>
    <d v="2017-06-01T00:00:00"/>
    <s v="0,10"/>
    <s v="Cero Bolívares con 10/100"/>
  </r>
  <r>
    <n v="282"/>
    <m/>
    <s v="ü"/>
    <d v="2017-06-05T00:00:00"/>
    <n v="0.26"/>
    <x v="29"/>
    <x v="27"/>
    <s v="Calle Guacara Nro. 88-75"/>
    <s v="Cancelación Vigilancia, mes de Mayo 2017"/>
    <s v="Vigilancia"/>
    <m/>
    <s v="00282"/>
    <s v="05 de Junio de 2017"/>
    <n v="5"/>
    <d v="2017-06-01T00:00:00"/>
    <s v="0,26"/>
    <s v="Cero Bolívares con 26/100"/>
  </r>
  <r>
    <n v="283"/>
    <m/>
    <s v="ü"/>
    <d v="2017-06-06T00:00:00"/>
    <n v="0.15"/>
    <x v="35"/>
    <x v="32"/>
    <s v="Calle Güigüe Nro. 89-80"/>
    <s v="Colaboración Vigilancia, mes de Junio 2017"/>
    <s v="Vigilancia"/>
    <m/>
    <s v="00283"/>
    <s v="06 de Junio de 2017"/>
    <n v="6"/>
    <d v="2017-06-01T00:00:00"/>
    <s v="0,15"/>
    <s v="Cero Bolívares con 15/100"/>
  </r>
  <r>
    <n v="284"/>
    <m/>
    <s v="ü"/>
    <d v="2017-06-06T00:00:00"/>
    <n v="0.26"/>
    <x v="31"/>
    <x v="29"/>
    <s v="Calle Güigüe Nro. 89-95"/>
    <s v="Cancelación Vigilancia, mes de Mayo 2017"/>
    <s v="Vigilancia"/>
    <m/>
    <s v="00284"/>
    <s v="06 de Junio de 2017"/>
    <n v="6"/>
    <d v="2017-06-01T00:00:00"/>
    <s v="0,26"/>
    <s v="Cero Bolívares con 26/100"/>
  </r>
  <r>
    <n v="285"/>
    <m/>
    <s v="ü"/>
    <d v="2017-06-07T00:00:00"/>
    <n v="0.35"/>
    <x v="32"/>
    <x v="30"/>
    <s v="Calle Güigüe Nro. 89-120"/>
    <s v="Cancelación Vigilancia, saldo mes de Mayo 2017 y Junio 2017"/>
    <s v="Vigilancia"/>
    <m/>
    <s v="00285"/>
    <s v="07 de Junio de 2017"/>
    <n v="7"/>
    <d v="2017-06-01T00:00:00"/>
    <s v="0,35"/>
    <s v="Cero Bolívares con 35/100"/>
  </r>
  <r>
    <n v="286"/>
    <m/>
    <s v="ü"/>
    <d v="2017-06-07T00:00:00"/>
    <n v="0.26"/>
    <x v="1"/>
    <x v="1"/>
    <s v="Calle Güigüe Nro. 88-44"/>
    <s v="Cancelación Vigilancia, mes de Junio 2017"/>
    <s v="Vigilancia"/>
    <m/>
    <s v="00286"/>
    <s v="07 de Junio de 2017"/>
    <n v="7"/>
    <d v="2017-06-01T00:00:00"/>
    <s v="0,26"/>
    <s v="Cero Bolívares con 26/100"/>
  </r>
  <r>
    <n v="287"/>
    <m/>
    <s v="ü"/>
    <d v="2017-06-07T00:00:00"/>
    <n v="0.27"/>
    <x v="6"/>
    <x v="6"/>
    <s v="Calle Guacara Nro. 89-60"/>
    <s v="Cancelación Vigilancia, mes de Junio 2017"/>
    <s v="Vigilancia"/>
    <m/>
    <s v="00287"/>
    <s v="07 de Junio de 2017"/>
    <n v="7"/>
    <d v="2017-06-01T00:00:00"/>
    <s v="0,27"/>
    <s v="Cero Bolívares con 27/100"/>
  </r>
  <r>
    <n v="288"/>
    <m/>
    <s v="ü"/>
    <d v="2017-06-07T00:00:00"/>
    <n v="0.26"/>
    <x v="20"/>
    <x v="18"/>
    <s v="Calle Guacara Nro. 89-30"/>
    <s v="Cancelación Vigilancia, mes de Mayo 2017"/>
    <s v="Vigilancia"/>
    <m/>
    <s v="00288"/>
    <s v="07 de Junio de 2017"/>
    <n v="7"/>
    <d v="2017-06-01T00:00:00"/>
    <s v="0,26"/>
    <s v="Cero Bolívares con 26/100"/>
  </r>
  <r>
    <n v="289"/>
    <m/>
    <s v="ü"/>
    <d v="2017-06-02T00:00:00"/>
    <n v="0.26"/>
    <x v="10"/>
    <x v="10"/>
    <s v="Av. &quot;M&quot; Nro. 146-15"/>
    <s v="Cancelación Vigilancia, mes de Mayo 2017"/>
    <s v="Vigilancia"/>
    <m/>
    <s v="00289"/>
    <s v="02 de Junio de 2017"/>
    <n v="2"/>
    <d v="2017-06-01T00:00:00"/>
    <s v="0,26"/>
    <s v="Cero Bolívares con 26/100"/>
  </r>
  <r>
    <n v="290"/>
    <m/>
    <s v="ü"/>
    <d v="2017-06-02T00:00:00"/>
    <n v="0.26"/>
    <x v="64"/>
    <x v="57"/>
    <s v="Calle Guacara Nro. 88-35"/>
    <s v="Cancelación Vigilancia, mes de Mayo 2017"/>
    <s v="Vigilancia"/>
    <m/>
    <s v="00290"/>
    <s v="02 de Junio de 2017"/>
    <n v="2"/>
    <d v="2017-06-01T00:00:00"/>
    <s v="0,26"/>
    <s v="Cero Bolívares con 26/100"/>
  </r>
  <r>
    <n v="291"/>
    <m/>
    <s v="ü"/>
    <d v="2017-06-04T00:00:00"/>
    <n v="0.26"/>
    <x v="16"/>
    <x v="15"/>
    <s v="Calle Guacara Nro. 90-81"/>
    <s v="Cancelación Vigilancia, mes de Junio 2017"/>
    <s v="Vigilancia"/>
    <m/>
    <s v="00291"/>
    <s v="04 de Junio de 2017"/>
    <n v="4"/>
    <d v="2017-06-01T00:00:00"/>
    <s v="0,26"/>
    <s v="Cero Bolívares con 26/100"/>
  </r>
  <r>
    <n v="292"/>
    <m/>
    <s v="ü"/>
    <d v="2017-06-06T00:00:00"/>
    <n v="0.26"/>
    <x v="14"/>
    <x v="13"/>
    <s v="Calle Güigüe Nro. 89-83"/>
    <s v="Cancelación Vigilancia, mes de Junio 2017"/>
    <s v="Vigilancia"/>
    <m/>
    <s v="00292"/>
    <s v="06 de Junio de 2017"/>
    <n v="6"/>
    <d v="2017-06-01T00:00:00"/>
    <s v="0,26"/>
    <s v="Cero Bolívares con 26/100"/>
  </r>
  <r>
    <n v="293"/>
    <m/>
    <s v="ü"/>
    <d v="2017-05-17T00:00:00"/>
    <n v="0.26"/>
    <x v="54"/>
    <x v="50"/>
    <s v="Calle Güigüe Nro. 89-21"/>
    <s v="Cancelación Vigilancia, mes de Mayo 2017"/>
    <s v="Vigilancia"/>
    <m/>
    <s v="00293"/>
    <s v="17 de Mayo de 2017"/>
    <n v="17"/>
    <d v="2017-05-01T00:00:00"/>
    <s v="0,26"/>
    <s v="Cero Bolívares con 26/100"/>
  </r>
  <r>
    <n v="294"/>
    <m/>
    <s v="ü"/>
    <d v="2017-06-02T00:00:00"/>
    <n v="0.26"/>
    <x v="56"/>
    <x v="52"/>
    <s v="Calle Güigüe Nro. 88-70"/>
    <s v="Cancelación Vigilancia, mes de Mayo 2017"/>
    <s v="Vigilancia"/>
    <m/>
    <s v="00294"/>
    <s v="02 de Junio de 2017"/>
    <n v="2"/>
    <d v="2017-06-01T00:00:00"/>
    <s v="0,26"/>
    <s v="Cero Bolívares con 26/100"/>
  </r>
  <r>
    <n v="295"/>
    <m/>
    <s v="ü"/>
    <d v="2017-06-09T00:00:00"/>
    <n v="0.26"/>
    <x v="19"/>
    <x v="17"/>
    <s v="Calle Guacara Nro. 89-130"/>
    <s v="Cancelación Vigilancia, mes de Junio 2017"/>
    <s v="Vigilancia"/>
    <m/>
    <s v="00295"/>
    <s v="09 de Junio de 2017"/>
    <n v="9"/>
    <d v="2017-06-01T00:00:00"/>
    <s v="0,26"/>
    <s v="Cero Bolívares con 26/100"/>
  </r>
  <r>
    <n v="296"/>
    <m/>
    <s v="ü"/>
    <d v="2017-06-09T00:00:00"/>
    <n v="0.52"/>
    <x v="62"/>
    <x v="55"/>
    <s v="Av. &quot;M&quot; Nro. 145-10"/>
    <s v="Cancelación Vigilancia, meses de Mayo y Junio 2017"/>
    <s v="Vigilancia"/>
    <m/>
    <s v="00296"/>
    <s v="09 de Junio de 2017"/>
    <n v="9"/>
    <d v="2017-06-01T00:00:00"/>
    <s v="0,52"/>
    <s v="Cero Bolívares con 52/100"/>
  </r>
  <r>
    <n v="297"/>
    <m/>
    <s v="ü"/>
    <d v="2017-06-01T00:00:00"/>
    <n v="0.17"/>
    <x v="65"/>
    <x v="58"/>
    <s v="Calle Güigüe Nro. 88-10"/>
    <s v="Cancelación Vigilancia, mes de Abril 2017"/>
    <s v="Vigilancia"/>
    <m/>
    <s v="00297"/>
    <s v="01 de Junio de 2017"/>
    <n v="1"/>
    <d v="2017-06-01T00:00:00"/>
    <s v="0,17"/>
    <s v="Cero Bolívares con 17/100"/>
  </r>
  <r>
    <n v="298"/>
    <m/>
    <s v="ü"/>
    <d v="2017-06-16T00:00:00"/>
    <n v="0.56000000000000005"/>
    <x v="18"/>
    <x v="16"/>
    <s v="Calle Guacara Nro. 87-100"/>
    <s v="Cancelación Vigilancia, mes de Junio y anticipo de Julio y Agosto 2017 (contra facturas)"/>
    <s v="Vigilancia"/>
    <m/>
    <s v="00298"/>
    <s v="16 de Junio de 2017"/>
    <n v="16"/>
    <d v="2017-06-01T00:00:00"/>
    <s v="0,56"/>
    <s v="Cero Bolívares con 56/100"/>
  </r>
  <r>
    <n v="299"/>
    <m/>
    <s v="ü"/>
    <d v="2017-06-16T00:00:00"/>
    <n v="0.08"/>
    <x v="17"/>
    <x v="16"/>
    <s v="Av. &quot;M&quot; Nro. 146-20"/>
    <s v="Colaboración Vigilancia, meses de Junio y Julio 2017 (contra facturas)"/>
    <s v="Vigilancia"/>
    <m/>
    <s v="00299"/>
    <s v="16 de Junio de 2017"/>
    <n v="16"/>
    <d v="2017-06-01T00:00:00"/>
    <s v="0,08"/>
    <s v="Cero Bolívares con 08/100"/>
  </r>
  <r>
    <n v="300"/>
    <m/>
    <s v="ü"/>
    <d v="2017-06-08T00:00:00"/>
    <n v="0.2"/>
    <x v="34"/>
    <x v="9"/>
    <s v="Av. &quot;O&quot; Nro. 146-11"/>
    <s v="Cancelación Vigilancia, mes de Mayo 2017"/>
    <s v="Vigilancia"/>
    <m/>
    <s v="00300"/>
    <s v="08 de Junio de 2017"/>
    <n v="8"/>
    <d v="2017-06-01T00:00:00"/>
    <s v="0,20"/>
    <s v="Cero Bolívares con 20/100"/>
  </r>
  <r>
    <n v="301"/>
    <m/>
    <s v="ü"/>
    <d v="2017-05-15T00:00:00"/>
    <n v="0.17"/>
    <x v="39"/>
    <x v="36"/>
    <s v="Calle Güigüe Nro. 88-111"/>
    <s v="Cancelación Vigilancia, mes de Abril 2017"/>
    <s v="Vigilancia"/>
    <m/>
    <s v="00301"/>
    <s v="15 de Mayo de 2017"/>
    <n v="15"/>
    <d v="2017-05-01T00:00:00"/>
    <s v="0,17"/>
    <s v="Cero Bolívares con 17/100"/>
  </r>
  <r>
    <n v="302"/>
    <m/>
    <s v="ü"/>
    <d v="2017-06-05T00:00:00"/>
    <n v="0.26"/>
    <x v="20"/>
    <x v="18"/>
    <s v="Calle Guacara Nro. 89-30"/>
    <s v="Cancelación Vigilancia, mes de Junio 2017"/>
    <s v="Vigilancia"/>
    <m/>
    <s v="00302"/>
    <s v="05 de Junio de 2017"/>
    <n v="5"/>
    <d v="2017-06-01T00:00:00"/>
    <s v="0,26"/>
    <s v="Cero Bolívares con 26/100"/>
  </r>
  <r>
    <n v="303"/>
    <m/>
    <s v="ü"/>
    <d v="2017-06-14T00:00:00"/>
    <n v="0.1"/>
    <x v="43"/>
    <x v="40"/>
    <s v="Calle Güigüe Nro. 88-50"/>
    <s v="Cuota especial, reja vereda Centro Comercial"/>
    <s v="Reja CC"/>
    <m/>
    <s v="00303"/>
    <s v="14 de Junio de 2017"/>
    <n v="14"/>
    <d v="2017-06-01T00:00:00"/>
    <s v="0,10"/>
    <s v="Cero Bolívares con 10/100"/>
  </r>
  <r>
    <n v="304"/>
    <m/>
    <s v="ü"/>
    <d v="2017-06-14T00:00:00"/>
    <n v="0.4"/>
    <x v="73"/>
    <x v="9"/>
    <s v="Calle Güigüe Nros. 88-71 y 88-81"/>
    <s v="Cancelación Vigilancia, mes de Junio 2017"/>
    <s v="Vigilancia"/>
    <m/>
    <s v="00304"/>
    <s v="14 de Junio de 2017"/>
    <n v="14"/>
    <d v="2017-06-01T00:00:00"/>
    <s v="0,40"/>
    <s v="Cero Bolívares con 40/100"/>
  </r>
  <r>
    <n v="305"/>
    <m/>
    <s v="ü"/>
    <d v="2017-06-14T00:00:00"/>
    <n v="7.0000000000000007E-2"/>
    <x v="73"/>
    <x v="9"/>
    <s v="Calle Güigüe Nros. 88-71 y 88-81"/>
    <s v="Cuota especial, reja vereda Centro Comercial"/>
    <s v="Reja CC"/>
    <m/>
    <s v="00305"/>
    <s v="14 de Junio de 2017"/>
    <n v="14"/>
    <d v="2017-06-01T00:00:00"/>
    <s v="0,07"/>
    <s v="Cero Bolívares con 07/100"/>
  </r>
  <r>
    <n v="306"/>
    <m/>
    <s v="ü"/>
    <d v="2017-06-14T00:00:00"/>
    <n v="7.0000000000000007E-2"/>
    <x v="29"/>
    <x v="27"/>
    <s v="Calle Guacara Nro. 88-75"/>
    <s v="Cuota especial, reja vereda Centro Comercial"/>
    <s v="Reja CC"/>
    <m/>
    <s v="00306"/>
    <s v="14 de Junio de 2017"/>
    <n v="14"/>
    <d v="2017-06-01T00:00:00"/>
    <s v="0,07"/>
    <s v="Cero Bolívares con 07/100"/>
  </r>
  <r>
    <n v="307"/>
    <m/>
    <s v="ü"/>
    <d v="2017-06-14T00:00:00"/>
    <n v="0.52"/>
    <x v="44"/>
    <x v="41"/>
    <s v="Calle Guacara Nro. 89-40"/>
    <s v="Cancelación Vigilancia, meses de Mayo y Junio 2017"/>
    <s v="Vigilancia"/>
    <m/>
    <s v="00307"/>
    <s v="14 de Junio de 2017"/>
    <n v="14"/>
    <d v="2017-06-01T00:00:00"/>
    <s v="0,52"/>
    <s v="Cero Bolívares con 52/100"/>
  </r>
  <r>
    <n v="308"/>
    <m/>
    <s v="ü"/>
    <d v="2017-06-14T00:00:00"/>
    <n v="7.0000000000000007E-2"/>
    <x v="44"/>
    <x v="41"/>
    <s v="Calle Guacara Nro. 89-40"/>
    <s v="Cuota especial, reja vereda Centro Comercial"/>
    <s v="Reja CC"/>
    <m/>
    <s v="00308"/>
    <s v="14 de Junio de 2017"/>
    <n v="14"/>
    <d v="2017-06-01T00:00:00"/>
    <s v="0,07"/>
    <s v="Cero Bolívares con 07/100"/>
  </r>
  <r>
    <n v="309"/>
    <m/>
    <s v="ü"/>
    <d v="2017-06-14T00:00:00"/>
    <n v="0.34"/>
    <x v="49"/>
    <x v="46"/>
    <s v="Av. &quot;O&quot; Nro. 146-17"/>
    <s v="Anticipo Vigilancia, meses de Mayo y Junio 2017"/>
    <s v="Vigilancia"/>
    <m/>
    <s v="00309"/>
    <s v="14 de Junio de 2017"/>
    <n v="14"/>
    <d v="2017-06-01T00:00:00"/>
    <s v="0,34"/>
    <s v="Cero Bolívares con 34/100"/>
  </r>
  <r>
    <n v="310"/>
    <m/>
    <s v="ü"/>
    <d v="2017-06-14T00:00:00"/>
    <n v="7.0000000000000007E-2"/>
    <x v="49"/>
    <x v="46"/>
    <s v="Av. &quot;O&quot; Nro. 146-17"/>
    <s v="Cuota especial, reja vereda Centro Comercial"/>
    <s v="Reja CC"/>
    <m/>
    <s v="00310"/>
    <s v="14 de Junio de 2017"/>
    <n v="14"/>
    <d v="2017-06-01T00:00:00"/>
    <s v="0,07"/>
    <s v="Cero Bolívares con 07/100"/>
  </r>
  <r>
    <n v="311"/>
    <m/>
    <s v="ü"/>
    <d v="2017-06-14T00:00:00"/>
    <n v="7.0000000000000007E-2"/>
    <x v="6"/>
    <x v="6"/>
    <s v="Calle Guacara Nro. 89-60"/>
    <s v="Cuota especial, reja vereda Centro Comercial"/>
    <s v="Reja CC"/>
    <m/>
    <s v="00311"/>
    <s v="14 de Junio de 2017"/>
    <n v="14"/>
    <d v="2017-06-01T00:00:00"/>
    <s v="0,07"/>
    <s v="Cero Bolívares con 07/100"/>
  </r>
  <r>
    <n v="312"/>
    <m/>
    <s v="ü"/>
    <d v="2017-06-14T00:00:00"/>
    <n v="0.13"/>
    <x v="68"/>
    <x v="60"/>
    <s v="Calle Güigüe Nro. 89-29"/>
    <s v="Colaboración Vigilancia, mes de Junio 2017"/>
    <s v="Vigilancia"/>
    <m/>
    <s v="00312"/>
    <s v="14 de Junio de 2017"/>
    <n v="14"/>
    <d v="2017-06-01T00:00:00"/>
    <s v="0,13"/>
    <s v="Cero Bolívares con 13/100"/>
  </r>
  <r>
    <n v="313"/>
    <m/>
    <s v="ü"/>
    <d v="2017-06-14T00:00:00"/>
    <n v="7.0000000000000007E-2"/>
    <x v="1"/>
    <x v="1"/>
    <s v="Calle Güigüe Nro. 88-44"/>
    <s v="Cuota especial, reja vereda Centro Comercial"/>
    <s v="Reja CC"/>
    <m/>
    <s v="00313"/>
    <s v="14 de Junio de 2017"/>
    <n v="14"/>
    <d v="2017-06-01T00:00:00"/>
    <s v="0,07"/>
    <s v="Cero Bolívares con 07/100"/>
  </r>
  <r>
    <n v="314"/>
    <m/>
    <s v="ü"/>
    <d v="2017-06-14T00:00:00"/>
    <n v="7.0000000000000007E-2"/>
    <x v="77"/>
    <x v="9"/>
    <s v="Calle Guacara Nro. 88-65"/>
    <s v="Cuota especial, reja vereda Centro Comercial"/>
    <s v="Reja CC"/>
    <m/>
    <s v="00314"/>
    <s v="14 de Junio de 2017"/>
    <n v="14"/>
    <d v="2017-06-01T00:00:00"/>
    <s v="0,07"/>
    <s v="Cero Bolívares con 07/100"/>
  </r>
  <r>
    <n v="315"/>
    <m/>
    <s v="ü"/>
    <d v="2017-06-15T00:00:00"/>
    <n v="0.15"/>
    <x v="67"/>
    <x v="2"/>
    <s v="Calle Guacara Nro. 90-93"/>
    <s v="Colaboración Vigilancia, meses de Febrero a Junio 2017"/>
    <s v="Vigilancia"/>
    <m/>
    <s v="00315"/>
    <s v="15 de Junio de 2017"/>
    <n v="15"/>
    <d v="2017-06-01T00:00:00"/>
    <s v="0,15"/>
    <s v="Cero Bolívares con 15/100"/>
  </r>
  <r>
    <n v="316"/>
    <m/>
    <s v="ü"/>
    <d v="2017-06-15T00:00:00"/>
    <n v="0.05"/>
    <x v="67"/>
    <x v="2"/>
    <s v="Calle Guacara Nro. 90-93"/>
    <s v="Colaboración cuota especial, reja vereda Centro Comercial"/>
    <s v="Reja CC"/>
    <m/>
    <s v="00316"/>
    <s v="15 de Junio de 2017"/>
    <n v="15"/>
    <d v="2017-06-01T00:00:00"/>
    <s v="0,05"/>
    <s v="Cero Bolívares con 05/100"/>
  </r>
  <r>
    <n v="317"/>
    <m/>
    <s v="ü"/>
    <d v="2017-06-15T00:00:00"/>
    <n v="0.2"/>
    <x v="2"/>
    <x v="2"/>
    <s v="Calle Guacara Nro. 88-19"/>
    <s v="Colaboración Vigilancia, mes de Junio 2017"/>
    <s v="Vigilancia"/>
    <m/>
    <s v="00317"/>
    <s v="15 de Junio de 2017"/>
    <n v="15"/>
    <d v="2017-06-01T00:00:00"/>
    <s v="0,20"/>
    <s v="Cero Bolívares con 20/100"/>
  </r>
  <r>
    <n v="318"/>
    <m/>
    <s v="ü"/>
    <d v="2017-06-15T00:00:00"/>
    <n v="7.0000000000000007E-2"/>
    <x v="20"/>
    <x v="18"/>
    <s v="Calle Guacara Nro. 89-30"/>
    <s v="Cuota especial, reja vereda Centro Comercial"/>
    <s v="Reja CC"/>
    <m/>
    <s v="00318"/>
    <s v="15 de Junio de 2017"/>
    <n v="15"/>
    <d v="2017-06-01T00:00:00"/>
    <s v="0,07"/>
    <s v="Cero Bolívares con 07/100"/>
  </r>
  <r>
    <n v="319"/>
    <m/>
    <s v="ü"/>
    <d v="2017-06-15T00:00:00"/>
    <n v="1.4999999999999999E-2"/>
    <x v="20"/>
    <x v="18"/>
    <s v="Calle Guacara Nro. 89-30"/>
    <s v="Compra de tres (03) calcomanías a Bs. 500 c u"/>
    <s v="Logo"/>
    <m/>
    <s v="00319"/>
    <s v="15 de Junio de 2017"/>
    <n v="15"/>
    <d v="2017-06-01T00:00:00"/>
    <s v="0,02"/>
    <s v="Cero Bolívares con 02/100"/>
  </r>
  <r>
    <n v="320"/>
    <m/>
    <s v="ü"/>
    <d v="2017-06-15T00:00:00"/>
    <n v="7.0000000000000007E-2"/>
    <x v="4"/>
    <x v="4"/>
    <s v="Calle Güigüe Nro. 89-55"/>
    <s v="Cuota especial, reja vereda Centro Comercial"/>
    <s v="Reja CC"/>
    <m/>
    <s v="00320"/>
    <s v="15 de Junio de 2017"/>
    <n v="15"/>
    <d v="2017-06-01T00:00:00"/>
    <s v="0,07"/>
    <s v="Cero Bolívares con 07/100"/>
  </r>
  <r>
    <n v="321"/>
    <m/>
    <s v="ü"/>
    <d v="2017-06-16T00:00:00"/>
    <n v="7.0000000000000007E-2"/>
    <x v="38"/>
    <x v="35"/>
    <s v="Calle Guacara Nro. 89-78"/>
    <s v="Cuota especial, reja vereda Centro Comercial"/>
    <s v="Reja CC"/>
    <m/>
    <s v="00321"/>
    <s v="16 de Junio de 2017"/>
    <n v="16"/>
    <d v="2017-06-01T00:00:00"/>
    <s v="0,07"/>
    <s v="Cero Bolívares con 07/100"/>
  </r>
  <r>
    <n v="322"/>
    <m/>
    <s v="ü"/>
    <d v="2017-06-16T00:00:00"/>
    <n v="7.0000000000000007E-2"/>
    <x v="18"/>
    <x v="16"/>
    <s v="Calle Guacara Nro. 87-100"/>
    <s v="Cuota especial, reja vereda Centro Comercial"/>
    <s v="Reja CC"/>
    <m/>
    <s v="00322"/>
    <s v="16 de Junio de 2017"/>
    <n v="16"/>
    <d v="2017-06-01T00:00:00"/>
    <s v="0,07"/>
    <s v="Cero Bolívares con 07/100"/>
  </r>
  <r>
    <n v="323"/>
    <m/>
    <s v="ü"/>
    <d v="2017-06-16T00:00:00"/>
    <n v="0.27"/>
    <x v="38"/>
    <x v="35"/>
    <s v="Calle Guacara Nro. 89-78"/>
    <s v="Cancelación Vigilancia, mes de Mayo y anticipo de Junio 2017"/>
    <s v="Vigilancia"/>
    <m/>
    <s v="00323"/>
    <s v="16 de Junio de 2017"/>
    <n v="16"/>
    <d v="2017-06-01T00:00:00"/>
    <s v="0,27"/>
    <s v="Cero Bolívares con 27/100"/>
  </r>
  <r>
    <n v="324"/>
    <m/>
    <s v="ü"/>
    <d v="2017-06-16T00:00:00"/>
    <n v="0.26"/>
    <x v="64"/>
    <x v="57"/>
    <s v="Calle Guacara Nro. 88-35"/>
    <s v="Cancelación Vigilancia, mes de Junio 2017, contra factura"/>
    <s v="Vigilancia"/>
    <m/>
    <s v="00324"/>
    <s v="16 de Junio de 2017"/>
    <n v="16"/>
    <d v="2017-06-01T00:00:00"/>
    <s v="0,26"/>
    <s v="Cero Bolívares con 26/100"/>
  </r>
  <r>
    <n v="325"/>
    <m/>
    <s v="ü"/>
    <d v="2017-06-16T00:00:00"/>
    <n v="7.0000000000000007E-2"/>
    <x v="7"/>
    <x v="7"/>
    <s v="Calle Guacara Nro. 87-86"/>
    <s v="Cuota especial, reja vereda Centro Comercial"/>
    <s v="Reja CC"/>
    <m/>
    <s v="00325"/>
    <s v="16 de Junio de 2017"/>
    <n v="16"/>
    <d v="2017-06-01T00:00:00"/>
    <s v="0,07"/>
    <s v="Cero Bolívares con 07/100"/>
  </r>
  <r>
    <n v="326"/>
    <m/>
    <s v="ü"/>
    <d v="2017-06-16T00:00:00"/>
    <n v="0.26"/>
    <x v="4"/>
    <x v="4"/>
    <s v="Calle Güigüe Nro. 89-55"/>
    <s v="Cancelación Vigilancia, mes de Junio 2017"/>
    <s v="Vigilancia"/>
    <m/>
    <s v="00326"/>
    <s v="16 de Junio de 2017"/>
    <n v="16"/>
    <d v="2017-06-01T00:00:00"/>
    <s v="0,26"/>
    <s v="Cero Bolívares con 26/100"/>
  </r>
  <r>
    <n v="327"/>
    <m/>
    <s v="ü"/>
    <d v="2017-06-17T00:00:00"/>
    <n v="0.26"/>
    <x v="37"/>
    <x v="34"/>
    <s v="Av. &quot;I&quot; Nro. 146-40"/>
    <s v="Cancelación Vigilancia, mes de Mayo 2017"/>
    <s v="Vigilancia"/>
    <m/>
    <s v="00327"/>
    <s v="17 de Junio de 2017"/>
    <n v="17"/>
    <d v="2017-06-01T00:00:00"/>
    <s v="0,26"/>
    <s v="Cero Bolívares con 26/100"/>
  </r>
  <r>
    <n v="328"/>
    <m/>
    <s v="ü"/>
    <d v="2017-06-19T00:00:00"/>
    <n v="0.56000000000000005"/>
    <x v="36"/>
    <x v="33"/>
    <s v="Calle Güigüe Nro. 89-10"/>
    <s v="Cancelación Vigilancia, meses de Abril y Mayo 2017 y adelanto del mes de Junio 2017, contra factura"/>
    <s v="Vigilancia"/>
    <m/>
    <s v="00328"/>
    <s v="19 de Junio de 2017"/>
    <n v="19"/>
    <d v="2017-06-01T00:00:00"/>
    <s v="0,56"/>
    <s v="Cero Bolívares con 56/100"/>
  </r>
  <r>
    <n v="329"/>
    <m/>
    <s v="ü"/>
    <d v="2017-06-19T00:00:00"/>
    <n v="7.0000000000000007E-2"/>
    <x v="16"/>
    <x v="15"/>
    <s v="Calle Guacara Nro. 90-81"/>
    <s v="Cuota especial, reja vereda Centro Comercial"/>
    <s v="Reja CC"/>
    <m/>
    <s v="00329"/>
    <s v="19 de Junio de 2017"/>
    <n v="19"/>
    <d v="2017-06-01T00:00:00"/>
    <s v="0,07"/>
    <s v="Cero Bolívares con 07/100"/>
  </r>
  <r>
    <n v="330"/>
    <m/>
    <s v="ü"/>
    <d v="2017-06-20T00:00:00"/>
    <n v="7.0000000000000007E-2"/>
    <x v="56"/>
    <x v="52"/>
    <s v="Calle Güigüe Nro. 88-70"/>
    <s v="Cuota especial, reja vereda Centro Comercial"/>
    <s v="Reja CC"/>
    <m/>
    <s v="00330"/>
    <s v="20 de Junio de 2017"/>
    <n v="20"/>
    <d v="2017-06-01T00:00:00"/>
    <s v="0,07"/>
    <s v="Cero Bolívares con 07/100"/>
  </r>
  <r>
    <n v="331"/>
    <m/>
    <s v="ü"/>
    <d v="2017-06-20T00:00:00"/>
    <n v="7.0000000000000007E-2"/>
    <x v="35"/>
    <x v="32"/>
    <s v="Calle Güigüe Nro. 89-80"/>
    <s v="Cuota especial, reja vereda Centro Comercial"/>
    <s v="Reja CC"/>
    <m/>
    <s v="00331"/>
    <s v="20 de Junio de 2017"/>
    <n v="20"/>
    <d v="2017-06-01T00:00:00"/>
    <s v="0,07"/>
    <s v="Cero Bolívares con 07/100"/>
  </r>
  <r>
    <n v="332"/>
    <m/>
    <s v="ü"/>
    <d v="2017-06-21T00:00:00"/>
    <n v="0.13"/>
    <x v="36"/>
    <x v="33"/>
    <s v="Calle Güigüe Nro. 89-10"/>
    <s v="Cancelación saldo Vigilancia, mes de Junio 2017"/>
    <s v="Vigilancia"/>
    <m/>
    <s v="00332"/>
    <s v="21 de Junio de 2017"/>
    <n v="21"/>
    <d v="2017-06-01T00:00:00"/>
    <s v="0,13"/>
    <s v="Cero Bolívares con 13/100"/>
  </r>
  <r>
    <n v="333"/>
    <m/>
    <s v="ü"/>
    <d v="2017-06-21T00:00:00"/>
    <n v="7.0000000000000007E-2"/>
    <x v="36"/>
    <x v="33"/>
    <s v="Calle Güigüe Nro. 89-10"/>
    <s v="Cuota especial, reja vereda Centro Comercial"/>
    <s v="Reja CC"/>
    <m/>
    <s v="00333"/>
    <s v="21 de Junio de 2017"/>
    <n v="21"/>
    <d v="2017-06-01T00:00:00"/>
    <s v="0,07"/>
    <s v="Cero Bolívares con 07/100"/>
  </r>
  <r>
    <n v="334"/>
    <m/>
    <s v="ü"/>
    <d v="2017-06-21T00:00:00"/>
    <n v="7.4999999999999997E-2"/>
    <x v="78"/>
    <x v="67"/>
    <s v="Calle Güigüe Nro. 88-61"/>
    <s v="Cuota especial, reja vereda Centro Comercial"/>
    <s v="Reja CC"/>
    <m/>
    <s v="00334"/>
    <s v="21 de Junio de 2017"/>
    <n v="21"/>
    <d v="2017-06-01T00:00:00"/>
    <s v="0,08"/>
    <s v="Cero Bolívares con 08/100"/>
  </r>
  <r>
    <n v="335"/>
    <m/>
    <s v="ü"/>
    <d v="2017-06-21T00:00:00"/>
    <n v="7.0000000000000007E-2"/>
    <x v="59"/>
    <x v="9"/>
    <s v="Calle Guacara Nro. 90-35"/>
    <s v="Cuota especial, reja vereda Centro Comercial"/>
    <s v="Reja CC"/>
    <m/>
    <s v="00335"/>
    <s v="21 de Junio de 2017"/>
    <n v="21"/>
    <d v="2017-06-01T00:00:00"/>
    <s v="0,07"/>
    <s v="Cero Bolívares con 07/100"/>
  </r>
  <r>
    <n v="336"/>
    <m/>
    <s v="ü"/>
    <d v="2017-06-21T00:00:00"/>
    <n v="0.3"/>
    <x v="9"/>
    <x v="9"/>
    <s v="Av. &quot;M&quot; Nro. 146-30"/>
    <s v="Cancelación Vigilancia, mes de Junio 2017"/>
    <s v="Vigilancia"/>
    <m/>
    <s v="00336"/>
    <s v="21 de Junio de 2017"/>
    <n v="21"/>
    <d v="2017-06-01T00:00:00"/>
    <s v="0,30"/>
    <s v="Cero Bolívares con 30/100"/>
  </r>
  <r>
    <n v="337"/>
    <m/>
    <s v="ü"/>
    <d v="2017-06-21T00:00:00"/>
    <n v="7.0000000000000007E-2"/>
    <x v="9"/>
    <x v="9"/>
    <s v="Av. &quot;M&quot; Nro. 146-30"/>
    <s v="Cuota especial, reja vereda Centro Comercial"/>
    <s v="Reja CC"/>
    <m/>
    <s v="00337"/>
    <s v="21 de Junio de 2017"/>
    <n v="21"/>
    <d v="2017-06-01T00:00:00"/>
    <s v="0,07"/>
    <s v="Cero Bolívares con 07/100"/>
  </r>
  <r>
    <n v="338"/>
    <m/>
    <s v="ü"/>
    <d v="2017-06-21T00:00:00"/>
    <n v="0.05"/>
    <x v="34"/>
    <x v="31"/>
    <s v="Av. &quot;O&quot; Nro. 146-11"/>
    <s v="Anticipo cuota especial, reja vereda Centro Comercial"/>
    <s v="Reja CC"/>
    <m/>
    <s v="00338"/>
    <s v="21 de Junio de 2017"/>
    <n v="21"/>
    <d v="2017-06-01T00:00:00"/>
    <s v="0,05"/>
    <s v="Cero Bolívares con 05/100"/>
  </r>
  <r>
    <n v="339"/>
    <m/>
    <s v="ü"/>
    <d v="2017-06-21T00:00:00"/>
    <n v="0.09"/>
    <x v="42"/>
    <x v="39"/>
    <s v="Calle Güigüe Nro. 89-79"/>
    <s v="Cancelación saldo Vigilancia, mes de Junio 2017"/>
    <s v="Vigilancia"/>
    <m/>
    <s v="00339"/>
    <s v="21 de Junio de 2017"/>
    <n v="21"/>
    <d v="2017-06-01T00:00:00"/>
    <s v="0,09"/>
    <s v="Cero Bolívares con 09/100"/>
  </r>
  <r>
    <n v="340"/>
    <m/>
    <s v="ü"/>
    <d v="2017-06-21T00:00:00"/>
    <n v="7.0000000000000007E-2"/>
    <x v="42"/>
    <x v="39"/>
    <s v="Calle Güigüe Nro. 89-79"/>
    <s v="Cuota especial, reja vereda Centro Comercial"/>
    <s v="Reja CC"/>
    <m/>
    <s v="00340"/>
    <s v="21 de Junio de 2017"/>
    <n v="21"/>
    <d v="2017-06-01T00:00:00"/>
    <s v="0,07"/>
    <s v="Cero Bolívares con 07/100"/>
  </r>
  <r>
    <n v="341"/>
    <m/>
    <s v="ü"/>
    <d v="2017-06-21T00:00:00"/>
    <n v="7.0000000000000007E-2"/>
    <x v="31"/>
    <x v="29"/>
    <s v="Calle Güigüe Nro. 89-95"/>
    <s v="Cuota especial, reja vereda Centro Comercial"/>
    <s v="Reja CC"/>
    <m/>
    <s v="00341"/>
    <s v="21 de Junio de 2017"/>
    <n v="21"/>
    <d v="2017-06-01T00:00:00"/>
    <s v="0,07"/>
    <s v="Cero Bolívares con 07/100"/>
  </r>
  <r>
    <n v="342"/>
    <m/>
    <s v="ü"/>
    <d v="2017-06-21T00:00:00"/>
    <n v="7.0000000000000007E-2"/>
    <x v="11"/>
    <x v="11"/>
    <s v="Calle Guacara Nro. 89-86"/>
    <s v="Cuota especial, reja vereda Centro Comercial"/>
    <s v="Reja CC"/>
    <m/>
    <s v="00342"/>
    <s v="21 de Junio de 2017"/>
    <n v="21"/>
    <d v="2017-06-01T00:00:00"/>
    <s v="0,07"/>
    <s v="Cero Bolívares con 07/100"/>
  </r>
  <r>
    <n v="343"/>
    <m/>
    <s v="ü"/>
    <d v="2017-06-21T00:00:00"/>
    <n v="0.26"/>
    <x v="30"/>
    <x v="28"/>
    <s v="Calle Güigüe Nro. 89-04"/>
    <s v="Cancelación Vigilancia, mes de Junio 2017"/>
    <s v="Vigilancia"/>
    <m/>
    <s v="00343"/>
    <s v="21 de Junio de 2017"/>
    <n v="21"/>
    <d v="2017-06-01T00:00:00"/>
    <s v="0,26"/>
    <s v="Cero Bolívares con 26/100"/>
  </r>
  <r>
    <n v="344"/>
    <m/>
    <s v="ü"/>
    <d v="2017-06-21T00:00:00"/>
    <n v="7.0000000000000007E-2"/>
    <x v="30"/>
    <x v="28"/>
    <s v="Calle Güigüe Nro. 89-04"/>
    <s v="Cuota especial, reja vereda Centro Comercial"/>
    <s v="Reja CC"/>
    <m/>
    <s v="00344"/>
    <s v="21 de Junio de 2017"/>
    <n v="21"/>
    <d v="2017-06-01T00:00:00"/>
    <s v="0,07"/>
    <s v="Cero Bolívares con 07/100"/>
  </r>
  <r>
    <n v="345"/>
    <m/>
    <s v="ü"/>
    <d v="2017-06-22T00:00:00"/>
    <n v="7.0000000000000007E-2"/>
    <x v="19"/>
    <x v="17"/>
    <s v="Calle Guacara Nro. 89-130"/>
    <s v="Cuota especial, reja vereda Centro Comercial"/>
    <s v="Reja CC"/>
    <m/>
    <s v="00345"/>
    <s v="22 de Junio de 2017"/>
    <n v="22"/>
    <d v="2017-06-01T00:00:00"/>
    <s v="0,07"/>
    <s v="Cero Bolívares con 07/100"/>
  </r>
  <r>
    <n v="346"/>
    <m/>
    <s v="ü"/>
    <d v="2017-06-22T00:00:00"/>
    <n v="0.03"/>
    <x v="60"/>
    <x v="54"/>
    <s v="Calle Guacara Nro. 88-51"/>
    <s v="Colaboración cuota especial, reja vereda Centro Comercial"/>
    <s v="Reja CC"/>
    <m/>
    <s v="00346"/>
    <s v="22 de Junio de 2017"/>
    <n v="22"/>
    <d v="2017-06-01T00:00:00"/>
    <s v="0,03"/>
    <s v="Cero Bolívares con 03/100"/>
  </r>
  <r>
    <n v="347"/>
    <m/>
    <s v="ü"/>
    <d v="2017-06-22T00:00:00"/>
    <n v="7.0000000000000007E-2"/>
    <x v="48"/>
    <x v="9"/>
    <s v="Calle Güigüe Nro. 88-90"/>
    <s v="Cuota especial, reja vereda Centro Comercial"/>
    <s v="Reja CC"/>
    <m/>
    <s v="00347"/>
    <s v="22 de Junio de 2017"/>
    <n v="22"/>
    <d v="2017-06-01T00:00:00"/>
    <s v="0,07"/>
    <s v="Cero Bolívares con 07/100"/>
  </r>
  <r>
    <n v="348"/>
    <m/>
    <s v="ü"/>
    <d v="2017-06-22T00:00:00"/>
    <n v="4.3200000000000002E-2"/>
    <x v="2"/>
    <x v="2"/>
    <s v="Calle Guacara Nro. 88-19"/>
    <s v="Colaboración cuota especial, reja vereda Centro Comercial"/>
    <s v="Reja CC"/>
    <m/>
    <s v="00348"/>
    <s v="22 de Junio de 2017"/>
    <n v="22"/>
    <d v="2017-06-01T00:00:00"/>
    <s v="0,04"/>
    <s v="Cero Bolívares con 04/100"/>
  </r>
  <r>
    <n v="349"/>
    <m/>
    <s v="ü"/>
    <d v="2017-06-22T00:00:00"/>
    <n v="0.26"/>
    <x v="40"/>
    <x v="37"/>
    <s v="Calle Güigüe Nro. 88-101"/>
    <s v="Cancelación Vigilancia, mes de Junio 2017"/>
    <s v="Vigilancia"/>
    <m/>
    <s v="00349"/>
    <s v="22 de Junio de 2017"/>
    <n v="22"/>
    <d v="2017-06-01T00:00:00"/>
    <s v="0,26"/>
    <s v="Cero Bolívares con 26/100"/>
  </r>
  <r>
    <n v="350"/>
    <m/>
    <s v="ü"/>
    <d v="2017-06-22T00:00:00"/>
    <n v="7.0000000000000007E-2"/>
    <x v="40"/>
    <x v="37"/>
    <s v="Calle Güigüe Nro. 88-101"/>
    <s v="Cuota especial, reja vereda Centro Comercial"/>
    <s v="Reja CC"/>
    <m/>
    <s v="00350"/>
    <s v="22 de Junio de 2017"/>
    <n v="22"/>
    <d v="2017-06-01T00:00:00"/>
    <s v="0,07"/>
    <s v="Cero Bolívares con 07/100"/>
  </r>
  <r>
    <n v="351"/>
    <m/>
    <s v="ü"/>
    <d v="2017-06-22T00:00:00"/>
    <n v="0.26"/>
    <x v="43"/>
    <x v="40"/>
    <s v="Calle Güigüe Nro. 88-50"/>
    <s v="Cancelación Vigilancia, mes de Mayo 2017"/>
    <s v="Vigilancia"/>
    <m/>
    <s v="00351"/>
    <s v="22 de Junio de 2017"/>
    <n v="22"/>
    <d v="2017-06-01T00:00:00"/>
    <s v="0,26"/>
    <s v="Cero Bolívares con 26/100"/>
  </r>
  <r>
    <n v="352"/>
    <m/>
    <s v="ü"/>
    <d v="2017-06-22T00:00:00"/>
    <n v="7.0000000000000007E-2"/>
    <x v="27"/>
    <x v="25"/>
    <s v="Calle Güigüe Nro. 89-106"/>
    <s v="Cuota especial, reja vereda Centro Comercial"/>
    <s v="Reja CC"/>
    <m/>
    <s v="00352"/>
    <s v="22 de Junio de 2017"/>
    <n v="22"/>
    <d v="2017-06-01T00:00:00"/>
    <s v="0,07"/>
    <s v="Cero Bolívares con 07/100"/>
  </r>
  <r>
    <n v="353"/>
    <m/>
    <s v="ü"/>
    <d v="2017-06-23T00:00:00"/>
    <n v="7.0000000000000007E-2"/>
    <x v="58"/>
    <x v="53"/>
    <s v="Calle Güigüe Nro. 88-51"/>
    <s v="Cuota especial, reja vereda Centro Comercial"/>
    <s v="Reja CC"/>
    <m/>
    <s v="00353"/>
    <s v="23 de Junio de 2017"/>
    <n v="23"/>
    <d v="2017-06-01T00:00:00"/>
    <s v="0,07"/>
    <s v="Cero Bolívares con 07/100"/>
  </r>
  <r>
    <n v="354"/>
    <m/>
    <s v="ü"/>
    <d v="2017-06-24T00:00:00"/>
    <n v="0.3"/>
    <x v="71"/>
    <x v="62"/>
    <s v="Calle Güigüe Nro. 89-71"/>
    <s v="Colaboración Vigilancia, meses de Abril y Mayo 2017"/>
    <s v="Vigilancia"/>
    <m/>
    <s v="00354"/>
    <s v="24 de Junio de 2017"/>
    <n v="24"/>
    <d v="2017-06-01T00:00:00"/>
    <s v="0,30"/>
    <s v="Cero Bolívares con 30/100"/>
  </r>
  <r>
    <n v="355"/>
    <m/>
    <s v="ü"/>
    <d v="2017-06-24T00:00:00"/>
    <n v="0.2"/>
    <x v="22"/>
    <x v="20"/>
    <s v="Calle Guacara Nro. 88-25"/>
    <s v="Colaboración Vigilancia, mes de Junio 2017"/>
    <s v="Vigilancia"/>
    <m/>
    <s v="00355"/>
    <s v="24 de Junio de 2017"/>
    <n v="24"/>
    <d v="2017-06-01T00:00:00"/>
    <s v="0,20"/>
    <s v="Cero Bolívares con 20/100"/>
  </r>
  <r>
    <n v="356"/>
    <m/>
    <s v="ü"/>
    <d v="2017-06-26T00:00:00"/>
    <n v="7.0000000000000007E-2"/>
    <x v="14"/>
    <x v="13"/>
    <s v="Calle Güigüe Nro. 89-83"/>
    <s v="Cuota especial, reja vereda Centro Comercial"/>
    <s v="Reja CC"/>
    <m/>
    <s v="00356"/>
    <s v="26 de Junio de 2017"/>
    <n v="26"/>
    <d v="2017-06-01T00:00:00"/>
    <s v="0,07"/>
    <s v="Cero Bolívares con 07/100"/>
  </r>
  <r>
    <n v="357"/>
    <m/>
    <s v="ü"/>
    <d v="2017-06-26T00:00:00"/>
    <n v="0.26"/>
    <x v="24"/>
    <x v="22"/>
    <s v="Calle Güigüe Nro. 88-54"/>
    <s v="Cancelación Vigilancia, mes de Junio 2017"/>
    <s v="Vigilancia"/>
    <m/>
    <s v="00357"/>
    <s v="26 de Junio de 2017"/>
    <n v="26"/>
    <d v="2017-06-01T00:00:00"/>
    <s v="0,26"/>
    <s v="Cero Bolívares con 26/100"/>
  </r>
  <r>
    <n v="358"/>
    <m/>
    <s v="ü"/>
    <d v="2017-06-26T00:00:00"/>
    <n v="0.26"/>
    <x v="65"/>
    <x v="58"/>
    <s v="Calle Güigüe Nro. 88-10"/>
    <s v="Cancelación Vigilancia, mes de Mayo 2017"/>
    <s v="Vigilancia"/>
    <m/>
    <s v="00358"/>
    <s v="26 de Junio de 2017"/>
    <n v="26"/>
    <d v="2017-06-01T00:00:00"/>
    <s v="0,26"/>
    <s v="Cero Bolívares con 26/100"/>
  </r>
  <r>
    <n v="359"/>
    <m/>
    <s v="ü"/>
    <d v="2017-06-26T00:00:00"/>
    <n v="7.0000000000000007E-2"/>
    <x v="65"/>
    <x v="58"/>
    <s v="Calle Güigüe Nro. 88-10"/>
    <s v="Cuota especial, reja vereda Centro Comercial"/>
    <s v="Reja CC"/>
    <m/>
    <s v="00359"/>
    <s v="26 de Junio de 2017"/>
    <n v="26"/>
    <d v="2017-06-01T00:00:00"/>
    <s v="0,07"/>
    <s v="Cero Bolívares con 07/100"/>
  </r>
  <r>
    <n v="360"/>
    <m/>
    <s v="ü"/>
    <d v="2017-06-26T00:00:00"/>
    <n v="7.0000000000000007E-2"/>
    <x v="57"/>
    <x v="9"/>
    <s v="Calle Güigüe Nro. 88-40"/>
    <s v="Cuota especial, reja vereda Centro Comercial"/>
    <s v="Reja CC"/>
    <m/>
    <s v="00360"/>
    <s v="26 de Junio de 2017"/>
    <n v="26"/>
    <d v="2017-06-01T00:00:00"/>
    <s v="0,07"/>
    <s v="Cero Bolívares con 07/100"/>
  </r>
  <r>
    <n v="361"/>
    <m/>
    <s v="ü"/>
    <d v="2017-06-27T00:00:00"/>
    <n v="7.0000000000000007E-2"/>
    <x v="76"/>
    <x v="66"/>
    <s v="Calle Güigüe Nro. 89-90"/>
    <s v="Cuota especial, reja vereda Centro Comercial"/>
    <s v="Reja CC"/>
    <m/>
    <s v="00361"/>
    <s v="27 de Junio de 2017"/>
    <n v="27"/>
    <d v="2017-06-01T00:00:00"/>
    <s v="0,07"/>
    <s v="Cero Bolívares con 07/100"/>
  </r>
  <r>
    <n v="362"/>
    <m/>
    <s v="ü"/>
    <d v="2017-06-28T00:00:00"/>
    <n v="0.03"/>
    <x v="28"/>
    <x v="26"/>
    <s v="Calle Güigüe Nro. 88-30"/>
    <s v="Colaboración Vigilancia, mes de Mayo 2017"/>
    <s v="Vigilancia"/>
    <m/>
    <s v="00362"/>
    <s v="28 de Junio de 2017"/>
    <n v="28"/>
    <d v="2017-06-01T00:00:00"/>
    <s v="0,03"/>
    <s v="Cero Bolívares con 03/100"/>
  </r>
  <r>
    <n v="363"/>
    <m/>
    <s v="ü"/>
    <d v="2017-06-20T00:00:00"/>
    <n v="0.26"/>
    <x v="23"/>
    <x v="21"/>
    <s v="Calle Güigüe Nro. 88-116"/>
    <s v="Cancelación Vigilancia, mes de Junio 2017"/>
    <s v="Vigilancia"/>
    <m/>
    <s v="00363"/>
    <s v="20 de Junio de 2017"/>
    <n v="20"/>
    <d v="2017-06-01T00:00:00"/>
    <s v="0,26"/>
    <s v="Cero Bolívares con 26/100"/>
  </r>
  <r>
    <n v="364"/>
    <m/>
    <s v="û"/>
    <d v="2017-06-28T00:00:00"/>
    <n v="7.0000000000000007E-2"/>
    <x v="19"/>
    <x v="17"/>
    <s v="Calle Guacara Nro. 89-130"/>
    <s v="ANULADO: Cuota especial, reja vereda Centro Comercial"/>
    <s v="ANULADO"/>
    <m/>
    <s v="00364"/>
    <s v="28 de Junio de 2017"/>
    <n v="28"/>
    <d v="2017-06-01T00:00:00"/>
    <s v="0,07"/>
    <s v="Cero Bolívares con 07/100"/>
  </r>
  <r>
    <n v="365"/>
    <m/>
    <s v="ü"/>
    <d v="2017-06-28T00:00:00"/>
    <n v="0.17"/>
    <x v="8"/>
    <x v="8"/>
    <s v="Calle Guacara Nro. 90-51"/>
    <s v="Cancelación Vigilancia, mes de Abril 2017"/>
    <s v="Vigilancia"/>
    <m/>
    <s v="00365"/>
    <s v="28 de Junio de 2017"/>
    <n v="28"/>
    <d v="2017-06-01T00:00:00"/>
    <s v="0,17"/>
    <s v="Cero Bolívares con 17/100"/>
  </r>
  <r>
    <n v="366"/>
    <m/>
    <s v="ü"/>
    <d v="2017-06-28T00:00:00"/>
    <n v="0.52"/>
    <x v="8"/>
    <x v="8"/>
    <s v="Calle Guacara Nro. 90-51"/>
    <s v="Cancelación Vigilancia, meses de Mayo y Junio 2017"/>
    <s v="Vigilancia"/>
    <m/>
    <s v="00366"/>
    <s v="28 de Junio de 2017"/>
    <n v="28"/>
    <d v="2017-06-01T00:00:00"/>
    <s v="0,52"/>
    <s v="Cero Bolívares con 52/100"/>
  </r>
  <r>
    <n v="367"/>
    <m/>
    <s v="ü"/>
    <d v="2017-06-29T00:00:00"/>
    <n v="7.0000000000000007E-2"/>
    <x v="64"/>
    <x v="57"/>
    <s v="Calle Guacara Nro. 88-35"/>
    <s v="Cuota especial, reja vereda Centro Comercial"/>
    <s v="Reja CC"/>
    <m/>
    <s v="00367"/>
    <s v="29 de Junio de 2017"/>
    <n v="29"/>
    <d v="2017-06-01T00:00:00"/>
    <s v="0,07"/>
    <s v="Cero Bolívares con 07/100"/>
  </r>
  <r>
    <n v="368"/>
    <m/>
    <s v="ü"/>
    <d v="2017-06-30T00:00:00"/>
    <n v="0.02"/>
    <x v="34"/>
    <x v="31"/>
    <s v="Av. &quot;O&quot; Nro. 146-11"/>
    <s v="Cancelación saldo cuota especial, reja vereda Centro Comercial"/>
    <s v="Reja CC"/>
    <m/>
    <s v="00368"/>
    <s v="30 de Junio de 2017"/>
    <n v="30"/>
    <d v="2017-06-01T00:00:00"/>
    <s v="0,02"/>
    <s v="Cero Bolívares con 02/100"/>
  </r>
  <r>
    <n v="369"/>
    <m/>
    <s v="ü"/>
    <d v="2017-06-30T00:00:00"/>
    <n v="7.0000000000000007E-2"/>
    <x v="72"/>
    <x v="63"/>
    <s v="Calle Güigüe Nro. 89-35"/>
    <s v="Cuota especial, reja vereda Centro Comercial"/>
    <s v="Reja CC"/>
    <m/>
    <s v="00369"/>
    <s v="30 de Junio de 2017"/>
    <n v="30"/>
    <d v="2017-06-01T00:00:00"/>
    <s v="0,07"/>
    <s v="Cero Bolívares con 07/100"/>
  </r>
  <r>
    <n v="370"/>
    <m/>
    <s v="ü"/>
    <d v="2017-06-30T00:00:00"/>
    <n v="0.05"/>
    <x v="79"/>
    <x v="9"/>
    <s v="Calle Güigüe Nro. 89-30"/>
    <s v="Colaboración cuota especial, reja vereda Centro Comercial"/>
    <s v="Reja CC"/>
    <m/>
    <s v="00370"/>
    <s v="30 de Junio de 2017"/>
    <n v="30"/>
    <d v="2017-06-01T00:00:00"/>
    <s v="0,05"/>
    <s v="Cero Bolívares con 05/100"/>
  </r>
  <r>
    <n v="371"/>
    <m/>
    <s v="ü"/>
    <d v="2017-06-30T00:00:00"/>
    <n v="0.27"/>
    <x v="6"/>
    <x v="6"/>
    <s v="Calle Guacara Nro. 89-60"/>
    <s v="Anticipo Vigilancia, mes de Julio 2017"/>
    <s v="Vigilancia"/>
    <m/>
    <s v="00371"/>
    <s v="30 de Junio de 2017"/>
    <n v="30"/>
    <d v="2017-06-01T00:00:00"/>
    <s v="0,27"/>
    <s v="Cero Bolívares con 27/100"/>
  </r>
  <r>
    <n v="372"/>
    <m/>
    <s v="ü"/>
    <d v="2017-07-02T00:00:00"/>
    <n v="0.05"/>
    <x v="22"/>
    <x v="20"/>
    <s v="Calle Guacara Nro. 88-25"/>
    <s v="Colaboración cuota especial, reja vereda Centro Comercial"/>
    <s v="Reja CC"/>
    <m/>
    <s v="00372"/>
    <s v="02 de Julio de 2017"/>
    <n v="2"/>
    <d v="2017-07-01T00:00:00"/>
    <s v="0,05"/>
    <s v="Cero Bolívares con 05/100"/>
  </r>
  <r>
    <n v="373"/>
    <m/>
    <s v="ü"/>
    <d v="2017-07-02T00:00:00"/>
    <n v="0.34"/>
    <x v="61"/>
    <x v="14"/>
    <s v="Calle Guacara Nro. 87-07"/>
    <s v="Colaboración Vigilancia, meses de Junio y Julio 2017"/>
    <s v="Vigilancia"/>
    <m/>
    <s v="00373"/>
    <s v="02 de Julio de 2017"/>
    <n v="2"/>
    <d v="2017-07-01T00:00:00"/>
    <s v="0,34"/>
    <s v="Cero Bolívares con 34/100"/>
  </r>
  <r>
    <n v="374"/>
    <m/>
    <s v="ü"/>
    <d v="2017-07-02T00:00:00"/>
    <n v="7.0000000000000007E-2"/>
    <x v="61"/>
    <x v="14"/>
    <s v="Calle Guacara Nro. 87-07"/>
    <s v="Cuota especial, reja vereda Centro Comercial"/>
    <s v="Reja CC"/>
    <m/>
    <s v="00374"/>
    <s v="02 de Julio de 2017"/>
    <n v="2"/>
    <d v="2017-07-01T00:00:00"/>
    <s v="0,07"/>
    <s v="Cero Bolívares con 07/100"/>
  </r>
  <r>
    <n v="375"/>
    <m/>
    <s v="ü"/>
    <d v="2017-07-01T00:00:00"/>
    <n v="0.26"/>
    <x v="0"/>
    <x v="0"/>
    <s v="Calle Guacara Nro. 88-45"/>
    <s v="Anticipo Vigilancia, mes de Julio 2017 (saldo a favor: Bs. 139.000)"/>
    <s v="Vigilancia"/>
    <m/>
    <s v="00375"/>
    <s v="01 de Julio de 2017"/>
    <n v="1"/>
    <d v="2017-07-01T00:00:00"/>
    <s v="0,26"/>
    <s v="Cero Bolívares con 26/100"/>
  </r>
  <r>
    <n v="376"/>
    <m/>
    <s v="ü"/>
    <d v="2017-07-01T00:00:00"/>
    <n v="0.26"/>
    <x v="75"/>
    <x v="65"/>
    <s v="Av. &quot;Ñ&quot; Nro. 145-25"/>
    <s v="Anticipo Vigilancia, mes de Julio 2017 (saldo a favor: Bs. 130.000)"/>
    <s v="Vigilancia"/>
    <m/>
    <s v="00376"/>
    <s v="01 de Julio de 2017"/>
    <n v="1"/>
    <d v="2017-07-01T00:00:00"/>
    <s v="0,26"/>
    <s v="Cero Bolívares con 26/100"/>
  </r>
  <r>
    <n v="377"/>
    <m/>
    <s v="ü"/>
    <d v="2017-07-02T00:00:00"/>
    <n v="7.0000000000000007E-2"/>
    <x v="24"/>
    <x v="22"/>
    <s v="Calle Güigüe Nro. 88-54"/>
    <s v="Cuota especial, reja vereda Centro Comercial"/>
    <s v="Reja CC"/>
    <m/>
    <s v="00377"/>
    <s v="02 de Julio de 2017"/>
    <n v="2"/>
    <d v="2017-07-01T00:00:00"/>
    <s v="0,07"/>
    <s v="Cero Bolívares con 07/100"/>
  </r>
  <r>
    <n v="378"/>
    <m/>
    <s v="ü"/>
    <d v="2017-07-03T00:00:00"/>
    <n v="0.26"/>
    <x v="5"/>
    <x v="5"/>
    <s v="Calle Güigüe Nro. 88-120"/>
    <s v="Anticipo Vigilancia, mes de Julio 2017"/>
    <s v="Vigilancia"/>
    <m/>
    <s v="00378"/>
    <s v="03 de Julio de 2017"/>
    <n v="3"/>
    <d v="2017-07-01T00:00:00"/>
    <s v="0,26"/>
    <s v="Cero Bolívares con 26/100"/>
  </r>
  <r>
    <n v="379"/>
    <m/>
    <s v="ü"/>
    <d v="2017-07-03T00:00:00"/>
    <n v="7.0000000000000007E-2"/>
    <x v="5"/>
    <x v="5"/>
    <s v="Calle Güigüe Nro. 88-120"/>
    <s v="Cuota especial, reja vereda Centro Comercial"/>
    <s v="Reja CC"/>
    <m/>
    <s v="00379"/>
    <s v="03 de Julio de 2017"/>
    <n v="3"/>
    <d v="2017-07-01T00:00:00"/>
    <s v="0,07"/>
    <s v="Cero Bolívares con 07/100"/>
  </r>
  <r>
    <n v="380"/>
    <m/>
    <s v="ü"/>
    <d v="2017-07-03T00:00:00"/>
    <n v="0.25"/>
    <x v="4"/>
    <x v="4"/>
    <s v="Calle Güigüe Nro. 89-55"/>
    <s v="Anticipo Vigilancia, mes de Julio 2017"/>
    <s v="Vigilancia"/>
    <m/>
    <s v="00380"/>
    <s v="03 de Julio de 2017"/>
    <n v="3"/>
    <d v="2017-07-01T00:00:00"/>
    <s v="0,25"/>
    <s v="Cero Bolívares con 25/100"/>
  </r>
  <r>
    <n v="381"/>
    <m/>
    <s v="ü"/>
    <d v="2017-07-03T00:00:00"/>
    <n v="0.89387000000000005"/>
    <x v="3"/>
    <x v="3"/>
    <s v="Calle Güigüe Nro. 88-62"/>
    <s v="Cancelación saldo Vigilancia, mes de Feb 2017, y cancelación Vigilancia, meses de Mar-Jun 2017 (saldo a favor: Bs. 36.613)"/>
    <s v="Vigilancia"/>
    <m/>
    <s v="00381"/>
    <s v="03 de Julio de 2017"/>
    <n v="3"/>
    <d v="2017-07-01T00:00:00"/>
    <s v="0,89"/>
    <s v="Cero Bolívares con 89/100"/>
  </r>
  <r>
    <n v="382"/>
    <m/>
    <s v="ü"/>
    <d v="2017-07-03T00:00:00"/>
    <n v="0.15"/>
    <x v="15"/>
    <x v="14"/>
    <s v="Calle Guacara Nro. 89-94"/>
    <s v="Colaboración Vigilancia, mes de Julio 2017"/>
    <s v="Vigilancia"/>
    <m/>
    <s v="00382"/>
    <s v="03 de Julio de 2017"/>
    <n v="3"/>
    <d v="2017-07-01T00:00:00"/>
    <s v="0,15"/>
    <s v="Cero Bolívares con 15/100"/>
  </r>
  <r>
    <n v="383"/>
    <m/>
    <s v="ü"/>
    <d v="2017-07-03T00:00:00"/>
    <n v="7.0000000000000007E-2"/>
    <x v="15"/>
    <x v="14"/>
    <s v="Calle Guacara Nro. 89-94"/>
    <s v="Cuota especial, reja vereda Centro Comercial"/>
    <s v="Reja CC"/>
    <m/>
    <s v="00383"/>
    <s v="03 de Julio de 2017"/>
    <n v="3"/>
    <d v="2017-07-01T00:00:00"/>
    <s v="0,07"/>
    <s v="Cero Bolívares con 07/100"/>
  </r>
  <r>
    <n v="384"/>
    <m/>
    <s v="ü"/>
    <d v="2017-07-04T00:00:00"/>
    <n v="0.94"/>
    <x v="80"/>
    <x v="68"/>
    <s v="Calle Guacara Nro. 88-55"/>
    <s v="Cancelación Vigilancia, meses de Enero, Febrero, Marzo, Abril y Mayo 2017"/>
    <s v="Vigilancia"/>
    <m/>
    <s v="00384"/>
    <s v="04 de Julio de 2017"/>
    <n v="4"/>
    <d v="2017-07-01T00:00:00"/>
    <s v="0,94"/>
    <s v="Cero Bolívares con 94/100"/>
  </r>
  <r>
    <n v="385"/>
    <m/>
    <s v="ü"/>
    <d v="2017-07-04T00:00:00"/>
    <n v="7.0000000000000007E-2"/>
    <x v="45"/>
    <x v="42"/>
    <s v="Calle Güigüe Nro. 87-A-11"/>
    <s v="Cuota especial, reja vereda Centro Comercial"/>
    <s v="Reja CC"/>
    <m/>
    <s v="00385"/>
    <s v="04 de Julio de 2017"/>
    <n v="4"/>
    <d v="2017-07-01T00:00:00"/>
    <s v="0,07"/>
    <s v="Cero Bolívares con 07/100"/>
  </r>
  <r>
    <n v="386"/>
    <m/>
    <s v="ü"/>
    <d v="2017-07-05T00:00:00"/>
    <n v="0.1"/>
    <x v="7"/>
    <x v="7"/>
    <s v="Calle Guacara Nro. 87-86"/>
    <s v="Colaboración Vigilancia, mes de Julio 2017"/>
    <s v="Vigilancia"/>
    <m/>
    <s v="00386"/>
    <s v="05 de Julio de 2017"/>
    <n v="5"/>
    <d v="2017-07-01T00:00:00"/>
    <s v="0,10"/>
    <s v="Cero Bolívares con 10/100"/>
  </r>
  <r>
    <n v="387"/>
    <m/>
    <s v="ü"/>
    <d v="2017-07-06T00:00:00"/>
    <n v="0.2"/>
    <x v="58"/>
    <x v="53"/>
    <s v="Calle Güigüe Nro. 88-51"/>
    <s v="Colaboración Vigilancia, mes de Junio 2017"/>
    <s v="Vigilancia"/>
    <m/>
    <s v="00387"/>
    <s v="06 de Julio de 2017"/>
    <n v="6"/>
    <d v="2017-07-01T00:00:00"/>
    <s v="0,20"/>
    <s v="Cero Bolívares con 20/100"/>
  </r>
  <r>
    <n v="388"/>
    <m/>
    <s v="ü"/>
    <d v="2017-07-06T00:00:00"/>
    <n v="0.26"/>
    <x v="81"/>
    <x v="69"/>
    <s v="Calle Güigüe Nro. 89-65"/>
    <s v="Cancelación Vigilancia, mes de Junio 2017"/>
    <s v="Vigilancia"/>
    <m/>
    <s v="00388"/>
    <s v="06 de Julio de 2017"/>
    <n v="6"/>
    <d v="2017-07-01T00:00:00"/>
    <s v="0,26"/>
    <s v="Cero Bolívares con 26/100"/>
  </r>
  <r>
    <n v="389"/>
    <m/>
    <s v="ü"/>
    <d v="2017-07-06T00:00:00"/>
    <n v="0.04"/>
    <x v="81"/>
    <x v="69"/>
    <s v="Calle Güigüe Nro. 89-65"/>
    <s v="Colaboración cuota especial, reja vereda Centro Comercial"/>
    <s v="Reja CC"/>
    <m/>
    <s v="00389"/>
    <s v="06 de Julio de 2017"/>
    <n v="6"/>
    <d v="2017-07-01T00:00:00"/>
    <s v="0,04"/>
    <s v="Cero Bolívares con 04/100"/>
  </r>
  <r>
    <n v="390"/>
    <m/>
    <s v="ü"/>
    <d v="2017-07-06T00:00:00"/>
    <n v="0.26"/>
    <x v="16"/>
    <x v="15"/>
    <s v="Calle Guacara Nro. 90-81"/>
    <s v="Anticipo Vigilancia, mes de Julio 2017"/>
    <s v="Vigilancia"/>
    <m/>
    <s v="00390"/>
    <s v="06 de Julio de 2017"/>
    <n v="6"/>
    <d v="2017-07-01T00:00:00"/>
    <s v="0,26"/>
    <s v="Cero Bolívares con 26/100"/>
  </r>
  <r>
    <n v="391"/>
    <m/>
    <s v="ü"/>
    <d v="2017-07-07T00:00:00"/>
    <n v="0.52"/>
    <x v="21"/>
    <x v="19"/>
    <s v="Calle Güigüe Nro. 89-105"/>
    <s v="Cancelación Vigilancia, mes de Junio y anticipo Julio 2017"/>
    <s v="Vigilancia"/>
    <m/>
    <s v="00391"/>
    <s v="07 de Julio de 2017"/>
    <n v="7"/>
    <d v="2017-07-01T00:00:00"/>
    <s v="0,52"/>
    <s v="Cero Bolívares con 52/100"/>
  </r>
  <r>
    <n v="392"/>
    <m/>
    <s v="ü"/>
    <d v="2017-07-07T00:00:00"/>
    <n v="7.0000000000000007E-2"/>
    <x v="21"/>
    <x v="19"/>
    <s v="Calle Güigüe Nro. 89-105"/>
    <s v="Cuota especial, reja vereda Centro Comercial"/>
    <s v="Reja CC"/>
    <m/>
    <s v="00392"/>
    <s v="07 de Julio de 2017"/>
    <n v="7"/>
    <d v="2017-07-01T00:00:00"/>
    <s v="0,07"/>
    <s v="Cero Bolívares con 07/100"/>
  </r>
  <r>
    <n v="393"/>
    <m/>
    <s v="ü"/>
    <d v="2017-06-06T00:00:00"/>
    <n v="0.26"/>
    <x v="59"/>
    <x v="9"/>
    <s v="Calle Guacara Nro. 90-35"/>
    <s v="Cancelación Vigilancia, mes de Junio 2017"/>
    <s v="Vigilancia"/>
    <m/>
    <s v="00393"/>
    <s v="06 de Junio de 2017"/>
    <n v="6"/>
    <d v="2017-06-01T00:00:00"/>
    <s v="0,26"/>
    <s v="Cero Bolívares con 26/100"/>
  </r>
  <r>
    <n v="394"/>
    <m/>
    <s v="ü"/>
    <d v="2017-07-09T00:00:00"/>
    <n v="0.26"/>
    <x v="1"/>
    <x v="1"/>
    <s v="Calle Güigüe Nro. 88-44"/>
    <s v="Anticipo Vigilancia, mes de Julio 2017"/>
    <s v="Vigilancia"/>
    <m/>
    <s v="00394"/>
    <s v="09 de Julio de 2017"/>
    <n v="9"/>
    <d v="2017-07-01T00:00:00"/>
    <s v="0,26"/>
    <s v="Cero Bolívares con 26/100"/>
  </r>
  <r>
    <n v="395"/>
    <m/>
    <s v="ü"/>
    <d v="2017-07-10T00:00:00"/>
    <n v="7.0000000000000007E-2"/>
    <x v="23"/>
    <x v="21"/>
    <s v="Calle Güigüe Nro. 88-116"/>
    <s v="Cuota especial, reja vereda Centro Comercial"/>
    <s v="Reja CC"/>
    <m/>
    <s v="00395"/>
    <s v="10 de Julio de 2017"/>
    <n v="10"/>
    <d v="2017-07-01T00:00:00"/>
    <s v="0,07"/>
    <s v="Cero Bolívares con 07/100"/>
  </r>
  <r>
    <n v="396"/>
    <m/>
    <s v="ü"/>
    <d v="2017-07-10T00:00:00"/>
    <n v="0.26"/>
    <x v="39"/>
    <x v="36"/>
    <s v="Calle Güigüe Nro. 88-111"/>
    <s v="Cancelación Vigilancia, mes de Junio 2017"/>
    <s v="Vigilancia"/>
    <m/>
    <s v="00396"/>
    <s v="10 de Julio de 2017"/>
    <n v="10"/>
    <d v="2017-07-01T00:00:00"/>
    <s v="0,26"/>
    <s v="Cero Bolívares con 26/100"/>
  </r>
  <r>
    <n v="397"/>
    <m/>
    <s v="ü"/>
    <d v="2017-06-02T00:00:00"/>
    <n v="0.26"/>
    <x v="5"/>
    <x v="5"/>
    <s v="Calle Güigüe Nro. 88-120"/>
    <s v="Cancelación Vigilancia, mes de Junio 2017"/>
    <s v="Vigilancia"/>
    <m/>
    <s v="00397"/>
    <s v="02 de Junio de 2017"/>
    <n v="2"/>
    <d v="2017-06-01T00:00:00"/>
    <s v="0,26"/>
    <s v="Cero Bolívares con 26/100"/>
  </r>
  <r>
    <n v="398"/>
    <m/>
    <s v="ü"/>
    <d v="2017-07-11T00:00:00"/>
    <n v="0.26"/>
    <x v="29"/>
    <x v="27"/>
    <s v="Calle Guacara Nro. 88-75"/>
    <s v="Cancelación Vigilancia, mes de Junio 2017"/>
    <s v="Vigilancia"/>
    <m/>
    <s v="00398"/>
    <s v="11 de Julio de 2017"/>
    <n v="11"/>
    <d v="2017-07-01T00:00:00"/>
    <s v="0,26"/>
    <s v="Cero Bolívares con 26/100"/>
  </r>
  <r>
    <n v="399"/>
    <m/>
    <s v="ü"/>
    <d v="2017-06-14T00:00:00"/>
    <n v="0.26"/>
    <x v="12"/>
    <x v="12"/>
    <s v="Calle Guacara Nro. 89-20"/>
    <s v="Cancelación Vigilancia, mes de Junio 2017"/>
    <s v="Vigilancia"/>
    <m/>
    <s v="00399"/>
    <s v="14 de Junio de 2017"/>
    <n v="14"/>
    <d v="2017-06-01T00:00:00"/>
    <s v="0,26"/>
    <s v="Cero Bolívares con 26/100"/>
  </r>
  <r>
    <n v="400"/>
    <m/>
    <s v="ü"/>
    <d v="2017-06-14T00:00:00"/>
    <n v="7.0000000000000007E-2"/>
    <x v="12"/>
    <x v="12"/>
    <s v="Calle Guacara Nro. 89-20"/>
    <s v="Cuota especial, reja vereda Centro Comercial"/>
    <s v="Reja CC"/>
    <m/>
    <s v="00400"/>
    <s v="14 de Junio de 2017"/>
    <n v="14"/>
    <d v="2017-06-01T00:00:00"/>
    <s v="0,07"/>
    <s v="Cero Bolívares con 07/100"/>
  </r>
  <r>
    <n v="401"/>
    <m/>
    <s v="ü"/>
    <d v="2017-07-11T00:00:00"/>
    <n v="0.26"/>
    <x v="76"/>
    <x v="66"/>
    <s v="Calle Güigüe Nro. 89-90"/>
    <s v="Anticipo Vigilancia, mes de Julio 2017"/>
    <s v="Vigilancia"/>
    <m/>
    <s v="00401"/>
    <s v="11 de Julio de 2017"/>
    <n v="11"/>
    <d v="2017-07-01T00:00:00"/>
    <s v="0,26"/>
    <s v="Cero Bolívares con 26/100"/>
  </r>
  <r>
    <n v="402"/>
    <m/>
    <s v="ü"/>
    <d v="2017-07-11T00:00:00"/>
    <n v="0.26"/>
    <x v="12"/>
    <x v="12"/>
    <s v="Calle Guacara Nro. 89-20"/>
    <s v="Anticipo Vigilancia, mes de Julio 2017"/>
    <s v="Vigilancia"/>
    <m/>
    <s v="00402"/>
    <s v="11 de Julio de 2017"/>
    <n v="11"/>
    <d v="2017-07-01T00:00:00"/>
    <s v="0,26"/>
    <s v="Cero Bolívares con 26/100"/>
  </r>
  <r>
    <n v="403"/>
    <m/>
    <s v="ü"/>
    <d v="2017-07-11T00:00:00"/>
    <n v="0.05"/>
    <x v="55"/>
    <x v="51"/>
    <s v="Calle Güigüe Nro. 89-16"/>
    <s v="Colaboración cuota especial, reja vereda Centro Comercial"/>
    <s v="Reja CC"/>
    <m/>
    <s v="00403"/>
    <s v="11 de Julio de 2017"/>
    <n v="11"/>
    <d v="2017-07-01T00:00:00"/>
    <s v="0,05"/>
    <s v="Cero Bolívares con 05/100"/>
  </r>
  <r>
    <n v="404"/>
    <m/>
    <s v="û"/>
    <d v="2017-07-11T00:00:00"/>
    <m/>
    <x v="55"/>
    <x v="51"/>
    <s v="Calle Güigüe Nro. 89-16"/>
    <s v="Donación de láminas de acerolit, manto asfáltico y vidrios para la caseta de vigilancia, quedando exonerada de pago hasta Diciembre 2017"/>
    <s v="Vigilancia"/>
    <m/>
    <s v="00404"/>
    <s v="11 de Julio de 2017"/>
    <n v="11"/>
    <d v="2017-07-01T00:00:00"/>
    <s v=" - - - "/>
    <s v="- - -"/>
  </r>
  <r>
    <n v="405"/>
    <m/>
    <s v="ü"/>
    <d v="2017-07-12T00:00:00"/>
    <n v="0.66"/>
    <x v="63"/>
    <x v="56"/>
    <s v="Calle Guacara Nro. 88-85"/>
    <s v="Colaboración Vigilancia, meses de Abril, Mayo y Junio 2017"/>
    <s v="Vigilancia"/>
    <m/>
    <s v="00405"/>
    <s v="12 de Julio de 2017"/>
    <n v="12"/>
    <d v="2017-07-01T00:00:00"/>
    <s v="0,66"/>
    <s v="Cero Bolívares con 66/100"/>
  </r>
  <r>
    <n v="406"/>
    <m/>
    <s v="ü"/>
    <d v="2017-07-12T00:00:00"/>
    <n v="0.26"/>
    <x v="45"/>
    <x v="42"/>
    <s v="Calle Güigüe Nro. 87-A-11"/>
    <s v="Anticipo Vigilancia, mes de Julio 2017"/>
    <s v="Vigilancia"/>
    <m/>
    <s v="00406"/>
    <s v="12 de Julio de 2017"/>
    <n v="12"/>
    <d v="2017-07-01T00:00:00"/>
    <s v="0,26"/>
    <s v="Cero Bolívares con 26/100"/>
  </r>
  <r>
    <n v="407"/>
    <m/>
    <s v="ü"/>
    <d v="2017-07-12T00:00:00"/>
    <n v="0.26"/>
    <x v="69"/>
    <x v="61"/>
    <s v="Calle Güigüe Nro. 89-40"/>
    <s v="Cancelación Vigilancia, mes de Junio y anticipo Julio 2017"/>
    <s v="Vigilancia"/>
    <m/>
    <s v="00407"/>
    <s v="12 de Julio de 2017"/>
    <n v="12"/>
    <d v="2017-07-01T00:00:00"/>
    <s v="0,26"/>
    <s v="Cero Bolívares con 26/100"/>
  </r>
  <r>
    <n v="408"/>
    <m/>
    <s v="ü"/>
    <d v="2017-07-12T00:00:00"/>
    <n v="7.0000000000000007E-2"/>
    <x v="69"/>
    <x v="61"/>
    <s v="Calle Güigüe Nro. 89-40"/>
    <s v="Cuota especial, reja vereda Centro Comercial"/>
    <s v="Reja CC"/>
    <m/>
    <s v="00408"/>
    <s v="12 de Julio de 2017"/>
    <n v="12"/>
    <d v="2017-07-01T00:00:00"/>
    <s v="0,07"/>
    <s v="Cero Bolívares con 07/100"/>
  </r>
  <r>
    <n v="409"/>
    <m/>
    <s v="ü"/>
    <d v="2017-07-12T00:00:00"/>
    <n v="0.26"/>
    <x v="20"/>
    <x v="18"/>
    <s v="Calle Guacara Nro. 89-30"/>
    <s v="Anticipo Vigilancia, mes de Julio 2017"/>
    <s v="Vigilancia"/>
    <m/>
    <s v="00409"/>
    <s v="12 de Julio de 2017"/>
    <n v="12"/>
    <d v="2017-07-01T00:00:00"/>
    <s v="0,26"/>
    <s v="Cero Bolívares con 26/100"/>
  </r>
  <r>
    <n v="410"/>
    <m/>
    <s v="ü"/>
    <d v="2017-07-12T00:00:00"/>
    <n v="0.1"/>
    <x v="82"/>
    <x v="9"/>
    <s v="Calle Guacara Nro. 90-61"/>
    <s v="Colaboración Vigilancia, meses de Ene-May 2017"/>
    <s v="Vigilancia"/>
    <m/>
    <s v="00410"/>
    <s v="12 de Julio de 2017"/>
    <n v="12"/>
    <d v="2017-07-01T00:00:00"/>
    <s v="0,10"/>
    <s v="Cero Bolívares con 10/100"/>
  </r>
  <r>
    <n v="411"/>
    <m/>
    <s v="ü"/>
    <d v="2017-07-04T00:00:00"/>
    <n v="0.18"/>
    <x v="49"/>
    <x v="46"/>
    <s v="Av. &quot;O&quot; Nro. 146-17"/>
    <s v="Cancelación saldo Vigilancia, meses de Mayo y Junio 2017"/>
    <s v="Vigilancia"/>
    <m/>
    <s v="00411"/>
    <s v="04 de Julio de 2017"/>
    <n v="4"/>
    <d v="2017-07-01T00:00:00"/>
    <s v="0,18"/>
    <s v="Cero Bolívares con 18/100"/>
  </r>
  <r>
    <n v="412"/>
    <m/>
    <s v="ü"/>
    <d v="2017-07-12T00:00:00"/>
    <n v="0.26"/>
    <x v="27"/>
    <x v="25"/>
    <s v="Calle Güigüe Nro. 89-106"/>
    <s v="Cancelación Vigilancia, mes de Junio 2017"/>
    <s v="Vigilancia"/>
    <m/>
    <s v="00412"/>
    <s v="12 de Julio de 2017"/>
    <n v="12"/>
    <d v="2017-07-01T00:00:00"/>
    <s v="0,26"/>
    <s v="Cero Bolívares con 26/100"/>
  </r>
  <r>
    <n v="413"/>
    <m/>
    <s v="ü"/>
    <d v="2017-07-13T00:00:00"/>
    <n v="0.26"/>
    <x v="31"/>
    <x v="29"/>
    <s v="Calle Güigüe Nro. 89-95"/>
    <s v="Cancelación Vigilancia, mes de Junio 2017"/>
    <s v="Vigilancia"/>
    <m/>
    <s v="00413"/>
    <s v="13 de Julio de 2017"/>
    <n v="13"/>
    <d v="2017-07-01T00:00:00"/>
    <s v="0,26"/>
    <s v="Cero Bolívares con 26/100"/>
  </r>
  <r>
    <n v="414"/>
    <m/>
    <s v="ü"/>
    <d v="2017-07-14T00:00:00"/>
    <n v="0.34"/>
    <x v="70"/>
    <x v="9"/>
    <s v="Calle Guacara Nro. 89-70"/>
    <s v="Cancelación Vigilancia, meses de Marzo y Abril 2017"/>
    <s v="Vigilancia"/>
    <m/>
    <s v="00414"/>
    <s v="14 de Julio de 2017"/>
    <n v="14"/>
    <d v="2017-07-01T00:00:00"/>
    <s v="0,34"/>
    <s v="Cero Bolívares con 34/100"/>
  </r>
  <r>
    <n v="415"/>
    <m/>
    <s v="ü"/>
    <d v="2017-07-14T00:00:00"/>
    <n v="0.27"/>
    <x v="38"/>
    <x v="35"/>
    <s v="Calle Guacara Nro. 89-78"/>
    <s v="Cancelación Vigilancia, mes de Junio y anticipo del mes de Julio 2017"/>
    <s v="Vigilancia"/>
    <m/>
    <s v="00415"/>
    <s v="14 de Julio de 2017"/>
    <n v="14"/>
    <d v="2017-07-01T00:00:00"/>
    <s v="0,27"/>
    <s v="Cero Bolívares con 27/100"/>
  </r>
  <r>
    <n v="416"/>
    <m/>
    <s v="ü"/>
    <d v="2017-07-04T00:00:00"/>
    <n v="0.12"/>
    <x v="25"/>
    <x v="23"/>
    <s v="Calle Güigüe Nro. 88-58"/>
    <s v="Colaboración Vigilancia, mes de Mayo 2017"/>
    <s v="Vigilancia"/>
    <m/>
    <s v="00416"/>
    <s v="04 de Julio de 2017"/>
    <n v="4"/>
    <d v="2017-07-01T00:00:00"/>
    <s v="0,12"/>
    <s v="Cero Bolívares con 12/100"/>
  </r>
  <r>
    <n v="417"/>
    <m/>
    <s v="ü"/>
    <d v="2017-07-14T00:00:00"/>
    <n v="0.26"/>
    <x v="14"/>
    <x v="13"/>
    <s v="Calle Güigüe Nro. 89-83"/>
    <s v="Anticipo Vigilancia, mes de Julio 2017"/>
    <s v="Vigilancia"/>
    <m/>
    <s v="00417"/>
    <s v="14 de Julio de 2017"/>
    <n v="14"/>
    <d v="2017-07-01T00:00:00"/>
    <s v="0,26"/>
    <s v="Cero Bolívares con 26/100"/>
  </r>
  <r>
    <n v="418"/>
    <m/>
    <s v="ü"/>
    <d v="2017-07-14T00:00:00"/>
    <n v="0.2"/>
    <x v="35"/>
    <x v="32"/>
    <s v="Calle Güigüe Nro. 89-80"/>
    <s v="Colaboración Vigilancia, mes de Julio 2017"/>
    <s v="Vigilancia"/>
    <m/>
    <s v="00418"/>
    <s v="14 de Julio de 2017"/>
    <n v="14"/>
    <d v="2017-07-01T00:00:00"/>
    <s v="0,20"/>
    <s v="Cero Bolívares con 20/100"/>
  </r>
  <r>
    <n v="419"/>
    <m/>
    <s v="ü"/>
    <d v="2017-06-30T00:00:00"/>
    <n v="0.26"/>
    <x v="10"/>
    <x v="10"/>
    <s v="Av. &quot;M&quot; Nro. 146-15"/>
    <s v="Cancelación Vigilancia, mes de Junio 2017"/>
    <s v="Vigilancia"/>
    <m/>
    <s v="00419"/>
    <s v="30 de Junio de 2017"/>
    <n v="30"/>
    <d v="2017-06-01T00:00:00"/>
    <s v="0,26"/>
    <s v="Cero Bolívares con 26/100"/>
  </r>
  <r>
    <n v="420"/>
    <m/>
    <s v="ü"/>
    <d v="2017-07-15T00:00:00"/>
    <n v="0.15"/>
    <x v="68"/>
    <x v="60"/>
    <s v="Calle Güigüe Nro. 89-29"/>
    <s v="Colaboración Vigilancia, mes de Julio 2017"/>
    <s v="Vigilancia"/>
    <m/>
    <s v="00420"/>
    <s v="15 de Julio de 2017"/>
    <n v="15"/>
    <d v="2017-07-01T00:00:00"/>
    <s v="0,15"/>
    <s v="Cero Bolívares con 15/100"/>
  </r>
  <r>
    <n v="421"/>
    <m/>
    <s v="ü"/>
    <d v="2017-07-17T00:00:00"/>
    <n v="0.26"/>
    <x v="65"/>
    <x v="58"/>
    <s v="Calle Güigüe Nro. 88-10"/>
    <s v="Cancelación Vigilancia, mes de Junio 2017"/>
    <s v="Vigilancia"/>
    <m/>
    <s v="00421"/>
    <s v="17 de Julio de 2017"/>
    <n v="17"/>
    <d v="2017-07-01T00:00:00"/>
    <s v="0,26"/>
    <s v="Cero Bolívares con 26/100"/>
  </r>
  <r>
    <n v="422"/>
    <m/>
    <s v="ü"/>
    <d v="2017-07-17T00:00:00"/>
    <n v="0.3"/>
    <x v="9"/>
    <x v="9"/>
    <s v="Av. &quot;M&quot; Nro. 146-30"/>
    <s v="Anticipo Vigilancia, mes de Julio 2017"/>
    <s v="Vigilancia"/>
    <m/>
    <s v="00422"/>
    <s v="17 de Julio de 2017"/>
    <n v="17"/>
    <d v="2017-07-01T00:00:00"/>
    <s v="0,30"/>
    <s v="Cero Bolívares con 30/100"/>
  </r>
  <r>
    <n v="423"/>
    <m/>
    <s v="ü"/>
    <d v="2017-07-17T00:00:00"/>
    <n v="0.06"/>
    <x v="34"/>
    <x v="9"/>
    <s v="Av. &quot;O&quot; Nro. 146-11"/>
    <s v="Cancelación saldo Vigilancia, mes de Mayo 2017"/>
    <s v="Vigilancia"/>
    <m/>
    <s v="00423"/>
    <s v="17 de Julio de 2017"/>
    <n v="17"/>
    <d v="2017-07-01T00:00:00"/>
    <s v="0,06"/>
    <s v="Cero Bolívares con 06/100"/>
  </r>
  <r>
    <n v="424"/>
    <m/>
    <s v="ü"/>
    <d v="2017-07-18T00:00:00"/>
    <n v="0.09"/>
    <x v="12"/>
    <x v="12"/>
    <s v="Calle Guacara Nro. 89-20"/>
    <s v="Cancelación saldo Vigilancia, mes de Julio 2017"/>
    <s v="Vigilancia"/>
    <m/>
    <s v="00424"/>
    <s v="18 de Julio de 2017"/>
    <n v="18"/>
    <d v="2017-07-01T00:00:00"/>
    <s v="0,09"/>
    <s v="Cero Bolívares con 09/100"/>
  </r>
  <r>
    <n v="425"/>
    <m/>
    <s v="ü"/>
    <d v="2017-07-18T00:00:00"/>
    <n v="0.1"/>
    <x v="9"/>
    <x v="9"/>
    <s v="Av. &quot;M&quot; Nro. 146-30"/>
    <s v="Cancelación saldo Vigilancia, mes de Julio 2017"/>
    <s v="Vigilancia"/>
    <m/>
    <s v="00425"/>
    <s v="18 de Julio de 2017"/>
    <n v="18"/>
    <d v="2017-07-01T00:00:00"/>
    <s v="0,10"/>
    <s v="Cero Bolívares con 10/100"/>
  </r>
  <r>
    <n v="426"/>
    <m/>
    <s v="ü"/>
    <d v="2017-07-18T00:00:00"/>
    <n v="0.26"/>
    <x v="34"/>
    <x v="9"/>
    <s v="Av. &quot;O&quot; Nro. 146-11"/>
    <s v="Cancelación Vigilancia, mes de Junio 2017"/>
    <s v="Vigilancia"/>
    <m/>
    <s v="00426"/>
    <s v="18 de Julio de 2017"/>
    <n v="18"/>
    <d v="2017-07-01T00:00:00"/>
    <s v="0,26"/>
    <s v="Cero Bolívares con 26/100"/>
  </r>
  <r>
    <n v="427"/>
    <m/>
    <s v="ü"/>
    <d v="2017-07-18T00:00:00"/>
    <n v="0.35"/>
    <x v="81"/>
    <x v="69"/>
    <s v="Calle Güigüe Nro. 89-65"/>
    <s v="Cancelación Vigilancia, mes de Julio 2017"/>
    <s v="Vigilancia"/>
    <m/>
    <s v="00427"/>
    <s v="18 de Julio de 2017"/>
    <n v="18"/>
    <d v="2017-07-01T00:00:00"/>
    <s v="0,35"/>
    <s v="Cero Bolívares con 35/100"/>
  </r>
  <r>
    <n v="428"/>
    <m/>
    <s v="ü"/>
    <d v="2017-07-18T00:00:00"/>
    <n v="0.35"/>
    <x v="30"/>
    <x v="28"/>
    <s v="Calle Güigüe Nro. 89-04"/>
    <s v="Cancelación Vigilancia, mes de Julio 2017"/>
    <s v="Vigilancia"/>
    <m/>
    <s v="00428"/>
    <s v="18 de Julio de 2017"/>
    <n v="18"/>
    <d v="2017-07-01T00:00:00"/>
    <s v="0,35"/>
    <s v="Cero Bolívares con 35/100"/>
  </r>
  <r>
    <n v="429"/>
    <m/>
    <s v="ü"/>
    <d v="2017-07-18T00:00:00"/>
    <n v="0.36"/>
    <x v="60"/>
    <x v="54"/>
    <s v="Calle Guacara Nro. 88-51"/>
    <s v="Complemento colaboración Vigilancia, mes de Mayo y Cancelación mes de Junio 2017"/>
    <s v="Vigilancia"/>
    <m/>
    <s v="00429"/>
    <s v="18 de Julio de 2017"/>
    <n v="18"/>
    <d v="2017-07-01T00:00:00"/>
    <s v="0,36"/>
    <s v="Cero Bolívares con 36/100"/>
  </r>
  <r>
    <n v="430"/>
    <m/>
    <s v="ü"/>
    <d v="2017-07-13T00:00:00"/>
    <n v="0.2"/>
    <x v="53"/>
    <x v="48"/>
    <s v="Calle Guacara Nro. 88-91"/>
    <s v="Colaboración Vigilancia, meses de Mayo y Junio 2017"/>
    <s v="Vigilancia"/>
    <m/>
    <s v="00430"/>
    <s v="13 de Julio de 2017"/>
    <n v="13"/>
    <d v="2017-07-01T00:00:00"/>
    <s v="0,20"/>
    <s v="Cero Bolívares con 20/100"/>
  </r>
  <r>
    <n v="431"/>
    <m/>
    <s v="ü"/>
    <d v="2017-07-18T00:00:00"/>
    <n v="0.09"/>
    <x v="0"/>
    <x v="0"/>
    <s v="Calle Guacara Nro. 88-45"/>
    <s v="Cancelación saldo Vigilancia, mes de Julio 2017 (saldo a favor: Bs. 130.000)"/>
    <s v="Vigilancia"/>
    <m/>
    <s v="00431"/>
    <s v="18 de Julio de 2017"/>
    <n v="18"/>
    <d v="2017-07-01T00:00:00"/>
    <s v="0,09"/>
    <s v="Cero Bolívares con 09/100"/>
  </r>
  <r>
    <n v="432"/>
    <m/>
    <s v="ü"/>
    <d v="2017-07-18T00:00:00"/>
    <n v="0.09"/>
    <x v="75"/>
    <x v="65"/>
    <s v="Av. &quot;Ñ&quot; Nro. 145-25"/>
    <s v="Cancelación saldo Vigilancia, mes de Julio 2017 (saldo a favor: Bs. 121.000)"/>
    <s v="Vigilancia"/>
    <m/>
    <s v="00432"/>
    <s v="18 de Julio de 2017"/>
    <n v="18"/>
    <d v="2017-07-01T00:00:00"/>
    <s v="0,09"/>
    <s v="Cero Bolívares con 09/100"/>
  </r>
  <r>
    <n v="433"/>
    <m/>
    <s v="ü"/>
    <d v="2017-07-18T00:00:00"/>
    <n v="0.09"/>
    <x v="18"/>
    <x v="16"/>
    <s v="Calle Guacara Nro. 87-100"/>
    <s v="Cancelación saldo Vigilancia, mes de Julio 2017"/>
    <s v="Vigilancia"/>
    <m/>
    <s v="00433"/>
    <s v="18 de Julio de 2017"/>
    <n v="18"/>
    <d v="2017-07-01T00:00:00"/>
    <s v="0,09"/>
    <s v="Cero Bolívares con 09/100"/>
  </r>
  <r>
    <n v="434"/>
    <m/>
    <s v="ü"/>
    <d v="2017-07-18T00:00:00"/>
    <n v="0.09"/>
    <x v="14"/>
    <x v="13"/>
    <s v="Calle Güigüe Nro. 89-83"/>
    <s v="Cancelación saldo Vigilancia, mes de Julio 2017"/>
    <s v="Vigilancia"/>
    <m/>
    <s v="00434"/>
    <s v="18 de Julio de 2017"/>
    <n v="18"/>
    <d v="2017-07-01T00:00:00"/>
    <s v="0,09"/>
    <s v="Cero Bolívares con 09/100"/>
  </r>
  <r>
    <n v="435"/>
    <m/>
    <s v="ü"/>
    <d v="2017-07-19T00:00:00"/>
    <n v="0.1"/>
    <x v="4"/>
    <x v="4"/>
    <s v="Calle Güigüe Nro. 89-55"/>
    <s v="Cancelación saldo Vigilancia, mes de Julio 2017"/>
    <s v="Vigilancia"/>
    <m/>
    <s v="00435"/>
    <s v="19 de Julio de 2017"/>
    <n v="19"/>
    <d v="2017-07-01T00:00:00"/>
    <s v="0,10"/>
    <s v="Cero Bolívares con 10/100"/>
  </r>
  <r>
    <n v="436"/>
    <m/>
    <s v="ü"/>
    <d v="2017-07-19T00:00:00"/>
    <n v="0.25"/>
    <x v="2"/>
    <x v="2"/>
    <s v="Calle Guacara Nro. 88-19"/>
    <s v="Colaboración Vigilancia, mes de Julio 2017"/>
    <s v="Vigilancia"/>
    <m/>
    <s v="00436"/>
    <s v="19 de Julio de 2017"/>
    <n v="19"/>
    <d v="2017-07-01T00:00:00"/>
    <s v="0,25"/>
    <s v="Cero Bolívares con 25/100"/>
  </r>
  <r>
    <n v="437"/>
    <m/>
    <s v="ü"/>
    <d v="2017-07-19T00:00:00"/>
    <n v="0.09"/>
    <x v="6"/>
    <x v="6"/>
    <s v="Calle Guacara Nro. 89-60"/>
    <s v="Cancelación saldo Vigilancia, mes de Julio 2017"/>
    <s v="Vigilancia"/>
    <m/>
    <s v="00437"/>
    <s v="19 de Julio de 2017"/>
    <n v="19"/>
    <d v="2017-07-01T00:00:00"/>
    <s v="0,09"/>
    <s v="Cero Bolívares con 09/100"/>
  </r>
  <r>
    <n v="438"/>
    <m/>
    <s v="ü"/>
    <d v="2017-07-19T00:00:00"/>
    <n v="0.3"/>
    <x v="64"/>
    <x v="57"/>
    <s v="Calle Guacara Nro. 88-35"/>
    <s v="Colaboración Vigilancia, mes de Julio 2017"/>
    <s v="Vigilancia"/>
    <m/>
    <s v="00438"/>
    <s v="19 de Julio de 2017"/>
    <n v="19"/>
    <d v="2017-07-01T00:00:00"/>
    <s v="0,30"/>
    <s v="Cero Bolívares con 30/100"/>
  </r>
  <r>
    <n v="439"/>
    <m/>
    <s v="ü"/>
    <d v="2017-07-18T00:00:00"/>
    <n v="0.52"/>
    <x v="41"/>
    <x v="38"/>
    <s v="Calle Güigüe Nro. 88-91"/>
    <s v="Cancelación Vigilancia, mes de Junio y anticipo mes de Julio 2017"/>
    <s v="Vigilancia"/>
    <m/>
    <s v="00439"/>
    <s v="18 de Julio de 2017"/>
    <n v="18"/>
    <d v="2017-07-01T00:00:00"/>
    <s v="0,52"/>
    <s v="Cero Bolívares con 52/100"/>
  </r>
  <r>
    <n v="440"/>
    <m/>
    <s v="ü"/>
    <d v="2017-07-19T00:00:00"/>
    <n v="0.09"/>
    <x v="20"/>
    <x v="18"/>
    <s v="Calle Guacara Nro. 89-30"/>
    <s v="Cancelación saldo Vigilancia, mes de Julio 2017"/>
    <s v="Vigilancia"/>
    <m/>
    <s v="00440"/>
    <s v="19 de Julio de 2017"/>
    <n v="19"/>
    <d v="2017-07-01T00:00:00"/>
    <s v="0,09"/>
    <s v="Cero Bolívares con 09/100"/>
  </r>
  <r>
    <n v="441"/>
    <m/>
    <s v="ü"/>
    <d v="2017-07-19T00:00:00"/>
    <n v="0.09"/>
    <x v="16"/>
    <x v="15"/>
    <s v="Calle Guacara Nro. 90-81"/>
    <s v="Cancelación saldo Vigilancia, mes de Julio 2017"/>
    <s v="Vigilancia"/>
    <m/>
    <s v="00441"/>
    <s v="19 de Julio de 2017"/>
    <n v="19"/>
    <d v="2017-07-01T00:00:00"/>
    <s v="0,09"/>
    <s v="Cero Bolívares con 09/100"/>
  </r>
  <r>
    <n v="442"/>
    <m/>
    <s v="ü"/>
    <d v="2017-07-17T00:00:00"/>
    <n v="0.15"/>
    <x v="25"/>
    <x v="23"/>
    <s v="Calle Güigüe Nro. 88-58"/>
    <s v="Colaboración Vigilancia, mes de Junio 2017"/>
    <s v="Vigilancia"/>
    <m/>
    <s v="00442"/>
    <s v="17 de Julio de 2017"/>
    <n v="17"/>
    <d v="2017-07-01T00:00:00"/>
    <s v="0,15"/>
    <s v="Cero Bolívares con 15/100"/>
  </r>
  <r>
    <n v="443"/>
    <m/>
    <s v="ü"/>
    <d v="2017-07-20T00:00:00"/>
    <n v="5.0999999999999997E-2"/>
    <x v="60"/>
    <x v="54"/>
    <s v="Calle Guacara Nro. 88-51"/>
    <s v="Complemento colaboración Vigilancia, mes de Abril 2017, contra factura"/>
    <s v="Vigilancia"/>
    <m/>
    <s v="00443"/>
    <s v="20 de Julio de 2017"/>
    <n v="20"/>
    <d v="2017-07-01T00:00:00"/>
    <s v="0,05"/>
    <s v="Cero Bolívares con 05/100"/>
  </r>
  <r>
    <n v="444"/>
    <m/>
    <s v="ü"/>
    <d v="2017-07-20T00:00:00"/>
    <n v="0.35"/>
    <x v="19"/>
    <x v="17"/>
    <s v="Calle Guacara Nro. 89-130"/>
    <s v="Cancelación Vigilancia, mes de Julio 2017"/>
    <s v="Vigilancia"/>
    <m/>
    <s v="00444"/>
    <s v="20 de Julio de 2017"/>
    <n v="20"/>
    <d v="2017-07-01T00:00:00"/>
    <s v="0,35"/>
    <s v="Cero Bolívares con 35/100"/>
  </r>
  <r>
    <n v="445"/>
    <m/>
    <s v="ü"/>
    <d v="2017-07-20T00:00:00"/>
    <n v="0.25"/>
    <x v="26"/>
    <x v="24"/>
    <s v="Calle Güigüe Nro. 89-96"/>
    <s v="Cancelación Vigilancia, mes de Junio 2017"/>
    <s v="Vigilancia"/>
    <m/>
    <s v="00445"/>
    <s v="20 de Julio de 2017"/>
    <n v="20"/>
    <d v="2017-07-01T00:00:00"/>
    <s v="0,25"/>
    <s v="Cero Bolívares con 25/100"/>
  </r>
  <r>
    <n v="446"/>
    <m/>
    <s v="ü"/>
    <d v="2017-07-21T00:00:00"/>
    <n v="0.05"/>
    <x v="28"/>
    <x v="26"/>
    <s v="Calle Güigüe Nro. 88-30"/>
    <s v="Colaboración Vigilancia, mes de Julio 2017"/>
    <s v="Vigilancia"/>
    <m/>
    <s v="00446"/>
    <s v="21 de Julio de 2017"/>
    <n v="21"/>
    <d v="2017-07-01T00:00:00"/>
    <s v="0,05"/>
    <s v="Cero Bolívares con 05/100"/>
  </r>
  <r>
    <n v="447"/>
    <m/>
    <s v="ü"/>
    <d v="2017-07-23T00:00:00"/>
    <n v="0.09"/>
    <x v="1"/>
    <x v="1"/>
    <s v="Calle Güigüe Nro. 88-44"/>
    <s v="Cancelación saldo Vigilancia, mes de Julio 2017"/>
    <s v="Vigilancia"/>
    <m/>
    <s v="00447"/>
    <s v="23 de Julio de 2017"/>
    <n v="23"/>
    <d v="2017-07-01T00:00:00"/>
    <s v="0,09"/>
    <s v="Cero Bolívares con 09/100"/>
  </r>
  <r>
    <n v="448"/>
    <m/>
    <s v="ü"/>
    <d v="2017-06-07T00:00:00"/>
    <n v="0.26"/>
    <x v="11"/>
    <x v="11"/>
    <s v="Calle Guacara Nro. 89-86"/>
    <s v="Anticipo Vigilancia, mes de Julio 2017"/>
    <s v="Vigilancia"/>
    <m/>
    <s v="00448"/>
    <s v="07 de Junio de 2017"/>
    <n v="7"/>
    <d v="2017-06-01T00:00:00"/>
    <s v="0,26"/>
    <s v="Cero Bolívares con 26/100"/>
  </r>
  <r>
    <n v="449"/>
    <m/>
    <s v="ü"/>
    <d v="2017-07-23T00:00:00"/>
    <n v="0.44"/>
    <x v="11"/>
    <x v="11"/>
    <s v="Calle Guacara Nro. 89-86"/>
    <s v="Cancelación saldo Vigilancia, mes de Julio y Cancelación Vigilancia Agosto 2017"/>
    <s v="Vigilancia"/>
    <m/>
    <s v="00449"/>
    <s v="23 de Julio de 2017"/>
    <n v="23"/>
    <d v="2017-07-01T00:00:00"/>
    <s v="0,44"/>
    <s v="Cero Bolívares con 44/100"/>
  </r>
  <r>
    <n v="450"/>
    <m/>
    <s v="ü"/>
    <d v="2017-07-24T00:00:00"/>
    <n v="1.08"/>
    <x v="73"/>
    <x v="9"/>
    <s v="Calle Güigüe Nros. 88-71 y 88-81"/>
    <s v="Cancelación Vigilancia, meses de Julio y Agosto 2017"/>
    <s v="Vigilancia"/>
    <m/>
    <s v="00450"/>
    <s v="24 de Julio de 2017"/>
    <n v="24"/>
    <d v="2017-07-01T00:00:00"/>
    <s v="1,08"/>
    <s v="Un Bolívares con 08/100"/>
  </r>
  <r>
    <n v="451"/>
    <m/>
    <s v="û"/>
    <d v="2017-04-06T00:00:00"/>
    <n v="0.14000000000000001"/>
    <x v="51"/>
    <x v="48"/>
    <s v="Calle Guacara Nro. 90-110"/>
    <s v="ANULADO: Colaboración Vigilancia, mes de Marzo 2017"/>
    <s v="ANULADO"/>
    <m/>
    <s v="00451"/>
    <s v="06 de Abril de 2017"/>
    <n v="6"/>
    <d v="2017-04-01T00:00:00"/>
    <s v="0,14"/>
    <s v="Cero Bolívares con 14/100"/>
  </r>
  <r>
    <n v="452"/>
    <m/>
    <s v="û"/>
    <d v="2017-05-10T00:00:00"/>
    <n v="0.17"/>
    <x v="51"/>
    <x v="48"/>
    <s v="Calle Guacara Nro. 90-110"/>
    <s v="ANULADO: Colaboración Vigilancia, mes de Abril 2017"/>
    <s v="ANULADO"/>
    <m/>
    <s v="00452"/>
    <s v="10 de Mayo de 2017"/>
    <n v="10"/>
    <d v="2017-05-01T00:00:00"/>
    <s v="0,17"/>
    <s v="Cero Bolívares con 17/100"/>
  </r>
  <r>
    <n v="453"/>
    <m/>
    <s v="û"/>
    <d v="2017-07-13T00:00:00"/>
    <n v="0.2"/>
    <x v="51"/>
    <x v="48"/>
    <s v="Calle Guacara Nro. 90-110"/>
    <s v="ANULADO: Colaboración Vigilancia, meses de Mayo y Junio 2017"/>
    <s v="ANULADO"/>
    <m/>
    <s v="00453"/>
    <s v="13 de Julio de 2017"/>
    <n v="13"/>
    <d v="2017-07-01T00:00:00"/>
    <s v="0,20"/>
    <s v="Cero Bolívares con 20/100"/>
  </r>
  <r>
    <n v="454"/>
    <m/>
    <s v="ü"/>
    <d v="2017-07-28T00:00:00"/>
    <n v="0.2"/>
    <x v="22"/>
    <x v="20"/>
    <s v="Calle Guacara Nro. 88-25"/>
    <s v="Colaboración Vigilancia, mes de Julio 2017"/>
    <s v="Vigilancia"/>
    <m/>
    <s v="00454"/>
    <s v="28 de Julio de 2017"/>
    <n v="28"/>
    <d v="2017-07-01T00:00:00"/>
    <s v="0,20"/>
    <s v="Cero Bolívares con 20/100"/>
  </r>
  <r>
    <n v="455"/>
    <m/>
    <s v="ü"/>
    <d v="2017-07-29T00:00:00"/>
    <n v="0.35"/>
    <x v="24"/>
    <x v="22"/>
    <s v="Calle Güigüe Nro. 88-54"/>
    <s v="Cancelación Vigilancia, mes de Julio 2017"/>
    <s v="Vigilancia"/>
    <m/>
    <s v="00455"/>
    <s v="29 de Julio de 2017"/>
    <n v="29"/>
    <d v="2017-07-01T00:00:00"/>
    <s v="0,35"/>
    <s v="Cero Bolívares con 35/100"/>
  </r>
  <r>
    <n v="456"/>
    <m/>
    <s v="ü"/>
    <d v="2017-07-20T00:00:00"/>
    <n v="0.35"/>
    <x v="36"/>
    <x v="33"/>
    <s v="Calle Güigüe Nro. 89-10"/>
    <s v="Cancelación Vigilancia, mes de Julio 2017"/>
    <s v="Vigilancia"/>
    <m/>
    <s v="00456"/>
    <s v="20 de Julio de 2017"/>
    <n v="20"/>
    <d v="2017-07-01T00:00:00"/>
    <s v="0,35"/>
    <s v="Cero Bolívares con 35/100"/>
  </r>
  <r>
    <n v="457"/>
    <m/>
    <s v="ü"/>
    <d v="2017-07-29T00:00:00"/>
    <n v="7.0000000000000007E-2"/>
    <x v="75"/>
    <x v="65"/>
    <s v="Av. &quot;Ñ&quot; Nro. 145-25"/>
    <s v="Cuota especial, reja vereda Centro Comercial (saldo a favor: Bs. 114.000)"/>
    <s v="Reja CC"/>
    <m/>
    <s v="00457"/>
    <s v="29 de Julio de 2017"/>
    <n v="29"/>
    <d v="2017-07-01T00:00:00"/>
    <s v="0,07"/>
    <s v="Cero Bolívares con 07/100"/>
  </r>
  <r>
    <n v="458"/>
    <m/>
    <s v="ü"/>
    <d v="2017-08-01T00:00:00"/>
    <n v="0.15"/>
    <x v="15"/>
    <x v="14"/>
    <s v="Calle Guacara Nro. 89-94"/>
    <s v="Colaboración Vigilancia, mes de Agosto 2017"/>
    <s v="Vigilancia"/>
    <m/>
    <s v="00458"/>
    <s v="01 de Agosto de 2017"/>
    <n v="1"/>
    <d v="2017-08-01T00:00:00"/>
    <s v="0,15"/>
    <s v="Cero Bolívares con 15/100"/>
  </r>
  <r>
    <n v="459"/>
    <m/>
    <s v="ü"/>
    <d v="2017-08-02T00:00:00"/>
    <n v="0.35"/>
    <x v="26"/>
    <x v="24"/>
    <s v="Calle Güigüe Nro. 89-96"/>
    <s v="Cancelación Vigilancia, mes de Julio 2017"/>
    <s v="Vigilancia"/>
    <m/>
    <s v="00459"/>
    <s v="02 de Agosto de 2017"/>
    <n v="2"/>
    <d v="2017-08-01T00:00:00"/>
    <s v="0,35"/>
    <s v="Cero Bolívares con 35/100"/>
  </r>
  <r>
    <n v="460"/>
    <m/>
    <s v="ü"/>
    <d v="2017-08-02T00:00:00"/>
    <n v="0.35"/>
    <x v="43"/>
    <x v="40"/>
    <s v="Calle Güigüe Nro. 88-50"/>
    <s v="Cancelación Vigilancia, mes de Julio 2017"/>
    <s v="Vigilancia"/>
    <m/>
    <s v="00460"/>
    <s v="02 de Agosto de 2017"/>
    <n v="2"/>
    <d v="2017-08-01T00:00:00"/>
    <s v="0,35"/>
    <s v="Cero Bolívares con 35/100"/>
  </r>
  <r>
    <n v="461"/>
    <m/>
    <s v="ü"/>
    <d v="2017-08-02T00:00:00"/>
    <n v="0.35"/>
    <x v="6"/>
    <x v="6"/>
    <s v="Calle Guacara Nro. 89-60"/>
    <s v="Cancelación Vigilancia, mes de Agosto 2017"/>
    <s v="Vigilancia"/>
    <m/>
    <s v="00461"/>
    <s v="02 de Agosto de 2017"/>
    <n v="2"/>
    <d v="2017-08-01T00:00:00"/>
    <s v="0,35"/>
    <s v="Cero Bolívares con 35/100"/>
  </r>
  <r>
    <n v="462"/>
    <m/>
    <s v="ü"/>
    <d v="2017-07-11T00:00:00"/>
    <n v="0.26"/>
    <x v="23"/>
    <x v="21"/>
    <s v="Calle Güigüe Nro. 88-116"/>
    <s v="Anticipo Vigilancia, mes de Julio 2017"/>
    <s v="Vigilancia"/>
    <m/>
    <s v="00462"/>
    <s v="11 de Julio de 2017"/>
    <n v="11"/>
    <d v="2017-07-01T00:00:00"/>
    <s v="0,26"/>
    <s v="Cero Bolívares con 26/100"/>
  </r>
  <r>
    <n v="463"/>
    <m/>
    <s v="ü"/>
    <d v="2017-08-02T00:00:00"/>
    <n v="0.26"/>
    <x v="48"/>
    <x v="9"/>
    <s v="Calle Güigüe Nro. 88-90"/>
    <s v="Cancelación Vigilancia, mes de Junio 2017"/>
    <s v="Vigilancia"/>
    <m/>
    <s v="00463"/>
    <s v="02 de Agosto de 2017"/>
    <n v="2"/>
    <d v="2017-08-01T00:00:00"/>
    <s v="0,26"/>
    <s v="Cero Bolívares con 26/100"/>
  </r>
  <r>
    <n v="464"/>
    <m/>
    <s v="ü"/>
    <d v="2017-08-02T00:00:00"/>
    <n v="0.1"/>
    <x v="57"/>
    <x v="9"/>
    <s v="Calle Güigüe Nro. 88-40"/>
    <s v="Colaboración Vigilancia, meses de Junio y Julio 2017"/>
    <s v="Vigilancia"/>
    <m/>
    <s v="00464"/>
    <s v="02 de Agosto de 2017"/>
    <n v="2"/>
    <d v="2017-08-01T00:00:00"/>
    <s v="0,10"/>
    <s v="Cero Bolívares con 10/100"/>
  </r>
  <r>
    <n v="465"/>
    <m/>
    <s v="ü"/>
    <d v="2017-08-02T00:00:00"/>
    <n v="0.33"/>
    <x v="38"/>
    <x v="35"/>
    <s v="Calle Guacara Nro. 89-78"/>
    <s v="Cancelación saldo Vigilancia, mes de Julio 2017"/>
    <s v="Vigilancia"/>
    <m/>
    <s v="00465"/>
    <s v="02 de Agosto de 2017"/>
    <n v="2"/>
    <d v="2017-08-01T00:00:00"/>
    <s v="0,33"/>
    <s v="Cero Bolívares con 33/100"/>
  </r>
  <r>
    <n v="466"/>
    <m/>
    <s v="ü"/>
    <d v="2017-08-03T00:00:00"/>
    <n v="0.35"/>
    <x v="5"/>
    <x v="5"/>
    <s v="Calle Güigüe Nro. 88-120"/>
    <s v="Cancelación Vigilancia, mes de Agosto 2017"/>
    <s v="Vigilancia"/>
    <m/>
    <s v="00466"/>
    <s v="03 de Agosto de 2017"/>
    <n v="3"/>
    <d v="2017-08-01T00:00:00"/>
    <s v="0,35"/>
    <s v="Cero Bolívares con 35/100"/>
  </r>
  <r>
    <n v="467"/>
    <m/>
    <s v="ü"/>
    <d v="2017-08-03T00:00:00"/>
    <n v="0.2"/>
    <x v="34"/>
    <x v="9"/>
    <s v="Av. &quot;O&quot; Nro. 146-11"/>
    <s v="Anticipo Vigilancia, mes de Julio 2017"/>
    <s v="Vigilancia"/>
    <m/>
    <s v="00467"/>
    <s v="03 de Agosto de 2017"/>
    <n v="3"/>
    <d v="2017-08-01T00:00:00"/>
    <s v="0,20"/>
    <s v="Cero Bolívares con 20/100"/>
  </r>
  <r>
    <n v="468"/>
    <m/>
    <s v="ü"/>
    <d v="2017-08-03T00:00:00"/>
    <n v="0.2"/>
    <x v="61"/>
    <x v="14"/>
    <s v="Calle Guacara Nro. 87-07"/>
    <s v="Colaboración Vigilancia, mes de Agosto 2017"/>
    <s v="Vigilancia"/>
    <m/>
    <s v="00468"/>
    <s v="03 de Agosto de 2017"/>
    <n v="3"/>
    <d v="2017-08-01T00:00:00"/>
    <s v="0,20"/>
    <s v="Cero Bolívares con 20/100"/>
  </r>
  <r>
    <n v="469"/>
    <m/>
    <s v="ü"/>
    <d v="2017-08-03T00:00:00"/>
    <n v="0.18"/>
    <x v="32"/>
    <x v="30"/>
    <s v="Calle Güigüe Nro. 89-120"/>
    <s v="Colaboración Vigilancia, mes de Julio 2017"/>
    <s v="Vigilancia"/>
    <m/>
    <s v="00469"/>
    <s v="03 de Agosto de 2017"/>
    <n v="3"/>
    <d v="2017-08-01T00:00:00"/>
    <s v="0,18"/>
    <s v="Cero Bolívares con 18/100"/>
  </r>
  <r>
    <n v="470"/>
    <m/>
    <s v="ü"/>
    <d v="2017-08-04T00:00:00"/>
    <n v="0.35"/>
    <x v="3"/>
    <x v="3"/>
    <s v="Calle Güigüe Nro. 88-62"/>
    <s v="Cancelación Vigilancia, mes de Julio 2017 (saldo a favor: Bs. 1.613)"/>
    <s v="Vigilancia"/>
    <m/>
    <s v="00470"/>
    <s v="04 de Agosto de 2017"/>
    <n v="4"/>
    <d v="2017-08-01T00:00:00"/>
    <s v="0,35"/>
    <s v="Cero Bolívares con 35/100"/>
  </r>
  <r>
    <n v="471"/>
    <m/>
    <s v="ü"/>
    <d v="2017-08-04T00:00:00"/>
    <n v="0.15"/>
    <x v="7"/>
    <x v="7"/>
    <s v="Calle Guacara Nro. 87-86"/>
    <s v="Colaboración Vigilancia, mes de Agosto 2017"/>
    <s v="Vigilancia"/>
    <m/>
    <s v="00471"/>
    <s v="04 de Agosto de 2017"/>
    <n v="4"/>
    <d v="2017-08-01T00:00:00"/>
    <s v="0,15"/>
    <s v="Cero Bolívares con 15/100"/>
  </r>
  <r>
    <n v="472"/>
    <m/>
    <s v="ü"/>
    <d v="2017-08-06T00:00:00"/>
    <n v="0.35"/>
    <x v="31"/>
    <x v="29"/>
    <s v="Calle Güigüe Nro. 89-95"/>
    <s v="Cancelación Vigilancia, mes de Julio 2017"/>
    <s v="Vigilancia"/>
    <m/>
    <s v="00472"/>
    <s v="06 de Agosto de 2017"/>
    <n v="6"/>
    <d v="2017-08-01T00:00:00"/>
    <s v="0,35"/>
    <s v="Cero Bolívares con 35/100"/>
  </r>
  <r>
    <n v="473"/>
    <m/>
    <s v="ü"/>
    <d v="2017-08-06T00:00:00"/>
    <n v="0.35"/>
    <x v="0"/>
    <x v="0"/>
    <s v="Calle Guacara Nro. 88-45"/>
    <s v="Cancelación Vigilancia, mes de Agosto 2017 (saldo a favor: Bs. 95.000)"/>
    <s v="Vigilancia"/>
    <m/>
    <s v="00473"/>
    <s v="06 de Agosto de 2017"/>
    <n v="6"/>
    <d v="2017-08-01T00:00:00"/>
    <s v="0,35"/>
    <s v="Cero Bolívares con 35/100"/>
  </r>
  <r>
    <n v="474"/>
    <m/>
    <s v="ü"/>
    <d v="2017-08-06T00:00:00"/>
    <n v="0.35"/>
    <x v="75"/>
    <x v="65"/>
    <s v="Av. &quot;Ñ&quot; Nro. 145-25"/>
    <s v="Cancelación saldo Vigilancia, mes de Agosto 2017 (saldo a favor: Bs. 79.000)"/>
    <s v="Vigilancia"/>
    <m/>
    <s v="00474"/>
    <s v="06 de Agosto de 2017"/>
    <n v="6"/>
    <d v="2017-08-01T00:00:00"/>
    <s v="0,35"/>
    <s v="Cero Bolívares con 35/100"/>
  </r>
  <r>
    <n v="475"/>
    <m/>
    <s v="ü"/>
    <d v="2017-08-07T00:00:00"/>
    <n v="0.3"/>
    <x v="58"/>
    <x v="53"/>
    <s v="Calle Güigüe Nro. 88-51"/>
    <s v="Colaboración Vigilancia, mes de Julio 2017"/>
    <s v="Vigilancia"/>
    <m/>
    <s v="00475"/>
    <s v="07 de Agosto de 2017"/>
    <n v="7"/>
    <d v="2017-08-01T00:00:00"/>
    <s v="0,30"/>
    <s v="Cero Bolívares con 30/100"/>
  </r>
  <r>
    <n v="476"/>
    <m/>
    <s v="ü"/>
    <d v="2017-08-07T00:00:00"/>
    <n v="0.35"/>
    <x v="40"/>
    <x v="37"/>
    <s v="Calle Güigüe Nro. 88-101"/>
    <s v="Cancelación Vigilancia, mes de Julio 2017"/>
    <s v="Vigilancia"/>
    <m/>
    <s v="00476"/>
    <s v="07 de Agosto de 2017"/>
    <n v="7"/>
    <d v="2017-08-01T00:00:00"/>
    <s v="0,35"/>
    <s v="Cero Bolívares con 35/100"/>
  </r>
  <r>
    <n v="477"/>
    <m/>
    <s v="ü"/>
    <d v="2017-08-08T00:00:00"/>
    <n v="0.35"/>
    <x v="1"/>
    <x v="1"/>
    <s v="Calle Güigüe Nro. 88-44"/>
    <s v="Cancelación Vigilancia, mes de Agosto 2017"/>
    <s v="Vigilancia"/>
    <m/>
    <s v="00477"/>
    <s v="08 de Agosto de 2017"/>
    <n v="8"/>
    <d v="2017-08-01T00:00:00"/>
    <s v="0,35"/>
    <s v="Cero Bolívares con 35/100"/>
  </r>
  <r>
    <n v="478"/>
    <m/>
    <s v="ü"/>
    <d v="2017-08-09T00:00:00"/>
    <n v="0.04"/>
    <x v="17"/>
    <x v="16"/>
    <s v="Av. &quot;M&quot; Nro. 146-20"/>
    <s v="Colaboración Vigilancia, mes de Agosto 2017"/>
    <s v="Vigilancia"/>
    <m/>
    <s v="00478"/>
    <s v="09 de Agosto de 2017"/>
    <n v="9"/>
    <d v="2017-08-01T00:00:00"/>
    <s v="0,04"/>
    <s v="Cero Bolívares con 04/100"/>
  </r>
  <r>
    <n v="479"/>
    <m/>
    <s v="ü"/>
    <d v="2017-08-09T00:00:00"/>
    <n v="0.31"/>
    <x v="18"/>
    <x v="16"/>
    <s v="Calle Guacara Nro. 87-100"/>
    <s v="Cancelación saldo Vigilancia, mes de Agosto 2017"/>
    <s v="Vigilancia"/>
    <m/>
    <s v="00479"/>
    <s v="09 de Agosto de 2017"/>
    <n v="9"/>
    <d v="2017-08-01T00:00:00"/>
    <s v="0,31"/>
    <s v="Cero Bolívares con 31/100"/>
  </r>
  <r>
    <n v="480"/>
    <m/>
    <s v="ü"/>
    <d v="2017-08-09T00:00:00"/>
    <n v="0.26"/>
    <x v="60"/>
    <x v="54"/>
    <s v="Calle Guacara Nro. 88-51"/>
    <s v="Cancelación Vigilancia, mes de Junio 2017: transferencia y contra factura"/>
    <s v="Vigilancia"/>
    <m/>
    <s v="00480"/>
    <s v="09 de Agosto de 2017"/>
    <n v="9"/>
    <d v="2017-08-01T00:00:00"/>
    <s v="0,26"/>
    <s v="Cero Bolívares con 26/100"/>
  </r>
  <r>
    <n v="481"/>
    <m/>
    <s v="ü"/>
    <d v="2017-08-09T00:00:00"/>
    <n v="0.35"/>
    <x v="69"/>
    <x v="61"/>
    <s v="Calle Güigüe Nro. 89-40"/>
    <s v="Cancelación Vigilancia, mes de Julio 2017"/>
    <s v="Vigilancia"/>
    <m/>
    <s v="00481"/>
    <s v="09 de Agosto de 2017"/>
    <n v="9"/>
    <d v="2017-08-01T00:00:00"/>
    <s v="0,35"/>
    <s v="Cero Bolívares con 35/100"/>
  </r>
  <r>
    <n v="482"/>
    <m/>
    <s v="ü"/>
    <d v="2017-08-10T00:00:00"/>
    <n v="0.35"/>
    <x v="12"/>
    <x v="12"/>
    <s v="Calle Guacara Nro. 89-20"/>
    <s v="Cancelación Vigilancia, mes de Agosto 2017"/>
    <s v="Vigilancia"/>
    <m/>
    <s v="00482"/>
    <s v="10 de Agosto de 2017"/>
    <n v="10"/>
    <d v="2017-08-01T00:00:00"/>
    <s v="0,35"/>
    <s v="Cero Bolívares con 35/100"/>
  </r>
  <r>
    <n v="483"/>
    <m/>
    <s v="ü"/>
    <d v="2017-08-10T00:00:00"/>
    <n v="0.35"/>
    <x v="19"/>
    <x v="17"/>
    <s v="Calle Guacara Nro. 89-130"/>
    <s v="Cancelación Vigilancia, mes de Agosto 2017"/>
    <s v="Vigilancia"/>
    <m/>
    <s v="00483"/>
    <s v="10 de Agosto de 2017"/>
    <n v="10"/>
    <d v="2017-08-01T00:00:00"/>
    <s v="0,35"/>
    <s v="Cero Bolívares con 35/100"/>
  </r>
  <r>
    <n v="484"/>
    <m/>
    <s v="ü"/>
    <d v="2017-08-10T00:00:00"/>
    <n v="0.26"/>
    <x v="49"/>
    <x v="46"/>
    <s v="Av. &quot;O&quot; Nro. 146-17"/>
    <s v="Anticipo Vigilancia, mes de Julio 2017"/>
    <s v="Vigilancia"/>
    <m/>
    <s v="00484"/>
    <s v="10 de Agosto de 2017"/>
    <n v="10"/>
    <d v="2017-08-01T00:00:00"/>
    <s v="0,26"/>
    <s v="Cero Bolívares con 26/100"/>
  </r>
  <r>
    <n v="485"/>
    <m/>
    <s v="ü"/>
    <d v="2017-08-10T00:00:00"/>
    <n v="0.35"/>
    <x v="4"/>
    <x v="4"/>
    <s v="Calle Güigüe Nro. 89-55"/>
    <s v="Cancelación Vigilancia, mes de Agosto 2017, transferencia y contra factura"/>
    <s v="Vigilancia"/>
    <m/>
    <s v="00485"/>
    <s v="10 de Agosto de 2017"/>
    <n v="10"/>
    <d v="2017-08-01T00:00:00"/>
    <s v="0,35"/>
    <s v="Cero Bolívares con 35/100"/>
  </r>
  <r>
    <n v="486"/>
    <m/>
    <s v="ü"/>
    <d v="2017-08-10T00:00:00"/>
    <n v="0.13"/>
    <x v="62"/>
    <x v="55"/>
    <s v="Av. &quot;M&quot; Nro. 145-10"/>
    <s v="Anticipo Vigilancia, mes de Julio 2017"/>
    <s v="Vigilancia"/>
    <m/>
    <s v="00486"/>
    <s v="10 de Agosto de 2017"/>
    <n v="10"/>
    <d v="2017-08-01T00:00:00"/>
    <s v="0,13"/>
    <s v="Cero Bolívares con 13/100"/>
  </r>
  <r>
    <n v="487"/>
    <m/>
    <s v="ü"/>
    <d v="2017-08-10T00:00:00"/>
    <n v="7.0000000000000007E-2"/>
    <x v="62"/>
    <x v="55"/>
    <s v="Av. &quot;M&quot; Nro. 145-10"/>
    <s v="Cuota especial, reja vereda Centro Comercial"/>
    <s v="Reja CC"/>
    <m/>
    <s v="00487"/>
    <s v="10 de Agosto de 2017"/>
    <n v="10"/>
    <d v="2017-08-01T00:00:00"/>
    <s v="0,07"/>
    <s v="Cero Bolívares con 07/100"/>
  </r>
  <r>
    <n v="488"/>
    <m/>
    <s v="ü"/>
    <d v="2017-08-10T00:00:00"/>
    <n v="0.35"/>
    <x v="76"/>
    <x v="66"/>
    <s v="Calle Güigüe Nro. 89-90"/>
    <s v="Cancelación Vigilancia, mes de Agosto 2017"/>
    <s v="Vigilancia"/>
    <m/>
    <s v="00488"/>
    <s v="10 de Agosto de 2017"/>
    <n v="10"/>
    <d v="2017-08-01T00:00:00"/>
    <s v="0,35"/>
    <s v="Cero Bolívares con 35/100"/>
  </r>
  <r>
    <n v="489"/>
    <m/>
    <s v="ü"/>
    <d v="2017-08-13T00:00:00"/>
    <n v="0.26"/>
    <x v="54"/>
    <x v="50"/>
    <s v="Calle Güigüe Nro. 89-21"/>
    <s v="Cancelación Vigilancia, mes de Junio 2017"/>
    <s v="Vigilancia"/>
    <m/>
    <s v="00489"/>
    <s v="13 de Agosto de 2017"/>
    <n v="13"/>
    <d v="2017-08-01T00:00:00"/>
    <s v="0,26"/>
    <s v="Cero Bolívares con 26/100"/>
  </r>
  <r>
    <n v="490"/>
    <m/>
    <s v="ü"/>
    <d v="2017-08-13T00:00:00"/>
    <n v="7.0000000000000007E-2"/>
    <x v="54"/>
    <x v="50"/>
    <s v="Calle Güigüe Nro. 89-21"/>
    <s v="Cuota especial, reja vereda Centro Comercial"/>
    <s v="Reja CC"/>
    <m/>
    <s v="00490"/>
    <s v="13 de Agosto de 2017"/>
    <n v="13"/>
    <d v="2017-08-01T00:00:00"/>
    <s v="0,07"/>
    <s v="Cero Bolívares con 07/100"/>
  </r>
  <r>
    <n v="491"/>
    <m/>
    <s v="ü"/>
    <d v="2017-08-14T00:00:00"/>
    <n v="0.35"/>
    <x v="16"/>
    <x v="15"/>
    <s v="Calle Guacara Nro. 90-81"/>
    <s v="Cancelación Vigilancia, mes de Agosto 2017"/>
    <s v="Vigilancia"/>
    <m/>
    <s v="00491"/>
    <s v="14 de Agosto de 2017"/>
    <n v="14"/>
    <d v="2017-08-01T00:00:00"/>
    <s v="0,35"/>
    <s v="Cero Bolívares con 35/100"/>
  </r>
  <r>
    <n v="492"/>
    <m/>
    <s v="ü"/>
    <d v="2017-08-14T00:00:00"/>
    <n v="0.09"/>
    <x v="49"/>
    <x v="46"/>
    <s v="Av. &quot;O&quot; Nro. 146-17"/>
    <s v="Cancelación saldo Vigilancia, mes de Julio 2017"/>
    <s v="Vigilancia"/>
    <m/>
    <s v="00492"/>
    <s v="14 de Agosto de 2017"/>
    <n v="14"/>
    <d v="2017-08-01T00:00:00"/>
    <s v="0,09"/>
    <s v="Cero Bolívares con 09/100"/>
  </r>
  <r>
    <n v="493"/>
    <m/>
    <s v="ü"/>
    <d v="2017-08-14T00:00:00"/>
    <n v="0.18"/>
    <x v="49"/>
    <x v="46"/>
    <s v="Av. &quot;O&quot; Nro. 146-17"/>
    <s v="Cancelación diferencia pago controles"/>
    <s v="Control"/>
    <m/>
    <s v="00493"/>
    <s v="14 de Agosto de 2017"/>
    <n v="14"/>
    <d v="2017-08-01T00:00:00"/>
    <s v="0,18"/>
    <s v="Cero Bolívares con 18/100"/>
  </r>
  <r>
    <n v="494"/>
    <m/>
    <s v="ü"/>
    <d v="2017-08-15T00:00:00"/>
    <n v="0.15"/>
    <x v="68"/>
    <x v="60"/>
    <s v="Calle Güigüe Nro. 89-29"/>
    <s v="Colaboración Vigilancia, mes de Agosto 2017"/>
    <s v="Vigilancia"/>
    <m/>
    <s v="00494"/>
    <s v="15 de Agosto de 2017"/>
    <n v="15"/>
    <d v="2017-08-01T00:00:00"/>
    <s v="0,15"/>
    <s v="Cero Bolívares con 15/100"/>
  </r>
  <r>
    <n v="495"/>
    <m/>
    <s v="ü"/>
    <d v="2017-08-15T00:00:00"/>
    <n v="0.2"/>
    <x v="35"/>
    <x v="32"/>
    <s v="Calle Güigüe Nro. 89-80"/>
    <s v="Colaboración Vigilancia, mes de Agosto 2017"/>
    <s v="Vigilancia"/>
    <m/>
    <s v="00495"/>
    <s v="15 de Agosto de 2017"/>
    <n v="15"/>
    <d v="2017-08-01T00:00:00"/>
    <s v="0,20"/>
    <s v="Cero Bolívares con 20/100"/>
  </r>
  <r>
    <n v="496"/>
    <m/>
    <s v="ü"/>
    <d v="2017-08-15T00:00:00"/>
    <n v="0.35"/>
    <x v="30"/>
    <x v="28"/>
    <s v="Calle Güigüe Nro. 89-04"/>
    <s v="Cancelación Vigilancia, mes de Agosto 2017"/>
    <s v="Vigilancia"/>
    <m/>
    <s v="00496"/>
    <s v="15 de Agosto de 2017"/>
    <n v="15"/>
    <d v="2017-08-01T00:00:00"/>
    <s v="0,35"/>
    <s v="Cero Bolívares con 35/100"/>
  </r>
  <r>
    <n v="497"/>
    <m/>
    <s v="ü"/>
    <d v="2017-06-25T00:00:00"/>
    <n v="0.26"/>
    <x v="56"/>
    <x v="52"/>
    <s v="Calle Güigüe Nro. 88-70"/>
    <s v="Cancelación Vigilancia, mes de Junio 2017"/>
    <s v="Vigilancia"/>
    <m/>
    <s v="00497"/>
    <s v="25 de Junio de 2017"/>
    <n v="25"/>
    <d v="2017-06-01T00:00:00"/>
    <s v="0,26"/>
    <s v="Cero Bolívares con 26/100"/>
  </r>
  <r>
    <n v="498"/>
    <m/>
    <s v="ü"/>
    <d v="2017-08-16T00:00:00"/>
    <n v="0.09"/>
    <x v="23"/>
    <x v="21"/>
    <s v="Calle Güigüe Nro. 88-116"/>
    <s v="Cancelación saldo Vigilancia, mes de Julio 2017"/>
    <s v="Vigilancia"/>
    <m/>
    <s v="00498"/>
    <s v="16 de Agosto de 2017"/>
    <n v="16"/>
    <d v="2017-08-01T00:00:00"/>
    <s v="0,09"/>
    <s v="Cero Bolívares con 09/100"/>
  </r>
  <r>
    <n v="499"/>
    <m/>
    <s v="ü"/>
    <d v="2017-08-16T00:00:00"/>
    <n v="0.35"/>
    <x v="23"/>
    <x v="21"/>
    <s v="Calle Güigüe Nro. 88-116"/>
    <s v="Cancelación Vigilancia, mes de Agosto 2017"/>
    <s v="Vigilancia"/>
    <m/>
    <s v="00499"/>
    <s v="16 de Agosto de 2017"/>
    <n v="16"/>
    <d v="2017-08-01T00:00:00"/>
    <s v="0,35"/>
    <s v="Cero Bolívares con 35/100"/>
  </r>
  <r>
    <n v="500"/>
    <m/>
    <s v="ü"/>
    <d v="2017-07-28T00:00:00"/>
    <n v="0.35"/>
    <x v="10"/>
    <x v="10"/>
    <s v="Av. &quot;M&quot; Nro. 146-15"/>
    <s v="Cancelación Vigilancia, mes de Julio 2017"/>
    <s v="Vigilancia"/>
    <m/>
    <s v="00500"/>
    <s v="28 de Julio de 2017"/>
    <n v="28"/>
    <d v="2017-07-01T00:00:00"/>
    <s v="0,35"/>
    <s v="Cero Bolívares con 35/100"/>
  </r>
  <r>
    <n v="501"/>
    <m/>
    <s v="ü"/>
    <d v="2017-07-25T00:00:00"/>
    <n v="0.35"/>
    <x v="56"/>
    <x v="52"/>
    <s v="Calle Güigüe Nro. 88-70"/>
    <s v="Cancelación Vigilancia, mes de Julio 2017"/>
    <s v="Vigilancia"/>
    <m/>
    <s v="00501"/>
    <s v="25 de Julio de 2017"/>
    <n v="25"/>
    <d v="2017-07-01T00:00:00"/>
    <s v="0,35"/>
    <s v="Cero Bolívares con 35/100"/>
  </r>
  <r>
    <n v="502"/>
    <m/>
    <s v="ü"/>
    <d v="2017-08-17T00:00:00"/>
    <n v="0.4"/>
    <x v="9"/>
    <x v="9"/>
    <s v="Av. &quot;M&quot; Nro. 146-30"/>
    <s v="Cancelación Vigilancia, mes de Agosto 2017"/>
    <s v="Vigilancia"/>
    <m/>
    <s v="00502"/>
    <s v="17 de Agosto de 2017"/>
    <n v="17"/>
    <d v="2017-08-01T00:00:00"/>
    <s v="0,40"/>
    <s v="Cero Bolívares con 40/100"/>
  </r>
  <r>
    <n v="503"/>
    <m/>
    <s v="ü"/>
    <d v="2017-07-30T00:00:00"/>
    <n v="0.62"/>
    <x v="37"/>
    <x v="34"/>
    <s v="Av. &quot;I&quot; Nro. 146-40"/>
    <s v="Cancelación Vigilancia, meses de Junio y Julio 2017 y anticipo mes de Agosto 2017 (Bs. 1.000)"/>
    <s v="Vigilancia"/>
    <m/>
    <s v="00503"/>
    <s v="30 de Julio de 2017"/>
    <n v="30"/>
    <d v="2017-07-01T00:00:00"/>
    <s v="0,62"/>
    <s v="Cero Bolívares con 62/100"/>
  </r>
  <r>
    <n v="504"/>
    <m/>
    <s v="ü"/>
    <d v="2017-08-17T00:00:00"/>
    <n v="0.15"/>
    <x v="34"/>
    <x v="9"/>
    <s v="Av. &quot;O&quot; Nro. 146-11"/>
    <s v="Cancelación saldo Vigilancia, mes de Julio 2017"/>
    <s v="Vigilancia"/>
    <m/>
    <s v="00504"/>
    <s v="17 de Agosto de 2017"/>
    <n v="17"/>
    <d v="2017-08-01T00:00:00"/>
    <s v="0,15"/>
    <s v="Cero Bolívares con 15/100"/>
  </r>
  <r>
    <n v="505"/>
    <m/>
    <s v="ü"/>
    <d v="2017-08-17T00:00:00"/>
    <n v="0.05"/>
    <x v="28"/>
    <x v="26"/>
    <s v="Calle Güigüe Nro. 88-30"/>
    <s v="Colaboración Vigilancia, mes de Agosto 2017"/>
    <s v="Vigilancia"/>
    <m/>
    <s v="00505"/>
    <s v="17 de Agosto de 2017"/>
    <n v="17"/>
    <d v="2017-08-01T00:00:00"/>
    <s v="0,05"/>
    <s v="Cero Bolívares con 05/100"/>
  </r>
  <r>
    <n v="506"/>
    <m/>
    <s v="ü"/>
    <d v="2017-08-17T00:00:00"/>
    <n v="0.35"/>
    <x v="20"/>
    <x v="18"/>
    <s v="Calle Guacara Nro. 89-30"/>
    <s v="Cancelación Vigilancia, mes de Agosto 2017"/>
    <s v="Vigilancia"/>
    <m/>
    <s v="00506"/>
    <s v="17 de Agosto de 2017"/>
    <n v="17"/>
    <d v="2017-08-01T00:00:00"/>
    <s v="0,35"/>
    <s v="Cero Bolívares con 35/100"/>
  </r>
  <r>
    <n v="507"/>
    <m/>
    <s v="ü"/>
    <d v="2017-07-18T00:00:00"/>
    <n v="0.2"/>
    <x v="22"/>
    <x v="20"/>
    <s v="Calle Guacara Nro. 88-25"/>
    <s v="Colaboración Vigilancia, mes de Agosto 2017"/>
    <s v="Vigilancia"/>
    <m/>
    <s v="00507"/>
    <s v="18 de Julio de 2017"/>
    <n v="18"/>
    <d v="2017-07-01T00:00:00"/>
    <s v="0,20"/>
    <s v="Cero Bolívares con 20/100"/>
  </r>
  <r>
    <n v="508"/>
    <m/>
    <s v="ü"/>
    <d v="2017-08-18T00:00:00"/>
    <n v="0.2"/>
    <x v="2"/>
    <x v="2"/>
    <s v="Calle Guacara Nro. 88-19"/>
    <s v="Colaboración Vigilancia, mes de Agosto 2017"/>
    <s v="Vigilancia"/>
    <m/>
    <s v="00508"/>
    <s v="18 de Agosto de 2017"/>
    <n v="18"/>
    <d v="2017-08-01T00:00:00"/>
    <s v="0,20"/>
    <s v="Cero Bolívares con 20/100"/>
  </r>
  <r>
    <n v="509"/>
    <m/>
    <s v="ü"/>
    <d v="2017-08-18T00:00:00"/>
    <n v="0.125"/>
    <x v="67"/>
    <x v="2"/>
    <s v="Calle Guacara Nro. 90-93"/>
    <s v="Colaboración Vigilancia, meses de Julio y Agosto 2017"/>
    <s v="Vigilancia"/>
    <m/>
    <s v="00509"/>
    <s v="18 de Agosto de 2017"/>
    <n v="18"/>
    <d v="2017-08-01T00:00:00"/>
    <s v="0,13"/>
    <s v="Cero Bolívares con 12/100"/>
  </r>
  <r>
    <n v="510"/>
    <m/>
    <s v="ü"/>
    <d v="2017-08-18T00:00:00"/>
    <n v="1.39"/>
    <x v="52"/>
    <x v="49"/>
    <s v="Calle Güigüe Nro. 89-45"/>
    <s v="Cancelación Vigilancia, meses de Abril a Agosto 2017"/>
    <s v="Vigilancia"/>
    <m/>
    <s v="00510"/>
    <s v="18 de Agosto de 2017"/>
    <n v="18"/>
    <d v="2017-08-01T00:00:00"/>
    <s v="1,39"/>
    <s v="Un Bolívares con 39/100"/>
  </r>
  <r>
    <n v="511"/>
    <m/>
    <s v="ü"/>
    <d v="2017-08-19T00:00:00"/>
    <n v="0.7"/>
    <x v="27"/>
    <x v="25"/>
    <s v="Calle Güigüe Nro. 89-106"/>
    <s v="Cancelación Vigilancia, meses de Julio y Agosto 2017"/>
    <s v="Vigilancia"/>
    <m/>
    <s v="00511"/>
    <s v="19 de Agosto de 2017"/>
    <n v="19"/>
    <d v="2017-08-01T00:00:00"/>
    <s v="0,70"/>
    <s v="Cero Bolívares con 70/100"/>
  </r>
  <r>
    <n v="512"/>
    <m/>
    <s v="ü"/>
    <d v="2017-08-19T00:00:00"/>
    <n v="0.3"/>
    <x v="64"/>
    <x v="57"/>
    <s v="Calle Guacara Nro. 88-35"/>
    <s v="Colaboración Vigilancia, mes de Agosto 2017"/>
    <s v="Vigilancia"/>
    <m/>
    <s v="00512"/>
    <s v="19 de Agosto de 2017"/>
    <n v="19"/>
    <d v="2017-08-01T00:00:00"/>
    <s v="0,30"/>
    <s v="Cero Bolívares con 30/100"/>
  </r>
  <r>
    <n v="513"/>
    <m/>
    <s v="ü"/>
    <d v="2017-08-19T00:00:00"/>
    <n v="0.35"/>
    <x v="65"/>
    <x v="58"/>
    <s v="Calle Güigüe Nro. 88-10"/>
    <s v="Cancelación Vigilancia, mes de Julio 2017"/>
    <s v="Vigilancia"/>
    <m/>
    <s v="00513"/>
    <s v="19 de Agosto de 2017"/>
    <n v="19"/>
    <d v="2017-08-01T00:00:00"/>
    <s v="0,35"/>
    <s v="Cero Bolívares con 35/100"/>
  </r>
  <r>
    <n v="514"/>
    <m/>
    <s v="ü"/>
    <d v="2017-08-19T00:00:00"/>
    <n v="0.35"/>
    <x v="81"/>
    <x v="69"/>
    <s v="Calle Güigüe Nro. 89-65"/>
    <s v="Cancelación Vigilancia, mes de Agosto 2017"/>
    <s v="Vigilancia"/>
    <m/>
    <s v="00514"/>
    <s v="19 de Agosto de 2017"/>
    <n v="19"/>
    <d v="2017-08-01T00:00:00"/>
    <s v="0,35"/>
    <s v="Cero Bolívares con 35/100"/>
  </r>
  <r>
    <n v="515"/>
    <m/>
    <s v="ü"/>
    <d v="2017-08-20T00:00:00"/>
    <n v="0.35"/>
    <x v="14"/>
    <x v="13"/>
    <s v="Calle Güigüe Nro. 89-83"/>
    <s v="Cancelación Vigilancia, mes de Agosto 2017"/>
    <s v="Vigilancia"/>
    <m/>
    <s v="00515"/>
    <s v="20 de Agosto de 2017"/>
    <n v="20"/>
    <d v="2017-08-01T00:00:00"/>
    <s v="0,35"/>
    <s v="Cero Bolívares con 35/100"/>
  </r>
  <r>
    <n v="516"/>
    <m/>
    <s v="ü"/>
    <d v="2017-08-16T00:00:00"/>
    <n v="0.61"/>
    <x v="46"/>
    <x v="43"/>
    <s v="Av. &quot;I&quot; Nro. 146-20"/>
    <s v="Cancelación Vigilancia, meses de Junio y Julio 2017"/>
    <s v="Vigilancia"/>
    <m/>
    <s v="00516"/>
    <s v="16 de Agosto de 2017"/>
    <n v="16"/>
    <d v="2017-08-01T00:00:00"/>
    <s v="0,61"/>
    <s v="Cero Bolívares con 61/100"/>
  </r>
  <r>
    <n v="517"/>
    <m/>
    <s v="ü"/>
    <d v="2017-08-20T00:00:00"/>
    <n v="0.15"/>
    <x v="25"/>
    <x v="23"/>
    <s v="Calle Güigüe Nro. 88-58"/>
    <s v="Colaboración Vigilancia, mes de Julio 2017"/>
    <s v="Vigilancia"/>
    <m/>
    <s v="00517"/>
    <s v="20 de Agosto de 2017"/>
    <n v="20"/>
    <d v="2017-08-01T00:00:00"/>
    <s v="0,15"/>
    <s v="Cero Bolívares con 15/100"/>
  </r>
  <r>
    <n v="518"/>
    <m/>
    <s v="ü"/>
    <d v="2017-08-21T00:00:00"/>
    <n v="0.44"/>
    <x v="45"/>
    <x v="42"/>
    <s v="Calle Güigüe Nro. 87-A-11"/>
    <s v="Cancelación saldo Vigilancia, mes de Julio 2017 y Cancelación Vigilancia mes de Agosto 2017"/>
    <s v="Vigilancia"/>
    <m/>
    <s v="00518"/>
    <s v="21 de Agosto de 2017"/>
    <n v="21"/>
    <d v="2017-08-01T00:00:00"/>
    <s v="0,44"/>
    <s v="Cero Bolívares con 44/100"/>
  </r>
  <r>
    <n v="519"/>
    <m/>
    <s v="ü"/>
    <d v="2017-08-23T00:00:00"/>
    <n v="0.35"/>
    <x v="46"/>
    <x v="43"/>
    <s v="Av. &quot;I&quot; Nro. 146-20"/>
    <s v="Cancelación Vigilancia, mes de Agosto 2017"/>
    <s v="Vigilancia"/>
    <m/>
    <s v="00519"/>
    <s v="23 de Agosto de 2017"/>
    <n v="23"/>
    <d v="2017-08-01T00:00:00"/>
    <s v="0,35"/>
    <s v="Cero Bolívares con 35/100"/>
  </r>
  <r>
    <n v="520"/>
    <m/>
    <s v="ü"/>
    <d v="2017-08-25T00:00:00"/>
    <n v="0.18"/>
    <x v="25"/>
    <x v="23"/>
    <s v="Calle Güigüe Nro. 88-58"/>
    <s v="Colaboración Vigilancia, mes de Agosto 2017"/>
    <s v="Vigilancia"/>
    <m/>
    <s v="00520"/>
    <s v="25 de Agosto de 2017"/>
    <n v="25"/>
    <d v="2017-08-01T00:00:00"/>
    <s v="0,18"/>
    <s v="Cero Bolívares con 18/100"/>
  </r>
  <r>
    <n v="521"/>
    <m/>
    <s v="ü"/>
    <d v="2017-08-28T00:00:00"/>
    <n v="0.7"/>
    <x v="8"/>
    <x v="8"/>
    <s v="Calle Guacara Nro. 90-51"/>
    <s v="Cancelación Vigilancia, meses de Julio y Agosto 2017"/>
    <s v="Vigilancia"/>
    <m/>
    <s v="00521"/>
    <s v="28 de Agosto de 2017"/>
    <n v="28"/>
    <d v="2017-08-01T00:00:00"/>
    <s v="0,70"/>
    <s v="Cero Bolívares con 70/100"/>
  </r>
  <r>
    <n v="522"/>
    <m/>
    <s v="ü"/>
    <d v="2017-08-24T00:00:00"/>
    <n v="0.36"/>
    <x v="29"/>
    <x v="27"/>
    <s v="Calle Guacara Nro. 88-75"/>
    <s v="Cancelación Vigilancia, mes de Julio 2017, y anticipo del mes de Agosto 2017"/>
    <s v="Vigilancia"/>
    <m/>
    <s v="00522"/>
    <s v="24 de Agosto de 2017"/>
    <n v="24"/>
    <d v="2017-08-01T00:00:00"/>
    <s v="0,36"/>
    <s v="Cero Bolívares con 36/100"/>
  </r>
  <r>
    <n v="523"/>
    <m/>
    <s v="ü"/>
    <d v="2017-08-30T00:00:00"/>
    <n v="0.35"/>
    <x v="6"/>
    <x v="6"/>
    <s v="Calle Guacara Nro. 89-60"/>
    <s v="Cancelación Vigilancia, mes de Septiembre 2017"/>
    <s v="Vigilancia"/>
    <m/>
    <s v="00523"/>
    <s v="30 de Agosto de 2017"/>
    <n v="30"/>
    <d v="2017-08-01T00:00:00"/>
    <s v="0,35"/>
    <s v="Cero Bolívares con 35/100"/>
  </r>
  <r>
    <n v="524"/>
    <m/>
    <s v="ü"/>
    <d v="2017-08-31T00:00:00"/>
    <n v="0.7"/>
    <x v="56"/>
    <x v="52"/>
    <s v="Calle Güigüe Nro. 88-70"/>
    <s v="Cancelación Vigilancia, meses de Agosto y Septiembre 2017"/>
    <s v="Vigilancia"/>
    <m/>
    <s v="00524"/>
    <s v="31 de Agosto de 2017"/>
    <n v="31"/>
    <d v="2017-08-01T00:00:00"/>
    <s v="0,70"/>
    <s v="Cero Bolívares con 70/100"/>
  </r>
  <r>
    <n v="525"/>
    <m/>
    <s v="ü"/>
    <d v="2017-08-30T00:00:00"/>
    <n v="0.1"/>
    <x v="72"/>
    <x v="63"/>
    <s v="Calle Güigüe Nro. 89-35"/>
    <s v="Colaboración Vigilancia, mes de Agosto 2017"/>
    <s v="Vigilancia"/>
    <m/>
    <s v="00525"/>
    <s v="30 de Agosto de 2017"/>
    <n v="30"/>
    <d v="2017-08-01T00:00:00"/>
    <s v="0,10"/>
    <s v="Cero Bolívares con 10/100"/>
  </r>
  <r>
    <n v="526"/>
    <m/>
    <s v="ü"/>
    <d v="2017-08-31T00:00:00"/>
    <n v="0.72"/>
    <x v="48"/>
    <x v="9"/>
    <s v="Calle Güigüe Nro. 88-90"/>
    <s v="Cancelación Vigilancia, meses de Julio y Agosto 2017 y Anticipo Vigilancia Septiembre 2017"/>
    <s v="Vigilancia"/>
    <m/>
    <s v="00526"/>
    <s v="31 de Agosto de 2017"/>
    <n v="31"/>
    <d v="2017-08-01T00:00:00"/>
    <s v="0,72"/>
    <s v="Cero Bolívares con 72/100"/>
  </r>
  <r>
    <n v="527"/>
    <m/>
    <s v="ü"/>
    <d v="2017-08-31T00:00:00"/>
    <n v="0.35"/>
    <x v="14"/>
    <x v="13"/>
    <s v="Calle Güigüe Nro. 89-83"/>
    <s v="Cancelación Vigilancia, mes de Septiembre 2017"/>
    <s v="Vigilancia"/>
    <m/>
    <s v="00527"/>
    <s v="31 de Agosto de 2017"/>
    <n v="31"/>
    <d v="2017-08-01T00:00:00"/>
    <s v="0,35"/>
    <s v="Cero Bolívares con 35/100"/>
  </r>
  <r>
    <n v="528"/>
    <m/>
    <s v="ü"/>
    <d v="2017-07-31T00:00:00"/>
    <n v="0.35"/>
    <x v="24"/>
    <x v="22"/>
    <s v="Calle Güigüe Nro. 88-54"/>
    <s v="Cancelación Vigilancia, mes de Agosto 2017"/>
    <s v="Vigilancia"/>
    <m/>
    <s v="00528"/>
    <s v="31 de Julio de 2017"/>
    <n v="31"/>
    <d v="2017-07-01T00:00:00"/>
    <s v="0,35"/>
    <s v="Cero Bolívares con 35/100"/>
  </r>
  <r>
    <n v="529"/>
    <m/>
    <s v="ü"/>
    <d v="2017-09-01T00:00:00"/>
    <n v="1"/>
    <x v="47"/>
    <x v="44"/>
    <s v="Calle Güigüe Nro. 88-80"/>
    <s v="Colaboración Vigilancia, meses de Junio, Julio, Agosto y Septiembre 2017"/>
    <s v="Vigilancia"/>
    <m/>
    <s v="00529"/>
    <s v="01 de Septiembre de 2017"/>
    <n v="1"/>
    <d v="2017-09-01T00:00:00"/>
    <s v="1,00"/>
    <s v="Un Bolívar con 00/100"/>
  </r>
  <r>
    <n v="530"/>
    <m/>
    <s v="ü"/>
    <d v="2017-09-01T00:00:00"/>
    <n v="0.35"/>
    <x v="1"/>
    <x v="1"/>
    <s v="Calle Güigüe Nro. 88-44"/>
    <s v="Cancelación Vigilancia, mes de Septiembre 2017"/>
    <s v="Vigilancia"/>
    <m/>
    <s v="00530"/>
    <s v="01 de Septiembre de 2017"/>
    <n v="1"/>
    <d v="2017-09-01T00:00:00"/>
    <s v="0,35"/>
    <s v="Cero Bolívares con 35/100"/>
  </r>
  <r>
    <n v="531"/>
    <m/>
    <s v="ü"/>
    <d v="2017-09-01T00:00:00"/>
    <n v="0.35"/>
    <x v="59"/>
    <x v="9"/>
    <s v="Calle Guacara Nro. 90-35"/>
    <s v="Cancelación Vigilancia, mes de Julio 2017"/>
    <s v="Vigilancia"/>
    <m/>
    <s v="00531"/>
    <s v="01 de Septiembre de 2017"/>
    <n v="1"/>
    <d v="2017-09-01T00:00:00"/>
    <s v="0,35"/>
    <s v="Cero Bolívares con 35/100"/>
  </r>
  <r>
    <n v="532"/>
    <m/>
    <s v="ü"/>
    <d v="2017-09-01T00:00:00"/>
    <n v="0.35"/>
    <x v="59"/>
    <x v="9"/>
    <s v="Calle Guacara Nro. 90-35"/>
    <s v="Cancelación Vigilancia, mes de Agosto 2017"/>
    <s v="Vigilancia"/>
    <m/>
    <s v="00532"/>
    <s v="01 de Septiembre de 2017"/>
    <n v="1"/>
    <d v="2017-09-01T00:00:00"/>
    <s v="0,35"/>
    <s v="Cero Bolívares con 35/100"/>
  </r>
  <r>
    <n v="533"/>
    <m/>
    <s v="ü"/>
    <d v="2017-09-01T00:00:00"/>
    <n v="0.35"/>
    <x v="10"/>
    <x v="10"/>
    <s v="Av. &quot;M&quot; Nro. 146-15"/>
    <s v="Cancelación Vigilancia, mes de Agosto 2017"/>
    <s v="Vigilancia"/>
    <m/>
    <s v="00533"/>
    <s v="01 de Septiembre de 2017"/>
    <n v="1"/>
    <d v="2017-09-01T00:00:00"/>
    <s v="0,35"/>
    <s v="Cero Bolívares con 35/100"/>
  </r>
  <r>
    <n v="534"/>
    <m/>
    <s v="ü"/>
    <d v="2017-09-01T00:00:00"/>
    <n v="0.35"/>
    <x v="75"/>
    <x v="65"/>
    <s v="Av. &quot;Ñ&quot; Nro. 145-25"/>
    <s v="Cancelación saldo Vigilancia, mes de Septiembre 2017 (saldo a favor: Bs. 44.000)"/>
    <s v="Vigilancia"/>
    <m/>
    <s v="00534"/>
    <s v="01 de Septiembre de 2017"/>
    <n v="1"/>
    <d v="2017-09-01T00:00:00"/>
    <s v="0,35"/>
    <s v="Cero Bolívares con 35/100"/>
  </r>
  <r>
    <n v="535"/>
    <m/>
    <s v="ü"/>
    <d v="2017-09-01T00:00:00"/>
    <n v="0.35"/>
    <x v="0"/>
    <x v="0"/>
    <s v="Calle Guacara Nro. 88-45"/>
    <s v="Cancelación Vigilancia, mes de Septiembre 2017 (saldo a favor: Bs. 60.000)"/>
    <s v="Vigilancia"/>
    <m/>
    <s v="00535"/>
    <s v="01 de Septiembre de 2017"/>
    <n v="1"/>
    <d v="2017-09-01T00:00:00"/>
    <s v="0,35"/>
    <s v="Cero Bolívares con 35/100"/>
  </r>
  <r>
    <n v="536"/>
    <m/>
    <s v="ü"/>
    <d v="2017-09-01T00:00:00"/>
    <n v="0.2"/>
    <x v="15"/>
    <x v="14"/>
    <s v="Calle Guacara Nro. 89-94"/>
    <s v="Colaboración Vigilancia, mes de Septiembre 2017"/>
    <s v="Vigilancia"/>
    <m/>
    <s v="00536"/>
    <s v="01 de Septiembre de 2017"/>
    <n v="1"/>
    <d v="2017-09-01T00:00:00"/>
    <s v="0,20"/>
    <s v="Cero Bolívares con 20/100"/>
  </r>
  <r>
    <n v="537"/>
    <m/>
    <s v="ü"/>
    <d v="2017-09-01T00:00:00"/>
    <n v="0.35"/>
    <x v="44"/>
    <x v="41"/>
    <s v="Calle Guacara Nro. 89-40"/>
    <s v="Cancelación Vigilancia, mes de Julio 2017"/>
    <s v="Vigilancia"/>
    <m/>
    <s v="00537"/>
    <s v="01 de Septiembre de 2017"/>
    <n v="1"/>
    <d v="2017-09-01T00:00:00"/>
    <s v="0,35"/>
    <s v="Cero Bolívares con 35/100"/>
  </r>
  <r>
    <n v="538"/>
    <m/>
    <s v="ü"/>
    <d v="2017-09-03T00:00:00"/>
    <n v="0.7"/>
    <x v="11"/>
    <x v="11"/>
    <s v="Calle Guacara Nro. 89-86"/>
    <s v="Cancelación Vigilancia, meses de Septiembre y Octubre 2017"/>
    <s v="Vigilancia"/>
    <m/>
    <s v="00538"/>
    <s v="03 de Septiembre de 2017"/>
    <n v="3"/>
    <d v="2017-09-01T00:00:00"/>
    <s v="0,70"/>
    <s v="Cero Bolívares con 70/100"/>
  </r>
  <r>
    <n v="539"/>
    <m/>
    <s v="ü"/>
    <d v="2017-09-04T00:00:00"/>
    <n v="0.7"/>
    <x v="21"/>
    <x v="19"/>
    <s v="Calle Güigüe Nro. 89-105"/>
    <s v="Cancelación Vigilancia, meses de Agosto y Septiembre 2017"/>
    <s v="Vigilancia"/>
    <m/>
    <s v="00539"/>
    <s v="04 de Septiembre de 2017"/>
    <n v="4"/>
    <d v="2017-09-01T00:00:00"/>
    <s v="0,70"/>
    <s v="Cero Bolívares con 70/100"/>
  </r>
  <r>
    <n v="540"/>
    <m/>
    <s v="ü"/>
    <d v="2017-09-04T00:00:00"/>
    <n v="0.35"/>
    <x v="40"/>
    <x v="37"/>
    <s v="Calle Güigüe Nro. 88-101"/>
    <s v="Cancelación Vigilancia, mes de Agosto 2017"/>
    <s v="Vigilancia"/>
    <m/>
    <s v="00540"/>
    <s v="04 de Septiembre de 2017"/>
    <n v="4"/>
    <d v="2017-09-01T00:00:00"/>
    <s v="0,35"/>
    <s v="Cero Bolívares con 35/100"/>
  </r>
  <r>
    <n v="541"/>
    <m/>
    <s v="ü"/>
    <d v="2017-09-05T00:00:00"/>
    <n v="0.35"/>
    <x v="69"/>
    <x v="61"/>
    <s v="Calle Güigüe Nro. 89-40"/>
    <s v="Cancelación Vigilancia, mes de Agosto 2017"/>
    <s v="Vigilancia"/>
    <m/>
    <s v="00541"/>
    <s v="05 de Septiembre de 2017"/>
    <n v="5"/>
    <d v="2017-09-01T00:00:00"/>
    <s v="0,35"/>
    <s v="Cero Bolívares con 35/100"/>
  </r>
  <r>
    <n v="542"/>
    <m/>
    <s v="ü"/>
    <d v="2017-09-05T00:00:00"/>
    <n v="0.35"/>
    <x v="12"/>
    <x v="12"/>
    <s v="Calle Guacara Nro. 89-20"/>
    <s v="Cancelación Vigilancia, mes de Septiembre 2017"/>
    <s v="Vigilancia"/>
    <m/>
    <s v="00542"/>
    <s v="05 de Septiembre de 2017"/>
    <n v="5"/>
    <d v="2017-09-01T00:00:00"/>
    <s v="0,35"/>
    <s v="Cero Bolívares con 35/100"/>
  </r>
  <r>
    <n v="543"/>
    <m/>
    <s v="ü"/>
    <d v="2017-09-05T00:00:00"/>
    <n v="1.05"/>
    <x v="42"/>
    <x v="39"/>
    <s v="Calle Güigüe Nro. 89-79"/>
    <s v="Cancelación Vigilancia, meses de Julio, Agosto y Septiembre 2017"/>
    <s v="Vigilancia"/>
    <m/>
    <s v="00543"/>
    <s v="05 de Septiembre de 2017"/>
    <n v="5"/>
    <d v="2017-09-01T00:00:00"/>
    <s v="1,05"/>
    <s v="Un Bolívares con 05/100"/>
  </r>
  <r>
    <n v="544"/>
    <m/>
    <s v="ü"/>
    <d v="2017-09-06T00:00:00"/>
    <n v="0.35"/>
    <x v="16"/>
    <x v="15"/>
    <s v="Calle Guacara Nro. 90-81"/>
    <s v="Cancelación Vigilancia, mes de Septiembre 2017"/>
    <s v="Vigilancia"/>
    <m/>
    <s v="00544"/>
    <s v="06 de Septiembre de 2017"/>
    <n v="6"/>
    <d v="2017-09-01T00:00:00"/>
    <s v="0,35"/>
    <s v="Cero Bolívares con 35/100"/>
  </r>
  <r>
    <n v="545"/>
    <m/>
    <s v="ü"/>
    <d v="2017-09-06T00:00:00"/>
    <n v="0.54"/>
    <x v="73"/>
    <x v="9"/>
    <s v="Calle Güigüe Nros. 88-71 y 88-81"/>
    <s v="Cancelación Vigilancia, mes de Septiembre 2017"/>
    <s v="Vigilancia"/>
    <m/>
    <s v="00545"/>
    <s v="06 de Septiembre de 2017"/>
    <n v="6"/>
    <d v="2017-09-01T00:00:00"/>
    <s v="0,54"/>
    <s v="Cero Bolívares con 54/100"/>
  </r>
  <r>
    <n v="546"/>
    <m/>
    <s v="ü"/>
    <d v="2017-09-06T00:00:00"/>
    <n v="0.15"/>
    <x v="7"/>
    <x v="7"/>
    <s v="Calle Guacara Nro. 87-86"/>
    <s v="Colaboración Vigilancia, mes de Septiembre 2017"/>
    <s v="Vigilancia"/>
    <m/>
    <s v="00546"/>
    <s v="06 de Septiembre de 2017"/>
    <n v="6"/>
    <d v="2017-09-01T00:00:00"/>
    <s v="0,15"/>
    <s v="Cero Bolívares con 15/100"/>
  </r>
  <r>
    <n v="547"/>
    <m/>
    <s v="ü"/>
    <d v="2017-08-23T00:00:00"/>
    <n v="0.35"/>
    <x v="36"/>
    <x v="33"/>
    <s v="Calle Güigüe Nro. 89-10"/>
    <s v="Cancelación Vigilancia, mes de Agosto 2017"/>
    <s v="Vigilancia"/>
    <m/>
    <s v="00547"/>
    <s v="23 de Agosto de 2017"/>
    <n v="23"/>
    <d v="2017-08-01T00:00:00"/>
    <s v="0,35"/>
    <s v="Cero Bolívares con 35/100"/>
  </r>
  <r>
    <n v="548"/>
    <m/>
    <s v="ü"/>
    <d v="2017-08-24T00:00:00"/>
    <n v="0.35"/>
    <x v="26"/>
    <x v="24"/>
    <s v="Calle Güigüe Nro. 89-96"/>
    <s v="Cancelación Vigilancia, mes de Agosto 2017"/>
    <s v="Vigilancia"/>
    <m/>
    <s v="00548"/>
    <s v="24 de Agosto de 2017"/>
    <n v="24"/>
    <d v="2017-08-01T00:00:00"/>
    <s v="0,35"/>
    <s v="Cero Bolívares con 35/100"/>
  </r>
  <r>
    <n v="549"/>
    <m/>
    <s v="ü"/>
    <d v="2017-09-07T00:00:00"/>
    <n v="0.35"/>
    <x v="39"/>
    <x v="36"/>
    <s v="Calle Güigüe Nro. 88-111"/>
    <s v="Cancelación Vigilancia, mes de Julio 2017"/>
    <s v="Vigilancia"/>
    <m/>
    <s v="00549"/>
    <s v="07 de Septiembre de 2017"/>
    <n v="7"/>
    <d v="2017-09-01T00:00:00"/>
    <s v="0,35"/>
    <s v="Cero Bolívares con 35/100"/>
  </r>
  <r>
    <n v="550"/>
    <m/>
    <s v="ü"/>
    <d v="2017-09-10T00:00:00"/>
    <n v="0.15"/>
    <x v="32"/>
    <x v="30"/>
    <s v="Calle Güigüe Nro. 89-120"/>
    <s v="Colaboración Vigilancia, mes de Agosto 2017"/>
    <s v="Vigilancia"/>
    <m/>
    <s v="00550"/>
    <s v="10 de Septiembre de 2017"/>
    <n v="10"/>
    <d v="2017-09-01T00:00:00"/>
    <s v="0,15"/>
    <s v="Cero Bolívares con 15/100"/>
  </r>
  <r>
    <n v="551"/>
    <m/>
    <s v="ü"/>
    <d v="2017-09-11T00:00:00"/>
    <n v="0.6"/>
    <x v="60"/>
    <x v="54"/>
    <s v="Calle Guacara Nro. 88-51"/>
    <s v="Colaboración Vigilancia, meses de Julio y Agosto 2017"/>
    <s v="Vigilancia"/>
    <m/>
    <s v="00551"/>
    <s v="11 de Septiembre de 2017"/>
    <n v="11"/>
    <d v="2017-09-01T00:00:00"/>
    <s v="0,60"/>
    <s v="Cero Bolívares con 60/100"/>
  </r>
  <r>
    <n v="552"/>
    <m/>
    <s v="ü"/>
    <d v="2017-09-12T00:00:00"/>
    <n v="0.35"/>
    <x v="60"/>
    <x v="54"/>
    <s v="Calle Guacara Nro. 88-51"/>
    <s v="Cancelación Vigilancia, mes de Septiembre 2017"/>
    <s v="Vigilancia"/>
    <m/>
    <s v="00552"/>
    <s v="12 de Septiembre de 2017"/>
    <n v="12"/>
    <d v="2017-09-01T00:00:00"/>
    <s v="0,35"/>
    <s v="Cero Bolívares con 35/100"/>
  </r>
  <r>
    <n v="553"/>
    <m/>
    <s v="ü"/>
    <d v="2017-09-13T00:00:00"/>
    <n v="0.09"/>
    <x v="21"/>
    <x v="19"/>
    <s v="Calle Güigüe Nro. 89-105"/>
    <s v="Cancelación saldo Vigilancia, mes de Julio 2017"/>
    <s v="Vigilancia"/>
    <m/>
    <s v="00553"/>
    <s v="13 de Septiembre de 2017"/>
    <n v="13"/>
    <d v="2017-09-01T00:00:00"/>
    <s v="0,09"/>
    <s v="Cero Bolívares con 09/100"/>
  </r>
  <r>
    <n v="554"/>
    <m/>
    <s v="ü"/>
    <d v="2017-09-13T00:00:00"/>
    <n v="0.35"/>
    <x v="18"/>
    <x v="16"/>
    <s v="Calle Guacara Nro. 87-100"/>
    <s v="Cancelación Vigilancia, mes de Septiembre 2017"/>
    <s v="Vigilancia"/>
    <m/>
    <s v="00554"/>
    <s v="13 de Septiembre de 2017"/>
    <n v="13"/>
    <d v="2017-09-01T00:00:00"/>
    <s v="0,35"/>
    <s v="Cero Bolívares con 35/100"/>
  </r>
  <r>
    <n v="555"/>
    <m/>
    <s v="ü"/>
    <d v="2017-09-13T00:00:00"/>
    <n v="0.03"/>
    <x v="17"/>
    <x v="16"/>
    <s v="Av. &quot;M&quot; Nro. 146-20"/>
    <s v="Colaboración Vigilancia, mes de Septiembre 2017"/>
    <s v="Vigilancia"/>
    <m/>
    <s v="00555"/>
    <s v="13 de Septiembre de 2017"/>
    <n v="13"/>
    <d v="2017-09-01T00:00:00"/>
    <s v="0,03"/>
    <s v="Cero Bolívares con 03/100"/>
  </r>
  <r>
    <n v="556"/>
    <m/>
    <s v="ü"/>
    <d v="2017-09-13T00:00:00"/>
    <n v="1.05"/>
    <x v="83"/>
    <x v="70"/>
    <s v="Calle Güigüe Nro. 89-22"/>
    <s v="Cancelación Vigilancia, meses de Julio, Agosto y Septiembre 2017"/>
    <s v="Vigilancia"/>
    <m/>
    <s v="00556"/>
    <s v="13 de Septiembre de 2017"/>
    <n v="13"/>
    <d v="2017-09-01T00:00:00"/>
    <s v="1,05"/>
    <s v="Un Bolívares con 05/100"/>
  </r>
  <r>
    <n v="557"/>
    <m/>
    <s v="ü"/>
    <d v="2017-09-14T00:00:00"/>
    <n v="0.14899999999999999"/>
    <x v="67"/>
    <x v="2"/>
    <s v="Calle Guacara Nro. 90-93"/>
    <s v="Colaboración Vigilancia, mes de Septiembre 2017"/>
    <s v="Vigilancia"/>
    <m/>
    <s v="00557"/>
    <s v="14 de Septiembre de 2017"/>
    <n v="14"/>
    <d v="2017-09-01T00:00:00"/>
    <s v="0,15"/>
    <s v="Cero Bolívares con 15/100"/>
  </r>
  <r>
    <n v="558"/>
    <m/>
    <s v="ü"/>
    <d v="2017-09-14T00:00:00"/>
    <n v="0.2"/>
    <x v="2"/>
    <x v="2"/>
    <s v="Calle Guacara Nro. 88-19"/>
    <s v="Colaboración Vigilancia, mes de Septiembre 2017"/>
    <s v="Vigilancia"/>
    <m/>
    <s v="00558"/>
    <s v="14 de Septiembre de 2017"/>
    <n v="14"/>
    <d v="2017-09-01T00:00:00"/>
    <s v="0,20"/>
    <s v="Cero Bolívares con 20/100"/>
  </r>
  <r>
    <n v="559"/>
    <m/>
    <s v="ü"/>
    <d v="2017-09-15T00:00:00"/>
    <n v="0.35"/>
    <x v="19"/>
    <x v="17"/>
    <s v="Calle Guacara Nro. 89-130"/>
    <s v="Cancelación Vigilancia, mes de Septiembre 2017"/>
    <s v="Vigilancia"/>
    <m/>
    <s v="00559"/>
    <s v="15 de Septiembre de 2017"/>
    <n v="15"/>
    <d v="2017-09-01T00:00:00"/>
    <s v="0,35"/>
    <s v="Cero Bolívares con 35/100"/>
  </r>
  <r>
    <n v="560"/>
    <m/>
    <s v="ü"/>
    <d v="2017-09-15T00:00:00"/>
    <n v="0.35"/>
    <x v="23"/>
    <x v="21"/>
    <s v="Calle Güigüe Nro. 88-116"/>
    <s v="Cancelación Vigilancia, mes de Septiembre 2017"/>
    <s v="Vigilancia"/>
    <m/>
    <s v="00560"/>
    <s v="15 de Septiembre de 2017"/>
    <n v="15"/>
    <d v="2017-09-01T00:00:00"/>
    <s v="0,35"/>
    <s v="Cero Bolívares con 35/100"/>
  </r>
  <r>
    <n v="561"/>
    <m/>
    <s v="ü"/>
    <d v="2017-09-15T00:00:00"/>
    <n v="0.17"/>
    <x v="68"/>
    <x v="60"/>
    <s v="Calle Güigüe Nro. 89-29"/>
    <s v="Colaboración Vigilancia, mes de Septiembre 2017"/>
    <s v="Vigilancia"/>
    <m/>
    <s v="00561"/>
    <s v="15 de Septiembre de 2017"/>
    <n v="15"/>
    <d v="2017-09-01T00:00:00"/>
    <s v="0,17"/>
    <s v="Cero Bolívares con 17/100"/>
  </r>
  <r>
    <n v="562"/>
    <m/>
    <s v="ü"/>
    <d v="2017-09-15T00:00:00"/>
    <n v="0.35"/>
    <x v="30"/>
    <x v="28"/>
    <s v="Calle Güigüe Nro. 89-04"/>
    <s v="Cancelación Vigilancia, mes de Septiembre 2017"/>
    <s v="Vigilancia"/>
    <m/>
    <s v="00562"/>
    <s v="15 de Septiembre de 2017"/>
    <n v="15"/>
    <d v="2017-09-01T00:00:00"/>
    <s v="0,35"/>
    <s v="Cero Bolívares con 35/100"/>
  </r>
  <r>
    <n v="563"/>
    <m/>
    <s v="ü"/>
    <d v="2017-09-16T00:00:00"/>
    <n v="0.2"/>
    <x v="35"/>
    <x v="32"/>
    <s v="Calle Güigüe Nro. 89-80"/>
    <s v="Colaboración Vigilancia, mes de Septiembre 2017"/>
    <s v="Vigilancia"/>
    <m/>
    <s v="00563"/>
    <s v="16 de Septiembre de 2017"/>
    <n v="16"/>
    <d v="2017-09-01T00:00:00"/>
    <s v="0,20"/>
    <s v="Cero Bolívares con 20/100"/>
  </r>
  <r>
    <n v="564"/>
    <m/>
    <s v="ü"/>
    <d v="2017-09-18T00:00:00"/>
    <n v="0.35"/>
    <x v="38"/>
    <x v="35"/>
    <s v="Calle Guacara Nro. 89-78"/>
    <s v="Cancelación Vigilancia, mes de Agosto 2017"/>
    <s v="Vigilancia"/>
    <m/>
    <s v="00564"/>
    <s v="18 de Septiembre de 2017"/>
    <n v="18"/>
    <d v="2017-09-01T00:00:00"/>
    <s v="0,35"/>
    <s v="Cero Bolívares con 35/100"/>
  </r>
  <r>
    <n v="565"/>
    <m/>
    <s v="ü"/>
    <d v="2017-09-18T00:00:00"/>
    <n v="0.35"/>
    <x v="20"/>
    <x v="18"/>
    <s v="Calle Guacara Nro. 89-30"/>
    <s v="Cancelación Vigilancia, mes de Septiembre 2017"/>
    <s v="Vigilancia"/>
    <m/>
    <s v="00565"/>
    <s v="18 de Septiembre de 2017"/>
    <n v="18"/>
    <d v="2017-09-01T00:00:00"/>
    <s v="0,35"/>
    <s v="Cero Bolívares con 35/100"/>
  </r>
  <r>
    <n v="566"/>
    <m/>
    <s v="ü"/>
    <d v="2017-09-18T00:00:00"/>
    <n v="0.2"/>
    <x v="53"/>
    <x v="48"/>
    <s v="Calle Guacara Nro. 88-91"/>
    <s v="Colaboración Vigilancia, meses de Julio y Agosto 2017"/>
    <s v="Vigilancia"/>
    <m/>
    <s v="00566"/>
    <s v="18 de Septiembre de 2017"/>
    <n v="18"/>
    <d v="2017-09-01T00:00:00"/>
    <s v="0,20"/>
    <s v="Cero Bolívares con 20/100"/>
  </r>
  <r>
    <n v="567"/>
    <m/>
    <s v="ü"/>
    <d v="2017-09-18T00:00:00"/>
    <n v="0.35"/>
    <x v="4"/>
    <x v="4"/>
    <s v="Calle Güigüe Nro. 89-55"/>
    <s v="Cancelación Vigilancia, mes de Septiembre 2017, transferencia y contra factura"/>
    <s v="Vigilancia"/>
    <m/>
    <s v="00567"/>
    <s v="18 de Septiembre de 2017"/>
    <n v="18"/>
    <d v="2017-09-01T00:00:00"/>
    <s v="0,35"/>
    <s v="Cero Bolívares con 35/100"/>
  </r>
  <r>
    <n v="568"/>
    <m/>
    <s v="ü"/>
    <d v="2017-09-19T00:00:00"/>
    <n v="0.35"/>
    <x v="5"/>
    <x v="5"/>
    <s v="Calle Güigüe Nro. 88-120"/>
    <s v="Cancelación Vigilancia, mes de Septiembre 2017"/>
    <s v="Vigilancia"/>
    <m/>
    <s v="00568"/>
    <s v="19 de Septiembre de 2017"/>
    <n v="19"/>
    <d v="2017-09-01T00:00:00"/>
    <s v="0,35"/>
    <s v="Cero Bolívares con 35/100"/>
  </r>
  <r>
    <n v="569"/>
    <m/>
    <s v="ü"/>
    <d v="2017-09-19T00:00:00"/>
    <n v="0.35"/>
    <x v="40"/>
    <x v="37"/>
    <s v="Calle Güigüe Nro. 88-101"/>
    <s v="Cancelación Vigilancia, mes de Septiembre 2017"/>
    <s v="Vigilancia"/>
    <m/>
    <s v="00569"/>
    <s v="19 de Septiembre de 2017"/>
    <n v="19"/>
    <d v="2017-09-01T00:00:00"/>
    <s v="0,35"/>
    <s v="Cero Bolívares con 35/100"/>
  </r>
  <r>
    <n v="570"/>
    <m/>
    <s v="ü"/>
    <d v="2017-09-19T00:00:00"/>
    <n v="0.7"/>
    <x v="54"/>
    <x v="50"/>
    <s v="Calle Güigüe Nro. 89-21"/>
    <s v="Cancelación Vigilancia, meses de Julio y Agosto 2017"/>
    <s v="Vigilancia"/>
    <m/>
    <s v="00570"/>
    <s v="19 de Septiembre de 2017"/>
    <n v="19"/>
    <d v="2017-09-01T00:00:00"/>
    <s v="0,70"/>
    <s v="Cero Bolívares con 70/100"/>
  </r>
  <r>
    <n v="571"/>
    <m/>
    <s v="ü"/>
    <d v="2017-09-20T00:00:00"/>
    <n v="0.35"/>
    <x v="26"/>
    <x v="24"/>
    <s v="Calle Güigüe Nro. 89-96"/>
    <s v="Cancelación Vigilancia, mes de Septiembre 2017"/>
    <s v="Vigilancia"/>
    <m/>
    <s v="00571"/>
    <s v="20 de Septiembre de 2017"/>
    <n v="20"/>
    <d v="2017-09-01T00:00:00"/>
    <s v="0,35"/>
    <s v="Cero Bolívares con 35/100"/>
  </r>
  <r>
    <n v="572"/>
    <m/>
    <s v="ü"/>
    <d v="2017-09-20T00:00:00"/>
    <n v="0.35"/>
    <x v="76"/>
    <x v="66"/>
    <s v="Calle Güigüe Nro. 89-90"/>
    <s v="Cancelación Vigilancia, mes de Septiembre 2017"/>
    <s v="Vigilancia"/>
    <m/>
    <s v="00572"/>
    <s v="20 de Septiembre de 2017"/>
    <n v="20"/>
    <d v="2017-09-01T00:00:00"/>
    <s v="0,35"/>
    <s v="Cero Bolívares con 35/100"/>
  </r>
  <r>
    <n v="573"/>
    <m/>
    <s v="ü"/>
    <d v="2017-09-20T00:00:00"/>
    <n v="0.35"/>
    <x v="43"/>
    <x v="40"/>
    <s v="Calle Güigüe Nro. 88-50"/>
    <s v="Cancelación Vigilancia, mes de Agosto 2017"/>
    <s v="Vigilancia"/>
    <m/>
    <s v="00573"/>
    <s v="20 de Septiembre de 2017"/>
    <n v="20"/>
    <d v="2017-09-01T00:00:00"/>
    <s v="0,35"/>
    <s v="Cero Bolívares con 35/100"/>
  </r>
  <r>
    <n v="574"/>
    <m/>
    <s v="ü"/>
    <d v="2017-09-21T00:00:00"/>
    <n v="0.35"/>
    <x v="0"/>
    <x v="0"/>
    <s v="Calle Guacara Nro. 88-45"/>
    <s v="Anticipo Vigilancia (saldo a favor: Bs. 105.000)"/>
    <s v="Anticipo"/>
    <m/>
    <s v="00574"/>
    <s v="21 de Septiembre de 2017"/>
    <n v="21"/>
    <d v="2017-09-01T00:00:00"/>
    <s v="0,35"/>
    <s v="Cero Bolívares con 35/100"/>
  </r>
  <r>
    <n v="575"/>
    <m/>
    <s v="ü"/>
    <d v="2017-09-21T00:00:00"/>
    <n v="0.1"/>
    <x v="57"/>
    <x v="9"/>
    <s v="Calle Güigüe Nro. 88-40"/>
    <s v="Colaboración Vigilancia, mes de Agosto 2017"/>
    <s v="Vigilancia"/>
    <m/>
    <s v="00575"/>
    <s v="21 de Septiembre de 2017"/>
    <n v="21"/>
    <d v="2017-09-01T00:00:00"/>
    <s v="0,10"/>
    <s v="Cero Bolívares con 10/100"/>
  </r>
  <r>
    <n v="576"/>
    <m/>
    <s v="ü"/>
    <d v="2017-09-21T00:00:00"/>
    <n v="0.35"/>
    <x v="37"/>
    <x v="34"/>
    <s v="Av. &quot;I&quot; Nro. 146-40"/>
    <s v="Cancelación saldo Vigilancia, mes de Agosto 2017 y anticipo mes de Septiembre 2017 (Bs. 1.000)"/>
    <s v="Vigilancia"/>
    <m/>
    <s v="00576"/>
    <s v="21 de Septiembre de 2017"/>
    <n v="21"/>
    <d v="2017-09-01T00:00:00"/>
    <s v="0,35"/>
    <s v="Cero Bolívares con 35/100"/>
  </r>
  <r>
    <n v="577"/>
    <m/>
    <s v="ü"/>
    <d v="2017-09-21T00:00:00"/>
    <n v="0.25"/>
    <x v="63"/>
    <x v="56"/>
    <s v="Calle Guacara Nro. 88-85"/>
    <s v="Colaboración Vigilancia, mes de Julio 2017"/>
    <s v="Vigilancia"/>
    <m/>
    <s v="00577"/>
    <s v="21 de Septiembre de 2017"/>
    <n v="21"/>
    <d v="2017-09-01T00:00:00"/>
    <s v="0,25"/>
    <s v="Cero Bolívares con 25/100"/>
  </r>
  <r>
    <n v="578"/>
    <m/>
    <s v="ü"/>
    <d v="2017-09-21T00:00:00"/>
    <n v="0.3"/>
    <x v="63"/>
    <x v="56"/>
    <s v="Calle Guacara Nro. 88-85"/>
    <s v="Colaboración Vigilancia, mes de Agosto 2017"/>
    <s v="Vigilancia"/>
    <m/>
    <s v="00578"/>
    <s v="21 de Septiembre de 2017"/>
    <n v="21"/>
    <d v="2017-09-01T00:00:00"/>
    <s v="0,30"/>
    <s v="Cero Bolívares con 30/100"/>
  </r>
  <r>
    <n v="579"/>
    <m/>
    <s v="ü"/>
    <d v="2017-09-22T00:00:00"/>
    <n v="0.35"/>
    <x v="59"/>
    <x v="9"/>
    <s v="Calle Guacara Nro. 90-35"/>
    <s v="Cancelación Vigilancia, mes de Septiembre 2017"/>
    <s v="Vigilancia"/>
    <m/>
    <s v="00579"/>
    <s v="22 de Septiembre de 2017"/>
    <n v="22"/>
    <d v="2017-09-01T00:00:00"/>
    <s v="0,35"/>
    <s v="Cero Bolívares con 35/100"/>
  </r>
  <r>
    <n v="580"/>
    <m/>
    <s v="ü"/>
    <d v="2017-09-23T00:00:00"/>
    <n v="0.21"/>
    <x v="74"/>
    <x v="64"/>
    <s v="Calle Güigüe Nro. 88-20"/>
    <s v="Colaboración Vigilancia, meses de Abril a Octubre 2017"/>
    <s v="Vigilancia"/>
    <m/>
    <s v="00580"/>
    <s v="23 de Septiembre de 2017"/>
    <n v="23"/>
    <d v="2017-09-01T00:00:00"/>
    <s v="0,21"/>
    <s v="Cero Bolívares con 21/100"/>
  </r>
  <r>
    <n v="581"/>
    <m/>
    <s v="ü"/>
    <d v="2017-09-25T00:00:00"/>
    <n v="0.4"/>
    <x v="9"/>
    <x v="9"/>
    <s v="Av. &quot;M&quot; Nro. 146-30"/>
    <s v="Cancelación Vigilancia, mes de Septiembre 2017"/>
    <s v="Vigilancia"/>
    <m/>
    <s v="00581"/>
    <s v="25 de Septiembre de 2017"/>
    <n v="25"/>
    <d v="2017-09-01T00:00:00"/>
    <s v="0,40"/>
    <s v="Cero Bolívares con 40/100"/>
  </r>
  <r>
    <n v="582"/>
    <m/>
    <s v="ü"/>
    <d v="2017-09-25T00:00:00"/>
    <n v="0.35"/>
    <x v="34"/>
    <x v="9"/>
    <s v="Av. &quot;O&quot; Nro. 146-11"/>
    <s v="Cancelación Vigilancia, mes de Agosto 2017"/>
    <s v="Vigilancia"/>
    <m/>
    <s v="00582"/>
    <s v="25 de Septiembre de 2017"/>
    <n v="25"/>
    <d v="2017-09-01T00:00:00"/>
    <s v="0,35"/>
    <s v="Cero Bolívares con 35/100"/>
  </r>
  <r>
    <n v="583"/>
    <m/>
    <s v="ü"/>
    <d v="2017-09-25T00:00:00"/>
    <n v="0.35"/>
    <x v="65"/>
    <x v="58"/>
    <s v="Calle Güigüe Nro. 88-10"/>
    <s v="Cancelación Vigilancia, mes de Agosto 2017"/>
    <s v="Vigilancia"/>
    <m/>
    <s v="00583"/>
    <s v="25 de Septiembre de 2017"/>
    <n v="25"/>
    <d v="2017-09-01T00:00:00"/>
    <s v="0,35"/>
    <s v="Cero Bolívares con 35/100"/>
  </r>
  <r>
    <n v="584"/>
    <m/>
    <s v="ü"/>
    <d v="2017-09-26T00:00:00"/>
    <n v="0.35"/>
    <x v="52"/>
    <x v="49"/>
    <s v="Calle Güigüe Nro. 89-45"/>
    <s v="Cancelación Vigilancia, mes de Septiembre 2017"/>
    <s v="Vigilancia"/>
    <m/>
    <s v="00584"/>
    <s v="26 de Septiembre de 2017"/>
    <n v="26"/>
    <d v="2017-09-01T00:00:00"/>
    <s v="0,35"/>
    <s v="Cero Bolívares con 35/100"/>
  </r>
  <r>
    <n v="585"/>
    <m/>
    <s v="ü"/>
    <d v="2017-09-29T00:00:00"/>
    <n v="0.35"/>
    <x v="10"/>
    <x v="10"/>
    <s v="Av. &quot;M&quot; Nro. 146-15"/>
    <s v="Cancelación Vigilancia, mes de Septiembre 2017"/>
    <s v="Vigilancia"/>
    <m/>
    <s v="00585"/>
    <s v="29 de Septiembre de 2017"/>
    <n v="29"/>
    <d v="2017-09-01T00:00:00"/>
    <s v="0,35"/>
    <s v="Cero Bolívares con 35/100"/>
  </r>
  <r>
    <n v="586"/>
    <m/>
    <s v="ü"/>
    <d v="2017-10-02T00:00:00"/>
    <n v="0.35"/>
    <x v="69"/>
    <x v="61"/>
    <s v="Calle Güigüe Nro. 89-40"/>
    <s v="Cancelación Vigilancia, mes de Septiembre 2017"/>
    <s v="Vigilancia"/>
    <m/>
    <s v="00586"/>
    <s v="02 de Octubre de 2017"/>
    <n v="2"/>
    <d v="2017-10-01T00:00:00"/>
    <s v="0,35"/>
    <s v="Cero Bolívares con 35/100"/>
  </r>
  <r>
    <n v="587"/>
    <m/>
    <s v="ü"/>
    <d v="2017-10-02T00:00:00"/>
    <n v="0.35"/>
    <x v="29"/>
    <x v="27"/>
    <s v="Calle Guacara Nro. 88-75"/>
    <s v="Cancelación saldo Vigilancia, mes de Agosto 2017, y anticipo del mes de Septiembre 2017"/>
    <s v="Vigilancia"/>
    <m/>
    <s v="00587"/>
    <s v="02 de Octubre de 2017"/>
    <n v="2"/>
    <d v="2017-10-01T00:00:00"/>
    <s v="0,35"/>
    <s v="Cero Bolívares con 35/100"/>
  </r>
  <r>
    <n v="588"/>
    <m/>
    <s v="ü"/>
    <d v="2017-10-03T00:00:00"/>
    <n v="0.35"/>
    <x v="6"/>
    <x v="6"/>
    <s v="Calle Guacara Nro. 89-60"/>
    <s v="Cancelación Vigilancia, mes de Octubre 2017"/>
    <s v="Vigilancia"/>
    <m/>
    <s v="00588"/>
    <s v="03 de Octubre de 2017"/>
    <n v="3"/>
    <d v="2017-10-01T00:00:00"/>
    <s v="0,35"/>
    <s v="Cero Bolívares con 35/100"/>
  </r>
  <r>
    <n v="589"/>
    <m/>
    <s v="ü"/>
    <d v="2017-10-03T00:00:00"/>
    <n v="0.22"/>
    <x v="62"/>
    <x v="55"/>
    <s v="Av. &quot;M&quot; Nro. 145-10"/>
    <s v="Cancelación saldo Vigilancia, mes de Julio 2017"/>
    <s v="Vigilancia"/>
    <m/>
    <s v="00589"/>
    <s v="03 de Octubre de 2017"/>
    <n v="3"/>
    <d v="2017-10-01T00:00:00"/>
    <s v="0,22"/>
    <s v="Cero Bolívares con 22/100"/>
  </r>
  <r>
    <n v="590"/>
    <m/>
    <s v="ü"/>
    <d v="2017-10-03T00:00:00"/>
    <n v="0.35"/>
    <x v="62"/>
    <x v="55"/>
    <s v="Av. &quot;M&quot; Nro. 145-10"/>
    <s v="Cancelación Vigilancia, mes de Agosto 2017"/>
    <s v="Vigilancia"/>
    <m/>
    <s v="00590"/>
    <s v="03 de Octubre de 2017"/>
    <n v="3"/>
    <d v="2017-10-01T00:00:00"/>
    <s v="0,35"/>
    <s v="Cero Bolívares con 35/100"/>
  </r>
  <r>
    <n v="591"/>
    <m/>
    <s v="ü"/>
    <d v="2017-10-03T00:00:00"/>
    <n v="0.2"/>
    <x v="22"/>
    <x v="20"/>
    <s v="Calle Guacara Nro. 88-25"/>
    <s v="Colaboración Vigilancia, mes de Septiembre 2017"/>
    <s v="Vigilancia"/>
    <m/>
    <s v="00591"/>
    <s v="03 de Octubre de 2017"/>
    <n v="3"/>
    <d v="2017-10-01T00:00:00"/>
    <s v="0,20"/>
    <s v="Cero Bolívares con 20/100"/>
  </r>
  <r>
    <n v="592"/>
    <m/>
    <s v="ü"/>
    <d v="2017-10-03T00:00:00"/>
    <n v="0.7"/>
    <x v="46"/>
    <x v="43"/>
    <s v="Av. &quot;I&quot; Nro. 146-20"/>
    <s v="Cancelación Vigilancia, meses de Septiembre y Octubre 2017"/>
    <s v="Vigilancia"/>
    <m/>
    <s v="00592"/>
    <s v="03 de Octubre de 2017"/>
    <n v="3"/>
    <d v="2017-10-01T00:00:00"/>
    <s v="0,70"/>
    <s v="Cero Bolívares con 70/100"/>
  </r>
  <r>
    <n v="593"/>
    <m/>
    <s v="ü"/>
    <d v="2017-10-04T00:00:00"/>
    <n v="0.15"/>
    <x v="7"/>
    <x v="7"/>
    <s v="Calle Guacara Nro. 87-86"/>
    <s v="Colaboración Vigilancia, mes de Octubre 2017"/>
    <s v="Vigilancia"/>
    <m/>
    <s v="00593"/>
    <s v="04 de Octubre de 2017"/>
    <n v="4"/>
    <d v="2017-10-01T00:00:00"/>
    <s v="0,15"/>
    <s v="Cero Bolívares con 15/100"/>
  </r>
  <r>
    <n v="594"/>
    <m/>
    <s v="ü"/>
    <d v="2017-10-04T00:00:00"/>
    <n v="0.35"/>
    <x v="14"/>
    <x v="13"/>
    <s v="Calle Güigüe Nro. 89-83"/>
    <s v="Cancelación Vigilancia, mes de Octubre 2017"/>
    <s v="Vigilancia"/>
    <m/>
    <s v="00594"/>
    <s v="04 de Octubre de 2017"/>
    <n v="4"/>
    <d v="2017-10-01T00:00:00"/>
    <s v="0,35"/>
    <s v="Cero Bolívares con 35/100"/>
  </r>
  <r>
    <n v="595"/>
    <m/>
    <s v="ü"/>
    <d v="2017-10-04T00:00:00"/>
    <n v="0.7"/>
    <x v="49"/>
    <x v="46"/>
    <s v="Av. &quot;O&quot; Nro. 146-17"/>
    <s v="Cancelación Vigilancia, meses de Agosto y Septiembre 2017"/>
    <s v="Vigilancia"/>
    <m/>
    <s v="00595"/>
    <s v="04 de Octubre de 2017"/>
    <n v="4"/>
    <d v="2017-10-01T00:00:00"/>
    <s v="0,70"/>
    <s v="Cero Bolívares con 70/100"/>
  </r>
  <r>
    <n v="596"/>
    <m/>
    <s v="ü"/>
    <d v="2017-10-04T00:00:00"/>
    <n v="0.35"/>
    <x v="12"/>
    <x v="12"/>
    <s v="Calle Guacara Nro. 89-20"/>
    <s v="Cancelación Vigilancia, mes de Octubre 2017"/>
    <s v="Vigilancia"/>
    <m/>
    <s v="00596"/>
    <s v="04 de Octubre de 2017"/>
    <n v="4"/>
    <d v="2017-10-01T00:00:00"/>
    <s v="0,35"/>
    <s v="Cero Bolívares con 35/100"/>
  </r>
  <r>
    <n v="597"/>
    <m/>
    <s v="ü"/>
    <d v="2017-10-04T00:00:00"/>
    <n v="0.25"/>
    <x v="15"/>
    <x v="14"/>
    <s v="Calle Guacara Nro. 89-94"/>
    <s v="Colaboración Vigilancia, mes de Octubre 2017"/>
    <s v="Vigilancia"/>
    <m/>
    <s v="00597"/>
    <s v="04 de Octubre de 2017"/>
    <n v="4"/>
    <d v="2017-10-01T00:00:00"/>
    <s v="0,25"/>
    <s v="Cero Bolívares con 25/100"/>
  </r>
  <r>
    <n v="598"/>
    <m/>
    <s v="ü"/>
    <d v="2017-10-05T00:00:00"/>
    <n v="0.35"/>
    <x v="0"/>
    <x v="0"/>
    <s v="Calle Guacara Nro. 88-45"/>
    <s v="Cancelación Vigilancia, mes de Octubre 2017 (saldo a favor: Bs. 70.000)"/>
    <s v="Vigilancia"/>
    <m/>
    <s v="00598"/>
    <s v="05 de Octubre de 2017"/>
    <n v="5"/>
    <d v="2017-10-01T00:00:00"/>
    <s v="0,35"/>
    <s v="Cero Bolívares con 35/100"/>
  </r>
  <r>
    <n v="599"/>
    <m/>
    <s v="ü"/>
    <d v="2017-10-05T00:00:00"/>
    <n v="0.35"/>
    <x v="75"/>
    <x v="65"/>
    <s v="Av. &quot;Ñ&quot; Nro. 145-25"/>
    <s v="Cancelación Vigilancia, mes de Octubre 2017 (saldo a favor: Bs. 9.000)"/>
    <s v="Vigilancia"/>
    <m/>
    <s v="00599"/>
    <s v="05 de Octubre de 2017"/>
    <n v="5"/>
    <d v="2017-10-01T00:00:00"/>
    <s v="0,35"/>
    <s v="Cero Bolívares con 35/100"/>
  </r>
  <r>
    <n v="600"/>
    <m/>
    <s v="ü"/>
    <d v="2017-09-20T00:00:00"/>
    <n v="0.1"/>
    <x v="28"/>
    <x v="26"/>
    <s v="Calle Güigüe Nro. 88-30"/>
    <s v="Colaboración Vigilancia, mes de Septiembre 2017"/>
    <s v="Vigilancia"/>
    <m/>
    <s v="00600"/>
    <s v="20 de Septiembre de 2017"/>
    <n v="20"/>
    <d v="2017-09-01T00:00:00"/>
    <s v="0,10"/>
    <s v="Cero Bolívares con 10/100"/>
  </r>
  <r>
    <n v="601"/>
    <m/>
    <s v="ü"/>
    <d v="2017-10-05T00:00:00"/>
    <n v="0.1"/>
    <x v="28"/>
    <x v="26"/>
    <s v="Calle Güigüe Nro. 88-30"/>
    <s v="Colaboración Vigilancia, mes de Octubre 2017"/>
    <s v="Vigilancia"/>
    <m/>
    <s v="00601"/>
    <s v="05 de Octubre de 2017"/>
    <n v="5"/>
    <d v="2017-10-01T00:00:00"/>
    <s v="0,10"/>
    <s v="Cero Bolívares con 10/100"/>
  </r>
  <r>
    <n v="602"/>
    <m/>
    <s v="ü"/>
    <d v="2017-10-06T00:00:00"/>
    <n v="0.1"/>
    <x v="72"/>
    <x v="63"/>
    <s v="Calle Güigüe Nro. 89-35"/>
    <s v="Colaboración Vigilancia, mes de Septiembre 2017"/>
    <s v="Vigilancia"/>
    <m/>
    <s v="00602"/>
    <s v="06 de Octubre de 2017"/>
    <n v="6"/>
    <d v="2017-10-01T00:00:00"/>
    <s v="0,10"/>
    <s v="Cero Bolívares con 10/100"/>
  </r>
  <r>
    <n v="603"/>
    <m/>
    <s v="ü"/>
    <d v="2017-10-06T00:00:00"/>
    <n v="0.35"/>
    <x v="24"/>
    <x v="22"/>
    <s v="Calle Güigüe Nro. 88-54"/>
    <s v="Cancelación Vigilancia, mes de Septiembre 2017"/>
    <s v="Vigilancia"/>
    <m/>
    <s v="00603"/>
    <s v="06 de Octubre de 2017"/>
    <n v="6"/>
    <d v="2017-10-01T00:00:00"/>
    <s v="0,35"/>
    <s v="Cero Bolívares con 35/100"/>
  </r>
  <r>
    <n v="604"/>
    <m/>
    <s v="ü"/>
    <d v="2017-10-06T00:00:00"/>
    <n v="0.54"/>
    <x v="73"/>
    <x v="9"/>
    <s v="Calle Güigüe Nros. 88-71 y 88-81"/>
    <s v="Cancelación Vigilancia, mes de Octubre 2017"/>
    <s v="Vigilancia"/>
    <m/>
    <s v="00604"/>
    <s v="06 de Octubre de 2017"/>
    <n v="6"/>
    <d v="2017-10-01T00:00:00"/>
    <s v="0,54"/>
    <s v="Cero Bolívares con 54/100"/>
  </r>
  <r>
    <n v="605"/>
    <m/>
    <s v="û"/>
    <d v="2017-10-09T00:00:00"/>
    <n v="1.56"/>
    <x v="75"/>
    <x v="65"/>
    <s v="Av. &quot;Ñ&quot; Nro. 145-25"/>
    <s v="Anticipo Vigilancia (saldo a favor: Bs. 165.000)"/>
    <s v="Anticipo"/>
    <m/>
    <s v="00605"/>
    <s v="09 de Octubre de 2017"/>
    <n v="9"/>
    <d v="2017-10-01T00:00:00"/>
    <s v="1,56"/>
    <s v="Un Bolívares con 56/100"/>
  </r>
  <r>
    <n v="606"/>
    <m/>
    <s v="ü"/>
    <d v="2017-10-10T00:00:00"/>
    <n v="0.35"/>
    <x v="1"/>
    <x v="1"/>
    <s v="Calle Güigüe Nro. 88-44"/>
    <s v="Cancelación Vigilancia, mes de Octubre 2017"/>
    <s v="Vigilancia"/>
    <m/>
    <s v="00606"/>
    <s v="10 de Octubre de 2017"/>
    <n v="10"/>
    <d v="2017-10-01T00:00:00"/>
    <s v="0,35"/>
    <s v="Cero Bolívares con 35/100"/>
  </r>
  <r>
    <n v="607"/>
    <m/>
    <s v="ü"/>
    <d v="2017-10-11T00:00:00"/>
    <n v="0.35"/>
    <x v="18"/>
    <x v="16"/>
    <s v="Calle Guacara Nro. 87-100"/>
    <s v="Cancelación Vigilancia, mes de Octubre 2017"/>
    <s v="Vigilancia"/>
    <m/>
    <s v="00607"/>
    <s v="11 de Octubre de 2017"/>
    <n v="11"/>
    <d v="2017-10-01T00:00:00"/>
    <s v="0,35"/>
    <s v="Cero Bolívares con 35/100"/>
  </r>
  <r>
    <n v="608"/>
    <m/>
    <s v="ü"/>
    <d v="2017-10-11T00:00:00"/>
    <n v="0.05"/>
    <x v="17"/>
    <x v="16"/>
    <s v="Av. &quot;M&quot; Nro. 146-20"/>
    <s v="Colaboración Vigilancia, mes de Octubre 2017"/>
    <s v="Vigilancia"/>
    <m/>
    <s v="00608"/>
    <s v="11 de Octubre de 2017"/>
    <n v="11"/>
    <d v="2017-10-01T00:00:00"/>
    <s v="0,05"/>
    <s v="Cero Bolívares con 05/100"/>
  </r>
  <r>
    <n v="609"/>
    <m/>
    <s v="ü"/>
    <d v="2017-10-11T00:00:00"/>
    <n v="0.35"/>
    <x v="19"/>
    <x v="17"/>
    <s v="Calle Guacara Nro. 89-130"/>
    <s v="Cancelación Vigilancia, mes de Octubre 2017"/>
    <s v="Vigilancia"/>
    <m/>
    <s v="00609"/>
    <s v="11 de Octubre de 2017"/>
    <n v="11"/>
    <d v="2017-10-01T00:00:00"/>
    <s v="0,35"/>
    <s v="Cero Bolívares con 35/100"/>
  </r>
  <r>
    <n v="610"/>
    <m/>
    <s v="ü"/>
    <d v="2017-10-11T00:00:00"/>
    <n v="0.35"/>
    <x v="29"/>
    <x v="27"/>
    <s v="Calle Guacara Nro. 88-75"/>
    <s v="Cancelación saldo Vigilancia, mes de Septiembre 2017, y anticipo del mes de Octubre 2017"/>
    <s v="Vigilancia"/>
    <m/>
    <s v="00610"/>
    <s v="11 de Octubre de 2017"/>
    <n v="11"/>
    <d v="2017-10-01T00:00:00"/>
    <s v="0,35"/>
    <s v="Cero Bolívares con 35/100"/>
  </r>
  <r>
    <n v="611"/>
    <m/>
    <s v="ü"/>
    <d v="2017-10-12T00:00:00"/>
    <n v="0.7"/>
    <x v="27"/>
    <x v="25"/>
    <s v="Calle Güigüe Nro. 89-106"/>
    <s v="Cancelación Vigilancia, meses de Septiembre y Octubre 2017"/>
    <s v="Vigilancia"/>
    <m/>
    <s v="00611"/>
    <s v="12 de Octubre de 2017"/>
    <n v="12"/>
    <d v="2017-10-01T00:00:00"/>
    <s v="0,70"/>
    <s v="Cero Bolívares con 70/100"/>
  </r>
  <r>
    <n v="612"/>
    <m/>
    <s v="ü"/>
    <d v="2017-10-15T00:00:00"/>
    <n v="0.35"/>
    <x v="40"/>
    <x v="37"/>
    <s v="Calle Güigüe Nro. 88-101"/>
    <s v="Cancelación Vigilancia, mes de Octubre 2017"/>
    <s v="Vigilancia"/>
    <m/>
    <s v="00612"/>
    <s v="15 de Octubre de 2017"/>
    <n v="15"/>
    <d v="2017-10-01T00:00:00"/>
    <s v="0,35"/>
    <s v="Cero Bolívares con 35/100"/>
  </r>
  <r>
    <n v="613"/>
    <m/>
    <s v="ü"/>
    <d v="2017-10-15T00:00:00"/>
    <n v="0.35"/>
    <x v="76"/>
    <x v="66"/>
    <s v="Calle Güigüe Nro. 89-90"/>
    <s v="Cancelación Vigilancia, mes de Octubre 2017"/>
    <s v="Vigilancia"/>
    <m/>
    <s v="00613"/>
    <s v="15 de Octubre de 2017"/>
    <n v="15"/>
    <d v="2017-10-01T00:00:00"/>
    <s v="0,35"/>
    <s v="Cero Bolívares con 35/100"/>
  </r>
  <r>
    <n v="614"/>
    <m/>
    <s v="ü"/>
    <d v="2017-10-14T00:00:00"/>
    <n v="0.35"/>
    <x v="4"/>
    <x v="4"/>
    <s v="Calle Güigüe Nro. 89-55"/>
    <s v="Cancelación Vigilancia, mes de Octubre 2017, transferencia y Bs. 7.868 contra factura"/>
    <s v="Vigilancia"/>
    <m/>
    <s v="00614"/>
    <s v="14 de Octubre de 2017"/>
    <n v="14"/>
    <d v="2017-10-01T00:00:00"/>
    <s v="0,35"/>
    <s v="Cero Bolívares con 35/100"/>
  </r>
  <r>
    <n v="615"/>
    <m/>
    <s v="ü"/>
    <d v="2017-10-16T00:00:00"/>
    <n v="0.35"/>
    <x v="30"/>
    <x v="28"/>
    <s v="Calle Güigüe Nro. 89-04"/>
    <s v="Cancelación Vigilancia, mes de Octubre 2017, transferencia y Bs. 12.000 contra factura"/>
    <s v="Vigilancia"/>
    <m/>
    <s v="00615"/>
    <s v="16 de Octubre de 2017"/>
    <n v="16"/>
    <d v="2017-10-01T00:00:00"/>
    <s v="0,35"/>
    <s v="Cero Bolívares con 35/100"/>
  </r>
  <r>
    <n v="616"/>
    <m/>
    <s v="ü"/>
    <d v="2017-10-16T00:00:00"/>
    <n v="0.35"/>
    <x v="81"/>
    <x v="69"/>
    <s v="Calle Güigüe Nro. 89-65"/>
    <s v="Cancelación Vigilancia, mes de Septiembre 2017"/>
    <s v="Vigilancia"/>
    <m/>
    <s v="00616"/>
    <s v="16 de Octubre de 2017"/>
    <n v="16"/>
    <d v="2017-10-01T00:00:00"/>
    <s v="0,35"/>
    <s v="Cero Bolívares con 35/100"/>
  </r>
  <r>
    <n v="617"/>
    <m/>
    <s v="ü"/>
    <d v="2017-10-16T00:00:00"/>
    <n v="0.15"/>
    <x v="68"/>
    <x v="60"/>
    <s v="Calle Güigüe Nro. 89-29"/>
    <s v="Colaboración Vigilancia, mes de Octubre 2017"/>
    <s v="Vigilancia"/>
    <m/>
    <s v="00617"/>
    <s v="16 de Octubre de 2017"/>
    <n v="16"/>
    <d v="2017-10-01T00:00:00"/>
    <s v="0,15"/>
    <s v="Cero Bolívares con 15/100"/>
  </r>
  <r>
    <n v="618"/>
    <m/>
    <s v="ü"/>
    <d v="2017-10-16T00:00:00"/>
    <n v="0.2"/>
    <x v="25"/>
    <x v="23"/>
    <s v="Calle Güigüe Nro. 88-58"/>
    <s v="Colaboración Vigilancia, mes de Octubre 2017"/>
    <s v="Vigilancia"/>
    <m/>
    <s v="00618"/>
    <s v="16 de Octubre de 2017"/>
    <n v="16"/>
    <d v="2017-10-01T00:00:00"/>
    <s v="0,20"/>
    <s v="Cero Bolívares con 20/100"/>
  </r>
  <r>
    <n v="619"/>
    <m/>
    <s v="ü"/>
    <d v="2017-10-18T00:00:00"/>
    <n v="0.2"/>
    <x v="25"/>
    <x v="23"/>
    <s v="Calle Güigüe Nro. 88-58"/>
    <s v="Colaboración Vigilancia, mes de Septiembre 2017"/>
    <s v="Vigilancia"/>
    <m/>
    <s v="00619"/>
    <s v="18 de Octubre de 2017"/>
    <n v="18"/>
    <d v="2017-10-01T00:00:00"/>
    <s v="0,20"/>
    <s v="Cero Bolívares con 20/100"/>
  </r>
  <r>
    <n v="620"/>
    <m/>
    <s v="ü"/>
    <d v="2017-10-18T00:00:00"/>
    <n v="0.35"/>
    <x v="36"/>
    <x v="33"/>
    <s v="Calle Güigüe Nro. 89-10"/>
    <s v="Cancelación Vigilancia, mes de Septiembre 2017"/>
    <s v="Vigilancia"/>
    <m/>
    <s v="00620"/>
    <s v="18 de Octubre de 2017"/>
    <n v="18"/>
    <d v="2017-10-01T00:00:00"/>
    <s v="0,35"/>
    <s v="Cero Bolívares con 35/100"/>
  </r>
  <r>
    <n v="621"/>
    <m/>
    <s v="ü"/>
    <d v="2017-10-19T00:00:00"/>
    <n v="0.35"/>
    <x v="23"/>
    <x v="21"/>
    <s v="Calle Güigüe Nro. 88-116"/>
    <s v="Cancelación Vigilancia, mes de Octubre 2017"/>
    <s v="Vigilancia"/>
    <m/>
    <s v="00621"/>
    <s v="19 de Octubre de 2017"/>
    <n v="19"/>
    <d v="2017-10-01T00:00:00"/>
    <s v="0,35"/>
    <s v="Cero Bolívares con 35/100"/>
  </r>
  <r>
    <n v="622"/>
    <m/>
    <s v="ü"/>
    <d v="2017-10-20T00:00:00"/>
    <n v="0.4"/>
    <x v="9"/>
    <x v="9"/>
    <s v="Av. &quot;M&quot; Nro. 146-30"/>
    <s v="Cancelación Vigilancia, mes de Octubre 2017"/>
    <s v="Vigilancia"/>
    <m/>
    <s v="00622"/>
    <s v="20 de Octubre de 2017"/>
    <n v="20"/>
    <d v="2017-10-01T00:00:00"/>
    <s v="0,40"/>
    <s v="Cero Bolívares con 40/100"/>
  </r>
  <r>
    <n v="623"/>
    <m/>
    <s v="ü"/>
    <d v="2017-10-21T00:00:00"/>
    <n v="0.7"/>
    <x v="8"/>
    <x v="8"/>
    <s v="Calle Guacara Nro. 90-51"/>
    <s v="Cancelación Vigilancia, meses de Septiembre y Octubre 2017"/>
    <s v="Vigilancia"/>
    <m/>
    <s v="00623"/>
    <s v="21 de Octubre de 2017"/>
    <n v="21"/>
    <d v="2017-10-01T00:00:00"/>
    <s v="0,70"/>
    <s v="Cero Bolívares con 70/100"/>
  </r>
  <r>
    <n v="624"/>
    <m/>
    <s v="ü"/>
    <d v="2017-10-21T00:00:00"/>
    <n v="0.35"/>
    <x v="38"/>
    <x v="35"/>
    <s v="Calle Guacara Nro. 89-78"/>
    <s v="Cancelación Vigilancia, mes de Septiembre 2017"/>
    <s v="Vigilancia"/>
    <m/>
    <s v="00624"/>
    <s v="21 de Octubre de 2017"/>
    <n v="21"/>
    <d v="2017-10-01T00:00:00"/>
    <s v="0,35"/>
    <s v="Cero Bolívares con 35/100"/>
  </r>
  <r>
    <n v="625"/>
    <m/>
    <s v="ü"/>
    <d v="2017-10-21T00:00:00"/>
    <n v="0.35"/>
    <x v="43"/>
    <x v="40"/>
    <s v="Calle Güigüe Nro. 88-50"/>
    <s v="Cancelación Vigilancia, mes de Septiembre 2017"/>
    <s v="Vigilancia"/>
    <m/>
    <s v="00625"/>
    <s v="21 de Octubre de 2017"/>
    <n v="21"/>
    <d v="2017-10-01T00:00:00"/>
    <s v="0,35"/>
    <s v="Cero Bolívares con 35/100"/>
  </r>
  <r>
    <n v="626"/>
    <m/>
    <s v="ü"/>
    <d v="2017-10-23T00:00:00"/>
    <n v="0.35"/>
    <x v="26"/>
    <x v="24"/>
    <s v="Calle Güigüe Nro. 89-96"/>
    <s v="Cancelación Vigilancia, mes de Octubre 2017"/>
    <s v="Vigilancia"/>
    <m/>
    <s v="00626"/>
    <s v="23 de Octubre de 2017"/>
    <n v="23"/>
    <d v="2017-10-01T00:00:00"/>
    <s v="0,35"/>
    <s v="Cero Bolívares con 35/100"/>
  </r>
  <r>
    <n v="627"/>
    <m/>
    <s v="ü"/>
    <d v="2017-10-23T00:00:00"/>
    <n v="0.35"/>
    <x v="20"/>
    <x v="18"/>
    <s v="Calle Guacara Nro. 89-30"/>
    <s v="Cancelación Vigilancia, mes de Octubre 2017"/>
    <s v="Vigilancia"/>
    <m/>
    <s v="00627"/>
    <s v="23 de Octubre de 2017"/>
    <n v="23"/>
    <d v="2017-10-01T00:00:00"/>
    <s v="0,35"/>
    <s v="Cero Bolívares con 35/100"/>
  </r>
  <r>
    <n v="628"/>
    <m/>
    <s v="ü"/>
    <d v="2017-10-23T00:00:00"/>
    <n v="0.35"/>
    <x v="5"/>
    <x v="5"/>
    <s v="Calle Güigüe Nro. 88-120"/>
    <s v="Cancelación Vigilancia, mes de Octubre 2017"/>
    <s v="Vigilancia"/>
    <m/>
    <s v="00628"/>
    <s v="23 de Octubre de 2017"/>
    <n v="23"/>
    <d v="2017-10-01T00:00:00"/>
    <s v="0,35"/>
    <s v="Cero Bolívares con 35/100"/>
  </r>
  <r>
    <n v="629"/>
    <m/>
    <s v="ü"/>
    <d v="2017-10-23T00:00:00"/>
    <n v="0.7"/>
    <x v="65"/>
    <x v="58"/>
    <s v="Calle Güigüe Nro. 88-10"/>
    <s v="Cancelación Vigilancia, meses de Septiembre y Octubre 2017"/>
    <s v="Vigilancia"/>
    <m/>
    <s v="00629"/>
    <s v="23 de Octubre de 2017"/>
    <n v="23"/>
    <d v="2017-10-01T00:00:00"/>
    <s v="0,70"/>
    <s v="Cero Bolívares con 70/100"/>
  </r>
  <r>
    <n v="630"/>
    <m/>
    <s v="ü"/>
    <d v="2017-10-23T00:00:00"/>
    <n v="0.7"/>
    <x v="44"/>
    <x v="41"/>
    <s v="Calle Guacara Nro. 89-40"/>
    <s v="Cancelación Vigilancia, meses de Agosto y Septiembre 2017"/>
    <s v="Vigilancia"/>
    <m/>
    <s v="00630"/>
    <s v="23 de Octubre de 2017"/>
    <n v="23"/>
    <d v="2017-10-01T00:00:00"/>
    <s v="0,70"/>
    <s v="Cero Bolívares con 70/100"/>
  </r>
  <r>
    <n v="631"/>
    <m/>
    <s v="ü"/>
    <d v="2017-10-25T00:00:00"/>
    <n v="0.3"/>
    <x v="63"/>
    <x v="56"/>
    <s v="Calle Guacara Nro. 88-85"/>
    <s v="Colaboración Vigilancia, mes de Septiembre 2017"/>
    <s v="Vigilancia"/>
    <m/>
    <s v="00631"/>
    <s v="25 de Octubre de 2017"/>
    <n v="25"/>
    <d v="2017-10-01T00:00:00"/>
    <s v="0,30"/>
    <s v="Cero Bolívares con 30/100"/>
  </r>
  <r>
    <n v="632"/>
    <m/>
    <s v="ü"/>
    <d v="2017-10-26T00:00:00"/>
    <n v="0.15"/>
    <x v="32"/>
    <x v="30"/>
    <s v="Calle Güigüe Nro. 89-120"/>
    <s v="Colaboración Vigilancia, mes de Septiembre 2017"/>
    <s v="Vigilancia"/>
    <m/>
    <s v="00632"/>
    <s v="26 de Octubre de 2017"/>
    <n v="26"/>
    <d v="2017-10-01T00:00:00"/>
    <s v="0,15"/>
    <s v="Cero Bolívares con 15/100"/>
  </r>
  <r>
    <n v="633"/>
    <m/>
    <s v="ü"/>
    <d v="2017-10-27T00:00:00"/>
    <n v="0.35"/>
    <x v="24"/>
    <x v="22"/>
    <s v="Calle Güigüe Nro. 88-54"/>
    <s v="Cancelación Vigilancia, mes de Octubre 2017"/>
    <s v="Vigilancia"/>
    <m/>
    <s v="00633"/>
    <s v="27 de Octubre de 2017"/>
    <n v="27"/>
    <d v="2017-10-01T00:00:00"/>
    <s v="0,35"/>
    <s v="Cero Bolívares con 35/100"/>
  </r>
  <r>
    <n v="634"/>
    <m/>
    <s v="ü"/>
    <d v="2017-10-27T00:00:00"/>
    <n v="1.05"/>
    <x v="45"/>
    <x v="42"/>
    <s v="Calle Güigüe Nro. 87-A-11"/>
    <s v="Cancelación Vigilancia, meses de Septiembre y Octubre 2017, y Anticipo Vigilancia, mes de Noviembre 2017"/>
    <s v="Vigilancia"/>
    <m/>
    <s v="00634"/>
    <s v="27 de Octubre de 2017"/>
    <n v="27"/>
    <d v="2017-10-01T00:00:00"/>
    <s v="1,05"/>
    <s v="Un Bolívares con 05/100"/>
  </r>
  <r>
    <n v="635"/>
    <m/>
    <s v="ü"/>
    <d v="2017-10-27T00:00:00"/>
    <n v="0.7"/>
    <x v="37"/>
    <x v="34"/>
    <s v="Av. &quot;I&quot; Nro. 146-40"/>
    <s v="Cancelación saldo Vigilancia, mes de Septiembre, cancelación mes de Octubre y anticipo mes de Noviembre 2017 (Bs. 1.000)"/>
    <s v="Vigilancia"/>
    <m/>
    <s v="00635"/>
    <s v="27 de Octubre de 2017"/>
    <n v="27"/>
    <d v="2017-10-01T00:00:00"/>
    <s v="0,70"/>
    <s v="Cero Bolívares con 70/100"/>
  </r>
  <r>
    <n v="636"/>
    <m/>
    <s v="ü"/>
    <d v="2017-10-29T00:00:00"/>
    <n v="0.6"/>
    <x v="71"/>
    <x v="62"/>
    <s v="Calle Güigüe Nro. 89-71"/>
    <s v="Colaboración Vigilancia, meses de Junio, Julio, Agosto y Septiembre 2017"/>
    <s v="Vigilancia"/>
    <m/>
    <s v="00636"/>
    <s v="29 de Octubre de 2017"/>
    <n v="29"/>
    <d v="2017-10-01T00:00:00"/>
    <s v="0,60"/>
    <s v="Cero Bolívares con 60/100"/>
  </r>
  <r>
    <n v="637"/>
    <m/>
    <s v="ü"/>
    <d v="2017-10-30T00:00:00"/>
    <n v="0.2"/>
    <x v="67"/>
    <x v="2"/>
    <s v="Calle Guacara Nro. 90-93"/>
    <s v="Colaboración Vigilancia, mes de Octubre 2017"/>
    <s v="Vigilancia"/>
    <m/>
    <s v="00637"/>
    <s v="30 de Octubre de 2017"/>
    <n v="30"/>
    <d v="2017-10-01T00:00:00"/>
    <s v="0,20"/>
    <s v="Cero Bolívares con 20/100"/>
  </r>
  <r>
    <n v="638"/>
    <m/>
    <s v="ü"/>
    <d v="2017-10-30T00:00:00"/>
    <n v="0.2"/>
    <x v="2"/>
    <x v="2"/>
    <s v="Calle Guacara Nro. 88-19"/>
    <s v="Colaboración Vigilancia, mes de Octubre 2017"/>
    <s v="Vigilancia"/>
    <m/>
    <s v="00638"/>
    <s v="30 de Octubre de 2017"/>
    <n v="30"/>
    <d v="2017-10-01T00:00:00"/>
    <s v="0,20"/>
    <s v="Cero Bolívares con 20/100"/>
  </r>
  <r>
    <n v="639"/>
    <m/>
    <s v="ü"/>
    <d v="2017-10-31T00:00:00"/>
    <n v="0.35"/>
    <x v="56"/>
    <x v="52"/>
    <s v="Calle Güigüe Nro. 88-70"/>
    <s v="Cancelación Vigilancia, mes de Octubre 2017"/>
    <s v="Vigilancia"/>
    <m/>
    <s v="00639"/>
    <s v="31 de Octubre de 2017"/>
    <n v="31"/>
    <d v="2017-10-01T00:00:00"/>
    <s v="0,35"/>
    <s v="Cero Bolívares con 35/100"/>
  </r>
  <r>
    <n v="640"/>
    <m/>
    <s v="ü"/>
    <d v="2017-10-19T00:00:00"/>
    <n v="0.2"/>
    <x v="35"/>
    <x v="32"/>
    <s v="Calle Güigüe Nro. 89-80"/>
    <s v="Colaboración Vigilancia, mes de Octubre 2017"/>
    <s v="Vigilancia"/>
    <m/>
    <s v="00640"/>
    <s v="19 de Octubre de 2017"/>
    <n v="19"/>
    <d v="2017-10-01T00:00:00"/>
    <s v="0,20"/>
    <s v="Cero Bolívares con 20/100"/>
  </r>
  <r>
    <n v="641"/>
    <m/>
    <s v="ü"/>
    <d v="2017-11-01T00:00:00"/>
    <n v="0.35"/>
    <x v="10"/>
    <x v="10"/>
    <s v="Av. &quot;M&quot; Nro. 146-15"/>
    <s v="Cancelación Vigilancia, mes de Octubre 2017"/>
    <s v="Vigilancia"/>
    <m/>
    <s v="00641"/>
    <s v="01 de Noviembre de 2017"/>
    <n v="1"/>
    <d v="2017-11-01T00:00:00"/>
    <s v="0,35"/>
    <s v="Cero Bolívares con 35/100"/>
  </r>
  <r>
    <n v="642"/>
    <m/>
    <s v="ü"/>
    <d v="2017-11-01T00:00:00"/>
    <n v="0.35"/>
    <x v="14"/>
    <x v="13"/>
    <s v="Calle Güigüe Nro. 89-83"/>
    <s v="Anticipo Vigilancia, mes de Noviembre 2017"/>
    <s v="Vigilancia"/>
    <m/>
    <s v="00642"/>
    <s v="01 de Noviembre de 2017"/>
    <n v="1"/>
    <d v="2017-11-01T00:00:00"/>
    <s v="0,35"/>
    <s v="Cero Bolívares con 35/100"/>
  </r>
  <r>
    <n v="643"/>
    <m/>
    <s v="ü"/>
    <d v="2017-11-02T00:00:00"/>
    <n v="0.35"/>
    <x v="6"/>
    <x v="6"/>
    <s v="Calle Guacara Nro. 89-60"/>
    <s v="Anticipo Vigilancia, mes de Noviembre 2017"/>
    <s v="Vigilancia"/>
    <m/>
    <s v="00643"/>
    <s v="02 de Noviembre de 2017"/>
    <n v="2"/>
    <d v="2017-11-01T00:00:00"/>
    <s v="0,35"/>
    <s v="Cero Bolívares con 35/100"/>
  </r>
  <r>
    <n v="644"/>
    <m/>
    <s v="ü"/>
    <d v="2017-11-01T00:00:00"/>
    <n v="0.68"/>
    <x v="48"/>
    <x v="9"/>
    <s v="Calle Güigüe Nro. 88-90"/>
    <s v="Cancelación saldo Vigilancia, mes de Septiembre 2017 y Cancelación Vigilancia, mes de Octubre 2017"/>
    <s v="Vigilancia"/>
    <m/>
    <s v="00644"/>
    <s v="01 de Noviembre de 2017"/>
    <n v="1"/>
    <d v="2017-11-01T00:00:00"/>
    <s v="0,68"/>
    <s v="Cero Bolívares con 68/100"/>
  </r>
  <r>
    <n v="645"/>
    <m/>
    <s v="ü"/>
    <d v="2017-11-02T00:00:00"/>
    <n v="0.7"/>
    <x v="31"/>
    <x v="29"/>
    <s v="Calle Güigüe Nro. 89-95"/>
    <s v="Cancelación Vigilancia, meses de Agosto y Septiembre 2017"/>
    <s v="Vigilancia"/>
    <m/>
    <s v="00645"/>
    <s v="02 de Noviembre de 2017"/>
    <n v="2"/>
    <d v="2017-11-01T00:00:00"/>
    <s v="0,70"/>
    <s v="Cero Bolívares con 70/100"/>
  </r>
  <r>
    <n v="646"/>
    <m/>
    <s v="ü"/>
    <d v="2017-11-02T00:00:00"/>
    <n v="0.35"/>
    <x v="5"/>
    <x v="5"/>
    <s v="Calle Güigüe Nro. 88-120"/>
    <s v="Anticipo Vigilancia, mes de Noviembre 2017"/>
    <s v="Vigilancia"/>
    <m/>
    <s v="00646"/>
    <s v="02 de Noviembre de 2017"/>
    <n v="2"/>
    <d v="2017-11-01T00:00:00"/>
    <s v="0,35"/>
    <s v="Cero Bolívares con 35/100"/>
  </r>
  <r>
    <n v="647"/>
    <m/>
    <s v="ü"/>
    <d v="2017-11-02T00:00:00"/>
    <n v="0.7"/>
    <x v="52"/>
    <x v="49"/>
    <s v="Calle Güigüe Nro. 89-45"/>
    <s v="Cancelación Vigilancia, mes de Octubre 2017, y Anticipo Vigilancia, mes de Noviembre 2017"/>
    <s v="Vigilancia"/>
    <m/>
    <s v="00647"/>
    <s v="02 de Noviembre de 2017"/>
    <n v="2"/>
    <d v="2017-11-01T00:00:00"/>
    <s v="0,70"/>
    <s v="Cero Bolívares con 70/100"/>
  </r>
  <r>
    <n v="648"/>
    <m/>
    <s v="ü"/>
    <d v="2017-11-02T00:00:00"/>
    <n v="0.5"/>
    <x v="84"/>
    <x v="71"/>
    <s v="Calle Güigüe Nro. 89-54"/>
    <s v="Cancelación Vigilancia, mes de Noviembre 2017"/>
    <s v="Vigilancia"/>
    <m/>
    <s v="00648"/>
    <s v="02 de Noviembre de 2017"/>
    <n v="2"/>
    <d v="2017-11-01T00:00:00"/>
    <s v="0,50"/>
    <s v="Cero Bolívares con 50/100"/>
  </r>
  <r>
    <n v="649"/>
    <m/>
    <s v="ü"/>
    <d v="2017-11-03T00:00:00"/>
    <n v="0.5"/>
    <x v="1"/>
    <x v="1"/>
    <s v="Calle Güigüe Nro. 88-44"/>
    <s v="Cancelación Vigilancia, mes de Noviembre 2017"/>
    <s v="Vigilancia"/>
    <m/>
    <s v="00649"/>
    <s v="03 de Noviembre de 2017"/>
    <n v="3"/>
    <d v="2017-11-01T00:00:00"/>
    <s v="0,50"/>
    <s v="Cero Bolívares con 50/100"/>
  </r>
  <r>
    <n v="650"/>
    <m/>
    <s v="ü"/>
    <d v="2017-11-04T00:00:00"/>
    <n v="1.05"/>
    <x v="58"/>
    <x v="53"/>
    <s v="Calle Güigüe Nro. 88-51"/>
    <s v="Cancelación Vigilancia, meses de Agosto, Septiembre y Octubre 2017"/>
    <s v="Vigilancia"/>
    <m/>
    <s v="00650"/>
    <s v="04 de Noviembre de 2017"/>
    <n v="4"/>
    <d v="2017-11-01T00:00:00"/>
    <s v="1,05"/>
    <s v="Un Bolívares con 05/100"/>
  </r>
  <r>
    <n v="651"/>
    <m/>
    <s v="ü"/>
    <d v="2017-11-08T00:00:00"/>
    <n v="0.35"/>
    <x v="60"/>
    <x v="54"/>
    <s v="Calle Guacara Nro. 88-51"/>
    <s v="Cancelación Vigilancia, mes de Octubre y anticipo mes de Noviembre 2017: transferencia y contra factura"/>
    <s v="Vigilancia"/>
    <m/>
    <s v="00651"/>
    <s v="08 de Noviembre de 2017"/>
    <n v="8"/>
    <d v="2017-11-01T00:00:00"/>
    <s v="0,35"/>
    <s v="Cero Bolívares con 35/100"/>
  </r>
  <r>
    <n v="652"/>
    <m/>
    <s v="ü"/>
    <d v="2017-11-07T00:00:00"/>
    <n v="0.5"/>
    <x v="0"/>
    <x v="0"/>
    <s v="Calle Guacara Nro. 88-45"/>
    <s v="Cancelación Vigilancia, mes de Noviembre 2017 (saldo a favor: Bs. 20.000)"/>
    <s v="Vigilancia"/>
    <m/>
    <s v="00652"/>
    <s v="07 de Noviembre de 2017"/>
    <n v="7"/>
    <d v="2017-11-01T00:00:00"/>
    <s v="0,50"/>
    <s v="Cero Bolívares con 50/100"/>
  </r>
  <r>
    <n v="653"/>
    <m/>
    <s v="ü"/>
    <d v="2017-11-07T00:00:00"/>
    <n v="0.5"/>
    <x v="75"/>
    <x v="65"/>
    <s v="Av. &quot;Ñ&quot; Nro. 145-25"/>
    <s v="Cancelación Vigilancia, mes de Noviembre 2017 (saldo a favor: Bs. 115.000)"/>
    <s v="Vigilancia"/>
    <m/>
    <s v="00653"/>
    <s v="07 de Noviembre de 2017"/>
    <n v="7"/>
    <d v="2017-11-01T00:00:00"/>
    <s v="0,50"/>
    <s v="Cero Bolívares con 50/100"/>
  </r>
  <r>
    <n v="654"/>
    <m/>
    <s v="ü"/>
    <d v="2017-11-08T00:00:00"/>
    <n v="0.5"/>
    <x v="12"/>
    <x v="12"/>
    <s v="Calle Guacara Nro. 89-20"/>
    <s v="Cancelación Vigilancia, mes de Noviembre 2017"/>
    <s v="Vigilancia"/>
    <m/>
    <s v="00654"/>
    <s v="08 de Noviembre de 2017"/>
    <n v="8"/>
    <d v="2017-11-01T00:00:00"/>
    <s v="0,50"/>
    <s v="Cero Bolívares con 50/100"/>
  </r>
  <r>
    <n v="655"/>
    <m/>
    <s v="ü"/>
    <d v="2017-11-10T00:00:00"/>
    <n v="0.3"/>
    <x v="15"/>
    <x v="14"/>
    <s v="Calle Guacara Nro. 89-94"/>
    <s v="Colaboración Vigilancia, mes de Noviembre 2017"/>
    <s v="Vigilancia"/>
    <m/>
    <s v="00655"/>
    <s v="10 de Noviembre de 2017"/>
    <n v="10"/>
    <d v="2017-11-01T00:00:00"/>
    <s v="0,30"/>
    <s v="Cero Bolívares con 30/100"/>
  </r>
  <r>
    <n v="656"/>
    <m/>
    <s v="ü"/>
    <d v="2017-11-09T00:00:00"/>
    <n v="0.5"/>
    <x v="36"/>
    <x v="33"/>
    <s v="Calle Güigüe Nro. 89-10"/>
    <s v="Cancelación Vigilancia, mes de Noviembre 2017"/>
    <s v="Vigilancia"/>
    <m/>
    <s v="00656"/>
    <s v="09 de Noviembre de 2017"/>
    <n v="9"/>
    <d v="2017-11-01T00:00:00"/>
    <s v="0,50"/>
    <s v="Cero Bolívares con 50/100"/>
  </r>
  <r>
    <n v="657"/>
    <m/>
    <s v="ü"/>
    <d v="2017-11-09T00:00:00"/>
    <n v="0.85"/>
    <x v="31"/>
    <x v="29"/>
    <s v="Calle Güigüe Nro. 89-95"/>
    <s v="Cancelación Vigilancia, meses de Octubre y Noviembre 2017"/>
    <s v="Vigilancia"/>
    <m/>
    <s v="00657"/>
    <s v="09 de Noviembre de 2017"/>
    <n v="9"/>
    <d v="2017-11-01T00:00:00"/>
    <s v="0,85"/>
    <s v="Cero Bolívares con 85/100"/>
  </r>
  <r>
    <n v="658"/>
    <m/>
    <s v="ü"/>
    <d v="2017-11-10T00:00:00"/>
    <n v="1.35"/>
    <x v="16"/>
    <x v="15"/>
    <s v="Calle Guacara Nro. 90-81"/>
    <s v="Cancelación Vigilancia, meses de Octubre, Noviembre y Diciembre 2017"/>
    <s v="Vigilancia"/>
    <m/>
    <s v="00658"/>
    <s v="10 de Noviembre de 2017"/>
    <n v="10"/>
    <d v="2017-11-01T00:00:00"/>
    <s v="1,35"/>
    <s v="Un Bolívares con 35/100"/>
  </r>
  <r>
    <n v="659"/>
    <m/>
    <s v="ü"/>
    <d v="2017-11-10T00:00:00"/>
    <n v="0.35"/>
    <x v="7"/>
    <x v="7"/>
    <s v="Calle Guacara Nro. 87-86"/>
    <s v="Colaboración Vigilancia, mes de Noviembre 2017"/>
    <s v="Vigilancia"/>
    <m/>
    <s v="00659"/>
    <s v="10 de Noviembre de 2017"/>
    <n v="10"/>
    <d v="2017-11-01T00:00:00"/>
    <s v="0,35"/>
    <s v="Cero Bolívares con 35/100"/>
  </r>
  <r>
    <n v="660"/>
    <m/>
    <s v="ü"/>
    <d v="2017-11-11T00:00:00"/>
    <n v="1.2"/>
    <x v="54"/>
    <x v="50"/>
    <s v="Calle Güigüe Nro. 89-21"/>
    <s v="Cancelación Vigilancia, meses de Septiembre, Octubre y Noviembre 2017"/>
    <s v="Vigilancia"/>
    <m/>
    <s v="00660"/>
    <s v="11 de Noviembre de 2017"/>
    <n v="11"/>
    <d v="2017-11-01T00:00:00"/>
    <s v="1,20"/>
    <s v="Un Bolívares con 20/100"/>
  </r>
  <r>
    <n v="661"/>
    <m/>
    <s v="ü"/>
    <d v="2017-11-11T00:00:00"/>
    <n v="0.5"/>
    <x v="4"/>
    <x v="4"/>
    <s v="Calle Güigüe Nro. 89-55"/>
    <s v="Cancelación Vigilancia, mes de Noviembre 2017"/>
    <s v="Vigilancia"/>
    <m/>
    <s v="00661"/>
    <s v="11 de Noviembre de 2017"/>
    <n v="11"/>
    <d v="2017-11-01T00:00:00"/>
    <s v="0,50"/>
    <s v="Cero Bolívares con 50/100"/>
  </r>
  <r>
    <n v="662"/>
    <m/>
    <s v="ü"/>
    <d v="2017-11-12T00:00:00"/>
    <n v="0.85"/>
    <x v="42"/>
    <x v="39"/>
    <s v="Calle Güigüe Nro. 89-79"/>
    <s v="Cancelación Vigilancia, meses de Octubre y Noviembre 2017"/>
    <s v="Vigilancia"/>
    <m/>
    <s v="00662"/>
    <s v="12 de Noviembre de 2017"/>
    <n v="12"/>
    <d v="2017-11-01T00:00:00"/>
    <s v="0,85"/>
    <s v="Cero Bolívares con 85/100"/>
  </r>
  <r>
    <n v="663"/>
    <m/>
    <s v="ü"/>
    <d v="2017-11-12T00:00:00"/>
    <n v="0.1"/>
    <x v="28"/>
    <x v="26"/>
    <s v="Calle Güigüe Nro. 88-30"/>
    <s v="Colaboración Vigilancia, mes de Noviembre 2017"/>
    <s v="Vigilancia"/>
    <m/>
    <s v="00663"/>
    <s v="12 de Noviembre de 2017"/>
    <n v="12"/>
    <d v="2017-11-01T00:00:00"/>
    <s v="0,10"/>
    <s v="Cero Bolívares con 10/100"/>
  </r>
  <r>
    <n v="664"/>
    <m/>
    <s v="ü"/>
    <d v="2017-11-14T00:00:00"/>
    <n v="0.5"/>
    <x v="20"/>
    <x v="18"/>
    <s v="Calle Guacara Nro. 89-30"/>
    <s v="Cancelación Vigilancia, mes de Noviembre 2017"/>
    <s v="Vigilancia"/>
    <m/>
    <s v="00664"/>
    <s v="14 de Noviembre de 2017"/>
    <n v="14"/>
    <d v="2017-11-01T00:00:00"/>
    <s v="0,50"/>
    <s v="Cero Bolívares con 50/100"/>
  </r>
  <r>
    <n v="665"/>
    <m/>
    <s v="ü"/>
    <d v="2017-11-13T00:00:00"/>
    <n v="0.2"/>
    <x v="22"/>
    <x v="20"/>
    <s v="Calle Guacara Nro. 88-25"/>
    <s v="Colaboración Vigilancia, mes de Octubre 2017"/>
    <s v="Vigilancia"/>
    <m/>
    <s v="00665"/>
    <s v="13 de Noviembre de 2017"/>
    <n v="13"/>
    <d v="2017-11-01T00:00:00"/>
    <s v="0,20"/>
    <s v="Cero Bolívares con 20/100"/>
  </r>
  <r>
    <n v="666"/>
    <m/>
    <s v="ü"/>
    <d v="2017-11-09T00:00:00"/>
    <n v="0.35"/>
    <x v="59"/>
    <x v="9"/>
    <s v="Calle Guacara Nro. 90-35"/>
    <s v="Cancelación Vigilancia, mes de Octubre 2017"/>
    <s v="Vigilancia"/>
    <m/>
    <s v="00666"/>
    <s v="09 de Noviembre de 2017"/>
    <n v="9"/>
    <d v="2017-11-01T00:00:00"/>
    <s v="0,35"/>
    <s v="Cero Bolívares con 35/100"/>
  </r>
  <r>
    <n v="667"/>
    <m/>
    <s v="ü"/>
    <d v="2017-11-14T00:00:00"/>
    <n v="0.85"/>
    <x v="49"/>
    <x v="46"/>
    <s v="Av. &quot;O&quot; Nro. 146-17"/>
    <s v="Cancelación Vigilancia, meses de Octubre y Noviembre 2017"/>
    <s v="Vigilancia"/>
    <m/>
    <s v="00667"/>
    <s v="14 de Noviembre de 2017"/>
    <n v="14"/>
    <d v="2017-11-01T00:00:00"/>
    <s v="0,85"/>
    <s v="Cero Bolívares con 85/100"/>
  </r>
  <r>
    <n v="668"/>
    <m/>
    <s v="ü"/>
    <d v="2017-11-14T00:00:00"/>
    <n v="0.35"/>
    <x v="38"/>
    <x v="35"/>
    <s v="Calle Guacara Nro. 89-78"/>
    <s v="Cancelación Vigilancia, mes de Octubre 2017"/>
    <s v="Vigilancia"/>
    <m/>
    <s v="00668"/>
    <s v="14 de Noviembre de 2017"/>
    <n v="14"/>
    <d v="2017-11-01T00:00:00"/>
    <s v="0,35"/>
    <s v="Cero Bolívares con 35/100"/>
  </r>
  <r>
    <n v="669"/>
    <m/>
    <s v="ü"/>
    <d v="2017-11-14T00:00:00"/>
    <n v="1"/>
    <x v="11"/>
    <x v="11"/>
    <s v="Calle Guacara Nro. 89-86"/>
    <s v="Cancelación Vigilancia, meses de Noviembre y Diciembre 2017"/>
    <s v="Vigilancia"/>
    <m/>
    <s v="00669"/>
    <s v="14 de Noviembre de 2017"/>
    <n v="14"/>
    <d v="2017-11-01T00:00:00"/>
    <s v="1,00"/>
    <s v="Un Bolívar con 00/100"/>
  </r>
  <r>
    <n v="670"/>
    <m/>
    <s v="ü"/>
    <d v="2017-11-15T00:00:00"/>
    <n v="0.15"/>
    <x v="14"/>
    <x v="13"/>
    <s v="Calle Güigüe Nro. 89-83"/>
    <s v="Cancelación saldo Vigilancia, mes de Noviembre 2017"/>
    <s v="Vigilancia"/>
    <m/>
    <s v="00670"/>
    <s v="15 de Noviembre de 2017"/>
    <n v="15"/>
    <d v="2017-11-01T00:00:00"/>
    <s v="0,15"/>
    <s v="Cero Bolívares con 15/100"/>
  </r>
  <r>
    <n v="671"/>
    <m/>
    <s v="ü"/>
    <d v="2017-11-15T00:00:00"/>
    <n v="1.85"/>
    <x v="69"/>
    <x v="61"/>
    <s v="Calle Güigüe Nro. 89-40"/>
    <s v="Cancelación Vigilancia, meses de Octubre, Noviembre , diciembre 2017 y mes de Enero 2018"/>
    <s v="Vigilancia"/>
    <m/>
    <s v="00671"/>
    <s v="15 de Noviembre de 2017"/>
    <n v="15"/>
    <d v="2017-11-01T00:00:00"/>
    <s v="1,85"/>
    <s v="Un Bolívares con 85/100"/>
  </r>
  <r>
    <n v="672"/>
    <m/>
    <s v="ü"/>
    <d v="2017-11-15T00:00:00"/>
    <n v="0.15"/>
    <x v="68"/>
    <x v="60"/>
    <s v="Calle Güigüe Nro. 89-29"/>
    <s v="Colaboración Vigilancia, mes de Noviembre 2017"/>
    <s v="Vigilancia"/>
    <m/>
    <s v="00672"/>
    <s v="15 de Noviembre de 2017"/>
    <n v="15"/>
    <d v="2017-11-01T00:00:00"/>
    <s v="0,15"/>
    <s v="Cero Bolívares con 15/100"/>
  </r>
  <r>
    <n v="673"/>
    <m/>
    <s v="ü"/>
    <d v="2017-11-10T00:00:00"/>
    <n v="0.15"/>
    <x v="6"/>
    <x v="6"/>
    <s v="Calle Guacara Nro. 89-60"/>
    <s v="Cancelación saldo Vigilancia, mes de Noviembre 2017"/>
    <s v="Vigilancia"/>
    <m/>
    <s v="00673"/>
    <s v="10 de Noviembre de 2017"/>
    <n v="10"/>
    <d v="2017-11-01T00:00:00"/>
    <s v="0,15"/>
    <s v="Cero Bolívares con 15/100"/>
  </r>
  <r>
    <n v="674"/>
    <m/>
    <s v="ü"/>
    <d v="2017-11-15T00:00:00"/>
    <n v="0.85"/>
    <x v="81"/>
    <x v="69"/>
    <s v="Calle Güigüe Nro. 89-65"/>
    <s v="Cancelación Vigilancia, meses de Octubre y Noviembre 2017"/>
    <s v="Vigilancia"/>
    <m/>
    <s v="00674"/>
    <s v="15 de Noviembre de 2017"/>
    <n v="15"/>
    <d v="2017-11-01T00:00:00"/>
    <s v="0,85"/>
    <s v="Cero Bolívares con 85/100"/>
  </r>
  <r>
    <n v="675"/>
    <m/>
    <s v="ü"/>
    <d v="2017-11-15T00:00:00"/>
    <n v="0.85"/>
    <x v="44"/>
    <x v="41"/>
    <s v="Calle Guacara Nro. 89-40"/>
    <s v="Cancelación Vigilancia, meses de Octubre y Noviembre 2017"/>
    <s v="Vigilancia"/>
    <m/>
    <s v="00675"/>
    <s v="15 de Noviembre de 2017"/>
    <n v="15"/>
    <d v="2017-11-01T00:00:00"/>
    <s v="0,85"/>
    <s v="Cero Bolívares con 85/100"/>
  </r>
  <r>
    <n v="676"/>
    <m/>
    <s v="ü"/>
    <d v="2017-11-15T00:00:00"/>
    <n v="0.5"/>
    <x v="18"/>
    <x v="16"/>
    <s v="Calle Guacara Nro. 87-100"/>
    <s v="Cancelación Vigilancia, mes de Noviembre 2017"/>
    <s v="Vigilancia"/>
    <m/>
    <s v="00676"/>
    <s v="15 de Noviembre de 2017"/>
    <n v="15"/>
    <d v="2017-11-01T00:00:00"/>
    <s v="0,50"/>
    <s v="Cero Bolívares con 50/100"/>
  </r>
  <r>
    <n v="677"/>
    <m/>
    <s v="ü"/>
    <d v="2017-11-16T00:00:00"/>
    <n v="0.54"/>
    <x v="9"/>
    <x v="9"/>
    <s v="Av. &quot;M&quot; Nro. 146-30"/>
    <s v="Cancelación Vigilancia, mes de Noviembre 2017"/>
    <s v="Vigilancia"/>
    <m/>
    <s v="00677"/>
    <s v="16 de Noviembre de 2017"/>
    <n v="16"/>
    <d v="2017-11-01T00:00:00"/>
    <s v="0,54"/>
    <s v="Cero Bolívares con 54/100"/>
  </r>
  <r>
    <n v="678"/>
    <m/>
    <s v="ü"/>
    <d v="2017-11-16T00:00:00"/>
    <n v="0.35"/>
    <x v="83"/>
    <x v="70"/>
    <s v="Calle Güigüe Nro. 89-22"/>
    <s v="Cancelación Vigilancia, mes de Octubre 2017"/>
    <s v="Vigilancia"/>
    <m/>
    <s v="00678"/>
    <s v="16 de Noviembre de 2017"/>
    <n v="16"/>
    <d v="2017-11-01T00:00:00"/>
    <s v="0,35"/>
    <s v="Cero Bolívares con 35/100"/>
  </r>
  <r>
    <n v="679"/>
    <m/>
    <s v="ü"/>
    <d v="2017-11-17T00:00:00"/>
    <n v="0.5"/>
    <x v="23"/>
    <x v="21"/>
    <s v="Calle Güigüe Nro. 88-116"/>
    <s v="Cancelación Vigilancia, mes de Noviembre 2017"/>
    <s v="Vigilancia"/>
    <m/>
    <s v="00679"/>
    <s v="17 de Noviembre de 2017"/>
    <n v="17"/>
    <d v="2017-11-01T00:00:00"/>
    <s v="0,50"/>
    <s v="Cero Bolívares con 50/100"/>
  </r>
  <r>
    <n v="680"/>
    <m/>
    <s v="ü"/>
    <d v="2017-11-17T00:00:00"/>
    <n v="0.5"/>
    <x v="30"/>
    <x v="28"/>
    <s v="Calle Güigüe Nro. 89-04"/>
    <s v="Cancelación Vigilancia, mes de Noviembre 2017 (transferencia y Bs. 14.600 contra factura)"/>
    <s v="Vigilancia"/>
    <m/>
    <s v="00680"/>
    <s v="17 de Noviembre de 2017"/>
    <n v="17"/>
    <d v="2017-11-01T00:00:00"/>
    <s v="0,50"/>
    <s v="Cero Bolívares con 50/100"/>
  </r>
  <r>
    <n v="681"/>
    <m/>
    <s v="ü"/>
    <d v="2017-11-17T00:00:00"/>
    <n v="0.5"/>
    <x v="26"/>
    <x v="24"/>
    <s v="Calle Güigüe Nro. 89-96"/>
    <s v="Cancelación Vigilancia, mes de Noviembre 2017"/>
    <s v="Vigilancia"/>
    <m/>
    <s v="00681"/>
    <s v="17 de Noviembre de 2017"/>
    <n v="17"/>
    <d v="2017-11-01T00:00:00"/>
    <s v="0,50"/>
    <s v="Cero Bolívares con 50/100"/>
  </r>
  <r>
    <n v="682"/>
    <m/>
    <s v="ü"/>
    <d v="2017-11-17T00:00:00"/>
    <n v="1"/>
    <x v="34"/>
    <x v="9"/>
    <s v="Av. &quot;O&quot; Nro. 146-11"/>
    <s v="Cancelación Vigilancia, meses de Septiembre y Octubre 2017, y anticipo Vigilancia, mes de Noviembre 2017"/>
    <s v="Vigilancia"/>
    <m/>
    <s v="00682"/>
    <s v="17 de Noviembre de 2017"/>
    <n v="17"/>
    <d v="2017-11-01T00:00:00"/>
    <s v="1,00"/>
    <s v="Un Bolívar con 00/100"/>
  </r>
  <r>
    <n v="683"/>
    <m/>
    <s v="ü"/>
    <d v="2017-11-17T00:00:00"/>
    <n v="0.4"/>
    <x v="35"/>
    <x v="32"/>
    <s v="Calle Güigüe Nro. 89-80"/>
    <s v="Colaboración Vigilancia, mes de Noviembre 2017"/>
    <s v="Vigilancia"/>
    <m/>
    <s v="00683"/>
    <s v="17 de Noviembre de 2017"/>
    <n v="17"/>
    <d v="2017-11-01T00:00:00"/>
    <s v="0,40"/>
    <s v="Cero Bolívares con 40/100"/>
  </r>
  <r>
    <n v="684"/>
    <m/>
    <s v="ü"/>
    <d v="2017-11-19T00:00:00"/>
    <n v="0.35"/>
    <x v="43"/>
    <x v="40"/>
    <s v="Calle Güigüe Nro. 88-50"/>
    <s v="Cancelación Vigilancia, mes de Octubre 2017"/>
    <s v="Vigilancia"/>
    <m/>
    <s v="00684"/>
    <s v="19 de Noviembre de 2017"/>
    <n v="19"/>
    <d v="2017-11-01T00:00:00"/>
    <s v="0,35"/>
    <s v="Cero Bolívares con 35/100"/>
  </r>
  <r>
    <n v="685"/>
    <m/>
    <s v="ü"/>
    <d v="2017-11-19T00:00:00"/>
    <n v="0.5"/>
    <x v="59"/>
    <x v="9"/>
    <s v="Calle Guacara Nro. 90-35"/>
    <s v="Cancelación Vigilancia, mes de Noviembre 2017"/>
    <s v="Vigilancia"/>
    <m/>
    <s v="00685"/>
    <s v="19 de Noviembre de 2017"/>
    <n v="19"/>
    <d v="2017-11-01T00:00:00"/>
    <s v="0,50"/>
    <s v="Cero Bolívares con 50/100"/>
  </r>
  <r>
    <n v="686"/>
    <m/>
    <s v="ü"/>
    <d v="2017-11-20T00:00:00"/>
    <n v="0.5"/>
    <x v="84"/>
    <x v="71"/>
    <s v="Calle Güigüe Nro. 89-54"/>
    <s v="Cancelación Vigilancia, mes de Diciembre 2017"/>
    <s v="Vigilancia"/>
    <m/>
    <s v="00686"/>
    <s v="20 de Noviembre de 2017"/>
    <n v="20"/>
    <d v="2017-11-01T00:00:00"/>
    <s v="0,50"/>
    <s v="Cero Bolívares con 50/100"/>
  </r>
  <r>
    <n v="687"/>
    <m/>
    <s v="ü"/>
    <d v="2017-11-20T00:00:00"/>
    <n v="0.4"/>
    <x v="57"/>
    <x v="9"/>
    <s v="Calle Güigüe Nro. 88-40"/>
    <s v="Colaboración Vigilancia, meses de Septiembre y Octubre 2017"/>
    <s v="Vigilancia"/>
    <m/>
    <s v="00687"/>
    <s v="20 de Noviembre de 2017"/>
    <n v="20"/>
    <d v="2017-11-01T00:00:00"/>
    <s v="0,40"/>
    <s v="Cero Bolívares con 40/100"/>
  </r>
  <r>
    <n v="688"/>
    <m/>
    <s v="ü"/>
    <d v="2017-11-21T00:00:00"/>
    <n v="1.7"/>
    <x v="64"/>
    <x v="57"/>
    <s v="Calle Guacara Nro. 88-35"/>
    <s v="Cancelación Vigilancia, meses de Septiembre, Octubre, Noviembre y Diciembre 2017"/>
    <s v="Vigilancia"/>
    <m/>
    <s v="00688"/>
    <s v="21 de Noviembre de 2017"/>
    <n v="21"/>
    <d v="2017-11-01T00:00:00"/>
    <s v="1,70"/>
    <s v="Un Bolívares con 70/100"/>
  </r>
  <r>
    <n v="689"/>
    <m/>
    <s v="ü"/>
    <d v="2017-11-22T00:00:00"/>
    <n v="0.3"/>
    <x v="85"/>
    <x v="72"/>
    <s v="Calle Güigüe Nro. 89-116"/>
    <s v="Colaboración Vigilancia, mes de Noviembre 2017"/>
    <s v="Vigilancia"/>
    <m/>
    <s v="00689"/>
    <s v="22 de Noviembre de 2017"/>
    <n v="22"/>
    <d v="2017-11-01T00:00:00"/>
    <s v="0,30"/>
    <s v="Cero Bolívares con 30/100"/>
  </r>
  <r>
    <n v="690"/>
    <m/>
    <s v="ü"/>
    <d v="2017-11-22T00:00:00"/>
    <n v="0.5"/>
    <x v="19"/>
    <x v="17"/>
    <s v="Calle Guacara Nro. 89-130"/>
    <s v="Cancelación Vigilancia, mes de Noviembre 2017"/>
    <s v="Vigilancia"/>
    <m/>
    <s v="00690"/>
    <s v="22 de Noviembre de 2017"/>
    <n v="22"/>
    <d v="2017-11-01T00:00:00"/>
    <s v="0,50"/>
    <s v="Cero Bolívares con 50/100"/>
  </r>
  <r>
    <n v="691"/>
    <m/>
    <s v="ü"/>
    <d v="2017-11-23T00:00:00"/>
    <n v="0.5"/>
    <x v="76"/>
    <x v="66"/>
    <s v="Calle Güigüe Nro. 89-90"/>
    <s v="Cancelación Vigilancia, mes de Noviembre 2017"/>
    <s v="Vigilancia"/>
    <m/>
    <s v="00691"/>
    <s v="23 de Noviembre de 2017"/>
    <n v="23"/>
    <d v="2017-11-01T00:00:00"/>
    <s v="0,50"/>
    <s v="Cero Bolívares con 50/100"/>
  </r>
  <r>
    <n v="692"/>
    <m/>
    <s v="ü"/>
    <d v="2017-11-28T00:00:00"/>
    <n v="0.65"/>
    <x v="45"/>
    <x v="42"/>
    <s v="Calle Güigüe Nro. 87-A-11"/>
    <s v="Cancelación Vigilancia, saldo mes de Noviembre y mes de Diciembre 2017"/>
    <s v="Vigilancia"/>
    <m/>
    <s v="00692"/>
    <s v="28 de Noviembre de 2017"/>
    <n v="28"/>
    <d v="2017-11-01T00:00:00"/>
    <s v="0,65"/>
    <s v="Cero Bolívares con 65/100"/>
  </r>
  <r>
    <n v="693"/>
    <m/>
    <s v="ü"/>
    <d v="2017-11-28T00:00:00"/>
    <n v="1"/>
    <x v="56"/>
    <x v="52"/>
    <s v="Calle Güigüe Nro. 88-70"/>
    <s v="Cancelación Vigilancia, meses de Noviembre y Diciembre 2017"/>
    <s v="Vigilancia"/>
    <m/>
    <s v="00693"/>
    <s v="28 de Noviembre de 2017"/>
    <n v="28"/>
    <d v="2017-11-01T00:00:00"/>
    <s v="1,00"/>
    <s v="Un Bolívar con 00/100"/>
  </r>
  <r>
    <n v="694"/>
    <m/>
    <s v="ü"/>
    <d v="2017-11-28T00:00:00"/>
    <n v="1"/>
    <x v="60"/>
    <x v="54"/>
    <s v="Calle Guacara Nro. 88-51"/>
    <s v="Cancelación Vigilancia, saldo mes de Noviembre, mes de Diciembre 2017 y Anticipo Vigilancia, mes de Enero 2018 (Bs. 5.850)"/>
    <s v="Vigilancia"/>
    <m/>
    <s v="00694"/>
    <s v="28 de Noviembre de 2017"/>
    <n v="28"/>
    <d v="2017-11-01T00:00:00"/>
    <s v="1,00"/>
    <s v="Un Bolívar con 00/100"/>
  </r>
  <r>
    <n v="695"/>
    <m/>
    <s v="ü"/>
    <d v="2017-11-29T00:00:00"/>
    <n v="0.5"/>
    <x v="65"/>
    <x v="58"/>
    <s v="Calle Güigüe Nro. 88-10"/>
    <s v="Cancelación Vigilancia, mes de Noviembre 2017"/>
    <s v="Vigilancia"/>
    <m/>
    <s v="00695"/>
    <s v="29 de Noviembre de 2017"/>
    <n v="29"/>
    <d v="2017-11-01T00:00:00"/>
    <s v="0,50"/>
    <s v="Cero Bolívares con 50/100"/>
  </r>
  <r>
    <n v="696"/>
    <m/>
    <s v="ü"/>
    <d v="2017-12-03T00:00:00"/>
    <n v="1"/>
    <x v="14"/>
    <x v="13"/>
    <s v="Calle Güigüe Nro. 89-83"/>
    <s v="Cancelación Vigilancia, meses de Diciembre 2017 y Enero 2018"/>
    <s v="Vigilancia"/>
    <m/>
    <s v="00696"/>
    <s v="03 de Diciembre de 2017"/>
    <n v="3"/>
    <d v="2017-12-01T00:00:00"/>
    <s v="1,00"/>
    <s v="Un Bolívar con 00/100"/>
  </r>
  <r>
    <n v="697"/>
    <m/>
    <s v="ü"/>
    <d v="2017-11-21T00:00:00"/>
    <n v="0.71"/>
    <x v="73"/>
    <x v="9"/>
    <s v="Calle Güigüe Nros. 88-71 y 88-81"/>
    <s v="Cancelación Vigilancia, mes de Noviembre 2017"/>
    <s v="Vigilancia"/>
    <m/>
    <s v="00697"/>
    <s v="21 de Noviembre de 2017"/>
    <n v="21"/>
    <d v="2017-11-01T00:00:00"/>
    <s v="0,71"/>
    <s v="Cero Bolívares con 71/100"/>
  </r>
  <r>
    <n v="698"/>
    <m/>
    <s v="ü"/>
    <d v="2017-12-04T00:00:00"/>
    <n v="0.5"/>
    <x v="24"/>
    <x v="22"/>
    <s v="Calle Güigüe Nro. 88-54"/>
    <s v="Cancelación Vigilancia, mes de Noviembre 2017"/>
    <s v="Vigilancia"/>
    <m/>
    <s v="00698"/>
    <s v="04 de Diciembre de 2017"/>
    <n v="4"/>
    <d v="2017-12-01T00:00:00"/>
    <s v="0,50"/>
    <s v="Cero Bolívares con 50/100"/>
  </r>
  <r>
    <n v="699"/>
    <m/>
    <s v="ü"/>
    <d v="2017-12-04T00:00:00"/>
    <n v="0.32"/>
    <x v="2"/>
    <x v="2"/>
    <s v="Calle Guacara Nro. 88-19"/>
    <s v="Colaboración Vigilancia, mes de Noviembre 2017"/>
    <s v="Vigilancia"/>
    <m/>
    <s v="00699"/>
    <s v="04 de Diciembre de 2017"/>
    <n v="4"/>
    <d v="2017-12-01T00:00:00"/>
    <s v="0,32"/>
    <s v="Cero Bolívares con 32/100"/>
  </r>
  <r>
    <n v="700"/>
    <m/>
    <s v="ü"/>
    <d v="2017-12-04T00:00:00"/>
    <n v="0.18"/>
    <x v="67"/>
    <x v="2"/>
    <s v="Calle Guacara Nro. 90-93"/>
    <s v="Colaboración Vigilancia, mes de Noviembre 2017"/>
    <s v="Vigilancia"/>
    <m/>
    <s v="00700"/>
    <s v="04 de Diciembre de 2017"/>
    <n v="4"/>
    <d v="2017-12-01T00:00:00"/>
    <s v="0,18"/>
    <s v="Cero Bolívares con 18/100"/>
  </r>
  <r>
    <n v="701"/>
    <m/>
    <s v="ü"/>
    <d v="2017-12-04T00:00:00"/>
    <n v="0.25"/>
    <x v="32"/>
    <x v="30"/>
    <s v="Calle Güigüe Nro. 89-120"/>
    <s v="Colaboración Vigilancia, mes de Octubre 2017"/>
    <s v="Vigilancia"/>
    <m/>
    <s v="00701"/>
    <s v="04 de Diciembre de 2017"/>
    <n v="4"/>
    <d v="2017-12-01T00:00:00"/>
    <s v="0,25"/>
    <s v="Cero Bolívares con 25/100"/>
  </r>
  <r>
    <n v="702"/>
    <m/>
    <s v="ü"/>
    <d v="2017-12-04T00:00:00"/>
    <n v="1"/>
    <x v="8"/>
    <x v="8"/>
    <s v="Calle Guacara Nro. 90-51"/>
    <s v="Cancelación Vigilancia, meses de Noviembre y Diciembre 2017"/>
    <s v="Vigilancia"/>
    <m/>
    <s v="00702"/>
    <s v="04 de Diciembre de 2017"/>
    <n v="4"/>
    <d v="2017-12-01T00:00:00"/>
    <s v="1,00"/>
    <s v="Un Bolívar con 00/100"/>
  </r>
  <r>
    <n v="703"/>
    <m/>
    <s v="ü"/>
    <d v="2017-12-04T00:00:00"/>
    <n v="0.4"/>
    <x v="52"/>
    <x v="49"/>
    <s v="Calle Güigüe Nro. 89-45"/>
    <s v="Cancelación Vigilancia, saldo mes de Noviembre y anticipo mes de Diciembre 2017"/>
    <s v="Vigilancia"/>
    <m/>
    <s v="00703"/>
    <s v="04 de Diciembre de 2017"/>
    <n v="4"/>
    <d v="2017-12-01T00:00:00"/>
    <s v="0,40"/>
    <s v="Cero Bolívares con 40/100"/>
  </r>
  <r>
    <n v="704"/>
    <m/>
    <s v="ü"/>
    <d v="2017-12-04T00:00:00"/>
    <n v="0.5"/>
    <x v="40"/>
    <x v="37"/>
    <s v="Calle Güigüe Nro. 88-101"/>
    <s v="Cancelación Vigilancia, mes de Noviembre 2017"/>
    <s v="Vigilancia"/>
    <m/>
    <s v="00704"/>
    <s v="04 de Diciembre de 2017"/>
    <n v="4"/>
    <d v="2017-12-01T00:00:00"/>
    <s v="0,50"/>
    <s v="Cero Bolívares con 50/100"/>
  </r>
  <r>
    <n v="705"/>
    <m/>
    <s v="ü"/>
    <d v="2017-12-05T00:00:00"/>
    <n v="0.5"/>
    <x v="81"/>
    <x v="69"/>
    <s v="Calle Güigüe Nro. 89-65"/>
    <s v="Cancelación Vigilancia, mes de Diciembre 2017"/>
    <s v="Vigilancia"/>
    <m/>
    <s v="00705"/>
    <s v="05 de Diciembre de 2017"/>
    <n v="5"/>
    <d v="2017-12-01T00:00:00"/>
    <s v="0,50"/>
    <s v="Cero Bolívares con 50/100"/>
  </r>
  <r>
    <n v="706"/>
    <m/>
    <s v="ü"/>
    <d v="2017-12-05T00:00:00"/>
    <n v="0.5"/>
    <x v="0"/>
    <x v="0"/>
    <s v="Calle Guacara Nro. 88-45"/>
    <s v="Cancelación Vigilancia, mes de Diciembre 2017 (saldo a favor: Bs. 600.000)"/>
    <s v="Vigilancia"/>
    <m/>
    <s v="00706"/>
    <s v="05 de Diciembre de 2017"/>
    <n v="5"/>
    <d v="2017-12-01T00:00:00"/>
    <s v="0,50"/>
    <s v="Cero Bolívares con 50/100"/>
  </r>
  <r>
    <n v="707"/>
    <m/>
    <s v="ü"/>
    <d v="2017-12-05T00:00:00"/>
    <n v="0.5"/>
    <x v="75"/>
    <x v="65"/>
    <s v="Av. &quot;Ñ&quot; Nro. 145-25"/>
    <s v="Cancelación Vigilancia, mes de Diciembre 2017 (saldo a favor: Bs. 65.000)"/>
    <s v="Vigilancia"/>
    <m/>
    <s v="00707"/>
    <s v="05 de Diciembre de 2017"/>
    <n v="5"/>
    <d v="2017-12-01T00:00:00"/>
    <s v="0,50"/>
    <s v="Cero Bolívares con 50/100"/>
  </r>
  <r>
    <n v="708"/>
    <m/>
    <s v="ü"/>
    <d v="2017-12-05T00:00:00"/>
    <n v="0.35"/>
    <x v="7"/>
    <x v="7"/>
    <s v="Calle Guacara Nro. 87-86"/>
    <s v="Colaboración Vigilancia, mes de Diciembre 2017"/>
    <s v="Vigilancia"/>
    <m/>
    <s v="00708"/>
    <s v="05 de Diciembre de 2017"/>
    <n v="5"/>
    <d v="2017-12-01T00:00:00"/>
    <s v="0,35"/>
    <s v="Cero Bolívares con 35/100"/>
  </r>
  <r>
    <n v="709"/>
    <m/>
    <s v="ü"/>
    <d v="2017-12-05T00:00:00"/>
    <n v="0.5"/>
    <x v="12"/>
    <x v="12"/>
    <s v="Calle Guacara Nro. 89-20"/>
    <s v="Cancelación Vigilancia, mes de Diciembre 2017"/>
    <s v="Vigilancia"/>
    <m/>
    <s v="00709"/>
    <s v="05 de Diciembre de 2017"/>
    <n v="5"/>
    <d v="2017-12-01T00:00:00"/>
    <s v="0,50"/>
    <s v="Cero Bolívares con 50/100"/>
  </r>
  <r>
    <n v="710"/>
    <m/>
    <s v="ü"/>
    <d v="2017-12-05T00:00:00"/>
    <n v="0.5"/>
    <x v="6"/>
    <x v="6"/>
    <s v="Calle Guacara Nro. 89-60"/>
    <s v="Cancelación Vigilancia, mes de Diciembre 2017"/>
    <s v="Vigilancia"/>
    <m/>
    <s v="00710"/>
    <s v="05 de Diciembre de 2017"/>
    <n v="5"/>
    <d v="2017-12-01T00:00:00"/>
    <s v="0,50"/>
    <s v="Cero Bolívares con 50/100"/>
  </r>
  <r>
    <n v="711"/>
    <m/>
    <s v="ü"/>
    <d v="2017-12-05T00:00:00"/>
    <n v="0.3"/>
    <x v="15"/>
    <x v="14"/>
    <s v="Calle Guacara Nro. 89-94"/>
    <s v="Colaboración Vigilancia, mes de Diciembre 2017"/>
    <s v="Vigilancia"/>
    <m/>
    <s v="00711"/>
    <s v="05 de Diciembre de 2017"/>
    <n v="5"/>
    <d v="2017-12-01T00:00:00"/>
    <s v="0,30"/>
    <s v="Cero Bolívares con 30/100"/>
  </r>
  <r>
    <n v="712"/>
    <m/>
    <s v="ü"/>
    <d v="2017-12-05T00:00:00"/>
    <n v="0.84"/>
    <x v="29"/>
    <x v="27"/>
    <s v="Calle Guacara Nro. 88-75"/>
    <s v="Cancelación saldo Vigilancia, mes de Octubre 2017 y anticipo del mes de Noviembre 2017"/>
    <s v="Vigilancia"/>
    <m/>
    <s v="00712"/>
    <s v="05 de Diciembre de 2017"/>
    <n v="5"/>
    <d v="2017-12-01T00:00:00"/>
    <s v="0,84"/>
    <s v="Cero Bolívares con 84/100"/>
  </r>
  <r>
    <n v="713"/>
    <m/>
    <s v="ü"/>
    <d v="2017-12-06T00:00:00"/>
    <n v="1"/>
    <x v="27"/>
    <x v="25"/>
    <s v="Calle Güigüe Nro. 89-106"/>
    <s v="Cancelación Vigilancia, meses de Noviembre y Diciembre 2017"/>
    <s v="Vigilancia"/>
    <m/>
    <s v="00713"/>
    <s v="06 de Diciembre de 2017"/>
    <n v="6"/>
    <d v="2017-12-01T00:00:00"/>
    <s v="1,00"/>
    <s v="Un Bolívar con 00/100"/>
  </r>
  <r>
    <n v="714"/>
    <m/>
    <s v="ü"/>
    <d v="2017-12-06T00:00:00"/>
    <n v="0.5"/>
    <x v="30"/>
    <x v="28"/>
    <s v="Calle Güigüe Nro. 89-04"/>
    <s v="Cancelación Vigilancia, mes de Diciembre 2017 (transferencia y Bs. 15.200 contra factura)"/>
    <s v="Vigilancia"/>
    <m/>
    <s v="00714"/>
    <s v="06 de Diciembre de 2017"/>
    <n v="6"/>
    <d v="2017-12-01T00:00:00"/>
    <s v="0,50"/>
    <s v="Cero Bolívares con 50/100"/>
  </r>
  <r>
    <n v="715"/>
    <m/>
    <s v="ü"/>
    <d v="2017-12-06T00:00:00"/>
    <n v="0.3"/>
    <x v="25"/>
    <x v="23"/>
    <s v="Calle Güigüe Nro. 88-58"/>
    <s v="Colaboración Vigilancia, mes de Noviembre 2017"/>
    <s v="Vigilancia"/>
    <m/>
    <s v="00715"/>
    <s v="06 de Diciembre de 2017"/>
    <n v="6"/>
    <d v="2017-12-01T00:00:00"/>
    <s v="0,30"/>
    <s v="Cero Bolívares con 30/100"/>
  </r>
  <r>
    <n v="716"/>
    <m/>
    <s v="ü"/>
    <d v="2017-12-07T00:00:00"/>
    <n v="0.35"/>
    <x v="3"/>
    <x v="3"/>
    <s v="Calle Güigüe Nro. 88-62"/>
    <s v="Cancelación Vigilancia, mes de Agosto 2017"/>
    <s v="Vigilancia"/>
    <m/>
    <s v="00716"/>
    <s v="07 de Diciembre de 2017"/>
    <n v="7"/>
    <d v="2017-12-01T00:00:00"/>
    <s v="0,35"/>
    <s v="Cero Bolívares con 35/100"/>
  </r>
  <r>
    <n v="717"/>
    <m/>
    <s v="ü"/>
    <d v="2017-12-06T00:00:00"/>
    <n v="1.2"/>
    <x v="47"/>
    <x v="44"/>
    <s v="Calle Güigüe Nro. 88-80"/>
    <s v="Colaboración Vigilancia, meses de Octubre, Noviembre y Diciembre 2017"/>
    <s v="Vigilancia"/>
    <m/>
    <s v="00717"/>
    <s v="06 de Diciembre de 2017"/>
    <n v="6"/>
    <d v="2017-12-01T00:00:00"/>
    <s v="1,20"/>
    <s v="Un Bolívares con 20/100"/>
  </r>
  <r>
    <n v="718"/>
    <m/>
    <s v="ü"/>
    <d v="2017-12-06T00:00:00"/>
    <n v="1"/>
    <x v="61"/>
    <x v="14"/>
    <s v="Calle Guacara Nro. 87-07"/>
    <s v="Colaboración Vigilancia, meses de Septiembre, Octubre, Noviembre y Diciembre 2017"/>
    <s v="Vigilancia"/>
    <m/>
    <s v="00718"/>
    <s v="06 de Diciembre de 2017"/>
    <n v="6"/>
    <d v="2017-12-01T00:00:00"/>
    <s v="1,00"/>
    <s v="Un Bolívar con 00/100"/>
  </r>
  <r>
    <n v="719"/>
    <m/>
    <s v="ü"/>
    <d v="2017-12-07T00:00:00"/>
    <n v="1.1499999999999999"/>
    <x v="5"/>
    <x v="5"/>
    <s v="Calle Güigüe Nro. 88-120"/>
    <s v="Cancelación Vigilancia, saldo mes de Noviembre y meses de Diciembre 2017 y Enero 2018"/>
    <s v="Vigilancia"/>
    <m/>
    <s v="00719"/>
    <s v="07 de Diciembre de 2017"/>
    <n v="7"/>
    <d v="2017-12-01T00:00:00"/>
    <s v="1,15"/>
    <s v="Un Bolívares con 15/100"/>
  </r>
  <r>
    <n v="720"/>
    <m/>
    <s v="ü"/>
    <d v="2017-12-07T00:00:00"/>
    <n v="0.5"/>
    <x v="10"/>
    <x v="10"/>
    <s v="Av. &quot;M&quot; Nro. 146-15"/>
    <s v="Cancelación Vigilancia, mes de Noviembre 2017"/>
    <s v="Vigilancia"/>
    <m/>
    <s v="00720"/>
    <s v="07 de Diciembre de 2017"/>
    <n v="7"/>
    <d v="2017-12-01T00:00:00"/>
    <s v="0,50"/>
    <s v="Cero Bolívares con 50/100"/>
  </r>
  <r>
    <n v="721"/>
    <m/>
    <s v="ü"/>
    <d v="2017-12-07T00:00:00"/>
    <n v="0.5"/>
    <x v="1"/>
    <x v="1"/>
    <s v="Calle Güigüe Nro. 88-44"/>
    <s v="Cancelación Vigilancia, mes de Diciembre 2017"/>
    <s v="Vigilancia"/>
    <m/>
    <s v="00721"/>
    <s v="07 de Diciembre de 2017"/>
    <n v="7"/>
    <d v="2017-12-01T00:00:00"/>
    <s v="0,50"/>
    <s v="Cero Bolívares con 50/100"/>
  </r>
  <r>
    <n v="722"/>
    <m/>
    <s v="ü"/>
    <d v="2017-12-08T00:00:00"/>
    <n v="0.54"/>
    <x v="9"/>
    <x v="9"/>
    <s v="Av. &quot;M&quot; Nro. 146-30"/>
    <s v="Cancelación Vigilancia, mes de Diciembre 2017"/>
    <s v="Vigilancia"/>
    <m/>
    <s v="00722"/>
    <s v="08 de Diciembre de 2017"/>
    <n v="8"/>
    <d v="2017-12-01T00:00:00"/>
    <s v="0,54"/>
    <s v="Cero Bolívares con 54/100"/>
  </r>
  <r>
    <n v="723"/>
    <m/>
    <s v="ü"/>
    <d v="2017-12-08T00:00:00"/>
    <n v="0.5"/>
    <x v="20"/>
    <x v="18"/>
    <s v="Calle Guacara Nro. 89-30"/>
    <s v="Cancelación Vigilancia, mes de Diciembre 2017"/>
    <s v="Vigilancia"/>
    <m/>
    <s v="00723"/>
    <s v="08 de Diciembre de 2017"/>
    <n v="8"/>
    <d v="2017-12-01T00:00:00"/>
    <s v="0,50"/>
    <s v="Cero Bolívares con 50/100"/>
  </r>
  <r>
    <n v="724"/>
    <m/>
    <s v="ü"/>
    <d v="2017-12-08T00:00:00"/>
    <n v="0.2"/>
    <x v="67"/>
    <x v="2"/>
    <s v="Calle Guacara Nro. 90-93"/>
    <s v="Colaboración Vigilancia, mes de Diciembre 2017"/>
    <s v="Vigilancia"/>
    <m/>
    <s v="00724"/>
    <s v="08 de Diciembre de 2017"/>
    <n v="8"/>
    <d v="2017-12-01T00:00:00"/>
    <s v="0,20"/>
    <s v="Cero Bolívares con 20/100"/>
  </r>
  <r>
    <n v="725"/>
    <m/>
    <s v="ü"/>
    <d v="2017-12-12T00:00:00"/>
    <n v="0.71"/>
    <x v="73"/>
    <x v="9"/>
    <s v="Calle Güigüe Nros. 88-71 y 88-81"/>
    <s v="Cancelación Vigilancia, mes de Diciembre 2017"/>
    <s v="Vigilancia"/>
    <m/>
    <s v="00725"/>
    <s v="12 de Diciembre de 2017"/>
    <n v="12"/>
    <d v="2017-12-01T00:00:00"/>
    <s v="0,71"/>
    <s v="Cero Bolívares con 71/100"/>
  </r>
  <r>
    <n v="726"/>
    <m/>
    <s v="ü"/>
    <d v="2017-12-12T00:00:00"/>
    <n v="0.5"/>
    <x v="18"/>
    <x v="16"/>
    <s v="Calle Guacara Nro. 87-100"/>
    <s v="Cancelación Vigilancia, mes de Diciembre 2017"/>
    <s v="Vigilancia"/>
    <m/>
    <s v="00726"/>
    <s v="12 de Diciembre de 2017"/>
    <n v="12"/>
    <d v="2017-12-01T00:00:00"/>
    <s v="0,50"/>
    <s v="Cero Bolívares con 50/100"/>
  </r>
  <r>
    <n v="727"/>
    <m/>
    <s v="ü"/>
    <d v="2017-12-12T00:00:00"/>
    <n v="0.4"/>
    <x v="35"/>
    <x v="32"/>
    <s v="Calle Güigüe Nro. 89-80"/>
    <s v="Colaboración Vigilancia, mes de Diciembre 2017"/>
    <s v="Vigilancia"/>
    <m/>
    <s v="00727"/>
    <s v="12 de Diciembre de 2017"/>
    <n v="12"/>
    <d v="2017-12-01T00:00:00"/>
    <s v="0,40"/>
    <s v="Cero Bolívares con 40/100"/>
  </r>
  <r>
    <n v="728"/>
    <m/>
    <s v="ü"/>
    <d v="2017-12-13T00:00:00"/>
    <n v="0.5"/>
    <x v="4"/>
    <x v="4"/>
    <s v="Calle Güigüe Nro. 89-55"/>
    <s v="Cancelación Vigilancia, mes de Diciembre 2017"/>
    <s v="Vigilancia"/>
    <m/>
    <s v="00728"/>
    <s v="13 de Diciembre de 2017"/>
    <n v="13"/>
    <d v="2017-12-01T00:00:00"/>
    <s v="0,50"/>
    <s v="Cero Bolívares con 50/100"/>
  </r>
  <r>
    <n v="729"/>
    <m/>
    <s v="ü"/>
    <d v="2017-12-11T00:00:00"/>
    <n v="0.3"/>
    <x v="63"/>
    <x v="56"/>
    <s v="Calle Guacara Nro. 88-85"/>
    <s v="Colaboración Vigilancia, mes de Octubre 2017"/>
    <s v="Vigilancia"/>
    <m/>
    <s v="00729"/>
    <s v="11 de Diciembre de 2017"/>
    <n v="11"/>
    <d v="2017-12-01T00:00:00"/>
    <s v="0,30"/>
    <s v="Cero Bolívares con 30/100"/>
  </r>
  <r>
    <n v="730"/>
    <m/>
    <s v="ü"/>
    <d v="2017-12-11T00:00:00"/>
    <n v="0.4"/>
    <x v="63"/>
    <x v="56"/>
    <s v="Calle Guacara Nro. 88-85"/>
    <s v="Colaboración Vigilancia, mes de Noviembre 2017"/>
    <s v="Vigilancia"/>
    <m/>
    <s v="00730"/>
    <s v="11 de Diciembre de 2017"/>
    <n v="11"/>
    <d v="2017-12-01T00:00:00"/>
    <s v="0,40"/>
    <s v="Cero Bolívares con 40/100"/>
  </r>
  <r>
    <n v="731"/>
    <m/>
    <s v="ü"/>
    <d v="2017-12-10T00:00:00"/>
    <n v="0.85"/>
    <x v="36"/>
    <x v="33"/>
    <s v="Calle Güigüe Nro. 89-10"/>
    <s v="Cancelación Vigilancia, meses de Octubre y Diciembre 2017"/>
    <s v="Vigilancia"/>
    <m/>
    <s v="00731"/>
    <s v="10 de Diciembre de 2017"/>
    <n v="10"/>
    <d v="2017-12-01T00:00:00"/>
    <s v="0,85"/>
    <s v="Cero Bolívares con 85/100"/>
  </r>
  <r>
    <n v="732"/>
    <m/>
    <s v="ü"/>
    <d v="2017-12-13T00:00:00"/>
    <n v="0.5"/>
    <x v="24"/>
    <x v="22"/>
    <s v="Calle Güigüe Nro. 88-54"/>
    <s v="Cancelación Vigilancia, mes de Diciembre 2017"/>
    <s v="Vigilancia"/>
    <m/>
    <s v="00732"/>
    <s v="13 de Diciembre de 2017"/>
    <n v="13"/>
    <d v="2017-12-01T00:00:00"/>
    <s v="0,50"/>
    <s v="Cero Bolívares con 50/100"/>
  </r>
  <r>
    <n v="733"/>
    <m/>
    <s v="ü"/>
    <d v="2017-12-15T00:00:00"/>
    <n v="1"/>
    <x v="38"/>
    <x v="35"/>
    <s v="Calle Guacara Nro. 89-78"/>
    <s v="Cancelación Vigilancia, meses de Noviembre y Diciembre 2017"/>
    <s v="Vigilancia"/>
    <m/>
    <s v="00733"/>
    <s v="15 de Diciembre de 2017"/>
    <n v="15"/>
    <d v="2017-12-01T00:00:00"/>
    <s v="1,00"/>
    <s v="Un Bolívar con 00/100"/>
  </r>
  <r>
    <n v="734"/>
    <m/>
    <s v="ü"/>
    <d v="2017-10-11T00:00:00"/>
    <n v="0.35"/>
    <x v="39"/>
    <x v="36"/>
    <s v="Calle Güigüe Nro. 88-111"/>
    <s v="Cancelación Vigilancia, mes de Agosto 2017"/>
    <s v="Vigilancia"/>
    <m/>
    <s v="00734"/>
    <s v="11 de Octubre de 2017"/>
    <n v="11"/>
    <d v="2017-10-01T00:00:00"/>
    <s v="0,35"/>
    <s v="Cero Bolívares con 35/100"/>
  </r>
  <r>
    <n v="735"/>
    <m/>
    <s v="ü"/>
    <d v="2017-07-07T00:00:00"/>
    <n v="0.03"/>
    <x v="28"/>
    <x v="26"/>
    <s v="Calle Güigüe Nro. 88-30"/>
    <s v="Colaboración Vigilancia, mes de Junio 2017"/>
    <s v="Vigilancia"/>
    <m/>
    <s v="00735"/>
    <s v="07 de Julio de 2017"/>
    <n v="7"/>
    <d v="2017-07-01T00:00:00"/>
    <s v="0,03"/>
    <s v="Cero Bolívares con 03/100"/>
  </r>
  <r>
    <n v="736"/>
    <m/>
    <s v="ü"/>
    <d v="2017-12-17T00:00:00"/>
    <n v="0.5"/>
    <x v="23"/>
    <x v="21"/>
    <s v="Calle Güigüe Nro. 88-116"/>
    <s v="Cancelación Vigilancia, mes de Diciembre 2017"/>
    <s v="Vigilancia"/>
    <m/>
    <s v="00736"/>
    <s v="17 de Diciembre de 2017"/>
    <n v="17"/>
    <d v="2017-12-01T00:00:00"/>
    <s v="0,50"/>
    <s v="Cero Bolívares con 50/100"/>
  </r>
  <r>
    <n v="737"/>
    <m/>
    <s v="ü"/>
    <d v="2017-12-18T00:00:00"/>
    <n v="0.5"/>
    <x v="86"/>
    <x v="73"/>
    <s v="Calle Guacara Nro. 89-50"/>
    <s v="Cancelación Vigilancia, mes de Diciembre 2017"/>
    <s v="Vigilancia"/>
    <m/>
    <s v="00737"/>
    <s v="18 de Diciembre de 2017"/>
    <n v="18"/>
    <d v="2017-12-01T00:00:00"/>
    <s v="0,50"/>
    <s v="Cero Bolívares con 50/100"/>
  </r>
  <r>
    <n v="738"/>
    <m/>
    <s v="ü"/>
    <d v="2017-12-19T00:00:00"/>
    <n v="0.6"/>
    <x v="71"/>
    <x v="62"/>
    <s v="Calle Güigüe Nro. 89-71"/>
    <s v="Colaboración Vigilancia, meses de Octubre, Noviembre y Diciembre 2017"/>
    <s v="Vigilancia"/>
    <m/>
    <s v="00738"/>
    <s v="19 de Diciembre de 2017"/>
    <n v="19"/>
    <d v="2017-12-01T00:00:00"/>
    <s v="0,60"/>
    <s v="Cero Bolívares con 60/100"/>
  </r>
  <r>
    <n v="739"/>
    <m/>
    <s v="ü"/>
    <d v="2017-12-20T00:00:00"/>
    <n v="1.35"/>
    <x v="21"/>
    <x v="19"/>
    <s v="Calle Güigüe Nro. 89-105"/>
    <s v="Cancelación Vigilancia, meses de Octubre, Noviembre y Diciembre 2017"/>
    <s v="Vigilancia"/>
    <m/>
    <s v="00739"/>
    <s v="20 de Diciembre de 2017"/>
    <n v="20"/>
    <d v="2017-12-01T00:00:00"/>
    <s v="1,35"/>
    <s v="Un Bolívares con 35/100"/>
  </r>
  <r>
    <n v="740"/>
    <m/>
    <s v="ü"/>
    <d v="2017-12-20T00:00:00"/>
    <n v="0.4"/>
    <x v="63"/>
    <x v="56"/>
    <s v="Calle Guacara Nro. 88-85"/>
    <s v="Colaboración Vigilancia, mes de Diciembre 2017"/>
    <s v="Vigilancia"/>
    <m/>
    <s v="00740"/>
    <s v="20 de Diciembre de 2017"/>
    <n v="20"/>
    <d v="2017-12-01T00:00:00"/>
    <s v="0,40"/>
    <s v="Cero Bolívares con 40/100"/>
  </r>
  <r>
    <n v="741"/>
    <m/>
    <s v="ü"/>
    <d v="2017-12-20T00:00:00"/>
    <n v="0.25"/>
    <x v="52"/>
    <x v="49"/>
    <s v="Calle Güigüe Nro. 89-45"/>
    <s v="Cancelación Vigilancia, saldo mes de Diciembre 2017"/>
    <s v="Vigilancia"/>
    <m/>
    <s v="00741"/>
    <s v="20 de Diciembre de 2017"/>
    <n v="20"/>
    <d v="2017-12-01T00:00:00"/>
    <s v="0,25"/>
    <s v="Cero Bolívares con 25/100"/>
  </r>
  <r>
    <n v="742"/>
    <m/>
    <s v="ü"/>
    <d v="2017-12-22T00:00:00"/>
    <n v="0.17"/>
    <x v="68"/>
    <x v="60"/>
    <s v="Calle Güigüe Nro. 89-29"/>
    <s v="Colaboración Vigilancia, mes de Diciembre 2017"/>
    <s v="Vigilancia"/>
    <m/>
    <s v="00742"/>
    <s v="22 de Diciembre de 2017"/>
    <n v="22"/>
    <d v="2017-12-01T00:00:00"/>
    <s v="0,17"/>
    <s v="Cero Bolívares con 17/100"/>
  </r>
  <r>
    <n v="743"/>
    <m/>
    <s v="ü"/>
    <d v="2017-12-22T00:00:00"/>
    <n v="0.15"/>
    <x v="22"/>
    <x v="20"/>
    <s v="Calle Guacara Nro. 88-25"/>
    <s v="Colaboración Vigilancia, mes de Noviembre 2017"/>
    <s v="Vigilancia"/>
    <m/>
    <s v="00743"/>
    <s v="22 de Diciembre de 2017"/>
    <n v="22"/>
    <d v="2017-12-01T00:00:00"/>
    <s v="0,15"/>
    <s v="Cero Bolívares con 15/100"/>
  </r>
  <r>
    <n v="744"/>
    <m/>
    <s v="ü"/>
    <d v="2017-12-23T00:00:00"/>
    <n v="1"/>
    <x v="54"/>
    <x v="50"/>
    <s v="Calle Güigüe Nro. 89-21"/>
    <s v="Cancelación Vigilancia, meses de Diciembre 2017 y Enero 2018"/>
    <s v="Vigilancia"/>
    <m/>
    <s v="00744"/>
    <s v="23 de Diciembre de 2017"/>
    <n v="23"/>
    <d v="2017-12-01T00:00:00"/>
    <s v="1,00"/>
    <s v="Un Bolívar con 00/100"/>
  </r>
  <r>
    <n v="745"/>
    <m/>
    <s v="ü"/>
    <d v="2017-12-26T00:00:00"/>
    <n v="1"/>
    <x v="34"/>
    <x v="9"/>
    <s v="Av. &quot;O&quot; Nro. 146-11"/>
    <s v="Cancelación Vigilancia, ajuste mes de Noviembre, cancelación mes de Diciembre 2017 y anticipo mes de Enero 2018"/>
    <s v="Vigilancia"/>
    <m/>
    <s v="00745"/>
    <s v="26 de Diciembre de 2017"/>
    <n v="26"/>
    <d v="2017-12-01T00:00:00"/>
    <s v="1,00"/>
    <s v="Un Bolívar con 00/100"/>
  </r>
  <r>
    <n v="746"/>
    <m/>
    <s v="ü"/>
    <d v="2017-12-26T00:00:00"/>
    <n v="0.5"/>
    <x v="19"/>
    <x v="17"/>
    <s v="Calle Guacara Nro. 89-130"/>
    <s v="Cancelación Vigilancia, mes de Diciembre 2017"/>
    <s v="Vigilancia"/>
    <m/>
    <s v="00746"/>
    <s v="26 de Diciembre de 2017"/>
    <n v="26"/>
    <d v="2017-12-01T00:00:00"/>
    <s v="0,50"/>
    <s v="Cero Bolívares con 50/100"/>
  </r>
  <r>
    <n v="747"/>
    <m/>
    <s v="ü"/>
    <d v="2017-12-23T00:00:00"/>
    <n v="0.5"/>
    <x v="40"/>
    <x v="37"/>
    <s v="Calle Güigüe Nro. 88-101"/>
    <s v="Cancelación Vigilancia, mes de Diciembre 2017"/>
    <s v="Vigilancia"/>
    <m/>
    <s v="00747"/>
    <s v="23 de Diciembre de 2017"/>
    <n v="23"/>
    <d v="2017-12-01T00:00:00"/>
    <s v="0,50"/>
    <s v="Cero Bolívares con 50/100"/>
  </r>
  <r>
    <n v="748"/>
    <m/>
    <s v="ü"/>
    <d v="2017-12-26T00:00:00"/>
    <n v="0.2"/>
    <x v="74"/>
    <x v="64"/>
    <s v="Calle Güigüe Nro. 88-20"/>
    <s v="Colaboración Vigilancia, meses de Noviembre y Diciembre 2017"/>
    <s v="Vigilancia"/>
    <m/>
    <s v="00748"/>
    <s v="26 de Diciembre de 2017"/>
    <n v="26"/>
    <d v="2017-12-01T00:00:00"/>
    <s v="0,20"/>
    <s v="Cero Bolívares con 20/100"/>
  </r>
  <r>
    <n v="749"/>
    <m/>
    <s v="ü"/>
    <d v="2017-12-26T00:00:00"/>
    <n v="0.5"/>
    <x v="84"/>
    <x v="71"/>
    <s v="Calle Güigüe Nro. 89-54"/>
    <s v="Cancelación Vigilancia, mes de Enero 2018"/>
    <s v="Vigilancia"/>
    <m/>
    <s v="00749"/>
    <s v="26 de Diciembre de 2017"/>
    <n v="26"/>
    <d v="2017-12-01T00:00:00"/>
    <s v="0,50"/>
    <s v="Cero Bolívares con 50/100"/>
  </r>
  <r>
    <n v="750"/>
    <m/>
    <s v="ü"/>
    <d v="2017-12-27T00:00:00"/>
    <n v="0.25"/>
    <x v="57"/>
    <x v="9"/>
    <s v="Calle Güigüe Nro. 88-40"/>
    <s v="Colaboración Vigilancia, mes de Noviembre 2017"/>
    <s v="Vigilancia"/>
    <m/>
    <s v="00750"/>
    <s v="27 de Diciembre de 2017"/>
    <n v="27"/>
    <d v="2017-12-01T00:00:00"/>
    <s v="0,25"/>
    <s v="Cero Bolívares con 25/100"/>
  </r>
  <r>
    <n v="751"/>
    <m/>
    <s v="ü"/>
    <d v="2017-12-29T00:00:00"/>
    <n v="1"/>
    <x v="46"/>
    <x v="43"/>
    <s v="Av. &quot;I&quot; Nro. 146-20"/>
    <s v="Cancelación Vigilancia, meses de Noviembre y Diciembre 2017"/>
    <s v="Vigilancia"/>
    <m/>
    <s v="00751"/>
    <s v="29 de Diciembre de 2017"/>
    <n v="29"/>
    <d v="2017-12-01T00:00:00"/>
    <s v="1,00"/>
    <s v="Un Bolívar con 00/100"/>
  </r>
  <r>
    <n v="752"/>
    <m/>
    <s v="ü"/>
    <d v="2018-01-02T00:00:00"/>
    <n v="0.3"/>
    <x v="15"/>
    <x v="14"/>
    <s v="Calle Guacara Nro. 89-94"/>
    <s v="Colaboración Vigilancia, mes de Enero 2018"/>
    <s v="Vigilancia"/>
    <m/>
    <s v="00752"/>
    <s v="02 de Enero de 2018"/>
    <n v="2"/>
    <d v="2018-01-01T00:00:00"/>
    <s v="0,30"/>
    <s v="Cero Bolívares con 30/100"/>
  </r>
  <r>
    <n v="753"/>
    <m/>
    <s v="ü"/>
    <d v="2018-01-02T00:00:00"/>
    <n v="0.3"/>
    <x v="2"/>
    <x v="2"/>
    <s v="Calle Guacara Nro. 88-19"/>
    <s v="Colaboración Vigilancia, mes de Diciembre 2017"/>
    <s v="Vigilancia"/>
    <m/>
    <s v="00753"/>
    <s v="02 de Enero de 2018"/>
    <n v="2"/>
    <d v="2018-01-01T00:00:00"/>
    <s v="0,30"/>
    <s v="Cero Bolívares con 30/100"/>
  </r>
  <r>
    <n v="754"/>
    <m/>
    <s v="ü"/>
    <d v="2018-01-04T00:00:00"/>
    <n v="0.45"/>
    <x v="22"/>
    <x v="20"/>
    <s v="Calle Guacara Nro. 88-25"/>
    <s v="Colaboración Vigilancia, mes de Diciembre 2017"/>
    <s v="Vigilancia"/>
    <m/>
    <s v="00754"/>
    <s v="04 de Enero de 2018"/>
    <n v="4"/>
    <d v="2018-01-01T00:00:00"/>
    <s v="0,45"/>
    <s v="Cero Bolívares con 45/100"/>
  </r>
  <r>
    <n v="755"/>
    <m/>
    <s v="ü"/>
    <d v="2017-12-29T00:00:00"/>
    <n v="0.5"/>
    <x v="6"/>
    <x v="6"/>
    <s v="Calle Guacara Nro. 89-60"/>
    <s v="Anticipo Vigilancia, mes de Enero 2018"/>
    <s v="Vigilancia"/>
    <m/>
    <s v="00755"/>
    <s v="29 de Diciembre de 2017"/>
    <n v="29"/>
    <d v="2017-12-01T00:00:00"/>
    <s v="0,50"/>
    <s v="Cero Bolívares con 50/100"/>
  </r>
  <r>
    <n v="756"/>
    <m/>
    <s v="ü"/>
    <d v="2018-01-07T00:00:00"/>
    <n v="0.5"/>
    <x v="12"/>
    <x v="12"/>
    <s v="Calle Guacara Nro. 89-20"/>
    <s v="Anticipo Vigilancia, mes de Enero 2018"/>
    <s v="Vigilancia"/>
    <m/>
    <s v="00756"/>
    <s v="07 de Enero de 2018"/>
    <n v="7"/>
    <d v="2018-01-01T00:00:00"/>
    <s v="0,50"/>
    <s v="Cero Bolívares con 50/100"/>
  </r>
  <r>
    <n v="757"/>
    <m/>
    <s v="ü"/>
    <d v="2018-01-10T00:00:00"/>
    <n v="0.5"/>
    <x v="42"/>
    <x v="39"/>
    <s v="Calle Güigüe Nro. 89-79"/>
    <s v="Cancelación Vigilancia, mes de Diciembre 2017"/>
    <s v="Vigilancia"/>
    <m/>
    <s v="00757"/>
    <s v="10 de Enero de 2018"/>
    <n v="10"/>
    <d v="2018-01-01T00:00:00"/>
    <s v="0,50"/>
    <s v="Cero Bolívares con 50/100"/>
  </r>
  <r>
    <n v="758"/>
    <m/>
    <s v="ü"/>
    <d v="2018-01-10T00:00:00"/>
    <n v="0.3"/>
    <x v="12"/>
    <x v="12"/>
    <s v="Calle Guacara Nro. 89-20"/>
    <s v="Cancelación saldo Vigilancia, mes de Enero 2018"/>
    <s v="Vigilancia"/>
    <m/>
    <s v="00758"/>
    <s v="10 de Enero de 2018"/>
    <n v="10"/>
    <d v="2018-01-01T00:00:00"/>
    <s v="0,30"/>
    <s v="Cero Bolívares con 30/100"/>
  </r>
  <r>
    <n v="759"/>
    <m/>
    <s v="ü"/>
    <d v="2018-01-10T00:00:00"/>
    <n v="0.3"/>
    <x v="84"/>
    <x v="71"/>
    <s v="Calle Güigüe Nro. 89-54"/>
    <s v="Cancelación saldo Vigilancia, mes de Enero 2018"/>
    <s v="Vigilancia"/>
    <m/>
    <s v="00759"/>
    <s v="10 de Enero de 2018"/>
    <n v="10"/>
    <d v="2018-01-01T00:00:00"/>
    <s v="0,30"/>
    <s v="Cero Bolívares con 30/100"/>
  </r>
  <r>
    <n v="760"/>
    <m/>
    <s v="ü"/>
    <d v="2018-01-10T00:00:00"/>
    <n v="0.8"/>
    <x v="0"/>
    <x v="0"/>
    <s v="Calle Guacara Nro. 88-45"/>
    <s v="Cancelación Vigilancia, mes de Enero 2018 (saldo a favor: Bs. 880.000)"/>
    <s v="Vigilancia"/>
    <m/>
    <s v="00760"/>
    <s v="10 de Enero de 2018"/>
    <n v="10"/>
    <d v="2018-01-01T00:00:00"/>
    <s v="0,80"/>
    <s v="Cero Bolívares con 80/100"/>
  </r>
  <r>
    <n v="761"/>
    <m/>
    <s v="ü"/>
    <d v="2018-01-10T00:00:00"/>
    <n v="0.5"/>
    <x v="65"/>
    <x v="58"/>
    <s v="Calle Güigüe Nro. 88-10"/>
    <s v="Cancelación Vigilancia, mes de Diciembre 2017"/>
    <s v="Vigilancia"/>
    <m/>
    <s v="00761"/>
    <s v="10 de Enero de 2018"/>
    <n v="10"/>
    <d v="2018-01-01T00:00:00"/>
    <s v="0,50"/>
    <s v="Cero Bolívares con 50/100"/>
  </r>
  <r>
    <n v="762"/>
    <m/>
    <s v="ü"/>
    <d v="2018-01-10T00:00:00"/>
    <n v="1.3"/>
    <x v="29"/>
    <x v="27"/>
    <s v="Calle Guacara Nro. 88-75"/>
    <s v="Cancelación Vigilancia, meses de Diciembre 2017 y Enero 2018"/>
    <s v="Vigilancia"/>
    <m/>
    <s v="00762"/>
    <s v="10 de Enero de 2018"/>
    <n v="10"/>
    <d v="2018-01-01T00:00:00"/>
    <s v="1,30"/>
    <s v="Un Bolívares con 30/100"/>
  </r>
  <r>
    <n v="763"/>
    <m/>
    <s v="ü"/>
    <d v="2018-01-10T00:00:00"/>
    <n v="0.8"/>
    <x v="20"/>
    <x v="18"/>
    <s v="Calle Guacara Nro. 89-30"/>
    <s v="Cancelación Vigilancia, mes de Enero 2018"/>
    <s v="Vigilancia"/>
    <m/>
    <s v="00763"/>
    <s v="10 de Enero de 2018"/>
    <n v="10"/>
    <d v="2018-01-01T00:00:00"/>
    <s v="0,80"/>
    <s v="Cero Bolívares con 80/100"/>
  </r>
  <r>
    <n v="764"/>
    <m/>
    <s v="ü"/>
    <d v="2018-01-10T00:00:00"/>
    <n v="0.7"/>
    <x v="37"/>
    <x v="34"/>
    <s v="Av. &quot;I&quot; Nro. 146-40"/>
    <s v="Cancelación Vigilancia, mes de Noviembre y anticipo mes de Diciembre 2017 (Bs. 21.000)"/>
    <s v="Vigilancia"/>
    <m/>
    <s v="00764"/>
    <s v="10 de Enero de 2018"/>
    <n v="10"/>
    <d v="2018-01-01T00:00:00"/>
    <s v="0,70"/>
    <s v="Cero Bolívares con 70/100"/>
  </r>
  <r>
    <n v="765"/>
    <m/>
    <s v="ü"/>
    <d v="2018-01-11T00:00:00"/>
    <n v="1.6"/>
    <x v="60"/>
    <x v="54"/>
    <s v="Calle Guacara Nro. 88-51"/>
    <s v="Cancelación Vigilancia, saldo mes de Enero, y Anticipo Vigilancia meses de Febrero 2018 (Bs. 80.000) y Febrero 2018 (Bs. 5.850)"/>
    <s v="Vigilancia"/>
    <m/>
    <s v="00765"/>
    <s v="11 de Enero de 2018"/>
    <n v="11"/>
    <d v="2018-01-01T00:00:00"/>
    <s v="1,60"/>
    <s v="Un Bolívares con 60/100"/>
  </r>
  <r>
    <n v="766"/>
    <m/>
    <s v="ü"/>
    <d v="2018-01-11T00:00:00"/>
    <n v="0.8"/>
    <x v="30"/>
    <x v="28"/>
    <s v="Calle Güigüe Nro. 89-04"/>
    <s v="Cancelación Vigilancia, mes de Enero 2018"/>
    <s v="Vigilancia"/>
    <m/>
    <s v="00766"/>
    <s v="11 de Enero de 2018"/>
    <n v="11"/>
    <d v="2018-01-01T00:00:00"/>
    <s v="0,80"/>
    <s v="Cero Bolívares con 80/100"/>
  </r>
  <r>
    <n v="767"/>
    <m/>
    <s v="ü"/>
    <d v="2018-01-11T00:00:00"/>
    <n v="0.8"/>
    <x v="17"/>
    <x v="74"/>
    <s v="Av. &quot;M&quot; Nro. 146-20"/>
    <s v="Cancelación Vigilancia, mes de Enero 2018"/>
    <s v="Vigilancia"/>
    <m/>
    <s v="00767"/>
    <s v="11 de Enero de 2018"/>
    <n v="11"/>
    <d v="2018-01-01T00:00:00"/>
    <s v="0,80"/>
    <s v="Cero Bolívares con 80/100"/>
  </r>
  <r>
    <n v="768"/>
    <m/>
    <s v="ü"/>
    <d v="2018-01-11T00:00:00"/>
    <n v="1"/>
    <x v="43"/>
    <x v="40"/>
    <s v="Calle Güigüe Nro. 88-50"/>
    <s v="Cancelación Vigilancia, meses de Noviembre y Diciembre 2017"/>
    <s v="Vigilancia"/>
    <m/>
    <s v="00768"/>
    <s v="11 de Enero de 2018"/>
    <n v="11"/>
    <d v="2018-01-01T00:00:00"/>
    <s v="1,00"/>
    <s v="Un Bolívar con 00/100"/>
  </r>
  <r>
    <n v="769"/>
    <m/>
    <s v="ü"/>
    <d v="2018-01-11T00:00:00"/>
    <n v="0.8"/>
    <x v="65"/>
    <x v="58"/>
    <s v="Calle Güigüe Nro. 88-10"/>
    <s v="Cancelación Vigilancia, mes de Enero 2018"/>
    <s v="Vigilancia"/>
    <m/>
    <s v="00769"/>
    <s v="11 de Enero de 2018"/>
    <n v="11"/>
    <d v="2018-01-01T00:00:00"/>
    <s v="0,80"/>
    <s v="Cero Bolívares con 80/100"/>
  </r>
  <r>
    <n v="770"/>
    <m/>
    <s v="ü"/>
    <d v="2018-01-11T00:00:00"/>
    <n v="0.8"/>
    <x v="45"/>
    <x v="42"/>
    <s v="Calle Güigüe Nro. 87-A-11"/>
    <s v="Cancelación Vigilancia, mes de Enero 2018"/>
    <s v="Vigilancia"/>
    <m/>
    <s v="00770"/>
    <s v="11 de Enero de 2018"/>
    <n v="11"/>
    <d v="2018-01-01T00:00:00"/>
    <s v="0,80"/>
    <s v="Cero Bolívares con 80/100"/>
  </r>
  <r>
    <n v="771"/>
    <m/>
    <s v="ü"/>
    <d v="2018-01-11T00:00:00"/>
    <n v="0.8"/>
    <x v="1"/>
    <x v="1"/>
    <s v="Calle Güigüe Nro. 88-44"/>
    <s v="Cancelación Vigilancia, mes de Enero 2018"/>
    <s v="Vigilancia"/>
    <m/>
    <s v="00771"/>
    <s v="11 de Enero de 2018"/>
    <n v="11"/>
    <d v="2018-01-01T00:00:00"/>
    <s v="0,80"/>
    <s v="Cero Bolívares con 80/100"/>
  </r>
  <r>
    <n v="772"/>
    <m/>
    <s v="ü"/>
    <d v="2018-01-12T00:00:00"/>
    <n v="1.6"/>
    <x v="11"/>
    <x v="11"/>
    <s v="Calle Guacara Nro. 89-86"/>
    <s v="Cancelación Vigilancia, meses de Enero y Febrero 2018"/>
    <s v="Vigilancia"/>
    <m/>
    <s v="00772"/>
    <s v="12 de Enero de 2018"/>
    <n v="12"/>
    <d v="2018-01-01T00:00:00"/>
    <s v="1,60"/>
    <s v="Un Bolívares con 60/100"/>
  </r>
  <r>
    <n v="773"/>
    <m/>
    <s v="ü"/>
    <d v="2018-01-13T00:00:00"/>
    <n v="0.8"/>
    <x v="19"/>
    <x v="17"/>
    <s v="Calle Guacara Nro. 89-130"/>
    <s v="Cancelación Vigilancia, mes de Enero 2018"/>
    <s v="Vigilancia"/>
    <m/>
    <s v="00773"/>
    <s v="13 de Enero de 2018"/>
    <n v="13"/>
    <d v="2018-01-01T00:00:00"/>
    <s v="0,80"/>
    <s v="Cero Bolívares con 80/100"/>
  </r>
  <r>
    <n v="774"/>
    <m/>
    <s v="ü"/>
    <d v="2018-01-14T00:00:00"/>
    <n v="1"/>
    <x v="86"/>
    <x v="73"/>
    <s v="Calle Guacara Nro. 89-50"/>
    <s v="Colaboración Vigilancia, meses de Enero y Febrero 2018"/>
    <s v="Vigilancia"/>
    <m/>
    <s v="00774"/>
    <s v="14 de Enero de 2018"/>
    <n v="14"/>
    <d v="2018-01-01T00:00:00"/>
    <s v="1,00"/>
    <s v="Un Bolívar con 00/100"/>
  </r>
  <r>
    <n v="775"/>
    <m/>
    <s v="ü"/>
    <d v="2018-01-16T00:00:00"/>
    <n v="0.4"/>
    <x v="25"/>
    <x v="23"/>
    <s v="Calle Güigüe Nro. 88-58"/>
    <s v="Colaboración Vigilancia, mes de Enero 2018"/>
    <s v="Vigilancia"/>
    <m/>
    <s v="00775"/>
    <s v="16 de Enero de 2018"/>
    <n v="16"/>
    <d v="2018-01-01T00:00:00"/>
    <s v="0,40"/>
    <s v="Cero Bolívares con 40/100"/>
  </r>
  <r>
    <n v="776"/>
    <m/>
    <s v="ü"/>
    <d v="2018-01-17T00:00:00"/>
    <n v="0.8"/>
    <x v="23"/>
    <x v="21"/>
    <s v="Calle Güigüe Nro. 88-116"/>
    <s v="Cancelación Vigilancia, mes de Enero 2018"/>
    <s v="Vigilancia"/>
    <m/>
    <s v="00776"/>
    <s v="17 de Enero de 2018"/>
    <n v="17"/>
    <d v="2018-01-01T00:00:00"/>
    <s v="0,80"/>
    <s v="Cero Bolívares con 80/100"/>
  </r>
  <r>
    <n v="777"/>
    <m/>
    <s v="ü"/>
    <d v="2018-01-18T00:00:00"/>
    <n v="0.8"/>
    <x v="42"/>
    <x v="39"/>
    <s v="Calle Güigüe Nro. 89-79"/>
    <s v="Cancelación Vigilancia, mes de Enero 2018"/>
    <s v="Vigilancia"/>
    <m/>
    <s v="00777"/>
    <s v="18 de Enero de 2018"/>
    <n v="18"/>
    <d v="2018-01-01T00:00:00"/>
    <s v="0,80"/>
    <s v="Cero Bolívares con 80/100"/>
  </r>
  <r>
    <n v="778"/>
    <m/>
    <s v="ü"/>
    <d v="2018-01-18T00:00:00"/>
    <n v="0.4"/>
    <x v="68"/>
    <x v="60"/>
    <s v="Calle Güigüe Nro. 89-29"/>
    <s v="Colaboración Vigilancia, mes de Enero 2018"/>
    <s v="Vigilancia"/>
    <m/>
    <s v="00778"/>
    <s v="18 de Enero de 2018"/>
    <n v="18"/>
    <d v="2018-01-01T00:00:00"/>
    <s v="0,40"/>
    <s v="Cero Bolívares con 40/100"/>
  </r>
  <r>
    <n v="779"/>
    <m/>
    <s v="ü"/>
    <d v="2018-01-18T00:00:00"/>
    <n v="0.8"/>
    <x v="4"/>
    <x v="4"/>
    <s v="Calle Güigüe Nro. 89-55"/>
    <s v="Cancelación Vigilancia, mes de Enero 2018"/>
    <s v="Vigilancia"/>
    <m/>
    <s v="00779"/>
    <s v="18 de Enero de 2018"/>
    <n v="18"/>
    <d v="2018-01-01T00:00:00"/>
    <s v="0,80"/>
    <s v="Cero Bolívares con 80/100"/>
  </r>
  <r>
    <n v="780"/>
    <m/>
    <s v="ü"/>
    <d v="2018-01-18T00:00:00"/>
    <n v="1"/>
    <x v="52"/>
    <x v="9"/>
    <s v="Calle Güigüe Nro. 89-45"/>
    <s v="Cancelación Vigilancia, mes de Enero y anticipo mes de Febrero 2018"/>
    <s v="Vigilancia"/>
    <m/>
    <s v="00780"/>
    <s v="18 de Enero de 2018"/>
    <n v="18"/>
    <d v="2018-01-01T00:00:00"/>
    <s v="1,00"/>
    <s v="Un Bolívar con 00/100"/>
  </r>
  <r>
    <n v="781"/>
    <m/>
    <s v="ü"/>
    <d v="2018-01-18T00:00:00"/>
    <n v="0.8"/>
    <x v="35"/>
    <x v="32"/>
    <s v="Calle Güigüe Nro. 89-80"/>
    <s v="Cancelación Vigilancia, mes de Enero 2018"/>
    <s v="Vigilancia"/>
    <m/>
    <s v="00781"/>
    <s v="18 de Enero de 2018"/>
    <n v="18"/>
    <d v="2018-01-01T00:00:00"/>
    <s v="0,80"/>
    <s v="Cero Bolívares con 80/100"/>
  </r>
  <r>
    <n v="782"/>
    <m/>
    <s v="ü"/>
    <d v="2018-01-18T00:00:00"/>
    <n v="0.8"/>
    <x v="75"/>
    <x v="65"/>
    <s v="Av. &quot;Ñ&quot; Nro. 145-25"/>
    <s v="Cancelación Vigilancia, mes de Enero 2018 (saldo a favor: Bs. 945.000)"/>
    <s v="Vigilancia"/>
    <m/>
    <s v="00782"/>
    <s v="18 de Enero de 2018"/>
    <n v="18"/>
    <d v="2018-01-01T00:00:00"/>
    <s v="0,80"/>
    <s v="Cero Bolívares con 80/100"/>
  </r>
  <r>
    <n v="783"/>
    <m/>
    <s v="ü"/>
    <d v="2018-01-18T00:00:00"/>
    <n v="0.35"/>
    <x v="7"/>
    <x v="7"/>
    <s v="Calle Guacara Nro. 87-86"/>
    <s v="Colaboración Vigilancia, mes de Enero 2018"/>
    <s v="Vigilancia"/>
    <m/>
    <s v="00783"/>
    <s v="18 de Enero de 2018"/>
    <n v="18"/>
    <d v="2018-01-01T00:00:00"/>
    <s v="0,35"/>
    <s v="Cero Bolívares con 35/100"/>
  </r>
  <r>
    <n v="784"/>
    <m/>
    <s v="ü"/>
    <d v="2018-01-18T00:00:00"/>
    <n v="0.8"/>
    <x v="38"/>
    <x v="35"/>
    <s v="Calle Guacara Nro. 89-78"/>
    <s v="Cancelación Vigilancia, mes de Enero 2018"/>
    <s v="Vigilancia"/>
    <m/>
    <s v="00784"/>
    <s v="18 de Enero de 2018"/>
    <n v="18"/>
    <d v="2018-01-01T00:00:00"/>
    <s v="0,80"/>
    <s v="Cero Bolívares con 80/100"/>
  </r>
  <r>
    <n v="785"/>
    <m/>
    <s v="ü"/>
    <d v="2018-01-18T00:00:00"/>
    <n v="0.8"/>
    <x v="16"/>
    <x v="15"/>
    <s v="Calle Guacara Nro. 90-81"/>
    <s v="Cancelación Vigilancia, mes de Enero 2018"/>
    <s v="Vigilancia"/>
    <m/>
    <s v="00785"/>
    <s v="18 de Enero de 2018"/>
    <n v="18"/>
    <d v="2018-01-01T00:00:00"/>
    <s v="0,80"/>
    <s v="Cero Bolívares con 80/100"/>
  </r>
  <r>
    <n v="786"/>
    <m/>
    <s v="ü"/>
    <d v="2018-01-19T00:00:00"/>
    <n v="0.8"/>
    <x v="43"/>
    <x v="40"/>
    <s v="Calle Güigüe Nro. 88-50"/>
    <s v="Cancelación Vigilancia, mes de Enero 2018"/>
    <s v="Vigilancia"/>
    <m/>
    <s v="00786"/>
    <s v="19 de Enero de 2018"/>
    <n v="19"/>
    <d v="2018-01-01T00:00:00"/>
    <s v="0,80"/>
    <s v="Cero Bolívares con 80/100"/>
  </r>
  <r>
    <n v="787"/>
    <m/>
    <s v="ü"/>
    <d v="2018-01-19T00:00:00"/>
    <n v="2.8"/>
    <x v="87"/>
    <x v="75"/>
    <s v="Calle Güigüe Nro. 88-06"/>
    <s v="Cancelación Vigilancia, meses de Octubre 2017 a Enero 2018 y anticipo Febrero 2018 (Bs. 65.000)"/>
    <s v="Vigilancia"/>
    <m/>
    <s v="00787"/>
    <s v="19 de Enero de 2018"/>
    <n v="19"/>
    <d v="2018-01-01T00:00:00"/>
    <s v="2,80"/>
    <s v="Dos Bolívares con 80/100"/>
  </r>
  <r>
    <n v="788"/>
    <m/>
    <s v="ü"/>
    <d v="2018-01-19T00:00:00"/>
    <n v="0.4"/>
    <x v="32"/>
    <x v="30"/>
    <s v="Calle Güigüe Nro. 89-120"/>
    <s v="Colaboración Vigilancia, mes de Enero 2018"/>
    <s v="Vigilancia"/>
    <m/>
    <s v="00788"/>
    <s v="19 de Enero de 2018"/>
    <n v="19"/>
    <d v="2018-01-01T00:00:00"/>
    <s v="0,40"/>
    <s v="Cero Bolívares con 40/100"/>
  </r>
  <r>
    <n v="789"/>
    <m/>
    <s v="ü"/>
    <d v="2018-01-22T00:00:00"/>
    <n v="0.8"/>
    <x v="84"/>
    <x v="71"/>
    <s v="Calle Güigüe Nro. 89-54"/>
    <s v="Cancelación Vigilancia, mes de Febrero 2018"/>
    <s v="Vigilancia"/>
    <m/>
    <s v="00789"/>
    <s v="22 de Enero de 2018"/>
    <n v="22"/>
    <d v="2018-01-01T00:00:00"/>
    <s v="0,80"/>
    <s v="Cero Bolívares con 80/100"/>
  </r>
  <r>
    <n v="790"/>
    <m/>
    <s v="ü"/>
    <d v="2018-01-22T00:00:00"/>
    <n v="0.8"/>
    <x v="59"/>
    <x v="9"/>
    <s v="Calle Guacara Nro. 90-35"/>
    <s v="Cancelación Vigilancia, mes de Enero 2018"/>
    <s v="Vigilancia"/>
    <m/>
    <s v="00790"/>
    <s v="22 de Enero de 2018"/>
    <n v="22"/>
    <d v="2018-01-01T00:00:00"/>
    <s v="0,80"/>
    <s v="Cero Bolívares con 80/100"/>
  </r>
  <r>
    <n v="791"/>
    <m/>
    <s v="ü"/>
    <d v="2018-01-22T00:00:00"/>
    <n v="0.8"/>
    <x v="81"/>
    <x v="69"/>
    <s v="Calle Güigüe Nro. 89-65"/>
    <s v="Cancelación Vigilancia, mes de Enero 2018"/>
    <s v="Vigilancia"/>
    <m/>
    <s v="00791"/>
    <s v="22 de Enero de 2018"/>
    <n v="22"/>
    <d v="2018-01-01T00:00:00"/>
    <s v="0,80"/>
    <s v="Cero Bolívares con 80/100"/>
  </r>
  <r>
    <n v="792"/>
    <m/>
    <s v="ü"/>
    <d v="2018-01-22T00:00:00"/>
    <n v="1.5"/>
    <x v="6"/>
    <x v="6"/>
    <s v="Calle Guacara Nro. 89-60"/>
    <s v="Cancelación Vigilancia, saldo mes de Enero, Febrero 2018 y colaboración adicional"/>
    <s v="Vigilancia"/>
    <m/>
    <s v="00792"/>
    <s v="22 de Enero de 2018"/>
    <n v="22"/>
    <d v="2018-01-01T00:00:00"/>
    <s v="1,50"/>
    <s v="Un Bolívares con 50/100"/>
  </r>
  <r>
    <n v="793"/>
    <m/>
    <s v="ü"/>
    <d v="2018-01-15T00:00:00"/>
    <n v="0.5"/>
    <x v="59"/>
    <x v="9"/>
    <s v="Calle Guacara Nro. 90-35"/>
    <s v="Cancelación Vigilancia, mes de Diciembre 2017"/>
    <s v="Vigilancia"/>
    <m/>
    <s v="00793"/>
    <s v="15 de Enero de 2018"/>
    <n v="15"/>
    <d v="2018-01-01T00:00:00"/>
    <s v="0,50"/>
    <s v="Cero Bolívares con 50/100"/>
  </r>
  <r>
    <n v="794"/>
    <m/>
    <s v="ü"/>
    <d v="2018-01-23T00:00:00"/>
    <n v="0.86399999999999999"/>
    <x v="9"/>
    <x v="9"/>
    <s v="Av. &quot;M&quot; Nro. 146-30"/>
    <s v="Cancelación Vigilancia, mes de Enero 2018"/>
    <s v="Vigilancia"/>
    <m/>
    <s v="00794"/>
    <s v="23 de Enero de 2018"/>
    <n v="23"/>
    <d v="2018-01-01T00:00:00"/>
    <s v="0,86"/>
    <s v="Cero Bolívares con 86/100"/>
  </r>
  <r>
    <n v="795"/>
    <m/>
    <s v="ü"/>
    <d v="2018-01-23T00:00:00"/>
    <n v="0.8"/>
    <x v="24"/>
    <x v="22"/>
    <s v="Calle Güigüe Nro. 88-54"/>
    <s v="Cancelación Vigilancia, mes de Enero 2018"/>
    <s v="Vigilancia"/>
    <m/>
    <s v="00795"/>
    <s v="23 de Enero de 2018"/>
    <n v="23"/>
    <d v="2018-01-01T00:00:00"/>
    <s v="0,80"/>
    <s v="Cero Bolívares con 80/100"/>
  </r>
  <r>
    <n v="796"/>
    <m/>
    <s v="ü"/>
    <d v="2018-01-24T00:00:00"/>
    <n v="0.5"/>
    <x v="10"/>
    <x v="10"/>
    <s v="Av. &quot;M&quot; Nro. 146-15"/>
    <s v="Cancelación Vigilancia, mes de Diciembre 2017"/>
    <s v="Vigilancia"/>
    <m/>
    <s v="00796"/>
    <s v="24 de Enero de 2018"/>
    <n v="24"/>
    <d v="2018-01-01T00:00:00"/>
    <s v="0,50"/>
    <s v="Cero Bolívares con 50/100"/>
  </r>
  <r>
    <n v="797"/>
    <m/>
    <s v="ü"/>
    <d v="2017-12-14T00:00:00"/>
    <n v="0.5"/>
    <x v="49"/>
    <x v="46"/>
    <s v="Av. &quot;O&quot; Nro. 146-17"/>
    <s v="Cancelación Vigilancia, mes de Diciembre 2017"/>
    <s v="Vigilancia"/>
    <m/>
    <s v="00797"/>
    <s v="14 de Diciembre de 2017"/>
    <n v="14"/>
    <d v="2017-12-01T00:00:00"/>
    <s v="0,50"/>
    <s v="Cero Bolívares con 50/100"/>
  </r>
  <r>
    <n v="798"/>
    <m/>
    <s v="ü"/>
    <d v="2018-01-23T00:00:00"/>
    <n v="0.8"/>
    <x v="49"/>
    <x v="46"/>
    <s v="Av. &quot;O&quot; Nro. 146-17"/>
    <s v="Cancelación Vigilancia, mes de Enero 2018"/>
    <s v="Vigilancia"/>
    <m/>
    <s v="00798"/>
    <s v="23 de Enero de 2018"/>
    <n v="23"/>
    <d v="2018-01-01T00:00:00"/>
    <s v="0,80"/>
    <s v="Cero Bolívares con 80/100"/>
  </r>
  <r>
    <n v="799"/>
    <m/>
    <s v="ü"/>
    <d v="2018-01-24T00:00:00"/>
    <n v="1.3"/>
    <x v="76"/>
    <x v="66"/>
    <s v="Calle Güigüe Nro. 89-90"/>
    <s v="Cancelación Vigilancia, meses de Diciembre 2017 y Enero 2018"/>
    <s v="Vigilancia"/>
    <m/>
    <s v="00799"/>
    <s v="24 de Enero de 2018"/>
    <n v="24"/>
    <d v="2018-01-01T00:00:00"/>
    <s v="1,30"/>
    <s v="Un Bolívares con 30/100"/>
  </r>
  <r>
    <n v="800"/>
    <m/>
    <s v="ü"/>
    <d v="2018-01-24T00:00:00"/>
    <n v="1.1359999999999999"/>
    <x v="73"/>
    <x v="9"/>
    <s v="Calle Güigüe Nros. 88-71 y 88-81"/>
    <s v="Cancelación Vigilancia, mes de Enero 2018"/>
    <s v="Vigilancia"/>
    <m/>
    <s v="00800"/>
    <s v="24 de Enero de 2018"/>
    <n v="24"/>
    <d v="2018-01-01T00:00:00"/>
    <s v="1,14"/>
    <s v="Un Bolívares con 14/100"/>
  </r>
  <r>
    <n v="801"/>
    <m/>
    <s v="ü"/>
    <d v="2018-01-24T00:00:00"/>
    <n v="1.6"/>
    <x v="18"/>
    <x v="16"/>
    <s v="Calle Guacara Nro. 87-100"/>
    <s v="Cancelación Vigilancia, meses de Enero y Febrero 2018"/>
    <s v="Vigilancia"/>
    <m/>
    <s v="00801"/>
    <s v="24 de Enero de 2018"/>
    <n v="24"/>
    <d v="2018-01-01T00:00:00"/>
    <s v="1,60"/>
    <s v="Un Bolívares con 60/100"/>
  </r>
  <r>
    <n v="802"/>
    <m/>
    <s v="ü"/>
    <d v="2018-01-24T00:00:00"/>
    <n v="1"/>
    <x v="48"/>
    <x v="9"/>
    <s v="Calle Güigüe Nro. 88-90"/>
    <s v="Cancelación Vigilancia, meses de Noviembre y Diciembre 2017"/>
    <s v="Vigilancia"/>
    <m/>
    <s v="00802"/>
    <s v="24 de Enero de 2018"/>
    <n v="24"/>
    <d v="2018-01-01T00:00:00"/>
    <s v="1,00"/>
    <s v="Un Bolívar con 00/100"/>
  </r>
  <r>
    <n v="803"/>
    <m/>
    <s v="ü"/>
    <d v="2018-01-24T00:00:00"/>
    <n v="0.2"/>
    <x v="67"/>
    <x v="2"/>
    <s v="Calle Guacara Nro. 90-93"/>
    <s v="Colaboración Vigilancia, mes de Enero 2018"/>
    <s v="Vigilancia"/>
    <m/>
    <s v="00803"/>
    <s v="24 de Enero de 2018"/>
    <n v="24"/>
    <d v="2018-01-01T00:00:00"/>
    <s v="0,20"/>
    <s v="Cero Bolívares con 20/100"/>
  </r>
  <r>
    <n v="804"/>
    <m/>
    <s v="ü"/>
    <d v="2018-01-24T00:00:00"/>
    <n v="0.5"/>
    <x v="2"/>
    <x v="2"/>
    <s v="Calle Guacara Nro. 88-19"/>
    <s v="Colaboración Vigilancia, mes de Enero 2018"/>
    <s v="Vigilancia"/>
    <m/>
    <s v="00804"/>
    <s v="24 de Enero de 2018"/>
    <n v="24"/>
    <d v="2018-01-01T00:00:00"/>
    <s v="0,50"/>
    <s v="Cero Bolívares con 50/100"/>
  </r>
  <r>
    <n v="805"/>
    <m/>
    <s v="ü"/>
    <d v="2018-01-23T00:00:00"/>
    <n v="0.3"/>
    <x v="14"/>
    <x v="13"/>
    <s v="Calle Güigüe Nro. 89-83"/>
    <s v="Cancelación saldo Vigilancia, mes de Enero 2018"/>
    <s v="Vigilancia"/>
    <m/>
    <s v="00805"/>
    <s v="23 de Enero de 2018"/>
    <n v="23"/>
    <d v="2018-01-01T00:00:00"/>
    <s v="0,30"/>
    <s v="Cero Bolívares con 30/100"/>
  </r>
  <r>
    <n v="806"/>
    <m/>
    <s v="ü"/>
    <d v="2018-01-26T00:00:00"/>
    <n v="1"/>
    <x v="34"/>
    <x v="9"/>
    <s v="Av. &quot;O&quot; Nro. 146-11"/>
    <s v="Cancelación Vigilancia, saldo mes de Enero y anticipo mes de Febrero 2018"/>
    <s v="Vigilancia"/>
    <m/>
    <s v="00806"/>
    <s v="26 de Enero de 2018"/>
    <n v="26"/>
    <d v="2018-01-01T00:00:00"/>
    <s v="1,00"/>
    <s v="Un Bolívar con 00/100"/>
  </r>
  <r>
    <n v="807"/>
    <m/>
    <s v="ü"/>
    <d v="2018-01-27T00:00:00"/>
    <n v="0.8"/>
    <x v="26"/>
    <x v="24"/>
    <s v="Calle Güigüe Nro. 89-96"/>
    <s v="Cancelación Vigilancia, mes de Enero 2018"/>
    <s v="Vigilancia"/>
    <m/>
    <s v="00807"/>
    <s v="27 de Enero de 2018"/>
    <n v="27"/>
    <d v="2018-01-01T00:00:00"/>
    <s v="0,80"/>
    <s v="Cero Bolívares con 80/100"/>
  </r>
  <r>
    <n v="808"/>
    <m/>
    <s v="ü"/>
    <d v="2018-01-29T00:00:00"/>
    <n v="1.1000000000000001"/>
    <x v="5"/>
    <x v="5"/>
    <s v="Calle Güigüe Nro. 88-120"/>
    <s v="Cancelación Vigilancia, saldo mes de Enero y Febrero 2018"/>
    <s v="Vigilancia"/>
    <m/>
    <s v="00808"/>
    <s v="29 de Enero de 2018"/>
    <n v="29"/>
    <d v="2018-01-01T00:00:00"/>
    <s v="1,10"/>
    <s v="Un Bolívares con 10/100"/>
  </r>
  <r>
    <n v="809"/>
    <m/>
    <s v="ü"/>
    <d v="2018-01-29T00:00:00"/>
    <n v="0.8"/>
    <x v="40"/>
    <x v="37"/>
    <s v="Calle Güigüe Nro. 88-101"/>
    <s v="Cancelación Vigilancia, mes de Enero 2018"/>
    <s v="Vigilancia"/>
    <m/>
    <s v="00809"/>
    <s v="29 de Enero de 2018"/>
    <n v="29"/>
    <d v="2018-01-01T00:00:00"/>
    <s v="0,80"/>
    <s v="Cero Bolívares con 80/100"/>
  </r>
  <r>
    <n v="810"/>
    <m/>
    <s v="ü"/>
    <d v="2018-01-30T00:00:00"/>
    <n v="0.2"/>
    <x v="74"/>
    <x v="64"/>
    <s v="Calle Güigüe Nro. 88-20"/>
    <s v="Colaboración Vigilancia, meses de Enero y Febrero 2018"/>
    <s v="Vigilancia"/>
    <m/>
    <s v="00810"/>
    <s v="30 de Enero de 2018"/>
    <n v="30"/>
    <d v="2018-01-01T00:00:00"/>
    <s v="0,20"/>
    <s v="Cero Bolívares con 20/100"/>
  </r>
  <r>
    <n v="811"/>
    <m/>
    <s v="ü"/>
    <d v="2018-01-28T00:00:00"/>
    <n v="0.4"/>
    <x v="25"/>
    <x v="23"/>
    <s v="Calle Güigüe Nro. 88-58"/>
    <s v="Colaboración Vigilancia, mes de Diciembre 2017"/>
    <s v="Vigilancia"/>
    <m/>
    <s v="00811"/>
    <s v="28 de Enero de 2018"/>
    <n v="28"/>
    <d v="2018-01-01T00:00:00"/>
    <s v="0,40"/>
    <s v="Cero Bolívares con 40/100"/>
  </r>
  <r>
    <n v="812"/>
    <m/>
    <s v="ü"/>
    <d v="2018-02-01T00:00:00"/>
    <n v="2.1"/>
    <x v="37"/>
    <x v="34"/>
    <s v="Av. &quot;I&quot; Nro. 146-40"/>
    <s v="Cancelación Vigilancia, saldo Diciembre 2017 y meses de Enero y Febrero 2018"/>
    <s v="Vigilancia"/>
    <m/>
    <s v="00812"/>
    <s v="01 de Febrero de 2018"/>
    <n v="1"/>
    <d v="2018-02-01T00:00:00"/>
    <s v="2,10"/>
    <s v="Dos Bolívares con 10/100"/>
  </r>
  <r>
    <n v="813"/>
    <m/>
    <s v="ü"/>
    <d v="2018-02-01T00:00:00"/>
    <n v="0.3"/>
    <x v="57"/>
    <x v="9"/>
    <s v="Calle Güigüe Nro. 88-40"/>
    <s v="Colaboración Vigilancia, mes de Diciembre 2017"/>
    <s v="Vigilancia"/>
    <m/>
    <s v="00813"/>
    <s v="01 de Febrero de 2018"/>
    <n v="1"/>
    <d v="2018-02-01T00:00:00"/>
    <s v="0,30"/>
    <s v="Cero Bolívares con 30/100"/>
  </r>
  <r>
    <n v="814"/>
    <m/>
    <s v="ü"/>
    <d v="2018-02-01T00:00:00"/>
    <n v="2.7"/>
    <x v="69"/>
    <x v="61"/>
    <s v="Calle Güigüe Nro. 89-40"/>
    <s v="Cancelación Vigilancia, saldo Enero 2018 y meses de Febrero, Marzo y Abril 2018"/>
    <s v="Vigilancia"/>
    <m/>
    <s v="00814"/>
    <s v="01 de Febrero de 2018"/>
    <n v="1"/>
    <d v="2018-02-01T00:00:00"/>
    <s v="2,70"/>
    <s v="Dos Bolívares con 70/100"/>
  </r>
  <r>
    <n v="815"/>
    <m/>
    <s v="ü"/>
    <d v="2018-02-01T00:00:00"/>
    <n v="3.2"/>
    <x v="64"/>
    <x v="57"/>
    <s v="Calle Guacara Nro. 88-35"/>
    <s v="Cancelación Vigilancia, meses de Enero, Febrero, Marzo y Abril 2018"/>
    <s v="Vigilancia"/>
    <m/>
    <s v="00815"/>
    <s v="01 de Febrero de 2018"/>
    <n v="1"/>
    <d v="2018-02-01T00:00:00"/>
    <s v="3,20"/>
    <s v="Tres Bolívares con 20/100"/>
  </r>
  <r>
    <n v="816"/>
    <m/>
    <s v="ü"/>
    <d v="2018-02-01T00:00:00"/>
    <n v="0.5"/>
    <x v="22"/>
    <x v="20"/>
    <s v="Calle Guacara Nro. 88-25"/>
    <s v="Colaboración Vigilancia, mes de Enero 2018"/>
    <s v="Vigilancia"/>
    <m/>
    <s v="00816"/>
    <s v="01 de Febrero de 2018"/>
    <n v="1"/>
    <d v="2018-02-01T00:00:00"/>
    <s v="0,50"/>
    <s v="Cero Bolívares con 50/100"/>
  </r>
  <r>
    <n v="817"/>
    <m/>
    <s v="ü"/>
    <d v="2018-02-02T00:00:00"/>
    <n v="1.6"/>
    <x v="8"/>
    <x v="8"/>
    <s v="Calle Guacara Nro. 90-51"/>
    <s v="Cancelación Vigilancia, meses de Enero y Febrero 2018"/>
    <s v="Vigilancia"/>
    <m/>
    <s v="00817"/>
    <s v="02 de Febrero de 2018"/>
    <n v="2"/>
    <d v="2018-02-01T00:00:00"/>
    <s v="1,60"/>
    <s v="Un Bolívares con 60/100"/>
  </r>
  <r>
    <n v="818"/>
    <m/>
    <s v="ü"/>
    <d v="2018-02-02T00:00:00"/>
    <n v="1.6"/>
    <x v="46"/>
    <x v="43"/>
    <s v="Av. &quot;I&quot; Nro. 146-20"/>
    <s v="Cancelación Vigilancia, meses de Enero y Febrero 2018"/>
    <s v="Vigilancia"/>
    <m/>
    <s v="00818"/>
    <s v="02 de Febrero de 2018"/>
    <n v="2"/>
    <d v="2018-02-01T00:00:00"/>
    <s v="1,60"/>
    <s v="Un Bolívares con 60/100"/>
  </r>
  <r>
    <n v="819"/>
    <m/>
    <s v="ü"/>
    <d v="2018-02-05T00:00:00"/>
    <n v="0.8"/>
    <x v="14"/>
    <x v="13"/>
    <s v="Calle Güigüe Nro. 89-83"/>
    <s v="Cancelación Vigilancia, mes de Febrero 2018"/>
    <s v="Vigilancia"/>
    <m/>
    <s v="00819"/>
    <s v="05 de Febrero de 2018"/>
    <n v="5"/>
    <d v="2018-02-01T00:00:00"/>
    <s v="0,80"/>
    <s v="Cero Bolívares con 80/100"/>
  </r>
  <r>
    <n v="820"/>
    <m/>
    <s v="ü"/>
    <d v="2018-02-05T00:00:00"/>
    <n v="0.8"/>
    <x v="1"/>
    <x v="1"/>
    <s v="Calle Güigüe Nro. 88-44"/>
    <s v="Cancelación Vigilancia, mes de Febrero 2018"/>
    <s v="Vigilancia"/>
    <m/>
    <s v="00820"/>
    <s v="05 de Febrero de 2018"/>
    <n v="5"/>
    <d v="2018-02-01T00:00:00"/>
    <s v="0,80"/>
    <s v="Cero Bolívares con 80/100"/>
  </r>
  <r>
    <n v="821"/>
    <m/>
    <s v="ü"/>
    <d v="2018-02-05T00:00:00"/>
    <n v="0.8"/>
    <x v="0"/>
    <x v="0"/>
    <s v="Calle Guacara Nro. 88-45"/>
    <s v="Cancelación Vigilancia, mes de Febrero 2018 (saldo a favor: Bs. 800.000)"/>
    <s v="Vigilancia"/>
    <m/>
    <s v="00821"/>
    <s v="05 de Febrero de 2018"/>
    <n v="5"/>
    <d v="2018-02-01T00:00:00"/>
    <s v="0,80"/>
    <s v="Cero Bolívares con 80/100"/>
  </r>
  <r>
    <n v="822"/>
    <m/>
    <s v="ü"/>
    <d v="2018-02-05T00:00:00"/>
    <n v="0.8"/>
    <x v="75"/>
    <x v="65"/>
    <s v="Av. &quot;Ñ&quot; Nro. 145-25"/>
    <s v="Cancelación Vigilancia, mes de Febrero 2018 (saldo a favor: Bs. 865.000)"/>
    <s v="Vigilancia"/>
    <m/>
    <s v="00822"/>
    <s v="05 de Febrero de 2018"/>
    <n v="5"/>
    <d v="2018-02-01T00:00:00"/>
    <s v="0,80"/>
    <s v="Cero Bolívares con 80/100"/>
  </r>
  <r>
    <n v="823"/>
    <m/>
    <s v="ü"/>
    <d v="2018-02-06T00:00:00"/>
    <n v="0.8"/>
    <x v="4"/>
    <x v="4"/>
    <s v="Calle Güigüe Nro. 89-55"/>
    <s v="Cancelación Vigilancia, mes de Febrero 2018"/>
    <s v="Vigilancia"/>
    <m/>
    <s v="00823"/>
    <s v="06 de Febrero de 2018"/>
    <n v="6"/>
    <d v="2018-02-01T00:00:00"/>
    <s v="0,80"/>
    <s v="Cero Bolívares con 80/100"/>
  </r>
  <r>
    <n v="824"/>
    <m/>
    <s v="ü"/>
    <d v="2018-02-06T00:00:00"/>
    <n v="1.6"/>
    <x v="52"/>
    <x v="9"/>
    <s v="Calle Güigüe Nro. 89-45"/>
    <s v="Cancelación Vigilancia, saldo mes de Febrero, mes de Marzo y anticipo mes de Abril 2018"/>
    <s v="Vigilancia"/>
    <m/>
    <s v="00824"/>
    <s v="06 de Febrero de 2018"/>
    <n v="6"/>
    <d v="2018-02-01T00:00:00"/>
    <s v="1,60"/>
    <s v="Un Bolívares con 60/100"/>
  </r>
  <r>
    <n v="825"/>
    <m/>
    <s v="ü"/>
    <d v="2018-02-08T00:00:00"/>
    <n v="0.8"/>
    <x v="76"/>
    <x v="66"/>
    <s v="Calle Güigüe Nro. 89-90"/>
    <s v="Cancelación Vigilancia, mes de Febrero 2018"/>
    <s v="Vigilancia"/>
    <m/>
    <s v="00825"/>
    <s v="08 de Febrero de 2018"/>
    <n v="8"/>
    <d v="2018-02-01T00:00:00"/>
    <s v="0,80"/>
    <s v="Cero Bolívares con 80/100"/>
  </r>
  <r>
    <n v="826"/>
    <m/>
    <s v="ü"/>
    <d v="2018-02-09T00:00:00"/>
    <n v="0.4"/>
    <x v="32"/>
    <x v="30"/>
    <s v="Calle Güigüe Nro. 89-120"/>
    <s v="Colaboración Vigilancia, mes de Febrero 2018"/>
    <s v="Vigilancia"/>
    <m/>
    <s v="00826"/>
    <s v="09 de Febrero de 2018"/>
    <n v="9"/>
    <d v="2018-02-01T00:00:00"/>
    <s v="0,40"/>
    <s v="Cero Bolívares con 40/100"/>
  </r>
  <r>
    <n v="827"/>
    <m/>
    <s v="ü"/>
    <d v="2018-01-30T00:00:00"/>
    <n v="0.8"/>
    <x v="36"/>
    <x v="33"/>
    <s v="Calle Güigüe Nro. 89-10"/>
    <s v="Cancelación Vigilancia, mes de Enero 2018"/>
    <s v="Vigilancia"/>
    <m/>
    <s v="00827"/>
    <s v="30 de Enero de 2018"/>
    <n v="30"/>
    <d v="2018-01-01T00:00:00"/>
    <s v="0,80"/>
    <s v="Cero Bolívares con 80/100"/>
  </r>
  <r>
    <n v="828"/>
    <m/>
    <s v="ü"/>
    <d v="2018-01-29T00:00:00"/>
    <n v="0.8"/>
    <x v="56"/>
    <x v="52"/>
    <s v="Calle Güigüe Nro. 88-70"/>
    <s v="Cancelación Vigilancia, mes de Enero 2018"/>
    <s v="Vigilancia"/>
    <m/>
    <s v="00828"/>
    <s v="29 de Enero de 2018"/>
    <n v="29"/>
    <d v="2018-01-01T00:00:00"/>
    <s v="0,80"/>
    <s v="Cero Bolívares con 80/100"/>
  </r>
  <r>
    <n v="829"/>
    <m/>
    <s v="ü"/>
    <d v="2018-02-08T00:00:00"/>
    <n v="0.8"/>
    <x v="12"/>
    <x v="12"/>
    <s v="Calle Guacara Nro. 89-20"/>
    <s v="Cancelación saldo Vigilancia, mes de Febrero 2018"/>
    <s v="Vigilancia"/>
    <m/>
    <s v="00829"/>
    <s v="08 de Febrero de 2018"/>
    <n v="8"/>
    <d v="2018-02-01T00:00:00"/>
    <s v="0,80"/>
    <s v="Cero Bolívares con 80/100"/>
  </r>
  <r>
    <n v="830"/>
    <m/>
    <s v="ü"/>
    <d v="2018-02-09T00:00:00"/>
    <n v="0.8"/>
    <x v="20"/>
    <x v="18"/>
    <s v="Calle Guacara Nro. 89-30"/>
    <s v="Cancelación Vigilancia, mes de Febrero 2018"/>
    <s v="Vigilancia"/>
    <m/>
    <s v="00830"/>
    <s v="09 de Febrero de 2018"/>
    <n v="9"/>
    <d v="2018-02-01T00:00:00"/>
    <s v="0,80"/>
    <s v="Cero Bolívares con 80/100"/>
  </r>
  <r>
    <n v="831"/>
    <m/>
    <s v="ü"/>
    <d v="2018-02-09T00:00:00"/>
    <n v="2.8"/>
    <x v="63"/>
    <x v="56"/>
    <s v="Calle Guacara Nro. 88-85"/>
    <s v="Colaboración Vigilancia, meses de Enero, Febrero, Marzo y Abril 2018"/>
    <s v="Vigilancia"/>
    <m/>
    <s v="00831"/>
    <s v="09 de Febrero de 2018"/>
    <n v="9"/>
    <d v="2018-02-01T00:00:00"/>
    <s v="2,80"/>
    <s v="Dos Bolívares con 80/100"/>
  </r>
  <r>
    <n v="832"/>
    <m/>
    <s v="ü"/>
    <d v="2018-02-10T00:00:00"/>
    <n v="1.6"/>
    <x v="27"/>
    <x v="25"/>
    <s v="Calle Güigüe Nro. 89-106"/>
    <s v="Cancelación Vigilancia, meses de Enero y Febrero 2018"/>
    <s v="Vigilancia"/>
    <m/>
    <s v="00832"/>
    <s v="10 de Febrero de 2018"/>
    <n v="10"/>
    <d v="2018-02-01T00:00:00"/>
    <s v="1,60"/>
    <s v="Un Bolívares con 60/100"/>
  </r>
  <r>
    <n v="833"/>
    <m/>
    <s v="ü"/>
    <d v="2018-01-12T00:00:00"/>
    <n v="1"/>
    <x v="71"/>
    <x v="62"/>
    <s v="Calle Güigüe Nro. 89-71"/>
    <s v="Colaboración Vigilancia, meses de Enero y Febrero 2018"/>
    <s v="Vigilancia"/>
    <m/>
    <s v="00833"/>
    <s v="12 de Enero de 2018"/>
    <n v="12"/>
    <d v="2018-01-01T00:00:00"/>
    <s v="1,00"/>
    <s v="Un Bolívar con 00/100"/>
  </r>
  <r>
    <n v="834"/>
    <m/>
    <s v="ü"/>
    <d v="2018-01-14T00:00:00"/>
    <n v="0.8"/>
    <x v="38"/>
    <x v="35"/>
    <s v="Calle Guacara Nro. 89-78"/>
    <s v="Cancelación Vigilancia, mes de Febrero 2018"/>
    <s v="Vigilancia"/>
    <m/>
    <s v="00834"/>
    <s v="14 de Enero de 2018"/>
    <n v="14"/>
    <d v="2018-01-01T00:00:00"/>
    <s v="0,80"/>
    <s v="Cero Bolívares con 80/100"/>
  </r>
  <r>
    <n v="835"/>
    <m/>
    <s v="ü"/>
    <d v="2018-01-14T00:00:00"/>
    <n v="0.86399999999999999"/>
    <x v="9"/>
    <x v="9"/>
    <s v="Av. &quot;M&quot; Nro. 146-30"/>
    <s v="Cancelación Vigilancia, mes de Febrero 2018"/>
    <s v="Vigilancia"/>
    <m/>
    <s v="00835"/>
    <s v="14 de Enero de 2018"/>
    <n v="14"/>
    <d v="2018-01-01T00:00:00"/>
    <s v="0,86"/>
    <s v="Cero Bolívares con 86/100"/>
  </r>
  <r>
    <n v="836"/>
    <m/>
    <s v="ü"/>
    <d v="2018-02-15T00:00:00"/>
    <n v="1.1359999999999999"/>
    <x v="73"/>
    <x v="9"/>
    <s v="Calle Güigüe Nros. 88-71 y 88-81"/>
    <s v="Cancelación Vigilancia, mes de Febrero 2018"/>
    <s v="Vigilancia"/>
    <m/>
    <s v="00836"/>
    <s v="15 de Febrero de 2018"/>
    <n v="15"/>
    <d v="2018-02-01T00:00:00"/>
    <s v="1,14"/>
    <s v="Un Bolívares con 14/100"/>
  </r>
  <r>
    <n v="837"/>
    <m/>
    <s v="ü"/>
    <d v="2018-02-15T00:00:00"/>
    <n v="0.8"/>
    <x v="45"/>
    <x v="42"/>
    <s v="Calle Güigüe Nro. 87-A-11"/>
    <s v="Cancelación Vigilancia, mes de Febrero 2018"/>
    <s v="Vigilancia"/>
    <m/>
    <s v="00837"/>
    <s v="15 de Febrero de 2018"/>
    <n v="15"/>
    <d v="2018-02-01T00:00:00"/>
    <s v="0,80"/>
    <s v="Cero Bolívares con 80/100"/>
  </r>
  <r>
    <n v="838"/>
    <m/>
    <s v="ü"/>
    <d v="2018-02-15T00:00:00"/>
    <n v="0.8"/>
    <x v="30"/>
    <x v="28"/>
    <s v="Calle Güigüe Nro. 89-04"/>
    <s v="Cancelación Vigilancia, mes de Febrero 2018"/>
    <s v="Vigilancia"/>
    <m/>
    <s v="00838"/>
    <s v="15 de Febrero de 2018"/>
    <n v="15"/>
    <d v="2018-02-01T00:00:00"/>
    <s v="0,80"/>
    <s v="Cero Bolívares con 80/100"/>
  </r>
  <r>
    <n v="839"/>
    <m/>
    <s v="ü"/>
    <d v="2018-02-16T00:00:00"/>
    <n v="0.8"/>
    <x v="19"/>
    <x v="17"/>
    <s v="Calle Guacara Nro. 89-130"/>
    <s v="Cancelación Vigilancia, mes de Febrero 2018"/>
    <s v="Vigilancia"/>
    <m/>
    <s v="00839"/>
    <s v="16 de Febrero de 2018"/>
    <n v="16"/>
    <d v="2018-02-01T00:00:00"/>
    <s v="0,80"/>
    <s v="Cero Bolívares con 80/100"/>
  </r>
  <r>
    <n v="840"/>
    <m/>
    <s v="ü"/>
    <d v="2018-02-19T00:00:00"/>
    <n v="0.8"/>
    <x v="36"/>
    <x v="33"/>
    <s v="Calle Güigüe Nro. 89-10"/>
    <s v="Cancelación Vigilancia, mes de Febrero 2018"/>
    <s v="Vigilancia"/>
    <m/>
    <s v="00840"/>
    <s v="19 de Febrero de 2018"/>
    <n v="19"/>
    <d v="2018-02-01T00:00:00"/>
    <s v="0,80"/>
    <s v="Cero Bolívares con 80/100"/>
  </r>
  <r>
    <n v="841"/>
    <m/>
    <s v="ü"/>
    <d v="2018-02-20T00:00:00"/>
    <n v="0.4"/>
    <x v="68"/>
    <x v="60"/>
    <s v="Calle Güigüe Nro. 89-29"/>
    <s v="Colaboración Vigilancia, mes de Febrero 2018"/>
    <s v="Vigilancia"/>
    <m/>
    <s v="00841"/>
    <s v="20 de Febrero de 2018"/>
    <n v="20"/>
    <d v="2018-02-01T00:00:00"/>
    <s v="0,40"/>
    <s v="Cero Bolívares con 40/100"/>
  </r>
  <r>
    <n v="842"/>
    <m/>
    <s v="ü"/>
    <d v="2018-02-20T00:00:00"/>
    <n v="0.8"/>
    <x v="23"/>
    <x v="21"/>
    <s v="Calle Güigüe Nro. 88-116"/>
    <s v="Cancelación Vigilancia, mes de Febrero 2018"/>
    <s v="Vigilancia"/>
    <m/>
    <s v="00842"/>
    <s v="20 de Febrero de 2018"/>
    <n v="20"/>
    <d v="2018-02-01T00:00:00"/>
    <s v="0,80"/>
    <s v="Cero Bolívares con 80/100"/>
  </r>
  <r>
    <n v="843"/>
    <m/>
    <s v="ü"/>
    <d v="2018-02-20T00:00:00"/>
    <n v="0.8"/>
    <x v="24"/>
    <x v="22"/>
    <s v="Calle Güigüe Nro. 88-54"/>
    <s v="Cancelación Vigilancia, mes de Febrero 2018"/>
    <s v="Vigilancia"/>
    <m/>
    <s v="00843"/>
    <s v="20 de Febrero de 2018"/>
    <n v="20"/>
    <d v="2018-02-01T00:00:00"/>
    <s v="0,80"/>
    <s v="Cero Bolívares con 80/100"/>
  </r>
  <r>
    <n v="844"/>
    <m/>
    <s v="ü"/>
    <d v="2018-02-20T00:00:00"/>
    <n v="0.5"/>
    <x v="2"/>
    <x v="2"/>
    <s v="Calle Guacara Nro. 88-19"/>
    <s v="Colaboración Vigilancia, mes de Febrero 2018"/>
    <s v="Vigilancia"/>
    <m/>
    <s v="00844"/>
    <s v="20 de Febrero de 2018"/>
    <n v="20"/>
    <d v="2018-02-01T00:00:00"/>
    <s v="0,50"/>
    <s v="Cero Bolívares con 50/100"/>
  </r>
  <r>
    <n v="845"/>
    <m/>
    <s v="ü"/>
    <d v="2018-02-20T00:00:00"/>
    <n v="0.2"/>
    <x v="67"/>
    <x v="2"/>
    <s v="Calle Guacara Nro. 90-93"/>
    <s v="Colaboración Vigilancia, mes de Febrero 2018"/>
    <s v="Vigilancia"/>
    <m/>
    <s v="00845"/>
    <s v="20 de Febrero de 2018"/>
    <n v="20"/>
    <d v="2018-02-01T00:00:00"/>
    <s v="0,20"/>
    <s v="Cero Bolívares con 20/100"/>
  </r>
  <r>
    <n v="846"/>
    <m/>
    <s v="ü"/>
    <d v="2018-02-21T00:00:00"/>
    <n v="0.8"/>
    <x v="25"/>
    <x v="23"/>
    <s v="Calle Güigüe Nro. 88-58"/>
    <s v="Cancelación Vigilancia, mes de Febrero 2018"/>
    <s v="Vigilancia"/>
    <m/>
    <s v="00846"/>
    <s v="21 de Febrero de 2018"/>
    <n v="21"/>
    <d v="2018-02-01T00:00:00"/>
    <s v="0,80"/>
    <s v="Cero Bolívares con 80/100"/>
  </r>
  <r>
    <n v="847"/>
    <m/>
    <s v="ü"/>
    <d v="2018-02-22T00:00:00"/>
    <n v="1.5"/>
    <x v="3"/>
    <x v="3"/>
    <s v="Calle Güigüe Nro. 88-62"/>
    <s v="Colaboración Vigilancia, meses de Enero y Febrero 2018"/>
    <s v="Vigilancia"/>
    <m/>
    <s v="00847"/>
    <s v="22 de Febrero de 2018"/>
    <n v="22"/>
    <d v="2018-02-01T00:00:00"/>
    <s v="1,50"/>
    <s v="Un Bolívares con 50/100"/>
  </r>
  <r>
    <n v="848"/>
    <m/>
    <s v="ü"/>
    <d v="2018-02-23T00:00:00"/>
    <n v="1.1499999999999999"/>
    <x v="29"/>
    <x v="27"/>
    <s v="Calle Guacara Nro. 88-75"/>
    <s v="Cancelación Vigilancia, mes de Febrero 2018"/>
    <s v="Vigilancia"/>
    <m/>
    <s v="00848"/>
    <s v="23 de Febrero de 2018"/>
    <n v="23"/>
    <d v="2018-02-01T00:00:00"/>
    <s v="1,15"/>
    <s v="Un Bolívares con 15/100"/>
  </r>
  <r>
    <n v="849"/>
    <m/>
    <s v="ü"/>
    <d v="2018-02-24T00:00:00"/>
    <n v="2.4"/>
    <x v="60"/>
    <x v="54"/>
    <s v="Calle Guacara Nro. 88-51"/>
    <s v="Cancelación Vigilancia, meses de Marzo, Abril y Mayo 2018"/>
    <s v="Vigilancia"/>
    <m/>
    <s v="00849"/>
    <s v="24 de Febrero de 2018"/>
    <n v="24"/>
    <d v="2018-02-01T00:00:00"/>
    <s v="2,40"/>
    <s v="Dos Bolívares con 40/100"/>
  </r>
  <r>
    <n v="850"/>
    <m/>
    <s v="ü"/>
    <d v="2018-02-24T00:00:00"/>
    <n v="0.8"/>
    <x v="42"/>
    <x v="39"/>
    <s v="Calle Güigüe Nro. 89-79"/>
    <s v="Cancelación Vigilancia, mes de Febrero 2018"/>
    <s v="Vigilancia"/>
    <m/>
    <s v="00850"/>
    <s v="24 de Febrero de 2018"/>
    <n v="24"/>
    <d v="2018-02-01T00:00:00"/>
    <s v="0,80"/>
    <s v="Cero Bolívares con 80/100"/>
  </r>
  <r>
    <n v="851"/>
    <m/>
    <s v="ü"/>
    <d v="2018-02-25T00:00:00"/>
    <n v="0.8"/>
    <x v="43"/>
    <x v="40"/>
    <s v="Calle Güigüe Nro. 88-50"/>
    <s v="Cancelación Vigilancia, mes de Febrero 2018"/>
    <s v="Vigilancia"/>
    <m/>
    <s v="00851"/>
    <s v="25 de Febrero de 2018"/>
    <n v="25"/>
    <d v="2018-02-01T00:00:00"/>
    <s v="0,80"/>
    <s v="Cero Bolívares con 80/100"/>
  </r>
  <r>
    <n v="852"/>
    <m/>
    <s v="ü"/>
    <d v="2018-02-25T00:00:00"/>
    <n v="0.8"/>
    <x v="18"/>
    <x v="16"/>
    <s v="Calle Guacara Nro. 87-100"/>
    <s v="Cancelación Vigilancia, mes de Marzo 2018"/>
    <s v="Vigilancia"/>
    <m/>
    <s v="00852"/>
    <s v="25 de Febrero de 2018"/>
    <n v="25"/>
    <d v="2018-02-01T00:00:00"/>
    <s v="0,80"/>
    <s v="Cero Bolívares con 80/100"/>
  </r>
  <r>
    <n v="853"/>
    <m/>
    <s v="ü"/>
    <d v="2018-02-26T00:00:00"/>
    <n v="0.8"/>
    <x v="10"/>
    <x v="10"/>
    <s v="Av. &quot;M&quot; Nro. 146-15"/>
    <s v="Cancelación Vigilancia, mes de Enero 2018"/>
    <s v="Vigilancia"/>
    <m/>
    <s v="00853"/>
    <s v="26 de Febrero de 2018"/>
    <n v="26"/>
    <d v="2018-02-01T00:00:00"/>
    <s v="0,80"/>
    <s v="Cero Bolívares con 80/100"/>
  </r>
  <r>
    <n v="854"/>
    <m/>
    <s v="ü"/>
    <d v="2018-02-26T00:00:00"/>
    <n v="0.8"/>
    <x v="35"/>
    <x v="32"/>
    <s v="Calle Güigüe Nro. 89-80"/>
    <s v="Cancelación Vigilancia, mes de Febrero 2018"/>
    <s v="Vigilancia"/>
    <m/>
    <s v="00854"/>
    <s v="26 de Febrero de 2018"/>
    <n v="26"/>
    <d v="2018-02-01T00:00:00"/>
    <s v="0,80"/>
    <s v="Cero Bolívares con 80/100"/>
  </r>
  <r>
    <n v="855"/>
    <m/>
    <s v="ü"/>
    <d v="2018-02-26T00:00:00"/>
    <n v="2.6"/>
    <x v="31"/>
    <x v="29"/>
    <s v="Calle Güigüe Nro. 89-95"/>
    <s v="Cancelación Vigilancia, meses de Diciembre 2017, Enero, Febrero y anticipo de Marzo 2018"/>
    <s v="Vigilancia"/>
    <m/>
    <s v="00855"/>
    <s v="26 de Febrero de 2018"/>
    <n v="26"/>
    <d v="2018-02-01T00:00:00"/>
    <s v="2,60"/>
    <s v="Dos Bolívares con 60/100"/>
  </r>
  <r>
    <n v="856"/>
    <m/>
    <s v="ü"/>
    <d v="2018-02-24T00:00:00"/>
    <n v="0.5"/>
    <x v="86"/>
    <x v="73"/>
    <s v="Calle Guacara Nro. 89-50"/>
    <s v="Colaboración Vigilancia, mes de Marzo 2018"/>
    <s v="Vigilancia"/>
    <m/>
    <s v="00856"/>
    <s v="24 de Febrero de 2018"/>
    <n v="24"/>
    <d v="2018-02-01T00:00:00"/>
    <s v="0,50"/>
    <s v="Cero Bolívares con 50/100"/>
  </r>
  <r>
    <n v="857"/>
    <m/>
    <s v="ü"/>
    <d v="2018-02-25T00:00:00"/>
    <n v="0.8"/>
    <x v="88"/>
    <x v="76"/>
    <s v="Calle Güigüe Nro. 88-11"/>
    <s v="Cancelación Vigilancia, mes de Febrero 2018"/>
    <s v="Vigilancia"/>
    <m/>
    <s v="00857"/>
    <s v="25 de Febrero de 2018"/>
    <n v="25"/>
    <d v="2018-02-01T00:00:00"/>
    <s v="0,80"/>
    <s v="Cero Bolívares con 80/100"/>
  </r>
  <r>
    <n v="858"/>
    <m/>
    <s v="ü"/>
    <d v="2018-02-26T00:00:00"/>
    <n v="1"/>
    <x v="16"/>
    <x v="15"/>
    <s v="Calle Guacara Nro. 90-81"/>
    <s v="Cancelación Vigilancia, mes de Febrero 2018"/>
    <s v="Vigilancia"/>
    <m/>
    <s v="00858"/>
    <s v="26 de Febrero de 2018"/>
    <n v="26"/>
    <d v="2018-02-01T00:00:00"/>
    <s v="1,00"/>
    <s v="Un Bolívar con 00/100"/>
  </r>
  <r>
    <n v="859"/>
    <m/>
    <s v="ü"/>
    <d v="2018-01-22T00:00:00"/>
    <n v="0.1245"/>
    <x v="54"/>
    <x v="50"/>
    <s v="Calle Güigüe Nro. 89-21"/>
    <s v="Anticipo Vigilancia, mes de Enero 2018 (anticipo al Sr. Francisco en su primer día de trabajo)"/>
    <s v="Vigilancia"/>
    <m/>
    <s v="00859"/>
    <s v="22 de Enero de 2018"/>
    <n v="22"/>
    <d v="2018-01-01T00:00:00"/>
    <s v="0,12"/>
    <s v="Cero Bolívares con 12/100"/>
  </r>
  <r>
    <n v="860"/>
    <m/>
    <s v="ü"/>
    <d v="2018-02-26T00:00:00"/>
    <n v="1"/>
    <x v="54"/>
    <x v="50"/>
    <s v="Calle Güigüe Nro. 89-21"/>
    <s v="Cancelación Vigilancia, saldo mes de Enero, Febrero y anticipo Marzo 2018"/>
    <s v="Vigilancia"/>
    <m/>
    <s v="00860"/>
    <s v="26 de Febrero de 2018"/>
    <n v="26"/>
    <d v="2018-02-01T00:00:00"/>
    <s v="1,00"/>
    <s v="Un Bolívar con 00/100"/>
  </r>
  <r>
    <n v="861"/>
    <m/>
    <s v="ü"/>
    <d v="2018-02-27T00:00:00"/>
    <n v="1.6"/>
    <x v="80"/>
    <x v="9"/>
    <s v="Calle Guacara Nro. 88-55"/>
    <s v="Cancelación Vigilancia, meses de Enero y Febrero 2018"/>
    <s v="Vigilancia"/>
    <m/>
    <s v="00861"/>
    <s v="27 de Febrero de 2018"/>
    <n v="27"/>
    <d v="2018-02-01T00:00:00"/>
    <s v="1,60"/>
    <s v="Un Bolívares con 60/100"/>
  </r>
  <r>
    <n v="862"/>
    <m/>
    <s v="ü"/>
    <d v="2018-02-27T00:00:00"/>
    <n v="0.3"/>
    <x v="28"/>
    <x v="26"/>
    <s v="Calle Güigüe Nro. 88-30"/>
    <s v="Colaboración Vigilancia, meses de Diciembre 2017, Enero y Febrero 2018"/>
    <s v="Vigilancia"/>
    <m/>
    <s v="00862"/>
    <s v="27 de Febrero de 2018"/>
    <n v="27"/>
    <d v="2018-02-01T00:00:00"/>
    <s v="0,30"/>
    <s v="Cero Bolívares con 30/100"/>
  </r>
  <r>
    <n v="863"/>
    <m/>
    <s v="ü"/>
    <d v="2018-02-27T00:00:00"/>
    <n v="0.8"/>
    <x v="40"/>
    <x v="37"/>
    <s v="Calle Güigüe Nro. 88-101"/>
    <s v="Cancelación Vigilancia, mes de Febrero 2018"/>
    <s v="Vigilancia"/>
    <m/>
    <s v="00863"/>
    <s v="27 de Febrero de 2018"/>
    <n v="27"/>
    <d v="2018-02-01T00:00:00"/>
    <s v="0,80"/>
    <s v="Cero Bolívares con 80/100"/>
  </r>
  <r>
    <n v="864"/>
    <m/>
    <s v="ü"/>
    <d v="2018-02-27T00:00:00"/>
    <n v="0.8"/>
    <x v="56"/>
    <x v="52"/>
    <s v="Calle Güigüe Nro. 88-70"/>
    <s v="Cancelación Vigilancia, mes de Febrero 2018"/>
    <s v="Vigilancia"/>
    <m/>
    <s v="00864"/>
    <s v="27 de Febrero de 2018"/>
    <n v="27"/>
    <d v="2018-02-01T00:00:00"/>
    <s v="0,80"/>
    <s v="Cero Bolívares con 80/100"/>
  </r>
  <r>
    <n v="865"/>
    <m/>
    <s v="ü"/>
    <d v="2018-02-28T00:00:00"/>
    <n v="2"/>
    <x v="6"/>
    <x v="6"/>
    <s v="Calle Guacara Nro. 89-60"/>
    <s v="Cancelación Vigilancia, mes de Marzo 2018 y aporte especial"/>
    <s v="Vigilancia"/>
    <m/>
    <s v="00865"/>
    <s v="28 de Febrero de 2018"/>
    <n v="28"/>
    <d v="2018-02-01T00:00:00"/>
    <s v="2,00"/>
    <s v="Dos Bolívares con 00/100"/>
  </r>
  <r>
    <n v="866"/>
    <m/>
    <s v="ü"/>
    <d v="2018-02-28T00:00:00"/>
    <n v="0.8"/>
    <x v="26"/>
    <x v="24"/>
    <s v="Calle Güigüe Nro. 89-96"/>
    <s v="Cancelación Vigilancia, mes de Febrero 2018"/>
    <s v="Vigilancia"/>
    <m/>
    <s v="00866"/>
    <s v="28 de Febrero de 2018"/>
    <n v="28"/>
    <d v="2018-02-01T00:00:00"/>
    <s v="0,80"/>
    <s v="Cero Bolívares con 80/100"/>
  </r>
  <r>
    <n v="867"/>
    <m/>
    <s v="ü"/>
    <d v="2018-02-28T00:00:00"/>
    <n v="1.8"/>
    <x v="44"/>
    <x v="41"/>
    <s v="Calle Guacara Nro. 89-40"/>
    <s v="Cancelación Vigilancia, meses de Enero y Febrero 2018"/>
    <s v="Vigilancia"/>
    <m/>
    <s v="00867"/>
    <s v="28 de Febrero de 2018"/>
    <n v="28"/>
    <d v="2018-02-01T00:00:00"/>
    <s v="1,80"/>
    <s v="Un Bolívares con 80/100"/>
  </r>
  <r>
    <n v="868"/>
    <m/>
    <s v="ü"/>
    <d v="2018-02-28T00:00:00"/>
    <n v="1.6"/>
    <x v="81"/>
    <x v="69"/>
    <s v="Calle Güigüe Nro. 89-65"/>
    <s v="Cancelación Vigilancia, meses de Febrero y Marzo 2018"/>
    <s v="Vigilancia"/>
    <m/>
    <s v="00868"/>
    <s v="28 de Febrero de 2018"/>
    <n v="28"/>
    <d v="2018-02-01T00:00:00"/>
    <s v="1,60"/>
    <s v="Un Bolívares con 60/100"/>
  </r>
  <r>
    <n v="869"/>
    <m/>
    <s v="ü"/>
    <d v="2018-03-01T00:00:00"/>
    <n v="1.3"/>
    <x v="20"/>
    <x v="18"/>
    <s v="Calle Guacara Nro. 89-30"/>
    <s v="Cancelación Vigilancia, anticipo mes de Marzo 2018"/>
    <s v="Vigilancia"/>
    <m/>
    <s v="00869"/>
    <s v="01 de Marzo de 2018"/>
    <n v="1"/>
    <d v="2018-03-01T00:00:00"/>
    <s v="1,30"/>
    <s v="Un Bolívares con 30/100"/>
  </r>
  <r>
    <n v="870"/>
    <m/>
    <s v="ü"/>
    <d v="2018-03-01T00:00:00"/>
    <n v="1.4"/>
    <x v="84"/>
    <x v="71"/>
    <s v="Calle Güigüe Nro. 89-54"/>
    <s v="Cancelación Vigilancia, mes de Marzo 2018"/>
    <s v="Vigilancia"/>
    <m/>
    <s v="00870"/>
    <s v="01 de Marzo de 2018"/>
    <n v="1"/>
    <d v="2018-03-01T00:00:00"/>
    <s v="1,40"/>
    <s v="Un Bolívares con 40/100"/>
  </r>
  <r>
    <n v="871"/>
    <m/>
    <s v="ü"/>
    <d v="2018-03-02T00:00:00"/>
    <n v="0.1"/>
    <x v="20"/>
    <x v="18"/>
    <s v="Calle Guacara Nro. 89-30"/>
    <s v="Cancelación Vigilancia, saldo mes de Marzo 2018"/>
    <s v="Vigilancia"/>
    <m/>
    <s v="00871"/>
    <s v="02 de Marzo de 2018"/>
    <n v="2"/>
    <d v="2018-03-01T00:00:00"/>
    <s v="0,10"/>
    <s v="Cero Bolívares con 10/100"/>
  </r>
  <r>
    <n v="872"/>
    <m/>
    <s v="ü"/>
    <d v="2018-03-02T00:00:00"/>
    <n v="1.4"/>
    <x v="14"/>
    <x v="13"/>
    <s v="Calle Güigüe Nro. 89-83"/>
    <s v="Cancelación Vigilancia, mes de Marzo 2018"/>
    <s v="Vigilancia"/>
    <m/>
    <s v="00872"/>
    <s v="02 de Marzo de 2018"/>
    <n v="2"/>
    <d v="2018-03-01T00:00:00"/>
    <s v="1,40"/>
    <s v="Un Bolívares con 40/100"/>
  </r>
  <r>
    <n v="873"/>
    <m/>
    <s v="ü"/>
    <d v="2018-03-02T00:00:00"/>
    <n v="1.8"/>
    <x v="52"/>
    <x v="9"/>
    <s v="Calle Güigüe Nro. 89-45"/>
    <s v="Cancelación Vigilancia, saldo meses de Marzo y Abril 2018 (saldo a favor: Bs. 393.000)"/>
    <s v="Vigilancia"/>
    <m/>
    <s v="00873"/>
    <s v="02 de Marzo de 2018"/>
    <n v="2"/>
    <d v="2018-03-01T00:00:00"/>
    <s v="1,80"/>
    <s v="Un Bolívares con 80/100"/>
  </r>
  <r>
    <n v="874"/>
    <m/>
    <s v="ü"/>
    <d v="2018-03-02T00:00:00"/>
    <n v="1.7"/>
    <x v="34"/>
    <x v="9"/>
    <s v="Av. &quot;O&quot; Nro. 146-11"/>
    <s v="Cancelación Vigilancia, saldo mes de Febrero y cancelación mes de Marzo 2018"/>
    <s v="Vigilancia"/>
    <m/>
    <s v="00874"/>
    <s v="02 de Marzo de 2018"/>
    <n v="2"/>
    <d v="2018-03-01T00:00:00"/>
    <s v="1,70"/>
    <s v="Un Bolívares con 70/100"/>
  </r>
  <r>
    <n v="875"/>
    <m/>
    <s v="ü"/>
    <d v="2018-03-02T00:00:00"/>
    <n v="0.8"/>
    <x v="65"/>
    <x v="58"/>
    <s v="Calle Güigüe Nro. 88-10"/>
    <s v="Cancelación Vigilancia, mes de Febrero 2018"/>
    <s v="Vigilancia"/>
    <m/>
    <s v="00875"/>
    <s v="02 de Marzo de 2018"/>
    <n v="2"/>
    <d v="2018-03-01T00:00:00"/>
    <s v="0,80"/>
    <s v="Cero Bolívares con 80/100"/>
  </r>
  <r>
    <n v="876"/>
    <m/>
    <s v="ü"/>
    <d v="2018-03-02T00:00:00"/>
    <n v="1"/>
    <x v="15"/>
    <x v="14"/>
    <s v="Calle Guacara Nro. 89-94"/>
    <s v="Colaboración Vigilancia, meses de Febrero y Marzo 2018"/>
    <s v="Vigilancia"/>
    <m/>
    <s v="00876"/>
    <s v="02 de Marzo de 2018"/>
    <n v="2"/>
    <d v="2018-03-01T00:00:00"/>
    <s v="1,00"/>
    <s v="Un Bolívar con 00/100"/>
  </r>
  <r>
    <n v="877"/>
    <m/>
    <s v="ü"/>
    <d v="2018-03-02T00:00:00"/>
    <n v="1.4"/>
    <x v="0"/>
    <x v="0"/>
    <s v="Calle Guacara Nro. 88-45"/>
    <s v="Cancelación Vigilancia, mes de Marzo 2018 (saldo a favor: Bs. 660.000)"/>
    <s v="Vigilancia"/>
    <m/>
    <s v="00877"/>
    <s v="02 de Marzo de 2018"/>
    <n v="2"/>
    <d v="2018-03-01T00:00:00"/>
    <s v="1,40"/>
    <s v="Un Bolívares con 40/100"/>
  </r>
  <r>
    <n v="878"/>
    <m/>
    <s v="ü"/>
    <d v="2018-03-05T00:00:00"/>
    <n v="2"/>
    <x v="7"/>
    <x v="7"/>
    <s v="Calle Guacara Nro. 87-86"/>
    <s v="Colaboración Vigilancia, meses de Febrero y Marzo, y anticipo Abril 2018"/>
    <s v="Vigilancia"/>
    <m/>
    <s v="00878"/>
    <s v="05 de Marzo de 2018"/>
    <n v="5"/>
    <d v="2018-03-01T00:00:00"/>
    <s v="2,00"/>
    <s v="Dos Bolívares con 00/100"/>
  </r>
  <r>
    <n v="879"/>
    <m/>
    <s v="ü"/>
    <d v="2018-01-22T00:00:00"/>
    <n v="0.8"/>
    <x v="59"/>
    <x v="9"/>
    <s v="Calle Guacara Nro. 90-35"/>
    <s v="Cancelación Vigilancia, mes de Febrero 2018"/>
    <s v="Vigilancia"/>
    <m/>
    <s v="00879"/>
    <s v="22 de Enero de 2018"/>
    <n v="22"/>
    <d v="2018-01-01T00:00:00"/>
    <s v="0,80"/>
    <s v="Cero Bolívares con 80/100"/>
  </r>
  <r>
    <n v="880"/>
    <m/>
    <s v="ü"/>
    <d v="2018-03-07T00:00:00"/>
    <n v="1.4"/>
    <x v="12"/>
    <x v="12"/>
    <s v="Calle Guacara Nro. 89-20"/>
    <s v="Cancelación saldo Vigilancia, mes de Marzo 2018"/>
    <s v="Vigilancia"/>
    <m/>
    <s v="00880"/>
    <s v="07 de Marzo de 2018"/>
    <n v="7"/>
    <d v="2018-03-01T00:00:00"/>
    <s v="1,40"/>
    <s v="Un Bolívares con 40/100"/>
  </r>
  <r>
    <n v="881"/>
    <m/>
    <s v="ü"/>
    <d v="2018-03-07T00:00:00"/>
    <n v="1.6"/>
    <x v="48"/>
    <x v="9"/>
    <s v="Calle Güigüe Nro. 88-90"/>
    <s v="Cancelación Vigilancia, meses de Enero y Febrero 2018"/>
    <s v="Vigilancia"/>
    <m/>
    <s v="00881"/>
    <s v="07 de Marzo de 2018"/>
    <n v="7"/>
    <d v="2018-03-01T00:00:00"/>
    <s v="1,60"/>
    <s v="Un Bolívares con 60/100"/>
  </r>
  <r>
    <n v="882"/>
    <m/>
    <s v="ü"/>
    <d v="2018-03-07T00:00:00"/>
    <n v="1.4"/>
    <x v="1"/>
    <x v="1"/>
    <s v="Calle Güigüe Nro. 88-44"/>
    <s v="Cancelación Vigilancia, mes de Marzo 2018"/>
    <s v="Vigilancia"/>
    <m/>
    <s v="00882"/>
    <s v="07 de Marzo de 2018"/>
    <n v="7"/>
    <d v="2018-03-01T00:00:00"/>
    <s v="1,40"/>
    <s v="Un Bolívares con 40/100"/>
  </r>
  <r>
    <n v="883"/>
    <m/>
    <s v="ü"/>
    <d v="2018-03-09T00:00:00"/>
    <n v="1.4"/>
    <x v="5"/>
    <x v="5"/>
    <s v="Calle Güigüe Nro. 88-120"/>
    <s v="Cancelación Vigilancia, mes de Marzo 2018"/>
    <s v="Vigilancia"/>
    <m/>
    <s v="00883"/>
    <s v="09 de Marzo de 2018"/>
    <n v="9"/>
    <d v="2018-03-01T00:00:00"/>
    <s v="1,40"/>
    <s v="Un Bolívares con 40/100"/>
  </r>
  <r>
    <n v="884"/>
    <m/>
    <s v="ü"/>
    <d v="2018-03-09T00:00:00"/>
    <n v="1.4"/>
    <x v="75"/>
    <x v="65"/>
    <s v="Av. &quot;Ñ&quot; Nro. 145-25"/>
    <s v="Cancelación Vigilancia, mes de Marzo 2018 (saldo a favor: Bs. 725.000)"/>
    <s v="Vigilancia"/>
    <m/>
    <s v="00884"/>
    <s v="09 de Marzo de 2018"/>
    <n v="9"/>
    <d v="2018-03-01T00:00:00"/>
    <s v="1,40"/>
    <s v="Un Bolívares con 40/100"/>
  </r>
  <r>
    <n v="885"/>
    <m/>
    <s v="ü"/>
    <d v="2018-03-12T00:00:00"/>
    <n v="1.4"/>
    <x v="35"/>
    <x v="32"/>
    <s v="Calle Güigüe Nro. 89-80"/>
    <s v="Cancelación Vigilancia, mes de Marzo 2018"/>
    <s v="Vigilancia"/>
    <m/>
    <s v="00885"/>
    <s v="12 de Marzo de 2018"/>
    <n v="12"/>
    <d v="2018-03-01T00:00:00"/>
    <s v="1,40"/>
    <s v="Un Bolívares con 40/100"/>
  </r>
  <r>
    <n v="886"/>
    <m/>
    <s v="ü"/>
    <d v="2018-03-12T00:00:00"/>
    <n v="0.8"/>
    <x v="22"/>
    <x v="20"/>
    <s v="Calle Guacara Nro. 88-25"/>
    <s v="Cancelación Vigilancia, mes de Febrero 2018"/>
    <s v="Vigilancia"/>
    <m/>
    <s v="00886"/>
    <s v="12 de Marzo de 2018"/>
    <n v="12"/>
    <d v="2018-03-01T00:00:00"/>
    <s v="0,80"/>
    <s v="Cero Bolívares con 80/100"/>
  </r>
  <r>
    <n v="887"/>
    <m/>
    <s v="ü"/>
    <d v="2018-03-12T00:00:00"/>
    <n v="2.2000000000000002"/>
    <x v="49"/>
    <x v="46"/>
    <s v="Av. &quot;O&quot; Nro. 146-17"/>
    <s v="Cancelación Vigilancia, meses de Febrero y Marzo 2018"/>
    <s v="Vigilancia"/>
    <m/>
    <s v="00887"/>
    <s v="12 de Marzo de 2018"/>
    <n v="12"/>
    <d v="2018-03-01T00:00:00"/>
    <s v="2,20"/>
    <s v="Dos Bolívares con 20/100"/>
  </r>
  <r>
    <n v="888"/>
    <m/>
    <s v="ü"/>
    <d v="2018-02-22T00:00:00"/>
    <n v="0.3"/>
    <x v="57"/>
    <x v="9"/>
    <s v="Calle Güigüe Nro. 88-40"/>
    <s v="Colaboración Vigilancia, mes de Enero 2018"/>
    <s v="Vigilancia"/>
    <m/>
    <s v="00888"/>
    <s v="22 de Febrero de 2018"/>
    <n v="22"/>
    <d v="2018-02-01T00:00:00"/>
    <s v="0,30"/>
    <s v="Cero Bolívares con 30/100"/>
  </r>
  <r>
    <n v="889"/>
    <m/>
    <s v="ü"/>
    <d v="2018-03-02T00:00:00"/>
    <n v="1.4"/>
    <x v="19"/>
    <x v="17"/>
    <s v="Calle Guacara Nro. 89-130"/>
    <s v="Cancelación Vigilancia, mes de Marzo 2018"/>
    <s v="Vigilancia"/>
    <m/>
    <s v="00889"/>
    <s v="02 de Marzo de 2018"/>
    <n v="2"/>
    <d v="2018-03-01T00:00:00"/>
    <s v="1,40"/>
    <s v="Un Bolívares con 40/100"/>
  </r>
  <r>
    <n v="890"/>
    <m/>
    <s v="ü"/>
    <d v="2018-03-13T00:00:00"/>
    <n v="4.5"/>
    <x v="61"/>
    <x v="14"/>
    <s v="Calle Guacara Nro. 87-07"/>
    <s v="Cancelación Vigilancia, meses de Enero, Febrero, Marzo y Abril, y anticipo Mayo 2018"/>
    <s v="Vigilancia"/>
    <m/>
    <s v="00890"/>
    <s v="13 de Marzo de 2018"/>
    <n v="13"/>
    <d v="2018-03-01T00:00:00"/>
    <s v="4,50"/>
    <s v="Cuatro Bolívares con 50/100"/>
  </r>
  <r>
    <n v="891"/>
    <m/>
    <s v="ü"/>
    <d v="2018-03-14T00:00:00"/>
    <n v="1.4"/>
    <x v="38"/>
    <x v="35"/>
    <s v="Calle Guacara Nro. 89-78"/>
    <s v="Cancelación Vigilancia, mes de Marzo 2018"/>
    <s v="Vigilancia"/>
    <m/>
    <s v="00891"/>
    <s v="14 de Marzo de 2018"/>
    <n v="14"/>
    <d v="2018-03-01T00:00:00"/>
    <s v="1,40"/>
    <s v="Un Bolívares con 40/100"/>
  </r>
  <r>
    <n v="892"/>
    <m/>
    <s v="ü"/>
    <d v="2018-03-14T00:00:00"/>
    <n v="1.4"/>
    <x v="24"/>
    <x v="22"/>
    <s v="Calle Güigüe Nro. 88-54"/>
    <s v="Cancelación Vigilancia, mes de Marzo 2018"/>
    <s v="Vigilancia"/>
    <m/>
    <s v="00892"/>
    <s v="14 de Marzo de 2018"/>
    <n v="14"/>
    <d v="2018-03-01T00:00:00"/>
    <s v="1,40"/>
    <s v="Un Bolívares con 40/100"/>
  </r>
  <r>
    <n v="893"/>
    <m/>
    <s v="ü"/>
    <d v="2018-03-14T00:00:00"/>
    <n v="3"/>
    <x v="24"/>
    <x v="22"/>
    <s v="Calle Güigüe Nro. 88-54"/>
    <s v="Venta de tubería "/>
    <s v="Otros"/>
    <m/>
    <s v="00893"/>
    <s v="14 de Marzo de 2018"/>
    <n v="14"/>
    <d v="2018-03-01T00:00:00"/>
    <s v="3,00"/>
    <s v="Tres Bolívares con 00/100"/>
  </r>
  <r>
    <n v="894"/>
    <m/>
    <s v="ü"/>
    <d v="2018-03-14T00:00:00"/>
    <n v="1.4"/>
    <x v="30"/>
    <x v="28"/>
    <s v="Calle Güigüe Nro. 89-04"/>
    <s v="Cancelación Vigilancia, mes de Marzo 2018"/>
    <s v="Vigilancia"/>
    <m/>
    <s v="00894"/>
    <s v="14 de Marzo de 2018"/>
    <n v="14"/>
    <d v="2018-03-01T00:00:00"/>
    <s v="1,40"/>
    <s v="Un Bolívares con 40/100"/>
  </r>
  <r>
    <n v="895"/>
    <m/>
    <s v="ü"/>
    <d v="2018-03-14T00:00:00"/>
    <n v="0.4"/>
    <x v="60"/>
    <x v="54"/>
    <s v="Calle Guacara Nro. 88-51"/>
    <s v="Cancelación ajuste de Vigilancia, meses de Marzo y Abril 2018"/>
    <s v="Vigilancia"/>
    <m/>
    <s v="00895"/>
    <s v="14 de Marzo de 2018"/>
    <n v="14"/>
    <d v="2018-03-01T00:00:00"/>
    <s v="0,40"/>
    <s v="Cero Bolívares con 40/100"/>
  </r>
  <r>
    <n v="896"/>
    <m/>
    <s v="ü"/>
    <d v="2018-03-16T00:00:00"/>
    <n v="1.4"/>
    <x v="4"/>
    <x v="4"/>
    <s v="Calle Güigüe Nro. 89-55"/>
    <s v="Cancelación Vigilancia, mes de Marzo 2018"/>
    <s v="Vigilancia"/>
    <m/>
    <s v="00896"/>
    <s v="16 de Marzo de 2018"/>
    <n v="16"/>
    <d v="2018-03-01T00:00:00"/>
    <s v="1,40"/>
    <s v="Un Bolívares con 40/100"/>
  </r>
  <r>
    <n v="897"/>
    <m/>
    <s v="ü"/>
    <d v="2018-03-16T00:00:00"/>
    <n v="1.55"/>
    <x v="9"/>
    <x v="9"/>
    <s v="Av. &quot;M&quot; Nro. 146-30"/>
    <s v="Cancelación Vigilancia, mes de Marzo 2018"/>
    <s v="Vigilancia"/>
    <m/>
    <s v="00897"/>
    <s v="16 de Marzo de 2018"/>
    <n v="16"/>
    <d v="2018-03-01T00:00:00"/>
    <s v="1,55"/>
    <s v="Un Bolívares con 55/100"/>
  </r>
  <r>
    <n v="898"/>
    <m/>
    <s v="ü"/>
    <d v="2018-03-19T00:00:00"/>
    <n v="0.8"/>
    <x v="68"/>
    <x v="60"/>
    <s v="Calle Güigüe Nro. 89-29"/>
    <s v="Colaboración Vigilancia, mes de Marzo 2018"/>
    <s v="Vigilancia"/>
    <m/>
    <s v="00898"/>
    <s v="19 de Marzo de 2018"/>
    <n v="19"/>
    <d v="2018-03-01T00:00:00"/>
    <s v="0,80"/>
    <s v="Cero Bolívares con 80/100"/>
  </r>
  <r>
    <n v="899"/>
    <m/>
    <s v="ü"/>
    <d v="2018-03-20T00:00:00"/>
    <n v="4.7"/>
    <x v="62"/>
    <x v="55"/>
    <s v="Av. &quot;M&quot; Nro. 145-10"/>
    <s v="Cancelación Vigilancia, meses de Septiembre a Diciembre 2017 y Enero a Marzo 2018"/>
    <s v="Vigilancia"/>
    <m/>
    <s v="00899"/>
    <s v="20 de Marzo de 2018"/>
    <n v="20"/>
    <d v="2018-03-01T00:00:00"/>
    <s v="4,70"/>
    <s v="Cuatro Bolívares con 70/100"/>
  </r>
  <r>
    <n v="900"/>
    <m/>
    <s v="ü"/>
    <d v="2018-03-20T00:00:00"/>
    <n v="1.4"/>
    <x v="45"/>
    <x v="42"/>
    <s v="Calle Güigüe Nro. 87-A-11"/>
    <s v="Cancelación Vigilancia, mes de Marzo 2018"/>
    <s v="Vigilancia"/>
    <m/>
    <s v="00900"/>
    <s v="20 de Marzo de 2018"/>
    <n v="20"/>
    <d v="2018-03-01T00:00:00"/>
    <s v="1,40"/>
    <s v="Un Bolívares con 40/100"/>
  </r>
  <r>
    <n v="901"/>
    <m/>
    <s v="ü"/>
    <d v="2018-02-28T00:00:00"/>
    <n v="0.8"/>
    <x v="10"/>
    <x v="10"/>
    <s v="Av. &quot;M&quot; Nro. 146-15"/>
    <s v="Cancelación Vigilancia, mes de Febrero 2018"/>
    <s v="Vigilancia"/>
    <m/>
    <s v="00901"/>
    <s v="28 de Febrero de 2018"/>
    <n v="28"/>
    <d v="2018-02-01T00:00:00"/>
    <s v="0,80"/>
    <s v="Cero Bolívares con 80/100"/>
  </r>
  <r>
    <n v="902"/>
    <m/>
    <s v="ü"/>
    <d v="2018-03-21T00:00:00"/>
    <n v="2"/>
    <x v="73"/>
    <x v="9"/>
    <s v="Calle Güigüe Nros. 88-71 y 88-81"/>
    <s v="Cancelación Vigilancia, mes de Marzo 2018"/>
    <s v="Vigilancia"/>
    <m/>
    <s v="00902"/>
    <s v="21 de Marzo de 2018"/>
    <n v="21"/>
    <d v="2018-03-01T00:00:00"/>
    <s v="2,00"/>
    <s v="Dos Bolívares con 00/100"/>
  </r>
  <r>
    <n v="903"/>
    <m/>
    <s v="ü"/>
    <d v="2018-03-21T00:00:00"/>
    <n v="3"/>
    <x v="21"/>
    <x v="19"/>
    <s v="Calle Güigüe Nro. 89-105"/>
    <s v="Cancelación Vigilancia, meses de Enero, Febrero y Marzo 2018"/>
    <s v="Vigilancia"/>
    <m/>
    <s v="00903"/>
    <s v="21 de Marzo de 2018"/>
    <n v="21"/>
    <d v="2018-03-01T00:00:00"/>
    <s v="3,00"/>
    <s v="Tres Bolívares con 00/100"/>
  </r>
  <r>
    <n v="904"/>
    <m/>
    <s v="ü"/>
    <d v="2018-03-21T00:00:00"/>
    <n v="2.2000000000000002"/>
    <x v="17"/>
    <x v="74"/>
    <s v="Av. &quot;M&quot; Nro. 146-20"/>
    <s v="Cancelación Vigilancia, meses de Febrero y Marzo 2018"/>
    <s v="Vigilancia"/>
    <m/>
    <s v="00904"/>
    <s v="21 de Marzo de 2018"/>
    <n v="21"/>
    <d v="2018-03-01T00:00:00"/>
    <s v="2,20"/>
    <s v="Dos Bolívares con 20/100"/>
  </r>
  <r>
    <n v="905"/>
    <m/>
    <s v="ü"/>
    <d v="2018-03-21T00:00:00"/>
    <n v="2.5"/>
    <x v="31"/>
    <x v="29"/>
    <s v="Calle Güigüe Nro. 89-95"/>
    <s v="Cancelación Vigilancia, saldo mes de Marzo, y anticipo meses de Abril y Mayo 2018"/>
    <s v="Vigilancia"/>
    <m/>
    <s v="00905"/>
    <s v="21 de Marzo de 2018"/>
    <n v="21"/>
    <d v="2018-03-01T00:00:00"/>
    <s v="2,50"/>
    <s v="Dos Bolívares con 50/100"/>
  </r>
  <r>
    <n v="906"/>
    <m/>
    <s v="ü"/>
    <d v="2018-03-23T00:00:00"/>
    <n v="1.8"/>
    <x v="59"/>
    <x v="9"/>
    <s v="Calle Guacara Nro. 90-35"/>
    <s v="Cancelación Vigilancia, mes de Marzo y anticipo Abril 2018"/>
    <s v="Vigilancia"/>
    <m/>
    <s v="00906"/>
    <s v="23 de Marzo de 2018"/>
    <n v="23"/>
    <d v="2018-03-01T00:00:00"/>
    <s v="1,80"/>
    <s v="Un Bolívares con 80/100"/>
  </r>
  <r>
    <n v="907"/>
    <m/>
    <s v="ü"/>
    <d v="2018-03-23T00:00:00"/>
    <n v="1.4"/>
    <x v="23"/>
    <x v="21"/>
    <s v="Calle Güigüe Nro. 88-116"/>
    <s v="Cancelación Vigilancia, mes de Marzo 2018"/>
    <s v="Vigilancia"/>
    <m/>
    <s v="00907"/>
    <s v="23 de Marzo de 2018"/>
    <n v="23"/>
    <d v="2018-03-01T00:00:00"/>
    <s v="1,40"/>
    <s v="Un Bolívares con 40/100"/>
  </r>
  <r>
    <n v="908"/>
    <m/>
    <s v="ü"/>
    <d v="2018-03-26T00:00:00"/>
    <n v="1.2"/>
    <x v="69"/>
    <x v="61"/>
    <s v="Calle Güigüe Nro. 89-40"/>
    <s v="Cancelación saldo Vigilancia, meses de Marzo y Abril 2018"/>
    <s v="Vigilancia"/>
    <m/>
    <s v="00908"/>
    <s v="26 de Marzo de 2018"/>
    <n v="26"/>
    <d v="2018-03-01T00:00:00"/>
    <s v="1,20"/>
    <s v="Un Bolívares con 20/100"/>
  </r>
  <r>
    <n v="909"/>
    <m/>
    <s v="ü"/>
    <d v="2018-03-26T00:00:00"/>
    <n v="1.4"/>
    <x v="26"/>
    <x v="24"/>
    <s v="Calle Güigüe Nro. 89-96"/>
    <s v="Cancelación Vigilancia, mes de Marzo 2018"/>
    <s v="Vigilancia"/>
    <m/>
    <s v="00909"/>
    <s v="26 de Marzo de 2018"/>
    <n v="26"/>
    <d v="2018-03-01T00:00:00"/>
    <s v="1,40"/>
    <s v="Un Bolívares con 40/100"/>
  </r>
  <r>
    <n v="910"/>
    <m/>
    <s v="ü"/>
    <d v="2018-03-26T00:00:00"/>
    <n v="3"/>
    <x v="47"/>
    <x v="44"/>
    <s v="Calle Güigüe Nro. 88-80"/>
    <s v="Colaboración Vigilancia, meses de Enero, Febrero y Marzo 2017"/>
    <s v="Vigilancia"/>
    <m/>
    <s v="00910"/>
    <s v="26 de Marzo de 2018"/>
    <n v="26"/>
    <d v="2018-03-01T00:00:00"/>
    <s v="3,00"/>
    <s v="Tres Bolívares con 00/100"/>
  </r>
  <r>
    <n v="911"/>
    <m/>
    <s v="ü"/>
    <d v="2018-03-26T00:00:00"/>
    <n v="2.8"/>
    <x v="27"/>
    <x v="25"/>
    <s v="Calle Güigüe Nro. 89-106"/>
    <s v="Cancelación Vigilancia, meses de Marzo y Abril 2018"/>
    <s v="Vigilancia"/>
    <m/>
    <s v="00911"/>
    <s v="26 de Marzo de 2018"/>
    <n v="26"/>
    <d v="2018-03-01T00:00:00"/>
    <s v="2,80"/>
    <s v="Dos Bolívares con 80/100"/>
  </r>
  <r>
    <n v="912"/>
    <m/>
    <s v="ü"/>
    <d v="2018-03-26T00:00:00"/>
    <n v="3"/>
    <x v="28"/>
    <x v="77"/>
    <s v="Calle Güigüe Nro. 88-30"/>
    <s v="Colaboración Vigilancia, meses de Marzo, Abril y Mayo 2018"/>
    <s v="Vigilancia"/>
    <m/>
    <s v="00912"/>
    <s v="26 de Marzo de 2018"/>
    <n v="26"/>
    <d v="2018-03-01T00:00:00"/>
    <s v="3,00"/>
    <s v="Tres Bolívares con 00/100"/>
  </r>
  <r>
    <n v="913"/>
    <m/>
    <s v="ü"/>
    <d v="2018-03-26T00:00:00"/>
    <n v="1.4"/>
    <x v="36"/>
    <x v="33"/>
    <s v="Calle Güigüe Nro. 89-10"/>
    <s v="Cancelación Vigilancia, mes de Marzo 2018"/>
    <s v="Vigilancia"/>
    <m/>
    <s v="00913"/>
    <s v="26 de Marzo de 2018"/>
    <n v="26"/>
    <d v="2018-03-01T00:00:00"/>
    <s v="1,40"/>
    <s v="Un Bolívares con 40/100"/>
  </r>
  <r>
    <n v="914"/>
    <m/>
    <s v="ü"/>
    <d v="2018-03-28T00:00:00"/>
    <n v="1.4"/>
    <x v="43"/>
    <x v="40"/>
    <s v="Calle Güigüe Nro. 88-50"/>
    <s v="Cancelación Vigilancia, mes de Marzo 2018"/>
    <s v="Vigilancia"/>
    <m/>
    <s v="00914"/>
    <s v="28 de Marzo de 2018"/>
    <n v="28"/>
    <d v="2018-03-01T00:00:00"/>
    <s v="1,40"/>
    <s v="Un Bolívares con 40/100"/>
  </r>
  <r>
    <n v="915"/>
    <m/>
    <s v="ü"/>
    <d v="2018-03-28T00:00:00"/>
    <n v="4"/>
    <x v="83"/>
    <x v="70"/>
    <s v="Calle Güigüe Nro. 89-22"/>
    <s v="Cancelación Vigilancia, meses de Noviembre y Diciembre 2017 y de Enero a Marzo 2018"/>
    <s v="Vigilancia"/>
    <m/>
    <s v="00915"/>
    <s v="28 de Marzo de 2018"/>
    <n v="28"/>
    <d v="2018-03-01T00:00:00"/>
    <s v="4,00"/>
    <s v="Cuatro Bolívares con 00/100"/>
  </r>
  <r>
    <n v="916"/>
    <m/>
    <s v="ü"/>
    <d v="2018-03-28T00:00:00"/>
    <n v="2.7755000000000001"/>
    <x v="54"/>
    <x v="50"/>
    <s v="Calle Güigüe Nro. 89-21"/>
    <s v="Cancelación Vigilancia, saldo mes de Marzo y mes de Abril 2018"/>
    <s v="Vigilancia"/>
    <m/>
    <s v="00916"/>
    <s v="28 de Marzo de 2018"/>
    <n v="28"/>
    <d v="2018-03-01T00:00:00"/>
    <s v="2,78"/>
    <s v="Dos Bolívares con 78/100"/>
  </r>
  <r>
    <n v="917"/>
    <m/>
    <s v="ü"/>
    <d v="2018-03-28T00:00:00"/>
    <n v="1.4"/>
    <x v="56"/>
    <x v="52"/>
    <s v="Calle Güigüe Nro. 88-70"/>
    <s v="Cancelación Vigilancia, mes de Marzo 2018"/>
    <s v="Vigilancia"/>
    <m/>
    <s v="00917"/>
    <s v="28 de Marzo de 2018"/>
    <n v="28"/>
    <d v="2018-03-01T00:00:00"/>
    <s v="1,40"/>
    <s v="Un Bolívares con 40/100"/>
  </r>
  <r>
    <n v="918"/>
    <m/>
    <s v="ü"/>
    <d v="2018-03-30T00:00:00"/>
    <n v="1.4"/>
    <x v="42"/>
    <x v="39"/>
    <s v="Calle Güigüe Nro. 89-79"/>
    <s v="Cancelación Vigilancia, mes de Marzo 2018 (saldo a favor: Bs. 700.000)"/>
    <s v="Vigilancia"/>
    <m/>
    <s v="00918"/>
    <s v="30 de Marzo de 2018"/>
    <n v="30"/>
    <d v="2018-03-01T00:00:00"/>
    <s v="1,40"/>
    <s v="Un Bolívares con 40/100"/>
  </r>
  <r>
    <n v="919"/>
    <m/>
    <s v="ü"/>
    <d v="2018-03-30T00:00:00"/>
    <n v="0.5"/>
    <x v="2"/>
    <x v="2"/>
    <s v="Calle Guacara Nro. 88-19"/>
    <s v="Colaboración Vigilancia, mes de Marzo 2018"/>
    <s v="Vigilancia"/>
    <m/>
    <s v="00919"/>
    <s v="30 de Marzo de 2018"/>
    <n v="30"/>
    <d v="2018-03-01T00:00:00"/>
    <s v="0,50"/>
    <s v="Cero Bolívares con 50/100"/>
  </r>
  <r>
    <n v="920"/>
    <m/>
    <s v="ü"/>
    <d v="2018-03-30T00:00:00"/>
    <n v="4.2"/>
    <x v="11"/>
    <x v="11"/>
    <s v="Calle Guacara Nro. 89-86"/>
    <s v="Cancelación Vigilancia, meses de Marzo, Abril y Mayo 2018"/>
    <s v="Vigilancia"/>
    <m/>
    <s v="00920"/>
    <s v="30 de Marzo de 2018"/>
    <n v="30"/>
    <d v="2018-03-01T00:00:00"/>
    <s v="4,20"/>
    <s v="Cuatro Bolívares con 20/100"/>
  </r>
  <r>
    <n v="921"/>
    <m/>
    <s v="ü"/>
    <d v="2018-04-02T00:00:00"/>
    <n v="0.5"/>
    <x v="2"/>
    <x v="2"/>
    <s v="Calle Guacara Nro. 88-19"/>
    <s v="Colaboración Vigilancia, complemento mes de Marzo 2018"/>
    <s v="Vigilancia"/>
    <m/>
    <s v="00921"/>
    <s v="02 de Abril de 2018"/>
    <n v="2"/>
    <d v="2018-04-01T00:00:00"/>
    <s v="0,50"/>
    <s v="Cero Bolívares con 50/100"/>
  </r>
  <r>
    <n v="922"/>
    <m/>
    <s v="ü"/>
    <d v="2018-04-04T00:00:00"/>
    <n v="2"/>
    <x v="18"/>
    <x v="16"/>
    <s v="Calle Guacara Nro. 87-100"/>
    <s v="Vigilancia, saldo mes de Marzo y cancelación mes de Abril 2018"/>
    <s v="Vigilancia"/>
    <m/>
    <s v="00922"/>
    <s v="04 de Abril de 2018"/>
    <n v="4"/>
    <d v="2018-04-01T00:00:00"/>
    <s v="2,00"/>
    <s v="Dos Bolívares con 00/100"/>
  </r>
  <r>
    <n v="923"/>
    <m/>
    <s v="ü"/>
    <d v="2018-04-03T00:00:00"/>
    <n v="2.8"/>
    <x v="76"/>
    <x v="66"/>
    <s v="Calle Güigüe Nro. 89-90"/>
    <s v="Cancelación Vigilancia, meses de Marzo y Abril 2018"/>
    <s v="Vigilancia"/>
    <m/>
    <s v="00923"/>
    <s v="03 de Abril de 2018"/>
    <n v="3"/>
    <d v="2018-04-01T00:00:00"/>
    <s v="2,80"/>
    <s v="Dos Bolívares con 80/100"/>
  </r>
  <r>
    <n v="924"/>
    <m/>
    <s v="ü"/>
    <d v="2018-04-04T00:00:00"/>
    <n v="1.4"/>
    <x v="1"/>
    <x v="1"/>
    <s v="Calle Güigüe Nro. 88-44"/>
    <s v="Cancelación Vigilancia, mes de Abril 2018"/>
    <s v="Vigilancia"/>
    <m/>
    <s v="00924"/>
    <s v="04 de Abril de 2018"/>
    <n v="4"/>
    <d v="2018-04-01T00:00:00"/>
    <s v="1,40"/>
    <s v="Un Bolívares con 40/100"/>
  </r>
  <r>
    <n v="925"/>
    <m/>
    <s v="ü"/>
    <d v="2018-04-04T00:00:00"/>
    <n v="0.5"/>
    <x v="86"/>
    <x v="73"/>
    <s v="Calle Guacara Nro. 89-50"/>
    <s v="Colaboración Vigilancia, mes de Abril 2018"/>
    <s v="Vigilancia"/>
    <m/>
    <s v="00925"/>
    <s v="04 de Abril de 2018"/>
    <n v="4"/>
    <d v="2018-04-01T00:00:00"/>
    <s v="0,50"/>
    <s v="Cero Bolívares con 50/100"/>
  </r>
  <r>
    <n v="926"/>
    <m/>
    <s v="ü"/>
    <d v="2018-04-04T00:00:00"/>
    <n v="1.4"/>
    <x v="20"/>
    <x v="18"/>
    <s v="Calle Guacara Nro. 89-30"/>
    <s v="Cancelación Vigilancia, mes de Abril 2018"/>
    <s v="Vigilancia"/>
    <m/>
    <s v="00926"/>
    <s v="04 de Abril de 2018"/>
    <n v="4"/>
    <d v="2018-04-01T00:00:00"/>
    <s v="1,40"/>
    <s v="Un Bolívares con 40/100"/>
  </r>
  <r>
    <n v="927"/>
    <m/>
    <s v="ü"/>
    <d v="2018-04-04T00:00:00"/>
    <n v="0.6"/>
    <x v="20"/>
    <x v="18"/>
    <s v="Calle Guacara Nro. 89-30"/>
    <s v="Anticipo Vigilancia, mes de Junio 2018"/>
    <s v="Vigilancia"/>
    <m/>
    <s v="00927"/>
    <s v="04 de Abril de 2018"/>
    <n v="4"/>
    <d v="2018-04-01T00:00:00"/>
    <s v="0,60"/>
    <s v="Cero Bolívares con 60/100"/>
  </r>
  <r>
    <n v="928"/>
    <m/>
    <s v="ü"/>
    <d v="2018-04-04T00:00:00"/>
    <n v="2.5"/>
    <x v="6"/>
    <x v="6"/>
    <s v="Calle Guacara Nro. 89-60"/>
    <s v="Cancelación Vigilancia, mes de Abril 2018 y aporte especial"/>
    <s v="Vigilancia"/>
    <m/>
    <s v="00928"/>
    <s v="04 de Abril de 2018"/>
    <n v="4"/>
    <d v="2018-04-01T00:00:00"/>
    <s v="2,50"/>
    <s v="Dos Bolívares con 50/100"/>
  </r>
  <r>
    <n v="929"/>
    <m/>
    <s v="ü"/>
    <d v="2018-04-04T00:00:00"/>
    <n v="1.4"/>
    <x v="84"/>
    <x v="71"/>
    <s v="Calle Güigüe Nro. 89-54"/>
    <s v="Cancelación Vigilancia, mes de Abril 2018"/>
    <s v="Vigilancia"/>
    <m/>
    <s v="00929"/>
    <s v="04 de Abril de 2018"/>
    <n v="4"/>
    <d v="2018-04-01T00:00:00"/>
    <s v="1,40"/>
    <s v="Un Bolívares con 40/100"/>
  </r>
  <r>
    <n v="930"/>
    <m/>
    <s v="ü"/>
    <d v="2018-04-04T00:00:00"/>
    <n v="2.8"/>
    <x v="16"/>
    <x v="15"/>
    <s v="Calle Guacara Nro. 90-81"/>
    <s v="Cancelación Vigilancia, meses de Marzo y Abril 2018"/>
    <s v="Vigilancia"/>
    <m/>
    <s v="00930"/>
    <s v="04 de Abril de 2018"/>
    <n v="4"/>
    <d v="2018-04-01T00:00:00"/>
    <s v="2,80"/>
    <s v="Dos Bolívares con 80/100"/>
  </r>
  <r>
    <n v="931"/>
    <m/>
    <s v="ü"/>
    <d v="2018-04-04T00:00:00"/>
    <n v="1.2"/>
    <x v="16"/>
    <x v="15"/>
    <s v="Calle Guacara Nro. 90-81"/>
    <s v="Colaboración mantenimiento Caseta de Vigilancia"/>
    <s v="Caseta Vigilancia"/>
    <m/>
    <s v="00931"/>
    <s v="04 de Abril de 2018"/>
    <n v="4"/>
    <d v="2018-04-01T00:00:00"/>
    <s v="1,20"/>
    <s v="Un Bolívares con 20/100"/>
  </r>
  <r>
    <n v="932"/>
    <m/>
    <s v="ü"/>
    <d v="2018-04-05T00:00:00"/>
    <n v="1.4"/>
    <x v="0"/>
    <x v="0"/>
    <s v="Calle Guacara Nro. 88-45"/>
    <s v="Cancelación Vigilancia, mes de Abril 2018 (saldo a favor: Bs. 520.000)"/>
    <s v="Vigilancia"/>
    <m/>
    <s v="00932"/>
    <s v="05 de Abril de 2018"/>
    <n v="5"/>
    <d v="2018-04-01T00:00:00"/>
    <s v="1,40"/>
    <s v="Un Bolívares con 40/100"/>
  </r>
  <r>
    <n v="933"/>
    <m/>
    <s v="ü"/>
    <d v="2018-04-05T00:00:00"/>
    <n v="1.4"/>
    <x v="75"/>
    <x v="65"/>
    <s v="Av. &quot;Ñ&quot; Nro. 145-25"/>
    <s v="Cancelación Vigilancia, mes de Abril 2018 (saldo a favor: Bs. 585.000)"/>
    <s v="Vigilancia"/>
    <m/>
    <s v="00933"/>
    <s v="05 de Abril de 2018"/>
    <n v="5"/>
    <d v="2018-04-01T00:00:00"/>
    <s v="1,40"/>
    <s v="Un Bolívares con 40/100"/>
  </r>
  <r>
    <n v="934"/>
    <m/>
    <s v="ü"/>
    <d v="2018-04-05T00:00:00"/>
    <n v="1.4"/>
    <x v="42"/>
    <x v="39"/>
    <s v="Calle Güigüe Nro. 89-79"/>
    <s v="Cancelación Vigilancia, mes de Abril 2018 (saldo a favor: Bs. 560.000)"/>
    <s v="Vigilancia"/>
    <m/>
    <s v="00934"/>
    <s v="05 de Abril de 2018"/>
    <n v="5"/>
    <d v="2018-04-01T00:00:00"/>
    <s v="1,40"/>
    <s v="Un Bolívares con 40/100"/>
  </r>
  <r>
    <n v="935"/>
    <m/>
    <s v="ü"/>
    <d v="2018-04-05T00:00:00"/>
    <n v="3"/>
    <x v="8"/>
    <x v="78"/>
    <s v="Calle Guacara Nro. 90-51"/>
    <s v="Cancelación Vigilancia, meses de Marzo y Abril 2018 y aporte especial"/>
    <s v="Vigilancia"/>
    <m/>
    <s v="00935"/>
    <s v="05 de Abril de 2018"/>
    <n v="5"/>
    <d v="2018-04-01T00:00:00"/>
    <s v="3,00"/>
    <s v="Tres Bolívares con 00/100"/>
  </r>
  <r>
    <n v="936"/>
    <m/>
    <s v="ü"/>
    <d v="2018-04-05T00:00:00"/>
    <n v="1.4"/>
    <x v="12"/>
    <x v="12"/>
    <s v="Calle Guacara Nro. 89-20"/>
    <s v="Cancelación Vigilancia, mes de Abril 2018"/>
    <s v="Vigilancia"/>
    <m/>
    <s v="00936"/>
    <s v="05 de Abril de 2018"/>
    <n v="5"/>
    <d v="2018-04-01T00:00:00"/>
    <s v="1,40"/>
    <s v="Un Bolívares con 40/100"/>
  </r>
  <r>
    <n v="937"/>
    <m/>
    <s v="ü"/>
    <d v="2018-04-05T00:00:00"/>
    <n v="1.4"/>
    <x v="44"/>
    <x v="41"/>
    <s v="Calle Guacara Nro. 89-40"/>
    <s v="Colaboración Vigilancia, mes de Marzo 2018"/>
    <s v="Vigilancia"/>
    <m/>
    <s v="00937"/>
    <s v="05 de Abril de 2018"/>
    <n v="5"/>
    <d v="2018-04-01T00:00:00"/>
    <s v="1,40"/>
    <s v="Un Bolívares con 40/100"/>
  </r>
  <r>
    <n v="938"/>
    <m/>
    <s v="ü"/>
    <d v="2018-04-05T00:00:00"/>
    <n v="2.8"/>
    <x v="88"/>
    <x v="76"/>
    <s v="Calle Güigüe Nro. 88-11"/>
    <s v="Cancelación Vigilancia, meses de Marzo y Abril 2018"/>
    <s v="Vigilancia"/>
    <m/>
    <s v="00938"/>
    <s v="05 de Abril de 2018"/>
    <n v="5"/>
    <d v="2018-04-01T00:00:00"/>
    <s v="2,80"/>
    <s v="Dos Bolívares con 80/100"/>
  </r>
  <r>
    <n v="939"/>
    <m/>
    <s v="ü"/>
    <d v="2018-04-05T00:00:00"/>
    <n v="0.8"/>
    <x v="15"/>
    <x v="14"/>
    <s v="Calle Guacara Nro. 89-94"/>
    <s v="Colaboración Vigilancia, mes de Abril 2018"/>
    <s v="Vigilancia"/>
    <m/>
    <s v="00939"/>
    <s v="05 de Abril de 2018"/>
    <n v="5"/>
    <d v="2018-04-01T00:00:00"/>
    <s v="0,80"/>
    <s v="Cero Bolívares con 80/100"/>
  </r>
  <r>
    <n v="940"/>
    <m/>
    <s v="ü"/>
    <d v="2018-04-05T00:00:00"/>
    <n v="1.4"/>
    <x v="5"/>
    <x v="5"/>
    <s v="Calle Güigüe Nro. 88-120"/>
    <s v="Cancelación Vigilancia, mes de Abril 2018"/>
    <s v="Vigilancia"/>
    <m/>
    <s v="00940"/>
    <s v="05 de Abril de 2018"/>
    <n v="5"/>
    <d v="2018-04-01T00:00:00"/>
    <s v="1,40"/>
    <s v="Un Bolívares con 40/100"/>
  </r>
  <r>
    <n v="941"/>
    <m/>
    <s v="ü"/>
    <d v="2018-04-05T00:00:00"/>
    <n v="0.6"/>
    <x v="5"/>
    <x v="5"/>
    <s v="Calle Güigüe Nro. 88-120"/>
    <s v="Colaboración mantenimiento Caseta de Vigilancia"/>
    <s v="Caseta Vigilancia"/>
    <m/>
    <s v="00941"/>
    <s v="05 de Abril de 2018"/>
    <n v="5"/>
    <d v="2018-04-01T00:00:00"/>
    <s v="0,60"/>
    <s v="Cero Bolívares con 60/100"/>
  </r>
  <r>
    <n v="942"/>
    <m/>
    <s v="ü"/>
    <d v="2017-12-09T00:00:00"/>
    <n v="0.5"/>
    <x v="26"/>
    <x v="24"/>
    <s v="Calle Güigüe Nro. 89-96"/>
    <s v="Cancelación Vigilancia, mes de Diciembre 2017"/>
    <s v="Vigilancia"/>
    <m/>
    <s v="00942"/>
    <s v="09 de Diciembre de 2017"/>
    <n v="9"/>
    <d v="2017-12-01T00:00:00"/>
    <s v="0,50"/>
    <s v="Cero Bolívares con 50/100"/>
  </r>
  <r>
    <n v="943"/>
    <m/>
    <s v="ü"/>
    <d v="2018-04-06T00:00:00"/>
    <n v="1.4"/>
    <x v="10"/>
    <x v="10"/>
    <s v="Av. &quot;M&quot; Nro. 146-15"/>
    <s v="Cancelación Vigilancia, mes de Marzo 2018"/>
    <s v="Vigilancia"/>
    <m/>
    <s v="00943"/>
    <s v="06 de Abril de 2018"/>
    <n v="6"/>
    <d v="2018-04-01T00:00:00"/>
    <s v="1,40"/>
    <s v="Un Bolívares con 40/100"/>
  </r>
  <r>
    <n v="944"/>
    <m/>
    <s v="ü"/>
    <d v="2018-04-06T00:00:00"/>
    <n v="2.6"/>
    <x v="37"/>
    <x v="34"/>
    <s v="Av. &quot;I&quot; Nro. 146-40"/>
    <s v="Cancelación Vigilancia, meses de Marzo y Abril 2018"/>
    <s v="Vigilancia"/>
    <m/>
    <s v="00944"/>
    <s v="06 de Abril de 2018"/>
    <n v="6"/>
    <d v="2018-04-01T00:00:00"/>
    <s v="2,60"/>
    <s v="Dos Bolívares con 60/100"/>
  </r>
  <r>
    <n v="945"/>
    <m/>
    <s v="ü"/>
    <d v="2018-04-07T00:00:00"/>
    <n v="0.8"/>
    <x v="7"/>
    <x v="7"/>
    <s v="Calle Guacara Nro. 87-86"/>
    <s v="Colaboración Vigilancia, saldo mes de Abril 2018"/>
    <s v="Vigilancia"/>
    <m/>
    <s v="00945"/>
    <s v="07 de Abril de 2018"/>
    <n v="7"/>
    <d v="2018-04-01T00:00:00"/>
    <s v="0,80"/>
    <s v="Cero Bolívares con 80/100"/>
  </r>
  <r>
    <n v="946"/>
    <m/>
    <s v="ü"/>
    <d v="2018-04-08T00:00:00"/>
    <n v="2"/>
    <x v="22"/>
    <x v="20"/>
    <s v="Calle Guacara Nro. 88-25"/>
    <s v="Colaboración Vigilancia, meses de Marzo y Abril 2018"/>
    <s v="Vigilancia"/>
    <m/>
    <s v="00946"/>
    <s v="08 de Abril de 2018"/>
    <n v="8"/>
    <d v="2018-04-01T00:00:00"/>
    <s v="2,00"/>
    <s v="Dos Bolívares con 00/100"/>
  </r>
  <r>
    <n v="947"/>
    <m/>
    <s v="ü"/>
    <d v="2018-04-08T00:00:00"/>
    <n v="1.4"/>
    <x v="34"/>
    <x v="9"/>
    <s v="Av. &quot;O&quot; Nro. 146-11"/>
    <s v="Cancelación Vigilancia, mes de Abril 2018"/>
    <s v="Vigilancia"/>
    <m/>
    <s v="00947"/>
    <s v="08 de Abril de 2018"/>
    <n v="8"/>
    <d v="2018-04-01T00:00:00"/>
    <s v="1,40"/>
    <s v="Un Bolívares con 40/100"/>
  </r>
  <r>
    <n v="948"/>
    <m/>
    <s v="ü"/>
    <d v="2018-04-10T00:00:00"/>
    <n v="2.8"/>
    <x v="65"/>
    <x v="58"/>
    <s v="Calle Güigüe Nro. 88-10"/>
    <s v="Cancelación Vigilancia, meses de Marzo y Abril 2018"/>
    <s v="Vigilancia"/>
    <m/>
    <s v="00948"/>
    <s v="10 de Abril de 2018"/>
    <n v="10"/>
    <d v="2018-04-01T00:00:00"/>
    <s v="2,80"/>
    <s v="Dos Bolívares con 80/100"/>
  </r>
  <r>
    <n v="949"/>
    <m/>
    <s v="ü"/>
    <d v="2018-04-10T00:00:00"/>
    <n v="2"/>
    <x v="81"/>
    <x v="69"/>
    <s v="Calle Güigüe Nro. 89-65"/>
    <s v="Cancelación Vigilancia, saldo mes de Marzo y cancelación mes de Abril 2018"/>
    <s v="Vigilancia"/>
    <m/>
    <s v="00949"/>
    <s v="10 de Abril de 2018"/>
    <n v="10"/>
    <d v="2018-04-01T00:00:00"/>
    <s v="2,00"/>
    <s v="Dos Bolívares con 00/100"/>
  </r>
  <r>
    <n v="950"/>
    <m/>
    <s v="ü"/>
    <d v="2018-04-11T00:00:00"/>
    <n v="2"/>
    <x v="73"/>
    <x v="9"/>
    <s v="Calle Güigüe Nros. 88-71 y 88-81"/>
    <s v="Cancelación Vigilancia, mes de Abril 2018"/>
    <s v="Vigilancia"/>
    <m/>
    <s v="00950"/>
    <s v="11 de Abril de 2018"/>
    <n v="11"/>
    <d v="2018-04-01T00:00:00"/>
    <s v="2,00"/>
    <s v="Dos Bolívares con 00/100"/>
  </r>
  <r>
    <n v="951"/>
    <m/>
    <s v="ü"/>
    <d v="2018-04-11T00:00:00"/>
    <n v="1.4"/>
    <x v="30"/>
    <x v="28"/>
    <s v="Calle Güigüe Nro. 89-04"/>
    <s v="Cancelación Vigilancia, mes de Abril 2018"/>
    <s v="Vigilancia"/>
    <m/>
    <s v="00951"/>
    <s v="11 de Abril de 2018"/>
    <n v="11"/>
    <d v="2018-04-01T00:00:00"/>
    <s v="1,40"/>
    <s v="Un Bolívares con 40/100"/>
  </r>
  <r>
    <n v="952"/>
    <m/>
    <s v="ü"/>
    <d v="2018-04-11T00:00:00"/>
    <n v="1.4"/>
    <x v="20"/>
    <x v="18"/>
    <s v="Calle Guacara Nro. 89-30"/>
    <s v="Anticipo Vigilancia, mes de Junio 2018"/>
    <s v="Vigilancia"/>
    <m/>
    <s v="00952"/>
    <s v="11 de Abril de 2018"/>
    <n v="11"/>
    <d v="2018-04-01T00:00:00"/>
    <s v="1,40"/>
    <s v="Un Bolívares con 40/100"/>
  </r>
  <r>
    <n v="953"/>
    <m/>
    <s v="ü"/>
    <d v="2018-04-13T00:00:00"/>
    <n v="1.4"/>
    <x v="38"/>
    <x v="35"/>
    <s v="Calle Guacara Nro. 89-78"/>
    <s v="Cancelación Vigilancia, mes de Abril 2018"/>
    <s v="Vigilancia"/>
    <m/>
    <s v="00953"/>
    <s v="13 de Abril de 2018"/>
    <n v="13"/>
    <d v="2018-04-01T00:00:00"/>
    <s v="1,40"/>
    <s v="Un Bolívares con 40/100"/>
  </r>
  <r>
    <n v="954"/>
    <m/>
    <s v="ü"/>
    <d v="2018-04-13T00:00:00"/>
    <n v="0.6"/>
    <x v="38"/>
    <x v="35"/>
    <s v="Calle Guacara Nro. 89-78"/>
    <s v="Colaboración mantenimiento Caseta de Vigilancia"/>
    <s v="Caseta Vigilancia"/>
    <m/>
    <s v="00954"/>
    <s v="13 de Abril de 2018"/>
    <n v="13"/>
    <d v="2018-04-01T00:00:00"/>
    <s v="0,60"/>
    <s v="Cero Bolívares con 60/100"/>
  </r>
  <r>
    <n v="955"/>
    <m/>
    <s v="ü"/>
    <d v="2018-04-13T00:00:00"/>
    <n v="1.4"/>
    <x v="45"/>
    <x v="42"/>
    <s v="Calle Güigüe Nro. 87-A-11"/>
    <s v="Cancelación Vigilancia, mes de Abril 2018"/>
    <s v="Vigilancia"/>
    <m/>
    <s v="00955"/>
    <s v="13 de Abril de 2018"/>
    <n v="13"/>
    <d v="2018-04-01T00:00:00"/>
    <s v="1,40"/>
    <s v="Un Bolívares con 40/100"/>
  </r>
  <r>
    <n v="956"/>
    <m/>
    <s v="ü"/>
    <d v="2018-04-13T00:00:00"/>
    <n v="0.6"/>
    <x v="45"/>
    <x v="42"/>
    <s v="Calle Güigüe Nro. 87-A-11"/>
    <s v="Colaboración mantenimiento Caseta de Vigilancia"/>
    <s v="Caseta Vigilancia"/>
    <m/>
    <s v="00956"/>
    <s v="13 de Abril de 2018"/>
    <n v="13"/>
    <d v="2018-04-01T00:00:00"/>
    <s v="0,60"/>
    <s v="Cero Bolívares con 60/100"/>
  </r>
  <r>
    <n v="957"/>
    <m/>
    <s v="ü"/>
    <d v="2018-04-13T00:00:00"/>
    <n v="1.4"/>
    <x v="40"/>
    <x v="37"/>
    <s v="Calle Güigüe Nro. 88-101"/>
    <s v="Cancelación Vigilancia, mes de Marzo 2018"/>
    <s v="Vigilancia"/>
    <m/>
    <s v="00957"/>
    <s v="13 de Abril de 2018"/>
    <n v="13"/>
    <d v="2018-04-01T00:00:00"/>
    <s v="1,40"/>
    <s v="Un Bolívares con 40/100"/>
  </r>
  <r>
    <n v="958"/>
    <m/>
    <s v="ü"/>
    <d v="2018-04-13T00:00:00"/>
    <n v="1.4"/>
    <x v="35"/>
    <x v="32"/>
    <s v="Calle Güigüe Nro. 89-80"/>
    <s v="Cancelación Vigilancia, mes de Abril 2018"/>
    <s v="Vigilancia"/>
    <m/>
    <s v="00958"/>
    <s v="13 de Abril de 2018"/>
    <n v="13"/>
    <d v="2018-04-01T00:00:00"/>
    <s v="1,40"/>
    <s v="Un Bolívares con 40/100"/>
  </r>
  <r>
    <n v="959"/>
    <m/>
    <s v="ü"/>
    <d v="2018-04-16T00:00:00"/>
    <n v="1.4"/>
    <x v="26"/>
    <x v="24"/>
    <s v="Calle Güigüe Nro. 89-96"/>
    <s v="Cancelación Vigilancia, mes de Abril 2018"/>
    <s v="Vigilancia"/>
    <m/>
    <s v="00959"/>
    <s v="16 de Abril de 2018"/>
    <n v="16"/>
    <d v="2018-04-01T00:00:00"/>
    <s v="1,40"/>
    <s v="Un Bolívares con 40/100"/>
  </r>
  <r>
    <n v="960"/>
    <m/>
    <s v="ü"/>
    <d v="2018-04-17T00:00:00"/>
    <n v="0.8"/>
    <x v="68"/>
    <x v="60"/>
    <s v="Calle Güigüe Nro. 89-29"/>
    <s v="Colaboración Vigilancia, mes de Abril 2018"/>
    <s v="Vigilancia"/>
    <m/>
    <s v="00960"/>
    <s v="17 de Abril de 2018"/>
    <n v="17"/>
    <d v="2018-04-01T00:00:00"/>
    <s v="0,80"/>
    <s v="Cero Bolívares con 80/100"/>
  </r>
  <r>
    <n v="961"/>
    <m/>
    <s v="ü"/>
    <d v="2018-04-17T00:00:00"/>
    <n v="1.4"/>
    <x v="19"/>
    <x v="17"/>
    <s v="Calle Guacara Nro. 89-130"/>
    <s v="Cancelación Vigilancia, mes de Abril 2018"/>
    <s v="Vigilancia"/>
    <m/>
    <s v="00961"/>
    <s v="17 de Abril de 2018"/>
    <n v="17"/>
    <d v="2018-04-01T00:00:00"/>
    <s v="1,40"/>
    <s v="Un Bolívares con 40/100"/>
  </r>
  <r>
    <n v="962"/>
    <m/>
    <s v="ü"/>
    <d v="2018-04-19T00:00:00"/>
    <n v="1.4"/>
    <x v="23"/>
    <x v="21"/>
    <s v="Calle Güigüe Nro. 88-116"/>
    <s v="Cancelación Vigilancia, mes de Abril 2018"/>
    <s v="Vigilancia"/>
    <m/>
    <s v="00962"/>
    <s v="19 de Abril de 2018"/>
    <n v="19"/>
    <d v="2018-04-01T00:00:00"/>
    <s v="1,40"/>
    <s v="Un Bolívares con 40/100"/>
  </r>
  <r>
    <n v="963"/>
    <m/>
    <s v="ü"/>
    <d v="2018-04-16T00:00:00"/>
    <n v="1.4"/>
    <x v="4"/>
    <x v="4"/>
    <s v="Calle Güigüe Nro. 89-55"/>
    <s v="Cancelación Vigilancia, mes de Abril 2018"/>
    <s v="Vigilancia"/>
    <m/>
    <s v="00963"/>
    <s v="16 de Abril de 2018"/>
    <n v="16"/>
    <d v="2018-04-01T00:00:00"/>
    <s v="1,40"/>
    <s v="Un Bolívares con 40/100"/>
  </r>
  <r>
    <n v="964"/>
    <m/>
    <s v="ü"/>
    <d v="2018-04-20T00:00:00"/>
    <n v="2.8"/>
    <x v="67"/>
    <x v="79"/>
    <s v="Calle Guacara Nro. 90-93"/>
    <s v="Cancelación Vigilancia, meses de Marzo y Abril 2018"/>
    <s v="Vigilancia"/>
    <m/>
    <s v="00964"/>
    <s v="20 de Abril de 2018"/>
    <n v="20"/>
    <d v="2018-04-01T00:00:00"/>
    <s v="2,80"/>
    <s v="Dos Bolívares con 80/100"/>
  </r>
  <r>
    <n v="965"/>
    <m/>
    <s v="ü"/>
    <d v="2018-04-20T00:00:00"/>
    <n v="5"/>
    <x v="60"/>
    <x v="54"/>
    <s v="Calle Guacara Nro. 88-51"/>
    <s v="Colaboración mantenimiento Caseta de Vigilancia"/>
    <s v="Caseta Vigilancia"/>
    <m/>
    <s v="00965"/>
    <s v="20 de Abril de 2018"/>
    <n v="20"/>
    <d v="2018-04-01T00:00:00"/>
    <s v="5,00"/>
    <s v="Cinco Bolívares con 00/100"/>
  </r>
  <r>
    <n v="966"/>
    <m/>
    <s v="ü"/>
    <d v="2018-04-21T00:00:00"/>
    <n v="2"/>
    <x v="71"/>
    <x v="62"/>
    <s v="Calle Güigüe Nro. 89-71"/>
    <s v="Colaboración Vigilancia, meses de Marzo y Abril 2018"/>
    <s v="Vigilancia"/>
    <m/>
    <s v="00966"/>
    <s v="21 de Abril de 2018"/>
    <n v="21"/>
    <d v="2018-04-01T00:00:00"/>
    <s v="2,00"/>
    <s v="Dos Bolívares con 00/100"/>
  </r>
  <r>
    <n v="967"/>
    <m/>
    <s v="ü"/>
    <d v="2018-04-21T00:00:00"/>
    <n v="1"/>
    <x v="59"/>
    <x v="9"/>
    <s v="Calle Guacara Nro. 90-35"/>
    <s v="Cancelación Vigilancia, saldo mes de Abril 2018"/>
    <s v="Vigilancia"/>
    <m/>
    <s v="00967"/>
    <s v="21 de Abril de 2018"/>
    <n v="21"/>
    <d v="2018-04-01T00:00:00"/>
    <s v="1,00"/>
    <s v="Un Bolívar con 00/100"/>
  </r>
  <r>
    <n v="968"/>
    <m/>
    <s v="ü"/>
    <d v="2018-04-22T00:00:00"/>
    <n v="1.4"/>
    <x v="24"/>
    <x v="22"/>
    <s v="Calle Güigüe Nro. 88-54"/>
    <s v="Cancelación Vigilancia, mes de Abril 2018"/>
    <s v="Vigilancia"/>
    <m/>
    <s v="00968"/>
    <s v="22 de Abril de 2018"/>
    <n v="22"/>
    <d v="2018-04-01T00:00:00"/>
    <s v="1,40"/>
    <s v="Un Bolívares con 40/100"/>
  </r>
  <r>
    <n v="969"/>
    <m/>
    <s v="ü"/>
    <d v="2018-04-22T00:00:00"/>
    <n v="1"/>
    <x v="24"/>
    <x v="22"/>
    <s v="Calle Güigüe Nro. 88-54"/>
    <s v="Colaboración mantenimiento Caseta de Vigilancia"/>
    <s v="Caseta Vigilancia"/>
    <m/>
    <s v="00969"/>
    <s v="22 de Abril de 2018"/>
    <n v="22"/>
    <d v="2018-04-01T00:00:00"/>
    <s v="1,00"/>
    <s v="Un Bolívar con 00/100"/>
  </r>
  <r>
    <n v="970"/>
    <m/>
    <s v="ü"/>
    <d v="2018-04-23T00:00:00"/>
    <n v="1.4"/>
    <x v="84"/>
    <x v="71"/>
    <s v="Calle Güigüe Nro. 89-54"/>
    <s v="Cancelación Vigilancia, mes de Mayo 2018"/>
    <s v="Vigilancia"/>
    <m/>
    <s v="00970"/>
    <s v="23 de Abril de 2018"/>
    <n v="23"/>
    <d v="2018-04-01T00:00:00"/>
    <s v="1,40"/>
    <s v="Un Bolívares con 40/100"/>
  </r>
  <r>
    <n v="971"/>
    <m/>
    <s v="ü"/>
    <d v="2018-04-23T00:00:00"/>
    <n v="0.6"/>
    <x v="84"/>
    <x v="71"/>
    <s v="Calle Güigüe Nro. 89-54"/>
    <s v="Colaboración mantenimiento Caseta de Vigilancia"/>
    <s v="Caseta Vigilancia"/>
    <m/>
    <s v="00971"/>
    <s v="23 de Abril de 2018"/>
    <n v="23"/>
    <d v="2018-04-01T00:00:00"/>
    <s v="0,60"/>
    <s v="Cero Bolívares con 60/100"/>
  </r>
  <r>
    <n v="972"/>
    <m/>
    <s v="ü"/>
    <d v="2018-04-24T00:00:00"/>
    <n v="0.6"/>
    <x v="74"/>
    <x v="64"/>
    <s v="Calle Güigüe Nro. 88-20"/>
    <s v="Colaboración Vigilancia, meses de Marzo y Abril 2018"/>
    <s v="Vigilancia"/>
    <m/>
    <s v="00972"/>
    <s v="24 de Abril de 2018"/>
    <n v="24"/>
    <d v="2018-04-01T00:00:00"/>
    <s v="0,60"/>
    <s v="Cero Bolívares con 60/100"/>
  </r>
  <r>
    <n v="973"/>
    <m/>
    <s v="ü"/>
    <d v="2018-04-25T00:00:00"/>
    <n v="1.4"/>
    <x v="36"/>
    <x v="33"/>
    <s v="Calle Güigüe Nro. 89-10"/>
    <s v="Cancelación Vigilancia, mes de Abril 2018"/>
    <s v="Vigilancia"/>
    <m/>
    <s v="00973"/>
    <s v="25 de Abril de 2018"/>
    <n v="25"/>
    <d v="2018-04-01T00:00:00"/>
    <s v="1,40"/>
    <s v="Un Bolívares con 40/100"/>
  </r>
  <r>
    <n v="974"/>
    <m/>
    <s v="ü"/>
    <d v="2018-04-26T00:00:00"/>
    <n v="3"/>
    <x v="6"/>
    <x v="6"/>
    <s v="Calle Guacara Nro. 89-60"/>
    <s v="Cancelación Vigilancia, mes de Mayo 2018 y aporte especial"/>
    <s v="Vigilancia"/>
    <m/>
    <s v="00974"/>
    <s v="26 de Abril de 2018"/>
    <n v="26"/>
    <d v="2018-04-01T00:00:00"/>
    <s v="3,00"/>
    <s v="Tres Bolívares con 00/100"/>
  </r>
  <r>
    <n v="975"/>
    <m/>
    <s v="ü"/>
    <d v="2018-04-26T00:00:00"/>
    <n v="3"/>
    <x v="6"/>
    <x v="6"/>
    <s v="Calle Guacara Nro. 89-60"/>
    <s v="Anticipo Vigilancia, mes de Junio 2018"/>
    <s v="Vigilancia"/>
    <m/>
    <s v="00975"/>
    <s v="26 de Abril de 2018"/>
    <n v="26"/>
    <d v="2018-04-01T00:00:00"/>
    <s v="3,00"/>
    <s v="Tres Bolívares con 00/100"/>
  </r>
  <r>
    <n v="976"/>
    <m/>
    <s v="ü"/>
    <d v="2018-04-26T00:00:00"/>
    <n v="2.5"/>
    <x v="18"/>
    <x v="16"/>
    <s v="Calle Guacara Nro. 87-100"/>
    <s v="Cancelación Vigilancia, mes de Mayo 2018"/>
    <s v="Vigilancia"/>
    <m/>
    <s v="00976"/>
    <s v="26 de Abril de 2018"/>
    <n v="26"/>
    <d v="2018-04-01T00:00:00"/>
    <s v="2,50"/>
    <s v="Dos Bolívares con 50/100"/>
  </r>
  <r>
    <n v="977"/>
    <m/>
    <s v="ü"/>
    <d v="2018-04-26T00:00:00"/>
    <n v="2.5"/>
    <x v="18"/>
    <x v="16"/>
    <s v="Calle Guacara Nro. 87-100"/>
    <s v="Colaboración mantenimiento Caseta de Vigilancia"/>
    <s v="Caseta Vigilancia"/>
    <m/>
    <s v="00977"/>
    <s v="26 de Abril de 2018"/>
    <n v="26"/>
    <d v="2018-04-01T00:00:00"/>
    <s v="2,50"/>
    <s v="Dos Bolívares con 50/100"/>
  </r>
  <r>
    <n v="978"/>
    <m/>
    <s v="ü"/>
    <d v="2018-04-26T00:00:00"/>
    <n v="3"/>
    <x v="43"/>
    <x v="40"/>
    <s v="Calle Güigüe Nro. 88-50"/>
    <s v="Cancelación Vigilancia, mes de Abril 2018"/>
    <s v="Vigilancia"/>
    <m/>
    <s v="00978"/>
    <s v="26 de Abril de 2018"/>
    <n v="26"/>
    <d v="2018-04-01T00:00:00"/>
    <s v="3,00"/>
    <s v="Tres Bolívares con 00/100"/>
  </r>
  <r>
    <n v="979"/>
    <m/>
    <s v="û"/>
    <d v="2018-04-26T00:00:00"/>
    <n v="1.6"/>
    <x v="43"/>
    <x v="40"/>
    <s v="Calle Güigüe Nro. 88-50"/>
    <s v="ANULADO: Colaboración mantenimiento Caseta de Vigilancia"/>
    <s v="ANULADO"/>
    <m/>
    <s v="00979"/>
    <s v="26 de Abril de 2018"/>
    <n v="26"/>
    <d v="2018-04-01T00:00:00"/>
    <s v="1,60"/>
    <s v="Un Bolívares con 60/100"/>
  </r>
  <r>
    <n v="980"/>
    <m/>
    <s v="ü"/>
    <d v="2018-04-26T00:00:00"/>
    <n v="2.8"/>
    <x v="46"/>
    <x v="43"/>
    <s v="Av. &quot;I&quot; Nro. 146-20"/>
    <s v="Cancelación Vigilancia, meses de Marzo y Abril 2018"/>
    <s v="Vigilancia"/>
    <m/>
    <s v="00980"/>
    <s v="26 de Abril de 2018"/>
    <n v="26"/>
    <d v="2018-04-01T00:00:00"/>
    <s v="2,80"/>
    <s v="Dos Bolívares con 80/100"/>
  </r>
  <r>
    <n v="981"/>
    <m/>
    <s v="ü"/>
    <d v="2018-04-26T00:00:00"/>
    <n v="2.8"/>
    <x v="87"/>
    <x v="75"/>
    <s v="Calle Güigüe Nro. 88-06"/>
    <s v="Cancelación Vigilancia, meses de Marzo y Abril 2018"/>
    <s v="Vigilancia"/>
    <m/>
    <s v="00981"/>
    <s v="26 de Abril de 2018"/>
    <n v="26"/>
    <d v="2018-04-01T00:00:00"/>
    <s v="2,80"/>
    <s v="Dos Bolívares con 80/100"/>
  </r>
  <r>
    <n v="982"/>
    <m/>
    <s v="ü"/>
    <d v="2018-04-30T00:00:00"/>
    <n v="1.4"/>
    <x v="40"/>
    <x v="37"/>
    <s v="Calle Güigüe Nro. 88-101"/>
    <s v="Cancelación Vigilancia, mes de Abril 2018"/>
    <s v="Vigilancia"/>
    <m/>
    <s v="00982"/>
    <s v="30 de Abril de 2018"/>
    <n v="30"/>
    <d v="2018-04-01T00:00:00"/>
    <s v="1,40"/>
    <s v="Un Bolívares con 40/100"/>
  </r>
  <r>
    <n v="983"/>
    <m/>
    <s v="ü"/>
    <d v="2018-05-03T00:00:00"/>
    <n v="5"/>
    <x v="53"/>
    <x v="80"/>
    <s v="Calle Guacara Nro. 88-91"/>
    <s v="Colaboración Vigilancia, meses de Enero, Febrero, Marzo, Abril y anticipo mes de Mayo 2018"/>
    <s v="Vigilancia"/>
    <m/>
    <s v="00983"/>
    <s v="03 de Mayo de 2018"/>
    <n v="3"/>
    <d v="2018-05-01T00:00:00"/>
    <s v="5,00"/>
    <s v="Cinco Bolívares con 00/100"/>
  </r>
  <r>
    <n v="984"/>
    <m/>
    <s v="ü"/>
    <d v="2018-05-03T00:00:00"/>
    <n v="4"/>
    <x v="4"/>
    <x v="4"/>
    <s v="Calle Güigüe Nro. 89-55"/>
    <s v="Cancelación Vigilancia, mes de Mayo 2018 (saldo a favor: Bs. 360.000)"/>
    <s v="Vigilancia"/>
    <m/>
    <s v="00984"/>
    <s v="03 de Mayo de 2018"/>
    <n v="3"/>
    <d v="2018-05-01T00:00:00"/>
    <s v="4,00"/>
    <s v="Cuatro Bolívares con 00/100"/>
  </r>
  <r>
    <n v="985"/>
    <m/>
    <s v="ü"/>
    <d v="2018-05-03T00:00:00"/>
    <n v="4"/>
    <x v="52"/>
    <x v="9"/>
    <s v="Calle Güigüe Nro. 89-45"/>
    <s v="Cancelación Vigilancia, mes de Mayo 2018 (saldo a favor: Bs. 1.393.000)"/>
    <s v="Vigilancia"/>
    <m/>
    <s v="00985"/>
    <s v="03 de Mayo de 2018"/>
    <n v="3"/>
    <d v="2018-05-01T00:00:00"/>
    <s v="4,00"/>
    <s v="Cuatro Bolívares con 00/100"/>
  </r>
  <r>
    <n v="986"/>
    <m/>
    <s v="ü"/>
    <d v="2018-05-03T00:00:00"/>
    <n v="4"/>
    <x v="75"/>
    <x v="65"/>
    <s v="Av. &quot;Ñ&quot; Nro. 145-25"/>
    <s v="Cancelación Vigilancia, mes de Mayo 2018 (saldo a favor: Bs. 185.000)"/>
    <s v="Vigilancia"/>
    <m/>
    <s v="00986"/>
    <s v="03 de Mayo de 2018"/>
    <n v="3"/>
    <d v="2018-05-01T00:00:00"/>
    <s v="4,00"/>
    <s v="Cuatro Bolívares con 00/100"/>
  </r>
  <r>
    <n v="987"/>
    <m/>
    <s v="ü"/>
    <d v="2018-05-03T00:00:00"/>
    <n v="4"/>
    <x v="0"/>
    <x v="0"/>
    <s v="Calle Guacara Nro. 88-45"/>
    <s v="Cancelación Vigilancia, mes de Mayo 2018 (saldo a favor: Bs. 120.000)"/>
    <s v="Vigilancia"/>
    <m/>
    <s v="00987"/>
    <s v="03 de Mayo de 2018"/>
    <n v="3"/>
    <d v="2018-05-01T00:00:00"/>
    <s v="4,00"/>
    <s v="Cuatro Bolívares con 00/100"/>
  </r>
  <r>
    <n v="988"/>
    <m/>
    <s v="ü"/>
    <d v="2018-05-03T00:00:00"/>
    <n v="4"/>
    <x v="42"/>
    <x v="39"/>
    <s v="Calle Güigüe Nro. 89-79"/>
    <s v="Cancelación Vigilancia, mes de Mayo 2018 (saldo a favor: Bs. 160.000)"/>
    <s v="Vigilancia"/>
    <m/>
    <s v="00988"/>
    <s v="03 de Mayo de 2018"/>
    <n v="3"/>
    <d v="2018-05-01T00:00:00"/>
    <s v="4,00"/>
    <s v="Cuatro Bolívares con 00/100"/>
  </r>
  <r>
    <n v="989"/>
    <m/>
    <s v="ü"/>
    <d v="2018-05-03T00:00:00"/>
    <n v="1.4"/>
    <x v="82"/>
    <x v="9"/>
    <s v="Calle Guacara Nro. 90-61"/>
    <s v="Cancelación Vigilancia, mes de Abril 2018"/>
    <s v="Vigilancia"/>
    <m/>
    <s v="00989"/>
    <s v="03 de Mayo de 2018"/>
    <n v="3"/>
    <d v="2018-05-01T00:00:00"/>
    <s v="1,40"/>
    <s v="Un Bolívares con 40/100"/>
  </r>
  <r>
    <n v="990"/>
    <m/>
    <s v="ü"/>
    <d v="2018-05-03T00:00:00"/>
    <n v="5.2"/>
    <x v="64"/>
    <x v="57"/>
    <s v="Calle Guacara Nro. 88-35"/>
    <s v="Cancelación Vigilancia, saldo meses de Marzo y Abril y cancelación mes de Mayo 2018"/>
    <s v="Vigilancia"/>
    <m/>
    <s v="00990"/>
    <s v="03 de Mayo de 2018"/>
    <n v="3"/>
    <d v="2018-05-01T00:00:00"/>
    <s v="5,20"/>
    <s v="Cinco Bolívares con 20/100"/>
  </r>
  <r>
    <n v="991"/>
    <m/>
    <s v="ü"/>
    <d v="2018-05-03T00:00:00"/>
    <n v="4"/>
    <x v="81"/>
    <x v="69"/>
    <s v="Calle Güigüe Nro. 89-65"/>
    <s v="Cancelación Vigilancia, mes de Mayo 2018"/>
    <s v="Vigilancia"/>
    <m/>
    <s v="00991"/>
    <s v="03 de Mayo de 2018"/>
    <n v="3"/>
    <d v="2018-05-01T00:00:00"/>
    <s v="4,00"/>
    <s v="Cuatro Bolívares con 00/100"/>
  </r>
  <r>
    <n v="992"/>
    <m/>
    <s v="ü"/>
    <d v="2018-05-04T00:00:00"/>
    <n v="4"/>
    <x v="20"/>
    <x v="18"/>
    <s v="Calle Guacara Nro. 89-30"/>
    <s v="Cancelación Vigilancia, mes de Mayo 2018"/>
    <s v="Vigilancia"/>
    <m/>
    <s v="00992"/>
    <s v="04 de Mayo de 2018"/>
    <n v="4"/>
    <d v="2018-05-01T00:00:00"/>
    <s v="4,00"/>
    <s v="Cuatro Bolívares con 00/100"/>
  </r>
  <r>
    <n v="993"/>
    <m/>
    <s v="ü"/>
    <d v="2018-05-04T00:00:00"/>
    <n v="5.5"/>
    <x v="21"/>
    <x v="19"/>
    <s v="Calle Güigüe Nro. 89-105"/>
    <s v="Cancelación Vigilancia, meses de Abril y Mayo 2018"/>
    <s v="Vigilancia"/>
    <m/>
    <s v="00993"/>
    <s v="04 de Mayo de 2018"/>
    <n v="4"/>
    <d v="2018-05-01T00:00:00"/>
    <s v="5,50"/>
    <s v="Cinco Bolívares con 50/100"/>
  </r>
  <r>
    <n v="994"/>
    <m/>
    <s v="ü"/>
    <d v="2018-05-04T00:00:00"/>
    <n v="4"/>
    <x v="12"/>
    <x v="12"/>
    <s v="Calle Guacara Nro. 89-20"/>
    <s v="Cancelación Vigilancia, mes de Mayo 2018"/>
    <s v="Vigilancia"/>
    <m/>
    <s v="00994"/>
    <s v="04 de Mayo de 2018"/>
    <n v="4"/>
    <d v="2018-05-01T00:00:00"/>
    <s v="4,00"/>
    <s v="Cuatro Bolívares con 00/100"/>
  </r>
  <r>
    <n v="995"/>
    <m/>
    <s v="ü"/>
    <d v="2018-05-04T00:00:00"/>
    <n v="4"/>
    <x v="5"/>
    <x v="5"/>
    <s v="Calle Güigüe Nro. 88-120"/>
    <s v="Cancelación Vigilancia, mes de Mayo 2018"/>
    <s v="Vigilancia"/>
    <m/>
    <s v="00995"/>
    <s v="04 de Mayo de 2018"/>
    <n v="4"/>
    <d v="2018-05-01T00:00:00"/>
    <s v="4,00"/>
    <s v="Cuatro Bolívares con 00/100"/>
  </r>
  <r>
    <n v="996"/>
    <m/>
    <s v="ü"/>
    <d v="2018-05-04T00:00:00"/>
    <n v="4"/>
    <x v="6"/>
    <x v="6"/>
    <s v="Calle Guacara Nro. 89-60"/>
    <s v="Cancelación Vigilancia, saldo mes de Mayo y anticipo Junio 2018"/>
    <s v="Vigilancia"/>
    <m/>
    <s v="00996"/>
    <s v="04 de Mayo de 2018"/>
    <n v="4"/>
    <d v="2018-05-01T00:00:00"/>
    <s v="4,00"/>
    <s v="Cuatro Bolívares con 00/100"/>
  </r>
  <r>
    <n v="997"/>
    <m/>
    <s v="ü"/>
    <d v="2018-05-06T00:00:00"/>
    <n v="2.6"/>
    <x v="84"/>
    <x v="71"/>
    <s v="Calle Güigüe Nro. 89-54"/>
    <s v="Cancelación Vigilancia, saldo mes de Mayo 2018"/>
    <s v="Vigilancia"/>
    <m/>
    <s v="00997"/>
    <s v="06 de Mayo de 2018"/>
    <n v="6"/>
    <d v="2018-05-01T00:00:00"/>
    <s v="2,60"/>
    <s v="Dos Bolívares con 60/100"/>
  </r>
  <r>
    <n v="998"/>
    <m/>
    <s v="ü"/>
    <d v="2018-05-07T00:00:00"/>
    <n v="4"/>
    <x v="16"/>
    <x v="15"/>
    <s v="Calle Guacara Nro. 90-81"/>
    <s v="Cancelación Vigilancia, mes de Mayo 2018"/>
    <s v="Vigilancia"/>
    <m/>
    <s v="00998"/>
    <s v="07 de Mayo de 2018"/>
    <n v="7"/>
    <d v="2018-05-01T00:00:00"/>
    <s v="4,00"/>
    <s v="Cuatro Bolívares con 00/100"/>
  </r>
  <r>
    <n v="999"/>
    <m/>
    <s v="ü"/>
    <d v="2018-05-07T00:00:00"/>
    <n v="1"/>
    <x v="16"/>
    <x v="15"/>
    <s v="Calle Guacara Nro. 90-81"/>
    <s v="Colaboración mantenimiento Caseta de Vigilancia"/>
    <s v="Caseta Vigilancia"/>
    <m/>
    <s v="00999"/>
    <s v="07 de Mayo de 2018"/>
    <n v="7"/>
    <d v="2018-05-01T00:00:00"/>
    <s v="1,00"/>
    <s v="Un Bolívar con 00/100"/>
  </r>
  <r>
    <n v="1000"/>
    <m/>
    <s v="ü"/>
    <d v="2018-05-07T00:00:00"/>
    <n v="4"/>
    <x v="1"/>
    <x v="1"/>
    <s v="Calle Güigüe Nro. 88-44"/>
    <s v="Cancelación Vigilancia, mes de Mayo 2018"/>
    <s v="Vigilancia"/>
    <m/>
    <s v="01000"/>
    <s v="07 de Mayo de 2018"/>
    <n v="7"/>
    <d v="2018-05-01T00:00:00"/>
    <s v="4,00"/>
    <s v="Cuatro Bolívares con 00/100"/>
  </r>
  <r>
    <n v="1001"/>
    <m/>
    <s v="ü"/>
    <d v="2018-04-06T00:00:00"/>
    <n v="1.4"/>
    <x v="14"/>
    <x v="13"/>
    <s v="Calle Güigüe Nro. 89-83"/>
    <s v="Cancelación Vigilancia, mes de Abril 2018"/>
    <s v="Vigilancia"/>
    <m/>
    <s v="01001"/>
    <s v="06 de Abril de 2018"/>
    <n v="6"/>
    <d v="2018-04-01T00:00:00"/>
    <s v="1,40"/>
    <s v="Un Bolívares con 40/100"/>
  </r>
  <r>
    <n v="1002"/>
    <m/>
    <s v="ü"/>
    <d v="2018-04-06T00:00:00"/>
    <n v="0.6"/>
    <x v="14"/>
    <x v="13"/>
    <s v="Calle Güigüe Nro. 89-83"/>
    <s v="Colaboración mantenimiento Caseta de Vigilancia"/>
    <s v="Caseta Vigilancia"/>
    <m/>
    <s v="01002"/>
    <s v="06 de Abril de 2018"/>
    <n v="6"/>
    <d v="2018-04-01T00:00:00"/>
    <s v="0,60"/>
    <s v="Cero Bolívares con 60/100"/>
  </r>
  <r>
    <n v="1003"/>
    <m/>
    <s v="ü"/>
    <d v="2018-05-07T00:00:00"/>
    <n v="4"/>
    <x v="14"/>
    <x v="13"/>
    <s v="Calle Güigüe Nro. 89-83"/>
    <s v="Cancelación Vigilancia, mes de Mayo 2018"/>
    <s v="Vigilancia"/>
    <m/>
    <s v="01003"/>
    <s v="07 de Mayo de 2018"/>
    <n v="7"/>
    <d v="2018-05-01T00:00:00"/>
    <s v="4,00"/>
    <s v="Cuatro Bolívares con 00/100"/>
  </r>
  <r>
    <n v="1004"/>
    <m/>
    <s v="ü"/>
    <d v="2018-05-07T00:00:00"/>
    <n v="5.4"/>
    <x v="17"/>
    <x v="74"/>
    <s v="Av. &quot;M&quot; Nro. 146-20"/>
    <s v="Cancelación Vigilancia, meses de Abril y Mayo 2018"/>
    <s v="Vigilancia"/>
    <m/>
    <s v="01004"/>
    <s v="07 de Mayo de 2018"/>
    <n v="7"/>
    <d v="2018-05-01T00:00:00"/>
    <s v="5,40"/>
    <s v="Cinco Bolívares con 40/100"/>
  </r>
  <r>
    <n v="1005"/>
    <m/>
    <s v="ü"/>
    <d v="2018-05-04T00:00:00"/>
    <n v="1.4"/>
    <x v="56"/>
    <x v="52"/>
    <s v="Calle Güigüe Nro. 88-70"/>
    <s v="Cancelación Vigilancia, mes de Abril 2018"/>
    <s v="Vigilancia"/>
    <m/>
    <s v="01005"/>
    <s v="04 de Mayo de 2018"/>
    <n v="4"/>
    <d v="2018-05-01T00:00:00"/>
    <s v="1,40"/>
    <s v="Un Bolívares con 40/100"/>
  </r>
  <r>
    <n v="1006"/>
    <m/>
    <s v="ü"/>
    <d v="2018-05-07T00:00:00"/>
    <n v="4.4000000000000004"/>
    <x v="39"/>
    <x v="36"/>
    <s v="Calle Güigüe Nro. 88-111"/>
    <s v="Cancelación Vigilancia, meses de Enero, Febrero, Marzo y Abril 2018"/>
    <s v="Vigilancia"/>
    <m/>
    <s v="01006"/>
    <s v="07 de Mayo de 2018"/>
    <n v="7"/>
    <d v="2018-05-01T00:00:00"/>
    <s v="4,40"/>
    <s v="Cuatro Bolívares con 40/100"/>
  </r>
  <r>
    <n v="1007"/>
    <m/>
    <s v="ü"/>
    <d v="2018-05-08T00:00:00"/>
    <n v="1"/>
    <x v="2"/>
    <x v="2"/>
    <s v="Calle Guacara Nro. 88-19"/>
    <s v="Colaboración Vigilancia, mes de Abril 2018"/>
    <s v="Vigilancia"/>
    <m/>
    <s v="01007"/>
    <s v="08 de Mayo de 2018"/>
    <n v="8"/>
    <d v="2018-05-01T00:00:00"/>
    <s v="1,00"/>
    <s v="Un Bolívar con 00/100"/>
  </r>
  <r>
    <n v="1008"/>
    <m/>
    <s v="ü"/>
    <d v="2018-05-08T00:00:00"/>
    <n v="6.8"/>
    <x v="48"/>
    <x v="9"/>
    <s v="Calle Güigüe Nro. 88-90"/>
    <s v="Cancelación Vigilancia, meses de Marzo, Abril y Mayo 2018"/>
    <s v="Vigilancia"/>
    <m/>
    <s v="01008"/>
    <s v="08 de Mayo de 2018"/>
    <n v="8"/>
    <d v="2018-05-01T00:00:00"/>
    <s v="6,80"/>
    <s v="Seis Bolívares con 80/100"/>
  </r>
  <r>
    <n v="1009"/>
    <m/>
    <s v="ü"/>
    <d v="2018-05-08T00:00:00"/>
    <n v="1.4"/>
    <x v="49"/>
    <x v="46"/>
    <s v="Av. &quot;O&quot; Nro. 146-17"/>
    <s v="Colaboración Vigilancia, mes de Abril 2018"/>
    <s v="Vigilancia"/>
    <m/>
    <s v="01009"/>
    <s v="08 de Mayo de 2018"/>
    <n v="8"/>
    <d v="2018-05-01T00:00:00"/>
    <s v="1,40"/>
    <s v="Un Bolívares con 40/100"/>
  </r>
  <r>
    <n v="1010"/>
    <m/>
    <s v="ü"/>
    <d v="2018-05-08T00:00:00"/>
    <n v="4"/>
    <x v="89"/>
    <x v="81"/>
    <s v="Calle Guacara Nro. 88-75"/>
    <s v="Cancelación Vigilancia, mes de Mayo 2018"/>
    <s v="Vigilancia"/>
    <m/>
    <s v="01010"/>
    <s v="08 de Mayo de 2018"/>
    <n v="8"/>
    <d v="2018-05-01T00:00:00"/>
    <s v="4,00"/>
    <s v="Cuatro Bolívares con 00/100"/>
  </r>
  <r>
    <n v="1011"/>
    <m/>
    <s v="ü"/>
    <d v="2018-05-08T00:00:00"/>
    <n v="5.55"/>
    <x v="9"/>
    <x v="9"/>
    <s v="Av. &quot;M&quot; Nro. 146-30"/>
    <s v="Cancelación Vigilancia, meses de Abril y Mayo 2018"/>
    <s v="Vigilancia"/>
    <m/>
    <s v="01011"/>
    <s v="08 de Mayo de 2018"/>
    <n v="8"/>
    <d v="2018-05-01T00:00:00"/>
    <s v="5,55"/>
    <s v="Cinco Bolívares con 55/100"/>
  </r>
  <r>
    <n v="1012"/>
    <m/>
    <s v="ü"/>
    <d v="2018-05-09T00:00:00"/>
    <n v="4"/>
    <x v="88"/>
    <x v="76"/>
    <s v="Calle Güigüe Nro. 88-11"/>
    <s v="Cancelación Vigilancia, mes de Mayo 2018"/>
    <s v="Vigilancia"/>
    <m/>
    <s v="01012"/>
    <s v="09 de Mayo de 2018"/>
    <n v="9"/>
    <d v="2018-05-01T00:00:00"/>
    <s v="4,00"/>
    <s v="Cuatro Bolívares con 00/100"/>
  </r>
  <r>
    <n v="1013"/>
    <m/>
    <s v="ü"/>
    <d v="2018-05-10T00:00:00"/>
    <n v="20"/>
    <x v="31"/>
    <x v="29"/>
    <s v="Calle Güigüe Nro. 89-95"/>
    <s v="Cancelación Vigilancia, saldo mes de Mayo, y anticipo meses de Junio, Julio, Agosto, Septiembre y Octubre 2018"/>
    <s v="Vigilancia"/>
    <m/>
    <s v="01013"/>
    <s v="10 de Mayo de 2018"/>
    <n v="10"/>
    <d v="2018-05-01T00:00:00"/>
    <s v="20,00"/>
    <s v="Veinte Bolívares con 00/100"/>
  </r>
  <r>
    <n v="1014"/>
    <m/>
    <s v="ü"/>
    <d v="2018-05-10T00:00:00"/>
    <n v="4"/>
    <x v="24"/>
    <x v="22"/>
    <s v="Calle Güigüe Nro. 88-54"/>
    <s v="Cancelación Vigilancia, mes de Mayo 2018"/>
    <s v="Vigilancia"/>
    <m/>
    <s v="01014"/>
    <s v="10 de Mayo de 2018"/>
    <n v="10"/>
    <d v="2018-05-01T00:00:00"/>
    <s v="4,00"/>
    <s v="Cuatro Bolívares con 00/100"/>
  </r>
  <r>
    <n v="1015"/>
    <m/>
    <s v="ü"/>
    <d v="2018-05-11T00:00:00"/>
    <n v="4"/>
    <x v="65"/>
    <x v="58"/>
    <s v="Calle Güigüe Nro. 88-10"/>
    <s v="Cancelación Vigilancia, mes de Mayo 2018"/>
    <s v="Vigilancia"/>
    <m/>
    <s v="01015"/>
    <s v="11 de Mayo de 2018"/>
    <n v="11"/>
    <d v="2018-05-01T00:00:00"/>
    <s v="4,00"/>
    <s v="Cuatro Bolívares con 00/100"/>
  </r>
  <r>
    <n v="1016"/>
    <m/>
    <s v="ü"/>
    <d v="2018-05-11T00:00:00"/>
    <n v="2.8"/>
    <x v="62"/>
    <x v="55"/>
    <s v="Av. &quot;M&quot; Nro. 145-10"/>
    <s v="Cancelación Vigilancia, mes de Abril y anticipo Mayo 2018"/>
    <s v="Vigilancia"/>
    <m/>
    <s v="01016"/>
    <s v="11 de Mayo de 2018"/>
    <n v="11"/>
    <d v="2018-05-01T00:00:00"/>
    <s v="2,80"/>
    <s v="Dos Bolívares con 80/100"/>
  </r>
  <r>
    <n v="1017"/>
    <m/>
    <s v="ü"/>
    <d v="2018-05-13T00:00:00"/>
    <n v="1"/>
    <x v="32"/>
    <x v="30"/>
    <s v="Calle Güigüe Nro. 89-120"/>
    <s v="Colaboración Vigilancia, meses de Marzo y Abril 2018"/>
    <s v="Vigilancia"/>
    <m/>
    <s v="01017"/>
    <s v="13 de Mayo de 2018"/>
    <n v="13"/>
    <d v="2018-05-01T00:00:00"/>
    <s v="1,00"/>
    <s v="Un Bolívar con 00/100"/>
  </r>
  <r>
    <n v="1018"/>
    <m/>
    <s v="ü"/>
    <d v="2018-05-13T00:00:00"/>
    <n v="5.8"/>
    <x v="73"/>
    <x v="9"/>
    <s v="Calle Güigüe Nros. 88-71 y 88-81"/>
    <s v="Cancelación Vigilancia, mes de Mayo 2018"/>
    <s v="Vigilancia"/>
    <m/>
    <s v="01018"/>
    <s v="13 de Mayo de 2018"/>
    <n v="13"/>
    <d v="2018-05-01T00:00:00"/>
    <s v="5,80"/>
    <s v="Cinco Bolívares con 80/100"/>
  </r>
  <r>
    <n v="1019"/>
    <m/>
    <s v="ü"/>
    <d v="2018-05-14T00:00:00"/>
    <n v="3"/>
    <x v="3"/>
    <x v="3"/>
    <s v="Calle Güigüe Nro. 88-62"/>
    <s v="Colaboración Vigilancia, meses de Marzo, Abril y Mayo 2018"/>
    <s v="Vigilancia"/>
    <m/>
    <s v="01019"/>
    <s v="14 de Mayo de 2018"/>
    <n v="14"/>
    <d v="2018-05-01T00:00:00"/>
    <s v="3,00"/>
    <s v="Tres Bolívares con 00/100"/>
  </r>
  <r>
    <n v="1020"/>
    <m/>
    <s v="ü"/>
    <d v="2018-05-15T00:00:00"/>
    <n v="4"/>
    <x v="38"/>
    <x v="35"/>
    <s v="Calle Guacara Nro. 89-78"/>
    <s v="Cancelación Vigilancia, mes de Mayo 2018"/>
    <s v="Vigilancia"/>
    <m/>
    <s v="01020"/>
    <s v="15 de Mayo de 2018"/>
    <n v="15"/>
    <d v="2018-05-01T00:00:00"/>
    <s v="4,00"/>
    <s v="Cuatro Bolívares con 00/100"/>
  </r>
  <r>
    <n v="1021"/>
    <m/>
    <s v="ü"/>
    <d v="2018-05-15T00:00:00"/>
    <n v="4"/>
    <x v="34"/>
    <x v="9"/>
    <s v="Av. &quot;O&quot; Nro. 146-11"/>
    <s v="Cancelación Vigilancia, mes de Mayo 2018"/>
    <s v="Vigilancia"/>
    <m/>
    <s v="01021"/>
    <s v="15 de Mayo de 2018"/>
    <n v="15"/>
    <d v="2018-05-01T00:00:00"/>
    <s v="4,00"/>
    <s v="Cuatro Bolívares con 00/100"/>
  </r>
  <r>
    <n v="1022"/>
    <m/>
    <s v="ü"/>
    <d v="2018-05-15T00:00:00"/>
    <n v="4"/>
    <x v="35"/>
    <x v="32"/>
    <s v="Calle Güigüe Nro. 89-80"/>
    <s v="Cancelación Vigilancia, mes de Mayo 2018"/>
    <s v="Vigilancia"/>
    <m/>
    <s v="01022"/>
    <s v="15 de Mayo de 2018"/>
    <n v="15"/>
    <d v="2018-05-01T00:00:00"/>
    <s v="4,00"/>
    <s v="Cuatro Bolívares con 00/100"/>
  </r>
  <r>
    <n v="1023"/>
    <m/>
    <s v="ü"/>
    <d v="2018-05-15T00:00:00"/>
    <n v="2"/>
    <x v="68"/>
    <x v="60"/>
    <s v="Calle Güigüe Nro. 89-29"/>
    <s v="Colaboración Vigilancia, mes de Mayo 2018"/>
    <s v="Vigilancia"/>
    <m/>
    <s v="01023"/>
    <s v="15 de Mayo de 2018"/>
    <n v="15"/>
    <d v="2018-05-01T00:00:00"/>
    <s v="2,00"/>
    <s v="Dos Bolívares con 00/100"/>
  </r>
  <r>
    <n v="1024"/>
    <m/>
    <s v="ü"/>
    <d v="2018-05-15T00:00:00"/>
    <n v="3"/>
    <x v="58"/>
    <x v="53"/>
    <s v="Calle Güigüe Nro. 88-51"/>
    <s v="Cancelación Vigilancia, meses de Noviembre y Diciembre 2017, Enero y Febrero 2018, y anticipo Marzo 2018"/>
    <s v="Vigilancia"/>
    <m/>
    <s v="01024"/>
    <s v="15 de Mayo de 2018"/>
    <n v="15"/>
    <d v="2018-05-01T00:00:00"/>
    <s v="3,00"/>
    <s v="Tres Bolívares con 00/100"/>
  </r>
  <r>
    <n v="1025"/>
    <m/>
    <s v="ü"/>
    <d v="2018-05-17T00:00:00"/>
    <n v="4"/>
    <x v="19"/>
    <x v="17"/>
    <s v="Calle Guacara Nro. 89-130"/>
    <s v="Cancelación Vigilancia, mes de Mayo 2018"/>
    <s v="Vigilancia"/>
    <m/>
    <s v="01025"/>
    <s v="17 de Mayo de 2018"/>
    <n v="17"/>
    <d v="2018-05-01T00:00:00"/>
    <s v="4,00"/>
    <s v="Cuatro Bolívares con 00/100"/>
  </r>
  <r>
    <n v="1026"/>
    <m/>
    <s v="ü"/>
    <d v="2018-05-18T00:00:00"/>
    <n v="16"/>
    <x v="63"/>
    <x v="56"/>
    <s v="Calle Guacara Nro. 88-85"/>
    <s v="Cancelación Vigilancia, meses de Mayo, Junio, Julio y Agosto 2018"/>
    <s v="Vigilancia"/>
    <m/>
    <s v="01026"/>
    <s v="18 de Mayo de 2018"/>
    <n v="18"/>
    <d v="2018-05-01T00:00:00"/>
    <s v="16,00"/>
    <s v="Dieciséis Bolívares con 00/100"/>
  </r>
  <r>
    <n v="1027"/>
    <m/>
    <s v="ü"/>
    <d v="2018-05-18T00:00:00"/>
    <n v="2.5"/>
    <x v="22"/>
    <x v="20"/>
    <s v="Calle Guacara Nro. 88-25"/>
    <s v="Colaboración Vigilancia, mes de Mayo 2018"/>
    <s v="Vigilancia"/>
    <m/>
    <s v="01027"/>
    <s v="18 de Mayo de 2018"/>
    <n v="18"/>
    <d v="2018-05-01T00:00:00"/>
    <s v="2,50"/>
    <s v="Dos Bolívares con 50/100"/>
  </r>
  <r>
    <n v="1028"/>
    <m/>
    <s v="ü"/>
    <d v="2018-05-18T00:00:00"/>
    <n v="1.4"/>
    <x v="10"/>
    <x v="10"/>
    <s v="Av. &quot;M&quot; Nro. 146-15"/>
    <s v="Cancelación Vigilancia, mes de Abril 2018"/>
    <s v="Vigilancia"/>
    <m/>
    <s v="01028"/>
    <s v="18 de Mayo de 2018"/>
    <n v="18"/>
    <d v="2018-05-01T00:00:00"/>
    <s v="1,40"/>
    <s v="Un Bolívares con 40/100"/>
  </r>
  <r>
    <n v="1029"/>
    <m/>
    <s v="ü"/>
    <d v="2018-05-18T00:00:00"/>
    <n v="4"/>
    <x v="40"/>
    <x v="37"/>
    <s v="Calle Güigüe Nro. 88-101"/>
    <s v="Cancelación Vigilancia, mes de Mayo 2018"/>
    <s v="Vigilancia"/>
    <m/>
    <s v="01029"/>
    <s v="18 de Mayo de 2018"/>
    <n v="18"/>
    <d v="2018-05-01T00:00:00"/>
    <s v="4,00"/>
    <s v="Cuatro Bolívares con 00/100"/>
  </r>
  <r>
    <n v="1030"/>
    <m/>
    <s v="ü"/>
    <d v="2018-05-19T00:00:00"/>
    <n v="4"/>
    <x v="26"/>
    <x v="24"/>
    <s v="Calle Güigüe Nro. 89-96"/>
    <s v="Cancelación Vigilancia, mes de Mayo 2018"/>
    <s v="Vigilancia"/>
    <m/>
    <s v="01030"/>
    <s v="19 de Mayo de 2018"/>
    <n v="19"/>
    <d v="2018-05-01T00:00:00"/>
    <s v="4,00"/>
    <s v="Cuatro Bolívares con 00/100"/>
  </r>
  <r>
    <n v="1031"/>
    <m/>
    <s v="ü"/>
    <d v="2018-05-20T00:00:00"/>
    <n v="1.2"/>
    <x v="57"/>
    <x v="9"/>
    <s v="Calle Güigüe Nro. 88-40"/>
    <s v="Colaboración Vigilancia, meses de Febrero, Marzo, Abril y Mayo 2018"/>
    <s v="Vigilancia"/>
    <m/>
    <s v="01031"/>
    <s v="20 de Mayo de 2018"/>
    <n v="20"/>
    <d v="2018-05-01T00:00:00"/>
    <s v="1,20"/>
    <s v="Un Bolívares con 20/100"/>
  </r>
  <r>
    <n v="1032"/>
    <m/>
    <s v="ü"/>
    <d v="2018-05-20T00:00:00"/>
    <n v="5.4"/>
    <x v="83"/>
    <x v="70"/>
    <s v="Calle Güigüe Nro. 89-22"/>
    <s v="Cancelación Vigilancia, meses de Abril y Mayo 2018"/>
    <s v="Vigilancia"/>
    <m/>
    <s v="01032"/>
    <s v="20 de Mayo de 2018"/>
    <n v="20"/>
    <d v="2018-05-01T00:00:00"/>
    <s v="5,40"/>
    <s v="Cinco Bolívares con 40/100"/>
  </r>
  <r>
    <n v="1033"/>
    <m/>
    <s v="ü"/>
    <d v="2018-05-04T00:00:00"/>
    <n v="2"/>
    <x v="7"/>
    <x v="7"/>
    <s v="Calle Guacara Nro. 87-86"/>
    <s v="Colaboración Vigilancia, mes de Mayo 2018"/>
    <s v="Vigilancia"/>
    <m/>
    <s v="01033"/>
    <s v="04 de Mayo de 2018"/>
    <n v="4"/>
    <d v="2018-05-01T00:00:00"/>
    <s v="2,00"/>
    <s v="Dos Bolívares con 00/100"/>
  </r>
  <r>
    <n v="1034"/>
    <m/>
    <s v="ü"/>
    <d v="2018-05-21T00:00:00"/>
    <n v="4"/>
    <x v="76"/>
    <x v="66"/>
    <s v="Calle Güigüe Nro. 89-90"/>
    <s v="Cancelación Vigilancia, mes de Mayo 2018"/>
    <s v="Vigilancia"/>
    <m/>
    <s v="01034"/>
    <s v="21 de Mayo de 2018"/>
    <n v="21"/>
    <d v="2018-05-01T00:00:00"/>
    <s v="4,00"/>
    <s v="Cuatro Bolívares con 00/100"/>
  </r>
  <r>
    <n v="1035"/>
    <m/>
    <s v="ü"/>
    <d v="2018-05-21T00:00:00"/>
    <n v="2"/>
    <x v="15"/>
    <x v="14"/>
    <s v="Calle Guacara Nro. 89-94"/>
    <s v="Colaboración Vigilancia, mes de Mayo 2018"/>
    <s v="Vigilancia"/>
    <m/>
    <s v="01035"/>
    <s v="21 de Mayo de 2018"/>
    <n v="21"/>
    <d v="2018-05-01T00:00:00"/>
    <s v="2,00"/>
    <s v="Dos Bolívares con 00/100"/>
  </r>
  <r>
    <n v="1036"/>
    <m/>
    <s v="ü"/>
    <d v="2018-05-21T00:00:00"/>
    <n v="1.9"/>
    <x v="61"/>
    <x v="14"/>
    <s v="Calle Guacara Nro. 87-07"/>
    <s v="Cancelación Vigilancia, anticipo mes de Mayo 2018"/>
    <s v="Vigilancia"/>
    <m/>
    <s v="01036"/>
    <s v="21 de Mayo de 2018"/>
    <n v="21"/>
    <d v="2018-05-01T00:00:00"/>
    <s v="1,90"/>
    <s v="Un Bolívares con 90/100"/>
  </r>
  <r>
    <n v="1037"/>
    <m/>
    <s v="ü"/>
    <d v="2018-05-21T00:00:00"/>
    <n v="4"/>
    <x v="45"/>
    <x v="42"/>
    <s v="Calle Güigüe Nro. 87-A-11"/>
    <s v="Cancelación Vigilancia, mes de Mayo 2018"/>
    <s v="Vigilancia"/>
    <m/>
    <s v="01037"/>
    <s v="21 de Mayo de 2018"/>
    <n v="21"/>
    <d v="2018-05-01T00:00:00"/>
    <s v="4,00"/>
    <s v="Cuatro Bolívares con 00/100"/>
  </r>
  <r>
    <n v="1038"/>
    <m/>
    <s v="ü"/>
    <d v="2018-05-21T00:00:00"/>
    <n v="1"/>
    <x v="45"/>
    <x v="42"/>
    <s v="Calle Güigüe Nro. 87-A-11"/>
    <s v="Colaboración mantenimiento Caseta de Vigilancia"/>
    <s v="Caseta Vigilancia"/>
    <m/>
    <s v="01038"/>
    <s v="21 de Mayo de 2018"/>
    <n v="21"/>
    <d v="2018-05-01T00:00:00"/>
    <s v="1,00"/>
    <s v="Un Bolívar con 00/100"/>
  </r>
  <r>
    <n v="1039"/>
    <m/>
    <s v="ü"/>
    <d v="2018-05-21T00:00:00"/>
    <n v="4"/>
    <x v="23"/>
    <x v="21"/>
    <s v="Calle Güigüe Nro. 88-116"/>
    <s v="Cancelación Vigilancia, mes de Mayo 2018"/>
    <s v="Vigilancia"/>
    <m/>
    <s v="01039"/>
    <s v="21 de Mayo de 2018"/>
    <n v="21"/>
    <d v="2018-05-01T00:00:00"/>
    <s v="4,00"/>
    <s v="Cuatro Bolívares con 00/100"/>
  </r>
  <r>
    <n v="1040"/>
    <m/>
    <s v="ü"/>
    <d v="2018-05-21T00:00:00"/>
    <n v="4"/>
    <x v="49"/>
    <x v="46"/>
    <s v="Av. &quot;O&quot; Nro. 146-17"/>
    <s v="Cancelación Vigilancia, mes de Mayo 2018"/>
    <s v="Vigilancia"/>
    <m/>
    <s v="01040"/>
    <s v="21 de Mayo de 2018"/>
    <n v="21"/>
    <d v="2018-05-01T00:00:00"/>
    <s v="4,00"/>
    <s v="Cuatro Bolívares con 00/100"/>
  </r>
  <r>
    <n v="1041"/>
    <m/>
    <s v="ü"/>
    <d v="2018-05-21T00:00:00"/>
    <n v="4"/>
    <x v="54"/>
    <x v="50"/>
    <s v="Calle Güigüe Nro. 89-21"/>
    <s v="Cancelación Vigilancia, mes de Mayo 2018"/>
    <s v="Vigilancia"/>
    <m/>
    <s v="01041"/>
    <s v="21 de Mayo de 2018"/>
    <n v="21"/>
    <d v="2018-05-01T00:00:00"/>
    <s v="4,00"/>
    <s v="Cuatro Bolívares con 00/100"/>
  </r>
  <r>
    <n v="1042"/>
    <m/>
    <s v="ü"/>
    <d v="2018-05-21T00:00:00"/>
    <n v="3.5"/>
    <x v="54"/>
    <x v="50"/>
    <s v="Calle Güigüe Nro. 89-21"/>
    <s v="Colaboración mantenimiento Caseta de Vigilancia"/>
    <s v="Caseta Vigilancia"/>
    <m/>
    <s v="01042"/>
    <s v="21 de Mayo de 2018"/>
    <n v="21"/>
    <d v="2018-05-01T00:00:00"/>
    <s v="3,50"/>
    <s v="Tres Bolívares con 50/100"/>
  </r>
  <r>
    <n v="1043"/>
    <m/>
    <s v="ü"/>
    <d v="2018-05-21T00:00:00"/>
    <n v="4"/>
    <x v="60"/>
    <x v="54"/>
    <s v="Calle Guacara Nro. 88-51"/>
    <s v="Cancelación Vigilancia, mes de Mayo 2018"/>
    <s v="Vigilancia"/>
    <m/>
    <s v="01043"/>
    <s v="21 de Mayo de 2018"/>
    <n v="21"/>
    <d v="2018-05-01T00:00:00"/>
    <s v="4,00"/>
    <s v="Cuatro Bolívares con 00/100"/>
  </r>
  <r>
    <n v="1044"/>
    <m/>
    <s v="ü"/>
    <d v="2018-05-21T00:00:00"/>
    <n v="4"/>
    <x v="86"/>
    <x v="73"/>
    <s v="Calle Guacara Nro. 89-50"/>
    <s v="Cancelación Vigilancia, mes de Mayo 2018"/>
    <s v="Vigilancia"/>
    <m/>
    <s v="01044"/>
    <s v="21 de Mayo de 2018"/>
    <n v="21"/>
    <d v="2018-05-01T00:00:00"/>
    <s v="4,00"/>
    <s v="Cuatro Bolívares con 00/100"/>
  </r>
  <r>
    <n v="1045"/>
    <m/>
    <s v="ü"/>
    <d v="2018-05-22T00:00:00"/>
    <n v="3.5"/>
    <x v="1"/>
    <x v="1"/>
    <s v="Calle Güigüe Nro. 88-44"/>
    <s v="Colaboración mantenimiento Caseta de Vigilancia"/>
    <s v="Caseta Vigilancia"/>
    <m/>
    <s v="01045"/>
    <s v="22 de Mayo de 2018"/>
    <n v="22"/>
    <d v="2018-05-01T00:00:00"/>
    <s v="3,50"/>
    <s v="Tres Bolívares con 50/100"/>
  </r>
  <r>
    <n v="1046"/>
    <m/>
    <s v="ü"/>
    <d v="2018-05-22T00:00:00"/>
    <n v="3.5"/>
    <x v="84"/>
    <x v="71"/>
    <s v="Calle Güigüe Nro. 89-54"/>
    <s v="Colaboración mantenimiento Caseta de Vigilancia"/>
    <s v="Caseta Vigilancia"/>
    <m/>
    <s v="01046"/>
    <s v="22 de Mayo de 2018"/>
    <n v="22"/>
    <d v="2018-05-01T00:00:00"/>
    <s v="3,50"/>
    <s v="Tres Bolívares con 50/100"/>
  </r>
  <r>
    <n v="1047"/>
    <m/>
    <s v="ü"/>
    <d v="2018-05-22T00:00:00"/>
    <n v="4"/>
    <x v="69"/>
    <x v="61"/>
    <s v="Calle Güigüe Nro. 89-40"/>
    <s v="Cancelación Vigilancia, mes de Mayo 2018"/>
    <s v="Vigilancia"/>
    <m/>
    <s v="01047"/>
    <s v="22 de Mayo de 2018"/>
    <n v="22"/>
    <d v="2018-05-01T00:00:00"/>
    <s v="4,00"/>
    <s v="Cuatro Bolívares con 00/100"/>
  </r>
  <r>
    <n v="1048"/>
    <m/>
    <s v="ü"/>
    <d v="2018-05-22T00:00:00"/>
    <n v="3.5"/>
    <x v="7"/>
    <x v="7"/>
    <s v="Calle Guacara Nro. 87-86"/>
    <s v="Colaboración mantenimiento Caseta de Vigilancia"/>
    <s v="Caseta Vigilancia"/>
    <m/>
    <s v="01048"/>
    <s v="22 de Mayo de 2018"/>
    <n v="22"/>
    <d v="2018-05-01T00:00:00"/>
    <s v="3,50"/>
    <s v="Tres Bolívares con 50/100"/>
  </r>
  <r>
    <n v="1049"/>
    <m/>
    <s v="ü"/>
    <d v="2018-05-22T00:00:00"/>
    <n v="1.9"/>
    <x v="45"/>
    <x v="42"/>
    <s v="Calle Güigüe Nro. 87-A-11"/>
    <s v="Colaboración mantenimiento Caseta de Vigilancia"/>
    <s v="Caseta Vigilancia"/>
    <m/>
    <s v="01049"/>
    <s v="22 de Mayo de 2018"/>
    <n v="22"/>
    <d v="2018-05-01T00:00:00"/>
    <s v="1,90"/>
    <s v="Un Bolívares con 90/100"/>
  </r>
  <r>
    <n v="1050"/>
    <m/>
    <s v="ü"/>
    <d v="2018-05-22T00:00:00"/>
    <n v="4"/>
    <x v="84"/>
    <x v="71"/>
    <s v="Calle Güigüe Nro. 89-54"/>
    <s v="Cancelación Vigilancia, mes de Junio 2018"/>
    <s v="Vigilancia"/>
    <m/>
    <s v="01050"/>
    <s v="22 de Mayo de 2018"/>
    <n v="22"/>
    <d v="2018-05-01T00:00:00"/>
    <s v="4,00"/>
    <s v="Cuatro Bolívares con 00/100"/>
  </r>
  <r>
    <n v="1051"/>
    <m/>
    <s v="ü"/>
    <d v="2018-05-22T00:00:00"/>
    <n v="3.5"/>
    <x v="4"/>
    <x v="4"/>
    <s v="Calle Güigüe Nro. 89-55"/>
    <s v="Colaboración mantenimiento Caseta de Vigilancia"/>
    <s v="Caseta Vigilancia"/>
    <m/>
    <s v="01051"/>
    <s v="22 de Mayo de 2018"/>
    <n v="22"/>
    <d v="2018-05-01T00:00:00"/>
    <s v="3,50"/>
    <s v="Tres Bolívares con 50/100"/>
  </r>
  <r>
    <n v="1052"/>
    <m/>
    <s v="ü"/>
    <d v="2018-05-22T00:00:00"/>
    <n v="3.5"/>
    <x v="21"/>
    <x v="19"/>
    <s v="Calle Güigüe Nro. 89-105"/>
    <s v="Colaboración mantenimiento Caseta de Vigilancia"/>
    <s v="Caseta Vigilancia"/>
    <m/>
    <s v="01052"/>
    <s v="22 de Mayo de 2018"/>
    <n v="22"/>
    <d v="2018-05-01T00:00:00"/>
    <s v="3,50"/>
    <s v="Tres Bolívares con 50/100"/>
  </r>
  <r>
    <n v="1053"/>
    <m/>
    <s v="ü"/>
    <d v="2018-05-22T00:00:00"/>
    <n v="8"/>
    <x v="27"/>
    <x v="25"/>
    <s v="Calle Güigüe Nro. 89-106"/>
    <s v="Cancelación Vigilancia, meses de Mayo y Junio 2018"/>
    <s v="Vigilancia"/>
    <m/>
    <s v="01053"/>
    <s v="22 de Mayo de 2018"/>
    <n v="22"/>
    <d v="2018-05-01T00:00:00"/>
    <s v="8,00"/>
    <s v="Ocho Bolívares con 00/100"/>
  </r>
  <r>
    <n v="1054"/>
    <m/>
    <s v="ü"/>
    <d v="2018-05-22T00:00:00"/>
    <n v="3.5"/>
    <x v="12"/>
    <x v="12"/>
    <s v="Calle Guacara Nro. 89-20"/>
    <s v="Colaboración mantenimiento Caseta de Vigilancia"/>
    <s v="Caseta Vigilancia"/>
    <m/>
    <s v="01054"/>
    <s v="22 de Mayo de 2018"/>
    <n v="22"/>
    <d v="2018-05-01T00:00:00"/>
    <s v="3,50"/>
    <s v="Tres Bolívares con 50/100"/>
  </r>
  <r>
    <n v="1055"/>
    <m/>
    <s v="ü"/>
    <d v="2018-05-22T00:00:00"/>
    <n v="4"/>
    <x v="8"/>
    <x v="78"/>
    <s v="Calle Guacara Nro. 90-51"/>
    <s v="Cancelación Vigilancia, mes de Mayo 2018"/>
    <s v="Vigilancia"/>
    <m/>
    <s v="01055"/>
    <s v="22 de Mayo de 2018"/>
    <n v="22"/>
    <d v="2018-05-01T00:00:00"/>
    <s v="4,00"/>
    <s v="Cuatro Bolívares con 00/100"/>
  </r>
  <r>
    <n v="1056"/>
    <m/>
    <s v="ü"/>
    <d v="2018-05-22T00:00:00"/>
    <n v="3.5"/>
    <x v="8"/>
    <x v="78"/>
    <s v="Calle Guacara Nro. 90-51"/>
    <s v="Colaboración mantenimiento Caseta de Vigilancia"/>
    <s v="Caseta Vigilancia"/>
    <m/>
    <s v="01056"/>
    <s v="22 de Mayo de 2018"/>
    <n v="22"/>
    <d v="2018-05-01T00:00:00"/>
    <s v="3,50"/>
    <s v="Tres Bolívares con 50/100"/>
  </r>
  <r>
    <n v="1057"/>
    <m/>
    <s v="ü"/>
    <d v="2018-05-22T00:00:00"/>
    <n v="3.5"/>
    <x v="16"/>
    <x v="15"/>
    <s v="Calle Guacara Nro. 90-81"/>
    <s v="Colaboración mantenimiento Caseta de Vigilancia"/>
    <s v="Caseta Vigilancia"/>
    <m/>
    <s v="01057"/>
    <s v="22 de Mayo de 2018"/>
    <n v="22"/>
    <d v="2018-05-01T00:00:00"/>
    <s v="3,50"/>
    <s v="Tres Bolívares con 50/100"/>
  </r>
  <r>
    <n v="1058"/>
    <m/>
    <s v="û"/>
    <d v="2018-05-22T00:00:00"/>
    <n v="1.5"/>
    <x v="20"/>
    <x v="18"/>
    <s v="Calle Guacara Nro. 89-30"/>
    <s v="ANULADO: Complemento colaboración mantenimiento Caseta de Vigilancia"/>
    <s v="ANULADO"/>
    <m/>
    <s v="01058"/>
    <s v="22 de Mayo de 2018"/>
    <n v="22"/>
    <d v="2018-05-01T00:00:00"/>
    <s v="1,50"/>
    <s v="Un Bolívares con 50/100"/>
  </r>
  <r>
    <n v="1059"/>
    <m/>
    <s v="ü"/>
    <d v="2018-05-22T00:00:00"/>
    <n v="3.5"/>
    <x v="6"/>
    <x v="6"/>
    <s v="Calle Guacara Nro. 89-60"/>
    <s v="Colaboración mantenimiento Caseta de Vigilancia"/>
    <s v="Caseta Vigilancia"/>
    <m/>
    <s v="01059"/>
    <s v="22 de Mayo de 2018"/>
    <n v="22"/>
    <d v="2018-05-01T00:00:00"/>
    <s v="3,50"/>
    <s v="Tres Bolívares con 50/100"/>
  </r>
  <r>
    <n v="1060"/>
    <m/>
    <s v="ü"/>
    <d v="2018-05-22T00:00:00"/>
    <n v="3.5"/>
    <x v="11"/>
    <x v="11"/>
    <s v="Calle Guacara Nro. 89-86"/>
    <s v="Colaboración mantenimiento Caseta de Vigilancia"/>
    <s v="Caseta Vigilancia"/>
    <m/>
    <s v="01060"/>
    <s v="22 de Mayo de 2018"/>
    <n v="22"/>
    <d v="2018-05-01T00:00:00"/>
    <s v="3,50"/>
    <s v="Tres Bolívares con 50/100"/>
  </r>
  <r>
    <n v="1061"/>
    <m/>
    <s v="ü"/>
    <d v="2018-05-22T00:00:00"/>
    <n v="4"/>
    <x v="43"/>
    <x v="40"/>
    <s v="Calle Güigüe Nro. 88-50"/>
    <s v="Cancelación Vigilancia, mes de Mayo 2018"/>
    <s v="Vigilancia"/>
    <m/>
    <s v="01061"/>
    <s v="22 de Mayo de 2018"/>
    <n v="22"/>
    <d v="2018-05-01T00:00:00"/>
    <s v="4,00"/>
    <s v="Cuatro Bolívares con 00/100"/>
  </r>
  <r>
    <n v="1062"/>
    <m/>
    <s v="ü"/>
    <d v="2018-05-22T00:00:00"/>
    <n v="3.5"/>
    <x v="43"/>
    <x v="40"/>
    <s v="Calle Güigüe Nro. 88-50"/>
    <s v="Colaboración mantenimiento Caseta de Vigilancia"/>
    <s v="Caseta Vigilancia"/>
    <m/>
    <s v="01062"/>
    <s v="22 de Mayo de 2018"/>
    <n v="22"/>
    <d v="2018-05-01T00:00:00"/>
    <s v="3,50"/>
    <s v="Tres Bolívares con 50/100"/>
  </r>
  <r>
    <n v="1063"/>
    <m/>
    <s v="ü"/>
    <d v="2018-05-22T00:00:00"/>
    <n v="3.5"/>
    <x v="52"/>
    <x v="9"/>
    <s v="Calle Güigüe Nro. 89-45"/>
    <s v="Colaboración mantenimiento Caseta de Vigilancia (saldo a favor: Bs. 1.493.000)"/>
    <s v="Caseta Vigilancia"/>
    <m/>
    <s v="01063"/>
    <s v="22 de Mayo de 2018"/>
    <n v="22"/>
    <d v="2018-05-01T00:00:00"/>
    <s v="3,50"/>
    <s v="Tres Bolívares con 50/100"/>
  </r>
  <r>
    <n v="1064"/>
    <m/>
    <s v="ü"/>
    <d v="2018-05-22T00:00:00"/>
    <n v="3.5"/>
    <x v="9"/>
    <x v="9"/>
    <s v="Av. &quot;M&quot; Nro. 146-30"/>
    <s v="Colaboración mantenimiento Caseta de Vigilancia"/>
    <s v="Caseta Vigilancia"/>
    <m/>
    <s v="01064"/>
    <s v="22 de Mayo de 2018"/>
    <n v="22"/>
    <d v="2018-05-01T00:00:00"/>
    <s v="3,50"/>
    <s v="Tres Bolívares con 50/100"/>
  </r>
  <r>
    <n v="1065"/>
    <m/>
    <s v="ü"/>
    <d v="2018-05-22T00:00:00"/>
    <n v="6.6"/>
    <x v="11"/>
    <x v="11"/>
    <s v="Calle Guacara Nro. 89-86"/>
    <s v="Vigilancia, saldo mes de Mayo y cancelación mes de Junio 2018"/>
    <s v="Vigilancia"/>
    <m/>
    <s v="01065"/>
    <s v="22 de Mayo de 2018"/>
    <n v="22"/>
    <d v="2018-05-01T00:00:00"/>
    <s v="6,60"/>
    <s v="Seis Bolívares con 60/100"/>
  </r>
  <r>
    <n v="1066"/>
    <m/>
    <s v="ü"/>
    <d v="2018-05-23T00:00:00"/>
    <n v="3.5"/>
    <x v="63"/>
    <x v="56"/>
    <s v="Calle Guacara Nro. 88-85"/>
    <s v="Colaboración mantenimiento Caseta de Vigilancia"/>
    <s v="Caseta Vigilancia"/>
    <m/>
    <s v="01066"/>
    <s v="23 de Mayo de 2018"/>
    <n v="23"/>
    <d v="2018-05-01T00:00:00"/>
    <s v="3,50"/>
    <s v="Tres Bolívares con 50/100"/>
  </r>
  <r>
    <n v="1067"/>
    <m/>
    <s v="ü"/>
    <d v="2018-05-23T00:00:00"/>
    <n v="4"/>
    <x v="46"/>
    <x v="43"/>
    <s v="Av. &quot;I&quot; Nro. 146-20"/>
    <s v="Cancelación Vigilancia, mes de Mayo 2018"/>
    <s v="Vigilancia"/>
    <m/>
    <s v="01067"/>
    <s v="23 de Mayo de 2018"/>
    <n v="23"/>
    <d v="2018-05-01T00:00:00"/>
    <s v="4,00"/>
    <s v="Cuatro Bolívares con 00/100"/>
  </r>
  <r>
    <n v="1068"/>
    <m/>
    <s v="ü"/>
    <d v="2018-05-23T00:00:00"/>
    <n v="3.5"/>
    <x v="65"/>
    <x v="58"/>
    <s v="Calle Güigüe Nro. 88-10"/>
    <s v="Colaboración mantenimiento Caseta de Vigilancia"/>
    <s v="Caseta Vigilancia"/>
    <m/>
    <s v="01068"/>
    <s v="23 de Mayo de 2018"/>
    <n v="23"/>
    <d v="2018-05-01T00:00:00"/>
    <s v="3,50"/>
    <s v="Tres Bolívares con 50/100"/>
  </r>
  <r>
    <n v="1069"/>
    <m/>
    <s v="ü"/>
    <d v="2018-05-23T00:00:00"/>
    <n v="3.5"/>
    <x v="15"/>
    <x v="14"/>
    <s v="Calle Guacara Nro. 89-94"/>
    <s v="Colaboración mantenimiento Caseta de Vigilancia"/>
    <s v="Caseta Vigilancia"/>
    <m/>
    <s v="01069"/>
    <s v="23 de Mayo de 2018"/>
    <n v="23"/>
    <d v="2018-05-01T00:00:00"/>
    <s v="3,50"/>
    <s v="Tres Bolívares con 50/100"/>
  </r>
  <r>
    <n v="1070"/>
    <m/>
    <s v="ü"/>
    <d v="2018-05-23T00:00:00"/>
    <n v="3.5"/>
    <x v="89"/>
    <x v="81"/>
    <s v="Calle Guacara Nro. 88-75"/>
    <s v="Colaboración mantenimiento Caseta de Vigilancia"/>
    <s v="Caseta Vigilancia"/>
    <m/>
    <s v="01070"/>
    <s v="23 de Mayo de 2018"/>
    <n v="23"/>
    <d v="2018-05-01T00:00:00"/>
    <s v="3,50"/>
    <s v="Tres Bolívares con 50/100"/>
  </r>
  <r>
    <n v="1071"/>
    <m/>
    <s v="ü"/>
    <d v="2018-05-23T00:00:00"/>
    <n v="3.5"/>
    <x v="20"/>
    <x v="18"/>
    <s v="Calle Guacara Nro. 89-30"/>
    <s v="Complemento colaboración mantenimiento Caseta de Vigilancia"/>
    <s v="Caseta Vigilancia"/>
    <m/>
    <s v="01071"/>
    <s v="23 de Mayo de 2018"/>
    <n v="23"/>
    <d v="2018-05-01T00:00:00"/>
    <s v="3,50"/>
    <s v="Tres Bolívares con 50/100"/>
  </r>
  <r>
    <n v="1072"/>
    <m/>
    <s v="ü"/>
    <d v="2018-05-23T00:00:00"/>
    <n v="1.5"/>
    <x v="18"/>
    <x v="16"/>
    <s v="Calle Guacara Nro. 87-100"/>
    <s v="Cancelación Vigilancia, saldo mes de Mayo 2018"/>
    <s v="Vigilancia"/>
    <m/>
    <s v="01072"/>
    <s v="23 de Mayo de 2018"/>
    <n v="23"/>
    <d v="2018-05-01T00:00:00"/>
    <s v="1,50"/>
    <s v="Un Bolívares con 50/100"/>
  </r>
  <r>
    <n v="1073"/>
    <m/>
    <s v="ü"/>
    <d v="2018-05-23T00:00:00"/>
    <n v="1"/>
    <x v="18"/>
    <x v="16"/>
    <s v="Calle Guacara Nro. 87-100"/>
    <s v="Colaboración mantenimiento Caseta de Vigilancia"/>
    <s v="Caseta Vigilancia"/>
    <m/>
    <s v="01073"/>
    <s v="23 de Mayo de 2018"/>
    <n v="23"/>
    <d v="2018-05-01T00:00:00"/>
    <s v="1,00"/>
    <s v="Un Bolívar con 00/100"/>
  </r>
  <r>
    <n v="1074"/>
    <m/>
    <s v="ü"/>
    <d v="2018-05-23T00:00:00"/>
    <n v="3.5"/>
    <x v="35"/>
    <x v="32"/>
    <s v="Calle Güigüe Nro. 89-80"/>
    <s v="Colaboración mantenimiento Caseta de Vigilancia"/>
    <s v="Caseta Vigilancia"/>
    <m/>
    <s v="01074"/>
    <s v="23 de Mayo de 2018"/>
    <n v="23"/>
    <d v="2018-05-01T00:00:00"/>
    <s v="3,50"/>
    <s v="Tres Bolívares con 50/100"/>
  </r>
  <r>
    <n v="1075"/>
    <m/>
    <s v="ü"/>
    <d v="2018-05-23T00:00:00"/>
    <n v="3.5"/>
    <x v="38"/>
    <x v="35"/>
    <s v="Calle Guacara Nro. 89-78"/>
    <s v="Colaboración mantenimiento Caseta de Vigilancia"/>
    <s v="Caseta Vigilancia"/>
    <m/>
    <s v="01075"/>
    <s v="23 de Mayo de 2018"/>
    <n v="23"/>
    <d v="2018-05-01T00:00:00"/>
    <s v="3,50"/>
    <s v="Tres Bolívares con 50/100"/>
  </r>
  <r>
    <n v="1076"/>
    <m/>
    <s v="ü"/>
    <d v="2018-05-23T00:00:00"/>
    <n v="3.5"/>
    <x v="31"/>
    <x v="29"/>
    <s v="Calle Güigüe Nro. 89-95"/>
    <s v="Colaboración mantenimiento Caseta de Vigilancia"/>
    <s v="Caseta Vigilancia"/>
    <m/>
    <s v="01076"/>
    <s v="23 de Mayo de 2018"/>
    <n v="23"/>
    <d v="2018-05-01T00:00:00"/>
    <s v="3,50"/>
    <s v="Tres Bolívares con 50/100"/>
  </r>
  <r>
    <n v="1077"/>
    <m/>
    <s v="ü"/>
    <d v="2018-05-23T00:00:00"/>
    <n v="8"/>
    <x v="70"/>
    <x v="9"/>
    <s v="Calle Guacara Nro. 89-70"/>
    <s v="Cancelación Vigilancia, meses de Mayo y Junio 2018"/>
    <s v="Vigilancia"/>
    <m/>
    <s v="01077"/>
    <s v="23 de Mayo de 2018"/>
    <n v="23"/>
    <d v="2018-05-01T00:00:00"/>
    <s v="8,00"/>
    <s v="Ocho Bolívares con 00/100"/>
  </r>
  <r>
    <n v="1078"/>
    <m/>
    <s v="ü"/>
    <d v="2018-05-24T00:00:00"/>
    <n v="4"/>
    <x v="90"/>
    <x v="82"/>
    <s v="Calle Güigüe Nro. 89-04"/>
    <s v="Cancelación Vigilancia, mes de Mayo 2018"/>
    <s v="Vigilancia"/>
    <m/>
    <s v="01078"/>
    <s v="24 de Mayo de 2018"/>
    <n v="24"/>
    <d v="2018-05-01T00:00:00"/>
    <s v="4,00"/>
    <s v="Cuatro Bolívares con 00/100"/>
  </r>
  <r>
    <n v="1079"/>
    <m/>
    <s v="ü"/>
    <d v="2018-05-24T00:00:00"/>
    <n v="3.5"/>
    <x v="90"/>
    <x v="82"/>
    <s v="Calle Güigüe Nro. 89-04"/>
    <s v="Colaboración mantenimiento Caseta de Vigilancia"/>
    <s v="Caseta Vigilancia"/>
    <m/>
    <s v="01079"/>
    <s v="24 de Mayo de 2018"/>
    <n v="24"/>
    <d v="2018-05-01T00:00:00"/>
    <s v="3,50"/>
    <s v="Tres Bolívares con 50/100"/>
  </r>
  <r>
    <n v="1080"/>
    <m/>
    <s v="ü"/>
    <d v="2018-05-24T00:00:00"/>
    <n v="3.5"/>
    <x v="14"/>
    <x v="13"/>
    <s v="Calle Güigüe Nro. 89-83"/>
    <s v="Colaboración mantenimiento Caseta de Vigilancia"/>
    <s v="Caseta Vigilancia"/>
    <m/>
    <s v="01080"/>
    <s v="24 de Mayo de 2018"/>
    <n v="24"/>
    <d v="2018-05-01T00:00:00"/>
    <s v="3,50"/>
    <s v="Tres Bolívares con 50/100"/>
  </r>
  <r>
    <n v="1081"/>
    <m/>
    <s v="ü"/>
    <d v="2018-05-25T00:00:00"/>
    <n v="3.5"/>
    <x v="19"/>
    <x v="17"/>
    <s v="Calle Guacara Nro. 89-130"/>
    <s v="Colaboración mantenimiento Caseta de Vigilancia"/>
    <s v="Caseta Vigilancia"/>
    <m/>
    <s v="01081"/>
    <s v="25 de Mayo de 2018"/>
    <n v="25"/>
    <d v="2018-05-01T00:00:00"/>
    <s v="3,50"/>
    <s v="Tres Bolívares con 50/100"/>
  </r>
  <r>
    <n v="1082"/>
    <m/>
    <s v="ü"/>
    <d v="2018-05-25T00:00:00"/>
    <n v="3.5"/>
    <x v="76"/>
    <x v="66"/>
    <s v="Calle Güigüe Nro. 89-90"/>
    <s v="Colaboración mantenimiento Caseta de Vigilancia"/>
    <s v="Caseta Vigilancia"/>
    <m/>
    <s v="01082"/>
    <s v="25 de Mayo de 2018"/>
    <n v="25"/>
    <d v="2018-05-01T00:00:00"/>
    <s v="3,50"/>
    <s v="Tres Bolívares con 50/100"/>
  </r>
  <r>
    <n v="1083"/>
    <m/>
    <s v="ü"/>
    <d v="2018-05-25T00:00:00"/>
    <n v="3.5"/>
    <x v="88"/>
    <x v="76"/>
    <s v="Calle Güigüe Nro. 88-11"/>
    <s v="Colaboración mantenimiento Caseta de Vigilancia"/>
    <s v="Caseta Vigilancia"/>
    <m/>
    <s v="01083"/>
    <s v="25 de Mayo de 2018"/>
    <n v="25"/>
    <d v="2018-05-01T00:00:00"/>
    <s v="3,50"/>
    <s v="Tres Bolívares con 50/100"/>
  </r>
  <r>
    <n v="1084"/>
    <m/>
    <s v="ü"/>
    <d v="2018-05-26T00:00:00"/>
    <n v="1"/>
    <x v="74"/>
    <x v="64"/>
    <s v="Calle Güigüe Nro. 88-20"/>
    <s v="Colaboración mantenimiento Caseta de Vigilancia"/>
    <s v="Caseta Vigilancia"/>
    <m/>
    <s v="01084"/>
    <s v="26 de Mayo de 2018"/>
    <n v="26"/>
    <d v="2018-05-01T00:00:00"/>
    <s v="1,00"/>
    <s v="Un Bolívar con 00/100"/>
  </r>
  <r>
    <n v="1085"/>
    <m/>
    <s v="ü"/>
    <d v="2018-05-27T00:00:00"/>
    <n v="4"/>
    <x v="56"/>
    <x v="52"/>
    <s v="Calle Güigüe Nro. 88-70"/>
    <s v="Cancelación Vigilancia, mes de Mayo 2018"/>
    <s v="Vigilancia"/>
    <m/>
    <s v="01085"/>
    <s v="27 de Mayo de 2018"/>
    <n v="27"/>
    <d v="2018-05-01T00:00:00"/>
    <s v="4,00"/>
    <s v="Cuatro Bolívares con 00/100"/>
  </r>
  <r>
    <n v="1086"/>
    <m/>
    <s v="ü"/>
    <d v="2018-05-27T00:00:00"/>
    <n v="3.5"/>
    <x v="56"/>
    <x v="52"/>
    <s v="Calle Güigüe Nro. 88-70"/>
    <s v="Colaboración mantenimiento Caseta de Vigilancia"/>
    <s v="Caseta Vigilancia"/>
    <m/>
    <s v="01086"/>
    <s v="27 de Mayo de 2018"/>
    <n v="27"/>
    <d v="2018-05-01T00:00:00"/>
    <s v="3,50"/>
    <s v="Tres Bolívares con 50/100"/>
  </r>
  <r>
    <n v="1087"/>
    <m/>
    <s v="ü"/>
    <d v="2018-05-28T00:00:00"/>
    <n v="4"/>
    <x v="28"/>
    <x v="77"/>
    <s v="Calle Güigüe Nro. 88-30"/>
    <s v="Ajuste Colaboración Vigilancia, meses de Febrero, Marzo, Abril y Mayo 2018"/>
    <s v="Vigilancia"/>
    <m/>
    <s v="01087"/>
    <s v="28 de Mayo de 2018"/>
    <n v="28"/>
    <d v="2018-05-01T00:00:00"/>
    <s v="4,00"/>
    <s v="Cuatro Bolívares con 00/100"/>
  </r>
  <r>
    <n v="1088"/>
    <m/>
    <s v="ü"/>
    <d v="2018-05-28T00:00:00"/>
    <n v="3.5"/>
    <x v="28"/>
    <x v="77"/>
    <s v="Calle Güigüe Nro. 88-30"/>
    <s v="Colaboración mantenimiento Caseta de Vigilancia"/>
    <s v="Caseta Vigilancia"/>
    <m/>
    <s v="01088"/>
    <s v="28 de Mayo de 2018"/>
    <n v="28"/>
    <d v="2018-05-01T00:00:00"/>
    <s v="3,50"/>
    <s v="Tres Bolívares con 50/100"/>
  </r>
  <r>
    <n v="1089"/>
    <m/>
    <s v="ü"/>
    <d v="2018-05-28T00:00:00"/>
    <n v="3.5"/>
    <x v="27"/>
    <x v="25"/>
    <s v="Calle Güigüe Nro. 89-106"/>
    <s v="Colaboración mantenimiento Caseta de Vigilancia"/>
    <s v="Caseta Vigilancia"/>
    <m/>
    <s v="01089"/>
    <s v="28 de Mayo de 2018"/>
    <n v="28"/>
    <d v="2018-05-01T00:00:00"/>
    <s v="3,50"/>
    <s v="Tres Bolívares con 50/100"/>
  </r>
  <r>
    <n v="1090"/>
    <m/>
    <s v="ü"/>
    <d v="2018-05-28T00:00:00"/>
    <n v="3.5"/>
    <x v="49"/>
    <x v="46"/>
    <s v="Av. &quot;O&quot; Nro. 146-17"/>
    <s v="Colaboración mantenimiento Caseta de Vigilancia"/>
    <s v="Caseta Vigilancia"/>
    <m/>
    <s v="01090"/>
    <s v="28 de Mayo de 2018"/>
    <n v="28"/>
    <d v="2018-05-01T00:00:00"/>
    <s v="3,50"/>
    <s v="Tres Bolívares con 50/100"/>
  </r>
  <r>
    <n v="1091"/>
    <m/>
    <s v="ü"/>
    <d v="2018-05-28T00:00:00"/>
    <n v="3.5"/>
    <x v="61"/>
    <x v="14"/>
    <s v="Calle Guacara Nro. 87-07"/>
    <s v="Colaboración mantenimiento Caseta de Vigilancia"/>
    <s v="Caseta Vigilancia"/>
    <m/>
    <s v="01091"/>
    <s v="28 de Mayo de 2018"/>
    <n v="28"/>
    <d v="2018-05-01T00:00:00"/>
    <s v="3,50"/>
    <s v="Tres Bolívares con 50/100"/>
  </r>
  <r>
    <n v="1092"/>
    <m/>
    <s v="ü"/>
    <d v="2018-05-29T00:00:00"/>
    <n v="2"/>
    <x v="2"/>
    <x v="83"/>
    <s v="Calle Guacara Nro. 88-19"/>
    <s v="Colaboración Vigilancia, mes de Mayo 2018"/>
    <s v="Vigilancia"/>
    <m/>
    <s v="01092"/>
    <s v="29 de Mayo de 2018"/>
    <n v="29"/>
    <d v="2018-05-01T00:00:00"/>
    <s v="2,00"/>
    <s v="Dos Bolívares con 00/100"/>
  </r>
  <r>
    <n v="1093"/>
    <m/>
    <s v="ü"/>
    <d v="2018-05-29T00:00:00"/>
    <n v="3.5"/>
    <x v="2"/>
    <x v="83"/>
    <s v="Calle Guacara Nro. 88-19"/>
    <s v="Colaboración mantenimiento Caseta de Vigilancia"/>
    <s v="Caseta Vigilancia"/>
    <m/>
    <s v="01093"/>
    <s v="29 de Mayo de 2018"/>
    <n v="29"/>
    <d v="2018-05-01T00:00:00"/>
    <s v="3,50"/>
    <s v="Tres Bolívares con 50/100"/>
  </r>
  <r>
    <n v="1094"/>
    <m/>
    <s v="ü"/>
    <d v="2018-05-29T00:00:00"/>
    <n v="3.5"/>
    <x v="23"/>
    <x v="21"/>
    <s v="Calle Güigüe Nro. 88-116"/>
    <s v="Colaboración mantenimiento Caseta de Vigilancia"/>
    <s v="Caseta Vigilancia"/>
    <m/>
    <s v="01094"/>
    <s v="29 de Mayo de 2018"/>
    <n v="29"/>
    <d v="2018-05-01T00:00:00"/>
    <s v="3,50"/>
    <s v="Tres Bolívares con 50/100"/>
  </r>
  <r>
    <n v="1095"/>
    <m/>
    <s v="ü"/>
    <d v="2018-05-29T00:00:00"/>
    <n v="3.5"/>
    <x v="73"/>
    <x v="9"/>
    <s v="Calle Güigüe Nros. 88-71 y 88-81"/>
    <s v="Colaboración mantenimiento Caseta de Vigilancia"/>
    <s v="Caseta Vigilancia"/>
    <m/>
    <s v="01095"/>
    <s v="29 de Mayo de 2018"/>
    <n v="29"/>
    <d v="2018-05-01T00:00:00"/>
    <s v="3,50"/>
    <s v="Tres Bolívares con 50/100"/>
  </r>
  <r>
    <n v="1096"/>
    <m/>
    <s v="ü"/>
    <d v="2018-05-30T00:00:00"/>
    <n v="2.4"/>
    <x v="58"/>
    <x v="53"/>
    <s v="Calle Güigüe Nro. 88-51"/>
    <s v="Cancelación Vigilancia, saldo mes de Marzo y mes de Abril 2018"/>
    <s v="Vigilancia"/>
    <m/>
    <s v="01096"/>
    <s v="30 de Mayo de 2018"/>
    <n v="30"/>
    <d v="2018-05-01T00:00:00"/>
    <s v="2,40"/>
    <s v="Dos Bolívares con 40/100"/>
  </r>
  <r>
    <n v="1097"/>
    <m/>
    <s v="ü"/>
    <d v="2018-05-23T00:00:00"/>
    <n v="4"/>
    <x v="59"/>
    <x v="9"/>
    <s v="Calle Guacara Nro. 90-35"/>
    <s v="Cancelación Vigilancia, mes de Mayo 2018"/>
    <s v="Vigilancia"/>
    <m/>
    <s v="01097"/>
    <s v="23 de Mayo de 2018"/>
    <n v="23"/>
    <d v="2018-05-01T00:00:00"/>
    <s v="4,00"/>
    <s v="Cuatro Bolívares con 00/100"/>
  </r>
  <r>
    <n v="1098"/>
    <m/>
    <s v="ü"/>
    <d v="2018-05-30T00:00:00"/>
    <n v="9.4"/>
    <x v="91"/>
    <x v="84"/>
    <s v="Calle Güigüe Nro. 89-89"/>
    <s v="Cancelación Vigilancia, meses de Abril, Mayo y Junio 2018"/>
    <s v="Vigilancia"/>
    <m/>
    <s v="01098"/>
    <s v="30 de Mayo de 2018"/>
    <n v="30"/>
    <d v="2018-05-01T00:00:00"/>
    <s v="9,40"/>
    <s v="Nueve Bolívares con 40/100"/>
  </r>
  <r>
    <n v="1099"/>
    <m/>
    <s v="ü"/>
    <d v="2018-05-30T00:00:00"/>
    <n v="3.5"/>
    <x v="91"/>
    <x v="84"/>
    <s v="Calle Güigüe Nro. 89-89"/>
    <s v="Colaboración mantenimiento Caseta de Vigilancia"/>
    <s v="Caseta Vigilancia"/>
    <m/>
    <s v="01099"/>
    <s v="30 de Mayo de 2018"/>
    <n v="30"/>
    <d v="2018-05-01T00:00:00"/>
    <s v="3,50"/>
    <s v="Tres Bolívares con 50/100"/>
  </r>
  <r>
    <n v="1100"/>
    <m/>
    <s v="ü"/>
    <d v="2018-05-30T00:00:00"/>
    <n v="2.5"/>
    <x v="24"/>
    <x v="22"/>
    <s v="Calle Güigüe Nro. 88-54"/>
    <s v="Colaboración mantenimiento Caseta de Vigilancia"/>
    <s v="Caseta Vigilancia"/>
    <m/>
    <s v="01100"/>
    <s v="30 de Mayo de 2018"/>
    <n v="30"/>
    <d v="2018-05-01T00:00:00"/>
    <s v="2,50"/>
    <s v="Dos Bolívares con 50/100"/>
  </r>
  <r>
    <n v="1101"/>
    <m/>
    <s v="ü"/>
    <d v="2018-05-30T00:00:00"/>
    <n v="4"/>
    <x v="36"/>
    <x v="33"/>
    <s v="Calle Güigüe Nro. 89-10"/>
    <s v="Cancelación Vigilancia, mes de Mayo 2018"/>
    <s v="Vigilancia"/>
    <m/>
    <s v="01101"/>
    <s v="30 de Mayo de 2018"/>
    <n v="30"/>
    <d v="2018-05-01T00:00:00"/>
    <s v="4,00"/>
    <s v="Cuatro Bolívares con 00/100"/>
  </r>
  <r>
    <n v="1102"/>
    <m/>
    <s v="ü"/>
    <d v="2018-05-30T00:00:00"/>
    <n v="3.5"/>
    <x v="36"/>
    <x v="33"/>
    <s v="Calle Güigüe Nro. 89-10"/>
    <s v="Colaboración mantenimiento Caseta de Vigilancia"/>
    <s v="Caseta Vigilancia"/>
    <m/>
    <s v="01102"/>
    <s v="30 de Mayo de 2018"/>
    <n v="30"/>
    <d v="2018-05-01T00:00:00"/>
    <s v="3,50"/>
    <s v="Tres Bolívares con 50/100"/>
  </r>
  <r>
    <n v="1103"/>
    <m/>
    <s v="ü"/>
    <d v="2018-05-31T00:00:00"/>
    <n v="5.4"/>
    <x v="44"/>
    <x v="41"/>
    <s v="Calle Guacara Nro. 89-40"/>
    <s v="Cancelación Vigilancia, meses de Abril y Mayo 2018"/>
    <s v="Vigilancia"/>
    <m/>
    <s v="01103"/>
    <s v="31 de Mayo de 2018"/>
    <n v="31"/>
    <d v="2018-05-01T00:00:00"/>
    <s v="5,40"/>
    <s v="Cinco Bolívares con 40/100"/>
  </r>
  <r>
    <n v="1104"/>
    <m/>
    <s v="ü"/>
    <d v="2018-05-31T00:00:00"/>
    <n v="6.6"/>
    <x v="62"/>
    <x v="55"/>
    <s v="Av. &quot;M&quot; Nro. 145-10"/>
    <s v="Cancelación Vigilancia, saldo mes de Mayo y mes de Junio 2018"/>
    <s v="Vigilancia"/>
    <m/>
    <s v="01104"/>
    <s v="31 de Mayo de 2018"/>
    <n v="31"/>
    <d v="2018-05-01T00:00:00"/>
    <s v="6,60"/>
    <s v="Seis Bolívares con 60/100"/>
  </r>
  <r>
    <n v="1105"/>
    <m/>
    <s v="ü"/>
    <d v="2018-06-02T00:00:00"/>
    <n v="8"/>
    <x v="37"/>
    <x v="34"/>
    <s v="Av. &quot;I&quot; Nro. 146-40"/>
    <s v="Cancelación Vigilancia, meses de Mayo y Junio 2018"/>
    <s v="Vigilancia"/>
    <m/>
    <s v="01105"/>
    <s v="02 de Junio de 2018"/>
    <n v="2"/>
    <d v="2018-06-01T00:00:00"/>
    <s v="8,00"/>
    <s v="Ocho Bolívares con 00/100"/>
  </r>
  <r>
    <n v="1106"/>
    <m/>
    <s v="ü"/>
    <d v="2018-06-02T00:00:00"/>
    <n v="3.5"/>
    <x v="37"/>
    <x v="34"/>
    <s v="Av. &quot;I&quot; Nro. 146-40"/>
    <s v="Colaboración mantenimiento Caseta de Vigilancia"/>
    <s v="Caseta Vigilancia"/>
    <m/>
    <s v="01106"/>
    <s v="02 de Junio de 2018"/>
    <n v="2"/>
    <d v="2018-06-01T00:00:00"/>
    <s v="3,50"/>
    <s v="Tres Bolívares con 50/100"/>
  </r>
  <r>
    <n v="1107"/>
    <m/>
    <s v="ü"/>
    <d v="2018-06-02T00:00:00"/>
    <n v="3.5"/>
    <x v="75"/>
    <x v="65"/>
    <s v="Av. &quot;Ñ&quot; Nro. 145-25"/>
    <s v="Colaboración mantenimiento Caseta de Vigilancia"/>
    <s v="Caseta Vigilancia"/>
    <m/>
    <s v="01107"/>
    <s v="02 de Junio de 2018"/>
    <n v="2"/>
    <d v="2018-06-01T00:00:00"/>
    <s v="3,50"/>
    <s v="Tres Bolívares con 50/100"/>
  </r>
  <r>
    <n v="1108"/>
    <m/>
    <s v="ü"/>
    <d v="2018-06-04T00:00:00"/>
    <n v="4"/>
    <x v="89"/>
    <x v="81"/>
    <s v="Calle Guacara Nro. 88-75"/>
    <s v="Cancelación Vigilancia, mes de Junio 2018"/>
    <s v="Vigilancia"/>
    <m/>
    <s v="01108"/>
    <s v="04 de Junio de 2018"/>
    <n v="4"/>
    <d v="2018-06-01T00:00:00"/>
    <s v="4,00"/>
    <s v="Cuatro Bolívares con 00/100"/>
  </r>
  <r>
    <n v="1109"/>
    <m/>
    <s v="ü"/>
    <d v="2018-06-04T00:00:00"/>
    <n v="4"/>
    <x v="7"/>
    <x v="7"/>
    <s v="Calle Guacara Nro. 87-86"/>
    <s v="Cancelación Vigilancia, mes de Junio 2018"/>
    <s v="Vigilancia"/>
    <m/>
    <s v="01109"/>
    <s v="04 de Junio de 2018"/>
    <n v="4"/>
    <d v="2018-06-01T00:00:00"/>
    <s v="4,00"/>
    <s v="Cuatro Bolívares con 00/100"/>
  </r>
  <r>
    <n v="1110"/>
    <m/>
    <s v="ü"/>
    <d v="2018-06-04T00:00:00"/>
    <n v="4"/>
    <x v="10"/>
    <x v="10"/>
    <s v="Av. &quot;M&quot; Nro. 146-15"/>
    <s v="Cancelación Vigilancia, mes de Mayo 2018"/>
    <s v="Vigilancia"/>
    <m/>
    <s v="01110"/>
    <s v="04 de Junio de 2018"/>
    <n v="4"/>
    <d v="2018-06-01T00:00:00"/>
    <s v="4,00"/>
    <s v="Cuatro Bolívares con 00/100"/>
  </r>
  <r>
    <n v="1111"/>
    <m/>
    <s v="ü"/>
    <d v="2018-06-04T00:00:00"/>
    <n v="1"/>
    <x v="32"/>
    <x v="30"/>
    <s v="Calle Güigüe Nro. 89-120"/>
    <s v="Colaboración Vigilancia, mes de Mayo 2018"/>
    <s v="Vigilancia"/>
    <m/>
    <s v="01111"/>
    <s v="04 de Junio de 2018"/>
    <n v="4"/>
    <d v="2018-06-01T00:00:00"/>
    <s v="1,00"/>
    <s v="Un Bolívar con 00/100"/>
  </r>
  <r>
    <n v="1112"/>
    <m/>
    <s v="ü"/>
    <d v="2018-06-04T00:00:00"/>
    <n v="4"/>
    <x v="14"/>
    <x v="13"/>
    <s v="Calle Güigüe Nro. 89-83"/>
    <s v="Cancelación Vigilancia, mes de Junio 2018"/>
    <s v="Vigilancia"/>
    <m/>
    <s v="01112"/>
    <s v="04 de Junio de 2018"/>
    <n v="4"/>
    <d v="2018-06-01T00:00:00"/>
    <s v="4,00"/>
    <s v="Cuatro Bolívares con 00/100"/>
  </r>
  <r>
    <n v="1113"/>
    <m/>
    <s v="ü"/>
    <d v="2018-06-04T00:00:00"/>
    <n v="4.5999999999999996"/>
    <x v="25"/>
    <x v="23"/>
    <s v="Calle Güigüe Nro. 88-58"/>
    <s v="Colaboración Vigilancia, meses de Marzo, Abril y Mayo 2018"/>
    <s v="Vigilancia"/>
    <m/>
    <s v="01113"/>
    <s v="04 de Junio de 2018"/>
    <n v="4"/>
    <d v="2018-06-01T00:00:00"/>
    <s v="4,60"/>
    <s v="Cuatro Bolívares con 60/100"/>
  </r>
  <r>
    <n v="1114"/>
    <m/>
    <s v="ü"/>
    <d v="2018-06-04T00:00:00"/>
    <n v="2"/>
    <x v="71"/>
    <x v="62"/>
    <s v="Calle Güigüe Nro. 89-71"/>
    <s v="Colaboración Vigilancia, mes de Mayo 2018"/>
    <s v="Vigilancia"/>
    <m/>
    <s v="01114"/>
    <s v="04 de Junio de 2018"/>
    <n v="4"/>
    <d v="2018-06-01T00:00:00"/>
    <s v="2,00"/>
    <s v="Dos Bolívares con 00/100"/>
  </r>
  <r>
    <n v="1115"/>
    <m/>
    <s v="ü"/>
    <d v="2018-06-04T00:00:00"/>
    <n v="3"/>
    <x v="71"/>
    <x v="62"/>
    <s v="Calle Güigüe Nro. 89-71"/>
    <s v="Colaboración mantenimiento Caseta de Vigilancia"/>
    <s v="Caseta Vigilancia"/>
    <m/>
    <s v="01115"/>
    <s v="04 de Junio de 2018"/>
    <n v="4"/>
    <d v="2018-06-01T00:00:00"/>
    <s v="3,00"/>
    <s v="Tres Bolívares con 00/100"/>
  </r>
  <r>
    <n v="1116"/>
    <m/>
    <s v="ü"/>
    <d v="2018-06-06T00:00:00"/>
    <n v="8"/>
    <x v="5"/>
    <x v="9"/>
    <s v="Calle Güigüe Nro. 88-120"/>
    <s v="Cancelación Vigilancia, meses de Junio y Julio 2018"/>
    <s v="Vigilancia"/>
    <m/>
    <s v="01116"/>
    <s v="06 de Junio de 2018"/>
    <n v="6"/>
    <d v="2018-06-01T00:00:00"/>
    <s v="8,00"/>
    <s v="Ocho Bolívares con 00/100"/>
  </r>
  <r>
    <n v="1117"/>
    <m/>
    <s v="ü"/>
    <d v="2018-06-06T00:00:00"/>
    <n v="3"/>
    <x v="5"/>
    <x v="9"/>
    <s v="Calle Güigüe Nro. 88-120"/>
    <s v="Colaboración mantenimiento Caseta de Vigilancia"/>
    <s v="Caseta Vigilancia"/>
    <m/>
    <s v="01117"/>
    <s v="06 de Junio de 2018"/>
    <n v="6"/>
    <d v="2018-06-01T00:00:00"/>
    <s v="3,00"/>
    <s v="Tres Bolívares con 00/100"/>
  </r>
  <r>
    <n v="1118"/>
    <m/>
    <s v="ü"/>
    <d v="2018-06-06T00:00:00"/>
    <n v="4"/>
    <x v="90"/>
    <x v="82"/>
    <s v="Calle Güigüe Nro. 89-04"/>
    <s v="Cancelación Vigilancia, mes de Junio 2018"/>
    <s v="Vigilancia"/>
    <m/>
    <s v="01118"/>
    <s v="06 de Junio de 2018"/>
    <n v="6"/>
    <d v="2018-06-01T00:00:00"/>
    <s v="4,00"/>
    <s v="Cuatro Bolívares con 00/100"/>
  </r>
  <r>
    <n v="1119"/>
    <m/>
    <s v="ü"/>
    <d v="2018-06-06T00:00:00"/>
    <n v="4"/>
    <x v="81"/>
    <x v="69"/>
    <s v="Calle Güigüe Nro. 89-65"/>
    <s v="Cancelación Vigilancia, mes de Junio 2018"/>
    <s v="Vigilancia"/>
    <m/>
    <s v="01119"/>
    <s v="06 de Junio de 2018"/>
    <n v="6"/>
    <d v="2018-06-01T00:00:00"/>
    <s v="4,00"/>
    <s v="Cuatro Bolívares con 00/100"/>
  </r>
  <r>
    <n v="1120"/>
    <m/>
    <s v="ü"/>
    <d v="2018-06-06T00:00:00"/>
    <n v="4"/>
    <x v="0"/>
    <x v="0"/>
    <s v="Calle Guacara Nro. 88-45"/>
    <s v="Cancelación Vigilancia, mes de Junio 2018 (saldo a favor: Bs. 4.720.000)"/>
    <s v="Vigilancia"/>
    <m/>
    <s v="01120"/>
    <s v="06 de Junio de 2018"/>
    <n v="6"/>
    <d v="2018-06-01T00:00:00"/>
    <s v="4,00"/>
    <s v="Cuatro Bolívares con 00/100"/>
  </r>
  <r>
    <n v="1121"/>
    <m/>
    <s v="ü"/>
    <d v="2018-06-06T00:00:00"/>
    <n v="4"/>
    <x v="75"/>
    <x v="65"/>
    <s v="Av. &quot;Ñ&quot; Nro. 145-25"/>
    <s v="Cancelación Vigilancia, mes de Junio 2018 (saldo a favor: Bs. 3.435.000)"/>
    <s v="Vigilancia"/>
    <m/>
    <s v="01121"/>
    <s v="06 de Junio de 2018"/>
    <n v="6"/>
    <d v="2018-06-01T00:00:00"/>
    <s v="4,00"/>
    <s v="Cuatro Bolívares con 00/100"/>
  </r>
  <r>
    <n v="1122"/>
    <m/>
    <s v="ü"/>
    <d v="2018-06-06T00:00:00"/>
    <n v="4"/>
    <x v="12"/>
    <x v="12"/>
    <s v="Calle Guacara Nro. 89-20"/>
    <s v="Cancelación Vigilancia, mes de Junio 2018"/>
    <s v="Vigilancia"/>
    <m/>
    <s v="01122"/>
    <s v="06 de Junio de 2018"/>
    <n v="6"/>
    <d v="2018-06-01T00:00:00"/>
    <s v="4,00"/>
    <s v="Cuatro Bolívares con 00/100"/>
  </r>
  <r>
    <n v="1123"/>
    <m/>
    <s v="ü"/>
    <d v="2018-06-06T00:00:00"/>
    <n v="4"/>
    <x v="52"/>
    <x v="9"/>
    <s v="Calle Güigüe Nro. 89-45"/>
    <s v="Cancelación Vigilancia, mes de Junio 2018 (saldo a favor: Bs. 1.593.000)"/>
    <s v="Vigilancia"/>
    <m/>
    <s v="01123"/>
    <s v="06 de Junio de 2018"/>
    <n v="6"/>
    <d v="2018-06-01T00:00:00"/>
    <s v="4,00"/>
    <s v="Cuatro Bolívares con 00/100"/>
  </r>
  <r>
    <n v="1124"/>
    <m/>
    <s v="ü"/>
    <d v="2018-06-06T00:00:00"/>
    <n v="4"/>
    <x v="4"/>
    <x v="4"/>
    <s v="Calle Güigüe Nro. 89-55"/>
    <s v="Cancelación Vigilancia, mes de Junio 2018 (saldo a favor: Bs. 660.000)"/>
    <s v="Vigilancia"/>
    <m/>
    <s v="01124"/>
    <s v="06 de Junio de 2018"/>
    <n v="6"/>
    <d v="2018-06-01T00:00:00"/>
    <s v="4,00"/>
    <s v="Cuatro Bolívares con 00/100"/>
  </r>
  <r>
    <n v="1125"/>
    <m/>
    <s v="ü"/>
    <d v="2018-06-07T00:00:00"/>
    <n v="4"/>
    <x v="18"/>
    <x v="16"/>
    <s v="Calle Guacara Nro. 87-100"/>
    <s v="Cancelación Vigilancia, mes de Junio 2018"/>
    <s v="Vigilancia"/>
    <m/>
    <s v="01125"/>
    <s v="07 de Junio de 2018"/>
    <n v="7"/>
    <d v="2018-06-01T00:00:00"/>
    <s v="4,00"/>
    <s v="Cuatro Bolívares con 00/100"/>
  </r>
  <r>
    <n v="1126"/>
    <m/>
    <s v="ü"/>
    <d v="2018-06-07T00:00:00"/>
    <n v="4"/>
    <x v="1"/>
    <x v="1"/>
    <s v="Calle Güigüe Nro. 88-44"/>
    <s v="Cancelación Vigilancia, mes de Junio 2018"/>
    <s v="Vigilancia"/>
    <m/>
    <s v="01126"/>
    <s v="07 de Junio de 2018"/>
    <n v="7"/>
    <d v="2018-06-01T00:00:00"/>
    <s v="4,00"/>
    <s v="Cuatro Bolívares con 00/100"/>
  </r>
  <r>
    <n v="1127"/>
    <m/>
    <s v="ü"/>
    <d v="2018-06-07T00:00:00"/>
    <n v="4"/>
    <x v="38"/>
    <x v="35"/>
    <s v="Calle Guacara Nro. 89-78"/>
    <s v="Cancelación Vigilancia, mes de Junio 2018"/>
    <s v="Vigilancia"/>
    <m/>
    <s v="01127"/>
    <s v="07 de Junio de 2018"/>
    <n v="7"/>
    <d v="2018-06-01T00:00:00"/>
    <s v="4,00"/>
    <s v="Cuatro Bolívares con 00/100"/>
  </r>
  <r>
    <n v="1128"/>
    <m/>
    <s v="ü"/>
    <d v="2018-06-08T00:00:00"/>
    <n v="1"/>
    <x v="82"/>
    <x v="9"/>
    <s v="Calle Guacara Nro. 90-61"/>
    <s v="Colaboración Vigilancia, mes de Mayo 2018"/>
    <s v="Vigilancia"/>
    <m/>
    <s v="01128"/>
    <s v="08 de Junio de 2018"/>
    <n v="8"/>
    <d v="2018-06-01T00:00:00"/>
    <s v="1,00"/>
    <s v="Un Bolívar con 00/100"/>
  </r>
  <r>
    <n v="1129"/>
    <m/>
    <s v="ü"/>
    <d v="2018-06-08T00:00:00"/>
    <n v="4"/>
    <x v="58"/>
    <x v="53"/>
    <s v="Calle Güigüe Nro. 88-51"/>
    <s v="Cancelación Vigilancia, mes de Mayo 2018"/>
    <s v="Vigilancia"/>
    <m/>
    <s v="01129"/>
    <s v="08 de Junio de 2018"/>
    <n v="8"/>
    <d v="2018-06-01T00:00:00"/>
    <s v="4,00"/>
    <s v="Cuatro Bolívares con 00/100"/>
  </r>
  <r>
    <n v="1130"/>
    <m/>
    <s v="ü"/>
    <d v="2018-06-08T00:00:00"/>
    <n v="3.5"/>
    <x v="10"/>
    <x v="10"/>
    <s v="Av. &quot;M&quot; Nro. 146-15"/>
    <s v="Colaboración mantenimiento Caseta de Vigilancia"/>
    <s v="Caseta Vigilancia"/>
    <m/>
    <s v="01130"/>
    <s v="08 de Junio de 2018"/>
    <n v="8"/>
    <d v="2018-06-01T00:00:00"/>
    <s v="3,50"/>
    <s v="Tres Bolívares con 50/100"/>
  </r>
  <r>
    <n v="1131"/>
    <m/>
    <s v="ü"/>
    <d v="2018-06-09T00:00:00"/>
    <n v="1"/>
    <x v="74"/>
    <x v="64"/>
    <s v="Calle Güigüe Nro. 88-20"/>
    <s v="Colaboración Vigilancia, meses de Mayo y Junio 2018"/>
    <s v="Vigilancia"/>
    <m/>
    <s v="01131"/>
    <s v="09 de Junio de 2018"/>
    <n v="9"/>
    <d v="2018-06-01T00:00:00"/>
    <s v="1,00"/>
    <s v="Un Bolívar con 00/100"/>
  </r>
  <r>
    <n v="1132"/>
    <m/>
    <s v="ü"/>
    <d v="2018-06-09T00:00:00"/>
    <n v="10.8"/>
    <x v="80"/>
    <x v="9"/>
    <s v="Calle Guacara Nro. 88-55"/>
    <s v="Cancelación Vigilancia, meses de Marzo, Abril, Mayo y Junio 2018"/>
    <s v="Vigilancia"/>
    <m/>
    <s v="01132"/>
    <s v="09 de Junio de 2018"/>
    <n v="9"/>
    <d v="2018-06-01T00:00:00"/>
    <s v="10,80"/>
    <s v="Diez Bolívares con 80/100"/>
  </r>
  <r>
    <n v="1133"/>
    <m/>
    <s v="ü"/>
    <d v="2018-06-10T00:00:00"/>
    <n v="4"/>
    <x v="15"/>
    <x v="14"/>
    <s v="Calle Guacara Nro. 89-94"/>
    <s v="Cancelación Vigilancia, mes de Junio 2018"/>
    <s v="Vigilancia"/>
    <m/>
    <s v="01133"/>
    <s v="10 de Junio de 2018"/>
    <n v="10"/>
    <d v="2018-06-01T00:00:00"/>
    <s v="4,00"/>
    <s v="Cuatro Bolívares con 00/100"/>
  </r>
  <r>
    <n v="1134"/>
    <m/>
    <s v="ü"/>
    <d v="2018-06-10T00:00:00"/>
    <n v="4"/>
    <x v="22"/>
    <x v="20"/>
    <s v="Calle Guacara Nro. 88-25"/>
    <s v="Colaboración Vigilancia, mes de Junio 2018"/>
    <s v="Vigilancia"/>
    <m/>
    <s v="01134"/>
    <s v="10 de Junio de 2018"/>
    <n v="10"/>
    <d v="2018-06-01T00:00:00"/>
    <s v="4,00"/>
    <s v="Cuatro Bolívares con 00/100"/>
  </r>
  <r>
    <n v="1135"/>
    <m/>
    <s v="ü"/>
    <d v="2018-06-10T00:00:00"/>
    <n v="3.5"/>
    <x v="22"/>
    <x v="20"/>
    <s v="Calle Guacara Nro. 88-25"/>
    <s v="Colaboración mantenimiento Caseta de Vigilancia"/>
    <s v="Caseta Vigilancia"/>
    <m/>
    <s v="01135"/>
    <s v="10 de Junio de 2018"/>
    <n v="10"/>
    <d v="2018-06-01T00:00:00"/>
    <s v="3,50"/>
    <s v="Tres Bolívares con 50/100"/>
  </r>
  <r>
    <n v="1136"/>
    <m/>
    <s v="ü"/>
    <d v="2018-06-11T00:00:00"/>
    <n v="4"/>
    <x v="10"/>
    <x v="10"/>
    <s v="Av. &quot;M&quot; Nro. 146-15"/>
    <s v="Cancelación Vigilancia, mes de Junio 2018"/>
    <s v="Vigilancia"/>
    <m/>
    <s v="01136"/>
    <s v="11 de Junio de 2018"/>
    <n v="11"/>
    <d v="2018-06-01T00:00:00"/>
    <s v="4,00"/>
    <s v="Cuatro Bolívares con 00/100"/>
  </r>
  <r>
    <n v="1137"/>
    <m/>
    <s v="ü"/>
    <d v="2018-06-11T00:00:00"/>
    <n v="4"/>
    <x v="65"/>
    <x v="58"/>
    <s v="Calle Güigüe Nro. 88-10"/>
    <s v="Cancelación Vigilancia, mes de Junio 2018"/>
    <s v="Vigilancia"/>
    <m/>
    <s v="01137"/>
    <s v="11 de Junio de 2018"/>
    <n v="11"/>
    <d v="2018-06-01T00:00:00"/>
    <s v="4,00"/>
    <s v="Cuatro Bolívares con 00/100"/>
  </r>
  <r>
    <n v="1138"/>
    <m/>
    <s v="ü"/>
    <d v="2018-06-13T00:00:00"/>
    <n v="2"/>
    <x v="68"/>
    <x v="60"/>
    <s v="Calle Güigüe Nro. 89-29"/>
    <s v="Colaboración Vigilancia, mes de Junio 2018"/>
    <s v="Vigilancia"/>
    <m/>
    <s v="01138"/>
    <s v="13 de Junio de 2018"/>
    <n v="13"/>
    <d v="2018-06-01T00:00:00"/>
    <s v="2,00"/>
    <s v="Dos Bolívares con 00/100"/>
  </r>
  <r>
    <n v="1139"/>
    <m/>
    <s v="ü"/>
    <d v="2018-06-12T00:00:00"/>
    <n v="4"/>
    <x v="28"/>
    <x v="77"/>
    <s v="Calle Güigüe Nro. 88-30"/>
    <s v="Cancelación Vigilancia, mes de Junio 2018"/>
    <s v="Vigilancia"/>
    <m/>
    <s v="01139"/>
    <s v="12 de Junio de 2018"/>
    <n v="12"/>
    <d v="2018-06-01T00:00:00"/>
    <s v="4,00"/>
    <s v="Cuatro Bolívares con 00/100"/>
  </r>
  <r>
    <n v="1140"/>
    <m/>
    <s v="ü"/>
    <d v="2018-06-13T00:00:00"/>
    <n v="21"/>
    <x v="47"/>
    <x v="44"/>
    <s v="Calle Güigüe Nro. 88-80"/>
    <s v="Cancelación Vigilancia, meses de Abril, Mayo, Junio, Julio, Agosto y Septiembre 2017"/>
    <s v="Vigilancia"/>
    <m/>
    <s v="01140"/>
    <s v="13 de Junio de 2018"/>
    <n v="13"/>
    <d v="2018-06-01T00:00:00"/>
    <s v="21,00"/>
    <s v="Veintiun Bolívares con 00/100"/>
  </r>
  <r>
    <n v="1141"/>
    <m/>
    <s v="ü"/>
    <d v="2018-06-14T00:00:00"/>
    <n v="8"/>
    <x v="60"/>
    <x v="54"/>
    <s v="Calle Guacara Nro. 88-51"/>
    <s v="Cancelación Vigilancia, meses de Junio y Julio 2018"/>
    <s v="Vigilancia"/>
    <m/>
    <s v="01141"/>
    <s v="14 de Junio de 2018"/>
    <n v="14"/>
    <d v="2018-06-01T00:00:00"/>
    <s v="8,00"/>
    <s v="Ocho Bolívares con 00/100"/>
  </r>
  <r>
    <n v="1142"/>
    <m/>
    <s v="ü"/>
    <d v="2018-06-15T00:00:00"/>
    <n v="4"/>
    <x v="35"/>
    <x v="32"/>
    <s v="Calle Güigüe Nro. 89-80"/>
    <s v="Cancelación Vigilancia, mes de Junio 2018"/>
    <s v="Vigilancia"/>
    <m/>
    <s v="01142"/>
    <s v="15 de Junio de 2018"/>
    <n v="15"/>
    <d v="2018-06-01T00:00:00"/>
    <s v="4,00"/>
    <s v="Cuatro Bolívares con 00/100"/>
  </r>
  <r>
    <n v="1143"/>
    <m/>
    <s v="ü"/>
    <d v="2018-06-15T00:00:00"/>
    <n v="4"/>
    <x v="46"/>
    <x v="43"/>
    <s v="Av. &quot;I&quot; Nro. 146-20"/>
    <s v="Cancelación Vigilancia, mes de Junio 2018"/>
    <s v="Vigilancia"/>
    <m/>
    <s v="01143"/>
    <s v="15 de Junio de 2018"/>
    <n v="15"/>
    <d v="2018-06-01T00:00:00"/>
    <s v="4,00"/>
    <s v="Cuatro Bolívares con 00/100"/>
  </r>
  <r>
    <n v="1144"/>
    <m/>
    <s v="ü"/>
    <d v="2018-06-15T00:00:00"/>
    <n v="4"/>
    <x v="46"/>
    <x v="43"/>
    <s v="Av. &quot;I&quot; Nro. 146-20"/>
    <s v="Colaboración mantenimiento Caseta de Vigilancia"/>
    <s v="Caseta Vigilancia"/>
    <m/>
    <s v="01144"/>
    <s v="15 de Junio de 2018"/>
    <n v="15"/>
    <d v="2018-06-01T00:00:00"/>
    <s v="4,00"/>
    <s v="Cuatro Bolívares con 00/100"/>
  </r>
  <r>
    <n v="1145"/>
    <m/>
    <s v="ü"/>
    <d v="2018-06-18T00:00:00"/>
    <n v="4"/>
    <x v="19"/>
    <x v="17"/>
    <s v="Calle Guacara Nro. 89-130"/>
    <s v="Cancelación Vigilancia, mes de Junio 2018"/>
    <s v="Vigilancia"/>
    <m/>
    <s v="01145"/>
    <s v="18 de Junio de 2018"/>
    <n v="18"/>
    <d v="2018-06-01T00:00:00"/>
    <s v="4,00"/>
    <s v="Cuatro Bolívares con 00/100"/>
  </r>
  <r>
    <n v="1146"/>
    <m/>
    <s v="ü"/>
    <d v="2018-06-18T00:00:00"/>
    <n v="4"/>
    <x v="34"/>
    <x v="9"/>
    <s v="Av. &quot;O&quot; Nro. 146-11"/>
    <s v="Cancelación Vigilancia, mes de Junio 2018"/>
    <s v="Vigilancia"/>
    <m/>
    <s v="01146"/>
    <s v="18 de Junio de 2018"/>
    <n v="18"/>
    <d v="2018-06-01T00:00:00"/>
    <s v="4,00"/>
    <s v="Cuatro Bolívares con 00/100"/>
  </r>
  <r>
    <n v="1147"/>
    <m/>
    <s v="ü"/>
    <d v="2018-06-18T00:00:00"/>
    <n v="6"/>
    <x v="16"/>
    <x v="15"/>
    <s v="Calle Guacara Nro. 90-81"/>
    <s v="Cancelación Vigilancia, mes de Junio y anticipo Julio 2018"/>
    <s v="Vigilancia"/>
    <m/>
    <s v="01147"/>
    <s v="18 de Junio de 2018"/>
    <n v="18"/>
    <d v="2018-06-01T00:00:00"/>
    <s v="6,00"/>
    <s v="Seis Bolívares con 00/100"/>
  </r>
  <r>
    <n v="1148"/>
    <m/>
    <s v="ü"/>
    <d v="2018-06-18T00:00:00"/>
    <n v="4"/>
    <x v="76"/>
    <x v="66"/>
    <s v="Calle Güigüe Nro. 89-90"/>
    <s v="Cancelación Vigilancia, mes de Junio 2018"/>
    <s v="Vigilancia"/>
    <m/>
    <s v="01148"/>
    <s v="18 de Junio de 2018"/>
    <n v="18"/>
    <d v="2018-06-01T00:00:00"/>
    <s v="4,00"/>
    <s v="Cuatro Bolívares con 00/100"/>
  </r>
  <r>
    <n v="1149"/>
    <m/>
    <s v="ü"/>
    <d v="2018-06-19T00:00:00"/>
    <n v="4"/>
    <x v="24"/>
    <x v="22"/>
    <s v="Calle Güigüe Nro. 88-54"/>
    <s v="Cancelación Vigilancia, mes de Junio 2018"/>
    <s v="Vigilancia"/>
    <m/>
    <s v="01149"/>
    <s v="19 de Junio de 2018"/>
    <n v="19"/>
    <d v="2018-06-01T00:00:00"/>
    <s v="4,00"/>
    <s v="Cuatro Bolívares con 00/100"/>
  </r>
  <r>
    <n v="1150"/>
    <m/>
    <s v="ü"/>
    <d v="2018-06-19T00:00:00"/>
    <n v="4"/>
    <x v="25"/>
    <x v="23"/>
    <s v="Calle Güigüe Nro. 88-58"/>
    <s v="Cancelación Vigilancia, mes de Junio 2018"/>
    <s v="Vigilancia"/>
    <m/>
    <s v="01150"/>
    <s v="19 de Junio de 2018"/>
    <n v="19"/>
    <d v="2018-06-01T00:00:00"/>
    <s v="4,00"/>
    <s v="Cuatro Bolívares con 00/100"/>
  </r>
  <r>
    <n v="1151"/>
    <m/>
    <s v="ü"/>
    <d v="2018-06-21T00:00:00"/>
    <n v="4"/>
    <x v="8"/>
    <x v="78"/>
    <s v="Calle Guacara Nro. 90-51"/>
    <s v="Cancelación Vigilancia, mes de Junio 2018"/>
    <s v="Vigilancia"/>
    <m/>
    <s v="01151"/>
    <s v="21 de Junio de 2018"/>
    <n v="21"/>
    <d v="2018-06-01T00:00:00"/>
    <s v="4,00"/>
    <s v="Cuatro Bolívares con 00/100"/>
  </r>
  <r>
    <n v="1152"/>
    <m/>
    <s v="ü"/>
    <d v="2018-06-21T00:00:00"/>
    <n v="1"/>
    <x v="8"/>
    <x v="78"/>
    <s v="Calle Guacara Nro. 90-51"/>
    <s v="Colaboración para comida de vigilantes"/>
    <s v="Comida Vigilantes"/>
    <m/>
    <s v="01152"/>
    <s v="21 de Junio de 2018"/>
    <n v="21"/>
    <d v="2018-06-01T00:00:00"/>
    <s v="1,00"/>
    <s v="Un Bolívar con 00/100"/>
  </r>
  <r>
    <n v="1153"/>
    <m/>
    <s v="ü"/>
    <d v="2018-06-21T00:00:00"/>
    <n v="10"/>
    <x v="87"/>
    <x v="75"/>
    <s v="Calle Güigüe Nro. 88-06"/>
    <s v="Cancelación Vigilancia, meses de Mayo y Junio y anticipo mes de Julio 2018"/>
    <s v="Vigilancia"/>
    <m/>
    <s v="01153"/>
    <s v="21 de Junio de 2018"/>
    <n v="21"/>
    <d v="2018-06-01T00:00:00"/>
    <s v="10,00"/>
    <s v="Diez Bolívares con 00/100"/>
  </r>
  <r>
    <n v="1154"/>
    <m/>
    <s v="ü"/>
    <d v="2018-06-26T00:00:00"/>
    <n v="25.5"/>
    <x v="21"/>
    <x v="19"/>
    <s v="Calle Güigüe Nro. 89-105"/>
    <s v="Cancelación Vigilancia, meses de Junio, Julio y Agosto, y anticipo Septiembre 2018"/>
    <s v="Vigilancia"/>
    <m/>
    <s v="01154"/>
    <s v="26 de Junio de 2018"/>
    <n v="26"/>
    <d v="2018-06-01T00:00:00"/>
    <s v="25,50"/>
    <s v="Veinticinco Bolívares con 50/100"/>
  </r>
  <r>
    <n v="1155"/>
    <m/>
    <s v="ü"/>
    <d v="2018-06-26T00:00:00"/>
    <n v="4"/>
    <x v="88"/>
    <x v="76"/>
    <s v="Calle Güigüe Nro. 88-11"/>
    <s v="Cancelación Vigilancia, mes de Junio 2018"/>
    <s v="Vigilancia"/>
    <m/>
    <s v="01155"/>
    <s v="26 de Junio de 2018"/>
    <n v="26"/>
    <d v="2018-06-01T00:00:00"/>
    <s v="4,00"/>
    <s v="Cuatro Bolívares con 00/100"/>
  </r>
  <r>
    <n v="1156"/>
    <m/>
    <s v="ü"/>
    <d v="2018-06-26T00:00:00"/>
    <n v="0.4"/>
    <x v="57"/>
    <x v="9"/>
    <s v="Calle Güigüe Nro. 88-40"/>
    <s v="Colaboración Vigilancia, mes de Junio 2018"/>
    <s v="Vigilancia"/>
    <m/>
    <s v="01156"/>
    <s v="26 de Junio de 2018"/>
    <n v="26"/>
    <d v="2018-06-01T00:00:00"/>
    <s v="0,40"/>
    <s v="Cero Bolívares con 40/100"/>
  </r>
  <r>
    <n v="1157"/>
    <m/>
    <s v="ü"/>
    <d v="2018-06-26T00:00:00"/>
    <n v="3.4"/>
    <x v="53"/>
    <x v="80"/>
    <s v="Calle Guacara Nro. 88-91"/>
    <s v="Cancelación Vigilancia, saldo mes de Mayo 2018"/>
    <s v="Vigilancia"/>
    <m/>
    <s v="01157"/>
    <s v="26 de Junio de 2018"/>
    <n v="26"/>
    <d v="2018-06-01T00:00:00"/>
    <s v="3,40"/>
    <s v="Tres Bolívares con 40/100"/>
  </r>
  <r>
    <n v="1158"/>
    <m/>
    <s v="ü"/>
    <d v="2018-06-26T00:00:00"/>
    <n v="3.5"/>
    <x v="53"/>
    <x v="80"/>
    <s v="Calle Guacara Nro. 88-91"/>
    <s v="Colaboración mantenimiento Caseta de Vigilancia"/>
    <s v="Caseta Vigilancia"/>
    <m/>
    <s v="01158"/>
    <s v="26 de Junio de 2018"/>
    <n v="26"/>
    <d v="2018-06-01T00:00:00"/>
    <s v="3,50"/>
    <s v="Tres Bolívares con 50/100"/>
  </r>
  <r>
    <n v="1159"/>
    <m/>
    <s v="ü"/>
    <d v="2018-06-28T00:00:00"/>
    <n v="10.75"/>
    <x v="84"/>
    <x v="71"/>
    <s v="Calle Güigüe Nro. 89-54"/>
    <s v="Cancelación Vigilancia, ajuste mes de Junio y cancelación mes de Julio 2018"/>
    <s v="Vigilancia"/>
    <m/>
    <s v="01159"/>
    <s v="28 de Junio de 2018"/>
    <n v="28"/>
    <d v="2018-06-01T00:00:00"/>
    <s v="10,75"/>
    <s v="Diez Bolívares con 75/100"/>
  </r>
  <r>
    <n v="1160"/>
    <m/>
    <s v="ü"/>
    <d v="2018-06-28T00:00:00"/>
    <n v="4"/>
    <x v="69"/>
    <x v="61"/>
    <s v="Calle Güigüe Nro. 89-40"/>
    <s v="Cancelación Vigilancia, anticipo mes de Junio 2018"/>
    <s v="Vigilancia"/>
    <m/>
    <s v="01160"/>
    <s v="28 de Junio de 2018"/>
    <n v="28"/>
    <d v="2018-06-01T00:00:00"/>
    <s v="4,00"/>
    <s v="Cuatro Bolívares con 00/100"/>
  </r>
  <r>
    <n v="1161"/>
    <m/>
    <s v="ü"/>
    <d v="2018-06-28T00:00:00"/>
    <n v="2.25"/>
    <x v="4"/>
    <x v="4"/>
    <s v="Calle Güigüe Nro. 89-55"/>
    <s v="Cancelación Vigilancia, ajuste mes de Junio 2018 (saldo a favor: Bs. 435.000)"/>
    <s v="Vigilancia"/>
    <m/>
    <s v="01161"/>
    <s v="28 de Junio de 2018"/>
    <n v="28"/>
    <d v="2018-06-01T00:00:00"/>
    <s v="2,25"/>
    <s v="Dos Bolívares con 25/100"/>
  </r>
  <r>
    <n v="1162"/>
    <m/>
    <s v="ü"/>
    <d v="2018-06-28T00:00:00"/>
    <n v="2.25"/>
    <x v="0"/>
    <x v="0"/>
    <s v="Calle Guacara Nro. 88-45"/>
    <s v="Cancelación Vigilancia, ajuste mes de Junio 2018 (saldo a favor: Bs. 4.495.000)"/>
    <s v="Vigilancia"/>
    <m/>
    <s v="01162"/>
    <s v="28 de Junio de 2018"/>
    <n v="28"/>
    <d v="2018-06-01T00:00:00"/>
    <s v="2,25"/>
    <s v="Dos Bolívares con 25/100"/>
  </r>
  <r>
    <n v="1163"/>
    <m/>
    <s v="ü"/>
    <d v="2018-06-28T00:00:00"/>
    <n v="2.25"/>
    <x v="75"/>
    <x v="65"/>
    <s v="Av. &quot;Ñ&quot; Nro. 145-25"/>
    <s v="Cancelación Vigilancia, ajuste mes de Junio 2018 (saldo a favor: Bs. 3.210.000)"/>
    <s v="Vigilancia"/>
    <m/>
    <s v="01163"/>
    <s v="28 de Junio de 2018"/>
    <n v="28"/>
    <d v="2018-06-01T00:00:00"/>
    <s v="2,25"/>
    <s v="Dos Bolívares con 25/100"/>
  </r>
  <r>
    <n v="1164"/>
    <m/>
    <s v="ü"/>
    <d v="2018-06-28T00:00:00"/>
    <n v="2.25"/>
    <x v="52"/>
    <x v="9"/>
    <s v="Calle Güigüe Nro. 89-45"/>
    <s v="Cancelación Vigilancia, ajuste mes de Junio 2018 (saldo a favor: Bs. 1.368.000)"/>
    <s v="Vigilancia"/>
    <m/>
    <s v="01164"/>
    <s v="28 de Junio de 2018"/>
    <n v="28"/>
    <d v="2018-06-01T00:00:00"/>
    <s v="2,25"/>
    <s v="Dos Bolívares con 25/100"/>
  </r>
  <r>
    <n v="1165"/>
    <m/>
    <s v="ü"/>
    <d v="2018-06-28T00:00:00"/>
    <n v="2.25"/>
    <x v="12"/>
    <x v="12"/>
    <s v="Calle Guacara Nro. 89-20"/>
    <s v="Cancelación Vigilancia, ajuste mes de Junio 2018"/>
    <s v="Vigilancia"/>
    <m/>
    <s v="01165"/>
    <s v="28 de Junio de 2018"/>
    <n v="28"/>
    <d v="2018-06-01T00:00:00"/>
    <s v="2,25"/>
    <s v="Dos Bolívares con 25/100"/>
  </r>
  <r>
    <n v="1166"/>
    <m/>
    <s v="ü"/>
    <d v="2018-06-28T00:00:00"/>
    <n v="10.75"/>
    <x v="81"/>
    <x v="69"/>
    <s v="Calle Güigüe Nro. 89-65"/>
    <s v="Cancelación Vigilancia, ajuste mes de Junio y cancelación mes de Julio 2018"/>
    <s v="Vigilancia"/>
    <m/>
    <s v="01166"/>
    <s v="28 de Junio de 2018"/>
    <n v="28"/>
    <d v="2018-06-01T00:00:00"/>
    <s v="10,75"/>
    <s v="Diez Bolívares con 75/100"/>
  </r>
  <r>
    <n v="1167"/>
    <m/>
    <s v="ü"/>
    <d v="2018-06-28T00:00:00"/>
    <n v="10.75"/>
    <x v="7"/>
    <x v="7"/>
    <s v="Calle Guacara Nro. 87-86"/>
    <s v="Cancelación Vigilancia, ajuste mes de Junio y cancelación mes de Julio 2018"/>
    <s v="Vigilancia"/>
    <m/>
    <s v="01167"/>
    <s v="28 de Junio de 2018"/>
    <n v="28"/>
    <d v="2018-06-01T00:00:00"/>
    <s v="10,75"/>
    <s v="Diez Bolívares con 75/100"/>
  </r>
  <r>
    <n v="1168"/>
    <m/>
    <s v="ü"/>
    <d v="2018-06-28T00:00:00"/>
    <n v="10.75"/>
    <x v="11"/>
    <x v="11"/>
    <s v="Calle Guacara Nro. 89-86"/>
    <s v="Cancelación Vigilancia, ajuste mes de Junio y cancelación mes de Julio 2018"/>
    <s v="Vigilancia"/>
    <m/>
    <s v="01168"/>
    <s v="28 de Junio de 2018"/>
    <n v="28"/>
    <d v="2018-06-01T00:00:00"/>
    <s v="10,75"/>
    <s v="Diez Bolívares con 75/100"/>
  </r>
  <r>
    <n v="1169"/>
    <m/>
    <s v="ü"/>
    <d v="2018-06-28T00:00:00"/>
    <n v="2.25"/>
    <x v="90"/>
    <x v="82"/>
    <s v="Calle Güigüe Nro. 89-04"/>
    <s v="Cancelación Vigilancia, ajuste mes de Junio 2018"/>
    <s v="Vigilancia"/>
    <m/>
    <s v="01169"/>
    <s v="28 de Junio de 2018"/>
    <n v="28"/>
    <d v="2018-06-01T00:00:00"/>
    <s v="2,25"/>
    <s v="Dos Bolívares con 25/100"/>
  </r>
  <r>
    <n v="1170"/>
    <m/>
    <s v="ü"/>
    <d v="2018-06-28T00:00:00"/>
    <n v="4"/>
    <x v="26"/>
    <x v="24"/>
    <s v="Calle Güigüe Nro. 89-96"/>
    <s v="Cancelación Vigilancia, anticipo mes de Junio 2018"/>
    <s v="Vigilancia"/>
    <m/>
    <s v="01170"/>
    <s v="28 de Junio de 2018"/>
    <n v="28"/>
    <d v="2018-06-01T00:00:00"/>
    <s v="4,00"/>
    <s v="Cuatro Bolívares con 00/100"/>
  </r>
  <r>
    <n v="1171"/>
    <m/>
    <s v="ü"/>
    <d v="2018-06-29T00:00:00"/>
    <n v="6.75"/>
    <x v="31"/>
    <x v="29"/>
    <s v="Calle Güigüe Nro. 89-95"/>
    <s v="Cancelación Vigilancia, ajuste mes de Junio, y saldo mes de Junio 2018"/>
    <s v="Vigilancia"/>
    <m/>
    <s v="01171"/>
    <s v="29 de Junio de 2018"/>
    <n v="29"/>
    <d v="2018-06-01T00:00:00"/>
    <s v="6,75"/>
    <s v="Seis Bolívares con 75/100"/>
  </r>
  <r>
    <n v="1172"/>
    <m/>
    <s v="ü"/>
    <d v="2018-06-29T00:00:00"/>
    <n v="10.75"/>
    <x v="18"/>
    <x v="16"/>
    <s v="Calle Guacara Nro. 87-100"/>
    <s v="Cancelación Vigilancia, ajuste mes de Junio y cancelación mes de Julio 2018"/>
    <s v="Vigilancia"/>
    <m/>
    <s v="01172"/>
    <s v="29 de Junio de 2018"/>
    <n v="29"/>
    <d v="2018-06-01T00:00:00"/>
    <s v="10,75"/>
    <s v="Diez Bolívares con 75/100"/>
  </r>
  <r>
    <n v="1173"/>
    <m/>
    <s v="ü"/>
    <d v="2018-06-29T00:00:00"/>
    <n v="9.25"/>
    <x v="18"/>
    <x v="16"/>
    <s v="Calle Guacara Nro. 87-100"/>
    <s v="Colaboración reparación portón principal"/>
    <s v="Reparación Portón"/>
    <m/>
    <s v="01173"/>
    <s v="29 de Junio de 2018"/>
    <n v="29"/>
    <d v="2018-06-01T00:00:00"/>
    <s v="9,25"/>
    <s v="Nueve Bolívares con 25/100"/>
  </r>
  <r>
    <n v="1174"/>
    <m/>
    <s v="ü"/>
    <d v="2018-06-29T00:00:00"/>
    <n v="2.25"/>
    <x v="60"/>
    <x v="54"/>
    <s v="Calle Guacara Nro. 88-51"/>
    <s v="Cancelación Vigilancia, ajuste mes de Junio 2018"/>
    <s v="Vigilancia"/>
    <m/>
    <s v="01174"/>
    <s v="29 de Junio de 2018"/>
    <n v="29"/>
    <d v="2018-06-01T00:00:00"/>
    <s v="2,25"/>
    <s v="Dos Bolívares con 25/100"/>
  </r>
  <r>
    <n v="1175"/>
    <m/>
    <s v="ü"/>
    <d v="2018-06-29T00:00:00"/>
    <n v="6.25"/>
    <x v="56"/>
    <x v="52"/>
    <s v="Calle Güigüe Nro. 88-70"/>
    <s v="Cancelación Vigilancia, mes de Junio 2018"/>
    <s v="Vigilancia"/>
    <m/>
    <s v="01175"/>
    <s v="29 de Junio de 2018"/>
    <n v="29"/>
    <d v="2018-06-01T00:00:00"/>
    <s v="6,25"/>
    <s v="Seis Bolívares con 25/100"/>
  </r>
  <r>
    <n v="1176"/>
    <m/>
    <s v="ü"/>
    <d v="2018-06-30T00:00:00"/>
    <n v="10.75"/>
    <x v="89"/>
    <x v="81"/>
    <s v="Calle Guacara Nro. 88-75"/>
    <s v="Cancelación Vigilancia, ajuste mes de Junio y cancelación mes de Julio 2018"/>
    <s v="Vigilancia"/>
    <m/>
    <s v="01176"/>
    <s v="30 de Junio de 2018"/>
    <n v="30"/>
    <d v="2018-06-01T00:00:00"/>
    <s v="10,75"/>
    <s v="Diez Bolívares con 75/100"/>
  </r>
  <r>
    <n v="1177"/>
    <m/>
    <s v="ü"/>
    <d v="2018-06-30T00:00:00"/>
    <n v="2.25"/>
    <x v="27"/>
    <x v="25"/>
    <s v="Calle Güigüe Nro. 89-106"/>
    <s v="Cancelación Vigilancia, ajuste mes de Junio 2018"/>
    <s v="Vigilancia"/>
    <m/>
    <s v="01177"/>
    <s v="30 de Junio de 2018"/>
    <n v="30"/>
    <d v="2018-06-01T00:00:00"/>
    <s v="2,25"/>
    <s v="Dos Bolívares con 25/100"/>
  </r>
  <r>
    <n v="1178"/>
    <m/>
    <s v="ü"/>
    <d v="2018-06-30T00:00:00"/>
    <n v="10.75"/>
    <x v="38"/>
    <x v="35"/>
    <s v="Calle Guacara Nro. 89-78"/>
    <s v="Cancelación Vigilancia, ajuste mes de Junio y cancelación mes de Julio 2018"/>
    <s v="Vigilancia"/>
    <m/>
    <s v="01178"/>
    <s v="30 de Junio de 2018"/>
    <n v="30"/>
    <d v="2018-06-01T00:00:00"/>
    <s v="10,75"/>
    <s v="Diez Bolívares con 75/100"/>
  </r>
  <r>
    <n v="1179"/>
    <m/>
    <s v="ü"/>
    <d v="2018-06-30T00:00:00"/>
    <n v="4.5"/>
    <x v="60"/>
    <x v="54"/>
    <s v="Calle Guacara Nro. 88-51"/>
    <s v="Cancelación Vigilancia, saldo mes de Julio 2018"/>
    <s v="Vigilancia"/>
    <m/>
    <s v="01179"/>
    <s v="30 de Junio de 2018"/>
    <n v="30"/>
    <d v="2018-06-01T00:00:00"/>
    <s v="4,50"/>
    <s v="Cuatro Bolívares con 50/100"/>
  </r>
  <r>
    <n v="1180"/>
    <m/>
    <s v="ü"/>
    <d v="2018-06-30T00:00:00"/>
    <n v="10.75"/>
    <x v="1"/>
    <x v="1"/>
    <s v="Calle Güigüe Nro. 88-44"/>
    <s v="Cancelación Vigilancia, ajuste mes de Junio y cancelación mes de Julio 2018"/>
    <s v="Vigilancia"/>
    <m/>
    <s v="01180"/>
    <s v="30 de Junio de 2018"/>
    <n v="30"/>
    <d v="2018-06-01T00:00:00"/>
    <s v="10,75"/>
    <s v="Diez Bolívares con 75/100"/>
  </r>
  <r>
    <n v="1181"/>
    <m/>
    <s v="ü"/>
    <d v="2018-06-30T00:00:00"/>
    <n v="10.25"/>
    <x v="87"/>
    <x v="75"/>
    <s v="Calle Güigüe Nro. 88-06"/>
    <s v="Cancelación Vigilancia, ajuste mes de Junio, saldo mes de Julio 2018"/>
    <s v="Vigilancia"/>
    <m/>
    <s v="01181"/>
    <s v="30 de Junio de 2018"/>
    <n v="30"/>
    <d v="2018-06-01T00:00:00"/>
    <s v="10,25"/>
    <s v="Diez Bolívares con 25/100"/>
  </r>
  <r>
    <n v="1182"/>
    <m/>
    <s v="ü"/>
    <d v="2018-06-30T00:00:00"/>
    <n v="10.75"/>
    <x v="16"/>
    <x v="15"/>
    <s v="Calle Guacara Nro. 90-81"/>
    <s v="Cancelación Vigilancia, ajuste mes de Junio, saldo mes de Julio y anticipo mes de Agosto 2018"/>
    <s v="Vigilancia"/>
    <m/>
    <s v="01182"/>
    <s v="30 de Junio de 2018"/>
    <n v="30"/>
    <d v="2018-06-01T00:00:00"/>
    <s v="10,75"/>
    <s v="Diez Bolívares con 75/100"/>
  </r>
  <r>
    <n v="1183"/>
    <m/>
    <s v="ü"/>
    <d v="2018-07-01T00:00:00"/>
    <n v="10.75"/>
    <x v="65"/>
    <x v="58"/>
    <s v="Calle Güigüe Nro. 88-10"/>
    <s v="Cancelación Vigilancia, ajuste mes de Junio y cancelación mes de Julio 2018"/>
    <s v="Vigilancia"/>
    <m/>
    <s v="01183"/>
    <s v="01 de Julio de 2018"/>
    <n v="1"/>
    <d v="2018-07-01T00:00:00"/>
    <s v="10,75"/>
    <s v="Diez Bolívares con 75/100"/>
  </r>
  <r>
    <n v="1184"/>
    <m/>
    <s v="ü"/>
    <d v="2018-07-01T00:00:00"/>
    <n v="10.75"/>
    <x v="14"/>
    <x v="13"/>
    <s v="Calle Güigüe Nro. 89-83"/>
    <s v="Cancelación Vigilancia, ajuste mes de Junio y cancelación mes de Julio 2018"/>
    <s v="Vigilancia"/>
    <m/>
    <s v="01184"/>
    <s v="01 de Julio de 2018"/>
    <n v="1"/>
    <d v="2018-07-01T00:00:00"/>
    <s v="10,75"/>
    <s v="Diez Bolívares con 75/100"/>
  </r>
  <r>
    <n v="1185"/>
    <m/>
    <s v="ü"/>
    <d v="2018-07-01T00:00:00"/>
    <n v="4"/>
    <x v="71"/>
    <x v="62"/>
    <s v="Calle Güigüe Nro. 89-71"/>
    <s v="Colaboración Vigilancia, mes de Junio 2017"/>
    <s v="Vigilancia"/>
    <m/>
    <s v="01185"/>
    <s v="01 de Julio de 2018"/>
    <n v="1"/>
    <d v="2018-07-01T00:00:00"/>
    <s v="4,00"/>
    <s v="Cuatro Bolívares con 00/100"/>
  </r>
  <r>
    <n v="1186"/>
    <m/>
    <s v="ü"/>
    <d v="2018-07-01T00:00:00"/>
    <n v="2.5"/>
    <x v="24"/>
    <x v="22"/>
    <s v="Calle Güigüe Nro. 88-54"/>
    <s v="Cancelación Vigilancia, ajuste mes de Junio 2018, más adicional de Bs. 25.000"/>
    <s v="Vigilancia"/>
    <m/>
    <s v="01186"/>
    <s v="01 de Julio de 2018"/>
    <n v="1"/>
    <d v="2018-07-01T00:00:00"/>
    <s v="2,50"/>
    <s v="Dos Bolívares con 50/100"/>
  </r>
  <r>
    <n v="1187"/>
    <m/>
    <s v="ü"/>
    <d v="2018-07-01T00:00:00"/>
    <n v="2.25"/>
    <x v="15"/>
    <x v="14"/>
    <s v="Calle Guacara Nro. 89-94"/>
    <s v="Cancelación Vigilancia, ajuste mes de Junio 2018"/>
    <s v="Vigilancia"/>
    <m/>
    <s v="01187"/>
    <s v="01 de Julio de 2018"/>
    <n v="1"/>
    <d v="2018-07-01T00:00:00"/>
    <s v="2,25"/>
    <s v="Dos Bolívares con 25/100"/>
  </r>
  <r>
    <n v="1188"/>
    <m/>
    <s v="ü"/>
    <d v="2018-07-01T00:00:00"/>
    <n v="10.75"/>
    <x v="45"/>
    <x v="42"/>
    <s v="Calle Güigüe Nro. 87-A-11"/>
    <s v="Cancelación Vigilancia, ajuste mes de Junio y cancelación mes de Julio 2018"/>
    <s v="Vigilancia"/>
    <m/>
    <s v="01188"/>
    <s v="01 de Julio de 2018"/>
    <n v="1"/>
    <d v="2018-07-01T00:00:00"/>
    <s v="10,75"/>
    <s v="Diez Bolívares con 75/100"/>
  </r>
  <r>
    <n v="1189"/>
    <m/>
    <s v="ü"/>
    <d v="2018-07-02T00:00:00"/>
    <n v="2.25"/>
    <x v="35"/>
    <x v="32"/>
    <s v="Calle Güigüe Nro. 89-80"/>
    <s v="Cancelación Vigilancia, ajuste mes de Junio 2018"/>
    <s v="Vigilancia"/>
    <m/>
    <s v="01189"/>
    <s v="02 de Julio de 2018"/>
    <n v="2"/>
    <d v="2018-07-01T00:00:00"/>
    <s v="2,25"/>
    <s v="Dos Bolívares con 25/100"/>
  </r>
  <r>
    <n v="1190"/>
    <m/>
    <s v="ü"/>
    <d v="2018-07-02T00:00:00"/>
    <n v="8.5"/>
    <x v="90"/>
    <x v="82"/>
    <s v="Calle Güigüe Nro. 89-04"/>
    <s v="Cancelación Vigilancia, mes de Julio 2018"/>
    <s v="Vigilancia"/>
    <m/>
    <s v="01190"/>
    <s v="02 de Julio de 2018"/>
    <n v="2"/>
    <d v="2018-07-01T00:00:00"/>
    <s v="8,50"/>
    <s v="Ocho Bolívares con 50/100"/>
  </r>
  <r>
    <n v="1191"/>
    <m/>
    <s v="ü"/>
    <d v="2018-07-02T00:00:00"/>
    <n v="23.25"/>
    <x v="64"/>
    <x v="57"/>
    <s v="Calle Guacara Nro. 88-35"/>
    <s v="Cancelación Vigilancia, meses de Junio, Julio y Agosto 2018"/>
    <s v="Vigilancia"/>
    <m/>
    <s v="01191"/>
    <s v="02 de Julio de 2018"/>
    <n v="2"/>
    <d v="2018-07-01T00:00:00"/>
    <s v="23,25"/>
    <s v="Veintitres Bolívares con 25/100"/>
  </r>
  <r>
    <n v="1192"/>
    <m/>
    <s v="ü"/>
    <d v="2018-07-02T00:00:00"/>
    <n v="6.25"/>
    <x v="59"/>
    <x v="9"/>
    <s v="Calle Guacara Nro. 90-35"/>
    <s v="Cancelación Vigilancia, mes de Junio 2018"/>
    <s v="Vigilancia"/>
    <m/>
    <s v="01192"/>
    <s v="02 de Julio de 2018"/>
    <n v="2"/>
    <d v="2018-07-01T00:00:00"/>
    <s v="6,25"/>
    <s v="Seis Bolívares con 25/100"/>
  </r>
  <r>
    <n v="1193"/>
    <m/>
    <s v="ü"/>
    <d v="2018-07-02T00:00:00"/>
    <n v="10"/>
    <x v="20"/>
    <x v="18"/>
    <s v="Calle Guacara Nro. 89-30"/>
    <s v="Cancelación Vigilancia, mes de Julio 2018"/>
    <s v="Vigilancia"/>
    <m/>
    <s v="01193"/>
    <s v="02 de Julio de 2018"/>
    <n v="2"/>
    <d v="2018-07-01T00:00:00"/>
    <s v="10,00"/>
    <s v="Diez Bolívares con 00/100"/>
  </r>
  <r>
    <n v="1194"/>
    <m/>
    <s v="ü"/>
    <d v="2018-07-02T00:00:00"/>
    <n v="8.5"/>
    <x v="86"/>
    <x v="73"/>
    <s v="Calle Guacara Nro. 89-50"/>
    <s v="Cancelación Vigilancia, anticipo mes de Julio 2018"/>
    <s v="Vigilancia"/>
    <m/>
    <s v="01194"/>
    <s v="02 de Julio de 2018"/>
    <n v="2"/>
    <d v="2018-07-01T00:00:00"/>
    <s v="8,50"/>
    <s v="Ocho Bolívares con 50/100"/>
  </r>
  <r>
    <n v="1195"/>
    <m/>
    <s v="ü"/>
    <d v="2018-07-03T00:00:00"/>
    <n v="16.25"/>
    <x v="42"/>
    <x v="39"/>
    <s v="Calle Güigüe Nro. 89-79"/>
    <s v="Cancelación Vigilancia, meses de Junio y Julio 2018 (saldo a favor: Bs. 3.535.000)"/>
    <s v="Vigilancia"/>
    <m/>
    <s v="01195"/>
    <s v="03 de Julio de 2018"/>
    <n v="3"/>
    <d v="2018-07-01T00:00:00"/>
    <s v="16,25"/>
    <s v="Dieciséis Bolívares con 25/100"/>
  </r>
  <r>
    <n v="1196"/>
    <m/>
    <s v="ü"/>
    <d v="2018-07-03T00:00:00"/>
    <n v="6.5"/>
    <x v="20"/>
    <x v="18"/>
    <s v="Calle Guacara Nro. 89-30"/>
    <s v="Cancelación Vigilancia, mes de Junio 2018"/>
    <s v="Vigilancia"/>
    <m/>
    <s v="01196"/>
    <s v="03 de Julio de 2018"/>
    <n v="3"/>
    <d v="2018-07-01T00:00:00"/>
    <s v="6,50"/>
    <s v="Seis Bolívares con 50/100"/>
  </r>
  <r>
    <n v="1197"/>
    <m/>
    <s v="ü"/>
    <d v="2018-07-03T00:00:00"/>
    <n v="12.25"/>
    <x v="46"/>
    <x v="43"/>
    <s v="Av. &quot;I&quot; Nro. 146-20"/>
    <s v="Cancelación Vigilancia, ajuste mes de Junio y cancelación mes de Julio 2018"/>
    <s v="Vigilancia"/>
    <m/>
    <s v="01197"/>
    <s v="03 de Julio de 2018"/>
    <n v="3"/>
    <d v="2018-07-01T00:00:00"/>
    <s v="12,25"/>
    <s v="Doce Bolívares con 25/100"/>
  </r>
  <r>
    <n v="1198"/>
    <m/>
    <s v="ü"/>
    <d v="2018-07-03T00:00:00"/>
    <n v="12.25"/>
    <x v="8"/>
    <x v="78"/>
    <s v="Calle Guacara Nro. 90-51"/>
    <s v="Cancelación Vigilancia, ajuste mes de Junio y cancelación mes de Julio 2018"/>
    <s v="Vigilancia"/>
    <m/>
    <s v="01198"/>
    <s v="03 de Julio de 2018"/>
    <n v="3"/>
    <d v="2018-07-01T00:00:00"/>
    <s v="12,25"/>
    <s v="Doce Bolívares con 25/100"/>
  </r>
  <r>
    <n v="1199"/>
    <m/>
    <s v="ü"/>
    <d v="2018-07-03T00:00:00"/>
    <n v="0.5"/>
    <x v="8"/>
    <x v="78"/>
    <s v="Calle Guacara Nro. 90-51"/>
    <s v="Colaboración para comida de vigilantes"/>
    <s v="Comida Vigilantes"/>
    <m/>
    <s v="01199"/>
    <s v="03 de Julio de 2018"/>
    <n v="3"/>
    <d v="2018-07-01T00:00:00"/>
    <s v="0,50"/>
    <s v="Cero Bolívares con 50/100"/>
  </r>
  <r>
    <n v="1200"/>
    <m/>
    <s v="ü"/>
    <d v="2018-07-03T00:00:00"/>
    <n v="4"/>
    <x v="86"/>
    <x v="73"/>
    <s v="Calle Guacara Nro. 89-50"/>
    <s v="Cancelación Vigilancia, anticipo mes de Junio 2018"/>
    <s v="Vigilancia"/>
    <m/>
    <s v="01200"/>
    <s v="03 de Julio de 2018"/>
    <n v="3"/>
    <d v="2018-07-01T00:00:00"/>
    <s v="4,00"/>
    <s v="Cuatro Bolívares con 00/100"/>
  </r>
  <r>
    <n v="1201"/>
    <m/>
    <s v="ü"/>
    <d v="2018-07-03T00:00:00"/>
    <n v="3.5"/>
    <x v="86"/>
    <x v="73"/>
    <s v="Calle Guacara Nro. 89-50"/>
    <s v="Colaboración mantenimiento Caseta de Vigilancia"/>
    <s v="Caseta Vigilancia"/>
    <m/>
    <s v="01201"/>
    <s v="03 de Julio de 2018"/>
    <n v="3"/>
    <d v="2018-07-01T00:00:00"/>
    <s v="3,50"/>
    <s v="Tres Bolívares con 50/100"/>
  </r>
  <r>
    <n v="1202"/>
    <m/>
    <s v="ü"/>
    <d v="2018-07-03T00:00:00"/>
    <n v="14.75"/>
    <x v="53"/>
    <x v="80"/>
    <s v="Calle Guacara Nro. 88-91"/>
    <s v="Cancelación Vigilancia, mes de Junio y anticipo Julio 2018"/>
    <s v="Vigilancia"/>
    <m/>
    <s v="01202"/>
    <s v="03 de Julio de 2018"/>
    <n v="3"/>
    <d v="2018-07-01T00:00:00"/>
    <s v="14,75"/>
    <s v="Catorce Bolívares con 75/100"/>
  </r>
  <r>
    <n v="1203"/>
    <m/>
    <s v="ü"/>
    <d v="2018-07-03T00:00:00"/>
    <n v="1.5"/>
    <x v="1"/>
    <x v="1"/>
    <s v="Calle Güigüe Nro. 88-44"/>
    <s v="Cancelación Vigilancia, ajuste mes de Julio 2018"/>
    <s v="Vigilancia"/>
    <m/>
    <s v="01203"/>
    <s v="03 de Julio de 2018"/>
    <n v="3"/>
    <d v="2018-07-01T00:00:00"/>
    <s v="1,50"/>
    <s v="Un Bolívares con 50/100"/>
  </r>
  <r>
    <n v="1204"/>
    <m/>
    <s v="ü"/>
    <d v="2018-07-03T00:00:00"/>
    <n v="23.55"/>
    <x v="73"/>
    <x v="9"/>
    <s v="Calle Güigüe Nros. 88-71 y 88-81"/>
    <s v="Cancelación Vigilancia, meses de Junio y Julio 2018"/>
    <s v="Vigilancia"/>
    <m/>
    <s v="01204"/>
    <s v="03 de Julio de 2018"/>
    <n v="3"/>
    <d v="2018-07-01T00:00:00"/>
    <s v="23,55"/>
    <s v="Veintitres Bolívares con 55/100"/>
  </r>
  <r>
    <n v="1205"/>
    <m/>
    <s v="ü"/>
    <d v="2018-07-03T00:00:00"/>
    <n v="1.5"/>
    <x v="84"/>
    <x v="71"/>
    <s v="Calle Güigüe Nro. 89-54"/>
    <s v="Cancelación Vigilancia, ajuste mes de Julio 2018"/>
    <s v="Vigilancia"/>
    <m/>
    <s v="01205"/>
    <s v="03 de Julio de 2018"/>
    <n v="3"/>
    <d v="2018-07-01T00:00:00"/>
    <s v="1,50"/>
    <s v="Un Bolívares con 50/100"/>
  </r>
  <r>
    <n v="1206"/>
    <m/>
    <s v="ü"/>
    <d v="2018-07-03T00:00:00"/>
    <n v="1.5"/>
    <x v="45"/>
    <x v="42"/>
    <s v="Calle Güigüe Nro. 87-A-11"/>
    <s v="Cancelación Vigilancia, ajuste mes de Julio 2018"/>
    <s v="Vigilancia"/>
    <m/>
    <s v="01206"/>
    <s v="03 de Julio de 2018"/>
    <n v="3"/>
    <d v="2018-07-01T00:00:00"/>
    <s v="1,50"/>
    <s v="Un Bolívares con 50/100"/>
  </r>
  <r>
    <n v="1207"/>
    <m/>
    <s v="ü"/>
    <d v="2018-07-04T00:00:00"/>
    <n v="8.25"/>
    <x v="5"/>
    <x v="9"/>
    <s v="Calle Güigüe Nro. 88-120"/>
    <s v="Cancelación Vigilancia, ajuste meses de Junio y Julio 2018"/>
    <s v="Vigilancia"/>
    <m/>
    <s v="01207"/>
    <s v="04 de Julio de 2018"/>
    <n v="4"/>
    <d v="2018-07-01T00:00:00"/>
    <s v="8,25"/>
    <s v="Ocho Bolívares con 25/100"/>
  </r>
  <r>
    <n v="1208"/>
    <m/>
    <s v="ü"/>
    <d v="2018-07-04T00:00:00"/>
    <n v="10"/>
    <x v="75"/>
    <x v="65"/>
    <s v="Av. &quot;Ñ&quot; Nro. 145-25"/>
    <s v="Cancelación Vigilancia, mes de Julio 2018 (saldo a favor: Bs. 2.210.000)"/>
    <s v="Vigilancia"/>
    <m/>
    <s v="01208"/>
    <s v="04 de Julio de 2018"/>
    <n v="4"/>
    <d v="2018-07-01T00:00:00"/>
    <s v="10,00"/>
    <s v="Diez Bolívares con 00/100"/>
  </r>
  <r>
    <n v="1209"/>
    <m/>
    <s v="ü"/>
    <d v="2018-07-04T00:00:00"/>
    <n v="10"/>
    <x v="52"/>
    <x v="9"/>
    <s v="Calle Güigüe Nro. 89-45"/>
    <s v="Cancelación Vigilancia, mes de Julio 2018 (saldo a favor: Bs. 1.518.000)"/>
    <s v="Vigilancia"/>
    <m/>
    <s v="01209"/>
    <s v="04 de Julio de 2018"/>
    <n v="4"/>
    <d v="2018-07-01T00:00:00"/>
    <s v="10,00"/>
    <s v="Diez Bolívares con 00/100"/>
  </r>
  <r>
    <n v="1210"/>
    <m/>
    <s v="ü"/>
    <d v="2018-07-04T00:00:00"/>
    <n v="10"/>
    <x v="0"/>
    <x v="0"/>
    <s v="Calle Guacara Nro. 88-45"/>
    <s v="Cancelación Vigilancia, mes de Julio 2018 (saldo a favor: Bs. 3.495.000)"/>
    <s v="Vigilancia"/>
    <m/>
    <s v="01210"/>
    <s v="04 de Julio de 2018"/>
    <n v="4"/>
    <d v="2018-07-01T00:00:00"/>
    <s v="10,00"/>
    <s v="Diez Bolívares con 00/100"/>
  </r>
  <r>
    <n v="1211"/>
    <m/>
    <s v="ü"/>
    <d v="2018-05-08T00:00:00"/>
    <n v="14.75"/>
    <x v="48"/>
    <x v="9"/>
    <s v="Calle Güigüe Nro. 88-90"/>
    <s v="Cancelación Vigilancia, mes de Junio y anticipo mes de Julio 2018"/>
    <s v="Vigilancia"/>
    <m/>
    <s v="01211"/>
    <s v="08 de Mayo de 2018"/>
    <n v="8"/>
    <d v="2018-05-01T00:00:00"/>
    <s v="14,75"/>
    <s v="Catorce Bolívares con 75/100"/>
  </r>
  <r>
    <n v="1212"/>
    <m/>
    <s v="ü"/>
    <d v="2018-07-04T00:00:00"/>
    <n v="5"/>
    <x v="72"/>
    <x v="63"/>
    <s v="Calle Güigüe Nro. 89-35"/>
    <s v="Colaboración Vigilancia, mes de Julio 2018"/>
    <s v="Vigilancia"/>
    <m/>
    <s v="01212"/>
    <s v="04 de Julio de 2018"/>
    <n v="4"/>
    <d v="2018-07-01T00:00:00"/>
    <s v="5,00"/>
    <s v="Cinco Bolívares con 00/100"/>
  </r>
  <r>
    <n v="1213"/>
    <m/>
    <s v="ü"/>
    <d v="2018-07-04T00:00:00"/>
    <n v="10"/>
    <x v="59"/>
    <x v="9"/>
    <s v="Calle Guacara Nro. 90-35"/>
    <s v="Cancelación Vigilancia, mes de Julio 2018"/>
    <s v="Vigilancia"/>
    <m/>
    <s v="01213"/>
    <s v="04 de Julio de 2018"/>
    <n v="4"/>
    <d v="2018-07-01T00:00:00"/>
    <s v="10,00"/>
    <s v="Diez Bolívares con 00/100"/>
  </r>
  <r>
    <n v="1214"/>
    <m/>
    <s v="ü"/>
    <d v="2018-07-04T00:00:00"/>
    <n v="10"/>
    <x v="17"/>
    <x v="74"/>
    <s v="Av. &quot;M&quot; Nro. 146-20"/>
    <s v="Cancelación Vigilancia, mes de Julio 2018"/>
    <s v="Vigilancia"/>
    <m/>
    <s v="01214"/>
    <s v="04 de Julio de 2018"/>
    <n v="4"/>
    <d v="2018-07-01T00:00:00"/>
    <s v="10,00"/>
    <s v="Diez Bolívares con 00/100"/>
  </r>
  <r>
    <n v="1215"/>
    <m/>
    <s v="ü"/>
    <d v="2018-07-05T00:00:00"/>
    <n v="12.25"/>
    <x v="10"/>
    <x v="10"/>
    <s v="Av. &quot;M&quot; Nro. 146-15"/>
    <s v="Cancelación Vigilancia, ajuste mes de Junio y cancelación mes de Julio 2018"/>
    <s v="Vigilancia"/>
    <m/>
    <s v="01215"/>
    <s v="05 de Julio de 2018"/>
    <n v="5"/>
    <d v="2018-07-01T00:00:00"/>
    <s v="12,25"/>
    <s v="Doce Bolívares con 25/100"/>
  </r>
  <r>
    <n v="1216"/>
    <m/>
    <s v="ü"/>
    <d v="2018-07-05T00:00:00"/>
    <n v="6"/>
    <x v="2"/>
    <x v="83"/>
    <s v="Calle Guacara Nro. 88-19"/>
    <s v="Colaboración Vigilancia, mes de Junio 2018"/>
    <s v="Vigilancia"/>
    <m/>
    <s v="01216"/>
    <s v="05 de Julio de 2018"/>
    <n v="5"/>
    <d v="2018-07-01T00:00:00"/>
    <s v="6,00"/>
    <s v="Seis Bolívares con 00/100"/>
  </r>
  <r>
    <n v="1217"/>
    <m/>
    <s v="ü"/>
    <d v="2018-07-05T00:00:00"/>
    <n v="1"/>
    <x v="32"/>
    <x v="30"/>
    <s v="Calle Güigüe Nro. 89-120"/>
    <s v="Colaboración Vigilancia, mes de Junio 2018"/>
    <s v="Vigilancia"/>
    <m/>
    <s v="01217"/>
    <s v="05 de Julio de 2018"/>
    <n v="5"/>
    <d v="2018-07-01T00:00:00"/>
    <s v="1,00"/>
    <s v="Un Bolívar con 00/100"/>
  </r>
  <r>
    <n v="1218"/>
    <m/>
    <s v="ü"/>
    <d v="2018-07-05T00:00:00"/>
    <n v="1.5"/>
    <x v="14"/>
    <x v="13"/>
    <s v="Calle Güigüe Nro. 89-83"/>
    <s v="Cancelación Vigilancia, ajuste mes de Julio 2018"/>
    <s v="Vigilancia"/>
    <m/>
    <s v="01218"/>
    <s v="05 de Julio de 2018"/>
    <n v="5"/>
    <d v="2018-07-01T00:00:00"/>
    <s v="1,50"/>
    <s v="Un Bolívares con 50/100"/>
  </r>
  <r>
    <n v="1219"/>
    <m/>
    <s v="ü"/>
    <d v="2018-07-06T00:00:00"/>
    <n v="2.25"/>
    <x v="26"/>
    <x v="24"/>
    <s v="Calle Güigüe Nro. 89-96"/>
    <s v="Cancelación Vigilancia, ajuste mes de Junio 2018"/>
    <s v="Vigilancia"/>
    <m/>
    <s v="01219"/>
    <s v="06 de Julio de 2018"/>
    <n v="6"/>
    <d v="2018-07-01T00:00:00"/>
    <s v="2,25"/>
    <s v="Dos Bolívares con 25/100"/>
  </r>
  <r>
    <n v="1220"/>
    <m/>
    <s v="ü"/>
    <d v="2018-07-07T00:00:00"/>
    <n v="10"/>
    <x v="77"/>
    <x v="85"/>
    <s v="Calle Guacara Nro. 88-65"/>
    <s v="Cancelación Vigilancia, mes de Julio 2018"/>
    <s v="Vigilancia"/>
    <m/>
    <s v="01220"/>
    <s v="07 de Julio de 2018"/>
    <n v="7"/>
    <d v="2018-07-01T00:00:00"/>
    <s v="10,00"/>
    <s v="Diez Bolívares con 00/100"/>
  </r>
  <r>
    <n v="1221"/>
    <m/>
    <s v="ü"/>
    <d v="2018-07-07T00:00:00"/>
    <n v="4"/>
    <x v="45"/>
    <x v="42"/>
    <s v="Calle Güigüe Nro. 87-A-11"/>
    <s v="Cancelación Vigilancia, saldo mes de Junio 2018"/>
    <s v="Vigilancia"/>
    <m/>
    <s v="01221"/>
    <s v="07 de Julio de 2018"/>
    <n v="7"/>
    <d v="2018-07-01T00:00:00"/>
    <s v="4,00"/>
    <s v="Cuatro Bolívares con 00/100"/>
  </r>
  <r>
    <n v="1222"/>
    <m/>
    <s v="ü"/>
    <d v="2018-07-07T00:00:00"/>
    <n v="12.4"/>
    <x v="6"/>
    <x v="6"/>
    <s v="Calle Guacara Nro. 89-60"/>
    <s v="Cancelación Vigilancia, ajuste mes de Junio, cancelación mes de Julio y anticipo mes de Agosto 2018"/>
    <s v="Vigilancia"/>
    <m/>
    <s v="01222"/>
    <s v="07 de Julio de 2018"/>
    <n v="7"/>
    <d v="2018-07-01T00:00:00"/>
    <s v="12,40"/>
    <s v="Doce Bolívares con 40/100"/>
  </r>
  <r>
    <n v="1223"/>
    <m/>
    <s v="ü"/>
    <d v="2018-07-01T00:00:00"/>
    <n v="6.25"/>
    <x v="61"/>
    <x v="14"/>
    <s v="Calle Guacara Nro. 87-07"/>
    <s v="Cancelación Vigilancia, mes de Junio 2018"/>
    <s v="Vigilancia"/>
    <m/>
    <s v="01223"/>
    <s v="01 de Julio de 2018"/>
    <n v="1"/>
    <d v="2018-07-01T00:00:00"/>
    <s v="6,25"/>
    <s v="Seis Bolívares con 25/100"/>
  </r>
  <r>
    <n v="1224"/>
    <m/>
    <s v="ü"/>
    <d v="2018-07-08T00:00:00"/>
    <n v="6.5"/>
    <x v="44"/>
    <x v="41"/>
    <s v="Calle Guacara Nro. 89-40"/>
    <s v="Cancelación Vigilancia, mes de Junio 2018"/>
    <s v="Vigilancia"/>
    <m/>
    <s v="01224"/>
    <s v="08 de Julio de 2018"/>
    <n v="8"/>
    <d v="2018-07-01T00:00:00"/>
    <s v="6,50"/>
    <s v="Seis Bolívares con 50/100"/>
  </r>
  <r>
    <n v="1225"/>
    <m/>
    <s v="ü"/>
    <d v="2018-07-08T00:00:00"/>
    <n v="10"/>
    <x v="22"/>
    <x v="20"/>
    <s v="Calle Guacara Nro. 88-25"/>
    <s v="Cancelación Vigilancia, mes de Julio 2018"/>
    <s v="Vigilancia"/>
    <m/>
    <s v="01225"/>
    <s v="08 de Julio de 2018"/>
    <n v="8"/>
    <d v="2018-07-01T00:00:00"/>
    <s v="10,00"/>
    <s v="Diez Bolívares con 00/100"/>
  </r>
  <r>
    <n v="1226"/>
    <m/>
    <s v="ü"/>
    <d v="2018-07-08T00:00:00"/>
    <n v="1.5"/>
    <x v="81"/>
    <x v="69"/>
    <s v="Calle Güigüe Nro. 89-65"/>
    <s v="Cancelación Vigilancia, ajuste mes de Julio 2018"/>
    <s v="Vigilancia"/>
    <m/>
    <s v="01226"/>
    <s v="08 de Julio de 2018"/>
    <n v="8"/>
    <d v="2018-07-01T00:00:00"/>
    <s v="1,50"/>
    <s v="Un Bolívares con 50/100"/>
  </r>
  <r>
    <n v="1227"/>
    <m/>
    <s v="ü"/>
    <d v="2018-07-09T00:00:00"/>
    <n v="12.25"/>
    <x v="62"/>
    <x v="55"/>
    <s v="Av. &quot;M&quot; Nro. 145-10"/>
    <s v="Cancelación Vigilancia, ajuste mes de Junio y mes de Julio 2018"/>
    <s v="Vigilancia"/>
    <m/>
    <s v="01227"/>
    <s v="09 de Julio de 2018"/>
    <n v="9"/>
    <d v="2018-07-01T00:00:00"/>
    <s v="12,25"/>
    <s v="Doce Bolívares con 25/100"/>
  </r>
  <r>
    <n v="1228"/>
    <m/>
    <s v="ü"/>
    <d v="2018-07-09T00:00:00"/>
    <n v="3.5"/>
    <x v="62"/>
    <x v="55"/>
    <s v="Av. &quot;M&quot; Nro. 145-10"/>
    <s v="Colaboración mantenimiento Caseta de Vigilancia"/>
    <s v="Caseta Vigilancia"/>
    <m/>
    <s v="01228"/>
    <s v="09 de Julio de 2018"/>
    <n v="9"/>
    <d v="2018-07-01T00:00:00"/>
    <s v="3,50"/>
    <s v="Tres Bolívares con 50/100"/>
  </r>
  <r>
    <n v="1229"/>
    <m/>
    <s v="ü"/>
    <d v="2018-07-09T00:00:00"/>
    <n v="10"/>
    <x v="15"/>
    <x v="14"/>
    <s v="Calle Guacara Nro. 89-94"/>
    <s v="Cancelación Vigilancia, mes de Julio 2018"/>
    <s v="Vigilancia"/>
    <m/>
    <s v="01229"/>
    <s v="09 de Julio de 2018"/>
    <n v="9"/>
    <d v="2018-07-01T00:00:00"/>
    <s v="10,00"/>
    <s v="Diez Bolívares con 00/100"/>
  </r>
  <r>
    <n v="1230"/>
    <m/>
    <s v="ü"/>
    <d v="2018-07-09T00:00:00"/>
    <n v="12.5"/>
    <x v="88"/>
    <x v="76"/>
    <s v="Calle Güigüe Nro. 88-11"/>
    <s v="Cancelación Vigilancia, ajuste mes de Junio y mes de Julio 2018"/>
    <s v="Vigilancia"/>
    <m/>
    <s v="01230"/>
    <s v="09 de Julio de 2018"/>
    <n v="9"/>
    <d v="2018-07-01T00:00:00"/>
    <s v="12,50"/>
    <s v="Doce Bolívares con 50/100"/>
  </r>
  <r>
    <n v="1231"/>
    <m/>
    <s v="ü"/>
    <d v="2018-07-09T00:00:00"/>
    <n v="2.5"/>
    <x v="19"/>
    <x v="17"/>
    <s v="Calle Guacara Nro. 89-130"/>
    <s v="Cancelación Vigilancia, ajuste mes de Junio 2018"/>
    <s v="Vigilancia"/>
    <m/>
    <s v="01231"/>
    <s v="09 de Julio de 2018"/>
    <n v="9"/>
    <d v="2018-07-01T00:00:00"/>
    <s v="2,50"/>
    <s v="Dos Bolívares con 50/100"/>
  </r>
  <r>
    <n v="1232"/>
    <m/>
    <s v="ü"/>
    <d v="2018-07-09T00:00:00"/>
    <n v="12.2"/>
    <x v="84"/>
    <x v="71"/>
    <s v="Calle Güigüe Nro. 89-54"/>
    <s v="Colaboración reparación portón principal"/>
    <s v="Reparación Portón"/>
    <m/>
    <s v="01232"/>
    <s v="09 de Julio de 2018"/>
    <n v="9"/>
    <d v="2018-07-01T00:00:00"/>
    <s v="12,20"/>
    <s v="Doce Bolívares con 20/100"/>
  </r>
  <r>
    <n v="1233"/>
    <m/>
    <s v="ü"/>
    <d v="2018-07-09T00:00:00"/>
    <n v="17.899999999999999"/>
    <x v="9"/>
    <x v="9"/>
    <s v="Av. &quot;M&quot; Nro. 146-30"/>
    <s v="Cancelación Vigilancia, meses de Junio y Julio 2018"/>
    <s v="Vigilancia"/>
    <m/>
    <s v="01233"/>
    <s v="09 de Julio de 2018"/>
    <n v="9"/>
    <d v="2018-07-01T00:00:00"/>
    <s v="17,90"/>
    <s v="Diecisiete Bolívares con 90/100"/>
  </r>
  <r>
    <n v="1234"/>
    <m/>
    <s v="ü"/>
    <d v="2018-07-09T00:00:00"/>
    <n v="10"/>
    <x v="12"/>
    <x v="12"/>
    <s v="Calle Guacara Nro. 89-20"/>
    <s v="Cancelación Vigilancia, mes de Julio 2018"/>
    <s v="Vigilancia"/>
    <m/>
    <s v="01234"/>
    <s v="09 de Julio de 2018"/>
    <n v="9"/>
    <d v="2018-07-01T00:00:00"/>
    <s v="10,00"/>
    <s v="Diez Bolívares con 00/100"/>
  </r>
  <r>
    <n v="1235"/>
    <m/>
    <s v="ü"/>
    <d v="2018-07-09T00:00:00"/>
    <n v="12.2"/>
    <x v="7"/>
    <x v="7"/>
    <s v="Calle Guacara Nro. 87-86"/>
    <s v="Colaboración reparación portón principal"/>
    <s v="Reparación Portón"/>
    <m/>
    <s v="01235"/>
    <s v="09 de Julio de 2018"/>
    <n v="9"/>
    <d v="2018-07-01T00:00:00"/>
    <s v="12,20"/>
    <s v="Doce Bolívares con 20/100"/>
  </r>
  <r>
    <n v="1236"/>
    <m/>
    <s v="ü"/>
    <d v="2018-07-09T00:00:00"/>
    <n v="1.5"/>
    <x v="7"/>
    <x v="7"/>
    <s v="Calle Guacara Nro. 87-86"/>
    <s v="Cancelación Vigilancia, ajuste mes de Julio 2018"/>
    <s v="Vigilancia"/>
    <m/>
    <s v="01236"/>
    <s v="09 de Julio de 2018"/>
    <n v="9"/>
    <d v="2018-07-01T00:00:00"/>
    <s v="1,50"/>
    <s v="Un Bolívares con 50/100"/>
  </r>
  <r>
    <n v="1237"/>
    <m/>
    <s v="ü"/>
    <d v="2018-07-09T00:00:00"/>
    <n v="10"/>
    <x v="36"/>
    <x v="33"/>
    <s v="Calle Güigüe Nro. 89-10"/>
    <s v="Cancelación Vigilancia, mes de Junio y anticipo mes de Julio 2018"/>
    <s v="Vigilancia"/>
    <m/>
    <s v="01237"/>
    <s v="09 de Julio de 2018"/>
    <n v="9"/>
    <d v="2018-07-01T00:00:00"/>
    <s v="10,00"/>
    <s v="Diez Bolívares con 00/100"/>
  </r>
  <r>
    <n v="1238"/>
    <m/>
    <s v="ü"/>
    <d v="2018-07-09T00:00:00"/>
    <n v="6"/>
    <x v="68"/>
    <x v="60"/>
    <s v="Calle Güigüe Nro. 89-29"/>
    <s v="Colaboración Vigilancia, ajuste mes de Junio y mes de Julio 2018"/>
    <s v="Vigilancia"/>
    <m/>
    <s v="01238"/>
    <s v="09 de Julio de 2018"/>
    <n v="9"/>
    <d v="2018-07-01T00:00:00"/>
    <s v="6,00"/>
    <s v="Seis Bolívares con 00/100"/>
  </r>
  <r>
    <n v="1239"/>
    <m/>
    <s v="ü"/>
    <d v="2018-07-09T00:00:00"/>
    <n v="12.2"/>
    <x v="52"/>
    <x v="9"/>
    <s v="Calle Güigüe Nro. 89-45"/>
    <s v="Colaboración reparación portón principal (saldo a favor Bs. 2.298.000)"/>
    <s v="Reparación Portón"/>
    <m/>
    <s v="01239"/>
    <s v="09 de Julio de 2018"/>
    <n v="9"/>
    <d v="2018-07-01T00:00:00"/>
    <s v="12,20"/>
    <s v="Doce Bolívares con 20/100"/>
  </r>
  <r>
    <n v="1240"/>
    <m/>
    <s v="ü"/>
    <d v="2018-07-09T00:00:00"/>
    <n v="6.3"/>
    <x v="58"/>
    <x v="53"/>
    <s v="Calle Güigüe Nro. 88-51"/>
    <s v="Cancelación Vigilancia, mes de Junio y anticipo mes de Julio 2018"/>
    <s v="Vigilancia"/>
    <m/>
    <s v="01240"/>
    <s v="09 de Julio de 2018"/>
    <n v="9"/>
    <d v="2018-07-01T00:00:00"/>
    <s v="6,30"/>
    <s v="Seis Bolívares con 30/100"/>
  </r>
  <r>
    <n v="1241"/>
    <m/>
    <s v="ü"/>
    <d v="2018-07-10T00:00:00"/>
    <n v="12.2"/>
    <x v="88"/>
    <x v="76"/>
    <s v="Calle Güigüe Nro. 88-11"/>
    <s v="Colaboración reparación portón principal"/>
    <s v="Reparación Portón"/>
    <m/>
    <s v="01241"/>
    <s v="10 de Julio de 2018"/>
    <n v="10"/>
    <d v="2018-07-01T00:00:00"/>
    <s v="12,20"/>
    <s v="Doce Bolívares con 20/100"/>
  </r>
  <r>
    <n v="1242"/>
    <m/>
    <s v="ü"/>
    <d v="2018-07-10T00:00:00"/>
    <n v="12.2"/>
    <x v="42"/>
    <x v="39"/>
    <s v="Calle Güigüe Nro. 89-79"/>
    <s v="Colaboración reparación portón principal (saldo a favor Bs. 2.315.000)"/>
    <s v="Reparación Portón"/>
    <m/>
    <s v="01242"/>
    <s v="10 de Julio de 2018"/>
    <n v="10"/>
    <d v="2018-07-01T00:00:00"/>
    <s v="12,20"/>
    <s v="Doce Bolívares con 20/100"/>
  </r>
  <r>
    <n v="1243"/>
    <m/>
    <s v="ü"/>
    <d v="2018-07-10T00:00:00"/>
    <n v="1.5"/>
    <x v="65"/>
    <x v="58"/>
    <s v="Calle Güigüe Nro. 88-10"/>
    <s v="Cancelación Vigilancia, ajuste mes de Julio 2018"/>
    <s v="Vigilancia"/>
    <m/>
    <s v="01243"/>
    <s v="10 de Julio de 2018"/>
    <n v="10"/>
    <d v="2018-07-01T00:00:00"/>
    <s v="1,50"/>
    <s v="Un Bolívares con 50/100"/>
  </r>
  <r>
    <n v="1244"/>
    <m/>
    <s v="ü"/>
    <d v="2018-07-10T00:00:00"/>
    <n v="12.2"/>
    <x v="65"/>
    <x v="58"/>
    <s v="Calle Güigüe Nro. 88-10"/>
    <s v="Colaboración reparación portón principal"/>
    <s v="Reparación Portón"/>
    <m/>
    <s v="01244"/>
    <s v="10 de Julio de 2018"/>
    <n v="10"/>
    <d v="2018-07-01T00:00:00"/>
    <s v="12,20"/>
    <s v="Doce Bolívares con 20/100"/>
  </r>
  <r>
    <n v="1245"/>
    <m/>
    <s v="ü"/>
    <d v="2018-07-10T00:00:00"/>
    <n v="12.2"/>
    <x v="75"/>
    <x v="65"/>
    <s v="Av. &quot;Ñ&quot; Nro. 145-25"/>
    <s v="Colaboración reparación portón principal (saldo a favor Bs. 990.000)"/>
    <s v="Reparación Portón"/>
    <m/>
    <s v="01245"/>
    <s v="10 de Julio de 2018"/>
    <n v="10"/>
    <d v="2018-07-01T00:00:00"/>
    <s v="12,20"/>
    <s v="Doce Bolívares con 20/100"/>
  </r>
  <r>
    <n v="1246"/>
    <m/>
    <s v="ü"/>
    <d v="2018-07-10T00:00:00"/>
    <n v="12.2"/>
    <x v="31"/>
    <x v="29"/>
    <s v="Calle Güigüe Nro. 89-95"/>
    <s v="Colaboración reparación portón principal"/>
    <s v="Reparación Portón"/>
    <m/>
    <s v="01246"/>
    <s v="10 de Julio de 2018"/>
    <n v="10"/>
    <d v="2018-07-01T00:00:00"/>
    <s v="12,20"/>
    <s v="Doce Bolívares con 20/100"/>
  </r>
  <r>
    <n v="1247"/>
    <m/>
    <s v="ü"/>
    <d v="2018-07-10T00:00:00"/>
    <n v="16.25"/>
    <x v="49"/>
    <x v="46"/>
    <s v="Av. &quot;O&quot; Nro. 146-17"/>
    <s v="Cancelación Vigilancia, meses de Junio y Julio 2018"/>
    <s v="Vigilancia"/>
    <m/>
    <s v="01247"/>
    <s v="10 de Julio de 2018"/>
    <n v="10"/>
    <d v="2018-07-01T00:00:00"/>
    <s v="16,25"/>
    <s v="Dieciséis Bolívares con 25/100"/>
  </r>
  <r>
    <n v="1248"/>
    <m/>
    <s v="ü"/>
    <d v="2018-07-10T00:00:00"/>
    <n v="12.2"/>
    <x v="20"/>
    <x v="18"/>
    <s v="Calle Guacara Nro. 89-30"/>
    <s v="Colaboración reparación portón principal"/>
    <s v="Reparación Portón"/>
    <m/>
    <s v="01248"/>
    <s v="10 de Julio de 2018"/>
    <n v="10"/>
    <d v="2018-07-01T00:00:00"/>
    <s v="12,20"/>
    <s v="Doce Bolívares con 20/100"/>
  </r>
  <r>
    <n v="1249"/>
    <m/>
    <s v="ü"/>
    <d v="2018-07-10T00:00:00"/>
    <n v="10"/>
    <x v="4"/>
    <x v="4"/>
    <s v="Calle Güigüe Nro. 89-55"/>
    <s v="Cancelación Vigilancia, mes de Julio 2018"/>
    <s v="Vigilancia"/>
    <m/>
    <s v="01249"/>
    <s v="10 de Julio de 2018"/>
    <n v="10"/>
    <d v="2018-07-01T00:00:00"/>
    <s v="10,00"/>
    <s v="Diez Bolívares con 00/100"/>
  </r>
  <r>
    <n v="1250"/>
    <m/>
    <s v="ü"/>
    <d v="2018-07-10T00:00:00"/>
    <n v="12.2"/>
    <x v="4"/>
    <x v="4"/>
    <s v="Calle Güigüe Nro. 89-55"/>
    <s v="Colaboración reparación portón principal"/>
    <s v="Reparación Portón"/>
    <m/>
    <s v="01250"/>
    <s v="10 de Julio de 2018"/>
    <n v="10"/>
    <d v="2018-07-01T00:00:00"/>
    <s v="12,20"/>
    <s v="Doce Bolívares con 20/100"/>
  </r>
  <r>
    <n v="1251"/>
    <m/>
    <s v="ü"/>
    <d v="2018-07-10T00:00:00"/>
    <n v="1.5"/>
    <x v="38"/>
    <x v="35"/>
    <s v="Calle Guacara Nro. 89-78"/>
    <s v="Cancelación Vigilancia, ajuste mes de Julio 2018"/>
    <s v="Vigilancia"/>
    <m/>
    <s v="01251"/>
    <s v="10 de Julio de 2018"/>
    <n v="10"/>
    <d v="2018-07-01T00:00:00"/>
    <s v="1,50"/>
    <s v="Un Bolívares con 50/100"/>
  </r>
  <r>
    <n v="1252"/>
    <m/>
    <s v="ü"/>
    <d v="2018-07-10T00:00:00"/>
    <n v="11.5"/>
    <x v="86"/>
    <x v="73"/>
    <s v="Calle Guacara Nro. 89-50"/>
    <s v="Cancelación Vigilancia, ajuste mes de Julio y Agosto 2018"/>
    <s v="Vigilancia"/>
    <m/>
    <s v="01252"/>
    <s v="10 de Julio de 2018"/>
    <n v="10"/>
    <d v="2018-07-01T00:00:00"/>
    <s v="11,50"/>
    <s v="Once Bolívares con 50/100"/>
  </r>
  <r>
    <n v="1253"/>
    <m/>
    <s v="ü"/>
    <d v="2018-07-10T00:00:00"/>
    <n v="12.2"/>
    <x v="1"/>
    <x v="1"/>
    <s v="Calle Güigüe Nro. 88-44"/>
    <s v="Colaboración reparación portón principal"/>
    <s v="Reparación Portón"/>
    <m/>
    <s v="01253"/>
    <s v="10 de Julio de 2018"/>
    <n v="10"/>
    <d v="2018-07-01T00:00:00"/>
    <s v="12,20"/>
    <s v="Doce Bolívares con 20/100"/>
  </r>
  <r>
    <n v="1254"/>
    <m/>
    <s v="ü"/>
    <d v="2018-07-10T00:00:00"/>
    <n v="12.2"/>
    <x v="76"/>
    <x v="66"/>
    <s v="Calle Güigüe Nro. 89-90"/>
    <s v="Colaboración reparación portón principal"/>
    <s v="Reparación Portón"/>
    <m/>
    <s v="01254"/>
    <s v="10 de Julio de 2018"/>
    <n v="10"/>
    <d v="2018-07-01T00:00:00"/>
    <s v="12,20"/>
    <s v="Doce Bolívares con 20/100"/>
  </r>
  <r>
    <n v="1255"/>
    <m/>
    <s v="ü"/>
    <d v="2018-07-10T00:00:00"/>
    <n v="10.3"/>
    <x v="76"/>
    <x v="66"/>
    <s v="Calle Güigüe Nro. 89-90"/>
    <s v="Cancelación Vigilancia, ajuste mes de Junio y anticipo mes de Julio 2018"/>
    <s v="Vigilancia"/>
    <m/>
    <s v="01255"/>
    <s v="10 de Julio de 2018"/>
    <n v="10"/>
    <d v="2018-07-01T00:00:00"/>
    <s v="10,30"/>
    <s v="Diez Bolívares con 30/100"/>
  </r>
  <r>
    <n v="1256"/>
    <m/>
    <s v="ü"/>
    <d v="2018-07-11T00:00:00"/>
    <n v="12.2"/>
    <x v="9"/>
    <x v="9"/>
    <s v="Av. &quot;M&quot; Nro. 146-30"/>
    <s v="Colaboración reparación portón principal"/>
    <s v="Reparación Portón"/>
    <m/>
    <s v="01256"/>
    <s v="11 de Julio de 2018"/>
    <n v="11"/>
    <d v="2018-07-01T00:00:00"/>
    <s v="12,20"/>
    <s v="Doce Bolívares con 20/100"/>
  </r>
  <r>
    <n v="1257"/>
    <m/>
    <s v="ü"/>
    <d v="2018-07-11T00:00:00"/>
    <n v="1.5"/>
    <x v="90"/>
    <x v="82"/>
    <s v="Calle Güigüe Nro. 89-04"/>
    <s v="Cancelación Vigilancia, ajuste mes de Julio 2018"/>
    <s v="Vigilancia"/>
    <m/>
    <s v="01257"/>
    <s v="11 de Julio de 2018"/>
    <n v="11"/>
    <d v="2018-07-01T00:00:00"/>
    <s v="1,50"/>
    <s v="Un Bolívares con 50/100"/>
  </r>
  <r>
    <n v="1258"/>
    <m/>
    <s v="ü"/>
    <d v="2018-07-11T00:00:00"/>
    <n v="16.25"/>
    <x v="23"/>
    <x v="21"/>
    <s v="Calle Güigüe Nro. 88-116"/>
    <s v="Cancelación Vigilancia, meses de Junio y Julio 2018"/>
    <s v="Vigilancia"/>
    <m/>
    <s v="01258"/>
    <s v="11 de Julio de 2018"/>
    <n v="11"/>
    <d v="2018-07-01T00:00:00"/>
    <s v="16,25"/>
    <s v="Dieciséis Bolívares con 25/100"/>
  </r>
  <r>
    <n v="1259"/>
    <m/>
    <s v="ü"/>
    <d v="2018-07-11T00:00:00"/>
    <n v="1.95"/>
    <x v="76"/>
    <x v="66"/>
    <s v="Calle Güigüe Nro. 89-90"/>
    <s v="Cancelación Vigilancia, ajuste mes de Julio 2018"/>
    <s v="Vigilancia"/>
    <m/>
    <s v="01259"/>
    <s v="11 de Julio de 2018"/>
    <n v="11"/>
    <d v="2018-07-01T00:00:00"/>
    <s v="1,95"/>
    <s v="Un Bolívares con 95/100"/>
  </r>
  <r>
    <n v="1260"/>
    <m/>
    <s v="ü"/>
    <d v="2018-07-12T00:00:00"/>
    <n v="10"/>
    <x v="92"/>
    <x v="86"/>
    <s v="Calle Guacara Nro. 88-A-10"/>
    <s v="Cancelación Vigilancia, mes de Julio 2018"/>
    <s v="Vigilancia"/>
    <m/>
    <s v="01260"/>
    <s v="12 de Julio de 2018"/>
    <n v="12"/>
    <d v="2018-07-01T00:00:00"/>
    <s v="10,00"/>
    <s v="Diez Bolívares con 00/100"/>
  </r>
  <r>
    <n v="1261"/>
    <m/>
    <s v="ü"/>
    <d v="2018-07-12T00:00:00"/>
    <n v="12.2"/>
    <x v="92"/>
    <x v="86"/>
    <s v="Calle Guacara Nro. 88-A-10"/>
    <s v="Colaboración reparación portón principal"/>
    <s v="Reparación Portón"/>
    <m/>
    <s v="01261"/>
    <s v="12 de Julio de 2018"/>
    <n v="12"/>
    <d v="2018-07-01T00:00:00"/>
    <s v="12,20"/>
    <s v="Doce Bolívares con 20/100"/>
  </r>
  <r>
    <n v="1262"/>
    <m/>
    <s v="ü"/>
    <d v="2018-07-12T00:00:00"/>
    <n v="10.75"/>
    <x v="40"/>
    <x v="37"/>
    <s v="Calle Güigüe Nro. 88-101"/>
    <s v="Cancelación Vigilancia, mes de junio y anticipo mes de Julio 2018"/>
    <s v="Vigilancia"/>
    <m/>
    <s v="01262"/>
    <s v="12 de Julio de 2018"/>
    <n v="12"/>
    <d v="2018-07-01T00:00:00"/>
    <s v="10,75"/>
    <s v="Diez Bolívares con 75/100"/>
  </r>
  <r>
    <n v="1263"/>
    <m/>
    <s v="ü"/>
    <d v="2018-07-12T00:00:00"/>
    <n v="2.25"/>
    <x v="69"/>
    <x v="61"/>
    <s v="Calle Güigüe Nro. 89-40"/>
    <s v="Cancelación Vigilancia, saldo mes de Junio 2018"/>
    <s v="Vigilancia"/>
    <m/>
    <s v="01263"/>
    <s v="12 de Julio de 2018"/>
    <n v="12"/>
    <d v="2018-07-01T00:00:00"/>
    <s v="2,25"/>
    <s v="Dos Bolívares con 25/100"/>
  </r>
  <r>
    <n v="1264"/>
    <m/>
    <s v="ü"/>
    <d v="2018-07-12T00:00:00"/>
    <n v="6.25"/>
    <x v="17"/>
    <x v="74"/>
    <s v="Av. &quot;M&quot; Nro. 146-20"/>
    <s v="Cancelación Vigilancia, mes de Junio 2018"/>
    <s v="Vigilancia"/>
    <m/>
    <s v="01264"/>
    <s v="12 de Julio de 2018"/>
    <n v="12"/>
    <d v="2018-07-01T00:00:00"/>
    <s v="6,25"/>
    <s v="Seis Bolívares con 25/100"/>
  </r>
  <r>
    <n v="1265"/>
    <m/>
    <s v="ü"/>
    <d v="2018-07-12T00:00:00"/>
    <n v="16.25"/>
    <x v="54"/>
    <x v="50"/>
    <s v="Calle Güigüe Nro. 89-21"/>
    <s v="Cancelación Vigilancia, meses de Junio y Julio 2018"/>
    <s v="Vigilancia"/>
    <m/>
    <s v="01265"/>
    <s v="12 de Julio de 2018"/>
    <n v="12"/>
    <d v="2018-07-01T00:00:00"/>
    <s v="16,25"/>
    <s v="Dieciséis Bolívares con 25/100"/>
  </r>
  <r>
    <n v="1266"/>
    <m/>
    <s v="ü"/>
    <d v="2018-07-12T00:00:00"/>
    <n v="12.2"/>
    <x v="54"/>
    <x v="50"/>
    <s v="Calle Güigüe Nro. 89-21"/>
    <s v="Colaboración reparación portón principal"/>
    <s v="Reparación Portón"/>
    <m/>
    <s v="01266"/>
    <s v="12 de Julio de 2018"/>
    <n v="12"/>
    <d v="2018-07-01T00:00:00"/>
    <s v="12,20"/>
    <s v="Doce Bolívares con 20/100"/>
  </r>
  <r>
    <n v="1267"/>
    <m/>
    <s v="ü"/>
    <d v="2018-07-12T00:00:00"/>
    <n v="20"/>
    <x v="43"/>
    <x v="40"/>
    <s v="Calle Güigüe Nro. 88-50"/>
    <s v="Cancelación Vigilancia, meses de Junio y Julio 2018"/>
    <s v="Vigilancia"/>
    <m/>
    <s v="01267"/>
    <s v="12 de Julio de 2018"/>
    <n v="12"/>
    <d v="2018-07-01T00:00:00"/>
    <s v="20,00"/>
    <s v="Veinte Bolívares con 00/100"/>
  </r>
  <r>
    <n v="1268"/>
    <m/>
    <s v="ü"/>
    <d v="2018-07-12T00:00:00"/>
    <n v="15"/>
    <x v="43"/>
    <x v="40"/>
    <s v="Calle Güigüe Nro. 88-50"/>
    <s v="Colaboración reparación portón principal"/>
    <s v="Reparación Portón"/>
    <m/>
    <s v="01268"/>
    <s v="12 de Julio de 2018"/>
    <n v="12"/>
    <d v="2018-07-01T00:00:00"/>
    <s v="15,00"/>
    <s v="Quince Bolívares con 00/100"/>
  </r>
  <r>
    <n v="1269"/>
    <m/>
    <s v="ü"/>
    <d v="2018-07-12T00:00:00"/>
    <n v="13"/>
    <x v="14"/>
    <x v="13"/>
    <s v="Calle Güigüe Nro. 89-83"/>
    <s v="Colaboración reparación portón principal"/>
    <s v="Reparación Portón"/>
    <m/>
    <s v="01269"/>
    <s v="12 de Julio de 2018"/>
    <n v="12"/>
    <d v="2018-07-01T00:00:00"/>
    <s v="13,00"/>
    <s v="Trece Bolívares con 00/100"/>
  </r>
  <r>
    <n v="1270"/>
    <m/>
    <s v="ü"/>
    <d v="2018-07-12T00:00:00"/>
    <n v="12.2"/>
    <x v="69"/>
    <x v="61"/>
    <s v="Calle Güigüe Nro. 89-40"/>
    <s v="Colaboración reparación portón principal"/>
    <s v="Reparación Portón"/>
    <m/>
    <s v="01270"/>
    <s v="12 de Julio de 2018"/>
    <n v="12"/>
    <d v="2018-07-01T00:00:00"/>
    <s v="12,20"/>
    <s v="Doce Bolívares con 20/100"/>
  </r>
  <r>
    <n v="1271"/>
    <m/>
    <s v="ü"/>
    <d v="2018-07-12T00:00:00"/>
    <n v="12.2"/>
    <x v="86"/>
    <x v="73"/>
    <s v="Calle Guacara Nro. 89-50"/>
    <s v="Colaboración reparación portón principal"/>
    <s v="Reparación Portón"/>
    <m/>
    <s v="01271"/>
    <s v="12 de Julio de 2018"/>
    <n v="12"/>
    <d v="2018-07-01T00:00:00"/>
    <s v="12,20"/>
    <s v="Doce Bolívares con 20/100"/>
  </r>
  <r>
    <n v="1272"/>
    <m/>
    <s v="ü"/>
    <d v="2018-07-12T00:00:00"/>
    <n v="12.2"/>
    <x v="87"/>
    <x v="75"/>
    <s v="Calle Güigüe Nro. 88-06"/>
    <s v="Colaboración reparación portón principal (saldo a favor Bs. 3.255.000)"/>
    <s v="Reparación Portón"/>
    <m/>
    <s v="01272"/>
    <s v="12 de Julio de 2018"/>
    <n v="12"/>
    <d v="2018-07-01T00:00:00"/>
    <s v="12,20"/>
    <s v="Doce Bolívares con 20/100"/>
  </r>
  <r>
    <n v="1273"/>
    <m/>
    <s v="ü"/>
    <d v="2018-06-12T00:00:00"/>
    <n v="12.25"/>
    <x v="28"/>
    <x v="77"/>
    <s v="Calle Güigüe Nro. 88-30"/>
    <s v="Cancelación Vigilancia, ajuste mes de Junio y cancelación mes de Julio 2018"/>
    <s v="Vigilancia"/>
    <m/>
    <s v="01273"/>
    <s v="12 de Junio de 2018"/>
    <n v="12"/>
    <d v="2018-06-01T00:00:00"/>
    <s v="12,25"/>
    <s v="Doce Bolívares con 25/100"/>
  </r>
  <r>
    <n v="1274"/>
    <m/>
    <s v="ü"/>
    <d v="2018-07-13T00:00:00"/>
    <n v="10"/>
    <x v="35"/>
    <x v="32"/>
    <s v="Calle Güigüe Nro. 89-80"/>
    <s v="Cancelación Vigilancia, mes de Julio 2018"/>
    <s v="Vigilancia"/>
    <m/>
    <s v="01274"/>
    <s v="13 de Julio de 2018"/>
    <n v="13"/>
    <d v="2018-07-01T00:00:00"/>
    <s v="10,00"/>
    <s v="Diez Bolívares con 00/100"/>
  </r>
  <r>
    <n v="1275"/>
    <m/>
    <s v="ü"/>
    <d v="2018-07-13T00:00:00"/>
    <n v="12.2"/>
    <x v="35"/>
    <x v="32"/>
    <s v="Calle Güigüe Nro. 89-80"/>
    <s v="Colaboración reparación portón principal"/>
    <s v="Reparación Portón"/>
    <m/>
    <s v="01275"/>
    <s v="13 de Julio de 2018"/>
    <n v="13"/>
    <d v="2018-07-01T00:00:00"/>
    <s v="12,20"/>
    <s v="Doce Bolívares con 20/100"/>
  </r>
  <r>
    <n v="1276"/>
    <m/>
    <s v="ü"/>
    <d v="2018-07-14T00:00:00"/>
    <n v="10"/>
    <x v="69"/>
    <x v="61"/>
    <s v="Calle Güigüe Nro. 89-40"/>
    <s v="Cancelación Vigilancia, mes de Julio 2018"/>
    <s v="Vigilancia"/>
    <m/>
    <s v="01276"/>
    <s v="14 de Julio de 2018"/>
    <n v="14"/>
    <d v="2018-07-01T00:00:00"/>
    <s v="10,00"/>
    <s v="Diez Bolívares con 00/100"/>
  </r>
  <r>
    <n v="1277"/>
    <m/>
    <s v="ü"/>
    <d v="2018-07-14T00:00:00"/>
    <n v="1.5"/>
    <x v="60"/>
    <x v="54"/>
    <s v="Calle Guacara Nro. 88-51"/>
    <s v="Cancelación Vigilancia, saldo mes de Julio 2018"/>
    <s v="Vigilancia"/>
    <m/>
    <s v="01277"/>
    <s v="14 de Julio de 2018"/>
    <n v="14"/>
    <d v="2018-07-01T00:00:00"/>
    <s v="1,50"/>
    <s v="Un Bolívares con 50/100"/>
  </r>
  <r>
    <n v="1278"/>
    <m/>
    <s v="ü"/>
    <d v="2018-07-14T00:00:00"/>
    <n v="8.5"/>
    <x v="60"/>
    <x v="54"/>
    <s v="Calle Guacara Nro. 88-51"/>
    <s v="Colaboración reparación portón principal"/>
    <s v="Reparación Portón"/>
    <m/>
    <s v="01278"/>
    <s v="14 de Julio de 2018"/>
    <n v="14"/>
    <d v="2018-07-01T00:00:00"/>
    <s v="8,50"/>
    <s v="Ocho Bolívares con 50/100"/>
  </r>
  <r>
    <n v="1279"/>
    <m/>
    <s v="ü"/>
    <d v="2018-07-14T00:00:00"/>
    <n v="12.2"/>
    <x v="77"/>
    <x v="85"/>
    <s v="Calle Guacara Nro. 88-65"/>
    <s v="Colaboración reparación portón principal"/>
    <s v="Reparación Portón"/>
    <m/>
    <s v="01279"/>
    <s v="14 de Julio de 2018"/>
    <n v="14"/>
    <d v="2018-07-01T00:00:00"/>
    <s v="12,20"/>
    <s v="Doce Bolívares con 20/100"/>
  </r>
  <r>
    <n v="1280"/>
    <m/>
    <s v="ü"/>
    <d v="2018-07-16T00:00:00"/>
    <n v="8.25"/>
    <x v="63"/>
    <x v="56"/>
    <s v="Calle Guacara Nro. 88-85"/>
    <s v="Cancelación Vigilancia, ajuste mes de Junio y diferencia mes de Julio 2018"/>
    <s v="Vigilancia"/>
    <m/>
    <s v="01280"/>
    <s v="16 de Julio de 2018"/>
    <n v="16"/>
    <d v="2018-07-01T00:00:00"/>
    <s v="8,25"/>
    <s v="Ocho Bolívares con 25/100"/>
  </r>
  <r>
    <n v="1281"/>
    <m/>
    <s v="ü"/>
    <d v="2018-07-16T00:00:00"/>
    <n v="12.2"/>
    <x v="63"/>
    <x v="56"/>
    <s v="Calle Guacara Nro. 88-85"/>
    <s v="Colaboración reparación portón principal"/>
    <s v="Reparación Portón"/>
    <m/>
    <s v="01281"/>
    <s v="16 de Julio de 2018"/>
    <n v="16"/>
    <d v="2018-07-01T00:00:00"/>
    <s v="12,20"/>
    <s v="Doce Bolívares con 20/100"/>
  </r>
  <r>
    <n v="1282"/>
    <m/>
    <s v="ü"/>
    <d v="2018-07-16T00:00:00"/>
    <n v="22.25"/>
    <x v="34"/>
    <x v="9"/>
    <s v="Av. &quot;O&quot; Nro. 146-11"/>
    <s v="Cancelación Vigilancia, ajuste mes de Junio y cancelación meses de Julio y Agosto 2018"/>
    <s v="Vigilancia"/>
    <m/>
    <s v="01282"/>
    <s v="16 de Julio de 2018"/>
    <n v="16"/>
    <d v="2018-07-01T00:00:00"/>
    <s v="22,25"/>
    <s v="Veintidos Bolívares con 25/100"/>
  </r>
  <r>
    <n v="1283"/>
    <m/>
    <s v="ü"/>
    <d v="2018-07-17T00:00:00"/>
    <n v="8"/>
    <x v="83"/>
    <x v="70"/>
    <s v="Calle Güigüe Nro. 89-22"/>
    <s v="Cancelación Vigilancia, mes de Junio y anticipo mes de Julio 2018"/>
    <s v="Vigilancia"/>
    <m/>
    <s v="01283"/>
    <s v="17 de Julio de 2018"/>
    <n v="17"/>
    <d v="2018-07-01T00:00:00"/>
    <s v="8,00"/>
    <s v="Ocho Bolívares con 00/100"/>
  </r>
  <r>
    <n v="1284"/>
    <m/>
    <s v="ü"/>
    <d v="2018-07-17T00:00:00"/>
    <n v="10"/>
    <x v="25"/>
    <x v="23"/>
    <s v="Calle Güigüe Nro. 88-58"/>
    <s v="Cancelación Vigilancia, mes de Julio 2018"/>
    <s v="Vigilancia"/>
    <m/>
    <s v="01284"/>
    <s v="17 de Julio de 2018"/>
    <n v="17"/>
    <d v="2018-07-01T00:00:00"/>
    <s v="10,00"/>
    <s v="Diez Bolívares con 00/100"/>
  </r>
  <r>
    <n v="1285"/>
    <m/>
    <s v="ü"/>
    <d v="2018-07-18T00:00:00"/>
    <n v="10"/>
    <x v="19"/>
    <x v="17"/>
    <s v="Calle Guacara Nro. 89-130"/>
    <s v="Cancelación Vigilancia, mes de Julio 2018"/>
    <s v="Vigilancia"/>
    <m/>
    <s v="01285"/>
    <s v="18 de Julio de 2018"/>
    <n v="18"/>
    <d v="2018-07-01T00:00:00"/>
    <s v="10,00"/>
    <s v="Diez Bolívares con 00/100"/>
  </r>
  <r>
    <n v="1286"/>
    <m/>
    <s v="ü"/>
    <d v="2018-07-18T00:00:00"/>
    <n v="12.2"/>
    <x v="19"/>
    <x v="17"/>
    <s v="Calle Guacara Nro. 89-130"/>
    <s v="Colaboración reparación portón principal"/>
    <s v="Reparación Portón"/>
    <m/>
    <s v="01286"/>
    <s v="18 de Julio de 2018"/>
    <n v="18"/>
    <d v="2018-07-01T00:00:00"/>
    <s v="12,20"/>
    <s v="Doce Bolívares con 20/100"/>
  </r>
  <r>
    <n v="1287"/>
    <m/>
    <s v="ü"/>
    <d v="2018-07-18T00:00:00"/>
    <n v="12"/>
    <x v="3"/>
    <x v="3"/>
    <s v="Calle Güigüe Nro. 88-62"/>
    <s v="Colaboración Vigilancia, meses de Junio y Julio 2018"/>
    <s v="Vigilancia"/>
    <m/>
    <s v="01287"/>
    <s v="18 de Julio de 2018"/>
    <n v="18"/>
    <d v="2018-07-01T00:00:00"/>
    <s v="12,00"/>
    <s v="Doce Bolívares con 00/100"/>
  </r>
  <r>
    <n v="1288"/>
    <m/>
    <s v="ü"/>
    <d v="2018-07-20T00:00:00"/>
    <n v="12.2"/>
    <x v="12"/>
    <x v="12"/>
    <s v="Calle Guacara Nro. 89-20"/>
    <s v="Colaboración reparación portón principal"/>
    <s v="Reparación Portón"/>
    <m/>
    <s v="01288"/>
    <s v="20 de Julio de 2018"/>
    <n v="20"/>
    <d v="2018-07-01T00:00:00"/>
    <s v="12,20"/>
    <s v="Doce Bolívares con 20/100"/>
  </r>
  <r>
    <n v="1289"/>
    <m/>
    <s v="ü"/>
    <d v="2018-07-20T00:00:00"/>
    <n v="5.5"/>
    <x v="40"/>
    <x v="37"/>
    <s v="Calle Güigüe Nro. 88-101"/>
    <s v="Cancelación Vigilancia, saldo mes de Julio 2018"/>
    <s v="Vigilancia"/>
    <m/>
    <s v="01289"/>
    <s v="20 de Julio de 2018"/>
    <n v="20"/>
    <d v="2018-07-01T00:00:00"/>
    <s v="5,50"/>
    <s v="Cinco Bolívares con 50/100"/>
  </r>
  <r>
    <n v="1290"/>
    <m/>
    <s v="ü"/>
    <d v="2018-07-21T00:00:00"/>
    <n v="1"/>
    <x v="82"/>
    <x v="9"/>
    <s v="Calle Guacara Nro. 90-61"/>
    <s v="Colaboración Vigilancia, mes de Junio 2018"/>
    <s v="Vigilancia"/>
    <m/>
    <s v="01290"/>
    <s v="21 de Julio de 2018"/>
    <n v="21"/>
    <d v="2018-07-01T00:00:00"/>
    <s v="1,00"/>
    <s v="Un Bolívar con 00/100"/>
  </r>
  <r>
    <n v="1291"/>
    <m/>
    <s v="ü"/>
    <d v="2018-07-20T00:00:00"/>
    <n v="10"/>
    <x v="56"/>
    <x v="52"/>
    <s v="Calle Güigüe Nro. 88-70"/>
    <s v="Cancelación Vigilancia, mes de Julio 2018"/>
    <s v="Vigilancia"/>
    <m/>
    <s v="01291"/>
    <s v="20 de Julio de 2018"/>
    <n v="20"/>
    <d v="2018-07-01T00:00:00"/>
    <s v="10,00"/>
    <s v="Diez Bolívares con 00/100"/>
  </r>
  <r>
    <n v="1292"/>
    <m/>
    <s v="ü"/>
    <d v="2018-07-20T00:00:00"/>
    <n v="13"/>
    <x v="56"/>
    <x v="52"/>
    <s v="Calle Güigüe Nro. 88-70"/>
    <s v="Colaboración reparación portón principal"/>
    <s v="Reparación Portón"/>
    <m/>
    <s v="01292"/>
    <s v="20 de Julio de 2018"/>
    <n v="20"/>
    <d v="2018-07-01T00:00:00"/>
    <s v="13,00"/>
    <s v="Trece Bolívares con 00/100"/>
  </r>
  <r>
    <n v="1293"/>
    <m/>
    <s v="ü"/>
    <d v="2018-07-20T00:00:00"/>
    <n v="30"/>
    <x v="56"/>
    <x v="52"/>
    <s v="Calle Güigüe Nro. 88-70"/>
    <s v="Donativo para los vigilantes"/>
    <s v="Otros"/>
    <m/>
    <s v="01293"/>
    <s v="20 de Julio de 2018"/>
    <n v="20"/>
    <d v="2018-07-01T00:00:00"/>
    <s v="30,00"/>
    <s v="Treinta Bolívares con 00/100"/>
  </r>
  <r>
    <n v="1294"/>
    <m/>
    <s v="ü"/>
    <d v="2018-07-23T00:00:00"/>
    <n v="12.2"/>
    <x v="38"/>
    <x v="35"/>
    <s v="Calle Guacara Nro. 89-78"/>
    <s v="Colaboración reparación portón principal"/>
    <s v="Reparación Portón"/>
    <m/>
    <s v="01294"/>
    <s v="23 de Julio de 2018"/>
    <n v="23"/>
    <d v="2018-07-01T00:00:00"/>
    <s v="12,20"/>
    <s v="Doce Bolívares con 20/100"/>
  </r>
  <r>
    <n v="1295"/>
    <m/>
    <s v="ü"/>
    <d v="2018-07-20T00:00:00"/>
    <n v="12.2"/>
    <x v="45"/>
    <x v="42"/>
    <s v="Calle Güigüe Nro. 87-A-11"/>
    <s v="Colaboración reparación portón principal"/>
    <s v="Reparación Portón"/>
    <m/>
    <s v="01295"/>
    <s v="20 de Julio de 2018"/>
    <n v="20"/>
    <d v="2018-07-01T00:00:00"/>
    <s v="12,20"/>
    <s v="Doce Bolívares con 20/100"/>
  </r>
  <r>
    <n v="1296"/>
    <m/>
    <s v="ü"/>
    <d v="2018-07-23T00:00:00"/>
    <n v="10"/>
    <x v="24"/>
    <x v="22"/>
    <s v="Calle Güigüe Nro. 88-54"/>
    <s v="Cancelación Vigilancia, ajuste mes de Junio 2018, más adicional de Bs. 25.000"/>
    <s v="Vigilancia"/>
    <m/>
    <s v="01296"/>
    <s v="23 de Julio de 2018"/>
    <n v="23"/>
    <d v="2018-07-01T00:00:00"/>
    <s v="10,00"/>
    <s v="Diez Bolívares con 00/100"/>
  </r>
  <r>
    <n v="1297"/>
    <m/>
    <s v="ü"/>
    <d v="2018-07-23T00:00:00"/>
    <n v="12"/>
    <x v="24"/>
    <x v="22"/>
    <s v="Calle Güigüe Nro. 88-54"/>
    <s v="Colaboración reparación portón principal"/>
    <s v="Reparación Portón"/>
    <m/>
    <s v="01297"/>
    <s v="23 de Julio de 2018"/>
    <n v="23"/>
    <d v="2018-07-01T00:00:00"/>
    <s v="12,00"/>
    <s v="Doce Bolívares con 00/100"/>
  </r>
  <r>
    <n v="1298"/>
    <m/>
    <s v="ü"/>
    <d v="2018-07-23T00:00:00"/>
    <n v="1.5"/>
    <x v="18"/>
    <x v="16"/>
    <s v="Calle Guacara Nro. 87-100"/>
    <s v="Cancelación Vigilancia, ajuste mes de Julio 2018"/>
    <s v="Vigilancia"/>
    <m/>
    <s v="01298"/>
    <s v="23 de Julio de 2018"/>
    <n v="23"/>
    <d v="2018-07-01T00:00:00"/>
    <s v="1,50"/>
    <s v="Un Bolívares con 50/100"/>
  </r>
  <r>
    <n v="1299"/>
    <m/>
    <s v="ü"/>
    <d v="2018-07-23T00:00:00"/>
    <n v="2.95"/>
    <x v="18"/>
    <x v="16"/>
    <s v="Calle Guacara Nro. 87-100"/>
    <s v="Colaboración reparación portón principal"/>
    <s v="Reparación Portón"/>
    <m/>
    <s v="01299"/>
    <s v="23 de Julio de 2018"/>
    <n v="23"/>
    <d v="2018-07-01T00:00:00"/>
    <s v="2,95"/>
    <s v="Dos Bolívares con 95/100"/>
  </r>
  <r>
    <n v="1300"/>
    <m/>
    <s v="ü"/>
    <d v="2018-07-23T00:00:00"/>
    <n v="2.25"/>
    <x v="47"/>
    <x v="44"/>
    <s v="Calle Güigüe Nro. 88-80"/>
    <s v="Cancelación Vigilancia, ajuste mes de Junio 2018 (saldo a favor Bs. 2.775.000)"/>
    <s v="Vigilancia"/>
    <m/>
    <s v="01300"/>
    <s v="23 de Julio de 2018"/>
    <n v="23"/>
    <d v="2018-07-01T00:00:00"/>
    <s v="2,25"/>
    <s v="Dos Bolívares con 25/100"/>
  </r>
  <r>
    <n v="1301"/>
    <m/>
    <s v="ü"/>
    <d v="2018-07-23T00:00:00"/>
    <n v="6"/>
    <x v="47"/>
    <x v="44"/>
    <s v="Calle Güigüe Nro. 88-80"/>
    <s v="Cancelación Vigilancia, saldo mes de Julio 2018 (saldo a favor Bs. 2.175.000)"/>
    <s v="Vigilancia"/>
    <m/>
    <s v="01301"/>
    <s v="23 de Julio de 2018"/>
    <n v="23"/>
    <d v="2018-07-01T00:00:00"/>
    <s v="6,00"/>
    <s v="Seis Bolívares con 00/100"/>
  </r>
  <r>
    <n v="1302"/>
    <m/>
    <s v="ü"/>
    <d v="2018-07-23T00:00:00"/>
    <n v="12.2"/>
    <x v="47"/>
    <x v="44"/>
    <s v="Calle Güigüe Nro. 88-80"/>
    <s v="Colaboración reparación portón principal (saldo a favor Bs. 995.000)"/>
    <s v="Reparación Portón"/>
    <m/>
    <s v="01302"/>
    <s v="23 de Julio de 2018"/>
    <n v="23"/>
    <d v="2018-07-01T00:00:00"/>
    <s v="12,20"/>
    <s v="Doce Bolívares con 20/100"/>
  </r>
  <r>
    <n v="1303"/>
    <m/>
    <s v="ü"/>
    <d v="2018-07-23T00:00:00"/>
    <n v="20"/>
    <x v="27"/>
    <x v="25"/>
    <s v="Calle Güigüe Nro. 89-106"/>
    <s v="Cancelación Vigilancia, meses de Julio y Agosto 2018"/>
    <s v="Vigilancia"/>
    <m/>
    <s v="01303"/>
    <s v="23 de Julio de 2018"/>
    <n v="23"/>
    <d v="2018-07-01T00:00:00"/>
    <s v="20,00"/>
    <s v="Veinte Bolívares con 00/100"/>
  </r>
  <r>
    <n v="1304"/>
    <m/>
    <s v="ü"/>
    <d v="2018-07-26T00:00:00"/>
    <n v="1.5"/>
    <x v="53"/>
    <x v="80"/>
    <s v="Calle Guacara Nro. 88-91"/>
    <s v="Cancelación Vigilancia, mes de Junio y anticipo Julio 2018"/>
    <s v="Vigilancia"/>
    <m/>
    <s v="01304"/>
    <s v="26 de Julio de 2018"/>
    <n v="26"/>
    <d v="2018-07-01T00:00:00"/>
    <s v="1,50"/>
    <s v="Un Bolívares con 50/100"/>
  </r>
  <r>
    <n v="1305"/>
    <m/>
    <s v="ü"/>
    <d v="2018-07-26T00:00:00"/>
    <n v="12"/>
    <x v="53"/>
    <x v="80"/>
    <s v="Calle Guacara Nro. 88-91"/>
    <s v="Colaboración reparación portón principal"/>
    <s v="Reparación Portón"/>
    <m/>
    <s v="01305"/>
    <s v="26 de Julio de 2018"/>
    <n v="26"/>
    <d v="2018-07-01T00:00:00"/>
    <s v="12,00"/>
    <s v="Doce Bolívares con 00/100"/>
  </r>
  <r>
    <n v="1306"/>
    <m/>
    <s v="ü"/>
    <d v="2018-07-26T00:00:00"/>
    <n v="6.25"/>
    <x v="36"/>
    <x v="33"/>
    <s v="Calle Güigüe Nro. 89-10"/>
    <s v="Cancelación Vigilancia, saldo mes de Julio 2018"/>
    <s v="Vigilancia"/>
    <m/>
    <s v="01306"/>
    <s v="26 de Julio de 2018"/>
    <n v="26"/>
    <d v="2018-07-01T00:00:00"/>
    <s v="6,25"/>
    <s v="Seis Bolívares con 25/100"/>
  </r>
  <r>
    <n v="1307"/>
    <m/>
    <s v="ü"/>
    <d v="2018-07-26T00:00:00"/>
    <n v="12.2"/>
    <x v="36"/>
    <x v="33"/>
    <s v="Calle Güigüe Nro. 89-10"/>
    <s v="Colaboración reparación portón principal"/>
    <s v="Reparación Portón"/>
    <m/>
    <s v="01307"/>
    <s v="26 de Julio de 2018"/>
    <n v="26"/>
    <d v="2018-07-01T00:00:00"/>
    <s v="12,20"/>
    <s v="Doce Bolívares con 20/100"/>
  </r>
  <r>
    <n v="1308"/>
    <m/>
    <s v="ü"/>
    <d v="2018-07-26T00:00:00"/>
    <n v="19.850000000000001"/>
    <x v="55"/>
    <x v="51"/>
    <s v="Calle Güigüe Nro. 89-16"/>
    <s v="Cancelación Vigilancia, meses de Febrero, Marzo, Abril, Mayo, Junio y Julio 2018"/>
    <s v="Vigilancia"/>
    <m/>
    <s v="01308"/>
    <s v="26 de Julio de 2018"/>
    <n v="26"/>
    <d v="2018-07-01T00:00:00"/>
    <s v="19,85"/>
    <s v="Diecinueve Bolívares con 85/100"/>
  </r>
  <r>
    <n v="1309"/>
    <m/>
    <s v="ü"/>
    <d v="2018-07-26T00:00:00"/>
    <n v="12.2"/>
    <x v="55"/>
    <x v="51"/>
    <s v="Calle Güigüe Nro. 89-16"/>
    <s v="Colaboración reparación portón principal"/>
    <s v="Reparación Portón"/>
    <m/>
    <s v="01309"/>
    <s v="26 de Julio de 2018"/>
    <n v="26"/>
    <d v="2018-07-01T00:00:00"/>
    <s v="12,20"/>
    <s v="Doce Bolívares con 20/100"/>
  </r>
  <r>
    <n v="1310"/>
    <m/>
    <s v="ü"/>
    <d v="2018-07-27T00:00:00"/>
    <n v="1.5"/>
    <x v="11"/>
    <x v="11"/>
    <s v="Calle Guacara Nro. 89-86"/>
    <s v="Cancelación Vigilancia, ajuste mes de Julio 2018"/>
    <s v="Vigilancia"/>
    <m/>
    <s v="01310"/>
    <s v="27 de Julio de 2018"/>
    <n v="27"/>
    <d v="2018-07-01T00:00:00"/>
    <s v="1,50"/>
    <s v="Un Bolívares con 50/100"/>
  </r>
  <r>
    <n v="1311"/>
    <m/>
    <s v="ü"/>
    <d v="2018-06-28T00:00:00"/>
    <n v="12.2"/>
    <x v="11"/>
    <x v="11"/>
    <s v="Calle Guacara Nro. 89-86"/>
    <s v="Colaboración reparación portón principal"/>
    <s v="Reparación Portón"/>
    <m/>
    <s v="01311"/>
    <s v="28 de Junio de 2018"/>
    <n v="28"/>
    <d v="2018-06-01T00:00:00"/>
    <s v="12,20"/>
    <s v="Doce Bolívares con 20/100"/>
  </r>
  <r>
    <n v="1312"/>
    <m/>
    <s v="ü"/>
    <d v="2018-07-27T00:00:00"/>
    <n v="12.5"/>
    <x v="8"/>
    <x v="78"/>
    <s v="Calle Guacara Nro. 90-51"/>
    <s v="Colaboración reparación portón principal"/>
    <s v="Reparación Portón"/>
    <m/>
    <s v="01312"/>
    <s v="27 de Julio de 2018"/>
    <n v="27"/>
    <d v="2018-07-01T00:00:00"/>
    <s v="12,50"/>
    <s v="Doce Bolívares con 50/100"/>
  </r>
  <r>
    <n v="1313"/>
    <m/>
    <s v="ü"/>
    <d v="2018-07-27T00:00:00"/>
    <n v="10"/>
    <x v="26"/>
    <x v="24"/>
    <s v="Calle Güigüe Nro. 89-96"/>
    <s v="Cancelación Vigilancia, mes de Julio 2018"/>
    <s v="Vigilancia"/>
    <m/>
    <s v="01313"/>
    <s v="27 de Julio de 2018"/>
    <n v="27"/>
    <d v="2018-07-01T00:00:00"/>
    <s v="10,00"/>
    <s v="Diez Bolívares con 00/100"/>
  </r>
  <r>
    <n v="1314"/>
    <m/>
    <s v="ü"/>
    <d v="2018-07-28T00:00:00"/>
    <n v="12.25"/>
    <x v="93"/>
    <x v="87"/>
    <s v="Calle Güigüe Nro. 89-89"/>
    <s v="Cancelación Vigilancia, ajuste mes de Junio y cancelación mes de Julio 2018"/>
    <s v="Vigilancia"/>
    <m/>
    <s v="01314"/>
    <s v="28 de Julio de 2018"/>
    <n v="28"/>
    <d v="2018-07-01T00:00:00"/>
    <s v="12,25"/>
    <s v="Doce Bolívares con 25/100"/>
  </r>
  <r>
    <n v="1315"/>
    <m/>
    <s v="ü"/>
    <d v="2018-07-28T00:00:00"/>
    <n v="12.2"/>
    <x v="93"/>
    <x v="87"/>
    <s v="Calle Güigüe Nro. 89-89"/>
    <s v="Colaboración reparación portón principal"/>
    <s v="Reparación Portón"/>
    <m/>
    <s v="01315"/>
    <s v="28 de Julio de 2018"/>
    <n v="28"/>
    <d v="2018-07-01T00:00:00"/>
    <s v="12,20"/>
    <s v="Doce Bolívares con 20/100"/>
  </r>
  <r>
    <n v="1316"/>
    <m/>
    <s v="ü"/>
    <d v="2018-07-29T00:00:00"/>
    <n v="10"/>
    <x v="5"/>
    <x v="9"/>
    <s v="Calle Güigüe Nro. 88-120"/>
    <s v="Cancelación Vigilancia, mes de Agosto 2018"/>
    <s v="Vigilancia"/>
    <m/>
    <s v="01316"/>
    <s v="29 de Julio de 2018"/>
    <n v="29"/>
    <d v="2018-07-01T00:00:00"/>
    <s v="10,00"/>
    <s v="Diez Bolívares con 00/100"/>
  </r>
  <r>
    <n v="1317"/>
    <m/>
    <s v="ü"/>
    <d v="2018-07-29T00:00:00"/>
    <n v="12.2"/>
    <x v="5"/>
    <x v="9"/>
    <s v="Calle Güigüe Nro. 88-120"/>
    <s v="Colaboración reparación portón principal"/>
    <s v="Reparación Portón"/>
    <m/>
    <s v="01317"/>
    <s v="29 de Julio de 2018"/>
    <n v="29"/>
    <d v="2018-07-01T00:00:00"/>
    <s v="12,20"/>
    <s v="Doce Bolívares con 20/100"/>
  </r>
  <r>
    <n v="1318"/>
    <m/>
    <s v="ü"/>
    <d v="2018-07-29T00:00:00"/>
    <n v="5"/>
    <x v="71"/>
    <x v="62"/>
    <s v="Calle Güigüe Nro. 89-71"/>
    <s v="Colaboración Vigilancia, mes de Junio 2017"/>
    <s v="Vigilancia"/>
    <m/>
    <s v="01318"/>
    <s v="29 de Julio de 2018"/>
    <n v="29"/>
    <d v="2018-07-01T00:00:00"/>
    <s v="5,00"/>
    <s v="Cinco Bolívares con 00/100"/>
  </r>
  <r>
    <n v="1319"/>
    <m/>
    <s v="ü"/>
    <d v="2018-07-29T00:00:00"/>
    <n v="5"/>
    <x v="71"/>
    <x v="62"/>
    <s v="Calle Güigüe Nro. 89-71"/>
    <s v="Colaboración reparación portón principal"/>
    <s v="Reparación Portón"/>
    <m/>
    <s v="01319"/>
    <s v="29 de Julio de 2018"/>
    <n v="29"/>
    <d v="2018-07-01T00:00:00"/>
    <s v="5,00"/>
    <s v="Cinco Bolívares con 00/100"/>
  </r>
  <r>
    <n v="1320"/>
    <m/>
    <s v="ü"/>
    <d v="2018-07-31T00:00:00"/>
    <n v="10"/>
    <x v="58"/>
    <x v="53"/>
    <s v="Calle Güigüe Nro. 88-51"/>
    <s v="Cancelación Vigilancia, mes de Julio 2018"/>
    <s v="Vigilancia"/>
    <m/>
    <s v="01320"/>
    <s v="31 de Julio de 2018"/>
    <n v="31"/>
    <d v="2018-07-01T00:00:00"/>
    <s v="10,00"/>
    <s v="Diez Bolívares con 00/100"/>
  </r>
  <r>
    <n v="1321"/>
    <m/>
    <s v="ü"/>
    <d v="2018-07-31T00:00:00"/>
    <n v="2"/>
    <x v="82"/>
    <x v="9"/>
    <s v="Calle Guacara Nro. 90-61"/>
    <s v="Colaboración Vigilancia, mes de Julio 2018"/>
    <s v="Vigilancia"/>
    <m/>
    <s v="01321"/>
    <s v="31 de Julio de 2018"/>
    <n v="31"/>
    <d v="2018-07-01T00:00:00"/>
    <s v="2,00"/>
    <s v="Dos Bolívares con 00/100"/>
  </r>
  <r>
    <n v="1322"/>
    <m/>
    <s v="ü"/>
    <d v="2018-07-31T00:00:00"/>
    <n v="12"/>
    <x v="45"/>
    <x v="42"/>
    <s v="Calle Güigüe Nro. 87-A-11"/>
    <s v="Cancelación Vigilancia, saldo mes de Agosto 2018"/>
    <s v="Vigilancia"/>
    <m/>
    <s v="01322"/>
    <s v="31 de Julio de 2018"/>
    <n v="31"/>
    <d v="2018-07-01T00:00:00"/>
    <s v="12,00"/>
    <s v="Doce Bolívares con 00/100"/>
  </r>
  <r>
    <n v="1323"/>
    <m/>
    <s v="ü"/>
    <d v="2018-07-31T00:00:00"/>
    <n v="12.2"/>
    <x v="20"/>
    <x v="18"/>
    <s v="Calle Guacara Nro. 89-30"/>
    <s v="Cancelación Vigilancia, mes de Agosto 2018"/>
    <s v="Vigilancia"/>
    <m/>
    <s v="01323"/>
    <s v="31 de Julio de 2018"/>
    <n v="31"/>
    <d v="2018-07-01T00:00:00"/>
    <s v="12,20"/>
    <s v="Doce Bolívares con 20/100"/>
  </r>
  <r>
    <n v="1324"/>
    <m/>
    <s v="ü"/>
    <d v="2018-08-01T00:00:00"/>
    <n v="13.5"/>
    <x v="89"/>
    <x v="81"/>
    <s v="Calle Guacara Nro. 88-75"/>
    <s v="Cancelación Vigilancia, ajuste mes de Julio y cancelación mes de Agosto 2018"/>
    <s v="Vigilancia"/>
    <m/>
    <s v="01324"/>
    <s v="01 de Agosto de 2018"/>
    <n v="1"/>
    <d v="2018-08-01T00:00:00"/>
    <s v="13,50"/>
    <s v="Trece Bolívares con 50/100"/>
  </r>
  <r>
    <n v="1325"/>
    <m/>
    <s v="ü"/>
    <d v="2018-08-01T00:00:00"/>
    <n v="12.2"/>
    <x v="89"/>
    <x v="81"/>
    <s v="Calle Guacara Nro. 88-75"/>
    <s v="Colaboración reparación portón principal"/>
    <s v="Reparación Portón"/>
    <m/>
    <s v="01325"/>
    <s v="01 de Agosto de 2018"/>
    <n v="1"/>
    <d v="2018-08-01T00:00:00"/>
    <s v="12,20"/>
    <s v="Doce Bolívares con 20/100"/>
  </r>
  <r>
    <n v="1326"/>
    <m/>
    <s v="ü"/>
    <d v="2018-08-01T00:00:00"/>
    <n v="12"/>
    <x v="90"/>
    <x v="82"/>
    <s v="Calle Güigüe Nro. 89-04"/>
    <s v="Cancelación Vigilancia, mes de Agosto 2018"/>
    <s v="Vigilancia"/>
    <m/>
    <s v="01326"/>
    <s v="01 de Agosto de 2018"/>
    <n v="1"/>
    <d v="2018-08-01T00:00:00"/>
    <s v="12,00"/>
    <s v="Doce Bolívares con 00/100"/>
  </r>
  <r>
    <n v="1327"/>
    <m/>
    <s v="ü"/>
    <d v="2018-08-01T00:00:00"/>
    <n v="12.2"/>
    <x v="90"/>
    <x v="82"/>
    <s v="Calle Güigüe Nro. 89-04"/>
    <s v="Colaboración reparación portón principal"/>
    <s v="Reparación Portón"/>
    <m/>
    <s v="01327"/>
    <s v="01 de Agosto de 2018"/>
    <n v="1"/>
    <d v="2018-08-01T00:00:00"/>
    <s v="12,20"/>
    <s v="Doce Bolívares con 20/100"/>
  </r>
  <r>
    <n v="1328"/>
    <m/>
    <s v="ü"/>
    <d v="2018-08-01T00:00:00"/>
    <n v="22"/>
    <x v="61"/>
    <x v="14"/>
    <s v="Calle Guacara Nro. 87-07"/>
    <s v="Cancelación Vigilancia, meses de Julio y Agosto 2018"/>
    <s v="Vigilancia"/>
    <m/>
    <s v="01328"/>
    <s v="01 de Agosto de 2018"/>
    <n v="1"/>
    <d v="2018-08-01T00:00:00"/>
    <s v="22,00"/>
    <s v="Veintidos Bolívares con 00/100"/>
  </r>
  <r>
    <n v="1329"/>
    <m/>
    <s v="ü"/>
    <d v="2018-08-01T00:00:00"/>
    <n v="12.2"/>
    <x v="61"/>
    <x v="14"/>
    <s v="Calle Guacara Nro. 87-07"/>
    <s v="Colaboración reparación portón principal"/>
    <s v="Reparación Portón"/>
    <m/>
    <s v="01329"/>
    <s v="01 de Agosto de 2018"/>
    <n v="1"/>
    <d v="2018-08-01T00:00:00"/>
    <s v="12,20"/>
    <s v="Doce Bolívares con 20/100"/>
  </r>
  <r>
    <n v="1330"/>
    <m/>
    <s v="ü"/>
    <d v="2018-08-01T00:00:00"/>
    <n v="12"/>
    <x v="15"/>
    <x v="14"/>
    <s v="Calle Guacara Nro. 89-94"/>
    <s v="Cancelación Vigilancia, mes de Agosto 2018"/>
    <s v="Vigilancia"/>
    <m/>
    <s v="01330"/>
    <s v="01 de Agosto de 2018"/>
    <n v="1"/>
    <d v="2018-08-01T00:00:00"/>
    <s v="12,00"/>
    <s v="Doce Bolívares con 00/100"/>
  </r>
  <r>
    <n v="1331"/>
    <m/>
    <s v="ü"/>
    <d v="2018-08-01T00:00:00"/>
    <n v="12.2"/>
    <x v="15"/>
    <x v="14"/>
    <s v="Calle Guacara Nro. 89-94"/>
    <s v="Colaboración reparación portón principal"/>
    <s v="Reparación Portón"/>
    <m/>
    <s v="01331"/>
    <s v="01 de Agosto de 2018"/>
    <n v="1"/>
    <d v="2018-08-01T00:00:00"/>
    <s v="12,20"/>
    <s v="Doce Bolívares con 20/100"/>
  </r>
  <r>
    <n v="1332"/>
    <m/>
    <s v="ü"/>
    <d v="2018-08-01T00:00:00"/>
    <n v="25"/>
    <x v="81"/>
    <x v="69"/>
    <s v="Calle Güigüe Nro. 89-65"/>
    <s v="Cancelación Vigilancia, mes de Agosto y anticipo Septiembre 2018"/>
    <s v="Vigilancia"/>
    <m/>
    <s v="01332"/>
    <s v="01 de Agosto de 2018"/>
    <n v="1"/>
    <d v="2018-08-01T00:00:00"/>
    <s v="25,00"/>
    <s v="Veinticinco Bolívares con 00/100"/>
  </r>
  <r>
    <n v="1333"/>
    <m/>
    <s v="ü"/>
    <d v="2018-08-01T00:00:00"/>
    <n v="12"/>
    <x v="7"/>
    <x v="7"/>
    <s v="Calle Guacara Nro. 87-86"/>
    <s v="Cancelación Vigilancia, mes de Agosto 2018"/>
    <s v="Vigilancia"/>
    <m/>
    <s v="01333"/>
    <s v="01 de Agosto de 2018"/>
    <n v="1"/>
    <d v="2018-08-01T00:00:00"/>
    <s v="12,00"/>
    <s v="Doce Bolívares con 00/100"/>
  </r>
  <r>
    <n v="1334"/>
    <m/>
    <s v="ü"/>
    <d v="2018-08-01T00:00:00"/>
    <n v="12"/>
    <x v="69"/>
    <x v="61"/>
    <s v="Calle Güigüe Nro. 89-40"/>
    <s v="Cancelación Vigilancia, mes de Agosto 2018"/>
    <s v="Vigilancia"/>
    <m/>
    <s v="01334"/>
    <s v="01 de Agosto de 2018"/>
    <n v="1"/>
    <d v="2018-08-01T00:00:00"/>
    <s v="12,00"/>
    <s v="Doce Bolívares con 00/100"/>
  </r>
  <r>
    <n v="1335"/>
    <m/>
    <s v="ü"/>
    <d v="2018-08-01T00:00:00"/>
    <n v="12"/>
    <x v="52"/>
    <x v="9"/>
    <s v="Calle Güigüe Nro. 89-45"/>
    <s v="Cancelación Vigilancia, mes de Agosto 2018 (saldo a favor: Bs. 3.598.000)"/>
    <s v="Vigilancia"/>
    <m/>
    <s v="01335"/>
    <s v="01 de Agosto de 2018"/>
    <n v="1"/>
    <d v="2018-08-01T00:00:00"/>
    <s v="12,00"/>
    <s v="Doce Bolívares con 00/100"/>
  </r>
  <r>
    <n v="1336"/>
    <m/>
    <s v="ü"/>
    <d v="2018-08-01T00:00:00"/>
    <n v="17.399999999999999"/>
    <x v="73"/>
    <x v="9"/>
    <s v="Calle Güigüe Nros. 88-71 y 88-81"/>
    <s v="Cancelación Vigilancia, mes de Agosto 2018"/>
    <s v="Vigilancia"/>
    <m/>
    <s v="01336"/>
    <s v="01 de Agosto de 2018"/>
    <n v="1"/>
    <d v="2018-08-01T00:00:00"/>
    <s v="17,40"/>
    <s v="Diecisiete Bolívares con 40/100"/>
  </r>
  <r>
    <n v="1337"/>
    <m/>
    <s v="ü"/>
    <d v="2018-08-01T00:00:00"/>
    <n v="12"/>
    <x v="87"/>
    <x v="75"/>
    <s v="Calle Güigüe Nro. 88-06"/>
    <s v="Cancelación Vigilancia, mes de Agosto 2018 (saldo a favor: Bs. 2.055.000)"/>
    <s v="Vigilancia"/>
    <m/>
    <s v="01337"/>
    <s v="01 de Agosto de 2018"/>
    <n v="1"/>
    <d v="2018-08-01T00:00:00"/>
    <s v="12,00"/>
    <s v="Doce Bolívares con 00/100"/>
  </r>
  <r>
    <n v="1338"/>
    <m/>
    <s v="ü"/>
    <d v="2018-08-01T00:00:00"/>
    <n v="12"/>
    <x v="42"/>
    <x v="39"/>
    <s v="Calle Güigüe Nro. 89-79"/>
    <s v="Cancelación Vigilancia, mes de Agosto 2018 (saldo a favor: Bs. 1.155.000)"/>
    <s v="Vigilancia"/>
    <m/>
    <s v="01338"/>
    <s v="01 de Agosto de 2018"/>
    <n v="1"/>
    <d v="2018-08-01T00:00:00"/>
    <s v="12,00"/>
    <s v="Doce Bolívares con 00/100"/>
  </r>
  <r>
    <n v="1339"/>
    <m/>
    <s v="ü"/>
    <d v="2018-08-01T00:00:00"/>
    <n v="12"/>
    <x v="92"/>
    <x v="86"/>
    <s v="Calle Guacara Nro. 88-A-10"/>
    <s v="Cancelación Vigilancia, mes de Agosto 2018 (saldo a favor: Bs. 580.000)"/>
    <s v="Vigilancia"/>
    <m/>
    <s v="01339"/>
    <s v="01 de Agosto de 2018"/>
    <n v="1"/>
    <d v="2018-08-01T00:00:00"/>
    <s v="12,00"/>
    <s v="Doce Bolívares con 00/100"/>
  </r>
  <r>
    <n v="1340"/>
    <m/>
    <s v="ü"/>
    <d v="2018-08-01T00:00:00"/>
    <n v="12"/>
    <x v="0"/>
    <x v="0"/>
    <s v="Calle Guacara Nro. 88-45"/>
    <s v="Cancelación Vigilancia, mes de Agosto 2018 (saldo a favor: Bs. 2.295.000)"/>
    <s v="Vigilancia"/>
    <m/>
    <s v="01340"/>
    <s v="01 de Agosto de 2018"/>
    <n v="1"/>
    <d v="2018-08-01T00:00:00"/>
    <s v="12,00"/>
    <s v="Doce Bolívares con 00/100"/>
  </r>
  <r>
    <n v="1341"/>
    <m/>
    <s v="ü"/>
    <d v="2018-08-01T00:00:00"/>
    <n v="9.9"/>
    <x v="75"/>
    <x v="65"/>
    <s v="Av. &quot;Ñ&quot; Nro. 145-25"/>
    <s v="Anticipo Vigilancia, mes de Agosto 2018 (saldo pendiente: Bs. 210.000)"/>
    <s v="Vigilancia"/>
    <m/>
    <s v="01341"/>
    <s v="01 de Agosto de 2018"/>
    <n v="1"/>
    <d v="2018-08-01T00:00:00"/>
    <s v="9,90"/>
    <s v="Nueve Bolívares con 90/100"/>
  </r>
  <r>
    <n v="1342"/>
    <m/>
    <s v="ü"/>
    <d v="2018-08-02T00:00:00"/>
    <n v="2.1"/>
    <x v="75"/>
    <x v="65"/>
    <s v="Av. &quot;Ñ&quot; Nro. 145-25"/>
    <s v="Cancelación Vigilancia, saldo mes de Agosto 2018 (saldo a favor: Bs. 7.200.000)"/>
    <s v="Vigilancia"/>
    <m/>
    <s v="01342"/>
    <s v="02 de Agosto de 2018"/>
    <n v="2"/>
    <d v="2018-08-01T00:00:00"/>
    <s v="2,10"/>
    <s v="Dos Bolívares con 10/100"/>
  </r>
  <r>
    <n v="1343"/>
    <m/>
    <s v="ü"/>
    <d v="2018-08-02T00:00:00"/>
    <n v="12"/>
    <x v="88"/>
    <x v="76"/>
    <s v="Calle Güigüe Nro. 88-11"/>
    <s v="Cancelación Vigilancia, mes de Agosto 2018"/>
    <s v="Vigilancia"/>
    <m/>
    <s v="01343"/>
    <s v="02 de Agosto de 2018"/>
    <n v="2"/>
    <d v="2018-08-01T00:00:00"/>
    <s v="12,00"/>
    <s v="Doce Bolívares con 00/100"/>
  </r>
  <r>
    <n v="1344"/>
    <m/>
    <s v="ü"/>
    <d v="2018-07-30T00:00:00"/>
    <n v="10"/>
    <x v="44"/>
    <x v="41"/>
    <s v="Calle Guacara Nro. 89-40"/>
    <s v="Cancelación Vigilancia, mes de Julio 2018"/>
    <s v="Vigilancia"/>
    <m/>
    <s v="01344"/>
    <s v="30 de Julio de 2018"/>
    <n v="30"/>
    <d v="2018-07-01T00:00:00"/>
    <s v="10,00"/>
    <s v="Diez Bolívares con 00/100"/>
  </r>
  <r>
    <n v="1345"/>
    <m/>
    <s v="ü"/>
    <d v="2018-08-03T00:00:00"/>
    <n v="6"/>
    <x v="2"/>
    <x v="83"/>
    <s v="Calle Guacara Nro. 88-19"/>
    <s v="Colaboración Vigilancia, mes de Julio 2018"/>
    <s v="Vigilancia"/>
    <m/>
    <s v="01345"/>
    <s v="03 de Agosto de 2018"/>
    <n v="3"/>
    <d v="2018-08-01T00:00:00"/>
    <s v="6,00"/>
    <s v="Seis Bolívares con 00/100"/>
  </r>
  <r>
    <n v="1346"/>
    <m/>
    <s v="ü"/>
    <d v="2018-08-03T00:00:00"/>
    <n v="12"/>
    <x v="2"/>
    <x v="83"/>
    <s v="Calle Guacara Nro. 88-19"/>
    <s v="Colaboración reparación portón principal"/>
    <s v="Reparación Portón"/>
    <m/>
    <s v="01346"/>
    <s v="03 de Agosto de 2018"/>
    <n v="3"/>
    <d v="2018-08-01T00:00:00"/>
    <s v="12,00"/>
    <s v="Doce Bolívares con 00/100"/>
  </r>
  <r>
    <n v="1347"/>
    <m/>
    <s v="ü"/>
    <d v="2018-08-04T00:00:00"/>
    <n v="6"/>
    <x v="26"/>
    <x v="24"/>
    <s v="Calle Güigüe Nro. 89-96"/>
    <s v="Colaboración reparación portón principal"/>
    <s v="Reparación Portón"/>
    <m/>
    <s v="01347"/>
    <s v="04 de Agosto de 2018"/>
    <n v="4"/>
    <d v="2018-08-01T00:00:00"/>
    <s v="6,00"/>
    <s v="Seis Bolívares con 00/100"/>
  </r>
  <r>
    <n v="1348"/>
    <m/>
    <s v="ü"/>
    <d v="2018-08-06T00:00:00"/>
    <n v="8.75"/>
    <x v="83"/>
    <x v="70"/>
    <s v="Calle Güigüe Nro. 89-22"/>
    <s v="Cancelación Vigilancia, saldo mes de Julio y anticipo mes de Agosto 2018"/>
    <s v="Vigilancia"/>
    <m/>
    <s v="01348"/>
    <s v="06 de Agosto de 2018"/>
    <n v="6"/>
    <d v="2018-08-01T00:00:00"/>
    <s v="8,75"/>
    <s v="Ocho Bolívares con 75/100"/>
  </r>
  <r>
    <n v="1349"/>
    <m/>
    <s v="ü"/>
    <d v="2018-08-06T00:00:00"/>
    <n v="12.2"/>
    <x v="62"/>
    <x v="55"/>
    <s v="Av. &quot;M&quot; Nro. 145-10"/>
    <s v="Colaboración reparación portón principal"/>
    <s v="Reparación Portón"/>
    <m/>
    <s v="01349"/>
    <s v="06 de Agosto de 2018"/>
    <n v="6"/>
    <d v="2018-08-01T00:00:00"/>
    <s v="12,20"/>
    <s v="Doce Bolívares con 20/100"/>
  </r>
  <r>
    <n v="1350"/>
    <m/>
    <s v="ü"/>
    <d v="2018-08-06T00:00:00"/>
    <n v="22"/>
    <x v="70"/>
    <x v="9"/>
    <s v="Calle Guacara Nro. 89-70"/>
    <s v="Cancelación Vigilancia, meses de Julio y Agosto 2018"/>
    <s v="Vigilancia"/>
    <m/>
    <s v="01350"/>
    <s v="06 de Agosto de 2018"/>
    <n v="6"/>
    <d v="2018-08-01T00:00:00"/>
    <s v="22,00"/>
    <s v="Veintidos Bolívares con 00/100"/>
  </r>
  <r>
    <n v="1351"/>
    <m/>
    <s v="ü"/>
    <d v="2018-08-06T00:00:00"/>
    <n v="10"/>
    <x v="37"/>
    <x v="34"/>
    <s v="Av. &quot;I&quot; Nro. 146-40"/>
    <s v="Cancelación Vigilancia, mes de Julio 2018"/>
    <s v="Vigilancia"/>
    <m/>
    <s v="01351"/>
    <s v="06 de Agosto de 2018"/>
    <n v="6"/>
    <d v="2018-08-01T00:00:00"/>
    <s v="10,00"/>
    <s v="Diez Bolívares con 00/100"/>
  </r>
  <r>
    <n v="1352"/>
    <m/>
    <s v="ü"/>
    <d v="2018-08-06T00:00:00"/>
    <n v="14.25"/>
    <x v="37"/>
    <x v="34"/>
    <s v="Av. &quot;I&quot; Nro. 146-40"/>
    <s v="Cancelación Vigilancia, ajuste mes de Junio y cancelación mes de Agosto 2018"/>
    <s v="Vigilancia"/>
    <m/>
    <s v="01352"/>
    <s v="06 de Agosto de 2018"/>
    <n v="6"/>
    <d v="2018-08-01T00:00:00"/>
    <s v="14,25"/>
    <s v="Catorce Bolívares con 25/100"/>
  </r>
  <r>
    <n v="1353"/>
    <m/>
    <s v="ü"/>
    <d v="2018-08-06T00:00:00"/>
    <n v="12"/>
    <x v="14"/>
    <x v="13"/>
    <s v="Calle Güigüe Nro. 89-83"/>
    <s v="Cancelación Vigilancia, mes de Agosto 2018"/>
    <s v="Vigilancia"/>
    <m/>
    <s v="01353"/>
    <s v="06 de Agosto de 2018"/>
    <n v="6"/>
    <d v="2018-08-01T00:00:00"/>
    <s v="12,00"/>
    <s v="Doce Bolívares con 00/100"/>
  </r>
  <r>
    <n v="1354"/>
    <m/>
    <s v="ü"/>
    <d v="2018-08-07T00:00:00"/>
    <n v="14"/>
    <x v="5"/>
    <x v="9"/>
    <s v="Calle Güigüe Nro. 88-120"/>
    <s v="Cancelación Vigilancia, saldo mes de Agosto y anticipo mes de Septiembre 2018"/>
    <s v="Vigilancia"/>
    <m/>
    <s v="01354"/>
    <s v="07 de Agosto de 2018"/>
    <n v="7"/>
    <d v="2018-08-01T00:00:00"/>
    <s v="14,00"/>
    <s v="Catorce Bolívares con 00/100"/>
  </r>
  <r>
    <n v="1355"/>
    <m/>
    <s v="ü"/>
    <d v="2018-08-07T00:00:00"/>
    <n v="8"/>
    <x v="47"/>
    <x v="44"/>
    <s v="Calle Güigüe Nro. 88-80"/>
    <s v="Cancelación Vigilancia, saldo mes de Agosto 2018 (saldo a favor Bs. 10.155.000)"/>
    <s v="Vigilancia"/>
    <m/>
    <s v="01355"/>
    <s v="07 de Agosto de 2018"/>
    <n v="7"/>
    <d v="2018-08-01T00:00:00"/>
    <s v="8,00"/>
    <s v="Ocho Bolívares con 00/100"/>
  </r>
  <r>
    <n v="1356"/>
    <m/>
    <s v="ü"/>
    <d v="2018-08-06T00:00:00"/>
    <n v="15"/>
    <x v="6"/>
    <x v="6"/>
    <s v="Calle Guacara Nro. 89-60"/>
    <s v="Cancelación Vigilancia, mes de Agosto y anticipo mes de Septiembre 2018"/>
    <s v="Vigilancia"/>
    <m/>
    <s v="01356"/>
    <s v="06 de Agosto de 2018"/>
    <n v="6"/>
    <d v="2018-08-01T00:00:00"/>
    <s v="15,00"/>
    <s v="Quince Bolívares con 00/100"/>
  </r>
  <r>
    <n v="1357"/>
    <m/>
    <s v="ü"/>
    <d v="2018-08-07T00:00:00"/>
    <n v="12"/>
    <x v="1"/>
    <x v="1"/>
    <s v="Calle Güigüe Nro. 88-44"/>
    <s v="Cancelación Vigilancia, mes de Agosto 2018"/>
    <s v="Vigilancia"/>
    <m/>
    <s v="01357"/>
    <s v="07 de Agosto de 2018"/>
    <n v="7"/>
    <d v="2018-08-01T00:00:00"/>
    <s v="12,00"/>
    <s v="Doce Bolívares con 00/100"/>
  </r>
  <r>
    <n v="1358"/>
    <m/>
    <s v="ü"/>
    <d v="2018-08-08T00:00:00"/>
    <n v="12"/>
    <x v="65"/>
    <x v="58"/>
    <s v="Calle Güigüe Nro. 88-10"/>
    <s v="Cancelación Vigilancia, mes de Agosto 2018"/>
    <s v="Vigilancia"/>
    <m/>
    <s v="01358"/>
    <s v="08 de Agosto de 2018"/>
    <n v="8"/>
    <d v="2018-08-01T00:00:00"/>
    <s v="12,00"/>
    <s v="Doce Bolívares con 00/100"/>
  </r>
  <r>
    <n v="1359"/>
    <m/>
    <s v="ü"/>
    <d v="2018-08-10T00:00:00"/>
    <n v="1"/>
    <x v="74"/>
    <x v="64"/>
    <s v="Calle Güigüe Nro. 88-20"/>
    <s v="Colaboración Vigilancia, mes de Julio 2018"/>
    <s v="Vigilancia"/>
    <m/>
    <s v="01359"/>
    <s v="10 de Agosto de 2018"/>
    <n v="10"/>
    <d v="2018-08-01T00:00:00"/>
    <s v="1,00"/>
    <s v="Un Bolívar con 00/100"/>
  </r>
  <r>
    <n v="1360"/>
    <m/>
    <s v="ü"/>
    <d v="2018-08-12T00:00:00"/>
    <n v="12"/>
    <x v="4"/>
    <x v="4"/>
    <s v="Calle Güigüe Nro. 89-55"/>
    <s v="Cancelación Vigilancia, mes de Agosto 2018"/>
    <s v="Vigilancia"/>
    <m/>
    <s v="01360"/>
    <s v="12 de Agosto de 2018"/>
    <n v="12"/>
    <d v="2018-08-01T00:00:00"/>
    <s v="12,00"/>
    <s v="Doce Bolívares con 00/100"/>
  </r>
  <r>
    <n v="1361"/>
    <m/>
    <s v="ü"/>
    <d v="2018-08-12T00:00:00"/>
    <n v="12"/>
    <x v="36"/>
    <x v="33"/>
    <s v="Calle Güigüe Nro. 89-10"/>
    <s v="Cancelación Vigilancia, mes de Agosto 2018"/>
    <s v="Vigilancia"/>
    <m/>
    <s v="01361"/>
    <s v="12 de Agosto de 2018"/>
    <n v="12"/>
    <d v="2018-08-01T00:00:00"/>
    <s v="12,00"/>
    <s v="Doce Bolívares con 00/100"/>
  </r>
  <r>
    <n v="1362"/>
    <m/>
    <s v="ü"/>
    <d v="2018-08-12T00:00:00"/>
    <n v="12"/>
    <x v="12"/>
    <x v="12"/>
    <s v="Calle Guacara Nro. 89-20"/>
    <s v="Cancelación Vigilancia, mes de Agosto 2018"/>
    <s v="Vigilancia"/>
    <m/>
    <s v="01362"/>
    <s v="12 de Agosto de 2018"/>
    <n v="12"/>
    <d v="2018-08-01T00:00:00"/>
    <s v="12,00"/>
    <s v="Doce Bolívares con 00/100"/>
  </r>
  <r>
    <n v="1363"/>
    <m/>
    <s v="ü"/>
    <d v="2018-08-12T00:00:00"/>
    <n v="12"/>
    <x v="17"/>
    <x v="74"/>
    <s v="Av. &quot;M&quot; Nro. 146-20"/>
    <s v="Cancelación Vigilancia, mes de Agosto 2018"/>
    <s v="Vigilancia"/>
    <m/>
    <s v="01363"/>
    <s v="12 de Agosto de 2018"/>
    <n v="12"/>
    <d v="2018-08-01T00:00:00"/>
    <s v="12,00"/>
    <s v="Doce Bolívares con 00/100"/>
  </r>
  <r>
    <n v="1364"/>
    <m/>
    <s v="ü"/>
    <d v="2018-08-13T00:00:00"/>
    <n v="12"/>
    <x v="62"/>
    <x v="55"/>
    <s v="Av. &quot;M&quot; Nro. 145-10"/>
    <s v="Cancelación Vigilancia, mes de Agosto 2018"/>
    <s v="Vigilancia"/>
    <m/>
    <s v="01364"/>
    <s v="13 de Agosto de 2018"/>
    <n v="13"/>
    <d v="2018-08-01T00:00:00"/>
    <s v="12,00"/>
    <s v="Doce Bolívares con 00/100"/>
  </r>
  <r>
    <n v="1365"/>
    <m/>
    <s v="ü"/>
    <d v="2018-08-13T00:00:00"/>
    <n v="12"/>
    <x v="76"/>
    <x v="66"/>
    <s v="Calle Güigüe Nro. 89-90"/>
    <s v="Cancelación Vigilancia, mes de Agosto 2018"/>
    <s v="Vigilancia"/>
    <m/>
    <s v="01365"/>
    <s v="13 de Agosto de 2018"/>
    <n v="13"/>
    <d v="2018-08-01T00:00:00"/>
    <s v="12,00"/>
    <s v="Doce Bolívares con 00/100"/>
  </r>
  <r>
    <n v="1366"/>
    <m/>
    <s v="ü"/>
    <d v="2018-08-13T00:00:00"/>
    <n v="12"/>
    <x v="46"/>
    <x v="43"/>
    <s v="Av. &quot;I&quot; Nro. 146-20"/>
    <s v="Cancelación Vigilancia, mes de Agosto 2018"/>
    <s v="Vigilancia"/>
    <m/>
    <s v="01366"/>
    <s v="13 de Agosto de 2018"/>
    <n v="13"/>
    <d v="2018-08-01T00:00:00"/>
    <s v="12,00"/>
    <s v="Doce Bolívares con 00/100"/>
  </r>
  <r>
    <n v="1367"/>
    <m/>
    <s v="ü"/>
    <d v="2018-08-14T00:00:00"/>
    <n v="12"/>
    <x v="35"/>
    <x v="32"/>
    <s v="Calle Güigüe Nro. 89-80"/>
    <s v="Cancelación Vigilancia, mes de Agosto 2018"/>
    <s v="Vigilancia"/>
    <m/>
    <s v="01367"/>
    <s v="14 de Agosto de 2018"/>
    <n v="14"/>
    <d v="2018-08-01T00:00:00"/>
    <s v="12,00"/>
    <s v="Doce Bolívares con 00/100"/>
  </r>
  <r>
    <n v="1368"/>
    <m/>
    <s v="ü"/>
    <d v="2018-08-15T00:00:00"/>
    <n v="4"/>
    <x v="39"/>
    <x v="36"/>
    <s v="Calle Güigüe Nro. 88-111"/>
    <s v="Cancelación Vigilancia, mes de Mayo 2018"/>
    <s v="Vigilancia"/>
    <m/>
    <s v="01368"/>
    <s v="15 de Agosto de 2018"/>
    <n v="15"/>
    <d v="2018-08-01T00:00:00"/>
    <s v="4,00"/>
    <s v="Cuatro Bolívares con 00/100"/>
  </r>
  <r>
    <n v="1369"/>
    <m/>
    <s v="ü"/>
    <d v="2018-08-15T00:00:00"/>
    <n v="9.5"/>
    <x v="31"/>
    <x v="29"/>
    <s v="Calle Güigüe Nro. 89-95"/>
    <s v="Cancelación Vigilancia, saldo meses de Julio y Agosto 2018"/>
    <s v="Vigilancia"/>
    <m/>
    <s v="01369"/>
    <s v="15 de Agosto de 2018"/>
    <n v="15"/>
    <d v="2018-08-01T00:00:00"/>
    <s v="9,50"/>
    <s v="Nueve Bolívares con 50/100"/>
  </r>
  <r>
    <n v="1370"/>
    <m/>
    <s v="ü"/>
    <d v="2018-08-15T00:00:00"/>
    <n v="30.5"/>
    <x v="31"/>
    <x v="29"/>
    <s v="Calle Güigüe Nro. 89-95"/>
    <s v="Donación para vigilante Ana María Mogollón"/>
    <s v="Otros"/>
    <m/>
    <s v="01370"/>
    <s v="15 de Agosto de 2018"/>
    <n v="15"/>
    <d v="2018-08-01T00:00:00"/>
    <s v="30,50"/>
    <s v="Treinta Bolívares con 50/100"/>
  </r>
  <r>
    <n v="1371"/>
    <m/>
    <s v="ü"/>
    <d v="2018-08-15T00:00:00"/>
    <n v="8"/>
    <x v="63"/>
    <x v="56"/>
    <s v="Calle Guacara Nro. 88-85"/>
    <s v="Cancelación Vigilancia, saldo mes de Agosto 2018"/>
    <s v="Vigilancia"/>
    <m/>
    <s v="01371"/>
    <s v="15 de Agosto de 2018"/>
    <n v="15"/>
    <d v="2018-08-01T00:00:00"/>
    <s v="8,00"/>
    <s v="Ocho Bolívares con 00/100"/>
  </r>
  <r>
    <n v="1372"/>
    <m/>
    <s v="ü"/>
    <d v="2018-08-15T00:00:00"/>
    <n v="12"/>
    <x v="10"/>
    <x v="10"/>
    <s v="Av. &quot;M&quot; Nro. 146-15"/>
    <s v="Cancelación Vigilancia, mes de Agosto 2018"/>
    <s v="Vigilancia"/>
    <m/>
    <s v="01372"/>
    <s v="15 de Agosto de 2018"/>
    <n v="15"/>
    <d v="2018-08-01T00:00:00"/>
    <s v="12,00"/>
    <s v="Doce Bolívares con 00/100"/>
  </r>
  <r>
    <n v="1373"/>
    <m/>
    <s v="ü"/>
    <d v="2018-08-16T00:00:00"/>
    <n v="12"/>
    <x v="38"/>
    <x v="35"/>
    <s v="Calle Guacara Nro. 89-78"/>
    <s v="Cancelación Vigilancia, mes de Agosto 2018"/>
    <s v="Vigilancia"/>
    <m/>
    <s v="01373"/>
    <s v="16 de Agosto de 2018"/>
    <n v="16"/>
    <d v="2018-08-01T00:00:00"/>
    <s v="12,00"/>
    <s v="Doce Bolívares con 00/100"/>
  </r>
  <r>
    <n v="1374"/>
    <m/>
    <s v="ü"/>
    <d v="2018-08-16T00:00:00"/>
    <n v="12"/>
    <x v="19"/>
    <x v="17"/>
    <s v="Calle Guacara Nro. 89-130"/>
    <s v="Cancelación Vigilancia, mes de Agosto 2018"/>
    <s v="Vigilancia"/>
    <m/>
    <s v="01374"/>
    <s v="16 de Agosto de 2018"/>
    <n v="16"/>
    <d v="2018-08-01T00:00:00"/>
    <s v="12,00"/>
    <s v="Doce Bolívares con 00/100"/>
  </r>
  <r>
    <n v="1375"/>
    <m/>
    <s v="ü"/>
    <d v="2018-08-16T00:00:00"/>
    <n v="12"/>
    <x v="23"/>
    <x v="21"/>
    <s v="Calle Güigüe Nro. 88-116"/>
    <s v="Cancelación Vigilancia, mes de Agosto 2018"/>
    <s v="Vigilancia"/>
    <m/>
    <s v="01375"/>
    <s v="16 de Agosto de 2018"/>
    <n v="16"/>
    <d v="2018-08-01T00:00:00"/>
    <s v="12,00"/>
    <s v="Doce Bolívares con 00/100"/>
  </r>
  <r>
    <n v="1376"/>
    <m/>
    <s v="ü"/>
    <d v="2018-08-16T00:00:00"/>
    <n v="13.5"/>
    <x v="48"/>
    <x v="9"/>
    <s v="Calle Güigüe Nro. 88-90"/>
    <s v="Cancelación Vigilancia, saldo mes de Julio y cancelación mes de Agosto 2018"/>
    <s v="Vigilancia"/>
    <m/>
    <s v="01376"/>
    <s v="16 de Agosto de 2018"/>
    <n v="16"/>
    <d v="2018-08-01T00:00:00"/>
    <s v="13,50"/>
    <s v="Trece Bolívares con 50/100"/>
  </r>
  <r>
    <n v="1377"/>
    <m/>
    <s v="ü"/>
    <d v="2018-08-18T00:00:00"/>
    <n v="11"/>
    <x v="9"/>
    <x v="9"/>
    <s v="Av. &quot;M&quot; Nro. 146-30"/>
    <s v="Cancelación Vigilancia, anticipo mes de Agosto 2018"/>
    <s v="Vigilancia"/>
    <m/>
    <s v="01377"/>
    <s v="18 de Agosto de 2018"/>
    <n v="18"/>
    <d v="2018-08-01T00:00:00"/>
    <s v="11,00"/>
    <s v="Once Bolívares con 00/100"/>
  </r>
  <r>
    <n v="1378"/>
    <m/>
    <s v="ü"/>
    <d v="2018-08-19T00:00:00"/>
    <n v="12"/>
    <x v="26"/>
    <x v="24"/>
    <s v="Calle Güigüe Nro. 89-96"/>
    <s v="Cancelación Vigilancia, mes de Agosto 2018"/>
    <s v="Vigilancia"/>
    <m/>
    <s v="01378"/>
    <s v="19 de Agosto de 2018"/>
    <n v="19"/>
    <d v="2018-08-01T00:00:00"/>
    <s v="12,00"/>
    <s v="Doce Bolívares con 00/100"/>
  </r>
  <r>
    <n v="1379"/>
    <m/>
    <s v="ü"/>
    <d v="2018-08-19T00:00:00"/>
    <n v="6"/>
    <x v="26"/>
    <x v="24"/>
    <s v="Calle Güigüe Nro. 89-96"/>
    <s v="Colaboración reparación portón principal"/>
    <s v="Reparación Portón"/>
    <m/>
    <s v="01379"/>
    <s v="19 de Agosto de 2018"/>
    <n v="19"/>
    <d v="2018-08-01T00:00:00"/>
    <s v="6,00"/>
    <s v="Seis Bolívares con 00/100"/>
  </r>
  <r>
    <n v="1380"/>
    <m/>
    <s v="ü"/>
    <d v="2018-08-22T00:00:00"/>
    <n v="12"/>
    <x v="24"/>
    <x v="22"/>
    <s v="Calle Güigüe Nro. 88-54"/>
    <s v="Cancelación Vigilancia, mes de Agosto 2018"/>
    <s v="Vigilancia"/>
    <m/>
    <s v="01380"/>
    <s v="22 de Agosto de 2018"/>
    <n v="22"/>
    <d v="2018-08-01T00:00:00"/>
    <s v="12,00"/>
    <s v="Doce Bolívares con 00/100"/>
  </r>
  <r>
    <n v="1381"/>
    <m/>
    <s v="ü"/>
    <d v="2018-08-23T00:00:00"/>
    <n v="12"/>
    <x v="54"/>
    <x v="50"/>
    <s v="Calle Güigüe Nro. 89-21"/>
    <s v="Cancelación Vigilancia, mes de Agosto 2018"/>
    <s v="Vigilancia"/>
    <m/>
    <s v="01381"/>
    <s v="23 de Agosto de 2018"/>
    <n v="23"/>
    <d v="2018-08-01T00:00:00"/>
    <s v="12,00"/>
    <s v="Doce Bolívares con 00/100"/>
  </r>
  <r>
    <n v="1382"/>
    <m/>
    <s v="ü"/>
    <d v="2018-08-23T00:00:00"/>
    <n v="11.5"/>
    <x v="83"/>
    <x v="70"/>
    <s v="Calle Güigüe Nro. 89-22"/>
    <s v="Cancelación Vigilancia, saldo mes de Agosto 2018"/>
    <s v="Vigilancia"/>
    <m/>
    <s v="01382"/>
    <s v="23 de Agosto de 2018"/>
    <n v="23"/>
    <d v="2018-08-01T00:00:00"/>
    <s v="11,50"/>
    <s v="Once Bolívares con 50/100"/>
  </r>
  <r>
    <n v="1383"/>
    <m/>
    <s v="ü"/>
    <d v="2018-08-23T00:00:00"/>
    <n v="12"/>
    <x v="8"/>
    <x v="78"/>
    <s v="Calle Guacara Nro. 90-51"/>
    <s v="Cancelación Vigilancia, mes de Agosto 2018"/>
    <s v="Vigilancia"/>
    <m/>
    <s v="01383"/>
    <s v="23 de Agosto de 2018"/>
    <n v="23"/>
    <d v="2018-08-01T00:00:00"/>
    <s v="12,00"/>
    <s v="Doce Bolívares con 00/100"/>
  </r>
  <r>
    <n v="1384"/>
    <m/>
    <s v="ü"/>
    <d v="2018-08-23T00:00:00"/>
    <n v="2"/>
    <x v="8"/>
    <x v="78"/>
    <s v="Calle Guacara Nro. 90-51"/>
    <s v="Colaboración para comida de vigilantes"/>
    <s v="Comida Vigilantes"/>
    <m/>
    <s v="01384"/>
    <s v="23 de Agosto de 2018"/>
    <n v="23"/>
    <d v="2018-08-01T00:00:00"/>
    <s v="2,00"/>
    <s v="Dos Bolívares con 00/100"/>
  </r>
  <r>
    <n v="1385"/>
    <m/>
    <s v="ü"/>
    <d v="2018-08-23T00:00:00"/>
    <n v="24"/>
    <x v="60"/>
    <x v="54"/>
    <s v="Calle Guacara Nro. 88-51"/>
    <s v="Cancelación Vigilancia, mes de Agosto y anticipo mes de Septiembre 2018"/>
    <s v="Vigilancia"/>
    <m/>
    <s v="01385"/>
    <s v="23 de Agosto de 2018"/>
    <n v="23"/>
    <d v="2018-08-01T00:00:00"/>
    <s v="24,00"/>
    <s v="Veinticuatro Bolívares con 00/100"/>
  </r>
  <r>
    <n v="1386"/>
    <m/>
    <s v="ü"/>
    <d v="2018-08-23T00:00:00"/>
    <n v="12"/>
    <x v="11"/>
    <x v="11"/>
    <s v="Calle Guacara Nro. 89-86"/>
    <s v="Cancelación Vigilancia, mes de Agosto 2018"/>
    <s v="Vigilancia"/>
    <m/>
    <s v="01386"/>
    <s v="23 de Agosto de 2018"/>
    <n v="23"/>
    <d v="2018-08-01T00:00:00"/>
    <s v="12,00"/>
    <s v="Doce Bolívares con 00/100"/>
  </r>
  <r>
    <n v="1387"/>
    <m/>
    <s v="ü"/>
    <d v="2018-08-23T00:00:00"/>
    <n v="12"/>
    <x v="68"/>
    <x v="60"/>
    <s v="Calle Güigüe Nro. 89-29"/>
    <s v="Cancelación Vigilancia, mes de Agosto 2018"/>
    <s v="Vigilancia"/>
    <m/>
    <s v="01387"/>
    <s v="23 de Agosto de 2018"/>
    <n v="23"/>
    <d v="2018-08-01T00:00:00"/>
    <s v="12,00"/>
    <s v="Doce Bolívares con 00/100"/>
  </r>
  <r>
    <n v="1388"/>
    <m/>
    <s v="ü"/>
    <d v="2018-08-23T00:00:00"/>
    <n v="12"/>
    <x v="44"/>
    <x v="41"/>
    <s v="Calle Guacara Nro. 89-40"/>
    <s v="Cancelación Vigilancia, mes de Agosto 2018"/>
    <s v="Vigilancia"/>
    <m/>
    <s v="01388"/>
    <s v="23 de Agosto de 2018"/>
    <n v="23"/>
    <d v="2018-08-01T00:00:00"/>
    <s v="12,00"/>
    <s v="Doce Bolívares con 00/100"/>
  </r>
  <r>
    <n v="1389"/>
    <m/>
    <s v="ü"/>
    <d v="2018-08-23T00:00:00"/>
    <n v="12"/>
    <x v="18"/>
    <x v="16"/>
    <s v="Calle Guacara Nro. 87-100"/>
    <s v="Cancelación Vigilancia, mes de Agosto 2018"/>
    <s v="Vigilancia"/>
    <m/>
    <s v="01389"/>
    <s v="23 de Agosto de 2018"/>
    <n v="23"/>
    <d v="2018-08-01T00:00:00"/>
    <s v="12,00"/>
    <s v="Doce Bolívares con 00/100"/>
  </r>
  <r>
    <n v="1390"/>
    <m/>
    <s v="ü"/>
    <d v="2018-08-24T00:00:00"/>
    <n v="12"/>
    <x v="25"/>
    <x v="23"/>
    <s v="Calle Güigüe Nro. 88-58"/>
    <s v="Cancelación Vigilancia, mes de Agosto 2018"/>
    <s v="Vigilancia"/>
    <m/>
    <s v="01390"/>
    <s v="24 de Agosto de 2018"/>
    <n v="24"/>
    <d v="2018-08-01T00:00:00"/>
    <s v="12,00"/>
    <s v="Doce Bolívares con 00/100"/>
  </r>
  <r>
    <n v="1391"/>
    <m/>
    <s v="ü"/>
    <d v="2018-08-25T00:00:00"/>
    <n v="12"/>
    <x v="58"/>
    <x v="53"/>
    <s v="Calle Güigüe Nro. 88-51"/>
    <s v="Cancelación Vigilancia, mes de Agosto 2018"/>
    <s v="Vigilancia"/>
    <m/>
    <s v="01391"/>
    <s v="25 de Agosto de 2018"/>
    <n v="25"/>
    <d v="2018-08-01T00:00:00"/>
    <s v="12,00"/>
    <s v="Doce Bolívares con 00/100"/>
  </r>
  <r>
    <n v="1392"/>
    <m/>
    <s v="ü"/>
    <d v="2018-08-27T00:00:00"/>
    <n v="2.2000000000000002"/>
    <x v="9"/>
    <x v="9"/>
    <s v="Av. &quot;M&quot; Nro. 146-30"/>
    <s v="Cancelación Vigilancia, saldo mes de Agosto 2018"/>
    <s v="Vigilancia"/>
    <m/>
    <s v="01392"/>
    <s v="27 de Agosto de 2018"/>
    <n v="27"/>
    <d v="2018-08-01T00:00:00"/>
    <s v="2,20"/>
    <s v="Dos Bolívares con 20/100"/>
  </r>
  <r>
    <n v="1393"/>
    <m/>
    <s v="ü"/>
    <d v="2018-08-27T00:00:00"/>
    <n v="12"/>
    <x v="40"/>
    <x v="37"/>
    <s v="Calle Güigüe Nro. 88-101"/>
    <s v="Cancelación Vigilancia, mes de Agosto 2018"/>
    <s v="Vigilancia"/>
    <m/>
    <s v="01393"/>
    <s v="27 de Agosto de 2018"/>
    <n v="27"/>
    <d v="2018-08-01T00:00:00"/>
    <s v="12,00"/>
    <s v="Doce Bolívares con 00/100"/>
  </r>
  <r>
    <n v="1394"/>
    <m/>
    <s v="ü"/>
    <d v="2018-08-27T00:00:00"/>
    <n v="12"/>
    <x v="82"/>
    <x v="9"/>
    <s v="Calle Guacara Nro. 90-61"/>
    <s v="Cancelación Vigilancia, mes de Agosto 2018"/>
    <s v="Vigilancia"/>
    <m/>
    <s v="01394"/>
    <s v="27 de Agosto de 2018"/>
    <n v="27"/>
    <d v="2018-08-01T00:00:00"/>
    <s v="12,00"/>
    <s v="Doce Bolívares con 00/100"/>
  </r>
  <r>
    <n v="1395"/>
    <m/>
    <s v="ü"/>
    <d v="2018-08-27T00:00:00"/>
    <n v="15"/>
    <x v="84"/>
    <x v="71"/>
    <s v="Calle Güigüe Nro. 89-54"/>
    <s v="Cancelación Vigilancia, mes de Agosto 2018"/>
    <s v="Vigilancia"/>
    <m/>
    <s v="01395"/>
    <s v="27 de Agosto de 2018"/>
    <n v="27"/>
    <d v="2018-08-01T00:00:00"/>
    <s v="15,00"/>
    <s v="Quince Bolívares con 00/100"/>
  </r>
  <r>
    <n v="1396"/>
    <m/>
    <s v="ü"/>
    <d v="2018-08-27T00:00:00"/>
    <n v="12"/>
    <x v="59"/>
    <x v="9"/>
    <s v="Calle Guacara Nro. 90-35"/>
    <s v="Cancelación Vigilancia, mes de Agosto 2018"/>
    <s v="Vigilancia"/>
    <m/>
    <s v="01396"/>
    <s v="27 de Agosto de 2018"/>
    <n v="27"/>
    <d v="2018-08-01T00:00:00"/>
    <s v="12,00"/>
    <s v="Doce Bolívares con 00/100"/>
  </r>
  <r>
    <n v="1397"/>
    <m/>
    <s v="ü"/>
    <d v="2018-08-27T00:00:00"/>
    <n v="12"/>
    <x v="43"/>
    <x v="40"/>
    <s v="Calle Güigüe Nro. 88-50"/>
    <s v="Cancelación Vigilancia, mes de Agosto 2018"/>
    <s v="Vigilancia"/>
    <m/>
    <s v="01397"/>
    <s v="27 de Agosto de 2018"/>
    <n v="27"/>
    <d v="2018-08-01T00:00:00"/>
    <s v="12,00"/>
    <s v="Doce Bolívares con 00/100"/>
  </r>
  <r>
    <n v="1398"/>
    <m/>
    <s v="ü"/>
    <d v="2018-08-29T00:00:00"/>
    <n v="12"/>
    <x v="53"/>
    <x v="80"/>
    <s v="Calle Guacara Nro. 88-91"/>
    <s v="Cancelación Vigilancia, mes de Agosto 2018"/>
    <s v="Vigilancia"/>
    <m/>
    <s v="01398"/>
    <s v="29 de Agosto de 2018"/>
    <n v="29"/>
    <d v="2018-08-01T00:00:00"/>
    <s v="12,00"/>
    <s v="Doce Bolívares con 00/100"/>
  </r>
  <r>
    <n v="1399"/>
    <m/>
    <s v="ü"/>
    <d v="2018-08-29T00:00:00"/>
    <n v="12"/>
    <x v="93"/>
    <x v="87"/>
    <s v="Calle Güigüe Nro. 89-89"/>
    <s v="Cancelación Vigilancia, mes de Agosto 2018"/>
    <s v="Vigilancia"/>
    <m/>
    <s v="01399"/>
    <s v="29 de Agosto de 2018"/>
    <n v="29"/>
    <d v="2018-08-01T00:00:00"/>
    <s v="12,00"/>
    <s v="Doce Bolívares con 00/100"/>
  </r>
  <r>
    <n v="1400"/>
    <m/>
    <s v="ü"/>
    <d v="2018-08-12T00:00:00"/>
    <n v="12"/>
    <x v="77"/>
    <x v="85"/>
    <s v="Calle Guacara Nro. 88-65"/>
    <s v="Cancelación Vigilancia, mes de Agosto 2018"/>
    <s v="Vigilancia"/>
    <m/>
    <s v="01400"/>
    <s v="12 de Agosto de 2018"/>
    <n v="12"/>
    <d v="2018-08-01T00:00:00"/>
    <s v="12,00"/>
    <s v="Doce Bolívares con 00/100"/>
  </r>
  <r>
    <n v="1401"/>
    <m/>
    <s v="ü"/>
    <d v="2018-08-31T00:00:00"/>
    <n v="8"/>
    <x v="2"/>
    <x v="83"/>
    <s v="Calle Guacara Nro. 88-19"/>
    <s v="Colaboración Vigilancia, mes de Agosto 2018"/>
    <s v="Vigilancia"/>
    <m/>
    <s v="01401"/>
    <s v="31 de Agosto de 2018"/>
    <n v="31"/>
    <d v="2018-08-01T00:00:00"/>
    <s v="8,00"/>
    <s v="Ocho Bolívares con 00/100"/>
  </r>
  <r>
    <n v="1402"/>
    <m/>
    <s v="ü"/>
    <d v="2018-09-01T00:00:00"/>
    <n v="370"/>
    <x v="90"/>
    <x v="82"/>
    <s v="Calle Güigüe Nro. 89-04"/>
    <s v="Cancelación Vigilancia, mes de Septiembre y anticipo mes de Octubre 2018"/>
    <s v="Vigilancia"/>
    <m/>
    <s v="01402"/>
    <s v="01 de Septiembre de 2018"/>
    <n v="1"/>
    <d v="2018-09-01T00:00:00"/>
    <s v="370,00"/>
    <s v="Trescientos Setenta Bolívares con 00/100"/>
  </r>
  <r>
    <n v="1403"/>
    <m/>
    <s v="ü"/>
    <d v="2018-09-01T00:00:00"/>
    <n v="12"/>
    <x v="28"/>
    <x v="77"/>
    <s v="Calle Güigüe Nro. 88-30"/>
    <s v="Cancelación Vigilancia, mes de Agosto 2018"/>
    <s v="Vigilancia"/>
    <m/>
    <s v="01403"/>
    <s v="01 de Septiembre de 2018"/>
    <n v="1"/>
    <d v="2018-09-01T00:00:00"/>
    <s v="12,00"/>
    <s v="Doce Bolívares con 00/100"/>
  </r>
  <r>
    <n v="1404"/>
    <m/>
    <s v="ü"/>
    <d v="2018-09-02T00:00:00"/>
    <n v="27"/>
    <x v="5"/>
    <x v="9"/>
    <s v="Calle Güigüe Nro. 88-120"/>
    <s v="Cancelación Vigilancia, anticipo mes de Septiembre 2018"/>
    <s v="Vigilancia"/>
    <m/>
    <s v="01404"/>
    <s v="02 de Septiembre de 2018"/>
    <n v="2"/>
    <d v="2018-09-01T00:00:00"/>
    <s v="27,00"/>
    <s v="Veintisiete Bolívares con 00/100"/>
  </r>
  <r>
    <n v="1405"/>
    <m/>
    <s v="ü"/>
    <d v="2018-09-02T00:00:00"/>
    <n v="12"/>
    <x v="22"/>
    <x v="20"/>
    <s v="Calle Guacara Nro. 88-25"/>
    <s v="Cancelación Vigilancia, mes de Agosto 2018"/>
    <s v="Vigilancia"/>
    <m/>
    <s v="01405"/>
    <s v="02 de Septiembre de 2018"/>
    <n v="2"/>
    <d v="2018-09-01T00:00:00"/>
    <s v="12,00"/>
    <s v="Doce Bolívares con 00/100"/>
  </r>
  <r>
    <n v="1406"/>
    <m/>
    <s v="ü"/>
    <d v="2018-09-03T00:00:00"/>
    <n v="10"/>
    <x v="71"/>
    <x v="62"/>
    <s v="Calle Güigüe Nro. 89-71"/>
    <s v="Colaboración Vigilancia, mes de Agosto 2018"/>
    <s v="Vigilancia"/>
    <m/>
    <s v="01406"/>
    <s v="03 de Septiembre de 2018"/>
    <n v="3"/>
    <d v="2018-09-01T00:00:00"/>
    <s v="10,00"/>
    <s v="Diez Bolívares con 00/100"/>
  </r>
  <r>
    <n v="1407"/>
    <m/>
    <s v="ü"/>
    <d v="2018-09-03T00:00:00"/>
    <n v="12"/>
    <x v="56"/>
    <x v="52"/>
    <s v="Calle Güigüe Nro. 88-70"/>
    <s v="Cancelación Vigilancia, mes de Agosto 2018"/>
    <s v="Vigilancia"/>
    <m/>
    <s v="01407"/>
    <s v="03 de Septiembre de 2018"/>
    <n v="3"/>
    <d v="2018-09-01T00:00:00"/>
    <s v="12,00"/>
    <s v="Doce Bolívares con 00/100"/>
  </r>
  <r>
    <n v="1408"/>
    <m/>
    <s v="ü"/>
    <d v="2018-09-05T00:00:00"/>
    <n v="320"/>
    <x v="14"/>
    <x v="13"/>
    <s v="Calle Güigüe Nro. 89-83"/>
    <s v="Cancelación Vigilancia, mes de Septiembre 2018"/>
    <s v="Vigilancia"/>
    <m/>
    <s v="01408"/>
    <s v="05 de Septiembre de 2018"/>
    <n v="5"/>
    <d v="2018-09-01T00:00:00"/>
    <s v="320,00"/>
    <s v="Trescientos Veinte Bolívares con 00/100"/>
  </r>
  <r>
    <n v="1409"/>
    <m/>
    <s v="ü"/>
    <d v="2018-09-05T00:00:00"/>
    <n v="320"/>
    <x v="12"/>
    <x v="12"/>
    <s v="Calle Guacara Nro. 89-20"/>
    <s v="Cancelación Vigilancia, mes de Septiembre 2018"/>
    <s v="Vigilancia"/>
    <m/>
    <s v="01409"/>
    <s v="05 de Septiembre de 2018"/>
    <n v="5"/>
    <d v="2018-09-01T00:00:00"/>
    <s v="320,00"/>
    <s v="Trescientos Veinte Bolívares con 00/100"/>
  </r>
  <r>
    <n v="1410"/>
    <m/>
    <s v="ü"/>
    <d v="2018-09-05T00:00:00"/>
    <n v="320"/>
    <x v="63"/>
    <x v="56"/>
    <s v="Calle Guacara Nro. 88-85"/>
    <s v="Cancelación Vigilancia, mes de Septiembre 2018"/>
    <s v="Vigilancia"/>
    <m/>
    <s v="01410"/>
    <s v="05 de Septiembre de 2018"/>
    <n v="5"/>
    <d v="2018-09-01T00:00:00"/>
    <s v="320,00"/>
    <s v="Trescientos Veinte Bolívares con 00/100"/>
  </r>
  <r>
    <n v="1411"/>
    <m/>
    <s v="ü"/>
    <d v="2018-09-05T00:00:00"/>
    <n v="320"/>
    <x v="7"/>
    <x v="7"/>
    <s v="Calle Guacara Nro. 87-86"/>
    <s v="Cancelación Vigilancia, mes de Septiembre 2018"/>
    <s v="Vigilancia"/>
    <m/>
    <s v="01411"/>
    <s v="05 de Septiembre de 2018"/>
    <n v="5"/>
    <d v="2018-09-01T00:00:00"/>
    <s v="320,00"/>
    <s v="Trescientos Veinte Bolívares con 00/100"/>
  </r>
  <r>
    <n v="1412"/>
    <m/>
    <s v="ü"/>
    <d v="2018-09-05T00:00:00"/>
    <n v="320"/>
    <x v="11"/>
    <x v="11"/>
    <s v="Calle Guacara Nro. 89-86"/>
    <s v="Cancelación Vigilancia, mes de Septiembre 2018"/>
    <s v="Vigilancia"/>
    <m/>
    <s v="01412"/>
    <s v="05 de Septiembre de 2018"/>
    <n v="5"/>
    <d v="2018-09-01T00:00:00"/>
    <s v="320,00"/>
    <s v="Trescientos Veinte Bolívares con 00/100"/>
  </r>
  <r>
    <n v="1413"/>
    <m/>
    <s v="ü"/>
    <d v="2018-09-05T00:00:00"/>
    <n v="320"/>
    <x v="1"/>
    <x v="1"/>
    <s v="Calle Güigüe Nro. 88-44"/>
    <s v="Cancelación Vigilancia, mes de Septiembre 2018"/>
    <s v="Vigilancia"/>
    <m/>
    <s v="01413"/>
    <s v="05 de Septiembre de 2018"/>
    <n v="5"/>
    <d v="2018-09-01T00:00:00"/>
    <s v="320,00"/>
    <s v="Trescientos Veinte Bolívares con 00/100"/>
  </r>
  <r>
    <n v="1414"/>
    <m/>
    <s v="ü"/>
    <d v="2018-09-05T00:00:00"/>
    <n v="400"/>
    <x v="6"/>
    <x v="6"/>
    <s v="Calle Guacara Nro. 89-60"/>
    <s v="Cancelación Vigilancia, mes de Septiembre 2018 más aporte"/>
    <s v="Vigilancia"/>
    <m/>
    <s v="01414"/>
    <s v="05 de Septiembre de 2018"/>
    <n v="5"/>
    <d v="2018-09-01T00:00:00"/>
    <s v="400,00"/>
    <s v="Cuatrocientos Bolívares con 00/100"/>
  </r>
  <r>
    <n v="1415"/>
    <m/>
    <s v="ü"/>
    <d v="2018-09-05T00:00:00"/>
    <n v="320"/>
    <x v="4"/>
    <x v="4"/>
    <s v="Calle Güigüe Nro. 89-55"/>
    <s v="Cancelación Vigilancia, mes de Septiembre 2018"/>
    <s v="Vigilancia"/>
    <m/>
    <s v="01415"/>
    <s v="05 de Septiembre de 2018"/>
    <n v="5"/>
    <d v="2018-09-01T00:00:00"/>
    <s v="320,00"/>
    <s v="Trescientos Veinte Bolívares con 00/100"/>
  </r>
  <r>
    <n v="1416"/>
    <m/>
    <s v="ü"/>
    <d v="2018-09-06T00:00:00"/>
    <n v="320"/>
    <x v="38"/>
    <x v="35"/>
    <s v="Calle Guacara Nro. 89-78"/>
    <s v="Cancelación Vigilancia, mes de Septiembre 2018"/>
    <s v="Vigilancia"/>
    <m/>
    <s v="01416"/>
    <s v="06 de Septiembre de 2018"/>
    <n v="6"/>
    <d v="2018-09-01T00:00:00"/>
    <s v="320,00"/>
    <s v="Trescientos Veinte Bolívares con 00/100"/>
  </r>
  <r>
    <n v="1417"/>
    <m/>
    <s v="ü"/>
    <d v="2018-09-06T00:00:00"/>
    <n v="320"/>
    <x v="81"/>
    <x v="69"/>
    <s v="Calle Güigüe Nro. 89-65"/>
    <s v="Cancelación Vigilancia, mes de Septiembre 2018"/>
    <s v="Vigilancia"/>
    <m/>
    <s v="01417"/>
    <s v="06 de Septiembre de 2018"/>
    <n v="6"/>
    <d v="2018-09-01T00:00:00"/>
    <s v="320,00"/>
    <s v="Trescientos Veinte Bolívares con 00/100"/>
  </r>
  <r>
    <n v="1418"/>
    <m/>
    <s v="ü"/>
    <d v="2018-09-06T00:00:00"/>
    <n v="350"/>
    <x v="20"/>
    <x v="18"/>
    <s v="Calle Guacara Nro. 89-30"/>
    <s v="Cancelación Vigilancia, mes de Septiembre 2018 más aporte"/>
    <s v="Vigilancia"/>
    <m/>
    <s v="01418"/>
    <s v="06 de Septiembre de 2018"/>
    <n v="6"/>
    <d v="2018-09-01T00:00:00"/>
    <s v="350,00"/>
    <s v="Trescientos Cincuenta Bolívares con 00/100"/>
  </r>
  <r>
    <n v="1419"/>
    <m/>
    <s v="ü"/>
    <d v="2018-09-06T00:00:00"/>
    <n v="320"/>
    <x v="62"/>
    <x v="55"/>
    <s v="Av. &quot;M&quot; Nro. 145-10"/>
    <s v="Cancelación Vigilancia, mes de Septiembre 2018"/>
    <s v="Vigilancia"/>
    <m/>
    <s v="01419"/>
    <s v="06 de Septiembre de 2018"/>
    <n v="6"/>
    <d v="2018-09-01T00:00:00"/>
    <s v="320,00"/>
    <s v="Trescientos Veinte Bolívares con 00/100"/>
  </r>
  <r>
    <n v="1420"/>
    <m/>
    <s v="ü"/>
    <d v="2018-09-06T00:00:00"/>
    <n v="320"/>
    <x v="69"/>
    <x v="61"/>
    <s v="Calle Güigüe Nro. 89-40"/>
    <s v="Cancelación Vigilancia, mes de Septiembre 2018"/>
    <s v="Vigilancia"/>
    <m/>
    <s v="01420"/>
    <s v="06 de Septiembre de 2018"/>
    <n v="6"/>
    <d v="2018-09-01T00:00:00"/>
    <s v="320,00"/>
    <s v="Trescientos Veinte Bolívares con 00/100"/>
  </r>
  <r>
    <n v="1421"/>
    <m/>
    <s v="ü"/>
    <d v="2018-09-07T00:00:00"/>
    <n v="320"/>
    <x v="24"/>
    <x v="22"/>
    <s v="Calle Güigüe Nro. 88-54"/>
    <s v="Cancelación Vigilancia, mes de Septiembre 2018"/>
    <s v="Vigilancia"/>
    <m/>
    <s v="01421"/>
    <s v="07 de Septiembre de 2018"/>
    <n v="7"/>
    <d v="2018-09-01T00:00:00"/>
    <s v="320,00"/>
    <s v="Trescientos Veinte Bolívares con 00/100"/>
  </r>
  <r>
    <n v="1422"/>
    <m/>
    <s v="ü"/>
    <d v="2018-09-07T00:00:00"/>
    <n v="320"/>
    <x v="92"/>
    <x v="86"/>
    <s v="Calle Guacara Nro. 88-A-10"/>
    <s v="Cancelación Vigilancia, mes de Septiembre 2018 (saldo a favor: Bs. 5,80)"/>
    <s v="Vigilancia"/>
    <m/>
    <s v="01422"/>
    <s v="07 de Septiembre de 2018"/>
    <n v="7"/>
    <d v="2018-09-01T00:00:00"/>
    <s v="320,00"/>
    <s v="Trescientos Veinte Bolívares con 00/100"/>
  </r>
  <r>
    <n v="1423"/>
    <m/>
    <s v="ü"/>
    <d v="2018-09-07T00:00:00"/>
    <n v="320"/>
    <x v="77"/>
    <x v="85"/>
    <s v="Calle Guacara Nro. 88-65"/>
    <s v="Cancelación Vigilancia, mes de Septiembre 2018"/>
    <s v="Vigilancia"/>
    <m/>
    <s v="01423"/>
    <s v="07 de Septiembre de 2018"/>
    <n v="7"/>
    <d v="2018-09-01T00:00:00"/>
    <s v="320,00"/>
    <s v="Trescientos Veinte Bolívares con 00/100"/>
  </r>
  <r>
    <n v="1424"/>
    <m/>
    <s v="ü"/>
    <d v="2018-09-09T00:00:00"/>
    <n v="320"/>
    <x v="65"/>
    <x v="58"/>
    <s v="Calle Güigüe Nro. 88-10"/>
    <s v="Cancelación Vigilancia, mes de Septiembre 2018"/>
    <s v="Vigilancia"/>
    <m/>
    <s v="01424"/>
    <s v="09 de Septiembre de 2018"/>
    <n v="9"/>
    <d v="2018-09-01T00:00:00"/>
    <s v="320,00"/>
    <s v="Trescientos Veinte Bolívares con 00/100"/>
  </r>
  <r>
    <n v="1425"/>
    <m/>
    <s v="ü"/>
    <d v="2018-09-11T00:00:00"/>
    <n v="320"/>
    <x v="59"/>
    <x v="9"/>
    <s v="Calle Guacara Nro. 90-35"/>
    <s v="Cancelación Vigilancia, mes de Septiembre 2018"/>
    <s v="Vigilancia"/>
    <m/>
    <s v="01425"/>
    <s v="11 de Septiembre de 2018"/>
    <n v="11"/>
    <d v="2018-09-01T00:00:00"/>
    <s v="320,00"/>
    <s v="Trescientos Veinte Bolívares con 00/100"/>
  </r>
  <r>
    <n v="1426"/>
    <m/>
    <s v="ü"/>
    <d v="2018-09-11T00:00:00"/>
    <n v="320"/>
    <x v="9"/>
    <x v="9"/>
    <s v="Av. &quot;M&quot; Nro. 146-30"/>
    <s v="Cancelación Vigilancia, mes de Septiembre 2018"/>
    <s v="Vigilancia"/>
    <m/>
    <s v="01426"/>
    <s v="11 de Septiembre de 2018"/>
    <n v="11"/>
    <d v="2018-09-01T00:00:00"/>
    <s v="320,00"/>
    <s v="Trescientos Veinte Bolívares con 00/100"/>
  </r>
  <r>
    <n v="1427"/>
    <m/>
    <s v="ü"/>
    <d v="2018-09-12T00:00:00"/>
    <n v="320"/>
    <x v="87"/>
    <x v="75"/>
    <s v="Calle Güigüe Nro. 88-06"/>
    <s v="Cancelación Vigilancia, mes de Septiembre 2018 (saldo a favor: Bs.S. 0,00)"/>
    <s v="Vigilancia"/>
    <m/>
    <s v="01427"/>
    <s v="12 de Septiembre de 2018"/>
    <n v="12"/>
    <d v="2018-09-01T00:00:00"/>
    <s v="320,00"/>
    <s v="Trescientos Veinte Bolívares con 00/100"/>
  </r>
  <r>
    <n v="1428"/>
    <m/>
    <s v="ü"/>
    <d v="2018-09-12T00:00:00"/>
    <n v="320"/>
    <x v="18"/>
    <x v="16"/>
    <s v="Calle Guacara Nro. 87-100"/>
    <s v="Cancelación Vigilancia, mes de Septiembre 2018"/>
    <s v="Vigilancia"/>
    <m/>
    <s v="01428"/>
    <s v="12 de Septiembre de 2018"/>
    <n v="12"/>
    <d v="2018-09-01T00:00:00"/>
    <s v="320,00"/>
    <s v="Trescientos Veinte Bolívares con 00/100"/>
  </r>
  <r>
    <n v="1429"/>
    <m/>
    <s v="ü"/>
    <d v="2018-09-12T00:00:00"/>
    <n v="320"/>
    <x v="17"/>
    <x v="74"/>
    <s v="Av. &quot;M&quot; Nro. 146-20"/>
    <s v="Cancelación Vigilancia, mes de Septiembre 2018"/>
    <s v="Vigilancia"/>
    <m/>
    <s v="01429"/>
    <s v="12 de Septiembre de 2018"/>
    <n v="12"/>
    <d v="2018-09-01T00:00:00"/>
    <s v="320,00"/>
    <s v="Trescientos Veinte Bolívares con 00/100"/>
  </r>
  <r>
    <n v="1430"/>
    <m/>
    <s v="ü"/>
    <d v="2018-09-12T00:00:00"/>
    <n v="12"/>
    <x v="74"/>
    <x v="64"/>
    <s v="Calle Güigüe Nro. 88-20"/>
    <s v="Colaboración Vigilancia, mes de Agosto 2018"/>
    <s v="Vigilancia"/>
    <m/>
    <s v="01430"/>
    <s v="12 de Septiembre de 2018"/>
    <n v="12"/>
    <d v="2018-09-01T00:00:00"/>
    <s v="12,00"/>
    <s v="Doce Bolívares con 00/100"/>
  </r>
  <r>
    <n v="1431"/>
    <m/>
    <s v="ü"/>
    <d v="2018-09-12T00:00:00"/>
    <n v="320"/>
    <x v="0"/>
    <x v="0"/>
    <s v="Calle Guacara Nro. 88-45"/>
    <s v="Cancelación Vigilancia, mes de Septiembre 2018 (saldo a favor: Bs. 1.302,95)"/>
    <s v="Vigilancia"/>
    <m/>
    <s v="01431"/>
    <s v="12 de Septiembre de 2018"/>
    <n v="12"/>
    <d v="2018-09-01T00:00:00"/>
    <s v="320,00"/>
    <s v="Trescientos Veinte Bolívares con 00/100"/>
  </r>
  <r>
    <n v="1432"/>
    <m/>
    <s v="ü"/>
    <d v="2018-09-13T00:00:00"/>
    <n v="320"/>
    <x v="23"/>
    <x v="21"/>
    <s v="Calle Güigüe Nro. 88-116"/>
    <s v="Cancelación Vigilancia, mes de Septiembre 2018"/>
    <s v="Vigilancia"/>
    <m/>
    <s v="01432"/>
    <s v="13 de Septiembre de 2018"/>
    <n v="13"/>
    <d v="2018-09-01T00:00:00"/>
    <s v="320,00"/>
    <s v="Trescientos Veinte Bolívares con 00/100"/>
  </r>
  <r>
    <n v="1433"/>
    <m/>
    <s v="ü"/>
    <d v="2018-09-14T00:00:00"/>
    <n v="500"/>
    <x v="16"/>
    <x v="15"/>
    <s v="Calle Guacara Nro. 90-81"/>
    <s v="Cancelación Vigilancia, saldo mes de Agosto, cancelación mes de Septiembre y anticipo mes de Octubre 2018 (Bs.S 168,50)"/>
    <s v="Vigilancia"/>
    <m/>
    <s v="01433"/>
    <s v="14 de Septiembre de 2018"/>
    <n v="14"/>
    <d v="2018-09-01T00:00:00"/>
    <s v="500,00"/>
    <s v="Quinientos Bolívares con 00/100"/>
  </r>
  <r>
    <n v="1434"/>
    <m/>
    <s v="ü"/>
    <d v="2018-09-14T00:00:00"/>
    <n v="320"/>
    <x v="53"/>
    <x v="80"/>
    <s v="Calle Guacara Nro. 88-91"/>
    <s v="Cancelación Vigilancia, mes de Septiembre 2018"/>
    <s v="Vigilancia"/>
    <m/>
    <s v="01434"/>
    <s v="14 de Septiembre de 2018"/>
    <n v="14"/>
    <d v="2018-09-01T00:00:00"/>
    <s v="320,00"/>
    <s v="Trescientos Veinte Bolívares con 00/100"/>
  </r>
  <r>
    <n v="1435"/>
    <m/>
    <s v="ü"/>
    <d v="2018-09-15T00:00:00"/>
    <n v="320"/>
    <x v="44"/>
    <x v="41"/>
    <s v="Calle Guacara Nro. 89-40"/>
    <s v="Cancelación Vigilancia, mes de Septiembre 2018"/>
    <s v="Vigilancia"/>
    <m/>
    <s v="01435"/>
    <s v="15 de Septiembre de 2018"/>
    <n v="15"/>
    <d v="2018-09-01T00:00:00"/>
    <s v="320,00"/>
    <s v="Trescientos Veinte Bolívares con 00/100"/>
  </r>
  <r>
    <n v="1436"/>
    <m/>
    <s v="ü"/>
    <d v="2018-09-16T00:00:00"/>
    <n v="350"/>
    <x v="46"/>
    <x v="43"/>
    <s v="Av. &quot;I&quot; Nro. 146-20"/>
    <s v="Cancelación Vigilancia, mes de Septiembre y anticipo de Octubre 2018"/>
    <s v="Vigilancia"/>
    <m/>
    <s v="01436"/>
    <s v="16 de Septiembre de 2018"/>
    <n v="16"/>
    <d v="2018-09-01T00:00:00"/>
    <s v="350,00"/>
    <s v="Trescientos Cincuenta Bolívares con 00/100"/>
  </r>
  <r>
    <n v="1437"/>
    <m/>
    <s v="ü"/>
    <d v="2018-09-17T00:00:00"/>
    <n v="320"/>
    <x v="93"/>
    <x v="87"/>
    <s v="Calle Güigüe Nro. 89-89"/>
    <s v="Cancelación Vigilancia, mes de Septiembre 2018"/>
    <s v="Vigilancia"/>
    <m/>
    <s v="01437"/>
    <s v="17 de Septiembre de 2018"/>
    <n v="17"/>
    <d v="2018-09-01T00:00:00"/>
    <s v="320,00"/>
    <s v="Trescientos Veinte Bolívares con 00/100"/>
  </r>
  <r>
    <n v="1438"/>
    <m/>
    <s v="ü"/>
    <d v="2018-09-18T00:00:00"/>
    <n v="342"/>
    <x v="80"/>
    <x v="9"/>
    <s v="Calle Guacara Nro. 88-55"/>
    <s v="Cancelación Vigilancia, meses de Julio, Agosto y Septiembre 2018"/>
    <s v="Vigilancia"/>
    <m/>
    <s v="01438"/>
    <s v="18 de Septiembre de 2018"/>
    <n v="18"/>
    <d v="2018-09-01T00:00:00"/>
    <s v="342,00"/>
    <s v="Trescientos Cuarenta y Dos Bolívares con 00/100"/>
  </r>
  <r>
    <n v="1439"/>
    <m/>
    <s v="ü"/>
    <d v="2018-09-18T00:00:00"/>
    <n v="320"/>
    <x v="76"/>
    <x v="66"/>
    <s v="Calle Güigüe Nro. 89-90"/>
    <s v="Cancelación Vigilancia, mes de Septiembre 2018"/>
    <s v="Vigilancia"/>
    <m/>
    <s v="01439"/>
    <s v="18 de Septiembre de 2018"/>
    <n v="18"/>
    <d v="2018-09-01T00:00:00"/>
    <s v="320,00"/>
    <s v="Trescientos Veinte Bolívares con 00/100"/>
  </r>
  <r>
    <n v="1440"/>
    <m/>
    <s v="ü"/>
    <d v="2018-09-17T00:00:00"/>
    <n v="320"/>
    <x v="36"/>
    <x v="33"/>
    <s v="Calle Güigüe Nro. 89-10"/>
    <s v="Cancelación Vigilancia, mes de Septiembre 2018"/>
    <s v="Vigilancia"/>
    <m/>
    <s v="01440"/>
    <s v="17 de Septiembre de 2018"/>
    <n v="17"/>
    <d v="2018-09-01T00:00:00"/>
    <s v="320,00"/>
    <s v="Trescientos Veinte Bolívares con 00/100"/>
  </r>
  <r>
    <n v="1441"/>
    <m/>
    <s v="ü"/>
    <d v="2018-09-18T00:00:00"/>
    <n v="320"/>
    <x v="26"/>
    <x v="24"/>
    <s v="Calle Güigüe Nro. 89-96"/>
    <s v="Cancelación Vigilancia, mes de Septiembre 2018"/>
    <s v="Vigilancia"/>
    <m/>
    <s v="01441"/>
    <s v="18 de Septiembre de 2018"/>
    <n v="18"/>
    <d v="2018-09-01T00:00:00"/>
    <s v="320,00"/>
    <s v="Trescientos Veinte Bolívares con 00/100"/>
  </r>
  <r>
    <n v="1442"/>
    <m/>
    <s v="ü"/>
    <d v="2018-09-18T00:00:00"/>
    <n v="345.25"/>
    <x v="39"/>
    <x v="36"/>
    <s v="Calle Güigüe Nro. 88-111"/>
    <s v="Cancelación Vigilancia, meses de Junio, Julio, Agosto y Septiembre 2018"/>
    <s v="Vigilancia"/>
    <m/>
    <s v="01442"/>
    <s v="18 de Septiembre de 2018"/>
    <n v="18"/>
    <d v="2018-09-01T00:00:00"/>
    <s v="345,25"/>
    <s v="Trescientos Cuarenta y Cinco Bolívares con 25/100"/>
  </r>
  <r>
    <n v="1443"/>
    <m/>
    <s v="ü"/>
    <d v="2018-09-18T00:00:00"/>
    <n v="601"/>
    <x v="5"/>
    <x v="9"/>
    <s v="Calle Güigüe Nro. 88-120"/>
    <s v="Cancelación Vigilancia, saldo mes de Septiembre y cancelación mes de Octubre 2018"/>
    <s v="Vigilancia"/>
    <m/>
    <s v="01443"/>
    <s v="18 de Septiembre de 2018"/>
    <n v="18"/>
    <d v="2018-09-01T00:00:00"/>
    <s v="601,00"/>
    <s v="Seiscientos Un Bolívares con 00/100"/>
  </r>
  <r>
    <n v="1444"/>
    <m/>
    <s v="ü"/>
    <d v="2018-09-19T00:00:00"/>
    <n v="465"/>
    <x v="73"/>
    <x v="9"/>
    <s v="Calle Güigüe Nros. 88-71 y 88-81"/>
    <s v="Cancelación Vigilancia, mes de Septiembre 2018"/>
    <s v="Vigilancia"/>
    <m/>
    <s v="01444"/>
    <s v="19 de Septiembre de 2018"/>
    <n v="19"/>
    <d v="2018-09-01T00:00:00"/>
    <s v="465,00"/>
    <s v="Cuatrocientos Sesenta y Cinco Bolívares con 00/100"/>
  </r>
  <r>
    <n v="1445"/>
    <m/>
    <s v="ü"/>
    <d v="2018-09-19T00:00:00"/>
    <n v="320"/>
    <x v="88"/>
    <x v="76"/>
    <s v="Calle Güigüe Nro. 88-11"/>
    <s v="Cancelación Vigilancia, mes de Septiembre 2018"/>
    <s v="Vigilancia"/>
    <m/>
    <s v="01445"/>
    <s v="19 de Septiembre de 2018"/>
    <n v="19"/>
    <d v="2018-09-01T00:00:00"/>
    <s v="320,00"/>
    <s v="Trescientos Veinte Bolívares con 00/100"/>
  </r>
  <r>
    <n v="1446"/>
    <m/>
    <s v="ü"/>
    <d v="2018-09-21T00:00:00"/>
    <n v="320"/>
    <x v="15"/>
    <x v="14"/>
    <s v="Calle Guacara Nro. 89-94"/>
    <s v="Cancelación Vigilancia, mes de Septiembre 2018"/>
    <s v="Vigilancia"/>
    <m/>
    <s v="01446"/>
    <s v="21 de Septiembre de 2018"/>
    <n v="21"/>
    <d v="2018-09-01T00:00:00"/>
    <s v="320,00"/>
    <s v="Trescientos Veinte Bolívares con 00/100"/>
  </r>
  <r>
    <n v="1447"/>
    <m/>
    <s v="ü"/>
    <d v="2018-09-21T00:00:00"/>
    <n v="160"/>
    <x v="61"/>
    <x v="14"/>
    <s v="Calle Guacara Nro. 87-07"/>
    <s v="Anticipo Vigilancia, mes de Septiembre 2018"/>
    <s v="Vigilancia"/>
    <m/>
    <s v="01447"/>
    <s v="21 de Septiembre de 2018"/>
    <n v="21"/>
    <d v="2018-09-01T00:00:00"/>
    <s v="160,00"/>
    <s v="Ciento Sesenta Bolívares con 00/100"/>
  </r>
  <r>
    <n v="1448"/>
    <m/>
    <s v="ü"/>
    <d v="2018-09-22T00:00:00"/>
    <n v="320"/>
    <x v="19"/>
    <x v="17"/>
    <s v="Calle Guacara Nro. 89-130"/>
    <s v="Cancelación Vigilancia, mes de Septiembre 2018"/>
    <s v="Vigilancia"/>
    <m/>
    <s v="01448"/>
    <s v="22 de Septiembre de 2018"/>
    <n v="22"/>
    <d v="2018-09-01T00:00:00"/>
    <s v="320,00"/>
    <s v="Trescientos Veinte Bolívares con 00/100"/>
  </r>
  <r>
    <n v="1449"/>
    <m/>
    <s v="ü"/>
    <d v="2018-09-24T00:00:00"/>
    <n v="320"/>
    <x v="83"/>
    <x v="70"/>
    <s v="Calle Güigüe Nro. 89-22"/>
    <s v="Cancelación Vigilancia, mes de Septiembre 2018"/>
    <s v="Vigilancia"/>
    <m/>
    <s v="01449"/>
    <s v="24 de Septiembre de 2018"/>
    <n v="24"/>
    <d v="2018-09-01T00:00:00"/>
    <s v="320,00"/>
    <s v="Trescientos Veinte Bolívares con 00/100"/>
  </r>
  <r>
    <n v="1450"/>
    <m/>
    <s v="ü"/>
    <d v="2018-08-29T00:00:00"/>
    <n v="12"/>
    <x v="49"/>
    <x v="46"/>
    <s v="Av. &quot;O&quot; Nro. 146-17"/>
    <s v="Cancelación Vigilancia, mes de Agosto 2018"/>
    <s v="Vigilancia"/>
    <m/>
    <s v="01450"/>
    <s v="29 de Agosto de 2018"/>
    <n v="29"/>
    <d v="2018-08-01T00:00:00"/>
    <s v="12,00"/>
    <s v="Doce Bolívares con 00/100"/>
  </r>
  <r>
    <n v="1451"/>
    <m/>
    <s v="ü"/>
    <d v="2018-09-25T00:00:00"/>
    <n v="320"/>
    <x v="49"/>
    <x v="46"/>
    <s v="Av. &quot;O&quot; Nro. 146-17"/>
    <s v="Cancelación Vigilancia, mes de Septiembre 2018"/>
    <s v="Vigilancia"/>
    <m/>
    <s v="01451"/>
    <s v="25 de Septiembre de 2018"/>
    <n v="25"/>
    <d v="2018-09-01T00:00:00"/>
    <s v="320,00"/>
    <s v="Trescientos Veinte Bolívares con 00/100"/>
  </r>
  <r>
    <n v="1452"/>
    <m/>
    <s v="ü"/>
    <d v="2018-09-25T00:00:00"/>
    <n v="320"/>
    <x v="28"/>
    <x v="77"/>
    <s v="Calle Güigüe Nro. 88-30"/>
    <s v="Cancelación Vigilancia, mes de Septiembre 2018"/>
    <s v="Vigilancia"/>
    <m/>
    <s v="01452"/>
    <s v="25 de Septiembre de 2018"/>
    <n v="25"/>
    <d v="2018-09-01T00:00:00"/>
    <s v="320,00"/>
    <s v="Trescientos Veinte Bolívares con 00/100"/>
  </r>
  <r>
    <n v="1453"/>
    <m/>
    <s v="ü"/>
    <d v="2018-09-25T00:00:00"/>
    <n v="320"/>
    <x v="42"/>
    <x v="39"/>
    <s v="Calle Güigüe Nro. 89-79"/>
    <s v="Cancelación Vigilancia, mes de Septiembre 2018 (saldo a favor: Bs. 11,15)"/>
    <s v="Vigilancia"/>
    <m/>
    <s v="01453"/>
    <s v="25 de Septiembre de 2018"/>
    <n v="25"/>
    <d v="2018-09-01T00:00:00"/>
    <s v="320,00"/>
    <s v="Trescientos Veinte Bolívares con 00/100"/>
  </r>
  <r>
    <n v="1454"/>
    <m/>
    <s v="ü"/>
    <d v="2018-09-25T00:00:00"/>
    <n v="320"/>
    <x v="45"/>
    <x v="42"/>
    <s v="Calle Güigüe Nro. 87-A-11"/>
    <s v="Cancelación Vigilancia, mes de Septiembre 2018"/>
    <s v="Vigilancia"/>
    <m/>
    <s v="01454"/>
    <s v="25 de Septiembre de 2018"/>
    <n v="25"/>
    <d v="2018-09-01T00:00:00"/>
    <s v="320,00"/>
    <s v="Trescientos Veinte Bolívares con 00/100"/>
  </r>
  <r>
    <n v="1455"/>
    <m/>
    <s v="ü"/>
    <d v="2018-09-25T00:00:00"/>
    <n v="320"/>
    <x v="58"/>
    <x v="53"/>
    <s v="Calle Güigüe Nro. 88-51"/>
    <s v="Cancelación Vigilancia, mes de Septiembre 2018"/>
    <s v="Vigilancia"/>
    <m/>
    <s v="01455"/>
    <s v="25 de Septiembre de 2018"/>
    <n v="25"/>
    <d v="2018-09-01T00:00:00"/>
    <s v="320,00"/>
    <s v="Trescientos Veinte Bolívares con 00/100"/>
  </r>
  <r>
    <n v="1456"/>
    <m/>
    <s v="ü"/>
    <d v="2018-06-25T00:00:00"/>
    <n v="320"/>
    <x v="48"/>
    <x v="9"/>
    <s v="Calle Güigüe Nro. 88-90"/>
    <s v="Cancelación Vigilancia, mes de Septiembre 2018"/>
    <s v="Vigilancia"/>
    <m/>
    <s v="01456"/>
    <s v="25 de Junio de 2018"/>
    <n v="25"/>
    <d v="2018-06-01T00:00:00"/>
    <s v="320,00"/>
    <s v="Trescientos Veinte Bolívares con 00/100"/>
  </r>
  <r>
    <n v="1457"/>
    <m/>
    <s v="ü"/>
    <d v="2018-09-27T00:00:00"/>
    <n v="320"/>
    <x v="35"/>
    <x v="32"/>
    <s v="Calle Güigüe Nro. 89-80"/>
    <s v="Cancelación Vigilancia, mes de Septiembre 2018"/>
    <s v="Vigilancia"/>
    <m/>
    <s v="01457"/>
    <s v="27 de Septiembre de 2018"/>
    <n v="27"/>
    <d v="2018-09-01T00:00:00"/>
    <s v="320,00"/>
    <s v="Trescientos Veinte Bolívares con 00/100"/>
  </r>
  <r>
    <n v="1458"/>
    <m/>
    <s v="ü"/>
    <d v="2018-09-27T00:00:00"/>
    <n v="320"/>
    <x v="84"/>
    <x v="71"/>
    <s v="Calle Güigüe Nro. 89-54"/>
    <s v="Cancelación Vigilancia, mes de Septiembre 2018"/>
    <s v="Vigilancia"/>
    <m/>
    <s v="01458"/>
    <s v="27 de Septiembre de 2018"/>
    <n v="27"/>
    <d v="2018-09-01T00:00:00"/>
    <s v="320,00"/>
    <s v="Trescientos Veinte Bolívares con 00/100"/>
  </r>
  <r>
    <n v="1459"/>
    <m/>
    <s v="ü"/>
    <d v="2018-09-27T00:00:00"/>
    <n v="320"/>
    <x v="40"/>
    <x v="37"/>
    <s v="Calle Güigüe Nro. 88-101"/>
    <s v="Cancelación Vigilancia, mes de Septiembre 2018"/>
    <s v="Vigilancia"/>
    <m/>
    <s v="01459"/>
    <s v="27 de Septiembre de 2018"/>
    <n v="27"/>
    <d v="2018-09-01T00:00:00"/>
    <s v="320,00"/>
    <s v="Trescientos Veinte Bolívares con 00/100"/>
  </r>
  <r>
    <n v="1460"/>
    <m/>
    <s v="ü"/>
    <d v="2018-09-27T00:00:00"/>
    <n v="320"/>
    <x v="37"/>
    <x v="34"/>
    <s v="Av. &quot;I&quot; Nro. 146-40"/>
    <s v="Cancelación Vigilancia, mes de Septiembre 2018"/>
    <s v="Vigilancia"/>
    <m/>
    <s v="01460"/>
    <s v="27 de Septiembre de 2018"/>
    <n v="27"/>
    <d v="2018-09-01T00:00:00"/>
    <s v="320,00"/>
    <s v="Trescientos Veinte Bolívares con 00/100"/>
  </r>
  <r>
    <n v="1461"/>
    <m/>
    <s v="ü"/>
    <d v="2018-09-29T00:00:00"/>
    <n v="320"/>
    <x v="68"/>
    <x v="60"/>
    <s v="Calle Güigüe Nro. 89-29"/>
    <s v="Cancelación Vigilancia, mes de Septiembre 2018"/>
    <s v="Vigilancia"/>
    <m/>
    <s v="01461"/>
    <s v="29 de Septiembre de 2018"/>
    <n v="29"/>
    <d v="2018-09-01T00:00:00"/>
    <s v="320,00"/>
    <s v="Trescientos Veinte Bolívares con 00/100"/>
  </r>
  <r>
    <n v="1462"/>
    <m/>
    <s v="ü"/>
    <d v="2018-09-30T00:00:00"/>
    <n v="100"/>
    <x v="74"/>
    <x v="64"/>
    <s v="Calle Güigüe Nro. 88-20"/>
    <s v="Colaboración Vigilancia, mes de Septiembre 2018"/>
    <s v="Vigilancia"/>
    <m/>
    <s v="01462"/>
    <s v="30 de Septiembre de 2018"/>
    <n v="30"/>
    <d v="2018-09-01T00:00:00"/>
    <s v="100,00"/>
    <s v="Cien Bolívares con 00/100"/>
  </r>
  <r>
    <n v="1463"/>
    <m/>
    <s v="ü"/>
    <d v="2018-10-02T00:00:00"/>
    <n v="270"/>
    <x v="2"/>
    <x v="83"/>
    <s v="Calle Guacara Nro. 88-19"/>
    <s v="Colaboración Vigilancia, mes de Septiembre 2018"/>
    <s v="Vigilancia"/>
    <m/>
    <s v="01463"/>
    <s v="02 de Octubre de 2018"/>
    <n v="2"/>
    <d v="2018-10-01T00:00:00"/>
    <s v="270,00"/>
    <s v="Doscientos Setenta Bolívares con 00/100"/>
  </r>
  <r>
    <n v="1464"/>
    <m/>
    <s v="ü"/>
    <d v="2018-10-03T00:00:00"/>
    <n v="320"/>
    <x v="7"/>
    <x v="7"/>
    <s v="Calle Guacara Nro. 87-86"/>
    <s v="Cancelación Vigilancia, mes de Octubre 2018"/>
    <s v="Vigilancia"/>
    <m/>
    <s v="01464"/>
    <s v="03 de Octubre de 2018"/>
    <n v="3"/>
    <d v="2018-10-01T00:00:00"/>
    <s v="320,00"/>
    <s v="Trescientos Veinte Bolívares con 00/100"/>
  </r>
  <r>
    <n v="1465"/>
    <m/>
    <s v="ü"/>
    <d v="2018-10-03T00:00:00"/>
    <n v="320"/>
    <x v="27"/>
    <x v="25"/>
    <s v="Calle Güigüe Nro. 89-106"/>
    <s v="Cancelación Vigilancia, mes de Septiembre 2018"/>
    <s v="Vigilancia"/>
    <m/>
    <s v="01465"/>
    <s v="03 de Octubre de 2018"/>
    <n v="3"/>
    <d v="2018-10-01T00:00:00"/>
    <s v="320,00"/>
    <s v="Trescientos Veinte Bolívares con 00/100"/>
  </r>
  <r>
    <n v="1466"/>
    <m/>
    <s v="ü"/>
    <d v="2018-10-03T00:00:00"/>
    <n v="350"/>
    <x v="3"/>
    <x v="3"/>
    <s v="Calle Güigüe Nro. 88-62"/>
    <s v="Cancelación Vigilancia, meses de Agosto y Septiembre, y anticipo mes de Octubre 2018"/>
    <s v="Vigilancia"/>
    <m/>
    <s v="01466"/>
    <s v="03 de Octubre de 2018"/>
    <n v="3"/>
    <d v="2018-10-01T00:00:00"/>
    <s v="350,00"/>
    <s v="Trescientos Cincuenta Bolívares con 00/100"/>
  </r>
  <r>
    <n v="1467"/>
    <m/>
    <s v="ü"/>
    <d v="2018-10-03T00:00:00"/>
    <n v="320"/>
    <x v="69"/>
    <x v="61"/>
    <s v="Calle Güigüe Nro. 89-40"/>
    <s v="Cancelación Vigilancia, mes de Octubre 2018"/>
    <s v="Vigilancia"/>
    <m/>
    <s v="01467"/>
    <s v="03 de Octubre de 2018"/>
    <n v="3"/>
    <d v="2018-10-01T00:00:00"/>
    <s v="320,00"/>
    <s v="Trescientos Veinte Bolívares con 00/100"/>
  </r>
  <r>
    <n v="1468"/>
    <m/>
    <s v="ü"/>
    <d v="2018-10-03T00:00:00"/>
    <n v="320"/>
    <x v="8"/>
    <x v="78"/>
    <s v="Calle Guacara Nro. 90-51"/>
    <s v="Cancelación Vigilancia, mes de Septiembre 2018"/>
    <s v="Vigilancia"/>
    <m/>
    <s v="01468"/>
    <s v="03 de Octubre de 2018"/>
    <n v="3"/>
    <d v="2018-10-01T00:00:00"/>
    <s v="320,00"/>
    <s v="Trescientos Veinte Bolívares con 00/100"/>
  </r>
  <r>
    <n v="1469"/>
    <m/>
    <s v="ü"/>
    <d v="2018-10-02T00:00:00"/>
    <n v="500"/>
    <x v="6"/>
    <x v="6"/>
    <s v="Calle Guacara Nro. 89-60"/>
    <s v="Cancelación Vigilancia, mes de Octubre 2018 más aporte"/>
    <s v="Vigilancia"/>
    <m/>
    <s v="01469"/>
    <s v="02 de Octubre de 2018"/>
    <n v="2"/>
    <d v="2018-10-01T00:00:00"/>
    <s v="500,00"/>
    <s v="Quinientos Bolívares con 00/100"/>
  </r>
  <r>
    <n v="1470"/>
    <m/>
    <s v="ü"/>
    <d v="2018-10-04T00:00:00"/>
    <n v="320"/>
    <x v="81"/>
    <x v="69"/>
    <s v="Calle Güigüe Nro. 89-65"/>
    <s v="Cancelación Vigilancia, mes de Octubre 2018"/>
    <s v="Vigilancia"/>
    <m/>
    <s v="01470"/>
    <s v="04 de Octubre de 2018"/>
    <n v="4"/>
    <d v="2018-10-01T00:00:00"/>
    <s v="320,00"/>
    <s v="Trescientos Veinte Bolívares con 00/100"/>
  </r>
  <r>
    <n v="1471"/>
    <m/>
    <s v="ü"/>
    <d v="2018-10-04T00:00:00"/>
    <n v="10"/>
    <x v="12"/>
    <x v="12"/>
    <s v="Calle Guacara Nro. 89-20"/>
    <s v="Colaboración reparación del portón principal"/>
    <s v="Reparación Portón 2"/>
    <m/>
    <s v="01471"/>
    <s v="04 de Octubre de 2018"/>
    <n v="4"/>
    <d v="2018-10-01T00:00:00"/>
    <s v="10,00"/>
    <s v="Diez Bolívares con 00/100"/>
  </r>
  <r>
    <n v="1472"/>
    <m/>
    <s v="ü"/>
    <d v="2018-10-04T00:00:00"/>
    <n v="320"/>
    <x v="12"/>
    <x v="12"/>
    <s v="Calle Guacara Nro. 89-20"/>
    <s v="Cancelación Vigilancia, mes de Octubre 2018"/>
    <s v="Vigilancia"/>
    <m/>
    <s v="01472"/>
    <s v="04 de Octubre de 2018"/>
    <n v="4"/>
    <d v="2018-10-01T00:00:00"/>
    <s v="320,00"/>
    <s v="Trescientos Veinte Bolívares con 00/100"/>
  </r>
  <r>
    <n v="1473"/>
    <m/>
    <s v="ü"/>
    <d v="2018-10-04T00:00:00"/>
    <n v="50"/>
    <x v="84"/>
    <x v="71"/>
    <s v="Calle Güigüe Nro. 89-54"/>
    <s v="Colaboración reparación del portón principal"/>
    <s v="Reparación Portón 2"/>
    <m/>
    <s v="01473"/>
    <s v="04 de Octubre de 2018"/>
    <n v="4"/>
    <d v="2018-10-01T00:00:00"/>
    <s v="50,00"/>
    <s v="Cincuenta Bolívares con 00/100"/>
  </r>
  <r>
    <n v="1474"/>
    <m/>
    <s v="ü"/>
    <d v="2018-10-04T00:00:00"/>
    <n v="10"/>
    <x v="83"/>
    <x v="70"/>
    <s v="Calle Güigüe Nro. 89-22"/>
    <s v="Colaboración reparación del portón principal"/>
    <s v="Reparación Portón 2"/>
    <m/>
    <s v="01474"/>
    <s v="04 de Octubre de 2018"/>
    <n v="4"/>
    <d v="2018-10-01T00:00:00"/>
    <s v="10,00"/>
    <s v="Diez Bolívares con 00/100"/>
  </r>
  <r>
    <n v="1475"/>
    <m/>
    <s v="ü"/>
    <d v="2018-10-04T00:00:00"/>
    <n v="320"/>
    <x v="1"/>
    <x v="1"/>
    <s v="Calle Güigüe Nro. 88-44"/>
    <s v="Cancelación Vigilancia, mes de Octubre 2018"/>
    <s v="Vigilancia"/>
    <m/>
    <s v="01475"/>
    <s v="04 de Octubre de 2018"/>
    <n v="4"/>
    <d v="2018-10-01T00:00:00"/>
    <s v="320,00"/>
    <s v="Trescientos Veinte Bolívares con 00/100"/>
  </r>
  <r>
    <n v="1476"/>
    <m/>
    <s v="ü"/>
    <d v="2018-10-04T00:00:00"/>
    <n v="10"/>
    <x v="1"/>
    <x v="1"/>
    <s v="Calle Güigüe Nro. 88-44"/>
    <s v="Colaboración reparación del portón principal"/>
    <s v="Reparación Portón 2"/>
    <m/>
    <s v="01476"/>
    <s v="04 de Octubre de 2018"/>
    <n v="4"/>
    <d v="2018-10-01T00:00:00"/>
    <s v="10,00"/>
    <s v="Diez Bolívares con 00/100"/>
  </r>
  <r>
    <n v="1477"/>
    <m/>
    <s v="ü"/>
    <d v="2018-10-04T00:00:00"/>
    <n v="50"/>
    <x v="6"/>
    <x v="6"/>
    <s v="Calle Guacara Nro. 89-60"/>
    <s v="Colaboración reparación del portón principal"/>
    <s v="Reparación Portón 2"/>
    <m/>
    <s v="01477"/>
    <s v="04 de Octubre de 2018"/>
    <n v="4"/>
    <d v="2018-10-01T00:00:00"/>
    <s v="50,00"/>
    <s v="Cincuenta Bolívares con 00/100"/>
  </r>
  <r>
    <n v="1478"/>
    <m/>
    <s v="ü"/>
    <d v="2018-10-05T00:00:00"/>
    <n v="628"/>
    <x v="60"/>
    <x v="54"/>
    <s v="Calle Guacara Nro. 88-51"/>
    <s v="Cancelación Vigilancia, saldo mes de Septiembre y cancelación mes de Octubre 2018"/>
    <s v="Vigilancia"/>
    <m/>
    <s v="01478"/>
    <s v="05 de Octubre de 2018"/>
    <n v="5"/>
    <d v="2018-10-01T00:00:00"/>
    <s v="628,00"/>
    <s v="Seiscientos Veintiocho Bolívares con 00/100"/>
  </r>
  <r>
    <n v="1479"/>
    <m/>
    <s v="ü"/>
    <d v="2018-10-05T00:00:00"/>
    <n v="72"/>
    <x v="60"/>
    <x v="54"/>
    <s v="Calle Guacara Nro. 88-51"/>
    <s v="Colaboración reparación del portón principal"/>
    <s v="Reparación Portón 2"/>
    <m/>
    <s v="01479"/>
    <s v="05 de Octubre de 2018"/>
    <n v="5"/>
    <d v="2018-10-01T00:00:00"/>
    <s v="72,00"/>
    <s v="Setenta y Dos Bolívares con 00/100"/>
  </r>
  <r>
    <n v="1480"/>
    <m/>
    <s v="ü"/>
    <d v="2018-10-05T00:00:00"/>
    <n v="320"/>
    <x v="4"/>
    <x v="4"/>
    <s v="Calle Güigüe Nro. 89-55"/>
    <s v="Cancelación Vigilancia, mes de Octubre 2018"/>
    <s v="Vigilancia"/>
    <m/>
    <s v="01480"/>
    <s v="05 de Octubre de 2018"/>
    <n v="5"/>
    <d v="2018-10-01T00:00:00"/>
    <s v="320,00"/>
    <s v="Trescientos Veinte Bolívares con 00/100"/>
  </r>
  <r>
    <n v="1481"/>
    <m/>
    <s v="ü"/>
    <d v="2018-10-05T00:00:00"/>
    <n v="10"/>
    <x v="4"/>
    <x v="4"/>
    <s v="Calle Güigüe Nro. 89-55"/>
    <s v="Colaboración reparación del portón principal"/>
    <s v="Reparación Portón 2"/>
    <m/>
    <s v="01481"/>
    <s v="05 de Octubre de 2018"/>
    <n v="5"/>
    <d v="2018-10-01T00:00:00"/>
    <s v="10,00"/>
    <s v="Diez Bolívares con 00/100"/>
  </r>
  <r>
    <n v="1482"/>
    <m/>
    <s v="ü"/>
    <d v="2018-10-05T00:00:00"/>
    <n v="10"/>
    <x v="63"/>
    <x v="56"/>
    <s v="Calle Guacara Nro. 88-85"/>
    <s v="Colaboración reparación del portón principal"/>
    <s v="Reparación Portón 2"/>
    <m/>
    <s v="01482"/>
    <s v="05 de Octubre de 2018"/>
    <n v="5"/>
    <d v="2018-10-01T00:00:00"/>
    <s v="10,00"/>
    <s v="Diez Bolívares con 00/100"/>
  </r>
  <r>
    <n v="1483"/>
    <m/>
    <s v="ü"/>
    <d v="2018-10-05T00:00:00"/>
    <n v="270"/>
    <x v="90"/>
    <x v="82"/>
    <s v="Calle Güigüe Nro. 89-04"/>
    <s v="Cancelación Vigilancia, saldo mes de Octubre 2018"/>
    <s v="Vigilancia"/>
    <m/>
    <s v="01483"/>
    <s v="05 de Octubre de 2018"/>
    <n v="5"/>
    <d v="2018-10-01T00:00:00"/>
    <s v="270,00"/>
    <s v="Doscientos Setenta Bolívares con 00/100"/>
  </r>
  <r>
    <n v="1484"/>
    <m/>
    <s v="ü"/>
    <d v="2018-10-05T00:00:00"/>
    <n v="10"/>
    <x v="90"/>
    <x v="82"/>
    <s v="Calle Güigüe Nro. 89-04"/>
    <s v="Colaboración reparación del portón principal"/>
    <s v="Reparación Portón 2"/>
    <m/>
    <s v="01484"/>
    <s v="05 de Octubre de 2018"/>
    <n v="5"/>
    <d v="2018-10-01T00:00:00"/>
    <s v="10,00"/>
    <s v="Diez Bolívares con 00/100"/>
  </r>
  <r>
    <n v="1485"/>
    <m/>
    <s v="ü"/>
    <d v="2018-10-05T00:00:00"/>
    <n v="10"/>
    <x v="19"/>
    <x v="17"/>
    <s v="Calle Guacara Nro. 89-130"/>
    <s v="Colaboración reparación del portón principal"/>
    <s v="Reparación Portón 2"/>
    <m/>
    <s v="01485"/>
    <s v="05 de Octubre de 2018"/>
    <n v="5"/>
    <d v="2018-10-01T00:00:00"/>
    <s v="10,00"/>
    <s v="Diez Bolívares con 00/100"/>
  </r>
  <r>
    <n v="1486"/>
    <m/>
    <s v="ü"/>
    <d v="2018-09-29T00:00:00"/>
    <n v="322"/>
    <x v="34"/>
    <x v="9"/>
    <s v="Av. &quot;O&quot; Nro. 146-11"/>
    <s v="Cancelación Vigilancia, saldo mes de Agosto y cancelación mes de Septiembre 2018"/>
    <s v="Vigilancia"/>
    <m/>
    <s v="01486"/>
    <s v="29 de Septiembre de 2018"/>
    <n v="29"/>
    <d v="2018-09-01T00:00:00"/>
    <s v="322,00"/>
    <s v="Trescientos Veintidos Bolívares con 00/100"/>
  </r>
  <r>
    <n v="1487"/>
    <m/>
    <s v="ü"/>
    <d v="2018-10-05T00:00:00"/>
    <n v="10"/>
    <x v="26"/>
    <x v="24"/>
    <s v="Calle Güigüe Nro. 89-96"/>
    <s v="Colaboración reparación del portón principal"/>
    <s v="Reparación Portón 2"/>
    <m/>
    <s v="01487"/>
    <s v="05 de Octubre de 2018"/>
    <n v="5"/>
    <d v="2018-10-01T00:00:00"/>
    <s v="10,00"/>
    <s v="Diez Bolívares con 00/100"/>
  </r>
  <r>
    <n v="1488"/>
    <m/>
    <s v="ü"/>
    <d v="2018-10-05T00:00:00"/>
    <n v="10"/>
    <x v="38"/>
    <x v="35"/>
    <s v="Calle Guacara Nro. 89-78"/>
    <s v="Colaboración reparación del portón principal"/>
    <s v="Reparación Portón 2"/>
    <m/>
    <s v="01488"/>
    <s v="05 de Octubre de 2018"/>
    <n v="5"/>
    <d v="2018-10-01T00:00:00"/>
    <s v="10,00"/>
    <s v="Diez Bolívares con 00/100"/>
  </r>
  <r>
    <n v="1489"/>
    <m/>
    <s v="ü"/>
    <d v="2018-10-05T00:00:00"/>
    <n v="10"/>
    <x v="94"/>
    <x v="88"/>
    <s v="Av. &quot;M&quot; Nro. 146-25"/>
    <s v="Colaboración reparación del portón principal"/>
    <s v="Reparación Portón 2"/>
    <m/>
    <s v="01489"/>
    <s v="05 de Octubre de 2018"/>
    <n v="5"/>
    <d v="2018-10-01T00:00:00"/>
    <s v="10,00"/>
    <s v="Diez Bolívares con 00/100"/>
  </r>
  <r>
    <n v="1490"/>
    <m/>
    <s v="ü"/>
    <d v="2018-10-05T00:00:00"/>
    <n v="10"/>
    <x v="45"/>
    <x v="42"/>
    <s v="Calle Güigüe Nro. 87-A-11"/>
    <s v="Colaboración reparación del portón principal"/>
    <s v="Reparación Portón 2"/>
    <m/>
    <s v="01490"/>
    <s v="05 de Octubre de 2018"/>
    <n v="5"/>
    <d v="2018-10-01T00:00:00"/>
    <s v="10,00"/>
    <s v="Diez Bolívares con 00/100"/>
  </r>
  <r>
    <n v="1491"/>
    <m/>
    <s v="ü"/>
    <d v="2018-10-05T00:00:00"/>
    <n v="15"/>
    <x v="16"/>
    <x v="15"/>
    <s v="Calle Guacara Nro. 90-81"/>
    <s v="Colaboración reparación del portón principal"/>
    <s v="Reparación Portón 2"/>
    <m/>
    <s v="01491"/>
    <s v="05 de Octubre de 2018"/>
    <n v="5"/>
    <d v="2018-10-01T00:00:00"/>
    <s v="15,00"/>
    <s v="Quince Bolívares con 00/100"/>
  </r>
  <r>
    <n v="1492"/>
    <m/>
    <s v="ü"/>
    <d v="2018-10-05T00:00:00"/>
    <n v="10"/>
    <x v="7"/>
    <x v="7"/>
    <s v="Calle Guacara Nro. 87-86"/>
    <s v="Colaboración reparación del portón principal"/>
    <s v="Reparación Portón 2"/>
    <m/>
    <s v="01492"/>
    <s v="05 de Octubre de 2018"/>
    <n v="5"/>
    <d v="2018-10-01T00:00:00"/>
    <s v="10,00"/>
    <s v="Diez Bolívares con 00/100"/>
  </r>
  <r>
    <n v="1493"/>
    <m/>
    <s v="ü"/>
    <d v="2018-10-05T00:00:00"/>
    <n v="10"/>
    <x v="40"/>
    <x v="37"/>
    <s v="Calle Güigüe Nro. 88-101"/>
    <s v="Colaboración reparación del portón principal"/>
    <s v="Reparación Portón 2"/>
    <m/>
    <s v="01493"/>
    <s v="05 de Octubre de 2018"/>
    <n v="5"/>
    <d v="2018-10-01T00:00:00"/>
    <s v="10,00"/>
    <s v="Diez Bolívares con 00/100"/>
  </r>
  <r>
    <n v="1494"/>
    <m/>
    <s v="ü"/>
    <d v="2018-10-06T00:00:00"/>
    <n v="100"/>
    <x v="57"/>
    <x v="9"/>
    <s v="Calle Güigüe Nro. 88-40"/>
    <s v="Colaboración Vigilancia, meses de Julio, Agosto y Septiembre 2018"/>
    <s v="Vigilancia"/>
    <m/>
    <s v="01494"/>
    <s v="06 de Octubre de 2018"/>
    <n v="6"/>
    <d v="2018-10-01T00:00:00"/>
    <s v="100,00"/>
    <s v="Cien Bolívares con 00/100"/>
  </r>
  <r>
    <n v="1495"/>
    <m/>
    <s v="ü"/>
    <d v="2018-10-06T00:00:00"/>
    <n v="10"/>
    <x v="61"/>
    <x v="14"/>
    <s v="Calle Guacara Nro. 87-07"/>
    <s v="Colaboración reparación del portón principal"/>
    <s v="Reparación Portón 2"/>
    <m/>
    <s v="01495"/>
    <s v="06 de Octubre de 2018"/>
    <n v="6"/>
    <d v="2018-10-01T00:00:00"/>
    <s v="10,00"/>
    <s v="Diez Bolívares con 00/100"/>
  </r>
  <r>
    <n v="1496"/>
    <m/>
    <s v="ü"/>
    <d v="2018-10-06T00:00:00"/>
    <n v="320"/>
    <x v="15"/>
    <x v="14"/>
    <s v="Calle Guacara Nro. 89-94"/>
    <s v="Cancelación Vigilancia, mes de Octubre 2018"/>
    <s v="Vigilancia"/>
    <m/>
    <s v="01496"/>
    <s v="06 de Octubre de 2018"/>
    <n v="6"/>
    <d v="2018-10-01T00:00:00"/>
    <s v="320,00"/>
    <s v="Trescientos Veinte Bolívares con 00/100"/>
  </r>
  <r>
    <n v="1497"/>
    <m/>
    <s v="ü"/>
    <d v="2018-10-06T00:00:00"/>
    <n v="10"/>
    <x v="15"/>
    <x v="14"/>
    <s v="Calle Guacara Nro. 89-94"/>
    <s v="Colaboración reparación del portón principal"/>
    <s v="Reparación Portón 2"/>
    <m/>
    <s v="01497"/>
    <s v="06 de Octubre de 2018"/>
    <n v="6"/>
    <d v="2018-10-01T00:00:00"/>
    <s v="10,00"/>
    <s v="Diez Bolívares con 00/100"/>
  </r>
  <r>
    <n v="1498"/>
    <m/>
    <s v="ü"/>
    <d v="2018-10-07T00:00:00"/>
    <n v="320"/>
    <x v="20"/>
    <x v="18"/>
    <s v="Calle Guacara Nro. 89-30"/>
    <s v="Cancelación Vigilancia, mes de Octubre 2018"/>
    <s v="Vigilancia"/>
    <m/>
    <s v="01498"/>
    <s v="07 de Octubre de 2018"/>
    <n v="7"/>
    <d v="2018-10-01T00:00:00"/>
    <s v="320,00"/>
    <s v="Trescientos Veinte Bolívares con 00/100"/>
  </r>
  <r>
    <n v="1499"/>
    <m/>
    <s v="ü"/>
    <d v="2018-10-07T00:00:00"/>
    <n v="10"/>
    <x v="20"/>
    <x v="18"/>
    <s v="Calle Guacara Nro. 89-30"/>
    <s v="Colaboración reparación del portón principal"/>
    <s v="Reparación Portón 2"/>
    <m/>
    <s v="01499"/>
    <s v="07 de Octubre de 2018"/>
    <n v="7"/>
    <d v="2018-10-01T00:00:00"/>
    <s v="10,00"/>
    <s v="Diez Bolívares con 00/100"/>
  </r>
  <r>
    <n v="1500"/>
    <m/>
    <s v="ü"/>
    <d v="2018-10-07T00:00:00"/>
    <n v="320"/>
    <x v="17"/>
    <x v="74"/>
    <s v="Av. &quot;M&quot; Nro. 146-20"/>
    <s v="Cancelación Vigilancia, mes de Octubre 2018"/>
    <s v="Vigilancia"/>
    <m/>
    <s v="01500"/>
    <s v="07 de Octubre de 2018"/>
    <n v="7"/>
    <d v="2018-10-01T00:00:00"/>
    <s v="320,00"/>
    <s v="Trescientos Veinte Bolívares con 00/100"/>
  </r>
  <r>
    <n v="1501"/>
    <m/>
    <s v="ü"/>
    <d v="2018-10-07T00:00:00"/>
    <n v="10"/>
    <x v="17"/>
    <x v="74"/>
    <s v="Av. &quot;M&quot; Nro. 146-20"/>
    <s v="Colaboración reparación del portón principal"/>
    <s v="Reparación Portón 2"/>
    <m/>
    <s v="01501"/>
    <s v="07 de Octubre de 2018"/>
    <n v="7"/>
    <d v="2018-10-01T00:00:00"/>
    <s v="10,00"/>
    <s v="Diez Bolívares con 00/100"/>
  </r>
  <r>
    <n v="1502"/>
    <m/>
    <s v="ü"/>
    <d v="2018-10-07T00:00:00"/>
    <n v="322"/>
    <x v="21"/>
    <x v="19"/>
    <s v="Calle Güigüe Nro. 89-105"/>
    <s v="Cancelación Vigilancia, saldo mes de Agosto y cancelación mes de Septiembre 2018"/>
    <s v="Vigilancia"/>
    <m/>
    <s v="01502"/>
    <s v="07 de Octubre de 2018"/>
    <n v="7"/>
    <d v="2018-10-01T00:00:00"/>
    <s v="322,00"/>
    <s v="Trescientos Veintidos Bolívares con 00/100"/>
  </r>
  <r>
    <n v="1503"/>
    <m/>
    <s v="ü"/>
    <d v="2018-10-07T00:00:00"/>
    <n v="10"/>
    <x v="21"/>
    <x v="19"/>
    <s v="Calle Güigüe Nro. 89-105"/>
    <s v="Colaboración reparación del portón principal"/>
    <s v="Reparación Portón 2"/>
    <m/>
    <s v="01503"/>
    <s v="07 de Octubre de 2018"/>
    <n v="7"/>
    <d v="2018-10-01T00:00:00"/>
    <s v="10,00"/>
    <s v="Diez Bolívares con 00/100"/>
  </r>
  <r>
    <n v="1504"/>
    <m/>
    <s v="ü"/>
    <d v="2018-10-07T00:00:00"/>
    <n v="320"/>
    <x v="21"/>
    <x v="19"/>
    <s v="Calle Guacara Nro. 89-130"/>
    <s v="Cancelación Vigilancia, mes de Octubre 2018"/>
    <s v="Vigilancia"/>
    <m/>
    <s v="01504"/>
    <s v="07 de Octubre de 2018"/>
    <n v="7"/>
    <d v="2018-10-01T00:00:00"/>
    <s v="320,00"/>
    <s v="Trescientos Veinte Bolívares con 00/100"/>
  </r>
  <r>
    <n v="1505"/>
    <m/>
    <s v="ü"/>
    <d v="2018-10-07T00:00:00"/>
    <n v="320"/>
    <x v="76"/>
    <x v="66"/>
    <s v="Calle Güigüe Nro. 89-90"/>
    <s v="Cancelación Vigilancia, mes de Octubre 2018"/>
    <s v="Vigilancia"/>
    <m/>
    <s v="01505"/>
    <s v="07 de Octubre de 2018"/>
    <n v="7"/>
    <d v="2018-10-01T00:00:00"/>
    <s v="320,00"/>
    <s v="Trescientos Veinte Bolívares con 00/100"/>
  </r>
  <r>
    <n v="1506"/>
    <m/>
    <s v="ü"/>
    <d v="2018-10-07T00:00:00"/>
    <n v="30"/>
    <x v="76"/>
    <x v="66"/>
    <s v="Calle Güigüe Nro. 89-90"/>
    <s v="Colaboración reparación del portón principal"/>
    <s v="Reparación Portón 2"/>
    <m/>
    <s v="01506"/>
    <s v="07 de Octubre de 2018"/>
    <n v="7"/>
    <d v="2018-10-01T00:00:00"/>
    <s v="30,00"/>
    <s v="Treinta Bolívares con 00/100"/>
  </r>
  <r>
    <n v="1507"/>
    <m/>
    <s v="ü"/>
    <d v="2018-10-08T00:00:00"/>
    <n v="320"/>
    <x v="24"/>
    <x v="22"/>
    <s v="Calle Güigüe Nro. 88-54"/>
    <s v="Cancelación Vigilancia, mes de Octubre 2018"/>
    <s v="Vigilancia"/>
    <m/>
    <s v="01507"/>
    <s v="08 de Octubre de 2018"/>
    <n v="8"/>
    <d v="2018-10-01T00:00:00"/>
    <s v="320,00"/>
    <s v="Trescientos Veinte Bolívares con 00/100"/>
  </r>
  <r>
    <n v="1508"/>
    <m/>
    <s v="ü"/>
    <d v="2018-10-08T00:00:00"/>
    <n v="10"/>
    <x v="24"/>
    <x v="22"/>
    <s v="Calle Güigüe Nro. 88-54"/>
    <s v="Colaboración reparación del portón principal"/>
    <s v="Reparación Portón 2"/>
    <m/>
    <s v="01508"/>
    <s v="08 de Octubre de 2018"/>
    <n v="8"/>
    <d v="2018-10-01T00:00:00"/>
    <s v="10,00"/>
    <s v="Diez Bolívares con 00/100"/>
  </r>
  <r>
    <n v="1509"/>
    <m/>
    <s v="ü"/>
    <d v="2018-10-08T00:00:00"/>
    <n v="320"/>
    <x v="62"/>
    <x v="55"/>
    <s v="Av. &quot;M&quot; Nro. 145-10"/>
    <s v="Cancelación Vigilancia, mes de Octubre 2018"/>
    <s v="Vigilancia"/>
    <m/>
    <s v="01509"/>
    <s v="08 de Octubre de 2018"/>
    <n v="8"/>
    <d v="2018-10-01T00:00:00"/>
    <s v="320,00"/>
    <s v="Trescientos Veinte Bolívares con 00/100"/>
  </r>
  <r>
    <n v="1510"/>
    <m/>
    <s v="ü"/>
    <d v="2018-10-08T00:00:00"/>
    <n v="10"/>
    <x v="62"/>
    <x v="55"/>
    <s v="Av. &quot;M&quot; Nro. 145-10"/>
    <s v="Colaboración reparación del portón principal"/>
    <s v="Reparación Portón 2"/>
    <m/>
    <s v="01510"/>
    <s v="08 de Octubre de 2018"/>
    <n v="8"/>
    <d v="2018-10-01T00:00:00"/>
    <s v="10,00"/>
    <s v="Diez Bolívares con 00/100"/>
  </r>
  <r>
    <n v="1511"/>
    <m/>
    <s v="ü"/>
    <d v="2018-10-08T00:00:00"/>
    <n v="320"/>
    <x v="46"/>
    <x v="43"/>
    <s v="Av. &quot;I&quot; Nro. 146-20"/>
    <s v="Cancelación Vigilancia, saldo mes de Octubre y anticipo mes de Noviembre 2018"/>
    <s v="Vigilancia"/>
    <m/>
    <s v="01511"/>
    <s v="08 de Octubre de 2018"/>
    <n v="8"/>
    <d v="2018-10-01T00:00:00"/>
    <s v="320,00"/>
    <s v="Trescientos Veinte Bolívares con 00/100"/>
  </r>
  <r>
    <n v="1512"/>
    <m/>
    <s v="ü"/>
    <d v="2018-10-08T00:00:00"/>
    <n v="10"/>
    <x v="46"/>
    <x v="43"/>
    <s v="Av. &quot;I&quot; Nro. 146-20"/>
    <s v="Colaboración reparación del portón principal"/>
    <s v="Reparación Portón 2"/>
    <m/>
    <s v="01512"/>
    <s v="08 de Octubre de 2018"/>
    <n v="8"/>
    <d v="2018-10-01T00:00:00"/>
    <s v="10,00"/>
    <s v="Diez Bolívares con 00/100"/>
  </r>
  <r>
    <n v="1513"/>
    <m/>
    <s v="ü"/>
    <d v="2018-10-08T00:00:00"/>
    <n v="320"/>
    <x v="14"/>
    <x v="13"/>
    <s v="Calle Güigüe Nro. 89-83"/>
    <s v="Cancelación Vigilancia, mes de Octubre 2018"/>
    <s v="Vigilancia"/>
    <m/>
    <s v="01513"/>
    <s v="08 de Octubre de 2018"/>
    <n v="8"/>
    <d v="2018-10-01T00:00:00"/>
    <s v="320,00"/>
    <s v="Trescientos Veinte Bolívares con 00/100"/>
  </r>
  <r>
    <n v="1514"/>
    <m/>
    <s v="ü"/>
    <d v="2018-10-08T00:00:00"/>
    <n v="10"/>
    <x v="14"/>
    <x v="13"/>
    <s v="Calle Güigüe Nro. 89-83"/>
    <s v="Colaboración reparación del portón principal"/>
    <s v="Reparación Portón 2"/>
    <m/>
    <s v="01514"/>
    <s v="08 de Octubre de 2018"/>
    <n v="8"/>
    <d v="2018-10-01T00:00:00"/>
    <s v="10,00"/>
    <s v="Diez Bolívares con 00/100"/>
  </r>
  <r>
    <n v="1515"/>
    <m/>
    <s v="ü"/>
    <d v="2018-10-08T00:00:00"/>
    <n v="320"/>
    <x v="22"/>
    <x v="20"/>
    <s v="Calle Guacara Nro. 88-25"/>
    <s v="Cancelación Vigilancia, mes de Septiembre 2018"/>
    <s v="Vigilancia"/>
    <m/>
    <s v="01515"/>
    <s v="08 de Octubre de 2018"/>
    <n v="8"/>
    <d v="2018-10-01T00:00:00"/>
    <s v="320,00"/>
    <s v="Trescientos Veinte Bolívares con 00/100"/>
  </r>
  <r>
    <n v="1516"/>
    <m/>
    <s v="ü"/>
    <d v="2018-10-08T00:00:00"/>
    <n v="10"/>
    <x v="22"/>
    <x v="20"/>
    <s v="Calle Guacara Nro. 88-25"/>
    <s v="Colaboración reparación del portón principal"/>
    <s v="Reparación Portón 2"/>
    <m/>
    <s v="01516"/>
    <s v="08 de Octubre de 2018"/>
    <n v="8"/>
    <d v="2018-10-01T00:00:00"/>
    <s v="10,00"/>
    <s v="Diez Bolívares con 00/100"/>
  </r>
  <r>
    <n v="1517"/>
    <m/>
    <s v="ü"/>
    <d v="2018-10-09T00:00:00"/>
    <n v="10"/>
    <x v="34"/>
    <x v="9"/>
    <s v="Av. &quot;O&quot; Nro. 146-11"/>
    <s v="Colaboración reparación del portón principal"/>
    <s v="Reparación Portón 2"/>
    <m/>
    <s v="01517"/>
    <s v="09 de Octubre de 2018"/>
    <n v="9"/>
    <d v="2018-10-01T00:00:00"/>
    <s v="10,00"/>
    <s v="Diez Bolívares con 00/100"/>
  </r>
  <r>
    <n v="1518"/>
    <m/>
    <s v="ü"/>
    <d v="2018-10-10T00:00:00"/>
    <n v="320"/>
    <x v="88"/>
    <x v="76"/>
    <s v="Calle Güigüe Nro. 88-11"/>
    <s v="Cancelación Vigilancia, mes de Octubre 2018"/>
    <s v="Vigilancia"/>
    <m/>
    <s v="01518"/>
    <s v="10 de Octubre de 2018"/>
    <n v="10"/>
    <d v="2018-10-01T00:00:00"/>
    <s v="320,00"/>
    <s v="Trescientos Veinte Bolívares con 00/100"/>
  </r>
  <r>
    <n v="1519"/>
    <m/>
    <s v="ü"/>
    <d v="2018-10-11T00:00:00"/>
    <n v="320"/>
    <x v="18"/>
    <x v="16"/>
    <s v="Calle Guacara Nro. 87-100"/>
    <s v="Cancelación Vigilancia, mes de Octubre 2018"/>
    <s v="Vigilancia"/>
    <m/>
    <s v="01519"/>
    <s v="11 de Octubre de 2018"/>
    <n v="11"/>
    <d v="2018-10-01T00:00:00"/>
    <s v="320,00"/>
    <s v="Trescientos Veinte Bolívares con 00/100"/>
  </r>
  <r>
    <n v="1520"/>
    <m/>
    <s v="ü"/>
    <d v="2018-10-11T00:00:00"/>
    <n v="10"/>
    <x v="18"/>
    <x v="16"/>
    <s v="Calle Guacara Nro. 87-100"/>
    <s v="Colaboración reparación del portón principal"/>
    <s v="Reparación Portón 2"/>
    <m/>
    <s v="01520"/>
    <s v="11 de Octubre de 2018"/>
    <n v="11"/>
    <d v="2018-10-01T00:00:00"/>
    <s v="10,00"/>
    <s v="Diez Bolívares con 00/100"/>
  </r>
  <r>
    <n v="1521"/>
    <m/>
    <s v="ü"/>
    <d v="2018-10-09T00:00:00"/>
    <n v="640"/>
    <x v="43"/>
    <x v="40"/>
    <s v="Calle Güigüe Nro. 88-50"/>
    <s v="Cancelación Vigilancia, meses de Septiembre y Octubre 2018"/>
    <s v="Vigilancia"/>
    <m/>
    <s v="01521"/>
    <s v="09 de Octubre de 2018"/>
    <n v="9"/>
    <d v="2018-10-01T00:00:00"/>
    <s v="640,00"/>
    <s v="Seiscientos Cuarenta Bolívares con 00/100"/>
  </r>
  <r>
    <n v="1522"/>
    <m/>
    <s v="ü"/>
    <d v="2018-10-09T00:00:00"/>
    <n v="10"/>
    <x v="43"/>
    <x v="40"/>
    <s v="Calle Güigüe Nro. 88-50"/>
    <s v="Colaboración reparación del portón principal"/>
    <s v="Reparación Portón 2"/>
    <m/>
    <s v="01522"/>
    <s v="09 de Octubre de 2018"/>
    <n v="9"/>
    <d v="2018-10-01T00:00:00"/>
    <s v="10,00"/>
    <s v="Diez Bolívares con 00/100"/>
  </r>
  <r>
    <n v="1523"/>
    <m/>
    <s v="ü"/>
    <d v="2018-10-04T00:00:00"/>
    <n v="10"/>
    <x v="88"/>
    <x v="76"/>
    <s v="Calle Güigüe Nro. 88-11"/>
    <s v="Colaboración reparación del portón principal"/>
    <s v="Reparación Portón 2"/>
    <m/>
    <s v="01523"/>
    <s v="04 de Octubre de 2018"/>
    <n v="4"/>
    <d v="2018-10-01T00:00:00"/>
    <s v="10,00"/>
    <s v="Diez Bolívares con 00/100"/>
  </r>
  <r>
    <n v="1524"/>
    <m/>
    <s v="ü"/>
    <d v="2018-10-11T00:00:00"/>
    <n v="320"/>
    <x v="0"/>
    <x v="0"/>
    <s v="Calle Guacara Nro. 88-45"/>
    <s v="Cancelación Vigilancia, mes de Octubre 2018 (saldo a favor: Bs. 982,95)"/>
    <s v="Vigilancia"/>
    <m/>
    <s v="01524"/>
    <s v="11 de Octubre de 2018"/>
    <n v="11"/>
    <d v="2018-10-01T00:00:00"/>
    <s v="320,00"/>
    <s v="Trescientos Veinte Bolívares con 00/100"/>
  </r>
  <r>
    <n v="1525"/>
    <m/>
    <s v="ü"/>
    <d v="2018-10-08T00:00:00"/>
    <n v="320"/>
    <x v="56"/>
    <x v="52"/>
    <s v="Calle Güigüe Nro. 88-70"/>
    <s v="Cancelación Vigilancia, mes de Septiembre 2018"/>
    <s v="Vigilancia"/>
    <m/>
    <s v="01525"/>
    <s v="08 de Octubre de 2018"/>
    <n v="8"/>
    <d v="2018-10-01T00:00:00"/>
    <s v="320,00"/>
    <s v="Trescientos Veinte Bolívares con 00/100"/>
  </r>
  <r>
    <n v="1526"/>
    <m/>
    <s v="ü"/>
    <d v="2018-10-08T00:00:00"/>
    <n v="10"/>
    <x v="56"/>
    <x v="52"/>
    <s v="Calle Güigüe Nro. 88-70"/>
    <s v="Colaboración reparación del portón principal"/>
    <s v="Reparación Portón 2"/>
    <m/>
    <s v="01526"/>
    <s v="08 de Octubre de 2018"/>
    <n v="8"/>
    <d v="2018-10-01T00:00:00"/>
    <s v="10,00"/>
    <s v="Diez Bolívares con 00/100"/>
  </r>
  <r>
    <n v="1527"/>
    <m/>
    <s v="ü"/>
    <d v="2018-10-12T00:00:00"/>
    <n v="320"/>
    <x v="10"/>
    <x v="10"/>
    <s v="Av. &quot;M&quot; Nro. 146-15"/>
    <s v="Cancelación Vigilancia, mes de Septiembre 2018"/>
    <s v="Vigilancia"/>
    <m/>
    <s v="01527"/>
    <s v="12 de Octubre de 2018"/>
    <n v="12"/>
    <d v="2018-10-01T00:00:00"/>
    <s v="320,00"/>
    <s v="Trescientos Veinte Bolívares con 00/100"/>
  </r>
  <r>
    <n v="1528"/>
    <m/>
    <s v="ü"/>
    <d v="2018-10-12T00:00:00"/>
    <n v="10"/>
    <x v="10"/>
    <x v="10"/>
    <s v="Av. &quot;M&quot; Nro. 146-15"/>
    <s v="Colaboración reparación del portón principal"/>
    <s v="Reparación Portón 2"/>
    <m/>
    <s v="01528"/>
    <s v="12 de Octubre de 2018"/>
    <n v="12"/>
    <d v="2018-10-01T00:00:00"/>
    <s v="10,00"/>
    <s v="Diez Bolívares con 00/100"/>
  </r>
  <r>
    <n v="1529"/>
    <m/>
    <s v="ü"/>
    <d v="2018-10-12T00:00:00"/>
    <n v="320"/>
    <x v="53"/>
    <x v="80"/>
    <s v="Calle Guacara Nro. 88-91"/>
    <s v="Cancelación Vigilancia, mes de Octubre 2018"/>
    <s v="Vigilancia"/>
    <m/>
    <s v="01529"/>
    <s v="12 de Octubre de 2018"/>
    <n v="12"/>
    <d v="2018-10-01T00:00:00"/>
    <s v="320,00"/>
    <s v="Trescientos Veinte Bolívares con 00/100"/>
  </r>
  <r>
    <n v="1530"/>
    <m/>
    <s v="ü"/>
    <d v="2018-10-12T00:00:00"/>
    <n v="10"/>
    <x v="53"/>
    <x v="80"/>
    <s v="Calle Guacara Nro. 88-91"/>
    <s v="Colaboración reparación del portón principal"/>
    <s v="Reparación Portón 2"/>
    <m/>
    <s v="01530"/>
    <s v="12 de Octubre de 2018"/>
    <n v="12"/>
    <d v="2018-10-01T00:00:00"/>
    <s v="10,00"/>
    <s v="Diez Bolívares con 00/100"/>
  </r>
  <r>
    <n v="1531"/>
    <m/>
    <s v="ü"/>
    <d v="2018-10-12T00:00:00"/>
    <n v="320"/>
    <x v="92"/>
    <x v="86"/>
    <s v="Calle Guacara Nro. 88-A-10"/>
    <s v="Cancelación Vigilancia, mes de Octubre 2018"/>
    <s v="Vigilancia"/>
    <m/>
    <s v="01531"/>
    <s v="12 de Octubre de 2018"/>
    <n v="12"/>
    <d v="2018-10-01T00:00:00"/>
    <s v="320,00"/>
    <s v="Trescientos Veinte Bolívares con 00/100"/>
  </r>
  <r>
    <n v="1532"/>
    <m/>
    <s v="ü"/>
    <d v="2018-10-12T00:00:00"/>
    <n v="10"/>
    <x v="92"/>
    <x v="86"/>
    <s v="Calle Guacara Nro. 88-A-10"/>
    <s v="Colaboración reparación del portón principal"/>
    <s v="Reparación Portón 2"/>
    <m/>
    <s v="01532"/>
    <s v="12 de Octubre de 2018"/>
    <n v="12"/>
    <d v="2018-10-01T00:00:00"/>
    <s v="10,00"/>
    <s v="Diez Bolívares con 00/100"/>
  </r>
  <r>
    <n v="1533"/>
    <m/>
    <s v="ü"/>
    <d v="2018-10-12T00:00:00"/>
    <n v="320"/>
    <x v="65"/>
    <x v="58"/>
    <s v="Calle Güigüe Nro. 88-10"/>
    <s v="Cancelación Vigilancia, mes de Octubre 2018"/>
    <s v="Vigilancia"/>
    <m/>
    <s v="01533"/>
    <s v="12 de Octubre de 2018"/>
    <n v="12"/>
    <d v="2018-10-01T00:00:00"/>
    <s v="320,00"/>
    <s v="Trescientos Veinte Bolívares con 00/100"/>
  </r>
  <r>
    <n v="1534"/>
    <m/>
    <s v="ü"/>
    <d v="2018-10-12T00:00:00"/>
    <n v="10"/>
    <x v="65"/>
    <x v="58"/>
    <s v="Calle Güigüe Nro. 88-10"/>
    <s v="Colaboración reparación del portón principal"/>
    <s v="Reparación Portón 2"/>
    <m/>
    <s v="01534"/>
    <s v="12 de Octubre de 2018"/>
    <n v="12"/>
    <d v="2018-10-01T00:00:00"/>
    <s v="10,00"/>
    <s v="Diez Bolívares con 00/100"/>
  </r>
  <r>
    <n v="1535"/>
    <m/>
    <s v="ü"/>
    <d v="2018-10-13T00:00:00"/>
    <n v="320"/>
    <x v="77"/>
    <x v="85"/>
    <s v="Calle Guacara Nro. 88-65"/>
    <s v="Cancelación Vigilancia, mes de Octubre 2018"/>
    <s v="Vigilancia"/>
    <m/>
    <s v="01535"/>
    <s v="13 de Octubre de 2018"/>
    <n v="13"/>
    <d v="2018-10-01T00:00:00"/>
    <s v="320,00"/>
    <s v="Trescientos Veinte Bolívares con 00/100"/>
  </r>
  <r>
    <n v="1536"/>
    <m/>
    <s v="ü"/>
    <d v="2018-10-13T00:00:00"/>
    <n v="10"/>
    <x v="77"/>
    <x v="85"/>
    <s v="Calle Guacara Nro. 88-65"/>
    <s v="Colaboración reparación del portón principal"/>
    <s v="Reparación Portón 2"/>
    <m/>
    <s v="01536"/>
    <s v="13 de Octubre de 2018"/>
    <n v="13"/>
    <d v="2018-10-01T00:00:00"/>
    <s v="10,00"/>
    <s v="Diez Bolívares con 00/100"/>
  </r>
  <r>
    <n v="1537"/>
    <m/>
    <s v="ü"/>
    <d v="2018-10-14T00:00:00"/>
    <n v="960"/>
    <x v="11"/>
    <x v="11"/>
    <s v="Calle Guacara Nro. 89-86"/>
    <s v="Cancelación Vigilancia, mes de Octubre y anticipo meses de Noviembre y Diciembre 2018"/>
    <s v="Vigilancia"/>
    <m/>
    <s v="01537"/>
    <s v="14 de Octubre de 2018"/>
    <n v="14"/>
    <d v="2018-10-01T00:00:00"/>
    <s v="960,00"/>
    <s v="Novecientos Sesenta Bolívares con 00/100"/>
  </r>
  <r>
    <n v="1538"/>
    <m/>
    <s v="ü"/>
    <d v="2018-10-14T00:00:00"/>
    <n v="10"/>
    <x v="11"/>
    <x v="11"/>
    <s v="Calle Guacara Nro. 89-86"/>
    <s v="Colaboración reparación del portón principal"/>
    <s v="Reparación Portón 2"/>
    <m/>
    <s v="01538"/>
    <s v="14 de Octubre de 2018"/>
    <n v="14"/>
    <d v="2018-10-01T00:00:00"/>
    <s v="10,00"/>
    <s v="Diez Bolívares con 00/100"/>
  </r>
  <r>
    <n v="1539"/>
    <m/>
    <s v="ü"/>
    <d v="2018-10-17T00:00:00"/>
    <n v="320"/>
    <x v="23"/>
    <x v="21"/>
    <s v="Calle Güigüe Nro. 88-116"/>
    <s v="Cancelación Vigilancia, mes de Octubre 2018"/>
    <s v="Vigilancia"/>
    <m/>
    <s v="01539"/>
    <s v="17 de Octubre de 2018"/>
    <n v="17"/>
    <d v="2018-10-01T00:00:00"/>
    <s v="320,00"/>
    <s v="Trescientos Veinte Bolívares con 00/100"/>
  </r>
  <r>
    <n v="1540"/>
    <m/>
    <s v="ü"/>
    <d v="2018-10-21T00:00:00"/>
    <n v="360"/>
    <x v="38"/>
    <x v="35"/>
    <s v="Calle Guacara Nro. 89-78"/>
    <s v="Cancelación Vigilancia, mes de Octubre y anticipo mes de Noviembre 2018"/>
    <s v="Vigilancia"/>
    <m/>
    <s v="01540"/>
    <s v="21 de Octubre de 2018"/>
    <n v="21"/>
    <d v="2018-10-01T00:00:00"/>
    <s v="360,00"/>
    <s v="Trescientos Sesenta Bolívares con 00/100"/>
  </r>
  <r>
    <n v="1541"/>
    <m/>
    <s v="ü"/>
    <d v="2018-10-21T00:00:00"/>
    <n v="320"/>
    <x v="58"/>
    <x v="53"/>
    <s v="Calle Güigüe Nro. 88-51"/>
    <s v="Cancelación Vigilancia, mes de Octubre 2018"/>
    <s v="Vigilancia"/>
    <m/>
    <s v="01541"/>
    <s v="21 de Octubre de 2018"/>
    <n v="21"/>
    <d v="2018-10-01T00:00:00"/>
    <s v="320,00"/>
    <s v="Trescientos Veinte Bolívares con 00/100"/>
  </r>
  <r>
    <n v="1542"/>
    <m/>
    <s v="ü"/>
    <d v="2018-10-24T00:00:00"/>
    <n v="320"/>
    <x v="35"/>
    <x v="32"/>
    <s v="Calle Güigüe Nro. 89-80"/>
    <s v="Cancelación Vigilancia, mes de Octubre 2018"/>
    <s v="Vigilancia"/>
    <m/>
    <s v="01542"/>
    <s v="24 de Octubre de 2018"/>
    <n v="24"/>
    <d v="2018-10-01T00:00:00"/>
    <s v="320,00"/>
    <s v="Trescientos Veinte Bolívares con 00/100"/>
  </r>
  <r>
    <n v="1543"/>
    <m/>
    <s v="ü"/>
    <d v="2018-10-24T00:00:00"/>
    <n v="10"/>
    <x v="35"/>
    <x v="32"/>
    <s v="Calle Güigüe Nro. 89-80"/>
    <s v="Colaboración reparación del portón principal"/>
    <s v="Reparación Portón 2"/>
    <m/>
    <s v="01543"/>
    <s v="24 de Octubre de 2018"/>
    <n v="24"/>
    <d v="2018-10-01T00:00:00"/>
    <s v="10,00"/>
    <s v="Diez Bolívares con 00/100"/>
  </r>
  <r>
    <n v="1544"/>
    <m/>
    <s v="ü"/>
    <d v="2018-10-24T00:00:00"/>
    <n v="465"/>
    <x v="73"/>
    <x v="9"/>
    <s v="Calle Güigüe Nros. 88-71 y 88-81"/>
    <s v="Cancelación Vigilancia, mes de Octubre 2018"/>
    <s v="Vigilancia"/>
    <m/>
    <s v="01544"/>
    <s v="24 de Octubre de 2018"/>
    <n v="24"/>
    <d v="2018-10-01T00:00:00"/>
    <s v="465,00"/>
    <s v="Cuatrocientos Sesenta y Cinco Bolívares con 00/100"/>
  </r>
  <r>
    <n v="1545"/>
    <m/>
    <s v="ü"/>
    <d v="2018-10-25T00:00:00"/>
    <n v="320"/>
    <x v="26"/>
    <x v="24"/>
    <s v="Calle Güigüe Nro. 89-96"/>
    <s v="Cancelación Vigilancia, mes de Octubre 2018"/>
    <s v="Vigilancia"/>
    <m/>
    <s v="01545"/>
    <s v="25 de Octubre de 2018"/>
    <n v="25"/>
    <d v="2018-10-01T00:00:00"/>
    <s v="320,00"/>
    <s v="Trescientos Veinte Bolívares con 00/100"/>
  </r>
  <r>
    <n v="1546"/>
    <m/>
    <s v="ü"/>
    <d v="2018-10-25T00:00:00"/>
    <n v="320"/>
    <x v="84"/>
    <x v="71"/>
    <s v="Calle Güigüe Nro. 89-54"/>
    <s v="Cancelación Vigilancia, mes de Octubre 2018"/>
    <s v="Vigilancia"/>
    <m/>
    <s v="01546"/>
    <s v="25 de Octubre de 2018"/>
    <n v="25"/>
    <d v="2018-10-01T00:00:00"/>
    <s v="320,00"/>
    <s v="Trescientos Veinte Bolívares con 00/100"/>
  </r>
  <r>
    <n v="1547"/>
    <m/>
    <s v="ü"/>
    <d v="2018-10-25T00:00:00"/>
    <n v="320"/>
    <x v="19"/>
    <x v="17"/>
    <s v="Calle Guacara Nro. 89-130"/>
    <s v="Cancelación Vigilancia, mes de Octubre 2018"/>
    <s v="Vigilancia"/>
    <m/>
    <s v="01547"/>
    <s v="25 de Octubre de 2018"/>
    <n v="25"/>
    <d v="2018-10-01T00:00:00"/>
    <s v="320,00"/>
    <s v="Trescientos Veinte Bolívares con 00/100"/>
  </r>
  <r>
    <n v="1548"/>
    <m/>
    <s v="ü"/>
    <d v="2018-10-25T00:00:00"/>
    <n v="320"/>
    <x v="45"/>
    <x v="42"/>
    <s v="Calle Güigüe Nro. 87-A-11"/>
    <s v="Cancelación Vigilancia, mes de Octubre 2018"/>
    <s v="Vigilancia"/>
    <m/>
    <s v="01548"/>
    <s v="25 de Octubre de 2018"/>
    <n v="25"/>
    <d v="2018-10-01T00:00:00"/>
    <s v="320,00"/>
    <s v="Trescientos Veinte Bolívares con 00/100"/>
  </r>
  <r>
    <n v="1549"/>
    <m/>
    <s v="ü"/>
    <d v="2018-10-25T00:00:00"/>
    <n v="355"/>
    <x v="9"/>
    <x v="9"/>
    <s v="Av. &quot;M&quot; Nro. 146-30"/>
    <s v="Cancelación Vigilancia, mes de Octubre 2018"/>
    <s v="Vigilancia"/>
    <m/>
    <s v="01549"/>
    <s v="25 de Octubre de 2018"/>
    <n v="25"/>
    <d v="2018-10-01T00:00:00"/>
    <s v="355,00"/>
    <s v="Trescientos Cincuenta y Cinco Bolívares con 00/100"/>
  </r>
  <r>
    <n v="1550"/>
    <m/>
    <s v="ü"/>
    <d v="2018-10-25T00:00:00"/>
    <n v="300"/>
    <x v="71"/>
    <x v="62"/>
    <s v="Calle Güigüe Nro. 89-71"/>
    <s v="Colaboración Vigilancia, mes de Septiembre 2017"/>
    <s v="Vigilancia"/>
    <m/>
    <s v="01550"/>
    <s v="25 de Octubre de 2018"/>
    <n v="25"/>
    <d v="2018-10-01T00:00:00"/>
    <s v="300,00"/>
    <s v="Trescientos Bolívares con 00/100"/>
  </r>
  <r>
    <n v="1551"/>
    <m/>
    <s v="ü"/>
    <d v="2018-10-26T00:00:00"/>
    <n v="320"/>
    <x v="59"/>
    <x v="9"/>
    <s v="Calle Guacara Nro. 90-35"/>
    <s v="Cancelación Vigilancia, mes de Octubre 2018"/>
    <s v="Vigilancia"/>
    <m/>
    <s v="01551"/>
    <s v="26 de Octubre de 2018"/>
    <n v="26"/>
    <d v="2018-10-01T00:00:00"/>
    <s v="320,00"/>
    <s v="Trescientos Veinte Bolívares con 00/100"/>
  </r>
  <r>
    <n v="1552"/>
    <m/>
    <s v="ü"/>
    <d v="2018-10-25T00:00:00"/>
    <n v="250"/>
    <x v="68"/>
    <x v="60"/>
    <s v="Calle Güigüe Nro. 89-29"/>
    <s v="Colaboración Vigilancia, mes de Octubre 2018"/>
    <s v="Vigilancia"/>
    <m/>
    <s v="01552"/>
    <s v="25 de Octubre de 2018"/>
    <n v="25"/>
    <d v="2018-10-01T00:00:00"/>
    <s v="250,00"/>
    <s v="Doscientos Cincuenta Bolívares con 00/100"/>
  </r>
  <r>
    <n v="1553"/>
    <m/>
    <s v="ü"/>
    <d v="2018-10-29T00:00:00"/>
    <n v="320"/>
    <x v="56"/>
    <x v="52"/>
    <s v="Calle Güigüe Nro. 88-70"/>
    <s v="Cancelación Vigilancia, mes de Octubre 2018"/>
    <s v="Vigilancia"/>
    <m/>
    <s v="01553"/>
    <s v="29 de Octubre de 2018"/>
    <n v="29"/>
    <d v="2018-10-01T00:00:00"/>
    <s v="320,00"/>
    <s v="Trescientos Veinte Bolívares con 00/100"/>
  </r>
  <r>
    <n v="1554"/>
    <m/>
    <s v="ü"/>
    <d v="2018-10-30T00:00:00"/>
    <n v="10"/>
    <x v="75"/>
    <x v="65"/>
    <s v="Av. &quot;Ñ&quot; Nro. 145-25"/>
    <s v="Colaboración reparación del portón principal (saldo a favor: Bs. 3.272)"/>
    <s v="Reparación Portón 2"/>
    <m/>
    <s v="01554"/>
    <s v="30 de Octubre de 2018"/>
    <n v="30"/>
    <d v="2018-10-01T00:00:00"/>
    <s v="10,00"/>
    <s v="Diez Bolívares con 00/100"/>
  </r>
  <r>
    <n v="1555"/>
    <m/>
    <s v="ü"/>
    <d v="2018-10-30T00:00:00"/>
    <n v="320"/>
    <x v="25"/>
    <x v="23"/>
    <s v="Calle Güigüe Nro. 88-58"/>
    <s v="Cancelación Vigilancia, mes de Octubre 2018"/>
    <s v="Vigilancia"/>
    <m/>
    <s v="01555"/>
    <s v="30 de Octubre de 2018"/>
    <n v="30"/>
    <d v="2018-10-01T00:00:00"/>
    <s v="320,00"/>
    <s v="Trescientos Veinte Bolívares con 00/100"/>
  </r>
  <r>
    <n v="1556"/>
    <m/>
    <s v="ü"/>
    <d v="2018-10-30T00:00:00"/>
    <n v="640"/>
    <x v="75"/>
    <x v="65"/>
    <s v="Av. &quot;Ñ&quot; Nro. 145-25"/>
    <s v="Cancelación Vigilancia meses de Septiembre y Octubre 2018 (saldo a favor: Bs. 3.272)"/>
    <s v="Vigilancia"/>
    <m/>
    <s v="01556"/>
    <s v="30 de Octubre de 2018"/>
    <n v="30"/>
    <d v="2018-10-01T00:00:00"/>
    <s v="640,00"/>
    <s v="Seiscientos Cuarenta Bolívares con 00/100"/>
  </r>
  <r>
    <n v="1557"/>
    <m/>
    <s v="ü"/>
    <d v="2018-10-30T00:00:00"/>
    <n v="645"/>
    <x v="64"/>
    <x v="57"/>
    <s v="Calle Guacara Nro. 88-35"/>
    <s v="Cancelación Vigilancia, saldo meses de Julio y Agosto, y cancelación meses de Septiembre y Octubre 2018"/>
    <s v="Vigilancia"/>
    <m/>
    <s v="01557"/>
    <s v="30 de Octubre de 2018"/>
    <n v="30"/>
    <d v="2018-10-01T00:00:00"/>
    <s v="645,00"/>
    <s v="Seiscientos Cuarenta y Cinco Bolívares con 00/100"/>
  </r>
  <r>
    <n v="1558"/>
    <m/>
    <s v="ü"/>
    <d v="2018-10-30T00:00:00"/>
    <n v="320"/>
    <x v="95"/>
    <x v="89"/>
    <s v="Calle Güigüe Nro. 89-120"/>
    <s v="Cancelación Vigilancia, mes de Octubre 2018"/>
    <s v="Vigilancia"/>
    <m/>
    <s v="01558"/>
    <s v="30 de Octubre de 2018"/>
    <n v="30"/>
    <d v="2018-10-01T00:00:00"/>
    <s v="320,00"/>
    <s v="Trescientos Veinte Bolívares con 00/100"/>
  </r>
  <r>
    <n v="1559"/>
    <m/>
    <s v="ü"/>
    <d v="2018-10-30T00:00:00"/>
    <n v="10"/>
    <x v="95"/>
    <x v="89"/>
    <s v="Calle Güigüe Nro. 89-120"/>
    <s v="Colaboración reparación del portón principal (saldo a favor: Bs. 3.272)"/>
    <s v="Reparación Portón 2"/>
    <m/>
    <s v="01559"/>
    <s v="30 de Octubre de 2018"/>
    <n v="30"/>
    <d v="2018-10-01T00:00:00"/>
    <s v="10,00"/>
    <s v="Diez Bolívares con 00/100"/>
  </r>
  <r>
    <n v="1560"/>
    <m/>
    <s v="ü"/>
    <d v="2018-10-23T00:00:00"/>
    <n v="320"/>
    <x v="86"/>
    <x v="73"/>
    <s v="Calle Guacara Nro. 89-50"/>
    <s v="Colaboración Vigilancia, meses de Septiembre y Octubre 2018"/>
    <s v="Vigilancia"/>
    <m/>
    <s v="01560"/>
    <s v="23 de Octubre de 2018"/>
    <n v="23"/>
    <d v="2018-10-01T00:00:00"/>
    <s v="320,00"/>
    <s v="Trescientos Veinte Bolívares con 00/100"/>
  </r>
  <r>
    <n v="1561"/>
    <m/>
    <s v="ü"/>
    <d v="2018-10-30T00:00:00"/>
    <n v="320"/>
    <x v="48"/>
    <x v="9"/>
    <s v="Calle Güigüe Nro. 88-90"/>
    <s v="Cancelación Vigilancia, mes de Octubre 2018"/>
    <s v="Vigilancia"/>
    <m/>
    <s v="01561"/>
    <s v="30 de Octubre de 2018"/>
    <n v="30"/>
    <d v="2018-10-01T00:00:00"/>
    <s v="320,00"/>
    <s v="Trescientos Veinte Bolívares con 00/100"/>
  </r>
  <r>
    <n v="1562"/>
    <m/>
    <s v="ü"/>
    <d v="2018-10-31T00:00:00"/>
    <n v="320"/>
    <x v="40"/>
    <x v="37"/>
    <s v="Calle Güigüe Nro. 88-101"/>
    <s v="Cancelación Vigilancia, mes de Octubre 2018"/>
    <s v="Vigilancia"/>
    <m/>
    <s v="01562"/>
    <s v="31 de Octubre de 2018"/>
    <n v="31"/>
    <d v="2018-10-01T00:00:00"/>
    <s v="320,00"/>
    <s v="Trescientos Veinte Bolívares con 00/100"/>
  </r>
  <r>
    <n v="1563"/>
    <m/>
    <s v="ü"/>
    <d v="2018-11-01T00:00:00"/>
    <n v="320"/>
    <x v="83"/>
    <x v="70"/>
    <s v="Calle Güigüe Nro. 89-22"/>
    <s v="Cancelación Vigilancia, mes de Octubre 2018"/>
    <s v="Vigilancia"/>
    <m/>
    <s v="01563"/>
    <s v="01 de Noviembre de 2018"/>
    <n v="1"/>
    <d v="2018-11-01T00:00:00"/>
    <s v="320,00"/>
    <s v="Trescientos Veinte Bolívares con 00/100"/>
  </r>
  <r>
    <n v="1564"/>
    <m/>
    <s v="ü"/>
    <d v="2018-11-01T00:00:00"/>
    <n v="640"/>
    <x v="93"/>
    <x v="87"/>
    <s v="Calle Güigüe Nro. 89-89"/>
    <s v="Cancelación Vigilancia, meses de Octubre y Noviembre 2018"/>
    <s v="Vigilancia"/>
    <m/>
    <s v="01564"/>
    <s v="01 de Noviembre de 2018"/>
    <n v="1"/>
    <d v="2018-11-01T00:00:00"/>
    <s v="640,00"/>
    <s v="Seiscientos Cuarenta Bolívares con 00/100"/>
  </r>
  <r>
    <n v="1565"/>
    <m/>
    <s v="ü"/>
    <d v="2018-10-31T00:00:00"/>
    <n v="320"/>
    <x v="54"/>
    <x v="50"/>
    <s v="Calle Güigüe Nro. 89-21"/>
    <s v="Cancelación Vigilancia, mes de Septiembre 2018"/>
    <s v="Vigilancia"/>
    <m/>
    <s v="01565"/>
    <s v="31 de Octubre de 2018"/>
    <n v="31"/>
    <d v="2018-10-01T00:00:00"/>
    <s v="320,00"/>
    <s v="Trescientos Veinte Bolívares con 00/100"/>
  </r>
  <r>
    <n v="1566"/>
    <m/>
    <s v="ü"/>
    <d v="2018-10-31T00:00:00"/>
    <n v="10"/>
    <x v="54"/>
    <x v="50"/>
    <s v="Calle Güigüe Nro. 89-21"/>
    <s v="Colaboración reparación del portón principal"/>
    <s v="Reparación Portón 2"/>
    <m/>
    <s v="01566"/>
    <s v="31 de Octubre de 2018"/>
    <n v="31"/>
    <d v="2018-10-01T00:00:00"/>
    <s v="10,00"/>
    <s v="Diez Bolívares con 00/100"/>
  </r>
  <r>
    <n v="1567"/>
    <m/>
    <s v="ü"/>
    <d v="2018-11-01T00:00:00"/>
    <n v="960"/>
    <x v="27"/>
    <x v="25"/>
    <s v="Calle Güigüe Nro. 89-106"/>
    <s v="Cancelación Vigilancia, meses de Octubre, Noviembre y Diciembre 2018"/>
    <s v="Vigilancia"/>
    <m/>
    <s v="01567"/>
    <s v="01 de Noviembre de 2018"/>
    <n v="1"/>
    <d v="2018-11-01T00:00:00"/>
    <s v="960,00"/>
    <s v="Novecientos Sesenta Bolívares con 00/100"/>
  </r>
  <r>
    <n v="1568"/>
    <m/>
    <s v="ü"/>
    <d v="2018-11-01T00:00:00"/>
    <n v="100"/>
    <x v="74"/>
    <x v="64"/>
    <s v="Calle Güigüe Nro. 88-20"/>
    <s v="Colaboración Vigilancia, mes de Octubre 2018"/>
    <s v="Vigilancia"/>
    <m/>
    <s v="01568"/>
    <s v="01 de Noviembre de 2018"/>
    <n v="1"/>
    <d v="2018-11-01T00:00:00"/>
    <s v="100,00"/>
    <s v="Cien Bolívares con 00/100"/>
  </r>
  <r>
    <n v="1569"/>
    <m/>
    <s v="ü"/>
    <d v="2018-11-01T00:00:00"/>
    <n v="320"/>
    <x v="14"/>
    <x v="13"/>
    <s v="Calle Güigüe Nro. 89-83"/>
    <s v="Cancelación Vigilancia, mes de Noviembre 2018"/>
    <s v="Vigilancia"/>
    <m/>
    <s v="01569"/>
    <s v="01 de Noviembre de 2018"/>
    <n v="1"/>
    <d v="2018-11-01T00:00:00"/>
    <s v="320,00"/>
    <s v="Trescientos Veinte Bolívares con 00/100"/>
  </r>
  <r>
    <n v="1570"/>
    <m/>
    <s v="ü"/>
    <d v="2018-11-02T00:00:00"/>
    <n v="320"/>
    <x v="81"/>
    <x v="69"/>
    <s v="Calle Güigüe Nro. 89-65"/>
    <s v="Cancelación Vigilancia, mes de Noviembre 2018"/>
    <s v="Vigilancia"/>
    <m/>
    <s v="01570"/>
    <s v="02 de Noviembre de 2018"/>
    <n v="2"/>
    <d v="2018-11-01T00:00:00"/>
    <s v="320,00"/>
    <s v="Trescientos Veinte Bolívares con 00/100"/>
  </r>
  <r>
    <n v="1571"/>
    <m/>
    <s v="ü"/>
    <d v="2018-11-02T00:00:00"/>
    <n v="320"/>
    <x v="84"/>
    <x v="71"/>
    <s v="Calle Güigüe Nro. 89-54"/>
    <s v="Cancelación Vigilancia, mes de Noviembre 2018"/>
    <s v="Vigilancia"/>
    <m/>
    <s v="01571"/>
    <s v="02 de Noviembre de 2018"/>
    <n v="2"/>
    <d v="2018-11-01T00:00:00"/>
    <s v="320,00"/>
    <s v="Trescientos Veinte Bolívares con 00/100"/>
  </r>
  <r>
    <n v="1572"/>
    <m/>
    <s v="ü"/>
    <d v="2018-11-02T00:00:00"/>
    <n v="320"/>
    <x v="24"/>
    <x v="22"/>
    <s v="Calle Güigüe Nro. 88-54"/>
    <s v="Cancelación Vigilancia, mes de Noviembre 2018"/>
    <s v="Vigilancia"/>
    <m/>
    <s v="01572"/>
    <s v="02 de Noviembre de 2018"/>
    <n v="2"/>
    <d v="2018-11-01T00:00:00"/>
    <s v="320,00"/>
    <s v="Trescientos Veinte Bolívares con 00/100"/>
  </r>
  <r>
    <n v="1573"/>
    <m/>
    <s v="ü"/>
    <d v="2018-11-02T00:00:00"/>
    <n v="640"/>
    <x v="61"/>
    <x v="14"/>
    <s v="Calle Guacara Nro. 87-07"/>
    <s v="Cancelación Vigilancia, meses de Octubre y Noviembre 2018"/>
    <s v="Vigilancia"/>
    <m/>
    <s v="01573"/>
    <s v="02 de Noviembre de 2018"/>
    <n v="2"/>
    <d v="2018-11-01T00:00:00"/>
    <s v="640,00"/>
    <s v="Seiscientos Cuarenta Bolívares con 00/100"/>
  </r>
  <r>
    <n v="1574"/>
    <m/>
    <s v="ü"/>
    <d v="2018-11-02T00:00:00"/>
    <n v="320"/>
    <x v="42"/>
    <x v="39"/>
    <s v="Calle Güigüe Nro. 89-79"/>
    <s v="Cancelación Vigilancia, mes de Octubre 2018 (saldo a favor: Bs. 11,15)"/>
    <s v="Vigilancia"/>
    <m/>
    <s v="01574"/>
    <s v="02 de Noviembre de 2018"/>
    <n v="2"/>
    <d v="2018-11-01T00:00:00"/>
    <s v="320,00"/>
    <s v="Trescientos Veinte Bolívares con 00/100"/>
  </r>
  <r>
    <n v="1575"/>
    <m/>
    <s v="ü"/>
    <d v="2018-11-03T00:00:00"/>
    <n v="320"/>
    <x v="5"/>
    <x v="9"/>
    <s v="Calle Güigüe Nro. 88-120"/>
    <s v="Cancelación Vigilancia, mes de Noviembre 2018"/>
    <s v="Vigilancia"/>
    <m/>
    <s v="01575"/>
    <s v="03 de Noviembre de 2018"/>
    <n v="3"/>
    <d v="2018-11-01T00:00:00"/>
    <s v="320,00"/>
    <s v="Trescientos Veinte Bolívares con 00/100"/>
  </r>
  <r>
    <n v="1576"/>
    <m/>
    <s v="ü"/>
    <d v="2018-11-03T00:00:00"/>
    <n v="320"/>
    <x v="7"/>
    <x v="7"/>
    <s v="Calle Guacara Nro. 87-86"/>
    <s v="Cancelación Vigilancia, mes de Noviembre 2018"/>
    <s v="Vigilancia"/>
    <m/>
    <s v="01576"/>
    <s v="03 de Noviembre de 2018"/>
    <n v="3"/>
    <d v="2018-11-01T00:00:00"/>
    <s v="320,00"/>
    <s v="Trescientos Veinte Bolívares con 00/100"/>
  </r>
  <r>
    <n v="1577"/>
    <m/>
    <s v="ü"/>
    <d v="2018-11-04T00:00:00"/>
    <n v="320"/>
    <x v="69"/>
    <x v="61"/>
    <s v="Calle Güigüe Nro. 89-40"/>
    <s v="Cancelación Vigilancia, mes de Noviembre 2018"/>
    <s v="Vigilancia"/>
    <m/>
    <s v="01577"/>
    <s v="04 de Noviembre de 2018"/>
    <n v="4"/>
    <d v="2018-11-01T00:00:00"/>
    <s v="320,00"/>
    <s v="Trescientos Veinte Bolívares con 00/100"/>
  </r>
  <r>
    <n v="1578"/>
    <m/>
    <s v="ü"/>
    <d v="2018-11-04T00:00:00"/>
    <n v="520"/>
    <x v="2"/>
    <x v="83"/>
    <s v="Calle Guacara Nro. 88-19"/>
    <s v="Colaboración Vigilancia, meses de Octubre y Noviembre 2018"/>
    <s v="Vigilancia"/>
    <m/>
    <s v="01578"/>
    <s v="04 de Noviembre de 2018"/>
    <n v="4"/>
    <d v="2018-11-01T00:00:00"/>
    <s v="520,00"/>
    <s v="Quinientos Veinte Bolívares con 00/100"/>
  </r>
  <r>
    <n v="1579"/>
    <m/>
    <s v="ü"/>
    <d v="2018-11-04T00:00:00"/>
    <n v="320"/>
    <x v="22"/>
    <x v="20"/>
    <s v="Calle Guacara Nro. 88-25"/>
    <s v="Cancelación Vigilancia, mes de Octubre 2018"/>
    <s v="Vigilancia"/>
    <m/>
    <s v="01579"/>
    <s v="04 de Noviembre de 2018"/>
    <n v="4"/>
    <d v="2018-11-01T00:00:00"/>
    <s v="320,00"/>
    <s v="Trescientos Veinte Bolívares con 00/100"/>
  </r>
  <r>
    <n v="1580"/>
    <m/>
    <s v="ü"/>
    <d v="2018-11-04T00:00:00"/>
    <n v="320"/>
    <x v="62"/>
    <x v="55"/>
    <s v="Av. &quot;M&quot; Nro. 145-10"/>
    <s v="Cancelación Vigilancia, mes de Noviembre 2018"/>
    <s v="Vigilancia"/>
    <m/>
    <s v="01580"/>
    <s v="04 de Noviembre de 2018"/>
    <n v="4"/>
    <d v="2018-11-01T00:00:00"/>
    <s v="320,00"/>
    <s v="Trescientos Veinte Bolívares con 00/100"/>
  </r>
  <r>
    <n v="1581"/>
    <m/>
    <s v="ü"/>
    <d v="2018-11-05T00:00:00"/>
    <n v="640"/>
    <x v="1"/>
    <x v="1"/>
    <s v="Calle Güigüe Nro. 88-44"/>
    <s v="Cancelación Vigilancia, meses de Noviembre y Diciembre 2018"/>
    <s v="Vigilancia"/>
    <m/>
    <s v="01581"/>
    <s v="05 de Noviembre de 2018"/>
    <n v="5"/>
    <d v="2018-11-01T00:00:00"/>
    <s v="640,00"/>
    <s v="Seiscientos Cuarenta Bolívares con 00/100"/>
  </r>
  <r>
    <n v="1582"/>
    <m/>
    <s v="ü"/>
    <d v="2018-11-05T00:00:00"/>
    <n v="320"/>
    <x v="8"/>
    <x v="78"/>
    <s v="Calle Guacara Nro. 90-51"/>
    <s v="Cancelación Vigilancia, mes de Octubre 2018"/>
    <s v="Vigilancia"/>
    <m/>
    <s v="01582"/>
    <s v="05 de Noviembre de 2018"/>
    <n v="5"/>
    <d v="2018-11-01T00:00:00"/>
    <s v="320,00"/>
    <s v="Trescientos Veinte Bolívares con 00/100"/>
  </r>
  <r>
    <n v="1583"/>
    <m/>
    <s v="ü"/>
    <d v="2018-11-05T00:00:00"/>
    <n v="320"/>
    <x v="90"/>
    <x v="82"/>
    <s v="Calle Güigüe Nro. 89-04"/>
    <s v="Cancelación Vigilancia, mes de Noviembre 2018"/>
    <s v="Vigilancia"/>
    <m/>
    <s v="01583"/>
    <s v="05 de Noviembre de 2018"/>
    <n v="5"/>
    <d v="2018-11-01T00:00:00"/>
    <s v="320,00"/>
    <s v="Trescientos Veinte Bolívares con 00/100"/>
  </r>
  <r>
    <n v="1584"/>
    <m/>
    <s v="ü"/>
    <d v="2018-11-06T00:00:00"/>
    <n v="350"/>
    <x v="63"/>
    <x v="56"/>
    <s v="Calle Guacara Nro. 88-85"/>
    <s v="Cancelación Vigilancia, mes de Octubre 2018"/>
    <s v="Vigilancia"/>
    <m/>
    <s v="01584"/>
    <s v="06 de Noviembre de 2018"/>
    <n v="6"/>
    <d v="2018-11-01T00:00:00"/>
    <s v="350,00"/>
    <s v="Trescientos Cincuenta Bolívares con 00/100"/>
  </r>
  <r>
    <n v="1585"/>
    <m/>
    <s v="ü"/>
    <d v="2018-11-06T00:00:00"/>
    <n v="350"/>
    <x v="20"/>
    <x v="18"/>
    <s v="Calle Guacara Nro. 89-30"/>
    <s v="Cancelación Vigilancia, mes de Noviembre 2018"/>
    <s v="Vigilancia"/>
    <m/>
    <s v="01585"/>
    <s v="06 de Noviembre de 2018"/>
    <n v="6"/>
    <d v="2018-11-01T00:00:00"/>
    <s v="350,00"/>
    <s v="Trescientos Cincuenta Bolívares con 00/100"/>
  </r>
  <r>
    <n v="1586"/>
    <m/>
    <s v="ü"/>
    <d v="2018-11-06T00:00:00"/>
    <n v="320"/>
    <x v="12"/>
    <x v="12"/>
    <s v="Calle Guacara Nro. 89-20"/>
    <s v="Cancelación Vigilancia, mes de Noviembre 2018"/>
    <s v="Vigilancia"/>
    <m/>
    <s v="01586"/>
    <s v="06 de Noviembre de 2018"/>
    <n v="6"/>
    <d v="2018-11-01T00:00:00"/>
    <s v="320,00"/>
    <s v="Trescientos Veinte Bolívares con 00/100"/>
  </r>
  <r>
    <n v="1587"/>
    <m/>
    <s v="ü"/>
    <d v="2018-11-06T00:00:00"/>
    <n v="320"/>
    <x v="26"/>
    <x v="24"/>
    <s v="Calle Güigüe Nro. 89-96"/>
    <s v="Cancelación Vigilancia, mes de Noviembre 2018"/>
    <s v="Vigilancia"/>
    <m/>
    <s v="01587"/>
    <s v="06 de Noviembre de 2018"/>
    <n v="6"/>
    <d v="2018-11-01T00:00:00"/>
    <s v="320,00"/>
    <s v="Trescientos Veinte Bolívares con 00/100"/>
  </r>
  <r>
    <n v="1588"/>
    <m/>
    <s v="ü"/>
    <d v="2018-11-07T00:00:00"/>
    <n v="320"/>
    <x v="95"/>
    <x v="89"/>
    <s v="Calle Güigüe Nro. 89-120"/>
    <s v="Cancelación Vigilancia, mes de Noviembre 2018"/>
    <s v="Vigilancia"/>
    <m/>
    <s v="01588"/>
    <s v="07 de Noviembre de 2018"/>
    <n v="7"/>
    <d v="2018-11-01T00:00:00"/>
    <s v="320,00"/>
    <s v="Trescientos Veinte Bolívares con 00/100"/>
  </r>
  <r>
    <n v="1589"/>
    <m/>
    <s v="ü"/>
    <d v="2018-11-08T00:00:00"/>
    <n v="1000"/>
    <x v="31"/>
    <x v="29"/>
    <s v="Calle Güigüe Nro. 89-95"/>
    <s v="Cancelación Vigilancia, saldo meses de Septiembre y Octubre, cancelación mes de Noviembre y anticipo mes de Diciembre 2018"/>
    <s v="Vigilancia"/>
    <m/>
    <s v="01589"/>
    <s v="08 de Noviembre de 2018"/>
    <n v="8"/>
    <d v="2018-11-01T00:00:00"/>
    <s v="1.000,00"/>
    <s v="Mil Bolívares con 00/100"/>
  </r>
  <r>
    <n v="1590"/>
    <m/>
    <s v="ü"/>
    <d v="2018-11-08T00:00:00"/>
    <n v="320"/>
    <x v="0"/>
    <x v="0"/>
    <s v="Calle Guacara Nro. 88-45"/>
    <s v="Cancelación Vigilancia, mes de Noviembre 2018 (saldo a favor: Bs. 662,95)"/>
    <s v="Vigilancia"/>
    <m/>
    <s v="01590"/>
    <s v="08 de Noviembre de 2018"/>
    <n v="8"/>
    <d v="2018-11-01T00:00:00"/>
    <s v="320,00"/>
    <s v="Trescientos Veinte Bolívares con 00/100"/>
  </r>
  <r>
    <n v="1591"/>
    <m/>
    <s v="ü"/>
    <d v="2018-11-08T00:00:00"/>
    <n v="320"/>
    <x v="75"/>
    <x v="65"/>
    <s v="Av. &quot;Ñ&quot; Nro. 145-25"/>
    <s v="Cancelación Vigilancia, mes de Noviembre 2018 (saldo a favor: Bs. 2.952,00)"/>
    <s v="Vigilancia"/>
    <m/>
    <s v="01591"/>
    <s v="08 de Noviembre de 2018"/>
    <n v="8"/>
    <d v="2018-11-01T00:00:00"/>
    <s v="320,00"/>
    <s v="Trescientos Veinte Bolívares con 00/100"/>
  </r>
  <r>
    <n v="1592"/>
    <m/>
    <s v="ü"/>
    <d v="2018-11-08T00:00:00"/>
    <n v="500"/>
    <x v="6"/>
    <x v="6"/>
    <s v="Calle Guacara Nro. 89-60"/>
    <s v="Cancelación Vigilancia, mes de Noviembre 2018 más aporte"/>
    <s v="Vigilancia"/>
    <m/>
    <s v="01592"/>
    <s v="08 de Noviembre de 2018"/>
    <n v="8"/>
    <d v="2018-11-01T00:00:00"/>
    <s v="500,00"/>
    <s v="Quinientos Bolívares con 00/100"/>
  </r>
  <r>
    <n v="1593"/>
    <m/>
    <s v="ü"/>
    <d v="2018-11-08T00:00:00"/>
    <n v="640"/>
    <x v="44"/>
    <x v="41"/>
    <s v="Calle Guacara Nro. 89-40"/>
    <s v="Cancelación Vigilancia, meses de Octubre y Noviembre 2018"/>
    <s v="Vigilancia"/>
    <m/>
    <s v="01593"/>
    <s v="08 de Noviembre de 2018"/>
    <n v="8"/>
    <d v="2018-11-01T00:00:00"/>
    <s v="640,00"/>
    <s v="Seiscientos Cuarenta Bolívares con 00/100"/>
  </r>
  <r>
    <n v="1594"/>
    <m/>
    <s v="ü"/>
    <d v="2018-11-09T00:00:00"/>
    <n v="320"/>
    <x v="36"/>
    <x v="33"/>
    <s v="Calle Güigüe Nro. 89-10"/>
    <s v="Cancelación Vigilancia, mes de Octubre 2018"/>
    <s v="Vigilancia"/>
    <m/>
    <s v="01594"/>
    <s v="09 de Noviembre de 2018"/>
    <n v="9"/>
    <d v="2018-11-01T00:00:00"/>
    <s v="320,00"/>
    <s v="Trescientos Veinte Bolívares con 00/100"/>
  </r>
  <r>
    <n v="1595"/>
    <m/>
    <s v="ü"/>
    <d v="2018-11-10T00:00:00"/>
    <n v="320"/>
    <x v="10"/>
    <x v="10"/>
    <s v="Av. &quot;M&quot; Nro. 146-15"/>
    <s v="Cancelación Vigilancia, mes de Octubre 2018"/>
    <s v="Vigilancia"/>
    <m/>
    <s v="01595"/>
    <s v="10 de Noviembre de 2018"/>
    <n v="10"/>
    <d v="2018-11-01T00:00:00"/>
    <s v="320,00"/>
    <s v="Trescientos Veinte Bolívares con 00/100"/>
  </r>
  <r>
    <n v="1596"/>
    <m/>
    <s v="ü"/>
    <d v="2018-11-11T00:00:00"/>
    <n v="1350"/>
    <x v="85"/>
    <x v="72"/>
    <s v="Calle Güigüe Nro. 89-116"/>
    <s v="Colaboración Vigilancia, meses de Diciembre 2017, Enero a Diciembre 2018 y Enero a Junio 2019"/>
    <s v="Vigilancia"/>
    <m/>
    <s v="01596"/>
    <s v="11 de Noviembre de 2018"/>
    <n v="11"/>
    <d v="2018-11-01T00:00:00"/>
    <s v="1.350,00"/>
    <s v="Mil Trescientos Cincuenta Bolívares con 00/100"/>
  </r>
  <r>
    <n v="1597"/>
    <m/>
    <s v="ü"/>
    <d v="2018-11-12T00:00:00"/>
    <n v="320"/>
    <x v="39"/>
    <x v="36"/>
    <s v="Calle Güigüe Nro. 88-111"/>
    <s v="Cancelación Vigilancia, mes de Octubre 2018"/>
    <s v="Vigilancia"/>
    <m/>
    <s v="01597"/>
    <s v="12 de Noviembre de 2018"/>
    <n v="12"/>
    <d v="2018-11-01T00:00:00"/>
    <s v="320,00"/>
    <s v="Trescientos Veinte Bolívares con 00/100"/>
  </r>
  <r>
    <n v="1598"/>
    <m/>
    <s v="ü"/>
    <d v="2018-11-13T00:00:00"/>
    <n v="320"/>
    <x v="17"/>
    <x v="74"/>
    <s v="Av. &quot;M&quot; Nro. 146-20"/>
    <s v="Cancelación Vigilancia, mes de Noviembre 2018"/>
    <s v="Vigilancia"/>
    <m/>
    <s v="01598"/>
    <s v="13 de Noviembre de 2018"/>
    <n v="13"/>
    <d v="2018-11-01T00:00:00"/>
    <s v="320,00"/>
    <s v="Trescientos Veinte Bolívares con 00/100"/>
  </r>
  <r>
    <n v="1599"/>
    <m/>
    <s v="ü"/>
    <d v="2018-11-14T00:00:00"/>
    <n v="320"/>
    <x v="38"/>
    <x v="35"/>
    <s v="Calle Guacara Nro. 89-78"/>
    <s v="Cancelación Vigilancia, saldo mes de Noviembre y anticipo mes de Diciembre 2018"/>
    <s v="Vigilancia"/>
    <m/>
    <s v="01599"/>
    <s v="14 de Noviembre de 2018"/>
    <n v="14"/>
    <d v="2018-11-01T00:00:00"/>
    <s v="320,00"/>
    <s v="Trescientos Veinte Bolívares con 00/100"/>
  </r>
  <r>
    <n v="1600"/>
    <m/>
    <s v="ü"/>
    <d v="2018-10-14T00:00:00"/>
    <n v="320"/>
    <x v="92"/>
    <x v="86"/>
    <s v="Calle Guacara Nro. 88-A-10"/>
    <s v="Cancelación Vigilancia, mes de Noviembre 2018"/>
    <s v="Vigilancia"/>
    <m/>
    <s v="01600"/>
    <s v="14 de Octubre de 2018"/>
    <n v="14"/>
    <d v="2018-10-01T00:00:00"/>
    <s v="320,00"/>
    <s v="Trescientos Veinte Bolívares con 00/100"/>
  </r>
  <r>
    <n v="1601"/>
    <m/>
    <s v="ü"/>
    <d v="2018-10-14T00:00:00"/>
    <n v="320"/>
    <x v="8"/>
    <x v="78"/>
    <s v="Calle Guacara Nro. 90-51"/>
    <s v="Cancelación Vigilancia, mes de Noviembre 2018"/>
    <s v="Vigilancia"/>
    <m/>
    <s v="01601"/>
    <s v="14 de Octubre de 2018"/>
    <n v="14"/>
    <d v="2018-10-01T00:00:00"/>
    <s v="320,00"/>
    <s v="Trescientos Veinte Bolívares con 00/100"/>
  </r>
  <r>
    <n v="1602"/>
    <m/>
    <s v="ü"/>
    <d v="2018-11-15T00:00:00"/>
    <n v="320"/>
    <x v="23"/>
    <x v="21"/>
    <s v="Calle Güigüe Nro. 88-116"/>
    <s v="Cancelación Vigilancia, mes de Noviembre 2018"/>
    <s v="Vigilancia"/>
    <m/>
    <s v="01602"/>
    <s v="15 de Noviembre de 2018"/>
    <n v="15"/>
    <d v="2018-11-01T00:00:00"/>
    <s v="320,00"/>
    <s v="Trescientos Veinte Bolívares con 00/100"/>
  </r>
  <r>
    <n v="1603"/>
    <m/>
    <s v="ü"/>
    <d v="2018-11-17T00:00:00"/>
    <n v="320"/>
    <x v="10"/>
    <x v="10"/>
    <s v="Av. &quot;M&quot; Nro. 146-15"/>
    <s v="Cancelación Vigilancia, mes de Noviembre 2018"/>
    <s v="Vigilancia"/>
    <m/>
    <s v="01603"/>
    <s v="17 de Noviembre de 2018"/>
    <n v="17"/>
    <d v="2018-11-01T00:00:00"/>
    <s v="320,00"/>
    <s v="Trescientos Veinte Bolívares con 00/100"/>
  </r>
  <r>
    <n v="1604"/>
    <m/>
    <s v="ü"/>
    <d v="2018-11-20T00:00:00"/>
    <n v="250"/>
    <x v="3"/>
    <x v="3"/>
    <s v="Calle Güigüe Nro. 88-62"/>
    <s v="Colaboración Vigilancia, mes de Octubre 2018"/>
    <s v="Vigilancia"/>
    <m/>
    <s v="01604"/>
    <s v="20 de Noviembre de 2018"/>
    <n v="20"/>
    <d v="2018-11-01T00:00:00"/>
    <s v="250,00"/>
    <s v="Doscientos Cincuenta Bolívares con 00/100"/>
  </r>
  <r>
    <n v="1605"/>
    <m/>
    <s v="ü"/>
    <d v="2018-11-20T00:00:00"/>
    <n v="320"/>
    <x v="58"/>
    <x v="53"/>
    <s v="Calle Güigüe Nro. 88-51"/>
    <s v="Cancelación Vigilancia, mes de Noviembre 2018"/>
    <s v="Vigilancia"/>
    <m/>
    <s v="01605"/>
    <s v="20 de Noviembre de 2018"/>
    <n v="20"/>
    <d v="2018-11-01T00:00:00"/>
    <s v="320,00"/>
    <s v="Trescientos Veinte Bolívares con 00/100"/>
  </r>
  <r>
    <n v="1606"/>
    <m/>
    <s v="ü"/>
    <d v="2018-11-20T00:00:00"/>
    <n v="320"/>
    <x v="88"/>
    <x v="76"/>
    <s v="Calle Güigüe Nro. 88-11"/>
    <s v="Cancelación Vigilancia, mes de Noviembre 2018"/>
    <s v="Vigilancia"/>
    <m/>
    <s v="01606"/>
    <s v="20 de Noviembre de 2018"/>
    <n v="20"/>
    <d v="2018-11-01T00:00:00"/>
    <s v="320,00"/>
    <s v="Trescientos Veinte Bolívares con 00/100"/>
  </r>
  <r>
    <n v="1607"/>
    <m/>
    <s v="ü"/>
    <d v="2018-11-21T00:00:00"/>
    <n v="200"/>
    <x v="82"/>
    <x v="9"/>
    <s v="Calle Guacara Nro. 90-61"/>
    <s v="Colaboración Vigilancia, meses de Septiembre y Octubre 2018"/>
    <s v="Vigilancia"/>
    <m/>
    <s v="01607"/>
    <s v="21 de Noviembre de 2018"/>
    <n v="21"/>
    <d v="2018-11-01T00:00:00"/>
    <s v="200,00"/>
    <s v="Doscientos Bolívares con 00/100"/>
  </r>
  <r>
    <n v="1608"/>
    <m/>
    <s v="ü"/>
    <d v="2018-11-21T00:00:00"/>
    <n v="320"/>
    <x v="54"/>
    <x v="50"/>
    <s v="Calle Güigüe Nro. 89-21"/>
    <s v="Cancelación Vigilancia, mes de Octubre 2018"/>
    <s v="Vigilancia"/>
    <m/>
    <s v="01608"/>
    <s v="21 de Noviembre de 2018"/>
    <n v="21"/>
    <d v="2018-11-01T00:00:00"/>
    <s v="320,00"/>
    <s v="Trescientos Veinte Bolívares con 00/100"/>
  </r>
  <r>
    <n v="1609"/>
    <m/>
    <s v="ü"/>
    <d v="2018-11-21T00:00:00"/>
    <n v="640"/>
    <x v="60"/>
    <x v="54"/>
    <s v="Calle Guacara Nro. 88-51"/>
    <s v="Cancelación Vigilancia, meses de Noviembre y Diciembre 2018"/>
    <s v="Vigilancia"/>
    <m/>
    <s v="01609"/>
    <s v="21 de Noviembre de 2018"/>
    <n v="21"/>
    <d v="2018-11-01T00:00:00"/>
    <s v="640,00"/>
    <s v="Seiscientos Cuarenta Bolívares con 00/100"/>
  </r>
  <r>
    <n v="1610"/>
    <m/>
    <s v="ü"/>
    <d v="2018-11-22T00:00:00"/>
    <n v="320"/>
    <x v="4"/>
    <x v="4"/>
    <s v="Calle Güigüe Nro. 89-55"/>
    <s v="Cancelación Vigilancia, mes de Noviembre 2018"/>
    <s v="Vigilancia"/>
    <m/>
    <s v="01610"/>
    <s v="22 de Noviembre de 2018"/>
    <n v="22"/>
    <d v="2018-11-01T00:00:00"/>
    <s v="320,00"/>
    <s v="Trescientos Veinte Bolívares con 00/100"/>
  </r>
  <r>
    <n v="1611"/>
    <m/>
    <s v="ü"/>
    <d v="2018-11-10T00:00:00"/>
    <n v="640"/>
    <x v="37"/>
    <x v="34"/>
    <s v="Av. &quot;I&quot; Nro. 146-40"/>
    <s v="Cancelación Vigilancia, meses de Octubre y Noviembre 2018"/>
    <s v="Vigilancia"/>
    <m/>
    <s v="01611"/>
    <s v="10 de Noviembre de 2018"/>
    <n v="10"/>
    <d v="2018-11-01T00:00:00"/>
    <s v="640,00"/>
    <s v="Seiscientos Cuarenta Bolívares con 00/100"/>
  </r>
  <r>
    <n v="1612"/>
    <m/>
    <s v="ü"/>
    <d v="2018-11-22T00:00:00"/>
    <n v="320"/>
    <x v="49"/>
    <x v="46"/>
    <s v="Av. &quot;O&quot; Nro. 146-17"/>
    <s v="Cancelación Vigilancia, mes de Octubre 2018"/>
    <s v="Vigilancia"/>
    <m/>
    <s v="01612"/>
    <s v="22 de Noviembre de 2018"/>
    <n v="22"/>
    <d v="2018-11-01T00:00:00"/>
    <s v="320,00"/>
    <s v="Trescientos Veinte Bolívares con 00/100"/>
  </r>
  <r>
    <n v="1613"/>
    <m/>
    <s v="ü"/>
    <d v="2018-11-23T00:00:00"/>
    <n v="250"/>
    <x v="68"/>
    <x v="60"/>
    <s v="Calle Güigüe Nro. 89-29"/>
    <s v="Colaboración Vigilancia, mes de Noviembre 2018"/>
    <s v="Vigilancia"/>
    <m/>
    <s v="01613"/>
    <s v="23 de Noviembre de 2018"/>
    <n v="23"/>
    <d v="2018-11-01T00:00:00"/>
    <s v="250,00"/>
    <s v="Doscientos Cincuenta Bolívares con 00/100"/>
  </r>
  <r>
    <n v="1614"/>
    <m/>
    <s v="ü"/>
    <d v="2018-11-23T00:00:00"/>
    <n v="620"/>
    <x v="18"/>
    <x v="16"/>
    <s v="Calle Guacara Nro. 87-100"/>
    <s v="Cancelación Vigilancia, mes de Noviembre y anticipo mes de Diciembre 2018"/>
    <s v="Vigilancia"/>
    <m/>
    <s v="01614"/>
    <s v="23 de Noviembre de 2018"/>
    <n v="23"/>
    <d v="2018-11-01T00:00:00"/>
    <s v="620,00"/>
    <s v="Seiscientos Veinte Bolívares con 00/100"/>
  </r>
  <r>
    <n v="1615"/>
    <m/>
    <s v="ü"/>
    <d v="2018-11-20T00:00:00"/>
    <n v="640"/>
    <x v="14"/>
    <x v="13"/>
    <s v="Calle Güigüe Nro. 89-83"/>
    <s v="Cancelación Vigilancia, mes de Diciembre 2018 y Enero 2019"/>
    <s v="Vigilancia"/>
    <m/>
    <s v="01615"/>
    <s v="20 de Noviembre de 2018"/>
    <n v="20"/>
    <d v="2018-11-01T00:00:00"/>
    <s v="640,00"/>
    <s v="Seiscientos Cuarenta Bolívares con 00/100"/>
  </r>
  <r>
    <n v="1616"/>
    <m/>
    <s v="ü"/>
    <d v="2018-11-24T00:00:00"/>
    <n v="320"/>
    <x v="69"/>
    <x v="61"/>
    <s v="Calle Güigüe Nro. 89-40"/>
    <s v="Cancelación Vigilancia, mes de Diciembre 2018"/>
    <s v="Vigilancia"/>
    <m/>
    <s v="01616"/>
    <s v="24 de Noviembre de 2018"/>
    <n v="24"/>
    <d v="2018-11-01T00:00:00"/>
    <s v="320,00"/>
    <s v="Trescientos Veinte Bolívares con 00/100"/>
  </r>
  <r>
    <n v="1617"/>
    <m/>
    <s v="ü"/>
    <d v="2018-11-26T00:00:00"/>
    <n v="320"/>
    <x v="35"/>
    <x v="32"/>
    <s v="Calle Güigüe Nro. 89-80"/>
    <s v="Cancelación Vigilancia, mes de Noviembre 2018"/>
    <s v="Vigilancia"/>
    <m/>
    <s v="01617"/>
    <s v="26 de Noviembre de 2018"/>
    <n v="26"/>
    <d v="2018-11-01T00:00:00"/>
    <s v="320,00"/>
    <s v="Trescientos Veinte Bolívares con 00/100"/>
  </r>
  <r>
    <n v="1618"/>
    <m/>
    <s v="ü"/>
    <d v="2018-11-26T00:00:00"/>
    <n v="320"/>
    <x v="40"/>
    <x v="37"/>
    <s v="Calle Güigüe Nro. 88-101"/>
    <s v="Cancelación Vigilancia, mes de Noviembre 2018"/>
    <s v="Vigilancia"/>
    <m/>
    <s v="01618"/>
    <s v="26 de Noviembre de 2018"/>
    <n v="26"/>
    <d v="2018-11-01T00:00:00"/>
    <s v="320,00"/>
    <s v="Trescientos Veinte Bolívares con 00/100"/>
  </r>
  <r>
    <n v="1619"/>
    <m/>
    <s v="ü"/>
    <d v="2018-11-26T00:00:00"/>
    <n v="350"/>
    <x v="46"/>
    <x v="43"/>
    <s v="Av. &quot;I&quot; Nro. 146-20"/>
    <s v="Cancelación Vigilancia, saldo mes de Noviembre y anticipo mes de Diciembre 2018"/>
    <s v="Vigilancia"/>
    <m/>
    <s v="01619"/>
    <s v="26 de Noviembre de 2018"/>
    <n v="26"/>
    <d v="2018-11-01T00:00:00"/>
    <s v="350,00"/>
    <s v="Trescientos Cincuenta Bolívares con 00/100"/>
  </r>
  <r>
    <n v="1620"/>
    <m/>
    <s v="ü"/>
    <d v="2018-11-26T00:00:00"/>
    <n v="320"/>
    <x v="59"/>
    <x v="9"/>
    <s v="Calle Guacara Nro. 90-35"/>
    <s v="Cancelación Vigilancia, mes de Noviembre 2018"/>
    <s v="Vigilancia"/>
    <m/>
    <s v="01620"/>
    <s v="26 de Noviembre de 2018"/>
    <n v="26"/>
    <d v="2018-11-01T00:00:00"/>
    <s v="320,00"/>
    <s v="Trescientos Veinte Bolívares con 00/100"/>
  </r>
  <r>
    <n v="1621"/>
    <m/>
    <s v="ü"/>
    <d v="2018-11-29T00:00:00"/>
    <n v="330"/>
    <x v="77"/>
    <x v="85"/>
    <s v="Calle Guacara Nro. 88-65"/>
    <s v="Cancelación Vigilancia, mes de Noviembre 2018"/>
    <s v="Vigilancia"/>
    <m/>
    <s v="01621"/>
    <s v="29 de Noviembre de 2018"/>
    <n v="29"/>
    <d v="2018-11-01T00:00:00"/>
    <s v="330,00"/>
    <s v="Trescientos Treinta Bolívares con 00/100"/>
  </r>
  <r>
    <n v="1622"/>
    <m/>
    <s v="ü"/>
    <d v="2018-12-02T00:00:00"/>
    <n v="500"/>
    <x v="84"/>
    <x v="71"/>
    <s v="Calle Güigüe Nro. 89-54"/>
    <s v="Anticipo Vigilancia, mes de Diciembre 2018"/>
    <s v="Vigilancia"/>
    <m/>
    <s v="01622"/>
    <s v="02 de Diciembre de 2018"/>
    <n v="2"/>
    <d v="2018-12-01T00:00:00"/>
    <s v="500,00"/>
    <s v="Quinientos Bolívares con 00/100"/>
  </r>
  <r>
    <n v="1623"/>
    <m/>
    <s v="ü"/>
    <d v="2018-12-02T00:00:00"/>
    <n v="320"/>
    <x v="81"/>
    <x v="69"/>
    <s v="Calle Güigüe Nro. 89-65"/>
    <s v="Anticipo Vigilancia, mes de Diciembre 2018"/>
    <s v="Vigilancia"/>
    <m/>
    <s v="01623"/>
    <s v="02 de Diciembre de 2018"/>
    <n v="2"/>
    <d v="2018-12-01T00:00:00"/>
    <s v="320,00"/>
    <s v="Trescientos Veinte Bolívares con 00/100"/>
  </r>
  <r>
    <n v="1624"/>
    <m/>
    <s v="ü"/>
    <d v="2018-12-03T00:00:00"/>
    <n v="240"/>
    <x v="4"/>
    <x v="4"/>
    <s v="Calle Güigüe Nro. 89-55"/>
    <s v="Anticipo Vigilancia, mes de Diciembre 2018"/>
    <s v="Vigilancia"/>
    <m/>
    <s v="01624"/>
    <s v="03 de Diciembre de 2018"/>
    <n v="3"/>
    <d v="2018-12-01T00:00:00"/>
    <s v="240,00"/>
    <s v="Doscientos Cuarenta Bolívares con 00/100"/>
  </r>
  <r>
    <n v="1625"/>
    <m/>
    <s v="ü"/>
    <d v="2018-12-03T00:00:00"/>
    <n v="320"/>
    <x v="5"/>
    <x v="9"/>
    <s v="Calle Güigüe Nro. 88-120"/>
    <s v="Anticipo Vigilancia, mes de Diciembre 2018"/>
    <s v="Vigilancia"/>
    <m/>
    <s v="01625"/>
    <s v="03 de Diciembre de 2018"/>
    <n v="3"/>
    <d v="2018-12-01T00:00:00"/>
    <s v="320,00"/>
    <s v="Trescientos Veinte Bolívares con 00/100"/>
  </r>
  <r>
    <n v="1626"/>
    <m/>
    <s v="ü"/>
    <d v="2018-12-03T00:00:00"/>
    <n v="800"/>
    <x v="12"/>
    <x v="12"/>
    <s v="Calle Guacara Nro. 89-20"/>
    <s v="Cancelación Vigilancia, mes de Diciembre 2018"/>
    <s v="Vigilancia"/>
    <m/>
    <s v="01626"/>
    <s v="03 de Diciembre de 2018"/>
    <n v="3"/>
    <d v="2018-12-01T00:00:00"/>
    <s v="800,00"/>
    <s v="Ochocientos Bolívares con 00/100"/>
  </r>
  <r>
    <n v="1627"/>
    <m/>
    <s v="ü"/>
    <d v="2018-12-03T00:00:00"/>
    <n v="800"/>
    <x v="76"/>
    <x v="66"/>
    <s v="Calle Güigüe Nro. 89-90"/>
    <s v="Cancelación Vigilancia, mes de Diciembre 2018"/>
    <s v="Vigilancia"/>
    <m/>
    <s v="01627"/>
    <s v="03 de Diciembre de 2018"/>
    <n v="3"/>
    <d v="2018-12-01T00:00:00"/>
    <s v="800,00"/>
    <s v="Ochocientos Bolívares con 00/100"/>
  </r>
  <r>
    <n v="1628"/>
    <m/>
    <s v="ü"/>
    <d v="2018-12-03T00:00:00"/>
    <n v="800"/>
    <x v="16"/>
    <x v="15"/>
    <s v="Calle Guacara Nro. 90-81"/>
    <s v="Cancelación Vigilancia, mes de Diciembre 2018"/>
    <s v="Vigilancia"/>
    <m/>
    <s v="01628"/>
    <s v="03 de Diciembre de 2018"/>
    <n v="3"/>
    <d v="2018-12-01T00:00:00"/>
    <s v="800,00"/>
    <s v="Ochocientos Bolívares con 00/100"/>
  </r>
  <r>
    <n v="1629"/>
    <m/>
    <s v="ü"/>
    <d v="2018-12-04T00:00:00"/>
    <n v="800"/>
    <x v="20"/>
    <x v="18"/>
    <s v="Calle Guacara Nro. 89-30"/>
    <s v="Cancelación Vigilancia, mes de Diciembre 2018"/>
    <s v="Vigilancia"/>
    <m/>
    <s v="01629"/>
    <s v="04 de Diciembre de 2018"/>
    <n v="4"/>
    <d v="2018-12-01T00:00:00"/>
    <s v="800,00"/>
    <s v="Ochocientos Bolívares con 00/100"/>
  </r>
  <r>
    <n v="1630"/>
    <m/>
    <s v="ü"/>
    <d v="2018-12-04T00:00:00"/>
    <n v="320"/>
    <x v="76"/>
    <x v="66"/>
    <s v="Calle Güigüe Nro. 89-90"/>
    <s v="Cancelación Vigilancia, mes de Noviembre 2018"/>
    <s v="Vigilancia"/>
    <m/>
    <s v="01630"/>
    <s v="04 de Diciembre de 2018"/>
    <n v="4"/>
    <d v="2018-12-01T00:00:00"/>
    <s v="320,00"/>
    <s v="Trescientos Veinte Bolívares con 00/100"/>
  </r>
  <r>
    <n v="1631"/>
    <m/>
    <s v="ü"/>
    <d v="2018-12-04T00:00:00"/>
    <n v="1625"/>
    <x v="73"/>
    <x v="9"/>
    <s v="Calle Güigüe Nros. 88-71 y 88-81"/>
    <s v="Cancelación Vigilancia, meses de Noviembre y Diciembre 2018"/>
    <s v="Vigilancia"/>
    <m/>
    <s v="01631"/>
    <s v="04 de Diciembre de 2018"/>
    <n v="4"/>
    <d v="2018-12-01T00:00:00"/>
    <s v="1.625,00"/>
    <s v="Mil Seiscientos Veinticinco Bolívares con 00/100"/>
  </r>
  <r>
    <n v="1632"/>
    <m/>
    <s v="ü"/>
    <d v="2018-12-04T00:00:00"/>
    <n v="320"/>
    <x v="22"/>
    <x v="20"/>
    <s v="Calle Guacara Nro. 88-25"/>
    <s v="Cancelación Vigilancia, mes de Noviembre 2018"/>
    <s v="Vigilancia"/>
    <m/>
    <s v="01632"/>
    <s v="04 de Diciembre de 2018"/>
    <n v="4"/>
    <d v="2018-12-01T00:00:00"/>
    <s v="320,00"/>
    <s v="Trescientos Veinte Bolívares con 00/100"/>
  </r>
  <r>
    <n v="1633"/>
    <m/>
    <s v="ü"/>
    <d v="2018-12-04T00:00:00"/>
    <n v="800"/>
    <x v="7"/>
    <x v="7"/>
    <s v="Calle Guacara Nro. 87-86"/>
    <s v="Cancelación Vigilancia, mes de Diciembre 2018"/>
    <s v="Vigilancia"/>
    <m/>
    <s v="01633"/>
    <s v="04 de Diciembre de 2018"/>
    <n v="4"/>
    <d v="2018-12-01T00:00:00"/>
    <s v="800,00"/>
    <s v="Ochocientos Bolívares con 00/100"/>
  </r>
  <r>
    <n v="1634"/>
    <m/>
    <s v="ü"/>
    <d v="2018-12-05T00:00:00"/>
    <n v="480"/>
    <x v="81"/>
    <x v="69"/>
    <s v="Calle Güigüe Nro. 89-65"/>
    <s v="Cancelación Vigilancia, saldo mes de Diciembre 2018"/>
    <s v="Vigilancia"/>
    <m/>
    <s v="01634"/>
    <s v="05 de Diciembre de 2018"/>
    <n v="5"/>
    <d v="2018-12-01T00:00:00"/>
    <s v="480,00"/>
    <s v="Cuatrocientos Ochenta Bolívares con 00/100"/>
  </r>
  <r>
    <n v="1635"/>
    <m/>
    <s v="ü"/>
    <d v="2018-12-05T00:00:00"/>
    <n v="960"/>
    <x v="14"/>
    <x v="13"/>
    <s v="Calle Güigüe Nro. 89-83"/>
    <s v="Vigilancia: cancelación saldo mes de Diciembre 2018 y mes de Enero 2019"/>
    <s v="Vigilancia"/>
    <m/>
    <s v="01635"/>
    <s v="05 de Diciembre de 2018"/>
    <n v="5"/>
    <d v="2018-12-01T00:00:00"/>
    <s v="960,00"/>
    <s v="Novecientos Sesenta Bolívares con 00/100"/>
  </r>
  <r>
    <n v="1636"/>
    <m/>
    <s v="ü"/>
    <d v="2018-12-05T00:00:00"/>
    <n v="1000"/>
    <x v="6"/>
    <x v="6"/>
    <s v="Calle Guacara Nro. 89-60"/>
    <s v="Cancelación Vigilancia, mes de Diciembre 2018 más aporte"/>
    <s v="Vigilancia"/>
    <m/>
    <s v="01636"/>
    <s v="05 de Diciembre de 2018"/>
    <n v="5"/>
    <d v="2018-12-01T00:00:00"/>
    <s v="1.000,00"/>
    <s v="Mil Bolívares con 00/100"/>
  </r>
  <r>
    <n v="1637"/>
    <m/>
    <s v="ü"/>
    <d v="2018-12-05T00:00:00"/>
    <n v="662.95"/>
    <x v="0"/>
    <x v="0"/>
    <s v="Calle Guacara Nro. 88-45"/>
    <s v="Cancelación Vigilancia, mes de Diciembre 2018 (saldo a favor: Bs. 0,00)"/>
    <s v="Vigilancia"/>
    <m/>
    <s v="01637"/>
    <s v="05 de Diciembre de 2018"/>
    <n v="5"/>
    <d v="2018-12-01T00:00:00"/>
    <s v="662,95"/>
    <s v="Seiscientos Sesenta y Dos Bolívares con 95/100"/>
  </r>
  <r>
    <n v="1638"/>
    <m/>
    <s v="ü"/>
    <d v="2018-12-05T00:00:00"/>
    <n v="800"/>
    <x v="75"/>
    <x v="65"/>
    <s v="Av. &quot;Ñ&quot; Nro. 145-25"/>
    <s v="Cancelación Vigilancia, mes de Diciembre 2018 (saldo a favor: Bs. 2.152,00)"/>
    <s v="Vigilancia"/>
    <m/>
    <s v="01638"/>
    <s v="05 de Diciembre de 2018"/>
    <n v="5"/>
    <d v="2018-12-01T00:00:00"/>
    <s v="800,00"/>
    <s v="Ochocientos Bolívares con 00/100"/>
  </r>
  <r>
    <n v="1639"/>
    <m/>
    <s v="ü"/>
    <d v="2018-11-01T00:00:00"/>
    <n v="320"/>
    <x v="34"/>
    <x v="9"/>
    <s v="Av. &quot;O&quot; Nro. 146-11"/>
    <s v="Cancelación Vigilancia, mes de Octubre 2018"/>
    <s v="Vigilancia"/>
    <m/>
    <s v="01639"/>
    <s v="01 de Noviembre de 2018"/>
    <n v="1"/>
    <d v="2018-11-01T00:00:00"/>
    <s v="320,00"/>
    <s v="Trescientos Veinte Bolívares con 00/100"/>
  </r>
  <r>
    <n v="1640"/>
    <m/>
    <s v="ü"/>
    <d v="2018-11-30T00:00:00"/>
    <n v="320"/>
    <x v="34"/>
    <x v="9"/>
    <s v="Av. &quot;O&quot; Nro. 146-11"/>
    <s v="Cancelación Vigilancia, mes de Noviembre 2018"/>
    <s v="Vigilancia"/>
    <m/>
    <s v="01640"/>
    <s v="30 de Noviembre de 2018"/>
    <n v="30"/>
    <d v="2018-11-01T00:00:00"/>
    <s v="320,00"/>
    <s v="Trescientos Veinte Bolívares con 00/100"/>
  </r>
  <r>
    <n v="1641"/>
    <m/>
    <s v="ü"/>
    <d v="2018-12-05T00:00:00"/>
    <n v="480"/>
    <x v="1"/>
    <x v="1"/>
    <s v="Calle Güigüe Nro. 88-44"/>
    <s v="Cancelación Vigilancia, saldo mes de Diciembre 2018"/>
    <s v="Vigilancia"/>
    <m/>
    <s v="01641"/>
    <s v="05 de Diciembre de 2018"/>
    <n v="5"/>
    <d v="2018-12-01T00:00:00"/>
    <s v="480,00"/>
    <s v="Cuatrocientos Ochenta Bolívares con 00/100"/>
  </r>
  <r>
    <n v="1642"/>
    <m/>
    <s v="ü"/>
    <d v="2018-11-05T00:00:00"/>
    <n v="560"/>
    <x v="4"/>
    <x v="4"/>
    <s v="Calle Güigüe Nro. 89-55"/>
    <s v="Cancelación Vigilancia, saldo mes de Diciembre 2018"/>
    <s v="Vigilancia"/>
    <m/>
    <s v="01642"/>
    <s v="05 de Noviembre de 2018"/>
    <n v="5"/>
    <d v="2018-11-01T00:00:00"/>
    <s v="560,00"/>
    <s v="Quinientos Sesenta Bolívares con 00/100"/>
  </r>
  <r>
    <n v="1643"/>
    <m/>
    <s v="ü"/>
    <d v="2018-12-06T00:00:00"/>
    <n v="800"/>
    <x v="83"/>
    <x v="70"/>
    <s v="Calle Güigüe Nro. 89-22"/>
    <s v="Cancelación Vigilancia, mes de Diciembre 2018"/>
    <s v="Vigilancia"/>
    <m/>
    <s v="01643"/>
    <s v="06 de Diciembre de 2018"/>
    <n v="6"/>
    <d v="2018-12-01T00:00:00"/>
    <s v="800,00"/>
    <s v="Ochocientos Bolívares con 00/100"/>
  </r>
  <r>
    <n v="1644"/>
    <m/>
    <s v="ü"/>
    <d v="2018-12-06T00:00:00"/>
    <n v="800"/>
    <x v="88"/>
    <x v="76"/>
    <s v="Calle Güigüe Nro. 88-11"/>
    <s v="Cancelación Vigilancia, mes de Diciembre 2018"/>
    <s v="Vigilancia"/>
    <m/>
    <s v="01644"/>
    <s v="06 de Diciembre de 2018"/>
    <n v="6"/>
    <d v="2018-12-01T00:00:00"/>
    <s v="800,00"/>
    <s v="Ochocientos Bolívares con 00/100"/>
  </r>
  <r>
    <n v="1645"/>
    <m/>
    <s v="ü"/>
    <d v="2018-12-06T00:00:00"/>
    <n v="800"/>
    <x v="58"/>
    <x v="53"/>
    <s v="Calle Güigüe Nro. 88-51"/>
    <s v="Cancelación Vigilancia, mes de Diciembre 2018"/>
    <s v="Vigilancia"/>
    <m/>
    <s v="01645"/>
    <s v="06 de Diciembre de 2018"/>
    <n v="6"/>
    <d v="2018-12-01T00:00:00"/>
    <s v="800,00"/>
    <s v="Ochocientos Bolívares con 00/100"/>
  </r>
  <r>
    <n v="1646"/>
    <m/>
    <s v="ü"/>
    <d v="2018-12-06T00:00:00"/>
    <n v="800"/>
    <x v="24"/>
    <x v="22"/>
    <s v="Calle Güigüe Nro. 88-54"/>
    <s v="Cancelación Vigilancia, mes de Diciembre 2018"/>
    <s v="Vigilancia"/>
    <m/>
    <s v="01646"/>
    <s v="06 de Diciembre de 2018"/>
    <n v="6"/>
    <d v="2018-12-01T00:00:00"/>
    <s v="800,00"/>
    <s v="Ochocientos Bolívares con 00/100"/>
  </r>
  <r>
    <n v="1647"/>
    <m/>
    <s v="ü"/>
    <d v="2018-12-06T00:00:00"/>
    <n v="320"/>
    <x v="63"/>
    <x v="56"/>
    <s v="Calle Guacara Nro. 88-85"/>
    <s v="Cancelación Vigilancia, mes de Noviembre 2018"/>
    <s v="Vigilancia"/>
    <m/>
    <s v="01647"/>
    <s v="06 de Diciembre de 2018"/>
    <n v="6"/>
    <d v="2018-12-01T00:00:00"/>
    <s v="320,00"/>
    <s v="Trescientos Veinte Bolívares con 00/100"/>
  </r>
  <r>
    <n v="1648"/>
    <m/>
    <s v="ü"/>
    <d v="2018-12-07T00:00:00"/>
    <n v="800"/>
    <x v="8"/>
    <x v="78"/>
    <s v="Calle Guacara Nro. 90-51"/>
    <s v="Cancelación Vigilancia, mes de Diciembre 2018"/>
    <s v="Vigilancia"/>
    <m/>
    <s v="01648"/>
    <s v="07 de Diciembre de 2018"/>
    <n v="7"/>
    <d v="2018-12-01T00:00:00"/>
    <s v="800,00"/>
    <s v="Ochocientos Bolívares con 00/100"/>
  </r>
  <r>
    <n v="1649"/>
    <m/>
    <s v="ü"/>
    <d v="2018-12-08T00:00:00"/>
    <n v="1000"/>
    <x v="16"/>
    <x v="15"/>
    <s v="Calle Guacara Nro. 90-81"/>
    <s v="Vigilancia: saldo mes de Octubre 2018, cancelación Noviembre 2018 y anticipo Enero 2019"/>
    <s v="Vigilancia"/>
    <m/>
    <s v="01649"/>
    <s v="08 de Diciembre de 2018"/>
    <n v="8"/>
    <d v="2018-12-01T00:00:00"/>
    <s v="1.000,00"/>
    <s v="Mil Bolívares con 00/100"/>
  </r>
  <r>
    <n v="1650"/>
    <m/>
    <s v="ü"/>
    <d v="2018-12-08T00:00:00"/>
    <n v="400"/>
    <x v="71"/>
    <x v="62"/>
    <s v="Calle Güigüe Nro. 89-71"/>
    <s v="Colaboración Vigilancia, meses de Octubre y Noviembre 2018"/>
    <s v="Vigilancia"/>
    <m/>
    <s v="01650"/>
    <s v="08 de Diciembre de 2018"/>
    <n v="8"/>
    <d v="2018-12-01T00:00:00"/>
    <s v="400,00"/>
    <s v="Cuatrocientos Bolívares con 00/100"/>
  </r>
  <r>
    <n v="1651"/>
    <m/>
    <s v="ü"/>
    <d v="2018-12-08T00:00:00"/>
    <n v="800"/>
    <x v="77"/>
    <x v="85"/>
    <s v="Calle Guacara Nro. 88-65"/>
    <s v="Cancelación Vigilancia, mes de Diciembre 2018"/>
    <s v="Vigilancia"/>
    <m/>
    <s v="01651"/>
    <s v="08 de Diciembre de 2018"/>
    <n v="8"/>
    <d v="2018-12-01T00:00:00"/>
    <s v="800,00"/>
    <s v="Ochocientos Bolívares con 00/100"/>
  </r>
  <r>
    <n v="1652"/>
    <m/>
    <s v="ü"/>
    <d v="2018-12-08T00:00:00"/>
    <n v="800"/>
    <x v="90"/>
    <x v="82"/>
    <s v="Calle Güigüe Nro. 89-04"/>
    <s v="Cancelación Vigilancia, mes de Diciembre 2018"/>
    <s v="Vigilancia"/>
    <m/>
    <s v="01652"/>
    <s v="08 de Diciembre de 2018"/>
    <n v="8"/>
    <d v="2018-12-01T00:00:00"/>
    <s v="800,00"/>
    <s v="Ochocientos Bolívares con 00/100"/>
  </r>
  <r>
    <n v="1653"/>
    <m/>
    <s v="ü"/>
    <d v="2018-12-09T00:00:00"/>
    <n v="320"/>
    <x v="15"/>
    <x v="14"/>
    <s v="Calle Guacara Nro. 89-94"/>
    <s v="Cancelación Vigilancia, mes de Noviembre 2018"/>
    <s v="Vigilancia"/>
    <m/>
    <s v="01653"/>
    <s v="09 de Diciembre de 2018"/>
    <n v="9"/>
    <d v="2018-12-01T00:00:00"/>
    <s v="320,00"/>
    <s v="Trescientos Veinte Bolívares con 00/100"/>
  </r>
  <r>
    <n v="1654"/>
    <m/>
    <s v="ü"/>
    <d v="2018-12-09T00:00:00"/>
    <n v="800"/>
    <x v="61"/>
    <x v="14"/>
    <s v="Calle Guacara Nro. 87-07"/>
    <s v="Cancelación Vigilancia, mes de Diciembre 2018"/>
    <s v="Vigilancia"/>
    <m/>
    <s v="01654"/>
    <s v="09 de Diciembre de 2018"/>
    <n v="9"/>
    <d v="2018-12-01T00:00:00"/>
    <s v="800,00"/>
    <s v="Ochocientos Bolívares con 00/100"/>
  </r>
  <r>
    <n v="1655"/>
    <m/>
    <s v="ü"/>
    <d v="2018-12-09T00:00:00"/>
    <n v="800"/>
    <x v="63"/>
    <x v="56"/>
    <s v="Calle Guacara Nro. 88-85"/>
    <s v="Cancelación Vigilancia, mes de Diciembre 2018"/>
    <s v="Vigilancia"/>
    <m/>
    <s v="01655"/>
    <s v="09 de Diciembre de 2018"/>
    <n v="9"/>
    <d v="2018-12-01T00:00:00"/>
    <s v="800,00"/>
    <s v="Ochocientos Bolívares con 00/100"/>
  </r>
  <r>
    <n v="1656"/>
    <m/>
    <s v="ü"/>
    <d v="2018-12-09T00:00:00"/>
    <n v="800"/>
    <x v="15"/>
    <x v="14"/>
    <s v="Calle Guacara Nro. 89-94"/>
    <s v="Cancelación Vigilancia, mes de Diciembre 2018"/>
    <s v="Vigilancia"/>
    <m/>
    <s v="01656"/>
    <s v="09 de Diciembre de 2018"/>
    <n v="9"/>
    <d v="2018-12-01T00:00:00"/>
    <s v="800,00"/>
    <s v="Ochocientos Bolívares con 00/100"/>
  </r>
  <r>
    <n v="1657"/>
    <m/>
    <s v="ü"/>
    <d v="2018-10-31T00:00:00"/>
    <n v="320"/>
    <x v="28"/>
    <x v="77"/>
    <s v="Calle Güigüe Nro. 88-30"/>
    <s v="Cancelación Vigilancia, mes de Octubre 2018"/>
    <s v="Vigilancia"/>
    <m/>
    <s v="01657"/>
    <s v="31 de Octubre de 2018"/>
    <n v="31"/>
    <d v="2018-10-01T00:00:00"/>
    <s v="320,00"/>
    <s v="Trescientos Veinte Bolívares con 00/100"/>
  </r>
  <r>
    <n v="1658"/>
    <m/>
    <s v="ü"/>
    <d v="2018-12-07T00:00:00"/>
    <n v="800"/>
    <x v="35"/>
    <x v="32"/>
    <s v="Calle Güigüe Nro. 89-80"/>
    <s v="Cancelación Vigilancia, mes de Diciembre 2018"/>
    <s v="Vigilancia"/>
    <m/>
    <s v="01658"/>
    <s v="07 de Diciembre de 2018"/>
    <n v="7"/>
    <d v="2018-12-01T00:00:00"/>
    <s v="800,00"/>
    <s v="Ochocientos Bolívares con 00/100"/>
  </r>
  <r>
    <n v="1659"/>
    <m/>
    <s v="ü"/>
    <d v="2018-12-10T00:00:00"/>
    <n v="800"/>
    <x v="62"/>
    <x v="55"/>
    <s v="Av. &quot;M&quot; Nro. 145-10"/>
    <s v="Cancelación Vigilancia, mes de Diciembre 2018"/>
    <s v="Vigilancia"/>
    <m/>
    <s v="01659"/>
    <s v="10 de Diciembre de 2018"/>
    <n v="10"/>
    <d v="2018-12-01T00:00:00"/>
    <s v="800,00"/>
    <s v="Ochocientos Bolívares con 00/100"/>
  </r>
  <r>
    <n v="1660"/>
    <m/>
    <s v="ü"/>
    <d v="2018-12-11T00:00:00"/>
    <n v="800"/>
    <x v="44"/>
    <x v="41"/>
    <s v="Calle Guacara Nro. 89-40"/>
    <s v="Cancelación Vigilancia, mes de Diciembre 2018"/>
    <s v="Vigilancia"/>
    <m/>
    <s v="01660"/>
    <s v="11 de Diciembre de 2018"/>
    <n v="11"/>
    <d v="2018-12-01T00:00:00"/>
    <s v="800,00"/>
    <s v="Ochocientos Bolívares con 00/100"/>
  </r>
  <r>
    <n v="1661"/>
    <m/>
    <s v="ü"/>
    <d v="2018-12-11T00:00:00"/>
    <n v="800"/>
    <x v="56"/>
    <x v="52"/>
    <s v="Calle Güigüe Nro. 88-70"/>
    <s v="Cancelación Vigilancia, mes de Diciembre 2018"/>
    <s v="Vigilancia"/>
    <m/>
    <s v="01661"/>
    <s v="11 de Diciembre de 2018"/>
    <n v="11"/>
    <d v="2018-12-01T00:00:00"/>
    <s v="800,00"/>
    <s v="Ochocientos Bolívares con 00/100"/>
  </r>
  <r>
    <n v="1662"/>
    <m/>
    <s v="ü"/>
    <d v="2018-11-19T00:00:00"/>
    <n v="320"/>
    <x v="65"/>
    <x v="58"/>
    <s v="Calle Güigüe Nro. 88-10"/>
    <s v="Cancelación Vigilancia, mes de Noviembre 2018"/>
    <s v="Vigilancia"/>
    <m/>
    <s v="01662"/>
    <s v="19 de Noviembre de 2018"/>
    <n v="19"/>
    <d v="2018-11-01T00:00:00"/>
    <s v="320,00"/>
    <s v="Trescientos Veinte Bolívares con 00/100"/>
  </r>
  <r>
    <n v="1663"/>
    <m/>
    <s v="ü"/>
    <d v="2018-12-13T00:00:00"/>
    <n v="800"/>
    <x v="65"/>
    <x v="58"/>
    <s v="Calle Güigüe Nro. 88-10"/>
    <s v="Cancelación Vigilancia, mes de Diciembre 2018"/>
    <s v="Vigilancia"/>
    <m/>
    <s v="01663"/>
    <s v="13 de Diciembre de 2018"/>
    <n v="13"/>
    <d v="2018-12-01T00:00:00"/>
    <s v="800,00"/>
    <s v="Ochocientos Bolívares con 00/100"/>
  </r>
  <r>
    <n v="1664"/>
    <m/>
    <s v="ü"/>
    <d v="2018-12-13T00:00:00"/>
    <n v="800"/>
    <x v="31"/>
    <x v="29"/>
    <s v="Calle Güigüe Nro. 89-95"/>
    <s v="Cancelación Vigilancia, saldo mes de Diciembre 2018 y anticipo mes de Enero 2019"/>
    <s v="Vigilancia"/>
    <m/>
    <s v="01664"/>
    <s v="13 de Diciembre de 2018"/>
    <n v="13"/>
    <d v="2018-12-01T00:00:00"/>
    <s v="800,00"/>
    <s v="Ochocientos Bolívares con 00/100"/>
  </r>
  <r>
    <n v="1665"/>
    <m/>
    <s v="ü"/>
    <d v="2018-11-11T00:00:00"/>
    <n v="320"/>
    <x v="19"/>
    <x v="17"/>
    <s v="Calle Guacara Nro. 89-130"/>
    <s v="Cancelación Vigilancia, mes de Noviembre 2018"/>
    <s v="Vigilancia"/>
    <m/>
    <s v="01665"/>
    <s v="11 de Noviembre de 2018"/>
    <n v="11"/>
    <d v="2018-11-01T00:00:00"/>
    <s v="320,00"/>
    <s v="Trescientos Veinte Bolívares con 00/100"/>
  </r>
  <r>
    <n v="1666"/>
    <m/>
    <s v="ü"/>
    <d v="2018-12-13T00:00:00"/>
    <n v="1131.1500000000001"/>
    <x v="42"/>
    <x v="39"/>
    <s v="Calle Güigüe Nro. 89-79"/>
    <s v="Cancelación Vigilancia, meses de Noviembre y Diciembre 2018 (saldo a favor: Bs. 11,15)"/>
    <s v="Vigilancia"/>
    <m/>
    <s v="01666"/>
    <s v="13 de Diciembre de 2018"/>
    <n v="13"/>
    <d v="2018-12-01T00:00:00"/>
    <s v="1.131,15"/>
    <s v="Mil Ciento Treinta y Un Bolívares con 15/100"/>
  </r>
  <r>
    <n v="1667"/>
    <m/>
    <s v="ü"/>
    <d v="2018-12-13T00:00:00"/>
    <n v="320"/>
    <x v="54"/>
    <x v="50"/>
    <s v="Calle Güigüe Nro. 89-21"/>
    <s v="Cancelación Vigilancia, mes de Noviembre 2018"/>
    <s v="Vigilancia"/>
    <m/>
    <s v="01667"/>
    <s v="13 de Diciembre de 2018"/>
    <n v="13"/>
    <d v="2018-12-01T00:00:00"/>
    <s v="320,00"/>
    <s v="Trescientos Veinte Bolívares con 00/100"/>
  </r>
  <r>
    <n v="1668"/>
    <m/>
    <s v="ü"/>
    <d v="2018-12-14T00:00:00"/>
    <n v="320"/>
    <x v="83"/>
    <x v="70"/>
    <s v="Calle Güigüe Nro. 89-22"/>
    <s v="Cancelación Vigilancia, mes de Noviembre 2018"/>
    <s v="Vigilancia"/>
    <m/>
    <s v="01668"/>
    <s v="14 de Diciembre de 2018"/>
    <n v="14"/>
    <d v="2018-12-01T00:00:00"/>
    <s v="320,00"/>
    <s v="Trescientos Veinte Bolívares con 00/100"/>
  </r>
  <r>
    <n v="1669"/>
    <m/>
    <s v="ü"/>
    <d v="2018-12-14T00:00:00"/>
    <n v="320"/>
    <x v="48"/>
    <x v="9"/>
    <s v="Calle Güigüe Nro. 88-90"/>
    <s v="Cancelación Vigilancia, mes de Noviembre 2018"/>
    <s v="Vigilancia"/>
    <m/>
    <s v="01669"/>
    <s v="14 de Diciembre de 2018"/>
    <n v="14"/>
    <d v="2018-12-01T00:00:00"/>
    <s v="320,00"/>
    <s v="Trescientos Veinte Bolívares con 00/100"/>
  </r>
  <r>
    <n v="1670"/>
    <m/>
    <s v="ü"/>
    <d v="2018-12-14T00:00:00"/>
    <n v="3000"/>
    <x v="87"/>
    <x v="75"/>
    <s v="Calle Güigüe Nro. 88-06"/>
    <s v="Vigilancia: Cancelación meses de Octubre, Noviembre y Diciembre 2018 y anticipo mes de Enero 2019"/>
    <s v="Vigilancia"/>
    <m/>
    <s v="01670"/>
    <s v="14 de Diciembre de 2018"/>
    <n v="14"/>
    <d v="2018-12-01T00:00:00"/>
    <s v="3.000,00"/>
    <s v="Tres Mil Bolívares con 00/100"/>
  </r>
  <r>
    <n v="1671"/>
    <m/>
    <s v="ü"/>
    <d v="2018-12-14T00:00:00"/>
    <n v="1760"/>
    <x v="70"/>
    <x v="9"/>
    <s v="Calle Guacara Nro. 89-70"/>
    <s v="Cancelación Vigilancia, meses de Septiembre, Octubre, Noviembre y Diciembre 2018"/>
    <s v="Vigilancia"/>
    <m/>
    <s v="01671"/>
    <s v="14 de Diciembre de 2018"/>
    <n v="14"/>
    <d v="2018-12-01T00:00:00"/>
    <s v="1.760,00"/>
    <s v="Mil Setecientos Sesenta Bolívares con 00/100"/>
  </r>
  <r>
    <n v="1672"/>
    <m/>
    <s v="ü"/>
    <d v="2018-12-15T00:00:00"/>
    <n v="800"/>
    <x v="19"/>
    <x v="17"/>
    <s v="Calle Guacara Nro. 89-130"/>
    <s v="Cancelación Vigilancia, mes de Diciembre 2018"/>
    <s v="Vigilancia"/>
    <m/>
    <s v="01672"/>
    <s v="15 de Diciembre de 2018"/>
    <n v="15"/>
    <d v="2018-12-01T00:00:00"/>
    <s v="800,00"/>
    <s v="Ochocientos Bolívares con 00/100"/>
  </r>
  <r>
    <n v="1673"/>
    <m/>
    <s v="ü"/>
    <d v="2018-12-16T00:00:00"/>
    <n v="355"/>
    <x v="9"/>
    <x v="9"/>
    <s v="Av. &quot;M&quot; Nro. 146-30"/>
    <s v="Cancelación Vigilancia, mes de Noviembre 2018"/>
    <s v="Vigilancia"/>
    <m/>
    <s v="01673"/>
    <s v="16 de Diciembre de 2018"/>
    <n v="16"/>
    <d v="2018-12-01T00:00:00"/>
    <s v="355,00"/>
    <s v="Trescientos Cincuenta y Cinco Bolívares con 00/100"/>
  </r>
  <r>
    <n v="1674"/>
    <m/>
    <s v="ü"/>
    <d v="2018-12-16T00:00:00"/>
    <n v="200"/>
    <x v="74"/>
    <x v="64"/>
    <s v="Calle Güigüe Nro. 88-20"/>
    <s v="Colaboración Vigilancia, meses de Noviembre y Diciembre 2018"/>
    <s v="Vigilancia"/>
    <m/>
    <s v="01674"/>
    <s v="16 de Diciembre de 2018"/>
    <n v="16"/>
    <d v="2018-12-01T00:00:00"/>
    <s v="200,00"/>
    <s v="Doscientos Bolívares con 00/100"/>
  </r>
  <r>
    <n v="1675"/>
    <m/>
    <s v="ü"/>
    <d v="2018-12-17T00:00:00"/>
    <n v="1600"/>
    <x v="72"/>
    <x v="63"/>
    <s v="Calle Güigüe Nro. 89-35"/>
    <s v="Cancelación Vigilancia, meses de Octubre, Noviembre y Diciembre 2018, y adelanto mes de Enero 2019"/>
    <s v="Vigilancia"/>
    <m/>
    <s v="01675"/>
    <s v="17 de Diciembre de 2018"/>
    <n v="17"/>
    <d v="2018-12-01T00:00:00"/>
    <s v="1.600,00"/>
    <s v="Mil Seiscientos Bolívares con 00/100"/>
  </r>
  <r>
    <n v="1676"/>
    <m/>
    <s v="ü"/>
    <d v="2018-12-17T00:00:00"/>
    <n v="1120"/>
    <x v="25"/>
    <x v="23"/>
    <s v="Calle Güigüe Nro. 88-58"/>
    <s v="Cancelación Vigilancia, meses de Noviembre y Diciembre 2018"/>
    <s v="Vigilancia"/>
    <m/>
    <s v="01676"/>
    <s v="17 de Diciembre de 2018"/>
    <n v="17"/>
    <d v="2018-12-01T00:00:00"/>
    <s v="1.120,00"/>
    <s v="Mil Ciento Veinte Bolívares con 00/100"/>
  </r>
  <r>
    <n v="1677"/>
    <m/>
    <s v="ü"/>
    <d v="2018-12-17T00:00:00"/>
    <n v="320"/>
    <x v="39"/>
    <x v="36"/>
    <s v="Calle Güigüe Nro. 88-111"/>
    <s v="Cancelación Vigilancia, mes de Noviembre 2018"/>
    <s v="Vigilancia"/>
    <m/>
    <s v="01677"/>
    <s v="17 de Diciembre de 2018"/>
    <n v="17"/>
    <d v="2018-12-01T00:00:00"/>
    <s v="320,00"/>
    <s v="Trescientos Veinte Bolívares con 00/100"/>
  </r>
  <r>
    <n v="1678"/>
    <m/>
    <s v="ü"/>
    <d v="2018-12-18T00:00:00"/>
    <n v="1000"/>
    <x v="92"/>
    <x v="86"/>
    <s v="Calle Guacara Nro. 88-A-10"/>
    <s v="Cancelación Vigilancia, mes de Diciembre 2018"/>
    <s v="Vigilancia"/>
    <m/>
    <s v="01678"/>
    <s v="18 de Diciembre de 2018"/>
    <n v="18"/>
    <d v="2018-12-01T00:00:00"/>
    <s v="1.000,00"/>
    <s v="Mil Bolívares con 00/100"/>
  </r>
  <r>
    <n v="1679"/>
    <m/>
    <s v="ü"/>
    <d v="2018-12-18T00:00:00"/>
    <n v="1950"/>
    <x v="21"/>
    <x v="19"/>
    <s v="Calle Guacara Nro. 89-130"/>
    <s v="Cancelación Vigilancia, meses de Noviembre y Diciembre 2018, y Enero 2019"/>
    <s v="Vigilancia"/>
    <m/>
    <s v="01679"/>
    <s v="18 de Diciembre de 2018"/>
    <n v="18"/>
    <d v="2018-12-01T00:00:00"/>
    <s v="1.950,00"/>
    <s v="Mil Novecientos Cincuenta Bolívares con 00/100"/>
  </r>
  <r>
    <n v="1680"/>
    <m/>
    <s v="ü"/>
    <d v="2018-12-19T00:00:00"/>
    <n v="980"/>
    <x v="5"/>
    <x v="9"/>
    <s v="Calle Güigüe Nro. 88-120"/>
    <s v="Contribución Vigilancia, mes de Diciembre 2018 y cancelación mes de Enero 2019"/>
    <s v="Vigilancia"/>
    <m/>
    <s v="01680"/>
    <s v="19 de Diciembre de 2018"/>
    <n v="19"/>
    <d v="2018-12-01T00:00:00"/>
    <s v="980,00"/>
    <s v="Novecientos Ochenta Bolívares con 00/100"/>
  </r>
  <r>
    <n v="1681"/>
    <m/>
    <s v="ü"/>
    <d v="2018-12-22T00:00:00"/>
    <n v="800"/>
    <x v="36"/>
    <x v="33"/>
    <s v="Calle Güigüe Nro. 89-10"/>
    <s v="Cancelación Vigilancia, mes de Diciembre 2018"/>
    <s v="Vigilancia"/>
    <m/>
    <s v="01681"/>
    <s v="22 de Diciembre de 2018"/>
    <n v="22"/>
    <d v="2018-12-01T00:00:00"/>
    <s v="800,00"/>
    <s v="Ochocientos Bolívares con 00/100"/>
  </r>
  <r>
    <n v="1682"/>
    <m/>
    <s v="ü"/>
    <d v="2018-12-23T00:00:00"/>
    <n v="480"/>
    <x v="27"/>
    <x v="25"/>
    <s v="Calle Güigüe Nro. 89-106"/>
    <s v="Cancelación Vigilancia, saldo mes de Diciembre 2018"/>
    <s v="Vigilancia"/>
    <m/>
    <s v="01682"/>
    <s v="23 de Diciembre de 2018"/>
    <n v="23"/>
    <d v="2018-12-01T00:00:00"/>
    <s v="480,00"/>
    <s v="Cuatrocientos Ochenta Bolívares con 00/100"/>
  </r>
  <r>
    <n v="1683"/>
    <m/>
    <s v="ü"/>
    <d v="2018-12-25T00:00:00"/>
    <n v="1450"/>
    <x v="80"/>
    <x v="9"/>
    <s v="Calle Guacara Nro. 88-55"/>
    <s v="Cancelación Vigilancia, meses de Octubre, Noviembre y Diciembre 2018, y anticipo mes de Enero 2019"/>
    <s v="Vigilancia"/>
    <m/>
    <s v="01683"/>
    <s v="25 de Diciembre de 2018"/>
    <n v="25"/>
    <d v="2018-12-01T00:00:00"/>
    <s v="1.450,00"/>
    <s v="Mil Cuatrocientos Cincuenta Bolívares con 00/100"/>
  </r>
  <r>
    <n v="1684"/>
    <m/>
    <s v="ü"/>
    <d v="2018-12-25T00:00:00"/>
    <n v="500"/>
    <x v="71"/>
    <x v="62"/>
    <s v="Calle Güigüe Nro. 89-71"/>
    <s v="Colaboración Vigilancia, mes de Diciembre 2018"/>
    <s v="Vigilancia"/>
    <m/>
    <s v="01684"/>
    <s v="25 de Diciembre de 2018"/>
    <n v="25"/>
    <d v="2018-12-01T00:00:00"/>
    <s v="500,00"/>
    <s v="Quinientos Bolívares con 00/100"/>
  </r>
  <r>
    <n v="1685"/>
    <m/>
    <s v="ü"/>
    <d v="2018-12-26T00:00:00"/>
    <n v="800"/>
    <x v="9"/>
    <x v="9"/>
    <s v="Av. &quot;M&quot; Nro. 146-30"/>
    <s v="Cancelación Vigilancia, mes de Diciembre 2018"/>
    <s v="Vigilancia"/>
    <m/>
    <s v="01685"/>
    <s v="26 de Diciembre de 2018"/>
    <n v="26"/>
    <d v="2018-12-01T00:00:00"/>
    <s v="800,00"/>
    <s v="Ochocientos Bolívares con 00/100"/>
  </r>
  <r>
    <n v="1686"/>
    <m/>
    <s v="ü"/>
    <d v="2018-12-26T00:00:00"/>
    <n v="1000"/>
    <x v="3"/>
    <x v="3"/>
    <s v="Calle Güigüe Nro. 88-62"/>
    <s v="Colaboración Vigilancia, meses de Noviembre y Diciembre 2018"/>
    <s v="Vigilancia"/>
    <m/>
    <s v="01686"/>
    <s v="26 de Diciembre de 2018"/>
    <n v="26"/>
    <d v="2018-12-01T00:00:00"/>
    <s v="1.000,00"/>
    <s v="Mil Bolívares con 00/100"/>
  </r>
  <r>
    <n v="1687"/>
    <m/>
    <s v="ü"/>
    <d v="2018-12-28T00:00:00"/>
    <n v="800"/>
    <x v="23"/>
    <x v="21"/>
    <s v="Calle Güigüe Nro. 88-116"/>
    <s v="Cancelación Vigilancia, mes de Diciembre 2018"/>
    <s v="Vigilancia"/>
    <m/>
    <s v="01687"/>
    <s v="28 de Diciembre de 2018"/>
    <n v="28"/>
    <d v="2018-12-01T00:00:00"/>
    <s v="800,00"/>
    <s v="Ochocientos Bolívares con 00/100"/>
  </r>
  <r>
    <n v="1688"/>
    <m/>
    <s v="ü"/>
    <d v="2018-12-29T00:00:00"/>
    <n v="1600"/>
    <x v="54"/>
    <x v="50"/>
    <s v="Calle Güigüe Nro. 89-21"/>
    <s v="Cancelación Vigilancia, meses de Diciembre 2018 y Enero 2019"/>
    <s v="Vigilancia"/>
    <m/>
    <s v="01688"/>
    <s v="29 de Diciembre de 2018"/>
    <n v="29"/>
    <d v="2018-12-01T00:00:00"/>
    <s v="1.600,00"/>
    <s v="Mil Seiscientos Bolívares con 00/100"/>
  </r>
  <r>
    <n v="1689"/>
    <m/>
    <s v="ü"/>
    <d v="2019-01-02T00:00:00"/>
    <n v="1200"/>
    <x v="28"/>
    <x v="77"/>
    <s v="Calle Güigüe Nro. 88-30"/>
    <s v="Cancelación Vigilancia, meses de Noviembre y Diciembre 2018"/>
    <s v="Vigilancia"/>
    <m/>
    <s v="01689"/>
    <s v="02 de Enero de 2019"/>
    <n v="2"/>
    <d v="2019-01-01T00:00:00"/>
    <s v="1.200,00"/>
    <s v="Mil Doscientos Bolívares con 00/100"/>
  </r>
  <r>
    <n v="1690"/>
    <m/>
    <s v="ü"/>
    <d v="2019-01-03T00:00:00"/>
    <n v="400"/>
    <x v="68"/>
    <x v="60"/>
    <s v="Calle Güigüe Nro. 89-29"/>
    <s v="Colaboración Vigilancia, mes de Diciembre 2018"/>
    <s v="Vigilancia"/>
    <m/>
    <s v="01690"/>
    <s v="03 de Enero de 2019"/>
    <n v="3"/>
    <d v="2019-01-01T00:00:00"/>
    <s v="400,00"/>
    <s v="Cuatrocientos Bolívares con 00/100"/>
  </r>
  <r>
    <n v="1691"/>
    <m/>
    <s v="ü"/>
    <d v="2019-01-03T00:00:00"/>
    <n v="800"/>
    <x v="31"/>
    <x v="29"/>
    <s v="Calle Güigüe Nro. 89-95"/>
    <s v="Vigilancia: Anticipo meses de Enero y Febrero 2019"/>
    <s v="Vigilancia"/>
    <m/>
    <s v="01691"/>
    <s v="03 de Enero de 2019"/>
    <n v="3"/>
    <d v="2019-01-01T00:00:00"/>
    <s v="800,00"/>
    <s v="Ochocientos Bolívares con 00/100"/>
  </r>
  <r>
    <n v="1692"/>
    <m/>
    <s v="ü"/>
    <d v="2019-01-03T00:00:00"/>
    <n v="1600"/>
    <x v="59"/>
    <x v="9"/>
    <s v="Calle Guacara Nro. 90-35"/>
    <s v="Cancelación Vigilancia, meses de Diciembre 2018 y Enero 2019"/>
    <s v="Vigilancia"/>
    <m/>
    <s v="01692"/>
    <s v="03 de Enero de 2019"/>
    <n v="3"/>
    <d v="2019-01-01T00:00:00"/>
    <s v="1.600,00"/>
    <s v="Mil Seiscientos Bolívares con 00/100"/>
  </r>
  <r>
    <n v="1693"/>
    <m/>
    <s v="ü"/>
    <d v="2019-01-05T00:00:00"/>
    <n v="1800"/>
    <x v="4"/>
    <x v="4"/>
    <s v="Calle Güigüe Nro. 89-55"/>
    <s v="Vigilancia: Anticipo mes de Enero 2019"/>
    <s v="Vigilancia"/>
    <m/>
    <s v="01693"/>
    <s v="05 de Enero de 2019"/>
    <n v="5"/>
    <d v="2019-01-01T00:00:00"/>
    <s v="1.800,00"/>
    <s v="Mil Ochocientos Bolívares con 00/100"/>
  </r>
  <r>
    <n v="1694"/>
    <m/>
    <s v="ü"/>
    <d v="2019-01-06T00:00:00"/>
    <n v="770"/>
    <x v="46"/>
    <x v="43"/>
    <s v="Av. &quot;I&quot; Nro. 146-20"/>
    <s v="Cancelación Vigilancia, saldo mes de Diciembre 2018 y anticipo mes de Enero 2019"/>
    <s v="Vigilancia"/>
    <m/>
    <s v="01694"/>
    <s v="06 de Enero de 2019"/>
    <n v="6"/>
    <d v="2019-01-01T00:00:00"/>
    <s v="770,00"/>
    <s v="Setecientos Setenta Bolívares con 00/100"/>
  </r>
  <r>
    <n v="1695"/>
    <m/>
    <s v="ü"/>
    <d v="2019-01-06T00:00:00"/>
    <n v="800"/>
    <x v="46"/>
    <x v="43"/>
    <s v="Av. &quot;I&quot; Nro. 146-20"/>
    <s v="Vigilancia: Anticipo mes de Enero 2019"/>
    <s v="Vigilancia"/>
    <m/>
    <s v="01695"/>
    <s v="06 de Enero de 2019"/>
    <n v="6"/>
    <d v="2019-01-01T00:00:00"/>
    <s v="800,00"/>
    <s v="Ochocientos Bolívares con 00/100"/>
  </r>
  <r>
    <n v="1696"/>
    <m/>
    <s v="ü"/>
    <d v="2019-01-07T00:00:00"/>
    <n v="800"/>
    <x v="90"/>
    <x v="82"/>
    <s v="Calle Güigüe Nro. 89-04"/>
    <s v="Vigilancia: Anticipo mes de Enero 2019"/>
    <s v="Vigilancia"/>
    <m/>
    <s v="01696"/>
    <s v="07 de Enero de 2019"/>
    <n v="7"/>
    <d v="2019-01-01T00:00:00"/>
    <s v="800,00"/>
    <s v="Ochocientos Bolívares con 00/100"/>
  </r>
  <r>
    <n v="1697"/>
    <m/>
    <s v="ü"/>
    <d v="2019-01-07T00:00:00"/>
    <n v="320"/>
    <x v="49"/>
    <x v="46"/>
    <s v="Av. &quot;O&quot; Nro. 146-17"/>
    <s v="Cancelación Vigilancia, mes de Noviembre 2018"/>
    <s v="Vigilancia"/>
    <m/>
    <s v="01697"/>
    <s v="07 de Enero de 2019"/>
    <n v="7"/>
    <d v="2019-01-01T00:00:00"/>
    <s v="320,00"/>
    <s v="Trescientos Veinte Bolívares con 00/100"/>
  </r>
  <r>
    <n v="1698"/>
    <m/>
    <s v="ü"/>
    <d v="2019-01-07T00:00:00"/>
    <n v="800"/>
    <x v="49"/>
    <x v="46"/>
    <s v="Av. &quot;O&quot; Nro. 146-17"/>
    <s v="Cancelación Vigilancia, mes de Diciembre 2018"/>
    <s v="Vigilancia"/>
    <m/>
    <s v="01698"/>
    <s v="07 de Enero de 2019"/>
    <n v="7"/>
    <d v="2019-01-01T00:00:00"/>
    <s v="800,00"/>
    <s v="Ochocientos Bolívares con 00/100"/>
  </r>
  <r>
    <n v="1699"/>
    <m/>
    <s v="ü"/>
    <d v="2019-01-07T00:00:00"/>
    <n v="800"/>
    <x v="22"/>
    <x v="20"/>
    <s v="Calle Guacara Nro. 88-25"/>
    <s v="Cancelación Vigilancia, mes de Diciembre 2018"/>
    <s v="Vigilancia"/>
    <m/>
    <s v="01699"/>
    <s v="07 de Enero de 2019"/>
    <n v="7"/>
    <d v="2019-01-01T00:00:00"/>
    <s v="800,00"/>
    <s v="Ochocientos Bolívares con 00/100"/>
  </r>
  <r>
    <n v="1700"/>
    <m/>
    <s v="ü"/>
    <d v="2019-01-08T00:00:00"/>
    <n v="937.05"/>
    <x v="0"/>
    <x v="0"/>
    <s v="Calle Guacara Nro. 88-45"/>
    <s v="Vigilancia: Cancelación saldo mes de Diciembre 2018 y anticipo mes de Enero 2019 (saldo a favor: Bs. 9.062,95)"/>
    <s v="Vigilancia"/>
    <m/>
    <s v="01700"/>
    <s v="08 de Enero de 2019"/>
    <n v="8"/>
    <d v="2019-01-01T00:00:00"/>
    <s v="937,05"/>
    <s v="Novecientos Treinta y Siete Bolívares con 05/100"/>
  </r>
  <r>
    <n v="1701"/>
    <m/>
    <s v="ü"/>
    <d v="2019-01-08T00:00:00"/>
    <n v="800"/>
    <x v="20"/>
    <x v="18"/>
    <s v="Calle Guacara Nro. 89-30"/>
    <s v="Vigilancia: Anticipo mes de Enero 2019"/>
    <s v="Vigilancia"/>
    <m/>
    <s v="01701"/>
    <s v="08 de Enero de 2019"/>
    <n v="8"/>
    <d v="2019-01-01T00:00:00"/>
    <s v="800,00"/>
    <s v="Ochocientos Bolívares con 00/100"/>
  </r>
  <r>
    <n v="1702"/>
    <m/>
    <s v="ü"/>
    <d v="2019-01-08T00:00:00"/>
    <n v="800"/>
    <x v="7"/>
    <x v="7"/>
    <s v="Calle Guacara Nro. 87-86"/>
    <s v="Vigilancia: Anticipo mes de Enero 2019"/>
    <s v="Vigilancia"/>
    <m/>
    <s v="01702"/>
    <s v="08 de Enero de 2019"/>
    <n v="8"/>
    <d v="2019-01-01T00:00:00"/>
    <s v="800,00"/>
    <s v="Ochocientos Bolívares con 00/100"/>
  </r>
  <r>
    <n v="1703"/>
    <m/>
    <s v="ü"/>
    <d v="2019-01-08T00:00:00"/>
    <n v="1280"/>
    <x v="69"/>
    <x v="61"/>
    <s v="Calle Güigüe Nro. 89-40"/>
    <s v="Vigilancia: cancelación saldo mes de Diciembre 2018 y mes de Enero 2019"/>
    <s v="Vigilancia"/>
    <m/>
    <s v="01703"/>
    <s v="08 de Enero de 2019"/>
    <n v="8"/>
    <d v="2019-01-01T00:00:00"/>
    <s v="1.280,00"/>
    <s v="Mil Doscientos Ochenta Bolívares con 00/100"/>
  </r>
  <r>
    <n v="1704"/>
    <m/>
    <s v="ü"/>
    <d v="2019-01-08T00:00:00"/>
    <n v="800"/>
    <x v="15"/>
    <x v="14"/>
    <s v="Calle Guacara Nro. 89-94"/>
    <s v="Vigilancia: Anticipo mes de Enero 2019"/>
    <s v="Vigilancia"/>
    <m/>
    <s v="01704"/>
    <s v="08 de Enero de 2019"/>
    <n v="8"/>
    <d v="2019-01-01T00:00:00"/>
    <s v="800,00"/>
    <s v="Ochocientos Bolívares con 00/100"/>
  </r>
  <r>
    <n v="1705"/>
    <m/>
    <s v="ü"/>
    <d v="2019-01-08T00:00:00"/>
    <n v="800"/>
    <x v="61"/>
    <x v="14"/>
    <s v="Calle Guacara Nro. 87-07"/>
    <s v="Vigilancia: Anticipo mes de Enero 2019"/>
    <s v="Vigilancia"/>
    <m/>
    <s v="01705"/>
    <s v="08 de Enero de 2019"/>
    <n v="8"/>
    <d v="2019-01-01T00:00:00"/>
    <s v="800,00"/>
    <s v="Ochocientos Bolívares con 00/100"/>
  </r>
  <r>
    <n v="1706"/>
    <m/>
    <s v="ü"/>
    <d v="2019-01-09T00:00:00"/>
    <n v="800"/>
    <x v="12"/>
    <x v="12"/>
    <s v="Calle Guacara Nro. 89-20"/>
    <s v="Vigilancia: Anticipo mes de Enero 2019"/>
    <s v="Vigilancia"/>
    <m/>
    <s v="01706"/>
    <s v="09 de Enero de 2019"/>
    <n v="9"/>
    <d v="2019-01-01T00:00:00"/>
    <s v="800,00"/>
    <s v="Ochocientos Bolívares con 00/100"/>
  </r>
  <r>
    <n v="1707"/>
    <m/>
    <s v="ü"/>
    <d v="2019-01-10T00:00:00"/>
    <n v="800"/>
    <x v="81"/>
    <x v="69"/>
    <s v="Calle Güigüe Nro. 89-65"/>
    <s v="Vigilancia: Anticipo mes de Enero 2019"/>
    <s v="Vigilancia"/>
    <m/>
    <s v="01707"/>
    <s v="10 de Enero de 2019"/>
    <n v="10"/>
    <d v="2019-01-01T00:00:00"/>
    <s v="800,00"/>
    <s v="Ochocientos Bolívares con 00/100"/>
  </r>
  <r>
    <n v="1708"/>
    <m/>
    <s v="ü"/>
    <d v="2019-01-10T00:00:00"/>
    <n v="1600"/>
    <x v="93"/>
    <x v="87"/>
    <s v="Calle Güigüe Nro. 89-89"/>
    <s v="Vigilancia: Cancelación mes de Diciembre 2018 y anticipo mes de Enero 2019"/>
    <s v="Vigilancia"/>
    <m/>
    <s v="01708"/>
    <s v="10 de Enero de 2019"/>
    <n v="10"/>
    <d v="2019-01-01T00:00:00"/>
    <s v="1.600,00"/>
    <s v="Mil Seiscientos Bolívares con 00/100"/>
  </r>
  <r>
    <n v="1709"/>
    <m/>
    <s v="ü"/>
    <d v="2019-01-10T00:00:00"/>
    <n v="1000"/>
    <x v="8"/>
    <x v="78"/>
    <s v="Calle Guacara Nro. 90-51"/>
    <s v="Vigilancia: Anticipo mes de Enero 2019"/>
    <s v="Vigilancia"/>
    <m/>
    <s v="01709"/>
    <s v="10 de Enero de 2019"/>
    <n v="10"/>
    <d v="2019-01-01T00:00:00"/>
    <s v="1.000,00"/>
    <s v="Mil Bolívares con 00/100"/>
  </r>
  <r>
    <n v="1710"/>
    <m/>
    <s v="ü"/>
    <d v="2019-01-10T00:00:00"/>
    <n v="800"/>
    <x v="65"/>
    <x v="58"/>
    <s v="Calle Güigüe Nro. 88-10"/>
    <s v="Vigilancia: Anticipo mes de Enero 2019"/>
    <s v="Vigilancia"/>
    <m/>
    <s v="01710"/>
    <s v="10 de Enero de 2019"/>
    <n v="10"/>
    <d v="2019-01-01T00:00:00"/>
    <s v="800,00"/>
    <s v="Ochocientos Bolívares con 00/100"/>
  </r>
  <r>
    <n v="1711"/>
    <m/>
    <s v="ü"/>
    <d v="2019-01-10T00:00:00"/>
    <n v="1500"/>
    <x v="16"/>
    <x v="15"/>
    <s v="Calle Guacara Nro. 90-81"/>
    <s v="Vigilancia: Anticipo mes de Enero 2019"/>
    <s v="Vigilancia"/>
    <m/>
    <s v="01711"/>
    <s v="10 de Enero de 2019"/>
    <n v="10"/>
    <d v="2019-01-01T00:00:00"/>
    <s v="1.500,00"/>
    <s v="Mil Quinientos Bolívares con 00/100"/>
  </r>
  <r>
    <n v="1712"/>
    <m/>
    <s v="ü"/>
    <d v="2019-01-11T00:00:00"/>
    <n v="800"/>
    <x v="75"/>
    <x v="65"/>
    <s v="Av. &quot;Ñ&quot; Nro. 145-25"/>
    <s v="Vigilancia: Anticipo mes de Enero 2019 (saldo a favor: Bs. 1.352,00)"/>
    <s v="Vigilancia"/>
    <m/>
    <s v="01712"/>
    <s v="11 de Enero de 2019"/>
    <n v="11"/>
    <d v="2019-01-01T00:00:00"/>
    <s v="800,00"/>
    <s v="Ochocientos Bolívares con 00/100"/>
  </r>
  <r>
    <n v="1713"/>
    <m/>
    <s v="ü"/>
    <d v="2019-01-11T00:00:00"/>
    <n v="1000"/>
    <x v="6"/>
    <x v="6"/>
    <s v="Calle Guacara Nro. 89-60"/>
    <s v="Vigilancia: Anticipo mes de Enero 2019"/>
    <s v="Vigilancia"/>
    <m/>
    <s v="01713"/>
    <s v="11 de Enero de 2019"/>
    <n v="11"/>
    <d v="2019-01-01T00:00:00"/>
    <s v="1.000,00"/>
    <s v="Mil Bolívares con 00/100"/>
  </r>
  <r>
    <n v="1714"/>
    <m/>
    <s v="ü"/>
    <d v="2019-01-11T00:00:00"/>
    <n v="800"/>
    <x v="24"/>
    <x v="22"/>
    <s v="Calle Güigüe Nro. 88-54"/>
    <s v="Vigilancia: Anticipo mes de Enero 2019"/>
    <s v="Vigilancia"/>
    <m/>
    <s v="01714"/>
    <s v="11 de Enero de 2019"/>
    <n v="11"/>
    <d v="2019-01-01T00:00:00"/>
    <s v="800,00"/>
    <s v="Ochocientos Bolívares con 00/100"/>
  </r>
  <r>
    <n v="1715"/>
    <m/>
    <s v="ü"/>
    <d v="2019-01-11T00:00:00"/>
    <n v="800"/>
    <x v="77"/>
    <x v="85"/>
    <s v="Calle Guacara Nro. 88-65"/>
    <s v="Vigilancia: Anticipo mes de Enero 2019"/>
    <s v="Vigilancia"/>
    <m/>
    <s v="01715"/>
    <s v="11 de Enero de 2019"/>
    <n v="11"/>
    <d v="2019-01-01T00:00:00"/>
    <s v="800,00"/>
    <s v="Ochocientos Bolívares con 00/100"/>
  </r>
  <r>
    <n v="1716"/>
    <m/>
    <s v="ü"/>
    <d v="2019-01-11T00:00:00"/>
    <n v="800"/>
    <x v="1"/>
    <x v="1"/>
    <s v="Calle Güigüe Nro. 88-44"/>
    <s v="Vigilancia: Anticipo mes de Enero 2019"/>
    <s v="Vigilancia"/>
    <m/>
    <s v="01716"/>
    <s v="11 de Enero de 2019"/>
    <n v="11"/>
    <d v="2019-01-01T00:00:00"/>
    <s v="800,00"/>
    <s v="Ochocientos Bolívares con 00/100"/>
  </r>
  <r>
    <n v="1717"/>
    <m/>
    <s v="ü"/>
    <d v="2019-01-13T00:00:00"/>
    <n v="850"/>
    <x v="84"/>
    <x v="71"/>
    <s v="Calle Güigüe Nro. 89-54"/>
    <s v="Vigilancia: Anticipo mes de Enero 2019"/>
    <s v="Vigilancia"/>
    <m/>
    <s v="01717"/>
    <s v="13 de Enero de 2019"/>
    <n v="13"/>
    <d v="2019-01-01T00:00:00"/>
    <s v="850,00"/>
    <s v="Ochocientos Cincuenta Bolívares con 00/100"/>
  </r>
  <r>
    <n v="1718"/>
    <m/>
    <s v="ü"/>
    <d v="2019-01-13T00:00:00"/>
    <n v="1120"/>
    <x v="53"/>
    <x v="80"/>
    <s v="Calle Guacara Nro. 88-91"/>
    <s v="Cancelación Vigilancia, meses de Noviembre y Diciembre 2018"/>
    <s v="Vigilancia"/>
    <m/>
    <s v="01718"/>
    <s v="13 de Enero de 2019"/>
    <n v="13"/>
    <d v="2019-01-01T00:00:00"/>
    <s v="1.120,00"/>
    <s v="Mil Ciento Veinte Bolívares con 00/100"/>
  </r>
  <r>
    <n v="1719"/>
    <m/>
    <s v="ü"/>
    <d v="2019-01-13T00:00:00"/>
    <n v="1600"/>
    <x v="61"/>
    <x v="14"/>
    <s v="Calle Guacara Nro. 87-07"/>
    <s v="Vigilancia: Anticipo mes de Enero 2019"/>
    <s v="Vigilancia"/>
    <m/>
    <s v="01719"/>
    <s v="13 de Enero de 2019"/>
    <n v="13"/>
    <d v="2019-01-01T00:00:00"/>
    <s v="1.600,00"/>
    <s v="Mil Seiscientos Bolívares con 00/100"/>
  </r>
  <r>
    <n v="1720"/>
    <m/>
    <s v="ü"/>
    <d v="2019-01-14T00:00:00"/>
    <n v="800"/>
    <x v="19"/>
    <x v="17"/>
    <s v="Calle Guacara Nro. 89-130"/>
    <s v="Vigilancia: Anticipo mes de Enero 2019"/>
    <s v="Vigilancia"/>
    <m/>
    <s v="01720"/>
    <s v="14 de Enero de 2019"/>
    <n v="14"/>
    <d v="2019-01-01T00:00:00"/>
    <s v="800,00"/>
    <s v="Ochocientos Bolívares con 00/100"/>
  </r>
  <r>
    <n v="1721"/>
    <m/>
    <s v="ü"/>
    <d v="2019-01-13T00:00:00"/>
    <n v="1160"/>
    <x v="73"/>
    <x v="9"/>
    <s v="Calle Güigüe Nros. 88-71 y 88-81"/>
    <s v="Vigilancia: Anticipo mes de Enero 2019"/>
    <s v="Vigilancia"/>
    <m/>
    <s v="01721"/>
    <s v="13 de Enero de 2019"/>
    <n v="13"/>
    <d v="2019-01-01T00:00:00"/>
    <s v="1.160,00"/>
    <s v="Mil Ciento Sesenta Bolívares con 00/100"/>
  </r>
  <r>
    <n v="1722"/>
    <m/>
    <s v="ü"/>
    <d v="2019-01-14T00:00:00"/>
    <n v="800"/>
    <x v="72"/>
    <x v="63"/>
    <s v="Calle Güigüe Nro. 89-35"/>
    <s v="Vigilancia: Anticipo mes de Enero 2019"/>
    <s v="Vigilancia"/>
    <m/>
    <s v="01722"/>
    <s v="14 de Enero de 2019"/>
    <n v="14"/>
    <d v="2019-01-01T00:00:00"/>
    <s v="800,00"/>
    <s v="Ochocientos Bolívares con 00/100"/>
  </r>
  <r>
    <n v="1723"/>
    <m/>
    <s v="ü"/>
    <d v="2019-01-15T00:00:00"/>
    <n v="800"/>
    <x v="25"/>
    <x v="23"/>
    <s v="Calle Güigüe Nro. 88-58"/>
    <s v="Vigilancia: Anticipo mes de Enero 2019"/>
    <s v="Vigilancia"/>
    <m/>
    <s v="01723"/>
    <s v="15 de Enero de 2019"/>
    <n v="15"/>
    <d v="2019-01-01T00:00:00"/>
    <s v="800,00"/>
    <s v="Ochocientos Bolívares con 00/100"/>
  </r>
  <r>
    <n v="1724"/>
    <m/>
    <s v="ü"/>
    <d v="2019-01-14T00:00:00"/>
    <n v="2000"/>
    <x v="60"/>
    <x v="54"/>
    <s v="Calle Guacara Nro. 88-51"/>
    <s v="Vigilancia: Anticipo mes de Enero 2019"/>
    <s v="Vigilancia"/>
    <m/>
    <s v="01724"/>
    <s v="14 de Enero de 2019"/>
    <n v="14"/>
    <d v="2019-01-01T00:00:00"/>
    <s v="2.000,00"/>
    <s v="Dos Mil Bolívares con 00/100"/>
  </r>
  <r>
    <n v="1725"/>
    <m/>
    <s v="ü"/>
    <d v="2019-01-15T00:00:00"/>
    <n v="800"/>
    <x v="63"/>
    <x v="56"/>
    <s v="Calle Guacara Nro. 88-85"/>
    <s v="Vigilancia: Anticipo mes de Enero 2019"/>
    <s v="Vigilancia"/>
    <m/>
    <s v="01725"/>
    <s v="15 de Enero de 2019"/>
    <n v="15"/>
    <d v="2019-01-01T00:00:00"/>
    <s v="800,00"/>
    <s v="Ochocientos Bolívares con 00/100"/>
  </r>
  <r>
    <n v="1726"/>
    <m/>
    <s v="ü"/>
    <d v="2019-01-15T00:00:00"/>
    <n v="1250"/>
    <x v="11"/>
    <x v="11"/>
    <s v="Calle Guacara Nro. 89-86"/>
    <s v="Vigilancia: Cancelación saldo mes de Diciembre 2018 y anticipo mes de Enero 2019"/>
    <s v="Vigilancia"/>
    <m/>
    <s v="01726"/>
    <s v="15 de Enero de 2019"/>
    <n v="15"/>
    <d v="2019-01-01T00:00:00"/>
    <s v="1.250,00"/>
    <s v="Mil Doscientos Cincuenta Bolívares con 00/100"/>
  </r>
  <r>
    <n v="1727"/>
    <m/>
    <s v="ü"/>
    <d v="2019-01-15T00:00:00"/>
    <n v="800"/>
    <x v="44"/>
    <x v="41"/>
    <s v="Calle Guacara Nro. 89-40"/>
    <s v="Vigilancia: Anticipo mes de Enero 2019"/>
    <s v="Vigilancia"/>
    <m/>
    <s v="01727"/>
    <s v="15 de Enero de 2019"/>
    <n v="15"/>
    <d v="2019-01-01T00:00:00"/>
    <s v="800,00"/>
    <s v="Ochocientos Bolívares con 00/100"/>
  </r>
  <r>
    <n v="1728"/>
    <m/>
    <s v="ü"/>
    <d v="2019-01-16T00:00:00"/>
    <n v="800"/>
    <x v="10"/>
    <x v="10"/>
    <s v="Av. &quot;M&quot; Nro. 146-15"/>
    <s v="Cancelación Vigilancia, mes de Diciembre 2018"/>
    <s v="Vigilancia"/>
    <m/>
    <s v="01728"/>
    <s v="16 de Enero de 2019"/>
    <n v="16"/>
    <d v="2019-01-01T00:00:00"/>
    <s v="800,00"/>
    <s v="Ochocientos Bolívares con 00/100"/>
  </r>
  <r>
    <n v="1729"/>
    <m/>
    <s v="ü"/>
    <d v="2019-01-16T00:00:00"/>
    <n v="2200"/>
    <x v="90"/>
    <x v="82"/>
    <s v="Calle Güigüe Nro. 89-04"/>
    <s v="Vigilancia: Cancelación saldo mes de Enero 2019"/>
    <s v="Vigilancia"/>
    <m/>
    <s v="01729"/>
    <s v="16 de Enero de 2019"/>
    <n v="16"/>
    <d v="2019-01-01T00:00:00"/>
    <s v="2.200,00"/>
    <s v="Dos Mil Doscientos Bolívares con 00/100"/>
  </r>
  <r>
    <n v="1730"/>
    <m/>
    <s v="ü"/>
    <d v="2019-01-16T00:00:00"/>
    <n v="3000"/>
    <x v="45"/>
    <x v="42"/>
    <s v="Calle Güigüe Nro. 87-A-11"/>
    <s v="Cancelación Vigilancia, mes de Enero 2019"/>
    <s v="Vigilancia"/>
    <m/>
    <s v="01730"/>
    <s v="16 de Enero de 2019"/>
    <n v="16"/>
    <d v="2019-01-01T00:00:00"/>
    <s v="3.000,00"/>
    <s v="Tres Mil Bolívares con 00/100"/>
  </r>
  <r>
    <n v="1731"/>
    <m/>
    <s v="ü"/>
    <d v="2019-01-16T00:00:00"/>
    <n v="1120"/>
    <x v="45"/>
    <x v="42"/>
    <s v="Calle Güigüe Nro. 87-A-11"/>
    <s v="Cancelación Vigilancia, meses de Noviembre y Diciembre 2018"/>
    <s v="Vigilancia"/>
    <m/>
    <s v="01731"/>
    <s v="16 de Enero de 2019"/>
    <n v="16"/>
    <d v="2019-01-01T00:00:00"/>
    <s v="1.120,00"/>
    <s v="Mil Ciento Veinte Bolívares con 00/100"/>
  </r>
  <r>
    <n v="1732"/>
    <m/>
    <s v="ü"/>
    <d v="2019-01-16T00:00:00"/>
    <n v="2200"/>
    <x v="0"/>
    <x v="0"/>
    <s v="Calle Guacara Nro. 88-45"/>
    <s v="Vigilancia: Cancelación saldo mes de Enero 2019 (saldo a favor: Bs. 6.862,95)"/>
    <s v="Vigilancia"/>
    <m/>
    <s v="01732"/>
    <s v="16 de Enero de 2019"/>
    <n v="16"/>
    <d v="2019-01-01T00:00:00"/>
    <s v="2.200,00"/>
    <s v="Dos Mil Doscientos Bolívares con 00/100"/>
  </r>
  <r>
    <n v="1733"/>
    <m/>
    <s v="ü"/>
    <d v="2019-01-16T00:00:00"/>
    <n v="2200"/>
    <x v="44"/>
    <x v="41"/>
    <s v="Calle Guacara Nro. 89-40"/>
    <s v="Vigilancia: Cancelación saldo mes de Enero 2019"/>
    <s v="Vigilancia"/>
    <m/>
    <s v="01733"/>
    <s v="16 de Enero de 2019"/>
    <n v="16"/>
    <d v="2019-01-01T00:00:00"/>
    <s v="2.200,00"/>
    <s v="Dos Mil Doscientos Bolívares con 00/100"/>
  </r>
  <r>
    <n v="1734"/>
    <m/>
    <s v="ü"/>
    <d v="2019-01-16T00:00:00"/>
    <n v="972"/>
    <x v="16"/>
    <x v="15"/>
    <s v="Calle Guacara Nro. 90-81"/>
    <s v="Vigilancia: Cancelación saldo mes de Enero 2019"/>
    <s v="Vigilancia"/>
    <m/>
    <s v="01734"/>
    <s v="16 de Enero de 2019"/>
    <n v="16"/>
    <d v="2019-01-01T00:00:00"/>
    <s v="972,00"/>
    <s v="Novecientos Setenta y Dos Bolívares con 00/100"/>
  </r>
  <r>
    <n v="1735"/>
    <m/>
    <s v="ü"/>
    <d v="2019-01-16T00:00:00"/>
    <n v="800"/>
    <x v="40"/>
    <x v="37"/>
    <s v="Calle Güigüe Nro. 88-101"/>
    <s v="Cancelación Vigilancia, mes de Diciembre 2018"/>
    <s v="Vigilancia"/>
    <m/>
    <s v="01735"/>
    <s v="16 de Enero de 2019"/>
    <n v="16"/>
    <d v="2019-01-01T00:00:00"/>
    <s v="800,00"/>
    <s v="Ochocientos Bolívares con 00/100"/>
  </r>
  <r>
    <n v="1736"/>
    <m/>
    <s v="ü"/>
    <d v="2019-01-16T00:00:00"/>
    <n v="2200"/>
    <x v="1"/>
    <x v="1"/>
    <s v="Calle Güigüe Nro. 88-44"/>
    <s v="Vigilancia: Cancelación saldo mes de Enero 2019"/>
    <s v="Vigilancia"/>
    <m/>
    <s v="01736"/>
    <s v="16 de Enero de 2019"/>
    <n v="16"/>
    <d v="2019-01-01T00:00:00"/>
    <s v="2.200,00"/>
    <s v="Dos Mil Doscientos Bolívares con 00/100"/>
  </r>
  <r>
    <n v="1737"/>
    <m/>
    <s v="ü"/>
    <d v="2019-01-17T00:00:00"/>
    <n v="2200"/>
    <x v="15"/>
    <x v="14"/>
    <s v="Calle Guacara Nro. 89-94"/>
    <s v="Vigilancia: Cancelación saldo mes de Enero 2019"/>
    <s v="Vigilancia"/>
    <m/>
    <s v="01737"/>
    <s v="17 de Enero de 2019"/>
    <n v="17"/>
    <d v="2019-01-01T00:00:00"/>
    <s v="2.200,00"/>
    <s v="Dos Mil Doscientos Bolívares con 00/100"/>
  </r>
  <r>
    <n v="1738"/>
    <m/>
    <s v="ü"/>
    <d v="2019-01-17T00:00:00"/>
    <n v="3800"/>
    <x v="37"/>
    <x v="34"/>
    <s v="Av. &quot;I&quot; Nro. 146-40"/>
    <s v="Cancelación Vigilancia, meses de Diciembre 2018 y Enero 2019"/>
    <s v="Vigilancia"/>
    <m/>
    <s v="01738"/>
    <s v="17 de Enero de 2019"/>
    <n v="17"/>
    <d v="2019-01-01T00:00:00"/>
    <s v="3.800,00"/>
    <s v="Tres Mil Ochocientos Bolívares con 00/100"/>
  </r>
  <r>
    <n v="1739"/>
    <m/>
    <s v="ü"/>
    <d v="2019-01-17T00:00:00"/>
    <n v="600"/>
    <x v="61"/>
    <x v="14"/>
    <s v="Calle Guacara Nro. 87-07"/>
    <s v="Vigilancia: Cancelación saldo mes de Enero 2019"/>
    <s v="Vigilancia"/>
    <m/>
    <s v="01739"/>
    <s v="17 de Enero de 2019"/>
    <n v="17"/>
    <d v="2019-01-01T00:00:00"/>
    <s v="600,00"/>
    <s v="Seiscientos Bolívares con 00/100"/>
  </r>
  <r>
    <n v="1740"/>
    <m/>
    <s v="ü"/>
    <d v="2019-01-17T00:00:00"/>
    <n v="800"/>
    <x v="48"/>
    <x v="9"/>
    <s v="Calle Güigüe Nro. 88-90"/>
    <s v="Cancelación Vigilancia, mes de Diciembre 2018"/>
    <s v="Vigilancia"/>
    <m/>
    <s v="01740"/>
    <s v="17 de Enero de 2019"/>
    <n v="17"/>
    <d v="2019-01-01T00:00:00"/>
    <s v="800,00"/>
    <s v="Ochocientos Bolívares con 00/100"/>
  </r>
  <r>
    <n v="1741"/>
    <m/>
    <s v="ü"/>
    <d v="2019-01-17T00:00:00"/>
    <n v="2200"/>
    <x v="31"/>
    <x v="29"/>
    <s v="Calle Güigüe Nro. 89-95"/>
    <s v="Vigilancia: Cancelación saldo mes de Enero 2019"/>
    <s v="Vigilancia"/>
    <m/>
    <s v="01741"/>
    <s v="17 de Enero de 2019"/>
    <n v="17"/>
    <d v="2019-01-01T00:00:00"/>
    <s v="2.200,00"/>
    <s v="Dos Mil Doscientos Bolívares con 00/100"/>
  </r>
  <r>
    <n v="1742"/>
    <m/>
    <s v="ü"/>
    <d v="2019-01-17T00:00:00"/>
    <n v="2200"/>
    <x v="24"/>
    <x v="22"/>
    <s v="Calle Güigüe Nro. 88-54"/>
    <s v="Vigilancia: Cancelación saldo mes de Enero 2019"/>
    <s v="Vigilancia"/>
    <m/>
    <s v="01742"/>
    <s v="17 de Enero de 2019"/>
    <n v="17"/>
    <d v="2019-01-01T00:00:00"/>
    <s v="2.200,00"/>
    <s v="Dos Mil Doscientos Bolívares con 00/100"/>
  </r>
  <r>
    <n v="1743"/>
    <m/>
    <s v="ü"/>
    <d v="2019-01-17T00:00:00"/>
    <n v="2200"/>
    <x v="77"/>
    <x v="85"/>
    <s v="Calle Guacara Nro. 88-65"/>
    <s v="Vigilancia: Cancelación saldo mes de Enero 2019"/>
    <s v="Vigilancia"/>
    <m/>
    <s v="01743"/>
    <s v="17 de Enero de 2019"/>
    <n v="17"/>
    <d v="2019-01-01T00:00:00"/>
    <s v="2.200,00"/>
    <s v="Dos Mil Doscientos Bolívares con 00/100"/>
  </r>
  <r>
    <n v="1744"/>
    <m/>
    <s v="ü"/>
    <d v="2019-01-17T00:00:00"/>
    <n v="2200"/>
    <x v="20"/>
    <x v="18"/>
    <s v="Calle Guacara Nro. 89-30"/>
    <s v="Vigilancia: Cancelación saldo mes de Enero 2019"/>
    <s v="Vigilancia"/>
    <m/>
    <s v="01744"/>
    <s v="17 de Enero de 2019"/>
    <n v="17"/>
    <d v="2019-01-01T00:00:00"/>
    <s v="2.200,00"/>
    <s v="Dos Mil Doscientos Bolívares con 00/100"/>
  </r>
  <r>
    <n v="1745"/>
    <m/>
    <s v="ü"/>
    <d v="2019-01-17T00:00:00"/>
    <n v="3000"/>
    <x v="6"/>
    <x v="6"/>
    <s v="Calle Guacara Nro. 89-60"/>
    <s v="Vigilancia: Cancelación saldo mes de Enero 2019"/>
    <s v="Vigilancia"/>
    <m/>
    <s v="01745"/>
    <s v="17 de Enero de 2019"/>
    <n v="17"/>
    <d v="2019-01-01T00:00:00"/>
    <s v="3.000,00"/>
    <s v="Tres Mil Bolívares con 00/100"/>
  </r>
  <r>
    <n v="1746"/>
    <m/>
    <s v="ü"/>
    <d v="2019-01-17T00:00:00"/>
    <n v="800"/>
    <x v="26"/>
    <x v="24"/>
    <s v="Calle Güigüe Nro. 89-96"/>
    <s v="Vigilancia: Anticipo mes de Enero 2019"/>
    <s v="Vigilancia"/>
    <m/>
    <s v="01746"/>
    <s v="17 de Enero de 2019"/>
    <n v="17"/>
    <d v="2019-01-01T00:00:00"/>
    <s v="800,00"/>
    <s v="Ochocientos Bolívares con 00/100"/>
  </r>
  <r>
    <n v="1747"/>
    <m/>
    <s v="ü"/>
    <d v="2019-01-18T00:00:00"/>
    <n v="1200"/>
    <x v="4"/>
    <x v="4"/>
    <s v="Calle Güigüe Nro. 89-55"/>
    <s v="Vigilancia: Cancelación saldo mes de Enero 2019"/>
    <s v="Vigilancia"/>
    <m/>
    <s v="01747"/>
    <s v="18 de Enero de 2019"/>
    <n v="18"/>
    <d v="2019-01-01T00:00:00"/>
    <s v="1.200,00"/>
    <s v="Mil Doscientos Bolívares con 00/100"/>
  </r>
  <r>
    <n v="1748"/>
    <m/>
    <s v="ü"/>
    <d v="2018-12-07T00:00:00"/>
    <n v="800"/>
    <x v="26"/>
    <x v="24"/>
    <s v="Calle Güigüe Nro. 89-96"/>
    <s v="Cancelación Vigilancia, mes de Diciembre 2018"/>
    <s v="Vigilancia"/>
    <m/>
    <s v="01748"/>
    <s v="07 de Diciembre de 2018"/>
    <n v="7"/>
    <d v="2018-12-01T00:00:00"/>
    <s v="800,00"/>
    <s v="Ochocientos Bolívares con 00/100"/>
  </r>
  <r>
    <n v="1749"/>
    <m/>
    <s v="ü"/>
    <d v="2019-01-18T00:00:00"/>
    <n v="4120"/>
    <x v="43"/>
    <x v="40"/>
    <s v="Calle Güigüe Nro. 88-50"/>
    <s v="Cancelación Vigilancia, meses de Noviembre y Diciembre 2018 y Enero 2019"/>
    <s v="Vigilancia"/>
    <m/>
    <s v="01749"/>
    <s v="18 de Enero de 2019"/>
    <n v="18"/>
    <d v="2019-01-01T00:00:00"/>
    <s v="4.120,00"/>
    <s v="Cuatro Mil Ciento Veinte Bolívares con 00/100"/>
  </r>
  <r>
    <n v="1750"/>
    <m/>
    <s v="ü"/>
    <d v="2019-01-19T00:00:00"/>
    <n v="2200"/>
    <x v="63"/>
    <x v="56"/>
    <s v="Calle Guacara Nro. 88-85"/>
    <s v="Vigilancia: Cancelación saldo mes de Enero 2019"/>
    <s v="Vigilancia"/>
    <m/>
    <s v="01750"/>
    <s v="19 de Enero de 2019"/>
    <n v="19"/>
    <d v="2019-01-01T00:00:00"/>
    <s v="2.200,00"/>
    <s v="Dos Mil Doscientos Bolívares con 00/100"/>
  </r>
  <r>
    <n v="1751"/>
    <m/>
    <s v="ü"/>
    <d v="2019-01-19T00:00:00"/>
    <n v="2200"/>
    <x v="17"/>
    <x v="74"/>
    <s v="Av. &quot;M&quot; Nro. 146-20"/>
    <s v="Vigilancia: Anticipo mes de Enero 2019"/>
    <s v="Vigilancia"/>
    <m/>
    <s v="01751"/>
    <s v="19 de Enero de 2019"/>
    <n v="19"/>
    <d v="2019-01-01T00:00:00"/>
    <s v="2.200,00"/>
    <s v="Dos Mil Doscientos Bolívares con 00/100"/>
  </r>
  <r>
    <n v="1752"/>
    <m/>
    <s v="ü"/>
    <d v="2019-01-20T00:00:00"/>
    <n v="3800"/>
    <x v="38"/>
    <x v="35"/>
    <s v="Calle Guacara Nro. 89-78"/>
    <s v="Vigilancia: Cancelación saldo mes de Diciembre 2018, mes de Enero y anticipo mes de Febrero 2019"/>
    <s v="Vigilancia"/>
    <m/>
    <s v="01752"/>
    <s v="20 de Enero de 2019"/>
    <n v="20"/>
    <d v="2019-01-01T00:00:00"/>
    <s v="3.800,00"/>
    <s v="Tres Mil Ochocientos Bolívares con 00/100"/>
  </r>
  <r>
    <n v="1753"/>
    <m/>
    <s v="ü"/>
    <d v="2019-01-20T00:00:00"/>
    <n v="3000"/>
    <x v="58"/>
    <x v="53"/>
    <s v="Calle Güigüe Nro. 88-51"/>
    <s v="Cancelación Vigilancia, mes de Enero 2019"/>
    <s v="Vigilancia"/>
    <m/>
    <s v="01753"/>
    <s v="20 de Enero de 2019"/>
    <n v="20"/>
    <d v="2019-01-01T00:00:00"/>
    <s v="3.000,00"/>
    <s v="Tres Mil Bolívares con 00/100"/>
  </r>
  <r>
    <n v="1754"/>
    <m/>
    <s v="ü"/>
    <d v="2019-01-22T00:00:00"/>
    <n v="2200"/>
    <x v="12"/>
    <x v="12"/>
    <s v="Calle Guacara Nro. 89-20"/>
    <s v="Vigilancia: Cancelación saldo mes de Enero 2019"/>
    <s v="Vigilancia"/>
    <m/>
    <s v="01754"/>
    <s v="22 de Enero de 2019"/>
    <n v="22"/>
    <d v="2019-01-01T00:00:00"/>
    <s v="2.200,00"/>
    <s v="Dos Mil Doscientos Bolívares con 00/100"/>
  </r>
  <r>
    <n v="1755"/>
    <m/>
    <s v="ü"/>
    <d v="2019-01-23T00:00:00"/>
    <n v="2200"/>
    <x v="81"/>
    <x v="69"/>
    <s v="Calle Güigüe Nro. 89-65"/>
    <s v="Vigilancia: Cancelación saldo mes de Enero 2019"/>
    <s v="Vigilancia"/>
    <m/>
    <s v="01755"/>
    <s v="23 de Enero de 2019"/>
    <n v="23"/>
    <d v="2019-01-01T00:00:00"/>
    <s v="2.200,00"/>
    <s v="Dos Mil Doscientos Bolívares con 00/100"/>
  </r>
  <r>
    <n v="1756"/>
    <m/>
    <s v="ü"/>
    <d v="2019-01-23T00:00:00"/>
    <n v="3000"/>
    <x v="35"/>
    <x v="32"/>
    <s v="Calle Güigüe Nro. 89-80"/>
    <s v="Cancelación Vigilancia, mes de Enero 2019"/>
    <s v="Vigilancia"/>
    <m/>
    <s v="01756"/>
    <s v="23 de Enero de 2019"/>
    <n v="23"/>
    <d v="2019-01-01T00:00:00"/>
    <s v="3.000,00"/>
    <s v="Tres Mil Bolívares con 00/100"/>
  </r>
  <r>
    <n v="1757"/>
    <m/>
    <s v="ü"/>
    <d v="2019-01-23T00:00:00"/>
    <n v="3000"/>
    <x v="40"/>
    <x v="37"/>
    <s v="Calle Güigüe Nro. 88-101"/>
    <s v="Cancelación Vigilancia, mes de Enero 2019"/>
    <s v="Vigilancia"/>
    <m/>
    <s v="01757"/>
    <s v="23 de Enero de 2019"/>
    <n v="23"/>
    <d v="2019-01-01T00:00:00"/>
    <s v="3.000,00"/>
    <s v="Tres Mil Bolívares con 00/100"/>
  </r>
  <r>
    <n v="1758"/>
    <m/>
    <s v="ü"/>
    <d v="2019-01-23T00:00:00"/>
    <n v="2200"/>
    <x v="69"/>
    <x v="61"/>
    <s v="Calle Güigüe Nro. 89-40"/>
    <s v="Vigilancia: Cancelación saldo mes de Enero 2019"/>
    <s v="Vigilancia"/>
    <m/>
    <s v="01758"/>
    <s v="23 de Enero de 2019"/>
    <n v="23"/>
    <d v="2019-01-01T00:00:00"/>
    <s v="2.200,00"/>
    <s v="Dos Mil Doscientos Bolívares con 00/100"/>
  </r>
  <r>
    <n v="1759"/>
    <m/>
    <s v="ü"/>
    <d v="2019-01-24T00:00:00"/>
    <n v="3000"/>
    <x v="76"/>
    <x v="66"/>
    <s v="Calle Güigüe Nro. 89-90"/>
    <s v="Cancelación Vigilancia, mes de Enero 2019"/>
    <s v="Vigilancia"/>
    <m/>
    <s v="01759"/>
    <s v="24 de Enero de 2019"/>
    <n v="24"/>
    <d v="2019-01-01T00:00:00"/>
    <s v="3.000,00"/>
    <s v="Tres Mil Bolívares con 00/100"/>
  </r>
  <r>
    <n v="1760"/>
    <m/>
    <s v="ü"/>
    <d v="2019-01-25T00:00:00"/>
    <n v="3000"/>
    <x v="88"/>
    <x v="76"/>
    <s v="Calle Güigüe Nro. 88-11"/>
    <s v="Cancelación Vigilancia, mes de Enero 2019"/>
    <s v="Vigilancia"/>
    <m/>
    <s v="01760"/>
    <s v="25 de Enero de 2019"/>
    <n v="25"/>
    <d v="2019-01-01T00:00:00"/>
    <s v="3.000,00"/>
    <s v="Tres Mil Bolívares con 00/100"/>
  </r>
  <r>
    <n v="1761"/>
    <m/>
    <s v="ü"/>
    <d v="2019-01-25T00:00:00"/>
    <n v="3000"/>
    <x v="92"/>
    <x v="86"/>
    <s v="Calle Guacara Nro. 88-A-10"/>
    <s v="Cancelación Vigilancia, mes de Enero 2019 (saldo a favor: Bs. 17.005,80)"/>
    <s v="Vigilancia"/>
    <m/>
    <s v="01761"/>
    <s v="25 de Enero de 2019"/>
    <n v="25"/>
    <d v="2019-01-01T00:00:00"/>
    <s v="3.000,00"/>
    <s v="Tres Mil Bolívares con 00/100"/>
  </r>
  <r>
    <n v="1762"/>
    <m/>
    <s v="ü"/>
    <d v="2019-01-29T00:00:00"/>
    <n v="3000"/>
    <x v="56"/>
    <x v="52"/>
    <s v="Calle Güigüe Nro. 88-70"/>
    <s v="Cancelación Vigilancia, mes de Enero 2019"/>
    <s v="Vigilancia"/>
    <m/>
    <s v="01762"/>
    <s v="29 de Enero de 2019"/>
    <n v="29"/>
    <d v="2019-01-01T00:00:00"/>
    <s v="3.000,00"/>
    <s v="Tres Mil Bolívares con 00/100"/>
  </r>
  <r>
    <n v="1763"/>
    <m/>
    <s v="ü"/>
    <d v="2019-01-29T00:00:00"/>
    <n v="6500"/>
    <x v="18"/>
    <x v="16"/>
    <s v="Calle Guacara Nro. 87-100"/>
    <s v="Vigilancia: Cancelación saldo mes de Diciembre 2018, mes de Enero y anticipo mes de Febrero 2019"/>
    <s v="Vigilancia"/>
    <m/>
    <s v="01763"/>
    <s v="29 de Enero de 2019"/>
    <n v="29"/>
    <d v="2019-01-01T00:00:00"/>
    <s v="6.500,00"/>
    <s v="Seis Mil Quinientos Bolívares con 00/100"/>
  </r>
  <r>
    <n v="1764"/>
    <m/>
    <s v="ü"/>
    <d v="2019-01-30T00:00:00"/>
    <n v="2200"/>
    <x v="46"/>
    <x v="43"/>
    <s v="Av. &quot;I&quot; Nro. 146-20"/>
    <s v="Vigilancia: Cancelación saldo mes de Enero 2019"/>
    <s v="Vigilancia"/>
    <m/>
    <s v="01764"/>
    <s v="30 de Enero de 2019"/>
    <n v="30"/>
    <d v="2019-01-01T00:00:00"/>
    <s v="2.200,00"/>
    <s v="Dos Mil Doscientos Bolívares con 00/100"/>
  </r>
  <r>
    <n v="1765"/>
    <m/>
    <s v="ü"/>
    <d v="2019-01-30T00:00:00"/>
    <n v="2200"/>
    <x v="21"/>
    <x v="19"/>
    <s v="Calle Guacara Nro. 89-130"/>
    <s v="Vigilancia: Cancelación saldo mes de Enero 2019"/>
    <s v="Vigilancia"/>
    <m/>
    <s v="01765"/>
    <s v="30 de Enero de 2019"/>
    <n v="30"/>
    <d v="2019-01-01T00:00:00"/>
    <s v="2.200,00"/>
    <s v="Dos Mil Doscientos Bolívares con 00/100"/>
  </r>
  <r>
    <n v="1766"/>
    <m/>
    <s v="ü"/>
    <d v="2019-01-30T00:00:00"/>
    <n v="500"/>
    <x v="60"/>
    <x v="54"/>
    <s v="Calle Guacara Nro. 88-51"/>
    <s v="Vigilancia: Anticipo mes de Enero 2019"/>
    <s v="Vigilancia"/>
    <m/>
    <s v="01766"/>
    <s v="30 de Enero de 2019"/>
    <n v="30"/>
    <d v="2019-01-01T00:00:00"/>
    <s v="500,00"/>
    <s v="Quinientos Bolívares con 00/100"/>
  </r>
  <r>
    <n v="1767"/>
    <m/>
    <s v="ü"/>
    <d v="2019-01-30T00:00:00"/>
    <n v="2200"/>
    <x v="26"/>
    <x v="24"/>
    <s v="Calle Güigüe Nro. 89-96"/>
    <s v="Vigilancia: Cancelación saldo mes de Enero 2019"/>
    <s v="Vigilancia"/>
    <m/>
    <s v="01767"/>
    <s v="30 de Enero de 2019"/>
    <n v="30"/>
    <d v="2019-01-01T00:00:00"/>
    <s v="2.200,00"/>
    <s v="Dos Mil Doscientos Bolívares con 00/100"/>
  </r>
  <r>
    <n v="1768"/>
    <m/>
    <s v="ü"/>
    <d v="2019-01-30T00:00:00"/>
    <n v="2200"/>
    <x v="7"/>
    <x v="7"/>
    <s v="Calle Guacara Nro. 87-86"/>
    <s v="Vigilancia: Cancelación saldo mes de Enero 2019"/>
    <s v="Vigilancia"/>
    <m/>
    <s v="01768"/>
    <s v="30 de Enero de 2019"/>
    <n v="30"/>
    <d v="2019-01-01T00:00:00"/>
    <s v="2.200,00"/>
    <s v="Dos Mil Doscientos Bolívares con 00/100"/>
  </r>
  <r>
    <n v="1769"/>
    <m/>
    <s v="ü"/>
    <d v="2019-01-30T00:00:00"/>
    <n v="3000"/>
    <x v="83"/>
    <x v="70"/>
    <s v="Calle Güigüe Nro. 89-22"/>
    <s v="Cancelación Vigilancia, mes de Enero 2019"/>
    <s v="Vigilancia"/>
    <m/>
    <s v="01769"/>
    <s v="30 de Enero de 2019"/>
    <n v="30"/>
    <d v="2019-01-01T00:00:00"/>
    <s v="3.000,00"/>
    <s v="Tres Mil Bolívares con 00/100"/>
  </r>
  <r>
    <n v="1770"/>
    <m/>
    <s v="ü"/>
    <d v="2019-01-30T00:00:00"/>
    <n v="2200"/>
    <x v="14"/>
    <x v="13"/>
    <s v="Calle Güigüe Nro. 89-83"/>
    <s v="Vigilancia: Cancelación saldo mes de Enero 2019"/>
    <s v="Vigilancia"/>
    <m/>
    <s v="01770"/>
    <s v="30 de Enero de 2019"/>
    <n v="30"/>
    <d v="2019-01-01T00:00:00"/>
    <s v="2.200,00"/>
    <s v="Dos Mil Doscientos Bolívares con 00/100"/>
  </r>
  <r>
    <n v="1771"/>
    <m/>
    <s v="ü"/>
    <d v="2019-01-30T00:00:00"/>
    <n v="2000"/>
    <x v="8"/>
    <x v="78"/>
    <s v="Calle Guacara Nro. 90-51"/>
    <s v="Vigilancia: Cancelación saldo mes de Enero 2019"/>
    <s v="Vigilancia"/>
    <m/>
    <s v="01771"/>
    <s v="30 de Enero de 2019"/>
    <n v="30"/>
    <d v="2019-01-01T00:00:00"/>
    <s v="2.000,00"/>
    <s v="Dos Mil Bolívares con 00/100"/>
  </r>
  <r>
    <n v="1772"/>
    <m/>
    <s v="ü"/>
    <d v="2019-01-30T00:00:00"/>
    <n v="3800"/>
    <x v="95"/>
    <x v="89"/>
    <s v="Calle Güigüe Nro. 89-120"/>
    <s v="Cancelación Vigilancia, meses de Diciembre 2018 y Enero 2019"/>
    <s v="Vigilancia"/>
    <m/>
    <s v="01772"/>
    <s v="30 de Enero de 2019"/>
    <n v="30"/>
    <d v="2019-01-01T00:00:00"/>
    <s v="3.800,00"/>
    <s v="Tres Mil Ochocientos Bolívares con 00/100"/>
  </r>
  <r>
    <n v="1773"/>
    <m/>
    <s v="ü"/>
    <d v="2019-01-30T00:00:00"/>
    <n v="3000"/>
    <x v="62"/>
    <x v="55"/>
    <s v="Av. &quot;M&quot; Nro. 145-10"/>
    <s v="Cancelación Vigilancia, mes de Enero 2019"/>
    <s v="Vigilancia"/>
    <m/>
    <s v="01773"/>
    <s v="30 de Enero de 2019"/>
    <n v="30"/>
    <d v="2019-01-01T00:00:00"/>
    <s v="3.000,00"/>
    <s v="Tres Mil Bolívares con 00/100"/>
  </r>
  <r>
    <n v="1774"/>
    <m/>
    <s v="ü"/>
    <d v="2019-01-30T00:00:00"/>
    <n v="3000"/>
    <x v="23"/>
    <x v="21"/>
    <s v="Calle Güigüe Nro. 88-116"/>
    <s v="Cancelación Vigilancia, mes de Enero 2019"/>
    <s v="Vigilancia"/>
    <m/>
    <s v="01774"/>
    <s v="30 de Enero de 2019"/>
    <n v="30"/>
    <d v="2019-01-01T00:00:00"/>
    <s v="3.000,00"/>
    <s v="Tres Mil Bolívares con 00/100"/>
  </r>
  <r>
    <n v="1775"/>
    <m/>
    <s v="ü"/>
    <d v="2019-01-31T00:00:00"/>
    <n v="3000"/>
    <x v="96"/>
    <x v="90"/>
    <s v="Av. &quot;M&quot; Nro. 146-30"/>
    <s v="Cancelación Vigilancia, mes de Enero 2019"/>
    <s v="Vigilancia"/>
    <m/>
    <s v="01775"/>
    <s v="31 de Enero de 2019"/>
    <n v="31"/>
    <d v="2019-01-01T00:00:00"/>
    <s v="3.000,00"/>
    <s v="Tres Mil Bolívares con 00/100"/>
  </r>
  <r>
    <n v="1776"/>
    <m/>
    <s v="ü"/>
    <d v="2019-01-31T00:00:00"/>
    <n v="3190"/>
    <x v="73"/>
    <x v="9"/>
    <s v="Calle Güigüe Nros. 88-71 y 88-81"/>
    <s v="Vigilancia: Cancelación saldo mes de Enero 2019"/>
    <s v="Vigilancia"/>
    <m/>
    <s v="01776"/>
    <s v="31 de Enero de 2019"/>
    <n v="31"/>
    <d v="2019-01-01T00:00:00"/>
    <s v="3.190,00"/>
    <s v="Tres Mil Ciento Noventa Bolívares con 00/100"/>
  </r>
  <r>
    <n v="1777"/>
    <m/>
    <s v="ü"/>
    <d v="2019-01-31T00:00:00"/>
    <n v="1500"/>
    <x v="60"/>
    <x v="54"/>
    <s v="Calle Guacara Nro. 88-51"/>
    <s v="Vigilancia: Cancelación saldo mes de Enero y anticipo mes de Febrero 2019"/>
    <s v="Vigilancia"/>
    <m/>
    <s v="01777"/>
    <s v="31 de Enero de 2019"/>
    <n v="31"/>
    <d v="2019-01-01T00:00:00"/>
    <s v="1.500,00"/>
    <s v="Mil Quinientos Bolívares con 00/100"/>
  </r>
  <r>
    <n v="1778"/>
    <m/>
    <s v="ü"/>
    <d v="2019-01-31T00:00:00"/>
    <n v="2200"/>
    <x v="19"/>
    <x v="17"/>
    <s v="Calle Guacara Nro. 89-130"/>
    <s v="Vigilancia: Cancelación saldo mes de Enero 2019"/>
    <s v="Vigilancia"/>
    <m/>
    <s v="01778"/>
    <s v="31 de Enero de 2019"/>
    <n v="31"/>
    <d v="2019-01-01T00:00:00"/>
    <s v="2.200,00"/>
    <s v="Dos Mil Doscientos Bolívares con 00/100"/>
  </r>
  <r>
    <n v="1779"/>
    <m/>
    <s v="ü"/>
    <d v="2019-01-31T00:00:00"/>
    <n v="2200"/>
    <x v="25"/>
    <x v="23"/>
    <s v="Calle Güigüe Nro. 88-58"/>
    <s v="Vigilancia: Cancelación saldo mes de Enero 2019"/>
    <s v="Vigilancia"/>
    <m/>
    <s v="01779"/>
    <s v="31 de Enero de 2019"/>
    <n v="31"/>
    <d v="2019-01-01T00:00:00"/>
    <s v="2.200,00"/>
    <s v="Dos Mil Doscientos Bolívares con 00/100"/>
  </r>
  <r>
    <n v="1780"/>
    <m/>
    <s v="ü"/>
    <d v="2019-01-31T00:00:00"/>
    <n v="3000"/>
    <x v="10"/>
    <x v="10"/>
    <s v="Av. &quot;M&quot; Nro. 146-15"/>
    <s v="Cancelación Vigilancia, mes de Enero 2019"/>
    <s v="Vigilancia"/>
    <m/>
    <s v="01780"/>
    <s v="31 de Enero de 2019"/>
    <n v="31"/>
    <d v="2019-01-01T00:00:00"/>
    <s v="3.000,00"/>
    <s v="Tres Mil Bolívares con 00/100"/>
  </r>
  <r>
    <n v="1781"/>
    <m/>
    <s v="ü"/>
    <d v="2019-02-01T00:00:00"/>
    <n v="2200"/>
    <x v="59"/>
    <x v="9"/>
    <s v="Calle Guacara Nro. 90-35"/>
    <s v="Vigilancia: Cancelación saldo mes de Enero 2019"/>
    <s v="Vigilancia"/>
    <m/>
    <s v="01781"/>
    <s v="01 de Febrero de 2019"/>
    <n v="1"/>
    <d v="2019-02-01T00:00:00"/>
    <s v="2.200,00"/>
    <s v="Dos Mil Doscientos Bolívares con 00/100"/>
  </r>
  <r>
    <n v="1782"/>
    <m/>
    <s v="ü"/>
    <d v="2019-01-21T00:00:00"/>
    <n v="5200"/>
    <x v="11"/>
    <x v="11"/>
    <s v="Calle Guacara Nro. 89-86"/>
    <s v="Vigilancia: Cancelación saldo mes de Enero y mes de Febrero 2019"/>
    <s v="Vigilancia"/>
    <m/>
    <s v="01782"/>
    <s v="21 de Enero de 2019"/>
    <n v="21"/>
    <d v="2019-01-01T00:00:00"/>
    <s v="5.200,00"/>
    <s v="Cinco Mil Doscientos Bolívares con 00/100"/>
  </r>
  <r>
    <n v="1783"/>
    <m/>
    <s v="ü"/>
    <d v="2019-01-30T00:00:00"/>
    <n v="1425"/>
    <x v="4"/>
    <x v="4"/>
    <s v="Calle Güigüe Nro. 89-55"/>
    <s v="Vigilancia: Anticipo mes de Febrero 2019 (contra factura)"/>
    <s v="Vigilancia"/>
    <m/>
    <s v="01783"/>
    <s v="30 de Enero de 2019"/>
    <n v="30"/>
    <d v="2019-01-01T00:00:00"/>
    <s v="1.425,00"/>
    <s v="Mil Cuatrocientos Veinticinco Bolívares con 00/100"/>
  </r>
  <r>
    <n v="1784"/>
    <m/>
    <s v="ü"/>
    <d v="2019-02-02T00:00:00"/>
    <n v="4000"/>
    <x v="6"/>
    <x v="6"/>
    <s v="Calle Guacara Nro. 89-60"/>
    <s v="Cancelación Vigilancia, mes de Febrero 2019"/>
    <s v="Vigilancia"/>
    <m/>
    <s v="01784"/>
    <s v="02 de Febrero de 2019"/>
    <n v="2"/>
    <d v="2019-02-01T00:00:00"/>
    <s v="4.000,00"/>
    <s v="Cuatro Mil Bolívares con 00/100"/>
  </r>
  <r>
    <n v="1785"/>
    <m/>
    <s v="ü"/>
    <d v="2019-02-04T00:00:00"/>
    <n v="800"/>
    <x v="17"/>
    <x v="74"/>
    <s v="Av. &quot;M&quot; Nro. 146-20"/>
    <s v="Cancelación Vigilancia, mes de Diciembre 2018"/>
    <s v="Vigilancia"/>
    <m/>
    <s v="01785"/>
    <s v="04 de Febrero de 2019"/>
    <n v="4"/>
    <d v="2019-02-01T00:00:00"/>
    <s v="800,00"/>
    <s v="Ochocientos Bolívares con 00/100"/>
  </r>
  <r>
    <n v="1786"/>
    <m/>
    <s v="ü"/>
    <d v="2019-02-04T00:00:00"/>
    <n v="5200"/>
    <x v="54"/>
    <x v="50"/>
    <s v="Calle Güigüe Nro. 89-21"/>
    <s v="Vigilancia: Cancelación saldo mes de Enero y mes de Febrero 2019"/>
    <s v="Vigilancia"/>
    <m/>
    <s v="01786"/>
    <s v="04 de Febrero de 2019"/>
    <n v="4"/>
    <d v="2019-02-01T00:00:00"/>
    <s v="5.200,00"/>
    <s v="Cinco Mil Doscientos Bolívares con 00/100"/>
  </r>
  <r>
    <n v="1787"/>
    <m/>
    <s v="ü"/>
    <d v="2019-02-04T00:00:00"/>
    <n v="3000"/>
    <x v="53"/>
    <x v="80"/>
    <s v="Calle Guacara Nro. 88-91"/>
    <s v="Cancelación Vigilancia, mes de Enero 2019"/>
    <s v="Vigilancia"/>
    <m/>
    <s v="01787"/>
    <s v="04 de Febrero de 2019"/>
    <n v="4"/>
    <d v="2019-02-01T00:00:00"/>
    <s v="3.000,00"/>
    <s v="Tres Mil Bolívares con 00/100"/>
  </r>
  <r>
    <n v="1788"/>
    <m/>
    <s v="ü"/>
    <d v="2019-02-04T00:00:00"/>
    <n v="300"/>
    <x v="5"/>
    <x v="9"/>
    <s v="Calle Güigüe Nro. 88-120"/>
    <s v="Vigilancia: Anticipo mes de Febrero 2019"/>
    <s v="Vigilancia"/>
    <m/>
    <s v="01788"/>
    <s v="04 de Febrero de 2019"/>
    <n v="4"/>
    <d v="2019-02-01T00:00:00"/>
    <s v="300,00"/>
    <s v="Trescientos Bolívares con 00/100"/>
  </r>
  <r>
    <n v="1789"/>
    <m/>
    <s v="ü"/>
    <d v="2019-02-04T00:00:00"/>
    <n v="5700"/>
    <x v="5"/>
    <x v="9"/>
    <s v="Calle Güigüe Nro. 88-120"/>
    <s v="Vigilancia: Cancelación saldo meses de Enero y Febrero y anticipo mes de Marzo 2019"/>
    <s v="Vigilancia"/>
    <m/>
    <s v="01789"/>
    <s v="04 de Febrero de 2019"/>
    <n v="4"/>
    <d v="2019-02-01T00:00:00"/>
    <s v="5.700,00"/>
    <s v="Cinco Mil Setecientos Bolívares con 00/100"/>
  </r>
  <r>
    <n v="1790"/>
    <m/>
    <s v="ü"/>
    <d v="2019-02-07T00:00:00"/>
    <n v="600"/>
    <x v="2"/>
    <x v="83"/>
    <s v="Calle Guacara Nro. 88-19"/>
    <s v="Colaboración Vigilancia, mes de Enero 2019"/>
    <s v="Vigilancia"/>
    <m/>
    <s v="01790"/>
    <s v="07 de Febrero de 2019"/>
    <n v="7"/>
    <d v="2019-02-01T00:00:00"/>
    <s v="600,00"/>
    <s v="Seiscientos Bolívares con 00/100"/>
  </r>
  <r>
    <n v="1791"/>
    <m/>
    <s v="ü"/>
    <d v="2019-02-04T00:00:00"/>
    <n v="3000"/>
    <x v="1"/>
    <x v="1"/>
    <s v="Calle Güigüe Nro. 88-44"/>
    <s v="Cancelación Vigilancia, mes de Febrero 2019"/>
    <s v="Vigilancia"/>
    <m/>
    <s v="01791"/>
    <s v="04 de Febrero de 2019"/>
    <n v="4"/>
    <d v="2019-02-01T00:00:00"/>
    <s v="3.000,00"/>
    <s v="Tres Mil Bolívares con 00/100"/>
  </r>
  <r>
    <n v="1792"/>
    <m/>
    <s v="ü"/>
    <d v="2019-02-06T00:00:00"/>
    <n v="3000"/>
    <x v="48"/>
    <x v="9"/>
    <s v="Calle Güigüe Nro. 88-90"/>
    <s v="Cancelación Vigilancia, mes de Enero 2019"/>
    <s v="Vigilancia"/>
    <m/>
    <s v="01792"/>
    <s v="06 de Febrero de 2019"/>
    <n v="6"/>
    <d v="2019-02-01T00:00:00"/>
    <s v="3.000,00"/>
    <s v="Tres Mil Bolívares con 00/100"/>
  </r>
  <r>
    <n v="1793"/>
    <m/>
    <s v="ü"/>
    <d v="2019-02-06T00:00:00"/>
    <n v="3000"/>
    <x v="90"/>
    <x v="82"/>
    <s v="Calle Güigüe Nro. 89-04"/>
    <s v="Cancelación Vigilancia, mes de Febrero 2019"/>
    <s v="Vigilancia"/>
    <m/>
    <s v="01793"/>
    <s v="06 de Febrero de 2019"/>
    <n v="6"/>
    <d v="2019-02-01T00:00:00"/>
    <s v="3.000,00"/>
    <s v="Tres Mil Bolívares con 00/100"/>
  </r>
  <r>
    <n v="1794"/>
    <m/>
    <s v="ü"/>
    <d v="2019-02-06T00:00:00"/>
    <n v="300"/>
    <x v="74"/>
    <x v="64"/>
    <s v="Calle Güigüe Nro. 88-20"/>
    <s v="Colaboración Vigilancia, mes de Enero 2019"/>
    <s v="Vigilancia"/>
    <m/>
    <s v="01794"/>
    <s v="06 de Febrero de 2019"/>
    <n v="6"/>
    <d v="2019-02-01T00:00:00"/>
    <s v="300,00"/>
    <s v="Trescientos Bolívares con 00/100"/>
  </r>
  <r>
    <n v="1795"/>
    <m/>
    <s v="ü"/>
    <d v="2019-02-06T00:00:00"/>
    <n v="2300"/>
    <x v="2"/>
    <x v="83"/>
    <s v="Calle Guacara Nro. 88-19"/>
    <s v="Colaboración Vigilancia, mes de Febrero 2019"/>
    <s v="Vigilancia"/>
    <m/>
    <s v="01795"/>
    <s v="06 de Febrero de 2019"/>
    <n v="6"/>
    <d v="2019-02-01T00:00:00"/>
    <s v="2.300,00"/>
    <s v="Dos Mil Trescientos Bolívares con 00/100"/>
  </r>
  <r>
    <n v="1796"/>
    <m/>
    <s v="ü"/>
    <d v="2019-02-06T00:00:00"/>
    <n v="320"/>
    <x v="56"/>
    <x v="52"/>
    <s v="Calle Güigüe Nro. 88-70"/>
    <s v="Cancelación Vigilancia, mes de Noviembre 2018"/>
    <s v="Vigilancia"/>
    <m/>
    <s v="01796"/>
    <s v="06 de Febrero de 2019"/>
    <n v="6"/>
    <d v="2019-02-01T00:00:00"/>
    <s v="320,00"/>
    <s v="Trescientos Veinte Bolívares con 00/100"/>
  </r>
  <r>
    <n v="1797"/>
    <m/>
    <s v="ü"/>
    <d v="2019-02-07T00:00:00"/>
    <n v="5200"/>
    <x v="75"/>
    <x v="65"/>
    <s v="Av. &quot;Ñ&quot; Nro. 145-25"/>
    <s v="Vigilancia: Cancelación saldo mes de Enero y mes de Febrero 2019 (saldo a favor: Bs. 31.352,00)"/>
    <s v="Vigilancia"/>
    <m/>
    <s v="01797"/>
    <s v="07 de Febrero de 2019"/>
    <n v="7"/>
    <d v="2019-02-01T00:00:00"/>
    <s v="5.200,00"/>
    <s v="Cinco Mil Doscientos Bolívares con 00/100"/>
  </r>
  <r>
    <n v="1798"/>
    <m/>
    <s v="ü"/>
    <d v="2019-02-08T00:00:00"/>
    <n v="3000"/>
    <x v="81"/>
    <x v="69"/>
    <s v="Calle Güigüe Nro. 89-65"/>
    <s v="Cancelación Vigilancia, mes de Febrero 2019"/>
    <s v="Vigilancia"/>
    <m/>
    <s v="01798"/>
    <s v="08 de Febrero de 2019"/>
    <n v="8"/>
    <d v="2019-02-01T00:00:00"/>
    <s v="3.000,00"/>
    <s v="Tres Mil Bolívares con 00/100"/>
  </r>
  <r>
    <n v="1799"/>
    <m/>
    <s v="ü"/>
    <d v="2019-02-09T00:00:00"/>
    <n v="3000"/>
    <x v="69"/>
    <x v="61"/>
    <s v="Calle Güigüe Nro. 89-40"/>
    <s v="Cancelación Vigilancia, mes de Febrero 2019"/>
    <s v="Vigilancia"/>
    <m/>
    <s v="01799"/>
    <s v="09 de Febrero de 2019"/>
    <n v="9"/>
    <d v="2019-02-01T00:00:00"/>
    <s v="3.000,00"/>
    <s v="Tres Mil Bolívares con 00/100"/>
  </r>
  <r>
    <n v="1800"/>
    <m/>
    <s v="ü"/>
    <d v="2019-02-09T00:00:00"/>
    <n v="1500"/>
    <x v="71"/>
    <x v="62"/>
    <s v="Calle Güigüe Nro. 89-71"/>
    <s v="Colaboración Vigilancia, mes de Enero 2019"/>
    <s v="Vigilancia"/>
    <m/>
    <s v="01800"/>
    <s v="09 de Febrero de 2019"/>
    <n v="9"/>
    <d v="2019-02-01T00:00:00"/>
    <s v="1.500,00"/>
    <s v="Mil Quinientos Bolívares con 00/100"/>
  </r>
  <r>
    <n v="1801"/>
    <m/>
    <s v="ü"/>
    <d v="2019-02-09T00:00:00"/>
    <n v="3000"/>
    <x v="7"/>
    <x v="7"/>
    <s v="Calle Guacara Nro. 87-86"/>
    <s v="Cancelación Vigilancia, mes de Febrero 2019"/>
    <s v="Vigilancia"/>
    <m/>
    <s v="01801"/>
    <s v="09 de Febrero de 2019"/>
    <n v="9"/>
    <d v="2019-02-01T00:00:00"/>
    <s v="3.000,00"/>
    <s v="Tres Mil Bolívares con 00/100"/>
  </r>
  <r>
    <n v="1802"/>
    <m/>
    <s v="ü"/>
    <d v="2019-02-09T00:00:00"/>
    <n v="3000"/>
    <x v="20"/>
    <x v="18"/>
    <s v="Calle Guacara Nro. 89-30"/>
    <s v="Cancelación Vigilancia, mes de Febrero 2019"/>
    <s v="Vigilancia"/>
    <m/>
    <s v="01802"/>
    <s v="09 de Febrero de 2019"/>
    <n v="9"/>
    <d v="2019-02-01T00:00:00"/>
    <s v="3.000,00"/>
    <s v="Tres Mil Bolívares con 00/100"/>
  </r>
  <r>
    <n v="1803"/>
    <m/>
    <s v="ü"/>
    <d v="2019-02-09T00:00:00"/>
    <n v="3000"/>
    <x v="63"/>
    <x v="56"/>
    <s v="Calle Guacara Nro. 88-85"/>
    <s v="Cancelación Vigilancia, mes de Febrero 2019"/>
    <s v="Vigilancia"/>
    <m/>
    <s v="01803"/>
    <s v="09 de Febrero de 2019"/>
    <n v="9"/>
    <d v="2019-02-01T00:00:00"/>
    <s v="3.000,00"/>
    <s v="Tres Mil Bolívares con 00/100"/>
  </r>
  <r>
    <n v="1804"/>
    <m/>
    <s v="ü"/>
    <d v="2019-02-09T00:00:00"/>
    <n v="3000"/>
    <x v="12"/>
    <x v="12"/>
    <s v="Calle Guacara Nro. 89-20"/>
    <s v="Cancelación Vigilancia, mes de Febrero 2019"/>
    <s v="Vigilancia"/>
    <m/>
    <s v="01804"/>
    <s v="09 de Febrero de 2019"/>
    <n v="9"/>
    <d v="2019-02-01T00:00:00"/>
    <s v="3.000,00"/>
    <s v="Tres Mil Bolívares con 00/100"/>
  </r>
  <r>
    <n v="1805"/>
    <m/>
    <s v="ü"/>
    <d v="2019-02-11T00:00:00"/>
    <n v="3000"/>
    <x v="62"/>
    <x v="55"/>
    <s v="Av. &quot;M&quot; Nro. 145-10"/>
    <s v="Cancelación Vigilancia, mes de Febrero 2019"/>
    <s v="Vigilancia"/>
    <m/>
    <s v="01805"/>
    <s v="11 de Febrero de 2019"/>
    <n v="11"/>
    <d v="2019-02-01T00:00:00"/>
    <s v="3.000,00"/>
    <s v="Tres Mil Bolívares con 00/100"/>
  </r>
  <r>
    <n v="1806"/>
    <m/>
    <s v="ü"/>
    <d v="2019-02-12T00:00:00"/>
    <n v="6000"/>
    <x v="27"/>
    <x v="25"/>
    <s v="Calle Güigüe Nro. 89-106"/>
    <s v="Cancelación Vigilancia, meses de Enero y Febrero 2019"/>
    <s v="Vigilancia"/>
    <m/>
    <s v="01806"/>
    <s v="12 de Febrero de 2019"/>
    <n v="12"/>
    <d v="2019-02-01T00:00:00"/>
    <s v="6.000,00"/>
    <s v="Seis Mil Bolívares con 00/100"/>
  </r>
  <r>
    <n v="1807"/>
    <m/>
    <s v="ü"/>
    <d v="2019-02-13T00:00:00"/>
    <n v="5200"/>
    <x v="65"/>
    <x v="58"/>
    <s v="Calle Güigüe Nro. 88-10"/>
    <s v="Vigilancia: Cancelación saldo mes de Enero y mes de Febrero 2019"/>
    <s v="Vigilancia"/>
    <m/>
    <s v="01807"/>
    <s v="13 de Febrero de 2019"/>
    <n v="13"/>
    <d v="2019-02-01T00:00:00"/>
    <s v="5.200,00"/>
    <s v="Cinco Mil Doscientos Bolívares con 00/100"/>
  </r>
  <r>
    <n v="1808"/>
    <m/>
    <s v="ü"/>
    <d v="2019-02-13T00:00:00"/>
    <n v="3000"/>
    <x v="0"/>
    <x v="0"/>
    <s v="Calle Guacara Nro. 88-45"/>
    <s v="Vigilancia: Cancelación saldo mes de Febrero 2019 (saldo a favor: Bs. 3.862,95)"/>
    <s v="Vigilancia"/>
    <m/>
    <s v="01808"/>
    <s v="13 de Febrero de 2019"/>
    <n v="13"/>
    <d v="2019-02-01T00:00:00"/>
    <s v="3.000,00"/>
    <s v="Tres Mil Bolívares con 00/100"/>
  </r>
  <r>
    <n v="1809"/>
    <m/>
    <s v="ü"/>
    <d v="2019-02-14T00:00:00"/>
    <n v="2200"/>
    <x v="5"/>
    <x v="9"/>
    <s v="Calle Güigüe Nro. 88-120"/>
    <s v="Vigilancia: Cancelación saldo mes de Marzo 2019"/>
    <s v="Vigilancia"/>
    <m/>
    <s v="01809"/>
    <s v="14 de Febrero de 2019"/>
    <n v="14"/>
    <d v="2019-02-01T00:00:00"/>
    <s v="2.200,00"/>
    <s v="Dos Mil Doscientos Bolívares con 00/100"/>
  </r>
  <r>
    <n v="1810"/>
    <m/>
    <s v="ü"/>
    <d v="2019-02-14T00:00:00"/>
    <n v="3000"/>
    <x v="22"/>
    <x v="20"/>
    <s v="Calle Guacara Nro. 88-25"/>
    <s v="Cancelación Vigilancia, mes de Enero 2019"/>
    <s v="Vigilancia"/>
    <m/>
    <s v="01810"/>
    <s v="14 de Febrero de 2019"/>
    <n v="14"/>
    <d v="2019-02-01T00:00:00"/>
    <s v="3.000,00"/>
    <s v="Tres Mil Bolívares con 00/100"/>
  </r>
  <r>
    <n v="1811"/>
    <m/>
    <s v="ü"/>
    <d v="2019-02-14T00:00:00"/>
    <n v="3000"/>
    <x v="92"/>
    <x v="86"/>
    <s v="Calle Guacara Nro. 88-A-10"/>
    <s v="Cancelación Vigilancia, mes de Febrero 2019 (saldo a favor: Bs. 14.005,80)"/>
    <s v="Vigilancia"/>
    <m/>
    <s v="01811"/>
    <s v="14 de Febrero de 2019"/>
    <n v="14"/>
    <d v="2019-02-01T00:00:00"/>
    <s v="3.000,00"/>
    <s v="Tres Mil Bolívares con 00/100"/>
  </r>
  <r>
    <n v="1812"/>
    <m/>
    <s v="ü"/>
    <d v="2019-02-13T00:00:00"/>
    <n v="1500"/>
    <x v="72"/>
    <x v="63"/>
    <s v="Calle Güigüe Nro. 89-35"/>
    <s v="Colaboración Vigilancia, mes de Febrero 2019"/>
    <s v="Vigilancia"/>
    <m/>
    <s v="01812"/>
    <s v="13 de Febrero de 2019"/>
    <n v="13"/>
    <d v="2019-02-01T00:00:00"/>
    <s v="1.500,00"/>
    <s v="Mil Quinientos Bolívares con 00/100"/>
  </r>
  <r>
    <n v="1813"/>
    <m/>
    <s v="ü"/>
    <d v="2019-02-15T00:00:00"/>
    <n v="3000"/>
    <x v="25"/>
    <x v="23"/>
    <s v="Calle Güigüe Nro. 88-58"/>
    <s v="Cancelación Vigilancia, mes de Febrero 2019"/>
    <s v="Vigilancia"/>
    <m/>
    <s v="01813"/>
    <s v="15 de Febrero de 2019"/>
    <n v="15"/>
    <d v="2019-02-01T00:00:00"/>
    <s v="3.000,00"/>
    <s v="Tres Mil Bolívares con 00/100"/>
  </r>
  <r>
    <n v="1814"/>
    <m/>
    <s v="ü"/>
    <d v="2019-02-17T00:00:00"/>
    <n v="3000"/>
    <x v="58"/>
    <x v="53"/>
    <s v="Calle Güigüe Nro. 88-51"/>
    <s v="Cancelación Vigilancia, mes de Febrero 2019"/>
    <s v="Vigilancia"/>
    <m/>
    <s v="01814"/>
    <s v="17 de Febrero de 2019"/>
    <n v="17"/>
    <d v="2019-02-01T00:00:00"/>
    <s v="3.000,00"/>
    <s v="Tres Mil Bolívares con 00/100"/>
  </r>
  <r>
    <n v="1815"/>
    <m/>
    <s v="û"/>
    <d v="2019-02-17T00:00:00"/>
    <n v="3000"/>
    <x v="37"/>
    <x v="34"/>
    <s v="Av. &quot;I&quot; Nro. 146-40"/>
    <s v="ANULADO; Cancelación Vigilancia, mes de Febrero 2019"/>
    <s v="ANULADO"/>
    <m/>
    <s v="01815"/>
    <s v="17 de Febrero de 2019"/>
    <n v="17"/>
    <d v="2019-02-01T00:00:00"/>
    <s v="3.000,00"/>
    <s v="Tres Mil Bolívares con 00/100"/>
  </r>
  <r>
    <n v="1816"/>
    <m/>
    <s v="ü"/>
    <d v="2019-02-18T00:00:00"/>
    <n v="3000"/>
    <x v="8"/>
    <x v="78"/>
    <s v="Calle Guacara Nro. 90-51"/>
    <s v="Cancelación Vigilancia, mes de Febrero 2019"/>
    <s v="Vigilancia"/>
    <m/>
    <s v="01816"/>
    <s v="18 de Febrero de 2019"/>
    <n v="18"/>
    <d v="2019-02-01T00:00:00"/>
    <s v="3.000,00"/>
    <s v="Tres Mil Bolívares con 00/100"/>
  </r>
  <r>
    <n v="1817"/>
    <m/>
    <s v="ü"/>
    <d v="2019-02-19T00:00:00"/>
    <n v="1575"/>
    <x v="4"/>
    <x v="4"/>
    <s v="Calle Güigüe Nro. 89-55"/>
    <s v="Vigilancia: Cancelación saldo mes de Febrero 2019"/>
    <s v="Vigilancia"/>
    <m/>
    <s v="01817"/>
    <s v="19 de Febrero de 2019"/>
    <n v="19"/>
    <d v="2019-02-01T00:00:00"/>
    <s v="1.575,00"/>
    <s v="Mil Quinientos Setenta y Cinco Bolívares con 00/100"/>
  </r>
  <r>
    <n v="1818"/>
    <m/>
    <s v="ü"/>
    <d v="2019-02-20T00:00:00"/>
    <n v="3000"/>
    <x v="88"/>
    <x v="76"/>
    <s v="Calle Güigüe Nro. 88-11"/>
    <s v="Cancelación Vigilancia, mes de Febrero 2019"/>
    <s v="Vigilancia"/>
    <m/>
    <s v="01818"/>
    <s v="20 de Febrero de 2019"/>
    <n v="20"/>
    <d v="2019-02-01T00:00:00"/>
    <s v="3.000,00"/>
    <s v="Tres Mil Bolívares con 00/100"/>
  </r>
  <r>
    <n v="1819"/>
    <m/>
    <s v="ü"/>
    <d v="2019-02-22T00:00:00"/>
    <n v="600"/>
    <x v="68"/>
    <x v="60"/>
    <s v="Calle Güigüe Nro. 89-29"/>
    <s v="Colaboración Vigilancia, mes de Enero 2019"/>
    <s v="Vigilancia"/>
    <m/>
    <s v="01819"/>
    <s v="22 de Febrero de 2019"/>
    <n v="22"/>
    <d v="2019-02-01T00:00:00"/>
    <s v="600,00"/>
    <s v="Seiscientos Bolívares con 00/100"/>
  </r>
  <r>
    <n v="1820"/>
    <m/>
    <s v="ü"/>
    <d v="2019-02-22T00:00:00"/>
    <n v="3000"/>
    <x v="15"/>
    <x v="14"/>
    <s v="Calle Guacara Nro. 89-94"/>
    <s v="Cancelación Vigilancia, mes de Febrero 2019"/>
    <s v="Vigilancia"/>
    <m/>
    <s v="01820"/>
    <s v="22 de Febrero de 2019"/>
    <n v="22"/>
    <d v="2019-02-01T00:00:00"/>
    <s v="3.000,00"/>
    <s v="Tres Mil Bolívares con 00/100"/>
  </r>
  <r>
    <n v="1821"/>
    <m/>
    <s v="ü"/>
    <d v="2019-02-24T00:00:00"/>
    <n v="3000"/>
    <x v="18"/>
    <x v="16"/>
    <s v="Calle Guacara Nro. 87-100"/>
    <s v="Cancelación Vigilancia, mes de Marzo 2019"/>
    <s v="Vigilancia"/>
    <m/>
    <s v="01821"/>
    <s v="24 de Febrero de 2019"/>
    <n v="24"/>
    <d v="2019-02-01T00:00:00"/>
    <s v="3.000,00"/>
    <s v="Tres Mil Bolívares con 00/100"/>
  </r>
  <r>
    <n v="1822"/>
    <m/>
    <s v="ü"/>
    <d v="2019-02-25T00:00:00"/>
    <n v="6000"/>
    <x v="87"/>
    <x v="75"/>
    <s v="Calle Güigüe Nro. 88-06"/>
    <s v="Vigilancia: Cancelación saldo mes de Enero, mes de Febrero y anticipo mes de Marzo 2019"/>
    <s v="Vigilancia"/>
    <m/>
    <s v="01822"/>
    <s v="25 de Febrero de 2019"/>
    <n v="25"/>
    <d v="2019-02-01T00:00:00"/>
    <s v="6.000,00"/>
    <s v="Seis Mil Bolívares con 00/100"/>
  </r>
  <r>
    <n v="1823"/>
    <m/>
    <s v="ü"/>
    <d v="2019-02-25T00:00:00"/>
    <n v="3000"/>
    <x v="35"/>
    <x v="32"/>
    <s v="Calle Güigüe Nro. 89-80"/>
    <s v="Cancelación Vigilancia, mes de Febrero 2019"/>
    <s v="Vigilancia"/>
    <m/>
    <s v="01823"/>
    <s v="25 de Febrero de 2019"/>
    <n v="25"/>
    <d v="2019-02-01T00:00:00"/>
    <s v="3.000,00"/>
    <s v="Tres Mil Bolívares con 00/100"/>
  </r>
  <r>
    <n v="1824"/>
    <m/>
    <s v="ü"/>
    <d v="2019-02-25T00:00:00"/>
    <n v="3000"/>
    <x v="59"/>
    <x v="9"/>
    <s v="Calle Guacara Nro. 90-35"/>
    <s v="Cancelación Vigilancia, mes de Febrero 2019"/>
    <s v="Vigilancia"/>
    <m/>
    <s v="01824"/>
    <s v="25 de Febrero de 2019"/>
    <n v="25"/>
    <d v="2019-02-01T00:00:00"/>
    <s v="3.000,00"/>
    <s v="Tres Mil Bolívares con 00/100"/>
  </r>
  <r>
    <n v="1825"/>
    <m/>
    <s v="ü"/>
    <d v="2019-02-25T00:00:00"/>
    <n v="3000"/>
    <x v="23"/>
    <x v="21"/>
    <s v="Calle Güigüe Nro. 88-116"/>
    <s v="Cancelación Vigilancia, mes de Febrero 2019"/>
    <s v="Vigilancia"/>
    <m/>
    <s v="01825"/>
    <s v="25 de Febrero de 2019"/>
    <n v="25"/>
    <d v="2019-02-01T00:00:00"/>
    <s v="3.000,00"/>
    <s v="Tres Mil Bolívares con 00/100"/>
  </r>
  <r>
    <n v="1826"/>
    <m/>
    <s v="ü"/>
    <d v="2019-02-25T00:00:00"/>
    <n v="3000"/>
    <x v="77"/>
    <x v="85"/>
    <s v="Calle Guacara Nro. 88-65"/>
    <s v="Cancelación Vigilancia, mes de Febrero 2019"/>
    <s v="Vigilancia"/>
    <m/>
    <s v="01826"/>
    <s v="25 de Febrero de 2019"/>
    <n v="25"/>
    <d v="2019-02-01T00:00:00"/>
    <s v="3.000,00"/>
    <s v="Tres Mil Bolívares con 00/100"/>
  </r>
  <r>
    <n v="1827"/>
    <m/>
    <s v="ü"/>
    <d v="2019-02-25T00:00:00"/>
    <n v="3000"/>
    <x v="76"/>
    <x v="66"/>
    <s v="Calle Güigüe Nro. 89-90"/>
    <s v="Cancelación Vigilancia, mes de Febrero 2019"/>
    <s v="Vigilancia"/>
    <m/>
    <s v="01827"/>
    <s v="25 de Febrero de 2019"/>
    <n v="25"/>
    <d v="2019-02-01T00:00:00"/>
    <s v="3.000,00"/>
    <s v="Tres Mil Bolívares con 00/100"/>
  </r>
  <r>
    <n v="1828"/>
    <m/>
    <s v="ü"/>
    <d v="2019-02-25T00:00:00"/>
    <n v="1500"/>
    <x v="68"/>
    <x v="60"/>
    <s v="Calle Güigüe Nro. 89-29"/>
    <s v="Colaboración Vigilancia, mes de Febrero 2019"/>
    <s v="Vigilancia"/>
    <m/>
    <s v="01828"/>
    <s v="25 de Febrero de 2019"/>
    <n v="25"/>
    <d v="2019-02-01T00:00:00"/>
    <s v="1.500,00"/>
    <s v="Mil Quinientos Bolívares con 00/100"/>
  </r>
  <r>
    <n v="1829"/>
    <m/>
    <s v="ü"/>
    <d v="2019-02-26T00:00:00"/>
    <n v="3000"/>
    <x v="56"/>
    <x v="52"/>
    <s v="Calle Güigüe Nro. 88-70"/>
    <s v="Cancelación Vigilancia, mes de Febrero 2019"/>
    <s v="Vigilancia"/>
    <m/>
    <s v="01829"/>
    <s v="26 de Febrero de 2019"/>
    <n v="26"/>
    <d v="2019-02-01T00:00:00"/>
    <s v="3.000,00"/>
    <s v="Tres Mil Bolívares con 00/100"/>
  </r>
  <r>
    <n v="1830"/>
    <m/>
    <s v="ü"/>
    <d v="2019-02-17T00:00:00"/>
    <n v="3000"/>
    <x v="61"/>
    <x v="14"/>
    <s v="Calle Guacara Nro. 87-07"/>
    <s v="Cancelación Vigilancia, mes de Febrero 2019"/>
    <s v="Vigilancia"/>
    <m/>
    <s v="01830"/>
    <s v="17 de Febrero de 2019"/>
    <n v="17"/>
    <d v="2019-02-01T00:00:00"/>
    <s v="3.000,00"/>
    <s v="Tres Mil Bolívares con 00/100"/>
  </r>
  <r>
    <n v="1831"/>
    <m/>
    <s v="ü"/>
    <d v="2019-02-26T00:00:00"/>
    <n v="3000"/>
    <x v="83"/>
    <x v="70"/>
    <s v="Calle Güigüe Nro. 89-22"/>
    <s v="Cancelación Vigilancia, mes de Febrero 2019"/>
    <s v="Vigilancia"/>
    <m/>
    <s v="01831"/>
    <s v="26 de Febrero de 2019"/>
    <n v="26"/>
    <d v="2019-02-01T00:00:00"/>
    <s v="3.000,00"/>
    <s v="Tres Mil Bolívares con 00/100"/>
  </r>
  <r>
    <n v="1832"/>
    <m/>
    <s v="ü"/>
    <d v="2019-02-27T00:00:00"/>
    <n v="3000"/>
    <x v="44"/>
    <x v="41"/>
    <s v="Calle Guacara Nro. 89-40"/>
    <s v="Cancelación Vigilancia, mes de Febrero 2019"/>
    <s v="Vigilancia"/>
    <m/>
    <s v="01832"/>
    <s v="27 de Febrero de 2019"/>
    <n v="27"/>
    <d v="2019-02-01T00:00:00"/>
    <s v="3.000,00"/>
    <s v="Tres Mil Bolívares con 00/100"/>
  </r>
  <r>
    <n v="1833"/>
    <m/>
    <s v="ü"/>
    <d v="2019-02-26T00:00:00"/>
    <n v="3000"/>
    <x v="53"/>
    <x v="80"/>
    <s v="Calle Guacara Nro. 88-91"/>
    <s v="Cancelación Vigilancia, mes de Febrero 2019"/>
    <s v="Vigilancia"/>
    <m/>
    <s v="01833"/>
    <s v="26 de Febrero de 2019"/>
    <n v="26"/>
    <d v="2019-02-01T00:00:00"/>
    <s v="3.000,00"/>
    <s v="Tres Mil Bolívares con 00/100"/>
  </r>
  <r>
    <n v="1834"/>
    <m/>
    <s v="ü"/>
    <d v="2019-02-27T00:00:00"/>
    <n v="3000"/>
    <x v="69"/>
    <x v="61"/>
    <s v="Calle Güigüe Nro. 89-40"/>
    <s v="Cancelación Vigilancia, mes de Marzo 2019"/>
    <s v="Vigilancia"/>
    <m/>
    <s v="01834"/>
    <s v="27 de Febrero de 2019"/>
    <n v="27"/>
    <d v="2019-02-01T00:00:00"/>
    <s v="3.000,00"/>
    <s v="Tres Mil Bolívares con 00/100"/>
  </r>
  <r>
    <n v="1835"/>
    <m/>
    <s v="ü"/>
    <d v="2019-02-27T00:00:00"/>
    <n v="6000"/>
    <x v="6"/>
    <x v="6"/>
    <s v="Calle Guacara Nro. 89-60"/>
    <s v="Cancelación Vigilancia, mes de Marzo 2019 y aporte especial"/>
    <s v="Vigilancia"/>
    <m/>
    <s v="01835"/>
    <s v="27 de Febrero de 2019"/>
    <n v="27"/>
    <d v="2019-02-01T00:00:00"/>
    <s v="6.000,00"/>
    <s v="Seis Mil Bolívares con 00/100"/>
  </r>
  <r>
    <n v="1836"/>
    <m/>
    <s v="ü"/>
    <d v="2019-02-27T00:00:00"/>
    <n v="6000"/>
    <x v="45"/>
    <x v="42"/>
    <s v="Calle Güigüe Nro. 87-A-11"/>
    <s v="Cancelación Vigilancia, meses de Febrero y Marzo 2019"/>
    <s v="Vigilancia"/>
    <m/>
    <s v="01836"/>
    <s v="27 de Febrero de 2019"/>
    <n v="27"/>
    <d v="2019-02-01T00:00:00"/>
    <s v="6.000,00"/>
    <s v="Seis Mil Bolívares con 00/100"/>
  </r>
  <r>
    <n v="1837"/>
    <m/>
    <s v="ü"/>
    <d v="2019-02-27T00:00:00"/>
    <n v="3000"/>
    <x v="48"/>
    <x v="9"/>
    <s v="Calle Güigüe Nro. 88-90"/>
    <s v="Cancelación Vigilancia, mes de Febrero 2019"/>
    <s v="Vigilancia"/>
    <m/>
    <s v="01837"/>
    <s v="27 de Febrero de 2019"/>
    <n v="27"/>
    <d v="2019-02-01T00:00:00"/>
    <s v="3.000,00"/>
    <s v="Tres Mil Bolívares con 00/100"/>
  </r>
  <r>
    <n v="1838"/>
    <m/>
    <s v="ü"/>
    <d v="2019-02-27T00:00:00"/>
    <n v="5000"/>
    <x v="16"/>
    <x v="15"/>
    <s v="Calle Guacara Nro. 90-81"/>
    <s v="Cancelación Vigilancia, mes de Febrero 2019 y aporte especial"/>
    <s v="Vigilancia"/>
    <m/>
    <s v="01838"/>
    <s v="27 de Febrero de 2019"/>
    <n v="27"/>
    <d v="2019-02-01T00:00:00"/>
    <s v="5.000,00"/>
    <s v="Cinco Mil Bolívares con 00/100"/>
  </r>
  <r>
    <n v="1839"/>
    <m/>
    <s v="ü"/>
    <d v="2019-02-27T00:00:00"/>
    <n v="9000"/>
    <x v="60"/>
    <x v="54"/>
    <s v="Calle Guacara Nro. 88-51"/>
    <s v="Cancelación Vigilancia, meses de Febrero, Marzo y Abril 2019"/>
    <s v="Vigilancia"/>
    <m/>
    <s v="01839"/>
    <s v="27 de Febrero de 2019"/>
    <n v="27"/>
    <d v="2019-02-01T00:00:00"/>
    <s v="9.000,00"/>
    <s v="Nueve Mil Bolívares con 00/100"/>
  </r>
  <r>
    <n v="1840"/>
    <m/>
    <s v="ü"/>
    <d v="2019-02-27T00:00:00"/>
    <n v="4000"/>
    <x v="3"/>
    <x v="3"/>
    <s v="Calle Güigüe Nro. 88-62"/>
    <s v="Colaboración Vigilancia, meses de Enero y Febrero 2019"/>
    <s v="Vigilancia"/>
    <m/>
    <s v="01840"/>
    <s v="27 de Febrero de 2019"/>
    <n v="27"/>
    <d v="2019-02-01T00:00:00"/>
    <s v="4.000,00"/>
    <s v="Cuatro Mil Bolívares con 00/100"/>
  </r>
  <r>
    <n v="1841"/>
    <m/>
    <s v="ü"/>
    <d v="2019-02-27T00:00:00"/>
    <n v="3000"/>
    <x v="40"/>
    <x v="37"/>
    <s v="Calle Güigüe Nro. 88-101"/>
    <s v="Cancelación Vigilancia, mes de Febrero 2019"/>
    <s v="Vigilancia"/>
    <m/>
    <s v="01841"/>
    <s v="27 de Febrero de 2019"/>
    <n v="27"/>
    <d v="2019-02-01T00:00:00"/>
    <s v="3.000,00"/>
    <s v="Tres Mil Bolívares con 00/100"/>
  </r>
  <r>
    <n v="1842"/>
    <m/>
    <s v="ü"/>
    <d v="2019-02-27T00:00:00"/>
    <n v="3000"/>
    <x v="19"/>
    <x v="17"/>
    <s v="Calle Guacara Nro. 89-130"/>
    <s v="Cancelación Vigilancia, mes de Febrero 2019"/>
    <s v="Vigilancia"/>
    <m/>
    <s v="01842"/>
    <s v="27 de Febrero de 2019"/>
    <n v="27"/>
    <d v="2019-02-01T00:00:00"/>
    <s v="3.000,00"/>
    <s v="Tres Mil Bolívares con 00/100"/>
  </r>
  <r>
    <n v="1843"/>
    <m/>
    <s v="ü"/>
    <d v="2019-02-27T00:00:00"/>
    <n v="3000"/>
    <x v="46"/>
    <x v="43"/>
    <s v="Av. &quot;I&quot; Nro. 146-20"/>
    <s v="Cancelación Vigilancia, mes de Febrero 2019"/>
    <s v="Vigilancia"/>
    <m/>
    <s v="01843"/>
    <s v="27 de Febrero de 2019"/>
    <n v="27"/>
    <d v="2019-02-01T00:00:00"/>
    <s v="3.000,00"/>
    <s v="Tres Mil Bolívares con 00/100"/>
  </r>
  <r>
    <n v="1844"/>
    <m/>
    <s v="ü"/>
    <d v="2019-02-27T00:00:00"/>
    <n v="6000"/>
    <x v="31"/>
    <x v="29"/>
    <s v="Calle Güigüe Nro. 89-95"/>
    <s v="Cancelación Vigilancia, meses de Febrero y Marzo 2019"/>
    <s v="Vigilancia"/>
    <m/>
    <s v="01844"/>
    <s v="27 de Febrero de 2019"/>
    <n v="27"/>
    <d v="2019-02-01T00:00:00"/>
    <s v="6.000,00"/>
    <s v="Seis Mil Bolívares con 00/100"/>
  </r>
  <r>
    <n v="1845"/>
    <m/>
    <s v="ü"/>
    <d v="2019-02-27T00:00:00"/>
    <n v="6000"/>
    <x v="14"/>
    <x v="13"/>
    <s v="Calle Güigüe Nro. 89-83"/>
    <s v="Cancelación Vigilancia, mes de Marzo 2019"/>
    <s v="Vigilancia"/>
    <m/>
    <s v="01845"/>
    <s v="27 de Febrero de 2019"/>
    <n v="27"/>
    <d v="2019-02-01T00:00:00"/>
    <s v="6.000,00"/>
    <s v="Seis Mil Bolívares con 00/100"/>
  </r>
  <r>
    <n v="1846"/>
    <m/>
    <s v="ü"/>
    <d v="2019-02-27T00:00:00"/>
    <n v="3000"/>
    <x v="26"/>
    <x v="24"/>
    <s v="Calle Güigüe Nro. 89-96"/>
    <s v="Cancelación Vigilancia, mes de Febrero 2019"/>
    <s v="Vigilancia"/>
    <m/>
    <s v="01846"/>
    <s v="27 de Febrero de 2019"/>
    <n v="27"/>
    <d v="2019-02-01T00:00:00"/>
    <s v="3.000,00"/>
    <s v="Tres Mil Bolívares con 00/100"/>
  </r>
  <r>
    <n v="1847"/>
    <m/>
    <s v="ü"/>
    <d v="2019-02-27T00:00:00"/>
    <n v="3000"/>
    <x v="38"/>
    <x v="35"/>
    <s v="Calle Guacara Nro. 89-78"/>
    <s v="Cancelación Vigilancia, mes de Febrero 2019"/>
    <s v="Vigilancia"/>
    <m/>
    <s v="01847"/>
    <s v="27 de Febrero de 2019"/>
    <n v="27"/>
    <d v="2019-02-01T00:00:00"/>
    <s v="3.000,00"/>
    <s v="Tres Mil Bolívares con 00/100"/>
  </r>
  <r>
    <n v="1848"/>
    <m/>
    <s v="ü"/>
    <d v="2019-02-04T00:00:00"/>
    <n v="3000"/>
    <x v="14"/>
    <x v="13"/>
    <s v="Calle Güigüe Nro. 89-83"/>
    <s v="Cancelación Vigilancia, mes de Febrero 2019"/>
    <s v="Vigilancia"/>
    <m/>
    <s v="01848"/>
    <s v="04 de Febrero de 2019"/>
    <n v="4"/>
    <d v="2019-02-01T00:00:00"/>
    <s v="3.000,00"/>
    <s v="Tres Mil Bolívares con 00/100"/>
  </r>
  <r>
    <n v="1849"/>
    <m/>
    <s v="ü"/>
    <d v="2019-02-28T00:00:00"/>
    <n v="6000"/>
    <x v="21"/>
    <x v="19"/>
    <s v="Calle Guacara Nro. 89-130"/>
    <s v="Cancelación Vigilancia, meses de Febrero y Marzo 2019"/>
    <s v="Vigilancia"/>
    <m/>
    <s v="01849"/>
    <s v="28 de Febrero de 2019"/>
    <n v="28"/>
    <d v="2019-02-01T00:00:00"/>
    <s v="6.000,00"/>
    <s v="Seis Mil Bolívares con 00/100"/>
  </r>
  <r>
    <n v="1850"/>
    <m/>
    <s v="ü"/>
    <d v="2019-02-28T00:00:00"/>
    <n v="8000"/>
    <x v="93"/>
    <x v="87"/>
    <s v="Calle Güigüe Nro. 89-89"/>
    <s v="Vigilancia: Aporte saldo mes de Enero y cancelación meses de Febrero y Marzo 2019"/>
    <s v="Vigilancia"/>
    <m/>
    <s v="01850"/>
    <s v="28 de Febrero de 2019"/>
    <n v="28"/>
    <d v="2019-02-01T00:00:00"/>
    <s v="8.000,00"/>
    <s v="Ocho Mil Bolívares con 00/100"/>
  </r>
  <r>
    <n v="1851"/>
    <m/>
    <s v="ü"/>
    <d v="2019-02-28T00:00:00"/>
    <n v="3000"/>
    <x v="61"/>
    <x v="14"/>
    <s v="Calle Guacara Nro. 87-07"/>
    <s v="Cancelación Vigilancia, mes de Marzo 2019"/>
    <s v="Vigilancia"/>
    <m/>
    <s v="01851"/>
    <s v="28 de Febrero de 2019"/>
    <n v="28"/>
    <d v="2019-02-01T00:00:00"/>
    <s v="3.000,00"/>
    <s v="Tres Mil Bolívares con 00/100"/>
  </r>
  <r>
    <n v="1852"/>
    <m/>
    <s v="ü"/>
    <d v="2019-02-28T00:00:00"/>
    <n v="3000"/>
    <x v="15"/>
    <x v="14"/>
    <s v="Calle Guacara Nro. 89-94"/>
    <s v="Cancelación Vigilancia, mes de Marzo 2019"/>
    <s v="Vigilancia"/>
    <m/>
    <s v="01852"/>
    <s v="28 de Febrero de 2019"/>
    <n v="28"/>
    <d v="2019-02-01T00:00:00"/>
    <s v="3.000,00"/>
    <s v="Tres Mil Bolívares con 00/100"/>
  </r>
  <r>
    <n v="1853"/>
    <m/>
    <s v="ü"/>
    <d v="2019-03-01T00:00:00"/>
    <n v="3000"/>
    <x v="10"/>
    <x v="10"/>
    <s v="Av. &quot;M&quot; Nro. 146-15"/>
    <s v="Cancelación Vigilancia, mes de Febrero 2019"/>
    <s v="Vigilancia"/>
    <m/>
    <s v="01853"/>
    <s v="01 de Marzo de 2019"/>
    <n v="1"/>
    <d v="2019-03-01T00:00:00"/>
    <s v="3.000,00"/>
    <s v="Tres Mil Bolívares con 00/100"/>
  </r>
  <r>
    <n v="1854"/>
    <m/>
    <s v="ü"/>
    <d v="2019-03-06T00:00:00"/>
    <n v="3000"/>
    <x v="12"/>
    <x v="12"/>
    <s v="Calle Guacara Nro. 89-20"/>
    <s v="Cancelación Vigilancia, mes de Marzo 2019"/>
    <s v="Vigilancia"/>
    <m/>
    <s v="01854"/>
    <s v="06 de Marzo de 2019"/>
    <n v="6"/>
    <d v="2019-03-01T00:00:00"/>
    <s v="3.000,00"/>
    <s v="Tres Mil Bolívares con 00/100"/>
  </r>
  <r>
    <n v="1855"/>
    <m/>
    <s v="ü"/>
    <d v="2019-03-06T00:00:00"/>
    <n v="4500"/>
    <x v="20"/>
    <x v="18"/>
    <s v="Calle Guacara Nro. 89-30"/>
    <s v="Cancelación Vigilancia, mes de Marzo 2019"/>
    <s v="Vigilancia"/>
    <m/>
    <s v="01855"/>
    <s v="06 de Marzo de 2019"/>
    <n v="6"/>
    <d v="2019-03-01T00:00:00"/>
    <s v="4.500,00"/>
    <s v="Cuatro Mil Quinientos Bolívares con 00/100"/>
  </r>
  <r>
    <n v="1856"/>
    <m/>
    <s v="ü"/>
    <d v="2019-03-06T00:00:00"/>
    <n v="3000"/>
    <x v="18"/>
    <x v="16"/>
    <s v="Calle Guacara Nro. 87-100"/>
    <s v="Cancelación Vigilancia, mes de Abril 2019"/>
    <s v="Vigilancia"/>
    <m/>
    <s v="01856"/>
    <s v="06 de Marzo de 2019"/>
    <n v="6"/>
    <d v="2019-03-01T00:00:00"/>
    <s v="3.000,00"/>
    <s v="Tres Mil Bolívares con 00/100"/>
  </r>
  <r>
    <n v="1857"/>
    <m/>
    <s v="ü"/>
    <d v="2019-03-06T00:00:00"/>
    <n v="3000"/>
    <x v="81"/>
    <x v="69"/>
    <s v="Calle Güigüe Nro. 89-65"/>
    <s v="Cancelación Vigilancia, mes de Marzo 2019"/>
    <s v="Vigilancia"/>
    <m/>
    <s v="01857"/>
    <s v="06 de Marzo de 2019"/>
    <n v="6"/>
    <d v="2019-03-01T00:00:00"/>
    <s v="3.000,00"/>
    <s v="Tres Mil Bolívares con 00/100"/>
  </r>
  <r>
    <n v="1858"/>
    <m/>
    <s v="ü"/>
    <d v="2019-03-06T00:00:00"/>
    <n v="3000"/>
    <x v="43"/>
    <x v="40"/>
    <s v="Calle Güigüe Nro. 88-50"/>
    <s v="Cancelación Vigilancia, mes de Febrero 2019"/>
    <s v="Vigilancia"/>
    <m/>
    <s v="01858"/>
    <s v="06 de Marzo de 2019"/>
    <n v="6"/>
    <d v="2019-03-01T00:00:00"/>
    <s v="3.000,00"/>
    <s v="Tres Mil Bolívares con 00/100"/>
  </r>
  <r>
    <n v="1859"/>
    <m/>
    <s v="ü"/>
    <d v="2019-03-06T00:00:00"/>
    <n v="3000"/>
    <x v="22"/>
    <x v="20"/>
    <s v="Calle Guacara Nro. 88-25"/>
    <s v="Cancelación Vigilancia, mes de Febrero 2019"/>
    <s v="Vigilancia"/>
    <m/>
    <s v="01859"/>
    <s v="06 de Marzo de 2019"/>
    <n v="6"/>
    <d v="2019-03-01T00:00:00"/>
    <s v="3.000,00"/>
    <s v="Tres Mil Bolívares con 00/100"/>
  </r>
  <r>
    <n v="1860"/>
    <m/>
    <s v="ü"/>
    <d v="2019-03-07T00:00:00"/>
    <n v="3000"/>
    <x v="63"/>
    <x v="56"/>
    <s v="Calle Guacara Nro. 88-85"/>
    <s v="Cancelación Vigilancia, mes de Marzo 2019"/>
    <s v="Vigilancia"/>
    <m/>
    <s v="01860"/>
    <s v="07 de Marzo de 2019"/>
    <n v="7"/>
    <d v="2019-03-01T00:00:00"/>
    <s v="3.000,00"/>
    <s v="Tres Mil Bolívares con 00/100"/>
  </r>
  <r>
    <n v="1861"/>
    <m/>
    <s v="ü"/>
    <d v="2019-02-27T00:00:00"/>
    <n v="3000"/>
    <x v="95"/>
    <x v="89"/>
    <s v="Calle Güigüe Nro. 89-120"/>
    <s v="Cancelación Vigilancia, mes de Febrero 2019"/>
    <s v="Vigilancia"/>
    <m/>
    <s v="01861"/>
    <s v="27 de Febrero de 2019"/>
    <n v="27"/>
    <d v="2019-02-01T00:00:00"/>
    <s v="3.000,00"/>
    <s v="Tres Mil Bolívares con 00/100"/>
  </r>
  <r>
    <n v="1862"/>
    <m/>
    <s v="ü"/>
    <d v="2019-03-07T00:00:00"/>
    <n v="3000"/>
    <x v="90"/>
    <x v="82"/>
    <s v="Calle Güigüe Nro. 89-04"/>
    <s v="Cancelación Vigilancia, mes de Marzo 2019"/>
    <s v="Vigilancia"/>
    <m/>
    <s v="01862"/>
    <s v="07 de Marzo de 2019"/>
    <n v="7"/>
    <d v="2019-03-01T00:00:00"/>
    <s v="3.000,00"/>
    <s v="Tres Mil Bolívares con 00/100"/>
  </r>
  <r>
    <n v="1863"/>
    <m/>
    <s v="ü"/>
    <d v="2019-03-07T00:00:00"/>
    <n v="3000"/>
    <x v="8"/>
    <x v="78"/>
    <s v="Calle Guacara Nro. 90-51"/>
    <s v="Cancelación Vigilancia, mes de Marzo 2019"/>
    <s v="Vigilancia"/>
    <m/>
    <s v="01863"/>
    <s v="07 de Marzo de 2019"/>
    <n v="7"/>
    <d v="2019-03-01T00:00:00"/>
    <s v="3.000,00"/>
    <s v="Tres Mil Bolívares con 00/100"/>
  </r>
  <r>
    <n v="1864"/>
    <m/>
    <s v="ü"/>
    <d v="2019-03-08T00:00:00"/>
    <n v="1500"/>
    <x v="71"/>
    <x v="62"/>
    <s v="Calle Güigüe Nro. 89-71"/>
    <s v="Colaboración Vigilancia, mes de Febrero 2019"/>
    <s v="Vigilancia"/>
    <m/>
    <s v="01864"/>
    <s v="08 de Marzo de 2019"/>
    <n v="8"/>
    <d v="2019-03-01T00:00:00"/>
    <s v="1.500,00"/>
    <s v="Mil Quinientos Bolívares con 00/100"/>
  </r>
  <r>
    <n v="1865"/>
    <m/>
    <s v="ü"/>
    <d v="2019-03-11T00:00:00"/>
    <n v="3000"/>
    <x v="7"/>
    <x v="7"/>
    <s v="Calle Guacara Nro. 87-86"/>
    <s v="Cancelación Vigilancia, mes de Marzo 2019"/>
    <s v="Vigilancia"/>
    <m/>
    <s v="01865"/>
    <s v="11 de Marzo de 2019"/>
    <n v="11"/>
    <d v="2019-03-01T00:00:00"/>
    <s v="3.000,00"/>
    <s v="Tres Mil Bolívares con 00/100"/>
  </r>
  <r>
    <n v="1866"/>
    <m/>
    <s v="ü"/>
    <d v="2019-03-09T00:00:00"/>
    <n v="3000"/>
    <x v="76"/>
    <x v="66"/>
    <s v="Calle Güigüe Nro. 89-90"/>
    <s v="Cancelación Vigilancia, mes de Marzo 2019"/>
    <s v="Vigilancia"/>
    <m/>
    <s v="01866"/>
    <s v="09 de Marzo de 2019"/>
    <n v="9"/>
    <d v="2019-03-01T00:00:00"/>
    <s v="3.000,00"/>
    <s v="Tres Mil Bolívares con 00/100"/>
  </r>
  <r>
    <n v="1867"/>
    <m/>
    <s v="ü"/>
    <d v="2019-03-11T00:00:00"/>
    <n v="6000"/>
    <x v="11"/>
    <x v="11"/>
    <s v="Calle Guacara Nro. 89-86"/>
    <s v="Cancelación Vigilancia, meses de Marzo y Abril 2019"/>
    <s v="Vigilancia"/>
    <m/>
    <s v="01867"/>
    <s v="11 de Marzo de 2019"/>
    <n v="11"/>
    <d v="2019-03-01T00:00:00"/>
    <s v="6.000,00"/>
    <s v="Seis Mil Bolívares con 00/100"/>
  </r>
  <r>
    <n v="1868"/>
    <m/>
    <s v="ü"/>
    <d v="2019-03-11T00:00:00"/>
    <n v="3000"/>
    <x v="1"/>
    <x v="1"/>
    <s v="Calle Güigüe Nro. 88-44"/>
    <s v="Cancelación Vigilancia, mes de Marzo 2019"/>
    <s v="Vigilancia"/>
    <m/>
    <s v="01868"/>
    <s v="11 de Marzo de 2019"/>
    <n v="11"/>
    <d v="2019-03-01T00:00:00"/>
    <s v="3.000,00"/>
    <s v="Tres Mil Bolívares con 00/100"/>
  </r>
  <r>
    <n v="1869"/>
    <m/>
    <s v="ü"/>
    <d v="2019-03-12T00:00:00"/>
    <n v="9000"/>
    <x v="42"/>
    <x v="39"/>
    <s v="Calle Güigüe Nro. 89-79"/>
    <s v="Cancelación Vigilancia, meses de Enero, Febrero y Marzo 2018 (saldo a favor: Bs. 11.000,00)"/>
    <s v="Vigilancia"/>
    <m/>
    <s v="01869"/>
    <s v="12 de Marzo de 2019"/>
    <n v="12"/>
    <d v="2019-03-01T00:00:00"/>
    <s v="9.000,00"/>
    <s v="Nueve Mil Bolívares con 00/100"/>
  </r>
  <r>
    <n v="1870"/>
    <m/>
    <s v="ü"/>
    <d v="2019-03-12T00:00:00"/>
    <n v="3000"/>
    <x v="0"/>
    <x v="0"/>
    <s v="Calle Guacara Nro. 88-45"/>
    <s v="Cancelación Vigilancia, mes de Marzo 2019 (saldo a favor: Bs. 862,95)"/>
    <s v="Vigilancia"/>
    <m/>
    <s v="01870"/>
    <s v="12 de Marzo de 2019"/>
    <n v="12"/>
    <d v="2019-03-01T00:00:00"/>
    <s v="3.000,00"/>
    <s v="Tres Mil Bolívares con 00/100"/>
  </r>
  <r>
    <n v="1871"/>
    <m/>
    <s v="ü"/>
    <d v="2019-03-12T00:00:00"/>
    <n v="3000"/>
    <x v="92"/>
    <x v="86"/>
    <s v="Calle Guacara Nro. 88-A-10"/>
    <s v="Cancelación Vigilancia, mes de Marzo 2019 (saldo a favor: Bs. 11.005,80)"/>
    <s v="Vigilancia"/>
    <m/>
    <s v="01871"/>
    <s v="12 de Marzo de 2019"/>
    <n v="12"/>
    <d v="2019-03-01T00:00:00"/>
    <s v="3.000,00"/>
    <s v="Tres Mil Bolívares con 00/100"/>
  </r>
  <r>
    <n v="1872"/>
    <m/>
    <s v="ü"/>
    <d v="2019-03-12T00:00:00"/>
    <n v="3000"/>
    <x v="75"/>
    <x v="65"/>
    <s v="Av. &quot;Ñ&quot; Nro. 145-25"/>
    <s v="Cancelación Vigilancia, mes de Marzo 2019 (saldo a favor: Bs. 28.352,00)"/>
    <s v="Vigilancia"/>
    <m/>
    <s v="01872"/>
    <s v="12 de Marzo de 2019"/>
    <n v="12"/>
    <d v="2019-03-01T00:00:00"/>
    <s v="3.000,00"/>
    <s v="Tres Mil Bolívares con 00/100"/>
  </r>
  <r>
    <n v="1873"/>
    <m/>
    <s v="ü"/>
    <d v="2019-03-12T00:00:00"/>
    <n v="3500"/>
    <x v="24"/>
    <x v="22"/>
    <s v="Calle Güigüe Nro. 88-54"/>
    <s v="Vigilancia: Cancelación mes de Marzo y anticipo Abril 2019"/>
    <s v="Vigilancia"/>
    <m/>
    <s v="01873"/>
    <s v="12 de Marzo de 2019"/>
    <n v="12"/>
    <d v="2019-03-01T00:00:00"/>
    <s v="3.500,00"/>
    <s v="Tres Mil Quinientos Bolívares con 00/100"/>
  </r>
  <r>
    <n v="1874"/>
    <m/>
    <s v="ü"/>
    <d v="2019-03-13T00:00:00"/>
    <n v="3000"/>
    <x v="35"/>
    <x v="32"/>
    <s v="Calle Güigüe Nro. 89-80"/>
    <s v="Cancelación Vigilancia, mes de Marzo 2019"/>
    <s v="Vigilancia"/>
    <m/>
    <s v="01874"/>
    <s v="13 de Marzo de 2019"/>
    <n v="13"/>
    <d v="2019-03-01T00:00:00"/>
    <s v="3.000,00"/>
    <s v="Tres Mil Bolívares con 00/100"/>
  </r>
  <r>
    <n v="1875"/>
    <m/>
    <s v="ü"/>
    <d v="2019-03-13T00:00:00"/>
    <n v="3000"/>
    <x v="4"/>
    <x v="4"/>
    <s v="Calle Güigüe Nro. 89-55"/>
    <s v="Cancelación Vigilancia, mes de Marzo 2019"/>
    <s v="Vigilancia"/>
    <m/>
    <s v="01875"/>
    <s v="13 de Marzo de 2019"/>
    <n v="13"/>
    <d v="2019-03-01T00:00:00"/>
    <s v="3.000,00"/>
    <s v="Tres Mil Bolívares con 00/100"/>
  </r>
  <r>
    <n v="1876"/>
    <m/>
    <s v="ü"/>
    <d v="2019-03-13T00:00:00"/>
    <n v="3000"/>
    <x v="40"/>
    <x v="37"/>
    <s v="Calle Güigüe Nro. 88-101"/>
    <s v="Cancelación Vigilancia, mes de Marzo 2019"/>
    <s v="Vigilancia"/>
    <m/>
    <s v="01876"/>
    <s v="13 de Marzo de 2019"/>
    <n v="13"/>
    <d v="2019-03-01T00:00:00"/>
    <s v="3.000,00"/>
    <s v="Tres Mil Bolívares con 00/100"/>
  </r>
  <r>
    <n v="1877"/>
    <m/>
    <s v="ü"/>
    <d v="2019-03-14T00:00:00"/>
    <n v="6000"/>
    <x v="27"/>
    <x v="25"/>
    <s v="Calle Güigüe Nro. 89-106"/>
    <s v="Cancelación Vigilancia, meses de Marzo y Abril 2019"/>
    <s v="Vigilancia"/>
    <m/>
    <s v="01877"/>
    <s v="14 de Marzo de 2019"/>
    <n v="14"/>
    <d v="2019-03-01T00:00:00"/>
    <s v="6.000,00"/>
    <s v="Seis Mil Bolívares con 00/100"/>
  </r>
  <r>
    <n v="1878"/>
    <m/>
    <s v="ü"/>
    <d v="2019-03-14T00:00:00"/>
    <n v="3000"/>
    <x v="77"/>
    <x v="85"/>
    <s v="Calle Guacara Nro. 88-65"/>
    <s v="Cancelación Vigilancia, mes de Marzo 2019"/>
    <s v="Vigilancia"/>
    <m/>
    <s v="01878"/>
    <s v="14 de Marzo de 2019"/>
    <n v="14"/>
    <d v="2019-03-01T00:00:00"/>
    <s v="3.000,00"/>
    <s v="Tres Mil Bolívares con 00/100"/>
  </r>
  <r>
    <n v="1879"/>
    <m/>
    <s v="ü"/>
    <d v="2019-03-15T00:00:00"/>
    <n v="4756"/>
    <x v="47"/>
    <x v="44"/>
    <s v="Calle Güigüe Nro. 88-80"/>
    <s v="Vigilancia: Cancelación meses de Septiembre, Octubre, Noviembre y Diciembre 2018 y Enero 2019 (saldo a favor Bs. 1.345,55)"/>
    <s v="Vigilancia"/>
    <m/>
    <s v="01879"/>
    <s v="15 de Marzo de 2019"/>
    <n v="15"/>
    <d v="2019-03-01T00:00:00"/>
    <s v="4.756,00"/>
    <s v="Cuatro Mil Setecientos Cincuenta y Seis Bolívares con 00/100"/>
  </r>
  <r>
    <n v="1880"/>
    <m/>
    <s v="ü"/>
    <d v="2019-03-15T00:00:00"/>
    <n v="3000"/>
    <x v="25"/>
    <x v="23"/>
    <s v="Calle Güigüe Nro. 88-58"/>
    <s v="Cancelación Vigilancia, mes de Marzo 2019"/>
    <s v="Vigilancia"/>
    <m/>
    <s v="01880"/>
    <s v="15 de Marzo de 2019"/>
    <n v="15"/>
    <d v="2019-03-01T00:00:00"/>
    <s v="3.000,00"/>
    <s v="Tres Mil Bolívares con 00/100"/>
  </r>
  <r>
    <n v="1881"/>
    <m/>
    <s v="ü"/>
    <d v="2019-03-15T00:00:00"/>
    <n v="6000"/>
    <x v="5"/>
    <x v="9"/>
    <s v="Calle Güigüe Nro. 88-120"/>
    <s v="Cancelación Vigilancia, meses de Abril y Mayo 2019"/>
    <s v="Vigilancia"/>
    <m/>
    <s v="01881"/>
    <s v="15 de Marzo de 2019"/>
    <n v="15"/>
    <d v="2019-03-01T00:00:00"/>
    <s v="6.000,00"/>
    <s v="Seis Mil Bolívares con 00/100"/>
  </r>
  <r>
    <n v="1882"/>
    <m/>
    <s v="ü"/>
    <d v="2019-03-18T00:00:00"/>
    <n v="3000"/>
    <x v="38"/>
    <x v="35"/>
    <s v="Calle Guacara Nro. 89-78"/>
    <s v="Cancelación Vigilancia, mes de Marzo 2019"/>
    <s v="Vigilancia"/>
    <m/>
    <s v="01882"/>
    <s v="18 de Marzo de 2019"/>
    <n v="18"/>
    <d v="2019-03-01T00:00:00"/>
    <s v="3.000,00"/>
    <s v="Tres Mil Bolívares con 00/100"/>
  </r>
  <r>
    <n v="1883"/>
    <m/>
    <s v="ü"/>
    <d v="2019-03-19T00:00:00"/>
    <n v="8700"/>
    <x v="73"/>
    <x v="9"/>
    <s v="Calle Güigüe Nros. 88-71 y 88-81"/>
    <s v="Cancelación Vigilancia, meses de Febrero y Marzo 2019"/>
    <s v="Vigilancia"/>
    <m/>
    <s v="01883"/>
    <s v="19 de Marzo de 2019"/>
    <n v="19"/>
    <d v="2019-03-01T00:00:00"/>
    <s v="8.700,00"/>
    <s v="Ocho Mil Setecientos Bolívares con 00/100"/>
  </r>
  <r>
    <n v="1884"/>
    <m/>
    <s v="ü"/>
    <d v="2019-02-16T00:00:00"/>
    <n v="3000"/>
    <x v="24"/>
    <x v="22"/>
    <s v="Calle Güigüe Nro. 88-54"/>
    <s v="Cancelación Vigilancia, mes de Febrero 2019"/>
    <s v="Vigilancia"/>
    <m/>
    <s v="01884"/>
    <s v="16 de Febrero de 2019"/>
    <n v="16"/>
    <d v="2019-02-01T00:00:00"/>
    <s v="3.000,00"/>
    <s v="Tres Mil Bolívares con 00/100"/>
  </r>
  <r>
    <n v="1885"/>
    <m/>
    <s v="ü"/>
    <d v="2018-12-21T00:00:00"/>
    <n v="800"/>
    <x v="86"/>
    <x v="73"/>
    <s v="Calle Guacara Nro. 89-50"/>
    <s v="Cancelación Vigilancia, mes de Diciembre 2018"/>
    <s v="Vigilancia"/>
    <m/>
    <s v="01885"/>
    <s v="21 de Diciembre de 2018"/>
    <n v="21"/>
    <d v="2018-12-01T00:00:00"/>
    <s v="800,00"/>
    <s v="Ochocientos Bolívares con 00/100"/>
  </r>
  <r>
    <n v="1886"/>
    <m/>
    <s v="ü"/>
    <d v="2019-03-20T00:00:00"/>
    <n v="3000"/>
    <x v="26"/>
    <x v="24"/>
    <s v="Calle Güigüe Nro. 89-96"/>
    <s v="Cancelación Vigilancia, mes de Marzo 2019"/>
    <s v="Vigilancia"/>
    <m/>
    <s v="01886"/>
    <s v="20 de Marzo de 2019"/>
    <n v="20"/>
    <d v="2019-03-01T00:00:00"/>
    <s v="3.000,00"/>
    <s v="Tres Mil Bolívares con 00/100"/>
  </r>
  <r>
    <n v="1887"/>
    <m/>
    <s v="ü"/>
    <d v="2019-03-14T00:00:00"/>
    <n v="5000"/>
    <x v="84"/>
    <x v="71"/>
    <s v="Calle Güigüe Nro. 89-54"/>
    <s v="Vigilancia: Cancelación saldo mes de Enero y anticipo mes de Febrero 2019"/>
    <s v="Vigilancia"/>
    <m/>
    <s v="01887"/>
    <s v="14 de Marzo de 2019"/>
    <n v="14"/>
    <d v="2019-03-01T00:00:00"/>
    <s v="5.000,00"/>
    <s v="Cinco Mil Bolívares con 00/100"/>
  </r>
  <r>
    <n v="1888"/>
    <m/>
    <s v="ü"/>
    <d v="2019-03-21T00:00:00"/>
    <n v="3150"/>
    <x v="84"/>
    <x v="71"/>
    <s v="Calle Güigüe Nro. 89-54"/>
    <s v="Vigilancia: Cancelación saldo mes de Febrero y cancelación mes de Marzo 2019"/>
    <s v="Vigilancia"/>
    <m/>
    <s v="01888"/>
    <s v="21 de Marzo de 2019"/>
    <n v="21"/>
    <d v="2019-03-01T00:00:00"/>
    <s v="3.150,00"/>
    <s v="Tres Mil Ciento Cincuenta Bolívares con 00/100"/>
  </r>
  <r>
    <n v="1889"/>
    <m/>
    <s v="ü"/>
    <d v="2019-03-21T00:00:00"/>
    <n v="3000"/>
    <x v="88"/>
    <x v="76"/>
    <s v="Calle Güigüe Nro. 88-11"/>
    <s v="Cancelación Vigilancia, mes de Marzo 2019"/>
    <s v="Vigilancia"/>
    <m/>
    <s v="01889"/>
    <s v="21 de Marzo de 2019"/>
    <n v="21"/>
    <d v="2019-03-01T00:00:00"/>
    <s v="3.000,00"/>
    <s v="Tres Mil Bolívares con 00/100"/>
  </r>
  <r>
    <n v="1890"/>
    <m/>
    <s v="ü"/>
    <d v="2019-03-22T00:00:00"/>
    <n v="3000"/>
    <x v="19"/>
    <x v="17"/>
    <s v="Calle Guacara Nro. 89-130"/>
    <s v="Cancelación Vigilancia, mes de Marzo 2019"/>
    <s v="Vigilancia"/>
    <m/>
    <s v="01890"/>
    <s v="22 de Marzo de 2019"/>
    <n v="22"/>
    <d v="2019-03-01T00:00:00"/>
    <s v="3.000,00"/>
    <s v="Tres Mil Bolívares con 00/100"/>
  </r>
  <r>
    <n v="1891"/>
    <m/>
    <s v="ü"/>
    <d v="2019-03-23T00:00:00"/>
    <n v="3000"/>
    <x v="65"/>
    <x v="58"/>
    <s v="Calle Güigüe Nro. 88-10"/>
    <s v="Cancelación Vigilancia, mes de Marzo 2019"/>
    <s v="Vigilancia"/>
    <m/>
    <s v="01891"/>
    <s v="23 de Marzo de 2019"/>
    <n v="23"/>
    <d v="2019-03-01T00:00:00"/>
    <s v="3.000,00"/>
    <s v="Tres Mil Bolívares con 00/100"/>
  </r>
  <r>
    <n v="1892"/>
    <m/>
    <s v="ü"/>
    <d v="2019-03-28T00:00:00"/>
    <n v="3000"/>
    <x v="58"/>
    <x v="53"/>
    <s v="Calle Güigüe Nro. 88-51"/>
    <s v="Cancelación Vigilancia, mes de Marzo 2019"/>
    <s v="Vigilancia"/>
    <m/>
    <s v="01892"/>
    <s v="28 de Marzo de 2019"/>
    <n v="28"/>
    <d v="2019-03-01T00:00:00"/>
    <s v="3.000,00"/>
    <s v="Tres Mil Bolívares con 00/100"/>
  </r>
  <r>
    <n v="1893"/>
    <m/>
    <s v="ü"/>
    <d v="2019-03-28T00:00:00"/>
    <n v="3000"/>
    <x v="22"/>
    <x v="20"/>
    <s v="Calle Guacara Nro. 88-25"/>
    <s v="Cancelación Vigilancia, mes de Marzo 2019"/>
    <s v="Vigilancia"/>
    <m/>
    <s v="01893"/>
    <s v="28 de Marzo de 2019"/>
    <n v="28"/>
    <d v="2019-03-01T00:00:00"/>
    <s v="3.000,00"/>
    <s v="Tres Mil Bolívares con 00/100"/>
  </r>
  <r>
    <n v="1894"/>
    <m/>
    <s v="ü"/>
    <d v="2019-03-30T00:00:00"/>
    <n v="3000"/>
    <x v="62"/>
    <x v="55"/>
    <s v="Av. &quot;M&quot; Nro. 145-10"/>
    <s v="Cancelación Vigilancia, mes de Marzo 2019"/>
    <s v="Vigilancia"/>
    <m/>
    <s v="01894"/>
    <s v="30 de Marzo de 2019"/>
    <n v="30"/>
    <d v="2019-03-01T00:00:00"/>
    <s v="3.000,00"/>
    <s v="Tres Mil Bolívares con 00/100"/>
  </r>
  <r>
    <n v="1895"/>
    <m/>
    <s v="ü"/>
    <d v="2019-03-30T00:00:00"/>
    <n v="3000"/>
    <x v="69"/>
    <x v="61"/>
    <s v="Calle Güigüe Nro. 89-40"/>
    <s v="Cancelación Vigilancia, mes de Abril 2019"/>
    <s v="Vigilancia"/>
    <m/>
    <s v="01895"/>
    <s v="30 de Marzo de 2019"/>
    <n v="30"/>
    <d v="2019-03-01T00:00:00"/>
    <s v="3.000,00"/>
    <s v="Tres Mil Bolívares con 00/100"/>
  </r>
  <r>
    <n v="1896"/>
    <m/>
    <s v="ü"/>
    <d v="2019-03-30T00:00:00"/>
    <n v="3000"/>
    <x v="59"/>
    <x v="9"/>
    <s v="Calle Guacara Nro. 90-35"/>
    <s v="Cancelación Vigilancia, mes de Marzo 2019"/>
    <s v="Vigilancia"/>
    <m/>
    <s v="01896"/>
    <s v="30 de Marzo de 2019"/>
    <n v="30"/>
    <d v="2019-03-01T00:00:00"/>
    <s v="3.000,00"/>
    <s v="Tres Mil Bolívares con 00/100"/>
  </r>
  <r>
    <n v="1897"/>
    <m/>
    <s v="ü"/>
    <d v="2019-02-27T00:00:00"/>
    <n v="6000"/>
    <x v="36"/>
    <x v="33"/>
    <s v="Calle Güigüe Nro. 89-10"/>
    <s v="Cancelación Vigilancia, meses de Enero y Febrero 2019"/>
    <s v="Vigilancia"/>
    <m/>
    <s v="01897"/>
    <s v="27 de Febrero de 2019"/>
    <n v="27"/>
    <d v="2019-02-01T00:00:00"/>
    <s v="6.000,00"/>
    <s v="Seis Mil Bolívares con 00/100"/>
  </r>
  <r>
    <n v="1898"/>
    <m/>
    <s v="ü"/>
    <d v="2019-04-02T00:00:00"/>
    <n v="9000"/>
    <x v="70"/>
    <x v="9"/>
    <s v="Calle Guacara Nro. 89-70"/>
    <s v="Cancelación Vigilancia, meses de Enero, Febrero y Marzo 2019"/>
    <s v="Vigilancia"/>
    <m/>
    <s v="01898"/>
    <s v="02 de Abril de 2019"/>
    <n v="2"/>
    <d v="2019-04-01T00:00:00"/>
    <s v="9.000,00"/>
    <s v="Nueve Mil Bolívares con 00/100"/>
  </r>
  <r>
    <n v="1899"/>
    <m/>
    <s v="ü"/>
    <d v="2019-04-02T00:00:00"/>
    <n v="6000"/>
    <x v="96"/>
    <x v="90"/>
    <s v="Av. &quot;M&quot; Nro. 146-30"/>
    <s v="Cancelación Vigilancia, meses de Febrero y Marzo 2019"/>
    <s v="Vigilancia"/>
    <m/>
    <s v="01899"/>
    <s v="02 de Abril de 2019"/>
    <n v="2"/>
    <d v="2019-04-01T00:00:00"/>
    <s v="6.000,00"/>
    <s v="Seis Mil Bolívares con 00/100"/>
  </r>
  <r>
    <n v="1900"/>
    <m/>
    <s v="ü"/>
    <d v="2019-04-03T00:00:00"/>
    <n v="3000"/>
    <x v="53"/>
    <x v="80"/>
    <s v="Calle Guacara Nro. 88-91"/>
    <s v="Cancelación Vigilancia, mes de Marzo 2019"/>
    <s v="Vigilancia"/>
    <m/>
    <s v="01900"/>
    <s v="03 de Abril de 2019"/>
    <n v="3"/>
    <d v="2019-04-01T00:00:00"/>
    <s v="3.000,00"/>
    <s v="Tres Mil Bolívares con 00/100"/>
  </r>
  <r>
    <n v="1901"/>
    <m/>
    <s v="ü"/>
    <d v="2019-03-16T00:00:00"/>
    <n v="3000"/>
    <x v="95"/>
    <x v="89"/>
    <s v="Calle Güigüe Nro. 89-120"/>
    <s v="Cancelación Vigilancia, mes de Marzo 2019"/>
    <s v="Vigilancia"/>
    <m/>
    <s v="01901"/>
    <s v="16 de Marzo de 2019"/>
    <n v="16"/>
    <d v="2019-03-01T00:00:00"/>
    <s v="3.000,00"/>
    <s v="Tres Mil Bolívares con 00/100"/>
  </r>
  <r>
    <n v="1902"/>
    <m/>
    <s v="ü"/>
    <d v="2019-04-03T00:00:00"/>
    <n v="3000"/>
    <x v="26"/>
    <x v="24"/>
    <s v="Calle Güigüe Nro. 89-96"/>
    <s v="Cancelación Vigilancia, mes de Abril 2019"/>
    <s v="Vigilancia"/>
    <m/>
    <s v="01902"/>
    <s v="03 de Abril de 2019"/>
    <n v="3"/>
    <d v="2019-04-01T00:00:00"/>
    <s v="3.000,00"/>
    <s v="Tres Mil Bolívares con 00/100"/>
  </r>
  <r>
    <n v="1903"/>
    <m/>
    <s v="ü"/>
    <d v="2019-04-04T00:00:00"/>
    <n v="6000"/>
    <x v="46"/>
    <x v="43"/>
    <s v="Av. &quot;I&quot; Nro. 146-20"/>
    <s v="Cancelación Vigilancia, meses de Marzo y Abril 2019"/>
    <s v="Vigilancia"/>
    <m/>
    <s v="01903"/>
    <s v="04 de Abril de 2019"/>
    <n v="4"/>
    <d v="2019-04-01T00:00:00"/>
    <s v="6.000,00"/>
    <s v="Seis Mil Bolívares con 00/100"/>
  </r>
  <r>
    <n v="1904"/>
    <m/>
    <s v="ü"/>
    <d v="2019-04-05T00:00:00"/>
    <n v="3000"/>
    <x v="15"/>
    <x v="14"/>
    <s v="Calle Guacara Nro. 89-94"/>
    <s v="Cancelación Vigilancia, mes de Abril 2019"/>
    <s v="Vigilancia"/>
    <m/>
    <s v="01904"/>
    <s v="05 de Abril de 2019"/>
    <n v="5"/>
    <d v="2019-04-01T00:00:00"/>
    <s v="3.000,00"/>
    <s v="Tres Mil Bolívares con 00/100"/>
  </r>
  <r>
    <n v="1905"/>
    <m/>
    <s v="ü"/>
    <d v="2019-04-05T00:00:00"/>
    <n v="3000"/>
    <x v="61"/>
    <x v="14"/>
    <s v="Calle Guacara Nro. 87-07"/>
    <s v="Cancelación Vigilancia, mes de Abril 2019"/>
    <s v="Vigilancia"/>
    <m/>
    <s v="01905"/>
    <s v="05 de Abril de 2019"/>
    <n v="5"/>
    <d v="2019-04-01T00:00:00"/>
    <s v="3.000,00"/>
    <s v="Tres Mil Bolívares con 00/100"/>
  </r>
  <r>
    <n v="1906"/>
    <m/>
    <s v="ü"/>
    <d v="2019-03-22T00:00:00"/>
    <n v="3000"/>
    <x v="56"/>
    <x v="52"/>
    <s v="Calle Güigüe Nro. 88-70"/>
    <s v="Cancelación Vigilancia, mes de Marzo 2019"/>
    <s v="Vigilancia"/>
    <m/>
    <s v="01906"/>
    <s v="22 de Marzo de 2019"/>
    <n v="22"/>
    <d v="2019-03-01T00:00:00"/>
    <s v="3.000,00"/>
    <s v="Tres Mil Bolívares con 00/100"/>
  </r>
  <r>
    <n v="1907"/>
    <m/>
    <s v="ü"/>
    <d v="2019-03-27T00:00:00"/>
    <n v="2200"/>
    <x v="2"/>
    <x v="83"/>
    <s v="Calle Guacara Nro. 88-19"/>
    <s v="Colaboración Vigilancia, mes de Marzo 2019"/>
    <s v="Vigilancia"/>
    <m/>
    <s v="01907"/>
    <s v="27 de Marzo de 2019"/>
    <n v="27"/>
    <d v="2019-03-01T00:00:00"/>
    <s v="2.200,00"/>
    <s v="Dos Mil Doscientos Bolívares con 00/100"/>
  </r>
  <r>
    <n v="1908"/>
    <m/>
    <s v="ü"/>
    <d v="2019-04-05T00:00:00"/>
    <n v="3000"/>
    <x v="4"/>
    <x v="4"/>
    <s v="Calle Güigüe Nro. 89-55"/>
    <s v="Cancelación Vigilancia, mes de Abril 2019"/>
    <s v="Vigilancia"/>
    <m/>
    <s v="01908"/>
    <s v="05 de Abril de 2019"/>
    <n v="5"/>
    <d v="2019-04-01T00:00:00"/>
    <s v="3.000,00"/>
    <s v="Tres Mil Bolívares con 00/100"/>
  </r>
  <r>
    <n v="1909"/>
    <m/>
    <s v="ü"/>
    <d v="2019-04-06T00:00:00"/>
    <n v="10000"/>
    <x v="16"/>
    <x v="15"/>
    <s v="Calle Guacara Nro. 90-81"/>
    <s v="Cancelación Vigilancia, meses de Marzo y Abril 2019 y aporte especial"/>
    <s v="Vigilancia"/>
    <m/>
    <s v="01909"/>
    <s v="06 de Abril de 2019"/>
    <n v="6"/>
    <d v="2019-04-01T00:00:00"/>
    <s v="10.000,00"/>
    <s v="Diez Mil Bolívares con 00/100"/>
  </r>
  <r>
    <n v="1910"/>
    <m/>
    <s v="ü"/>
    <d v="2019-04-06T00:00:00"/>
    <n v="5000"/>
    <x v="81"/>
    <x v="69"/>
    <s v="Calle Güigüe Nro. 89-65"/>
    <s v="Cancelación Vigilancia, mes de Abril 2019 y aporte especial"/>
    <s v="Vigilancia"/>
    <m/>
    <s v="01910"/>
    <s v="06 de Abril de 2019"/>
    <n v="6"/>
    <d v="2019-04-01T00:00:00"/>
    <s v="5.000,00"/>
    <s v="Cinco Mil Bolívares con 00/100"/>
  </r>
  <r>
    <n v="1911"/>
    <m/>
    <s v="ü"/>
    <d v="2019-04-07T00:00:00"/>
    <n v="3000"/>
    <x v="10"/>
    <x v="10"/>
    <s v="Av. &quot;M&quot; Nro. 146-15"/>
    <s v="Cancelación Vigilancia, mes de Marzo 2019"/>
    <s v="Vigilancia"/>
    <m/>
    <s v="01911"/>
    <s v="07 de Abril de 2019"/>
    <n v="7"/>
    <d v="2019-04-01T00:00:00"/>
    <s v="3.000,00"/>
    <s v="Tres Mil Bolívares con 00/100"/>
  </r>
  <r>
    <n v="1912"/>
    <m/>
    <s v="û"/>
    <d v="2019-04-07T00:00:00"/>
    <n v="4000"/>
    <x v="20"/>
    <x v="18"/>
    <s v="Calle Guacara Nro. 89-30"/>
    <s v="REVERTIDO: Cancelación Vigilancia, mes de Abril 2019"/>
    <s v="REVERTIDO"/>
    <m/>
    <s v="01912"/>
    <s v="07 de Abril de 2019"/>
    <n v="7"/>
    <d v="2019-04-01T00:00:00"/>
    <s v="4.000,00"/>
    <s v="Cuatro Mil Bolívares con 00/100"/>
  </r>
  <r>
    <n v="1913"/>
    <m/>
    <s v="ü"/>
    <d v="2019-04-07T00:00:00"/>
    <n v="6000"/>
    <x v="71"/>
    <x v="62"/>
    <s v="Calle Güigüe Nro. 89-71"/>
    <s v="Colaboración Vigilancia, meses de Marzo y Abril 2019"/>
    <s v="Vigilancia"/>
    <m/>
    <s v="01913"/>
    <s v="07 de Abril de 2019"/>
    <n v="7"/>
    <d v="2019-04-01T00:00:00"/>
    <s v="6.000,00"/>
    <s v="Seis Mil Bolívares con 00/100"/>
  </r>
  <r>
    <n v="1914"/>
    <m/>
    <s v="ü"/>
    <d v="2019-04-08T00:00:00"/>
    <n v="6000"/>
    <x v="14"/>
    <x v="13"/>
    <s v="Calle Güigüe Nro. 89-83"/>
    <s v="Cancelación Vigilancia, mes de Abril 2019"/>
    <s v="Vigilancia"/>
    <m/>
    <s v="01914"/>
    <s v="08 de Abril de 2019"/>
    <n v="8"/>
    <d v="2019-04-01T00:00:00"/>
    <s v="6.000,00"/>
    <s v="Seis Mil Bolívares con 00/100"/>
  </r>
  <r>
    <n v="1915"/>
    <m/>
    <s v="ü"/>
    <d v="2019-04-08T00:00:00"/>
    <n v="4350"/>
    <x v="73"/>
    <x v="9"/>
    <s v="Calle Güigüe Nros. 88-71 y 88-81"/>
    <s v="Cancelación Vigilancia, anticipo mes de Abril 2019"/>
    <s v="Vigilancia"/>
    <m/>
    <s v="01915"/>
    <s v="08 de Abril de 2019"/>
    <n v="8"/>
    <d v="2019-04-01T00:00:00"/>
    <s v="4.350,00"/>
    <s v="Cuatro Mil Trescientos Cincuenta Bolívares con 00/100"/>
  </r>
  <r>
    <n v="1916"/>
    <m/>
    <s v="ü"/>
    <d v="2019-04-08T00:00:00"/>
    <n v="3000"/>
    <x v="90"/>
    <x v="82"/>
    <s v="Calle Güigüe Nro. 89-04"/>
    <s v="Cancelación Vigilancia, mes de Abril 2019"/>
    <s v="Vigilancia"/>
    <m/>
    <s v="01916"/>
    <s v="08 de Abril de 2019"/>
    <n v="8"/>
    <d v="2019-04-01T00:00:00"/>
    <s v="3.000,00"/>
    <s v="Tres Mil Bolívares con 00/100"/>
  </r>
  <r>
    <n v="1917"/>
    <m/>
    <s v="ü"/>
    <d v="2019-04-08T00:00:00"/>
    <n v="3000"/>
    <x v="48"/>
    <x v="9"/>
    <s v="Calle Güigüe Nro. 88-90"/>
    <s v="Cancelación Vigilancia, mes de Marzo 2019"/>
    <s v="Vigilancia"/>
    <m/>
    <s v="01917"/>
    <s v="08 de Abril de 2019"/>
    <n v="8"/>
    <d v="2019-04-01T00:00:00"/>
    <s v="3.000,00"/>
    <s v="Tres Mil Bolívares con 00/100"/>
  </r>
  <r>
    <n v="1918"/>
    <m/>
    <s v="ü"/>
    <d v="2019-04-08T00:00:00"/>
    <n v="3000"/>
    <x v="1"/>
    <x v="1"/>
    <s v="Calle Güigüe Nro. 88-44"/>
    <s v="Cancelación Vigilancia, mes de Abril 2019"/>
    <s v="Vigilancia"/>
    <m/>
    <s v="01918"/>
    <s v="08 de Abril de 2019"/>
    <n v="8"/>
    <d v="2019-04-01T00:00:00"/>
    <s v="3.000,00"/>
    <s v="Tres Mil Bolívares con 00/100"/>
  </r>
  <r>
    <n v="1919"/>
    <m/>
    <s v="ü"/>
    <d v="2019-04-08T00:00:00"/>
    <n v="3000"/>
    <x v="7"/>
    <x v="7"/>
    <s v="Calle Guacara Nro. 87-86"/>
    <s v="Cancelación Vigilancia, mes de Abril 2019"/>
    <s v="Vigilancia"/>
    <m/>
    <s v="01919"/>
    <s v="08 de Abril de 2019"/>
    <n v="8"/>
    <d v="2019-04-01T00:00:00"/>
    <s v="3.000,00"/>
    <s v="Tres Mil Bolívares con 00/100"/>
  </r>
  <r>
    <n v="1920"/>
    <m/>
    <s v="ü"/>
    <d v="2019-04-08T00:00:00"/>
    <n v="3000"/>
    <x v="12"/>
    <x v="12"/>
    <s v="Calle Guacara Nro. 89-20"/>
    <s v="Cancelación Vigilancia, mes de Abril 2019"/>
    <s v="Vigilancia"/>
    <m/>
    <s v="01920"/>
    <s v="08 de Abril de 2019"/>
    <n v="8"/>
    <d v="2019-04-01T00:00:00"/>
    <s v="3.000,00"/>
    <s v="Tres Mil Bolívares con 00/100"/>
  </r>
  <r>
    <n v="1921"/>
    <m/>
    <s v="ü"/>
    <d v="2019-04-08T00:00:00"/>
    <n v="6000"/>
    <x v="97"/>
    <x v="91"/>
    <s v="Calle Guacara Nro. 88-75"/>
    <s v="Cancelación Vigilancia, meses de Marzo y Abril 2019"/>
    <s v="Vigilancia"/>
    <m/>
    <s v="01921"/>
    <s v="08 de Abril de 2019"/>
    <n v="8"/>
    <d v="2019-04-01T00:00:00"/>
    <s v="6.000,00"/>
    <s v="Seis Mil Bolívares con 00/100"/>
  </r>
  <r>
    <n v="1922"/>
    <m/>
    <s v="ü"/>
    <d v="2019-04-08T00:00:00"/>
    <n v="3000"/>
    <x v="83"/>
    <x v="70"/>
    <s v="Calle Güigüe Nro. 89-22"/>
    <s v="Cancelación Vigilancia, mes de Marzo 2019"/>
    <s v="Vigilancia"/>
    <m/>
    <s v="01922"/>
    <s v="08 de Abril de 2019"/>
    <n v="8"/>
    <d v="2019-04-01T00:00:00"/>
    <s v="3.000,00"/>
    <s v="Tres Mil Bolívares con 00/100"/>
  </r>
  <r>
    <n v="1923"/>
    <m/>
    <s v="ü"/>
    <d v="2019-04-08T00:00:00"/>
    <n v="3000"/>
    <x v="54"/>
    <x v="50"/>
    <s v="Calle Güigüe Nro. 89-21"/>
    <s v="Cancelación Vigilancia, mes de Marzo 2019"/>
    <s v="Vigilancia"/>
    <m/>
    <s v="01923"/>
    <s v="08 de Abril de 2019"/>
    <n v="8"/>
    <d v="2019-04-01T00:00:00"/>
    <s v="3.000,00"/>
    <s v="Tres Mil Bolívares con 00/100"/>
  </r>
  <r>
    <n v="1924"/>
    <m/>
    <s v="ü"/>
    <d v="2019-04-08T00:00:00"/>
    <n v="2200"/>
    <x v="2"/>
    <x v="83"/>
    <s v="Calle Guacara Nro. 88-19"/>
    <s v="Colaboración Vigilancia, mes de Abril 2019"/>
    <s v="Vigilancia"/>
    <m/>
    <s v="01924"/>
    <s v="08 de Abril de 2019"/>
    <n v="8"/>
    <d v="2019-04-01T00:00:00"/>
    <s v="2.200,00"/>
    <s v="Dos Mil Doscientos Bolívares con 00/100"/>
  </r>
  <r>
    <n v="1925"/>
    <m/>
    <s v="ü"/>
    <d v="2019-04-08T00:00:00"/>
    <n v="3000"/>
    <x v="77"/>
    <x v="85"/>
    <s v="Calle Guacara Nro. 88-65"/>
    <s v="Colaboración Vigilancia, mes de Abril 2019"/>
    <s v="Vigilancia"/>
    <m/>
    <s v="01925"/>
    <s v="08 de Abril de 2019"/>
    <n v="8"/>
    <d v="2019-04-01T00:00:00"/>
    <s v="3.000,00"/>
    <s v="Tres Mil Bolívares con 00/100"/>
  </r>
  <r>
    <n v="1926"/>
    <m/>
    <s v="ü"/>
    <d v="2019-04-08T00:00:00"/>
    <n v="3000"/>
    <x v="36"/>
    <x v="33"/>
    <s v="Calle Güigüe Nro. 89-10"/>
    <s v="Cancelación Vigilancia, mes de Marzo 2019"/>
    <s v="Vigilancia"/>
    <m/>
    <s v="01926"/>
    <s v="08 de Abril de 2019"/>
    <n v="8"/>
    <d v="2019-04-01T00:00:00"/>
    <s v="3.000,00"/>
    <s v="Tres Mil Bolívares con 00/100"/>
  </r>
  <r>
    <n v="1927"/>
    <m/>
    <s v="ü"/>
    <d v="2019-04-09T00:00:00"/>
    <n v="3000"/>
    <x v="76"/>
    <x v="66"/>
    <s v="Calle Güigüe Nro. 89-90"/>
    <s v="Cancelación Vigilancia, anticipo mes de Abril 2019"/>
    <s v="Vigilancia"/>
    <m/>
    <s v="01927"/>
    <s v="09 de Abril de 2019"/>
    <n v="9"/>
    <d v="2019-04-01T00:00:00"/>
    <s v="3.000,00"/>
    <s v="Tres Mil Bolívares con 00/100"/>
  </r>
  <r>
    <n v="1928"/>
    <m/>
    <s v="ü"/>
    <d v="2019-04-09T00:00:00"/>
    <n v="3000"/>
    <x v="63"/>
    <x v="56"/>
    <s v="Calle Guacara Nro. 88-85"/>
    <s v="Colaboración Vigilancia, mes de Abril 2019"/>
    <s v="Vigilancia"/>
    <m/>
    <s v="01928"/>
    <s v="09 de Abril de 2019"/>
    <n v="9"/>
    <d v="2019-04-01T00:00:00"/>
    <s v="3.000,00"/>
    <s v="Tres Mil Bolívares con 00/100"/>
  </r>
  <r>
    <n v="1929"/>
    <m/>
    <s v="ü"/>
    <d v="2019-03-22T00:00:00"/>
    <n v="3000"/>
    <x v="23"/>
    <x v="21"/>
    <s v="Calle Güigüe Nro. 88-116"/>
    <s v="Cancelación Vigilancia, mes de Marzo 2019"/>
    <s v="Vigilancia"/>
    <m/>
    <s v="01929"/>
    <s v="22 de Marzo de 2019"/>
    <n v="22"/>
    <d v="2019-03-01T00:00:00"/>
    <s v="3.000,00"/>
    <s v="Tres Mil Bolívares con 00/100"/>
  </r>
  <r>
    <n v="1930"/>
    <m/>
    <s v="ü"/>
    <d v="2019-04-10T00:00:00"/>
    <n v="12000"/>
    <x v="86"/>
    <x v="73"/>
    <s v="Calle Guacara Nro. 89-50"/>
    <s v="Cancelación Vigilancia, meses de Enero, Febrero, Marzo y Abril 2019"/>
    <s v="Vigilancia"/>
    <m/>
    <s v="01930"/>
    <s v="10 de Abril de 2019"/>
    <n v="10"/>
    <d v="2019-04-01T00:00:00"/>
    <s v="12.000,00"/>
    <s v="Doce Mil Bolívares con 00/100"/>
  </r>
  <r>
    <n v="1931"/>
    <m/>
    <s v="ü"/>
    <d v="2019-04-10T00:00:00"/>
    <n v="15000"/>
    <x v="64"/>
    <x v="57"/>
    <s v="Calle Guacara Nro. 88-35"/>
    <s v="Cancelación Vigilancia, meses de Noviembre y Diciembre 2018, de Enero a Abril 2019, y anticipo de Mayo 2019"/>
    <s v="Vigilancia"/>
    <m/>
    <s v="01931"/>
    <s v="10 de Abril de 2019"/>
    <n v="10"/>
    <d v="2019-04-01T00:00:00"/>
    <s v="15.000,00"/>
    <s v="Quince Mil Bolívares con 00/100"/>
  </r>
  <r>
    <n v="1932"/>
    <m/>
    <s v="ü"/>
    <d v="2019-04-11T00:00:00"/>
    <n v="12000"/>
    <x v="37"/>
    <x v="34"/>
    <s v="Av. &quot;I&quot; Nro. 146-40"/>
    <s v="Cancelación Vigilancia, meses de Febrero, Marzo y  Abril, y anticipo del  mes de Mayo 2019"/>
    <s v="Vigilancia"/>
    <m/>
    <s v="01932"/>
    <s v="11 de Abril de 2019"/>
    <n v="11"/>
    <d v="2019-04-01T00:00:00"/>
    <s v="12.000,00"/>
    <s v="Doce Mil Bolívares con 00/100"/>
  </r>
  <r>
    <n v="1933"/>
    <m/>
    <s v="ü"/>
    <d v="2018-12-20T00:00:00"/>
    <n v="800"/>
    <x v="34"/>
    <x v="92"/>
    <s v="Av. &quot;O&quot; Nro. 146-11"/>
    <s v="Cancelación Vigilancia, mes de Diciembre 2018. Transferencia Banesco nro. 10643789740"/>
    <s v="Vigilancia"/>
    <m/>
    <s v="01933"/>
    <s v="20 de Diciembre de 2018"/>
    <n v="20"/>
    <d v="2018-12-01T00:00:00"/>
    <s v="800,00"/>
    <s v="Ochocientos Bolívares con 00/100"/>
  </r>
  <r>
    <n v="1934"/>
    <m/>
    <s v="ü"/>
    <d v="2019-02-04T00:00:00"/>
    <n v="3000"/>
    <x v="34"/>
    <x v="92"/>
    <s v="Av. &quot;O&quot; Nro. 146-11"/>
    <s v="Cancelación Vigilancia, mes de Enero 2019. Transferencia Banesco nro. 10824360060"/>
    <s v="Vigilancia"/>
    <m/>
    <s v="01934"/>
    <s v="04 de Febrero de 2019"/>
    <n v="4"/>
    <d v="2019-02-01T00:00:00"/>
    <s v="3.000,00"/>
    <s v="Tres Mil Bolívares con 00/100"/>
  </r>
  <r>
    <n v="1935"/>
    <m/>
    <s v="ü"/>
    <d v="2019-03-03T00:00:00"/>
    <n v="3000"/>
    <x v="34"/>
    <x v="92"/>
    <s v="Av. &quot;O&quot; Nro. 146-11"/>
    <s v="Cancelación Vigilancia, mes de Febrero 2019. Transferencia Banesco nro. 10936247652"/>
    <s v="Vigilancia"/>
    <m/>
    <s v="01935"/>
    <s v="03 de Marzo de 2019"/>
    <n v="3"/>
    <d v="2019-03-01T00:00:00"/>
    <s v="3.000,00"/>
    <s v="Tres Mil Bolívares con 00/100"/>
  </r>
  <r>
    <n v="1936"/>
    <m/>
    <s v="ü"/>
    <d v="2019-04-01T00:00:00"/>
    <n v="3000"/>
    <x v="34"/>
    <x v="92"/>
    <s v="Av. &quot;O&quot; Nro. 146-11"/>
    <s v="Cancelación Vigilancia, mes de Marzo 2019. Transferencia Banesco nro. 11022452320"/>
    <s v="Vigilancia"/>
    <m/>
    <s v="01936"/>
    <s v="01 de Abril de 2019"/>
    <n v="1"/>
    <d v="2019-04-01T00:00:00"/>
    <s v="3.000,00"/>
    <s v="Tres Mil Bolívares con 00/100"/>
  </r>
  <r>
    <n v="1937"/>
    <m/>
    <s v="ü"/>
    <d v="2019-04-10T00:00:00"/>
    <n v="3000"/>
    <x v="34"/>
    <x v="92"/>
    <s v="Av. &quot;O&quot; Nro. 146-11"/>
    <s v="Cancelación Vigilancia, mes de Abril 2019. Transferencia Banesco nro. 11051108616"/>
    <s v="Vigilancia"/>
    <m/>
    <s v="01937"/>
    <s v="10 de Abril de 2019"/>
    <n v="10"/>
    <d v="2019-04-01T00:00:00"/>
    <s v="3.000,00"/>
    <s v="Tres Mil Bolívares con 00/100"/>
  </r>
  <r>
    <n v="1938"/>
    <m/>
    <s v="ü"/>
    <d v="2019-04-11T00:00:00"/>
    <n v="6000"/>
    <x v="72"/>
    <x v="63"/>
    <s v="Calle Güigüe Nro. 89-35"/>
    <s v="Cancelación Vigilancia, meses de Marzo y Abril 2019"/>
    <s v="Vigilancia"/>
    <m/>
    <s v="01938"/>
    <s v="11 de Abril de 2019"/>
    <n v="11"/>
    <d v="2019-04-01T00:00:00"/>
    <s v="6.000,00"/>
    <s v="Seis Mil Bolívares con 00/100"/>
  </r>
  <r>
    <n v="1939"/>
    <m/>
    <s v="ü"/>
    <d v="2019-04-12T00:00:00"/>
    <n v="10000"/>
    <x v="98"/>
    <x v="93"/>
    <s v="Calle Guacara Nro. 89-102"/>
    <s v="Cancelación Vigilancia, meses de Enero, Febrero y Marzo 2019"/>
    <s v="Vigilancia"/>
    <m/>
    <s v="01939"/>
    <s v="12 de Abril de 2019"/>
    <n v="12"/>
    <d v="2019-04-01T00:00:00"/>
    <s v="10.000,00"/>
    <s v="Diez Mil Bolívares con 00/100"/>
  </r>
  <r>
    <n v="1940"/>
    <m/>
    <s v="ü"/>
    <d v="2019-04-12T00:00:00"/>
    <n v="2000"/>
    <x v="12"/>
    <x v="12"/>
    <s v="Calle Guacara Nro. 89-20"/>
    <s v="Cancelación Vigilancia, saldo mes de Abril 2019"/>
    <s v="Vigilancia"/>
    <m/>
    <s v="01940"/>
    <s v="12 de Abril de 2019"/>
    <n v="12"/>
    <d v="2019-04-01T00:00:00"/>
    <s v="2.000,00"/>
    <s v="Dos Mil Bolívares con 00/100"/>
  </r>
  <r>
    <n v="1941"/>
    <m/>
    <s v="ü"/>
    <d v="2019-04-12T00:00:00"/>
    <n v="12000"/>
    <x v="49"/>
    <x v="46"/>
    <s v="Av. &quot;O&quot; Nro. 146-17"/>
    <s v="Cancelación Vigilancia, meses de Enero, Febrero, Marzo y Abril 2019"/>
    <s v="Vigilancia"/>
    <m/>
    <s v="01941"/>
    <s v="12 de Abril de 2019"/>
    <n v="12"/>
    <d v="2019-04-01T00:00:00"/>
    <s v="12.000,00"/>
    <s v="Doce Mil Bolívares con 00/100"/>
  </r>
  <r>
    <n v="1942"/>
    <m/>
    <s v="ü"/>
    <d v="2019-04-12T00:00:00"/>
    <n v="2000"/>
    <x v="26"/>
    <x v="24"/>
    <s v="Calle Güigüe Nro. 89-96"/>
    <s v="Cancelación Vigilancia, saldo mes de Abril 2019"/>
    <s v="Vigilancia"/>
    <m/>
    <s v="01942"/>
    <s v="12 de Abril de 2019"/>
    <n v="12"/>
    <d v="2019-04-01T00:00:00"/>
    <s v="2.000,00"/>
    <s v="Dos Mil Bolívares con 00/100"/>
  </r>
  <r>
    <n v="1943"/>
    <m/>
    <s v="ü"/>
    <d v="2019-04-12T00:00:00"/>
    <n v="2000"/>
    <x v="69"/>
    <x v="61"/>
    <s v="Calle Güigüe Nro. 89-40"/>
    <s v="Cancelación Vigilancia, saldo mes de Abril 2019"/>
    <s v="Vigilancia"/>
    <m/>
    <s v="01943"/>
    <s v="12 de Abril de 2019"/>
    <n v="12"/>
    <d v="2019-04-01T00:00:00"/>
    <s v="2.000,00"/>
    <s v="Dos Mil Bolívares con 00/100"/>
  </r>
  <r>
    <n v="1944"/>
    <m/>
    <s v="ü"/>
    <d v="2019-04-12T00:00:00"/>
    <n v="2000"/>
    <x v="72"/>
    <x v="63"/>
    <s v="Calle Güigüe Nro. 89-35"/>
    <s v="Cancelación Vigilancia, saldo mes de Abril 2019"/>
    <s v="Vigilancia"/>
    <m/>
    <s v="01944"/>
    <s v="12 de Abril de 2019"/>
    <n v="12"/>
    <d v="2019-04-01T00:00:00"/>
    <s v="2.000,00"/>
    <s v="Dos Mil Bolívares con 00/100"/>
  </r>
  <r>
    <n v="1945"/>
    <m/>
    <s v="ü"/>
    <d v="2019-04-13T00:00:00"/>
    <n v="5000"/>
    <x v="4"/>
    <x v="4"/>
    <s v="Calle Güigüe Nro. 89-55"/>
    <s v="Cancelación Vigilancia, saldo mes de Abril 2019 y aporte especial"/>
    <s v="Vigilancia"/>
    <m/>
    <s v="01945"/>
    <s v="13 de Abril de 2019"/>
    <n v="13"/>
    <d v="2019-04-01T00:00:00"/>
    <s v="5.000,00"/>
    <s v="Cinco Mil Bolívares con 00/100"/>
  </r>
  <r>
    <n v="1946"/>
    <m/>
    <s v="ü"/>
    <d v="2019-04-13T00:00:00"/>
    <n v="13000"/>
    <x v="43"/>
    <x v="40"/>
    <s v="Calle Güigüe Nro. 88-50"/>
    <s v="Vigilancia: Cancelación meses de Marzo y Abril 2019, y anticipo mes de Mayo 2019"/>
    <s v="Vigilancia"/>
    <m/>
    <s v="01946"/>
    <s v="13 de Abril de 2019"/>
    <n v="13"/>
    <d v="2019-04-01T00:00:00"/>
    <s v="13.000,00"/>
    <s v="Trece Mil Bolívares con 00/100"/>
  </r>
  <r>
    <n v="1947"/>
    <m/>
    <s v="ü"/>
    <d v="2019-04-14T00:00:00"/>
    <n v="900"/>
    <x v="74"/>
    <x v="64"/>
    <s v="Calle Güigüe Nro. 88-20"/>
    <s v="Colaboración Vigilancia, meses de Febrero, Marzo y Abril 2019"/>
    <s v="Vigilancia"/>
    <m/>
    <s v="01947"/>
    <s v="14 de Abril de 2019"/>
    <n v="14"/>
    <d v="2019-04-01T00:00:00"/>
    <s v="900,00"/>
    <s v="Novecientos Bolívares con 00/100"/>
  </r>
  <r>
    <n v="1948"/>
    <m/>
    <s v="ü"/>
    <d v="2019-04-14T00:00:00"/>
    <n v="2000"/>
    <x v="1"/>
    <x v="1"/>
    <s v="Calle Güigüe Nro. 88-44"/>
    <s v="Cancelación Vigilancia, saldo mes de Abril 2019"/>
    <s v="Vigilancia"/>
    <m/>
    <s v="01948"/>
    <s v="14 de Abril de 2019"/>
    <n v="14"/>
    <d v="2019-04-01T00:00:00"/>
    <s v="2.000,00"/>
    <s v="Dos Mil Bolívares con 00/100"/>
  </r>
  <r>
    <n v="1949"/>
    <m/>
    <s v="ü"/>
    <d v="2019-04-16T00:00:00"/>
    <n v="5000"/>
    <x v="75"/>
    <x v="65"/>
    <s v="Av. &quot;Ñ&quot; Nro. 145-25"/>
    <s v="Cancelación Vigilancia, mes de Abril 2019 (saldo a favor: Bs. 23.352,00)"/>
    <s v="Vigilancia"/>
    <m/>
    <s v="01949"/>
    <s v="16 de Abril de 2019"/>
    <n v="16"/>
    <d v="2019-04-01T00:00:00"/>
    <s v="5.000,00"/>
    <s v="Cinco Mil Bolívares con 00/100"/>
  </r>
  <r>
    <n v="1950"/>
    <m/>
    <s v="ü"/>
    <d v="2019-04-16T00:00:00"/>
    <n v="5000"/>
    <x v="92"/>
    <x v="86"/>
    <s v="Calle Guacara Nro. 88-A-10"/>
    <s v="Cancelación Vigilancia, mes de Abril 2019 (saldo a favor: Bs. 6.005,80)"/>
    <s v="Vigilancia"/>
    <m/>
    <s v="01950"/>
    <s v="16 de Abril de 2019"/>
    <n v="16"/>
    <d v="2019-04-01T00:00:00"/>
    <s v="5.000,00"/>
    <s v="Cinco Mil Bolívares con 00/100"/>
  </r>
  <r>
    <n v="1951"/>
    <m/>
    <s v="ü"/>
    <d v="2019-04-16T00:00:00"/>
    <n v="5000"/>
    <x v="42"/>
    <x v="39"/>
    <s v="Calle Güigüe Nro. 89-79"/>
    <s v="Cancelación Vigilancia, mes de Abril 2019 (saldo a favor: Bs. 6.000,00)"/>
    <s v="Vigilancia"/>
    <m/>
    <s v="01951"/>
    <s v="16 de Abril de 2019"/>
    <n v="16"/>
    <d v="2019-04-01T00:00:00"/>
    <s v="5.000,00"/>
    <s v="Cinco Mil Bolívares con 00/100"/>
  </r>
  <r>
    <n v="1952"/>
    <m/>
    <s v="ü"/>
    <d v="2019-04-16T00:00:00"/>
    <n v="5000"/>
    <x v="88"/>
    <x v="76"/>
    <s v="Calle Güigüe Nro. 88-11"/>
    <s v="Cancelación Vigilancia, mes de Abril 2019"/>
    <s v="Vigilancia"/>
    <m/>
    <s v="01952"/>
    <s v="16 de Abril de 2019"/>
    <n v="16"/>
    <d v="2019-04-01T00:00:00"/>
    <s v="5.000,00"/>
    <s v="Cinco Mil Bolívares con 00/100"/>
  </r>
  <r>
    <n v="1953"/>
    <m/>
    <s v="ü"/>
    <d v="2019-04-16T00:00:00"/>
    <n v="5000"/>
    <x v="0"/>
    <x v="0"/>
    <s v="Calle Guacara Nro. 88-45"/>
    <s v="Cancelación Vigilancia, mes de Abril 2019 (saldo a favor: Bs. 95.862,95)"/>
    <s v="Vigilancia"/>
    <m/>
    <s v="01953"/>
    <s v="16 de Abril de 2019"/>
    <n v="16"/>
    <d v="2019-04-01T00:00:00"/>
    <s v="5.000,00"/>
    <s v="Cinco Mil Bolívares con 00/100"/>
  </r>
  <r>
    <n v="1954"/>
    <m/>
    <s v="ü"/>
    <d v="2019-04-16T00:00:00"/>
    <n v="9000"/>
    <x v="28"/>
    <x v="77"/>
    <s v="Calle Güigüe Nro. 88-30"/>
    <s v="Cancelación Vigilancia, meses de Enero, Febrero y Marzo 2019"/>
    <s v="Vigilancia"/>
    <m/>
    <s v="01954"/>
    <s v="16 de Abril de 2019"/>
    <n v="16"/>
    <d v="2019-04-01T00:00:00"/>
    <s v="9.000,00"/>
    <s v="Nueve Mil Bolívares con 00/100"/>
  </r>
  <r>
    <n v="1955"/>
    <m/>
    <s v="ü"/>
    <d v="2019-04-17T00:00:00"/>
    <n v="2000"/>
    <x v="90"/>
    <x v="82"/>
    <s v="Calle Güigüe Nro. 89-04"/>
    <s v="Cancelación Vigilancia, saldo mes de Abril 2019"/>
    <s v="Vigilancia"/>
    <m/>
    <s v="01955"/>
    <s v="17 de Abril de 2019"/>
    <n v="17"/>
    <d v="2019-04-01T00:00:00"/>
    <s v="2.000,00"/>
    <s v="Dos Mil Bolívares con 00/100"/>
  </r>
  <r>
    <n v="1956"/>
    <m/>
    <s v="ü"/>
    <d v="2019-04-18T00:00:00"/>
    <n v="3000"/>
    <x v="47"/>
    <x v="94"/>
    <s v="Calle Güigüe Nro. 88-80"/>
    <s v="Cancelación Vigilancia, mes de Febrero 2019 (saldo a favor Bs. 345,55)"/>
    <s v="Vigilancia"/>
    <m/>
    <s v="01956"/>
    <s v="18 de Abril de 2019"/>
    <n v="18"/>
    <d v="2019-04-01T00:00:00"/>
    <s v="3.000,00"/>
    <s v="Tres Mil Bolívares con 00/100"/>
  </r>
  <r>
    <n v="1957"/>
    <m/>
    <s v="ü"/>
    <d v="2019-04-18T00:00:00"/>
    <n v="5000"/>
    <x v="84"/>
    <x v="71"/>
    <s v="Calle Güigüe Nro. 89-54"/>
    <s v="Cancelación Vigilancia, mes de Abril 2019"/>
    <s v="Vigilancia"/>
    <m/>
    <s v="01957"/>
    <s v="18 de Abril de 2019"/>
    <n v="18"/>
    <d v="2019-04-01T00:00:00"/>
    <s v="5.000,00"/>
    <s v="Cinco Mil Bolívares con 00/100"/>
  </r>
  <r>
    <n v="1958"/>
    <m/>
    <s v="ü"/>
    <d v="2019-04-18T00:00:00"/>
    <n v="2000"/>
    <x v="7"/>
    <x v="7"/>
    <s v="Calle Guacara Nro. 87-86"/>
    <s v="Cancelación Vigilancia, saldo mes de Abril 2019"/>
    <s v="Vigilancia"/>
    <m/>
    <s v="01958"/>
    <s v="18 de Abril de 2019"/>
    <n v="18"/>
    <d v="2019-04-01T00:00:00"/>
    <s v="2.000,00"/>
    <s v="Dos Mil Bolívares con 00/100"/>
  </r>
  <r>
    <n v="1959"/>
    <m/>
    <s v="ü"/>
    <d v="2019-04-18T00:00:00"/>
    <n v="5000"/>
    <x v="35"/>
    <x v="32"/>
    <s v="Calle Güigüe Nro. 89-80"/>
    <s v="Cancelación Vigilancia, mes de Abril 2019"/>
    <s v="Vigilancia"/>
    <m/>
    <s v="01959"/>
    <s v="18 de Abril de 2019"/>
    <n v="18"/>
    <d v="2019-04-01T00:00:00"/>
    <s v="5.000,00"/>
    <s v="Cinco Mil Bolívares con 00/100"/>
  </r>
  <r>
    <n v="1960"/>
    <m/>
    <s v="ü"/>
    <d v="2019-04-19T00:00:00"/>
    <n v="5000"/>
    <x v="98"/>
    <x v="93"/>
    <s v="Calle Guacara Nro. 89-102"/>
    <s v="Cancelación Vigilancia, mes de Abril 2019"/>
    <s v="Vigilancia"/>
    <m/>
    <s v="01960"/>
    <s v="19 de Abril de 2019"/>
    <n v="19"/>
    <d v="2019-04-01T00:00:00"/>
    <s v="5.000,00"/>
    <s v="Cinco Mil Bolívares con 00/100"/>
  </r>
  <r>
    <n v="1961"/>
    <m/>
    <s v="ü"/>
    <d v="2019-04-19T00:00:00"/>
    <n v="2000"/>
    <x v="15"/>
    <x v="14"/>
    <s v="Calle Guacara Nro. 89-94"/>
    <s v="Cancelación Vigilancia, saldo mes de Abril 2019"/>
    <s v="Vigilancia"/>
    <m/>
    <s v="01961"/>
    <s v="19 de Abril de 2019"/>
    <n v="19"/>
    <d v="2019-04-01T00:00:00"/>
    <s v="2.000,00"/>
    <s v="Dos Mil Bolívares con 00/100"/>
  </r>
  <r>
    <n v="1962"/>
    <m/>
    <s v="ü"/>
    <d v="2019-04-19T00:00:00"/>
    <n v="2000"/>
    <x v="61"/>
    <x v="14"/>
    <s v="Calle Guacara Nro. 87-07"/>
    <s v="Cancelación Vigilancia, saldo mes de Abril 2019"/>
    <s v="Vigilancia"/>
    <m/>
    <s v="01962"/>
    <s v="19 de Abril de 2019"/>
    <n v="19"/>
    <d v="2019-04-01T00:00:00"/>
    <s v="2.000,00"/>
    <s v="Dos Mil Bolívares con 00/100"/>
  </r>
  <r>
    <n v="1963"/>
    <m/>
    <s v="ü"/>
    <d v="2019-04-19T00:00:00"/>
    <n v="7000"/>
    <x v="11"/>
    <x v="11"/>
    <s v="Calle Guacara Nro. 89-86"/>
    <s v="Vigilancia: Cancelación saldo mes de Abril y anticipo mes de Mayo 2019"/>
    <s v="Vigilancia"/>
    <m/>
    <s v="01963"/>
    <s v="19 de Abril de 2019"/>
    <n v="19"/>
    <d v="2019-04-01T00:00:00"/>
    <s v="7.000,00"/>
    <s v="Siete Mil Bolívares con 00/100"/>
  </r>
  <r>
    <n v="1964"/>
    <m/>
    <s v="ü"/>
    <d v="2019-04-21T00:00:00"/>
    <n v="5000"/>
    <x v="95"/>
    <x v="89"/>
    <s v="Calle Güigüe Nro. 89-120"/>
    <s v="Cancelación Vigilancia, mes de Abril 2019"/>
    <s v="Vigilancia"/>
    <m/>
    <s v="01964"/>
    <s v="21 de Abril de 2019"/>
    <n v="21"/>
    <d v="2019-04-01T00:00:00"/>
    <s v="5.000,00"/>
    <s v="Cinco Mil Bolívares con 00/100"/>
  </r>
  <r>
    <n v="1965"/>
    <m/>
    <s v="ü"/>
    <d v="2019-04-22T00:00:00"/>
    <n v="5000"/>
    <x v="25"/>
    <x v="23"/>
    <s v="Calle Güigüe Nro. 88-58"/>
    <s v="Cancelación Vigilancia, mes de Abril 2019"/>
    <s v="Vigilancia"/>
    <m/>
    <s v="01965"/>
    <s v="22 de Abril de 2019"/>
    <n v="22"/>
    <d v="2019-04-01T00:00:00"/>
    <s v="5.000,00"/>
    <s v="Cinco Mil Bolívares con 00/100"/>
  </r>
  <r>
    <n v="1966"/>
    <m/>
    <s v="ü"/>
    <d v="2019-04-22T00:00:00"/>
    <n v="5000"/>
    <x v="53"/>
    <x v="80"/>
    <s v="Calle Guacara Nro. 88-91"/>
    <s v="Cancelación Vigilancia, mes de Abril 2019"/>
    <s v="Vigilancia"/>
    <m/>
    <s v="01966"/>
    <s v="22 de Abril de 2019"/>
    <n v="22"/>
    <d v="2019-04-01T00:00:00"/>
    <s v="5.000,00"/>
    <s v="Cinco Mil Bolívares con 00/100"/>
  </r>
  <r>
    <n v="1967"/>
    <m/>
    <s v="ü"/>
    <d v="2019-04-22T00:00:00"/>
    <n v="2365.5500000000002"/>
    <x v="47"/>
    <x v="94"/>
    <s v="Calle Güigüe Nro. 88-80"/>
    <s v="Colaboración Vigilancia, mes de Marzo 2019"/>
    <s v="Vigilancia"/>
    <m/>
    <s v="01967"/>
    <s v="22 de Abril de 2019"/>
    <n v="22"/>
    <d v="2019-04-01T00:00:00"/>
    <s v="2.365,55"/>
    <s v="Dos Mil Trescientos Sesenta y Cinco Bolívares con 55/100"/>
  </r>
  <r>
    <n v="1968"/>
    <m/>
    <s v="ü"/>
    <d v="2019-04-22T00:00:00"/>
    <n v="5000"/>
    <x v="8"/>
    <x v="78"/>
    <s v="Calle Guacara Nro. 90-51"/>
    <s v="Cancelación Vigilancia, mes de Abril 2019"/>
    <s v="Vigilancia"/>
    <m/>
    <s v="01968"/>
    <s v="22 de Abril de 2019"/>
    <n v="22"/>
    <d v="2019-04-01T00:00:00"/>
    <s v="5.000,00"/>
    <s v="Cinco Mil Bolívares con 00/100"/>
  </r>
  <r>
    <n v="1969"/>
    <m/>
    <s v="ü"/>
    <d v="2019-04-22T00:00:00"/>
    <n v="1440"/>
    <x v="87"/>
    <x v="75"/>
    <s v="Calle Güigüe Nro. 88-06"/>
    <s v="Cancelación Vigilancia: saldo mes de Marzo 2019"/>
    <s v="Vigilancia"/>
    <m/>
    <s v="01969"/>
    <s v="22 de Abril de 2019"/>
    <n v="22"/>
    <d v="2019-04-01T00:00:00"/>
    <s v="1.440,00"/>
    <s v="Mil Cuatrocientos Cuarenta Bolívares con 00/100"/>
  </r>
  <r>
    <n v="1970"/>
    <m/>
    <s v="ü"/>
    <d v="2019-04-22T00:00:00"/>
    <n v="5000"/>
    <x v="87"/>
    <x v="75"/>
    <s v="Calle Güigüe Nro. 88-06"/>
    <s v="Cancelación Vigilancia, mes de Abril 2019"/>
    <s v="Vigilancia"/>
    <m/>
    <s v="01970"/>
    <s v="22 de Abril de 2019"/>
    <n v="22"/>
    <d v="2019-04-01T00:00:00"/>
    <s v="5.000,00"/>
    <s v="Cinco Mil Bolívares con 00/100"/>
  </r>
  <r>
    <n v="1971"/>
    <m/>
    <s v="ü"/>
    <d v="2019-04-22T00:00:00"/>
    <n v="2000"/>
    <x v="63"/>
    <x v="56"/>
    <s v="Calle Guacara Nro. 88-85"/>
    <s v="Cancelación Vigilancia, saldo mes de Abril 2019"/>
    <s v="Vigilancia"/>
    <m/>
    <s v="01971"/>
    <s v="22 de Abril de 2019"/>
    <n v="22"/>
    <d v="2019-04-01T00:00:00"/>
    <s v="2.000,00"/>
    <s v="Dos Mil Bolívares con 00/100"/>
  </r>
  <r>
    <n v="1972"/>
    <m/>
    <s v="ü"/>
    <d v="2019-04-23T00:00:00"/>
    <n v="5000"/>
    <x v="65"/>
    <x v="58"/>
    <s v="Calle Güigüe Nro. 88-10"/>
    <s v="Cancelación Vigilancia, mes de Abril 2019"/>
    <s v="Vigilancia"/>
    <m/>
    <s v="01972"/>
    <s v="23 de Abril de 2019"/>
    <n v="23"/>
    <d v="2019-04-01T00:00:00"/>
    <s v="5.000,00"/>
    <s v="Cinco Mil Bolívares con 00/100"/>
  </r>
  <r>
    <n v="1973"/>
    <m/>
    <s v="ü"/>
    <d v="2019-04-23T00:00:00"/>
    <n v="5000"/>
    <x v="56"/>
    <x v="52"/>
    <s v="Calle Güigüe Nro. 88-70"/>
    <s v="Cancelación Vigilancia, mes de Abril 2019"/>
    <s v="Vigilancia"/>
    <m/>
    <s v="01973"/>
    <s v="23 de Abril de 2019"/>
    <n v="23"/>
    <d v="2019-04-01T00:00:00"/>
    <s v="5.000,00"/>
    <s v="Cinco Mil Bolívares con 00/100"/>
  </r>
  <r>
    <n v="1974"/>
    <m/>
    <s v="ü"/>
    <d v="2019-04-24T00:00:00"/>
    <n v="5000"/>
    <x v="24"/>
    <x v="22"/>
    <s v="Calle Güigüe Nro. 88-54"/>
    <s v="Cancelación Vigilancia, mes de Abril 2019"/>
    <s v="Vigilancia"/>
    <m/>
    <s v="01974"/>
    <s v="24 de Abril de 2019"/>
    <n v="24"/>
    <d v="2019-04-01T00:00:00"/>
    <s v="5.000,00"/>
    <s v="Cinco Mil Bolívares con 00/100"/>
  </r>
  <r>
    <n v="1975"/>
    <m/>
    <s v="ü"/>
    <d v="2019-04-25T00:00:00"/>
    <n v="9000"/>
    <x v="5"/>
    <x v="9"/>
    <s v="Calle Güigüe Nro. 88-120"/>
    <s v="Vigilancia: Saldo meses de Abril y Mayo y cancelación mes de Junio 2019"/>
    <s v="Vigilancia"/>
    <m/>
    <s v="01975"/>
    <s v="25 de Abril de 2019"/>
    <n v="25"/>
    <d v="2019-04-01T00:00:00"/>
    <s v="9.000,00"/>
    <s v="Nueve Mil Bolívares con 00/100"/>
  </r>
  <r>
    <n v="1976"/>
    <m/>
    <s v="ü"/>
    <d v="2019-04-27T00:00:00"/>
    <n v="6000"/>
    <x v="96"/>
    <x v="90"/>
    <s v="Av. &quot;M&quot; Nro. 146-30"/>
    <s v="Vigilancia: Cancelación mes de Abril y anticipo mes de Mayo 2019"/>
    <s v="Vigilancia"/>
    <m/>
    <s v="01976"/>
    <s v="27 de Abril de 2019"/>
    <n v="27"/>
    <d v="2019-04-01T00:00:00"/>
    <s v="6.000,00"/>
    <s v="Seis Mil Bolívares con 00/100"/>
  </r>
  <r>
    <n v="1977"/>
    <m/>
    <s v="ü"/>
    <d v="2019-04-28T00:00:00"/>
    <n v="5000"/>
    <x v="20"/>
    <x v="18"/>
    <s v="Calle Guacara Nro. 89-30"/>
    <s v="Cancelación Vigilancia, mes de Abril 2019"/>
    <s v="Vigilancia"/>
    <m/>
    <s v="01977"/>
    <s v="28 de Abril de 2019"/>
    <n v="28"/>
    <d v="2019-04-01T00:00:00"/>
    <s v="5.000,00"/>
    <s v="Cinco Mil Bolívares con 00/100"/>
  </r>
  <r>
    <n v="1978"/>
    <m/>
    <s v="ü"/>
    <d v="2019-04-28T00:00:00"/>
    <n v="10000"/>
    <x v="6"/>
    <x v="6"/>
    <s v="Calle Guacara Nro. 89-60"/>
    <s v="Vigilancia: Cancelación mes de Abril y anticipo del mes de Mayo 2019"/>
    <s v="Vigilancia"/>
    <m/>
    <s v="01978"/>
    <s v="28 de Abril de 2019"/>
    <n v="28"/>
    <d v="2019-04-01T00:00:00"/>
    <s v="10.000,00"/>
    <s v="Diez Mil Bolívares con 00/100"/>
  </r>
  <r>
    <n v="1979"/>
    <m/>
    <s v="ü"/>
    <d v="2019-04-28T00:00:00"/>
    <n v="5000"/>
    <x v="45"/>
    <x v="42"/>
    <s v="Calle Güigüe Nro. 87-A-11"/>
    <s v="Cancelación Vigilancia, mes de Abril 2019"/>
    <s v="Vigilancia"/>
    <m/>
    <s v="01979"/>
    <s v="28 de Abril de 2019"/>
    <n v="28"/>
    <d v="2019-04-01T00:00:00"/>
    <s v="5.000,00"/>
    <s v="Cinco Mil Bolívares con 00/100"/>
  </r>
  <r>
    <n v="1980"/>
    <m/>
    <s v="ü"/>
    <d v="2019-04-28T00:00:00"/>
    <n v="5000"/>
    <x v="38"/>
    <x v="35"/>
    <s v="Calle Guacara Nro. 89-78"/>
    <s v="Cancelación Vigilancia, mes de Abril 2019"/>
    <s v="Vigilancia"/>
    <m/>
    <s v="01980"/>
    <s v="28 de Abril de 2019"/>
    <n v="28"/>
    <d v="2019-04-01T00:00:00"/>
    <s v="5.000,00"/>
    <s v="Cinco Mil Bolívares con 00/100"/>
  </r>
  <r>
    <n v="1981"/>
    <m/>
    <s v="ü"/>
    <d v="2019-04-28T00:00:00"/>
    <n v="5000"/>
    <x v="31"/>
    <x v="29"/>
    <s v="Calle Güigüe Nro. 89-95"/>
    <s v="Cancelación Vigilancia, mes de Abril 2019"/>
    <s v="Vigilancia"/>
    <m/>
    <s v="01981"/>
    <s v="28 de Abril de 2019"/>
    <n v="28"/>
    <d v="2019-04-01T00:00:00"/>
    <s v="5.000,00"/>
    <s v="Cinco Mil Bolívares con 00/100"/>
  </r>
  <r>
    <n v="1982"/>
    <m/>
    <s v="ü"/>
    <d v="2019-04-28T00:00:00"/>
    <n v="5000"/>
    <x v="47"/>
    <x v="94"/>
    <s v="Calle Güigüe Nro. 88-80"/>
    <s v="Cancelación Vigilancia, mes de Abril 2019"/>
    <s v="Vigilancia"/>
    <m/>
    <s v="01982"/>
    <s v="28 de Abril de 2019"/>
    <n v="28"/>
    <d v="2019-04-01T00:00:00"/>
    <s v="5.000,00"/>
    <s v="Cinco Mil Bolívares con 00/100"/>
  </r>
  <r>
    <n v="1983"/>
    <m/>
    <s v="ü"/>
    <d v="2019-04-29T00:00:00"/>
    <n v="7000"/>
    <x v="18"/>
    <x v="16"/>
    <s v="Calle Guacara Nro. 87-100"/>
    <s v="Vigilancia: Cancelación saldo mes de Abril y anticipo mes de Mayo 2019"/>
    <s v="Vigilancia"/>
    <m/>
    <s v="01983"/>
    <s v="29 de Abril de 2019"/>
    <n v="29"/>
    <d v="2019-04-01T00:00:00"/>
    <s v="7.000,00"/>
    <s v="Siete Mil Bolívares con 00/100"/>
  </r>
  <r>
    <n v="1984"/>
    <m/>
    <s v="ü"/>
    <d v="2019-03-29T00:00:00"/>
    <n v="5000"/>
    <x v="23"/>
    <x v="21"/>
    <s v="Calle Güigüe Nro. 88-116"/>
    <s v="Cancelación Vigilancia, mes de Abril 2019"/>
    <s v="Vigilancia"/>
    <m/>
    <s v="01984"/>
    <s v="29 de Marzo de 2019"/>
    <n v="29"/>
    <d v="2019-03-01T00:00:00"/>
    <s v="5.000,00"/>
    <s v="Cinco Mil Bolívares con 00/100"/>
  </r>
  <r>
    <n v="1985"/>
    <m/>
    <s v="ü"/>
    <d v="2019-03-29T00:00:00"/>
    <n v="8000"/>
    <x v="44"/>
    <x v="41"/>
    <s v="Calle Guacara Nro. 89-40"/>
    <s v="Cancelación Vigilancia, meses de Marzo y Abril 2019"/>
    <s v="Vigilancia"/>
    <m/>
    <s v="01985"/>
    <s v="29 de Marzo de 2019"/>
    <n v="29"/>
    <d v="2019-03-01T00:00:00"/>
    <s v="8.000,00"/>
    <s v="Ocho Mil Bolívares con 00/100"/>
  </r>
  <r>
    <n v="1986"/>
    <m/>
    <s v="ü"/>
    <d v="2019-04-30T00:00:00"/>
    <n v="7000"/>
    <x v="77"/>
    <x v="85"/>
    <s v="Calle Guacara Nro. 88-65"/>
    <s v="Vigilancia: Cancelación saldo mes de Abril y anticipo mes de Mayo 2019"/>
    <s v="Vigilancia"/>
    <m/>
    <s v="01986"/>
    <s v="30 de Abril de 2019"/>
    <n v="30"/>
    <d v="2019-04-01T00:00:00"/>
    <s v="7.000,00"/>
    <s v="Siete Mil Bolívares con 00/100"/>
  </r>
  <r>
    <n v="1987"/>
    <m/>
    <s v="ü"/>
    <d v="2019-04-30T00:00:00"/>
    <n v="4000"/>
    <x v="37"/>
    <x v="34"/>
    <s v="Av. &quot;I&quot; Nro. 146-40"/>
    <s v="Vigilancia: Anticipo mes de Mayo 2019"/>
    <s v="Vigilancia"/>
    <m/>
    <s v="01987"/>
    <s v="30 de Abril de 2019"/>
    <n v="30"/>
    <d v="2019-04-01T00:00:00"/>
    <s v="4.000,00"/>
    <s v="Cuatro Mil Bolívares con 00/100"/>
  </r>
  <r>
    <n v="1988"/>
    <m/>
    <s v="ü"/>
    <d v="2019-04-28T00:00:00"/>
    <n v="2000"/>
    <x v="97"/>
    <x v="91"/>
    <s v="Calle Guacara Nro. 88-75"/>
    <s v="Cancelación Vigilancia, saldo mes de Abril 2019"/>
    <s v="Vigilancia"/>
    <m/>
    <s v="01988"/>
    <s v="28 de Abril de 2019"/>
    <n v="28"/>
    <d v="2019-04-01T00:00:00"/>
    <s v="2.000,00"/>
    <s v="Dos Mil Bolívares con 00/100"/>
  </r>
  <r>
    <n v="1989"/>
    <m/>
    <s v="ü"/>
    <d v="2019-05-01T00:00:00"/>
    <n v="5000"/>
    <x v="58"/>
    <x v="53"/>
    <s v="Calle Güigüe Nro. 88-51"/>
    <s v="Cancelación Vigilancia, mes de Abril 2019"/>
    <s v="Vigilancia"/>
    <m/>
    <s v="01989"/>
    <s v="01 de Mayo de 2019"/>
    <n v="1"/>
    <d v="2019-05-01T00:00:00"/>
    <s v="5.000,00"/>
    <s v="Cinco Mil Bolívares con 00/100"/>
  </r>
  <r>
    <n v="1990"/>
    <m/>
    <s v="ü"/>
    <d v="2019-05-02T00:00:00"/>
    <n v="10000"/>
    <x v="19"/>
    <x v="17"/>
    <s v="Calle Guacara Nro. 89-130"/>
    <s v="Vigilancia: Cancelación saldo mes de Abril y anticipo mes de Mayo 2019"/>
    <s v="Vigilancia"/>
    <m/>
    <s v="01990"/>
    <s v="02 de Mayo de 2019"/>
    <n v="2"/>
    <d v="2019-05-01T00:00:00"/>
    <s v="10.000,00"/>
    <s v="Diez Mil Bolívares con 00/100"/>
  </r>
  <r>
    <n v="1991"/>
    <m/>
    <s v="ü"/>
    <d v="2019-05-02T00:00:00"/>
    <n v="5000"/>
    <x v="40"/>
    <x v="37"/>
    <s v="Calle Güigüe Nro. 88-101"/>
    <s v="Cancelación Vigilancia, mes de Abril 2019"/>
    <s v="Vigilancia"/>
    <m/>
    <s v="01991"/>
    <s v="02 de Mayo de 2019"/>
    <n v="2"/>
    <d v="2019-05-01T00:00:00"/>
    <s v="5.000,00"/>
    <s v="Cinco Mil Bolívares con 00/100"/>
  </r>
  <r>
    <n v="1992"/>
    <m/>
    <s v="ü"/>
    <d v="2019-05-02T00:00:00"/>
    <n v="5000"/>
    <x v="15"/>
    <x v="14"/>
    <s v="Calle Guacara Nro. 89-94"/>
    <s v="Vigilancia: Anticipo mes de Mayo 2019"/>
    <s v="Vigilancia"/>
    <m/>
    <s v="01992"/>
    <s v="02 de Mayo de 2019"/>
    <n v="2"/>
    <d v="2019-05-01T00:00:00"/>
    <s v="5.000,00"/>
    <s v="Cinco Mil Bolívares con 00/100"/>
  </r>
  <r>
    <n v="1993"/>
    <m/>
    <s v="ü"/>
    <d v="2019-05-02T00:00:00"/>
    <n v="5000"/>
    <x v="61"/>
    <x v="14"/>
    <s v="Calle Guacara Nro. 87-07"/>
    <s v="Vigilancia: Anticipo mes de Mayo 2019"/>
    <s v="Vigilancia"/>
    <m/>
    <s v="01993"/>
    <s v="02 de Mayo de 2019"/>
    <n v="2"/>
    <d v="2019-05-01T00:00:00"/>
    <s v="5.000,00"/>
    <s v="Cinco Mil Bolívares con 00/100"/>
  </r>
  <r>
    <n v="1994"/>
    <m/>
    <s v="ü"/>
    <d v="2019-05-02T00:00:00"/>
    <n v="5000"/>
    <x v="22"/>
    <x v="20"/>
    <s v="Calle Guacara Nro. 88-25"/>
    <s v="Cancelación Vigilancia, mes de Abril 2019"/>
    <s v="Vigilancia"/>
    <m/>
    <s v="01994"/>
    <s v="02 de Mayo de 2019"/>
    <n v="2"/>
    <d v="2019-05-01T00:00:00"/>
    <s v="5.000,00"/>
    <s v="Cinco Mil Bolívares con 00/10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707">
  <r>
    <n v="1"/>
    <m/>
    <x v="0"/>
    <d v="2016-12-09T00:00:00"/>
    <n v="0.105"/>
    <s v="Familia Del Negro Palermo"/>
    <s v="vdelnegro@gmail.com"/>
    <s v="Calle Guacara Nro. 88-45"/>
    <s v="Anticipo Vigilancia, mes de Enero 2017"/>
    <x v="0"/>
    <s v="https://drive.google.com/open?id=0ByOb8wNqoBtVQ2JYRkVQTFVWQU0"/>
    <s v="00001"/>
    <s v="09 de diciembre de 2016"/>
    <n v="9"/>
    <x v="0"/>
    <s v="0,11"/>
    <e v="#NAME?"/>
  </r>
  <r>
    <n v="2"/>
    <m/>
    <x v="0"/>
    <d v="2016-12-13T00:00:00"/>
    <n v="0.105"/>
    <s v="Familia Colosso Delgado"/>
    <s v="mcolosso@gmail.com"/>
    <s v="Calle Güigüe Nro. 88-44"/>
    <s v="Anticipo Vigilancia, mes de Enero 2017"/>
    <x v="0"/>
    <s v="https://drive.google.com/open?id=0ByOb8wNqoBtVWTdmYzQ4N0NUQ3c"/>
    <s v="00002"/>
    <s v="13 de diciembre de 2016"/>
    <n v="13"/>
    <x v="0"/>
    <s v="0,11"/>
    <e v="#NAME?"/>
  </r>
  <r>
    <n v="3"/>
    <m/>
    <x v="0"/>
    <d v="2016-12-20T00:00:00"/>
    <n v="4.4999999999999998E-2"/>
    <s v="Familia Méndez Parra"/>
    <s v="briceidamp@hotmail.com"/>
    <s v="Calle Guacara Nro. 88-19"/>
    <s v="Anticipo Vigilancia, mes de Enero 2017"/>
    <x v="0"/>
    <s v="https://drive.google.com/open?id=0ByOb8wNqoBtVZU5vcE5wOUtYRVU"/>
    <s v="00003"/>
    <s v="20 de diciembre de 2016"/>
    <n v="20"/>
    <x v="0"/>
    <s v="0,05"/>
    <e v="#NAME?"/>
  </r>
  <r>
    <n v="4"/>
    <m/>
    <x v="0"/>
    <d v="2017-01-02T00:00:00"/>
    <n v="0.105"/>
    <s v="Familia Martínez Boada"/>
    <s v="florcitakmz@gmail.com"/>
    <s v="Calle Güigüe Nro. 88-62"/>
    <s v="Anticipo Vigilancia, mes de Enero 2017"/>
    <x v="0"/>
    <s v="https://drive.google.com/open?id=0ByOb8wNqoBtVbnMxZWNSWHF3WlU"/>
    <s v="00004"/>
    <s v="02 de enero de 2017"/>
    <n v="2"/>
    <x v="1"/>
    <s v="0,11"/>
    <e v="#NAME?"/>
  </r>
  <r>
    <n v="5"/>
    <m/>
    <x v="0"/>
    <d v="2017-01-06T00:00:00"/>
    <n v="0.105"/>
    <s v="Familia Fermín Rivas"/>
    <s v="angelferminb@gmail.com"/>
    <s v="Calle Güigüe Nro. 89-55"/>
    <s v="Anticipo Vigilancia, mes de Enero 2017"/>
    <x v="0"/>
    <s v="https://drive.google.com/open?id=0ByOb8wNqoBtVcm9mb2w4S1F3N1k"/>
    <s v="00005"/>
    <s v="06 de enero de 2017"/>
    <n v="6"/>
    <x v="1"/>
    <s v="0,11"/>
    <e v="#NAME?"/>
  </r>
  <r>
    <n v="6"/>
    <m/>
    <x v="0"/>
    <d v="2017-01-07T00:00:00"/>
    <n v="0.105"/>
    <s v="Familia Loponte Arteaga"/>
    <s v="nancyloponte@hotmail.com"/>
    <s v="Calle Güigüe Nro. 88-120"/>
    <s v="Anticipo Vigilancia, mes de Enero 2017"/>
    <x v="0"/>
    <s v="https://drive.google.com/open?id=0ByOb8wNqoBtVM1MzMzhjNmMzeEE"/>
    <s v="00006"/>
    <s v="07 de enero de 2017"/>
    <n v="7"/>
    <x v="1"/>
    <s v="0,11"/>
    <e v="#NAME?"/>
  </r>
  <r>
    <n v="7"/>
    <m/>
    <x v="0"/>
    <d v="2017-01-10T00:00:00"/>
    <n v="0.1"/>
    <s v="Familia Durvelle Serrano"/>
    <s v="sdurvelle@hotmail.com"/>
    <s v="Calle Guacara Nro. 89-60"/>
    <s v="Anticipo Vigilancia, mes de Enero 2017"/>
    <x v="0"/>
    <s v="https://drive.google.com/open?id=0ByOb8wNqoBtVUmlGT0tPUnR5WU0"/>
    <s v="00007"/>
    <s v="10 de enero de 2017"/>
    <n v="10"/>
    <x v="1"/>
    <s v="0,10"/>
    <e v="#NAME?"/>
  </r>
  <r>
    <n v="8"/>
    <m/>
    <x v="0"/>
    <d v="2017-01-11T00:00:00"/>
    <n v="0.05"/>
    <s v="Chin Chun Ya (Goya)"/>
    <s v="uc2721@gmail.com"/>
    <s v="Calle Guacara Nro. 87-86"/>
    <s v="Colaboración Vigilancia, mes de Enero 2017"/>
    <x v="0"/>
    <s v="https://drive.google.com/open?id=0ByOb8wNqoBtVb0Z2TFRxN0pyLTA"/>
    <s v="00008"/>
    <s v="11 de enero de 2017"/>
    <n v="11"/>
    <x v="1"/>
    <s v="0,05"/>
    <e v="#NAME?"/>
  </r>
  <r>
    <n v="9"/>
    <m/>
    <x v="0"/>
    <d v="2017-01-11T00:00:00"/>
    <n v="0.105"/>
    <s v="Familia Castro Jiménez"/>
    <s v="0426-543.4303"/>
    <s v="Calle Guacara Nro. 90-51"/>
    <s v="Anticipo Vigilancia, mes de Enero 2017"/>
    <x v="0"/>
    <s v="https://drive.google.com/open?id=0ByOb8wNqoBtVRXNhMmNDZkI0eVE"/>
    <s v="00009"/>
    <s v="11 de enero de 2017"/>
    <n v="11"/>
    <x v="1"/>
    <s v="0,11"/>
    <e v="#NAME?"/>
  </r>
  <r>
    <n v="10"/>
    <m/>
    <x v="0"/>
    <d v="2017-01-15T00:00:00"/>
    <n v="0.12"/>
    <s v="La Casita Encantada"/>
    <s v="En Físico"/>
    <s v="Av. &quot;M&quot; Nro. 146-30"/>
    <s v="Cancelación Vigilancia, mes de Enero 2017"/>
    <x v="0"/>
    <s v="https://drive.google.com/open?id=0ByOb8wNqoBtVRDZWQUxwZm43cUU"/>
    <s v="00010"/>
    <s v="15 de enero de 2017"/>
    <n v="15"/>
    <x v="1"/>
    <s v="0,12"/>
    <e v="#NAME?"/>
  </r>
  <r>
    <n v="11"/>
    <m/>
    <x v="0"/>
    <d v="2017-01-13T00:00:00"/>
    <n v="0.105"/>
    <s v="Familia Barreto Pérez"/>
    <s v="bbetsa19@hotmail.com"/>
    <s v="Av. &quot;M&quot; Nro. 146-15"/>
    <s v="Anticipo Vigilancia, mes de Enero 2017"/>
    <x v="0"/>
    <s v="https://drive.google.com/open?id=0ByOb8wNqoBtVc1BVRG1xMDFyck0"/>
    <s v="00011"/>
    <s v="13 de enero de 2017"/>
    <n v="13"/>
    <x v="1"/>
    <s v="0,11"/>
    <e v="#NAME?"/>
  </r>
  <r>
    <n v="12"/>
    <m/>
    <x v="0"/>
    <d v="2017-01-15T00:00:00"/>
    <n v="0.105"/>
    <s v="Familia González Arévalo"/>
    <s v="feryenis@hotmail.com"/>
    <s v="Calle Guacara Nro. 89-86"/>
    <s v="Anticipo Vigilancia, mes de Enero 2017"/>
    <x v="0"/>
    <s v="https://drive.google.com/open?id=0ByOb8wNqoBtVLTlZOGVxSlVYV0U"/>
    <s v="00012"/>
    <s v="15 de enero de 2017"/>
    <n v="15"/>
    <x v="1"/>
    <s v="0,11"/>
    <e v="#NAME?"/>
  </r>
  <r>
    <n v="13"/>
    <m/>
    <x v="0"/>
    <d v="2017-01-19T00:00:00"/>
    <n v="0.105"/>
    <s v="Familia Arcia Polanco"/>
    <s v="misipo29@gmail.com"/>
    <s v="Calle Guacara Nro. 89-20"/>
    <s v="Anticipo Vigilancia, mes de Enero 2017"/>
    <x v="0"/>
    <s v="https://drive.google.com/open?id=0ByOb8wNqoBtVQzNkS1BObWJDMWs"/>
    <s v="00013"/>
    <s v="19 de enero de 2017"/>
    <n v="19"/>
    <x v="1"/>
    <s v="0,11"/>
    <e v="#NAME?"/>
  </r>
  <r>
    <n v="14"/>
    <m/>
    <x v="0"/>
    <d v="2017-01-19T00:00:00"/>
    <n v="4.4999999999999998E-2"/>
    <s v="Familia Herrera Guada"/>
    <s v="En Físico"/>
    <s v="Calle Güigüe Nro. 89-90"/>
    <s v="Colaboración Vigilancia, mes de Enero 2017"/>
    <x v="0"/>
    <s v="https://drive.google.com/open?id=0ByOb8wNqoBtVUnAtM1N6cFhtTlU"/>
    <s v="00014"/>
    <s v="19 de enero de 2017"/>
    <n v="19"/>
    <x v="1"/>
    <s v="0,05"/>
    <e v="#NAME?"/>
  </r>
  <r>
    <n v="15"/>
    <m/>
    <x v="0"/>
    <d v="2017-01-20T00:00:00"/>
    <n v="6.5000000000000002E-2"/>
    <s v="Familia Arcia Polanco"/>
    <s v="misipo29@gmail.com"/>
    <s v="Calle Guacara Nro. 89-20"/>
    <s v="Cancelación saldo Vigilancia, mes de Enero 2017"/>
    <x v="0"/>
    <s v="https://drive.google.com/open?id=0ByOb8wNqoBtVQU84dFVIUlhueVk"/>
    <s v="00015"/>
    <s v="20 de enero de 2017"/>
    <n v="20"/>
    <x v="1"/>
    <s v="0,07"/>
    <e v="#NAME?"/>
  </r>
  <r>
    <n v="16"/>
    <m/>
    <x v="0"/>
    <d v="2017-01-20T00:00:00"/>
    <n v="6.5000000000000002E-2"/>
    <s v="Familia Del Negro Palermo"/>
    <s v="vdelnegro@gmail.com"/>
    <s v="Calle Guacara Nro. 88-45"/>
    <s v="Cancelación saldo Vigilancia, mes de Enero 2017"/>
    <x v="0"/>
    <s v="https://drive.google.com/open?id=0ByOb8wNqoBtVTXZQd1FMTHZsSHc"/>
    <s v="00016"/>
    <s v="20 de enero de 2017"/>
    <n v="20"/>
    <x v="1"/>
    <s v="0,07"/>
    <e v="#NAME?"/>
  </r>
  <r>
    <n v="17"/>
    <m/>
    <x v="0"/>
    <d v="2017-01-20T00:00:00"/>
    <n v="0.17"/>
    <s v="Familia Ferrer Bahri"/>
    <s v="bahrimariela@hotmail.com"/>
    <s v="Calle Güigüe Nro. 89-83"/>
    <s v="Cancelación Vigilancia, mes de Enero 2017"/>
    <x v="0"/>
    <s v="https://drive.google.com/open?id=0ByOb8wNqoBtVbmVRMlBsVFN0b0U"/>
    <s v="00017"/>
    <s v="20 de enero de 2017"/>
    <n v="20"/>
    <x v="1"/>
    <s v="0,17"/>
    <e v="#NAME?"/>
  </r>
  <r>
    <n v="18"/>
    <m/>
    <x v="0"/>
    <d v="2017-01-20T00:00:00"/>
    <n v="0.06"/>
    <s v="Héctor Hernández"/>
    <s v="eof64@hotmail.com"/>
    <s v="Calle Guacara Nro. 89-94"/>
    <s v="Colaboración Vigilancia, mes de Enero 2017"/>
    <x v="0"/>
    <s v="https://drive.google.com/open?id=0ByOb8wNqoBtVQW1LSko5bFZRUUE"/>
    <s v="00018"/>
    <s v="20 de enero de 2017"/>
    <n v="20"/>
    <x v="1"/>
    <s v="0,06"/>
    <e v="#NAME?"/>
  </r>
  <r>
    <n v="19"/>
    <m/>
    <x v="0"/>
    <d v="2017-01-24T00:00:00"/>
    <n v="6.5000000000000002E-2"/>
    <s v="Familia Colosso Delgado"/>
    <s v="mcolosso@gmail.com"/>
    <s v="Calle Güigüe Nro. 88-44"/>
    <s v="Cancelación saldo Vigilancia, mes de Enero 2017"/>
    <x v="0"/>
    <s v="https://drive.google.com/open?id=0ByOb8wNqoBtVcEo1SFFiUkRWVTg"/>
    <s v="00019"/>
    <s v="24 de enero de 2017"/>
    <n v="24"/>
    <x v="1"/>
    <s v="0,07"/>
    <e v="#NAME?"/>
  </r>
  <r>
    <n v="20"/>
    <m/>
    <x v="0"/>
    <d v="2017-01-24T00:00:00"/>
    <n v="0.1"/>
    <s v="Familia Méndez Parra"/>
    <s v="briceidamp@hotmail.com"/>
    <s v="Calle Guacara Nro. 88-19"/>
    <s v="Anticipo Vigilancia, mes de Enero 2017"/>
    <x v="0"/>
    <s v="https://drive.google.com/open?id=0ByOb8wNqoBtVTU4tNjBsajdQRDQ"/>
    <s v="00020"/>
    <s v="24 de enero de 2017"/>
    <n v="24"/>
    <x v="1"/>
    <s v="0,10"/>
    <e v="#NAME?"/>
  </r>
  <r>
    <n v="21"/>
    <m/>
    <x v="0"/>
    <d v="2017-01-24T00:00:00"/>
    <n v="0.17"/>
    <s v="Wu Hung Fung"/>
    <s v="carolinahung24@gmail.com"/>
    <s v="Calle Guacara Nro. 90-81"/>
    <s v="Cancelación Vigilancia, mes de Enero 2017"/>
    <x v="0"/>
    <s v="https://drive.google.com/open?id=0ByOb8wNqoBtVS3l5VmhmSjFmSVU"/>
    <s v="00021"/>
    <s v="24 de enero de 2017"/>
    <n v="24"/>
    <x v="1"/>
    <s v="0,17"/>
    <e v="#NAME?"/>
  </r>
  <r>
    <n v="22"/>
    <m/>
    <x v="0"/>
    <d v="2017-01-25T00:00:00"/>
    <n v="0.02"/>
    <s v="Familia Flores Montagne"/>
    <s v="namaricakes@gmail.com"/>
    <s v="Av. &quot;M&quot; Nro. 146-20"/>
    <s v="Colaboración Vigilancia, mes de Enero 2017"/>
    <x v="0"/>
    <s v="https://drive.google.com/open?id=0ByOb8wNqoBtVWUo3dWpkTk55NmM"/>
    <s v="00022"/>
    <s v="25 de enero de 2017"/>
    <n v="25"/>
    <x v="1"/>
    <s v="0,02"/>
    <e v="#NAME?"/>
  </r>
  <r>
    <n v="23"/>
    <m/>
    <x v="0"/>
    <d v="2017-01-25T00:00:00"/>
    <n v="6.5000000000000002E-2"/>
    <s v="Familia Martínez Boada"/>
    <s v="florcitakmz@gmail.com"/>
    <s v="Calle Güigüe Nro. 88-62"/>
    <s v="Cancelación saldo Vigilancia, mes de Enero 2017"/>
    <x v="0"/>
    <s v="https://drive.google.com/open?id=0ByOb8wNqoBtVQmtEU3cxY0lSZkk"/>
    <s v="00023"/>
    <s v="25 de enero de 2017"/>
    <n v="25"/>
    <x v="1"/>
    <s v="0,07"/>
    <e v="#NAME?"/>
  </r>
  <r>
    <n v="24"/>
    <m/>
    <x v="0"/>
    <d v="2017-01-25T00:00:00"/>
    <n v="0.17"/>
    <s v="Familia Puerta Burguillos"/>
    <s v="namaricakes@gmail.com"/>
    <s v="Calle Guacara Nro. 87-100"/>
    <s v="Cancelación Vigilancia, mes de Enero 2017"/>
    <x v="0"/>
    <s v="https://drive.google.com/open?id=0ByOb8wNqoBtVYlZIVVZKODlkY2s"/>
    <s v="00024"/>
    <s v="25 de enero de 2017"/>
    <n v="25"/>
    <x v="1"/>
    <s v="0,17"/>
    <e v="#NAME?"/>
  </r>
  <r>
    <n v="25"/>
    <m/>
    <x v="0"/>
    <d v="2017-01-26T00:00:00"/>
    <n v="0.17"/>
    <s v="Beatriz Lara"/>
    <s v="valentina.gutierrez@hotmail.com"/>
    <s v="Calle Guacara Nro. 89-130"/>
    <s v="Cancelación Vigilancia, mes de Enero 2017"/>
    <x v="0"/>
    <s v="https://drive.google.com/open?id=0ByOb8wNqoBtVOGxVVDBFdjFoOEE"/>
    <s v="00025"/>
    <s v="26 de enero de 2017"/>
    <n v="26"/>
    <x v="1"/>
    <s v="0,17"/>
    <e v="#NAME?"/>
  </r>
  <r>
    <n v="26"/>
    <m/>
    <x v="0"/>
    <d v="2017-01-27T00:00:00"/>
    <n v="0.17"/>
    <s v="Familia Lomeña Agudo"/>
    <s v="claudialomena@hotmail.com"/>
    <s v="Calle Guacara Nro. 89-30"/>
    <s v="Cancelación Vigilancia, mes de Enero 2017"/>
    <x v="0"/>
    <s v="https://drive.google.com/open?id=0ByOb8wNqoBtVWWhHMFRzN19FMkE"/>
    <s v="00026"/>
    <s v="27 de enero de 2017"/>
    <n v="27"/>
    <x v="1"/>
    <s v="0,17"/>
    <e v="#NAME?"/>
  </r>
  <r>
    <n v="27"/>
    <m/>
    <x v="0"/>
    <d v="2017-01-30T00:00:00"/>
    <n v="6.5000000000000002E-2"/>
    <s v="Familia Fermín Rivas"/>
    <s v="angelferminb@gmail.com"/>
    <s v="Calle Güigüe Nro. 89-55"/>
    <s v="Cancelación saldo Vigilancia, mes de Enero 2017"/>
    <x v="0"/>
    <s v="https://drive.google.com/open?id=0ByOb8wNqoBtVaE9MMGtlUFp2OHM"/>
    <s v="00027"/>
    <s v="30 de enero de 2017"/>
    <n v="30"/>
    <x v="1"/>
    <s v="0,07"/>
    <e v="#NAME?"/>
  </r>
  <r>
    <n v="28"/>
    <m/>
    <x v="0"/>
    <d v="2017-01-30T00:00:00"/>
    <n v="7.4880000000000002E-2"/>
    <s v="Familia Fermín Rivas"/>
    <s v="angelferminb@gmail.com"/>
    <s v="Calle Güigüe Nro. 89-55"/>
    <s v="Anticipo Vigilancia, mes de Febrero 2017"/>
    <x v="0"/>
    <s v="https://drive.google.com/open?id=0ByOb8wNqoBtVMWUwa3dUWW1rNjg"/>
    <s v="00028"/>
    <s v="30 de enero de 2017"/>
    <n v="30"/>
    <x v="1"/>
    <s v="0,07"/>
    <e v="#NAME?"/>
  </r>
  <r>
    <n v="29"/>
    <m/>
    <x v="0"/>
    <d v="2017-01-31T00:00:00"/>
    <n v="0.17"/>
    <s v="Familia Ochoa Mendoza"/>
    <s v="marisoljudithm@hotmail.com"/>
    <s v="Calle Güigüe Nro. 89-105"/>
    <s v="Cancelación Vigilancia, mes de Enero 2017"/>
    <x v="0"/>
    <s v="https://drive.google.com/open?id=0ByOb8wNqoBtVTFo0NGg5NmJjTWM"/>
    <s v="00029"/>
    <s v="31 de enero de 2017"/>
    <n v="31"/>
    <x v="1"/>
    <s v="0,17"/>
    <e v="#NAME?"/>
  </r>
  <r>
    <n v="30"/>
    <m/>
    <x v="0"/>
    <d v="2017-01-31T00:00:00"/>
    <n v="7.9600000000000004E-2"/>
    <s v="Victoria Francischiello"/>
    <s v="victoriafrancischiello@hotmail.com"/>
    <s v="Calle Guacara Nro. 88-25"/>
    <s v="Colaboración Vigilancia, mes de Enero 2017"/>
    <x v="0"/>
    <s v="https://drive.google.com/open?id=0ByOb8wNqoBtVcjJtZUVZdEZrak0"/>
    <s v="00030"/>
    <s v="31 de enero de 2017"/>
    <n v="31"/>
    <x v="1"/>
    <s v="0,08"/>
    <e v="#NAME?"/>
  </r>
  <r>
    <n v="31"/>
    <m/>
    <x v="0"/>
    <d v="2017-02-01T00:00:00"/>
    <n v="0.17"/>
    <s v="Familia Díaz González"/>
    <s v="luisrdt57@gmail.com"/>
    <s v="Calle Güigüe Nro. 88-116"/>
    <s v="Cancelación Vigilancia, mes de Enero 2017"/>
    <x v="0"/>
    <s v="https://drive.google.com/open?id=0ByOb8wNqoBtVZWtLcEtyMWxfV28"/>
    <s v="00031"/>
    <s v="01 de febrero de 2017"/>
    <n v="1"/>
    <x v="2"/>
    <s v="0,17"/>
    <e v="#NAME?"/>
  </r>
  <r>
    <n v="32"/>
    <m/>
    <x v="0"/>
    <d v="2017-02-01T00:00:00"/>
    <n v="0.17"/>
    <s v="Familia Navarro Assing"/>
    <s v="liliaassing@gmail.com"/>
    <s v="Calle Güigüe Nro. 88-54"/>
    <s v="Cancelación Vigilancia, mes de Enero 2017"/>
    <x v="0"/>
    <s v="https://drive.google.com/open?id=0ByOb8wNqoBtVYzd4OGlhTTFJTlU"/>
    <s v="00032"/>
    <s v="01 de febrero de 2017"/>
    <n v="1"/>
    <x v="2"/>
    <s v="0,17"/>
    <e v="#NAME?"/>
  </r>
  <r>
    <n v="33"/>
    <m/>
    <x v="0"/>
    <d v="2017-02-01T00:00:00"/>
    <n v="0.105"/>
    <s v="Familia Rodríguez Aular"/>
    <s v="mvaular@hotmail.com"/>
    <s v="Calle Güigüe Nro. 88-58"/>
    <s v="Colaboración Vigilancia, mes de Enero 2017"/>
    <x v="0"/>
    <s v="https://drive.google.com/open?id=0ByOb8wNqoBtVclJQNllLdEJPQXc"/>
    <s v="00033"/>
    <s v="01 de febrero de 2017"/>
    <n v="1"/>
    <x v="2"/>
    <s v="0,11"/>
    <e v="#NAME?"/>
  </r>
  <r>
    <n v="34"/>
    <m/>
    <x v="0"/>
    <d v="2017-02-02T00:00:00"/>
    <n v="0.17"/>
    <s v="Amarilis Guerra"/>
    <s v="amarilisguerra1@yahoo.com"/>
    <s v="Calle Güigüe Nro. 89-96"/>
    <s v="Cancelación Vigilancia, mes de Enero 2017"/>
    <x v="0"/>
    <s v="https://drive.google.com/open?id=0ByOb8wNqoBtVbTczRzFtWnRLVDg"/>
    <s v="00034"/>
    <s v="02 de febrero de 2017"/>
    <n v="2"/>
    <x v="2"/>
    <s v="0,17"/>
    <e v="#NAME?"/>
  </r>
  <r>
    <n v="35"/>
    <m/>
    <x v="0"/>
    <d v="2017-02-02T00:00:00"/>
    <n v="0.17"/>
    <s v="Anahiz Seijas"/>
    <s v="anahiz_2@hotmail.es"/>
    <s v="Calle Güigüe Nro. 89-106"/>
    <s v="Cancelación Vigilancia, mes de Enero 2017"/>
    <x v="0"/>
    <s v="https://drive.google.com/open?id=0ByOb8wNqoBtVempWaXRRMXprTkE"/>
    <s v="00035"/>
    <s v="02 de febrero de 2017"/>
    <n v="2"/>
    <x v="2"/>
    <s v="0,17"/>
    <e v="#NAME?"/>
  </r>
  <r>
    <n v="36"/>
    <m/>
    <x v="0"/>
    <d v="2017-02-02T00:00:00"/>
    <n v="0.17"/>
    <s v="Familia Durvelle Serrano"/>
    <s v="sdurvelle@hotmail.com"/>
    <s v="Calle Guacara Nro. 89-60"/>
    <s v="Cancelación Vigilancia, mes de Febrero 2017"/>
    <x v="0"/>
    <s v="https://drive.google.com/open?id=0ByOb8wNqoBtVQm9MS3FaU19uRDQ"/>
    <s v="00036"/>
    <s v="02 de febrero de 2017"/>
    <n v="2"/>
    <x v="2"/>
    <s v="0,17"/>
    <e v="#NAME?"/>
  </r>
  <r>
    <n v="37"/>
    <m/>
    <x v="0"/>
    <d v="2017-02-02T00:00:00"/>
    <n v="0.03"/>
    <s v="Ma. de Jesus Alonso"/>
    <s v="marjoriealonsoh@hotmail.com"/>
    <s v="Calle Güigüe Nro. 88-30"/>
    <s v="Colaboración Vigilancia, mes de Enero 2017"/>
    <x v="0"/>
    <s v="https://drive.google.com/open?id=0ByOb8wNqoBtVamduZWo4ZThvSUE"/>
    <s v="00037"/>
    <s v="02 de febrero de 2017"/>
    <n v="2"/>
    <x v="2"/>
    <s v="0,03"/>
    <e v="#NAME?"/>
  </r>
  <r>
    <n v="38"/>
    <m/>
    <x v="0"/>
    <d v="2017-02-03T00:00:00"/>
    <n v="0.17"/>
    <s v="Familia Fernández Parés"/>
    <s v="vultecca@gmail.com"/>
    <s v="Calle Guacara Nro. 88-75"/>
    <s v="Cancelación Vigilancia, mes de Enero 2017"/>
    <x v="0"/>
    <s v="https://drive.google.com/open?id=0ByOb8wNqoBtVZVhicDRZalZyTVk"/>
    <s v="00038"/>
    <s v="03 de febrero de 2017"/>
    <n v="3"/>
    <x v="2"/>
    <s v="0,17"/>
    <e v="#NAME?"/>
  </r>
  <r>
    <n v="39"/>
    <m/>
    <x v="0"/>
    <d v="2017-02-03T00:00:00"/>
    <n v="0.17"/>
    <s v="Familia Sayago Peñaranda"/>
    <s v="alexissayago@gmail.com"/>
    <s v="Calle Güigüe Nro. 89-04"/>
    <s v="Cancelación Vigilancia, mes de Enero 2017"/>
    <x v="0"/>
    <s v="https://drive.google.com/open?id=0ByOb8wNqoBtVS2lTMnE2M0UzVW8"/>
    <s v="00039"/>
    <s v="03 de febrero de 2017"/>
    <n v="3"/>
    <x v="2"/>
    <s v="0,17"/>
    <e v="#NAME?"/>
  </r>
  <r>
    <n v="40"/>
    <m/>
    <x v="0"/>
    <d v="2017-02-04T00:00:00"/>
    <n v="9.512000000000001E-2"/>
    <s v="Familia Fermín Rivas"/>
    <s v="angelferminb@gmail.com"/>
    <s v="Calle Güigüe Nro. 89-55"/>
    <s v="Cancelación saldo Vigilancia, mes de Febrero 2017"/>
    <x v="0"/>
    <s v="https://drive.google.com/open?id=0ByOb8wNqoBtVT1Qzd0hkN1g1OWs"/>
    <s v="00040"/>
    <s v="04 de febrero de 2017"/>
    <n v="4"/>
    <x v="2"/>
    <s v="0,10"/>
    <e v="#NAME?"/>
  </r>
  <r>
    <n v="41"/>
    <m/>
    <x v="0"/>
    <d v="2017-02-05T00:00:00"/>
    <n v="0.05"/>
    <s v="Chin Chun Ya (Goya)"/>
    <s v="uc2721@gmail.com"/>
    <s v="Calle Guacara Nro. 87-86"/>
    <s v="Colaboración Vigilancia, mes de Febrero 2017"/>
    <x v="0"/>
    <s v="https://drive.google.com/open?id=0ByOb8wNqoBtVVktmTlFfRDdlUGM"/>
    <s v="00041"/>
    <s v="05 de febrero de 2017"/>
    <n v="5"/>
    <x v="2"/>
    <s v="0,05"/>
    <e v="#NAME?"/>
  </r>
  <r>
    <n v="42"/>
    <m/>
    <x v="0"/>
    <d v="2017-02-05T00:00:00"/>
    <n v="0.04"/>
    <s v="Héctor Hernández"/>
    <s v="eof64@hotmail.com"/>
    <s v="Calle Guacara Nro. 89-94"/>
    <s v="Colaboración Vigilancia, mes de Enero 2017"/>
    <x v="0"/>
    <s v="https://drive.google.com/open?id=0ByOb8wNqoBtVNXZxU2VEOEt0RlU"/>
    <s v="00042"/>
    <s v="05 de febrero de 2017"/>
    <n v="5"/>
    <x v="2"/>
    <s v="0,04"/>
    <e v="#NAME?"/>
  </r>
  <r>
    <n v="43"/>
    <m/>
    <x v="0"/>
    <d v="2017-02-07T00:00:00"/>
    <n v="0.17"/>
    <s v="Familia Colosso Delgado"/>
    <s v="mcolosso@gmail.com"/>
    <s v="Calle Güigüe Nro. 88-44"/>
    <s v="Cancelación Vigilancia, mes de Febrero 2017"/>
    <x v="0"/>
    <s v="https://drive.google.com/open?id=0ByOb8wNqoBtVUUtRcEp5REVFOUk"/>
    <s v="00043"/>
    <s v="07 de febrero de 2017"/>
    <n v="7"/>
    <x v="2"/>
    <s v="0,17"/>
    <e v="#NAME?"/>
  </r>
  <r>
    <n v="44"/>
    <m/>
    <x v="0"/>
    <d v="2017-02-08T00:00:00"/>
    <n v="0.17"/>
    <s v="Familia Kattar González"/>
    <s v="jagiak123@yahoo.es"/>
    <s v="Calle Güigüe Nro. 89-95"/>
    <s v="Cancelación Vigilancia, mes de Enero 2017"/>
    <x v="0"/>
    <s v="https://drive.google.com/open?id=0ByOb8wNqoBtVaDZDQ2JQMkRIWjQ"/>
    <s v="00044"/>
    <s v="08 de febrero de 2017"/>
    <n v="8"/>
    <x v="2"/>
    <s v="0,17"/>
    <e v="#NAME?"/>
  </r>
  <r>
    <n v="45"/>
    <m/>
    <x v="0"/>
    <d v="2017-02-08T00:00:00"/>
    <n v="0.12"/>
    <s v="Familia Kattar González"/>
    <s v="jagiak123@yahoo.es"/>
    <s v="Calle Güigüe Nro. 89-95"/>
    <s v="Anticipo Vigilancia, mes de Febrero 2017"/>
    <x v="0"/>
    <s v="https://drive.google.com/open?id=0ByOb8wNqoBtVRDFXdWdqZF81b28"/>
    <s v="00045"/>
    <s v="08 de febrero de 2017"/>
    <n v="8"/>
    <x v="2"/>
    <s v="0,12"/>
    <e v="#NAME?"/>
  </r>
  <r>
    <n v="46"/>
    <m/>
    <x v="0"/>
    <d v="2017-02-08T00:00:00"/>
    <n v="0.17"/>
    <s v="Familia Morales Sesar"/>
    <s v="moralesesar@gmail.com"/>
    <s v="Calle Güigüe Nro. 89-120"/>
    <s v="Cancelación Vigilancia, mes de Enero 2017"/>
    <x v="0"/>
    <s v="https://drive.google.com/open?id=0ByOb8wNqoBtVT0ZSd3ZWTVMybFE"/>
    <s v="00046"/>
    <s v="08 de febrero de 2017"/>
    <n v="8"/>
    <x v="2"/>
    <s v="0,17"/>
    <e v="#NAME?"/>
  </r>
  <r>
    <n v="47"/>
    <m/>
    <x v="0"/>
    <d v="2017-02-08T00:00:00"/>
    <n v="0.02"/>
    <s v="Familia Pérez Malpica"/>
    <s v="En Físico"/>
    <s v="Calle Güigüe Nro. 88-110"/>
    <s v="Colaboración Vigilancia, mes de Enero 2017"/>
    <x v="0"/>
    <s v="https://drive.google.com/open?id=0ByOb8wNqoBtVTGt0X2pvUXozaEU"/>
    <s v="00047"/>
    <s v="08 de febrero de 2017"/>
    <n v="8"/>
    <x v="2"/>
    <s v="0,02"/>
    <e v="#NAME?"/>
  </r>
  <r>
    <n v="48"/>
    <m/>
    <x v="0"/>
    <d v="2017-02-08T00:00:00"/>
    <n v="0.03"/>
    <s v="Ma. de Jesus Alonso"/>
    <s v="marjoriealonsoh@hotmail.com"/>
    <s v="Calle Güigüe Nro. 88-30"/>
    <s v="Colaboración Vigilancia, mes de Febrero 2017"/>
    <x v="0"/>
    <s v="https://drive.google.com/open?id=0ByOb8wNqoBtVb0pxcE91dkRwNUk"/>
    <s v="00048"/>
    <s v="08 de febrero de 2017"/>
    <n v="8"/>
    <x v="2"/>
    <s v="0,03"/>
    <e v="#NAME?"/>
  </r>
  <r>
    <n v="49"/>
    <m/>
    <x v="0"/>
    <d v="2017-02-08T00:00:00"/>
    <n v="0.17"/>
    <s v="Wu Hung Fung"/>
    <s v="carolinahung24@gmail.com"/>
    <s v="Calle Guacara Nro. 90-81"/>
    <s v="Cancelación Vigilancia, mes de Febrero 2017"/>
    <x v="0"/>
    <s v="https://drive.google.com/open?id=0ByOb8wNqoBtVb1VuTmFjUDNaME0"/>
    <s v="00049"/>
    <s v="08 de febrero de 2017"/>
    <n v="8"/>
    <x v="2"/>
    <s v="0,17"/>
    <e v="#NAME?"/>
  </r>
  <r>
    <n v="50"/>
    <m/>
    <x v="0"/>
    <d v="2017-02-09T00:00:00"/>
    <n v="4.4999999999999998E-2"/>
    <s v="Familia Herrera Guada"/>
    <s v="En Físico"/>
    <s v="Calle Güigüe Nro. 89-90"/>
    <s v="Colaboración Vigilancia, mes de Febrero 2017"/>
    <x v="0"/>
    <s v="https://drive.google.com/open?id=0ByOb8wNqoBtVaXZKdk1qOVM3Tjg"/>
    <s v="00050"/>
    <s v="09 de febrero de 2017"/>
    <n v="9"/>
    <x v="2"/>
    <s v="0,05"/>
    <e v="#NAME?"/>
  </r>
  <r>
    <n v="51"/>
    <m/>
    <x v="0"/>
    <d v="2017-02-09T00:00:00"/>
    <n v="0.105"/>
    <s v="Familia Hurtado"/>
    <s v="francisco_hurtado@hotmail.com"/>
    <s v="Av. &quot;O&quot; Nro. 146-11"/>
    <s v="Colaboración Vigilancia, mes de Enero 2017"/>
    <x v="0"/>
    <s v="https://drive.google.com/open?id=0ByOb8wNqoBtVN3BPaFhSVWZpTms"/>
    <s v="00051"/>
    <s v="09 de febrero de 2017"/>
    <n v="9"/>
    <x v="2"/>
    <s v="0,11"/>
    <e v="#NAME?"/>
  </r>
  <r>
    <n v="52"/>
    <m/>
    <x v="0"/>
    <d v="2017-02-09T00:00:00"/>
    <n v="0.1"/>
    <s v="Familia Kablan Sarmiento"/>
    <s v="norisjsb56@hotmail.com"/>
    <s v="Calle Güigüe Nro. 89-80"/>
    <s v="Colaboración Vigilancia, mes de Enero 2017"/>
    <x v="0"/>
    <s v="https://drive.google.com/open?id=0ByOb8wNqoBtVdzdwOHk0RlotOEE"/>
    <s v="00052"/>
    <s v="09 de febrero de 2017"/>
    <n v="9"/>
    <x v="2"/>
    <s v="0,10"/>
    <e v="#NAME?"/>
  </r>
  <r>
    <n v="53"/>
    <m/>
    <x v="0"/>
    <d v="2017-02-11T00:00:00"/>
    <n v="0.17"/>
    <s v="Familia Acosta Carpio"/>
    <s v="pablo962@hotmail.com"/>
    <s v="Calle Güigüe Nro. 89-10"/>
    <s v="Cancelación Vigilancia, mes de Enero 2017"/>
    <x v="0"/>
    <s v="https://drive.google.com/open?id=0ByOb8wNqoBtVYlNEMFVTUC1EUjg"/>
    <s v="00053"/>
    <s v="11 de febrero de 2017"/>
    <n v="11"/>
    <x v="2"/>
    <s v="0,17"/>
    <e v="#NAME?"/>
  </r>
  <r>
    <n v="54"/>
    <m/>
    <x v="0"/>
    <d v="2017-02-12T00:00:00"/>
    <n v="0.17"/>
    <s v="Familia Ferrer Bahri"/>
    <s v="bahrimariela@hotmail.com"/>
    <s v="Calle Güigüe Nro. 89-83"/>
    <s v="Cancelación Vigilancia, mes de Febrero 2017"/>
    <x v="0"/>
    <s v="https://drive.google.com/open?id=0ByOb8wNqoBtVWnlXMTFuSzA5dm8"/>
    <s v="00054"/>
    <s v="12 de febrero de 2017"/>
    <n v="12"/>
    <x v="2"/>
    <s v="0,17"/>
    <e v="#NAME?"/>
  </r>
  <r>
    <n v="55"/>
    <m/>
    <x v="0"/>
    <d v="2017-02-12T00:00:00"/>
    <n v="0.17"/>
    <s v="Familia González Arévalo"/>
    <s v="feryenis@hotmail.com"/>
    <s v="Calle Guacara Nro. 89-86"/>
    <s v="Cancelación Vigilancia, mes de Febrero 2017"/>
    <x v="0"/>
    <s v="https://drive.google.com/open?id=0ByOb8wNqoBtVR3NHX2RBVHdMRUE"/>
    <s v="00055"/>
    <s v="12 de febrero de 2017"/>
    <n v="12"/>
    <x v="2"/>
    <s v="0,17"/>
    <e v="#NAME?"/>
  </r>
  <r>
    <n v="56"/>
    <m/>
    <x v="0"/>
    <d v="2017-02-12T00:00:00"/>
    <n v="2.0400000000000001E-2"/>
    <s v="Victoria Francischiello"/>
    <s v="victoriafrancischiello@hotmail.com"/>
    <s v="Calle Guacara Nro. 88-25"/>
    <s v="Colaboración Vigilancia, mes de Enero 2017"/>
    <x v="0"/>
    <s v="https://drive.google.com/open?id=0ByOb8wNqoBtVOFV5X3hsb2tkLXc"/>
    <s v="00056"/>
    <s v="12 de febrero de 2017"/>
    <n v="12"/>
    <x v="2"/>
    <s v="0,02"/>
    <e v="#NAME?"/>
  </r>
  <r>
    <n v="57"/>
    <m/>
    <x v="0"/>
    <d v="2017-02-13T00:00:00"/>
    <n v="0.1"/>
    <s v="Héctor Hernández"/>
    <s v="eof64@hotmail.com"/>
    <s v="Calle Guacara Nro. 89-94"/>
    <s v="Colaboración Vigilancia, mes de Febrero 2017"/>
    <x v="0"/>
    <s v="https://drive.google.com/open?id=0ByOb8wNqoBtVUjQ4Q0swVTVHZEU"/>
    <s v="00057"/>
    <s v="13 de febrero de 2017"/>
    <n v="13"/>
    <x v="2"/>
    <s v="0,10"/>
    <e v="#NAME?"/>
  </r>
  <r>
    <n v="58"/>
    <m/>
    <x v="0"/>
    <d v="2017-02-14T00:00:00"/>
    <n v="0.17"/>
    <s v="Anahiz Seijas"/>
    <s v="anahiz_2@hotmail.es"/>
    <s v="Calle Güigüe Nro. 89-106"/>
    <s v="Cancelación Vigilancia, mes de Febrero 2017"/>
    <x v="0"/>
    <s v="https://drive.google.com/open?id=0ByOb8wNqoBtVdWRXdWdtZ1YwdXM"/>
    <s v="00058"/>
    <s v="14 de febrero de 2017"/>
    <n v="14"/>
    <x v="2"/>
    <s v="0,17"/>
    <e v="#NAME?"/>
  </r>
  <r>
    <n v="59"/>
    <m/>
    <x v="0"/>
    <d v="2017-02-14T00:00:00"/>
    <n v="0.17"/>
    <s v="Beatriz Lara"/>
    <s v="valentina.gutierrez@hotmail.com"/>
    <s v="Calle Guacara Nro. 89-130"/>
    <s v="Cancelación Vigilancia, mes de Febrero 2017"/>
    <x v="0"/>
    <s v="https://drive.google.com/open?id=0ByOb8wNqoBtVWHhMdUtYekJUV1U"/>
    <s v="00059"/>
    <s v="14 de febrero de 2017"/>
    <n v="14"/>
    <x v="2"/>
    <s v="0,17"/>
    <e v="#NAME?"/>
  </r>
  <r>
    <n v="60"/>
    <m/>
    <x v="0"/>
    <d v="2017-02-14T00:00:00"/>
    <n v="0.34"/>
    <s v="Familia Del Negro Palermo"/>
    <s v="vdelnegro@gmail.com"/>
    <s v="Calle Guacara Nro. 88-45"/>
    <s v="Cancelación Vigilancia, meses de Feb-Mar 2017"/>
    <x v="0"/>
    <s v="https://drive.google.com/open?id=0ByOb8wNqoBtVM2ZQQjdkOVV6UVE"/>
    <s v="00060"/>
    <s v="14 de febrero de 2017"/>
    <n v="14"/>
    <x v="2"/>
    <s v="0,34"/>
    <e v="#NAME?"/>
  </r>
  <r>
    <n v="61"/>
    <m/>
    <x v="0"/>
    <d v="2017-02-14T00:00:00"/>
    <n v="0.17"/>
    <s v="Familia Il Grande Franceschi"/>
    <s v="arcifran75@hotmail.com"/>
    <s v="Av. &quot;I&quot; Nro. 146-40"/>
    <s v="Cancelación Vigilancia, mes de Enero 2017"/>
    <x v="0"/>
    <s v="https://drive.google.com/open?id=0ByOb8wNqoBtVQWlFM0g0XzIxcU0"/>
    <s v="00061"/>
    <s v="14 de febrero de 2017"/>
    <n v="14"/>
    <x v="2"/>
    <s v="0,17"/>
    <e v="#NAME?"/>
  </r>
  <r>
    <n v="62"/>
    <m/>
    <x v="0"/>
    <d v="2017-02-14T00:00:00"/>
    <n v="0.17"/>
    <s v="Familia Nava Gordon"/>
    <s v="maru_19_66@hotmail.com"/>
    <s v="Calle Guacara Nro. 89-78"/>
    <s v="Cancelación Vigilancia, mes de Enero 2017"/>
    <x v="0"/>
    <s v="https://drive.google.com/open?id=0ByOb8wNqoBtVTGhxT2p0M2pybG8"/>
    <s v="00062"/>
    <s v="14 de febrero de 2017"/>
    <n v="14"/>
    <x v="2"/>
    <s v="0,17"/>
    <e v="#NAME?"/>
  </r>
  <r>
    <n v="63"/>
    <m/>
    <x v="0"/>
    <d v="2017-02-14T00:00:00"/>
    <n v="0.17"/>
    <s v="Familia Ochoa Mendoza"/>
    <s v="marisoljudithm@hotmail.com"/>
    <s v="Calle Güigüe Nro. 89-105"/>
    <s v="Cancelación Vigilancia, mes de Febrero 2017"/>
    <x v="0"/>
    <s v="https://drive.google.com/open?id=0ByOb8wNqoBtVWF9BSkxwOHgzMDA"/>
    <s v="00063"/>
    <s v="14 de febrero de 2017"/>
    <n v="14"/>
    <x v="2"/>
    <s v="0,17"/>
    <e v="#NAME?"/>
  </r>
  <r>
    <n v="64"/>
    <m/>
    <x v="0"/>
    <d v="2017-02-15T00:00:00"/>
    <n v="0.17"/>
    <s v="Familia Astor Zamora"/>
    <s v="imzastor@gmail.com"/>
    <s v="Calle Güigüe Nro. 88-111"/>
    <s v="Cancelación Vigilancia, mes de Enero 2017"/>
    <x v="0"/>
    <s v="https://drive.google.com/open?id=0ByOb8wNqoBtVUnJDbUZaZ3k2NDQ"/>
    <s v="00064"/>
    <s v="15 de febrero de 2017"/>
    <n v="15"/>
    <x v="2"/>
    <s v="0,17"/>
    <e v="#NAME?"/>
  </r>
  <r>
    <n v="65"/>
    <m/>
    <x v="0"/>
    <d v="2017-02-15T00:00:00"/>
    <n v="0.17"/>
    <s v="Familia Barreto Pérez"/>
    <s v="bbetsa19@hotmail.com"/>
    <s v="Av. &quot;M&quot; Nro. 146-15"/>
    <s v="Cancelación Vigilancia, mes de Febrero 2017"/>
    <x v="0"/>
    <s v="https://drive.google.com/open?id=0ByOb8wNqoBtVVDhUS2R2Z2xoWTg"/>
    <s v="00065"/>
    <s v="15 de febrero de 2017"/>
    <n v="15"/>
    <x v="2"/>
    <s v="0,17"/>
    <e v="#NAME?"/>
  </r>
  <r>
    <n v="66"/>
    <m/>
    <x v="0"/>
    <d v="2017-02-15T00:00:00"/>
    <n v="0.17"/>
    <s v="Familia Castillo Mena"/>
    <s v="emmecas@hotmail.com"/>
    <s v="Calle Güigüe Nro. 88-101"/>
    <s v="Cancelación Vigilancia, mes de Enero 2017"/>
    <x v="0"/>
    <s v="https://drive.google.com/open?id=0ByOb8wNqoBtVTlB1OEItUXRHYk0"/>
    <s v="00066"/>
    <s v="15 de febrero de 2017"/>
    <n v="15"/>
    <x v="2"/>
    <s v="0,17"/>
    <e v="#NAME?"/>
  </r>
  <r>
    <n v="67"/>
    <m/>
    <x v="0"/>
    <d v="2017-02-15T00:00:00"/>
    <n v="0.17"/>
    <s v="Familia Castillo Rodríguez"/>
    <s v="vesperanzacastillor@gmail.com"/>
    <s v="Calle Güigüe Nro. 88-91"/>
    <s v="Cancelación Vigilancia, mes de Enero 2017"/>
    <x v="0"/>
    <s v="https://drive.google.com/open?id=0ByOb8wNqoBtVakxqRFctYlFad0U"/>
    <s v="00067"/>
    <s v="15 de febrero de 2017"/>
    <n v="15"/>
    <x v="2"/>
    <s v="0,17"/>
    <e v="#NAME?"/>
  </r>
  <r>
    <n v="68"/>
    <m/>
    <x v="0"/>
    <d v="2017-02-15T00:00:00"/>
    <n v="0.34"/>
    <s v="Familia López Hermoso"/>
    <s v="lopez.humberto14@yahoo.com.ve"/>
    <s v="Calle Güigüe Nro. 89-79"/>
    <s v="Cancelación Vigilancia, meses de Ene-Feb 2017"/>
    <x v="0"/>
    <s v="https://drive.google.com/open?id=0ByOb8wNqoBtVNFRlVVkyeENWb3c"/>
    <s v="00068"/>
    <s v="15 de febrero de 2017"/>
    <n v="15"/>
    <x v="2"/>
    <s v="0,34"/>
    <e v="#NAME?"/>
  </r>
  <r>
    <n v="69"/>
    <m/>
    <x v="0"/>
    <d v="2017-02-15T00:00:00"/>
    <n v="0.1"/>
    <s v="Victoria Francischiello"/>
    <s v="victoriafrancischiello@hotmail.com"/>
    <s v="Calle Guacara Nro. 88-25"/>
    <s v="Colaboración Vigilancia, mes de Febrero 2017"/>
    <x v="0"/>
    <s v="https://drive.google.com/open?id=0ByOb8wNqoBtVSG1iQnZKWnJRTGM"/>
    <s v="00069"/>
    <s v="15 de febrero de 2017"/>
    <n v="15"/>
    <x v="2"/>
    <s v="0,10"/>
    <e v="#NAME?"/>
  </r>
  <r>
    <n v="70"/>
    <m/>
    <x v="1"/>
    <d v="2017-02-16T00:00:00"/>
    <n v="1.7"/>
    <s v="Familia Del Negro Palermo"/>
    <s v="vdelnegro@gmail.com"/>
    <s v="Calle Guacara Nro. 88-45"/>
    <s v="Anticipo Vigilancia y compra de control"/>
    <x v="1"/>
    <s v="https://drive.google.com/open?id=0ByOb8wNqoBtVbWtSbzJfSnl2NkE"/>
    <s v="00070"/>
    <s v="16 de febrero de 2017"/>
    <n v="16"/>
    <x v="2"/>
    <s v="1,70"/>
    <e v="#NAME?"/>
  </r>
  <r>
    <n v="71"/>
    <m/>
    <x v="0"/>
    <d v="2017-02-16T00:00:00"/>
    <n v="0.17"/>
    <s v="Familia Fernández Parés"/>
    <s v="vultecca@gmail.com"/>
    <s v="Calle Guacara Nro. 88-75"/>
    <s v="Cancelación Vigilancia, mes de Febrero 2017"/>
    <x v="0"/>
    <s v="https://drive.google.com/open?id=0ByOb8wNqoBtVdXUwLVFWVWlEUDA"/>
    <s v="00071"/>
    <s v="16 de febrero de 2017"/>
    <n v="16"/>
    <x v="2"/>
    <s v="0,17"/>
    <e v="#NAME?"/>
  </r>
  <r>
    <n v="72"/>
    <m/>
    <x v="0"/>
    <d v="2017-02-16T00:00:00"/>
    <n v="0.17"/>
    <s v="Familia Jiménez Navarro"/>
    <s v="joyasonline2012@gmail.com"/>
    <s v="Calle Güigüe Nro. 88-50"/>
    <s v="Cancelación Vigilancia, mes de Enero 2017"/>
    <x v="0"/>
    <s v="https://drive.google.com/open?id=0ByOb8wNqoBtVUllDQVNEdWdNVjg"/>
    <s v="00072"/>
    <s v="16 de febrero de 2017"/>
    <n v="16"/>
    <x v="2"/>
    <s v="0,17"/>
    <e v="#NAME?"/>
  </r>
  <r>
    <n v="73"/>
    <m/>
    <x v="0"/>
    <d v="2017-02-16T00:00:00"/>
    <n v="0.17"/>
    <s v="Familia Lomeña Agudo"/>
    <s v="claudialomena@hotmail.com"/>
    <s v="Calle Guacara Nro. 89-30"/>
    <s v="Cancelación Vigilancia, mes de Febrero 2017"/>
    <x v="0"/>
    <s v="https://drive.google.com/open?id=0ByOb8wNqoBtVcDFJWTY3dkhSZWc"/>
    <s v="00073"/>
    <s v="16 de febrero de 2017"/>
    <n v="16"/>
    <x v="2"/>
    <s v="0,17"/>
    <e v="#NAME?"/>
  </r>
  <r>
    <n v="74"/>
    <m/>
    <x v="0"/>
    <d v="2017-02-17T00:00:00"/>
    <n v="0.17"/>
    <s v="Familia Navarro Assing"/>
    <s v="liliaassing@gmail.com"/>
    <s v="Calle Güigüe Nro. 88-54"/>
    <s v="Cancelación Vigilancia, mes de Febrero 2017"/>
    <x v="0"/>
    <s v="https://drive.google.com/open?id=0ByOb8wNqoBtVcWc4NWNJMzBqakE"/>
    <s v="00074"/>
    <s v="17 de febrero de 2017"/>
    <n v="17"/>
    <x v="2"/>
    <s v="0,17"/>
    <e v="#NAME?"/>
  </r>
  <r>
    <n v="75"/>
    <m/>
    <x v="0"/>
    <d v="2017-02-17T00:00:00"/>
    <n v="0.17"/>
    <s v="Familia Nava Gordon"/>
    <s v="maru_19_66@hotmail.com"/>
    <s v="Calle Guacara Nro. 89-78"/>
    <s v="Cancelación Vigilancia, mes de Febrero 2017"/>
    <x v="0"/>
    <s v="https://drive.google.com/open?id=0ByOb8wNqoBtVRG13cEJ2M3poNFk"/>
    <s v="00075"/>
    <s v="17 de febrero de 2017"/>
    <n v="17"/>
    <x v="2"/>
    <s v="0,17"/>
    <e v="#NAME?"/>
  </r>
  <r>
    <n v="76"/>
    <m/>
    <x v="0"/>
    <d v="2017-02-18T00:00:00"/>
    <n v="0.17"/>
    <s v="Familia Arcia Polanco"/>
    <s v="misipo29@gmail.com"/>
    <s v="Calle Guacara Nro. 89-20"/>
    <s v="Cancelación Vigilancia, mes de Febrero 2017"/>
    <x v="0"/>
    <s v="https://drive.google.com/open?id=0ByOb8wNqoBtVR0hrSGxIT3dpNkk"/>
    <s v="00076"/>
    <s v="18 de febrero de 2017"/>
    <n v="18"/>
    <x v="2"/>
    <s v="0,17"/>
    <e v="#NAME?"/>
  </r>
  <r>
    <n v="77"/>
    <m/>
    <x v="0"/>
    <d v="2017-02-18T00:00:00"/>
    <n v="0.17"/>
    <s v="Familia Castro Jiménez"/>
    <s v="0426-543.4303"/>
    <s v="Calle Guacara Nro. 90-51"/>
    <s v="Cancelación Vigilancia, mes de Febrero 2017"/>
    <x v="0"/>
    <s v="https://drive.google.com/open?id=0ByOb8wNqoBtVSTZKZWhwQ1hZODA"/>
    <s v="00077"/>
    <s v="18 de febrero de 2017"/>
    <n v="18"/>
    <x v="2"/>
    <s v="0,17"/>
    <e v="#NAME?"/>
  </r>
  <r>
    <n v="78"/>
    <m/>
    <x v="0"/>
    <d v="2017-02-18T00:00:00"/>
    <n v="0.14000000000000001"/>
    <s v="Familia Manrique Riera"/>
    <s v="patriciamanrique@gmail.com"/>
    <s v="Calle Guacara Nro. 89-40"/>
    <s v="Anticipo Vigilancia, mes de Enero 2017"/>
    <x v="0"/>
    <s v="https://drive.google.com/open?id=0ByOb8wNqoBtVM2RKU0ZLUldzR1U"/>
    <s v="00078"/>
    <s v="18 de febrero de 2017"/>
    <n v="18"/>
    <x v="2"/>
    <s v="0,14"/>
    <e v="#NAME?"/>
  </r>
  <r>
    <n v="79"/>
    <m/>
    <x v="0"/>
    <d v="2017-02-18T00:00:00"/>
    <n v="0.1"/>
    <s v="Familia Narváez Caldera"/>
    <s v="jeannette_nc@yahoo.com"/>
    <s v="Calle Güigüe Nro. 87-A-11"/>
    <s v="Anticipo Vigilancia, mes de Enero 2017"/>
    <x v="0"/>
    <s v="https://drive.google.com/open?id=0ByOb8wNqoBtVeTdod09mT0JMdnc"/>
    <s v="00079"/>
    <s v="18 de febrero de 2017"/>
    <n v="18"/>
    <x v="2"/>
    <s v="0,10"/>
    <e v="#NAME?"/>
  </r>
  <r>
    <n v="80"/>
    <m/>
    <x v="0"/>
    <d v="2017-02-18T00:00:00"/>
    <n v="0.17"/>
    <s v="Familia Sayago Peñaranda"/>
    <s v="alexissayago@gmail.com"/>
    <s v="Calle Güigüe Nro. 89-04"/>
    <s v="Cancelación Vigilancia, mes de Febrero 2017"/>
    <x v="0"/>
    <s v="https://drive.google.com/open?id=0ByOb8wNqoBtVOFNfaUFxSXA2MFk"/>
    <s v="00080"/>
    <s v="18 de febrero de 2017"/>
    <n v="18"/>
    <x v="2"/>
    <s v="0,17"/>
    <e v="#NAME?"/>
  </r>
  <r>
    <n v="81"/>
    <m/>
    <x v="0"/>
    <d v="2017-02-18T00:00:00"/>
    <n v="0.34"/>
    <s v="Familia Scabuzzo Gómez"/>
    <s v="sfscabuzzo@msn.com"/>
    <s v="Av. &quot;I&quot; Nro. 146-20"/>
    <s v="Cancelación Vigilancia, meses de Ene-Feb 2017"/>
    <x v="0"/>
    <s v="https://drive.google.com/open?id=0ByOb8wNqoBtVbGFhMEVMdDkwS2M"/>
    <s v="00081"/>
    <s v="18 de febrero de 2017"/>
    <n v="18"/>
    <x v="2"/>
    <s v="0,34"/>
    <e v="#NAME?"/>
  </r>
  <r>
    <n v="82"/>
    <m/>
    <x v="0"/>
    <d v="2017-02-19T00:00:00"/>
    <n v="0.06"/>
    <s v="Zoraida Khair"/>
    <s v="zorakhair@hotmail.com"/>
    <s v="Calle Güigüe Nro. 88-80"/>
    <s v="Colaboración Vigilancia, mes de Febrero 2017"/>
    <x v="0"/>
    <s v="https://drive.google.com/open?id=0ByOb8wNqoBtVTm16QVpmaGpjcDg"/>
    <s v="00082"/>
    <s v="19 de febrero de 2017"/>
    <n v="19"/>
    <x v="2"/>
    <s v="0,06"/>
    <e v="#NAME?"/>
  </r>
  <r>
    <n v="83"/>
    <m/>
    <x v="0"/>
    <d v="2017-02-20T00:00:00"/>
    <n v="0.02"/>
    <s v="Familia Flores Montagne"/>
    <s v="namaricakes@gmail.com"/>
    <s v="Av. &quot;M&quot; Nro. 146-20"/>
    <s v="Colaboración Vigilancia, mes de Febrero 2017"/>
    <x v="0"/>
    <s v="https://drive.google.com/open?id=0ByOb8wNqoBtVbzFKV21LSDBaMTQ"/>
    <s v="00083"/>
    <s v="20 de febrero de 2017"/>
    <n v="20"/>
    <x v="2"/>
    <s v="0,02"/>
    <e v="#NAME?"/>
  </r>
  <r>
    <n v="84"/>
    <m/>
    <x v="0"/>
    <d v="2017-02-20T00:00:00"/>
    <n v="0.17"/>
    <s v="Familia Jiménez Navarro"/>
    <s v="joyasonline2012@gmail.com"/>
    <s v="Calle Güigüe Nro. 88-50"/>
    <s v="Cancelación Vigilancia, mes de Febrero 2017"/>
    <x v="0"/>
    <s v="https://drive.google.com/open?id=0ByOb8wNqoBtVblhXQTV6U0ZQN2s"/>
    <s v="00084"/>
    <s v="20 de febrero de 2017"/>
    <n v="20"/>
    <x v="2"/>
    <s v="0,17"/>
    <e v="#NAME?"/>
  </r>
  <r>
    <n v="85"/>
    <m/>
    <x v="0"/>
    <d v="2017-02-20T00:00:00"/>
    <n v="0.1"/>
    <s v="Familia Kablan Sarmiento"/>
    <s v="norisjsb56@hotmail.com"/>
    <s v="Calle Güigüe Nro. 89-80"/>
    <s v="Colaboración Vigilancia, mes de Febrero 2017"/>
    <x v="0"/>
    <s v="https://drive.google.com/open?id=0ByOb8wNqoBtVYjBuQ3lYdlJqM2M"/>
    <s v="00085"/>
    <s v="20 de febrero de 2017"/>
    <n v="20"/>
    <x v="2"/>
    <s v="0,10"/>
    <e v="#NAME?"/>
  </r>
  <r>
    <n v="86"/>
    <m/>
    <x v="0"/>
    <d v="2017-02-20T00:00:00"/>
    <n v="0.17"/>
    <s v="Familia Matta Palomino"/>
    <s v="normaapm@hotmail.com"/>
    <s v="Calle Güigüe Nro. 88-90"/>
    <s v="Cancelación Vigilancia, mes de Febrero 2017"/>
    <x v="0"/>
    <s v="https://drive.google.com/open?id=0ByOb8wNqoBtVdTZiMWp5M1djRlE"/>
    <s v="00086"/>
    <s v="20 de febrero de 2017"/>
    <n v="20"/>
    <x v="2"/>
    <s v="0,17"/>
    <e v="#NAME?"/>
  </r>
  <r>
    <n v="87"/>
    <m/>
    <x v="0"/>
    <d v="2017-02-20T00:00:00"/>
    <n v="0.17"/>
    <s v="Familia Puerta Burguillos"/>
    <s v="namaricakes@gmail.com"/>
    <s v="Calle Guacara Nro. 87-100"/>
    <s v="Cancelación Vigilancia, mes de Febrero 2017"/>
    <x v="0"/>
    <s v="https://drive.google.com/open?id=0ByOb8wNqoBtVeHJtMFp0d3Zxd0k"/>
    <s v="00087"/>
    <s v="20 de febrero de 2017"/>
    <n v="20"/>
    <x v="2"/>
    <s v="0,17"/>
    <e v="#NAME?"/>
  </r>
  <r>
    <n v="88"/>
    <m/>
    <x v="0"/>
    <d v="2017-02-22T00:00:00"/>
    <n v="0.34"/>
    <s v="Ana de González"/>
    <s v="mikelnowak25@gmail.com"/>
    <s v="Av. &quot;O&quot; Nro. 146-17"/>
    <s v="Cancelación Vigilancia, meses de Ene-Feb 2017"/>
    <x v="0"/>
    <s v="https://drive.google.com/open?id=0ByOb8wNqoBtVTmhhUDVjeEk4VTg"/>
    <s v="00088"/>
    <s v="22 de febrero de 2017"/>
    <n v="22"/>
    <x v="2"/>
    <s v="0,34"/>
    <e v="#NAME?"/>
  </r>
  <r>
    <n v="89"/>
    <m/>
    <x v="0"/>
    <d v="2017-02-22T00:00:00"/>
    <n v="0.34"/>
    <s v="Familia Loponte Arteaga"/>
    <s v="nancyloponte@hotmail.com"/>
    <s v="Calle Güigüe Nro. 88-120"/>
    <s v="Cancelación Vigilancia, meses de Feb-Mar 2017"/>
    <x v="0"/>
    <s v="https://drive.google.com/open?id=0ByOb8wNqoBtVMVAxRHh5N0RINDA"/>
    <s v="00089"/>
    <s v="22 de febrero de 2017"/>
    <n v="22"/>
    <x v="2"/>
    <s v="0,34"/>
    <e v="#NAME?"/>
  </r>
  <r>
    <n v="90"/>
    <m/>
    <x v="0"/>
    <d v="2017-02-23T00:00:00"/>
    <n v="0.17"/>
    <s v="Amarilis Guerra"/>
    <s v="amarilisguerra1@yahoo.com"/>
    <s v="Calle Güigüe Nro. 89-96"/>
    <s v="Cancelación Vigilancia, mes de Febrero 2017"/>
    <x v="0"/>
    <s v="https://drive.google.com/open?id=0ByOb8wNqoBtVbmRuMUwxWTU0dE0"/>
    <s v="00090"/>
    <s v="23 de febrero de 2017"/>
    <n v="23"/>
    <x v="2"/>
    <s v="0,17"/>
    <e v="#NAME?"/>
  </r>
  <r>
    <n v="91"/>
    <m/>
    <x v="0"/>
    <d v="2017-02-23T00:00:00"/>
    <n v="0.105"/>
    <s v="Familia Hoyte Rafmari"/>
    <s v="0412-741.3242"/>
    <s v="Av. &quot;I&quot; Nro. 146-30"/>
    <s v="Colaboración Vigilancia, mes de Enero 2017"/>
    <x v="0"/>
    <s v="https://drive.google.com/open?id=0ByOb8wNqoBtVMC1WZ3ZxQlNDdnM"/>
    <s v="00091"/>
    <s v="23 de febrero de 2017"/>
    <n v="23"/>
    <x v="2"/>
    <s v="0,11"/>
    <e v="#NAME?"/>
  </r>
  <r>
    <n v="92"/>
    <m/>
    <x v="0"/>
    <d v="2017-02-23T00:00:00"/>
    <n v="0.17"/>
    <s v="Familia Morales Sesar"/>
    <s v="moralesesar@gmail.com"/>
    <s v="Calle Güigüe Nro. 89-120"/>
    <s v="Cancelación Vigilancia, mes de Febrero 2017"/>
    <x v="0"/>
    <s v="https://drive.google.com/open?id=0ByOb8wNqoBtVY3BmbmVXU1BhRGc"/>
    <s v="00092"/>
    <s v="23 de febrero de 2017"/>
    <n v="23"/>
    <x v="2"/>
    <s v="0,17"/>
    <e v="#NAME?"/>
  </r>
  <r>
    <n v="93"/>
    <m/>
    <x v="0"/>
    <d v="2017-02-24T00:00:00"/>
    <n v="0.2"/>
    <s v="Familia García Hurtado"/>
    <s v="0414-241.8055"/>
    <s v="Calle Guacara Nro. 90-110"/>
    <s v="Colaboración Vigilancia, meses de Enero y Febrero 2017"/>
    <x v="0"/>
    <s v="https://drive.google.com/open?id=0ByOb8wNqoBtVODlZNnBTM1Z6NlU"/>
    <s v="00093"/>
    <s v="24 de febrero de 2017"/>
    <n v="24"/>
    <x v="2"/>
    <s v="0,20"/>
    <e v="#NAME?"/>
  </r>
  <r>
    <n v="94"/>
    <m/>
    <x v="0"/>
    <d v="2017-02-24T00:00:00"/>
    <n v="0.16"/>
    <s v="Familia Jiménez Salvatierra"/>
    <s v="0414-582.8909"/>
    <s v="Calle Güigüe Nro. 89-45"/>
    <s v="Anticipo Vigilancia, mes de Enero 2017"/>
    <x v="0"/>
    <s v="https://drive.google.com/open?id=0ByOb8wNqoBtVWHVhTFJKcGZHWUk"/>
    <s v="00094"/>
    <s v="24 de febrero de 2017"/>
    <n v="24"/>
    <x v="2"/>
    <s v="0,16"/>
    <e v="#NAME?"/>
  </r>
  <r>
    <n v="95"/>
    <m/>
    <x v="0"/>
    <d v="2017-02-23T00:00:00"/>
    <n v="0.2"/>
    <s v="Familia Zavarce Barón"/>
    <s v="0414-241.8055"/>
    <s v="Calle Guacara Nro. 88-91"/>
    <s v="Colaboración Vigilancia, meses de Enero y Febrero 2017"/>
    <x v="0"/>
    <s v="https://drive.google.com/open?id=0ByOb8wNqoBtVRHRIOGp5T3BLbmc"/>
    <s v="00095"/>
    <s v="23 de febrero de 2017"/>
    <n v="23"/>
    <x v="2"/>
    <s v="0,20"/>
    <e v="#NAME?"/>
  </r>
  <r>
    <n v="96"/>
    <m/>
    <x v="0"/>
    <d v="2017-02-24T00:00:00"/>
    <n v="0.34"/>
    <s v="Familia Piñero Padilla"/>
    <s v="achepaul2005@hotmail.com"/>
    <s v="Calle Güigüe Nro. 89-21"/>
    <s v="Cancelación Vigilancia, meses de Ene-Feb 2017"/>
    <x v="0"/>
    <s v="https://drive.google.com/open?id=0ByOb8wNqoBtVOE52UWMwV2J5ajg"/>
    <s v="00096"/>
    <s v="24 de febrero de 2017"/>
    <n v="24"/>
    <x v="2"/>
    <s v="0,34"/>
    <e v="#NAME?"/>
  </r>
  <r>
    <n v="97"/>
    <m/>
    <x v="0"/>
    <d v="2017-02-24T00:00:00"/>
    <n v="0.03"/>
    <s v="Silvia Power"/>
    <s v="spowermeneses@gmail.com"/>
    <s v="Calle Güigüe Nro. 89-16"/>
    <s v="Colaboración Vigilancia, meses de Ene-Feb 2017"/>
    <x v="0"/>
    <s v="https://drive.google.com/open?id=0ByOb8wNqoBtVd01iVE5RNTlwbXM"/>
    <s v="00097"/>
    <s v="24 de febrero de 2017"/>
    <n v="24"/>
    <x v="2"/>
    <s v="0,03"/>
    <e v="#NAME?"/>
  </r>
  <r>
    <n v="98"/>
    <m/>
    <x v="0"/>
    <d v="2017-02-25T00:00:00"/>
    <n v="0.2"/>
    <s v="Familia Gascón Domínguez"/>
    <s v="vrgascon@gmail.com"/>
    <s v="Calle Güigüe Nro. 88-70"/>
    <s v="Colaboración Vigilancia, meses de Ene-Feb 2017"/>
    <x v="0"/>
    <s v="https://drive.google.com/open?id=0ByOb8wNqoBtVSnQtSDhQbFktRmc"/>
    <s v="00098"/>
    <s v="25 de febrero de 2017"/>
    <n v="25"/>
    <x v="2"/>
    <s v="0,20"/>
    <e v="#NAME?"/>
  </r>
  <r>
    <n v="99"/>
    <m/>
    <x v="0"/>
    <d v="2017-02-25T00:00:00"/>
    <n v="0.105"/>
    <s v="Familia Méndez Parra"/>
    <s v="briceidamp@hotmail.com"/>
    <s v="Calle Guacara Nro. 88-19"/>
    <s v="Colaboración Vigilancia, mes de Febrero 2017"/>
    <x v="0"/>
    <s v="https://drive.google.com/open?id=0ByOb8wNqoBtVTllwTk1GcEZFZVE"/>
    <s v="00099"/>
    <s v="25 de febrero de 2017"/>
    <n v="25"/>
    <x v="2"/>
    <s v="0,11"/>
    <e v="#NAME?"/>
  </r>
  <r>
    <n v="100"/>
    <m/>
    <x v="0"/>
    <d v="2017-03-01T00:00:00"/>
    <n v="0.14199999999999999"/>
    <s v="Familia Puerta Burguillos"/>
    <s v="namaricakes@gmail.com"/>
    <s v="Calle Guacara Nro. 87-100"/>
    <s v="Anticipo Vigilancia, mes de Marzo 2017"/>
    <x v="0"/>
    <s v="https://drive.google.com/open?id=0ByOb8wNqoBtVSTY3V2lRMUxyTzQ"/>
    <s v="00100"/>
    <s v="01 de marzo de 2017"/>
    <n v="1"/>
    <x v="3"/>
    <s v="0,14"/>
    <e v="#NAME?"/>
  </r>
  <r>
    <n v="101"/>
    <m/>
    <x v="0"/>
    <d v="2017-03-02T00:00:00"/>
    <n v="0.06"/>
    <s v="Familia Rivero"/>
    <s v="En Físico"/>
    <s v="Calle Güigüe Nro. 88-40"/>
    <s v="Colaboración Vigilancia, meses de Ene-Feb 2017"/>
    <x v="0"/>
    <s v="https://drive.google.com/open?id=0ByOb8wNqoBtVU1lmUmtjYmFJOEU"/>
    <s v="00101"/>
    <s v="02 de marzo de 2017"/>
    <n v="2"/>
    <x v="3"/>
    <s v="0,06"/>
    <e v="#NAME?"/>
  </r>
  <r>
    <n v="102"/>
    <m/>
    <x v="0"/>
    <d v="2017-03-02T00:00:00"/>
    <n v="0.17"/>
    <s v="Wu Hung Fung"/>
    <s v="carolinahung24@gmail.com"/>
    <s v="Calle Guacara Nro. 90-81"/>
    <s v="Cancelación Vigilancia, mes de Marzo 2017"/>
    <x v="0"/>
    <s v="https://drive.google.com/open?id=0ByOb8wNqoBtVXzBQUk5oOTdOdnc"/>
    <s v="00102"/>
    <s v="02 de marzo de 2017"/>
    <n v="2"/>
    <x v="3"/>
    <s v="0,17"/>
    <e v="#NAME?"/>
  </r>
  <r>
    <n v="103"/>
    <m/>
    <x v="0"/>
    <d v="2017-03-02T00:00:00"/>
    <n v="0.02"/>
    <s v="Wu Hung Fung"/>
    <s v="carolinahung24@gmail.com"/>
    <s v="Calle Guacara Nro. 90-81"/>
    <s v="Donación Vigilancia, mes de Marzo 2017"/>
    <x v="0"/>
    <s v="https://drive.google.com/open?id=0ByOb8wNqoBtVeUlCb3hya095NGc"/>
    <s v="00103"/>
    <s v="02 de marzo de 2017"/>
    <n v="2"/>
    <x v="3"/>
    <s v="0,02"/>
    <e v="#NAME?"/>
  </r>
  <r>
    <n v="104"/>
    <m/>
    <x v="0"/>
    <d v="2017-03-03T00:00:00"/>
    <n v="0.24000000000000002"/>
    <s v="Familia Narváez Caldera"/>
    <s v="jeannette_nc@yahoo.com"/>
    <s v="Calle Güigüe Nro. 87-A-11"/>
    <s v="Cancelación Saldo Vigilancia, mes de Enero 2017 y cancelación Vigilancia, mes de Febrero 2017"/>
    <x v="0"/>
    <s v="https://drive.google.com/open?id=0ByOb8wNqoBtVdUo1SDNIdi1tRm8"/>
    <s v="00104"/>
    <s v="03 de marzo de 2017"/>
    <n v="3"/>
    <x v="3"/>
    <s v="0,24"/>
    <e v="#NAME?"/>
  </r>
  <r>
    <n v="105"/>
    <m/>
    <x v="0"/>
    <d v="2017-03-03T00:00:00"/>
    <n v="0.17"/>
    <s v="Dra. Lilia Magallanes"/>
    <s v="liliamagallanes2010@gmail.com"/>
    <s v="Calle Güigüe Nro. 88-51"/>
    <s v="Colaboración Vigilancia, meses de Ene-Mar 2017"/>
    <x v="0"/>
    <s v="https://drive.google.com/open?id=0ByOb8wNqoBtVRFlqUkZfeGp5M28"/>
    <s v="00105"/>
    <s v="03 de marzo de 2017"/>
    <n v="3"/>
    <x v="3"/>
    <s v="0,17"/>
    <e v="#NAME?"/>
  </r>
  <r>
    <n v="106"/>
    <m/>
    <x v="0"/>
    <d v="2017-03-05T00:00:00"/>
    <n v="7.0000000000000007E-2"/>
    <s v="Chin Chun Ya (Goya)"/>
    <s v="uc2721@gmail.com"/>
    <s v="Calle Guacara Nro. 87-86"/>
    <s v="Colaboración Vigilancia, mes de Marzo 2017"/>
    <x v="0"/>
    <s v="https://drive.google.com/open?id=0ByOb8wNqoBtVdlNhb0wyRkNIOTQ"/>
    <s v="00106"/>
    <s v="05 de marzo de 2017"/>
    <n v="5"/>
    <x v="3"/>
    <s v="0,07"/>
    <e v="#NAME?"/>
  </r>
  <r>
    <n v="107"/>
    <m/>
    <x v="0"/>
    <d v="2017-03-05T00:00:00"/>
    <n v="0.34"/>
    <s v="Familia Zavarce Pérez"/>
    <s v="En Físico"/>
    <s v="Calle Guacara Nro. 90-35"/>
    <s v="Cancelación Vigilancia, meses de Ene-Feb 2017"/>
    <x v="0"/>
    <s v="https://drive.google.com/open?id=0ByOb8wNqoBtVakQ5Z2l1RTAtNGs"/>
    <s v="00107"/>
    <s v="05 de marzo de 2017"/>
    <n v="5"/>
    <x v="3"/>
    <s v="0,34"/>
    <e v="#NAME?"/>
  </r>
  <r>
    <n v="108"/>
    <m/>
    <x v="0"/>
    <d v="2017-03-05T00:00:00"/>
    <n v="0.03"/>
    <s v="Familia Zavarce Pérez"/>
    <s v="En Físico"/>
    <s v="Calle Guacara Nro. 90-35"/>
    <s v="Anticipo Vigilancia, mes de Marzo 2017"/>
    <x v="0"/>
    <s v="https://drive.google.com/open?id=0ByOb8wNqoBtVcVZvTjdxQUE4cUk"/>
    <s v="00108"/>
    <s v="05 de marzo de 2017"/>
    <n v="5"/>
    <x v="3"/>
    <s v="0,03"/>
    <e v="#NAME?"/>
  </r>
  <r>
    <n v="109"/>
    <m/>
    <x v="0"/>
    <d v="2017-03-06T00:00:00"/>
    <n v="0.26500000000000001"/>
    <s v="Familia Hatem Medina"/>
    <s v="hhatem1@hotmail.com"/>
    <s v="Calle Guacara Nro. 88-51"/>
    <s v="Colaboración Vigilancia, meses de Ene-Feb 2017"/>
    <x v="0"/>
    <s v="https://drive.google.com/open?id=0ByOb8wNqoBtVOVluZ3Z6aGNXSjg"/>
    <s v="00109"/>
    <s v="06 de marzo de 2017"/>
    <n v="6"/>
    <x v="3"/>
    <s v="0,27"/>
    <e v="#NAME?"/>
  </r>
  <r>
    <n v="110"/>
    <m/>
    <x v="0"/>
    <d v="2017-03-08T00:00:00"/>
    <n v="0.17"/>
    <s v="Familia Colosso Delgado"/>
    <s v="mcolosso@gmail.com"/>
    <s v="Calle Güigüe Nro. 88-44"/>
    <s v="Cancelación Vigilancia, mes de Marzo 2017"/>
    <x v="0"/>
    <s v="https://drive.google.com/open?id=0ByOb8wNqoBtVUlpEa2NybWVrNWc"/>
    <s v="00110"/>
    <s v="08 de marzo de 2017"/>
    <n v="8"/>
    <x v="3"/>
    <s v="0,17"/>
    <e v="#NAME?"/>
  </r>
  <r>
    <n v="111"/>
    <m/>
    <x v="0"/>
    <d v="2017-03-08T00:00:00"/>
    <n v="0.17"/>
    <s v="Familia Fermín Rivas"/>
    <s v="angelferminb@gmail.com"/>
    <s v="Calle Güigüe Nro. 89-55"/>
    <s v="Cancelación Vigilancia, mes de Marzo 2017"/>
    <x v="0"/>
    <s v="https://drive.google.com/open?id=0ByOb8wNqoBtVd1Bha1RaTXJVTW8"/>
    <s v="00111"/>
    <s v="08 de marzo de 2017"/>
    <n v="8"/>
    <x v="3"/>
    <s v="0,17"/>
    <e v="#NAME?"/>
  </r>
  <r>
    <n v="112"/>
    <m/>
    <x v="0"/>
    <d v="2017-03-08T00:00:00"/>
    <n v="0.17"/>
    <s v="Familia Il Grande Franceschi"/>
    <s v="arcifran75@hotmail.com"/>
    <s v="Av. &quot;I&quot; Nro. 146-40"/>
    <s v="Cancelación Vigilancia, mes de Febrero 2017"/>
    <x v="0"/>
    <s v="https://drive.google.com/open?id=0ByOb8wNqoBtVTjVGLW5McTNyTEU"/>
    <s v="00112"/>
    <s v="08 de marzo de 2017"/>
    <n v="8"/>
    <x v="3"/>
    <s v="0,17"/>
    <e v="#NAME?"/>
  </r>
  <r>
    <n v="113"/>
    <m/>
    <x v="0"/>
    <d v="2017-03-08T00:00:00"/>
    <n v="0.35000000000000003"/>
    <s v="Familia Jiménez Salvatierra"/>
    <s v="0414-582.8909"/>
    <s v="Calle Güigüe Nro. 89-45"/>
    <s v="Cancelación Saldo Vigilancia, mes de Enero 2017 y cancelación Vigilancia, meses de Feb-Mar 2017"/>
    <x v="0"/>
    <s v="https://drive.google.com/open?id=0ByOb8wNqoBtVVTZMQ3JGNkpOQ2s"/>
    <s v="00113"/>
    <s v="08 de marzo de 2017"/>
    <n v="8"/>
    <x v="3"/>
    <s v="0,35"/>
    <e v="#NAME?"/>
  </r>
  <r>
    <n v="114"/>
    <m/>
    <x v="0"/>
    <d v="2017-03-08T00:00:00"/>
    <n v="0.17"/>
    <s v="Familia Lomeña Agudo"/>
    <s v="claudialomena@hotmail.com"/>
    <s v="Calle Guacara Nro. 89-30"/>
    <s v="Cancelación Vigilancia, mes de Marzo 2017"/>
    <x v="0"/>
    <s v="https://drive.google.com/open?id=0ByOb8wNqoBtVc182N2Job1dvOVk"/>
    <s v="00114"/>
    <s v="08 de marzo de 2017"/>
    <n v="8"/>
    <x v="3"/>
    <s v="0,17"/>
    <e v="#NAME?"/>
  </r>
  <r>
    <n v="115"/>
    <m/>
    <x v="0"/>
    <d v="2017-03-08T00:00:00"/>
    <n v="0.34"/>
    <s v="Familia Franco Gómez"/>
    <s v="eof64@hotmail.com"/>
    <s v="Calle Guacara Nro. 87-07"/>
    <s v="Cancelación Vigilancia, meses de Ene-Feb 2017"/>
    <x v="0"/>
    <s v="https://drive.google.com/open?id=0ByOb8wNqoBtVY2hIMjBnenBHUlU"/>
    <s v="00115"/>
    <s v="08 de marzo de 2017"/>
    <n v="8"/>
    <x v="3"/>
    <s v="0,34"/>
    <e v="#NAME?"/>
  </r>
  <r>
    <n v="116"/>
    <m/>
    <x v="0"/>
    <d v="2017-03-08T00:00:00"/>
    <n v="0.34"/>
    <s v="Sra. Reina Meléndez"/>
    <s v="olgajipe@gmail.com"/>
    <s v="Av. &quot;M&quot; Nro. 145-10"/>
    <s v="Cancelación Vigilancia, meses de Ene-Feb 2017"/>
    <x v="0"/>
    <s v="https://drive.google.com/open?id=0ByOb8wNqoBtVdC1VZzF5Rk9vTEE"/>
    <s v="00116"/>
    <s v="08 de marzo de 2017"/>
    <n v="8"/>
    <x v="3"/>
    <s v="0,34"/>
    <e v="#NAME?"/>
  </r>
  <r>
    <n v="117"/>
    <m/>
    <x v="0"/>
    <d v="2017-03-10T00:00:00"/>
    <n v="0.17"/>
    <s v="Familia Arcia Polanco"/>
    <s v="misipo29@gmail.com"/>
    <s v="Calle Guacara Nro. 89-20"/>
    <s v="Cancelación Vigilancia, mes de Marzo 2017"/>
    <x v="0"/>
    <s v="https://drive.google.com/open?id=0ByOb8wNqoBtVT0ZVSFpaVlNyN0U"/>
    <s v="00117"/>
    <s v="10 de marzo de 2017"/>
    <n v="10"/>
    <x v="3"/>
    <s v="0,17"/>
    <e v="#NAME?"/>
  </r>
  <r>
    <n v="118"/>
    <m/>
    <x v="0"/>
    <d v="2017-03-10T00:00:00"/>
    <n v="0.45"/>
    <s v="Familia Machado Stoppa"/>
    <s v="machadoru@hotmail.com"/>
    <s v="Calle Guacara Nro. 88-85"/>
    <s v="Colaboración Vigilancia, meses de Ene-Mar 2017"/>
    <x v="0"/>
    <s v="https://drive.google.com/open?id=0ByOb8wNqoBtVeC1SNVJRNjFuTVE"/>
    <s v="00118"/>
    <s v="10 de marzo de 2017"/>
    <n v="10"/>
    <x v="3"/>
    <s v="0,45"/>
    <e v="#NAME?"/>
  </r>
  <r>
    <n v="119"/>
    <m/>
    <x v="0"/>
    <d v="2017-03-10T00:00:00"/>
    <n v="0.13613"/>
    <s v="Familia Martínez Boada"/>
    <s v="florcitakmz@gmail.com"/>
    <s v="Calle Güigüe Nro. 88-62"/>
    <s v="Anticipo Vigilancia, mes de Febrero 2017"/>
    <x v="0"/>
    <s v="https://drive.google.com/open?id=0ByOb8wNqoBtVQlRuWnlZdnQ2MEE"/>
    <s v="00119"/>
    <s v="10 de marzo de 2017"/>
    <n v="10"/>
    <x v="3"/>
    <s v="0,14"/>
    <e v="#NAME?"/>
  </r>
  <r>
    <n v="120"/>
    <m/>
    <x v="0"/>
    <d v="2017-03-06T00:00:00"/>
    <n v="0.17"/>
    <s v="Familia Matta Palomino"/>
    <s v="normaapm@hotmail.com"/>
    <s v="Calle Güigüe Nro. 88-90"/>
    <s v="Cancelación Vigilancia, mes de Enero 2017"/>
    <x v="0"/>
    <s v="https://drive.google.com/open?id=0ByOb8wNqoBtVc1NYcl9LRWhfVUU"/>
    <s v="00120"/>
    <s v="06 de marzo de 2017"/>
    <n v="6"/>
    <x v="3"/>
    <s v="0,17"/>
    <e v="#NAME?"/>
  </r>
  <r>
    <n v="121"/>
    <m/>
    <x v="0"/>
    <d v="2017-03-10T00:00:00"/>
    <n v="0.17"/>
    <s v="Familia Narváez Caldera"/>
    <s v="jeannette_nc@yahoo.com"/>
    <s v="Calle Güigüe Nro. 87-A-11"/>
    <s v="Cancelación Vigilancia, mes de Marzo 2017"/>
    <x v="0"/>
    <s v="https://drive.google.com/open?id=0ByOb8wNqoBtVbkNhZV92RVBBeDQ"/>
    <s v="00121"/>
    <s v="10 de marzo de 2017"/>
    <n v="10"/>
    <x v="3"/>
    <s v="0,17"/>
    <e v="#NAME?"/>
  </r>
  <r>
    <n v="122"/>
    <m/>
    <x v="0"/>
    <d v="2017-03-10T00:00:00"/>
    <n v="2.8000000000000001E-2"/>
    <s v="Familia Puerta Burguillos"/>
    <s v="namaricakes@gmail.com"/>
    <s v="Calle Guacara Nro. 87-100"/>
    <s v="Cancelación Saldo Vigilancia, mes de Marzo 2017"/>
    <x v="0"/>
    <s v="https://drive.google.com/open?id=0ByOb8wNqoBtVajFsUEY4SXhtSG8"/>
    <s v="00122"/>
    <s v="10 de marzo de 2017"/>
    <n v="10"/>
    <x v="3"/>
    <s v="0,03"/>
    <e v="#NAME?"/>
  </r>
  <r>
    <n v="123"/>
    <m/>
    <x v="0"/>
    <d v="2017-03-10T00:00:00"/>
    <n v="0.1"/>
    <s v="Héctor Hernández"/>
    <s v="eof64@hotmail.com"/>
    <s v="Calle Guacara Nro. 89-94"/>
    <s v="Colaboración Vigilancia, mes de Marzo 2017"/>
    <x v="0"/>
    <s v="https://drive.google.com/open?id=0ByOb8wNqoBtVMDl1eDRUSl9QVkU"/>
    <s v="00123"/>
    <s v="10 de marzo de 2017"/>
    <n v="10"/>
    <x v="3"/>
    <s v="0,10"/>
    <e v="#NAME?"/>
  </r>
  <r>
    <n v="124"/>
    <m/>
    <x v="0"/>
    <d v="2017-03-11T00:00:00"/>
    <n v="0.1"/>
    <s v="Familia Kablan Sarmiento"/>
    <s v="norisjsb56@hotmail.com"/>
    <s v="Calle Güigüe Nro. 89-80"/>
    <s v="Colaboración Vigilancia, mes de Marzo 2017"/>
    <x v="0"/>
    <s v="https://drive.google.com/open?id=0ByOb8wNqoBtVUFhOUEVycGNfNEU"/>
    <s v="00124"/>
    <s v="11 de marzo de 2017"/>
    <n v="11"/>
    <x v="3"/>
    <s v="0,10"/>
    <e v="#NAME?"/>
  </r>
  <r>
    <n v="125"/>
    <m/>
    <x v="0"/>
    <d v="2017-03-11T00:00:00"/>
    <n v="0.17"/>
    <s v="Familia Cegarra Villamizar"/>
    <s v="jesus.villamizar.ra@gmail.com"/>
    <s v="Calle Guacara Nro. 88-35"/>
    <s v="Cancelación Vigilancia, mes de Enero 2017"/>
    <x v="0"/>
    <s v="https://drive.google.com/open?id=0ByOb8wNqoBtVVm9PdXd6U0VPdXM"/>
    <s v="00125"/>
    <s v="11 de marzo de 2017"/>
    <n v="11"/>
    <x v="3"/>
    <s v="0,17"/>
    <e v="#NAME?"/>
  </r>
  <r>
    <n v="126"/>
    <m/>
    <x v="0"/>
    <d v="2017-03-14T00:00:00"/>
    <n v="0.17"/>
    <s v="Familia Scabuzzo Gómez"/>
    <s v="sfscabuzzo@msn.com"/>
    <s v="Av. &quot;I&quot; Nro. 146-20"/>
    <s v="Cancelación Vigilancia, mes de Marzo 2017"/>
    <x v="0"/>
    <s v="https://drive.google.com/open?id=0ByOb8wNqoBtVUU9TdUdRckFETmc"/>
    <s v="00126"/>
    <s v="14 de marzo de 2017"/>
    <n v="14"/>
    <x v="3"/>
    <s v="0,17"/>
    <e v="#NAME?"/>
  </r>
  <r>
    <n v="127"/>
    <m/>
    <x v="0"/>
    <d v="2017-03-10T00:00:00"/>
    <n v="0.03"/>
    <s v="Familia Flores Montagne"/>
    <s v="namaricakes@gmail.com"/>
    <s v="Av. &quot;M&quot; Nro. 146-20"/>
    <s v="Colaboración Vigilancia, mes de Marzo 2017"/>
    <x v="0"/>
    <s v="https://drive.google.com/open?id=0ByOb8wNqoBtVSElUZ2ctWVVhbmc"/>
    <s v="00127"/>
    <s v="10 de marzo de 2017"/>
    <n v="10"/>
    <x v="3"/>
    <s v="0,03"/>
    <e v="#NAME?"/>
  </r>
  <r>
    <n v="128"/>
    <m/>
    <x v="0"/>
    <d v="2017-01-13T00:00:00"/>
    <n v="6.5000000000000002E-2"/>
    <s v="Familia Barreto Pérez"/>
    <s v="bbetsa19@hotmail.com"/>
    <s v="Av. &quot;M&quot; Nro. 146-15"/>
    <s v="Cancelación saldo Vigilancia, mes de Enero 2017"/>
    <x v="0"/>
    <s v="https://drive.google.com/open?id=0ByOb8wNqoBtVbGZjSklOSWZMMUU"/>
    <s v="00128"/>
    <s v="13 de enero de 2017"/>
    <n v="13"/>
    <x v="1"/>
    <s v="0,07"/>
    <e v="#NAME?"/>
  </r>
  <r>
    <n v="129"/>
    <m/>
    <x v="0"/>
    <d v="2017-03-01T00:00:00"/>
    <n v="0.17"/>
    <s v="Familia Castillo Mena"/>
    <s v="emmecas@hotmail.com"/>
    <s v="Calle Güigüe Nro. 88-101"/>
    <s v="Cancelación Vigilancia, mes de Febrero 2017"/>
    <x v="0"/>
    <s v="https://drive.google.com/open?id=0ByOb8wNqoBtVT2tYRlNoMkMwdUE"/>
    <s v="00129"/>
    <s v="01 de marzo de 2017"/>
    <n v="1"/>
    <x v="3"/>
    <s v="0,17"/>
    <e v="#NAME?"/>
  </r>
  <r>
    <n v="130"/>
    <m/>
    <x v="0"/>
    <d v="2017-03-06T00:00:00"/>
    <n v="0.17"/>
    <s v="Familia Castillo Rodríguez"/>
    <s v="vesperanzacastillor@gmail.com"/>
    <s v="Calle Güigüe Nro. 88-91"/>
    <s v="Cancelación Vigilancia, mes de Febrero 2017"/>
    <x v="0"/>
    <s v="https://drive.google.com/open?id=0ByOb8wNqoBtVTktPck5mMlpEY3c"/>
    <s v="00130"/>
    <s v="06 de marzo de 2017"/>
    <n v="6"/>
    <x v="3"/>
    <s v="0,17"/>
    <e v="#NAME?"/>
  </r>
  <r>
    <n v="131"/>
    <m/>
    <x v="0"/>
    <d v="2017-02-27T00:00:00"/>
    <n v="0.17"/>
    <s v="Familia Delgado Hidalgo"/>
    <s v="ardh@hotmail.com"/>
    <s v="Calle Güigüe Nro. 88-10"/>
    <s v="Cancelación Vigilancia, mes de Enero 2017"/>
    <x v="0"/>
    <s v="https://drive.google.com/open?id=0ByOb8wNqoBtVUGJmeHI2UTZKVlE"/>
    <s v="00131"/>
    <s v="27 de febrero de 2017"/>
    <n v="27"/>
    <x v="2"/>
    <s v="0,17"/>
    <e v="#NAME?"/>
  </r>
  <r>
    <n v="132"/>
    <m/>
    <x v="0"/>
    <d v="2017-02-14T00:00:00"/>
    <n v="0.17"/>
    <s v="Familia Díaz González"/>
    <s v="luisrdt57@gmail.com"/>
    <s v="Calle Güigüe Nro. 88-116"/>
    <s v="Cancelación Vigilancia, mes de Febrero 2017"/>
    <x v="0"/>
    <s v="https://drive.google.com/open?id=0ByOb8wNqoBtVYlpzUXFSREtCTUE"/>
    <s v="00132"/>
    <s v="14 de febrero de 2017"/>
    <n v="14"/>
    <x v="2"/>
    <s v="0,17"/>
    <e v="#NAME?"/>
  </r>
  <r>
    <n v="133"/>
    <m/>
    <x v="0"/>
    <d v="2017-02-14T00:00:00"/>
    <n v="6.2E-2"/>
    <s v="Familia Durvelle Serrano"/>
    <s v="sdurvelle@hotmail.com"/>
    <s v="Calle Guacara Nro. 89-60"/>
    <s v="14 02 2017 Bs. 6.200 - Cancelación control del portón"/>
    <x v="2"/>
    <s v="https://drive.google.com/open?id=0ByOb8wNqoBtVLWdrMGVUemh6cGs"/>
    <s v="00133"/>
    <s v="14 de febrero de 2017"/>
    <n v="14"/>
    <x v="2"/>
    <s v="0,06"/>
    <e v="#NAME?"/>
  </r>
  <r>
    <n v="134"/>
    <m/>
    <x v="0"/>
    <d v="2017-01-11T00:00:00"/>
    <n v="6.5000000000000002E-2"/>
    <s v="Familia Castro Jiménez"/>
    <s v="0426-543.4303"/>
    <s v="Calle Guacara Nro. 90-51"/>
    <s v="Cancelación saldo Vigilancia, mes de Enero 2017"/>
    <x v="0"/>
    <s v="https://drive.google.com/open?id=0ByOb8wNqoBtVUFJvVmpSWnB4T2M"/>
    <s v="00134"/>
    <s v="11 de enero de 2017"/>
    <n v="11"/>
    <x v="1"/>
    <s v="0,07"/>
    <e v="#NAME?"/>
  </r>
  <r>
    <n v="135"/>
    <m/>
    <x v="0"/>
    <d v="2017-02-20T00:00:00"/>
    <n v="0.34"/>
    <s v="Familia Medina Colina"/>
    <s v="0414-409.4702"/>
    <s v="Calle Güigüe Nro. 89-70"/>
    <s v="Cancelación Vigilancia, meses de Ene-Feb 2017"/>
    <x v="0"/>
    <s v="https://drive.google.com/open?id=0ByOb8wNqoBtVVHhGTUdTOWd3TVk"/>
    <s v="00135"/>
    <s v="20 de febrero de 2017"/>
    <n v="20"/>
    <x v="2"/>
    <s v="0,34"/>
    <e v="#NAME?"/>
  </r>
  <r>
    <n v="136"/>
    <m/>
    <x v="0"/>
    <d v="2017-03-14T00:00:00"/>
    <n v="0.17"/>
    <s v="Familia Díaz González"/>
    <s v="luisrdt57@gmail.com"/>
    <s v="Calle Güigüe Nro. 88-116"/>
    <s v="Cancelación Vigilancia, mes de Marzo 2017"/>
    <x v="0"/>
    <s v="https://drive.google.com/open?id=0ByOb8wNqoBtVNm52V1J6V0N3aUE"/>
    <s v="00136"/>
    <s v="14 de marzo de 2017"/>
    <n v="14"/>
    <x v="3"/>
    <s v="0,17"/>
    <e v="#NAME?"/>
  </r>
  <r>
    <n v="137"/>
    <m/>
    <x v="0"/>
    <d v="2017-03-14T00:00:00"/>
    <n v="0.05"/>
    <s v="Familia Herrera Guada"/>
    <s v="En Físico"/>
    <s v="Calle Güigüe Nro. 89-90"/>
    <s v="Colaboración Vigilancia, mes de Marzo 2017"/>
    <x v="0"/>
    <s v="https://drive.google.com/open?id=0ByOb8wNqoBtVLVJ1Tk96RUN1M3M"/>
    <s v="00137"/>
    <s v="14 de marzo de 2017"/>
    <n v="14"/>
    <x v="3"/>
    <s v="0,05"/>
    <e v="#NAME?"/>
  </r>
  <r>
    <n v="138"/>
    <m/>
    <x v="0"/>
    <d v="2017-03-10T00:00:00"/>
    <n v="0.22"/>
    <s v="Familia González Arévalo"/>
    <s v="feryenis@hotmail.com"/>
    <s v="Calle Guacara Nro. 89-86"/>
    <s v="Cancelación Vigilancia, mes de Marzo 2017"/>
    <x v="0"/>
    <s v="https://drive.google.com/open?id=0ByOb8wNqoBtVcTJ2N1lNUHpoR1k"/>
    <s v="00138"/>
    <s v="10 de marzo de 2017"/>
    <n v="10"/>
    <x v="3"/>
    <s v="0,22"/>
    <e v="#NAME?"/>
  </r>
  <r>
    <n v="139"/>
    <m/>
    <x v="0"/>
    <d v="2017-03-16T00:00:00"/>
    <n v="0.17"/>
    <s v="Familia Durvelle Serrano"/>
    <s v="sdurvelle@hotmail.com"/>
    <s v="Calle Guacara Nro. 89-60"/>
    <s v="Cancelación Vigilancia, mes de Marzo 2017"/>
    <x v="0"/>
    <s v="https://drive.google.com/open?id=0ByOb8wNqoBtVejltaUpYVXh5VlE"/>
    <s v="00139"/>
    <s v="16 de marzo de 2017"/>
    <n v="16"/>
    <x v="3"/>
    <s v="0,17"/>
    <e v="#NAME?"/>
  </r>
  <r>
    <n v="140"/>
    <m/>
    <x v="0"/>
    <d v="2017-03-19T00:00:00"/>
    <n v="0.17"/>
    <s v="Familia Franco Gómez"/>
    <s v="eof64@hotmail.com"/>
    <s v="Calle Guacara Nro. 87-07"/>
    <s v="Cancelación Vigilancia, mes de Marzo 2017"/>
    <x v="0"/>
    <s v="https://drive.google.com/open?id=0ByOb8wNqoBtVdWZOUWFPdnR1N1E"/>
    <s v="00140"/>
    <s v="19 de marzo de 2017"/>
    <n v="19"/>
    <x v="3"/>
    <s v="0,17"/>
    <e v="#NAME?"/>
  </r>
  <r>
    <n v="141"/>
    <m/>
    <x v="0"/>
    <d v="2017-03-18T00:00:00"/>
    <n v="0.1"/>
    <s v="Victoria Francischiello"/>
    <s v="victoriafrancischiello@hotmail.com"/>
    <s v="Calle Guacara Nro. 88-25"/>
    <s v="Colaboración Vigilancia, mes de Marzo 2017"/>
    <x v="0"/>
    <s v="https://drive.google.com/open?id=0ByOb8wNqoBtVX2NYLWV3YkpZb28"/>
    <s v="00141"/>
    <s v="18 de marzo de 2017"/>
    <n v="18"/>
    <x v="3"/>
    <s v="0,10"/>
    <e v="#NAME?"/>
  </r>
  <r>
    <n v="142"/>
    <m/>
    <x v="0"/>
    <d v="2017-03-16T00:00:00"/>
    <n v="0.18"/>
    <s v="Familia Hatem Medina"/>
    <s v="hhatem1@hotmail.com"/>
    <s v="Calle Guacara Nro. 88-51"/>
    <s v="Colaboración Vigilancia, mes de Marzo 2017 y anticipo Abril 2017"/>
    <x v="0"/>
    <s v="https://drive.google.com/open?id=0ByOb8wNqoBtVeHBDSHplc2c4Z2M"/>
    <s v="00142"/>
    <s v="16 de marzo de 2017"/>
    <n v="16"/>
    <x v="3"/>
    <s v="0,18"/>
    <e v="#NAME?"/>
  </r>
  <r>
    <n v="143"/>
    <m/>
    <x v="0"/>
    <d v="2017-03-15T00:00:00"/>
    <n v="0.17"/>
    <s v="Familia Fernández Parés"/>
    <s v="vultecca@gmail.com"/>
    <s v="Calle Guacara Nro. 88-75"/>
    <s v="Cancelación Vigilancia, mes de Marzo 2017"/>
    <x v="0"/>
    <s v="https://drive.google.com/open?id=0ByOb8wNqoBtVWV95R2U0RFZyYW8"/>
    <s v="00143"/>
    <s v="15 de marzo de 2017"/>
    <n v="15"/>
    <x v="3"/>
    <s v="0,17"/>
    <e v="#NAME?"/>
  </r>
  <r>
    <n v="144"/>
    <m/>
    <x v="0"/>
    <d v="2017-03-16T00:00:00"/>
    <n v="0.17"/>
    <s v="Beatriz Lara"/>
    <s v="valentina.gutierrez@hotmail.com"/>
    <s v="Calle Guacara Nro. 89-130"/>
    <s v="Cancelación Vigilancia, mes de Marzo 2017"/>
    <x v="0"/>
    <s v="https://drive.google.com/open?id=0ByOb8wNqoBtVcjJvNUUza2ZRa0k"/>
    <s v="00144"/>
    <s v="16 de marzo de 2017"/>
    <n v="16"/>
    <x v="3"/>
    <s v="0,17"/>
    <e v="#NAME?"/>
  </r>
  <r>
    <n v="145"/>
    <m/>
    <x v="0"/>
    <d v="2017-03-15T00:00:00"/>
    <n v="0.17"/>
    <s v="Familia Ferrer Bahri"/>
    <s v="bahrimariela@hotmail.com"/>
    <s v="Calle Güigüe Nro. 89-83"/>
    <s v="Cancelación Vigilancia, mes de Marzo 2017"/>
    <x v="0"/>
    <s v="https://drive.google.com/open?id=0ByOb8wNqoBtVel83UkE2ZGl3cjA"/>
    <s v="00145"/>
    <s v="15 de marzo de 2017"/>
    <n v="15"/>
    <x v="3"/>
    <s v="0,17"/>
    <e v="#NAME?"/>
  </r>
  <r>
    <n v="146"/>
    <m/>
    <x v="0"/>
    <d v="2017-03-15T00:00:00"/>
    <n v="0.105"/>
    <s v="Familia Hurtado"/>
    <s v="francisco_hurtado@hotmail.com"/>
    <s v="Av. &quot;O&quot; Nro. 146-11"/>
    <s v="Anticipo Vigilancia, mes de Febrero 2017"/>
    <x v="0"/>
    <s v="https://drive.google.com/open?id=0ByOb8wNqoBtVU0Nna2k1YjJ4aHc"/>
    <s v="00146"/>
    <s v="15 de marzo de 2017"/>
    <n v="15"/>
    <x v="3"/>
    <s v="0,11"/>
    <e v="#NAME?"/>
  </r>
  <r>
    <n v="147"/>
    <m/>
    <x v="0"/>
    <d v="2017-03-25T00:00:00"/>
    <n v="0.16999999999999998"/>
    <s v="Familia Hurtado"/>
    <s v="francisco_hurtado@hotmail.com"/>
    <s v="Av. &quot;O&quot; Nro. 146-11"/>
    <s v="Cancelación saldo Vigilancia, mes de Febrero 2017 y anticipo Bs. 10.500 mes de Marzo 2017"/>
    <x v="0"/>
    <s v="https://drive.google.com/open?id=0ByOb8wNqoBtVbWI4bUszb2tYckk"/>
    <s v="00147"/>
    <s v="25 de marzo de 2017"/>
    <n v="25"/>
    <x v="3"/>
    <s v="0,17"/>
    <e v="#NAME?"/>
  </r>
  <r>
    <n v="148"/>
    <m/>
    <x v="0"/>
    <d v="2017-03-21T00:00:00"/>
    <n v="0.17"/>
    <s v="Familia Acosta Carpio"/>
    <s v="pablo962@hotmail.com"/>
    <s v="Calle Güigüe Nro. 89-10"/>
    <s v="Cancelación Vigilancia, mes de Febrero 2017"/>
    <x v="0"/>
    <s v="https://drive.google.com/open?id=0ByOb8wNqoBtVcGNWQVhDdkhfVXc"/>
    <s v="00148"/>
    <s v="21 de marzo de 2017"/>
    <n v="21"/>
    <x v="3"/>
    <s v="0,17"/>
    <e v="#NAME?"/>
  </r>
  <r>
    <n v="149"/>
    <m/>
    <x v="0"/>
    <d v="2017-03-24T00:00:00"/>
    <n v="0.17"/>
    <s v="Familia Morales Sesar"/>
    <s v="moralesesar@gmail.com"/>
    <s v="Calle Güigüe Nro. 89-120"/>
    <s v="Cancelación Vigilancia, mes de Marzo 2017"/>
    <x v="0"/>
    <s v="https://drive.google.com/open?id=0ByOb8wNqoBtVcFRNQVpiR0dNS2M"/>
    <s v="00149"/>
    <s v="24 de marzo de 2017"/>
    <n v="24"/>
    <x v="3"/>
    <s v="0,17"/>
    <e v="#NAME?"/>
  </r>
  <r>
    <n v="150"/>
    <m/>
    <x v="0"/>
    <d v="2017-03-26T00:00:00"/>
    <n v="0.03"/>
    <s v="Familia Rivero"/>
    <s v="En Físico"/>
    <s v="Calle Güigüe Nro. 88-40"/>
    <s v="Colaboración Vigilancia, mes de Marzo 2017"/>
    <x v="0"/>
    <s v="https://drive.google.com/open?id=0ByOb8wNqoBtVZTJBYXhQdlBrX0k"/>
    <s v="00150"/>
    <s v="26 de marzo de 2017"/>
    <n v="26"/>
    <x v="3"/>
    <s v="0,03"/>
    <e v="#NAME?"/>
  </r>
  <r>
    <n v="151"/>
    <m/>
    <x v="0"/>
    <d v="2017-03-27T00:00:00"/>
    <n v="0.17"/>
    <s v="Familia Navarro Assing"/>
    <s v="liliaassing@gmail.com"/>
    <s v="Calle Güigüe Nro. 88-54"/>
    <s v="Cancelación Vigilancia, mes de Marzo 2017"/>
    <x v="0"/>
    <s v="https://drive.google.com/open?id=0ByOb8wNqoBtVQm55c1Jmdm54bTg"/>
    <s v="00151"/>
    <s v="27 de marzo de 2017"/>
    <n v="27"/>
    <x v="3"/>
    <s v="0,17"/>
    <e v="#NAME?"/>
  </r>
  <r>
    <n v="152"/>
    <m/>
    <x v="0"/>
    <d v="2017-03-30T00:00:00"/>
    <n v="0.04"/>
    <s v="Ma. de Jesus Alonso"/>
    <s v="marjoriealonsoh@hotmail.com"/>
    <s v="Calle Güigüe Nro. 88-30"/>
    <s v="Colaboración Vigilancia, mes de Marzo 2017"/>
    <x v="0"/>
    <s v="https://drive.google.com/open?id=0ByOb8wNqoBtVLTlOUkRqZEtQYms"/>
    <s v="00152"/>
    <s v="30 de marzo de 2017"/>
    <n v="30"/>
    <x v="3"/>
    <s v="0,04"/>
    <e v="#NAME?"/>
  </r>
  <r>
    <n v="153"/>
    <m/>
    <x v="0"/>
    <d v="2017-03-30T00:00:00"/>
    <n v="0.1"/>
    <s v="Familia Gascón Domínguez"/>
    <s v="vrgascon@gmail.com"/>
    <s v="Calle Güigüe Nro. 88-70"/>
    <s v="Colaboración Vigilancia, mes de Marzo 2017"/>
    <x v="0"/>
    <s v="https://drive.google.com/open?id=0ByOb8wNqoBtVb0J3bGZITmRla0k"/>
    <s v="00153"/>
    <s v="30 de marzo de 2017"/>
    <n v="30"/>
    <x v="3"/>
    <s v="0,10"/>
    <e v="#NAME?"/>
  </r>
  <r>
    <n v="154"/>
    <m/>
    <x v="0"/>
    <d v="2017-04-04T00:00:00"/>
    <n v="0.17"/>
    <s v="Familia Lomeña Agudo"/>
    <s v="claudialomena@hotmail.com"/>
    <s v="Calle Guacara Nro. 89-30"/>
    <s v="Cancelación Vigilancia, mes de Abril 2017"/>
    <x v="0"/>
    <m/>
    <s v="00154"/>
    <s v="04 de abril de 2017"/>
    <n v="4"/>
    <x v="4"/>
    <s v="0,17"/>
    <e v="#NAME?"/>
  </r>
  <r>
    <n v="155"/>
    <m/>
    <x v="0"/>
    <d v="2017-04-04T00:00:00"/>
    <n v="0.21"/>
    <s v="Familia Méndez Parra"/>
    <s v="briceidamp@hotmail.com"/>
    <s v="Calle Guacara Nro. 88-19"/>
    <s v="Colaboración Vigilancia, meses de Mar-Abr 2017"/>
    <x v="0"/>
    <m/>
    <s v="00155"/>
    <s v="04 de abril de 2017"/>
    <n v="4"/>
    <x v="4"/>
    <s v="0,21"/>
    <e v="#NAME?"/>
  </r>
  <r>
    <n v="156"/>
    <m/>
    <x v="0"/>
    <d v="2017-03-27T00:00:00"/>
    <n v="0.34"/>
    <s v="Familia Cegarra Villamizar"/>
    <s v="jesus.villamizar.ra@gmail.com"/>
    <s v="Calle Guacara Nro. 88-35"/>
    <s v="Cancelación Vigilancia, meses de Feb-Mar 2017"/>
    <x v="0"/>
    <m/>
    <s v="00156"/>
    <s v="27 de marzo de 2017"/>
    <n v="27"/>
    <x v="3"/>
    <s v="0,34"/>
    <e v="#NAME?"/>
  </r>
  <r>
    <n v="157"/>
    <m/>
    <x v="0"/>
    <d v="2017-03-24T00:00:00"/>
    <n v="7.0000000000000007E-2"/>
    <s v="Familia Santos Carrillo"/>
    <s v="En Físico"/>
    <s v="Calle Guacara Nro. 90-93"/>
    <s v="Colaboración Vigilancia, meses de Noviembre 2016 a Enero 2017"/>
    <x v="0"/>
    <m/>
    <s v="00157"/>
    <s v="24 de marzo de 2017"/>
    <n v="24"/>
    <x v="3"/>
    <s v="0,07"/>
    <e v="#NAME?"/>
  </r>
  <r>
    <n v="158"/>
    <m/>
    <x v="0"/>
    <d v="2017-03-26T00:00:00"/>
    <n v="0.17"/>
    <s v="Anahiz Seijas"/>
    <s v="anahiz_2@hotmail.es"/>
    <s v="Calle Güigüe Nro. 89-106"/>
    <s v="Cancelación Vigilancia, mes de Marzo 2017"/>
    <x v="0"/>
    <m/>
    <s v="00158"/>
    <s v="26 de marzo de 2017"/>
    <n v="26"/>
    <x v="3"/>
    <s v="0,17"/>
    <e v="#NAME?"/>
  </r>
  <r>
    <n v="159"/>
    <m/>
    <x v="0"/>
    <d v="2017-03-31T00:00:00"/>
    <n v="0.17"/>
    <s v="Familia Nava Gordon"/>
    <s v="maru_19_66@hotmail.com"/>
    <s v="Calle Guacara Nro. 89-78"/>
    <s v="Cancelación Vigilancia, mes de Marzo 2017"/>
    <x v="0"/>
    <m/>
    <s v="00159"/>
    <s v="31 de marzo de 2017"/>
    <n v="31"/>
    <x v="3"/>
    <s v="0,17"/>
    <e v="#NAME?"/>
  </r>
  <r>
    <n v="160"/>
    <m/>
    <x v="0"/>
    <d v="2017-03-31T00:00:00"/>
    <n v="0.17"/>
    <s v="Familia Barreto Pérez"/>
    <s v="bbetsa19@hotmail.com"/>
    <s v="Av. &quot;M&quot; Nro. 146-15"/>
    <s v="Cancelación Vigilancia, mes de Marzo 2017"/>
    <x v="0"/>
    <m/>
    <s v="00160"/>
    <s v="31 de marzo de 2017"/>
    <n v="31"/>
    <x v="3"/>
    <s v="0,17"/>
    <e v="#NAME?"/>
  </r>
  <r>
    <n v="161"/>
    <m/>
    <x v="0"/>
    <d v="2017-03-27T00:00:00"/>
    <n v="0.34"/>
    <s v="Familia López Hermoso"/>
    <s v="lopez.humberto14@yahoo.com.ve"/>
    <s v="Calle Güigüe Nro. 89-79"/>
    <s v="Cancelación Vigilancia, meses de Mar-Abr 2017"/>
    <x v="0"/>
    <m/>
    <s v="00161"/>
    <s v="27 de marzo de 2017"/>
    <n v="27"/>
    <x v="3"/>
    <s v="0,34"/>
    <e v="#NAME?"/>
  </r>
  <r>
    <n v="162"/>
    <m/>
    <x v="0"/>
    <d v="2017-04-03T00:00:00"/>
    <n v="0.1"/>
    <s v="Familia Rodríguez Landaeta"/>
    <s v="mrl58@hotmail.com"/>
    <s v="Calle Güigüe Nro. 89-29"/>
    <s v="Colaboración Vigilancia, mes de Abril 2017"/>
    <x v="0"/>
    <m/>
    <s v="00162"/>
    <s v="03 de abril de 2017"/>
    <n v="3"/>
    <x v="4"/>
    <s v="0,10"/>
    <e v="#NAME?"/>
  </r>
  <r>
    <n v="163"/>
    <m/>
    <x v="0"/>
    <d v="2017-04-05T00:00:00"/>
    <n v="0.17"/>
    <s v="Familia Durvelle Serrano"/>
    <s v="sdurvelle@hotmail.com"/>
    <s v="Calle Guacara Nro. 89-60"/>
    <s v="Cancelación Vigilancia, mes de Abril 2017"/>
    <x v="0"/>
    <m/>
    <s v="00163"/>
    <s v="05 de abril de 2017"/>
    <n v="5"/>
    <x v="4"/>
    <s v="0,17"/>
    <e v="#NAME?"/>
  </r>
  <r>
    <n v="164"/>
    <m/>
    <x v="0"/>
    <d v="2017-04-06T00:00:00"/>
    <n v="0.17"/>
    <s v="Familia Colosso Delgado"/>
    <s v="mcolosso@gmail.com"/>
    <s v="Calle Güigüe Nro. 88-44"/>
    <s v="Cancelación Vigilancia, mes de Abril 2017"/>
    <x v="0"/>
    <m/>
    <s v="00164"/>
    <s v="06 de abril de 2017"/>
    <n v="6"/>
    <x v="4"/>
    <s v="0,17"/>
    <e v="#NAME?"/>
  </r>
  <r>
    <n v="165"/>
    <m/>
    <x v="0"/>
    <d v="2017-04-06T00:00:00"/>
    <n v="0.17"/>
    <s v="Familia Del Negro Palermo"/>
    <s v="vdelnegro@gmail.com"/>
    <s v="Calle Guacara Nro. 88-45"/>
    <s v="Cancelación Vigilancia, mes de Abril 2017"/>
    <x v="0"/>
    <m/>
    <s v="00165"/>
    <s v="06 de abril de 2017"/>
    <n v="6"/>
    <x v="4"/>
    <s v="0,17"/>
    <e v="#NAME?"/>
  </r>
  <r>
    <n v="166"/>
    <m/>
    <x v="0"/>
    <d v="2017-04-06T00:00:00"/>
    <n v="0.14000000000000001"/>
    <s v="Familia Zavarce Pérez"/>
    <s v="En Físico"/>
    <s v="Calle Guacara Nro. 90-35"/>
    <s v="Cancelación Saldo Vigilancia, mes de Mar 2017"/>
    <x v="0"/>
    <m/>
    <s v="00166"/>
    <s v="06 de abril de 2017"/>
    <n v="6"/>
    <x v="4"/>
    <s v="0,14"/>
    <e v="#NAME?"/>
  </r>
  <r>
    <n v="167"/>
    <m/>
    <x v="0"/>
    <d v="2017-03-15T00:00:00"/>
    <n v="0.17"/>
    <s v="Familia Castillo Mena"/>
    <s v="emmecas@hotmail.com"/>
    <s v="Calle Güigüe Nro. 88-101"/>
    <s v="Cancelación Vigilancia, mes de Marzo 2017"/>
    <x v="0"/>
    <m/>
    <s v="00167"/>
    <s v="15 de marzo de 2017"/>
    <n v="15"/>
    <x v="3"/>
    <s v="0,17"/>
    <e v="#NAME?"/>
  </r>
  <r>
    <n v="168"/>
    <m/>
    <x v="0"/>
    <d v="2017-04-05T00:00:00"/>
    <n v="0.17"/>
    <s v="Familia Jiménez Navarro"/>
    <s v="joyasonline2012@gmail.com"/>
    <s v="Calle Güigüe Nro. 88-50"/>
    <s v="Cancelación Vigilancia, mes de Marzo 2017"/>
    <x v="0"/>
    <m/>
    <s v="00168"/>
    <s v="05 de abril de 2017"/>
    <n v="5"/>
    <x v="4"/>
    <s v="0,17"/>
    <e v="#NAME?"/>
  </r>
  <r>
    <n v="169"/>
    <m/>
    <x v="0"/>
    <d v="2017-04-06T00:00:00"/>
    <n v="0.17"/>
    <s v="Familia Ferrer Bahri"/>
    <s v="bahrimariela@hotmail.com"/>
    <s v="Calle Güigüe Nro. 89-83"/>
    <s v="Cancelación Vigilancia, mes de Abril 2017"/>
    <x v="0"/>
    <m/>
    <s v="00169"/>
    <s v="06 de abril de 2017"/>
    <n v="6"/>
    <x v="4"/>
    <s v="0,17"/>
    <e v="#NAME?"/>
  </r>
  <r>
    <n v="170"/>
    <m/>
    <x v="0"/>
    <d v="2017-04-09T00:00:00"/>
    <n v="0.17"/>
    <s v="Familia Fermín Rivas"/>
    <s v="angelferminb@gmail.com"/>
    <s v="Calle Güigüe Nro. 89-55"/>
    <s v="Cancelación Vigilancia, mes de Abril 2017"/>
    <x v="0"/>
    <m/>
    <s v="00170"/>
    <s v="09 de abril de 2017"/>
    <n v="9"/>
    <x v="4"/>
    <s v="0,17"/>
    <e v="#NAME?"/>
  </r>
  <r>
    <n v="171"/>
    <m/>
    <x v="0"/>
    <d v="2017-03-13T00:00:00"/>
    <n v="0.17"/>
    <s v="Amarilis Guerra"/>
    <s v="amarilisguerra1@yahoo.com"/>
    <s v="Calle Güigüe Nro. 89-96"/>
    <s v="Cancelación Vigilancia, mes de Marzo 2017"/>
    <x v="0"/>
    <m/>
    <s v="00171"/>
    <s v="13 de marzo de 2017"/>
    <n v="13"/>
    <x v="3"/>
    <s v="0,17"/>
    <e v="#NAME?"/>
  </r>
  <r>
    <n v="172"/>
    <m/>
    <x v="0"/>
    <d v="2017-04-08T00:00:00"/>
    <n v="0.17"/>
    <s v="Amarilis Guerra"/>
    <s v="amarilisguerra1@yahoo.com"/>
    <s v="Calle Güigüe Nro. 89-96"/>
    <s v="Cancelación Vigilancia, mes de Abril 2017"/>
    <x v="0"/>
    <m/>
    <s v="00172"/>
    <s v="08 de abril de 2017"/>
    <n v="8"/>
    <x v="4"/>
    <s v="0,17"/>
    <e v="#NAME?"/>
  </r>
  <r>
    <n v="173"/>
    <m/>
    <x v="0"/>
    <d v="2017-04-11T00:00:00"/>
    <n v="0.1"/>
    <s v="Familia Kablan Sarmiento"/>
    <s v="norisjsb56@hotmail.com"/>
    <s v="Calle Güigüe Nro. 89-80"/>
    <s v="Colaboración Vigilancia, mes de Abril 2017"/>
    <x v="0"/>
    <m/>
    <s v="00173"/>
    <s v="11 de abril de 2017"/>
    <n v="11"/>
    <x v="4"/>
    <s v="0,10"/>
    <e v="#NAME?"/>
  </r>
  <r>
    <n v="174"/>
    <m/>
    <x v="0"/>
    <d v="2017-04-12T00:00:00"/>
    <n v="0.34"/>
    <s v="Familia Il Grande Franceschi"/>
    <s v="arcifran75@hotmail.com"/>
    <s v="Av. &quot;I&quot; Nro. 146-40"/>
    <s v="Cancelación Vigilancia, meses de Mar-Abr 2017"/>
    <x v="0"/>
    <m/>
    <s v="00174"/>
    <s v="12 de abril de 2017"/>
    <n v="12"/>
    <x v="4"/>
    <s v="0,34"/>
    <e v="#NAME?"/>
  </r>
  <r>
    <n v="175"/>
    <m/>
    <x v="0"/>
    <d v="2017-04-06T00:00:00"/>
    <n v="0.05"/>
    <s v="Familia Herrera Guada"/>
    <s v="En Físico"/>
    <s v="Calle Güigüe Nro. 89-90"/>
    <s v="Colaboración Vigilancia, mes de Abril 2017"/>
    <x v="0"/>
    <m/>
    <s v="00175"/>
    <s v="06 de abril de 2017"/>
    <n v="6"/>
    <x v="4"/>
    <s v="0,05"/>
    <e v="#NAME?"/>
  </r>
  <r>
    <n v="176"/>
    <m/>
    <x v="0"/>
    <d v="2017-04-06T00:00:00"/>
    <n v="0.12"/>
    <s v="Familia Rodríguez Aular"/>
    <s v="mvaular@hotmail.com"/>
    <s v="Calle Güigüe Nro. 88-58"/>
    <s v="Colaboración Vigilancia, mes de Febrero 2017"/>
    <x v="0"/>
    <m/>
    <s v="00176"/>
    <s v="06 de abril de 2017"/>
    <n v="6"/>
    <x v="4"/>
    <s v="0,12"/>
    <e v="#NAME?"/>
  </r>
  <r>
    <n v="177"/>
    <m/>
    <x v="0"/>
    <d v="2017-04-16T00:00:00"/>
    <n v="0.17"/>
    <s v="Familia Arcia Polanco"/>
    <s v="misipo29@gmail.com"/>
    <s v="Calle Guacara Nro. 89-20"/>
    <s v="Cancelación Vigilancia, mes de Abril 2017"/>
    <x v="0"/>
    <m/>
    <s v="00177"/>
    <s v="16 de abril de 2017"/>
    <n v="16"/>
    <x v="4"/>
    <s v="0,17"/>
    <e v="#NAME?"/>
  </r>
  <r>
    <n v="178"/>
    <m/>
    <x v="0"/>
    <d v="2017-04-17T00:00:00"/>
    <n v="0.44"/>
    <s v="Familia González Arévalo"/>
    <s v="feryenis@hotmail.com"/>
    <s v="Calle Guacara Nro. 89-86"/>
    <s v="Cancelación Vigilancia, meses de Abril y Mayo 2017 *DEFINITIVO*"/>
    <x v="0"/>
    <m/>
    <s v="00178"/>
    <s v="17 de abril de 2017"/>
    <n v="17"/>
    <x v="4"/>
    <s v="0,44"/>
    <e v="#NAME?"/>
  </r>
  <r>
    <n v="179"/>
    <m/>
    <x v="0"/>
    <d v="2017-04-17T00:00:00"/>
    <n v="0.1"/>
    <s v="Victoria Francischiello"/>
    <s v="victoriafrancischiello@hotmail.com"/>
    <s v="Calle Guacara Nro. 88-25"/>
    <s v="Colaboración Vigilancia, mes de Abril 2017"/>
    <x v="0"/>
    <m/>
    <s v="00179"/>
    <s v="17 de abril de 2017"/>
    <n v="17"/>
    <x v="4"/>
    <s v="0,10"/>
    <e v="#NAME?"/>
  </r>
  <r>
    <n v="180"/>
    <m/>
    <x v="0"/>
    <d v="2017-04-17T00:00:00"/>
    <n v="0.17"/>
    <s v="Familia Fernández Parés"/>
    <s v="vultecca@gmail.com"/>
    <s v="Calle Guacara Nro. 88-75"/>
    <s v="Cancelación Vigilancia, mes de Abril 2017"/>
    <x v="0"/>
    <m/>
    <s v="00180"/>
    <s v="17 de abril de 2017"/>
    <n v="17"/>
    <x v="4"/>
    <s v="0,17"/>
    <e v="#NAME?"/>
  </r>
  <r>
    <n v="181"/>
    <m/>
    <x v="0"/>
    <d v="2017-04-16T00:00:00"/>
    <n v="0.17"/>
    <s v="Beatriz Lara"/>
    <s v="valentina.gutierrez@hotmail.com"/>
    <s v="Calle Guacara Nro. 89-130"/>
    <s v="Cancelación Vigilancia, mes de Abril 2017"/>
    <x v="0"/>
    <m/>
    <s v="00181"/>
    <s v="16 de abril de 2017"/>
    <n v="16"/>
    <x v="4"/>
    <s v="0,17"/>
    <e v="#NAME?"/>
  </r>
  <r>
    <n v="182"/>
    <m/>
    <x v="0"/>
    <d v="2017-04-17T00:00:00"/>
    <n v="0.32"/>
    <s v="Familia Matta Palomino"/>
    <s v="normaapm@hotmail.com"/>
    <s v="Calle Güigüe Nro. 88-90"/>
    <s v="Colaboración Vigilancia, meses de Mar-Abr 2017"/>
    <x v="0"/>
    <m/>
    <s v="00182"/>
    <s v="17 de abril de 2017"/>
    <n v="17"/>
    <x v="4"/>
    <s v="0,32"/>
    <e v="#NAME?"/>
  </r>
  <r>
    <n v="183"/>
    <m/>
    <x v="0"/>
    <d v="2017-04-18T00:00:00"/>
    <n v="0.17"/>
    <s v="Familia Morales Sesar"/>
    <s v="moralesesar@gmail.com"/>
    <s v="Calle Güigüe Nro. 89-120"/>
    <s v="Cancelación Vigilancia, mes de Abril 2017"/>
    <x v="0"/>
    <m/>
    <s v="00183"/>
    <s v="18 de abril de 2017"/>
    <n v="18"/>
    <x v="4"/>
    <s v="0,17"/>
    <e v="#NAME?"/>
  </r>
  <r>
    <n v="184"/>
    <m/>
    <x v="0"/>
    <d v="2017-04-17T00:00:00"/>
    <n v="0.34"/>
    <s v="Familia Piñero Padilla"/>
    <s v="achepaul2005@hotmail.com"/>
    <s v="Calle Güigüe Nro. 89-21"/>
    <s v="Cancelación Vigilancia, meses de Mar-Abr 2017"/>
    <x v="0"/>
    <m/>
    <s v="00184"/>
    <s v="17 de abril de 2017"/>
    <n v="17"/>
    <x v="4"/>
    <s v="0,34"/>
    <e v="#NAME?"/>
  </r>
  <r>
    <n v="185"/>
    <m/>
    <x v="0"/>
    <d v="2017-04-17T00:00:00"/>
    <n v="0.17"/>
    <s v="Familia Franco Gómez"/>
    <s v="eof64@hotmail.com"/>
    <s v="Calle Guacara Nro. 87-07"/>
    <s v="Cancelación Vigilancia, mes de Abril 2017"/>
    <x v="0"/>
    <m/>
    <s v="00185"/>
    <s v="17 de abril de 2017"/>
    <n v="17"/>
    <x v="4"/>
    <s v="0,17"/>
    <e v="#NAME?"/>
  </r>
  <r>
    <n v="186"/>
    <m/>
    <x v="0"/>
    <d v="2017-04-20T00:00:00"/>
    <n v="0.1"/>
    <s v="Héctor Hernández"/>
    <s v="eof64@hotmail.com"/>
    <s v="Calle Guacara Nro. 89-94"/>
    <s v="Colaboración Vigilancia, mes de Abril 2017"/>
    <x v="0"/>
    <m/>
    <s v="00186"/>
    <s v="20 de abril de 2017"/>
    <n v="20"/>
    <x v="4"/>
    <s v="0,10"/>
    <e v="#NAME?"/>
  </r>
  <r>
    <n v="187"/>
    <m/>
    <x v="0"/>
    <d v="2017-04-06T00:00:00"/>
    <n v="7.0000000000000007E-2"/>
    <s v="Chin Chun Ya (Goya)"/>
    <s v="uc2721@gmail.com"/>
    <s v="Calle Guacara Nro. 87-86"/>
    <s v="Colaboración Vigilancia, mes de Abril 2017"/>
    <x v="0"/>
    <m/>
    <s v="00187"/>
    <s v="06 de abril de 2017"/>
    <n v="6"/>
    <x v="4"/>
    <s v="0,07"/>
    <e v="#NAME?"/>
  </r>
  <r>
    <n v="188"/>
    <m/>
    <x v="0"/>
    <d v="2017-04-20T00:00:00"/>
    <n v="0.03"/>
    <s v="Familia Rivero"/>
    <s v="En Físico"/>
    <s v="Calle Güigüe Nro. 88-40"/>
    <s v="Colaboración Vigilancia, mes de Abril 2017"/>
    <x v="0"/>
    <m/>
    <s v="00188"/>
    <s v="20 de abril de 2017"/>
    <n v="20"/>
    <x v="4"/>
    <s v="0,03"/>
    <e v="#NAME?"/>
  </r>
  <r>
    <n v="189"/>
    <m/>
    <x v="0"/>
    <d v="2017-01-15T00:00:00"/>
    <n v="0.12"/>
    <s v="Familia Guerra Miret"/>
    <s v="antoniojguerrag@hotmail.com"/>
    <s v="Calle Güigüe Nro. 89-40"/>
    <s v="Colaboración Vigilancia, mes de Enero 2017"/>
    <x v="0"/>
    <m/>
    <s v="00189"/>
    <s v="15 de enero de 2017"/>
    <n v="15"/>
    <x v="1"/>
    <s v="0,12"/>
    <e v="#NAME?"/>
  </r>
  <r>
    <n v="190"/>
    <m/>
    <x v="0"/>
    <d v="2017-02-16T00:00:00"/>
    <n v="0.12"/>
    <s v="Familia Guerra Miret"/>
    <s v="antoniojguerrag@hotmail.com"/>
    <s v="Calle Güigüe Nro. 89-40"/>
    <s v="Colaboración Vigilancia, mes de Febrero 2017"/>
    <x v="0"/>
    <m/>
    <s v="00190"/>
    <s v="16 de febrero de 2017"/>
    <n v="16"/>
    <x v="2"/>
    <s v="0,12"/>
    <e v="#NAME?"/>
  </r>
  <r>
    <n v="191"/>
    <m/>
    <x v="0"/>
    <d v="2017-03-15T00:00:00"/>
    <n v="0.12"/>
    <s v="Familia Guerra Miret"/>
    <s v="antoniojguerrag@hotmail.com"/>
    <s v="Calle Güigüe Nro. 89-40"/>
    <s v="Colaboración Vigilancia, mes de Marzo 2017"/>
    <x v="0"/>
    <m/>
    <s v="00191"/>
    <s v="15 de marzo de 2017"/>
    <n v="15"/>
    <x v="3"/>
    <s v="0,12"/>
    <e v="#NAME?"/>
  </r>
  <r>
    <n v="192"/>
    <m/>
    <x v="0"/>
    <d v="2017-04-21T00:00:00"/>
    <n v="0.34"/>
    <s v="Sra. Reina Meléndez"/>
    <s v="olgajipe@gmail.com"/>
    <s v="Av. &quot;M&quot; Nro. 145-10"/>
    <s v="Cancelación Vigilancia, meses de Mar-Abr 2017"/>
    <x v="0"/>
    <m/>
    <s v="00192"/>
    <s v="21 de abril de 2017"/>
    <n v="21"/>
    <x v="4"/>
    <s v="0,34"/>
    <e v="#NAME?"/>
  </r>
  <r>
    <n v="193"/>
    <m/>
    <x v="0"/>
    <d v="2017-04-21T00:00:00"/>
    <n v="0.17"/>
    <s v="Familia Díaz González"/>
    <s v="luisrdt57@gmail.com"/>
    <s v="Calle Güigüe Nro. 88-116"/>
    <s v="Cancelación Vigilancia, mes de Abril 2017"/>
    <x v="0"/>
    <m/>
    <s v="00193"/>
    <s v="21 de abril de 2017"/>
    <n v="21"/>
    <x v="4"/>
    <s v="0,17"/>
    <e v="#NAME?"/>
  </r>
  <r>
    <n v="194"/>
    <m/>
    <x v="0"/>
    <d v="2017-04-20T00:00:00"/>
    <n v="0.17"/>
    <s v="Familia Acosta Carpio"/>
    <s v="pablo962@hotmail.com"/>
    <s v="Calle Güigüe Nro. 89-10"/>
    <s v="Cancelación Vigilancia, mes de Marzo 2017"/>
    <x v="0"/>
    <m/>
    <s v="00194"/>
    <s v="20 de abril de 2017"/>
    <n v="20"/>
    <x v="4"/>
    <s v="0,17"/>
    <e v="#NAME?"/>
  </r>
  <r>
    <n v="195"/>
    <m/>
    <x v="0"/>
    <d v="2017-04-22T00:00:00"/>
    <n v="0.17"/>
    <s v="Familia Loponte Arteaga"/>
    <s v="nancyloponte@hotmail.com"/>
    <s v="Calle Güigüe Nro. 88-120"/>
    <s v="Cancelación Vigilancia, mes de Abril 2017"/>
    <x v="0"/>
    <m/>
    <s v="00195"/>
    <s v="22 de abril de 2017"/>
    <n v="22"/>
    <x v="4"/>
    <s v="0,17"/>
    <e v="#NAME?"/>
  </r>
  <r>
    <n v="196"/>
    <m/>
    <x v="0"/>
    <d v="2017-04-22T00:00:00"/>
    <n v="0.34"/>
    <s v="Yuraima Rodríguez"/>
    <s v="En Físico"/>
    <s v="Calle Guacara Nro. 89-70"/>
    <s v="Cancelación Vigilancia, meses de Ene-Feb 2017"/>
    <x v="0"/>
    <m/>
    <s v="00196"/>
    <s v="22 de abril de 2017"/>
    <n v="22"/>
    <x v="4"/>
    <s v="0,34"/>
    <e v="#NAME?"/>
  </r>
  <r>
    <n v="197"/>
    <m/>
    <x v="0"/>
    <d v="2017-04-23T00:00:00"/>
    <n v="0.34"/>
    <s v="Familia Astor Zamora"/>
    <s v="imzastor@gmail.com"/>
    <s v="Calle Güigüe Nro. 88-111"/>
    <s v="Cancelación Vigilancia, meses de Feb-Mar 2017"/>
    <x v="0"/>
    <m/>
    <s v="00197"/>
    <s v="23 de abril de 2017"/>
    <n v="23"/>
    <x v="4"/>
    <s v="0,34"/>
    <e v="#NAME?"/>
  </r>
  <r>
    <n v="198"/>
    <m/>
    <x v="0"/>
    <d v="2017-04-23T00:00:00"/>
    <n v="0.3"/>
    <s v="Gloria Molina"/>
    <s v="glomola2@yahoo.es"/>
    <s v="Calle Güigüe Nro. 89-71"/>
    <s v="Colaboración Vigilancia, meses de Ene-Mar 2017"/>
    <x v="0"/>
    <m/>
    <s v="00198"/>
    <s v="23 de abril de 2017"/>
    <n v="23"/>
    <x v="4"/>
    <s v="0,30"/>
    <e v="#NAME?"/>
  </r>
  <r>
    <n v="199"/>
    <m/>
    <x v="0"/>
    <d v="2017-04-24T00:00:00"/>
    <n v="0.17"/>
    <s v="Familia Castillo Mena"/>
    <s v="emmecas@hotmail.com"/>
    <s v="Calle Güigüe Nro. 88-101"/>
    <s v="Cancelación Vigilancia, mes de Abril 2017"/>
    <x v="0"/>
    <m/>
    <s v="00199"/>
    <s v="24 de abril de 2017"/>
    <n v="24"/>
    <x v="4"/>
    <s v="0,17"/>
    <e v="#NAME?"/>
  </r>
  <r>
    <n v="200"/>
    <m/>
    <x v="0"/>
    <d v="2017-04-24T00:00:00"/>
    <n v="0.54"/>
    <s v="Familia Manrique Riera"/>
    <s v="patriciamanrique@gmail.com"/>
    <s v="Calle Guacara Nro. 89-40"/>
    <s v="Cancelación Saldo Vigilancia, mes de Enero 2017 y Cancelación Vigilancia, meses de Feb-Abr 2017"/>
    <x v="0"/>
    <m/>
    <s v="00200"/>
    <s v="24 de abril de 2017"/>
    <n v="24"/>
    <x v="4"/>
    <s v="0,54"/>
    <e v="#NAME?"/>
  </r>
  <r>
    <n v="201"/>
    <m/>
    <x v="0"/>
    <d v="2017-03-10T00:00:00"/>
    <n v="0.17"/>
    <s v="Familia Sayago Peñaranda"/>
    <s v="alexissayago@gmail.com"/>
    <s v="Calle Güigüe Nro. 89-04"/>
    <s v="Cancelación Vigilancia, mes de Marzo 2017"/>
    <x v="0"/>
    <m/>
    <s v="00201"/>
    <s v="10 de marzo de 2017"/>
    <n v="10"/>
    <x v="3"/>
    <s v="0,17"/>
    <e v="#NAME?"/>
  </r>
  <r>
    <n v="202"/>
    <m/>
    <x v="0"/>
    <d v="2017-04-21T00:00:00"/>
    <n v="0.17"/>
    <s v="Familia Sayago Peñaranda"/>
    <s v="alexissayago@gmail.com"/>
    <s v="Calle Güigüe Nro. 89-04"/>
    <s v="Cancelación Vigilancia, mes de Abril 2017"/>
    <x v="0"/>
    <m/>
    <s v="00202"/>
    <s v="21 de abril de 2017"/>
    <n v="21"/>
    <x v="4"/>
    <s v="0,17"/>
    <e v="#NAME?"/>
  </r>
  <r>
    <n v="203"/>
    <m/>
    <x v="0"/>
    <d v="2017-04-26T00:00:00"/>
    <n v="0.34"/>
    <s v="Ana de González"/>
    <s v="mikelnowak25@gmail.com"/>
    <s v="Av. &quot;O&quot; Nro. 146-17"/>
    <s v="Cancelación Vigilancia, meses de Mar-Abr 2017"/>
    <x v="0"/>
    <m/>
    <s v="00203"/>
    <s v="26 de abril de 2017"/>
    <n v="26"/>
    <x v="4"/>
    <s v="0,34"/>
    <e v="#NAME?"/>
  </r>
  <r>
    <n v="204"/>
    <m/>
    <x v="0"/>
    <d v="2017-04-27T00:00:00"/>
    <n v="0.17"/>
    <s v="Familia Puerta Burguillos"/>
    <s v="namaricakes@gmail.com"/>
    <s v="Calle Guacara Nro. 87-100"/>
    <s v="Cancelación Vigilancia, mes de Abril 2017"/>
    <x v="0"/>
    <m/>
    <s v="00204"/>
    <s v="27 de abril de 2017"/>
    <n v="27"/>
    <x v="4"/>
    <s v="0,17"/>
    <e v="#NAME?"/>
  </r>
  <r>
    <n v="205"/>
    <m/>
    <x v="0"/>
    <d v="2017-04-27T00:00:00"/>
    <n v="0.03"/>
    <s v="Familia Flores Montagne"/>
    <s v="namaricakes@gmail.com"/>
    <s v="Av. &quot;M&quot; Nro. 146-20"/>
    <s v="Colaboración Vigilancia, mes de Abril 2017"/>
    <x v="0"/>
    <m/>
    <s v="00205"/>
    <s v="27 de abril de 2017"/>
    <n v="27"/>
    <x v="4"/>
    <s v="0,03"/>
    <e v="#NAME?"/>
  </r>
  <r>
    <n v="206"/>
    <m/>
    <x v="0"/>
    <d v="2017-04-27T00:00:00"/>
    <n v="0.17"/>
    <s v="Familia Guerra Miret"/>
    <s v="antoniojguerrag@hotmail.com"/>
    <s v="Calle Güigüe Nro. 89-40"/>
    <s v="Colaboración Vigilancia, mes de Abril 2017"/>
    <x v="0"/>
    <m/>
    <s v="00206"/>
    <s v="27 de abril de 2017"/>
    <n v="27"/>
    <x v="4"/>
    <s v="0,17"/>
    <e v="#NAME?"/>
  </r>
  <r>
    <n v="207"/>
    <m/>
    <x v="0"/>
    <d v="2017-03-27T00:00:00"/>
    <n v="0.105"/>
    <s v="Familia Hoyte Rafmari"/>
    <s v="0412-741.3242"/>
    <s v="Av. &quot;I&quot; Nro. 146-30"/>
    <s v="Colaboración Vigilancia, mes de Febrero 2017"/>
    <x v="0"/>
    <m/>
    <s v="00207"/>
    <s v="27 de marzo de 2017"/>
    <n v="27"/>
    <x v="3"/>
    <s v="0,11"/>
    <e v="#NAME?"/>
  </r>
  <r>
    <n v="208"/>
    <m/>
    <x v="0"/>
    <d v="2017-05-02T00:00:00"/>
    <n v="0.1"/>
    <s v="Dra. Lilia Magallanes"/>
    <s v="liliamagallanes2010@gmail.com"/>
    <s v="Calle Güigüe Nro. 88-51"/>
    <s v="Colaboración Vigilancia, mes de Abril 2017"/>
    <x v="0"/>
    <m/>
    <s v="00208"/>
    <s v="02 de mayo de 2017"/>
    <n v="2"/>
    <x v="5"/>
    <s v="0,10"/>
    <e v="#NAME?"/>
  </r>
  <r>
    <n v="209"/>
    <m/>
    <x v="0"/>
    <d v="2017-05-05T00:00:00"/>
    <n v="0.17"/>
    <s v="Familia Gascón Domínguez"/>
    <s v="vrgascon@gmail.com"/>
    <s v="Calle Güigüe Nro. 88-70"/>
    <s v="Cancelación Vigilancia, mes de Abril 2017"/>
    <x v="0"/>
    <m/>
    <s v="00209"/>
    <s v="05 de mayo de 2017"/>
    <n v="5"/>
    <x v="5"/>
    <s v="0,17"/>
    <e v="#NAME?"/>
  </r>
  <r>
    <n v="210"/>
    <m/>
    <x v="0"/>
    <d v="2017-05-05T00:00:00"/>
    <n v="0.17"/>
    <s v="Familia Morales Sesar"/>
    <s v="moralesesar@gmail.com"/>
    <s v="Calle Güigüe Nro. 89-120"/>
    <s v="Anticipo Vigilancia, mes de Mayo 2017"/>
    <x v="0"/>
    <m/>
    <s v="00210"/>
    <s v="05 de mayo de 2017"/>
    <n v="5"/>
    <x v="5"/>
    <s v="0,17"/>
    <e v="#NAME?"/>
  </r>
  <r>
    <n v="211"/>
    <m/>
    <x v="0"/>
    <d v="2017-05-05T00:00:00"/>
    <n v="0.17"/>
    <s v="Familia Barreto Pérez"/>
    <s v="bbetsa19@hotmail.com"/>
    <s v="Av. &quot;M&quot; Nro. 146-15"/>
    <s v="Cancelación Vigilancia, mes de Abril 2017"/>
    <x v="0"/>
    <m/>
    <s v="00211"/>
    <s v="05 de mayo de 2017"/>
    <n v="5"/>
    <x v="5"/>
    <s v="0,17"/>
    <e v="#NAME?"/>
  </r>
  <r>
    <n v="212"/>
    <m/>
    <x v="0"/>
    <d v="2017-05-05T00:00:00"/>
    <n v="0.17"/>
    <s v="Anahiz Seijas"/>
    <s v="anahiz_2@hotmail.es"/>
    <s v="Calle Güigüe Nro. 89-106"/>
    <s v="Cancelación Vigilancia, mes de Abril 2017"/>
    <x v="0"/>
    <m/>
    <s v="00212"/>
    <s v="05 de mayo de 2017"/>
    <n v="5"/>
    <x v="5"/>
    <s v="0,17"/>
    <e v="#NAME?"/>
  </r>
  <r>
    <n v="213"/>
    <m/>
    <x v="0"/>
    <d v="2017-04-28T00:00:00"/>
    <n v="0.05"/>
    <s v="Familia Sirit Palencia"/>
    <s v="irasirit@gmail.com"/>
    <s v="Calle Güigüe Nro. 89-35"/>
    <s v="Colaboración Vigilancia, mes de Abril 2017"/>
    <x v="0"/>
    <m/>
    <s v="00213"/>
    <s v="28 de abril de 2017"/>
    <n v="28"/>
    <x v="4"/>
    <s v="0,05"/>
    <e v="#NAME?"/>
  </r>
  <r>
    <n v="214"/>
    <m/>
    <x v="0"/>
    <d v="2017-05-06T00:00:00"/>
    <n v="0.26"/>
    <s v="Familia Durvelle Serrano"/>
    <s v="sdurvelle@hotmail.com"/>
    <s v="Calle Guacara Nro. 89-60"/>
    <s v="Cancelación Vigilancia, mes de Mayo 2017"/>
    <x v="0"/>
    <m/>
    <s v="00214"/>
    <s v="06 de mayo de 2017"/>
    <n v="6"/>
    <x v="5"/>
    <s v="0,26"/>
    <e v="#NAME?"/>
  </r>
  <r>
    <n v="215"/>
    <m/>
    <x v="0"/>
    <d v="2017-04-05T00:00:00"/>
    <n v="0.17"/>
    <s v="Wu Hung Fung"/>
    <s v="carolinahung24@gmail.com"/>
    <s v="Calle Guacara Nro. 90-81"/>
    <s v="Cancelación Vigilancia, mes de Abril 2017"/>
    <x v="0"/>
    <m/>
    <s v="00215"/>
    <s v="05 de abril de 2017"/>
    <n v="5"/>
    <x v="4"/>
    <s v="0,17"/>
    <e v="#NAME?"/>
  </r>
  <r>
    <n v="216"/>
    <m/>
    <x v="0"/>
    <d v="2017-05-03T00:00:00"/>
    <n v="0.17"/>
    <s v="Wu Hung Fung"/>
    <s v="carolinahung24@gmail.com"/>
    <s v="Calle Guacara Nro. 90-81"/>
    <s v="Anticipo Vigilancia, mes de Mayo 2017"/>
    <x v="0"/>
    <m/>
    <s v="00216"/>
    <s v="03 de mayo de 2017"/>
    <n v="3"/>
    <x v="5"/>
    <s v="0,17"/>
    <e v="#NAME?"/>
  </r>
  <r>
    <n v="217"/>
    <m/>
    <x v="0"/>
    <d v="2017-05-07T00:00:00"/>
    <n v="0.09"/>
    <s v="Wu Hung Fung"/>
    <s v="carolinahung24@gmail.com"/>
    <s v="Calle Guacara Nro. 90-81"/>
    <s v="Cancelación Saldo Vigilancia, mes de Mayo 2017"/>
    <x v="0"/>
    <m/>
    <s v="00217"/>
    <s v="07 de mayo de 2017"/>
    <n v="7"/>
    <x v="5"/>
    <s v="0,09"/>
    <e v="#NAME?"/>
  </r>
  <r>
    <n v="218"/>
    <m/>
    <x v="0"/>
    <d v="2017-05-07T00:00:00"/>
    <n v="0.26"/>
    <s v="Familia Loponte Arteaga"/>
    <s v="nancyloponte@hotmail.com"/>
    <s v="Calle Güigüe Nro. 88-120"/>
    <s v="Cancelación Vigilancia, mes de Mayo 2017"/>
    <x v="0"/>
    <m/>
    <s v="00218"/>
    <s v="07 de mayo de 2017"/>
    <n v="7"/>
    <x v="5"/>
    <s v="0,26"/>
    <e v="#NAME?"/>
  </r>
  <r>
    <n v="219"/>
    <m/>
    <x v="0"/>
    <d v="2017-05-07T00:00:00"/>
    <n v="0.26"/>
    <s v="Familia Colosso Delgado"/>
    <s v="mcolosso@gmail.com"/>
    <s v="Calle Güigüe Nro. 88-44"/>
    <s v="Cancelación Vigilancia, mes de Mayo 2017"/>
    <x v="0"/>
    <m/>
    <s v="00219"/>
    <s v="07 de mayo de 2017"/>
    <n v="7"/>
    <x v="5"/>
    <s v="0,26"/>
    <e v="#NAME?"/>
  </r>
  <r>
    <n v="220"/>
    <m/>
    <x v="0"/>
    <d v="2017-05-07T00:00:00"/>
    <n v="0.16999999999999998"/>
    <s v="Familia Hurtado"/>
    <s v="En Físico"/>
    <s v="Av. &quot;O&quot; Nro. 146-11"/>
    <s v="Cancelación Vigilancia, mes de Abril 2017"/>
    <x v="0"/>
    <m/>
    <s v="00220"/>
    <s v="07 de mayo de 2017"/>
    <n v="7"/>
    <x v="5"/>
    <s v="0,17"/>
    <e v="#NAME?"/>
  </r>
  <r>
    <n v="221"/>
    <m/>
    <x v="0"/>
    <d v="2017-02-15T00:00:00"/>
    <n v="0.2"/>
    <s v="La Casita Encantada"/>
    <s v="En Físico"/>
    <s v="Av. &quot;M&quot; Nro. 146-30"/>
    <s v="Cancelación Vigilancia, mes de Febrero 2017"/>
    <x v="0"/>
    <m/>
    <s v="00221"/>
    <s v="15 de febrero de 2017"/>
    <n v="15"/>
    <x v="2"/>
    <s v="0,20"/>
    <e v="#NAME?"/>
  </r>
  <r>
    <n v="222"/>
    <m/>
    <x v="0"/>
    <d v="2017-01-15T00:00:00"/>
    <n v="0.3"/>
    <s v="Colegio El Trigal"/>
    <s v="En Físico"/>
    <s v="Calle Güigüe Nros. 88-71 y 88-81"/>
    <s v="Cancelación Vigilancia, mes de Enero 2017"/>
    <x v="0"/>
    <m/>
    <s v="00222"/>
    <s v="15 de enero de 2017"/>
    <n v="15"/>
    <x v="1"/>
    <s v="0,30"/>
    <e v="#NAME?"/>
  </r>
  <r>
    <n v="223"/>
    <m/>
    <x v="0"/>
    <d v="2017-05-08T00:00:00"/>
    <n v="0.26"/>
    <s v="Familia Arcia Polanco"/>
    <s v="misipo29@gmail.com"/>
    <s v="Calle Guacara Nro. 89-20"/>
    <s v="Cancelación Vigilancia, mes de Mayo 2017"/>
    <x v="0"/>
    <m/>
    <s v="00223"/>
    <s v="08 de mayo de 2017"/>
    <n v="8"/>
    <x v="5"/>
    <s v="0,26"/>
    <e v="#NAME?"/>
  </r>
  <r>
    <n v="224"/>
    <m/>
    <x v="0"/>
    <d v="2017-05-08T00:00:00"/>
    <n v="0.26"/>
    <s v="Familia Del Negro Palermo"/>
    <s v="vdelnegro@gmail.com"/>
    <s v="Calle Guacara Nro. 88-45"/>
    <s v="Cancelación Vigilancia, mes de Mayo 2017"/>
    <x v="0"/>
    <m/>
    <s v="00224"/>
    <s v="08 de mayo de 2017"/>
    <n v="8"/>
    <x v="5"/>
    <s v="0,26"/>
    <e v="#NAME?"/>
  </r>
  <r>
    <n v="225"/>
    <m/>
    <x v="0"/>
    <d v="2017-03-15T00:00:00"/>
    <n v="0.17"/>
    <s v="Familia Castro Jiménez"/>
    <s v="0426-543.4303"/>
    <s v="Calle Guacara Nro. 90-51"/>
    <s v="Cancelación Vigilancia, mes de Marzo 2017"/>
    <x v="0"/>
    <m/>
    <s v="00225"/>
    <s v="15 de marzo de 2017"/>
    <n v="15"/>
    <x v="3"/>
    <s v="0,17"/>
    <e v="#NAME?"/>
  </r>
  <r>
    <n v="226"/>
    <m/>
    <x v="0"/>
    <d v="2017-05-08T00:00:00"/>
    <n v="0.34"/>
    <s v="Familia Scabuzzo Gómez"/>
    <s v="sfscabuzzo@msn.com"/>
    <s v="Av. &quot;I&quot; Nro. 146-20"/>
    <s v="Cancelación Vigilancia, mes de Abr 2017 y anticipo May 2017"/>
    <x v="0"/>
    <m/>
    <s v="00226"/>
    <s v="08 de mayo de 2017"/>
    <n v="8"/>
    <x v="5"/>
    <s v="0,34"/>
    <e v="#NAME?"/>
  </r>
  <r>
    <n v="227"/>
    <m/>
    <x v="0"/>
    <d v="2017-03-15T00:00:00"/>
    <n v="0.17"/>
    <s v="Familia Delgado Hidalgo"/>
    <s v="ardh@hotmail.com"/>
    <s v="Calle Güigüe Nro. 88-10"/>
    <s v="Cancelación Vigilancia, mes de Febrero 2017"/>
    <x v="0"/>
    <m/>
    <s v="00227"/>
    <s v="15 de marzo de 2017"/>
    <n v="15"/>
    <x v="3"/>
    <s v="0,17"/>
    <e v="#NAME?"/>
  </r>
  <r>
    <n v="228"/>
    <m/>
    <x v="1"/>
    <m/>
    <m/>
    <s v="Familia Delgado Hidalgo"/>
    <s v="ardh@hotmail.com"/>
    <s v="Calle Güigüe Nro. 88-10"/>
    <s v="ANULADO: Cancelación Vigilancia, mes de Marzo 2017"/>
    <x v="3"/>
    <m/>
    <s v="00228"/>
    <s v=""/>
    <n v="0"/>
    <x v="6"/>
    <s v="0,00"/>
    <e v="#NAME?"/>
  </r>
  <r>
    <n v="229"/>
    <m/>
    <x v="0"/>
    <d v="2017-05-05T00:00:00"/>
    <n v="0.17"/>
    <s v="Familia Delgado Hidalgo"/>
    <s v="ardh@hotmail.com"/>
    <s v="Calle Güigüe Nro. 88-10"/>
    <s v="Cancelación Vigilancia, mes de Marzo 2017"/>
    <x v="0"/>
    <m/>
    <s v="00229"/>
    <s v="05 de mayo de 2017"/>
    <n v="5"/>
    <x v="5"/>
    <s v="0,17"/>
    <e v="#NAME?"/>
  </r>
  <r>
    <n v="230"/>
    <m/>
    <x v="0"/>
    <d v="2017-05-08T00:00:00"/>
    <n v="0.17"/>
    <s v="Familia Navarro Assing"/>
    <s v="liliaassing@gmail.com"/>
    <s v="Calle Güigüe Nro. 88-54"/>
    <s v="Cancelación Vigilancia, mes de Abril 2017"/>
    <x v="0"/>
    <m/>
    <s v="00230"/>
    <s v="08 de mayo de 2017"/>
    <n v="8"/>
    <x v="5"/>
    <s v="0,17"/>
    <e v="#NAME?"/>
  </r>
  <r>
    <n v="231"/>
    <m/>
    <x v="0"/>
    <d v="2017-05-09T00:00:00"/>
    <n v="0.26"/>
    <s v="Familia Puerta Burguillos"/>
    <s v="namaricakes@gmail.com"/>
    <s v="Calle Guacara Nro. 87-100"/>
    <s v="Cancelación Vigilancia, mes de Mayo 2017"/>
    <x v="0"/>
    <m/>
    <s v="00231"/>
    <s v="09 de mayo de 2017"/>
    <n v="9"/>
    <x v="5"/>
    <s v="0,26"/>
    <e v="#NAME?"/>
  </r>
  <r>
    <n v="232"/>
    <m/>
    <x v="0"/>
    <d v="2017-05-09T00:00:00"/>
    <n v="0.04"/>
    <s v="Familia Flores Montagne"/>
    <s v="namaricakes@gmail.com"/>
    <s v="Av. &quot;M&quot; Nro. 146-20"/>
    <s v="Colaboración Vigilancia, mes de Mayo 2017"/>
    <x v="0"/>
    <m/>
    <s v="00232"/>
    <s v="09 de mayo de 2017"/>
    <n v="9"/>
    <x v="5"/>
    <s v="0,04"/>
    <e v="#NAME?"/>
  </r>
  <r>
    <n v="233"/>
    <m/>
    <x v="0"/>
    <d v="2017-04-30T00:00:00"/>
    <n v="0.17"/>
    <s v="Familia Cegarra Villamizar"/>
    <s v="jesus.villamizar.ra@gmail.com"/>
    <s v="Calle Guacara Nro. 88-35"/>
    <s v="Cancelación Vigilancia, mes de Abril 2017, contra facturas"/>
    <x v="0"/>
    <m/>
    <s v="00233"/>
    <s v="30 de abril de 2017"/>
    <n v="30"/>
    <x v="4"/>
    <s v="0,17"/>
    <e v="#NAME?"/>
  </r>
  <r>
    <n v="234"/>
    <m/>
    <x v="0"/>
    <d v="2017-05-09T00:00:00"/>
    <n v="0.43000000000000005"/>
    <s v="Familia López Hermoso"/>
    <s v="lopez.humberto14@yahoo.com.ve"/>
    <s v="Calle Güigüe Nro. 89-79"/>
    <s v="Cancelación Vigilancia, mes de Mayo 2017 y Bs. 17.000 adelanto Junio 2017"/>
    <x v="0"/>
    <m/>
    <s v="00234"/>
    <s v="09 de mayo de 2017"/>
    <n v="9"/>
    <x v="5"/>
    <s v="0,43"/>
    <e v="#NAME?"/>
  </r>
  <r>
    <n v="235"/>
    <m/>
    <x v="0"/>
    <d v="2017-05-09T00:00:00"/>
    <n v="0.26"/>
    <s v="Familia Castillo Mena"/>
    <s v="emmecas@hotmail.com"/>
    <s v="Calle Güigüe Nro. 88-101"/>
    <s v="Cancelación Vigilancia, mes de Mayo 2017"/>
    <x v="0"/>
    <m/>
    <s v="00235"/>
    <s v="09 de mayo de 2017"/>
    <n v="9"/>
    <x v="5"/>
    <s v="0,26"/>
    <e v="#NAME?"/>
  </r>
  <r>
    <n v="236"/>
    <m/>
    <x v="0"/>
    <d v="2017-04-06T00:00:00"/>
    <n v="0.14000000000000001"/>
    <s v="Familia Zavarce Barón"/>
    <s v="0414-241.8055"/>
    <s v="Calle Guacara Nro. 88-91"/>
    <s v="Colaboración Vigilancia, mes de Marzo 2017"/>
    <x v="0"/>
    <m/>
    <s v="00236"/>
    <s v="06 de abril de 2017"/>
    <n v="6"/>
    <x v="4"/>
    <s v="0,14"/>
    <e v="#NAME?"/>
  </r>
  <r>
    <n v="237"/>
    <m/>
    <x v="0"/>
    <d v="2017-05-09T00:00:00"/>
    <n v="0.105"/>
    <s v="Familia Hoyte Rafmari"/>
    <s v="0412-741.3242"/>
    <s v="Av. &quot;I&quot; Nro. 146-30"/>
    <s v="Colaboración Vigilancia, mes de Marzo 2017"/>
    <x v="0"/>
    <m/>
    <s v="00237"/>
    <s v="09 de mayo de 2017"/>
    <n v="9"/>
    <x v="5"/>
    <s v="0,11"/>
    <e v="#NAME?"/>
  </r>
  <r>
    <n v="238"/>
    <m/>
    <x v="0"/>
    <d v="2017-05-09T00:00:00"/>
    <n v="0.24"/>
    <s v="Familia Rodríguez Aular"/>
    <s v="mvaular@hotmail.com"/>
    <s v="Calle Güigüe Nro. 88-58"/>
    <s v="Colaboración Vigilancia, meses de Mar-Abr 2017"/>
    <x v="0"/>
    <m/>
    <s v="00238"/>
    <s v="09 de mayo de 2017"/>
    <n v="9"/>
    <x v="5"/>
    <s v="0,24"/>
    <e v="#NAME?"/>
  </r>
  <r>
    <n v="239"/>
    <m/>
    <x v="0"/>
    <d v="2017-05-09T00:00:00"/>
    <n v="0.60000000000000009"/>
    <s v="Familia Ochoa Mendoza"/>
    <s v="marisoljudithm@hotmail.com"/>
    <s v="Calle Güigüe Nro. 89-105"/>
    <s v="Cancelación Vigilancia, meses de Marzo, Abril y Mayo 2017"/>
    <x v="0"/>
    <m/>
    <s v="00239"/>
    <s v="09 de mayo de 2017"/>
    <n v="9"/>
    <x v="5"/>
    <s v="0,60"/>
    <e v="#NAME?"/>
  </r>
  <r>
    <n v="240"/>
    <m/>
    <x v="0"/>
    <d v="2017-05-10T00:00:00"/>
    <n v="0.26"/>
    <s v="Beatriz Lara"/>
    <s v="valentina.gutierrez@hotmail.com"/>
    <s v="Calle Guacara Nro. 89-130"/>
    <s v="Cancelación Vigilancia, mes de Mayo 2017"/>
    <x v="0"/>
    <m/>
    <s v="00240"/>
    <s v="10 de mayo de 2017"/>
    <n v="10"/>
    <x v="5"/>
    <s v="0,26"/>
    <e v="#NAME?"/>
  </r>
  <r>
    <n v="241"/>
    <m/>
    <x v="0"/>
    <d v="2017-05-10T00:00:00"/>
    <n v="0.17"/>
    <s v="Familia Zavarce Barón"/>
    <s v="0414-241.8055"/>
    <s v="Calle Guacara Nro. 88-91"/>
    <s v="Cancelación Vigilancia, mes de Abril 2017"/>
    <x v="0"/>
    <m/>
    <s v="00241"/>
    <s v="10 de mayo de 2017"/>
    <n v="10"/>
    <x v="5"/>
    <s v="0,17"/>
    <e v="#NAME?"/>
  </r>
  <r>
    <n v="242"/>
    <m/>
    <x v="0"/>
    <d v="2017-05-10T00:00:00"/>
    <n v="0.1"/>
    <s v="Familia Rodríguez Landaeta"/>
    <s v="mrl58@hotmail.com"/>
    <s v="Calle Güigüe Nro. 89-29"/>
    <s v="Colaboración Vigilancia, mes de Mayo 2017"/>
    <x v="0"/>
    <m/>
    <s v="00242"/>
    <s v="10 de mayo de 2017"/>
    <n v="10"/>
    <x v="5"/>
    <s v="0,10"/>
    <e v="#NAME?"/>
  </r>
  <r>
    <n v="243"/>
    <m/>
    <x v="0"/>
    <d v="2017-05-11T00:00:00"/>
    <n v="0.26"/>
    <s v="Familia González Arévalo"/>
    <s v="feryenis@hotmail.com"/>
    <s v="Calle Guacara Nro. 89-86"/>
    <s v="Cancelación Vigilancia, mes de Junio 2017 *DEFINITIVO*"/>
    <x v="0"/>
    <m/>
    <s v="00243"/>
    <s v="11 de mayo de 2017"/>
    <n v="11"/>
    <x v="5"/>
    <s v="0,26"/>
    <e v="#NAME?"/>
  </r>
  <r>
    <n v="244"/>
    <m/>
    <x v="0"/>
    <d v="2017-05-11T00:00:00"/>
    <n v="0.15"/>
    <s v="Familia Kablan Sarmiento"/>
    <s v="norisjsb56@hotmail.com"/>
    <s v="Calle Güigüe Nro. 89-80"/>
    <s v="Colaboración Vigilancia, mes de Mayo 2017"/>
    <x v="0"/>
    <m/>
    <s v="00244"/>
    <s v="11 de mayo de 2017"/>
    <n v="11"/>
    <x v="5"/>
    <s v="0,15"/>
    <e v="#NAME?"/>
  </r>
  <r>
    <n v="245"/>
    <m/>
    <x v="0"/>
    <d v="2017-05-11T00:00:00"/>
    <n v="0.1"/>
    <s v="Zoraida Khair"/>
    <s v="zorakhair@hotmail.com"/>
    <s v="Calle Güigüe Nro. 88-80"/>
    <s v="Colaboración Vigilancia, mes de Mayo 2017"/>
    <x v="0"/>
    <m/>
    <s v="00245"/>
    <s v="11 de mayo de 2017"/>
    <n v="11"/>
    <x v="5"/>
    <s v="0,10"/>
    <e v="#NAME?"/>
  </r>
  <r>
    <n v="246"/>
    <m/>
    <x v="0"/>
    <d v="2017-05-13T00:00:00"/>
    <n v="7.0000000000000007E-2"/>
    <s v="Chin Chun Ya (Goya)"/>
    <s v="uc2721@gmail.com"/>
    <s v="Calle Guacara Nro. 87-86"/>
    <s v="Colaboración Vigilancia, mes de Mayo 2017"/>
    <x v="0"/>
    <m/>
    <s v="00246"/>
    <s v="13 de mayo de 2017"/>
    <n v="13"/>
    <x v="5"/>
    <s v="0,07"/>
    <e v="#NAME?"/>
  </r>
  <r>
    <n v="247"/>
    <m/>
    <x v="0"/>
    <d v="2017-05-15T00:00:00"/>
    <n v="0.26"/>
    <s v="Familia Fermín Rivas"/>
    <s v="angelferminb@gmail.com"/>
    <s v="Calle Güigüe Nro. 89-55"/>
    <s v="Cancelación Vigilancia, mes de Mayo 2017"/>
    <x v="0"/>
    <m/>
    <s v="00247"/>
    <s v="15 de mayo de 2017"/>
    <n v="15"/>
    <x v="5"/>
    <s v="0,26"/>
    <e v="#NAME?"/>
  </r>
  <r>
    <n v="248"/>
    <m/>
    <x v="0"/>
    <d v="2017-05-15T00:00:00"/>
    <n v="0.17"/>
    <s v="Familia Nava Gordon"/>
    <s v="maru_19_66@hotmail.com"/>
    <s v="Calle Guacara Nro. 89-78"/>
    <s v="Cancelación Vigilancia, mes de Abril 2017"/>
    <x v="0"/>
    <m/>
    <s v="00248"/>
    <s v="15 de mayo de 2017"/>
    <n v="15"/>
    <x v="5"/>
    <s v="0,17"/>
    <e v="#NAME?"/>
  </r>
  <r>
    <n v="249"/>
    <m/>
    <x v="0"/>
    <d v="2017-05-15T00:00:00"/>
    <n v="0.2"/>
    <s v="Familia Méndez Parra"/>
    <s v="briceidamp@hotmail.com"/>
    <s v="Calle Guacara Nro. 88-19"/>
    <s v="Colaboración Vigilancia, mes de Mayo 2017"/>
    <x v="0"/>
    <m/>
    <s v="00249"/>
    <s v="15 de mayo de 2017"/>
    <n v="15"/>
    <x v="5"/>
    <s v="0,20"/>
    <e v="#NAME?"/>
  </r>
  <r>
    <n v="250"/>
    <m/>
    <x v="0"/>
    <d v="2017-05-15T00:00:00"/>
    <n v="0.26"/>
    <s v="Familia Díaz González"/>
    <s v="luisrdt57@gmail.com"/>
    <s v="Calle Güigüe Nro. 88-116"/>
    <s v="Cancelación Vigilancia, mes de Mayo 2017"/>
    <x v="0"/>
    <m/>
    <s v="00250"/>
    <s v="15 de mayo de 2017"/>
    <n v="15"/>
    <x v="5"/>
    <s v="0,26"/>
    <e v="#NAME?"/>
  </r>
  <r>
    <n v="251"/>
    <m/>
    <x v="0"/>
    <d v="2017-05-15T00:00:00"/>
    <n v="0.26"/>
    <s v="Familia Sayago Peñaranda"/>
    <s v="alexissayago@gmail.com"/>
    <s v="Calle Güigüe Nro. 89-04"/>
    <s v="Cancelación Vigilancia, mes de Mayo 2017"/>
    <x v="0"/>
    <m/>
    <s v="00251"/>
    <s v="15 de mayo de 2017"/>
    <n v="15"/>
    <x v="5"/>
    <s v="0,26"/>
    <e v="#NAME?"/>
  </r>
  <r>
    <n v="252"/>
    <m/>
    <x v="0"/>
    <d v="2017-05-09T00:00:00"/>
    <n v="0.05"/>
    <s v="Familia Herrera Guada"/>
    <s v="En Físico"/>
    <s v="Calle Güigüe Nro. 89-90"/>
    <s v="Colaboración Vigilancia, mes de Mayo 2017"/>
    <x v="0"/>
    <m/>
    <s v="00252"/>
    <s v="09 de mayo de 2017"/>
    <n v="9"/>
    <x v="5"/>
    <s v="0,05"/>
    <e v="#NAME?"/>
  </r>
  <r>
    <n v="253"/>
    <m/>
    <x v="0"/>
    <d v="2017-05-16T00:00:00"/>
    <n v="0.17"/>
    <s v="Familia Franco Gómez"/>
    <s v="eof64@hotmail.com"/>
    <s v="Calle Guacara Nro. 87-07"/>
    <s v="Colaboración Vigilancia, mes de Mayo 2017"/>
    <x v="0"/>
    <m/>
    <s v="00253"/>
    <s v="16 de mayo de 2017"/>
    <n v="16"/>
    <x v="5"/>
    <s v="0,17"/>
    <e v="#NAME?"/>
  </r>
  <r>
    <n v="254"/>
    <m/>
    <x v="0"/>
    <d v="2017-05-17T00:00:00"/>
    <n v="0.26"/>
    <s v="Familia Ferrer Bahri"/>
    <s v="bahrimariela@hotmail.com"/>
    <s v="Calle Güigüe Nro. 89-83"/>
    <s v="Cancelación Vigilancia, mes de Mayo 2017"/>
    <x v="0"/>
    <m/>
    <s v="00254"/>
    <s v="17 de mayo de 2017"/>
    <n v="17"/>
    <x v="5"/>
    <s v="0,26"/>
    <e v="#NAME?"/>
  </r>
  <r>
    <n v="255"/>
    <m/>
    <x v="0"/>
    <d v="2017-03-15T00:00:00"/>
    <n v="0.2"/>
    <s v="La Casita Encantada"/>
    <s v="En Físico"/>
    <s v="Av. &quot;M&quot; Nro. 146-30"/>
    <s v="Cancelación Vigilancia, mes de Marzo 2017"/>
    <x v="0"/>
    <m/>
    <s v="00255"/>
    <s v="15 de marzo de 2017"/>
    <n v="15"/>
    <x v="3"/>
    <s v="0,20"/>
    <e v="#NAME?"/>
  </r>
  <r>
    <n v="256"/>
    <m/>
    <x v="0"/>
    <d v="2017-04-15T00:00:00"/>
    <n v="0.2"/>
    <s v="La Casita Encantada"/>
    <s v="En Físico"/>
    <s v="Av. &quot;M&quot; Nro. 146-30"/>
    <s v="Cancelación Vigilancia, mes de Abril 2017"/>
    <x v="0"/>
    <m/>
    <s v="00256"/>
    <s v="15 de abril de 2017"/>
    <n v="15"/>
    <x v="4"/>
    <s v="0,20"/>
    <e v="#NAME?"/>
  </r>
  <r>
    <n v="257"/>
    <m/>
    <x v="0"/>
    <d v="2017-02-15T00:00:00"/>
    <n v="0.3"/>
    <s v="Colegio El Trigal"/>
    <s v="En Físico"/>
    <s v="Calle Güigüe Nros. 88-71 y 88-81"/>
    <s v="Cancelación Vigilancia, mes de Febrero 2017"/>
    <x v="0"/>
    <m/>
    <s v="00257"/>
    <s v="15 de febrero de 2017"/>
    <n v="15"/>
    <x v="2"/>
    <s v="0,30"/>
    <e v="#NAME?"/>
  </r>
  <r>
    <n v="258"/>
    <m/>
    <x v="0"/>
    <d v="2017-03-15T00:00:00"/>
    <n v="0.3"/>
    <s v="Colegio El Trigal"/>
    <s v="En Físico"/>
    <s v="Calle Güigüe Nros. 88-71 y 88-81"/>
    <s v="Cancelación Vigilancia, mes de Marzo 2017"/>
    <x v="0"/>
    <m/>
    <s v="00258"/>
    <s v="15 de marzo de 2017"/>
    <n v="15"/>
    <x v="3"/>
    <s v="0,30"/>
    <e v="#NAME?"/>
  </r>
  <r>
    <n v="259"/>
    <m/>
    <x v="0"/>
    <d v="2017-04-15T00:00:00"/>
    <n v="0.3"/>
    <s v="Colegio El Trigal"/>
    <s v="En Físico"/>
    <s v="Calle Güigüe Nros. 88-71 y 88-81"/>
    <s v="Cancelación Vigilancia, mes de Abril 2017"/>
    <x v="0"/>
    <m/>
    <s v="00259"/>
    <s v="15 de abril de 2017"/>
    <n v="15"/>
    <x v="4"/>
    <s v="0,30"/>
    <e v="#NAME?"/>
  </r>
  <r>
    <n v="260"/>
    <m/>
    <x v="0"/>
    <d v="2017-05-18T00:00:00"/>
    <n v="0.2"/>
    <s v="Victoria Francischiello"/>
    <s v="victoriafrancischiello@hotmail.com"/>
    <s v="Calle Guacara Nro. 88-25"/>
    <s v="Colaboración Vigilancia, mes de Mayo 2017"/>
    <x v="0"/>
    <m/>
    <s v="00260"/>
    <s v="18 de mayo de 2017"/>
    <n v="18"/>
    <x v="5"/>
    <s v="0,20"/>
    <e v="#NAME?"/>
  </r>
  <r>
    <n v="261"/>
    <m/>
    <x v="0"/>
    <d v="2017-05-22T00:00:00"/>
    <n v="0.3"/>
    <s v="La Casita Encantada"/>
    <s v="En Físico"/>
    <s v="Av. &quot;M&quot; Nro. 146-30"/>
    <s v="Cancelación Vigilancia, mes de Mayo 2017"/>
    <x v="0"/>
    <m/>
    <s v="00261"/>
    <s v="22 de mayo de 2017"/>
    <n v="22"/>
    <x v="5"/>
    <s v="0,30"/>
    <e v="#NAME?"/>
  </r>
  <r>
    <n v="262"/>
    <m/>
    <x v="0"/>
    <d v="2017-05-22T00:00:00"/>
    <n v="0.34"/>
    <s v="Familia Zavarce Pérez"/>
    <s v="En Físico"/>
    <s v="Calle Guacara Nro. 90-35"/>
    <s v="Cancelación Vigilancia, mes de Abril 2017 y anticipo Mayo 2017 (Bs. 17.000)"/>
    <x v="0"/>
    <m/>
    <s v="00262"/>
    <s v="22 de mayo de 2017"/>
    <n v="22"/>
    <x v="5"/>
    <s v="0,34"/>
    <e v="#NAME?"/>
  </r>
  <r>
    <n v="263"/>
    <m/>
    <x v="0"/>
    <d v="2017-05-23T00:00:00"/>
    <n v="0.4"/>
    <s v="Colegio El Trigal"/>
    <s v="En Físico"/>
    <s v="Calle Güigüe Nros. 88-71 y 88-81"/>
    <s v="Cancelación Vigilancia, mes de Mayo 2017"/>
    <x v="0"/>
    <m/>
    <s v="00263"/>
    <s v="23 de mayo de 2017"/>
    <n v="23"/>
    <x v="5"/>
    <s v="0,40"/>
    <e v="#NAME?"/>
  </r>
  <r>
    <n v="264"/>
    <m/>
    <x v="0"/>
    <d v="2017-05-24T00:00:00"/>
    <n v="0.26"/>
    <s v="Familia Matta Palomino"/>
    <s v="En Físico"/>
    <s v="Calle Güigüe Nro. 88-90"/>
    <s v="Cancelación Vigilancia, mes de Mayo 2017"/>
    <x v="0"/>
    <m/>
    <s v="00264"/>
    <s v="24 de mayo de 2017"/>
    <n v="24"/>
    <x v="5"/>
    <s v="0,26"/>
    <e v="#NAME?"/>
  </r>
  <r>
    <n v="265"/>
    <m/>
    <x v="0"/>
    <d v="2017-05-26T00:00:00"/>
    <n v="0.22"/>
    <s v="Familia Navarro Assing"/>
    <s v="liliaassing@gmail.com"/>
    <s v="Calle Güigüe Nro. 88-54"/>
    <s v="Anticipo Vigilancia, mes de Mayo 2017"/>
    <x v="0"/>
    <m/>
    <s v="00265"/>
    <s v="26 de mayo de 2017"/>
    <n v="26"/>
    <x v="5"/>
    <s v="0,22"/>
    <e v="#NAME?"/>
  </r>
  <r>
    <n v="266"/>
    <m/>
    <x v="0"/>
    <d v="2017-05-24T00:00:00"/>
    <n v="0.03"/>
    <s v="Ma. de Jesus Alonso"/>
    <s v="marjoriealonsoh@hotmail.com"/>
    <s v="Calle Güigüe Nro. 88-30"/>
    <s v="Colaboración Vigilancia, mes de Abril 2017"/>
    <x v="0"/>
    <m/>
    <s v="00266"/>
    <s v="24 de mayo de 2017"/>
    <n v="24"/>
    <x v="5"/>
    <s v="0,03"/>
    <e v="#NAME?"/>
  </r>
  <r>
    <n v="267"/>
    <m/>
    <x v="0"/>
    <d v="2017-05-26T00:00:00"/>
    <n v="0.05"/>
    <s v="Familia Rivero"/>
    <s v="En Físico"/>
    <s v="Calle Güigüe Nro. 88-40"/>
    <s v="Colaboración Vigilancia, mes de Mayo 2017"/>
    <x v="0"/>
    <m/>
    <s v="00267"/>
    <s v="26 de mayo de 2017"/>
    <n v="26"/>
    <x v="5"/>
    <s v="0,05"/>
    <e v="#NAME?"/>
  </r>
  <r>
    <n v="268"/>
    <m/>
    <x v="0"/>
    <d v="2017-05-27T00:00:00"/>
    <n v="0.26"/>
    <s v="Familia Castillo Rodríguez"/>
    <s v="vesperanzacastillor@gmail.com"/>
    <s v="Calle Güigüe Nro. 88-91"/>
    <s v="Cancelación Vigilancia, mes de Mayo 2017"/>
    <x v="0"/>
    <m/>
    <s v="00268"/>
    <s v="27 de mayo de 2017"/>
    <n v="27"/>
    <x v="5"/>
    <s v="0,26"/>
    <e v="#NAME?"/>
  </r>
  <r>
    <n v="269"/>
    <m/>
    <x v="0"/>
    <d v="2017-05-27T00:00:00"/>
    <n v="0.15"/>
    <s v="Familia Chávez Hernández"/>
    <s v="mercedesch23@hotmail.com"/>
    <s v="Calle Güigüe Nro. 88-20"/>
    <s v="Colaboración Vigilancia, meses de Noviembre 2016 a Marzo 2017"/>
    <x v="0"/>
    <m/>
    <s v="00269"/>
    <s v="27 de mayo de 2017"/>
    <n v="27"/>
    <x v="5"/>
    <s v="0,15"/>
    <e v="#NAME?"/>
  </r>
  <r>
    <n v="270"/>
    <m/>
    <x v="0"/>
    <d v="2017-05-28T00:00:00"/>
    <n v="0.09"/>
    <s v="Familia Zavarce Pérez"/>
    <s v="En Físico"/>
    <s v="Calle Guacara Nro. 90-35"/>
    <s v="Cancelación Saldo Vigilancia, mes de Mayo 2017"/>
    <x v="0"/>
    <m/>
    <s v="00270"/>
    <s v="28 de mayo de 2017"/>
    <n v="28"/>
    <x v="5"/>
    <s v="0,09"/>
    <e v="#NAME?"/>
  </r>
  <r>
    <n v="271"/>
    <m/>
    <x v="0"/>
    <d v="2017-05-28T00:00:00"/>
    <n v="0.26"/>
    <s v="Anahiz Seijas"/>
    <s v="anahiz_2@hotmail.es"/>
    <s v="Calle Güigüe Nro. 89-106"/>
    <s v="Cancelación Vigilancia, mes de Mayo 2017"/>
    <x v="0"/>
    <m/>
    <s v="00271"/>
    <s v="28 de mayo de 2017"/>
    <n v="28"/>
    <x v="5"/>
    <s v="0,26"/>
    <e v="#NAME?"/>
  </r>
  <r>
    <n v="272"/>
    <m/>
    <x v="0"/>
    <d v="2017-05-29T00:00:00"/>
    <n v="0.69000000000000006"/>
    <s v="Familia Narváez Caldera"/>
    <s v="jeannette_nc@yahoo.com"/>
    <s v="Calle Güigüe Nro. 87-A-11"/>
    <s v="Cancelación Vigilancia, meses de Abril, Mayo y Junio 2017"/>
    <x v="0"/>
    <m/>
    <s v="00272"/>
    <s v="29 de mayo de 2017"/>
    <n v="29"/>
    <x v="5"/>
    <s v="0,69"/>
    <e v="#NAME?"/>
  </r>
  <r>
    <n v="273"/>
    <m/>
    <x v="0"/>
    <d v="2017-05-29T00:00:00"/>
    <n v="0.26"/>
    <s v="Familia Astor Zamora"/>
    <s v="imzastor@gmail.com"/>
    <s v="Calle Güigüe Nro. 88-111"/>
    <s v="Cancelación Vigilancia, mes de Mayo 2017"/>
    <x v="0"/>
    <m/>
    <s v="00273"/>
    <s v="29 de mayo de 2017"/>
    <n v="29"/>
    <x v="5"/>
    <s v="0,26"/>
    <e v="#NAME?"/>
  </r>
  <r>
    <n v="274"/>
    <m/>
    <x v="0"/>
    <d v="2017-05-29T00:00:00"/>
    <n v="0.27"/>
    <s v="Amarilis Guerra"/>
    <s v="amarilisguerra1@yahoo.com"/>
    <s v="Calle Güigüe Nro. 89-96"/>
    <s v="Cancelación Vigilancia, mes de Mayo 2017"/>
    <x v="0"/>
    <m/>
    <s v="00274"/>
    <s v="29 de mayo de 2017"/>
    <n v="29"/>
    <x v="5"/>
    <s v="0,27"/>
    <e v="#NAME?"/>
  </r>
  <r>
    <n v="275"/>
    <m/>
    <x v="0"/>
    <d v="2017-06-01T00:00:00"/>
    <n v="0.2"/>
    <s v="Dra. Lilia Magallanes"/>
    <s v="liliamagallanes2010@gmail.com"/>
    <s v="Calle Güigüe Nro. 88-51"/>
    <s v="Colaboración Vigilancia, mes de Mayo 2017"/>
    <x v="0"/>
    <m/>
    <s v="00275"/>
    <s v="01 de junio de 2017"/>
    <n v="1"/>
    <x v="7"/>
    <s v="0,20"/>
    <e v="#NAME?"/>
  </r>
  <r>
    <n v="276"/>
    <m/>
    <x v="0"/>
    <d v="2017-06-01T00:00:00"/>
    <n v="0.04"/>
    <s v="Familia Navarro Assing"/>
    <s v="liliaassing@gmail.com"/>
    <s v="Calle Güigüe Nro. 88-54"/>
    <s v="Cancelación Saldo Vigilancia, mes de Mayo 2017"/>
    <x v="0"/>
    <m/>
    <s v="00276"/>
    <s v="01 de junio de 2017"/>
    <n v="1"/>
    <x v="7"/>
    <s v="0,04"/>
    <e v="#NAME?"/>
  </r>
  <r>
    <n v="277"/>
    <m/>
    <x v="0"/>
    <d v="2017-06-01T00:00:00"/>
    <n v="1.2000000000000002"/>
    <s v="Ely Saúl Rivero Gómez"/>
    <s v="hhs.admon@gmail.com"/>
    <s v="Av. &quot;Ñ&quot; Nro. 145-25"/>
    <s v="Cancelación Vigilancia, meses de Ene-Jun 2017 (saldo a favor: Bs. 156.000)"/>
    <x v="0"/>
    <m/>
    <s v="00277"/>
    <s v="01 de junio de 2017"/>
    <n v="1"/>
    <x v="7"/>
    <s v="1,20"/>
    <e v="#NAME?"/>
  </r>
  <r>
    <n v="278"/>
    <m/>
    <x v="0"/>
    <d v="2017-06-01T00:00:00"/>
    <n v="0.26"/>
    <s v="Familia Del Negro Palermo"/>
    <s v="vdelnegro@gmail.com"/>
    <s v="Calle Guacara Nro. 88-45"/>
    <s v="Cancelación Vigilancia, mes de Junio 2017 (saldo a favor: Bs. 165.000)"/>
    <x v="0"/>
    <m/>
    <s v="00278"/>
    <s v="01 de junio de 2017"/>
    <n v="1"/>
    <x v="7"/>
    <s v="0,26"/>
    <e v="#NAME?"/>
  </r>
  <r>
    <n v="279"/>
    <m/>
    <x v="0"/>
    <d v="2017-06-04T00:00:00"/>
    <n v="0.26"/>
    <s v="Familia Montilla García"/>
    <s v="dairy252525@hotmail.com"/>
    <s v="Calle Güigüe Nro. 89-90"/>
    <s v="Cancelación Vigilancia, mes de Junio 2017"/>
    <x v="0"/>
    <m/>
    <s v="00279"/>
    <s v="04 de junio de 2017"/>
    <n v="4"/>
    <x v="7"/>
    <s v="0,26"/>
    <e v="#NAME?"/>
  </r>
  <r>
    <n v="280"/>
    <m/>
    <x v="0"/>
    <d v="2017-06-04T00:00:00"/>
    <n v="0.17"/>
    <s v="Familia Jiménez Navarro"/>
    <s v="joyasonline2012@gmail.com"/>
    <s v="Calle Güigüe Nro. 88-50"/>
    <s v="Cancelación Vigilancia, mes de Abril 2017"/>
    <x v="0"/>
    <m/>
    <s v="00280"/>
    <s v="04 de junio de 2017"/>
    <n v="4"/>
    <x v="7"/>
    <s v="0,17"/>
    <e v="#NAME?"/>
  </r>
  <r>
    <n v="281"/>
    <m/>
    <x v="0"/>
    <d v="2017-06-05T00:00:00"/>
    <n v="0.1"/>
    <s v="Chin Chun Ya (Goya)"/>
    <s v="uc2721@gmail.com"/>
    <s v="Calle Guacara Nro. 87-86"/>
    <s v="Colaboración Vigilancia, mes de Junio 2017"/>
    <x v="0"/>
    <m/>
    <s v="00281"/>
    <s v="05 de junio de 2017"/>
    <n v="5"/>
    <x v="7"/>
    <s v="0,10"/>
    <e v="#NAME?"/>
  </r>
  <r>
    <n v="282"/>
    <m/>
    <x v="0"/>
    <d v="2017-06-05T00:00:00"/>
    <n v="0.26"/>
    <s v="Familia Fernández Parés"/>
    <s v="vultecca@gmail.com"/>
    <s v="Calle Guacara Nro. 88-75"/>
    <s v="Cancelación Vigilancia, mes de Mayo 2017"/>
    <x v="0"/>
    <m/>
    <s v="00282"/>
    <s v="05 de junio de 2017"/>
    <n v="5"/>
    <x v="7"/>
    <s v="0,26"/>
    <e v="#NAME?"/>
  </r>
  <r>
    <n v="283"/>
    <m/>
    <x v="0"/>
    <d v="2017-06-06T00:00:00"/>
    <n v="0.15"/>
    <s v="Familia Kablan Sarmiento"/>
    <s v="norisjsb56@hotmail.com"/>
    <s v="Calle Güigüe Nro. 89-80"/>
    <s v="Colaboración Vigilancia, mes de Junio 2017"/>
    <x v="0"/>
    <m/>
    <s v="00283"/>
    <s v="06 de junio de 2017"/>
    <n v="6"/>
    <x v="7"/>
    <s v="0,15"/>
    <e v="#NAME?"/>
  </r>
  <r>
    <n v="284"/>
    <m/>
    <x v="0"/>
    <d v="2017-06-06T00:00:00"/>
    <n v="0.26"/>
    <s v="Familia Kattar González"/>
    <s v="jagiak123@yahoo.es"/>
    <s v="Calle Güigüe Nro. 89-95"/>
    <s v="Cancelación Vigilancia, mes de Mayo 2017"/>
    <x v="0"/>
    <m/>
    <s v="00284"/>
    <s v="06 de junio de 2017"/>
    <n v="6"/>
    <x v="7"/>
    <s v="0,26"/>
    <e v="#NAME?"/>
  </r>
  <r>
    <n v="285"/>
    <m/>
    <x v="0"/>
    <d v="2017-06-07T00:00:00"/>
    <n v="0.35"/>
    <s v="Familia Morales Sesar"/>
    <s v="moralesesar@gmail.com"/>
    <s v="Calle Güigüe Nro. 89-120"/>
    <s v="Cancelación Vigilancia, saldo mes de Mayo 2017 y Junio 2017"/>
    <x v="0"/>
    <m/>
    <s v="00285"/>
    <s v="07 de junio de 2017"/>
    <n v="7"/>
    <x v="7"/>
    <s v="0,35"/>
    <e v="#NAME?"/>
  </r>
  <r>
    <n v="286"/>
    <m/>
    <x v="0"/>
    <d v="2017-06-07T00:00:00"/>
    <n v="0.26"/>
    <s v="Familia Colosso Delgado"/>
    <s v="mcolosso@gmail.com"/>
    <s v="Calle Güigüe Nro. 88-44"/>
    <s v="Cancelación Vigilancia, mes de Junio 2017"/>
    <x v="0"/>
    <m/>
    <s v="00286"/>
    <s v="07 de junio de 2017"/>
    <n v="7"/>
    <x v="7"/>
    <s v="0,26"/>
    <e v="#NAME?"/>
  </r>
  <r>
    <n v="287"/>
    <m/>
    <x v="0"/>
    <d v="2017-06-07T00:00:00"/>
    <n v="0.27"/>
    <s v="Familia Durvelle Serrano"/>
    <s v="sdurvelle@hotmail.com"/>
    <s v="Calle Guacara Nro. 89-60"/>
    <s v="Cancelación Vigilancia, mes de Junio 2017"/>
    <x v="0"/>
    <m/>
    <s v="00287"/>
    <s v="07 de junio de 2017"/>
    <n v="7"/>
    <x v="7"/>
    <s v="0,27"/>
    <e v="#NAME?"/>
  </r>
  <r>
    <n v="288"/>
    <m/>
    <x v="0"/>
    <d v="2017-06-07T00:00:00"/>
    <n v="0.26"/>
    <s v="Familia Lomeña Agudo"/>
    <s v="claudialomena@hotmail.com"/>
    <s v="Calle Guacara Nro. 89-30"/>
    <s v="Cancelación Vigilancia, mes de Mayo 2017"/>
    <x v="0"/>
    <m/>
    <s v="00288"/>
    <s v="07 de junio de 2017"/>
    <n v="7"/>
    <x v="7"/>
    <s v="0,26"/>
    <e v="#NAME?"/>
  </r>
  <r>
    <n v="289"/>
    <m/>
    <x v="0"/>
    <d v="2017-06-02T00:00:00"/>
    <n v="0.26"/>
    <s v="Familia Barreto Pérez"/>
    <s v="bbetsa19@hotmail.com"/>
    <s v="Av. &quot;M&quot; Nro. 146-15"/>
    <s v="Cancelación Vigilancia, mes de Mayo 2017"/>
    <x v="0"/>
    <m/>
    <s v="00289"/>
    <s v="02 de junio de 2017"/>
    <n v="2"/>
    <x v="7"/>
    <s v="0,26"/>
    <e v="#NAME?"/>
  </r>
  <r>
    <n v="290"/>
    <m/>
    <x v="0"/>
    <d v="2017-06-02T00:00:00"/>
    <n v="0.26"/>
    <s v="Familia Cegarra Villamizar"/>
    <s v="jesus.villamizar.ra@gmail.com"/>
    <s v="Calle Guacara Nro. 88-35"/>
    <s v="Cancelación Vigilancia, mes de Mayo 2017"/>
    <x v="0"/>
    <m/>
    <s v="00290"/>
    <s v="02 de junio de 2017"/>
    <n v="2"/>
    <x v="7"/>
    <s v="0,26"/>
    <e v="#NAME?"/>
  </r>
  <r>
    <n v="291"/>
    <m/>
    <x v="0"/>
    <d v="2017-06-04T00:00:00"/>
    <n v="0.26"/>
    <s v="Wu Hung Fung"/>
    <s v="carolinahung24@gmail.com"/>
    <s v="Calle Guacara Nro. 90-81"/>
    <s v="Cancelación Vigilancia, mes de Junio 2017"/>
    <x v="0"/>
    <m/>
    <s v="00291"/>
    <s v="04 de junio de 2017"/>
    <n v="4"/>
    <x v="7"/>
    <s v="0,26"/>
    <e v="#NAME?"/>
  </r>
  <r>
    <n v="292"/>
    <m/>
    <x v="0"/>
    <d v="2017-06-06T00:00:00"/>
    <n v="0.26"/>
    <s v="Familia Ferrer Bahri"/>
    <s v="bahrimariela@hotmail.com"/>
    <s v="Calle Güigüe Nro. 89-83"/>
    <s v="Cancelación Vigilancia, mes de Junio 2017"/>
    <x v="0"/>
    <m/>
    <s v="00292"/>
    <s v="06 de junio de 2017"/>
    <n v="6"/>
    <x v="7"/>
    <s v="0,26"/>
    <e v="#NAME?"/>
  </r>
  <r>
    <n v="293"/>
    <m/>
    <x v="0"/>
    <d v="2017-05-17T00:00:00"/>
    <n v="0.26"/>
    <s v="Familia Piñero Padilla"/>
    <s v="achepaul2005@hotmail.com"/>
    <s v="Calle Güigüe Nro. 89-21"/>
    <s v="Cancelación Vigilancia, mes de Mayo 2017"/>
    <x v="0"/>
    <m/>
    <s v="00293"/>
    <s v="17 de mayo de 2017"/>
    <n v="17"/>
    <x v="5"/>
    <s v="0,26"/>
    <e v="#NAME?"/>
  </r>
  <r>
    <n v="294"/>
    <m/>
    <x v="0"/>
    <d v="2017-06-02T00:00:00"/>
    <n v="0.26"/>
    <s v="Familia Gascón Domínguez"/>
    <s v="vrgascon@gmail.com"/>
    <s v="Calle Güigüe Nro. 88-70"/>
    <s v="Cancelación Vigilancia, mes de Mayo 2017"/>
    <x v="0"/>
    <m/>
    <s v="00294"/>
    <s v="02 de junio de 2017"/>
    <n v="2"/>
    <x v="7"/>
    <s v="0,26"/>
    <e v="#NAME?"/>
  </r>
  <r>
    <n v="295"/>
    <m/>
    <x v="0"/>
    <d v="2017-06-09T00:00:00"/>
    <n v="0.26"/>
    <s v="Beatriz Lara"/>
    <s v="valentina.gutierrez@hotmail.com"/>
    <s v="Calle Guacara Nro. 89-130"/>
    <s v="Cancelación Vigilancia, mes de Junio 2017"/>
    <x v="0"/>
    <m/>
    <s v="00295"/>
    <s v="09 de junio de 2017"/>
    <n v="9"/>
    <x v="7"/>
    <s v="0,26"/>
    <e v="#NAME?"/>
  </r>
  <r>
    <n v="296"/>
    <m/>
    <x v="0"/>
    <d v="2017-06-09T00:00:00"/>
    <n v="0.52"/>
    <s v="Sra. Reina Meléndez"/>
    <s v="olgajipe@gmail.com"/>
    <s v="Av. &quot;M&quot; Nro. 145-10"/>
    <s v="Cancelación Vigilancia, meses de Mayo y Junio 2017"/>
    <x v="0"/>
    <m/>
    <s v="00296"/>
    <s v="09 de junio de 2017"/>
    <n v="9"/>
    <x v="7"/>
    <s v="0,52"/>
    <e v="#NAME?"/>
  </r>
  <r>
    <n v="297"/>
    <m/>
    <x v="0"/>
    <d v="2017-06-01T00:00:00"/>
    <n v="0.17"/>
    <s v="Familia Delgado Hidalgo"/>
    <s v="ardh@hotmail.com"/>
    <s v="Calle Güigüe Nro. 88-10"/>
    <s v="Cancelación Vigilancia, mes de Abril 2017"/>
    <x v="0"/>
    <m/>
    <s v="00297"/>
    <s v="01 de junio de 2017"/>
    <n v="1"/>
    <x v="7"/>
    <s v="0,17"/>
    <e v="#NAME?"/>
  </r>
  <r>
    <n v="298"/>
    <m/>
    <x v="0"/>
    <d v="2017-06-16T00:00:00"/>
    <n v="0.56000000000000005"/>
    <s v="Familia Puerta Burguillos"/>
    <s v="namaricakes@gmail.com"/>
    <s v="Calle Guacara Nro. 87-100"/>
    <s v="Cancelación Vigilancia, mes de Junio y anticipo de Julio y Agosto 2017 (contra facturas)"/>
    <x v="0"/>
    <m/>
    <s v="00298"/>
    <s v="16 de junio de 2017"/>
    <n v="16"/>
    <x v="7"/>
    <s v="0,56"/>
    <e v="#NAME?"/>
  </r>
  <r>
    <n v="299"/>
    <m/>
    <x v="0"/>
    <d v="2017-06-16T00:00:00"/>
    <n v="0.08"/>
    <s v="Familia Flores Montagne"/>
    <s v="namaricakes@gmail.com"/>
    <s v="Av. &quot;M&quot; Nro. 146-20"/>
    <s v="Colaboración Vigilancia, meses de Junio y Julio 2017 (contra facturas)"/>
    <x v="0"/>
    <m/>
    <s v="00299"/>
    <s v="16 de junio de 2017"/>
    <n v="16"/>
    <x v="7"/>
    <s v="0,08"/>
    <e v="#NAME?"/>
  </r>
  <r>
    <n v="300"/>
    <m/>
    <x v="0"/>
    <d v="2017-06-08T00:00:00"/>
    <n v="0.2"/>
    <s v="Familia Hurtado"/>
    <s v="En Físico"/>
    <s v="Av. &quot;O&quot; Nro. 146-11"/>
    <s v="Cancelación Vigilancia, mes de Mayo 2017"/>
    <x v="0"/>
    <m/>
    <s v="00300"/>
    <s v="08 de junio de 2017"/>
    <n v="8"/>
    <x v="7"/>
    <s v="0,20"/>
    <e v="#NAME?"/>
  </r>
  <r>
    <n v="301"/>
    <m/>
    <x v="0"/>
    <d v="2017-05-15T00:00:00"/>
    <n v="0.17"/>
    <s v="Familia Astor Zamora"/>
    <s v="imzastor@gmail.com"/>
    <s v="Calle Güigüe Nro. 88-111"/>
    <s v="Cancelación Vigilancia, mes de Abril 2017"/>
    <x v="0"/>
    <m/>
    <s v="00301"/>
    <s v="15 de mayo de 2017"/>
    <n v="15"/>
    <x v="5"/>
    <s v="0,17"/>
    <e v="#NAME?"/>
  </r>
  <r>
    <n v="302"/>
    <m/>
    <x v="0"/>
    <d v="2017-06-05T00:00:00"/>
    <n v="0.26"/>
    <s v="Familia Lomeña Agudo"/>
    <s v="claudialomena@hotmail.com"/>
    <s v="Calle Guacara Nro. 89-30"/>
    <s v="Cancelación Vigilancia, mes de Junio 2017"/>
    <x v="0"/>
    <m/>
    <s v="00302"/>
    <s v="05 de junio de 2017"/>
    <n v="5"/>
    <x v="7"/>
    <s v="0,26"/>
    <e v="#NAME?"/>
  </r>
  <r>
    <n v="303"/>
    <m/>
    <x v="0"/>
    <d v="2017-06-14T00:00:00"/>
    <n v="0.1"/>
    <s v="Familia Jiménez Navarro"/>
    <s v="joyasonline2012@gmail.com"/>
    <s v="Calle Güigüe Nro. 88-50"/>
    <s v="Cuota especial, reja vereda Centro Comercial"/>
    <x v="4"/>
    <m/>
    <s v="00303"/>
    <s v="14 de junio de 2017"/>
    <n v="14"/>
    <x v="7"/>
    <s v="0,10"/>
    <e v="#NAME?"/>
  </r>
  <r>
    <n v="304"/>
    <m/>
    <x v="0"/>
    <d v="2017-06-14T00:00:00"/>
    <n v="0.4"/>
    <s v="Colegio El Trigal"/>
    <s v="En Físico"/>
    <s v="Calle Güigüe Nros. 88-71 y 88-81"/>
    <s v="Cancelación Vigilancia, mes de Junio 2017"/>
    <x v="0"/>
    <m/>
    <s v="00304"/>
    <s v="14 de junio de 2017"/>
    <n v="14"/>
    <x v="7"/>
    <s v="0,40"/>
    <e v="#NAME?"/>
  </r>
  <r>
    <n v="305"/>
    <m/>
    <x v="0"/>
    <d v="2017-06-14T00:00:00"/>
    <n v="7.0000000000000007E-2"/>
    <s v="Colegio El Trigal"/>
    <s v="En Físico"/>
    <s v="Calle Güigüe Nros. 88-71 y 88-81"/>
    <s v="Cuota especial, reja vereda Centro Comercial"/>
    <x v="4"/>
    <m/>
    <s v="00305"/>
    <s v="14 de junio de 2017"/>
    <n v="14"/>
    <x v="7"/>
    <s v="0,07"/>
    <e v="#NAME?"/>
  </r>
  <r>
    <n v="306"/>
    <m/>
    <x v="0"/>
    <d v="2017-06-14T00:00:00"/>
    <n v="7.0000000000000007E-2"/>
    <s v="Familia Fernández Parés"/>
    <s v="vultecca@gmail.com"/>
    <s v="Calle Guacara Nro. 88-75"/>
    <s v="Cuota especial, reja vereda Centro Comercial"/>
    <x v="4"/>
    <m/>
    <s v="00306"/>
    <s v="14 de junio de 2017"/>
    <n v="14"/>
    <x v="7"/>
    <s v="0,07"/>
    <e v="#NAME?"/>
  </r>
  <r>
    <n v="307"/>
    <m/>
    <x v="0"/>
    <d v="2017-06-14T00:00:00"/>
    <n v="0.52"/>
    <s v="Familia Manrique Riera"/>
    <s v="patriciamanrique@gmail.com"/>
    <s v="Calle Guacara Nro. 89-40"/>
    <s v="Cancelación Vigilancia, meses de Mayo y Junio 2017"/>
    <x v="0"/>
    <m/>
    <s v="00307"/>
    <s v="14 de junio de 2017"/>
    <n v="14"/>
    <x v="7"/>
    <s v="0,52"/>
    <e v="#NAME?"/>
  </r>
  <r>
    <n v="308"/>
    <m/>
    <x v="0"/>
    <d v="2017-06-14T00:00:00"/>
    <n v="7.0000000000000007E-2"/>
    <s v="Familia Manrique Riera"/>
    <s v="patriciamanrique@gmail.com"/>
    <s v="Calle Guacara Nro. 89-40"/>
    <s v="Cuota especial, reja vereda Centro Comercial"/>
    <x v="4"/>
    <m/>
    <s v="00308"/>
    <s v="14 de junio de 2017"/>
    <n v="14"/>
    <x v="7"/>
    <s v="0,07"/>
    <e v="#NAME?"/>
  </r>
  <r>
    <n v="309"/>
    <m/>
    <x v="0"/>
    <d v="2017-06-14T00:00:00"/>
    <n v="0.34"/>
    <s v="Ana de González"/>
    <s v="mikelnowak25@gmail.com"/>
    <s v="Av. &quot;O&quot; Nro. 146-17"/>
    <s v="Anticipo Vigilancia, meses de Mayo y Junio 2017"/>
    <x v="0"/>
    <m/>
    <s v="00309"/>
    <s v="14 de junio de 2017"/>
    <n v="14"/>
    <x v="7"/>
    <s v="0,34"/>
    <e v="#NAME?"/>
  </r>
  <r>
    <n v="310"/>
    <m/>
    <x v="0"/>
    <d v="2017-06-14T00:00:00"/>
    <n v="7.0000000000000007E-2"/>
    <s v="Ana de González"/>
    <s v="mikelnowak25@gmail.com"/>
    <s v="Av. &quot;O&quot; Nro. 146-17"/>
    <s v="Cuota especial, reja vereda Centro Comercial"/>
    <x v="4"/>
    <m/>
    <s v="00310"/>
    <s v="14 de junio de 2017"/>
    <n v="14"/>
    <x v="7"/>
    <s v="0,07"/>
    <e v="#NAME?"/>
  </r>
  <r>
    <n v="311"/>
    <m/>
    <x v="0"/>
    <d v="2017-06-14T00:00:00"/>
    <n v="7.0000000000000007E-2"/>
    <s v="Familia Durvelle Serrano"/>
    <s v="sdurvelle@hotmail.com"/>
    <s v="Calle Guacara Nro. 89-60"/>
    <s v="Cuota especial, reja vereda Centro Comercial"/>
    <x v="4"/>
    <m/>
    <s v="00311"/>
    <s v="14 de junio de 2017"/>
    <n v="14"/>
    <x v="7"/>
    <s v="0,07"/>
    <e v="#NAME?"/>
  </r>
  <r>
    <n v="312"/>
    <m/>
    <x v="0"/>
    <d v="2017-06-14T00:00:00"/>
    <n v="0.13"/>
    <s v="Familia Rodríguez Landaeta"/>
    <s v="mrl58@hotmail.com"/>
    <s v="Calle Güigüe Nro. 89-29"/>
    <s v="Colaboración Vigilancia, mes de Junio 2017"/>
    <x v="0"/>
    <m/>
    <s v="00312"/>
    <s v="14 de junio de 2017"/>
    <n v="14"/>
    <x v="7"/>
    <s v="0,13"/>
    <e v="#NAME?"/>
  </r>
  <r>
    <n v="313"/>
    <m/>
    <x v="0"/>
    <d v="2017-06-14T00:00:00"/>
    <n v="7.0000000000000007E-2"/>
    <s v="Familia Colosso Delgado"/>
    <s v="mcolosso@gmail.com"/>
    <s v="Calle Güigüe Nro. 88-44"/>
    <s v="Cuota especial, reja vereda Centro Comercial"/>
    <x v="4"/>
    <m/>
    <s v="00313"/>
    <s v="14 de junio de 2017"/>
    <n v="14"/>
    <x v="7"/>
    <s v="0,07"/>
    <e v="#NAME?"/>
  </r>
  <r>
    <n v="314"/>
    <m/>
    <x v="0"/>
    <d v="2017-06-14T00:00:00"/>
    <n v="7.0000000000000007E-2"/>
    <s v="Amparo Acosta"/>
    <s v="En Físico"/>
    <s v="Calle Guacara Nro. 88-65"/>
    <s v="Cuota especial, reja vereda Centro Comercial"/>
    <x v="4"/>
    <m/>
    <s v="00314"/>
    <s v="14 de junio de 2017"/>
    <n v="14"/>
    <x v="7"/>
    <s v="0,07"/>
    <e v="#NAME?"/>
  </r>
  <r>
    <n v="315"/>
    <m/>
    <x v="0"/>
    <d v="2017-06-15T00:00:00"/>
    <n v="0.15"/>
    <s v="Familia Santos Carrillo"/>
    <s v="briceidamp@hotmail.com"/>
    <s v="Calle Guacara Nro. 90-93"/>
    <s v="Colaboración Vigilancia, meses de Febrero a Junio 2017"/>
    <x v="0"/>
    <m/>
    <s v="00315"/>
    <s v="15 de junio de 2017"/>
    <n v="15"/>
    <x v="7"/>
    <s v="0,15"/>
    <e v="#NAME?"/>
  </r>
  <r>
    <n v="316"/>
    <m/>
    <x v="0"/>
    <d v="2017-06-15T00:00:00"/>
    <n v="0.05"/>
    <s v="Familia Santos Carrillo"/>
    <s v="briceidamp@hotmail.com"/>
    <s v="Calle Guacara Nro. 90-93"/>
    <s v="Colaboración cuota especial, reja vereda Centro Comercial"/>
    <x v="4"/>
    <m/>
    <s v="00316"/>
    <s v="15 de junio de 2017"/>
    <n v="15"/>
    <x v="7"/>
    <s v="0,05"/>
    <e v="#NAME?"/>
  </r>
  <r>
    <n v="317"/>
    <m/>
    <x v="0"/>
    <d v="2017-06-15T00:00:00"/>
    <n v="0.2"/>
    <s v="Familia Méndez Parra"/>
    <s v="briceidamp@hotmail.com"/>
    <s v="Calle Guacara Nro. 88-19"/>
    <s v="Colaboración Vigilancia, mes de Junio 2017"/>
    <x v="0"/>
    <m/>
    <s v="00317"/>
    <s v="15 de junio de 2017"/>
    <n v="15"/>
    <x v="7"/>
    <s v="0,20"/>
    <e v="#NAME?"/>
  </r>
  <r>
    <n v="318"/>
    <m/>
    <x v="0"/>
    <d v="2017-06-15T00:00:00"/>
    <n v="7.0000000000000007E-2"/>
    <s v="Familia Lomeña Agudo"/>
    <s v="claudialomena@hotmail.com"/>
    <s v="Calle Guacara Nro. 89-30"/>
    <s v="Cuota especial, reja vereda Centro Comercial"/>
    <x v="4"/>
    <m/>
    <s v="00318"/>
    <s v="15 de junio de 2017"/>
    <n v="15"/>
    <x v="7"/>
    <s v="0,07"/>
    <e v="#NAME?"/>
  </r>
  <r>
    <n v="319"/>
    <m/>
    <x v="0"/>
    <d v="2017-06-15T00:00:00"/>
    <n v="1.4999999999999999E-2"/>
    <s v="Familia Lomeña Agudo"/>
    <s v="claudialomena@hotmail.com"/>
    <s v="Calle Guacara Nro. 89-30"/>
    <s v="Compra de tres (03) calcomanías a Bs. 500 c u"/>
    <x v="5"/>
    <m/>
    <s v="00319"/>
    <s v="15 de junio de 2017"/>
    <n v="15"/>
    <x v="7"/>
    <s v="0,02"/>
    <e v="#NAME?"/>
  </r>
  <r>
    <n v="320"/>
    <m/>
    <x v="0"/>
    <d v="2017-06-15T00:00:00"/>
    <n v="7.0000000000000007E-2"/>
    <s v="Familia Fermín Rivas"/>
    <s v="angelferminb@gmail.com"/>
    <s v="Calle Güigüe Nro. 89-55"/>
    <s v="Cuota especial, reja vereda Centro Comercial"/>
    <x v="4"/>
    <m/>
    <s v="00320"/>
    <s v="15 de junio de 2017"/>
    <n v="15"/>
    <x v="7"/>
    <s v="0,07"/>
    <e v="#NAME?"/>
  </r>
  <r>
    <n v="321"/>
    <m/>
    <x v="0"/>
    <d v="2017-06-16T00:00:00"/>
    <n v="7.0000000000000007E-2"/>
    <s v="Familia Nava Gordon"/>
    <s v="maru_19_66@hotmail.com"/>
    <s v="Calle Guacara Nro. 89-78"/>
    <s v="Cuota especial, reja vereda Centro Comercial"/>
    <x v="4"/>
    <m/>
    <s v="00321"/>
    <s v="16 de junio de 2017"/>
    <n v="16"/>
    <x v="7"/>
    <s v="0,07"/>
    <e v="#NAME?"/>
  </r>
  <r>
    <n v="322"/>
    <m/>
    <x v="0"/>
    <d v="2017-06-16T00:00:00"/>
    <n v="7.0000000000000007E-2"/>
    <s v="Familia Puerta Burguillos"/>
    <s v="namaricakes@gmail.com"/>
    <s v="Calle Guacara Nro. 87-100"/>
    <s v="Cuota especial, reja vereda Centro Comercial"/>
    <x v="4"/>
    <m/>
    <s v="00322"/>
    <s v="16 de junio de 2017"/>
    <n v="16"/>
    <x v="7"/>
    <s v="0,07"/>
    <e v="#NAME?"/>
  </r>
  <r>
    <n v="323"/>
    <m/>
    <x v="0"/>
    <d v="2017-06-16T00:00:00"/>
    <n v="0.27"/>
    <s v="Familia Nava Gordon"/>
    <s v="maru_19_66@hotmail.com"/>
    <s v="Calle Guacara Nro. 89-78"/>
    <s v="Cancelación Vigilancia, mes de Mayo y anticipo de Junio 2017"/>
    <x v="0"/>
    <m/>
    <s v="00323"/>
    <s v="16 de junio de 2017"/>
    <n v="16"/>
    <x v="7"/>
    <s v="0,27"/>
    <e v="#NAME?"/>
  </r>
  <r>
    <n v="324"/>
    <m/>
    <x v="0"/>
    <d v="2017-06-16T00:00:00"/>
    <n v="0.26"/>
    <s v="Familia Cegarra Villamizar"/>
    <s v="jesus.villamizar.ra@gmail.com"/>
    <s v="Calle Guacara Nro. 88-35"/>
    <s v="Cancelación Vigilancia, mes de Junio 2017, contra factura"/>
    <x v="0"/>
    <m/>
    <s v="00324"/>
    <s v="16 de junio de 2017"/>
    <n v="16"/>
    <x v="7"/>
    <s v="0,26"/>
    <e v="#NAME?"/>
  </r>
  <r>
    <n v="325"/>
    <m/>
    <x v="0"/>
    <d v="2017-06-16T00:00:00"/>
    <n v="7.0000000000000007E-2"/>
    <s v="Chin Chun Ya (Goya)"/>
    <s v="uc2721@gmail.com"/>
    <s v="Calle Guacara Nro. 87-86"/>
    <s v="Cuota especial, reja vereda Centro Comercial"/>
    <x v="4"/>
    <m/>
    <s v="00325"/>
    <s v="16 de junio de 2017"/>
    <n v="16"/>
    <x v="7"/>
    <s v="0,07"/>
    <e v="#NAME?"/>
  </r>
  <r>
    <n v="326"/>
    <m/>
    <x v="0"/>
    <d v="2017-06-16T00:00:00"/>
    <n v="0.26"/>
    <s v="Familia Fermín Rivas"/>
    <s v="angelferminb@gmail.com"/>
    <s v="Calle Güigüe Nro. 89-55"/>
    <s v="Cancelación Vigilancia, mes de Junio 2017"/>
    <x v="0"/>
    <m/>
    <s v="00326"/>
    <s v="16 de junio de 2017"/>
    <n v="16"/>
    <x v="7"/>
    <s v="0,26"/>
    <e v="#NAME?"/>
  </r>
  <r>
    <n v="327"/>
    <m/>
    <x v="0"/>
    <d v="2017-06-17T00:00:00"/>
    <n v="0.26"/>
    <s v="Familia Il Grande Franceschi"/>
    <s v="arcifran75@hotmail.com"/>
    <s v="Av. &quot;I&quot; Nro. 146-40"/>
    <s v="Cancelación Vigilancia, mes de Mayo 2017"/>
    <x v="0"/>
    <m/>
    <s v="00327"/>
    <s v="17 de junio de 2017"/>
    <n v="17"/>
    <x v="7"/>
    <s v="0,26"/>
    <e v="#NAME?"/>
  </r>
  <r>
    <n v="328"/>
    <m/>
    <x v="0"/>
    <d v="2017-06-19T00:00:00"/>
    <n v="0.56000000000000005"/>
    <s v="Familia Acosta Carpio"/>
    <s v="pablo962@hotmail.com"/>
    <s v="Calle Güigüe Nro. 89-10"/>
    <s v="Cancelación Vigilancia, meses de Abril y Mayo 2017 y adelanto del mes de Junio 2017, contra factura"/>
    <x v="0"/>
    <m/>
    <s v="00328"/>
    <s v="19 de junio de 2017"/>
    <n v="19"/>
    <x v="7"/>
    <s v="0,56"/>
    <e v="#NAME?"/>
  </r>
  <r>
    <n v="329"/>
    <m/>
    <x v="0"/>
    <d v="2017-06-19T00:00:00"/>
    <n v="7.0000000000000007E-2"/>
    <s v="Wu Hung Fung"/>
    <s v="carolinahung24@gmail.com"/>
    <s v="Calle Guacara Nro. 90-81"/>
    <s v="Cuota especial, reja vereda Centro Comercial"/>
    <x v="4"/>
    <m/>
    <s v="00329"/>
    <s v="19 de junio de 2017"/>
    <n v="19"/>
    <x v="7"/>
    <s v="0,07"/>
    <e v="#NAME?"/>
  </r>
  <r>
    <n v="330"/>
    <m/>
    <x v="0"/>
    <d v="2017-06-20T00:00:00"/>
    <n v="7.0000000000000007E-2"/>
    <s v="Familia Gascón Domínguez"/>
    <s v="vrgascon@gmail.com"/>
    <s v="Calle Güigüe Nro. 88-70"/>
    <s v="Cuota especial, reja vereda Centro Comercial"/>
    <x v="4"/>
    <m/>
    <s v="00330"/>
    <s v="20 de junio de 2017"/>
    <n v="20"/>
    <x v="7"/>
    <s v="0,07"/>
    <e v="#NAME?"/>
  </r>
  <r>
    <n v="331"/>
    <m/>
    <x v="0"/>
    <d v="2017-06-20T00:00:00"/>
    <n v="7.0000000000000007E-2"/>
    <s v="Familia Kablan Sarmiento"/>
    <s v="norisjsb56@hotmail.com"/>
    <s v="Calle Güigüe Nro. 89-80"/>
    <s v="Cuota especial, reja vereda Centro Comercial"/>
    <x v="4"/>
    <m/>
    <s v="00331"/>
    <s v="20 de junio de 2017"/>
    <n v="20"/>
    <x v="7"/>
    <s v="0,07"/>
    <e v="#NAME?"/>
  </r>
  <r>
    <n v="332"/>
    <m/>
    <x v="0"/>
    <d v="2017-06-21T00:00:00"/>
    <n v="0.13"/>
    <s v="Familia Acosta Carpio"/>
    <s v="pablo962@hotmail.com"/>
    <s v="Calle Güigüe Nro. 89-10"/>
    <s v="Cancelación saldo Vigilancia, mes de Junio 2017"/>
    <x v="0"/>
    <m/>
    <s v="00332"/>
    <s v="21 de junio de 2017"/>
    <n v="21"/>
    <x v="7"/>
    <s v="0,13"/>
    <e v="#NAME?"/>
  </r>
  <r>
    <n v="333"/>
    <m/>
    <x v="0"/>
    <d v="2017-06-21T00:00:00"/>
    <n v="7.0000000000000007E-2"/>
    <s v="Familia Acosta Carpio"/>
    <s v="pablo962@hotmail.com"/>
    <s v="Calle Güigüe Nro. 89-10"/>
    <s v="Cuota especial, reja vereda Centro Comercial"/>
    <x v="4"/>
    <m/>
    <s v="00333"/>
    <s v="21 de junio de 2017"/>
    <n v="21"/>
    <x v="7"/>
    <s v="0,07"/>
    <e v="#NAME?"/>
  </r>
  <r>
    <n v="334"/>
    <m/>
    <x v="0"/>
    <d v="2017-06-21T00:00:00"/>
    <n v="7.4999999999999997E-2"/>
    <s v="Familia Ramírez"/>
    <s v="0414-433.7527"/>
    <s v="Calle Güigüe Nro. 88-61"/>
    <s v="Cuota especial, reja vereda Centro Comercial"/>
    <x v="4"/>
    <m/>
    <s v="00334"/>
    <s v="21 de junio de 2017"/>
    <n v="21"/>
    <x v="7"/>
    <s v="0,08"/>
    <e v="#NAME?"/>
  </r>
  <r>
    <n v="335"/>
    <m/>
    <x v="0"/>
    <d v="2017-06-21T00:00:00"/>
    <n v="7.0000000000000007E-2"/>
    <s v="Familia Zavarce Pérez"/>
    <s v="En Físico"/>
    <s v="Calle Guacara Nro. 90-35"/>
    <s v="Cuota especial, reja vereda Centro Comercial"/>
    <x v="4"/>
    <m/>
    <s v="00335"/>
    <s v="21 de junio de 2017"/>
    <n v="21"/>
    <x v="7"/>
    <s v="0,07"/>
    <e v="#NAME?"/>
  </r>
  <r>
    <n v="336"/>
    <m/>
    <x v="0"/>
    <d v="2017-06-21T00:00:00"/>
    <n v="0.3"/>
    <s v="La Casita Encantada"/>
    <s v="En Físico"/>
    <s v="Av. &quot;M&quot; Nro. 146-30"/>
    <s v="Cancelación Vigilancia, mes de Junio 2017"/>
    <x v="0"/>
    <m/>
    <s v="00336"/>
    <s v="21 de junio de 2017"/>
    <n v="21"/>
    <x v="7"/>
    <s v="0,30"/>
    <e v="#NAME?"/>
  </r>
  <r>
    <n v="337"/>
    <m/>
    <x v="0"/>
    <d v="2017-06-21T00:00:00"/>
    <n v="7.0000000000000007E-2"/>
    <s v="La Casita Encantada"/>
    <s v="En Físico"/>
    <s v="Av. &quot;M&quot; Nro. 146-30"/>
    <s v="Cuota especial, reja vereda Centro Comercial"/>
    <x v="4"/>
    <m/>
    <s v="00337"/>
    <s v="21 de junio de 2017"/>
    <n v="21"/>
    <x v="7"/>
    <s v="0,07"/>
    <e v="#NAME?"/>
  </r>
  <r>
    <n v="338"/>
    <m/>
    <x v="0"/>
    <d v="2017-06-21T00:00:00"/>
    <n v="0.05"/>
    <s v="Familia Hurtado"/>
    <s v="francisco_hurtado@hotmail.com"/>
    <s v="Av. &quot;O&quot; Nro. 146-11"/>
    <s v="Anticipo cuota especial, reja vereda Centro Comercial"/>
    <x v="4"/>
    <m/>
    <s v="00338"/>
    <s v="21 de junio de 2017"/>
    <n v="21"/>
    <x v="7"/>
    <s v="0,05"/>
    <e v="#NAME?"/>
  </r>
  <r>
    <n v="339"/>
    <m/>
    <x v="0"/>
    <d v="2017-06-21T00:00:00"/>
    <n v="0.09"/>
    <s v="Familia López Hermoso"/>
    <s v="lopez.humberto14@yahoo.com.ve"/>
    <s v="Calle Güigüe Nro. 89-79"/>
    <s v="Cancelación saldo Vigilancia, mes de Junio 2017"/>
    <x v="0"/>
    <m/>
    <s v="00339"/>
    <s v="21 de junio de 2017"/>
    <n v="21"/>
    <x v="7"/>
    <s v="0,09"/>
    <e v="#NAME?"/>
  </r>
  <r>
    <n v="340"/>
    <m/>
    <x v="0"/>
    <d v="2017-06-21T00:00:00"/>
    <n v="7.0000000000000007E-2"/>
    <s v="Familia López Hermoso"/>
    <s v="lopez.humberto14@yahoo.com.ve"/>
    <s v="Calle Güigüe Nro. 89-79"/>
    <s v="Cuota especial, reja vereda Centro Comercial"/>
    <x v="4"/>
    <m/>
    <s v="00340"/>
    <s v="21 de junio de 2017"/>
    <n v="21"/>
    <x v="7"/>
    <s v="0,07"/>
    <e v="#NAME?"/>
  </r>
  <r>
    <n v="341"/>
    <m/>
    <x v="0"/>
    <d v="2017-06-21T00:00:00"/>
    <n v="7.0000000000000007E-2"/>
    <s v="Familia Kattar González"/>
    <s v="jagiak123@yahoo.es"/>
    <s v="Calle Güigüe Nro. 89-95"/>
    <s v="Cuota especial, reja vereda Centro Comercial"/>
    <x v="4"/>
    <m/>
    <s v="00341"/>
    <s v="21 de junio de 2017"/>
    <n v="21"/>
    <x v="7"/>
    <s v="0,07"/>
    <e v="#NAME?"/>
  </r>
  <r>
    <n v="342"/>
    <m/>
    <x v="0"/>
    <d v="2017-06-21T00:00:00"/>
    <n v="7.0000000000000007E-2"/>
    <s v="Familia González Arévalo"/>
    <s v="feryenis@hotmail.com"/>
    <s v="Calle Guacara Nro. 89-86"/>
    <s v="Cuota especial, reja vereda Centro Comercial"/>
    <x v="4"/>
    <m/>
    <s v="00342"/>
    <s v="21 de junio de 2017"/>
    <n v="21"/>
    <x v="7"/>
    <s v="0,07"/>
    <e v="#NAME?"/>
  </r>
  <r>
    <n v="343"/>
    <m/>
    <x v="0"/>
    <d v="2017-06-21T00:00:00"/>
    <n v="0.26"/>
    <s v="Familia Sayago Peñaranda"/>
    <s v="alexissayago@gmail.com"/>
    <s v="Calle Güigüe Nro. 89-04"/>
    <s v="Cancelación Vigilancia, mes de Junio 2017"/>
    <x v="0"/>
    <m/>
    <s v="00343"/>
    <s v="21 de junio de 2017"/>
    <n v="21"/>
    <x v="7"/>
    <s v="0,26"/>
    <e v="#NAME?"/>
  </r>
  <r>
    <n v="344"/>
    <m/>
    <x v="0"/>
    <d v="2017-06-21T00:00:00"/>
    <n v="7.0000000000000007E-2"/>
    <s v="Familia Sayago Peñaranda"/>
    <s v="alexissayago@gmail.com"/>
    <s v="Calle Güigüe Nro. 89-04"/>
    <s v="Cuota especial, reja vereda Centro Comercial"/>
    <x v="4"/>
    <m/>
    <s v="00344"/>
    <s v="21 de junio de 2017"/>
    <n v="21"/>
    <x v="7"/>
    <s v="0,07"/>
    <e v="#NAME?"/>
  </r>
  <r>
    <n v="345"/>
    <m/>
    <x v="0"/>
    <d v="2017-06-22T00:00:00"/>
    <n v="7.0000000000000007E-2"/>
    <s v="Beatriz Lara"/>
    <s v="valentina.gutierrez@hotmail.com"/>
    <s v="Calle Guacara Nro. 89-130"/>
    <s v="Cuota especial, reja vereda Centro Comercial"/>
    <x v="4"/>
    <m/>
    <s v="00345"/>
    <s v="22 de junio de 2017"/>
    <n v="22"/>
    <x v="7"/>
    <s v="0,07"/>
    <e v="#NAME?"/>
  </r>
  <r>
    <n v="346"/>
    <m/>
    <x v="0"/>
    <d v="2017-06-22T00:00:00"/>
    <n v="0.03"/>
    <s v="Familia Hatem Medina"/>
    <s v="hhatem1@hotmail.com"/>
    <s v="Calle Guacara Nro. 88-51"/>
    <s v="Colaboración cuota especial, reja vereda Centro Comercial"/>
    <x v="4"/>
    <m/>
    <s v="00346"/>
    <s v="22 de junio de 2017"/>
    <n v="22"/>
    <x v="7"/>
    <s v="0,03"/>
    <e v="#NAME?"/>
  </r>
  <r>
    <n v="347"/>
    <m/>
    <x v="0"/>
    <d v="2017-06-22T00:00:00"/>
    <n v="7.0000000000000007E-2"/>
    <s v="Familia Matta Palomino"/>
    <s v="En Físico"/>
    <s v="Calle Güigüe Nro. 88-90"/>
    <s v="Cuota especial, reja vereda Centro Comercial"/>
    <x v="4"/>
    <m/>
    <s v="00347"/>
    <s v="22 de junio de 2017"/>
    <n v="22"/>
    <x v="7"/>
    <s v="0,07"/>
    <e v="#NAME?"/>
  </r>
  <r>
    <n v="348"/>
    <m/>
    <x v="0"/>
    <d v="2017-06-22T00:00:00"/>
    <n v="4.3200000000000002E-2"/>
    <s v="Familia Méndez Parra"/>
    <s v="briceidamp@hotmail.com"/>
    <s v="Calle Guacara Nro. 88-19"/>
    <s v="Colaboración cuota especial, reja vereda Centro Comercial"/>
    <x v="4"/>
    <m/>
    <s v="00348"/>
    <s v="22 de junio de 2017"/>
    <n v="22"/>
    <x v="7"/>
    <s v="0,04"/>
    <e v="#NAME?"/>
  </r>
  <r>
    <n v="349"/>
    <m/>
    <x v="0"/>
    <d v="2017-06-22T00:00:00"/>
    <n v="0.26"/>
    <s v="Familia Castillo Mena"/>
    <s v="emmecas@hotmail.com"/>
    <s v="Calle Güigüe Nro. 88-101"/>
    <s v="Cancelación Vigilancia, mes de Junio 2017"/>
    <x v="0"/>
    <m/>
    <s v="00349"/>
    <s v="22 de junio de 2017"/>
    <n v="22"/>
    <x v="7"/>
    <s v="0,26"/>
    <e v="#NAME?"/>
  </r>
  <r>
    <n v="350"/>
    <m/>
    <x v="0"/>
    <d v="2017-06-22T00:00:00"/>
    <n v="7.0000000000000007E-2"/>
    <s v="Familia Castillo Mena"/>
    <s v="emmecas@hotmail.com"/>
    <s v="Calle Güigüe Nro. 88-101"/>
    <s v="Cuota especial, reja vereda Centro Comercial"/>
    <x v="4"/>
    <m/>
    <s v="00350"/>
    <s v="22 de junio de 2017"/>
    <n v="22"/>
    <x v="7"/>
    <s v="0,07"/>
    <e v="#NAME?"/>
  </r>
  <r>
    <n v="351"/>
    <m/>
    <x v="0"/>
    <d v="2017-06-22T00:00:00"/>
    <n v="0.26"/>
    <s v="Familia Jiménez Navarro"/>
    <s v="joyasonline2012@gmail.com"/>
    <s v="Calle Güigüe Nro. 88-50"/>
    <s v="Cancelación Vigilancia, mes de Mayo 2017"/>
    <x v="0"/>
    <m/>
    <s v="00351"/>
    <s v="22 de junio de 2017"/>
    <n v="22"/>
    <x v="7"/>
    <s v="0,26"/>
    <e v="#NAME?"/>
  </r>
  <r>
    <n v="352"/>
    <m/>
    <x v="0"/>
    <d v="2017-06-22T00:00:00"/>
    <n v="7.0000000000000007E-2"/>
    <s v="Anahiz Seijas"/>
    <s v="anahiz_2@hotmail.es"/>
    <s v="Calle Güigüe Nro. 89-106"/>
    <s v="Cuota especial, reja vereda Centro Comercial"/>
    <x v="4"/>
    <m/>
    <s v="00352"/>
    <s v="22 de junio de 2017"/>
    <n v="22"/>
    <x v="7"/>
    <s v="0,07"/>
    <e v="#NAME?"/>
  </r>
  <r>
    <n v="353"/>
    <m/>
    <x v="0"/>
    <d v="2017-06-23T00:00:00"/>
    <n v="7.0000000000000007E-2"/>
    <s v="Dra. Lilia Magallanes"/>
    <s v="liliamagallanes2010@gmail.com"/>
    <s v="Calle Güigüe Nro. 88-51"/>
    <s v="Cuota especial, reja vereda Centro Comercial"/>
    <x v="4"/>
    <m/>
    <s v="00353"/>
    <s v="23 de junio de 2017"/>
    <n v="23"/>
    <x v="7"/>
    <s v="0,07"/>
    <e v="#NAME?"/>
  </r>
  <r>
    <n v="354"/>
    <m/>
    <x v="0"/>
    <d v="2017-06-24T00:00:00"/>
    <n v="0.3"/>
    <s v="Gloria Molina"/>
    <s v="glomola2@yahoo.es"/>
    <s v="Calle Güigüe Nro. 89-71"/>
    <s v="Colaboración Vigilancia, meses de Abril y Mayo 2017"/>
    <x v="0"/>
    <m/>
    <s v="00354"/>
    <s v="24 de junio de 2017"/>
    <n v="24"/>
    <x v="7"/>
    <s v="0,30"/>
    <e v="#NAME?"/>
  </r>
  <r>
    <n v="355"/>
    <m/>
    <x v="0"/>
    <d v="2017-06-24T00:00:00"/>
    <n v="0.2"/>
    <s v="Victoria Francischiello"/>
    <s v="victoriafrancischiello@hotmail.com"/>
    <s v="Calle Guacara Nro. 88-25"/>
    <s v="Colaboración Vigilancia, mes de Junio 2017"/>
    <x v="0"/>
    <m/>
    <s v="00355"/>
    <s v="24 de junio de 2017"/>
    <n v="24"/>
    <x v="7"/>
    <s v="0,20"/>
    <e v="#NAME?"/>
  </r>
  <r>
    <n v="356"/>
    <m/>
    <x v="0"/>
    <d v="2017-06-26T00:00:00"/>
    <n v="7.0000000000000007E-2"/>
    <s v="Familia Ferrer Bahri"/>
    <s v="bahrimariela@hotmail.com"/>
    <s v="Calle Güigüe Nro. 89-83"/>
    <s v="Cuota especial, reja vereda Centro Comercial"/>
    <x v="4"/>
    <m/>
    <s v="00356"/>
    <s v="26 de junio de 2017"/>
    <n v="26"/>
    <x v="7"/>
    <s v="0,07"/>
    <e v="#NAME?"/>
  </r>
  <r>
    <n v="357"/>
    <m/>
    <x v="0"/>
    <d v="2017-06-26T00:00:00"/>
    <n v="0.26"/>
    <s v="Familia Navarro Assing"/>
    <s v="liliaassing@gmail.com"/>
    <s v="Calle Güigüe Nro. 88-54"/>
    <s v="Cancelación Vigilancia, mes de Junio 2017"/>
    <x v="0"/>
    <m/>
    <s v="00357"/>
    <s v="26 de junio de 2017"/>
    <n v="26"/>
    <x v="7"/>
    <s v="0,26"/>
    <e v="#NAME?"/>
  </r>
  <r>
    <n v="358"/>
    <m/>
    <x v="0"/>
    <d v="2017-06-26T00:00:00"/>
    <n v="0.26"/>
    <s v="Familia Delgado Hidalgo"/>
    <s v="ardh@hotmail.com"/>
    <s v="Calle Güigüe Nro. 88-10"/>
    <s v="Cancelación Vigilancia, mes de Mayo 2017"/>
    <x v="0"/>
    <m/>
    <s v="00358"/>
    <s v="26 de junio de 2017"/>
    <n v="26"/>
    <x v="7"/>
    <s v="0,26"/>
    <e v="#NAME?"/>
  </r>
  <r>
    <n v="359"/>
    <m/>
    <x v="0"/>
    <d v="2017-06-26T00:00:00"/>
    <n v="7.0000000000000007E-2"/>
    <s v="Familia Delgado Hidalgo"/>
    <s v="ardh@hotmail.com"/>
    <s v="Calle Güigüe Nro. 88-10"/>
    <s v="Cuota especial, reja vereda Centro Comercial"/>
    <x v="4"/>
    <m/>
    <s v="00359"/>
    <s v="26 de junio de 2017"/>
    <n v="26"/>
    <x v="7"/>
    <s v="0,07"/>
    <e v="#NAME?"/>
  </r>
  <r>
    <n v="360"/>
    <m/>
    <x v="0"/>
    <d v="2017-06-26T00:00:00"/>
    <n v="7.0000000000000007E-2"/>
    <s v="Familia Rivero"/>
    <s v="En Físico"/>
    <s v="Calle Güigüe Nro. 88-40"/>
    <s v="Cuota especial, reja vereda Centro Comercial"/>
    <x v="4"/>
    <m/>
    <s v="00360"/>
    <s v="26 de junio de 2017"/>
    <n v="26"/>
    <x v="7"/>
    <s v="0,07"/>
    <e v="#NAME?"/>
  </r>
  <r>
    <n v="361"/>
    <m/>
    <x v="0"/>
    <d v="2017-06-27T00:00:00"/>
    <n v="7.0000000000000007E-2"/>
    <s v="Familia Montilla García"/>
    <s v="dairy252525@hotmail.com"/>
    <s v="Calle Güigüe Nro. 89-90"/>
    <s v="Cuota especial, reja vereda Centro Comercial"/>
    <x v="4"/>
    <m/>
    <s v="00361"/>
    <s v="27 de junio de 2017"/>
    <n v="27"/>
    <x v="7"/>
    <s v="0,07"/>
    <e v="#NAME?"/>
  </r>
  <r>
    <n v="362"/>
    <m/>
    <x v="0"/>
    <d v="2017-06-28T00:00:00"/>
    <n v="0.03"/>
    <s v="Ma. de Jesus Alonso"/>
    <s v="marjoriealonsoh@hotmail.com"/>
    <s v="Calle Güigüe Nro. 88-30"/>
    <s v="Colaboración Vigilancia, mes de Mayo 2017"/>
    <x v="0"/>
    <m/>
    <s v="00362"/>
    <s v="28 de junio de 2017"/>
    <n v="28"/>
    <x v="7"/>
    <s v="0,03"/>
    <e v="#NAME?"/>
  </r>
  <r>
    <n v="363"/>
    <m/>
    <x v="0"/>
    <d v="2017-06-20T00:00:00"/>
    <n v="0.26"/>
    <s v="Familia Díaz González"/>
    <s v="luisrdt57@gmail.com"/>
    <s v="Calle Güigüe Nro. 88-116"/>
    <s v="Cancelación Vigilancia, mes de Junio 2017"/>
    <x v="0"/>
    <m/>
    <s v="00363"/>
    <s v="20 de junio de 2017"/>
    <n v="20"/>
    <x v="7"/>
    <s v="0,26"/>
    <e v="#NAME?"/>
  </r>
  <r>
    <n v="364"/>
    <m/>
    <x v="1"/>
    <d v="2017-06-28T00:00:00"/>
    <n v="7.0000000000000007E-2"/>
    <s v="Beatriz Lara"/>
    <s v="valentina.gutierrez@hotmail.com"/>
    <s v="Calle Guacara Nro. 89-130"/>
    <s v="ANULADO: Cuota especial, reja vereda Centro Comercial"/>
    <x v="3"/>
    <m/>
    <s v="00364"/>
    <s v="28 de junio de 2017"/>
    <n v="28"/>
    <x v="7"/>
    <s v="0,07"/>
    <e v="#NAME?"/>
  </r>
  <r>
    <n v="365"/>
    <m/>
    <x v="0"/>
    <d v="2017-06-28T00:00:00"/>
    <n v="0.17"/>
    <s v="Familia Castro Jiménez"/>
    <s v="0426-543.4303"/>
    <s v="Calle Guacara Nro. 90-51"/>
    <s v="Cancelación Vigilancia, mes de Abril 2017"/>
    <x v="0"/>
    <m/>
    <s v="00365"/>
    <s v="28 de junio de 2017"/>
    <n v="28"/>
    <x v="7"/>
    <s v="0,17"/>
    <e v="#NAME?"/>
  </r>
  <r>
    <n v="366"/>
    <m/>
    <x v="0"/>
    <d v="2017-06-28T00:00:00"/>
    <n v="0.52"/>
    <s v="Familia Castro Jiménez"/>
    <s v="0426-543.4303"/>
    <s v="Calle Guacara Nro. 90-51"/>
    <s v="Cancelación Vigilancia, meses de Mayo y Junio 2017"/>
    <x v="0"/>
    <m/>
    <s v="00366"/>
    <s v="28 de junio de 2017"/>
    <n v="28"/>
    <x v="7"/>
    <s v="0,52"/>
    <e v="#NAME?"/>
  </r>
  <r>
    <n v="367"/>
    <m/>
    <x v="0"/>
    <d v="2017-06-29T00:00:00"/>
    <n v="7.0000000000000007E-2"/>
    <s v="Familia Cegarra Villamizar"/>
    <s v="jesus.villamizar.ra@gmail.com"/>
    <s v="Calle Guacara Nro. 88-35"/>
    <s v="Cuota especial, reja vereda Centro Comercial"/>
    <x v="4"/>
    <m/>
    <s v="00367"/>
    <s v="29 de junio de 2017"/>
    <n v="29"/>
    <x v="7"/>
    <s v="0,07"/>
    <e v="#NAME?"/>
  </r>
  <r>
    <n v="368"/>
    <m/>
    <x v="0"/>
    <d v="2017-06-30T00:00:00"/>
    <n v="0.02"/>
    <s v="Familia Hurtado"/>
    <s v="francisco_hurtado@hotmail.com"/>
    <s v="Av. &quot;O&quot; Nro. 146-11"/>
    <s v="Cancelación saldo cuota especial, reja vereda Centro Comercial"/>
    <x v="4"/>
    <m/>
    <s v="00368"/>
    <s v="30 de junio de 2017"/>
    <n v="30"/>
    <x v="7"/>
    <s v="0,02"/>
    <e v="#NAME?"/>
  </r>
  <r>
    <n v="369"/>
    <m/>
    <x v="0"/>
    <d v="2017-06-30T00:00:00"/>
    <n v="7.0000000000000007E-2"/>
    <s v="Familia Sirit Palencia"/>
    <s v="irasirit@gmail.com"/>
    <s v="Calle Güigüe Nro. 89-35"/>
    <s v="Cuota especial, reja vereda Centro Comercial"/>
    <x v="4"/>
    <m/>
    <s v="00369"/>
    <s v="30 de junio de 2017"/>
    <n v="30"/>
    <x v="7"/>
    <s v="0,07"/>
    <e v="#NAME?"/>
  </r>
  <r>
    <n v="370"/>
    <m/>
    <x v="0"/>
    <d v="2017-06-30T00:00:00"/>
    <n v="0.05"/>
    <s v="Familia Molina Estopiñán"/>
    <s v="En Físico"/>
    <s v="Calle Güigüe Nro. 89-30"/>
    <s v="Colaboración cuota especial, reja vereda Centro Comercial"/>
    <x v="4"/>
    <m/>
    <s v="00370"/>
    <s v="30 de junio de 2017"/>
    <n v="30"/>
    <x v="7"/>
    <s v="0,05"/>
    <e v="#NAME?"/>
  </r>
  <r>
    <n v="371"/>
    <m/>
    <x v="0"/>
    <d v="2017-06-30T00:00:00"/>
    <n v="0.27"/>
    <s v="Familia Durvelle Serrano"/>
    <s v="sdurvelle@hotmail.com"/>
    <s v="Calle Guacara Nro. 89-60"/>
    <s v="Anticipo Vigilancia, mes de Julio 2017"/>
    <x v="0"/>
    <m/>
    <s v="00371"/>
    <s v="30 de junio de 2017"/>
    <n v="30"/>
    <x v="7"/>
    <s v="0,27"/>
    <e v="#NAME?"/>
  </r>
  <r>
    <n v="372"/>
    <m/>
    <x v="0"/>
    <d v="2017-07-02T00:00:00"/>
    <n v="0.05"/>
    <s v="Victoria Francischiello"/>
    <s v="victoriafrancischiello@hotmail.com"/>
    <s v="Calle Guacara Nro. 88-25"/>
    <s v="Colaboración cuota especial, reja vereda Centro Comercial"/>
    <x v="4"/>
    <m/>
    <s v="00372"/>
    <s v="02 de julio de 2017"/>
    <n v="2"/>
    <x v="8"/>
    <s v="0,05"/>
    <e v="#NAME?"/>
  </r>
  <r>
    <n v="373"/>
    <m/>
    <x v="0"/>
    <d v="2017-07-02T00:00:00"/>
    <n v="0.34"/>
    <s v="Familia Franco Gómez"/>
    <s v="eof64@hotmail.com"/>
    <s v="Calle Guacara Nro. 87-07"/>
    <s v="Colaboración Vigilancia, meses de Junio y Julio 2017"/>
    <x v="0"/>
    <m/>
    <s v="00373"/>
    <s v="02 de julio de 2017"/>
    <n v="2"/>
    <x v="8"/>
    <s v="0,34"/>
    <e v="#NAME?"/>
  </r>
  <r>
    <n v="374"/>
    <m/>
    <x v="0"/>
    <d v="2017-07-02T00:00:00"/>
    <n v="7.0000000000000007E-2"/>
    <s v="Familia Franco Gómez"/>
    <s v="eof64@hotmail.com"/>
    <s v="Calle Guacara Nro. 87-07"/>
    <s v="Cuota especial, reja vereda Centro Comercial"/>
    <x v="4"/>
    <m/>
    <s v="00374"/>
    <s v="02 de julio de 2017"/>
    <n v="2"/>
    <x v="8"/>
    <s v="0,07"/>
    <e v="#NAME?"/>
  </r>
  <r>
    <n v="375"/>
    <m/>
    <x v="0"/>
    <d v="2017-07-01T00:00:00"/>
    <n v="0.26"/>
    <s v="Familia Del Negro Palermo"/>
    <s v="vdelnegro@gmail.com"/>
    <s v="Calle Guacara Nro. 88-45"/>
    <s v="Anticipo Vigilancia, mes de Julio 2017 (saldo a favor: Bs. 139.000)"/>
    <x v="0"/>
    <m/>
    <s v="00375"/>
    <s v="01 de julio de 2017"/>
    <n v="1"/>
    <x v="8"/>
    <s v="0,26"/>
    <e v="#NAME?"/>
  </r>
  <r>
    <n v="376"/>
    <m/>
    <x v="0"/>
    <d v="2017-07-01T00:00:00"/>
    <n v="0.26"/>
    <s v="Ely Saúl Rivero Gómez"/>
    <s v="hhs.admon@gmail.com"/>
    <s v="Av. &quot;Ñ&quot; Nro. 145-25"/>
    <s v="Anticipo Vigilancia, mes de Julio 2017 (saldo a favor: Bs. 130.000)"/>
    <x v="0"/>
    <m/>
    <s v="00376"/>
    <s v="01 de julio de 2017"/>
    <n v="1"/>
    <x v="8"/>
    <s v="0,26"/>
    <e v="#NAME?"/>
  </r>
  <r>
    <n v="377"/>
    <m/>
    <x v="0"/>
    <d v="2017-07-02T00:00:00"/>
    <n v="7.0000000000000007E-2"/>
    <s v="Familia Navarro Assing"/>
    <s v="liliaassing@gmail.com"/>
    <s v="Calle Güigüe Nro. 88-54"/>
    <s v="Cuota especial, reja vereda Centro Comercial"/>
    <x v="4"/>
    <m/>
    <s v="00377"/>
    <s v="02 de julio de 2017"/>
    <n v="2"/>
    <x v="8"/>
    <s v="0,07"/>
    <e v="#NAME?"/>
  </r>
  <r>
    <n v="378"/>
    <m/>
    <x v="0"/>
    <d v="2017-07-03T00:00:00"/>
    <n v="0.26"/>
    <s v="Familia Loponte Arteaga"/>
    <s v="nancyloponte@hotmail.com"/>
    <s v="Calle Güigüe Nro. 88-120"/>
    <s v="Anticipo Vigilancia, mes de Julio 2017"/>
    <x v="0"/>
    <m/>
    <s v="00378"/>
    <s v="03 de julio de 2017"/>
    <n v="3"/>
    <x v="8"/>
    <s v="0,26"/>
    <e v="#NAME?"/>
  </r>
  <r>
    <n v="379"/>
    <m/>
    <x v="0"/>
    <d v="2017-07-03T00:00:00"/>
    <n v="7.0000000000000007E-2"/>
    <s v="Familia Loponte Arteaga"/>
    <s v="nancyloponte@hotmail.com"/>
    <s v="Calle Güigüe Nro. 88-120"/>
    <s v="Cuota especial, reja vereda Centro Comercial"/>
    <x v="4"/>
    <m/>
    <s v="00379"/>
    <s v="03 de julio de 2017"/>
    <n v="3"/>
    <x v="8"/>
    <s v="0,07"/>
    <e v="#NAME?"/>
  </r>
  <r>
    <n v="380"/>
    <m/>
    <x v="0"/>
    <d v="2017-07-03T00:00:00"/>
    <n v="0.25"/>
    <s v="Familia Fermín Rivas"/>
    <s v="angelferminb@gmail.com"/>
    <s v="Calle Güigüe Nro. 89-55"/>
    <s v="Anticipo Vigilancia, mes de Julio 2017"/>
    <x v="0"/>
    <m/>
    <s v="00380"/>
    <s v="03 de julio de 2017"/>
    <n v="3"/>
    <x v="8"/>
    <s v="0,25"/>
    <e v="#NAME?"/>
  </r>
  <r>
    <n v="381"/>
    <m/>
    <x v="0"/>
    <d v="2017-07-03T00:00:00"/>
    <n v="0.89387000000000005"/>
    <s v="Familia Martínez Boada"/>
    <s v="florcitakmz@gmail.com"/>
    <s v="Calle Güigüe Nro. 88-62"/>
    <s v="Cancelación saldo Vigilancia, mes de Feb 2017, y cancelación Vigilancia, meses de Mar-Jun 2017 (saldo a favor: Bs. 36.613)"/>
    <x v="0"/>
    <m/>
    <s v="00381"/>
    <s v="03 de julio de 2017"/>
    <n v="3"/>
    <x v="8"/>
    <s v="0,89"/>
    <e v="#NAME?"/>
  </r>
  <r>
    <n v="382"/>
    <m/>
    <x v="0"/>
    <d v="2017-07-03T00:00:00"/>
    <n v="0.15"/>
    <s v="Héctor Hernández"/>
    <s v="eof64@hotmail.com"/>
    <s v="Calle Guacara Nro. 89-94"/>
    <s v="Colaboración Vigilancia, mes de Julio 2017"/>
    <x v="0"/>
    <m/>
    <s v="00382"/>
    <s v="03 de julio de 2017"/>
    <n v="3"/>
    <x v="8"/>
    <s v="0,15"/>
    <e v="#NAME?"/>
  </r>
  <r>
    <n v="383"/>
    <m/>
    <x v="0"/>
    <d v="2017-07-03T00:00:00"/>
    <n v="7.0000000000000007E-2"/>
    <s v="Héctor Hernández"/>
    <s v="eof64@hotmail.com"/>
    <s v="Calle Guacara Nro. 89-94"/>
    <s v="Cuota especial, reja vereda Centro Comercial"/>
    <x v="4"/>
    <m/>
    <s v="00383"/>
    <s v="03 de julio de 2017"/>
    <n v="3"/>
    <x v="8"/>
    <s v="0,07"/>
    <e v="#NAME?"/>
  </r>
  <r>
    <n v="384"/>
    <m/>
    <x v="0"/>
    <d v="2017-07-04T00:00:00"/>
    <n v="0.94"/>
    <s v="Familia Leung"/>
    <s v="0412-406.5167"/>
    <s v="Calle Guacara Nro. 88-55"/>
    <s v="Cancelación Vigilancia, meses de Enero, Febrero, Marzo, Abril y Mayo 2017"/>
    <x v="0"/>
    <m/>
    <s v="00384"/>
    <s v="04 de julio de 2017"/>
    <n v="4"/>
    <x v="8"/>
    <s v="0,94"/>
    <e v="#NAME?"/>
  </r>
  <r>
    <n v="385"/>
    <m/>
    <x v="0"/>
    <d v="2017-07-04T00:00:00"/>
    <n v="7.0000000000000007E-2"/>
    <s v="Familia Narváez Caldera"/>
    <s v="jeannette_nc@yahoo.com"/>
    <s v="Calle Güigüe Nro. 87-A-11"/>
    <s v="Cuota especial, reja vereda Centro Comercial"/>
    <x v="4"/>
    <m/>
    <s v="00385"/>
    <s v="04 de julio de 2017"/>
    <n v="4"/>
    <x v="8"/>
    <s v="0,07"/>
    <e v="#NAME?"/>
  </r>
  <r>
    <n v="386"/>
    <m/>
    <x v="0"/>
    <d v="2017-07-05T00:00:00"/>
    <n v="0.1"/>
    <s v="Chin Chun Ya (Goya)"/>
    <s v="uc2721@gmail.com"/>
    <s v="Calle Guacara Nro. 87-86"/>
    <s v="Colaboración Vigilancia, mes de Julio 2017"/>
    <x v="0"/>
    <m/>
    <s v="00386"/>
    <s v="05 de julio de 2017"/>
    <n v="5"/>
    <x v="8"/>
    <s v="0,10"/>
    <e v="#NAME?"/>
  </r>
  <r>
    <n v="387"/>
    <m/>
    <x v="0"/>
    <d v="2017-07-06T00:00:00"/>
    <n v="0.2"/>
    <s v="Dra. Lilia Magallanes"/>
    <s v="liliamagallanes2010@gmail.com"/>
    <s v="Calle Güigüe Nro. 88-51"/>
    <s v="Colaboración Vigilancia, mes de Junio 2017"/>
    <x v="0"/>
    <m/>
    <s v="00387"/>
    <s v="06 de julio de 2017"/>
    <n v="6"/>
    <x v="8"/>
    <s v="0,20"/>
    <e v="#NAME?"/>
  </r>
  <r>
    <n v="388"/>
    <m/>
    <x v="0"/>
    <d v="2017-07-06T00:00:00"/>
    <n v="0.26"/>
    <s v="Familia Milanés Carmona"/>
    <s v="yndira11m@gmail.com"/>
    <s v="Calle Güigüe Nro. 89-65"/>
    <s v="Cancelación Vigilancia, mes de Junio 2017"/>
    <x v="0"/>
    <m/>
    <s v="00388"/>
    <s v="06 de julio de 2017"/>
    <n v="6"/>
    <x v="8"/>
    <s v="0,26"/>
    <e v="#NAME?"/>
  </r>
  <r>
    <n v="389"/>
    <m/>
    <x v="0"/>
    <d v="2017-07-06T00:00:00"/>
    <n v="0.04"/>
    <s v="Familia Milanés Carmona"/>
    <s v="yndira11m@gmail.com"/>
    <s v="Calle Güigüe Nro. 89-65"/>
    <s v="Colaboración cuota especial, reja vereda Centro Comercial"/>
    <x v="4"/>
    <m/>
    <s v="00389"/>
    <s v="06 de julio de 2017"/>
    <n v="6"/>
    <x v="8"/>
    <s v="0,04"/>
    <e v="#NAME?"/>
  </r>
  <r>
    <n v="390"/>
    <m/>
    <x v="0"/>
    <d v="2017-07-06T00:00:00"/>
    <n v="0.26"/>
    <s v="Wu Hung Fung"/>
    <s v="carolinahung24@gmail.com"/>
    <s v="Calle Guacara Nro. 90-81"/>
    <s v="Anticipo Vigilancia, mes de Julio 2017"/>
    <x v="0"/>
    <m/>
    <s v="00390"/>
    <s v="06 de julio de 2017"/>
    <n v="6"/>
    <x v="8"/>
    <s v="0,26"/>
    <e v="#NAME?"/>
  </r>
  <r>
    <n v="391"/>
    <m/>
    <x v="0"/>
    <d v="2017-07-07T00:00:00"/>
    <n v="0.52"/>
    <s v="Familia Ochoa Mendoza"/>
    <s v="marisoljudithm@hotmail.com"/>
    <s v="Calle Güigüe Nro. 89-105"/>
    <s v="Cancelación Vigilancia, mes de Junio y anticipo Julio 2017"/>
    <x v="0"/>
    <m/>
    <s v="00391"/>
    <s v="07 de julio de 2017"/>
    <n v="7"/>
    <x v="8"/>
    <s v="0,52"/>
    <e v="#NAME?"/>
  </r>
  <r>
    <n v="392"/>
    <m/>
    <x v="0"/>
    <d v="2017-07-07T00:00:00"/>
    <n v="7.0000000000000007E-2"/>
    <s v="Familia Ochoa Mendoza"/>
    <s v="marisoljudithm@hotmail.com"/>
    <s v="Calle Güigüe Nro. 89-105"/>
    <s v="Cuota especial, reja vereda Centro Comercial"/>
    <x v="4"/>
    <m/>
    <s v="00392"/>
    <s v="07 de julio de 2017"/>
    <n v="7"/>
    <x v="8"/>
    <s v="0,07"/>
    <e v="#NAME?"/>
  </r>
  <r>
    <n v="393"/>
    <m/>
    <x v="0"/>
    <d v="2017-06-06T00:00:00"/>
    <n v="0.26"/>
    <s v="Familia Zavarce Pérez"/>
    <s v="En Físico"/>
    <s v="Calle Guacara Nro. 90-35"/>
    <s v="Cancelación Vigilancia, mes de Junio 2017"/>
    <x v="0"/>
    <m/>
    <s v="00393"/>
    <s v="06 de junio de 2017"/>
    <n v="6"/>
    <x v="7"/>
    <s v="0,26"/>
    <e v="#NAME?"/>
  </r>
  <r>
    <n v="394"/>
    <m/>
    <x v="0"/>
    <d v="2017-07-09T00:00:00"/>
    <n v="0.26"/>
    <s v="Familia Colosso Delgado"/>
    <s v="mcolosso@gmail.com"/>
    <s v="Calle Güigüe Nro. 88-44"/>
    <s v="Anticipo Vigilancia, mes de Julio 2017"/>
    <x v="0"/>
    <m/>
    <s v="00394"/>
    <s v="09 de julio de 2017"/>
    <n v="9"/>
    <x v="8"/>
    <s v="0,26"/>
    <e v="#NAME?"/>
  </r>
  <r>
    <n v="395"/>
    <m/>
    <x v="0"/>
    <d v="2017-07-10T00:00:00"/>
    <n v="7.0000000000000007E-2"/>
    <s v="Familia Díaz González"/>
    <s v="luisrdt57@gmail.com"/>
    <s v="Calle Güigüe Nro. 88-116"/>
    <s v="Cuota especial, reja vereda Centro Comercial"/>
    <x v="4"/>
    <m/>
    <s v="00395"/>
    <s v="10 de julio de 2017"/>
    <n v="10"/>
    <x v="8"/>
    <s v="0,07"/>
    <e v="#NAME?"/>
  </r>
  <r>
    <n v="396"/>
    <m/>
    <x v="0"/>
    <d v="2017-07-10T00:00:00"/>
    <n v="0.26"/>
    <s v="Familia Astor Zamora"/>
    <s v="imzastor@gmail.com"/>
    <s v="Calle Güigüe Nro. 88-111"/>
    <s v="Cancelación Vigilancia, mes de Junio 2017"/>
    <x v="0"/>
    <m/>
    <s v="00396"/>
    <s v="10 de julio de 2017"/>
    <n v="10"/>
    <x v="8"/>
    <s v="0,26"/>
    <e v="#NAME?"/>
  </r>
  <r>
    <n v="397"/>
    <m/>
    <x v="0"/>
    <d v="2017-06-02T00:00:00"/>
    <n v="0.26"/>
    <s v="Familia Loponte Arteaga"/>
    <s v="nancyloponte@hotmail.com"/>
    <s v="Calle Güigüe Nro. 88-120"/>
    <s v="Cancelación Vigilancia, mes de Junio 2017"/>
    <x v="0"/>
    <m/>
    <s v="00397"/>
    <s v="02 de junio de 2017"/>
    <n v="2"/>
    <x v="7"/>
    <s v="0,26"/>
    <e v="#NAME?"/>
  </r>
  <r>
    <n v="398"/>
    <m/>
    <x v="0"/>
    <d v="2017-07-11T00:00:00"/>
    <n v="0.26"/>
    <s v="Familia Fernández Parés"/>
    <s v="vultecca@gmail.com"/>
    <s v="Calle Guacara Nro. 88-75"/>
    <s v="Cancelación Vigilancia, mes de Junio 2017"/>
    <x v="0"/>
    <m/>
    <s v="00398"/>
    <s v="11 de julio de 2017"/>
    <n v="11"/>
    <x v="8"/>
    <s v="0,26"/>
    <e v="#NAME?"/>
  </r>
  <r>
    <n v="399"/>
    <m/>
    <x v="0"/>
    <d v="2017-06-14T00:00:00"/>
    <n v="0.26"/>
    <s v="Familia Arcia Polanco"/>
    <s v="misipo29@gmail.com"/>
    <s v="Calle Guacara Nro. 89-20"/>
    <s v="Cancelación Vigilancia, mes de Junio 2017"/>
    <x v="0"/>
    <m/>
    <s v="00399"/>
    <s v="14 de junio de 2017"/>
    <n v="14"/>
    <x v="7"/>
    <s v="0,26"/>
    <e v="#NAME?"/>
  </r>
  <r>
    <n v="400"/>
    <m/>
    <x v="0"/>
    <d v="2017-06-14T00:00:00"/>
    <n v="7.0000000000000007E-2"/>
    <s v="Familia Arcia Polanco"/>
    <s v="misipo29@gmail.com"/>
    <s v="Calle Guacara Nro. 89-20"/>
    <s v="Cuota especial, reja vereda Centro Comercial"/>
    <x v="4"/>
    <m/>
    <s v="00400"/>
    <s v="14 de junio de 2017"/>
    <n v="14"/>
    <x v="7"/>
    <s v="0,07"/>
    <e v="#NAME?"/>
  </r>
  <r>
    <n v="401"/>
    <m/>
    <x v="0"/>
    <d v="2017-07-11T00:00:00"/>
    <n v="0.26"/>
    <s v="Familia Montilla García"/>
    <s v="dairy252525@hotmail.com"/>
    <s v="Calle Güigüe Nro. 89-90"/>
    <s v="Anticipo Vigilancia, mes de Julio 2017"/>
    <x v="0"/>
    <m/>
    <s v="00401"/>
    <s v="11 de julio de 2017"/>
    <n v="11"/>
    <x v="8"/>
    <s v="0,26"/>
    <e v="#NAME?"/>
  </r>
  <r>
    <n v="402"/>
    <m/>
    <x v="0"/>
    <d v="2017-07-11T00:00:00"/>
    <n v="0.26"/>
    <s v="Familia Arcia Polanco"/>
    <s v="misipo29@gmail.com"/>
    <s v="Calle Guacara Nro. 89-20"/>
    <s v="Anticipo Vigilancia, mes de Julio 2017"/>
    <x v="0"/>
    <m/>
    <s v="00402"/>
    <s v="11 de julio de 2017"/>
    <n v="11"/>
    <x v="8"/>
    <s v="0,26"/>
    <e v="#NAME?"/>
  </r>
  <r>
    <n v="403"/>
    <m/>
    <x v="0"/>
    <d v="2017-07-11T00:00:00"/>
    <n v="0.05"/>
    <s v="Silvia Power"/>
    <s v="spowermeneses@gmail.com"/>
    <s v="Calle Güigüe Nro. 89-16"/>
    <s v="Colaboración cuota especial, reja vereda Centro Comercial"/>
    <x v="4"/>
    <m/>
    <s v="00403"/>
    <s v="11 de julio de 2017"/>
    <n v="11"/>
    <x v="8"/>
    <s v="0,05"/>
    <e v="#NAME?"/>
  </r>
  <r>
    <n v="404"/>
    <m/>
    <x v="1"/>
    <d v="2017-07-11T00:00:00"/>
    <m/>
    <s v="Silvia Power"/>
    <s v="spowermeneses@gmail.com"/>
    <s v="Calle Güigüe Nro. 89-16"/>
    <s v="Donación de láminas de acerolit, manto asfáltico y vidrios para la caseta de vigilancia, quedando exonerada de pago hasta Diciembre 2017"/>
    <x v="6"/>
    <m/>
    <s v="00404"/>
    <s v="11 de julio de 2017"/>
    <n v="11"/>
    <x v="8"/>
    <s v=" - - - "/>
    <s v="- - -"/>
  </r>
  <r>
    <n v="405"/>
    <m/>
    <x v="0"/>
    <d v="2017-07-12T00:00:00"/>
    <n v="0.66"/>
    <s v="Familia Machado Stoppa"/>
    <s v="machadoru@hotmail.com"/>
    <s v="Calle Guacara Nro. 88-85"/>
    <s v="Colaboración Vigilancia, meses de Abril, Mayo y Junio 2017"/>
    <x v="0"/>
    <m/>
    <s v="00405"/>
    <s v="12 de julio de 2017"/>
    <n v="12"/>
    <x v="8"/>
    <s v="0,66"/>
    <e v="#NAME?"/>
  </r>
  <r>
    <n v="406"/>
    <m/>
    <x v="0"/>
    <d v="2017-07-12T00:00:00"/>
    <n v="0.26"/>
    <s v="Familia Narváez Caldera"/>
    <s v="jeannette_nc@yahoo.com"/>
    <s v="Calle Güigüe Nro. 87-A-11"/>
    <s v="Anticipo Vigilancia, mes de Julio 2017"/>
    <x v="0"/>
    <m/>
    <s v="00406"/>
    <s v="12 de julio de 2017"/>
    <n v="12"/>
    <x v="8"/>
    <s v="0,26"/>
    <e v="#NAME?"/>
  </r>
  <r>
    <n v="407"/>
    <m/>
    <x v="0"/>
    <d v="2017-07-12T00:00:00"/>
    <n v="0.26"/>
    <s v="Familia Guerra Miret"/>
    <s v="antoniojguerrag@hotmail.com"/>
    <s v="Calle Güigüe Nro. 89-40"/>
    <s v="Cancelación Vigilancia, mes de Junio y anticipo Julio 2017"/>
    <x v="0"/>
    <m/>
    <s v="00407"/>
    <s v="12 de julio de 2017"/>
    <n v="12"/>
    <x v="8"/>
    <s v="0,26"/>
    <e v="#NAME?"/>
  </r>
  <r>
    <n v="408"/>
    <m/>
    <x v="0"/>
    <d v="2017-07-12T00:00:00"/>
    <n v="7.0000000000000007E-2"/>
    <s v="Familia Guerra Miret"/>
    <s v="antoniojguerrag@hotmail.com"/>
    <s v="Calle Güigüe Nro. 89-40"/>
    <s v="Cuota especial, reja vereda Centro Comercial"/>
    <x v="4"/>
    <m/>
    <s v="00408"/>
    <s v="12 de julio de 2017"/>
    <n v="12"/>
    <x v="8"/>
    <s v="0,07"/>
    <e v="#NAME?"/>
  </r>
  <r>
    <n v="409"/>
    <m/>
    <x v="0"/>
    <d v="2017-07-12T00:00:00"/>
    <n v="0.26"/>
    <s v="Familia Lomeña Agudo"/>
    <s v="claudialomena@hotmail.com"/>
    <s v="Calle Guacara Nro. 89-30"/>
    <s v="Anticipo Vigilancia, mes de Julio 2017"/>
    <x v="0"/>
    <m/>
    <s v="00409"/>
    <s v="12 de julio de 2017"/>
    <n v="12"/>
    <x v="8"/>
    <s v="0,26"/>
    <e v="#NAME?"/>
  </r>
  <r>
    <n v="410"/>
    <m/>
    <x v="0"/>
    <d v="2017-07-12T00:00:00"/>
    <n v="0.1"/>
    <s v="Familia Triana González"/>
    <s v="En Físico"/>
    <s v="Calle Guacara Nro. 90-61"/>
    <s v="Colaboración Vigilancia, meses de Ene-May 2017"/>
    <x v="0"/>
    <m/>
    <s v="00410"/>
    <s v="12 de julio de 2017"/>
    <n v="12"/>
    <x v="8"/>
    <s v="0,10"/>
    <e v="#NAME?"/>
  </r>
  <r>
    <n v="411"/>
    <m/>
    <x v="0"/>
    <d v="2017-07-04T00:00:00"/>
    <n v="0.18"/>
    <s v="Ana de González"/>
    <s v="mikelnowak25@gmail.com"/>
    <s v="Av. &quot;O&quot; Nro. 146-17"/>
    <s v="Cancelación saldo Vigilancia, meses de Mayo y Junio 2017"/>
    <x v="0"/>
    <m/>
    <s v="00411"/>
    <s v="04 de julio de 2017"/>
    <n v="4"/>
    <x v="8"/>
    <s v="0,18"/>
    <e v="#NAME?"/>
  </r>
  <r>
    <n v="412"/>
    <m/>
    <x v="0"/>
    <d v="2017-07-12T00:00:00"/>
    <n v="0.26"/>
    <s v="Anahiz Seijas"/>
    <s v="anahiz_2@hotmail.es"/>
    <s v="Calle Güigüe Nro. 89-106"/>
    <s v="Cancelación Vigilancia, mes de Junio 2017"/>
    <x v="0"/>
    <m/>
    <s v="00412"/>
    <s v="12 de julio de 2017"/>
    <n v="12"/>
    <x v="8"/>
    <s v="0,26"/>
    <e v="#NAME?"/>
  </r>
  <r>
    <n v="413"/>
    <m/>
    <x v="0"/>
    <d v="2017-07-13T00:00:00"/>
    <n v="0.26"/>
    <s v="Familia Kattar González"/>
    <s v="jagiak123@yahoo.es"/>
    <s v="Calle Güigüe Nro. 89-95"/>
    <s v="Cancelación Vigilancia, mes de Junio 2017"/>
    <x v="0"/>
    <m/>
    <s v="00413"/>
    <s v="13 de julio de 2017"/>
    <n v="13"/>
    <x v="8"/>
    <s v="0,26"/>
    <e v="#NAME?"/>
  </r>
  <r>
    <n v="414"/>
    <m/>
    <x v="0"/>
    <d v="2017-07-14T00:00:00"/>
    <n v="0.34"/>
    <s v="Yuraima Rodríguez"/>
    <s v="En Físico"/>
    <s v="Calle Guacara Nro. 89-70"/>
    <s v="Cancelación Vigilancia, meses de Marzo y Abril 2017"/>
    <x v="0"/>
    <m/>
    <s v="00414"/>
    <s v="14 de julio de 2017"/>
    <n v="14"/>
    <x v="8"/>
    <s v="0,34"/>
    <e v="#NAME?"/>
  </r>
  <r>
    <n v="415"/>
    <m/>
    <x v="0"/>
    <d v="2017-07-14T00:00:00"/>
    <n v="0.27"/>
    <s v="Familia Nava Gordon"/>
    <s v="maru_19_66@hotmail.com"/>
    <s v="Calle Guacara Nro. 89-78"/>
    <s v="Cancelación Vigilancia, mes de Junio y anticipo del mes de Julio 2017"/>
    <x v="0"/>
    <m/>
    <s v="00415"/>
    <s v="14 de julio de 2017"/>
    <n v="14"/>
    <x v="8"/>
    <s v="0,27"/>
    <e v="#NAME?"/>
  </r>
  <r>
    <n v="416"/>
    <m/>
    <x v="0"/>
    <d v="2017-07-04T00:00:00"/>
    <n v="0.12"/>
    <s v="Familia Rodríguez Aular"/>
    <s v="mvaular@hotmail.com"/>
    <s v="Calle Güigüe Nro. 88-58"/>
    <s v="Colaboración Vigilancia, mes de Mayo 2017"/>
    <x v="0"/>
    <m/>
    <s v="00416"/>
    <s v="04 de julio de 2017"/>
    <n v="4"/>
    <x v="8"/>
    <s v="0,12"/>
    <e v="#NAME?"/>
  </r>
  <r>
    <n v="417"/>
    <m/>
    <x v="0"/>
    <d v="2017-07-14T00:00:00"/>
    <n v="0.26"/>
    <s v="Familia Ferrer Bahri"/>
    <s v="bahrimariela@hotmail.com"/>
    <s v="Calle Güigüe Nro. 89-83"/>
    <s v="Anticipo Vigilancia, mes de Julio 2017"/>
    <x v="0"/>
    <m/>
    <s v="00417"/>
    <s v="14 de julio de 2017"/>
    <n v="14"/>
    <x v="8"/>
    <s v="0,26"/>
    <e v="#NAME?"/>
  </r>
  <r>
    <n v="418"/>
    <m/>
    <x v="0"/>
    <d v="2017-07-14T00:00:00"/>
    <n v="0.2"/>
    <s v="Familia Kablan Sarmiento"/>
    <s v="norisjsb56@hotmail.com"/>
    <s v="Calle Güigüe Nro. 89-80"/>
    <s v="Colaboración Vigilancia, mes de Julio 2017"/>
    <x v="0"/>
    <m/>
    <s v="00418"/>
    <s v="14 de julio de 2017"/>
    <n v="14"/>
    <x v="8"/>
    <s v="0,20"/>
    <e v="#NAME?"/>
  </r>
  <r>
    <n v="419"/>
    <m/>
    <x v="0"/>
    <d v="2017-06-30T00:00:00"/>
    <n v="0.26"/>
    <s v="Familia Barreto Pérez"/>
    <s v="bbetsa19@hotmail.com"/>
    <s v="Av. &quot;M&quot; Nro. 146-15"/>
    <s v="Cancelación Vigilancia, mes de Junio 2017"/>
    <x v="0"/>
    <m/>
    <s v="00419"/>
    <s v="30 de junio de 2017"/>
    <n v="30"/>
    <x v="7"/>
    <s v="0,26"/>
    <e v="#NAME?"/>
  </r>
  <r>
    <n v="420"/>
    <m/>
    <x v="0"/>
    <d v="2017-07-15T00:00:00"/>
    <n v="0.15"/>
    <s v="Familia Rodríguez Landaeta"/>
    <s v="mrl58@hotmail.com"/>
    <s v="Calle Güigüe Nro. 89-29"/>
    <s v="Colaboración Vigilancia, mes de Julio 2017"/>
    <x v="0"/>
    <m/>
    <s v="00420"/>
    <s v="15 de julio de 2017"/>
    <n v="15"/>
    <x v="8"/>
    <s v="0,15"/>
    <e v="#NAME?"/>
  </r>
  <r>
    <n v="421"/>
    <m/>
    <x v="0"/>
    <d v="2017-07-17T00:00:00"/>
    <n v="0.26"/>
    <s v="Familia Delgado Hidalgo"/>
    <s v="ardh@hotmail.com"/>
    <s v="Calle Güigüe Nro. 88-10"/>
    <s v="Cancelación Vigilancia, mes de Junio 2017"/>
    <x v="0"/>
    <m/>
    <s v="00421"/>
    <s v="17 de julio de 2017"/>
    <n v="17"/>
    <x v="8"/>
    <s v="0,26"/>
    <e v="#NAME?"/>
  </r>
  <r>
    <n v="422"/>
    <m/>
    <x v="0"/>
    <d v="2017-07-17T00:00:00"/>
    <n v="0.3"/>
    <s v="La Casita Encantada"/>
    <s v="En Físico"/>
    <s v="Av. &quot;M&quot; Nro. 146-30"/>
    <s v="Anticipo Vigilancia, mes de Julio 2017"/>
    <x v="0"/>
    <m/>
    <s v="00422"/>
    <s v="17 de julio de 2017"/>
    <n v="17"/>
    <x v="8"/>
    <s v="0,30"/>
    <e v="#NAME?"/>
  </r>
  <r>
    <n v="423"/>
    <m/>
    <x v="0"/>
    <d v="2017-07-17T00:00:00"/>
    <n v="0.06"/>
    <s v="Familia Hurtado"/>
    <s v="En Físico"/>
    <s v="Av. &quot;O&quot; Nro. 146-11"/>
    <s v="Cancelación saldo Vigilancia, mes de Mayo 2017"/>
    <x v="0"/>
    <m/>
    <s v="00423"/>
    <s v="17 de julio de 2017"/>
    <n v="17"/>
    <x v="8"/>
    <s v="0,06"/>
    <e v="#NAME?"/>
  </r>
  <r>
    <n v="424"/>
    <m/>
    <x v="0"/>
    <d v="2017-07-18T00:00:00"/>
    <n v="0.09"/>
    <s v="Familia Arcia Polanco"/>
    <s v="misipo29@gmail.com"/>
    <s v="Calle Guacara Nro. 89-20"/>
    <s v="Cancelación saldo Vigilancia, mes de Julio 2017"/>
    <x v="0"/>
    <m/>
    <s v="00424"/>
    <s v="18 de julio de 2017"/>
    <n v="18"/>
    <x v="8"/>
    <s v="0,09"/>
    <e v="#NAME?"/>
  </r>
  <r>
    <n v="425"/>
    <m/>
    <x v="0"/>
    <d v="2017-07-18T00:00:00"/>
    <n v="0.1"/>
    <s v="La Casita Encantada"/>
    <s v="En Físico"/>
    <s v="Av. &quot;M&quot; Nro. 146-30"/>
    <s v="Cancelación saldo Vigilancia, mes de Julio 2017"/>
    <x v="0"/>
    <m/>
    <s v="00425"/>
    <s v="18 de julio de 2017"/>
    <n v="18"/>
    <x v="8"/>
    <s v="0,10"/>
    <e v="#NAME?"/>
  </r>
  <r>
    <n v="426"/>
    <m/>
    <x v="0"/>
    <d v="2017-07-18T00:00:00"/>
    <n v="0.26"/>
    <s v="Familia Hurtado"/>
    <s v="En Físico"/>
    <s v="Av. &quot;O&quot; Nro. 146-11"/>
    <s v="Cancelación Vigilancia, mes de Junio 2017"/>
    <x v="0"/>
    <m/>
    <s v="00426"/>
    <s v="18 de julio de 2017"/>
    <n v="18"/>
    <x v="8"/>
    <s v="0,26"/>
    <e v="#NAME?"/>
  </r>
  <r>
    <n v="427"/>
    <m/>
    <x v="0"/>
    <d v="2017-07-18T00:00:00"/>
    <n v="0.35"/>
    <s v="Familia Milanés Carmona"/>
    <s v="yndira11m@gmail.com"/>
    <s v="Calle Güigüe Nro. 89-65"/>
    <s v="Cancelación Vigilancia, mes de Julio 2017"/>
    <x v="0"/>
    <m/>
    <s v="00427"/>
    <s v="18 de julio de 2017"/>
    <n v="18"/>
    <x v="8"/>
    <s v="0,35"/>
    <e v="#NAME?"/>
  </r>
  <r>
    <n v="428"/>
    <m/>
    <x v="0"/>
    <d v="2017-07-18T00:00:00"/>
    <n v="0.35"/>
    <s v="Familia Sayago Peñaranda"/>
    <s v="alexissayago@gmail.com"/>
    <s v="Calle Güigüe Nro. 89-04"/>
    <s v="Cancelación Vigilancia, mes de Julio 2017"/>
    <x v="0"/>
    <m/>
    <s v="00428"/>
    <s v="18 de julio de 2017"/>
    <n v="18"/>
    <x v="8"/>
    <s v="0,35"/>
    <e v="#NAME?"/>
  </r>
  <r>
    <n v="429"/>
    <m/>
    <x v="0"/>
    <d v="2017-07-18T00:00:00"/>
    <n v="0.36"/>
    <s v="Familia Hatem Medina"/>
    <s v="hhatem1@hotmail.com"/>
    <s v="Calle Guacara Nro. 88-51"/>
    <s v="Complemento colaboración Vigilancia, mes de Mayo y Cancelación mes de Junio 2017"/>
    <x v="0"/>
    <m/>
    <s v="00429"/>
    <s v="18 de julio de 2017"/>
    <n v="18"/>
    <x v="8"/>
    <s v="0,36"/>
    <e v="#NAME?"/>
  </r>
  <r>
    <n v="430"/>
    <m/>
    <x v="0"/>
    <d v="2017-07-13T00:00:00"/>
    <n v="0.2"/>
    <s v="Familia Zavarce Barón"/>
    <s v="0414-241.8055"/>
    <s v="Calle Guacara Nro. 88-91"/>
    <s v="Colaboración Vigilancia, meses de Mayo y Junio 2017"/>
    <x v="0"/>
    <m/>
    <s v="00430"/>
    <s v="13 de julio de 2017"/>
    <n v="13"/>
    <x v="8"/>
    <s v="0,20"/>
    <e v="#NAME?"/>
  </r>
  <r>
    <n v="431"/>
    <m/>
    <x v="0"/>
    <d v="2017-07-18T00:00:00"/>
    <n v="0.09"/>
    <s v="Familia Del Negro Palermo"/>
    <s v="vdelnegro@gmail.com"/>
    <s v="Calle Guacara Nro. 88-45"/>
    <s v="Cancelación saldo Vigilancia, mes de Julio 2017 (saldo a favor: Bs. 130.000)"/>
    <x v="0"/>
    <m/>
    <s v="00431"/>
    <s v="18 de julio de 2017"/>
    <n v="18"/>
    <x v="8"/>
    <s v="0,09"/>
    <e v="#NAME?"/>
  </r>
  <r>
    <n v="432"/>
    <m/>
    <x v="0"/>
    <d v="2017-07-18T00:00:00"/>
    <n v="0.09"/>
    <s v="Ely Saúl Rivero Gómez"/>
    <s v="hhs.admon@gmail.com"/>
    <s v="Av. &quot;Ñ&quot; Nro. 145-25"/>
    <s v="Cancelación saldo Vigilancia, mes de Julio 2017 (saldo a favor: Bs. 121.000)"/>
    <x v="0"/>
    <m/>
    <s v="00432"/>
    <s v="18 de julio de 2017"/>
    <n v="18"/>
    <x v="8"/>
    <s v="0,09"/>
    <e v="#NAME?"/>
  </r>
  <r>
    <n v="433"/>
    <m/>
    <x v="0"/>
    <d v="2017-07-18T00:00:00"/>
    <n v="0.09"/>
    <s v="Familia Puerta Burguillos"/>
    <s v="namaricakes@gmail.com"/>
    <s v="Calle Guacara Nro. 87-100"/>
    <s v="Cancelación saldo Vigilancia, mes de Julio 2017"/>
    <x v="0"/>
    <m/>
    <s v="00433"/>
    <s v="18 de julio de 2017"/>
    <n v="18"/>
    <x v="8"/>
    <s v="0,09"/>
    <e v="#NAME?"/>
  </r>
  <r>
    <n v="434"/>
    <m/>
    <x v="0"/>
    <d v="2017-07-18T00:00:00"/>
    <n v="0.09"/>
    <s v="Familia Ferrer Bahri"/>
    <s v="bahrimariela@hotmail.com"/>
    <s v="Calle Güigüe Nro. 89-83"/>
    <s v="Cancelación saldo Vigilancia, mes de Julio 2017"/>
    <x v="0"/>
    <m/>
    <s v="00434"/>
    <s v="18 de julio de 2017"/>
    <n v="18"/>
    <x v="8"/>
    <s v="0,09"/>
    <e v="#NAME?"/>
  </r>
  <r>
    <n v="435"/>
    <m/>
    <x v="0"/>
    <d v="2017-07-19T00:00:00"/>
    <n v="0.1"/>
    <s v="Familia Fermín Rivas"/>
    <s v="angelferminb@gmail.com"/>
    <s v="Calle Güigüe Nro. 89-55"/>
    <s v="Cancelación saldo Vigilancia, mes de Julio 2017"/>
    <x v="0"/>
    <m/>
    <s v="00435"/>
    <s v="19 de julio de 2017"/>
    <n v="19"/>
    <x v="8"/>
    <s v="0,10"/>
    <e v="#NAME?"/>
  </r>
  <r>
    <n v="436"/>
    <m/>
    <x v="0"/>
    <d v="2017-07-19T00:00:00"/>
    <n v="0.25"/>
    <s v="Familia Méndez Parra"/>
    <s v="briceidamp@hotmail.com"/>
    <s v="Calle Guacara Nro. 88-19"/>
    <s v="Colaboración Vigilancia, mes de Julio 2017"/>
    <x v="0"/>
    <m/>
    <s v="00436"/>
    <s v="19 de julio de 2017"/>
    <n v="19"/>
    <x v="8"/>
    <s v="0,25"/>
    <e v="#NAME?"/>
  </r>
  <r>
    <n v="437"/>
    <m/>
    <x v="0"/>
    <d v="2017-07-19T00:00:00"/>
    <n v="0.09"/>
    <s v="Familia Durvelle Serrano"/>
    <s v="sdurvelle@hotmail.com"/>
    <s v="Calle Guacara Nro. 89-60"/>
    <s v="Cancelación saldo Vigilancia, mes de Julio 2017"/>
    <x v="0"/>
    <m/>
    <s v="00437"/>
    <s v="19 de julio de 2017"/>
    <n v="19"/>
    <x v="8"/>
    <s v="0,09"/>
    <e v="#NAME?"/>
  </r>
  <r>
    <n v="438"/>
    <m/>
    <x v="0"/>
    <d v="2017-07-19T00:00:00"/>
    <n v="0.3"/>
    <s v="Familia Cegarra Villamizar"/>
    <s v="jesus.villamizar.ra@gmail.com"/>
    <s v="Calle Guacara Nro. 88-35"/>
    <s v="Colaboración Vigilancia, mes de Julio 2017"/>
    <x v="0"/>
    <m/>
    <s v="00438"/>
    <s v="19 de julio de 2017"/>
    <n v="19"/>
    <x v="8"/>
    <s v="0,30"/>
    <e v="#NAME?"/>
  </r>
  <r>
    <n v="439"/>
    <m/>
    <x v="0"/>
    <d v="2017-07-18T00:00:00"/>
    <n v="0.52"/>
    <s v="Familia Castillo Rodríguez"/>
    <s v="vesperanzacastillor@gmail.com"/>
    <s v="Calle Güigüe Nro. 88-91"/>
    <s v="Cancelación Vigilancia, mes de Junio y anticipo mes de Julio 2017"/>
    <x v="0"/>
    <m/>
    <s v="00439"/>
    <s v="18 de julio de 2017"/>
    <n v="18"/>
    <x v="8"/>
    <s v="0,52"/>
    <e v="#NAME?"/>
  </r>
  <r>
    <n v="440"/>
    <m/>
    <x v="0"/>
    <d v="2017-07-19T00:00:00"/>
    <n v="0.09"/>
    <s v="Familia Lomeña Agudo"/>
    <s v="claudialomena@hotmail.com"/>
    <s v="Calle Guacara Nro. 89-30"/>
    <s v="Cancelación saldo Vigilancia, mes de Julio 2017"/>
    <x v="0"/>
    <m/>
    <s v="00440"/>
    <s v="19 de julio de 2017"/>
    <n v="19"/>
    <x v="8"/>
    <s v="0,09"/>
    <e v="#NAME?"/>
  </r>
  <r>
    <n v="441"/>
    <m/>
    <x v="0"/>
    <d v="2017-07-19T00:00:00"/>
    <n v="0.09"/>
    <s v="Wu Hung Fung"/>
    <s v="carolinahung24@gmail.com"/>
    <s v="Calle Guacara Nro. 90-81"/>
    <s v="Cancelación saldo Vigilancia, mes de Julio 2017"/>
    <x v="0"/>
    <m/>
    <s v="00441"/>
    <s v="19 de julio de 2017"/>
    <n v="19"/>
    <x v="8"/>
    <s v="0,09"/>
    <e v="#NAME?"/>
  </r>
  <r>
    <n v="442"/>
    <m/>
    <x v="0"/>
    <d v="2017-07-17T00:00:00"/>
    <n v="0.15"/>
    <s v="Familia Rodríguez Aular"/>
    <s v="mvaular@hotmail.com"/>
    <s v="Calle Güigüe Nro. 88-58"/>
    <s v="Colaboración Vigilancia, mes de Junio 2017"/>
    <x v="0"/>
    <m/>
    <s v="00442"/>
    <s v="17 de julio de 2017"/>
    <n v="17"/>
    <x v="8"/>
    <s v="0,15"/>
    <e v="#NAME?"/>
  </r>
  <r>
    <n v="443"/>
    <m/>
    <x v="0"/>
    <d v="2017-07-20T00:00:00"/>
    <n v="5.0999999999999997E-2"/>
    <s v="Familia Hatem Medina"/>
    <s v="hhatem1@hotmail.com"/>
    <s v="Calle Guacara Nro. 88-51"/>
    <s v="Complemento colaboración Vigilancia, mes de Abril 2017, contra factura"/>
    <x v="0"/>
    <m/>
    <s v="00443"/>
    <s v="20 de julio de 2017"/>
    <n v="20"/>
    <x v="8"/>
    <s v="0,05"/>
    <e v="#NAME?"/>
  </r>
  <r>
    <n v="444"/>
    <m/>
    <x v="0"/>
    <d v="2017-07-20T00:00:00"/>
    <n v="0.35"/>
    <s v="Beatriz Lara"/>
    <s v="valentina.gutierrez@hotmail.com"/>
    <s v="Calle Guacara Nro. 89-130"/>
    <s v="Cancelación Vigilancia, mes de Julio 2017"/>
    <x v="0"/>
    <m/>
    <s v="00444"/>
    <s v="20 de julio de 2017"/>
    <n v="20"/>
    <x v="8"/>
    <s v="0,35"/>
    <e v="#NAME?"/>
  </r>
  <r>
    <n v="445"/>
    <m/>
    <x v="0"/>
    <d v="2017-07-20T00:00:00"/>
    <n v="0.25"/>
    <s v="Amarilis Guerra"/>
    <s v="amarilisguerra1@yahoo.com"/>
    <s v="Calle Güigüe Nro. 89-96"/>
    <s v="Cancelación Vigilancia, mes de Junio 2017"/>
    <x v="0"/>
    <m/>
    <s v="00445"/>
    <s v="20 de julio de 2017"/>
    <n v="20"/>
    <x v="8"/>
    <s v="0,25"/>
    <e v="#NAME?"/>
  </r>
  <r>
    <n v="446"/>
    <m/>
    <x v="0"/>
    <d v="2017-07-21T00:00:00"/>
    <n v="0.05"/>
    <s v="Ma. de Jesus Alonso"/>
    <s v="marjoriealonsoh@hotmail.com"/>
    <s v="Calle Güigüe Nro. 88-30"/>
    <s v="Colaboración Vigilancia, mes de Julio 2017"/>
    <x v="0"/>
    <m/>
    <s v="00446"/>
    <s v="21 de julio de 2017"/>
    <n v="21"/>
    <x v="8"/>
    <s v="0,05"/>
    <e v="#NAME?"/>
  </r>
  <r>
    <n v="447"/>
    <m/>
    <x v="0"/>
    <d v="2017-07-23T00:00:00"/>
    <n v="0.09"/>
    <s v="Familia Colosso Delgado"/>
    <s v="mcolosso@gmail.com"/>
    <s v="Calle Güigüe Nro. 88-44"/>
    <s v="Cancelación saldo Vigilancia, mes de Julio 2017"/>
    <x v="0"/>
    <m/>
    <s v="00447"/>
    <s v="23 de julio de 2017"/>
    <n v="23"/>
    <x v="8"/>
    <s v="0,09"/>
    <e v="#NAME?"/>
  </r>
  <r>
    <n v="448"/>
    <m/>
    <x v="0"/>
    <d v="2017-06-07T00:00:00"/>
    <n v="0.26"/>
    <s v="Familia González Arévalo"/>
    <s v="feryenis@hotmail.com"/>
    <s v="Calle Guacara Nro. 89-86"/>
    <s v="Anticipo Vigilancia, mes de Julio 2017"/>
    <x v="0"/>
    <m/>
    <s v="00448"/>
    <s v="07 de junio de 2017"/>
    <n v="7"/>
    <x v="7"/>
    <s v="0,26"/>
    <e v="#NAME?"/>
  </r>
  <r>
    <n v="449"/>
    <m/>
    <x v="0"/>
    <d v="2017-07-23T00:00:00"/>
    <n v="0.44"/>
    <s v="Familia González Arévalo"/>
    <s v="feryenis@hotmail.com"/>
    <s v="Calle Guacara Nro. 89-86"/>
    <s v="Cancelación saldo Vigilancia, mes de Julio y Cancelación Vigilancia Agosto 2017"/>
    <x v="0"/>
    <m/>
    <s v="00449"/>
    <s v="23 de julio de 2017"/>
    <n v="23"/>
    <x v="8"/>
    <s v="0,44"/>
    <e v="#NAME?"/>
  </r>
  <r>
    <n v="450"/>
    <m/>
    <x v="0"/>
    <d v="2017-07-24T00:00:00"/>
    <n v="1.08"/>
    <s v="Colegio El Trigal"/>
    <s v="En Físico"/>
    <s v="Calle Güigüe Nros. 88-71 y 88-81"/>
    <s v="Cancelación Vigilancia, meses de Julio y Agosto 2017"/>
    <x v="0"/>
    <m/>
    <s v="00450"/>
    <s v="24 de julio de 2017"/>
    <n v="24"/>
    <x v="8"/>
    <s v="1,08"/>
    <e v="#NAME?"/>
  </r>
  <r>
    <n v="451"/>
    <m/>
    <x v="1"/>
    <d v="2017-04-06T00:00:00"/>
    <n v="0.14000000000000001"/>
    <s v="Familia García Hurtado"/>
    <s v="0414-241.8055"/>
    <s v="Calle Guacara Nro. 90-110"/>
    <s v="ANULADO: Colaboración Vigilancia, mes de Marzo 2017"/>
    <x v="3"/>
    <m/>
    <s v="00451"/>
    <s v="06 de abril de 2017"/>
    <n v="6"/>
    <x v="4"/>
    <s v="0,14"/>
    <e v="#NAME?"/>
  </r>
  <r>
    <n v="452"/>
    <m/>
    <x v="1"/>
    <d v="2017-05-10T00:00:00"/>
    <n v="0.17"/>
    <s v="Familia García Hurtado"/>
    <s v="0414-241.8055"/>
    <s v="Calle Guacara Nro. 90-110"/>
    <s v="ANULADO: Colaboración Vigilancia, mes de Abril 2017"/>
    <x v="3"/>
    <m/>
    <s v="00452"/>
    <s v="10 de mayo de 2017"/>
    <n v="10"/>
    <x v="5"/>
    <s v="0,17"/>
    <e v="#NAME?"/>
  </r>
  <r>
    <n v="453"/>
    <m/>
    <x v="1"/>
    <d v="2017-07-13T00:00:00"/>
    <n v="0.2"/>
    <s v="Familia García Hurtado"/>
    <s v="0414-241.8055"/>
    <s v="Calle Guacara Nro. 90-110"/>
    <s v="ANULADO: Colaboración Vigilancia, meses de Mayo y Junio 2017"/>
    <x v="3"/>
    <m/>
    <s v="00453"/>
    <s v="13 de julio de 2017"/>
    <n v="13"/>
    <x v="8"/>
    <s v="0,20"/>
    <e v="#NAME?"/>
  </r>
  <r>
    <n v="454"/>
    <m/>
    <x v="0"/>
    <d v="2017-07-28T00:00:00"/>
    <n v="0.2"/>
    <s v="Victoria Francischiello"/>
    <s v="victoriafrancischiello@hotmail.com"/>
    <s v="Calle Guacara Nro. 88-25"/>
    <s v="Colaboración Vigilancia, mes de Julio 2017"/>
    <x v="0"/>
    <m/>
    <s v="00454"/>
    <s v="28 de julio de 2017"/>
    <n v="28"/>
    <x v="8"/>
    <s v="0,20"/>
    <e v="#NAME?"/>
  </r>
  <r>
    <n v="455"/>
    <m/>
    <x v="0"/>
    <d v="2017-07-29T00:00:00"/>
    <n v="0.35"/>
    <s v="Familia Navarro Assing"/>
    <s v="liliaassing@gmail.com"/>
    <s v="Calle Güigüe Nro. 88-54"/>
    <s v="Cancelación Vigilancia, mes de Julio 2017"/>
    <x v="0"/>
    <m/>
    <s v="00455"/>
    <s v="29 de julio de 2017"/>
    <n v="29"/>
    <x v="8"/>
    <s v="0,35"/>
    <e v="#NAME?"/>
  </r>
  <r>
    <n v="456"/>
    <m/>
    <x v="0"/>
    <d v="2017-07-20T00:00:00"/>
    <n v="0.35"/>
    <s v="Familia Acosta Carpio"/>
    <s v="pablo962@hotmail.com"/>
    <s v="Calle Güigüe Nro. 89-10"/>
    <s v="Cancelación Vigilancia, mes de Julio 2017"/>
    <x v="0"/>
    <m/>
    <s v="00456"/>
    <s v="20 de julio de 2017"/>
    <n v="20"/>
    <x v="8"/>
    <s v="0,35"/>
    <e v="#NAME?"/>
  </r>
  <r>
    <n v="457"/>
    <m/>
    <x v="0"/>
    <d v="2017-07-29T00:00:00"/>
    <n v="7.0000000000000007E-2"/>
    <s v="Ely Saúl Rivero Gómez"/>
    <s v="hhs.admon@gmail.com"/>
    <s v="Av. &quot;Ñ&quot; Nro. 145-25"/>
    <s v="Cuota especial, reja vereda Centro Comercial (saldo a favor: Bs. 114.000)"/>
    <x v="4"/>
    <m/>
    <s v="00457"/>
    <s v="29 de julio de 2017"/>
    <n v="29"/>
    <x v="8"/>
    <s v="0,07"/>
    <e v="#NAME?"/>
  </r>
  <r>
    <n v="458"/>
    <m/>
    <x v="0"/>
    <d v="2017-08-01T00:00:00"/>
    <n v="0.15"/>
    <s v="Héctor Hernández"/>
    <s v="eof64@hotmail.com"/>
    <s v="Calle Guacara Nro. 89-94"/>
    <s v="Colaboración Vigilancia, mes de Agosto 2017"/>
    <x v="0"/>
    <m/>
    <s v="00458"/>
    <s v="01 de agosto de 2017"/>
    <n v="1"/>
    <x v="9"/>
    <s v="0,15"/>
    <e v="#NAME?"/>
  </r>
  <r>
    <n v="459"/>
    <m/>
    <x v="0"/>
    <d v="2017-08-02T00:00:00"/>
    <n v="0.35"/>
    <s v="Amarilis Guerra"/>
    <s v="amarilisguerra1@yahoo.com"/>
    <s v="Calle Güigüe Nro. 89-96"/>
    <s v="Cancelación Vigilancia, mes de Julio 2017"/>
    <x v="0"/>
    <m/>
    <s v="00459"/>
    <s v="02 de agosto de 2017"/>
    <n v="2"/>
    <x v="9"/>
    <s v="0,35"/>
    <e v="#NAME?"/>
  </r>
  <r>
    <n v="460"/>
    <m/>
    <x v="0"/>
    <d v="2017-08-02T00:00:00"/>
    <n v="0.35"/>
    <s v="Familia Jiménez Navarro"/>
    <s v="joyasonline2012@gmail.com"/>
    <s v="Calle Güigüe Nro. 88-50"/>
    <s v="Cancelación Vigilancia, mes de Julio 2017"/>
    <x v="0"/>
    <m/>
    <s v="00460"/>
    <s v="02 de agosto de 2017"/>
    <n v="2"/>
    <x v="9"/>
    <s v="0,35"/>
    <e v="#NAME?"/>
  </r>
  <r>
    <n v="461"/>
    <m/>
    <x v="0"/>
    <d v="2017-08-02T00:00:00"/>
    <n v="0.35"/>
    <s v="Familia Durvelle Serrano"/>
    <s v="sdurvelle@hotmail.com"/>
    <s v="Calle Guacara Nro. 89-60"/>
    <s v="Cancelación Vigilancia, mes de Agosto 2017"/>
    <x v="0"/>
    <m/>
    <s v="00461"/>
    <s v="02 de agosto de 2017"/>
    <n v="2"/>
    <x v="9"/>
    <s v="0,35"/>
    <e v="#NAME?"/>
  </r>
  <r>
    <n v="462"/>
    <m/>
    <x v="0"/>
    <d v="2017-07-11T00:00:00"/>
    <n v="0.26"/>
    <s v="Familia Díaz González"/>
    <s v="luisrdt57@gmail.com"/>
    <s v="Calle Güigüe Nro. 88-116"/>
    <s v="Anticipo Vigilancia, mes de Julio 2017"/>
    <x v="0"/>
    <m/>
    <s v="00462"/>
    <s v="11 de julio de 2017"/>
    <n v="11"/>
    <x v="8"/>
    <s v="0,26"/>
    <e v="#NAME?"/>
  </r>
  <r>
    <n v="463"/>
    <m/>
    <x v="0"/>
    <d v="2017-08-02T00:00:00"/>
    <n v="0.26"/>
    <s v="Familia Matta Palomino"/>
    <s v="En Físico"/>
    <s v="Calle Güigüe Nro. 88-90"/>
    <s v="Cancelación Vigilancia, mes de Junio 2017"/>
    <x v="0"/>
    <m/>
    <s v="00463"/>
    <s v="02 de agosto de 2017"/>
    <n v="2"/>
    <x v="9"/>
    <s v="0,26"/>
    <e v="#NAME?"/>
  </r>
  <r>
    <n v="464"/>
    <m/>
    <x v="0"/>
    <d v="2017-08-02T00:00:00"/>
    <n v="0.1"/>
    <s v="Familia Rivero"/>
    <s v="En Físico"/>
    <s v="Calle Güigüe Nro. 88-40"/>
    <s v="Colaboración Vigilancia, meses de Junio y Julio 2017"/>
    <x v="0"/>
    <m/>
    <s v="00464"/>
    <s v="02 de agosto de 2017"/>
    <n v="2"/>
    <x v="9"/>
    <s v="0,10"/>
    <e v="#NAME?"/>
  </r>
  <r>
    <n v="465"/>
    <m/>
    <x v="0"/>
    <d v="2017-08-02T00:00:00"/>
    <n v="0.33"/>
    <s v="Familia Nava Gordon"/>
    <s v="maru_19_66@hotmail.com"/>
    <s v="Calle Guacara Nro. 89-78"/>
    <s v="Cancelación saldo Vigilancia, mes de Julio 2017"/>
    <x v="0"/>
    <m/>
    <s v="00465"/>
    <s v="02 de agosto de 2017"/>
    <n v="2"/>
    <x v="9"/>
    <s v="0,33"/>
    <e v="#NAME?"/>
  </r>
  <r>
    <n v="466"/>
    <m/>
    <x v="0"/>
    <d v="2017-08-03T00:00:00"/>
    <n v="0.35"/>
    <s v="Familia Loponte Arteaga"/>
    <s v="nancyloponte@hotmail.com"/>
    <s v="Calle Güigüe Nro. 88-120"/>
    <s v="Cancelación Vigilancia, mes de Agosto 2017"/>
    <x v="0"/>
    <m/>
    <s v="00466"/>
    <s v="03 de agosto de 2017"/>
    <n v="3"/>
    <x v="9"/>
    <s v="0,35"/>
    <e v="#NAME?"/>
  </r>
  <r>
    <n v="467"/>
    <m/>
    <x v="0"/>
    <d v="2017-08-03T00:00:00"/>
    <n v="0.2"/>
    <s v="Familia Hurtado"/>
    <s v="En Físico"/>
    <s v="Av. &quot;O&quot; Nro. 146-11"/>
    <s v="Anticipo Vigilancia, mes de Julio 2017"/>
    <x v="0"/>
    <m/>
    <s v="00467"/>
    <s v="03 de agosto de 2017"/>
    <n v="3"/>
    <x v="9"/>
    <s v="0,20"/>
    <e v="#NAME?"/>
  </r>
  <r>
    <n v="468"/>
    <m/>
    <x v="0"/>
    <d v="2017-08-03T00:00:00"/>
    <n v="0.2"/>
    <s v="Familia Franco Gómez"/>
    <s v="eof64@hotmail.com"/>
    <s v="Calle Guacara Nro. 87-07"/>
    <s v="Colaboración Vigilancia, mes de Agosto 2017"/>
    <x v="0"/>
    <m/>
    <s v="00468"/>
    <s v="03 de agosto de 2017"/>
    <n v="3"/>
    <x v="9"/>
    <s v="0,20"/>
    <e v="#NAME?"/>
  </r>
  <r>
    <n v="469"/>
    <m/>
    <x v="0"/>
    <d v="2017-08-03T00:00:00"/>
    <n v="0.18"/>
    <s v="Familia Morales Sesar"/>
    <s v="moralesesar@gmail.com"/>
    <s v="Calle Güigüe Nro. 89-120"/>
    <s v="Colaboración Vigilancia, mes de Julio 2017"/>
    <x v="0"/>
    <m/>
    <s v="00469"/>
    <s v="03 de agosto de 2017"/>
    <n v="3"/>
    <x v="9"/>
    <s v="0,18"/>
    <e v="#NAME?"/>
  </r>
  <r>
    <n v="470"/>
    <m/>
    <x v="0"/>
    <d v="2017-08-04T00:00:00"/>
    <n v="0.35"/>
    <s v="Familia Martínez Boada"/>
    <s v="florcitakmz@gmail.com"/>
    <s v="Calle Güigüe Nro. 88-62"/>
    <s v="Cancelación Vigilancia, mes de Julio 2017 (saldo a favor: Bs. 1.613)"/>
    <x v="0"/>
    <m/>
    <s v="00470"/>
    <s v="04 de agosto de 2017"/>
    <n v="4"/>
    <x v="9"/>
    <s v="0,35"/>
    <e v="#NAME?"/>
  </r>
  <r>
    <n v="471"/>
    <m/>
    <x v="0"/>
    <d v="2017-08-04T00:00:00"/>
    <n v="0.15"/>
    <s v="Chin Chun Ya (Goya)"/>
    <s v="uc2721@gmail.com"/>
    <s v="Calle Guacara Nro. 87-86"/>
    <s v="Colaboración Vigilancia, mes de Agosto 2017"/>
    <x v="0"/>
    <m/>
    <s v="00471"/>
    <s v="04 de agosto de 2017"/>
    <n v="4"/>
    <x v="9"/>
    <s v="0,15"/>
    <e v="#NAME?"/>
  </r>
  <r>
    <n v="472"/>
    <m/>
    <x v="0"/>
    <d v="2017-08-06T00:00:00"/>
    <n v="0.35"/>
    <s v="Familia Kattar González"/>
    <s v="jagiak123@yahoo.es"/>
    <s v="Calle Güigüe Nro. 89-95"/>
    <s v="Cancelación Vigilancia, mes de Julio 2017"/>
    <x v="0"/>
    <m/>
    <s v="00472"/>
    <s v="06 de agosto de 2017"/>
    <n v="6"/>
    <x v="9"/>
    <s v="0,35"/>
    <e v="#NAME?"/>
  </r>
  <r>
    <n v="473"/>
    <m/>
    <x v="0"/>
    <d v="2017-08-06T00:00:00"/>
    <n v="0.35"/>
    <s v="Familia Del Negro Palermo"/>
    <s v="vdelnegro@gmail.com"/>
    <s v="Calle Guacara Nro. 88-45"/>
    <s v="Cancelación Vigilancia, mes de Agosto 2017 (saldo a favor: Bs. 95.000)"/>
    <x v="0"/>
    <m/>
    <s v="00473"/>
    <s v="06 de agosto de 2017"/>
    <n v="6"/>
    <x v="9"/>
    <s v="0,35"/>
    <e v="#NAME?"/>
  </r>
  <r>
    <n v="474"/>
    <m/>
    <x v="0"/>
    <d v="2017-08-06T00:00:00"/>
    <n v="0.35"/>
    <s v="Ely Saúl Rivero Gómez"/>
    <s v="hhs.admon@gmail.com"/>
    <s v="Av. &quot;Ñ&quot; Nro. 145-25"/>
    <s v="Cancelación saldo Vigilancia, mes de Agosto 2017 (saldo a favor: Bs. 79.000)"/>
    <x v="0"/>
    <m/>
    <s v="00474"/>
    <s v="06 de agosto de 2017"/>
    <n v="6"/>
    <x v="9"/>
    <s v="0,35"/>
    <e v="#NAME?"/>
  </r>
  <r>
    <n v="475"/>
    <m/>
    <x v="0"/>
    <d v="2017-08-07T00:00:00"/>
    <n v="0.3"/>
    <s v="Dra. Lilia Magallanes"/>
    <s v="liliamagallanes2010@gmail.com"/>
    <s v="Calle Güigüe Nro. 88-51"/>
    <s v="Colaboración Vigilancia, mes de Julio 2017"/>
    <x v="0"/>
    <m/>
    <s v="00475"/>
    <s v="07 de agosto de 2017"/>
    <n v="7"/>
    <x v="9"/>
    <s v="0,30"/>
    <e v="#NAME?"/>
  </r>
  <r>
    <n v="476"/>
    <m/>
    <x v="0"/>
    <d v="2017-08-07T00:00:00"/>
    <n v="0.35"/>
    <s v="Familia Castillo Mena"/>
    <s v="emmecas@hotmail.com"/>
    <s v="Calle Güigüe Nro. 88-101"/>
    <s v="Cancelación Vigilancia, mes de Julio 2017"/>
    <x v="0"/>
    <m/>
    <s v="00476"/>
    <s v="07 de agosto de 2017"/>
    <n v="7"/>
    <x v="9"/>
    <s v="0,35"/>
    <e v="#NAME?"/>
  </r>
  <r>
    <n v="477"/>
    <m/>
    <x v="0"/>
    <d v="2017-08-08T00:00:00"/>
    <n v="0.35"/>
    <s v="Familia Colosso Delgado"/>
    <s v="mcolosso@gmail.com"/>
    <s v="Calle Güigüe Nro. 88-44"/>
    <s v="Cancelación Vigilancia, mes de Agosto 2017"/>
    <x v="0"/>
    <m/>
    <s v="00477"/>
    <s v="08 de agosto de 2017"/>
    <n v="8"/>
    <x v="9"/>
    <s v="0,35"/>
    <e v="#NAME?"/>
  </r>
  <r>
    <n v="478"/>
    <m/>
    <x v="0"/>
    <d v="2017-08-09T00:00:00"/>
    <n v="0.04"/>
    <s v="Familia Flores Montagne"/>
    <s v="namaricakes@gmail.com"/>
    <s v="Av. &quot;M&quot; Nro. 146-20"/>
    <s v="Colaboración Vigilancia, mes de Agosto 2017"/>
    <x v="0"/>
    <m/>
    <s v="00478"/>
    <s v="09 de agosto de 2017"/>
    <n v="9"/>
    <x v="9"/>
    <s v="0,04"/>
    <e v="#NAME?"/>
  </r>
  <r>
    <n v="479"/>
    <m/>
    <x v="0"/>
    <d v="2017-08-09T00:00:00"/>
    <n v="0.31"/>
    <s v="Familia Puerta Burguillos"/>
    <s v="namaricakes@gmail.com"/>
    <s v="Calle Guacara Nro. 87-100"/>
    <s v="Cancelación saldo Vigilancia, mes de Agosto 2017"/>
    <x v="0"/>
    <m/>
    <s v="00479"/>
    <s v="09 de agosto de 2017"/>
    <n v="9"/>
    <x v="9"/>
    <s v="0,31"/>
    <e v="#NAME?"/>
  </r>
  <r>
    <n v="480"/>
    <m/>
    <x v="0"/>
    <d v="2017-08-09T00:00:00"/>
    <n v="0.26"/>
    <s v="Familia Hatem Medina"/>
    <s v="hhatem1@hotmail.com"/>
    <s v="Calle Guacara Nro. 88-51"/>
    <s v="Cancelación Vigilancia, mes de Junio 2017: transferencia y contra factura"/>
    <x v="0"/>
    <m/>
    <s v="00480"/>
    <s v="09 de agosto de 2017"/>
    <n v="9"/>
    <x v="9"/>
    <s v="0,26"/>
    <e v="#NAME?"/>
  </r>
  <r>
    <n v="481"/>
    <m/>
    <x v="0"/>
    <d v="2017-08-09T00:00:00"/>
    <n v="0.35"/>
    <s v="Familia Guerra Miret"/>
    <s v="antoniojguerrag@hotmail.com"/>
    <s v="Calle Güigüe Nro. 89-40"/>
    <s v="Cancelación Vigilancia, mes de Julio 2017"/>
    <x v="0"/>
    <m/>
    <s v="00481"/>
    <s v="09 de agosto de 2017"/>
    <n v="9"/>
    <x v="9"/>
    <s v="0,35"/>
    <e v="#NAME?"/>
  </r>
  <r>
    <n v="482"/>
    <m/>
    <x v="0"/>
    <d v="2017-08-10T00:00:00"/>
    <n v="0.35"/>
    <s v="Familia Arcia Polanco"/>
    <s v="misipo29@gmail.com"/>
    <s v="Calle Guacara Nro. 89-20"/>
    <s v="Cancelación Vigilancia, mes de Agosto 2017"/>
    <x v="0"/>
    <m/>
    <s v="00482"/>
    <s v="10 de agosto de 2017"/>
    <n v="10"/>
    <x v="9"/>
    <s v="0,35"/>
    <e v="#NAME?"/>
  </r>
  <r>
    <n v="483"/>
    <m/>
    <x v="0"/>
    <d v="2017-08-10T00:00:00"/>
    <n v="0.35"/>
    <s v="Beatriz Lara"/>
    <s v="valentina.gutierrez@hotmail.com"/>
    <s v="Calle Guacara Nro. 89-130"/>
    <s v="Cancelación Vigilancia, mes de Agosto 2017"/>
    <x v="0"/>
    <m/>
    <s v="00483"/>
    <s v="10 de agosto de 2017"/>
    <n v="10"/>
    <x v="9"/>
    <s v="0,35"/>
    <e v="#NAME?"/>
  </r>
  <r>
    <n v="484"/>
    <m/>
    <x v="0"/>
    <d v="2017-08-10T00:00:00"/>
    <n v="0.26"/>
    <s v="Ana de González"/>
    <s v="mikelnowak25@gmail.com"/>
    <s v="Av. &quot;O&quot; Nro. 146-17"/>
    <s v="Anticipo Vigilancia, mes de Julio 2017"/>
    <x v="0"/>
    <m/>
    <s v="00484"/>
    <s v="10 de agosto de 2017"/>
    <n v="10"/>
    <x v="9"/>
    <s v="0,26"/>
    <e v="#NAME?"/>
  </r>
  <r>
    <n v="485"/>
    <m/>
    <x v="0"/>
    <d v="2017-08-10T00:00:00"/>
    <n v="0.35"/>
    <s v="Familia Fermín Rivas"/>
    <s v="angelferminb@gmail.com"/>
    <s v="Calle Güigüe Nro. 89-55"/>
    <s v="Cancelación Vigilancia, mes de Agosto 2017, transferencia y contra factura"/>
    <x v="0"/>
    <m/>
    <s v="00485"/>
    <s v="10 de agosto de 2017"/>
    <n v="10"/>
    <x v="9"/>
    <s v="0,35"/>
    <e v="#NAME?"/>
  </r>
  <r>
    <n v="486"/>
    <m/>
    <x v="0"/>
    <d v="2017-08-10T00:00:00"/>
    <n v="0.13"/>
    <s v="Sra. Reina Meléndez"/>
    <s v="olgajipe@gmail.com"/>
    <s v="Av. &quot;M&quot; Nro. 145-10"/>
    <s v="Anticipo Vigilancia, mes de Julio 2017"/>
    <x v="0"/>
    <m/>
    <s v="00486"/>
    <s v="10 de agosto de 2017"/>
    <n v="10"/>
    <x v="9"/>
    <s v="0,13"/>
    <e v="#NAME?"/>
  </r>
  <r>
    <n v="487"/>
    <m/>
    <x v="0"/>
    <d v="2017-08-10T00:00:00"/>
    <n v="7.0000000000000007E-2"/>
    <s v="Sra. Reina Meléndez"/>
    <s v="olgajipe@gmail.com"/>
    <s v="Av. &quot;M&quot; Nro. 145-10"/>
    <s v="Cuota especial, reja vereda Centro Comercial"/>
    <x v="4"/>
    <m/>
    <s v="00487"/>
    <s v="10 de agosto de 2017"/>
    <n v="10"/>
    <x v="9"/>
    <s v="0,07"/>
    <e v="#NAME?"/>
  </r>
  <r>
    <n v="488"/>
    <m/>
    <x v="0"/>
    <d v="2017-08-10T00:00:00"/>
    <n v="0.35"/>
    <s v="Familia Montilla García"/>
    <s v="dairy252525@hotmail.com"/>
    <s v="Calle Güigüe Nro. 89-90"/>
    <s v="Cancelación Vigilancia, mes de Agosto 2017"/>
    <x v="0"/>
    <m/>
    <s v="00488"/>
    <s v="10 de agosto de 2017"/>
    <n v="10"/>
    <x v="9"/>
    <s v="0,35"/>
    <e v="#NAME?"/>
  </r>
  <r>
    <n v="489"/>
    <m/>
    <x v="0"/>
    <d v="2017-08-13T00:00:00"/>
    <n v="0.26"/>
    <s v="Familia Piñero Padilla"/>
    <s v="achepaul2005@hotmail.com"/>
    <s v="Calle Güigüe Nro. 89-21"/>
    <s v="Cancelación Vigilancia, mes de Junio 2017"/>
    <x v="0"/>
    <m/>
    <s v="00489"/>
    <s v="13 de agosto de 2017"/>
    <n v="13"/>
    <x v="9"/>
    <s v="0,26"/>
    <e v="#NAME?"/>
  </r>
  <r>
    <n v="490"/>
    <m/>
    <x v="0"/>
    <d v="2017-08-13T00:00:00"/>
    <n v="7.0000000000000007E-2"/>
    <s v="Familia Piñero Padilla"/>
    <s v="achepaul2005@hotmail.com"/>
    <s v="Calle Güigüe Nro. 89-21"/>
    <s v="Cuota especial, reja vereda Centro Comercial"/>
    <x v="4"/>
    <m/>
    <s v="00490"/>
    <s v="13 de agosto de 2017"/>
    <n v="13"/>
    <x v="9"/>
    <s v="0,07"/>
    <e v="#NAME?"/>
  </r>
  <r>
    <n v="491"/>
    <m/>
    <x v="0"/>
    <d v="2017-08-14T00:00:00"/>
    <n v="0.35"/>
    <s v="Wu Hung Fung"/>
    <s v="carolinahung24@gmail.com"/>
    <s v="Calle Guacara Nro. 90-81"/>
    <s v="Cancelación Vigilancia, mes de Agosto 2017"/>
    <x v="0"/>
    <m/>
    <s v="00491"/>
    <s v="14 de agosto de 2017"/>
    <n v="14"/>
    <x v="9"/>
    <s v="0,35"/>
    <e v="#NAME?"/>
  </r>
  <r>
    <n v="492"/>
    <m/>
    <x v="0"/>
    <d v="2017-08-14T00:00:00"/>
    <n v="0.09"/>
    <s v="Ana de González"/>
    <s v="mikelnowak25@gmail.com"/>
    <s v="Av. &quot;O&quot; Nro. 146-17"/>
    <s v="Cancelación saldo Vigilancia, mes de Julio 2017"/>
    <x v="0"/>
    <m/>
    <s v="00492"/>
    <s v="14 de agosto de 2017"/>
    <n v="14"/>
    <x v="9"/>
    <s v="0,09"/>
    <e v="#NAME?"/>
  </r>
  <r>
    <n v="493"/>
    <m/>
    <x v="0"/>
    <d v="2017-08-14T00:00:00"/>
    <n v="0.18"/>
    <s v="Ana de González"/>
    <s v="mikelnowak25@gmail.com"/>
    <s v="Av. &quot;O&quot; Nro. 146-17"/>
    <s v="Cancelación diferencia pago controles"/>
    <x v="2"/>
    <m/>
    <s v="00493"/>
    <s v="14 de agosto de 2017"/>
    <n v="14"/>
    <x v="9"/>
    <s v="0,18"/>
    <e v="#NAME?"/>
  </r>
  <r>
    <n v="494"/>
    <m/>
    <x v="0"/>
    <d v="2017-08-15T00:00:00"/>
    <n v="0.15"/>
    <s v="Familia Rodríguez Landaeta"/>
    <s v="mrl58@hotmail.com"/>
    <s v="Calle Güigüe Nro. 89-29"/>
    <s v="Colaboración Vigilancia, mes de Agosto 2017"/>
    <x v="0"/>
    <m/>
    <s v="00494"/>
    <s v="15 de agosto de 2017"/>
    <n v="15"/>
    <x v="9"/>
    <s v="0,15"/>
    <e v="#NAME?"/>
  </r>
  <r>
    <n v="495"/>
    <m/>
    <x v="0"/>
    <d v="2017-08-15T00:00:00"/>
    <n v="0.2"/>
    <s v="Familia Kablan Sarmiento"/>
    <s v="norisjsb56@hotmail.com"/>
    <s v="Calle Güigüe Nro. 89-80"/>
    <s v="Colaboración Vigilancia, mes de Agosto 2017"/>
    <x v="0"/>
    <m/>
    <s v="00495"/>
    <s v="15 de agosto de 2017"/>
    <n v="15"/>
    <x v="9"/>
    <s v="0,20"/>
    <e v="#NAME?"/>
  </r>
  <r>
    <n v="496"/>
    <m/>
    <x v="0"/>
    <d v="2017-08-15T00:00:00"/>
    <n v="0.35"/>
    <s v="Familia Sayago Peñaranda"/>
    <s v="alexissayago@gmail.com"/>
    <s v="Calle Güigüe Nro. 89-04"/>
    <s v="Cancelación Vigilancia, mes de Agosto 2017"/>
    <x v="0"/>
    <m/>
    <s v="00496"/>
    <s v="15 de agosto de 2017"/>
    <n v="15"/>
    <x v="9"/>
    <s v="0,35"/>
    <e v="#NAME?"/>
  </r>
  <r>
    <n v="497"/>
    <m/>
    <x v="0"/>
    <d v="2017-06-25T00:00:00"/>
    <n v="0.26"/>
    <s v="Familia Gascón Domínguez"/>
    <s v="vrgascon@gmail.com"/>
    <s v="Calle Güigüe Nro. 88-70"/>
    <s v="Cancelación Vigilancia, mes de Junio 2017"/>
    <x v="0"/>
    <m/>
    <s v="00497"/>
    <s v="25 de junio de 2017"/>
    <n v="25"/>
    <x v="7"/>
    <s v="0,26"/>
    <e v="#NAME?"/>
  </r>
  <r>
    <n v="498"/>
    <m/>
    <x v="0"/>
    <d v="2017-08-16T00:00:00"/>
    <n v="0.09"/>
    <s v="Familia Díaz González"/>
    <s v="luisrdt57@gmail.com"/>
    <s v="Calle Güigüe Nro. 88-116"/>
    <s v="Cancelación saldo Vigilancia, mes de Julio 2017"/>
    <x v="0"/>
    <m/>
    <s v="00498"/>
    <s v="16 de agosto de 2017"/>
    <n v="16"/>
    <x v="9"/>
    <s v="0,09"/>
    <e v="#NAME?"/>
  </r>
  <r>
    <n v="499"/>
    <m/>
    <x v="0"/>
    <d v="2017-08-16T00:00:00"/>
    <n v="0.35"/>
    <s v="Familia Díaz González"/>
    <s v="luisrdt57@gmail.com"/>
    <s v="Calle Güigüe Nro. 88-116"/>
    <s v="Cancelación Vigilancia, mes de Agosto 2017"/>
    <x v="0"/>
    <m/>
    <s v="00499"/>
    <s v="16 de agosto de 2017"/>
    <n v="16"/>
    <x v="9"/>
    <s v="0,35"/>
    <e v="#NAME?"/>
  </r>
  <r>
    <n v="500"/>
    <m/>
    <x v="0"/>
    <d v="2017-07-28T00:00:00"/>
    <n v="0.35"/>
    <s v="Familia Barreto Pérez"/>
    <s v="bbetsa19@hotmail.com"/>
    <s v="Av. &quot;M&quot; Nro. 146-15"/>
    <s v="Cancelación Vigilancia, mes de Julio 2017"/>
    <x v="0"/>
    <m/>
    <s v="00500"/>
    <s v="28 de julio de 2017"/>
    <n v="28"/>
    <x v="8"/>
    <s v="0,35"/>
    <e v="#NAME?"/>
  </r>
  <r>
    <n v="501"/>
    <m/>
    <x v="0"/>
    <d v="2017-07-25T00:00:00"/>
    <n v="0.35"/>
    <s v="Familia Gascón Domínguez"/>
    <s v="vrgascon@gmail.com"/>
    <s v="Calle Güigüe Nro. 88-70"/>
    <s v="Cancelación Vigilancia, mes de Julio 2017"/>
    <x v="0"/>
    <m/>
    <s v="00501"/>
    <s v="25 de julio de 2017"/>
    <n v="25"/>
    <x v="8"/>
    <s v="0,35"/>
    <e v="#NAME?"/>
  </r>
  <r>
    <n v="502"/>
    <m/>
    <x v="0"/>
    <d v="2017-08-17T00:00:00"/>
    <n v="0.4"/>
    <s v="La Casita Encantada"/>
    <s v="En Físico"/>
    <s v="Av. &quot;M&quot; Nro. 146-30"/>
    <s v="Cancelación Vigilancia, mes de Agosto 2017"/>
    <x v="0"/>
    <m/>
    <s v="00502"/>
    <s v="17 de agosto de 2017"/>
    <n v="17"/>
    <x v="9"/>
    <s v="0,40"/>
    <e v="#NAME?"/>
  </r>
  <r>
    <n v="503"/>
    <m/>
    <x v="0"/>
    <d v="2017-07-30T00:00:00"/>
    <n v="0.62"/>
    <s v="Familia Il Grande Franceschi"/>
    <s v="arcifran75@hotmail.com"/>
    <s v="Av. &quot;I&quot; Nro. 146-40"/>
    <s v="Cancelación Vigilancia, meses de Junio y Julio 2017 y anticipo mes de Agosto 2017 (Bs. 1.000)"/>
    <x v="0"/>
    <m/>
    <s v="00503"/>
    <s v="30 de julio de 2017"/>
    <n v="30"/>
    <x v="8"/>
    <s v="0,62"/>
    <e v="#NAME?"/>
  </r>
  <r>
    <n v="504"/>
    <m/>
    <x v="0"/>
    <d v="2017-08-17T00:00:00"/>
    <n v="0.15"/>
    <s v="Familia Hurtado"/>
    <s v="En Físico"/>
    <s v="Av. &quot;O&quot; Nro. 146-11"/>
    <s v="Cancelación saldo Vigilancia, mes de Julio 2017"/>
    <x v="0"/>
    <m/>
    <s v="00504"/>
    <s v="17 de agosto de 2017"/>
    <n v="17"/>
    <x v="9"/>
    <s v="0,15"/>
    <e v="#NAME?"/>
  </r>
  <r>
    <n v="505"/>
    <m/>
    <x v="0"/>
    <d v="2017-08-17T00:00:00"/>
    <n v="0.05"/>
    <s v="Ma. de Jesus Alonso"/>
    <s v="marjoriealonsoh@hotmail.com"/>
    <s v="Calle Güigüe Nro. 88-30"/>
    <s v="Colaboración Vigilancia, mes de Agosto 2017"/>
    <x v="0"/>
    <m/>
    <s v="00505"/>
    <s v="17 de agosto de 2017"/>
    <n v="17"/>
    <x v="9"/>
    <s v="0,05"/>
    <e v="#NAME?"/>
  </r>
  <r>
    <n v="506"/>
    <m/>
    <x v="0"/>
    <d v="2017-08-17T00:00:00"/>
    <n v="0.35"/>
    <s v="Familia Lomeña Agudo"/>
    <s v="claudialomena@hotmail.com"/>
    <s v="Calle Guacara Nro. 89-30"/>
    <s v="Cancelación Vigilancia, mes de Agosto 2017"/>
    <x v="0"/>
    <m/>
    <s v="00506"/>
    <s v="17 de agosto de 2017"/>
    <n v="17"/>
    <x v="9"/>
    <s v="0,35"/>
    <e v="#NAME?"/>
  </r>
  <r>
    <n v="507"/>
    <m/>
    <x v="0"/>
    <d v="2017-07-18T00:00:00"/>
    <n v="0.2"/>
    <s v="Victoria Francischiello"/>
    <s v="victoriafrancischiello@hotmail.com"/>
    <s v="Calle Guacara Nro. 88-25"/>
    <s v="Colaboración Vigilancia, mes de Agosto 2017"/>
    <x v="0"/>
    <m/>
    <s v="00507"/>
    <s v="18 de julio de 2017"/>
    <n v="18"/>
    <x v="8"/>
    <s v="0,20"/>
    <e v="#NAME?"/>
  </r>
  <r>
    <n v="508"/>
    <m/>
    <x v="0"/>
    <d v="2017-08-18T00:00:00"/>
    <n v="0.2"/>
    <s v="Familia Méndez Parra"/>
    <s v="briceidamp@hotmail.com"/>
    <s v="Calle Guacara Nro. 88-19"/>
    <s v="Colaboración Vigilancia, mes de Agosto 2017"/>
    <x v="0"/>
    <m/>
    <s v="00508"/>
    <s v="18 de agosto de 2017"/>
    <n v="18"/>
    <x v="9"/>
    <s v="0,20"/>
    <e v="#NAME?"/>
  </r>
  <r>
    <n v="509"/>
    <m/>
    <x v="0"/>
    <d v="2017-08-18T00:00:00"/>
    <n v="0.125"/>
    <s v="Familia Santos Carrillo"/>
    <s v="briceidamp@hotmail.com"/>
    <s v="Calle Guacara Nro. 90-93"/>
    <s v="Colaboración Vigilancia, meses de Julio y Agosto 2017"/>
    <x v="0"/>
    <m/>
    <s v="00509"/>
    <s v="18 de agosto de 2017"/>
    <n v="18"/>
    <x v="9"/>
    <s v="0,13"/>
    <e v="#NAME?"/>
  </r>
  <r>
    <n v="510"/>
    <m/>
    <x v="0"/>
    <d v="2017-08-18T00:00:00"/>
    <n v="1.3900000000000001"/>
    <s v="Familia Jiménez Salvatierra"/>
    <s v="0414-582.8909"/>
    <s v="Calle Güigüe Nro. 89-45"/>
    <s v="Cancelación Vigilancia, meses de Abril a Agosto 2017"/>
    <x v="0"/>
    <m/>
    <s v="00510"/>
    <s v="18 de agosto de 2017"/>
    <n v="18"/>
    <x v="9"/>
    <s v="1,39"/>
    <e v="#NAME?"/>
  </r>
  <r>
    <n v="511"/>
    <m/>
    <x v="0"/>
    <d v="2017-08-19T00:00:00"/>
    <n v="0.7"/>
    <s v="Anahiz Seijas"/>
    <s v="anahiz_2@hotmail.es"/>
    <s v="Calle Güigüe Nro. 89-106"/>
    <s v="Cancelación Vigilancia, meses de Julio y Agosto 2017"/>
    <x v="0"/>
    <m/>
    <s v="00511"/>
    <s v="19 de agosto de 2017"/>
    <n v="19"/>
    <x v="9"/>
    <s v="0,70"/>
    <e v="#NAME?"/>
  </r>
  <r>
    <n v="512"/>
    <m/>
    <x v="0"/>
    <d v="2017-08-19T00:00:00"/>
    <n v="0.3"/>
    <s v="Familia Cegarra Villamizar"/>
    <s v="jesus.villamizar.ra@gmail.com"/>
    <s v="Calle Guacara Nro. 88-35"/>
    <s v="Colaboración Vigilancia, mes de Agosto 2017"/>
    <x v="0"/>
    <m/>
    <s v="00512"/>
    <s v="19 de agosto de 2017"/>
    <n v="19"/>
    <x v="9"/>
    <s v="0,30"/>
    <e v="#NAME?"/>
  </r>
  <r>
    <n v="513"/>
    <m/>
    <x v="0"/>
    <d v="2017-08-19T00:00:00"/>
    <n v="0.35"/>
    <s v="Familia Delgado Hidalgo"/>
    <s v="ardh@hotmail.com"/>
    <s v="Calle Güigüe Nro. 88-10"/>
    <s v="Cancelación Vigilancia, mes de Julio 2017"/>
    <x v="0"/>
    <m/>
    <s v="00513"/>
    <s v="19 de agosto de 2017"/>
    <n v="19"/>
    <x v="9"/>
    <s v="0,35"/>
    <e v="#NAME?"/>
  </r>
  <r>
    <n v="514"/>
    <m/>
    <x v="0"/>
    <d v="2017-08-19T00:00:00"/>
    <n v="0.35"/>
    <s v="Familia Milanés Carmona"/>
    <s v="yndira11m@gmail.com"/>
    <s v="Calle Güigüe Nro. 89-65"/>
    <s v="Cancelación Vigilancia, mes de Agosto 2017"/>
    <x v="0"/>
    <m/>
    <s v="00514"/>
    <s v="19 de agosto de 2017"/>
    <n v="19"/>
    <x v="9"/>
    <s v="0,35"/>
    <e v="#NAME?"/>
  </r>
  <r>
    <n v="515"/>
    <m/>
    <x v="0"/>
    <d v="2017-08-20T00:00:00"/>
    <n v="0.35"/>
    <s v="Familia Ferrer Bahri"/>
    <s v="bahrimariela@hotmail.com"/>
    <s v="Calle Güigüe Nro. 89-83"/>
    <s v="Cancelación Vigilancia, mes de Agosto 2017"/>
    <x v="0"/>
    <m/>
    <s v="00515"/>
    <s v="20 de agosto de 2017"/>
    <n v="20"/>
    <x v="9"/>
    <s v="0,35"/>
    <e v="#NAME?"/>
  </r>
  <r>
    <n v="516"/>
    <m/>
    <x v="0"/>
    <d v="2017-08-16T00:00:00"/>
    <n v="0.61"/>
    <s v="Familia Scabuzzo Gómez"/>
    <s v="sfscabuzzo@msn.com"/>
    <s v="Av. &quot;I&quot; Nro. 146-20"/>
    <s v="Cancelación Vigilancia, meses de Junio y Julio 2017"/>
    <x v="0"/>
    <m/>
    <s v="00516"/>
    <s v="16 de agosto de 2017"/>
    <n v="16"/>
    <x v="9"/>
    <s v="0,61"/>
    <e v="#NAME?"/>
  </r>
  <r>
    <n v="517"/>
    <m/>
    <x v="0"/>
    <d v="2017-08-20T00:00:00"/>
    <n v="0.15"/>
    <s v="Familia Rodríguez Aular"/>
    <s v="mvaular@hotmail.com"/>
    <s v="Calle Güigüe Nro. 88-58"/>
    <s v="Colaboración Vigilancia, mes de Julio 2017"/>
    <x v="0"/>
    <m/>
    <s v="00517"/>
    <s v="20 de agosto de 2017"/>
    <n v="20"/>
    <x v="9"/>
    <s v="0,15"/>
    <e v="#NAME?"/>
  </r>
  <r>
    <n v="518"/>
    <m/>
    <x v="0"/>
    <d v="2017-08-21T00:00:00"/>
    <n v="0.43999999999999995"/>
    <s v="Familia Narváez Caldera"/>
    <s v="jeannette_nc@yahoo.com"/>
    <s v="Calle Güigüe Nro. 87-A-11"/>
    <s v="Cancelación saldo Vigilancia, mes de Julio 2017 y Cancelación Vigilancia mes de Agosto 2017"/>
    <x v="0"/>
    <m/>
    <s v="00518"/>
    <s v="21 de agosto de 2017"/>
    <n v="21"/>
    <x v="9"/>
    <s v="0,44"/>
    <e v="#NAME?"/>
  </r>
  <r>
    <n v="519"/>
    <m/>
    <x v="0"/>
    <d v="2017-08-23T00:00:00"/>
    <n v="0.35"/>
    <s v="Familia Scabuzzo Gómez"/>
    <s v="sfscabuzzo@msn.com"/>
    <s v="Av. &quot;I&quot; Nro. 146-20"/>
    <s v="Cancelación Vigilancia, mes de Agosto 2017"/>
    <x v="0"/>
    <m/>
    <s v="00519"/>
    <s v="23 de agosto de 2017"/>
    <n v="23"/>
    <x v="9"/>
    <s v="0,35"/>
    <e v="#NAME?"/>
  </r>
  <r>
    <n v="520"/>
    <m/>
    <x v="0"/>
    <d v="2017-08-25T00:00:00"/>
    <n v="0.18"/>
    <s v="Familia Rodríguez Aular"/>
    <s v="mvaular@hotmail.com"/>
    <s v="Calle Güigüe Nro. 88-58"/>
    <s v="Colaboración Vigilancia, mes de Agosto 2017"/>
    <x v="0"/>
    <m/>
    <s v="00520"/>
    <s v="25 de agosto de 2017"/>
    <n v="25"/>
    <x v="9"/>
    <s v="0,18"/>
    <e v="#NAME?"/>
  </r>
  <r>
    <n v="521"/>
    <m/>
    <x v="0"/>
    <d v="2017-08-28T00:00:00"/>
    <n v="0.7"/>
    <s v="Familia Castro Jiménez"/>
    <s v="0426-543.4303"/>
    <s v="Calle Guacara Nro. 90-51"/>
    <s v="Cancelación Vigilancia, meses de Julio y Agosto 2017"/>
    <x v="0"/>
    <m/>
    <s v="00521"/>
    <s v="28 de agosto de 2017"/>
    <n v="28"/>
    <x v="9"/>
    <s v="0,70"/>
    <e v="#NAME?"/>
  </r>
  <r>
    <n v="522"/>
    <m/>
    <x v="0"/>
    <d v="2017-08-24T00:00:00"/>
    <n v="0.36"/>
    <s v="Familia Fernández Parés"/>
    <s v="vultecca@gmail.com"/>
    <s v="Calle Guacara Nro. 88-75"/>
    <s v="Cancelación Vigilancia, mes de Julio 2017, y anticipo del mes de Agosto 2017"/>
    <x v="0"/>
    <m/>
    <s v="00522"/>
    <s v="24 de agosto de 2017"/>
    <n v="24"/>
    <x v="9"/>
    <s v="0,36"/>
    <e v="#NAME?"/>
  </r>
  <r>
    <n v="523"/>
    <m/>
    <x v="0"/>
    <d v="2017-08-30T00:00:00"/>
    <n v="0.35"/>
    <s v="Familia Durvelle Serrano"/>
    <s v="sdurvelle@hotmail.com"/>
    <s v="Calle Guacara Nro. 89-60"/>
    <s v="Cancelación Vigilancia, mes de Septiembre 2017"/>
    <x v="0"/>
    <m/>
    <s v="00523"/>
    <s v="30 de agosto de 2017"/>
    <n v="30"/>
    <x v="9"/>
    <s v="0,35"/>
    <e v="#NAME?"/>
  </r>
  <r>
    <n v="524"/>
    <m/>
    <x v="0"/>
    <d v="2017-08-31T00:00:00"/>
    <n v="0.7"/>
    <s v="Familia Gascón Domínguez"/>
    <s v="vrgascon@gmail.com"/>
    <s v="Calle Güigüe Nro. 88-70"/>
    <s v="Cancelación Vigilancia, meses de Agosto y Septiembre 2017"/>
    <x v="0"/>
    <m/>
    <s v="00524"/>
    <s v="31 de agosto de 2017"/>
    <n v="31"/>
    <x v="9"/>
    <s v="0,70"/>
    <e v="#NAME?"/>
  </r>
  <r>
    <n v="525"/>
    <m/>
    <x v="0"/>
    <d v="2017-08-30T00:00:00"/>
    <n v="0.1"/>
    <s v="Familia Sirit Palencia"/>
    <s v="irasirit@gmail.com"/>
    <s v="Calle Güigüe Nro. 89-35"/>
    <s v="Colaboración Vigilancia, mes de Agosto 2017"/>
    <x v="0"/>
    <m/>
    <s v="00525"/>
    <s v="30 de agosto de 2017"/>
    <n v="30"/>
    <x v="9"/>
    <s v="0,10"/>
    <e v="#NAME?"/>
  </r>
  <r>
    <n v="526"/>
    <m/>
    <x v="0"/>
    <d v="2017-08-31T00:00:00"/>
    <n v="0.72"/>
    <s v="Familia Matta Palomino"/>
    <s v="En Físico"/>
    <s v="Calle Güigüe Nro. 88-90"/>
    <s v="Cancelación Vigilancia, meses de Julio y Agosto 2017 y Anticipo Vigilancia Septiembre 2017"/>
    <x v="0"/>
    <m/>
    <s v="00526"/>
    <s v="31 de agosto de 2017"/>
    <n v="31"/>
    <x v="9"/>
    <s v="0,72"/>
    <e v="#NAME?"/>
  </r>
  <r>
    <n v="527"/>
    <m/>
    <x v="0"/>
    <d v="2017-08-31T00:00:00"/>
    <n v="0.35"/>
    <s v="Familia Ferrer Bahri"/>
    <s v="bahrimariela@hotmail.com"/>
    <s v="Calle Güigüe Nro. 89-83"/>
    <s v="Cancelación Vigilancia, mes de Septiembre 2017"/>
    <x v="0"/>
    <m/>
    <s v="00527"/>
    <s v="31 de agosto de 2017"/>
    <n v="31"/>
    <x v="9"/>
    <s v="0,35"/>
    <e v="#NAME?"/>
  </r>
  <r>
    <n v="528"/>
    <m/>
    <x v="0"/>
    <d v="2017-07-31T00:00:00"/>
    <n v="0.35"/>
    <s v="Familia Navarro Assing"/>
    <s v="liliaassing@gmail.com"/>
    <s v="Calle Güigüe Nro. 88-54"/>
    <s v="Cancelación Vigilancia, mes de Agosto 2017"/>
    <x v="0"/>
    <m/>
    <s v="00528"/>
    <s v="31 de julio de 2017"/>
    <n v="31"/>
    <x v="8"/>
    <s v="0,35"/>
    <e v="#NAME?"/>
  </r>
  <r>
    <n v="529"/>
    <m/>
    <x v="0"/>
    <d v="2017-09-01T00:00:00"/>
    <n v="1"/>
    <s v="Zoraida Khair"/>
    <s v="zorakhair@hotmail.com"/>
    <s v="Calle Güigüe Nro. 88-80"/>
    <s v="Colaboración Vigilancia, meses de Junio, Julio, Agosto y Septiembre 2017"/>
    <x v="0"/>
    <m/>
    <s v="00529"/>
    <s v="01 de septiembre de 2017"/>
    <n v="1"/>
    <x v="10"/>
    <s v="1,00"/>
    <e v="#NAME?"/>
  </r>
  <r>
    <n v="530"/>
    <m/>
    <x v="0"/>
    <d v="2017-09-01T00:00:00"/>
    <n v="0.35"/>
    <s v="Familia Colosso Delgado"/>
    <s v="mcolosso@gmail.com"/>
    <s v="Calle Güigüe Nro. 88-44"/>
    <s v="Cancelación Vigilancia, mes de Septiembre 2017"/>
    <x v="0"/>
    <m/>
    <s v="00530"/>
    <s v="01 de septiembre de 2017"/>
    <n v="1"/>
    <x v="10"/>
    <s v="0,35"/>
    <e v="#NAME?"/>
  </r>
  <r>
    <n v="531"/>
    <m/>
    <x v="0"/>
    <d v="2017-09-01T00:00:00"/>
    <n v="0.35"/>
    <s v="Familia Zavarce Pérez"/>
    <s v="En Físico"/>
    <s v="Calle Guacara Nro. 90-35"/>
    <s v="Cancelación Vigilancia, mes de Julio 2017"/>
    <x v="0"/>
    <m/>
    <s v="00531"/>
    <s v="01 de septiembre de 2017"/>
    <n v="1"/>
    <x v="10"/>
    <s v="0,35"/>
    <e v="#NAME?"/>
  </r>
  <r>
    <n v="532"/>
    <m/>
    <x v="0"/>
    <d v="2017-09-01T00:00:00"/>
    <n v="0.35"/>
    <s v="Familia Zavarce Pérez"/>
    <s v="En Físico"/>
    <s v="Calle Guacara Nro. 90-35"/>
    <s v="Cancelación Vigilancia, mes de Agosto 2017"/>
    <x v="0"/>
    <m/>
    <s v="00532"/>
    <s v="01 de septiembre de 2017"/>
    <n v="1"/>
    <x v="10"/>
    <s v="0,35"/>
    <e v="#NAME?"/>
  </r>
  <r>
    <n v="533"/>
    <m/>
    <x v="0"/>
    <d v="2017-09-01T00:00:00"/>
    <n v="0.35"/>
    <s v="Familia Barreto Pérez"/>
    <s v="bbetsa19@hotmail.com"/>
    <s v="Av. &quot;M&quot; Nro. 146-15"/>
    <s v="Cancelación Vigilancia, mes de Agosto 2017"/>
    <x v="0"/>
    <m/>
    <s v="00533"/>
    <s v="01 de septiembre de 2017"/>
    <n v="1"/>
    <x v="10"/>
    <s v="0,35"/>
    <e v="#NAME?"/>
  </r>
  <r>
    <n v="534"/>
    <m/>
    <x v="0"/>
    <d v="2017-09-01T00:00:00"/>
    <n v="0.35"/>
    <s v="Ely Saúl Rivero Gómez"/>
    <s v="hhs.admon@gmail.com"/>
    <s v="Av. &quot;Ñ&quot; Nro. 145-25"/>
    <s v="Cancelación saldo Vigilancia, mes de Septiembre 2017 (saldo a favor: Bs. 44.000)"/>
    <x v="0"/>
    <m/>
    <s v="00534"/>
    <s v="01 de septiembre de 2017"/>
    <n v="1"/>
    <x v="10"/>
    <s v="0,35"/>
    <e v="#NAME?"/>
  </r>
  <r>
    <n v="535"/>
    <m/>
    <x v="0"/>
    <d v="2017-09-01T00:00:00"/>
    <n v="0.35"/>
    <s v="Familia Del Negro Palermo"/>
    <s v="vdelnegro@gmail.com"/>
    <s v="Calle Guacara Nro. 88-45"/>
    <s v="Cancelación Vigilancia, mes de Septiembre 2017 (saldo a favor: Bs. 60.000)"/>
    <x v="0"/>
    <m/>
    <s v="00535"/>
    <s v="01 de septiembre de 2017"/>
    <n v="1"/>
    <x v="10"/>
    <s v="0,35"/>
    <e v="#NAME?"/>
  </r>
  <r>
    <n v="536"/>
    <m/>
    <x v="0"/>
    <d v="2017-09-01T00:00:00"/>
    <n v="0.2"/>
    <s v="Héctor Hernández"/>
    <s v="eof64@hotmail.com"/>
    <s v="Calle Guacara Nro. 89-94"/>
    <s v="Colaboración Vigilancia, mes de Septiembre 2017"/>
    <x v="0"/>
    <m/>
    <s v="00536"/>
    <s v="01 de septiembre de 2017"/>
    <n v="1"/>
    <x v="10"/>
    <s v="0,20"/>
    <e v="#NAME?"/>
  </r>
  <r>
    <n v="537"/>
    <m/>
    <x v="0"/>
    <d v="2017-09-01T00:00:00"/>
    <n v="0.35"/>
    <s v="Familia Manrique Riera"/>
    <s v="patriciamanrique@gmail.com"/>
    <s v="Calle Guacara Nro. 89-40"/>
    <s v="Cancelación Vigilancia, mes de Julio 2017"/>
    <x v="0"/>
    <m/>
    <s v="00537"/>
    <s v="01 de septiembre de 2017"/>
    <n v="1"/>
    <x v="10"/>
    <s v="0,35"/>
    <e v="#NAME?"/>
  </r>
  <r>
    <n v="538"/>
    <m/>
    <x v="0"/>
    <d v="2017-09-03T00:00:00"/>
    <n v="0.7"/>
    <s v="Familia González Arévalo"/>
    <s v="feryenis@hotmail.com"/>
    <s v="Calle Guacara Nro. 89-86"/>
    <s v="Cancelación Vigilancia, meses de Septiembre y Octubre 2017"/>
    <x v="0"/>
    <m/>
    <s v="00538"/>
    <s v="03 de septiembre de 2017"/>
    <n v="3"/>
    <x v="10"/>
    <s v="0,70"/>
    <e v="#NAME?"/>
  </r>
  <r>
    <n v="539"/>
    <m/>
    <x v="0"/>
    <d v="2017-09-04T00:00:00"/>
    <n v="0.7"/>
    <s v="Familia Ochoa Mendoza"/>
    <s v="marisoljudithm@hotmail.com"/>
    <s v="Calle Güigüe Nro. 89-105"/>
    <s v="Cancelación Vigilancia, meses de Agosto y Septiembre 2017"/>
    <x v="0"/>
    <m/>
    <s v="00539"/>
    <s v="04 de septiembre de 2017"/>
    <n v="4"/>
    <x v="10"/>
    <s v="0,70"/>
    <e v="#NAME?"/>
  </r>
  <r>
    <n v="540"/>
    <m/>
    <x v="0"/>
    <d v="2017-09-04T00:00:00"/>
    <n v="0.35"/>
    <s v="Familia Castillo Mena"/>
    <s v="emmecas@hotmail.com"/>
    <s v="Calle Güigüe Nro. 88-101"/>
    <s v="Cancelación Vigilancia, mes de Agosto 2017"/>
    <x v="0"/>
    <m/>
    <s v="00540"/>
    <s v="04 de septiembre de 2017"/>
    <n v="4"/>
    <x v="10"/>
    <s v="0,35"/>
    <e v="#NAME?"/>
  </r>
  <r>
    <n v="541"/>
    <m/>
    <x v="0"/>
    <d v="2017-09-05T00:00:00"/>
    <n v="0.35"/>
    <s v="Familia Guerra Miret"/>
    <s v="antoniojguerrag@hotmail.com"/>
    <s v="Calle Güigüe Nro. 89-40"/>
    <s v="Cancelación Vigilancia, mes de Agosto 2017"/>
    <x v="0"/>
    <m/>
    <s v="00541"/>
    <s v="05 de septiembre de 2017"/>
    <n v="5"/>
    <x v="10"/>
    <s v="0,35"/>
    <e v="#NAME?"/>
  </r>
  <r>
    <n v="542"/>
    <m/>
    <x v="0"/>
    <d v="2017-09-05T00:00:00"/>
    <n v="0.35"/>
    <s v="Familia Arcia Polanco"/>
    <s v="misipo29@gmail.com"/>
    <s v="Calle Guacara Nro. 89-20"/>
    <s v="Cancelación Vigilancia, mes de Septiembre 2017"/>
    <x v="0"/>
    <m/>
    <s v="00542"/>
    <s v="05 de septiembre de 2017"/>
    <n v="5"/>
    <x v="10"/>
    <s v="0,35"/>
    <e v="#NAME?"/>
  </r>
  <r>
    <n v="543"/>
    <m/>
    <x v="0"/>
    <d v="2017-09-05T00:00:00"/>
    <n v="1.05"/>
    <s v="Familia López Hermoso"/>
    <s v="lopez.humberto14@yahoo.com.ve"/>
    <s v="Calle Güigüe Nro. 89-79"/>
    <s v="Cancelación Vigilancia, meses de Julio, Agosto y Septiembre 2017"/>
    <x v="0"/>
    <m/>
    <s v="00543"/>
    <s v="05 de septiembre de 2017"/>
    <n v="5"/>
    <x v="10"/>
    <s v="1,05"/>
    <e v="#NAME?"/>
  </r>
  <r>
    <n v="544"/>
    <m/>
    <x v="0"/>
    <d v="2017-09-06T00:00:00"/>
    <n v="0.35"/>
    <s v="Wu Hung Fung"/>
    <s v="carolinahung24@gmail.com"/>
    <s v="Calle Guacara Nro. 90-81"/>
    <s v="Cancelación Vigilancia, mes de Septiembre 2017"/>
    <x v="0"/>
    <m/>
    <s v="00544"/>
    <s v="06 de septiembre de 2017"/>
    <n v="6"/>
    <x v="10"/>
    <s v="0,35"/>
    <e v="#NAME?"/>
  </r>
  <r>
    <n v="545"/>
    <m/>
    <x v="0"/>
    <d v="2017-09-06T00:00:00"/>
    <n v="0.54"/>
    <s v="Colegio El Trigal"/>
    <s v="En Físico"/>
    <s v="Calle Güigüe Nros. 88-71 y 88-81"/>
    <s v="Cancelación Vigilancia, mes de Septiembre 2017"/>
    <x v="0"/>
    <m/>
    <s v="00545"/>
    <s v="06 de septiembre de 2017"/>
    <n v="6"/>
    <x v="10"/>
    <s v="0,54"/>
    <e v="#NAME?"/>
  </r>
  <r>
    <n v="546"/>
    <m/>
    <x v="0"/>
    <d v="2017-09-06T00:00:00"/>
    <n v="0.15"/>
    <s v="Chin Chun Ya (Goya)"/>
    <s v="uc2721@gmail.com"/>
    <s v="Calle Guacara Nro. 87-86"/>
    <s v="Colaboración Vigilancia, mes de Septiembre 2017"/>
    <x v="0"/>
    <m/>
    <s v="00546"/>
    <s v="06 de septiembre de 2017"/>
    <n v="6"/>
    <x v="10"/>
    <s v="0,15"/>
    <e v="#NAME?"/>
  </r>
  <r>
    <n v="547"/>
    <m/>
    <x v="0"/>
    <d v="2017-08-23T00:00:00"/>
    <n v="0.35"/>
    <s v="Familia Acosta Carpio"/>
    <s v="pablo962@hotmail.com"/>
    <s v="Calle Güigüe Nro. 89-10"/>
    <s v="Cancelación Vigilancia, mes de Agosto 2017"/>
    <x v="0"/>
    <m/>
    <s v="00547"/>
    <s v="23 de agosto de 2017"/>
    <n v="23"/>
    <x v="9"/>
    <s v="0,35"/>
    <e v="#NAME?"/>
  </r>
  <r>
    <n v="548"/>
    <m/>
    <x v="0"/>
    <d v="2017-08-24T00:00:00"/>
    <n v="0.35"/>
    <s v="Amarilis Guerra"/>
    <s v="amarilisguerra1@yahoo.com"/>
    <s v="Calle Güigüe Nro. 89-96"/>
    <s v="Cancelación Vigilancia, mes de Agosto 2017"/>
    <x v="0"/>
    <m/>
    <s v="00548"/>
    <s v="24 de agosto de 2017"/>
    <n v="24"/>
    <x v="9"/>
    <s v="0,35"/>
    <e v="#NAME?"/>
  </r>
  <r>
    <n v="549"/>
    <m/>
    <x v="0"/>
    <d v="2017-09-07T00:00:00"/>
    <n v="0.35"/>
    <s v="Familia Astor Zamora"/>
    <s v="imzastor@gmail.com"/>
    <s v="Calle Güigüe Nro. 88-111"/>
    <s v="Cancelación Vigilancia, mes de Julio 2017"/>
    <x v="0"/>
    <m/>
    <s v="00549"/>
    <s v="07 de septiembre de 2017"/>
    <n v="7"/>
    <x v="10"/>
    <s v="0,35"/>
    <e v="#NAME?"/>
  </r>
  <r>
    <n v="550"/>
    <m/>
    <x v="0"/>
    <d v="2017-09-10T00:00:00"/>
    <n v="0.15"/>
    <s v="Familia Morales Sesar"/>
    <s v="moralesesar@gmail.com"/>
    <s v="Calle Güigüe Nro. 89-120"/>
    <s v="Colaboración Vigilancia, mes de Agosto 2017"/>
    <x v="0"/>
    <m/>
    <s v="00550"/>
    <s v="10 de septiembre de 2017"/>
    <n v="10"/>
    <x v="10"/>
    <s v="0,15"/>
    <e v="#NAME?"/>
  </r>
  <r>
    <n v="551"/>
    <m/>
    <x v="0"/>
    <d v="2017-09-11T00:00:00"/>
    <n v="0.6"/>
    <s v="Familia Hatem Medina"/>
    <s v="hhatem1@hotmail.com"/>
    <s v="Calle Guacara Nro. 88-51"/>
    <s v="Colaboración Vigilancia, meses de Julio y Agosto 2017"/>
    <x v="0"/>
    <m/>
    <s v="00551"/>
    <s v="11 de septiembre de 2017"/>
    <n v="11"/>
    <x v="10"/>
    <s v="0,60"/>
    <e v="#NAME?"/>
  </r>
  <r>
    <n v="552"/>
    <m/>
    <x v="0"/>
    <d v="2017-09-12T00:00:00"/>
    <n v="0.35"/>
    <s v="Familia Hatem Medina"/>
    <s v="hhatem1@hotmail.com"/>
    <s v="Calle Guacara Nro. 88-51"/>
    <s v="Cancelación Vigilancia, mes de Septiembre 2017"/>
    <x v="0"/>
    <m/>
    <s v="00552"/>
    <s v="12 de septiembre de 2017"/>
    <n v="12"/>
    <x v="10"/>
    <s v="0,35"/>
    <e v="#NAME?"/>
  </r>
  <r>
    <n v="553"/>
    <m/>
    <x v="0"/>
    <d v="2017-09-13T00:00:00"/>
    <n v="0.09"/>
    <s v="Familia Ochoa Mendoza"/>
    <s v="marisoljudithm@hotmail.com"/>
    <s v="Calle Güigüe Nro. 89-105"/>
    <s v="Cancelación saldo Vigilancia, mes de Julio 2017"/>
    <x v="0"/>
    <m/>
    <s v="00553"/>
    <s v="13 de septiembre de 2017"/>
    <n v="13"/>
    <x v="10"/>
    <s v="0,09"/>
    <e v="#NAME?"/>
  </r>
  <r>
    <n v="554"/>
    <m/>
    <x v="0"/>
    <d v="2017-09-13T00:00:00"/>
    <n v="0.35"/>
    <s v="Familia Puerta Burguillos"/>
    <s v="namaricakes@gmail.com"/>
    <s v="Calle Guacara Nro. 87-100"/>
    <s v="Cancelación Vigilancia, mes de Septiembre 2017"/>
    <x v="0"/>
    <m/>
    <s v="00554"/>
    <s v="13 de septiembre de 2017"/>
    <n v="13"/>
    <x v="10"/>
    <s v="0,35"/>
    <e v="#NAME?"/>
  </r>
  <r>
    <n v="555"/>
    <m/>
    <x v="0"/>
    <d v="2017-09-13T00:00:00"/>
    <n v="0.03"/>
    <s v="Familia Flores Montagne"/>
    <s v="namaricakes@gmail.com"/>
    <s v="Av. &quot;M&quot; Nro. 146-20"/>
    <s v="Colaboración Vigilancia, mes de Septiembre 2017"/>
    <x v="0"/>
    <m/>
    <s v="00555"/>
    <s v="13 de septiembre de 2017"/>
    <n v="13"/>
    <x v="10"/>
    <s v="0,03"/>
    <e v="#NAME?"/>
  </r>
  <r>
    <n v="556"/>
    <m/>
    <x v="0"/>
    <d v="2017-09-13T00:00:00"/>
    <n v="1.05"/>
    <s v="Familia Navarrete Medina"/>
    <s v="juanin1919@yahoo.com"/>
    <s v="Calle Güigüe Nro. 89-22"/>
    <s v="Cancelación Vigilancia, meses de Julio, Agosto y Septiembre 2017"/>
    <x v="0"/>
    <m/>
    <s v="00556"/>
    <s v="13 de septiembre de 2017"/>
    <n v="13"/>
    <x v="10"/>
    <s v="1,05"/>
    <e v="#NAME?"/>
  </r>
  <r>
    <n v="557"/>
    <m/>
    <x v="0"/>
    <d v="2017-09-14T00:00:00"/>
    <n v="0.14899999999999999"/>
    <s v="Familia Santos Carrillo"/>
    <s v="briceidamp@hotmail.com"/>
    <s v="Calle Guacara Nro. 90-93"/>
    <s v="Colaboración Vigilancia, mes de Septiembre 2017"/>
    <x v="0"/>
    <m/>
    <s v="00557"/>
    <s v="14 de septiembre de 2017"/>
    <n v="14"/>
    <x v="10"/>
    <s v="0,15"/>
    <e v="#NAME?"/>
  </r>
  <r>
    <n v="558"/>
    <m/>
    <x v="0"/>
    <d v="2017-09-14T00:00:00"/>
    <n v="0.2"/>
    <s v="Familia Méndez Parra"/>
    <s v="briceidamp@hotmail.com"/>
    <s v="Calle Guacara Nro. 88-19"/>
    <s v="Colaboración Vigilancia, mes de Septiembre 2017"/>
    <x v="0"/>
    <m/>
    <s v="00558"/>
    <s v="14 de septiembre de 2017"/>
    <n v="14"/>
    <x v="10"/>
    <s v="0,20"/>
    <e v="#NAME?"/>
  </r>
  <r>
    <n v="559"/>
    <m/>
    <x v="0"/>
    <d v="2017-09-15T00:00:00"/>
    <n v="0.35"/>
    <s v="Beatriz Lara"/>
    <s v="valentina.gutierrez@hotmail.com"/>
    <s v="Calle Guacara Nro. 89-130"/>
    <s v="Cancelación Vigilancia, mes de Septiembre 2017"/>
    <x v="0"/>
    <m/>
    <s v="00559"/>
    <s v="15 de septiembre de 2017"/>
    <n v="15"/>
    <x v="10"/>
    <s v="0,35"/>
    <e v="#NAME?"/>
  </r>
  <r>
    <n v="560"/>
    <m/>
    <x v="0"/>
    <d v="2017-09-15T00:00:00"/>
    <n v="0.35"/>
    <s v="Familia Díaz González"/>
    <s v="luisrdt57@gmail.com"/>
    <s v="Calle Güigüe Nro. 88-116"/>
    <s v="Cancelación Vigilancia, mes de Septiembre 2017"/>
    <x v="0"/>
    <m/>
    <s v="00560"/>
    <s v="15 de septiembre de 2017"/>
    <n v="15"/>
    <x v="10"/>
    <s v="0,35"/>
    <e v="#NAME?"/>
  </r>
  <r>
    <n v="561"/>
    <m/>
    <x v="0"/>
    <d v="2017-09-15T00:00:00"/>
    <n v="0.17"/>
    <s v="Familia Rodríguez Landaeta"/>
    <s v="mrl58@hotmail.com"/>
    <s v="Calle Güigüe Nro. 89-29"/>
    <s v="Colaboración Vigilancia, mes de Septiembre 2017"/>
    <x v="0"/>
    <m/>
    <s v="00561"/>
    <s v="15 de septiembre de 2017"/>
    <n v="15"/>
    <x v="10"/>
    <s v="0,17"/>
    <e v="#NAME?"/>
  </r>
  <r>
    <n v="562"/>
    <m/>
    <x v="0"/>
    <d v="2017-09-15T00:00:00"/>
    <n v="0.35"/>
    <s v="Familia Sayago Peñaranda"/>
    <s v="alexissayago@gmail.com"/>
    <s v="Calle Güigüe Nro. 89-04"/>
    <s v="Cancelación Vigilancia, mes de Septiembre 2017"/>
    <x v="0"/>
    <m/>
    <s v="00562"/>
    <s v="15 de septiembre de 2017"/>
    <n v="15"/>
    <x v="10"/>
    <s v="0,35"/>
    <e v="#NAME?"/>
  </r>
  <r>
    <n v="563"/>
    <m/>
    <x v="0"/>
    <d v="2017-09-16T00:00:00"/>
    <n v="0.2"/>
    <s v="Familia Kablan Sarmiento"/>
    <s v="norisjsb56@hotmail.com"/>
    <s v="Calle Güigüe Nro. 89-80"/>
    <s v="Colaboración Vigilancia, mes de Septiembre 2017"/>
    <x v="0"/>
    <m/>
    <s v="00563"/>
    <s v="16 de septiembre de 2017"/>
    <n v="16"/>
    <x v="10"/>
    <s v="0,20"/>
    <e v="#NAME?"/>
  </r>
  <r>
    <n v="564"/>
    <m/>
    <x v="0"/>
    <d v="2017-09-18T00:00:00"/>
    <n v="0.35"/>
    <s v="Familia Nava Gordon"/>
    <s v="maru_19_66@hotmail.com"/>
    <s v="Calle Guacara Nro. 89-78"/>
    <s v="Cancelación Vigilancia, mes de Agosto 2017"/>
    <x v="0"/>
    <m/>
    <s v="00564"/>
    <s v="18 de septiembre de 2017"/>
    <n v="18"/>
    <x v="10"/>
    <s v="0,35"/>
    <e v="#NAME?"/>
  </r>
  <r>
    <n v="565"/>
    <m/>
    <x v="0"/>
    <d v="2017-09-18T00:00:00"/>
    <n v="0.35"/>
    <s v="Familia Lomeña Agudo"/>
    <s v="claudialomena@hotmail.com"/>
    <s v="Calle Guacara Nro. 89-30"/>
    <s v="Cancelación Vigilancia, mes de Septiembre 2017"/>
    <x v="0"/>
    <m/>
    <s v="00565"/>
    <s v="18 de septiembre de 2017"/>
    <n v="18"/>
    <x v="10"/>
    <s v="0,35"/>
    <e v="#NAME?"/>
  </r>
  <r>
    <n v="566"/>
    <m/>
    <x v="0"/>
    <d v="2017-09-18T00:00:00"/>
    <n v="0.2"/>
    <s v="Familia Zavarce Barón"/>
    <s v="0414-241.8055"/>
    <s v="Calle Guacara Nro. 88-91"/>
    <s v="Colaboración Vigilancia, meses de Julio y Agosto 2017"/>
    <x v="0"/>
    <m/>
    <s v="00566"/>
    <s v="18 de septiembre de 2017"/>
    <n v="18"/>
    <x v="10"/>
    <s v="0,20"/>
    <e v="#NAME?"/>
  </r>
  <r>
    <n v="567"/>
    <m/>
    <x v="0"/>
    <d v="2017-09-18T00:00:00"/>
    <n v="0.35"/>
    <s v="Familia Fermín Rivas"/>
    <s v="angelferminb@gmail.com"/>
    <s v="Calle Güigüe Nro. 89-55"/>
    <s v="Cancelación Vigilancia, mes de Septiembre 2017, transferencia y contra factura"/>
    <x v="0"/>
    <m/>
    <s v="00567"/>
    <s v="18 de septiembre de 2017"/>
    <n v="18"/>
    <x v="10"/>
    <s v="0,35"/>
    <e v="#NAME?"/>
  </r>
  <r>
    <n v="568"/>
    <m/>
    <x v="0"/>
    <d v="2017-09-19T00:00:00"/>
    <n v="0.35"/>
    <s v="Familia Loponte Arteaga"/>
    <s v="nancyloponte@hotmail.com"/>
    <s v="Calle Güigüe Nro. 88-120"/>
    <s v="Cancelación Vigilancia, mes de Septiembre 2017"/>
    <x v="0"/>
    <m/>
    <s v="00568"/>
    <s v="19 de septiembre de 2017"/>
    <n v="19"/>
    <x v="10"/>
    <s v="0,35"/>
    <e v="#NAME?"/>
  </r>
  <r>
    <n v="569"/>
    <m/>
    <x v="0"/>
    <d v="2017-09-19T00:00:00"/>
    <n v="0.35"/>
    <s v="Familia Castillo Mena"/>
    <s v="emmecas@hotmail.com"/>
    <s v="Calle Güigüe Nro. 88-101"/>
    <s v="Cancelación Vigilancia, mes de Septiembre 2017"/>
    <x v="0"/>
    <m/>
    <s v="00569"/>
    <s v="19 de septiembre de 2017"/>
    <n v="19"/>
    <x v="10"/>
    <s v="0,35"/>
    <e v="#NAME?"/>
  </r>
  <r>
    <n v="570"/>
    <m/>
    <x v="0"/>
    <d v="2017-09-19T00:00:00"/>
    <n v="0.7"/>
    <s v="Familia Piñero Padilla"/>
    <s v="achepaul2005@hotmail.com"/>
    <s v="Calle Güigüe Nro. 89-21"/>
    <s v="Cancelación Vigilancia, meses de Julio y Agosto 2017"/>
    <x v="0"/>
    <m/>
    <s v="00570"/>
    <s v="19 de septiembre de 2017"/>
    <n v="19"/>
    <x v="10"/>
    <s v="0,70"/>
    <e v="#NAME?"/>
  </r>
  <r>
    <n v="571"/>
    <m/>
    <x v="0"/>
    <d v="2017-09-20T00:00:00"/>
    <n v="0.35"/>
    <s v="Amarilis Guerra"/>
    <s v="amarilisguerra1@yahoo.com"/>
    <s v="Calle Güigüe Nro. 89-96"/>
    <s v="Cancelación Vigilancia, mes de Septiembre 2017"/>
    <x v="0"/>
    <m/>
    <s v="00571"/>
    <s v="20 de septiembre de 2017"/>
    <n v="20"/>
    <x v="10"/>
    <s v="0,35"/>
    <e v="#NAME?"/>
  </r>
  <r>
    <n v="572"/>
    <m/>
    <x v="0"/>
    <d v="2017-09-20T00:00:00"/>
    <n v="0.35"/>
    <s v="Familia Montilla García"/>
    <s v="dairy252525@hotmail.com"/>
    <s v="Calle Güigüe Nro. 89-90"/>
    <s v="Cancelación Vigilancia, mes de Septiembre 2017"/>
    <x v="0"/>
    <m/>
    <s v="00572"/>
    <s v="20 de septiembre de 2017"/>
    <n v="20"/>
    <x v="10"/>
    <s v="0,35"/>
    <e v="#NAME?"/>
  </r>
  <r>
    <n v="573"/>
    <m/>
    <x v="0"/>
    <d v="2017-09-20T00:00:00"/>
    <n v="0.35"/>
    <s v="Familia Jiménez Navarro"/>
    <s v="joyasonline2012@gmail.com"/>
    <s v="Calle Güigüe Nro. 88-50"/>
    <s v="Cancelación Vigilancia, mes de Agosto 2017"/>
    <x v="0"/>
    <m/>
    <s v="00573"/>
    <s v="20 de septiembre de 2017"/>
    <n v="20"/>
    <x v="10"/>
    <s v="0,35"/>
    <e v="#NAME?"/>
  </r>
  <r>
    <n v="574"/>
    <m/>
    <x v="0"/>
    <d v="2017-09-21T00:00:00"/>
    <n v="0.35"/>
    <s v="Familia Del Negro Palermo"/>
    <s v="vdelnegro@gmail.com"/>
    <s v="Calle Guacara Nro. 88-45"/>
    <s v="Anticipo Vigilancia (saldo a favor: Bs. 105.000)"/>
    <x v="1"/>
    <m/>
    <s v="00574"/>
    <s v="21 de septiembre de 2017"/>
    <n v="21"/>
    <x v="10"/>
    <s v="0,35"/>
    <e v="#NAME?"/>
  </r>
  <r>
    <n v="575"/>
    <m/>
    <x v="0"/>
    <d v="2017-09-21T00:00:00"/>
    <n v="0.1"/>
    <s v="Familia Rivero"/>
    <s v="En Físico"/>
    <s v="Calle Güigüe Nro. 88-40"/>
    <s v="Colaboración Vigilancia, mes de Agosto 2017"/>
    <x v="0"/>
    <m/>
    <s v="00575"/>
    <s v="21 de septiembre de 2017"/>
    <n v="21"/>
    <x v="10"/>
    <s v="0,10"/>
    <e v="#NAME?"/>
  </r>
  <r>
    <n v="576"/>
    <m/>
    <x v="0"/>
    <d v="2017-09-21T00:00:00"/>
    <n v="0.35"/>
    <s v="Familia Il Grande Franceschi"/>
    <s v="arcifran75@hotmail.com"/>
    <s v="Av. &quot;I&quot; Nro. 146-40"/>
    <s v="Cancelación saldo Vigilancia, mes de Agosto 2017 y anticipo mes de Septiembre 2017 (Bs. 1.000)"/>
    <x v="0"/>
    <m/>
    <s v="00576"/>
    <s v="21 de septiembre de 2017"/>
    <n v="21"/>
    <x v="10"/>
    <s v="0,35"/>
    <e v="#NAME?"/>
  </r>
  <r>
    <n v="577"/>
    <m/>
    <x v="0"/>
    <d v="2017-09-21T00:00:00"/>
    <n v="0.25"/>
    <s v="Familia Machado Stoppa"/>
    <s v="machadoru@hotmail.com"/>
    <s v="Calle Guacara Nro. 88-85"/>
    <s v="Colaboración Vigilancia, mes de Julio 2017"/>
    <x v="0"/>
    <m/>
    <s v="00577"/>
    <s v="21 de septiembre de 2017"/>
    <n v="21"/>
    <x v="10"/>
    <s v="0,25"/>
    <e v="#NAME?"/>
  </r>
  <r>
    <n v="578"/>
    <m/>
    <x v="0"/>
    <d v="2017-09-21T00:00:00"/>
    <n v="0.3"/>
    <s v="Familia Machado Stoppa"/>
    <s v="machadoru@hotmail.com"/>
    <s v="Calle Guacara Nro. 88-85"/>
    <s v="Colaboración Vigilancia, mes de Agosto 2017"/>
    <x v="0"/>
    <m/>
    <s v="00578"/>
    <s v="21 de septiembre de 2017"/>
    <n v="21"/>
    <x v="10"/>
    <s v="0,30"/>
    <e v="#NAME?"/>
  </r>
  <r>
    <n v="579"/>
    <m/>
    <x v="0"/>
    <d v="2017-09-22T00:00:00"/>
    <n v="0.35"/>
    <s v="Familia Zavarce Pérez"/>
    <s v="En Físico"/>
    <s v="Calle Guacara Nro. 90-35"/>
    <s v="Cancelación Vigilancia, mes de Septiembre 2017"/>
    <x v="0"/>
    <m/>
    <s v="00579"/>
    <s v="22 de septiembre de 2017"/>
    <n v="22"/>
    <x v="10"/>
    <s v="0,35"/>
    <e v="#NAME?"/>
  </r>
  <r>
    <n v="580"/>
    <m/>
    <x v="0"/>
    <d v="2017-09-23T00:00:00"/>
    <n v="0.21"/>
    <s v="Familia Chávez Hernández"/>
    <s v="mercedesch23@hotmail.com"/>
    <s v="Calle Güigüe Nro. 88-20"/>
    <s v="Colaboración Vigilancia, meses de Abril a Octubre 2017"/>
    <x v="0"/>
    <m/>
    <s v="00580"/>
    <s v="23 de septiembre de 2017"/>
    <n v="23"/>
    <x v="10"/>
    <s v="0,21"/>
    <e v="#NAME?"/>
  </r>
  <r>
    <n v="581"/>
    <m/>
    <x v="0"/>
    <d v="2017-09-25T00:00:00"/>
    <n v="0.4"/>
    <s v="La Casita Encantada"/>
    <s v="En Físico"/>
    <s v="Av. &quot;M&quot; Nro. 146-30"/>
    <s v="Cancelación Vigilancia, mes de Septiembre 2017"/>
    <x v="0"/>
    <m/>
    <s v="00581"/>
    <s v="25 de septiembre de 2017"/>
    <n v="25"/>
    <x v="10"/>
    <s v="0,40"/>
    <e v="#NAME?"/>
  </r>
  <r>
    <n v="582"/>
    <m/>
    <x v="0"/>
    <d v="2017-09-25T00:00:00"/>
    <n v="0.35"/>
    <s v="Familia Hurtado"/>
    <s v="En Físico"/>
    <s v="Av. &quot;O&quot; Nro. 146-11"/>
    <s v="Cancelación Vigilancia, mes de Agosto 2017"/>
    <x v="0"/>
    <m/>
    <s v="00582"/>
    <s v="25 de septiembre de 2017"/>
    <n v="25"/>
    <x v="10"/>
    <s v="0,35"/>
    <e v="#NAME?"/>
  </r>
  <r>
    <n v="583"/>
    <m/>
    <x v="0"/>
    <d v="2017-09-25T00:00:00"/>
    <n v="0.35"/>
    <s v="Familia Delgado Hidalgo"/>
    <s v="ardh@hotmail.com"/>
    <s v="Calle Güigüe Nro. 88-10"/>
    <s v="Cancelación Vigilancia, mes de Agosto 2017"/>
    <x v="0"/>
    <m/>
    <s v="00583"/>
    <s v="25 de septiembre de 2017"/>
    <n v="25"/>
    <x v="10"/>
    <s v="0,35"/>
    <e v="#NAME?"/>
  </r>
  <r>
    <n v="584"/>
    <m/>
    <x v="0"/>
    <d v="2017-09-26T00:00:00"/>
    <n v="0.35"/>
    <s v="Familia Jiménez Salvatierra"/>
    <s v="0414-582.8909"/>
    <s v="Calle Güigüe Nro. 89-45"/>
    <s v="Cancelación Vigilancia, mes de Septiembre 2017"/>
    <x v="0"/>
    <m/>
    <s v="00584"/>
    <s v="26 de septiembre de 2017"/>
    <n v="26"/>
    <x v="10"/>
    <s v="0,35"/>
    <e v="#NAME?"/>
  </r>
  <r>
    <n v="585"/>
    <m/>
    <x v="0"/>
    <d v="2017-09-29T00:00:00"/>
    <n v="0.35"/>
    <s v="Familia Barreto Pérez"/>
    <s v="bbetsa19@hotmail.com"/>
    <s v="Av. &quot;M&quot; Nro. 146-15"/>
    <s v="Cancelación Vigilancia, mes de Septiembre 2017"/>
    <x v="0"/>
    <m/>
    <s v="00585"/>
    <s v="29 de septiembre de 2017"/>
    <n v="29"/>
    <x v="10"/>
    <s v="0,35"/>
    <e v="#NAME?"/>
  </r>
  <r>
    <n v="586"/>
    <m/>
    <x v="0"/>
    <d v="2017-10-02T00:00:00"/>
    <n v="0.35"/>
    <s v="Familia Guerra Miret"/>
    <s v="antoniojguerrag@hotmail.com"/>
    <s v="Calle Güigüe Nro. 89-40"/>
    <s v="Cancelación Vigilancia, mes de Septiembre 2017"/>
    <x v="0"/>
    <m/>
    <s v="00586"/>
    <s v="02 de octubre de 2017"/>
    <n v="2"/>
    <x v="11"/>
    <s v="0,35"/>
    <e v="#NAME?"/>
  </r>
  <r>
    <n v="587"/>
    <m/>
    <x v="0"/>
    <d v="2017-10-02T00:00:00"/>
    <n v="0.35"/>
    <s v="Familia Fernández Parés"/>
    <s v="vultecca@gmail.com"/>
    <s v="Calle Guacara Nro. 88-75"/>
    <s v="Cancelación saldo Vigilancia, mes de Agosto 2017, y anticipo del mes de Septiembre 2017"/>
    <x v="0"/>
    <m/>
    <s v="00587"/>
    <s v="02 de octubre de 2017"/>
    <n v="2"/>
    <x v="11"/>
    <s v="0,35"/>
    <e v="#NAME?"/>
  </r>
  <r>
    <n v="588"/>
    <m/>
    <x v="0"/>
    <d v="2017-10-03T00:00:00"/>
    <n v="0.35"/>
    <s v="Familia Durvelle Serrano"/>
    <s v="sdurvelle@hotmail.com"/>
    <s v="Calle Guacara Nro. 89-60"/>
    <s v="Cancelación Vigilancia, mes de Octubre 2017"/>
    <x v="0"/>
    <m/>
    <s v="00588"/>
    <s v="03 de octubre de 2017"/>
    <n v="3"/>
    <x v="11"/>
    <s v="0,35"/>
    <e v="#NAME?"/>
  </r>
  <r>
    <n v="589"/>
    <m/>
    <x v="0"/>
    <d v="2017-10-03T00:00:00"/>
    <n v="0.22"/>
    <s v="Sra. Reina Meléndez"/>
    <s v="olgajipe@gmail.com"/>
    <s v="Av. &quot;M&quot; Nro. 145-10"/>
    <s v="Cancelación saldo Vigilancia, mes de Julio 2017"/>
    <x v="0"/>
    <m/>
    <s v="00589"/>
    <s v="03 de octubre de 2017"/>
    <n v="3"/>
    <x v="11"/>
    <s v="0,22"/>
    <e v="#NAME?"/>
  </r>
  <r>
    <n v="590"/>
    <m/>
    <x v="0"/>
    <d v="2017-10-03T00:00:00"/>
    <n v="0.35"/>
    <s v="Sra. Reina Meléndez"/>
    <s v="olgajipe@gmail.com"/>
    <s v="Av. &quot;M&quot; Nro. 145-10"/>
    <s v="Cancelación Vigilancia, mes de Agosto 2017"/>
    <x v="0"/>
    <m/>
    <s v="00590"/>
    <s v="03 de octubre de 2017"/>
    <n v="3"/>
    <x v="11"/>
    <s v="0,35"/>
    <e v="#NAME?"/>
  </r>
  <r>
    <n v="591"/>
    <m/>
    <x v="0"/>
    <d v="2017-10-03T00:00:00"/>
    <n v="0.2"/>
    <s v="Victoria Francischiello"/>
    <s v="victoriafrancischiello@hotmail.com"/>
    <s v="Calle Guacara Nro. 88-25"/>
    <s v="Colaboración Vigilancia, mes de Septiembre 2017"/>
    <x v="0"/>
    <m/>
    <s v="00591"/>
    <s v="03 de octubre de 2017"/>
    <n v="3"/>
    <x v="11"/>
    <s v="0,20"/>
    <e v="#NAME?"/>
  </r>
  <r>
    <n v="592"/>
    <m/>
    <x v="0"/>
    <d v="2017-10-03T00:00:00"/>
    <n v="0.7"/>
    <s v="Familia Scabuzzo Gómez"/>
    <s v="sfscabuzzo@msn.com"/>
    <s v="Av. &quot;I&quot; Nro. 146-20"/>
    <s v="Cancelación Vigilancia, meses de Septiembre y Octubre 2017"/>
    <x v="0"/>
    <m/>
    <s v="00592"/>
    <s v="03 de octubre de 2017"/>
    <n v="3"/>
    <x v="11"/>
    <s v="0,70"/>
    <e v="#NAME?"/>
  </r>
  <r>
    <n v="593"/>
    <m/>
    <x v="0"/>
    <d v="2017-10-04T00:00:00"/>
    <n v="0.15"/>
    <s v="Chin Chun Ya (Goya)"/>
    <s v="uc2721@gmail.com"/>
    <s v="Calle Guacara Nro. 87-86"/>
    <s v="Colaboración Vigilancia, mes de Octubre 2017"/>
    <x v="0"/>
    <m/>
    <s v="00593"/>
    <s v="04 de octubre de 2017"/>
    <n v="4"/>
    <x v="11"/>
    <s v="0,15"/>
    <e v="#NAME?"/>
  </r>
  <r>
    <n v="594"/>
    <m/>
    <x v="0"/>
    <d v="2017-10-04T00:00:00"/>
    <n v="0.35"/>
    <s v="Familia Ferrer Bahri"/>
    <s v="bahrimariela@hotmail.com"/>
    <s v="Calle Güigüe Nro. 89-83"/>
    <s v="Cancelación Vigilancia, mes de Octubre 2017"/>
    <x v="0"/>
    <m/>
    <s v="00594"/>
    <s v="04 de octubre de 2017"/>
    <n v="4"/>
    <x v="11"/>
    <s v="0,35"/>
    <e v="#NAME?"/>
  </r>
  <r>
    <n v="595"/>
    <m/>
    <x v="0"/>
    <d v="2017-10-04T00:00:00"/>
    <n v="0.7"/>
    <s v="Ana de González"/>
    <s v="mikelnowak25@gmail.com"/>
    <s v="Av. &quot;O&quot; Nro. 146-17"/>
    <s v="Cancelación Vigilancia, meses de Agosto y Septiembre 2017"/>
    <x v="0"/>
    <m/>
    <s v="00595"/>
    <s v="04 de octubre de 2017"/>
    <n v="4"/>
    <x v="11"/>
    <s v="0,70"/>
    <e v="#NAME?"/>
  </r>
  <r>
    <n v="596"/>
    <m/>
    <x v="0"/>
    <d v="2017-10-04T00:00:00"/>
    <n v="0.35"/>
    <s v="Familia Arcia Polanco"/>
    <s v="misipo29@gmail.com"/>
    <s v="Calle Guacara Nro. 89-20"/>
    <s v="Cancelación Vigilancia, mes de Octubre 2017"/>
    <x v="0"/>
    <m/>
    <s v="00596"/>
    <s v="04 de octubre de 2017"/>
    <n v="4"/>
    <x v="11"/>
    <s v="0,35"/>
    <e v="#NAME?"/>
  </r>
  <r>
    <n v="597"/>
    <m/>
    <x v="0"/>
    <d v="2017-10-04T00:00:00"/>
    <n v="0.25"/>
    <s v="Héctor Hernández"/>
    <s v="eof64@hotmail.com"/>
    <s v="Calle Guacara Nro. 89-94"/>
    <s v="Colaboración Vigilancia, mes de Octubre 2017"/>
    <x v="0"/>
    <m/>
    <s v="00597"/>
    <s v="04 de octubre de 2017"/>
    <n v="4"/>
    <x v="11"/>
    <s v="0,25"/>
    <e v="#NAME?"/>
  </r>
  <r>
    <n v="598"/>
    <m/>
    <x v="0"/>
    <d v="2017-10-05T00:00:00"/>
    <n v="0.35"/>
    <s v="Familia Del Negro Palermo"/>
    <s v="vdelnegro@gmail.com"/>
    <s v="Calle Guacara Nro. 88-45"/>
    <s v="Cancelación Vigilancia, mes de Octubre 2017 (saldo a favor: Bs. 70.000)"/>
    <x v="0"/>
    <m/>
    <s v="00598"/>
    <s v="05 de octubre de 2017"/>
    <n v="5"/>
    <x v="11"/>
    <s v="0,35"/>
    <e v="#NAME?"/>
  </r>
  <r>
    <n v="599"/>
    <m/>
    <x v="0"/>
    <d v="2017-10-05T00:00:00"/>
    <n v="0.35"/>
    <s v="Ely Saúl Rivero Gómez"/>
    <s v="hhs.admon@gmail.com"/>
    <s v="Av. &quot;Ñ&quot; Nro. 145-25"/>
    <s v="Cancelación Vigilancia, mes de Octubre 2017 (saldo a favor: Bs. 9.000)"/>
    <x v="0"/>
    <m/>
    <s v="00599"/>
    <s v="05 de octubre de 2017"/>
    <n v="5"/>
    <x v="11"/>
    <s v="0,35"/>
    <e v="#NAME?"/>
  </r>
  <r>
    <n v="600"/>
    <m/>
    <x v="0"/>
    <d v="2017-09-20T00:00:00"/>
    <n v="0.1"/>
    <s v="Ma. de Jesus Alonso"/>
    <s v="marjoriealonsoh@hotmail.com"/>
    <s v="Calle Güigüe Nro. 88-30"/>
    <s v="Colaboración Vigilancia, mes de Septiembre 2017"/>
    <x v="0"/>
    <m/>
    <s v="00600"/>
    <s v="20 de septiembre de 2017"/>
    <n v="20"/>
    <x v="10"/>
    <s v="0,10"/>
    <e v="#NAME?"/>
  </r>
  <r>
    <n v="601"/>
    <m/>
    <x v="0"/>
    <d v="2017-10-05T00:00:00"/>
    <n v="0.1"/>
    <s v="Ma. de Jesus Alonso"/>
    <s v="marjoriealonsoh@hotmail.com"/>
    <s v="Calle Güigüe Nro. 88-30"/>
    <s v="Colaboración Vigilancia, mes de Octubre 2017"/>
    <x v="0"/>
    <m/>
    <s v="00601"/>
    <s v="05 de octubre de 2017"/>
    <n v="5"/>
    <x v="11"/>
    <s v="0,10"/>
    <e v="#NAME?"/>
  </r>
  <r>
    <n v="602"/>
    <m/>
    <x v="0"/>
    <d v="2017-10-06T00:00:00"/>
    <n v="0.1"/>
    <s v="Familia Sirit Palencia"/>
    <s v="irasirit@gmail.com"/>
    <s v="Calle Güigüe Nro. 89-35"/>
    <s v="Colaboración Vigilancia, mes de Septiembre 2017"/>
    <x v="0"/>
    <m/>
    <s v="00602"/>
    <s v="06 de octubre de 2017"/>
    <n v="6"/>
    <x v="11"/>
    <s v="0,10"/>
    <e v="#NAME?"/>
  </r>
  <r>
    <n v="603"/>
    <m/>
    <x v="0"/>
    <d v="2017-10-06T00:00:00"/>
    <n v="0.35"/>
    <s v="Familia Navarro Assing"/>
    <s v="liliaassing@gmail.com"/>
    <s v="Calle Güigüe Nro. 88-54"/>
    <s v="Cancelación Vigilancia, mes de Septiembre 2017"/>
    <x v="0"/>
    <m/>
    <s v="00603"/>
    <s v="06 de octubre de 2017"/>
    <n v="6"/>
    <x v="11"/>
    <s v="0,35"/>
    <e v="#NAME?"/>
  </r>
  <r>
    <n v="604"/>
    <m/>
    <x v="0"/>
    <d v="2017-10-06T00:00:00"/>
    <n v="0.54"/>
    <s v="Colegio El Trigal"/>
    <s v="En Físico"/>
    <s v="Calle Güigüe Nros. 88-71 y 88-81"/>
    <s v="Cancelación Vigilancia, mes de Octubre 2017"/>
    <x v="0"/>
    <m/>
    <s v="00604"/>
    <s v="06 de octubre de 2017"/>
    <n v="6"/>
    <x v="11"/>
    <s v="0,54"/>
    <e v="#NAME?"/>
  </r>
  <r>
    <n v="605"/>
    <m/>
    <x v="1"/>
    <d v="2017-10-09T00:00:00"/>
    <n v="1.56"/>
    <s v="Ely Saúl Rivero Gómez"/>
    <s v="hhs.admon@gmail.com"/>
    <s v="Av. &quot;Ñ&quot; Nro. 145-25"/>
    <s v="Anticipo Vigilancia (saldo a favor: Bs. 165.000)"/>
    <x v="1"/>
    <m/>
    <s v="00605"/>
    <s v="09 de octubre de 2017"/>
    <n v="9"/>
    <x v="11"/>
    <s v="1,56"/>
    <e v="#NAME?"/>
  </r>
  <r>
    <n v="606"/>
    <m/>
    <x v="0"/>
    <d v="2017-10-10T00:00:00"/>
    <n v="0.35"/>
    <s v="Familia Colosso Delgado"/>
    <s v="mcolosso@gmail.com"/>
    <s v="Calle Güigüe Nro. 88-44"/>
    <s v="Cancelación Vigilancia, mes de Octubre 2017"/>
    <x v="0"/>
    <m/>
    <s v="00606"/>
    <s v="10 de octubre de 2017"/>
    <n v="10"/>
    <x v="11"/>
    <s v="0,35"/>
    <e v="#NAME?"/>
  </r>
  <r>
    <n v="607"/>
    <m/>
    <x v="0"/>
    <d v="2017-10-11T00:00:00"/>
    <n v="0.35"/>
    <s v="Familia Puerta Burguillos"/>
    <s v="namaricakes@gmail.com"/>
    <s v="Calle Guacara Nro. 87-100"/>
    <s v="Cancelación Vigilancia, mes de Octubre 2017"/>
    <x v="0"/>
    <m/>
    <s v="00607"/>
    <s v="11 de octubre de 2017"/>
    <n v="11"/>
    <x v="11"/>
    <s v="0,35"/>
    <e v="#NAME?"/>
  </r>
  <r>
    <n v="608"/>
    <m/>
    <x v="0"/>
    <d v="2017-10-11T00:00:00"/>
    <n v="0.05"/>
    <s v="Familia Flores Montagne"/>
    <s v="namaricakes@gmail.com"/>
    <s v="Av. &quot;M&quot; Nro. 146-20"/>
    <s v="Colaboración Vigilancia, mes de Octubre 2017"/>
    <x v="0"/>
    <m/>
    <s v="00608"/>
    <s v="11 de octubre de 2017"/>
    <n v="11"/>
    <x v="11"/>
    <s v="0,05"/>
    <e v="#NAME?"/>
  </r>
  <r>
    <n v="609"/>
    <m/>
    <x v="0"/>
    <d v="2017-10-11T00:00:00"/>
    <n v="0.35"/>
    <s v="Beatriz Lara"/>
    <s v="valentina.gutierrez@hotmail.com"/>
    <s v="Calle Guacara Nro. 89-130"/>
    <s v="Cancelación Vigilancia, mes de Octubre 2017"/>
    <x v="0"/>
    <m/>
    <s v="00609"/>
    <s v="11 de octubre de 2017"/>
    <n v="11"/>
    <x v="11"/>
    <s v="0,35"/>
    <e v="#NAME?"/>
  </r>
  <r>
    <n v="610"/>
    <m/>
    <x v="0"/>
    <d v="2017-10-11T00:00:00"/>
    <n v="0.35"/>
    <s v="Familia Fernández Parés"/>
    <s v="vultecca@gmail.com"/>
    <s v="Calle Guacara Nro. 88-75"/>
    <s v="Cancelación saldo Vigilancia, mes de Septiembre 2017, y anticipo del mes de Octubre 2017"/>
    <x v="0"/>
    <m/>
    <s v="00610"/>
    <s v="11 de octubre de 2017"/>
    <n v="11"/>
    <x v="11"/>
    <s v="0,35"/>
    <e v="#NAME?"/>
  </r>
  <r>
    <n v="611"/>
    <m/>
    <x v="0"/>
    <d v="2017-10-12T00:00:00"/>
    <n v="0.7"/>
    <s v="Anahiz Seijas"/>
    <s v="anahiz_2@hotmail.es"/>
    <s v="Calle Güigüe Nro. 89-106"/>
    <s v="Cancelación Vigilancia, meses de Septiembre y Octubre 2017"/>
    <x v="0"/>
    <m/>
    <s v="00611"/>
    <s v="12 de octubre de 2017"/>
    <n v="12"/>
    <x v="11"/>
    <s v="0,70"/>
    <e v="#NAME?"/>
  </r>
  <r>
    <n v="612"/>
    <m/>
    <x v="0"/>
    <d v="2017-10-15T00:00:00"/>
    <n v="0.35"/>
    <s v="Familia Castillo Mena"/>
    <s v="emmecas@hotmail.com"/>
    <s v="Calle Güigüe Nro. 88-101"/>
    <s v="Cancelación Vigilancia, mes de Octubre 2017"/>
    <x v="0"/>
    <m/>
    <s v="00612"/>
    <s v="15 de octubre de 2017"/>
    <n v="15"/>
    <x v="11"/>
    <s v="0,35"/>
    <e v="#NAME?"/>
  </r>
  <r>
    <n v="613"/>
    <m/>
    <x v="0"/>
    <d v="2017-10-15T00:00:00"/>
    <n v="0.35"/>
    <s v="Familia Montilla García"/>
    <s v="dairy252525@hotmail.com"/>
    <s v="Calle Güigüe Nro. 89-90"/>
    <s v="Cancelación Vigilancia, mes de Octubre 2017"/>
    <x v="0"/>
    <m/>
    <s v="00613"/>
    <s v="15 de octubre de 2017"/>
    <n v="15"/>
    <x v="11"/>
    <s v="0,35"/>
    <e v="#NAME?"/>
  </r>
  <r>
    <n v="614"/>
    <m/>
    <x v="0"/>
    <d v="2017-10-14T00:00:00"/>
    <n v="0.35"/>
    <s v="Familia Fermín Rivas"/>
    <s v="angelferminb@gmail.com"/>
    <s v="Calle Güigüe Nro. 89-55"/>
    <s v="Cancelación Vigilancia, mes de Octubre 2017, transferencia y Bs. 7.868 contra factura"/>
    <x v="0"/>
    <m/>
    <s v="00614"/>
    <s v="14 de octubre de 2017"/>
    <n v="14"/>
    <x v="11"/>
    <s v="0,35"/>
    <e v="#NAME?"/>
  </r>
  <r>
    <n v="615"/>
    <m/>
    <x v="0"/>
    <d v="2017-10-16T00:00:00"/>
    <n v="0.35"/>
    <s v="Familia Sayago Peñaranda"/>
    <s v="alexissayago@gmail.com"/>
    <s v="Calle Güigüe Nro. 89-04"/>
    <s v="Cancelación Vigilancia, mes de Octubre 2017, transferencia y Bs. 12.000 contra factura"/>
    <x v="0"/>
    <m/>
    <s v="00615"/>
    <s v="16 de octubre de 2017"/>
    <n v="16"/>
    <x v="11"/>
    <s v="0,35"/>
    <e v="#NAME?"/>
  </r>
  <r>
    <n v="616"/>
    <m/>
    <x v="0"/>
    <d v="2017-10-16T00:00:00"/>
    <n v="0.35"/>
    <s v="Familia Milanés Carmona"/>
    <s v="yndira11m@gmail.com"/>
    <s v="Calle Güigüe Nro. 89-65"/>
    <s v="Cancelación Vigilancia, mes de Septiembre 2017"/>
    <x v="0"/>
    <m/>
    <s v="00616"/>
    <s v="16 de octubre de 2017"/>
    <n v="16"/>
    <x v="11"/>
    <s v="0,35"/>
    <e v="#NAME?"/>
  </r>
  <r>
    <n v="617"/>
    <m/>
    <x v="0"/>
    <d v="2017-10-16T00:00:00"/>
    <n v="0.15"/>
    <s v="Familia Rodríguez Landaeta"/>
    <s v="mrl58@hotmail.com"/>
    <s v="Calle Güigüe Nro. 89-29"/>
    <s v="Colaboración Vigilancia, mes de Octubre 2017"/>
    <x v="0"/>
    <m/>
    <s v="00617"/>
    <s v="16 de octubre de 2017"/>
    <n v="16"/>
    <x v="11"/>
    <s v="0,15"/>
    <e v="#NAME?"/>
  </r>
  <r>
    <n v="618"/>
    <m/>
    <x v="0"/>
    <d v="2017-10-16T00:00:00"/>
    <n v="0.2"/>
    <s v="Familia Rodríguez Aular"/>
    <s v="mvaular@hotmail.com"/>
    <s v="Calle Güigüe Nro. 88-58"/>
    <s v="Colaboración Vigilancia, mes de Octubre 2017"/>
    <x v="0"/>
    <m/>
    <s v="00618"/>
    <s v="16 de octubre de 2017"/>
    <n v="16"/>
    <x v="11"/>
    <s v="0,20"/>
    <e v="#NAME?"/>
  </r>
  <r>
    <n v="619"/>
    <m/>
    <x v="0"/>
    <d v="2017-10-18T00:00:00"/>
    <n v="0.2"/>
    <s v="Familia Rodríguez Aular"/>
    <s v="mvaular@hotmail.com"/>
    <s v="Calle Güigüe Nro. 88-58"/>
    <s v="Colaboración Vigilancia, mes de Septiembre 2017"/>
    <x v="0"/>
    <m/>
    <s v="00619"/>
    <s v="18 de octubre de 2017"/>
    <n v="18"/>
    <x v="11"/>
    <s v="0,20"/>
    <e v="#NAME?"/>
  </r>
  <r>
    <n v="620"/>
    <m/>
    <x v="0"/>
    <d v="2017-10-18T00:00:00"/>
    <n v="0.35"/>
    <s v="Familia Acosta Carpio"/>
    <s v="pablo962@hotmail.com"/>
    <s v="Calle Güigüe Nro. 89-10"/>
    <s v="Cancelación Vigilancia, mes de Septiembre 2017"/>
    <x v="0"/>
    <m/>
    <s v="00620"/>
    <s v="18 de octubre de 2017"/>
    <n v="18"/>
    <x v="11"/>
    <s v="0,35"/>
    <e v="#NAME?"/>
  </r>
  <r>
    <n v="621"/>
    <m/>
    <x v="0"/>
    <d v="2017-10-19T00:00:00"/>
    <n v="0.35"/>
    <s v="Familia Díaz González"/>
    <s v="luisrdt57@gmail.com"/>
    <s v="Calle Güigüe Nro. 88-116"/>
    <s v="Cancelación Vigilancia, mes de Octubre 2017"/>
    <x v="0"/>
    <m/>
    <s v="00621"/>
    <s v="19 de octubre de 2017"/>
    <n v="19"/>
    <x v="11"/>
    <s v="0,35"/>
    <e v="#NAME?"/>
  </r>
  <r>
    <n v="622"/>
    <m/>
    <x v="0"/>
    <d v="2017-10-20T00:00:00"/>
    <n v="0.4"/>
    <s v="La Casita Encantada"/>
    <s v="En Físico"/>
    <s v="Av. &quot;M&quot; Nro. 146-30"/>
    <s v="Cancelación Vigilancia, mes de Octubre 2017"/>
    <x v="0"/>
    <m/>
    <s v="00622"/>
    <s v="20 de octubre de 2017"/>
    <n v="20"/>
    <x v="11"/>
    <s v="0,40"/>
    <e v="#NAME?"/>
  </r>
  <r>
    <n v="623"/>
    <m/>
    <x v="0"/>
    <d v="2017-10-21T00:00:00"/>
    <n v="0.7"/>
    <s v="Familia Castro Jiménez"/>
    <s v="0426-543.4303"/>
    <s v="Calle Guacara Nro. 90-51"/>
    <s v="Cancelación Vigilancia, meses de Septiembre y Octubre 2017"/>
    <x v="0"/>
    <m/>
    <s v="00623"/>
    <s v="21 de octubre de 2017"/>
    <n v="21"/>
    <x v="11"/>
    <s v="0,70"/>
    <e v="#NAME?"/>
  </r>
  <r>
    <n v="624"/>
    <m/>
    <x v="0"/>
    <d v="2017-10-21T00:00:00"/>
    <n v="0.35"/>
    <s v="Familia Nava Gordon"/>
    <s v="maru_19_66@hotmail.com"/>
    <s v="Calle Guacara Nro. 89-78"/>
    <s v="Cancelación Vigilancia, mes de Septiembre 2017"/>
    <x v="0"/>
    <m/>
    <s v="00624"/>
    <s v="21 de octubre de 2017"/>
    <n v="21"/>
    <x v="11"/>
    <s v="0,35"/>
    <e v="#NAME?"/>
  </r>
  <r>
    <n v="625"/>
    <m/>
    <x v="0"/>
    <d v="2017-10-21T00:00:00"/>
    <n v="0.35"/>
    <s v="Familia Jiménez Navarro"/>
    <s v="joyasonline2012@gmail.com"/>
    <s v="Calle Güigüe Nro. 88-50"/>
    <s v="Cancelación Vigilancia, mes de Septiembre 2017"/>
    <x v="0"/>
    <m/>
    <s v="00625"/>
    <s v="21 de octubre de 2017"/>
    <n v="21"/>
    <x v="11"/>
    <s v="0,35"/>
    <e v="#NAME?"/>
  </r>
  <r>
    <n v="626"/>
    <m/>
    <x v="0"/>
    <d v="2017-10-23T00:00:00"/>
    <n v="0.35"/>
    <s v="Amarilis Guerra"/>
    <s v="amarilisguerra1@yahoo.com"/>
    <s v="Calle Güigüe Nro. 89-96"/>
    <s v="Cancelación Vigilancia, mes de Octubre 2017"/>
    <x v="0"/>
    <m/>
    <s v="00626"/>
    <s v="23 de octubre de 2017"/>
    <n v="23"/>
    <x v="11"/>
    <s v="0,35"/>
    <e v="#NAME?"/>
  </r>
  <r>
    <n v="627"/>
    <m/>
    <x v="0"/>
    <d v="2017-10-23T00:00:00"/>
    <n v="0.35"/>
    <s v="Familia Lomeña Agudo"/>
    <s v="claudialomena@hotmail.com"/>
    <s v="Calle Guacara Nro. 89-30"/>
    <s v="Cancelación Vigilancia, mes de Octubre 2017"/>
    <x v="0"/>
    <m/>
    <s v="00627"/>
    <s v="23 de octubre de 2017"/>
    <n v="23"/>
    <x v="11"/>
    <s v="0,35"/>
    <e v="#NAME?"/>
  </r>
  <r>
    <n v="628"/>
    <m/>
    <x v="0"/>
    <d v="2017-10-23T00:00:00"/>
    <n v="0.35"/>
    <s v="Familia Loponte Arteaga"/>
    <s v="nancyloponte@hotmail.com"/>
    <s v="Calle Güigüe Nro. 88-120"/>
    <s v="Cancelación Vigilancia, mes de Octubre 2017"/>
    <x v="0"/>
    <m/>
    <s v="00628"/>
    <s v="23 de octubre de 2017"/>
    <n v="23"/>
    <x v="11"/>
    <s v="0,35"/>
    <e v="#NAME?"/>
  </r>
  <r>
    <n v="629"/>
    <m/>
    <x v="0"/>
    <d v="2017-10-23T00:00:00"/>
    <n v="0.7"/>
    <s v="Familia Delgado Hidalgo"/>
    <s v="ardh@hotmail.com"/>
    <s v="Calle Güigüe Nro. 88-10"/>
    <s v="Cancelación Vigilancia, meses de Septiembre y Octubre 2017"/>
    <x v="0"/>
    <m/>
    <s v="00629"/>
    <s v="23 de octubre de 2017"/>
    <n v="23"/>
    <x v="11"/>
    <s v="0,70"/>
    <e v="#NAME?"/>
  </r>
  <r>
    <n v="630"/>
    <m/>
    <x v="0"/>
    <d v="2017-10-23T00:00:00"/>
    <n v="0.7"/>
    <s v="Familia Manrique Riera"/>
    <s v="patriciamanrique@gmail.com"/>
    <s v="Calle Guacara Nro. 89-40"/>
    <s v="Cancelación Vigilancia, meses de Agosto y Septiembre 2017"/>
    <x v="0"/>
    <m/>
    <s v="00630"/>
    <s v="23 de octubre de 2017"/>
    <n v="23"/>
    <x v="11"/>
    <s v="0,70"/>
    <e v="#NAME?"/>
  </r>
  <r>
    <n v="631"/>
    <m/>
    <x v="0"/>
    <d v="2017-10-25T00:00:00"/>
    <n v="0.3"/>
    <s v="Familia Machado Stoppa"/>
    <s v="machadoru@hotmail.com"/>
    <s v="Calle Guacara Nro. 88-85"/>
    <s v="Colaboración Vigilancia, mes de Septiembre 2017"/>
    <x v="0"/>
    <m/>
    <s v="00631"/>
    <s v="25 de octubre de 2017"/>
    <n v="25"/>
    <x v="11"/>
    <s v="0,30"/>
    <e v="#NAME?"/>
  </r>
  <r>
    <n v="632"/>
    <m/>
    <x v="0"/>
    <d v="2017-10-26T00:00:00"/>
    <n v="0.15"/>
    <s v="Familia Morales Sesar"/>
    <s v="moralesesar@gmail.com"/>
    <s v="Calle Güigüe Nro. 89-120"/>
    <s v="Colaboración Vigilancia, mes de Septiembre 2017"/>
    <x v="0"/>
    <m/>
    <s v="00632"/>
    <s v="26 de octubre de 2017"/>
    <n v="26"/>
    <x v="11"/>
    <s v="0,15"/>
    <e v="#NAME?"/>
  </r>
  <r>
    <n v="633"/>
    <m/>
    <x v="0"/>
    <d v="2017-10-27T00:00:00"/>
    <n v="0.35"/>
    <s v="Familia Navarro Assing"/>
    <s v="liliaassing@gmail.com"/>
    <s v="Calle Güigüe Nro. 88-54"/>
    <s v="Cancelación Vigilancia, mes de Octubre 2017"/>
    <x v="0"/>
    <m/>
    <s v="00633"/>
    <s v="27 de octubre de 2017"/>
    <n v="27"/>
    <x v="11"/>
    <s v="0,35"/>
    <e v="#NAME?"/>
  </r>
  <r>
    <n v="634"/>
    <m/>
    <x v="0"/>
    <d v="2017-10-27T00:00:00"/>
    <n v="1.05"/>
    <s v="Familia Narváez Caldera"/>
    <s v="jeannette_nc@yahoo.com"/>
    <s v="Calle Güigüe Nro. 87-A-11"/>
    <s v="Cancelación Vigilancia, meses de Septiembre y Octubre 2017, y Anticipo Vigilancia, mes de Noviembre 2017"/>
    <x v="0"/>
    <m/>
    <s v="00634"/>
    <s v="27 de octubre de 2017"/>
    <n v="27"/>
    <x v="11"/>
    <s v="1,05"/>
    <e v="#NAME?"/>
  </r>
  <r>
    <n v="635"/>
    <m/>
    <x v="0"/>
    <d v="2017-10-27T00:00:00"/>
    <n v="0.7"/>
    <s v="Familia Il Grande Franceschi"/>
    <s v="arcifran75@hotmail.com"/>
    <s v="Av. &quot;I&quot; Nro. 146-40"/>
    <s v="Cancelación saldo Vigilancia, mes de Septiembre, cancelación mes de Octubre y anticipo mes de Noviembre 2017 (Bs. 1.000)"/>
    <x v="0"/>
    <m/>
    <s v="00635"/>
    <s v="27 de octubre de 2017"/>
    <n v="27"/>
    <x v="11"/>
    <s v="0,70"/>
    <e v="#NAME?"/>
  </r>
  <r>
    <n v="636"/>
    <m/>
    <x v="0"/>
    <d v="2017-10-29T00:00:00"/>
    <n v="0.6"/>
    <s v="Gloria Molina"/>
    <s v="glomola2@yahoo.es"/>
    <s v="Calle Güigüe Nro. 89-71"/>
    <s v="Colaboración Vigilancia, meses de Junio, Julio, Agosto y Septiembre 2017"/>
    <x v="0"/>
    <m/>
    <s v="00636"/>
    <s v="29 de octubre de 2017"/>
    <n v="29"/>
    <x v="11"/>
    <s v="0,60"/>
    <e v="#NAME?"/>
  </r>
  <r>
    <n v="637"/>
    <m/>
    <x v="0"/>
    <d v="2017-10-30T00:00:00"/>
    <n v="0.2"/>
    <s v="Familia Santos Carrillo"/>
    <s v="briceidamp@hotmail.com"/>
    <s v="Calle Guacara Nro. 90-93"/>
    <s v="Colaboración Vigilancia, mes de Octubre 2017"/>
    <x v="0"/>
    <m/>
    <s v="00637"/>
    <s v="30 de octubre de 2017"/>
    <n v="30"/>
    <x v="11"/>
    <s v="0,20"/>
    <e v="#NAME?"/>
  </r>
  <r>
    <n v="638"/>
    <m/>
    <x v="0"/>
    <d v="2017-10-30T00:00:00"/>
    <n v="0.2"/>
    <s v="Familia Méndez Parra"/>
    <s v="briceidamp@hotmail.com"/>
    <s v="Calle Guacara Nro. 88-19"/>
    <s v="Colaboración Vigilancia, mes de Octubre 2017"/>
    <x v="0"/>
    <m/>
    <s v="00638"/>
    <s v="30 de octubre de 2017"/>
    <n v="30"/>
    <x v="11"/>
    <s v="0,20"/>
    <e v="#NAME?"/>
  </r>
  <r>
    <n v="639"/>
    <m/>
    <x v="0"/>
    <d v="2017-10-31T00:00:00"/>
    <n v="0.35"/>
    <s v="Familia Gascón Domínguez"/>
    <s v="vrgascon@gmail.com"/>
    <s v="Calle Güigüe Nro. 88-70"/>
    <s v="Cancelación Vigilancia, mes de Octubre 2017"/>
    <x v="0"/>
    <m/>
    <s v="00639"/>
    <s v="31 de octubre de 2017"/>
    <n v="31"/>
    <x v="11"/>
    <s v="0,35"/>
    <e v="#NAME?"/>
  </r>
  <r>
    <n v="640"/>
    <m/>
    <x v="0"/>
    <d v="2017-10-19T00:00:00"/>
    <n v="0.2"/>
    <s v="Familia Kablan Sarmiento"/>
    <s v="norisjsb56@hotmail.com"/>
    <s v="Calle Güigüe Nro. 89-80"/>
    <s v="Colaboración Vigilancia, mes de Octubre 2017"/>
    <x v="0"/>
    <m/>
    <s v="00640"/>
    <s v="19 de octubre de 2017"/>
    <n v="19"/>
    <x v="11"/>
    <s v="0,20"/>
    <e v="#NAME?"/>
  </r>
  <r>
    <n v="641"/>
    <m/>
    <x v="0"/>
    <d v="2017-11-01T00:00:00"/>
    <n v="0.35"/>
    <s v="Familia Barreto Pérez"/>
    <s v="bbetsa19@hotmail.com"/>
    <s v="Av. &quot;M&quot; Nro. 146-15"/>
    <s v="Cancelación Vigilancia, mes de Octubre 2017"/>
    <x v="0"/>
    <m/>
    <s v="00641"/>
    <s v="01 de noviembre de 2017"/>
    <n v="1"/>
    <x v="12"/>
    <s v="0,35"/>
    <e v="#NAME?"/>
  </r>
  <r>
    <n v="642"/>
    <m/>
    <x v="0"/>
    <d v="2017-11-01T00:00:00"/>
    <n v="0.35"/>
    <s v="Familia Ferrer Bahri"/>
    <s v="bahrimariela@hotmail.com"/>
    <s v="Calle Güigüe Nro. 89-83"/>
    <s v="Anticipo Vigilancia, mes de Noviembre 2017"/>
    <x v="0"/>
    <m/>
    <s v="00642"/>
    <s v="01 de noviembre de 2017"/>
    <n v="1"/>
    <x v="12"/>
    <s v="0,35"/>
    <e v="#NAME?"/>
  </r>
  <r>
    <n v="643"/>
    <m/>
    <x v="0"/>
    <d v="2017-11-02T00:00:00"/>
    <n v="0.35"/>
    <s v="Familia Durvelle Serrano"/>
    <s v="sdurvelle@hotmail.com"/>
    <s v="Calle Guacara Nro. 89-60"/>
    <s v="Anticipo Vigilancia, mes de Noviembre 2017"/>
    <x v="0"/>
    <m/>
    <s v="00643"/>
    <s v="02 de noviembre de 2017"/>
    <n v="2"/>
    <x v="12"/>
    <s v="0,35"/>
    <e v="#NAME?"/>
  </r>
  <r>
    <n v="644"/>
    <m/>
    <x v="0"/>
    <d v="2017-11-01T00:00:00"/>
    <n v="0.67999999999999994"/>
    <s v="Familia Matta Palomino"/>
    <s v="En Físico"/>
    <s v="Calle Güigüe Nro. 88-90"/>
    <s v="Cancelación saldo Vigilancia, mes de Septiembre 2017 y Cancelación Vigilancia, mes de Octubre 2017"/>
    <x v="0"/>
    <m/>
    <s v="00644"/>
    <s v="01 de noviembre de 2017"/>
    <n v="1"/>
    <x v="12"/>
    <s v="0,68"/>
    <e v="#NAME?"/>
  </r>
  <r>
    <n v="645"/>
    <m/>
    <x v="0"/>
    <d v="2017-11-02T00:00:00"/>
    <n v="0.7"/>
    <s v="Familia Kattar González"/>
    <s v="jagiak123@yahoo.es"/>
    <s v="Calle Güigüe Nro. 89-95"/>
    <s v="Cancelación Vigilancia, meses de Agosto y Septiembre 2017"/>
    <x v="0"/>
    <m/>
    <s v="00645"/>
    <s v="02 de noviembre de 2017"/>
    <n v="2"/>
    <x v="12"/>
    <s v="0,70"/>
    <e v="#NAME?"/>
  </r>
  <r>
    <n v="646"/>
    <m/>
    <x v="0"/>
    <d v="2017-11-02T00:00:00"/>
    <n v="0.35"/>
    <s v="Familia Loponte Arteaga"/>
    <s v="nancyloponte@hotmail.com"/>
    <s v="Calle Güigüe Nro. 88-120"/>
    <s v="Anticipo Vigilancia, mes de Noviembre 2017"/>
    <x v="0"/>
    <m/>
    <s v="00646"/>
    <s v="02 de noviembre de 2017"/>
    <n v="2"/>
    <x v="12"/>
    <s v="0,35"/>
    <e v="#NAME?"/>
  </r>
  <r>
    <n v="647"/>
    <m/>
    <x v="0"/>
    <d v="2017-11-02T00:00:00"/>
    <n v="0.7"/>
    <s v="Familia Jiménez Salvatierra"/>
    <s v="0414-582.8909"/>
    <s v="Calle Güigüe Nro. 89-45"/>
    <s v="Cancelación Vigilancia, mes de Octubre 2017, y Anticipo Vigilancia, mes de Noviembre 2017"/>
    <x v="0"/>
    <m/>
    <s v="00647"/>
    <s v="02 de noviembre de 2017"/>
    <n v="2"/>
    <x v="12"/>
    <s v="0,70"/>
    <e v="#NAME?"/>
  </r>
  <r>
    <n v="648"/>
    <m/>
    <x v="0"/>
    <d v="2017-11-02T00:00:00"/>
    <n v="0.5"/>
    <s v="Familia Alonso Rojas"/>
    <s v="redjc01@gmail.com"/>
    <s v="Calle Güigüe Nro. 89-54"/>
    <s v="Cancelación Vigilancia, mes de Noviembre 2017"/>
    <x v="0"/>
    <m/>
    <s v="00648"/>
    <s v="02 de noviembre de 2017"/>
    <n v="2"/>
    <x v="12"/>
    <s v="0,50"/>
    <e v="#NAME?"/>
  </r>
  <r>
    <n v="649"/>
    <m/>
    <x v="0"/>
    <d v="2017-11-03T00:00:00"/>
    <n v="0.5"/>
    <s v="Familia Colosso Delgado"/>
    <s v="mcolosso@gmail.com"/>
    <s v="Calle Güigüe Nro. 88-44"/>
    <s v="Cancelación Vigilancia, mes de Noviembre 2017"/>
    <x v="0"/>
    <m/>
    <s v="00649"/>
    <s v="03 de noviembre de 2017"/>
    <n v="3"/>
    <x v="12"/>
    <s v="0,50"/>
    <e v="#NAME?"/>
  </r>
  <r>
    <n v="650"/>
    <m/>
    <x v="0"/>
    <d v="2017-11-04T00:00:00"/>
    <n v="1.05"/>
    <s v="Dra. Lilia Magallanes"/>
    <s v="liliamagallanes2010@gmail.com"/>
    <s v="Calle Güigüe Nro. 88-51"/>
    <s v="Cancelación Vigilancia, meses de Agosto, Septiembre y Octubre 2017"/>
    <x v="0"/>
    <m/>
    <s v="00650"/>
    <s v="04 de noviembre de 2017"/>
    <n v="4"/>
    <x v="12"/>
    <s v="1,05"/>
    <e v="#NAME?"/>
  </r>
  <r>
    <n v="651"/>
    <m/>
    <x v="0"/>
    <d v="2017-11-08T00:00:00"/>
    <n v="0.35"/>
    <s v="Familia Hatem Medina"/>
    <s v="hhatem1@hotmail.com"/>
    <s v="Calle Guacara Nro. 88-51"/>
    <s v="Cancelación Vigilancia, mes de Octubre y anticipo mes de Noviembre 2017: transferencia y contra factura"/>
    <x v="0"/>
    <m/>
    <s v="00651"/>
    <s v="08 de noviembre de 2017"/>
    <n v="8"/>
    <x v="12"/>
    <s v="0,35"/>
    <e v="#NAME?"/>
  </r>
  <r>
    <n v="652"/>
    <m/>
    <x v="0"/>
    <d v="2017-11-07T00:00:00"/>
    <n v="0.5"/>
    <s v="Familia Del Negro Palermo"/>
    <s v="vdelnegro@gmail.com"/>
    <s v="Calle Guacara Nro. 88-45"/>
    <s v="Cancelación Vigilancia, mes de Noviembre 2017 (saldo a favor: Bs. 20.000)"/>
    <x v="0"/>
    <m/>
    <s v="00652"/>
    <s v="07 de noviembre de 2017"/>
    <n v="7"/>
    <x v="12"/>
    <s v="0,50"/>
    <e v="#NAME?"/>
  </r>
  <r>
    <n v="653"/>
    <m/>
    <x v="0"/>
    <d v="2017-11-07T00:00:00"/>
    <n v="0.5"/>
    <s v="Ely Saúl Rivero Gómez"/>
    <s v="hhs.admon@gmail.com"/>
    <s v="Av. &quot;Ñ&quot; Nro. 145-25"/>
    <s v="Cancelación Vigilancia, mes de Noviembre 2017 (saldo a favor: Bs. 115.000)"/>
    <x v="0"/>
    <m/>
    <s v="00653"/>
    <s v="07 de noviembre de 2017"/>
    <n v="7"/>
    <x v="12"/>
    <s v="0,50"/>
    <e v="#NAME?"/>
  </r>
  <r>
    <n v="654"/>
    <m/>
    <x v="0"/>
    <d v="2017-11-08T00:00:00"/>
    <n v="0.5"/>
    <s v="Familia Arcia Polanco"/>
    <s v="misipo29@gmail.com"/>
    <s v="Calle Guacara Nro. 89-20"/>
    <s v="Cancelación Vigilancia, mes de Noviembre 2017"/>
    <x v="0"/>
    <m/>
    <s v="00654"/>
    <s v="08 de noviembre de 2017"/>
    <n v="8"/>
    <x v="12"/>
    <s v="0,50"/>
    <e v="#NAME?"/>
  </r>
  <r>
    <n v="655"/>
    <m/>
    <x v="0"/>
    <d v="2017-11-10T00:00:00"/>
    <n v="0.3"/>
    <s v="Héctor Hernández"/>
    <s v="eof64@hotmail.com"/>
    <s v="Calle Guacara Nro. 89-94"/>
    <s v="Colaboración Vigilancia, mes de Noviembre 2017"/>
    <x v="0"/>
    <m/>
    <s v="00655"/>
    <s v="10 de noviembre de 2017"/>
    <n v="10"/>
    <x v="12"/>
    <s v="0,30"/>
    <e v="#NAME?"/>
  </r>
  <r>
    <n v="656"/>
    <m/>
    <x v="0"/>
    <d v="2017-11-09T00:00:00"/>
    <n v="0.5"/>
    <s v="Familia Acosta Carpio"/>
    <s v="pablo962@hotmail.com"/>
    <s v="Calle Güigüe Nro. 89-10"/>
    <s v="Cancelación Vigilancia, mes de Noviembre 2017"/>
    <x v="0"/>
    <m/>
    <s v="00656"/>
    <s v="09 de noviembre de 2017"/>
    <n v="9"/>
    <x v="12"/>
    <s v="0,50"/>
    <e v="#NAME?"/>
  </r>
  <r>
    <n v="657"/>
    <m/>
    <x v="0"/>
    <d v="2017-11-09T00:00:00"/>
    <n v="0.85"/>
    <s v="Familia Kattar González"/>
    <s v="jagiak123@yahoo.es"/>
    <s v="Calle Güigüe Nro. 89-95"/>
    <s v="Cancelación Vigilancia, meses de Octubre y Noviembre 2017"/>
    <x v="0"/>
    <m/>
    <s v="00657"/>
    <s v="09 de noviembre de 2017"/>
    <n v="9"/>
    <x v="12"/>
    <s v="0,85"/>
    <e v="#NAME?"/>
  </r>
  <r>
    <n v="658"/>
    <m/>
    <x v="0"/>
    <d v="2017-11-10T00:00:00"/>
    <n v="1.35"/>
    <s v="Wu Hung Fung"/>
    <s v="carolinahung24@gmail.com"/>
    <s v="Calle Guacara Nro. 90-81"/>
    <s v="Cancelación Vigilancia, meses de Octubre, Noviembre y Diciembre 2017"/>
    <x v="0"/>
    <m/>
    <s v="00658"/>
    <s v="10 de noviembre de 2017"/>
    <n v="10"/>
    <x v="12"/>
    <s v="1,35"/>
    <e v="#NAME?"/>
  </r>
  <r>
    <n v="659"/>
    <m/>
    <x v="0"/>
    <d v="2017-11-10T00:00:00"/>
    <n v="0.35"/>
    <s v="Chin Chun Ya (Goya)"/>
    <s v="uc2721@gmail.com"/>
    <s v="Calle Guacara Nro. 87-86"/>
    <s v="Colaboración Vigilancia, mes de Noviembre 2017"/>
    <x v="0"/>
    <m/>
    <s v="00659"/>
    <s v="10 de noviembre de 2017"/>
    <n v="10"/>
    <x v="12"/>
    <s v="0,35"/>
    <e v="#NAME?"/>
  </r>
  <r>
    <n v="660"/>
    <m/>
    <x v="0"/>
    <d v="2017-11-11T00:00:00"/>
    <n v="1.2"/>
    <s v="Familia Piñero Padilla"/>
    <s v="achepaul2005@hotmail.com"/>
    <s v="Calle Güigüe Nro. 89-21"/>
    <s v="Cancelación Vigilancia, meses de Septiembre, Octubre y Noviembre 2017"/>
    <x v="0"/>
    <m/>
    <s v="00660"/>
    <s v="11 de noviembre de 2017"/>
    <n v="11"/>
    <x v="12"/>
    <s v="1,20"/>
    <e v="#NAME?"/>
  </r>
  <r>
    <n v="661"/>
    <m/>
    <x v="0"/>
    <d v="2017-11-11T00:00:00"/>
    <n v="0.5"/>
    <s v="Familia Fermín Rivas"/>
    <s v="angelferminb@gmail.com"/>
    <s v="Calle Güigüe Nro. 89-55"/>
    <s v="Cancelación Vigilancia, mes de Noviembre 2017"/>
    <x v="0"/>
    <m/>
    <s v="00661"/>
    <s v="11 de noviembre de 2017"/>
    <n v="11"/>
    <x v="12"/>
    <s v="0,50"/>
    <e v="#NAME?"/>
  </r>
  <r>
    <n v="662"/>
    <m/>
    <x v="0"/>
    <d v="2017-11-12T00:00:00"/>
    <n v="0.85"/>
    <s v="Familia López Hermoso"/>
    <s v="lopez.humberto14@yahoo.com.ve"/>
    <s v="Calle Güigüe Nro. 89-79"/>
    <s v="Cancelación Vigilancia, meses de Octubre y Noviembre 2017"/>
    <x v="0"/>
    <m/>
    <s v="00662"/>
    <s v="12 de noviembre de 2017"/>
    <n v="12"/>
    <x v="12"/>
    <s v="0,85"/>
    <e v="#NAME?"/>
  </r>
  <r>
    <n v="663"/>
    <m/>
    <x v="0"/>
    <d v="2017-11-12T00:00:00"/>
    <n v="0.1"/>
    <s v="Ma. de Jesus Alonso"/>
    <s v="marjoriealonsoh@hotmail.com"/>
    <s v="Calle Güigüe Nro. 88-30"/>
    <s v="Colaboración Vigilancia, mes de Noviembre 2017"/>
    <x v="0"/>
    <m/>
    <s v="00663"/>
    <s v="12 de noviembre de 2017"/>
    <n v="12"/>
    <x v="12"/>
    <s v="0,10"/>
    <e v="#NAME?"/>
  </r>
  <r>
    <n v="664"/>
    <m/>
    <x v="0"/>
    <d v="2017-11-14T00:00:00"/>
    <n v="0.5"/>
    <s v="Familia Lomeña Agudo"/>
    <s v="claudialomena@hotmail.com"/>
    <s v="Calle Guacara Nro. 89-30"/>
    <s v="Cancelación Vigilancia, mes de Noviembre 2017"/>
    <x v="0"/>
    <m/>
    <s v="00664"/>
    <s v="14 de noviembre de 2017"/>
    <n v="14"/>
    <x v="12"/>
    <s v="0,50"/>
    <e v="#NAME?"/>
  </r>
  <r>
    <n v="665"/>
    <m/>
    <x v="0"/>
    <d v="2017-11-13T00:00:00"/>
    <n v="0.2"/>
    <s v="Victoria Francischiello"/>
    <s v="victoriafrancischiello@hotmail.com"/>
    <s v="Calle Guacara Nro. 88-25"/>
    <s v="Colaboración Vigilancia, mes de Octubre 2017"/>
    <x v="0"/>
    <m/>
    <s v="00665"/>
    <s v="13 de noviembre de 2017"/>
    <n v="13"/>
    <x v="12"/>
    <s v="0,20"/>
    <e v="#NAME?"/>
  </r>
  <r>
    <n v="666"/>
    <m/>
    <x v="0"/>
    <d v="2017-11-09T00:00:00"/>
    <n v="0.35"/>
    <s v="Familia Zavarce Pérez"/>
    <s v="En Físico"/>
    <s v="Calle Guacara Nro. 90-35"/>
    <s v="Cancelación Vigilancia, mes de Octubre 2017"/>
    <x v="0"/>
    <m/>
    <s v="00666"/>
    <s v="09 de noviembre de 2017"/>
    <n v="9"/>
    <x v="12"/>
    <s v="0,35"/>
    <e v="#NAME?"/>
  </r>
  <r>
    <n v="667"/>
    <m/>
    <x v="0"/>
    <d v="2017-11-14T00:00:00"/>
    <n v="0.85"/>
    <s v="Ana de González"/>
    <s v="mikelnowak25@gmail.com"/>
    <s v="Av. &quot;O&quot; Nro. 146-17"/>
    <s v="Cancelación Vigilancia, meses de Octubre y Noviembre 2017"/>
    <x v="0"/>
    <m/>
    <s v="00667"/>
    <s v="14 de noviembre de 2017"/>
    <n v="14"/>
    <x v="12"/>
    <s v="0,85"/>
    <e v="#NAME?"/>
  </r>
  <r>
    <n v="668"/>
    <m/>
    <x v="0"/>
    <d v="2017-11-14T00:00:00"/>
    <n v="0.35"/>
    <s v="Familia Nava Gordon"/>
    <s v="maru_19_66@hotmail.com"/>
    <s v="Calle Guacara Nro. 89-78"/>
    <s v="Cancelación Vigilancia, mes de Octubre 2017"/>
    <x v="0"/>
    <m/>
    <s v="00668"/>
    <s v="14 de noviembre de 2017"/>
    <n v="14"/>
    <x v="12"/>
    <s v="0,35"/>
    <e v="#NAME?"/>
  </r>
  <r>
    <n v="669"/>
    <m/>
    <x v="0"/>
    <d v="2017-11-14T00:00:00"/>
    <n v="1"/>
    <s v="Familia González Arévalo"/>
    <s v="feryenis@hotmail.com"/>
    <s v="Calle Guacara Nro. 89-86"/>
    <s v="Cancelación Vigilancia, meses de Noviembre y Diciembre 2017"/>
    <x v="0"/>
    <m/>
    <s v="00669"/>
    <s v="14 de noviembre de 2017"/>
    <n v="14"/>
    <x v="12"/>
    <s v="1,00"/>
    <e v="#NAME?"/>
  </r>
  <r>
    <n v="670"/>
    <m/>
    <x v="0"/>
    <d v="2017-11-15T00:00:00"/>
    <n v="0.15"/>
    <s v="Familia Ferrer Bahri"/>
    <s v="bahrimariela@hotmail.com"/>
    <s v="Calle Güigüe Nro. 89-83"/>
    <s v="Cancelación saldo Vigilancia, mes de Noviembre 2017"/>
    <x v="0"/>
    <m/>
    <s v="00670"/>
    <s v="15 de noviembre de 2017"/>
    <n v="15"/>
    <x v="12"/>
    <s v="0,15"/>
    <e v="#NAME?"/>
  </r>
  <r>
    <n v="671"/>
    <m/>
    <x v="0"/>
    <d v="2017-11-15T00:00:00"/>
    <n v="1.85"/>
    <s v="Familia Guerra Miret"/>
    <s v="antoniojguerrag@hotmail.com"/>
    <s v="Calle Güigüe Nro. 89-40"/>
    <s v="Cancelación Vigilancia, meses de Octubre, Noviembre , diciembre 2017 y mes de Enero 2018"/>
    <x v="0"/>
    <m/>
    <s v="00671"/>
    <s v="15 de noviembre de 2017"/>
    <n v="15"/>
    <x v="12"/>
    <s v="1,85"/>
    <e v="#NAME?"/>
  </r>
  <r>
    <n v="672"/>
    <m/>
    <x v="0"/>
    <d v="2017-11-15T00:00:00"/>
    <n v="0.15"/>
    <s v="Familia Rodríguez Landaeta"/>
    <s v="mrl58@hotmail.com"/>
    <s v="Calle Güigüe Nro. 89-29"/>
    <s v="Colaboración Vigilancia, mes de Noviembre 2017"/>
    <x v="0"/>
    <m/>
    <s v="00672"/>
    <s v="15 de noviembre de 2017"/>
    <n v="15"/>
    <x v="12"/>
    <s v="0,15"/>
    <e v="#NAME?"/>
  </r>
  <r>
    <n v="673"/>
    <m/>
    <x v="0"/>
    <d v="2017-11-10T00:00:00"/>
    <n v="0.15"/>
    <s v="Familia Durvelle Serrano"/>
    <s v="sdurvelle@hotmail.com"/>
    <s v="Calle Guacara Nro. 89-60"/>
    <s v="Cancelación saldo Vigilancia, mes de Noviembre 2017"/>
    <x v="0"/>
    <m/>
    <s v="00673"/>
    <s v="10 de noviembre de 2017"/>
    <n v="10"/>
    <x v="12"/>
    <s v="0,15"/>
    <e v="#NAME?"/>
  </r>
  <r>
    <n v="674"/>
    <m/>
    <x v="0"/>
    <d v="2017-11-15T00:00:00"/>
    <n v="0.85"/>
    <s v="Familia Milanés Carmona"/>
    <s v="yndira11m@gmail.com"/>
    <s v="Calle Güigüe Nro. 89-65"/>
    <s v="Cancelación Vigilancia, meses de Octubre y Noviembre 2017"/>
    <x v="0"/>
    <m/>
    <s v="00674"/>
    <s v="15 de noviembre de 2017"/>
    <n v="15"/>
    <x v="12"/>
    <s v="0,85"/>
    <e v="#NAME?"/>
  </r>
  <r>
    <n v="675"/>
    <m/>
    <x v="0"/>
    <d v="2017-11-15T00:00:00"/>
    <n v="0.85"/>
    <s v="Familia Manrique Riera"/>
    <s v="patriciamanrique@gmail.com"/>
    <s v="Calle Guacara Nro. 89-40"/>
    <s v="Cancelación Vigilancia, meses de Octubre y Noviembre 2017"/>
    <x v="0"/>
    <m/>
    <s v="00675"/>
    <s v="15 de noviembre de 2017"/>
    <n v="15"/>
    <x v="12"/>
    <s v="0,85"/>
    <e v="#NAME?"/>
  </r>
  <r>
    <n v="676"/>
    <m/>
    <x v="0"/>
    <d v="2017-11-15T00:00:00"/>
    <n v="0.5"/>
    <s v="Familia Puerta Burguillos"/>
    <s v="namaricakes@gmail.com"/>
    <s v="Calle Guacara Nro. 87-100"/>
    <s v="Cancelación Vigilancia, mes de Noviembre 2017"/>
    <x v="0"/>
    <m/>
    <s v="00676"/>
    <s v="15 de noviembre de 2017"/>
    <n v="15"/>
    <x v="12"/>
    <s v="0,50"/>
    <e v="#NAME?"/>
  </r>
  <r>
    <n v="677"/>
    <m/>
    <x v="0"/>
    <d v="2017-11-16T00:00:00"/>
    <n v="0.54"/>
    <s v="La Casita Encantada"/>
    <s v="En Físico"/>
    <s v="Av. &quot;M&quot; Nro. 146-30"/>
    <s v="Cancelación Vigilancia, mes de Noviembre 2017"/>
    <x v="0"/>
    <m/>
    <s v="00677"/>
    <s v="16 de noviembre de 2017"/>
    <n v="16"/>
    <x v="12"/>
    <s v="0,54"/>
    <e v="#NAME?"/>
  </r>
  <r>
    <n v="678"/>
    <m/>
    <x v="0"/>
    <d v="2017-11-16T00:00:00"/>
    <n v="0.35"/>
    <s v="Familia Navarrete Medina"/>
    <s v="juanin1919@yahoo.com"/>
    <s v="Calle Güigüe Nro. 89-22"/>
    <s v="Cancelación Vigilancia, mes de Octubre 2017"/>
    <x v="0"/>
    <m/>
    <s v="00678"/>
    <s v="16 de noviembre de 2017"/>
    <n v="16"/>
    <x v="12"/>
    <s v="0,35"/>
    <e v="#NAME?"/>
  </r>
  <r>
    <n v="679"/>
    <m/>
    <x v="0"/>
    <d v="2017-11-17T00:00:00"/>
    <n v="0.5"/>
    <s v="Familia Díaz González"/>
    <s v="luisrdt57@gmail.com"/>
    <s v="Calle Güigüe Nro. 88-116"/>
    <s v="Cancelación Vigilancia, mes de Noviembre 2017"/>
    <x v="0"/>
    <m/>
    <s v="00679"/>
    <s v="17 de noviembre de 2017"/>
    <n v="17"/>
    <x v="12"/>
    <s v="0,50"/>
    <e v="#NAME?"/>
  </r>
  <r>
    <n v="680"/>
    <m/>
    <x v="0"/>
    <d v="2017-11-17T00:00:00"/>
    <n v="0.5"/>
    <s v="Familia Sayago Peñaranda"/>
    <s v="alexissayago@gmail.com"/>
    <s v="Calle Güigüe Nro. 89-04"/>
    <s v="Cancelación Vigilancia, mes de Noviembre 2017 (transferencia y Bs. 14.600 contra factura)"/>
    <x v="0"/>
    <m/>
    <s v="00680"/>
    <s v="17 de noviembre de 2017"/>
    <n v="17"/>
    <x v="12"/>
    <s v="0,50"/>
    <e v="#NAME?"/>
  </r>
  <r>
    <n v="681"/>
    <m/>
    <x v="0"/>
    <d v="2017-11-17T00:00:00"/>
    <n v="0.5"/>
    <s v="Amarilis Guerra"/>
    <s v="amarilisguerra1@yahoo.com"/>
    <s v="Calle Güigüe Nro. 89-96"/>
    <s v="Cancelación Vigilancia, mes de Noviembre 2017"/>
    <x v="0"/>
    <m/>
    <s v="00681"/>
    <s v="17 de noviembre de 2017"/>
    <n v="17"/>
    <x v="12"/>
    <s v="0,50"/>
    <e v="#NAME?"/>
  </r>
  <r>
    <n v="682"/>
    <m/>
    <x v="0"/>
    <d v="2017-11-17T00:00:00"/>
    <n v="1"/>
    <s v="Familia Hurtado"/>
    <s v="En Físico"/>
    <s v="Av. &quot;O&quot; Nro. 146-11"/>
    <s v="Cancelación Vigilancia, meses de Septiembre y Octubre 2017, y anticipo Vigilancia, mes de Noviembre 2017"/>
    <x v="0"/>
    <m/>
    <s v="00682"/>
    <s v="17 de noviembre de 2017"/>
    <n v="17"/>
    <x v="12"/>
    <s v="1,00"/>
    <e v="#NAME?"/>
  </r>
  <r>
    <n v="683"/>
    <m/>
    <x v="0"/>
    <d v="2017-11-17T00:00:00"/>
    <n v="0.4"/>
    <s v="Familia Kablan Sarmiento"/>
    <s v="norisjsb56@hotmail.com"/>
    <s v="Calle Güigüe Nro. 89-80"/>
    <s v="Colaboración Vigilancia, mes de Noviembre 2017"/>
    <x v="0"/>
    <m/>
    <s v="00683"/>
    <s v="17 de noviembre de 2017"/>
    <n v="17"/>
    <x v="12"/>
    <s v="0,40"/>
    <e v="#NAME?"/>
  </r>
  <r>
    <n v="684"/>
    <m/>
    <x v="0"/>
    <d v="2017-11-19T00:00:00"/>
    <n v="0.35"/>
    <s v="Familia Jiménez Navarro"/>
    <s v="joyasonline2012@gmail.com"/>
    <s v="Calle Güigüe Nro. 88-50"/>
    <s v="Cancelación Vigilancia, mes de Octubre 2017"/>
    <x v="0"/>
    <m/>
    <s v="00684"/>
    <s v="19 de noviembre de 2017"/>
    <n v="19"/>
    <x v="12"/>
    <s v="0,35"/>
    <e v="#NAME?"/>
  </r>
  <r>
    <n v="685"/>
    <m/>
    <x v="0"/>
    <d v="2017-11-19T00:00:00"/>
    <n v="0.5"/>
    <s v="Familia Zavarce Pérez"/>
    <s v="En Físico"/>
    <s v="Calle Guacara Nro. 90-35"/>
    <s v="Cancelación Vigilancia, mes de Noviembre 2017"/>
    <x v="0"/>
    <m/>
    <s v="00685"/>
    <s v="19 de noviembre de 2017"/>
    <n v="19"/>
    <x v="12"/>
    <s v="0,50"/>
    <e v="#NAME?"/>
  </r>
  <r>
    <n v="686"/>
    <m/>
    <x v="0"/>
    <d v="2017-11-20T00:00:00"/>
    <n v="0.5"/>
    <s v="Familia Alonso Rojas"/>
    <s v="redjc01@gmail.com"/>
    <s v="Calle Güigüe Nro. 89-54"/>
    <s v="Cancelación Vigilancia, mes de Diciembre 2017"/>
    <x v="0"/>
    <m/>
    <s v="00686"/>
    <s v="20 de noviembre de 2017"/>
    <n v="20"/>
    <x v="12"/>
    <s v="0,50"/>
    <e v="#NAME?"/>
  </r>
  <r>
    <n v="687"/>
    <m/>
    <x v="0"/>
    <d v="2017-11-20T00:00:00"/>
    <n v="0.4"/>
    <s v="Familia Rivero"/>
    <s v="En Físico"/>
    <s v="Calle Güigüe Nro. 88-40"/>
    <s v="Colaboración Vigilancia, meses de Septiembre y Octubre 2017"/>
    <x v="0"/>
    <m/>
    <s v="00687"/>
    <s v="20 de noviembre de 2017"/>
    <n v="20"/>
    <x v="12"/>
    <s v="0,40"/>
    <e v="#NAME?"/>
  </r>
  <r>
    <n v="688"/>
    <m/>
    <x v="0"/>
    <d v="2017-11-21T00:00:00"/>
    <n v="1.7"/>
    <s v="Familia Cegarra Villamizar"/>
    <s v="jesus.villamizar.ra@gmail.com"/>
    <s v="Calle Guacara Nro. 88-35"/>
    <s v="Cancelación Vigilancia, meses de Septiembre, Octubre, Noviembre y Diciembre 2017"/>
    <x v="0"/>
    <m/>
    <s v="00688"/>
    <s v="21 de noviembre de 2017"/>
    <n v="21"/>
    <x v="12"/>
    <s v="1,70"/>
    <e v="#NAME?"/>
  </r>
  <r>
    <n v="689"/>
    <m/>
    <x v="0"/>
    <d v="2017-11-22T00:00:00"/>
    <n v="0.3"/>
    <s v="Familia Jiménez de Avila"/>
    <s v="meji2333@gmail.com"/>
    <s v="Calle Güigüe Nro. 89-116"/>
    <s v="Colaboración Vigilancia, mes de Noviembre 2017"/>
    <x v="0"/>
    <m/>
    <s v="00689"/>
    <s v="22 de noviembre de 2017"/>
    <n v="22"/>
    <x v="12"/>
    <s v="0,30"/>
    <e v="#NAME?"/>
  </r>
  <r>
    <n v="690"/>
    <m/>
    <x v="0"/>
    <d v="2017-11-22T00:00:00"/>
    <n v="0.5"/>
    <s v="Beatriz Lara"/>
    <s v="valentina.gutierrez@hotmail.com"/>
    <s v="Calle Guacara Nro. 89-130"/>
    <s v="Cancelación Vigilancia, mes de Noviembre 2017"/>
    <x v="0"/>
    <m/>
    <s v="00690"/>
    <s v="22 de noviembre de 2017"/>
    <n v="22"/>
    <x v="12"/>
    <s v="0,50"/>
    <e v="#NAME?"/>
  </r>
  <r>
    <n v="691"/>
    <m/>
    <x v="0"/>
    <d v="2017-11-23T00:00:00"/>
    <n v="0.5"/>
    <s v="Familia Montilla García"/>
    <s v="dairy252525@hotmail.com"/>
    <s v="Calle Güigüe Nro. 89-90"/>
    <s v="Cancelación Vigilancia, mes de Noviembre 2017"/>
    <x v="0"/>
    <m/>
    <s v="00691"/>
    <s v="23 de noviembre de 2017"/>
    <n v="23"/>
    <x v="12"/>
    <s v="0,50"/>
    <e v="#NAME?"/>
  </r>
  <r>
    <n v="692"/>
    <m/>
    <x v="0"/>
    <d v="2017-11-28T00:00:00"/>
    <n v="0.65"/>
    <s v="Familia Narváez Caldera"/>
    <s v="jeannette_nc@yahoo.com"/>
    <s v="Calle Güigüe Nro. 87-A-11"/>
    <s v="Cancelación Vigilancia, saldo mes de Noviembre y mes de Diciembre 2017"/>
    <x v="0"/>
    <m/>
    <s v="00692"/>
    <s v="28 de noviembre de 2017"/>
    <n v="28"/>
    <x v="12"/>
    <s v="0,65"/>
    <e v="#NAME?"/>
  </r>
  <r>
    <n v="693"/>
    <m/>
    <x v="0"/>
    <d v="2017-11-28T00:00:00"/>
    <n v="1"/>
    <s v="Familia Gascón Domínguez"/>
    <s v="vrgascon@gmail.com"/>
    <s v="Calle Güigüe Nro. 88-70"/>
    <s v="Cancelación Vigilancia, meses de Noviembre y Diciembre 2017"/>
    <x v="0"/>
    <m/>
    <s v="00693"/>
    <s v="28 de noviembre de 2017"/>
    <n v="28"/>
    <x v="12"/>
    <s v="1,00"/>
    <e v="#NAME?"/>
  </r>
  <r>
    <n v="694"/>
    <m/>
    <x v="0"/>
    <d v="2017-11-28T00:00:00"/>
    <n v="1"/>
    <s v="Familia Hatem Medina"/>
    <s v="hhatem1@hotmail.com"/>
    <s v="Calle Guacara Nro. 88-51"/>
    <s v="Cancelación Vigilancia, saldo mes de Noviembre, mes de Diciembre 2017 y Anticipo Vigilancia, mes de Enero 2018 (Bs. 5.850)"/>
    <x v="0"/>
    <m/>
    <s v="00694"/>
    <s v="28 de noviembre de 2017"/>
    <n v="28"/>
    <x v="12"/>
    <s v="1,00"/>
    <e v="#NAME?"/>
  </r>
  <r>
    <n v="695"/>
    <m/>
    <x v="0"/>
    <d v="2017-11-29T00:00:00"/>
    <n v="0.5"/>
    <s v="Familia Delgado Hidalgo"/>
    <s v="ardh@hotmail.com"/>
    <s v="Calle Güigüe Nro. 88-10"/>
    <s v="Cancelación Vigilancia, mes de Noviembre 2017"/>
    <x v="0"/>
    <m/>
    <s v="00695"/>
    <s v="29 de noviembre de 2017"/>
    <n v="29"/>
    <x v="12"/>
    <s v="0,50"/>
    <e v="#NAME?"/>
  </r>
  <r>
    <n v="696"/>
    <m/>
    <x v="0"/>
    <d v="2017-12-03T00:00:00"/>
    <n v="1"/>
    <s v="Familia Ferrer Bahri"/>
    <s v="bahrimariela@hotmail.com"/>
    <s v="Calle Güigüe Nro. 89-83"/>
    <s v="Cancelación Vigilancia, meses de Diciembre 2017 y Enero 2018"/>
    <x v="0"/>
    <m/>
    <s v="00696"/>
    <s v="03 de diciembre de 2017"/>
    <n v="3"/>
    <x v="13"/>
    <s v="1,00"/>
    <e v="#NAME?"/>
  </r>
  <r>
    <n v="697"/>
    <m/>
    <x v="0"/>
    <d v="2017-11-21T00:00:00"/>
    <n v="0.71"/>
    <s v="Colegio El Trigal"/>
    <s v="En Físico"/>
    <s v="Calle Güigüe Nros. 88-71 y 88-81"/>
    <s v="Cancelación Vigilancia, mes de Noviembre 2017"/>
    <x v="0"/>
    <m/>
    <s v="00697"/>
    <s v="21 de noviembre de 2017"/>
    <n v="21"/>
    <x v="12"/>
    <s v="0,71"/>
    <e v="#NAME?"/>
  </r>
  <r>
    <n v="698"/>
    <m/>
    <x v="0"/>
    <d v="2017-12-04T00:00:00"/>
    <n v="0.5"/>
    <s v="Familia Navarro Assing"/>
    <s v="liliaassing@gmail.com"/>
    <s v="Calle Güigüe Nro. 88-54"/>
    <s v="Cancelación Vigilancia, mes de Noviembre 2017"/>
    <x v="0"/>
    <m/>
    <s v="00698"/>
    <s v="04 de diciembre de 2017"/>
    <n v="4"/>
    <x v="13"/>
    <s v="0,50"/>
    <e v="#NAME?"/>
  </r>
  <r>
    <n v="699"/>
    <m/>
    <x v="0"/>
    <d v="2017-12-04T00:00:00"/>
    <n v="0.32"/>
    <s v="Familia Méndez Parra"/>
    <s v="briceidamp@hotmail.com"/>
    <s v="Calle Guacara Nro. 88-19"/>
    <s v="Colaboración Vigilancia, mes de Noviembre 2017"/>
    <x v="0"/>
    <m/>
    <s v="00699"/>
    <s v="04 de diciembre de 2017"/>
    <n v="4"/>
    <x v="13"/>
    <s v="0,32"/>
    <e v="#NAME?"/>
  </r>
  <r>
    <n v="700"/>
    <m/>
    <x v="0"/>
    <d v="2017-12-04T00:00:00"/>
    <n v="0.18"/>
    <s v="Familia Santos Carrillo"/>
    <s v="briceidamp@hotmail.com"/>
    <s v="Calle Guacara Nro. 90-93"/>
    <s v="Colaboración Vigilancia, mes de Noviembre 2017"/>
    <x v="0"/>
    <m/>
    <s v="00700"/>
    <s v="04 de diciembre de 2017"/>
    <n v="4"/>
    <x v="13"/>
    <s v="0,18"/>
    <e v="#NAME?"/>
  </r>
  <r>
    <n v="701"/>
    <m/>
    <x v="0"/>
    <d v="2017-12-04T00:00:00"/>
    <n v="0.25"/>
    <s v="Familia Morales Sesar"/>
    <s v="moralesesar@gmail.com"/>
    <s v="Calle Güigüe Nro. 89-120"/>
    <s v="Colaboración Vigilancia, mes de Octubre 2017"/>
    <x v="0"/>
    <m/>
    <s v="00701"/>
    <s v="04 de diciembre de 2017"/>
    <n v="4"/>
    <x v="13"/>
    <s v="0,25"/>
    <e v="#NAME?"/>
  </r>
  <r>
    <n v="702"/>
    <m/>
    <x v="0"/>
    <d v="2017-12-04T00:00:00"/>
    <n v="1"/>
    <s v="Familia Castro Jiménez"/>
    <s v="0426-543.4303"/>
    <s v="Calle Guacara Nro. 90-51"/>
    <s v="Cancelación Vigilancia, meses de Noviembre y Diciembre 2017"/>
    <x v="0"/>
    <m/>
    <s v="00702"/>
    <s v="04 de diciembre de 2017"/>
    <n v="4"/>
    <x v="13"/>
    <s v="1,00"/>
    <e v="#NAME?"/>
  </r>
  <r>
    <n v="703"/>
    <m/>
    <x v="0"/>
    <d v="2017-12-04T00:00:00"/>
    <n v="0.4"/>
    <s v="Familia Jiménez Salvatierra"/>
    <s v="0414-582.8909"/>
    <s v="Calle Güigüe Nro. 89-45"/>
    <s v="Cancelación Vigilancia, saldo mes de Noviembre y anticipo mes de Diciembre 2017"/>
    <x v="0"/>
    <m/>
    <s v="00703"/>
    <s v="04 de diciembre de 2017"/>
    <n v="4"/>
    <x v="13"/>
    <s v="0,40"/>
    <e v="#NAME?"/>
  </r>
  <r>
    <n v="704"/>
    <m/>
    <x v="0"/>
    <d v="2017-12-04T00:00:00"/>
    <n v="0.5"/>
    <s v="Familia Castillo Mena"/>
    <s v="emmecas@hotmail.com"/>
    <s v="Calle Güigüe Nro. 88-101"/>
    <s v="Cancelación Vigilancia, mes de Noviembre 2017"/>
    <x v="0"/>
    <m/>
    <s v="00704"/>
    <s v="04 de diciembre de 2017"/>
    <n v="4"/>
    <x v="13"/>
    <s v="0,50"/>
    <e v="#NAME?"/>
  </r>
  <r>
    <n v="705"/>
    <m/>
    <x v="0"/>
    <d v="2017-12-05T00:00:00"/>
    <n v="0.5"/>
    <s v="Familia Milanés Carmona"/>
    <s v="yndira11m@gmail.com"/>
    <s v="Calle Güigüe Nro. 89-65"/>
    <s v="Cancelación Vigilancia, mes de Diciembre 2017"/>
    <x v="0"/>
    <m/>
    <s v="00705"/>
    <s v="05 de diciembre de 2017"/>
    <n v="5"/>
    <x v="13"/>
    <s v="0,50"/>
    <e v="#NAME?"/>
  </r>
  <r>
    <n v="706"/>
    <m/>
    <x v="0"/>
    <d v="2017-12-05T00:00:00"/>
    <n v="0.5"/>
    <s v="Familia Del Negro Palermo"/>
    <s v="vdelnegro@gmail.com"/>
    <s v="Calle Guacara Nro. 88-45"/>
    <s v="Cancelación Vigilancia, mes de Diciembre 2017 (saldo a favor: Bs. 600.000)"/>
    <x v="0"/>
    <m/>
    <s v="00706"/>
    <s v="05 de diciembre de 2017"/>
    <n v="5"/>
    <x v="13"/>
    <s v="0,50"/>
    <e v="#NAME?"/>
  </r>
  <r>
    <n v="707"/>
    <m/>
    <x v="0"/>
    <d v="2017-12-05T00:00:00"/>
    <n v="0.5"/>
    <s v="Ely Saúl Rivero Gómez"/>
    <s v="hhs.admon@gmail.com"/>
    <s v="Av. &quot;Ñ&quot; Nro. 145-25"/>
    <s v="Cancelación Vigilancia, mes de Diciembre 2017 (saldo a favor: Bs. 65.000)"/>
    <x v="0"/>
    <m/>
    <s v="00707"/>
    <s v="05 de diciembre de 2017"/>
    <n v="5"/>
    <x v="13"/>
    <s v="0,50"/>
    <e v="#NAME?"/>
  </r>
  <r>
    <n v="708"/>
    <m/>
    <x v="0"/>
    <d v="2017-12-05T00:00:00"/>
    <n v="0.35"/>
    <s v="Chin Chun Ya (Goya)"/>
    <s v="uc2721@gmail.com"/>
    <s v="Calle Guacara Nro. 87-86"/>
    <s v="Colaboración Vigilancia, mes de Diciembre 2017"/>
    <x v="0"/>
    <m/>
    <s v="00708"/>
    <s v="05 de diciembre de 2017"/>
    <n v="5"/>
    <x v="13"/>
    <s v="0,35"/>
    <e v="#NAME?"/>
  </r>
  <r>
    <n v="709"/>
    <m/>
    <x v="0"/>
    <d v="2017-12-05T00:00:00"/>
    <n v="0.5"/>
    <s v="Familia Arcia Polanco"/>
    <s v="misipo29@gmail.com"/>
    <s v="Calle Guacara Nro. 89-20"/>
    <s v="Cancelación Vigilancia, mes de Diciembre 2017"/>
    <x v="0"/>
    <m/>
    <s v="00709"/>
    <s v="05 de diciembre de 2017"/>
    <n v="5"/>
    <x v="13"/>
    <s v="0,50"/>
    <e v="#NAME?"/>
  </r>
  <r>
    <n v="710"/>
    <m/>
    <x v="0"/>
    <d v="2017-12-05T00:00:00"/>
    <n v="0.5"/>
    <s v="Familia Durvelle Serrano"/>
    <s v="sdurvelle@hotmail.com"/>
    <s v="Calle Guacara Nro. 89-60"/>
    <s v="Cancelación Vigilancia, mes de Diciembre 2017"/>
    <x v="0"/>
    <m/>
    <s v="00710"/>
    <s v="05 de diciembre de 2017"/>
    <n v="5"/>
    <x v="13"/>
    <s v="0,50"/>
    <e v="#NAME?"/>
  </r>
  <r>
    <n v="711"/>
    <m/>
    <x v="0"/>
    <d v="2017-12-05T00:00:00"/>
    <n v="0.3"/>
    <s v="Héctor Hernández"/>
    <s v="eof64@hotmail.com"/>
    <s v="Calle Guacara Nro. 89-94"/>
    <s v="Colaboración Vigilancia, mes de Diciembre 2017"/>
    <x v="0"/>
    <m/>
    <s v="00711"/>
    <s v="05 de diciembre de 2017"/>
    <n v="5"/>
    <x v="13"/>
    <s v="0,30"/>
    <e v="#NAME?"/>
  </r>
  <r>
    <n v="712"/>
    <m/>
    <x v="0"/>
    <d v="2017-12-05T00:00:00"/>
    <n v="0.84000000000000008"/>
    <s v="Familia Fernández Parés"/>
    <s v="vultecca@gmail.com"/>
    <s v="Calle Guacara Nro. 88-75"/>
    <s v="Cancelación saldo Vigilancia, mes de Octubre 2017 y anticipo del mes de Noviembre 2017"/>
    <x v="0"/>
    <m/>
    <s v="00712"/>
    <s v="05 de diciembre de 2017"/>
    <n v="5"/>
    <x v="13"/>
    <s v="0,84"/>
    <e v="#NAME?"/>
  </r>
  <r>
    <n v="713"/>
    <m/>
    <x v="0"/>
    <d v="2017-12-06T00:00:00"/>
    <n v="1"/>
    <s v="Anahiz Seijas"/>
    <s v="anahiz_2@hotmail.es"/>
    <s v="Calle Güigüe Nro. 89-106"/>
    <s v="Cancelación Vigilancia, meses de Noviembre y Diciembre 2017"/>
    <x v="0"/>
    <m/>
    <s v="00713"/>
    <s v="06 de diciembre de 2017"/>
    <n v="6"/>
    <x v="13"/>
    <s v="1,00"/>
    <e v="#NAME?"/>
  </r>
  <r>
    <n v="714"/>
    <m/>
    <x v="0"/>
    <d v="2017-12-06T00:00:00"/>
    <n v="0.5"/>
    <s v="Familia Sayago Peñaranda"/>
    <s v="alexissayago@gmail.com"/>
    <s v="Calle Güigüe Nro. 89-04"/>
    <s v="Cancelación Vigilancia, mes de Diciembre 2017 (transferencia y Bs. 15.200 contra factura)"/>
    <x v="0"/>
    <m/>
    <s v="00714"/>
    <s v="06 de diciembre de 2017"/>
    <n v="6"/>
    <x v="13"/>
    <s v="0,50"/>
    <e v="#NAME?"/>
  </r>
  <r>
    <n v="715"/>
    <m/>
    <x v="0"/>
    <d v="2017-12-06T00:00:00"/>
    <n v="0.3"/>
    <s v="Familia Rodríguez Aular"/>
    <s v="mvaular@hotmail.com"/>
    <s v="Calle Güigüe Nro. 88-58"/>
    <s v="Colaboración Vigilancia, mes de Noviembre 2017"/>
    <x v="0"/>
    <m/>
    <s v="00715"/>
    <s v="06 de diciembre de 2017"/>
    <n v="6"/>
    <x v="13"/>
    <s v="0,30"/>
    <e v="#NAME?"/>
  </r>
  <r>
    <n v="716"/>
    <m/>
    <x v="0"/>
    <d v="2017-12-07T00:00:00"/>
    <n v="0.35"/>
    <s v="Familia Martínez Boada"/>
    <s v="florcitakmz@gmail.com"/>
    <s v="Calle Güigüe Nro. 88-62"/>
    <s v="Cancelación Vigilancia, mes de Agosto 2017"/>
    <x v="0"/>
    <m/>
    <s v="00716"/>
    <s v="07 de diciembre de 2017"/>
    <n v="7"/>
    <x v="13"/>
    <s v="0,35"/>
    <e v="#NAME?"/>
  </r>
  <r>
    <n v="717"/>
    <m/>
    <x v="0"/>
    <d v="2017-12-06T00:00:00"/>
    <n v="1.2"/>
    <s v="Zoraida Khair"/>
    <s v="zorakhair@hotmail.com"/>
    <s v="Calle Güigüe Nro. 88-80"/>
    <s v="Colaboración Vigilancia, meses de Octubre, Noviembre y Diciembre 2017"/>
    <x v="0"/>
    <m/>
    <s v="00717"/>
    <s v="06 de diciembre de 2017"/>
    <n v="6"/>
    <x v="13"/>
    <s v="1,20"/>
    <e v="#NAME?"/>
  </r>
  <r>
    <n v="718"/>
    <m/>
    <x v="0"/>
    <d v="2017-12-06T00:00:00"/>
    <n v="1"/>
    <s v="Familia Franco Gómez"/>
    <s v="eof64@hotmail.com"/>
    <s v="Calle Guacara Nro. 87-07"/>
    <s v="Colaboración Vigilancia, meses de Septiembre, Octubre, Noviembre y Diciembre 2017"/>
    <x v="0"/>
    <m/>
    <s v="00718"/>
    <s v="06 de diciembre de 2017"/>
    <n v="6"/>
    <x v="13"/>
    <s v="1,00"/>
    <e v="#NAME?"/>
  </r>
  <r>
    <n v="719"/>
    <m/>
    <x v="0"/>
    <d v="2017-12-07T00:00:00"/>
    <n v="1.1499999999999999"/>
    <s v="Familia Loponte Arteaga"/>
    <s v="nancyloponte@hotmail.com"/>
    <s v="Calle Güigüe Nro. 88-120"/>
    <s v="Cancelación Vigilancia, saldo mes de Noviembre y meses de Diciembre 2017 y Enero 2018"/>
    <x v="0"/>
    <m/>
    <s v="00719"/>
    <s v="07 de diciembre de 2017"/>
    <n v="7"/>
    <x v="13"/>
    <s v="1,15"/>
    <e v="#NAME?"/>
  </r>
  <r>
    <n v="720"/>
    <m/>
    <x v="0"/>
    <d v="2017-12-07T00:00:00"/>
    <n v="0.5"/>
    <s v="Familia Barreto Pérez"/>
    <s v="bbetsa19@hotmail.com"/>
    <s v="Av. &quot;M&quot; Nro. 146-15"/>
    <s v="Cancelación Vigilancia, mes de Noviembre 2017"/>
    <x v="0"/>
    <m/>
    <s v="00720"/>
    <s v="07 de diciembre de 2017"/>
    <n v="7"/>
    <x v="13"/>
    <s v="0,50"/>
    <e v="#NAME?"/>
  </r>
  <r>
    <n v="721"/>
    <m/>
    <x v="0"/>
    <d v="2017-12-07T00:00:00"/>
    <n v="0.5"/>
    <s v="Familia Colosso Delgado"/>
    <s v="mcolosso@gmail.com"/>
    <s v="Calle Güigüe Nro. 88-44"/>
    <s v="Cancelación Vigilancia, mes de Diciembre 2017"/>
    <x v="0"/>
    <m/>
    <s v="00721"/>
    <s v="07 de diciembre de 2017"/>
    <n v="7"/>
    <x v="13"/>
    <s v="0,50"/>
    <e v="#NAME?"/>
  </r>
  <r>
    <n v="722"/>
    <m/>
    <x v="0"/>
    <d v="2017-12-08T00:00:00"/>
    <n v="0.54"/>
    <s v="La Casita Encantada"/>
    <s v="En Físico"/>
    <s v="Av. &quot;M&quot; Nro. 146-30"/>
    <s v="Cancelación Vigilancia, mes de Diciembre 2017"/>
    <x v="0"/>
    <m/>
    <s v="00722"/>
    <s v="08 de diciembre de 2017"/>
    <n v="8"/>
    <x v="13"/>
    <s v="0,54"/>
    <e v="#NAME?"/>
  </r>
  <r>
    <n v="723"/>
    <m/>
    <x v="0"/>
    <d v="2017-12-08T00:00:00"/>
    <n v="0.5"/>
    <s v="Familia Lomeña Agudo"/>
    <s v="claudialomena@hotmail.com"/>
    <s v="Calle Guacara Nro. 89-30"/>
    <s v="Cancelación Vigilancia, mes de Diciembre 2017"/>
    <x v="0"/>
    <m/>
    <s v="00723"/>
    <s v="08 de diciembre de 2017"/>
    <n v="8"/>
    <x v="13"/>
    <s v="0,50"/>
    <e v="#NAME?"/>
  </r>
  <r>
    <n v="724"/>
    <m/>
    <x v="0"/>
    <d v="2017-12-08T00:00:00"/>
    <n v="0.2"/>
    <s v="Familia Santos Carrillo"/>
    <s v="briceidamp@hotmail.com"/>
    <s v="Calle Guacara Nro. 90-93"/>
    <s v="Colaboración Vigilancia, mes de Diciembre 2017"/>
    <x v="0"/>
    <m/>
    <s v="00724"/>
    <s v="08 de diciembre de 2017"/>
    <n v="8"/>
    <x v="13"/>
    <s v="0,20"/>
    <e v="#NAME?"/>
  </r>
  <r>
    <n v="725"/>
    <m/>
    <x v="0"/>
    <d v="2017-12-12T00:00:00"/>
    <n v="0.71"/>
    <s v="Colegio El Trigal"/>
    <s v="En Físico"/>
    <s v="Calle Güigüe Nros. 88-71 y 88-81"/>
    <s v="Cancelación Vigilancia, mes de Diciembre 2017"/>
    <x v="0"/>
    <m/>
    <s v="00725"/>
    <s v="12 de diciembre de 2017"/>
    <n v="12"/>
    <x v="13"/>
    <s v="0,71"/>
    <e v="#NAME?"/>
  </r>
  <r>
    <n v="726"/>
    <m/>
    <x v="0"/>
    <d v="2017-12-12T00:00:00"/>
    <n v="0.5"/>
    <s v="Familia Puerta Burguillos"/>
    <s v="namaricakes@gmail.com"/>
    <s v="Calle Guacara Nro. 87-100"/>
    <s v="Cancelación Vigilancia, mes de Diciembre 2017"/>
    <x v="0"/>
    <m/>
    <s v="00726"/>
    <s v="12 de diciembre de 2017"/>
    <n v="12"/>
    <x v="13"/>
    <s v="0,50"/>
    <e v="#NAME?"/>
  </r>
  <r>
    <n v="727"/>
    <m/>
    <x v="0"/>
    <d v="2017-12-12T00:00:00"/>
    <n v="0.4"/>
    <s v="Familia Kablan Sarmiento"/>
    <s v="norisjsb56@hotmail.com"/>
    <s v="Calle Güigüe Nro. 89-80"/>
    <s v="Colaboración Vigilancia, mes de Diciembre 2017"/>
    <x v="0"/>
    <m/>
    <s v="00727"/>
    <s v="12 de diciembre de 2017"/>
    <n v="12"/>
    <x v="13"/>
    <s v="0,40"/>
    <e v="#NAME?"/>
  </r>
  <r>
    <n v="728"/>
    <m/>
    <x v="0"/>
    <d v="2017-12-13T00:00:00"/>
    <n v="0.5"/>
    <s v="Familia Fermín Rivas"/>
    <s v="angelferminb@gmail.com"/>
    <s v="Calle Güigüe Nro. 89-55"/>
    <s v="Cancelación Vigilancia, mes de Diciembre 2017"/>
    <x v="0"/>
    <m/>
    <s v="00728"/>
    <s v="13 de diciembre de 2017"/>
    <n v="13"/>
    <x v="13"/>
    <s v="0,50"/>
    <e v="#NAME?"/>
  </r>
  <r>
    <n v="729"/>
    <m/>
    <x v="0"/>
    <d v="2017-12-11T00:00:00"/>
    <n v="0.3"/>
    <s v="Familia Machado Stoppa"/>
    <s v="machadoru@hotmail.com"/>
    <s v="Calle Guacara Nro. 88-85"/>
    <s v="Colaboración Vigilancia, mes de Octubre 2017"/>
    <x v="0"/>
    <m/>
    <s v="00729"/>
    <s v="11 de diciembre de 2017"/>
    <n v="11"/>
    <x v="13"/>
    <s v="0,30"/>
    <e v="#NAME?"/>
  </r>
  <r>
    <n v="730"/>
    <m/>
    <x v="0"/>
    <d v="2017-12-11T00:00:00"/>
    <n v="0.4"/>
    <s v="Familia Machado Stoppa"/>
    <s v="machadoru@hotmail.com"/>
    <s v="Calle Guacara Nro. 88-85"/>
    <s v="Colaboración Vigilancia, mes de Noviembre 2017"/>
    <x v="0"/>
    <m/>
    <s v="00730"/>
    <s v="11 de diciembre de 2017"/>
    <n v="11"/>
    <x v="13"/>
    <s v="0,40"/>
    <e v="#NAME?"/>
  </r>
  <r>
    <n v="731"/>
    <m/>
    <x v="0"/>
    <d v="2017-12-10T00:00:00"/>
    <n v="0.85"/>
    <s v="Familia Acosta Carpio"/>
    <s v="pablo962@hotmail.com"/>
    <s v="Calle Güigüe Nro. 89-10"/>
    <s v="Cancelación Vigilancia, meses de Octubre y Diciembre 2017"/>
    <x v="0"/>
    <m/>
    <s v="00731"/>
    <s v="10 de diciembre de 2017"/>
    <n v="10"/>
    <x v="13"/>
    <s v="0,85"/>
    <e v="#NAME?"/>
  </r>
  <r>
    <n v="732"/>
    <m/>
    <x v="0"/>
    <d v="2017-12-13T00:00:00"/>
    <n v="0.5"/>
    <s v="Familia Navarro Assing"/>
    <s v="liliaassing@gmail.com"/>
    <s v="Calle Güigüe Nro. 88-54"/>
    <s v="Cancelación Vigilancia, mes de Diciembre 2017"/>
    <x v="0"/>
    <m/>
    <s v="00732"/>
    <s v="13 de diciembre de 2017"/>
    <n v="13"/>
    <x v="13"/>
    <s v="0,50"/>
    <e v="#NAME?"/>
  </r>
  <r>
    <n v="733"/>
    <m/>
    <x v="0"/>
    <d v="2017-12-15T00:00:00"/>
    <n v="1"/>
    <s v="Familia Nava Gordon"/>
    <s v="maru_19_66@hotmail.com"/>
    <s v="Calle Guacara Nro. 89-78"/>
    <s v="Cancelación Vigilancia, meses de Noviembre y Diciembre 2017"/>
    <x v="0"/>
    <m/>
    <s v="00733"/>
    <s v="15 de diciembre de 2017"/>
    <n v="15"/>
    <x v="13"/>
    <s v="1,00"/>
    <e v="#NAME?"/>
  </r>
  <r>
    <n v="734"/>
    <m/>
    <x v="0"/>
    <d v="2017-10-11T00:00:00"/>
    <n v="0.35"/>
    <s v="Familia Astor Zamora"/>
    <s v="imzastor@gmail.com"/>
    <s v="Calle Güigüe Nro. 88-111"/>
    <s v="Cancelación Vigilancia, mes de Agosto 2017"/>
    <x v="0"/>
    <m/>
    <s v="00734"/>
    <s v="11 de octubre de 2017"/>
    <n v="11"/>
    <x v="11"/>
    <s v="0,35"/>
    <e v="#NAME?"/>
  </r>
  <r>
    <n v="735"/>
    <m/>
    <x v="0"/>
    <d v="2017-07-07T00:00:00"/>
    <n v="0.03"/>
    <s v="Ma. de Jesus Alonso"/>
    <s v="marjoriealonsoh@hotmail.com"/>
    <s v="Calle Güigüe Nro. 88-30"/>
    <s v="Colaboración Vigilancia, mes de Junio 2017"/>
    <x v="0"/>
    <m/>
    <s v="00735"/>
    <s v="07 de julio de 2017"/>
    <n v="7"/>
    <x v="8"/>
    <s v="0,03"/>
    <e v="#NAME?"/>
  </r>
  <r>
    <n v="736"/>
    <m/>
    <x v="0"/>
    <d v="2017-12-17T00:00:00"/>
    <n v="0.5"/>
    <s v="Familia Díaz González"/>
    <s v="luisrdt57@gmail.com"/>
    <s v="Calle Güigüe Nro. 88-116"/>
    <s v="Cancelación Vigilancia, mes de Diciembre 2017"/>
    <x v="0"/>
    <m/>
    <s v="00736"/>
    <s v="17 de diciembre de 2017"/>
    <n v="17"/>
    <x v="13"/>
    <s v="0,50"/>
    <e v="#NAME?"/>
  </r>
  <r>
    <n v="737"/>
    <m/>
    <x v="0"/>
    <d v="2017-12-18T00:00:00"/>
    <n v="0.5"/>
    <s v="Familia Romero"/>
    <s v="autoescuela21@gmail.com"/>
    <s v="Calle Guacara Nro. 89-50"/>
    <s v="Cancelación Vigilancia, mes de Diciembre 2017"/>
    <x v="0"/>
    <m/>
    <s v="00737"/>
    <s v="18 de diciembre de 2017"/>
    <n v="18"/>
    <x v="13"/>
    <s v="0,50"/>
    <e v="#NAME?"/>
  </r>
  <r>
    <n v="738"/>
    <m/>
    <x v="0"/>
    <d v="2017-12-19T00:00:00"/>
    <n v="0.6"/>
    <s v="Gloria Molina"/>
    <s v="glomola2@yahoo.es"/>
    <s v="Calle Güigüe Nro. 89-71"/>
    <s v="Colaboración Vigilancia, meses de Octubre, Noviembre y Diciembre 2017"/>
    <x v="0"/>
    <m/>
    <s v="00738"/>
    <s v="19 de diciembre de 2017"/>
    <n v="19"/>
    <x v="13"/>
    <s v="0,60"/>
    <e v="#NAME?"/>
  </r>
  <r>
    <n v="739"/>
    <m/>
    <x v="0"/>
    <d v="2017-12-20T00:00:00"/>
    <n v="1.35"/>
    <s v="Familia Ochoa Mendoza"/>
    <s v="marisoljudithm@hotmail.com"/>
    <s v="Calle Güigüe Nro. 89-105"/>
    <s v="Cancelación Vigilancia, meses de Octubre, Noviembre y Diciembre 2017"/>
    <x v="0"/>
    <m/>
    <s v="00739"/>
    <s v="20 de diciembre de 2017"/>
    <n v="20"/>
    <x v="13"/>
    <s v="1,35"/>
    <e v="#NAME?"/>
  </r>
  <r>
    <n v="740"/>
    <m/>
    <x v="0"/>
    <d v="2017-12-20T00:00:00"/>
    <n v="0.4"/>
    <s v="Familia Machado Stoppa"/>
    <s v="machadoru@hotmail.com"/>
    <s v="Calle Guacara Nro. 88-85"/>
    <s v="Colaboración Vigilancia, mes de Diciembre 2017"/>
    <x v="0"/>
    <m/>
    <s v="00740"/>
    <s v="20 de diciembre de 2017"/>
    <n v="20"/>
    <x v="13"/>
    <s v="0,40"/>
    <e v="#NAME?"/>
  </r>
  <r>
    <n v="741"/>
    <m/>
    <x v="0"/>
    <d v="2017-12-20T00:00:00"/>
    <n v="0.25"/>
    <s v="Familia Jiménez Salvatierra"/>
    <s v="0414-582.8909"/>
    <s v="Calle Güigüe Nro. 89-45"/>
    <s v="Cancelación Vigilancia, saldo mes de Diciembre 2017"/>
    <x v="0"/>
    <m/>
    <s v="00741"/>
    <s v="20 de diciembre de 2017"/>
    <n v="20"/>
    <x v="13"/>
    <s v="0,25"/>
    <e v="#NAME?"/>
  </r>
  <r>
    <n v="742"/>
    <m/>
    <x v="0"/>
    <d v="2017-12-22T00:00:00"/>
    <n v="0.17"/>
    <s v="Familia Rodríguez Landaeta"/>
    <s v="mrl58@hotmail.com"/>
    <s v="Calle Güigüe Nro. 89-29"/>
    <s v="Colaboración Vigilancia, mes de Diciembre 2017"/>
    <x v="0"/>
    <m/>
    <s v="00742"/>
    <s v="22 de diciembre de 2017"/>
    <n v="22"/>
    <x v="13"/>
    <s v="0,17"/>
    <e v="#NAME?"/>
  </r>
  <r>
    <n v="743"/>
    <m/>
    <x v="0"/>
    <d v="2017-12-22T00:00:00"/>
    <n v="0.15"/>
    <s v="Victoria Francischiello"/>
    <s v="victoriafrancischiello@hotmail.com"/>
    <s v="Calle Guacara Nro. 88-25"/>
    <s v="Colaboración Vigilancia, mes de Noviembre 2017"/>
    <x v="0"/>
    <m/>
    <s v="00743"/>
    <s v="22 de diciembre de 2017"/>
    <n v="22"/>
    <x v="13"/>
    <s v="0,15"/>
    <e v="#NAME?"/>
  </r>
  <r>
    <n v="744"/>
    <m/>
    <x v="0"/>
    <d v="2017-12-23T00:00:00"/>
    <n v="1"/>
    <s v="Familia Piñero Padilla"/>
    <s v="achepaul2005@hotmail.com"/>
    <s v="Calle Güigüe Nro. 89-21"/>
    <s v="Cancelación Vigilancia, meses de Diciembre 2017 y Enero 2018"/>
    <x v="0"/>
    <m/>
    <s v="00744"/>
    <s v="23 de diciembre de 2017"/>
    <n v="23"/>
    <x v="13"/>
    <s v="1,00"/>
    <e v="#NAME?"/>
  </r>
  <r>
    <n v="745"/>
    <m/>
    <x v="0"/>
    <d v="2017-12-26T00:00:00"/>
    <n v="1"/>
    <s v="Familia Hurtado"/>
    <s v="En Físico"/>
    <s v="Av. &quot;O&quot; Nro. 146-11"/>
    <s v="Cancelación Vigilancia, ajuste mes de Noviembre, cancelación mes de Diciembre 2017 y anticipo mes de Enero 2018"/>
    <x v="0"/>
    <m/>
    <s v="00745"/>
    <s v="26 de diciembre de 2017"/>
    <n v="26"/>
    <x v="13"/>
    <s v="1,00"/>
    <e v="#NAME?"/>
  </r>
  <r>
    <n v="746"/>
    <m/>
    <x v="0"/>
    <d v="2017-12-26T00:00:00"/>
    <n v="0.5"/>
    <s v="Beatriz Lara"/>
    <s v="valentina.gutierrez@hotmail.com"/>
    <s v="Calle Guacara Nro. 89-130"/>
    <s v="Cancelación Vigilancia, mes de Diciembre 2017"/>
    <x v="0"/>
    <m/>
    <s v="00746"/>
    <s v="26 de diciembre de 2017"/>
    <n v="26"/>
    <x v="13"/>
    <s v="0,50"/>
    <e v="#NAME?"/>
  </r>
  <r>
    <n v="747"/>
    <m/>
    <x v="0"/>
    <d v="2017-12-23T00:00:00"/>
    <n v="0.5"/>
    <s v="Familia Castillo Mena"/>
    <s v="emmecas@hotmail.com"/>
    <s v="Calle Güigüe Nro. 88-101"/>
    <s v="Cancelación Vigilancia, mes de Diciembre 2017"/>
    <x v="0"/>
    <m/>
    <s v="00747"/>
    <s v="23 de diciembre de 2017"/>
    <n v="23"/>
    <x v="13"/>
    <s v="0,50"/>
    <e v="#NAME?"/>
  </r>
  <r>
    <n v="748"/>
    <m/>
    <x v="0"/>
    <d v="2017-12-26T00:00:00"/>
    <n v="0.2"/>
    <s v="Familia Chávez Hernández"/>
    <s v="mercedesch23@hotmail.com"/>
    <s v="Calle Güigüe Nro. 88-20"/>
    <s v="Colaboración Vigilancia, meses de Noviembre y Diciembre 2017"/>
    <x v="0"/>
    <m/>
    <s v="00748"/>
    <s v="26 de diciembre de 2017"/>
    <n v="26"/>
    <x v="13"/>
    <s v="0,20"/>
    <e v="#NAME?"/>
  </r>
  <r>
    <n v="749"/>
    <m/>
    <x v="0"/>
    <d v="2017-12-26T00:00:00"/>
    <n v="0.5"/>
    <s v="Familia Alonso Rojas"/>
    <s v="redjc01@gmail.com"/>
    <s v="Calle Güigüe Nro. 89-54"/>
    <s v="Cancelación Vigilancia, mes de Enero 2018"/>
    <x v="0"/>
    <m/>
    <s v="00749"/>
    <s v="26 de diciembre de 2017"/>
    <n v="26"/>
    <x v="13"/>
    <s v="0,50"/>
    <e v="#NAME?"/>
  </r>
  <r>
    <n v="750"/>
    <m/>
    <x v="0"/>
    <d v="2017-12-27T00:00:00"/>
    <n v="0.25"/>
    <s v="Familia Rivero"/>
    <s v="En Físico"/>
    <s v="Calle Güigüe Nro. 88-40"/>
    <s v="Colaboración Vigilancia, mes de Noviembre 2017"/>
    <x v="0"/>
    <m/>
    <s v="00750"/>
    <s v="27 de diciembre de 2017"/>
    <n v="27"/>
    <x v="13"/>
    <s v="0,25"/>
    <e v="#NAME?"/>
  </r>
  <r>
    <n v="751"/>
    <m/>
    <x v="0"/>
    <d v="2017-12-29T00:00:00"/>
    <n v="1"/>
    <s v="Familia Scabuzzo Gómez"/>
    <s v="sfscabuzzo@msn.com"/>
    <s v="Av. &quot;I&quot; Nro. 146-20"/>
    <s v="Cancelación Vigilancia, meses de Noviembre y Diciembre 2017"/>
    <x v="0"/>
    <m/>
    <s v="00751"/>
    <s v="29 de diciembre de 2017"/>
    <n v="29"/>
    <x v="13"/>
    <s v="1,00"/>
    <e v="#NAME?"/>
  </r>
  <r>
    <n v="752"/>
    <m/>
    <x v="0"/>
    <d v="2018-01-02T00:00:00"/>
    <n v="0.3"/>
    <s v="Héctor Hernández"/>
    <s v="eof64@hotmail.com"/>
    <s v="Calle Guacara Nro. 89-94"/>
    <s v="Colaboración Vigilancia, mes de Enero 2018"/>
    <x v="0"/>
    <m/>
    <s v="00752"/>
    <s v="02 de enero de 2018"/>
    <n v="2"/>
    <x v="14"/>
    <s v="0,30"/>
    <e v="#NAME?"/>
  </r>
  <r>
    <n v="753"/>
    <m/>
    <x v="0"/>
    <d v="2018-01-02T00:00:00"/>
    <n v="0.3"/>
    <s v="Familia Méndez Parra"/>
    <s v="briceidamp@hotmail.com"/>
    <s v="Calle Guacara Nro. 88-19"/>
    <s v="Colaboración Vigilancia, mes de Diciembre 2017"/>
    <x v="0"/>
    <m/>
    <s v="00753"/>
    <s v="02 de enero de 2018"/>
    <n v="2"/>
    <x v="14"/>
    <s v="0,30"/>
    <e v="#NAME?"/>
  </r>
  <r>
    <n v="754"/>
    <m/>
    <x v="0"/>
    <d v="2018-01-04T00:00:00"/>
    <n v="0.45"/>
    <s v="Victoria Francischiello"/>
    <s v="victoriafrancischiello@hotmail.com"/>
    <s v="Calle Guacara Nro. 88-25"/>
    <s v="Colaboración Vigilancia, mes de Diciembre 2017"/>
    <x v="0"/>
    <m/>
    <s v="00754"/>
    <s v="04 de enero de 2018"/>
    <n v="4"/>
    <x v="14"/>
    <s v="0,45"/>
    <e v="#NAME?"/>
  </r>
  <r>
    <n v="755"/>
    <m/>
    <x v="0"/>
    <d v="2017-12-29T00:00:00"/>
    <n v="0.5"/>
    <s v="Familia Durvelle Serrano"/>
    <s v="sdurvelle@hotmail.com"/>
    <s v="Calle Guacara Nro. 89-60"/>
    <s v="Anticipo Vigilancia, mes de Enero 2018"/>
    <x v="0"/>
    <m/>
    <s v="00755"/>
    <s v="29 de diciembre de 2017"/>
    <n v="29"/>
    <x v="13"/>
    <s v="0,50"/>
    <e v="#NAME?"/>
  </r>
  <r>
    <n v="756"/>
    <m/>
    <x v="0"/>
    <d v="2018-01-07T00:00:00"/>
    <n v="0.5"/>
    <s v="Familia Arcia Polanco"/>
    <s v="misipo29@gmail.com"/>
    <s v="Calle Guacara Nro. 89-20"/>
    <s v="Anticipo Vigilancia, mes de Enero 2018"/>
    <x v="0"/>
    <m/>
    <s v="00756"/>
    <s v="07 de enero de 2018"/>
    <n v="7"/>
    <x v="14"/>
    <s v="0,50"/>
    <e v="#NAME?"/>
  </r>
  <r>
    <n v="757"/>
    <m/>
    <x v="0"/>
    <d v="2018-01-10T00:00:00"/>
    <n v="0.5"/>
    <s v="Familia López Hermoso"/>
    <s v="lopez.humberto14@yahoo.com.ve"/>
    <s v="Calle Güigüe Nro. 89-79"/>
    <s v="Cancelación Vigilancia, mes de Diciembre 2017"/>
    <x v="0"/>
    <m/>
    <s v="00757"/>
    <s v="10 de enero de 2018"/>
    <n v="10"/>
    <x v="14"/>
    <s v="0,50"/>
    <e v="#NAME?"/>
  </r>
  <r>
    <n v="758"/>
    <m/>
    <x v="0"/>
    <d v="2018-01-10T00:00:00"/>
    <n v="0.3"/>
    <s v="Familia Arcia Polanco"/>
    <s v="misipo29@gmail.com"/>
    <s v="Calle Guacara Nro. 89-20"/>
    <s v="Cancelación saldo Vigilancia, mes de Enero 2018"/>
    <x v="0"/>
    <m/>
    <s v="00758"/>
    <s v="10 de enero de 2018"/>
    <n v="10"/>
    <x v="14"/>
    <s v="0,30"/>
    <e v="#NAME?"/>
  </r>
  <r>
    <n v="759"/>
    <m/>
    <x v="0"/>
    <d v="2018-01-10T00:00:00"/>
    <n v="0.3"/>
    <s v="Familia Alonso Rojas"/>
    <s v="redjc01@gmail.com"/>
    <s v="Calle Güigüe Nro. 89-54"/>
    <s v="Cancelación saldo Vigilancia, mes de Enero 2018"/>
    <x v="0"/>
    <m/>
    <s v="00759"/>
    <s v="10 de enero de 2018"/>
    <n v="10"/>
    <x v="14"/>
    <s v="0,30"/>
    <e v="#NAME?"/>
  </r>
  <r>
    <n v="760"/>
    <m/>
    <x v="0"/>
    <d v="2018-01-10T00:00:00"/>
    <n v="0.8"/>
    <s v="Familia Del Negro Palermo"/>
    <s v="vdelnegro@gmail.com"/>
    <s v="Calle Guacara Nro. 88-45"/>
    <s v="Cancelación Vigilancia, mes de Enero 2018 (saldo a favor: Bs. 880.000)"/>
    <x v="0"/>
    <m/>
    <s v="00760"/>
    <s v="10 de enero de 2018"/>
    <n v="10"/>
    <x v="14"/>
    <s v="0,80"/>
    <e v="#NAME?"/>
  </r>
  <r>
    <n v="761"/>
    <m/>
    <x v="0"/>
    <d v="2018-01-10T00:00:00"/>
    <n v="0.5"/>
    <s v="Familia Delgado Hidalgo"/>
    <s v="ardh@hotmail.com"/>
    <s v="Calle Güigüe Nro. 88-10"/>
    <s v="Cancelación Vigilancia, mes de Diciembre 2017"/>
    <x v="0"/>
    <m/>
    <s v="00761"/>
    <s v="10 de enero de 2018"/>
    <n v="10"/>
    <x v="14"/>
    <s v="0,50"/>
    <e v="#NAME?"/>
  </r>
  <r>
    <n v="762"/>
    <m/>
    <x v="0"/>
    <d v="2018-01-10T00:00:00"/>
    <n v="1.3"/>
    <s v="Familia Fernández Parés"/>
    <s v="vultecca@gmail.com"/>
    <s v="Calle Guacara Nro. 88-75"/>
    <s v="Cancelación Vigilancia, meses de Diciembre 2017 y Enero 2018"/>
    <x v="0"/>
    <m/>
    <s v="00762"/>
    <s v="10 de enero de 2018"/>
    <n v="10"/>
    <x v="14"/>
    <s v="1,30"/>
    <e v="#NAME?"/>
  </r>
  <r>
    <n v="763"/>
    <m/>
    <x v="0"/>
    <d v="2018-01-10T00:00:00"/>
    <n v="0.8"/>
    <s v="Familia Lomeña Agudo"/>
    <s v="claudialomena@hotmail.com"/>
    <s v="Calle Guacara Nro. 89-30"/>
    <s v="Cancelación Vigilancia, mes de Enero 2018"/>
    <x v="0"/>
    <m/>
    <s v="00763"/>
    <s v="10 de enero de 2018"/>
    <n v="10"/>
    <x v="14"/>
    <s v="0,80"/>
    <e v="#NAME?"/>
  </r>
  <r>
    <n v="764"/>
    <m/>
    <x v="0"/>
    <d v="2018-01-10T00:00:00"/>
    <n v="0.7"/>
    <s v="Familia Il Grande Franceschi"/>
    <s v="arcifran75@hotmail.com"/>
    <s v="Av. &quot;I&quot; Nro. 146-40"/>
    <s v="Cancelación Vigilancia, mes de Noviembre y anticipo mes de Diciembre 2017 (Bs. 21.000)"/>
    <x v="0"/>
    <m/>
    <s v="00764"/>
    <s v="10 de enero de 2018"/>
    <n v="10"/>
    <x v="14"/>
    <s v="0,70"/>
    <e v="#NAME?"/>
  </r>
  <r>
    <n v="765"/>
    <m/>
    <x v="0"/>
    <d v="2018-01-11T00:00:00"/>
    <n v="1.6"/>
    <s v="Familia Hatem Medina"/>
    <s v="hhatem1@hotmail.com"/>
    <s v="Calle Guacara Nro. 88-51"/>
    <s v="Cancelación Vigilancia, saldo mes de Enero, y Anticipo Vigilancia meses de Febrero 2018 (Bs. 80.000) y Febrero 2018 (Bs. 5.850)"/>
    <x v="0"/>
    <m/>
    <s v="00765"/>
    <s v="11 de enero de 2018"/>
    <n v="11"/>
    <x v="14"/>
    <s v="1,60"/>
    <e v="#NAME?"/>
  </r>
  <r>
    <n v="766"/>
    <m/>
    <x v="0"/>
    <d v="2018-01-11T00:00:00"/>
    <n v="0.8"/>
    <s v="Familia Sayago Peñaranda"/>
    <s v="alexissayago@gmail.com"/>
    <s v="Calle Güigüe Nro. 89-04"/>
    <s v="Cancelación Vigilancia, mes de Enero 2018"/>
    <x v="0"/>
    <m/>
    <s v="00766"/>
    <s v="11 de enero de 2018"/>
    <n v="11"/>
    <x v="14"/>
    <s v="0,80"/>
    <e v="#NAME?"/>
  </r>
  <r>
    <n v="767"/>
    <m/>
    <x v="0"/>
    <d v="2018-01-11T00:00:00"/>
    <n v="0.8"/>
    <s v="Familia Flores Montagne"/>
    <s v="martaflores@gmail.com"/>
    <s v="Av. &quot;M&quot; Nro. 146-20"/>
    <s v="Cancelación Vigilancia, mes de Enero 2018"/>
    <x v="0"/>
    <m/>
    <s v="00767"/>
    <s v="11 de enero de 2018"/>
    <n v="11"/>
    <x v="14"/>
    <s v="0,80"/>
    <e v="#NAME?"/>
  </r>
  <r>
    <n v="768"/>
    <m/>
    <x v="0"/>
    <d v="2018-01-11T00:00:00"/>
    <n v="1"/>
    <s v="Familia Jiménez Navarro"/>
    <s v="joyasonline2012@gmail.com"/>
    <s v="Calle Güigüe Nro. 88-50"/>
    <s v="Cancelación Vigilancia, meses de Noviembre y Diciembre 2017"/>
    <x v="0"/>
    <m/>
    <s v="00768"/>
    <s v="11 de enero de 2018"/>
    <n v="11"/>
    <x v="14"/>
    <s v="1,00"/>
    <e v="#NAME?"/>
  </r>
  <r>
    <n v="769"/>
    <m/>
    <x v="0"/>
    <d v="2018-01-11T00:00:00"/>
    <n v="0.8"/>
    <s v="Familia Delgado Hidalgo"/>
    <s v="ardh@hotmail.com"/>
    <s v="Calle Güigüe Nro. 88-10"/>
    <s v="Cancelación Vigilancia, mes de Enero 2018"/>
    <x v="0"/>
    <m/>
    <s v="00769"/>
    <s v="11 de enero de 2018"/>
    <n v="11"/>
    <x v="14"/>
    <s v="0,80"/>
    <e v="#NAME?"/>
  </r>
  <r>
    <n v="770"/>
    <m/>
    <x v="0"/>
    <d v="2018-01-11T00:00:00"/>
    <n v="0.8"/>
    <s v="Familia Narváez Caldera"/>
    <s v="jeannette_nc@yahoo.com"/>
    <s v="Calle Güigüe Nro. 87-A-11"/>
    <s v="Cancelación Vigilancia, mes de Enero 2018"/>
    <x v="0"/>
    <m/>
    <s v="00770"/>
    <s v="11 de enero de 2018"/>
    <n v="11"/>
    <x v="14"/>
    <s v="0,80"/>
    <e v="#NAME?"/>
  </r>
  <r>
    <n v="771"/>
    <m/>
    <x v="0"/>
    <d v="2018-01-11T00:00:00"/>
    <n v="0.8"/>
    <s v="Familia Colosso Delgado"/>
    <s v="mcolosso@gmail.com"/>
    <s v="Calle Güigüe Nro. 88-44"/>
    <s v="Cancelación Vigilancia, mes de Enero 2018"/>
    <x v="0"/>
    <m/>
    <s v="00771"/>
    <s v="11 de enero de 2018"/>
    <n v="11"/>
    <x v="14"/>
    <s v="0,80"/>
    <e v="#NAME?"/>
  </r>
  <r>
    <n v="772"/>
    <m/>
    <x v="0"/>
    <d v="2018-01-12T00:00:00"/>
    <n v="1.6"/>
    <s v="Familia González Arévalo"/>
    <s v="feryenis@hotmail.com"/>
    <s v="Calle Guacara Nro. 89-86"/>
    <s v="Cancelación Vigilancia, meses de Enero y Febrero 2018"/>
    <x v="0"/>
    <m/>
    <s v="00772"/>
    <s v="12 de enero de 2018"/>
    <n v="12"/>
    <x v="14"/>
    <s v="1,60"/>
    <e v="#NAME?"/>
  </r>
  <r>
    <n v="773"/>
    <m/>
    <x v="0"/>
    <d v="2018-01-13T00:00:00"/>
    <n v="0.8"/>
    <s v="Beatriz Lara"/>
    <s v="valentina.gutierrez@hotmail.com"/>
    <s v="Calle Guacara Nro. 89-130"/>
    <s v="Cancelación Vigilancia, mes de Enero 2018"/>
    <x v="0"/>
    <m/>
    <s v="00773"/>
    <s v="13 de enero de 2018"/>
    <n v="13"/>
    <x v="14"/>
    <s v="0,80"/>
    <e v="#NAME?"/>
  </r>
  <r>
    <n v="774"/>
    <m/>
    <x v="0"/>
    <d v="2018-01-14T00:00:00"/>
    <n v="1"/>
    <s v="Familia Romero"/>
    <s v="autoescuela21@gmail.com"/>
    <s v="Calle Guacara Nro. 89-50"/>
    <s v="Colaboración Vigilancia, meses de Enero y Febrero 2018"/>
    <x v="0"/>
    <m/>
    <s v="00774"/>
    <s v="14 de enero de 2018"/>
    <n v="14"/>
    <x v="14"/>
    <s v="1,00"/>
    <e v="#NAME?"/>
  </r>
  <r>
    <n v="775"/>
    <m/>
    <x v="0"/>
    <d v="2018-01-16T00:00:00"/>
    <n v="0.4"/>
    <s v="Familia Rodríguez Aular"/>
    <s v="mvaular@hotmail.com"/>
    <s v="Calle Güigüe Nro. 88-58"/>
    <s v="Colaboración Vigilancia, mes de Enero 2018"/>
    <x v="0"/>
    <m/>
    <s v="00775"/>
    <s v="16 de enero de 2018"/>
    <n v="16"/>
    <x v="14"/>
    <s v="0,40"/>
    <e v="#NAME?"/>
  </r>
  <r>
    <n v="776"/>
    <m/>
    <x v="0"/>
    <d v="2018-01-17T00:00:00"/>
    <n v="0.8"/>
    <s v="Familia Díaz González"/>
    <s v="luisrdt57@gmail.com"/>
    <s v="Calle Güigüe Nro. 88-116"/>
    <s v="Cancelación Vigilancia, mes de Enero 2018"/>
    <x v="0"/>
    <m/>
    <s v="00776"/>
    <s v="17 de enero de 2018"/>
    <n v="17"/>
    <x v="14"/>
    <s v="0,80"/>
    <e v="#NAME?"/>
  </r>
  <r>
    <n v="777"/>
    <m/>
    <x v="0"/>
    <d v="2018-01-18T00:00:00"/>
    <n v="0.8"/>
    <s v="Familia López Hermoso"/>
    <s v="lopez.humberto14@yahoo.com.ve"/>
    <s v="Calle Güigüe Nro. 89-79"/>
    <s v="Cancelación Vigilancia, mes de Enero 2018"/>
    <x v="0"/>
    <m/>
    <s v="00777"/>
    <s v="18 de enero de 2018"/>
    <n v="18"/>
    <x v="14"/>
    <s v="0,80"/>
    <e v="#NAME?"/>
  </r>
  <r>
    <n v="778"/>
    <m/>
    <x v="0"/>
    <d v="2018-01-18T00:00:00"/>
    <n v="0.4"/>
    <s v="Familia Rodríguez Landaeta"/>
    <s v="mrl58@hotmail.com"/>
    <s v="Calle Güigüe Nro. 89-29"/>
    <s v="Colaboración Vigilancia, mes de Enero 2018"/>
    <x v="0"/>
    <m/>
    <s v="00778"/>
    <s v="18 de enero de 2018"/>
    <n v="18"/>
    <x v="14"/>
    <s v="0,40"/>
    <e v="#NAME?"/>
  </r>
  <r>
    <n v="779"/>
    <m/>
    <x v="0"/>
    <d v="2018-01-18T00:00:00"/>
    <n v="0.8"/>
    <s v="Familia Fermín Rivas"/>
    <s v="angelferminb@gmail.com"/>
    <s v="Calle Güigüe Nro. 89-55"/>
    <s v="Cancelación Vigilancia, mes de Enero 2018"/>
    <x v="0"/>
    <m/>
    <s v="00779"/>
    <s v="18 de enero de 2018"/>
    <n v="18"/>
    <x v="14"/>
    <s v="0,80"/>
    <e v="#NAME?"/>
  </r>
  <r>
    <n v="780"/>
    <m/>
    <x v="0"/>
    <d v="2018-01-18T00:00:00"/>
    <n v="1"/>
    <s v="Familia Jiménez Salvatierra"/>
    <s v="En Físico"/>
    <s v="Calle Güigüe Nro. 89-45"/>
    <s v="Cancelación Vigilancia, mes de Enero y anticipo mes de Febrero 2018"/>
    <x v="0"/>
    <m/>
    <s v="00780"/>
    <s v="18 de enero de 2018"/>
    <n v="18"/>
    <x v="14"/>
    <s v="1,00"/>
    <e v="#NAME?"/>
  </r>
  <r>
    <n v="781"/>
    <m/>
    <x v="0"/>
    <d v="2018-01-18T00:00:00"/>
    <n v="0.8"/>
    <s v="Familia Kablan Sarmiento"/>
    <s v="norisjsb56@hotmail.com"/>
    <s v="Calle Güigüe Nro. 89-80"/>
    <s v="Cancelación Vigilancia, mes de Enero 2018"/>
    <x v="0"/>
    <m/>
    <s v="00781"/>
    <s v="18 de enero de 2018"/>
    <n v="18"/>
    <x v="14"/>
    <s v="0,80"/>
    <e v="#NAME?"/>
  </r>
  <r>
    <n v="782"/>
    <m/>
    <x v="0"/>
    <d v="2018-01-18T00:00:00"/>
    <n v="0.8"/>
    <s v="Ely Saúl Rivero Gómez"/>
    <s v="hhs.admon@gmail.com"/>
    <s v="Av. &quot;Ñ&quot; Nro. 145-25"/>
    <s v="Cancelación Vigilancia, mes de Enero 2018 (saldo a favor: Bs. 945.000)"/>
    <x v="0"/>
    <m/>
    <s v="00782"/>
    <s v="18 de enero de 2018"/>
    <n v="18"/>
    <x v="14"/>
    <s v="0,80"/>
    <e v="#NAME?"/>
  </r>
  <r>
    <n v="783"/>
    <m/>
    <x v="0"/>
    <d v="2018-01-18T00:00:00"/>
    <n v="0.35"/>
    <s v="Chin Chun Ya (Goya)"/>
    <s v="uc2721@gmail.com"/>
    <s v="Calle Guacara Nro. 87-86"/>
    <s v="Colaboración Vigilancia, mes de Enero 2018"/>
    <x v="0"/>
    <m/>
    <s v="00783"/>
    <s v="18 de enero de 2018"/>
    <n v="18"/>
    <x v="14"/>
    <s v="0,35"/>
    <e v="#NAME?"/>
  </r>
  <r>
    <n v="784"/>
    <m/>
    <x v="0"/>
    <d v="2018-01-18T00:00:00"/>
    <n v="0.8"/>
    <s v="Familia Nava Gordon"/>
    <s v="maru_19_66@hotmail.com"/>
    <s v="Calle Guacara Nro. 89-78"/>
    <s v="Cancelación Vigilancia, mes de Enero 2018"/>
    <x v="0"/>
    <m/>
    <s v="00784"/>
    <s v="18 de enero de 2018"/>
    <n v="18"/>
    <x v="14"/>
    <s v="0,80"/>
    <e v="#NAME?"/>
  </r>
  <r>
    <n v="785"/>
    <m/>
    <x v="0"/>
    <d v="2018-01-18T00:00:00"/>
    <n v="0.8"/>
    <s v="Wu Hung Fung"/>
    <s v="carolinahung24@gmail.com"/>
    <s v="Calle Guacara Nro. 90-81"/>
    <s v="Cancelación Vigilancia, mes de Enero 2018"/>
    <x v="0"/>
    <m/>
    <s v="00785"/>
    <s v="18 de enero de 2018"/>
    <n v="18"/>
    <x v="14"/>
    <s v="0,80"/>
    <e v="#NAME?"/>
  </r>
  <r>
    <n v="786"/>
    <m/>
    <x v="0"/>
    <d v="2018-01-19T00:00:00"/>
    <n v="0.8"/>
    <s v="Familia Jiménez Navarro"/>
    <s v="joyasonline2012@gmail.com"/>
    <s v="Calle Güigüe Nro. 88-50"/>
    <s v="Cancelación Vigilancia, mes de Enero 2018"/>
    <x v="0"/>
    <m/>
    <s v="00786"/>
    <s v="19 de enero de 2018"/>
    <n v="19"/>
    <x v="14"/>
    <s v="0,80"/>
    <e v="#NAME?"/>
  </r>
  <r>
    <n v="787"/>
    <m/>
    <x v="0"/>
    <d v="2018-01-19T00:00:00"/>
    <n v="2.8"/>
    <s v="Familia Ozar Rivero"/>
    <s v="vanessarivero81@hotmail.com"/>
    <s v="Calle Güigüe Nro. 88-06"/>
    <s v="Cancelación Vigilancia, meses de Octubre 2017 a Enero 2018 y anticipo Febrero 2018 (Bs. 65.000)"/>
    <x v="0"/>
    <m/>
    <s v="00787"/>
    <s v="19 de enero de 2018"/>
    <n v="19"/>
    <x v="14"/>
    <s v="2,80"/>
    <e v="#NAME?"/>
  </r>
  <r>
    <n v="788"/>
    <m/>
    <x v="0"/>
    <d v="2018-01-19T00:00:00"/>
    <n v="0.4"/>
    <s v="Familia Morales Sesar"/>
    <s v="moralesesar@gmail.com"/>
    <s v="Calle Güigüe Nro. 89-120"/>
    <s v="Colaboración Vigilancia, mes de Enero 2018"/>
    <x v="0"/>
    <m/>
    <s v="00788"/>
    <s v="19 de enero de 2018"/>
    <n v="19"/>
    <x v="14"/>
    <s v="0,40"/>
    <e v="#NAME?"/>
  </r>
  <r>
    <n v="789"/>
    <m/>
    <x v="0"/>
    <d v="2018-01-22T00:00:00"/>
    <n v="0.8"/>
    <s v="Familia Alonso Rojas"/>
    <s v="redjc01@gmail.com"/>
    <s v="Calle Güigüe Nro. 89-54"/>
    <s v="Cancelación Vigilancia, mes de Febrero 2018"/>
    <x v="0"/>
    <m/>
    <s v="00789"/>
    <s v="22 de enero de 2018"/>
    <n v="22"/>
    <x v="14"/>
    <s v="0,80"/>
    <e v="#NAME?"/>
  </r>
  <r>
    <n v="790"/>
    <m/>
    <x v="0"/>
    <d v="2018-01-22T00:00:00"/>
    <n v="0.8"/>
    <s v="Familia Zavarce Pérez"/>
    <s v="En Físico"/>
    <s v="Calle Guacara Nro. 90-35"/>
    <s v="Cancelación Vigilancia, mes de Enero 2018"/>
    <x v="0"/>
    <m/>
    <s v="00790"/>
    <s v="22 de enero de 2018"/>
    <n v="22"/>
    <x v="14"/>
    <s v="0,80"/>
    <e v="#NAME?"/>
  </r>
  <r>
    <n v="791"/>
    <m/>
    <x v="0"/>
    <d v="2018-01-22T00:00:00"/>
    <n v="0.8"/>
    <s v="Familia Milanés Carmona"/>
    <s v="yndira11m@gmail.com"/>
    <s v="Calle Güigüe Nro. 89-65"/>
    <s v="Cancelación Vigilancia, mes de Enero 2018"/>
    <x v="0"/>
    <m/>
    <s v="00791"/>
    <s v="22 de enero de 2018"/>
    <n v="22"/>
    <x v="14"/>
    <s v="0,80"/>
    <e v="#NAME?"/>
  </r>
  <r>
    <n v="792"/>
    <m/>
    <x v="0"/>
    <d v="2018-01-22T00:00:00"/>
    <n v="1.5"/>
    <s v="Familia Durvelle Serrano"/>
    <s v="sdurvelle@hotmail.com"/>
    <s v="Calle Guacara Nro. 89-60"/>
    <s v="Cancelación Vigilancia, saldo mes de Enero, Febrero 2018 y colaboración adicional"/>
    <x v="0"/>
    <m/>
    <s v="00792"/>
    <s v="22 de enero de 2018"/>
    <n v="22"/>
    <x v="14"/>
    <s v="1,50"/>
    <e v="#NAME?"/>
  </r>
  <r>
    <n v="793"/>
    <m/>
    <x v="0"/>
    <d v="2018-01-15T00:00:00"/>
    <n v="0.5"/>
    <s v="Familia Zavarce Pérez"/>
    <s v="En Físico"/>
    <s v="Calle Guacara Nro. 90-35"/>
    <s v="Cancelación Vigilancia, mes de Diciembre 2017"/>
    <x v="0"/>
    <m/>
    <s v="00793"/>
    <s v="15 de enero de 2018"/>
    <n v="15"/>
    <x v="14"/>
    <s v="0,50"/>
    <e v="#NAME?"/>
  </r>
  <r>
    <n v="794"/>
    <m/>
    <x v="0"/>
    <d v="2018-01-23T00:00:00"/>
    <n v="0.86399999999999999"/>
    <s v="La Casita Encantada"/>
    <s v="En Físico"/>
    <s v="Av. &quot;M&quot; Nro. 146-30"/>
    <s v="Cancelación Vigilancia, mes de Enero 2018"/>
    <x v="0"/>
    <m/>
    <s v="00794"/>
    <s v="23 de enero de 2018"/>
    <n v="23"/>
    <x v="14"/>
    <s v="0,86"/>
    <e v="#NAME?"/>
  </r>
  <r>
    <n v="795"/>
    <m/>
    <x v="0"/>
    <d v="2018-01-23T00:00:00"/>
    <n v="0.8"/>
    <s v="Familia Navarro Assing"/>
    <s v="liliaassing@gmail.com"/>
    <s v="Calle Güigüe Nro. 88-54"/>
    <s v="Cancelación Vigilancia, mes de Enero 2018"/>
    <x v="0"/>
    <m/>
    <s v="00795"/>
    <s v="23 de enero de 2018"/>
    <n v="23"/>
    <x v="14"/>
    <s v="0,80"/>
    <e v="#NAME?"/>
  </r>
  <r>
    <n v="796"/>
    <m/>
    <x v="0"/>
    <d v="2018-01-24T00:00:00"/>
    <n v="0.5"/>
    <s v="Familia Barreto Pérez"/>
    <s v="bbetsa19@hotmail.com"/>
    <s v="Av. &quot;M&quot; Nro. 146-15"/>
    <s v="Cancelación Vigilancia, mes de Diciembre 2017"/>
    <x v="0"/>
    <m/>
    <s v="00796"/>
    <s v="24 de enero de 2018"/>
    <n v="24"/>
    <x v="14"/>
    <s v="0,50"/>
    <e v="#NAME?"/>
  </r>
  <r>
    <n v="797"/>
    <m/>
    <x v="0"/>
    <d v="2017-12-14T00:00:00"/>
    <n v="0.5"/>
    <s v="Ana de González"/>
    <s v="mikelnowak25@gmail.com"/>
    <s v="Av. &quot;O&quot; Nro. 146-17"/>
    <s v="Cancelación Vigilancia, mes de Diciembre 2017"/>
    <x v="0"/>
    <m/>
    <s v="00797"/>
    <s v="14 de diciembre de 2017"/>
    <n v="14"/>
    <x v="13"/>
    <s v="0,50"/>
    <e v="#NAME?"/>
  </r>
  <r>
    <n v="798"/>
    <m/>
    <x v="0"/>
    <d v="2018-01-23T00:00:00"/>
    <n v="0.8"/>
    <s v="Ana de González"/>
    <s v="mikelnowak25@gmail.com"/>
    <s v="Av. &quot;O&quot; Nro. 146-17"/>
    <s v="Cancelación Vigilancia, mes de Enero 2018"/>
    <x v="0"/>
    <m/>
    <s v="00798"/>
    <s v="23 de enero de 2018"/>
    <n v="23"/>
    <x v="14"/>
    <s v="0,80"/>
    <e v="#NAME?"/>
  </r>
  <r>
    <n v="799"/>
    <m/>
    <x v="0"/>
    <d v="2018-01-24T00:00:00"/>
    <n v="1.3"/>
    <s v="Familia Montilla García"/>
    <s v="dairy252525@hotmail.com"/>
    <s v="Calle Güigüe Nro. 89-90"/>
    <s v="Cancelación Vigilancia, meses de Diciembre 2017 y Enero 2018"/>
    <x v="0"/>
    <m/>
    <s v="00799"/>
    <s v="24 de enero de 2018"/>
    <n v="24"/>
    <x v="14"/>
    <s v="1,30"/>
    <e v="#NAME?"/>
  </r>
  <r>
    <n v="800"/>
    <m/>
    <x v="0"/>
    <d v="2018-01-24T00:00:00"/>
    <n v="1.1359999999999999"/>
    <s v="Colegio El Trigal"/>
    <s v="En Físico"/>
    <s v="Calle Güigüe Nros. 88-71 y 88-81"/>
    <s v="Cancelación Vigilancia, mes de Enero 2018"/>
    <x v="0"/>
    <m/>
    <s v="00800"/>
    <s v="24 de enero de 2018"/>
    <n v="24"/>
    <x v="14"/>
    <s v="1,14"/>
    <e v="#NAME?"/>
  </r>
  <r>
    <n v="801"/>
    <m/>
    <x v="0"/>
    <d v="2018-01-24T00:00:00"/>
    <n v="1.6"/>
    <s v="Familia Puerta Burguillos"/>
    <s v="namaricakes@gmail.com"/>
    <s v="Calle Guacara Nro. 87-100"/>
    <s v="Cancelación Vigilancia, meses de Enero y Febrero 2018"/>
    <x v="0"/>
    <m/>
    <s v="00801"/>
    <s v="24 de enero de 2018"/>
    <n v="24"/>
    <x v="14"/>
    <s v="1,60"/>
    <e v="#NAME?"/>
  </r>
  <r>
    <n v="802"/>
    <m/>
    <x v="0"/>
    <d v="2018-01-24T00:00:00"/>
    <n v="1"/>
    <s v="Familia Matta Palomino"/>
    <s v="En Físico"/>
    <s v="Calle Güigüe Nro. 88-90"/>
    <s v="Cancelación Vigilancia, meses de Noviembre y Diciembre 2017"/>
    <x v="0"/>
    <m/>
    <s v="00802"/>
    <s v="24 de enero de 2018"/>
    <n v="24"/>
    <x v="14"/>
    <s v="1,00"/>
    <e v="#NAME?"/>
  </r>
  <r>
    <n v="803"/>
    <m/>
    <x v="0"/>
    <d v="2018-01-24T00:00:00"/>
    <n v="0.2"/>
    <s v="Familia Santos Carrillo"/>
    <s v="briceidamp@hotmail.com"/>
    <s v="Calle Guacara Nro. 90-93"/>
    <s v="Colaboración Vigilancia, mes de Enero 2018"/>
    <x v="0"/>
    <m/>
    <s v="00803"/>
    <s v="24 de enero de 2018"/>
    <n v="24"/>
    <x v="14"/>
    <s v="0,20"/>
    <e v="#NAME?"/>
  </r>
  <r>
    <n v="804"/>
    <m/>
    <x v="0"/>
    <d v="2018-01-24T00:00:00"/>
    <n v="0.5"/>
    <s v="Familia Méndez Parra"/>
    <s v="briceidamp@hotmail.com"/>
    <s v="Calle Guacara Nro. 88-19"/>
    <s v="Colaboración Vigilancia, mes de Enero 2018"/>
    <x v="0"/>
    <m/>
    <s v="00804"/>
    <s v="24 de enero de 2018"/>
    <n v="24"/>
    <x v="14"/>
    <s v="0,50"/>
    <e v="#NAME?"/>
  </r>
  <r>
    <n v="805"/>
    <m/>
    <x v="0"/>
    <d v="2018-01-23T00:00:00"/>
    <n v="0.3"/>
    <s v="Familia Ferrer Bahri"/>
    <s v="bahrimariela@hotmail.com"/>
    <s v="Calle Güigüe Nro. 89-83"/>
    <s v="Cancelación saldo Vigilancia, mes de Enero 2018"/>
    <x v="0"/>
    <m/>
    <s v="00805"/>
    <s v="23 de enero de 2018"/>
    <n v="23"/>
    <x v="14"/>
    <s v="0,30"/>
    <e v="#NAME?"/>
  </r>
  <r>
    <n v="806"/>
    <m/>
    <x v="0"/>
    <d v="2018-01-26T00:00:00"/>
    <n v="1"/>
    <s v="Familia Hurtado"/>
    <s v="En Físico"/>
    <s v="Av. &quot;O&quot; Nro. 146-11"/>
    <s v="Cancelación Vigilancia, saldo mes de Enero y anticipo mes de Febrero 2018"/>
    <x v="0"/>
    <m/>
    <s v="00806"/>
    <s v="26 de enero de 2018"/>
    <n v="26"/>
    <x v="14"/>
    <s v="1,00"/>
    <e v="#NAME?"/>
  </r>
  <r>
    <n v="807"/>
    <m/>
    <x v="0"/>
    <d v="2018-01-27T00:00:00"/>
    <n v="0.8"/>
    <s v="Amarilis Guerra"/>
    <s v="amarilisguerra1@yahoo.com"/>
    <s v="Calle Güigüe Nro. 89-96"/>
    <s v="Cancelación Vigilancia, mes de Enero 2018"/>
    <x v="0"/>
    <m/>
    <s v="00807"/>
    <s v="27 de enero de 2018"/>
    <n v="27"/>
    <x v="14"/>
    <s v="0,80"/>
    <e v="#NAME?"/>
  </r>
  <r>
    <n v="808"/>
    <m/>
    <x v="0"/>
    <d v="2018-01-29T00:00:00"/>
    <n v="1.1000000000000001"/>
    <s v="Familia Loponte Arteaga"/>
    <s v="nancyloponte@hotmail.com"/>
    <s v="Calle Güigüe Nro. 88-120"/>
    <s v="Cancelación Vigilancia, saldo mes de Enero y Febrero 2018"/>
    <x v="0"/>
    <m/>
    <s v="00808"/>
    <s v="29 de enero de 2018"/>
    <n v="29"/>
    <x v="14"/>
    <s v="1,10"/>
    <e v="#NAME?"/>
  </r>
  <r>
    <n v="809"/>
    <m/>
    <x v="0"/>
    <d v="2018-01-29T00:00:00"/>
    <n v="0.8"/>
    <s v="Familia Castillo Mena"/>
    <s v="emmecas@hotmail.com"/>
    <s v="Calle Güigüe Nro. 88-101"/>
    <s v="Cancelación Vigilancia, mes de Enero 2018"/>
    <x v="0"/>
    <m/>
    <s v="00809"/>
    <s v="29 de enero de 2018"/>
    <n v="29"/>
    <x v="14"/>
    <s v="0,80"/>
    <e v="#NAME?"/>
  </r>
  <r>
    <n v="810"/>
    <m/>
    <x v="0"/>
    <d v="2018-01-30T00:00:00"/>
    <n v="0.2"/>
    <s v="Familia Chávez Hernández"/>
    <s v="mercedesch23@hotmail.com"/>
    <s v="Calle Güigüe Nro. 88-20"/>
    <s v="Colaboración Vigilancia, meses de Enero y Febrero 2018"/>
    <x v="0"/>
    <m/>
    <s v="00810"/>
    <s v="30 de enero de 2018"/>
    <n v="30"/>
    <x v="14"/>
    <s v="0,20"/>
    <e v="#NAME?"/>
  </r>
  <r>
    <n v="811"/>
    <m/>
    <x v="0"/>
    <d v="2018-01-28T00:00:00"/>
    <n v="0.4"/>
    <s v="Familia Rodríguez Aular"/>
    <s v="mvaular@hotmail.com"/>
    <s v="Calle Güigüe Nro. 88-58"/>
    <s v="Colaboración Vigilancia, mes de Diciembre 2017"/>
    <x v="0"/>
    <m/>
    <s v="00811"/>
    <s v="28 de enero de 2018"/>
    <n v="28"/>
    <x v="14"/>
    <s v="0,40"/>
    <e v="#NAME?"/>
  </r>
  <r>
    <n v="812"/>
    <m/>
    <x v="0"/>
    <d v="2018-02-01T00:00:00"/>
    <n v="2.1"/>
    <s v="Familia Il Grande Franceschi"/>
    <s v="arcifran75@hotmail.com"/>
    <s v="Av. &quot;I&quot; Nro. 146-40"/>
    <s v="Cancelación Vigilancia, saldo Diciembre 2017 y meses de Enero y Febrero 2018"/>
    <x v="0"/>
    <m/>
    <s v="00812"/>
    <s v="01 de febrero de 2018"/>
    <n v="1"/>
    <x v="15"/>
    <s v="2,10"/>
    <e v="#NAME?"/>
  </r>
  <r>
    <n v="813"/>
    <m/>
    <x v="0"/>
    <d v="2018-02-01T00:00:00"/>
    <n v="0.3"/>
    <s v="Familia Rivero"/>
    <s v="En Físico"/>
    <s v="Calle Güigüe Nro. 88-40"/>
    <s v="Colaboración Vigilancia, mes de Diciembre 2017"/>
    <x v="0"/>
    <m/>
    <s v="00813"/>
    <s v="01 de febrero de 2018"/>
    <n v="1"/>
    <x v="15"/>
    <s v="0,30"/>
    <e v="#NAME?"/>
  </r>
  <r>
    <n v="814"/>
    <m/>
    <x v="0"/>
    <d v="2018-02-01T00:00:00"/>
    <n v="2.6999999999999997"/>
    <s v="Familia Guerra Miret"/>
    <s v="antoniojguerrag@hotmail.com"/>
    <s v="Calle Güigüe Nro. 89-40"/>
    <s v="Cancelación Vigilancia, saldo Enero 2018 y meses de Febrero, Marzo y Abril 2018"/>
    <x v="0"/>
    <m/>
    <s v="00814"/>
    <s v="01 de febrero de 2018"/>
    <n v="1"/>
    <x v="15"/>
    <s v="2,70"/>
    <e v="#NAME?"/>
  </r>
  <r>
    <n v="815"/>
    <m/>
    <x v="0"/>
    <d v="2018-02-01T00:00:00"/>
    <n v="3.2"/>
    <s v="Familia Cegarra Villamizar"/>
    <s v="jesus.villamizar.ra@gmail.com"/>
    <s v="Calle Guacara Nro. 88-35"/>
    <s v="Cancelación Vigilancia, meses de Enero, Febrero, Marzo y Abril 2018"/>
    <x v="0"/>
    <m/>
    <s v="00815"/>
    <s v="01 de febrero de 2018"/>
    <n v="1"/>
    <x v="15"/>
    <s v="3,20"/>
    <e v="#NAME?"/>
  </r>
  <r>
    <n v="816"/>
    <m/>
    <x v="0"/>
    <d v="2018-02-01T00:00:00"/>
    <n v="0.5"/>
    <s v="Victoria Francischiello"/>
    <s v="victoriafrancischiello@hotmail.com"/>
    <s v="Calle Guacara Nro. 88-25"/>
    <s v="Colaboración Vigilancia, mes de Enero 2018"/>
    <x v="0"/>
    <m/>
    <s v="00816"/>
    <s v="01 de febrero de 2018"/>
    <n v="1"/>
    <x v="15"/>
    <s v="0,50"/>
    <e v="#NAME?"/>
  </r>
  <r>
    <n v="817"/>
    <m/>
    <x v="0"/>
    <d v="2018-02-02T00:00:00"/>
    <n v="1.6"/>
    <s v="Familia Castro Jiménez"/>
    <s v="0426-543.4303"/>
    <s v="Calle Guacara Nro. 90-51"/>
    <s v="Cancelación Vigilancia, meses de Enero y Febrero 2018"/>
    <x v="0"/>
    <m/>
    <s v="00817"/>
    <s v="02 de febrero de 2018"/>
    <n v="2"/>
    <x v="15"/>
    <s v="1,60"/>
    <e v="#NAME?"/>
  </r>
  <r>
    <n v="818"/>
    <m/>
    <x v="0"/>
    <d v="2018-02-02T00:00:00"/>
    <n v="1.6"/>
    <s v="Familia Scabuzzo Gómez"/>
    <s v="sfscabuzzo@msn.com"/>
    <s v="Av. &quot;I&quot; Nro. 146-20"/>
    <s v="Cancelación Vigilancia, meses de Enero y Febrero 2018"/>
    <x v="0"/>
    <m/>
    <s v="00818"/>
    <s v="02 de febrero de 2018"/>
    <n v="2"/>
    <x v="15"/>
    <s v="1,60"/>
    <e v="#NAME?"/>
  </r>
  <r>
    <n v="819"/>
    <m/>
    <x v="0"/>
    <d v="2018-02-05T00:00:00"/>
    <n v="0.8"/>
    <s v="Familia Ferrer Bahri"/>
    <s v="bahrimariela@hotmail.com"/>
    <s v="Calle Güigüe Nro. 89-83"/>
    <s v="Cancelación Vigilancia, mes de Febrero 2018"/>
    <x v="0"/>
    <m/>
    <s v="00819"/>
    <s v="05 de febrero de 2018"/>
    <n v="5"/>
    <x v="15"/>
    <s v="0,80"/>
    <e v="#NAME?"/>
  </r>
  <r>
    <n v="820"/>
    <m/>
    <x v="0"/>
    <d v="2018-02-05T00:00:00"/>
    <n v="0.8"/>
    <s v="Familia Colosso Delgado"/>
    <s v="mcolosso@gmail.com"/>
    <s v="Calle Güigüe Nro. 88-44"/>
    <s v="Cancelación Vigilancia, mes de Febrero 2018"/>
    <x v="0"/>
    <m/>
    <s v="00820"/>
    <s v="05 de febrero de 2018"/>
    <n v="5"/>
    <x v="15"/>
    <s v="0,80"/>
    <e v="#NAME?"/>
  </r>
  <r>
    <n v="821"/>
    <m/>
    <x v="0"/>
    <d v="2018-02-05T00:00:00"/>
    <n v="0.8"/>
    <s v="Familia Del Negro Palermo"/>
    <s v="vdelnegro@gmail.com"/>
    <s v="Calle Guacara Nro. 88-45"/>
    <s v="Cancelación Vigilancia, mes de Febrero 2018 (saldo a favor: Bs. 800.000)"/>
    <x v="0"/>
    <m/>
    <s v="00821"/>
    <s v="05 de febrero de 2018"/>
    <n v="5"/>
    <x v="15"/>
    <s v="0,80"/>
    <e v="#NAME?"/>
  </r>
  <r>
    <n v="822"/>
    <m/>
    <x v="0"/>
    <d v="2018-02-05T00:00:00"/>
    <n v="0.8"/>
    <s v="Ely Saúl Rivero Gómez"/>
    <s v="hhs.admon@gmail.com"/>
    <s v="Av. &quot;Ñ&quot; Nro. 145-25"/>
    <s v="Cancelación Vigilancia, mes de Febrero 2018 (saldo a favor: Bs. 865.000)"/>
    <x v="0"/>
    <m/>
    <s v="00822"/>
    <s v="05 de febrero de 2018"/>
    <n v="5"/>
    <x v="15"/>
    <s v="0,80"/>
    <e v="#NAME?"/>
  </r>
  <r>
    <n v="823"/>
    <m/>
    <x v="0"/>
    <d v="2018-02-06T00:00:00"/>
    <n v="0.8"/>
    <s v="Familia Fermín Rivas"/>
    <s v="angelferminb@gmail.com"/>
    <s v="Calle Güigüe Nro. 89-55"/>
    <s v="Cancelación Vigilancia, mes de Febrero 2018"/>
    <x v="0"/>
    <m/>
    <s v="00823"/>
    <s v="06 de febrero de 2018"/>
    <n v="6"/>
    <x v="15"/>
    <s v="0,80"/>
    <e v="#NAME?"/>
  </r>
  <r>
    <n v="824"/>
    <m/>
    <x v="0"/>
    <d v="2018-02-06T00:00:00"/>
    <n v="1.6"/>
    <s v="Familia Jiménez Salvatierra"/>
    <s v="En Físico"/>
    <s v="Calle Güigüe Nro. 89-45"/>
    <s v="Cancelación Vigilancia, saldo mes de Febrero, mes de Marzo y anticipo mes de Abril 2018"/>
    <x v="0"/>
    <m/>
    <s v="00824"/>
    <s v="06 de febrero de 2018"/>
    <n v="6"/>
    <x v="15"/>
    <s v="1,60"/>
    <e v="#NAME?"/>
  </r>
  <r>
    <n v="825"/>
    <m/>
    <x v="0"/>
    <d v="2018-02-08T00:00:00"/>
    <n v="0.8"/>
    <s v="Familia Montilla García"/>
    <s v="dairy252525@hotmail.com"/>
    <s v="Calle Güigüe Nro. 89-90"/>
    <s v="Cancelación Vigilancia, mes de Febrero 2018"/>
    <x v="0"/>
    <m/>
    <s v="00825"/>
    <s v="08 de febrero de 2018"/>
    <n v="8"/>
    <x v="15"/>
    <s v="0,80"/>
    <e v="#NAME?"/>
  </r>
  <r>
    <n v="826"/>
    <m/>
    <x v="0"/>
    <d v="2018-02-09T00:00:00"/>
    <n v="0.4"/>
    <s v="Familia Morales Sesar"/>
    <s v="moralesesar@gmail.com"/>
    <s v="Calle Güigüe Nro. 89-120"/>
    <s v="Colaboración Vigilancia, mes de Febrero 2018"/>
    <x v="0"/>
    <m/>
    <s v="00826"/>
    <s v="09 de febrero de 2018"/>
    <n v="9"/>
    <x v="15"/>
    <s v="0,40"/>
    <e v="#NAME?"/>
  </r>
  <r>
    <n v="827"/>
    <m/>
    <x v="0"/>
    <d v="2018-01-30T00:00:00"/>
    <n v="0.8"/>
    <s v="Familia Acosta Carpio"/>
    <s v="pablo962@hotmail.com"/>
    <s v="Calle Güigüe Nro. 89-10"/>
    <s v="Cancelación Vigilancia, mes de Enero 2018"/>
    <x v="0"/>
    <m/>
    <s v="00827"/>
    <s v="30 de enero de 2018"/>
    <n v="30"/>
    <x v="14"/>
    <s v="0,80"/>
    <e v="#NAME?"/>
  </r>
  <r>
    <n v="828"/>
    <m/>
    <x v="0"/>
    <d v="2018-01-29T00:00:00"/>
    <n v="0.8"/>
    <s v="Familia Gascón Domínguez"/>
    <s v="vrgascon@gmail.com"/>
    <s v="Calle Güigüe Nro. 88-70"/>
    <s v="Cancelación Vigilancia, mes de Enero 2018"/>
    <x v="0"/>
    <m/>
    <s v="00828"/>
    <s v="29 de enero de 2018"/>
    <n v="29"/>
    <x v="14"/>
    <s v="0,80"/>
    <e v="#NAME?"/>
  </r>
  <r>
    <n v="829"/>
    <m/>
    <x v="0"/>
    <d v="2018-02-08T00:00:00"/>
    <n v="0.8"/>
    <s v="Familia Arcia Polanco"/>
    <s v="misipo29@gmail.com"/>
    <s v="Calle Guacara Nro. 89-20"/>
    <s v="Cancelación saldo Vigilancia, mes de Febrero 2018"/>
    <x v="0"/>
    <m/>
    <s v="00829"/>
    <s v="08 de febrero de 2018"/>
    <n v="8"/>
    <x v="15"/>
    <s v="0,80"/>
    <e v="#NAME?"/>
  </r>
  <r>
    <n v="830"/>
    <m/>
    <x v="0"/>
    <d v="2018-02-09T00:00:00"/>
    <n v="0.8"/>
    <s v="Familia Lomeña Agudo"/>
    <s v="claudialomena@hotmail.com"/>
    <s v="Calle Guacara Nro. 89-30"/>
    <s v="Cancelación Vigilancia, mes de Febrero 2018"/>
    <x v="0"/>
    <m/>
    <s v="00830"/>
    <s v="09 de febrero de 2018"/>
    <n v="9"/>
    <x v="15"/>
    <s v="0,80"/>
    <e v="#NAME?"/>
  </r>
  <r>
    <n v="831"/>
    <m/>
    <x v="0"/>
    <d v="2018-02-09T00:00:00"/>
    <n v="2.8"/>
    <s v="Familia Machado Stoppa"/>
    <s v="machadoru@hotmail.com"/>
    <s v="Calle Guacara Nro. 88-85"/>
    <s v="Colaboración Vigilancia, meses de Enero, Febrero, Marzo y Abril 2018"/>
    <x v="0"/>
    <m/>
    <s v="00831"/>
    <s v="09 de febrero de 2018"/>
    <n v="9"/>
    <x v="15"/>
    <s v="2,80"/>
    <e v="#NAME?"/>
  </r>
  <r>
    <n v="832"/>
    <m/>
    <x v="0"/>
    <d v="2018-02-10T00:00:00"/>
    <n v="1.6"/>
    <s v="Anahiz Seijas"/>
    <s v="anahiz_2@hotmail.es"/>
    <s v="Calle Güigüe Nro. 89-106"/>
    <s v="Cancelación Vigilancia, meses de Enero y Febrero 2018"/>
    <x v="0"/>
    <m/>
    <s v="00832"/>
    <s v="10 de febrero de 2018"/>
    <n v="10"/>
    <x v="15"/>
    <s v="1,60"/>
    <e v="#NAME?"/>
  </r>
  <r>
    <n v="833"/>
    <m/>
    <x v="0"/>
    <d v="2018-01-12T00:00:00"/>
    <n v="1"/>
    <s v="Gloria Molina"/>
    <s v="glomola2@yahoo.es"/>
    <s v="Calle Güigüe Nro. 89-71"/>
    <s v="Colaboración Vigilancia, meses de Enero y Febrero 2018"/>
    <x v="0"/>
    <m/>
    <s v="00833"/>
    <s v="12 de enero de 2018"/>
    <n v="12"/>
    <x v="14"/>
    <s v="1,00"/>
    <e v="#NAME?"/>
  </r>
  <r>
    <n v="834"/>
    <m/>
    <x v="0"/>
    <d v="2018-01-14T00:00:00"/>
    <n v="0.8"/>
    <s v="Familia Nava Gordon"/>
    <s v="maru_19_66@hotmail.com"/>
    <s v="Calle Guacara Nro. 89-78"/>
    <s v="Cancelación Vigilancia, mes de Febrero 2018"/>
    <x v="0"/>
    <m/>
    <s v="00834"/>
    <s v="14 de enero de 2018"/>
    <n v="14"/>
    <x v="14"/>
    <s v="0,80"/>
    <e v="#NAME?"/>
  </r>
  <r>
    <n v="835"/>
    <m/>
    <x v="0"/>
    <d v="2018-01-14T00:00:00"/>
    <n v="0.86399999999999999"/>
    <s v="La Casita Encantada"/>
    <s v="En Físico"/>
    <s v="Av. &quot;M&quot; Nro. 146-30"/>
    <s v="Cancelación Vigilancia, mes de Febrero 2018"/>
    <x v="0"/>
    <m/>
    <s v="00835"/>
    <s v="14 de enero de 2018"/>
    <n v="14"/>
    <x v="14"/>
    <s v="0,86"/>
    <e v="#NAME?"/>
  </r>
  <r>
    <n v="836"/>
    <m/>
    <x v="0"/>
    <d v="2018-02-15T00:00:00"/>
    <n v="1.1359999999999999"/>
    <s v="Colegio El Trigal"/>
    <s v="En Físico"/>
    <s v="Calle Güigüe Nros. 88-71 y 88-81"/>
    <s v="Cancelación Vigilancia, mes de Febrero 2018"/>
    <x v="0"/>
    <m/>
    <s v="00836"/>
    <s v="15 de febrero de 2018"/>
    <n v="15"/>
    <x v="15"/>
    <s v="1,14"/>
    <e v="#NAME?"/>
  </r>
  <r>
    <n v="837"/>
    <m/>
    <x v="0"/>
    <d v="2018-02-15T00:00:00"/>
    <n v="0.8"/>
    <s v="Familia Narváez Caldera"/>
    <s v="jeannette_nc@yahoo.com"/>
    <s v="Calle Güigüe Nro. 87-A-11"/>
    <s v="Cancelación Vigilancia, mes de Febrero 2018"/>
    <x v="0"/>
    <m/>
    <s v="00837"/>
    <s v="15 de febrero de 2018"/>
    <n v="15"/>
    <x v="15"/>
    <s v="0,80"/>
    <e v="#NAME?"/>
  </r>
  <r>
    <n v="838"/>
    <m/>
    <x v="0"/>
    <d v="2018-02-15T00:00:00"/>
    <n v="0.8"/>
    <s v="Familia Sayago Peñaranda"/>
    <s v="alexissayago@gmail.com"/>
    <s v="Calle Güigüe Nro. 89-04"/>
    <s v="Cancelación Vigilancia, mes de Febrero 2018"/>
    <x v="0"/>
    <m/>
    <s v="00838"/>
    <s v="15 de febrero de 2018"/>
    <n v="15"/>
    <x v="15"/>
    <s v="0,80"/>
    <e v="#NAME?"/>
  </r>
  <r>
    <n v="839"/>
    <m/>
    <x v="0"/>
    <d v="2018-02-16T00:00:00"/>
    <n v="0.8"/>
    <s v="Beatriz Lara"/>
    <s v="valentina.gutierrez@hotmail.com"/>
    <s v="Calle Guacara Nro. 89-130"/>
    <s v="Cancelación Vigilancia, mes de Febrero 2018"/>
    <x v="0"/>
    <m/>
    <s v="00839"/>
    <s v="16 de febrero de 2018"/>
    <n v="16"/>
    <x v="15"/>
    <s v="0,80"/>
    <e v="#NAME?"/>
  </r>
  <r>
    <n v="840"/>
    <m/>
    <x v="0"/>
    <d v="2018-02-19T00:00:00"/>
    <n v="0.8"/>
    <s v="Familia Acosta Carpio"/>
    <s v="pablo962@hotmail.com"/>
    <s v="Calle Güigüe Nro. 89-10"/>
    <s v="Cancelación Vigilancia, mes de Febrero 2018"/>
    <x v="0"/>
    <m/>
    <s v="00840"/>
    <s v="19 de febrero de 2018"/>
    <n v="19"/>
    <x v="15"/>
    <s v="0,80"/>
    <e v="#NAME?"/>
  </r>
  <r>
    <n v="841"/>
    <m/>
    <x v="0"/>
    <d v="2018-02-20T00:00:00"/>
    <n v="0.4"/>
    <s v="Familia Rodríguez Landaeta"/>
    <s v="mrl58@hotmail.com"/>
    <s v="Calle Güigüe Nro. 89-29"/>
    <s v="Colaboración Vigilancia, mes de Febrero 2018"/>
    <x v="0"/>
    <m/>
    <s v="00841"/>
    <s v="20 de febrero de 2018"/>
    <n v="20"/>
    <x v="15"/>
    <s v="0,40"/>
    <e v="#NAME?"/>
  </r>
  <r>
    <n v="842"/>
    <m/>
    <x v="0"/>
    <d v="2018-02-20T00:00:00"/>
    <n v="0.8"/>
    <s v="Familia Díaz González"/>
    <s v="luisrdt57@gmail.com"/>
    <s v="Calle Güigüe Nro. 88-116"/>
    <s v="Cancelación Vigilancia, mes de Febrero 2018"/>
    <x v="0"/>
    <m/>
    <s v="00842"/>
    <s v="20 de febrero de 2018"/>
    <n v="20"/>
    <x v="15"/>
    <s v="0,80"/>
    <e v="#NAME?"/>
  </r>
  <r>
    <n v="843"/>
    <m/>
    <x v="0"/>
    <d v="2018-02-20T00:00:00"/>
    <n v="0.8"/>
    <s v="Familia Navarro Assing"/>
    <s v="liliaassing@gmail.com"/>
    <s v="Calle Güigüe Nro. 88-54"/>
    <s v="Cancelación Vigilancia, mes de Febrero 2018"/>
    <x v="0"/>
    <m/>
    <s v="00843"/>
    <s v="20 de febrero de 2018"/>
    <n v="20"/>
    <x v="15"/>
    <s v="0,80"/>
    <e v="#NAME?"/>
  </r>
  <r>
    <n v="844"/>
    <m/>
    <x v="0"/>
    <d v="2018-02-20T00:00:00"/>
    <n v="0.5"/>
    <s v="Familia Méndez Parra"/>
    <s v="briceidamp@hotmail.com"/>
    <s v="Calle Guacara Nro. 88-19"/>
    <s v="Colaboración Vigilancia, mes de Febrero 2018"/>
    <x v="0"/>
    <m/>
    <s v="00844"/>
    <s v="20 de febrero de 2018"/>
    <n v="20"/>
    <x v="15"/>
    <s v="0,50"/>
    <e v="#NAME?"/>
  </r>
  <r>
    <n v="845"/>
    <m/>
    <x v="0"/>
    <d v="2018-02-20T00:00:00"/>
    <n v="0.2"/>
    <s v="Familia Santos Carrillo"/>
    <s v="briceidamp@hotmail.com"/>
    <s v="Calle Guacara Nro. 90-93"/>
    <s v="Colaboración Vigilancia, mes de Febrero 2018"/>
    <x v="0"/>
    <m/>
    <s v="00845"/>
    <s v="20 de febrero de 2018"/>
    <n v="20"/>
    <x v="15"/>
    <s v="0,20"/>
    <e v="#NAME?"/>
  </r>
  <r>
    <n v="846"/>
    <m/>
    <x v="0"/>
    <d v="2018-02-21T00:00:00"/>
    <n v="0.8"/>
    <s v="Familia Rodríguez Aular"/>
    <s v="mvaular@hotmail.com"/>
    <s v="Calle Güigüe Nro. 88-58"/>
    <s v="Cancelación Vigilancia, mes de Febrero 2018"/>
    <x v="0"/>
    <m/>
    <s v="00846"/>
    <s v="21 de febrero de 2018"/>
    <n v="21"/>
    <x v="15"/>
    <s v="0,80"/>
    <e v="#NAME?"/>
  </r>
  <r>
    <n v="847"/>
    <m/>
    <x v="0"/>
    <d v="2018-02-22T00:00:00"/>
    <n v="1.5"/>
    <s v="Familia Martínez Boada"/>
    <s v="florcitakmz@gmail.com"/>
    <s v="Calle Güigüe Nro. 88-62"/>
    <s v="Colaboración Vigilancia, meses de Enero y Febrero 2018"/>
    <x v="0"/>
    <m/>
    <s v="00847"/>
    <s v="22 de febrero de 2018"/>
    <n v="22"/>
    <x v="15"/>
    <s v="1,50"/>
    <e v="#NAME?"/>
  </r>
  <r>
    <n v="848"/>
    <m/>
    <x v="0"/>
    <d v="2018-02-23T00:00:00"/>
    <n v="1.1499999999999999"/>
    <s v="Familia Fernández Parés"/>
    <s v="vultecca@gmail.com"/>
    <s v="Calle Guacara Nro. 88-75"/>
    <s v="Cancelación Vigilancia, mes de Febrero 2018"/>
    <x v="0"/>
    <m/>
    <s v="00848"/>
    <s v="23 de febrero de 2018"/>
    <n v="23"/>
    <x v="15"/>
    <s v="1,15"/>
    <e v="#NAME?"/>
  </r>
  <r>
    <n v="849"/>
    <m/>
    <x v="0"/>
    <d v="2018-02-24T00:00:00"/>
    <n v="2.4"/>
    <s v="Familia Hatem Medina"/>
    <s v="hhatem1@hotmail.com"/>
    <s v="Calle Guacara Nro. 88-51"/>
    <s v="Cancelación Vigilancia, meses de Marzo, Abril y Mayo 2018"/>
    <x v="0"/>
    <m/>
    <s v="00849"/>
    <s v="24 de febrero de 2018"/>
    <n v="24"/>
    <x v="15"/>
    <s v="2,40"/>
    <e v="#NAME?"/>
  </r>
  <r>
    <n v="850"/>
    <m/>
    <x v="0"/>
    <d v="2018-02-24T00:00:00"/>
    <n v="0.8"/>
    <s v="Familia López Hermoso"/>
    <s v="lopez.humberto14@yahoo.com.ve"/>
    <s v="Calle Güigüe Nro. 89-79"/>
    <s v="Cancelación Vigilancia, mes de Febrero 2018"/>
    <x v="0"/>
    <m/>
    <s v="00850"/>
    <s v="24 de febrero de 2018"/>
    <n v="24"/>
    <x v="15"/>
    <s v="0,80"/>
    <e v="#NAME?"/>
  </r>
  <r>
    <n v="851"/>
    <m/>
    <x v="0"/>
    <d v="2018-02-25T00:00:00"/>
    <n v="0.8"/>
    <s v="Familia Jiménez Navarro"/>
    <s v="joyasonline2012@gmail.com"/>
    <s v="Calle Güigüe Nro. 88-50"/>
    <s v="Cancelación Vigilancia, mes de Febrero 2018"/>
    <x v="0"/>
    <m/>
    <s v="00851"/>
    <s v="25 de febrero de 2018"/>
    <n v="25"/>
    <x v="15"/>
    <s v="0,80"/>
    <e v="#NAME?"/>
  </r>
  <r>
    <n v="852"/>
    <m/>
    <x v="0"/>
    <d v="2018-02-25T00:00:00"/>
    <n v="0.8"/>
    <s v="Familia Puerta Burguillos"/>
    <s v="namaricakes@gmail.com"/>
    <s v="Calle Guacara Nro. 87-100"/>
    <s v="Cancelación Vigilancia, mes de Marzo 2018"/>
    <x v="0"/>
    <m/>
    <s v="00852"/>
    <s v="25 de febrero de 2018"/>
    <n v="25"/>
    <x v="15"/>
    <s v="0,80"/>
    <e v="#NAME?"/>
  </r>
  <r>
    <n v="853"/>
    <m/>
    <x v="0"/>
    <d v="2018-02-26T00:00:00"/>
    <n v="0.8"/>
    <s v="Familia Barreto Pérez"/>
    <s v="bbetsa19@hotmail.com"/>
    <s v="Av. &quot;M&quot; Nro. 146-15"/>
    <s v="Cancelación Vigilancia, mes de Enero 2018"/>
    <x v="0"/>
    <m/>
    <s v="00853"/>
    <s v="26 de febrero de 2018"/>
    <n v="26"/>
    <x v="15"/>
    <s v="0,80"/>
    <e v="#NAME?"/>
  </r>
  <r>
    <n v="854"/>
    <m/>
    <x v="0"/>
    <d v="2018-02-26T00:00:00"/>
    <n v="0.8"/>
    <s v="Familia Kablan Sarmiento"/>
    <s v="norisjsb56@hotmail.com"/>
    <s v="Calle Güigüe Nro. 89-80"/>
    <s v="Cancelación Vigilancia, mes de Febrero 2018"/>
    <x v="0"/>
    <m/>
    <s v="00854"/>
    <s v="26 de febrero de 2018"/>
    <n v="26"/>
    <x v="15"/>
    <s v="0,80"/>
    <e v="#NAME?"/>
  </r>
  <r>
    <n v="855"/>
    <m/>
    <x v="0"/>
    <d v="2018-02-26T00:00:00"/>
    <n v="2.6"/>
    <s v="Familia Kattar González"/>
    <s v="jagiak123@yahoo.es"/>
    <s v="Calle Güigüe Nro. 89-95"/>
    <s v="Cancelación Vigilancia, meses de Diciembre 2017, Enero, Febrero y anticipo de Marzo 2018"/>
    <x v="0"/>
    <m/>
    <s v="00855"/>
    <s v="26 de febrero de 2018"/>
    <n v="26"/>
    <x v="15"/>
    <s v="2,60"/>
    <e v="#NAME?"/>
  </r>
  <r>
    <n v="856"/>
    <m/>
    <x v="0"/>
    <d v="2018-02-24T00:00:00"/>
    <n v="0.5"/>
    <s v="Familia Romero"/>
    <s v="autoescuela21@gmail.com"/>
    <s v="Calle Guacara Nro. 89-50"/>
    <s v="Colaboración Vigilancia, mes de Marzo 2018"/>
    <x v="0"/>
    <m/>
    <s v="00856"/>
    <s v="24 de febrero de 2018"/>
    <n v="24"/>
    <x v="15"/>
    <s v="0,50"/>
    <e v="#NAME?"/>
  </r>
  <r>
    <n v="857"/>
    <m/>
    <x v="0"/>
    <d v="2018-02-25T00:00:00"/>
    <n v="0.8"/>
    <s v="Familia Costermani Terrer"/>
    <s v="claudiacostermani@hotmail.com"/>
    <s v="Calle Güigüe Nro. 88-11"/>
    <s v="Cancelación Vigilancia, mes de Febrero 2018"/>
    <x v="0"/>
    <m/>
    <s v="00857"/>
    <s v="25 de febrero de 2018"/>
    <n v="25"/>
    <x v="15"/>
    <s v="0,80"/>
    <e v="#NAME?"/>
  </r>
  <r>
    <n v="858"/>
    <m/>
    <x v="0"/>
    <d v="2018-02-26T00:00:00"/>
    <n v="1"/>
    <s v="Wu Hung Fung"/>
    <s v="carolinahung24@gmail.com"/>
    <s v="Calle Guacara Nro. 90-81"/>
    <s v="Cancelación Vigilancia, mes de Febrero 2018"/>
    <x v="0"/>
    <m/>
    <s v="00858"/>
    <s v="26 de febrero de 2018"/>
    <n v="26"/>
    <x v="15"/>
    <s v="1,00"/>
    <e v="#NAME?"/>
  </r>
  <r>
    <n v="859"/>
    <m/>
    <x v="0"/>
    <d v="2018-01-22T00:00:00"/>
    <n v="0.1245"/>
    <s v="Familia Piñero Padilla"/>
    <s v="achepaul2005@hotmail.com"/>
    <s v="Calle Güigüe Nro. 89-21"/>
    <s v="Anticipo Vigilancia, mes de Enero 2018 (anticipo al Sr. Francisco en su primer día de trabajo)"/>
    <x v="0"/>
    <m/>
    <s v="00859"/>
    <s v="22 de enero de 2018"/>
    <n v="22"/>
    <x v="14"/>
    <s v="0,12"/>
    <e v="#NAME?"/>
  </r>
  <r>
    <n v="860"/>
    <m/>
    <x v="0"/>
    <d v="2018-02-26T00:00:00"/>
    <n v="1"/>
    <s v="Familia Piñero Padilla"/>
    <s v="achepaul2005@hotmail.com"/>
    <s v="Calle Güigüe Nro. 89-21"/>
    <s v="Cancelación Vigilancia, saldo mes de Enero, Febrero y anticipo Marzo 2018"/>
    <x v="0"/>
    <m/>
    <s v="00860"/>
    <s v="26 de febrero de 2018"/>
    <n v="26"/>
    <x v="15"/>
    <s v="1,00"/>
    <e v="#NAME?"/>
  </r>
  <r>
    <n v="861"/>
    <m/>
    <x v="0"/>
    <d v="2018-02-27T00:00:00"/>
    <n v="1.6"/>
    <s v="Familia Leung"/>
    <s v="En Físico"/>
    <s v="Calle Guacara Nro. 88-55"/>
    <s v="Cancelación Vigilancia, meses de Enero y Febrero 2018"/>
    <x v="0"/>
    <m/>
    <s v="00861"/>
    <s v="27 de febrero de 2018"/>
    <n v="27"/>
    <x v="15"/>
    <s v="1,60"/>
    <e v="#NAME?"/>
  </r>
  <r>
    <n v="862"/>
    <m/>
    <x v="0"/>
    <d v="2018-02-27T00:00:00"/>
    <n v="0.3"/>
    <s v="Ma. de Jesus Alonso"/>
    <s v="marjoriealonsoh@hotmail.com"/>
    <s v="Calle Güigüe Nro. 88-30"/>
    <s v="Colaboración Vigilancia, meses de Diciembre 2017, Enero y Febrero 2018"/>
    <x v="0"/>
    <m/>
    <s v="00862"/>
    <s v="27 de febrero de 2018"/>
    <n v="27"/>
    <x v="15"/>
    <s v="0,30"/>
    <e v="#NAME?"/>
  </r>
  <r>
    <n v="863"/>
    <m/>
    <x v="0"/>
    <d v="2018-02-27T00:00:00"/>
    <n v="0.8"/>
    <s v="Familia Castillo Mena"/>
    <s v="emmecas@hotmail.com"/>
    <s v="Calle Güigüe Nro. 88-101"/>
    <s v="Cancelación Vigilancia, mes de Febrero 2018"/>
    <x v="0"/>
    <m/>
    <s v="00863"/>
    <s v="27 de febrero de 2018"/>
    <n v="27"/>
    <x v="15"/>
    <s v="0,80"/>
    <e v="#NAME?"/>
  </r>
  <r>
    <n v="864"/>
    <m/>
    <x v="0"/>
    <d v="2018-02-27T00:00:00"/>
    <n v="0.8"/>
    <s v="Familia Gascón Domínguez"/>
    <s v="vrgascon@gmail.com"/>
    <s v="Calle Güigüe Nro. 88-70"/>
    <s v="Cancelación Vigilancia, mes de Febrero 2018"/>
    <x v="0"/>
    <m/>
    <s v="00864"/>
    <s v="27 de febrero de 2018"/>
    <n v="27"/>
    <x v="15"/>
    <s v="0,80"/>
    <e v="#NAME?"/>
  </r>
  <r>
    <n v="865"/>
    <m/>
    <x v="0"/>
    <d v="2018-02-28T00:00:00"/>
    <n v="2"/>
    <s v="Familia Durvelle Serrano"/>
    <s v="sdurvelle@hotmail.com"/>
    <s v="Calle Guacara Nro. 89-60"/>
    <s v="Cancelación Vigilancia, mes de Marzo 2018 y aporte especial"/>
    <x v="0"/>
    <m/>
    <s v="00865"/>
    <s v="28 de febrero de 2018"/>
    <n v="28"/>
    <x v="15"/>
    <s v="2,00"/>
    <e v="#NAME?"/>
  </r>
  <r>
    <n v="866"/>
    <m/>
    <x v="0"/>
    <d v="2018-02-28T00:00:00"/>
    <n v="0.8"/>
    <s v="Amarilis Guerra"/>
    <s v="amarilisguerra1@yahoo.com"/>
    <s v="Calle Güigüe Nro. 89-96"/>
    <s v="Cancelación Vigilancia, mes de Febrero 2018"/>
    <x v="0"/>
    <m/>
    <s v="00866"/>
    <s v="28 de febrero de 2018"/>
    <n v="28"/>
    <x v="15"/>
    <s v="0,80"/>
    <e v="#NAME?"/>
  </r>
  <r>
    <n v="867"/>
    <m/>
    <x v="0"/>
    <d v="2018-02-28T00:00:00"/>
    <n v="1.8"/>
    <s v="Familia Manrique Riera"/>
    <s v="patriciamanrique@gmail.com"/>
    <s v="Calle Guacara Nro. 89-40"/>
    <s v="Cancelación Vigilancia, meses de Enero y Febrero 2018"/>
    <x v="0"/>
    <m/>
    <s v="00867"/>
    <s v="28 de febrero de 2018"/>
    <n v="28"/>
    <x v="15"/>
    <s v="1,80"/>
    <e v="#NAME?"/>
  </r>
  <r>
    <n v="868"/>
    <m/>
    <x v="0"/>
    <d v="2018-02-28T00:00:00"/>
    <n v="1.6"/>
    <s v="Familia Milanés Carmona"/>
    <s v="yndira11m@gmail.com"/>
    <s v="Calle Güigüe Nro. 89-65"/>
    <s v="Cancelación Vigilancia, meses de Febrero y Marzo 2018"/>
    <x v="0"/>
    <m/>
    <s v="00868"/>
    <s v="28 de febrero de 2018"/>
    <n v="28"/>
    <x v="15"/>
    <s v="1,60"/>
    <e v="#NAME?"/>
  </r>
  <r>
    <n v="869"/>
    <m/>
    <x v="0"/>
    <d v="2018-03-01T00:00:00"/>
    <n v="1.3"/>
    <s v="Familia Lomeña Agudo"/>
    <s v="claudialomena@hotmail.com"/>
    <s v="Calle Guacara Nro. 89-30"/>
    <s v="Cancelación Vigilancia, anticipo mes de Marzo 2018"/>
    <x v="0"/>
    <m/>
    <s v="00869"/>
    <s v="01 de marzo de 2018"/>
    <n v="1"/>
    <x v="16"/>
    <s v="1,30"/>
    <e v="#NAME?"/>
  </r>
  <r>
    <n v="870"/>
    <m/>
    <x v="0"/>
    <d v="2018-03-01T00:00:00"/>
    <n v="1.4"/>
    <s v="Familia Alonso Rojas"/>
    <s v="redjc01@gmail.com"/>
    <s v="Calle Güigüe Nro. 89-54"/>
    <s v="Cancelación Vigilancia, mes de Marzo 2018"/>
    <x v="0"/>
    <m/>
    <s v="00870"/>
    <s v="01 de marzo de 2018"/>
    <n v="1"/>
    <x v="16"/>
    <s v="1,40"/>
    <e v="#NAME?"/>
  </r>
  <r>
    <n v="871"/>
    <m/>
    <x v="0"/>
    <d v="2018-03-02T00:00:00"/>
    <n v="0.1"/>
    <s v="Familia Lomeña Agudo"/>
    <s v="claudialomena@hotmail.com"/>
    <s v="Calle Guacara Nro. 89-30"/>
    <s v="Cancelación Vigilancia, saldo mes de Marzo 2018"/>
    <x v="0"/>
    <m/>
    <s v="00871"/>
    <s v="02 de marzo de 2018"/>
    <n v="2"/>
    <x v="16"/>
    <s v="0,10"/>
    <e v="#NAME?"/>
  </r>
  <r>
    <n v="872"/>
    <m/>
    <x v="0"/>
    <d v="2018-03-02T00:00:00"/>
    <n v="1.4"/>
    <s v="Familia Ferrer Bahri"/>
    <s v="bahrimariela@hotmail.com"/>
    <s v="Calle Güigüe Nro. 89-83"/>
    <s v="Cancelación Vigilancia, mes de Marzo 2018"/>
    <x v="0"/>
    <m/>
    <s v="00872"/>
    <s v="02 de marzo de 2018"/>
    <n v="2"/>
    <x v="16"/>
    <s v="1,40"/>
    <e v="#NAME?"/>
  </r>
  <r>
    <n v="873"/>
    <m/>
    <x v="0"/>
    <d v="2018-03-02T00:00:00"/>
    <n v="1.7999999999999998"/>
    <s v="Familia Jiménez Salvatierra"/>
    <s v="En Físico"/>
    <s v="Calle Güigüe Nro. 89-45"/>
    <s v="Cancelación Vigilancia, saldo meses de Marzo y Abril 2018 (saldo a favor: Bs. 393.000)"/>
    <x v="0"/>
    <m/>
    <s v="00873"/>
    <s v="02 de marzo de 2018"/>
    <n v="2"/>
    <x v="16"/>
    <s v="1,80"/>
    <e v="#NAME?"/>
  </r>
  <r>
    <n v="874"/>
    <m/>
    <x v="0"/>
    <d v="2018-03-02T00:00:00"/>
    <n v="1.7"/>
    <s v="Familia Hurtado"/>
    <s v="En Físico"/>
    <s v="Av. &quot;O&quot; Nro. 146-11"/>
    <s v="Cancelación Vigilancia, saldo mes de Febrero y cancelación mes de Marzo 2018"/>
    <x v="0"/>
    <m/>
    <s v="00874"/>
    <s v="02 de marzo de 2018"/>
    <n v="2"/>
    <x v="16"/>
    <s v="1,70"/>
    <e v="#NAME?"/>
  </r>
  <r>
    <n v="875"/>
    <m/>
    <x v="0"/>
    <d v="2018-03-02T00:00:00"/>
    <n v="0.8"/>
    <s v="Familia Delgado Hidalgo"/>
    <s v="ardh@hotmail.com"/>
    <s v="Calle Güigüe Nro. 88-10"/>
    <s v="Cancelación Vigilancia, mes de Febrero 2018"/>
    <x v="0"/>
    <m/>
    <s v="00875"/>
    <s v="02 de marzo de 2018"/>
    <n v="2"/>
    <x v="16"/>
    <s v="0,80"/>
    <e v="#NAME?"/>
  </r>
  <r>
    <n v="876"/>
    <m/>
    <x v="0"/>
    <d v="2018-03-02T00:00:00"/>
    <n v="1"/>
    <s v="Héctor Hernández"/>
    <s v="eof64@hotmail.com"/>
    <s v="Calle Guacara Nro. 89-94"/>
    <s v="Colaboración Vigilancia, meses de Febrero y Marzo 2018"/>
    <x v="0"/>
    <m/>
    <s v="00876"/>
    <s v="02 de marzo de 2018"/>
    <n v="2"/>
    <x v="16"/>
    <s v="1,00"/>
    <e v="#NAME?"/>
  </r>
  <r>
    <n v="877"/>
    <m/>
    <x v="0"/>
    <d v="2018-03-02T00:00:00"/>
    <n v="1.4"/>
    <s v="Familia Del Negro Palermo"/>
    <s v="vdelnegro@gmail.com"/>
    <s v="Calle Guacara Nro. 88-45"/>
    <s v="Cancelación Vigilancia, mes de Marzo 2018 (saldo a favor: Bs. 660.000)"/>
    <x v="0"/>
    <m/>
    <s v="00877"/>
    <s v="02 de marzo de 2018"/>
    <n v="2"/>
    <x v="16"/>
    <s v="1,40"/>
    <e v="#NAME?"/>
  </r>
  <r>
    <n v="878"/>
    <m/>
    <x v="0"/>
    <d v="2018-03-05T00:00:00"/>
    <n v="2"/>
    <s v="Chin Chun Ya (Goya)"/>
    <s v="uc2721@gmail.com"/>
    <s v="Calle Guacara Nro. 87-86"/>
    <s v="Colaboración Vigilancia, meses de Febrero y Marzo, y anticipo Abril 2018"/>
    <x v="0"/>
    <m/>
    <s v="00878"/>
    <s v="05 de marzo de 2018"/>
    <n v="5"/>
    <x v="16"/>
    <s v="2,00"/>
    <e v="#NAME?"/>
  </r>
  <r>
    <n v="879"/>
    <m/>
    <x v="0"/>
    <d v="2018-01-22T00:00:00"/>
    <n v="0.8"/>
    <s v="Familia Zavarce Pérez"/>
    <s v="En Físico"/>
    <s v="Calle Guacara Nro. 90-35"/>
    <s v="Cancelación Vigilancia, mes de Febrero 2018"/>
    <x v="0"/>
    <m/>
    <s v="00879"/>
    <s v="22 de enero de 2018"/>
    <n v="22"/>
    <x v="14"/>
    <s v="0,80"/>
    <e v="#NAME?"/>
  </r>
  <r>
    <n v="880"/>
    <m/>
    <x v="0"/>
    <d v="2018-03-07T00:00:00"/>
    <n v="1.4"/>
    <s v="Familia Arcia Polanco"/>
    <s v="misipo29@gmail.com"/>
    <s v="Calle Guacara Nro. 89-20"/>
    <s v="Cancelación saldo Vigilancia, mes de Marzo 2018"/>
    <x v="0"/>
    <m/>
    <s v="00880"/>
    <s v="07 de marzo de 2018"/>
    <n v="7"/>
    <x v="16"/>
    <s v="1,40"/>
    <e v="#NAME?"/>
  </r>
  <r>
    <n v="881"/>
    <m/>
    <x v="0"/>
    <d v="2018-03-07T00:00:00"/>
    <n v="1.6"/>
    <s v="Familia Matta Palomino"/>
    <s v="En Físico"/>
    <s v="Calle Güigüe Nro. 88-90"/>
    <s v="Cancelación Vigilancia, meses de Enero y Febrero 2018"/>
    <x v="0"/>
    <m/>
    <s v="00881"/>
    <s v="07 de marzo de 2018"/>
    <n v="7"/>
    <x v="16"/>
    <s v="1,60"/>
    <e v="#NAME?"/>
  </r>
  <r>
    <n v="882"/>
    <m/>
    <x v="0"/>
    <d v="2018-03-07T00:00:00"/>
    <n v="1.4"/>
    <s v="Familia Colosso Delgado"/>
    <s v="mcolosso@gmail.com"/>
    <s v="Calle Güigüe Nro. 88-44"/>
    <s v="Cancelación Vigilancia, mes de Marzo 2018"/>
    <x v="0"/>
    <m/>
    <s v="00882"/>
    <s v="07 de marzo de 2018"/>
    <n v="7"/>
    <x v="16"/>
    <s v="1,40"/>
    <e v="#NAME?"/>
  </r>
  <r>
    <n v="883"/>
    <m/>
    <x v="0"/>
    <d v="2018-03-09T00:00:00"/>
    <n v="1.4"/>
    <s v="Familia Loponte Arteaga"/>
    <s v="nancyloponte@hotmail.com"/>
    <s v="Calle Güigüe Nro. 88-120"/>
    <s v="Cancelación Vigilancia, mes de Marzo 2018"/>
    <x v="0"/>
    <m/>
    <s v="00883"/>
    <s v="09 de marzo de 2018"/>
    <n v="9"/>
    <x v="16"/>
    <s v="1,40"/>
    <e v="#NAME?"/>
  </r>
  <r>
    <n v="884"/>
    <m/>
    <x v="0"/>
    <d v="2018-03-09T00:00:00"/>
    <n v="1.4"/>
    <s v="Ely Saúl Rivero Gómez"/>
    <s v="hhs.admon@gmail.com"/>
    <s v="Av. &quot;Ñ&quot; Nro. 145-25"/>
    <s v="Cancelación Vigilancia, mes de Marzo 2018 (saldo a favor: Bs. 725.000)"/>
    <x v="0"/>
    <m/>
    <s v="00884"/>
    <s v="09 de marzo de 2018"/>
    <n v="9"/>
    <x v="16"/>
    <s v="1,40"/>
    <e v="#NAME?"/>
  </r>
  <r>
    <n v="885"/>
    <m/>
    <x v="0"/>
    <d v="2018-03-12T00:00:00"/>
    <n v="1.4"/>
    <s v="Familia Kablan Sarmiento"/>
    <s v="norisjsb56@hotmail.com"/>
    <s v="Calle Güigüe Nro. 89-80"/>
    <s v="Cancelación Vigilancia, mes de Marzo 2018"/>
    <x v="0"/>
    <m/>
    <s v="00885"/>
    <s v="12 de marzo de 2018"/>
    <n v="12"/>
    <x v="16"/>
    <s v="1,40"/>
    <e v="#NAME?"/>
  </r>
  <r>
    <n v="886"/>
    <m/>
    <x v="0"/>
    <d v="2018-03-12T00:00:00"/>
    <n v="0.8"/>
    <s v="Victoria Francischiello"/>
    <s v="victoriafrancischiello@hotmail.com"/>
    <s v="Calle Guacara Nro. 88-25"/>
    <s v="Cancelación Vigilancia, mes de Febrero 2018"/>
    <x v="0"/>
    <m/>
    <s v="00886"/>
    <s v="12 de marzo de 2018"/>
    <n v="12"/>
    <x v="16"/>
    <s v="0,80"/>
    <e v="#NAME?"/>
  </r>
  <r>
    <n v="887"/>
    <m/>
    <x v="0"/>
    <d v="2018-03-12T00:00:00"/>
    <n v="2.2000000000000002"/>
    <s v="Ana de González"/>
    <s v="mikelnowak25@gmail.com"/>
    <s v="Av. &quot;O&quot; Nro. 146-17"/>
    <s v="Cancelación Vigilancia, meses de Febrero y Marzo 2018"/>
    <x v="0"/>
    <m/>
    <s v="00887"/>
    <s v="12 de marzo de 2018"/>
    <n v="12"/>
    <x v="16"/>
    <s v="2,20"/>
    <e v="#NAME?"/>
  </r>
  <r>
    <n v="888"/>
    <m/>
    <x v="0"/>
    <d v="2018-02-22T00:00:00"/>
    <n v="0.3"/>
    <s v="Familia Rivero"/>
    <s v="En Físico"/>
    <s v="Calle Güigüe Nro. 88-40"/>
    <s v="Colaboración Vigilancia, mes de Enero 2018"/>
    <x v="0"/>
    <m/>
    <s v="00888"/>
    <s v="22 de febrero de 2018"/>
    <n v="22"/>
    <x v="15"/>
    <s v="0,30"/>
    <e v="#NAME?"/>
  </r>
  <r>
    <n v="889"/>
    <m/>
    <x v="0"/>
    <d v="2018-03-02T00:00:00"/>
    <n v="1.4"/>
    <s v="Beatriz Lara"/>
    <s v="valentina.gutierrez@hotmail.com"/>
    <s v="Calle Guacara Nro. 89-130"/>
    <s v="Cancelación Vigilancia, mes de Marzo 2018"/>
    <x v="0"/>
    <m/>
    <s v="00889"/>
    <s v="02 de marzo de 2018"/>
    <n v="2"/>
    <x v="16"/>
    <s v="1,40"/>
    <e v="#NAME?"/>
  </r>
  <r>
    <n v="890"/>
    <m/>
    <x v="0"/>
    <d v="2018-03-13T00:00:00"/>
    <n v="4.5"/>
    <s v="Familia Franco Gómez"/>
    <s v="eof64@hotmail.com"/>
    <s v="Calle Guacara Nro. 87-07"/>
    <s v="Cancelación Vigilancia, meses de Enero, Febrero, Marzo y Abril, y anticipo Mayo 2018"/>
    <x v="0"/>
    <m/>
    <s v="00890"/>
    <s v="13 de marzo de 2018"/>
    <n v="13"/>
    <x v="16"/>
    <s v="4,50"/>
    <e v="#NAME?"/>
  </r>
  <r>
    <n v="891"/>
    <m/>
    <x v="0"/>
    <d v="2018-03-14T00:00:00"/>
    <n v="1.4"/>
    <s v="Familia Nava Gordon"/>
    <s v="maru_19_66@hotmail.com"/>
    <s v="Calle Guacara Nro. 89-78"/>
    <s v="Cancelación Vigilancia, mes de Marzo 2018"/>
    <x v="0"/>
    <m/>
    <s v="00891"/>
    <s v="14 de marzo de 2018"/>
    <n v="14"/>
    <x v="16"/>
    <s v="1,40"/>
    <e v="#NAME?"/>
  </r>
  <r>
    <n v="892"/>
    <m/>
    <x v="0"/>
    <d v="2018-03-14T00:00:00"/>
    <n v="1.4"/>
    <s v="Familia Navarro Assing"/>
    <s v="liliaassing@gmail.com"/>
    <s v="Calle Güigüe Nro. 88-54"/>
    <s v="Cancelación Vigilancia, mes de Marzo 2018"/>
    <x v="0"/>
    <m/>
    <s v="00892"/>
    <s v="14 de marzo de 2018"/>
    <n v="14"/>
    <x v="16"/>
    <s v="1,40"/>
    <e v="#NAME?"/>
  </r>
  <r>
    <n v="893"/>
    <m/>
    <x v="0"/>
    <d v="2018-03-14T00:00:00"/>
    <n v="3"/>
    <s v="Familia Navarro Assing"/>
    <s v="liliaassing@gmail.com"/>
    <s v="Calle Güigüe Nro. 88-54"/>
    <s v="Venta de tubería "/>
    <x v="7"/>
    <m/>
    <s v="00893"/>
    <s v="14 de marzo de 2018"/>
    <n v="14"/>
    <x v="16"/>
    <s v="3,00"/>
    <e v="#NAME?"/>
  </r>
  <r>
    <n v="894"/>
    <m/>
    <x v="0"/>
    <d v="2018-03-14T00:00:00"/>
    <n v="1.4"/>
    <s v="Familia Sayago Peñaranda"/>
    <s v="alexissayago@gmail.com"/>
    <s v="Calle Güigüe Nro. 89-04"/>
    <s v="Cancelación Vigilancia, mes de Marzo 2018"/>
    <x v="0"/>
    <m/>
    <s v="00894"/>
    <s v="14 de marzo de 2018"/>
    <n v="14"/>
    <x v="16"/>
    <s v="1,40"/>
    <e v="#NAME?"/>
  </r>
  <r>
    <n v="895"/>
    <m/>
    <x v="0"/>
    <d v="2018-03-14T00:00:00"/>
    <n v="0.4"/>
    <s v="Familia Hatem Medina"/>
    <s v="hhatem1@hotmail.com"/>
    <s v="Calle Guacara Nro. 88-51"/>
    <s v="Cancelación ajuste de Vigilancia, meses de Marzo y Abril 2018"/>
    <x v="0"/>
    <m/>
    <s v="00895"/>
    <s v="14 de marzo de 2018"/>
    <n v="14"/>
    <x v="16"/>
    <s v="0,40"/>
    <e v="#NAME?"/>
  </r>
  <r>
    <n v="896"/>
    <m/>
    <x v="0"/>
    <d v="2018-03-16T00:00:00"/>
    <n v="1.4"/>
    <s v="Familia Fermín Rivas"/>
    <s v="angelferminb@gmail.com"/>
    <s v="Calle Güigüe Nro. 89-55"/>
    <s v="Cancelación Vigilancia, mes de Marzo 2018"/>
    <x v="0"/>
    <m/>
    <s v="00896"/>
    <s v="16 de marzo de 2018"/>
    <n v="16"/>
    <x v="16"/>
    <s v="1,40"/>
    <e v="#NAME?"/>
  </r>
  <r>
    <n v="897"/>
    <m/>
    <x v="0"/>
    <d v="2018-03-16T00:00:00"/>
    <n v="1.55"/>
    <s v="La Casita Encantada"/>
    <s v="En Físico"/>
    <s v="Av. &quot;M&quot; Nro. 146-30"/>
    <s v="Cancelación Vigilancia, mes de Marzo 2018"/>
    <x v="0"/>
    <m/>
    <s v="00897"/>
    <s v="16 de marzo de 2018"/>
    <n v="16"/>
    <x v="16"/>
    <s v="1,55"/>
    <e v="#NAME?"/>
  </r>
  <r>
    <n v="898"/>
    <m/>
    <x v="0"/>
    <d v="2018-03-19T00:00:00"/>
    <n v="0.8"/>
    <s v="Familia Rodríguez Landaeta"/>
    <s v="mrl58@hotmail.com"/>
    <s v="Calle Güigüe Nro. 89-29"/>
    <s v="Colaboración Vigilancia, mes de Marzo 2018"/>
    <x v="0"/>
    <m/>
    <s v="00898"/>
    <s v="19 de marzo de 2018"/>
    <n v="19"/>
    <x v="16"/>
    <s v="0,80"/>
    <e v="#NAME?"/>
  </r>
  <r>
    <n v="899"/>
    <m/>
    <x v="0"/>
    <d v="2018-03-20T00:00:00"/>
    <n v="4.7"/>
    <s v="Sra. Reina Meléndez"/>
    <s v="olgajipe@gmail.com"/>
    <s v="Av. &quot;M&quot; Nro. 145-10"/>
    <s v="Cancelación Vigilancia, meses de Septiembre a Diciembre 2017 y Enero a Marzo 2018"/>
    <x v="0"/>
    <m/>
    <s v="00899"/>
    <s v="20 de marzo de 2018"/>
    <n v="20"/>
    <x v="16"/>
    <s v="4,70"/>
    <e v="#NAME?"/>
  </r>
  <r>
    <n v="900"/>
    <m/>
    <x v="0"/>
    <d v="2018-03-20T00:00:00"/>
    <n v="1.4"/>
    <s v="Familia Narváez Caldera"/>
    <s v="jeannette_nc@yahoo.com"/>
    <s v="Calle Güigüe Nro. 87-A-11"/>
    <s v="Cancelación Vigilancia, mes de Marzo 2018"/>
    <x v="0"/>
    <m/>
    <s v="00900"/>
    <s v="20 de marzo de 2018"/>
    <n v="20"/>
    <x v="16"/>
    <s v="1,40"/>
    <e v="#NAME?"/>
  </r>
  <r>
    <n v="901"/>
    <m/>
    <x v="0"/>
    <d v="2018-02-28T00:00:00"/>
    <n v="0.8"/>
    <s v="Familia Barreto Pérez"/>
    <s v="bbetsa19@hotmail.com"/>
    <s v="Av. &quot;M&quot; Nro. 146-15"/>
    <s v="Cancelación Vigilancia, mes de Febrero 2018"/>
    <x v="0"/>
    <m/>
    <s v="00901"/>
    <s v="28 de febrero de 2018"/>
    <n v="28"/>
    <x v="15"/>
    <s v="0,80"/>
    <e v="#NAME?"/>
  </r>
  <r>
    <n v="902"/>
    <m/>
    <x v="0"/>
    <d v="2018-03-21T00:00:00"/>
    <n v="2"/>
    <s v="Colegio El Trigal"/>
    <s v="En Físico"/>
    <s v="Calle Güigüe Nros. 88-71 y 88-81"/>
    <s v="Cancelación Vigilancia, mes de Marzo 2018"/>
    <x v="0"/>
    <m/>
    <s v="00902"/>
    <s v="21 de marzo de 2018"/>
    <n v="21"/>
    <x v="16"/>
    <s v="2,00"/>
    <e v="#NAME?"/>
  </r>
  <r>
    <n v="903"/>
    <m/>
    <x v="0"/>
    <d v="2018-03-21T00:00:00"/>
    <n v="3"/>
    <s v="Familia Ochoa Mendoza"/>
    <s v="marisoljudithm@hotmail.com"/>
    <s v="Calle Güigüe Nro. 89-105"/>
    <s v="Cancelación Vigilancia, meses de Enero, Febrero y Marzo 2018"/>
    <x v="0"/>
    <m/>
    <s v="00903"/>
    <s v="21 de marzo de 2018"/>
    <n v="21"/>
    <x v="16"/>
    <s v="3,00"/>
    <e v="#NAME?"/>
  </r>
  <r>
    <n v="904"/>
    <m/>
    <x v="0"/>
    <d v="2018-03-21T00:00:00"/>
    <n v="2.2000000000000002"/>
    <s v="Familia Flores Montagne"/>
    <s v="martaflores@gmail.com"/>
    <s v="Av. &quot;M&quot; Nro. 146-20"/>
    <s v="Cancelación Vigilancia, meses de Febrero y Marzo 2018"/>
    <x v="0"/>
    <m/>
    <s v="00904"/>
    <s v="21 de marzo de 2018"/>
    <n v="21"/>
    <x v="16"/>
    <s v="2,20"/>
    <e v="#NAME?"/>
  </r>
  <r>
    <n v="905"/>
    <m/>
    <x v="0"/>
    <d v="2018-03-21T00:00:00"/>
    <n v="2.5"/>
    <s v="Familia Kattar González"/>
    <s v="jagiak123@yahoo.es"/>
    <s v="Calle Güigüe Nro. 89-95"/>
    <s v="Cancelación Vigilancia, saldo mes de Marzo, y anticipo meses de Abril y Mayo 2018"/>
    <x v="0"/>
    <m/>
    <s v="00905"/>
    <s v="21 de marzo de 2018"/>
    <n v="21"/>
    <x v="16"/>
    <s v="2,50"/>
    <e v="#NAME?"/>
  </r>
  <r>
    <n v="906"/>
    <m/>
    <x v="0"/>
    <d v="2018-03-23T00:00:00"/>
    <n v="1.8"/>
    <s v="Familia Zavarce Pérez"/>
    <s v="En Físico"/>
    <s v="Calle Guacara Nro. 90-35"/>
    <s v="Cancelación Vigilancia, mes de Marzo y anticipo Abril 2018"/>
    <x v="0"/>
    <m/>
    <s v="00906"/>
    <s v="23 de marzo de 2018"/>
    <n v="23"/>
    <x v="16"/>
    <s v="1,80"/>
    <e v="#NAME?"/>
  </r>
  <r>
    <n v="907"/>
    <m/>
    <x v="0"/>
    <d v="2018-03-23T00:00:00"/>
    <n v="1.4"/>
    <s v="Familia Díaz González"/>
    <s v="luisrdt57@gmail.com"/>
    <s v="Calle Güigüe Nro. 88-116"/>
    <s v="Cancelación Vigilancia, mes de Marzo 2018"/>
    <x v="0"/>
    <m/>
    <s v="00907"/>
    <s v="23 de marzo de 2018"/>
    <n v="23"/>
    <x v="16"/>
    <s v="1,40"/>
    <e v="#NAME?"/>
  </r>
  <r>
    <n v="908"/>
    <m/>
    <x v="0"/>
    <d v="2018-03-26T00:00:00"/>
    <n v="1.2"/>
    <s v="Familia Guerra Miret"/>
    <s v="antoniojguerrag@hotmail.com"/>
    <s v="Calle Güigüe Nro. 89-40"/>
    <s v="Cancelación saldo Vigilancia, meses de Marzo y Abril 2018"/>
    <x v="0"/>
    <m/>
    <s v="00908"/>
    <s v="26 de marzo de 2018"/>
    <n v="26"/>
    <x v="16"/>
    <s v="1,20"/>
    <e v="#NAME?"/>
  </r>
  <r>
    <n v="909"/>
    <m/>
    <x v="0"/>
    <d v="2018-03-26T00:00:00"/>
    <n v="1.4"/>
    <s v="Amarilis Guerra"/>
    <s v="amarilisguerra1@yahoo.com"/>
    <s v="Calle Güigüe Nro. 89-96"/>
    <s v="Cancelación Vigilancia, mes de Marzo 2018"/>
    <x v="0"/>
    <m/>
    <s v="00909"/>
    <s v="26 de marzo de 2018"/>
    <n v="26"/>
    <x v="16"/>
    <s v="1,40"/>
    <e v="#NAME?"/>
  </r>
  <r>
    <n v="910"/>
    <m/>
    <x v="0"/>
    <d v="2018-03-26T00:00:00"/>
    <n v="3"/>
    <s v="Zoraida Khair"/>
    <s v="zorakhair@hotmail.com"/>
    <s v="Calle Güigüe Nro. 88-80"/>
    <s v="Colaboración Vigilancia, meses de Enero, Febrero y Marzo 2017"/>
    <x v="0"/>
    <m/>
    <s v="00910"/>
    <s v="26 de marzo de 2018"/>
    <n v="26"/>
    <x v="16"/>
    <s v="3,00"/>
    <e v="#NAME?"/>
  </r>
  <r>
    <n v="911"/>
    <m/>
    <x v="0"/>
    <d v="2018-03-26T00:00:00"/>
    <n v="2.8"/>
    <s v="Anahiz Seijas"/>
    <s v="anahiz_2@hotmail.es"/>
    <s v="Calle Güigüe Nro. 89-106"/>
    <s v="Cancelación Vigilancia, meses de Marzo y Abril 2018"/>
    <x v="0"/>
    <m/>
    <s v="00911"/>
    <s v="26 de marzo de 2018"/>
    <n v="26"/>
    <x v="16"/>
    <s v="2,80"/>
    <e v="#NAME?"/>
  </r>
  <r>
    <n v="912"/>
    <m/>
    <x v="0"/>
    <d v="2018-03-26T00:00:00"/>
    <n v="3"/>
    <s v="Ma. de Jesus Alonso"/>
    <s v="alonsojg@gmail.com"/>
    <s v="Calle Güigüe Nro. 88-30"/>
    <s v="Colaboración Vigilancia, meses de Marzo, Abril y Mayo 2018"/>
    <x v="0"/>
    <m/>
    <s v="00912"/>
    <s v="26 de marzo de 2018"/>
    <n v="26"/>
    <x v="16"/>
    <s v="3,00"/>
    <e v="#NAME?"/>
  </r>
  <r>
    <n v="913"/>
    <m/>
    <x v="0"/>
    <d v="2018-03-26T00:00:00"/>
    <n v="1.4"/>
    <s v="Familia Acosta Carpio"/>
    <s v="pablo962@hotmail.com"/>
    <s v="Calle Güigüe Nro. 89-10"/>
    <s v="Cancelación Vigilancia, mes de Marzo 2018"/>
    <x v="0"/>
    <m/>
    <s v="00913"/>
    <s v="26 de marzo de 2018"/>
    <n v="26"/>
    <x v="16"/>
    <s v="1,40"/>
    <e v="#NAME?"/>
  </r>
  <r>
    <n v="914"/>
    <m/>
    <x v="0"/>
    <d v="2018-03-28T00:00:00"/>
    <n v="1.4"/>
    <s v="Familia Jiménez Navarro"/>
    <s v="joyasonline2012@gmail.com"/>
    <s v="Calle Güigüe Nro. 88-50"/>
    <s v="Cancelación Vigilancia, mes de Marzo 2018"/>
    <x v="0"/>
    <m/>
    <s v="00914"/>
    <s v="28 de marzo de 2018"/>
    <n v="28"/>
    <x v="16"/>
    <s v="1,40"/>
    <e v="#NAME?"/>
  </r>
  <r>
    <n v="915"/>
    <m/>
    <x v="0"/>
    <d v="2018-03-28T00:00:00"/>
    <n v="4"/>
    <s v="Familia Navarrete Medina"/>
    <s v="juanin1919@yahoo.com"/>
    <s v="Calle Güigüe Nro. 89-22"/>
    <s v="Cancelación Vigilancia, meses de Noviembre y Diciembre 2017 y de Enero a Marzo 2018"/>
    <x v="0"/>
    <m/>
    <s v="00915"/>
    <s v="28 de marzo de 2018"/>
    <n v="28"/>
    <x v="16"/>
    <s v="4,00"/>
    <e v="#NAME?"/>
  </r>
  <r>
    <n v="916"/>
    <m/>
    <x v="0"/>
    <d v="2018-03-28T00:00:00"/>
    <n v="2.7755000000000001"/>
    <s v="Familia Piñero Padilla"/>
    <s v="achepaul2005@hotmail.com"/>
    <s v="Calle Güigüe Nro. 89-21"/>
    <s v="Cancelación Vigilancia, saldo mes de Marzo y mes de Abril 2018"/>
    <x v="0"/>
    <m/>
    <s v="00916"/>
    <s v="28 de marzo de 2018"/>
    <n v="28"/>
    <x v="16"/>
    <s v="2,78"/>
    <e v="#NAME?"/>
  </r>
  <r>
    <n v="917"/>
    <m/>
    <x v="0"/>
    <d v="2018-03-28T00:00:00"/>
    <n v="1.4"/>
    <s v="Familia Gascón Domínguez"/>
    <s v="vrgascon@gmail.com"/>
    <s v="Calle Güigüe Nro. 88-70"/>
    <s v="Cancelación Vigilancia, mes de Marzo 2018"/>
    <x v="0"/>
    <m/>
    <s v="00917"/>
    <s v="28 de marzo de 2018"/>
    <n v="28"/>
    <x v="16"/>
    <s v="1,40"/>
    <e v="#NAME?"/>
  </r>
  <r>
    <n v="918"/>
    <m/>
    <x v="0"/>
    <d v="2018-03-30T00:00:00"/>
    <n v="1.4"/>
    <s v="Familia López Hermoso"/>
    <s v="lopez.humberto14@yahoo.com.ve"/>
    <s v="Calle Güigüe Nro. 89-79"/>
    <s v="Cancelación Vigilancia, mes de Marzo 2018 (saldo a favor: Bs. 700.000)"/>
    <x v="0"/>
    <m/>
    <s v="00918"/>
    <s v="30 de marzo de 2018"/>
    <n v="30"/>
    <x v="16"/>
    <s v="1,40"/>
    <e v="#NAME?"/>
  </r>
  <r>
    <n v="919"/>
    <m/>
    <x v="0"/>
    <d v="2018-03-30T00:00:00"/>
    <n v="0.5"/>
    <s v="Familia Méndez Parra"/>
    <s v="briceidamp@hotmail.com"/>
    <s v="Calle Guacara Nro. 88-19"/>
    <s v="Colaboración Vigilancia, mes de Marzo 2018"/>
    <x v="0"/>
    <m/>
    <s v="00919"/>
    <s v="30 de marzo de 2018"/>
    <n v="30"/>
    <x v="16"/>
    <s v="0,50"/>
    <e v="#NAME?"/>
  </r>
  <r>
    <n v="920"/>
    <m/>
    <x v="0"/>
    <d v="2018-03-30T00:00:00"/>
    <n v="4.2"/>
    <s v="Familia González Arévalo"/>
    <s v="feryenis@hotmail.com"/>
    <s v="Calle Guacara Nro. 89-86"/>
    <s v="Cancelación Vigilancia, meses de Marzo, Abril y Mayo 2018"/>
    <x v="0"/>
    <m/>
    <s v="00920"/>
    <s v="30 de marzo de 2018"/>
    <n v="30"/>
    <x v="16"/>
    <s v="4,20"/>
    <e v="#NAME?"/>
  </r>
  <r>
    <n v="921"/>
    <m/>
    <x v="0"/>
    <d v="2018-04-02T00:00:00"/>
    <n v="0.5"/>
    <s v="Familia Méndez Parra"/>
    <s v="briceidamp@hotmail.com"/>
    <s v="Calle Guacara Nro. 88-19"/>
    <s v="Colaboración Vigilancia, complemento mes de Marzo 2018"/>
    <x v="0"/>
    <m/>
    <s v="00921"/>
    <s v="02 de abril de 2018"/>
    <n v="2"/>
    <x v="17"/>
    <s v="0,50"/>
    <e v="#NAME?"/>
  </r>
  <r>
    <n v="922"/>
    <m/>
    <x v="0"/>
    <d v="2018-04-04T00:00:00"/>
    <n v="2"/>
    <s v="Familia Puerta Burguillos"/>
    <s v="namaricakes@gmail.com"/>
    <s v="Calle Guacara Nro. 87-100"/>
    <s v="Vigilancia, saldo mes de Marzo y cancelación mes de Abril 2018"/>
    <x v="0"/>
    <m/>
    <s v="00922"/>
    <s v="04 de abril de 2018"/>
    <n v="4"/>
    <x v="17"/>
    <s v="2,00"/>
    <e v="#NAME?"/>
  </r>
  <r>
    <n v="923"/>
    <m/>
    <x v="0"/>
    <d v="2018-04-03T00:00:00"/>
    <n v="2.8"/>
    <s v="Familia Montilla García"/>
    <s v="dairy252525@hotmail.com"/>
    <s v="Calle Güigüe Nro. 89-90"/>
    <s v="Cancelación Vigilancia, meses de Marzo y Abril 2018"/>
    <x v="0"/>
    <m/>
    <s v="00923"/>
    <s v="03 de abril de 2018"/>
    <n v="3"/>
    <x v="17"/>
    <s v="2,80"/>
    <e v="#NAME?"/>
  </r>
  <r>
    <n v="924"/>
    <m/>
    <x v="0"/>
    <d v="2018-04-04T00:00:00"/>
    <n v="1.4"/>
    <s v="Familia Colosso Delgado"/>
    <s v="mcolosso@gmail.com"/>
    <s v="Calle Güigüe Nro. 88-44"/>
    <s v="Cancelación Vigilancia, mes de Abril 2018"/>
    <x v="0"/>
    <m/>
    <s v="00924"/>
    <s v="04 de abril de 2018"/>
    <n v="4"/>
    <x v="17"/>
    <s v="1,40"/>
    <e v="#NAME?"/>
  </r>
  <r>
    <n v="925"/>
    <m/>
    <x v="0"/>
    <d v="2018-04-04T00:00:00"/>
    <n v="0.5"/>
    <s v="Familia Romero"/>
    <s v="autoescuela21@gmail.com"/>
    <s v="Calle Guacara Nro. 89-50"/>
    <s v="Colaboración Vigilancia, mes de Abril 2018"/>
    <x v="0"/>
    <m/>
    <s v="00925"/>
    <s v="04 de abril de 2018"/>
    <n v="4"/>
    <x v="17"/>
    <s v="0,50"/>
    <e v="#NAME?"/>
  </r>
  <r>
    <n v="926"/>
    <m/>
    <x v="0"/>
    <d v="2018-04-04T00:00:00"/>
    <n v="1.4"/>
    <s v="Familia Lomeña Agudo"/>
    <s v="claudialomena@hotmail.com"/>
    <s v="Calle Guacara Nro. 89-30"/>
    <s v="Cancelación Vigilancia, mes de Abril 2018"/>
    <x v="0"/>
    <m/>
    <s v="00926"/>
    <s v="04 de abril de 2018"/>
    <n v="4"/>
    <x v="17"/>
    <s v="1,40"/>
    <e v="#NAME?"/>
  </r>
  <r>
    <n v="927"/>
    <m/>
    <x v="0"/>
    <d v="2018-04-04T00:00:00"/>
    <n v="0.6"/>
    <s v="Familia Lomeña Agudo"/>
    <s v="claudialomena@hotmail.com"/>
    <s v="Calle Guacara Nro. 89-30"/>
    <s v="Anticipo Vigilancia, mes de Junio 2018"/>
    <x v="0"/>
    <m/>
    <s v="00927"/>
    <s v="04 de abril de 2018"/>
    <n v="4"/>
    <x v="17"/>
    <s v="0,60"/>
    <e v="#NAME?"/>
  </r>
  <r>
    <n v="928"/>
    <m/>
    <x v="0"/>
    <d v="2018-04-04T00:00:00"/>
    <n v="2.5"/>
    <s v="Familia Durvelle Serrano"/>
    <s v="sdurvelle@hotmail.com"/>
    <s v="Calle Guacara Nro. 89-60"/>
    <s v="Cancelación Vigilancia, mes de Abril 2018 y aporte especial"/>
    <x v="0"/>
    <m/>
    <s v="00928"/>
    <s v="04 de abril de 2018"/>
    <n v="4"/>
    <x v="17"/>
    <s v="2,50"/>
    <e v="#NAME?"/>
  </r>
  <r>
    <n v="929"/>
    <m/>
    <x v="0"/>
    <d v="2018-04-04T00:00:00"/>
    <n v="1.4"/>
    <s v="Familia Alonso Rojas"/>
    <s v="redjc01@gmail.com"/>
    <s v="Calle Güigüe Nro. 89-54"/>
    <s v="Cancelación Vigilancia, mes de Abril 2018"/>
    <x v="0"/>
    <m/>
    <s v="00929"/>
    <s v="04 de abril de 2018"/>
    <n v="4"/>
    <x v="17"/>
    <s v="1,40"/>
    <e v="#NAME?"/>
  </r>
  <r>
    <n v="930"/>
    <m/>
    <x v="0"/>
    <d v="2018-04-04T00:00:00"/>
    <n v="2.8"/>
    <s v="Wu Hung Fung"/>
    <s v="carolinahung24@gmail.com"/>
    <s v="Calle Guacara Nro. 90-81"/>
    <s v="Cancelación Vigilancia, meses de Marzo y Abril 2018"/>
    <x v="0"/>
    <m/>
    <s v="00930"/>
    <s v="04 de abril de 2018"/>
    <n v="4"/>
    <x v="17"/>
    <s v="2,80"/>
    <e v="#NAME?"/>
  </r>
  <r>
    <n v="931"/>
    <m/>
    <x v="0"/>
    <d v="2018-04-04T00:00:00"/>
    <n v="1.2"/>
    <s v="Wu Hung Fung"/>
    <s v="carolinahung24@gmail.com"/>
    <s v="Calle Guacara Nro. 90-81"/>
    <s v="Colaboración mantenimiento Caseta de Vigilancia"/>
    <x v="8"/>
    <m/>
    <s v="00931"/>
    <s v="04 de abril de 2018"/>
    <n v="4"/>
    <x v="17"/>
    <s v="1,20"/>
    <e v="#NAME?"/>
  </r>
  <r>
    <n v="932"/>
    <m/>
    <x v="0"/>
    <d v="2018-04-05T00:00:00"/>
    <n v="1.4"/>
    <s v="Familia Del Negro Palermo"/>
    <s v="vdelnegro@gmail.com"/>
    <s v="Calle Guacara Nro. 88-45"/>
    <s v="Cancelación Vigilancia, mes de Abril 2018 (saldo a favor: Bs. 520.000)"/>
    <x v="0"/>
    <m/>
    <s v="00932"/>
    <s v="05 de abril de 2018"/>
    <n v="5"/>
    <x v="17"/>
    <s v="1,40"/>
    <e v="#NAME?"/>
  </r>
  <r>
    <n v="933"/>
    <m/>
    <x v="0"/>
    <d v="2018-04-05T00:00:00"/>
    <n v="1.4"/>
    <s v="Ely Saúl Rivero Gómez"/>
    <s v="hhs.admon@gmail.com"/>
    <s v="Av. &quot;Ñ&quot; Nro. 145-25"/>
    <s v="Cancelación Vigilancia, mes de Abril 2018 (saldo a favor: Bs. 585.000)"/>
    <x v="0"/>
    <m/>
    <s v="00933"/>
    <s v="05 de abril de 2018"/>
    <n v="5"/>
    <x v="17"/>
    <s v="1,40"/>
    <e v="#NAME?"/>
  </r>
  <r>
    <n v="934"/>
    <m/>
    <x v="0"/>
    <d v="2018-04-05T00:00:00"/>
    <n v="1.4"/>
    <s v="Familia López Hermoso"/>
    <s v="lopez.humberto14@yahoo.com.ve"/>
    <s v="Calle Güigüe Nro. 89-79"/>
    <s v="Cancelación Vigilancia, mes de Abril 2018 (saldo a favor: Bs. 560.000)"/>
    <x v="0"/>
    <m/>
    <s v="00934"/>
    <s v="05 de abril de 2018"/>
    <n v="5"/>
    <x v="17"/>
    <s v="1,40"/>
    <e v="#NAME?"/>
  </r>
  <r>
    <n v="935"/>
    <m/>
    <x v="0"/>
    <d v="2018-04-05T00:00:00"/>
    <n v="3"/>
    <s v="Familia Castro Jiménez"/>
    <s v="aurycastrojimenez@gmail.com"/>
    <s v="Calle Guacara Nro. 90-51"/>
    <s v="Cancelación Vigilancia, meses de Marzo y Abril 2018 y aporte especial"/>
    <x v="0"/>
    <m/>
    <s v="00935"/>
    <s v="05 de abril de 2018"/>
    <n v="5"/>
    <x v="17"/>
    <s v="3,00"/>
    <e v="#NAME?"/>
  </r>
  <r>
    <n v="936"/>
    <m/>
    <x v="0"/>
    <d v="2018-04-05T00:00:00"/>
    <n v="1.4"/>
    <s v="Familia Arcia Polanco"/>
    <s v="misipo29@gmail.com"/>
    <s v="Calle Guacara Nro. 89-20"/>
    <s v="Cancelación Vigilancia, mes de Abril 2018"/>
    <x v="0"/>
    <m/>
    <s v="00936"/>
    <s v="05 de abril de 2018"/>
    <n v="5"/>
    <x v="17"/>
    <s v="1,40"/>
    <e v="#NAME?"/>
  </r>
  <r>
    <n v="937"/>
    <m/>
    <x v="0"/>
    <d v="2018-04-05T00:00:00"/>
    <n v="1.4"/>
    <s v="Familia Manrique Riera"/>
    <s v="patriciamanrique@gmail.com"/>
    <s v="Calle Guacara Nro. 89-40"/>
    <s v="Colaboración Vigilancia, mes de Marzo 2018"/>
    <x v="0"/>
    <m/>
    <s v="00937"/>
    <s v="05 de abril de 2018"/>
    <n v="5"/>
    <x v="17"/>
    <s v="1,40"/>
    <e v="#NAME?"/>
  </r>
  <r>
    <n v="938"/>
    <m/>
    <x v="0"/>
    <d v="2018-04-05T00:00:00"/>
    <n v="2.8"/>
    <s v="Familia Costermani Terrer"/>
    <s v="claudiacostermani@hotmail.com"/>
    <s v="Calle Güigüe Nro. 88-11"/>
    <s v="Cancelación Vigilancia, meses de Marzo y Abril 2018"/>
    <x v="0"/>
    <m/>
    <s v="00938"/>
    <s v="05 de abril de 2018"/>
    <n v="5"/>
    <x v="17"/>
    <s v="2,80"/>
    <e v="#NAME?"/>
  </r>
  <r>
    <n v="939"/>
    <m/>
    <x v="0"/>
    <d v="2018-04-05T00:00:00"/>
    <n v="0.8"/>
    <s v="Héctor Hernández"/>
    <s v="eof64@hotmail.com"/>
    <s v="Calle Guacara Nro. 89-94"/>
    <s v="Colaboración Vigilancia, mes de Abril 2018"/>
    <x v="0"/>
    <m/>
    <s v="00939"/>
    <s v="05 de abril de 2018"/>
    <n v="5"/>
    <x v="17"/>
    <s v="0,80"/>
    <e v="#NAME?"/>
  </r>
  <r>
    <n v="940"/>
    <m/>
    <x v="0"/>
    <d v="2018-04-05T00:00:00"/>
    <n v="1.4"/>
    <s v="Familia Loponte Arteaga"/>
    <s v="nancyloponte@hotmail.com"/>
    <s v="Calle Güigüe Nro. 88-120"/>
    <s v="Cancelación Vigilancia, mes de Abril 2018"/>
    <x v="0"/>
    <m/>
    <s v="00940"/>
    <s v="05 de abril de 2018"/>
    <n v="5"/>
    <x v="17"/>
    <s v="1,40"/>
    <e v="#NAME?"/>
  </r>
  <r>
    <n v="941"/>
    <m/>
    <x v="0"/>
    <d v="2018-04-05T00:00:00"/>
    <n v="0.6"/>
    <s v="Familia Loponte Arteaga"/>
    <s v="nancyloponte@hotmail.com"/>
    <s v="Calle Güigüe Nro. 88-120"/>
    <s v="Colaboración mantenimiento Caseta de Vigilancia"/>
    <x v="8"/>
    <m/>
    <s v="00941"/>
    <s v="05 de abril de 2018"/>
    <n v="5"/>
    <x v="17"/>
    <s v="0,60"/>
    <e v="#NAME?"/>
  </r>
  <r>
    <n v="942"/>
    <m/>
    <x v="0"/>
    <d v="2017-12-09T00:00:00"/>
    <n v="0.5"/>
    <s v="Amarilis Guerra"/>
    <s v="amarilisguerra1@yahoo.com"/>
    <s v="Calle Güigüe Nro. 89-96"/>
    <s v="Cancelación Vigilancia, mes de Diciembre 2017"/>
    <x v="0"/>
    <m/>
    <s v="00942"/>
    <s v="09 de diciembre de 2017"/>
    <n v="9"/>
    <x v="13"/>
    <s v="0,50"/>
    <e v="#NAME?"/>
  </r>
  <r>
    <n v="943"/>
    <m/>
    <x v="0"/>
    <d v="2018-04-06T00:00:00"/>
    <n v="1.4"/>
    <s v="Familia Barreto Pérez"/>
    <s v="bbetsa19@hotmail.com"/>
    <s v="Av. &quot;M&quot; Nro. 146-15"/>
    <s v="Cancelación Vigilancia, mes de Marzo 2018"/>
    <x v="0"/>
    <m/>
    <s v="00943"/>
    <s v="06 de abril de 2018"/>
    <n v="6"/>
    <x v="17"/>
    <s v="1,40"/>
    <e v="#NAME?"/>
  </r>
  <r>
    <n v="944"/>
    <m/>
    <x v="0"/>
    <d v="2018-04-06T00:00:00"/>
    <n v="2.6"/>
    <s v="Familia Il Grande Franceschi"/>
    <s v="arcifran75@hotmail.com"/>
    <s v="Av. &quot;I&quot; Nro. 146-40"/>
    <s v="Cancelación Vigilancia, meses de Marzo y Abril 2018"/>
    <x v="0"/>
    <m/>
    <s v="00944"/>
    <s v="06 de abril de 2018"/>
    <n v="6"/>
    <x v="17"/>
    <s v="2,60"/>
    <e v="#NAME?"/>
  </r>
  <r>
    <n v="945"/>
    <m/>
    <x v="0"/>
    <d v="2018-04-07T00:00:00"/>
    <n v="0.8"/>
    <s v="Chin Chun Ya (Goya)"/>
    <s v="uc2721@gmail.com"/>
    <s v="Calle Guacara Nro. 87-86"/>
    <s v="Colaboración Vigilancia, saldo mes de Abril 2018"/>
    <x v="0"/>
    <m/>
    <s v="00945"/>
    <s v="07 de abril de 2018"/>
    <n v="7"/>
    <x v="17"/>
    <s v="0,80"/>
    <e v="#NAME?"/>
  </r>
  <r>
    <n v="946"/>
    <m/>
    <x v="0"/>
    <d v="2018-04-08T00:00:00"/>
    <n v="2"/>
    <s v="Victoria Francischiello"/>
    <s v="victoriafrancischiello@hotmail.com"/>
    <s v="Calle Guacara Nro. 88-25"/>
    <s v="Colaboración Vigilancia, meses de Marzo y Abril 2018"/>
    <x v="0"/>
    <m/>
    <s v="00946"/>
    <s v="08 de abril de 2018"/>
    <n v="8"/>
    <x v="17"/>
    <s v="2,00"/>
    <e v="#NAME?"/>
  </r>
  <r>
    <n v="947"/>
    <m/>
    <x v="0"/>
    <d v="2018-04-08T00:00:00"/>
    <n v="1.4"/>
    <s v="Familia Hurtado"/>
    <s v="En Físico"/>
    <s v="Av. &quot;O&quot; Nro. 146-11"/>
    <s v="Cancelación Vigilancia, mes de Abril 2018"/>
    <x v="0"/>
    <m/>
    <s v="00947"/>
    <s v="08 de abril de 2018"/>
    <n v="8"/>
    <x v="17"/>
    <s v="1,40"/>
    <e v="#NAME?"/>
  </r>
  <r>
    <n v="948"/>
    <m/>
    <x v="0"/>
    <d v="2018-04-10T00:00:00"/>
    <n v="2.8"/>
    <s v="Familia Delgado Hidalgo"/>
    <s v="ardh@hotmail.com"/>
    <s v="Calle Güigüe Nro. 88-10"/>
    <s v="Cancelación Vigilancia, meses de Marzo y Abril 2018"/>
    <x v="0"/>
    <m/>
    <s v="00948"/>
    <s v="10 de abril de 2018"/>
    <n v="10"/>
    <x v="17"/>
    <s v="2,80"/>
    <e v="#NAME?"/>
  </r>
  <r>
    <n v="949"/>
    <m/>
    <x v="0"/>
    <d v="2018-04-10T00:00:00"/>
    <n v="2"/>
    <s v="Familia Milanés Carmona"/>
    <s v="yndira11m@gmail.com"/>
    <s v="Calle Güigüe Nro. 89-65"/>
    <s v="Cancelación Vigilancia, saldo mes de Marzo y cancelación mes de Abril 2018"/>
    <x v="0"/>
    <m/>
    <s v="00949"/>
    <s v="10 de abril de 2018"/>
    <n v="10"/>
    <x v="17"/>
    <s v="2,00"/>
    <e v="#NAME?"/>
  </r>
  <r>
    <n v="950"/>
    <m/>
    <x v="0"/>
    <d v="2018-04-11T00:00:00"/>
    <n v="2"/>
    <s v="Colegio El Trigal"/>
    <s v="En Físico"/>
    <s v="Calle Güigüe Nros. 88-71 y 88-81"/>
    <s v="Cancelación Vigilancia, mes de Abril 2018"/>
    <x v="0"/>
    <m/>
    <s v="00950"/>
    <s v="11 de abril de 2018"/>
    <n v="11"/>
    <x v="17"/>
    <s v="2,00"/>
    <e v="#NAME?"/>
  </r>
  <r>
    <n v="951"/>
    <m/>
    <x v="0"/>
    <d v="2018-04-11T00:00:00"/>
    <n v="1.4"/>
    <s v="Familia Sayago Peñaranda"/>
    <s v="alexissayago@gmail.com"/>
    <s v="Calle Güigüe Nro. 89-04"/>
    <s v="Cancelación Vigilancia, mes de Abril 2018"/>
    <x v="0"/>
    <m/>
    <s v="00951"/>
    <s v="11 de abril de 2018"/>
    <n v="11"/>
    <x v="17"/>
    <s v="1,40"/>
    <e v="#NAME?"/>
  </r>
  <r>
    <n v="952"/>
    <m/>
    <x v="0"/>
    <d v="2018-04-11T00:00:00"/>
    <n v="1.4"/>
    <s v="Familia Lomeña Agudo"/>
    <s v="claudialomena@hotmail.com"/>
    <s v="Calle Guacara Nro. 89-30"/>
    <s v="Anticipo Vigilancia, mes de Junio 2018"/>
    <x v="0"/>
    <m/>
    <s v="00952"/>
    <s v="11 de abril de 2018"/>
    <n v="11"/>
    <x v="17"/>
    <s v="1,40"/>
    <e v="#NAME?"/>
  </r>
  <r>
    <n v="953"/>
    <m/>
    <x v="0"/>
    <d v="2018-04-13T00:00:00"/>
    <n v="1.4"/>
    <s v="Familia Nava Gordon"/>
    <s v="maru_19_66@hotmail.com"/>
    <s v="Calle Guacara Nro. 89-78"/>
    <s v="Cancelación Vigilancia, mes de Abril 2018"/>
    <x v="0"/>
    <m/>
    <s v="00953"/>
    <s v="13 de abril de 2018"/>
    <n v="13"/>
    <x v="17"/>
    <s v="1,40"/>
    <e v="#NAME?"/>
  </r>
  <r>
    <n v="954"/>
    <m/>
    <x v="0"/>
    <d v="2018-04-13T00:00:00"/>
    <n v="0.6"/>
    <s v="Familia Nava Gordon"/>
    <s v="maru_19_66@hotmail.com"/>
    <s v="Calle Guacara Nro. 89-78"/>
    <s v="Colaboración mantenimiento Caseta de Vigilancia"/>
    <x v="8"/>
    <m/>
    <s v="00954"/>
    <s v="13 de abril de 2018"/>
    <n v="13"/>
    <x v="17"/>
    <s v="0,60"/>
    <e v="#NAME?"/>
  </r>
  <r>
    <n v="955"/>
    <m/>
    <x v="0"/>
    <d v="2018-04-13T00:00:00"/>
    <n v="1.4"/>
    <s v="Familia Narváez Caldera"/>
    <s v="jeannette_nc@yahoo.com"/>
    <s v="Calle Güigüe Nro. 87-A-11"/>
    <s v="Cancelación Vigilancia, mes de Abril 2018"/>
    <x v="0"/>
    <m/>
    <s v="00955"/>
    <s v="13 de abril de 2018"/>
    <n v="13"/>
    <x v="17"/>
    <s v="1,40"/>
    <e v="#NAME?"/>
  </r>
  <r>
    <n v="956"/>
    <m/>
    <x v="0"/>
    <d v="2018-04-13T00:00:00"/>
    <n v="0.6"/>
    <s v="Familia Narváez Caldera"/>
    <s v="jeannette_nc@yahoo.com"/>
    <s v="Calle Güigüe Nro. 87-A-11"/>
    <s v="Colaboración mantenimiento Caseta de Vigilancia"/>
    <x v="8"/>
    <m/>
    <s v="00956"/>
    <s v="13 de abril de 2018"/>
    <n v="13"/>
    <x v="17"/>
    <s v="0,60"/>
    <e v="#NAME?"/>
  </r>
  <r>
    <n v="957"/>
    <m/>
    <x v="0"/>
    <d v="2018-04-13T00:00:00"/>
    <n v="1.4"/>
    <s v="Familia Castillo Mena"/>
    <s v="emmecas@hotmail.com"/>
    <s v="Calle Güigüe Nro. 88-101"/>
    <s v="Cancelación Vigilancia, mes de Marzo 2018"/>
    <x v="0"/>
    <m/>
    <s v="00957"/>
    <s v="13 de abril de 2018"/>
    <n v="13"/>
    <x v="17"/>
    <s v="1,40"/>
    <e v="#NAME?"/>
  </r>
  <r>
    <n v="958"/>
    <m/>
    <x v="0"/>
    <d v="2018-04-13T00:00:00"/>
    <n v="1.4"/>
    <s v="Familia Kablan Sarmiento"/>
    <s v="norisjsb56@hotmail.com"/>
    <s v="Calle Güigüe Nro. 89-80"/>
    <s v="Cancelación Vigilancia, mes de Abril 2018"/>
    <x v="0"/>
    <m/>
    <s v="00958"/>
    <s v="13 de abril de 2018"/>
    <n v="13"/>
    <x v="17"/>
    <s v="1,40"/>
    <e v="#NAME?"/>
  </r>
  <r>
    <n v="959"/>
    <m/>
    <x v="0"/>
    <d v="2018-04-16T00:00:00"/>
    <n v="1.4"/>
    <s v="Amarilis Guerra"/>
    <s v="amarilisguerra1@yahoo.com"/>
    <s v="Calle Güigüe Nro. 89-96"/>
    <s v="Cancelación Vigilancia, mes de Abril 2018"/>
    <x v="0"/>
    <m/>
    <s v="00959"/>
    <s v="16 de abril de 2018"/>
    <n v="16"/>
    <x v="17"/>
    <s v="1,40"/>
    <e v="#NAME?"/>
  </r>
  <r>
    <n v="960"/>
    <m/>
    <x v="0"/>
    <d v="2018-04-17T00:00:00"/>
    <n v="0.8"/>
    <s v="Familia Rodríguez Landaeta"/>
    <s v="mrl58@hotmail.com"/>
    <s v="Calle Güigüe Nro. 89-29"/>
    <s v="Colaboración Vigilancia, mes de Abril 2018"/>
    <x v="0"/>
    <m/>
    <s v="00960"/>
    <s v="17 de abril de 2018"/>
    <n v="17"/>
    <x v="17"/>
    <s v="0,80"/>
    <e v="#NAME?"/>
  </r>
  <r>
    <n v="961"/>
    <m/>
    <x v="0"/>
    <d v="2018-04-17T00:00:00"/>
    <n v="1.4"/>
    <s v="Beatriz Lara"/>
    <s v="valentina.gutierrez@hotmail.com"/>
    <s v="Calle Guacara Nro. 89-130"/>
    <s v="Cancelación Vigilancia, mes de Abril 2018"/>
    <x v="0"/>
    <m/>
    <s v="00961"/>
    <s v="17 de abril de 2018"/>
    <n v="17"/>
    <x v="17"/>
    <s v="1,40"/>
    <e v="#NAME?"/>
  </r>
  <r>
    <n v="962"/>
    <m/>
    <x v="0"/>
    <d v="2018-04-19T00:00:00"/>
    <n v="1.4"/>
    <s v="Familia Díaz González"/>
    <s v="luisrdt57@gmail.com"/>
    <s v="Calle Güigüe Nro. 88-116"/>
    <s v="Cancelación Vigilancia, mes de Abril 2018"/>
    <x v="0"/>
    <m/>
    <s v="00962"/>
    <s v="19 de abril de 2018"/>
    <n v="19"/>
    <x v="17"/>
    <s v="1,40"/>
    <e v="#NAME?"/>
  </r>
  <r>
    <n v="963"/>
    <m/>
    <x v="0"/>
    <d v="2018-04-16T00:00:00"/>
    <n v="1.4"/>
    <s v="Familia Fermín Rivas"/>
    <s v="angelferminb@gmail.com"/>
    <s v="Calle Güigüe Nro. 89-55"/>
    <s v="Cancelación Vigilancia, mes de Abril 2018"/>
    <x v="0"/>
    <m/>
    <s v="00963"/>
    <s v="16 de abril de 2018"/>
    <n v="16"/>
    <x v="17"/>
    <s v="1,40"/>
    <e v="#NAME?"/>
  </r>
  <r>
    <n v="964"/>
    <m/>
    <x v="0"/>
    <d v="2018-04-20T00:00:00"/>
    <n v="2.8"/>
    <s v="Familia Santos Carrillo"/>
    <s v="josesantos071073@gmail.com"/>
    <s v="Calle Guacara Nro. 90-93"/>
    <s v="Cancelación Vigilancia, meses de Marzo y Abril 2018"/>
    <x v="0"/>
    <m/>
    <s v="00964"/>
    <s v="20 de abril de 2018"/>
    <n v="20"/>
    <x v="17"/>
    <s v="2,80"/>
    <e v="#NAME?"/>
  </r>
  <r>
    <n v="965"/>
    <m/>
    <x v="0"/>
    <d v="2018-04-20T00:00:00"/>
    <n v="5"/>
    <s v="Familia Hatem Medina"/>
    <s v="hhatem1@hotmail.com"/>
    <s v="Calle Guacara Nro. 88-51"/>
    <s v="Colaboración mantenimiento Caseta de Vigilancia"/>
    <x v="8"/>
    <m/>
    <s v="00965"/>
    <s v="20 de abril de 2018"/>
    <n v="20"/>
    <x v="17"/>
    <s v="5,00"/>
    <e v="#NAME?"/>
  </r>
  <r>
    <n v="966"/>
    <m/>
    <x v="0"/>
    <d v="2018-04-21T00:00:00"/>
    <n v="2"/>
    <s v="Gloria Molina"/>
    <s v="glomola2@yahoo.es"/>
    <s v="Calle Güigüe Nro. 89-71"/>
    <s v="Colaboración Vigilancia, meses de Marzo y Abril 2018"/>
    <x v="0"/>
    <m/>
    <s v="00966"/>
    <s v="21 de abril de 2018"/>
    <n v="21"/>
    <x v="17"/>
    <s v="2,00"/>
    <e v="#NAME?"/>
  </r>
  <r>
    <n v="967"/>
    <m/>
    <x v="0"/>
    <d v="2018-04-21T00:00:00"/>
    <n v="1"/>
    <s v="Familia Zavarce Pérez"/>
    <s v="En Físico"/>
    <s v="Calle Guacara Nro. 90-35"/>
    <s v="Cancelación Vigilancia, saldo mes de Abril 2018"/>
    <x v="0"/>
    <m/>
    <s v="00967"/>
    <s v="21 de abril de 2018"/>
    <n v="21"/>
    <x v="17"/>
    <s v="1,00"/>
    <e v="#NAME?"/>
  </r>
  <r>
    <n v="968"/>
    <m/>
    <x v="0"/>
    <d v="2018-04-22T00:00:00"/>
    <n v="1.4"/>
    <s v="Familia Navarro Assing"/>
    <s v="liliaassing@gmail.com"/>
    <s v="Calle Güigüe Nro. 88-54"/>
    <s v="Cancelación Vigilancia, mes de Abril 2018"/>
    <x v="0"/>
    <m/>
    <s v="00968"/>
    <s v="22 de abril de 2018"/>
    <n v="22"/>
    <x v="17"/>
    <s v="1,40"/>
    <e v="#NAME?"/>
  </r>
  <r>
    <n v="969"/>
    <m/>
    <x v="0"/>
    <d v="2018-04-22T00:00:00"/>
    <n v="1"/>
    <s v="Familia Navarro Assing"/>
    <s v="liliaassing@gmail.com"/>
    <s v="Calle Güigüe Nro. 88-54"/>
    <s v="Colaboración mantenimiento Caseta de Vigilancia"/>
    <x v="8"/>
    <m/>
    <s v="00969"/>
    <s v="22 de abril de 2018"/>
    <n v="22"/>
    <x v="17"/>
    <s v="1,00"/>
    <e v="#NAME?"/>
  </r>
  <r>
    <n v="970"/>
    <m/>
    <x v="0"/>
    <d v="2018-04-23T00:00:00"/>
    <n v="1.4"/>
    <s v="Familia Alonso Rojas"/>
    <s v="redjc01@gmail.com"/>
    <s v="Calle Güigüe Nro. 89-54"/>
    <s v="Cancelación Vigilancia, mes de Mayo 2018"/>
    <x v="0"/>
    <m/>
    <s v="00970"/>
    <s v="23 de abril de 2018"/>
    <n v="23"/>
    <x v="17"/>
    <s v="1,40"/>
    <e v="#NAME?"/>
  </r>
  <r>
    <n v="971"/>
    <m/>
    <x v="0"/>
    <d v="2018-04-23T00:00:00"/>
    <n v="0.6"/>
    <s v="Familia Alonso Rojas"/>
    <s v="redjc01@gmail.com"/>
    <s v="Calle Güigüe Nro. 89-54"/>
    <s v="Colaboración mantenimiento Caseta de Vigilancia"/>
    <x v="8"/>
    <m/>
    <s v="00971"/>
    <s v="23 de abril de 2018"/>
    <n v="23"/>
    <x v="17"/>
    <s v="0,60"/>
    <e v="#NAME?"/>
  </r>
  <r>
    <n v="972"/>
    <m/>
    <x v="0"/>
    <d v="2018-04-24T00:00:00"/>
    <n v="0.6"/>
    <s v="Familia Chávez Hernández"/>
    <s v="mercedesch23@hotmail.com"/>
    <s v="Calle Güigüe Nro. 88-20"/>
    <s v="Colaboración Vigilancia, meses de Marzo y Abril 2018"/>
    <x v="0"/>
    <m/>
    <s v="00972"/>
    <s v="24 de abril de 2018"/>
    <n v="24"/>
    <x v="17"/>
    <s v="0,60"/>
    <e v="#NAME?"/>
  </r>
  <r>
    <n v="973"/>
    <m/>
    <x v="0"/>
    <d v="2018-04-25T00:00:00"/>
    <n v="1.4"/>
    <s v="Familia Acosta Carpio"/>
    <s v="pablo962@hotmail.com"/>
    <s v="Calle Güigüe Nro. 89-10"/>
    <s v="Cancelación Vigilancia, mes de Abril 2018"/>
    <x v="0"/>
    <m/>
    <s v="00973"/>
    <s v="25 de abril de 2018"/>
    <n v="25"/>
    <x v="17"/>
    <s v="1,40"/>
    <e v="#NAME?"/>
  </r>
  <r>
    <n v="974"/>
    <m/>
    <x v="0"/>
    <d v="2018-04-26T00:00:00"/>
    <n v="3"/>
    <s v="Familia Durvelle Serrano"/>
    <s v="sdurvelle@hotmail.com"/>
    <s v="Calle Guacara Nro. 89-60"/>
    <s v="Cancelación Vigilancia, mes de Mayo 2018 y aporte especial"/>
    <x v="0"/>
    <m/>
    <s v="00974"/>
    <s v="26 de abril de 2018"/>
    <n v="26"/>
    <x v="17"/>
    <s v="3,00"/>
    <e v="#NAME?"/>
  </r>
  <r>
    <n v="975"/>
    <m/>
    <x v="0"/>
    <d v="2018-04-26T00:00:00"/>
    <n v="3"/>
    <s v="Familia Durvelle Serrano"/>
    <s v="sdurvelle@hotmail.com"/>
    <s v="Calle Guacara Nro. 89-60"/>
    <s v="Anticipo Vigilancia, mes de Junio 2018"/>
    <x v="0"/>
    <m/>
    <s v="00975"/>
    <s v="26 de abril de 2018"/>
    <n v="26"/>
    <x v="17"/>
    <s v="3,00"/>
    <e v="#NAME?"/>
  </r>
  <r>
    <n v="976"/>
    <m/>
    <x v="0"/>
    <d v="2018-04-26T00:00:00"/>
    <n v="2.5"/>
    <s v="Familia Puerta Burguillos"/>
    <s v="namaricakes@gmail.com"/>
    <s v="Calle Guacara Nro. 87-100"/>
    <s v="Cancelación Vigilancia, mes de Mayo 2018"/>
    <x v="0"/>
    <m/>
    <s v="00976"/>
    <s v="26 de abril de 2018"/>
    <n v="26"/>
    <x v="17"/>
    <s v="2,50"/>
    <e v="#NAME?"/>
  </r>
  <r>
    <n v="977"/>
    <m/>
    <x v="0"/>
    <d v="2018-04-26T00:00:00"/>
    <n v="2.5"/>
    <s v="Familia Puerta Burguillos"/>
    <s v="namaricakes@gmail.com"/>
    <s v="Calle Guacara Nro. 87-100"/>
    <s v="Colaboración mantenimiento Caseta de Vigilancia"/>
    <x v="8"/>
    <m/>
    <s v="00977"/>
    <s v="26 de abril de 2018"/>
    <n v="26"/>
    <x v="17"/>
    <s v="2,50"/>
    <e v="#NAME?"/>
  </r>
  <r>
    <n v="978"/>
    <m/>
    <x v="0"/>
    <d v="2018-04-26T00:00:00"/>
    <n v="3"/>
    <s v="Familia Jiménez Navarro"/>
    <s v="joyasonline2012@gmail.com"/>
    <s v="Calle Güigüe Nro. 88-50"/>
    <s v="Cancelación Vigilancia, mes de Abril 2018"/>
    <x v="0"/>
    <m/>
    <s v="00978"/>
    <s v="26 de abril de 2018"/>
    <n v="26"/>
    <x v="17"/>
    <s v="3,00"/>
    <e v="#NAME?"/>
  </r>
  <r>
    <n v="979"/>
    <m/>
    <x v="1"/>
    <d v="2018-04-26T00:00:00"/>
    <n v="1.6"/>
    <s v="Familia Jiménez Navarro"/>
    <s v="joyasonline2012@gmail.com"/>
    <s v="Calle Güigüe Nro. 88-50"/>
    <s v="ANULADO: Colaboración mantenimiento Caseta de Vigilancia"/>
    <x v="3"/>
    <m/>
    <s v="00979"/>
    <s v="26 de abril de 2018"/>
    <n v="26"/>
    <x v="17"/>
    <s v="1,60"/>
    <e v="#NAME?"/>
  </r>
  <r>
    <n v="980"/>
    <m/>
    <x v="0"/>
    <d v="2018-04-26T00:00:00"/>
    <n v="2.8"/>
    <s v="Familia Scabuzzo Gómez"/>
    <s v="sfscabuzzo@msn.com"/>
    <s v="Av. &quot;I&quot; Nro. 146-20"/>
    <s v="Cancelación Vigilancia, meses de Marzo y Abril 2018"/>
    <x v="0"/>
    <m/>
    <s v="00980"/>
    <s v="26 de abril de 2018"/>
    <n v="26"/>
    <x v="17"/>
    <s v="2,80"/>
    <e v="#NAME?"/>
  </r>
  <r>
    <n v="981"/>
    <m/>
    <x v="0"/>
    <d v="2018-04-26T00:00:00"/>
    <n v="2.8"/>
    <s v="Familia Ozar Rivero"/>
    <s v="vanessarivero81@hotmail.com"/>
    <s v="Calle Güigüe Nro. 88-06"/>
    <s v="Cancelación Vigilancia, meses de Marzo y Abril 2018"/>
    <x v="0"/>
    <m/>
    <s v="00981"/>
    <s v="26 de abril de 2018"/>
    <n v="26"/>
    <x v="17"/>
    <s v="2,80"/>
    <e v="#NAME?"/>
  </r>
  <r>
    <n v="982"/>
    <m/>
    <x v="0"/>
    <d v="2018-04-30T00:00:00"/>
    <n v="1.4"/>
    <s v="Familia Castillo Mena"/>
    <s v="emmecas@hotmail.com"/>
    <s v="Calle Güigüe Nro. 88-101"/>
    <s v="Cancelación Vigilancia, mes de Abril 2018"/>
    <x v="0"/>
    <m/>
    <s v="00982"/>
    <s v="30 de abril de 2018"/>
    <n v="30"/>
    <x v="17"/>
    <s v="1,40"/>
    <e v="#NAME?"/>
  </r>
  <r>
    <n v="983"/>
    <m/>
    <x v="0"/>
    <d v="2018-05-03T00:00:00"/>
    <n v="5"/>
    <s v="Familia Zavarce Barón"/>
    <s v="alexanderzavarce@gmail.com"/>
    <s v="Calle Guacara Nro. 88-91"/>
    <s v="Colaboración Vigilancia, meses de Enero, Febrero, Marzo, Abril y anticipo mes de Mayo 2018"/>
    <x v="0"/>
    <m/>
    <s v="00983"/>
    <s v="03 de mayo de 2018"/>
    <n v="3"/>
    <x v="18"/>
    <s v="5,00"/>
    <e v="#NAME?"/>
  </r>
  <r>
    <n v="984"/>
    <m/>
    <x v="0"/>
    <d v="2018-05-03T00:00:00"/>
    <n v="4"/>
    <s v="Familia Fermín Rivas"/>
    <s v="angelferminb@gmail.com"/>
    <s v="Calle Güigüe Nro. 89-55"/>
    <s v="Cancelación Vigilancia, mes de Mayo 2018 (saldo a favor: Bs. 360.000)"/>
    <x v="0"/>
    <m/>
    <s v="00984"/>
    <s v="03 de mayo de 2018"/>
    <n v="3"/>
    <x v="18"/>
    <s v="4,00"/>
    <e v="#NAME?"/>
  </r>
  <r>
    <n v="985"/>
    <m/>
    <x v="0"/>
    <d v="2018-05-03T00:00:00"/>
    <n v="4"/>
    <s v="Familia Jiménez Salvatierra"/>
    <s v="En Físico"/>
    <s v="Calle Güigüe Nro. 89-45"/>
    <s v="Cancelación Vigilancia, mes de Mayo 2018 (saldo a favor: Bs. 1.393.000)"/>
    <x v="0"/>
    <m/>
    <s v="00985"/>
    <s v="03 de mayo de 2018"/>
    <n v="3"/>
    <x v="18"/>
    <s v="4,00"/>
    <e v="#NAME?"/>
  </r>
  <r>
    <n v="986"/>
    <m/>
    <x v="0"/>
    <d v="2018-05-03T00:00:00"/>
    <n v="4"/>
    <s v="Ely Saúl Rivero Gómez"/>
    <s v="hhs.admon@gmail.com"/>
    <s v="Av. &quot;Ñ&quot; Nro. 145-25"/>
    <s v="Cancelación Vigilancia, mes de Mayo 2018 (saldo a favor: Bs. 185.000)"/>
    <x v="0"/>
    <m/>
    <s v="00986"/>
    <s v="03 de mayo de 2018"/>
    <n v="3"/>
    <x v="18"/>
    <s v="4,00"/>
    <e v="#NAME?"/>
  </r>
  <r>
    <n v="987"/>
    <m/>
    <x v="0"/>
    <d v="2018-05-03T00:00:00"/>
    <n v="4"/>
    <s v="Familia Del Negro Palermo"/>
    <s v="vdelnegro@gmail.com"/>
    <s v="Calle Guacara Nro. 88-45"/>
    <s v="Cancelación Vigilancia, mes de Mayo 2018 (saldo a favor: Bs. 120.000)"/>
    <x v="0"/>
    <m/>
    <s v="00987"/>
    <s v="03 de mayo de 2018"/>
    <n v="3"/>
    <x v="18"/>
    <s v="4,00"/>
    <e v="#NAME?"/>
  </r>
  <r>
    <n v="988"/>
    <m/>
    <x v="0"/>
    <d v="2018-05-03T00:00:00"/>
    <n v="4"/>
    <s v="Familia López Hermoso"/>
    <s v="lopez.humberto14@yahoo.com.ve"/>
    <s v="Calle Güigüe Nro. 89-79"/>
    <s v="Cancelación Vigilancia, mes de Mayo 2018 (saldo a favor: Bs. 160.000)"/>
    <x v="0"/>
    <m/>
    <s v="00988"/>
    <s v="03 de mayo de 2018"/>
    <n v="3"/>
    <x v="18"/>
    <s v="4,00"/>
    <e v="#NAME?"/>
  </r>
  <r>
    <n v="989"/>
    <m/>
    <x v="0"/>
    <d v="2018-05-03T00:00:00"/>
    <n v="1.4"/>
    <s v="Familia Triana González"/>
    <s v="En Físico"/>
    <s v="Calle Guacara Nro. 90-61"/>
    <s v="Cancelación Vigilancia, mes de Abril 2018"/>
    <x v="0"/>
    <m/>
    <s v="00989"/>
    <s v="03 de mayo de 2018"/>
    <n v="3"/>
    <x v="18"/>
    <s v="1,40"/>
    <e v="#NAME?"/>
  </r>
  <r>
    <n v="990"/>
    <m/>
    <x v="0"/>
    <d v="2018-05-03T00:00:00"/>
    <n v="5.2"/>
    <s v="Familia Cegarra Villamizar"/>
    <s v="jesus.villamizar.ra@gmail.com"/>
    <s v="Calle Guacara Nro. 88-35"/>
    <s v="Cancelación Vigilancia, saldo meses de Marzo y Abril y cancelación mes de Mayo 2018"/>
    <x v="0"/>
    <m/>
    <s v="00990"/>
    <s v="03 de mayo de 2018"/>
    <n v="3"/>
    <x v="18"/>
    <s v="5,20"/>
    <e v="#NAME?"/>
  </r>
  <r>
    <n v="991"/>
    <m/>
    <x v="0"/>
    <d v="2018-05-03T00:00:00"/>
    <n v="4"/>
    <s v="Familia Milanés Carmona"/>
    <s v="yndira11m@gmail.com"/>
    <s v="Calle Güigüe Nro. 89-65"/>
    <s v="Cancelación Vigilancia, mes de Mayo 2018"/>
    <x v="0"/>
    <m/>
    <s v="00991"/>
    <s v="03 de mayo de 2018"/>
    <n v="3"/>
    <x v="18"/>
    <s v="4,00"/>
    <e v="#NAME?"/>
  </r>
  <r>
    <n v="992"/>
    <m/>
    <x v="0"/>
    <d v="2018-05-04T00:00:00"/>
    <n v="4"/>
    <s v="Familia Lomeña Agudo"/>
    <s v="claudialomena@hotmail.com"/>
    <s v="Calle Guacara Nro. 89-30"/>
    <s v="Cancelación Vigilancia, mes de Mayo 2018"/>
    <x v="0"/>
    <m/>
    <s v="00992"/>
    <s v="04 de mayo de 2018"/>
    <n v="4"/>
    <x v="18"/>
    <s v="4,00"/>
    <e v="#NAME?"/>
  </r>
  <r>
    <n v="993"/>
    <m/>
    <x v="0"/>
    <d v="2018-05-04T00:00:00"/>
    <n v="5.5"/>
    <s v="Familia Ochoa Mendoza"/>
    <s v="marisoljudithm@hotmail.com"/>
    <s v="Calle Güigüe Nro. 89-105"/>
    <s v="Cancelación Vigilancia, meses de Abril y Mayo 2018"/>
    <x v="0"/>
    <m/>
    <s v="00993"/>
    <s v="04 de mayo de 2018"/>
    <n v="4"/>
    <x v="18"/>
    <s v="5,50"/>
    <e v="#NAME?"/>
  </r>
  <r>
    <n v="994"/>
    <m/>
    <x v="0"/>
    <d v="2018-05-04T00:00:00"/>
    <n v="4"/>
    <s v="Familia Arcia Polanco"/>
    <s v="misipo29@gmail.com"/>
    <s v="Calle Guacara Nro. 89-20"/>
    <s v="Cancelación Vigilancia, mes de Mayo 2018"/>
    <x v="0"/>
    <m/>
    <s v="00994"/>
    <s v="04 de mayo de 2018"/>
    <n v="4"/>
    <x v="18"/>
    <s v="4,00"/>
    <e v="#NAME?"/>
  </r>
  <r>
    <n v="995"/>
    <m/>
    <x v="0"/>
    <d v="2018-05-04T00:00:00"/>
    <n v="4"/>
    <s v="Familia Loponte Arteaga"/>
    <s v="nancyloponte@hotmail.com"/>
    <s v="Calle Güigüe Nro. 88-120"/>
    <s v="Cancelación Vigilancia, mes de Mayo 2018"/>
    <x v="0"/>
    <m/>
    <s v="00995"/>
    <s v="04 de mayo de 2018"/>
    <n v="4"/>
    <x v="18"/>
    <s v="4,00"/>
    <e v="#NAME?"/>
  </r>
  <r>
    <n v="996"/>
    <m/>
    <x v="0"/>
    <d v="2018-05-04T00:00:00"/>
    <n v="4"/>
    <s v="Familia Durvelle Serrano"/>
    <s v="sdurvelle@hotmail.com"/>
    <s v="Calle Guacara Nro. 89-60"/>
    <s v="Cancelación Vigilancia, saldo mes de Mayo y anticipo Junio 2018"/>
    <x v="0"/>
    <m/>
    <s v="00996"/>
    <s v="04 de mayo de 2018"/>
    <n v="4"/>
    <x v="18"/>
    <s v="4,00"/>
    <e v="#NAME?"/>
  </r>
  <r>
    <n v="997"/>
    <m/>
    <x v="0"/>
    <d v="2018-05-06T00:00:00"/>
    <n v="2.6"/>
    <s v="Familia Alonso Rojas"/>
    <s v="redjc01@gmail.com"/>
    <s v="Calle Güigüe Nro. 89-54"/>
    <s v="Cancelación Vigilancia, saldo mes de Mayo 2018"/>
    <x v="0"/>
    <m/>
    <s v="00997"/>
    <s v="06 de mayo de 2018"/>
    <n v="6"/>
    <x v="18"/>
    <s v="2,60"/>
    <e v="#NAME?"/>
  </r>
  <r>
    <n v="998"/>
    <m/>
    <x v="0"/>
    <d v="2018-05-07T00:00:00"/>
    <n v="4"/>
    <s v="Wu Hung Fung"/>
    <s v="carolinahung24@gmail.com"/>
    <s v="Calle Guacara Nro. 90-81"/>
    <s v="Cancelación Vigilancia, mes de Mayo 2018"/>
    <x v="0"/>
    <m/>
    <s v="00998"/>
    <s v="07 de mayo de 2018"/>
    <n v="7"/>
    <x v="18"/>
    <s v="4,00"/>
    <e v="#NAME?"/>
  </r>
  <r>
    <n v="999"/>
    <m/>
    <x v="0"/>
    <d v="2018-05-07T00:00:00"/>
    <n v="1"/>
    <s v="Wu Hung Fung"/>
    <s v="carolinahung24@gmail.com"/>
    <s v="Calle Guacara Nro. 90-81"/>
    <s v="Colaboración mantenimiento Caseta de Vigilancia"/>
    <x v="8"/>
    <m/>
    <s v="00999"/>
    <s v="07 de mayo de 2018"/>
    <n v="7"/>
    <x v="18"/>
    <s v="1,00"/>
    <e v="#NAME?"/>
  </r>
  <r>
    <n v="1000"/>
    <m/>
    <x v="0"/>
    <d v="2018-05-07T00:00:00"/>
    <n v="4"/>
    <s v="Familia Colosso Delgado"/>
    <s v="mcolosso@gmail.com"/>
    <s v="Calle Güigüe Nro. 88-44"/>
    <s v="Cancelación Vigilancia, mes de Mayo 2018"/>
    <x v="0"/>
    <m/>
    <s v="01000"/>
    <s v="07 de mayo de 2018"/>
    <n v="7"/>
    <x v="18"/>
    <s v="4,00"/>
    <e v="#NAME?"/>
  </r>
  <r>
    <n v="1001"/>
    <m/>
    <x v="0"/>
    <d v="2018-04-06T00:00:00"/>
    <n v="1.4"/>
    <s v="Familia Ferrer Bahri"/>
    <s v="bahrimariela@hotmail.com"/>
    <s v="Calle Güigüe Nro. 89-83"/>
    <s v="Cancelación Vigilancia, mes de Abril 2018"/>
    <x v="0"/>
    <m/>
    <s v="01001"/>
    <s v="06 de abril de 2018"/>
    <n v="6"/>
    <x v="17"/>
    <s v="1,40"/>
    <e v="#NAME?"/>
  </r>
  <r>
    <n v="1002"/>
    <m/>
    <x v="0"/>
    <d v="2018-04-06T00:00:00"/>
    <n v="0.6"/>
    <s v="Familia Ferrer Bahri"/>
    <s v="bahrimariela@hotmail.com"/>
    <s v="Calle Güigüe Nro. 89-83"/>
    <s v="Colaboración mantenimiento Caseta de Vigilancia"/>
    <x v="8"/>
    <m/>
    <s v="01002"/>
    <s v="06 de abril de 2018"/>
    <n v="6"/>
    <x v="17"/>
    <s v="0,60"/>
    <e v="#NAME?"/>
  </r>
  <r>
    <n v="1003"/>
    <m/>
    <x v="0"/>
    <d v="2018-05-07T00:00:00"/>
    <n v="4"/>
    <s v="Familia Ferrer Bahri"/>
    <s v="bahrimariela@hotmail.com"/>
    <s v="Calle Güigüe Nro. 89-83"/>
    <s v="Cancelación Vigilancia, mes de Mayo 2018"/>
    <x v="0"/>
    <m/>
    <s v="01003"/>
    <s v="07 de mayo de 2018"/>
    <n v="7"/>
    <x v="18"/>
    <s v="4,00"/>
    <e v="#NAME?"/>
  </r>
  <r>
    <n v="1004"/>
    <m/>
    <x v="0"/>
    <d v="2018-05-07T00:00:00"/>
    <n v="5.4"/>
    <s v="Familia Flores Montagne"/>
    <s v="martaflores@gmail.com"/>
    <s v="Av. &quot;M&quot; Nro. 146-20"/>
    <s v="Cancelación Vigilancia, meses de Abril y Mayo 2018"/>
    <x v="0"/>
    <m/>
    <s v="01004"/>
    <s v="07 de mayo de 2018"/>
    <n v="7"/>
    <x v="18"/>
    <s v="5,40"/>
    <e v="#NAME?"/>
  </r>
  <r>
    <n v="1005"/>
    <m/>
    <x v="0"/>
    <d v="2018-05-04T00:00:00"/>
    <n v="1.4"/>
    <s v="Familia Gascón Domínguez"/>
    <s v="vrgascon@gmail.com"/>
    <s v="Calle Güigüe Nro. 88-70"/>
    <s v="Cancelación Vigilancia, mes de Abril 2018"/>
    <x v="0"/>
    <m/>
    <s v="01005"/>
    <s v="04 de mayo de 2018"/>
    <n v="4"/>
    <x v="18"/>
    <s v="1,40"/>
    <e v="#NAME?"/>
  </r>
  <r>
    <n v="1006"/>
    <m/>
    <x v="0"/>
    <d v="2018-05-07T00:00:00"/>
    <n v="4.4000000000000004"/>
    <s v="Familia Astor Zamora"/>
    <s v="imzastor@gmail.com"/>
    <s v="Calle Güigüe Nro. 88-111"/>
    <s v="Cancelación Vigilancia, meses de Enero, Febrero, Marzo y Abril 2018"/>
    <x v="0"/>
    <m/>
    <s v="01006"/>
    <s v="07 de mayo de 2018"/>
    <n v="7"/>
    <x v="18"/>
    <s v="4,40"/>
    <e v="#NAME?"/>
  </r>
  <r>
    <n v="1007"/>
    <m/>
    <x v="0"/>
    <d v="2018-05-08T00:00:00"/>
    <n v="1"/>
    <s v="Familia Méndez Parra"/>
    <s v="briceidamp@hotmail.com"/>
    <s v="Calle Guacara Nro. 88-19"/>
    <s v="Colaboración Vigilancia, mes de Abril 2018"/>
    <x v="0"/>
    <m/>
    <s v="01007"/>
    <s v="08 de mayo de 2018"/>
    <n v="8"/>
    <x v="18"/>
    <s v="1,00"/>
    <e v="#NAME?"/>
  </r>
  <r>
    <n v="1008"/>
    <m/>
    <x v="0"/>
    <d v="2018-05-08T00:00:00"/>
    <n v="6.8"/>
    <s v="Familia Matta Palomino"/>
    <s v="En Físico"/>
    <s v="Calle Güigüe Nro. 88-90"/>
    <s v="Cancelación Vigilancia, meses de Marzo, Abril y Mayo 2018"/>
    <x v="0"/>
    <m/>
    <s v="01008"/>
    <s v="08 de mayo de 2018"/>
    <n v="8"/>
    <x v="18"/>
    <s v="6,80"/>
    <e v="#NAME?"/>
  </r>
  <r>
    <n v="1009"/>
    <m/>
    <x v="0"/>
    <d v="2018-05-08T00:00:00"/>
    <n v="1.4"/>
    <s v="Ana de González"/>
    <s v="mikelnowak25@gmail.com"/>
    <s v="Av. &quot;O&quot; Nro. 146-17"/>
    <s v="Colaboración Vigilancia, mes de Abril 2018"/>
    <x v="0"/>
    <m/>
    <s v="01009"/>
    <s v="08 de mayo de 2018"/>
    <n v="8"/>
    <x v="18"/>
    <s v="1,40"/>
    <e v="#NAME?"/>
  </r>
  <r>
    <n v="1010"/>
    <m/>
    <x v="0"/>
    <d v="2018-05-08T00:00:00"/>
    <n v="4"/>
    <s v="Isbeth Palacios"/>
    <s v="ispalparcpc@gmail.com"/>
    <s v="Calle Guacara Nro. 88-75"/>
    <s v="Cancelación Vigilancia, mes de Mayo 2018"/>
    <x v="0"/>
    <m/>
    <s v="01010"/>
    <s v="08 de mayo de 2018"/>
    <n v="8"/>
    <x v="18"/>
    <s v="4,00"/>
    <e v="#NAME?"/>
  </r>
  <r>
    <n v="1011"/>
    <m/>
    <x v="0"/>
    <d v="2018-05-08T00:00:00"/>
    <n v="5.55"/>
    <s v="La Casita Encantada"/>
    <s v="En Físico"/>
    <s v="Av. &quot;M&quot; Nro. 146-30"/>
    <s v="Cancelación Vigilancia, meses de Abril y Mayo 2018"/>
    <x v="0"/>
    <m/>
    <s v="01011"/>
    <s v="08 de mayo de 2018"/>
    <n v="8"/>
    <x v="18"/>
    <s v="5,55"/>
    <e v="#NAME?"/>
  </r>
  <r>
    <n v="1012"/>
    <m/>
    <x v="0"/>
    <d v="2018-05-09T00:00:00"/>
    <n v="4"/>
    <s v="Familia Costermani Terrer"/>
    <s v="claudiacostermani@hotmail.com"/>
    <s v="Calle Güigüe Nro. 88-11"/>
    <s v="Cancelación Vigilancia, mes de Mayo 2018"/>
    <x v="0"/>
    <m/>
    <s v="01012"/>
    <s v="09 de mayo de 2018"/>
    <n v="9"/>
    <x v="18"/>
    <s v="4,00"/>
    <e v="#NAME?"/>
  </r>
  <r>
    <n v="1013"/>
    <m/>
    <x v="0"/>
    <d v="2018-05-10T00:00:00"/>
    <n v="20"/>
    <s v="Familia Kattar González"/>
    <s v="jagiak123@yahoo.es"/>
    <s v="Calle Güigüe Nro. 89-95"/>
    <s v="Cancelación Vigilancia, saldo mes de Mayo, y anticipo meses de Junio, Julio, Agosto, Septiembre y Octubre 2018"/>
    <x v="0"/>
    <m/>
    <s v="01013"/>
    <s v="10 de mayo de 2018"/>
    <n v="10"/>
    <x v="18"/>
    <s v="20,00"/>
    <e v="#NAME?"/>
  </r>
  <r>
    <n v="1014"/>
    <m/>
    <x v="0"/>
    <d v="2018-05-10T00:00:00"/>
    <n v="4"/>
    <s v="Familia Navarro Assing"/>
    <s v="liliaassing@gmail.com"/>
    <s v="Calle Güigüe Nro. 88-54"/>
    <s v="Cancelación Vigilancia, mes de Mayo 2018"/>
    <x v="0"/>
    <m/>
    <s v="01014"/>
    <s v="10 de mayo de 2018"/>
    <n v="10"/>
    <x v="18"/>
    <s v="4,00"/>
    <e v="#NAME?"/>
  </r>
  <r>
    <n v="1015"/>
    <m/>
    <x v="0"/>
    <d v="2018-05-11T00:00:00"/>
    <n v="4"/>
    <s v="Familia Delgado Hidalgo"/>
    <s v="ardh@hotmail.com"/>
    <s v="Calle Güigüe Nro. 88-10"/>
    <s v="Cancelación Vigilancia, mes de Mayo 2018"/>
    <x v="0"/>
    <m/>
    <s v="01015"/>
    <s v="11 de mayo de 2018"/>
    <n v="11"/>
    <x v="18"/>
    <s v="4,00"/>
    <e v="#NAME?"/>
  </r>
  <r>
    <n v="1016"/>
    <m/>
    <x v="0"/>
    <d v="2018-05-11T00:00:00"/>
    <n v="2.8"/>
    <s v="Sra. Reina Meléndez"/>
    <s v="olgajipe@gmail.com"/>
    <s v="Av. &quot;M&quot; Nro. 145-10"/>
    <s v="Cancelación Vigilancia, mes de Abril y anticipo Mayo 2018"/>
    <x v="0"/>
    <m/>
    <s v="01016"/>
    <s v="11 de mayo de 2018"/>
    <n v="11"/>
    <x v="18"/>
    <s v="2,80"/>
    <e v="#NAME?"/>
  </r>
  <r>
    <n v="1017"/>
    <m/>
    <x v="0"/>
    <d v="2018-05-13T00:00:00"/>
    <n v="1"/>
    <s v="Familia Morales Sesar"/>
    <s v="moralesesar@gmail.com"/>
    <s v="Calle Güigüe Nro. 89-120"/>
    <s v="Colaboración Vigilancia, meses de Marzo y Abril 2018"/>
    <x v="0"/>
    <m/>
    <s v="01017"/>
    <s v="13 de mayo de 2018"/>
    <n v="13"/>
    <x v="18"/>
    <s v="1,00"/>
    <e v="#NAME?"/>
  </r>
  <r>
    <n v="1018"/>
    <m/>
    <x v="0"/>
    <d v="2018-05-13T00:00:00"/>
    <n v="5.8"/>
    <s v="Colegio El Trigal"/>
    <s v="En Físico"/>
    <s v="Calle Güigüe Nros. 88-71 y 88-81"/>
    <s v="Cancelación Vigilancia, mes de Mayo 2018"/>
    <x v="0"/>
    <m/>
    <s v="01018"/>
    <s v="13 de mayo de 2018"/>
    <n v="13"/>
    <x v="18"/>
    <s v="5,80"/>
    <e v="#NAME?"/>
  </r>
  <r>
    <n v="1019"/>
    <m/>
    <x v="0"/>
    <d v="2018-05-14T00:00:00"/>
    <n v="3"/>
    <s v="Familia Martínez Boada"/>
    <s v="florcitakmz@gmail.com"/>
    <s v="Calle Güigüe Nro. 88-62"/>
    <s v="Colaboración Vigilancia, meses de Marzo, Abril y Mayo 2018"/>
    <x v="0"/>
    <m/>
    <s v="01019"/>
    <s v="14 de mayo de 2018"/>
    <n v="14"/>
    <x v="18"/>
    <s v="3,00"/>
    <e v="#NAME?"/>
  </r>
  <r>
    <n v="1020"/>
    <m/>
    <x v="0"/>
    <d v="2018-05-15T00:00:00"/>
    <n v="4"/>
    <s v="Familia Nava Gordon"/>
    <s v="maru_19_66@hotmail.com"/>
    <s v="Calle Guacara Nro. 89-78"/>
    <s v="Cancelación Vigilancia, mes de Mayo 2018"/>
    <x v="0"/>
    <m/>
    <s v="01020"/>
    <s v="15 de mayo de 2018"/>
    <n v="15"/>
    <x v="18"/>
    <s v="4,00"/>
    <e v="#NAME?"/>
  </r>
  <r>
    <n v="1021"/>
    <m/>
    <x v="0"/>
    <d v="2018-05-15T00:00:00"/>
    <n v="4"/>
    <s v="Familia Hurtado"/>
    <s v="En Físico"/>
    <s v="Av. &quot;O&quot; Nro. 146-11"/>
    <s v="Cancelación Vigilancia, mes de Mayo 2018"/>
    <x v="0"/>
    <m/>
    <s v="01021"/>
    <s v="15 de mayo de 2018"/>
    <n v="15"/>
    <x v="18"/>
    <s v="4,00"/>
    <e v="#NAME?"/>
  </r>
  <r>
    <n v="1022"/>
    <m/>
    <x v="0"/>
    <d v="2018-05-15T00:00:00"/>
    <n v="4"/>
    <s v="Familia Kablan Sarmiento"/>
    <s v="norisjsb56@hotmail.com"/>
    <s v="Calle Güigüe Nro. 89-80"/>
    <s v="Cancelación Vigilancia, mes de Mayo 2018"/>
    <x v="0"/>
    <m/>
    <s v="01022"/>
    <s v="15 de mayo de 2018"/>
    <n v="15"/>
    <x v="18"/>
    <s v="4,00"/>
    <e v="#NAME?"/>
  </r>
  <r>
    <n v="1023"/>
    <m/>
    <x v="0"/>
    <d v="2018-05-15T00:00:00"/>
    <n v="2"/>
    <s v="Familia Rodríguez Landaeta"/>
    <s v="mrl58@hotmail.com"/>
    <s v="Calle Güigüe Nro. 89-29"/>
    <s v="Colaboración Vigilancia, mes de Mayo 2018"/>
    <x v="0"/>
    <m/>
    <s v="01023"/>
    <s v="15 de mayo de 2018"/>
    <n v="15"/>
    <x v="18"/>
    <s v="2,00"/>
    <e v="#NAME?"/>
  </r>
  <r>
    <n v="1024"/>
    <m/>
    <x v="0"/>
    <d v="2018-05-15T00:00:00"/>
    <n v="3"/>
    <s v="Dra. Lilia Magallanes"/>
    <s v="liliamagallanes2010@gmail.com"/>
    <s v="Calle Güigüe Nro. 88-51"/>
    <s v="Cancelación Vigilancia, meses de Noviembre y Diciembre 2017, Enero y Febrero 2018, y anticipo Marzo 2018"/>
    <x v="0"/>
    <m/>
    <s v="01024"/>
    <s v="15 de mayo de 2018"/>
    <n v="15"/>
    <x v="18"/>
    <s v="3,00"/>
    <e v="#NAME?"/>
  </r>
  <r>
    <n v="1025"/>
    <m/>
    <x v="0"/>
    <d v="2018-05-17T00:00:00"/>
    <n v="4"/>
    <s v="Beatriz Lara"/>
    <s v="valentina.gutierrez@hotmail.com"/>
    <s v="Calle Guacara Nro. 89-130"/>
    <s v="Cancelación Vigilancia, mes de Mayo 2018"/>
    <x v="0"/>
    <m/>
    <s v="01025"/>
    <s v="17 de mayo de 2018"/>
    <n v="17"/>
    <x v="18"/>
    <s v="4,00"/>
    <e v="#NAME?"/>
  </r>
  <r>
    <n v="1026"/>
    <m/>
    <x v="0"/>
    <d v="2018-05-18T00:00:00"/>
    <n v="16"/>
    <s v="Familia Machado Stoppa"/>
    <s v="machadoru@hotmail.com"/>
    <s v="Calle Guacara Nro. 88-85"/>
    <s v="Cancelación Vigilancia, meses de Mayo, Junio, Julio y Agosto 2018"/>
    <x v="0"/>
    <m/>
    <s v="01026"/>
    <s v="18 de mayo de 2018"/>
    <n v="18"/>
    <x v="18"/>
    <s v="16,00"/>
    <e v="#NAME?"/>
  </r>
  <r>
    <n v="1027"/>
    <m/>
    <x v="0"/>
    <d v="2018-05-18T00:00:00"/>
    <n v="2.5"/>
    <s v="Victoria Francischiello"/>
    <s v="victoriafrancischiello@hotmail.com"/>
    <s v="Calle Guacara Nro. 88-25"/>
    <s v="Colaboración Vigilancia, mes de Mayo 2018"/>
    <x v="0"/>
    <m/>
    <s v="01027"/>
    <s v="18 de mayo de 2018"/>
    <n v="18"/>
    <x v="18"/>
    <s v="2,50"/>
    <e v="#NAME?"/>
  </r>
  <r>
    <n v="1028"/>
    <m/>
    <x v="0"/>
    <d v="2018-05-18T00:00:00"/>
    <n v="1.4"/>
    <s v="Familia Barreto Pérez"/>
    <s v="bbetsa19@hotmail.com"/>
    <s v="Av. &quot;M&quot; Nro. 146-15"/>
    <s v="Cancelación Vigilancia, mes de Abril 2018"/>
    <x v="0"/>
    <m/>
    <s v="01028"/>
    <s v="18 de mayo de 2018"/>
    <n v="18"/>
    <x v="18"/>
    <s v="1,40"/>
    <e v="#NAME?"/>
  </r>
  <r>
    <n v="1029"/>
    <m/>
    <x v="0"/>
    <d v="2018-05-18T00:00:00"/>
    <n v="4"/>
    <s v="Familia Castillo Mena"/>
    <s v="emmecas@hotmail.com"/>
    <s v="Calle Güigüe Nro. 88-101"/>
    <s v="Cancelación Vigilancia, mes de Mayo 2018"/>
    <x v="0"/>
    <m/>
    <s v="01029"/>
    <s v="18 de mayo de 2018"/>
    <n v="18"/>
    <x v="18"/>
    <s v="4,00"/>
    <e v="#NAME?"/>
  </r>
  <r>
    <n v="1030"/>
    <m/>
    <x v="0"/>
    <d v="2018-05-19T00:00:00"/>
    <n v="4"/>
    <s v="Amarilis Guerra"/>
    <s v="amarilisguerra1@yahoo.com"/>
    <s v="Calle Güigüe Nro. 89-96"/>
    <s v="Cancelación Vigilancia, mes de Mayo 2018"/>
    <x v="0"/>
    <m/>
    <s v="01030"/>
    <s v="19 de mayo de 2018"/>
    <n v="19"/>
    <x v="18"/>
    <s v="4,00"/>
    <e v="#NAME?"/>
  </r>
  <r>
    <n v="1031"/>
    <m/>
    <x v="0"/>
    <d v="2018-05-20T00:00:00"/>
    <n v="1.2"/>
    <s v="Familia Rivero"/>
    <s v="En Físico"/>
    <s v="Calle Güigüe Nro. 88-40"/>
    <s v="Colaboración Vigilancia, meses de Febrero, Marzo, Abril y Mayo 2018"/>
    <x v="0"/>
    <m/>
    <s v="01031"/>
    <s v="20 de mayo de 2018"/>
    <n v="20"/>
    <x v="18"/>
    <s v="1,20"/>
    <e v="#NAME?"/>
  </r>
  <r>
    <n v="1032"/>
    <m/>
    <x v="0"/>
    <d v="2018-05-20T00:00:00"/>
    <n v="5.4"/>
    <s v="Familia Navarrete Medina"/>
    <s v="juanin1919@yahoo.com"/>
    <s v="Calle Güigüe Nro. 89-22"/>
    <s v="Cancelación Vigilancia, meses de Abril y Mayo 2018"/>
    <x v="0"/>
    <m/>
    <s v="01032"/>
    <s v="20 de mayo de 2018"/>
    <n v="20"/>
    <x v="18"/>
    <s v="5,40"/>
    <e v="#NAME?"/>
  </r>
  <r>
    <n v="1033"/>
    <m/>
    <x v="0"/>
    <d v="2018-05-04T00:00:00"/>
    <n v="2"/>
    <s v="Chin Chun Ya (Goya)"/>
    <s v="uc2721@gmail.com"/>
    <s v="Calle Guacara Nro. 87-86"/>
    <s v="Colaboración Vigilancia, mes de Mayo 2018"/>
    <x v="0"/>
    <m/>
    <s v="01033"/>
    <s v="04 de mayo de 2018"/>
    <n v="4"/>
    <x v="18"/>
    <s v="2,00"/>
    <e v="#NAME?"/>
  </r>
  <r>
    <n v="1034"/>
    <m/>
    <x v="0"/>
    <d v="2018-05-21T00:00:00"/>
    <n v="4"/>
    <s v="Familia Montilla García"/>
    <s v="dairy252525@hotmail.com"/>
    <s v="Calle Güigüe Nro. 89-90"/>
    <s v="Cancelación Vigilancia, mes de Mayo 2018"/>
    <x v="0"/>
    <m/>
    <s v="01034"/>
    <s v="21 de mayo de 2018"/>
    <n v="21"/>
    <x v="18"/>
    <s v="4,00"/>
    <e v="#NAME?"/>
  </r>
  <r>
    <n v="1035"/>
    <m/>
    <x v="0"/>
    <d v="2018-05-21T00:00:00"/>
    <n v="2"/>
    <s v="Héctor Hernández"/>
    <s v="eof64@hotmail.com"/>
    <s v="Calle Guacara Nro. 89-94"/>
    <s v="Colaboración Vigilancia, mes de Mayo 2018"/>
    <x v="0"/>
    <m/>
    <s v="01035"/>
    <s v="21 de mayo de 2018"/>
    <n v="21"/>
    <x v="18"/>
    <s v="2,00"/>
    <e v="#NAME?"/>
  </r>
  <r>
    <n v="1036"/>
    <m/>
    <x v="0"/>
    <d v="2018-05-21T00:00:00"/>
    <n v="1.9"/>
    <s v="Familia Franco Gómez"/>
    <s v="eof64@hotmail.com"/>
    <s v="Calle Guacara Nro. 87-07"/>
    <s v="Cancelación Vigilancia, anticipo mes de Mayo 2018"/>
    <x v="0"/>
    <m/>
    <s v="01036"/>
    <s v="21 de mayo de 2018"/>
    <n v="21"/>
    <x v="18"/>
    <s v="1,90"/>
    <e v="#NAME?"/>
  </r>
  <r>
    <n v="1037"/>
    <m/>
    <x v="0"/>
    <d v="2018-05-21T00:00:00"/>
    <n v="4"/>
    <s v="Familia Narváez Caldera"/>
    <s v="jeannette_nc@yahoo.com"/>
    <s v="Calle Güigüe Nro. 87-A-11"/>
    <s v="Cancelación Vigilancia, mes de Mayo 2018"/>
    <x v="0"/>
    <m/>
    <s v="01037"/>
    <s v="21 de mayo de 2018"/>
    <n v="21"/>
    <x v="18"/>
    <s v="4,00"/>
    <e v="#NAME?"/>
  </r>
  <r>
    <n v="1038"/>
    <m/>
    <x v="0"/>
    <d v="2018-05-21T00:00:00"/>
    <n v="1"/>
    <s v="Familia Narváez Caldera"/>
    <s v="jeannette_nc@yahoo.com"/>
    <s v="Calle Güigüe Nro. 87-A-11"/>
    <s v="Colaboración mantenimiento Caseta de Vigilancia"/>
    <x v="8"/>
    <m/>
    <s v="01038"/>
    <s v="21 de mayo de 2018"/>
    <n v="21"/>
    <x v="18"/>
    <s v="1,00"/>
    <e v="#NAME?"/>
  </r>
  <r>
    <n v="1039"/>
    <m/>
    <x v="0"/>
    <d v="2018-05-21T00:00:00"/>
    <n v="4"/>
    <s v="Familia Díaz González"/>
    <s v="luisrdt57@gmail.com"/>
    <s v="Calle Güigüe Nro. 88-116"/>
    <s v="Cancelación Vigilancia, mes de Mayo 2018"/>
    <x v="0"/>
    <m/>
    <s v="01039"/>
    <s v="21 de mayo de 2018"/>
    <n v="21"/>
    <x v="18"/>
    <s v="4,00"/>
    <e v="#NAME?"/>
  </r>
  <r>
    <n v="1040"/>
    <m/>
    <x v="0"/>
    <d v="2018-05-21T00:00:00"/>
    <n v="4"/>
    <s v="Ana de González"/>
    <s v="mikelnowak25@gmail.com"/>
    <s v="Av. &quot;O&quot; Nro. 146-17"/>
    <s v="Cancelación Vigilancia, mes de Mayo 2018"/>
    <x v="0"/>
    <m/>
    <s v="01040"/>
    <s v="21 de mayo de 2018"/>
    <n v="21"/>
    <x v="18"/>
    <s v="4,00"/>
    <e v="#NAME?"/>
  </r>
  <r>
    <n v="1041"/>
    <m/>
    <x v="0"/>
    <d v="2018-05-21T00:00:00"/>
    <n v="4"/>
    <s v="Familia Piñero Padilla"/>
    <s v="achepaul2005@hotmail.com"/>
    <s v="Calle Güigüe Nro. 89-21"/>
    <s v="Cancelación Vigilancia, mes de Mayo 2018"/>
    <x v="0"/>
    <m/>
    <s v="01041"/>
    <s v="21 de mayo de 2018"/>
    <n v="21"/>
    <x v="18"/>
    <s v="4,00"/>
    <e v="#NAME?"/>
  </r>
  <r>
    <n v="1042"/>
    <m/>
    <x v="0"/>
    <d v="2018-05-21T00:00:00"/>
    <n v="3.5"/>
    <s v="Familia Piñero Padilla"/>
    <s v="achepaul2005@hotmail.com"/>
    <s v="Calle Güigüe Nro. 89-21"/>
    <s v="Colaboración mantenimiento Caseta de Vigilancia"/>
    <x v="8"/>
    <m/>
    <s v="01042"/>
    <s v="21 de mayo de 2018"/>
    <n v="21"/>
    <x v="18"/>
    <s v="3,50"/>
    <e v="#NAME?"/>
  </r>
  <r>
    <n v="1043"/>
    <m/>
    <x v="0"/>
    <d v="2018-05-21T00:00:00"/>
    <n v="4"/>
    <s v="Familia Hatem Medina"/>
    <s v="hhatem1@hotmail.com"/>
    <s v="Calle Guacara Nro. 88-51"/>
    <s v="Cancelación Vigilancia, mes de Mayo 2018"/>
    <x v="0"/>
    <m/>
    <s v="01043"/>
    <s v="21 de mayo de 2018"/>
    <n v="21"/>
    <x v="18"/>
    <s v="4,00"/>
    <e v="#NAME?"/>
  </r>
  <r>
    <n v="1044"/>
    <m/>
    <x v="0"/>
    <d v="2018-05-21T00:00:00"/>
    <n v="4"/>
    <s v="Familia Romero"/>
    <s v="autoescuela21@gmail.com"/>
    <s v="Calle Guacara Nro. 89-50"/>
    <s v="Cancelación Vigilancia, mes de Mayo 2018"/>
    <x v="0"/>
    <m/>
    <s v="01044"/>
    <s v="21 de mayo de 2018"/>
    <n v="21"/>
    <x v="18"/>
    <s v="4,00"/>
    <e v="#NAME?"/>
  </r>
  <r>
    <n v="1045"/>
    <m/>
    <x v="0"/>
    <d v="2018-05-22T00:00:00"/>
    <n v="3.5"/>
    <s v="Familia Colosso Delgado"/>
    <s v="mcolosso@gmail.com"/>
    <s v="Calle Güigüe Nro. 88-44"/>
    <s v="Colaboración mantenimiento Caseta de Vigilancia"/>
    <x v="8"/>
    <m/>
    <s v="01045"/>
    <s v="22 de mayo de 2018"/>
    <n v="22"/>
    <x v="18"/>
    <s v="3,50"/>
    <e v="#NAME?"/>
  </r>
  <r>
    <n v="1046"/>
    <m/>
    <x v="0"/>
    <d v="2018-05-22T00:00:00"/>
    <n v="3.5"/>
    <s v="Familia Alonso Rojas"/>
    <s v="redjc01@gmail.com"/>
    <s v="Calle Güigüe Nro. 89-54"/>
    <s v="Colaboración mantenimiento Caseta de Vigilancia"/>
    <x v="8"/>
    <m/>
    <s v="01046"/>
    <s v="22 de mayo de 2018"/>
    <n v="22"/>
    <x v="18"/>
    <s v="3,50"/>
    <e v="#NAME?"/>
  </r>
  <r>
    <n v="1047"/>
    <m/>
    <x v="0"/>
    <d v="2018-05-22T00:00:00"/>
    <n v="4"/>
    <s v="Familia Guerra Miret"/>
    <s v="antoniojguerrag@hotmail.com"/>
    <s v="Calle Güigüe Nro. 89-40"/>
    <s v="Cancelación Vigilancia, mes de Mayo 2018"/>
    <x v="0"/>
    <m/>
    <s v="01047"/>
    <s v="22 de mayo de 2018"/>
    <n v="22"/>
    <x v="18"/>
    <s v="4,00"/>
    <e v="#NAME?"/>
  </r>
  <r>
    <n v="1048"/>
    <m/>
    <x v="0"/>
    <d v="2018-05-22T00:00:00"/>
    <n v="3.5"/>
    <s v="Chin Chun Ya (Goya)"/>
    <s v="uc2721@gmail.com"/>
    <s v="Calle Guacara Nro. 87-86"/>
    <s v="Colaboración mantenimiento Caseta de Vigilancia"/>
    <x v="8"/>
    <m/>
    <s v="01048"/>
    <s v="22 de mayo de 2018"/>
    <n v="22"/>
    <x v="18"/>
    <s v="3,50"/>
    <e v="#NAME?"/>
  </r>
  <r>
    <n v="1049"/>
    <m/>
    <x v="0"/>
    <d v="2018-05-22T00:00:00"/>
    <n v="1.9"/>
    <s v="Familia Narváez Caldera"/>
    <s v="jeannette_nc@yahoo.com"/>
    <s v="Calle Güigüe Nro. 87-A-11"/>
    <s v="Colaboración mantenimiento Caseta de Vigilancia"/>
    <x v="8"/>
    <m/>
    <s v="01049"/>
    <s v="22 de mayo de 2018"/>
    <n v="22"/>
    <x v="18"/>
    <s v="1,90"/>
    <e v="#NAME?"/>
  </r>
  <r>
    <n v="1050"/>
    <m/>
    <x v="0"/>
    <d v="2018-05-22T00:00:00"/>
    <n v="4"/>
    <s v="Familia Alonso Rojas"/>
    <s v="redjc01@gmail.com"/>
    <s v="Calle Güigüe Nro. 89-54"/>
    <s v="Cancelación Vigilancia, mes de Junio 2018"/>
    <x v="0"/>
    <m/>
    <s v="01050"/>
    <s v="22 de mayo de 2018"/>
    <n v="22"/>
    <x v="18"/>
    <s v="4,00"/>
    <e v="#NAME?"/>
  </r>
  <r>
    <n v="1051"/>
    <m/>
    <x v="0"/>
    <d v="2018-05-22T00:00:00"/>
    <n v="3.5"/>
    <s v="Familia Fermín Rivas"/>
    <s v="angelferminb@gmail.com"/>
    <s v="Calle Güigüe Nro. 89-55"/>
    <s v="Colaboración mantenimiento Caseta de Vigilancia"/>
    <x v="8"/>
    <m/>
    <s v="01051"/>
    <s v="22 de mayo de 2018"/>
    <n v="22"/>
    <x v="18"/>
    <s v="3,50"/>
    <e v="#NAME?"/>
  </r>
  <r>
    <n v="1052"/>
    <m/>
    <x v="0"/>
    <d v="2018-05-22T00:00:00"/>
    <n v="3.5"/>
    <s v="Familia Ochoa Mendoza"/>
    <s v="marisoljudithm@hotmail.com"/>
    <s v="Calle Güigüe Nro. 89-105"/>
    <s v="Colaboración mantenimiento Caseta de Vigilancia"/>
    <x v="8"/>
    <m/>
    <s v="01052"/>
    <s v="22 de mayo de 2018"/>
    <n v="22"/>
    <x v="18"/>
    <s v="3,50"/>
    <e v="#NAME?"/>
  </r>
  <r>
    <n v="1053"/>
    <m/>
    <x v="0"/>
    <d v="2018-05-22T00:00:00"/>
    <n v="8"/>
    <s v="Anahiz Seijas"/>
    <s v="anahiz_2@hotmail.es"/>
    <s v="Calle Güigüe Nro. 89-106"/>
    <s v="Cancelación Vigilancia, meses de Mayo y Junio 2018"/>
    <x v="0"/>
    <m/>
    <s v="01053"/>
    <s v="22 de mayo de 2018"/>
    <n v="22"/>
    <x v="18"/>
    <s v="8,00"/>
    <e v="#NAME?"/>
  </r>
  <r>
    <n v="1054"/>
    <m/>
    <x v="0"/>
    <d v="2018-05-22T00:00:00"/>
    <n v="3.5"/>
    <s v="Familia Arcia Polanco"/>
    <s v="misipo29@gmail.com"/>
    <s v="Calle Guacara Nro. 89-20"/>
    <s v="Colaboración mantenimiento Caseta de Vigilancia"/>
    <x v="8"/>
    <m/>
    <s v="01054"/>
    <s v="22 de mayo de 2018"/>
    <n v="22"/>
    <x v="18"/>
    <s v="3,50"/>
    <e v="#NAME?"/>
  </r>
  <r>
    <n v="1055"/>
    <m/>
    <x v="0"/>
    <d v="2018-05-22T00:00:00"/>
    <n v="4"/>
    <s v="Familia Castro Jiménez"/>
    <s v="aurycastrojimenez@gmail.com"/>
    <s v="Calle Guacara Nro. 90-51"/>
    <s v="Cancelación Vigilancia, mes de Mayo 2018"/>
    <x v="0"/>
    <m/>
    <s v="01055"/>
    <s v="22 de mayo de 2018"/>
    <n v="22"/>
    <x v="18"/>
    <s v="4,00"/>
    <e v="#NAME?"/>
  </r>
  <r>
    <n v="1056"/>
    <m/>
    <x v="0"/>
    <d v="2018-05-22T00:00:00"/>
    <n v="3.5"/>
    <s v="Familia Castro Jiménez"/>
    <s v="aurycastrojimenez@gmail.com"/>
    <s v="Calle Guacara Nro. 90-51"/>
    <s v="Colaboración mantenimiento Caseta de Vigilancia"/>
    <x v="8"/>
    <m/>
    <s v="01056"/>
    <s v="22 de mayo de 2018"/>
    <n v="22"/>
    <x v="18"/>
    <s v="3,50"/>
    <e v="#NAME?"/>
  </r>
  <r>
    <n v="1057"/>
    <m/>
    <x v="0"/>
    <d v="2018-05-22T00:00:00"/>
    <n v="3.5"/>
    <s v="Wu Hung Fung"/>
    <s v="carolinahung24@gmail.com"/>
    <s v="Calle Guacara Nro. 90-81"/>
    <s v="Colaboración mantenimiento Caseta de Vigilancia"/>
    <x v="8"/>
    <m/>
    <s v="01057"/>
    <s v="22 de mayo de 2018"/>
    <n v="22"/>
    <x v="18"/>
    <s v="3,50"/>
    <e v="#NAME?"/>
  </r>
  <r>
    <n v="1058"/>
    <m/>
    <x v="1"/>
    <d v="2018-05-22T00:00:00"/>
    <n v="1.5"/>
    <s v="Familia Lomeña Agudo"/>
    <s v="claudialomena@hotmail.com"/>
    <s v="Calle Guacara Nro. 89-30"/>
    <s v="ANULADO: Complemento colaboración mantenimiento Caseta de Vigilancia"/>
    <x v="3"/>
    <m/>
    <s v="01058"/>
    <s v="22 de mayo de 2018"/>
    <n v="22"/>
    <x v="18"/>
    <s v="1,50"/>
    <e v="#NAME?"/>
  </r>
  <r>
    <n v="1059"/>
    <m/>
    <x v="0"/>
    <d v="2018-05-22T00:00:00"/>
    <n v="3.5"/>
    <s v="Familia Durvelle Serrano"/>
    <s v="sdurvelle@hotmail.com"/>
    <s v="Calle Guacara Nro. 89-60"/>
    <s v="Colaboración mantenimiento Caseta de Vigilancia"/>
    <x v="8"/>
    <m/>
    <s v="01059"/>
    <s v="22 de mayo de 2018"/>
    <n v="22"/>
    <x v="18"/>
    <s v="3,50"/>
    <e v="#NAME?"/>
  </r>
  <r>
    <n v="1060"/>
    <m/>
    <x v="0"/>
    <d v="2018-05-22T00:00:00"/>
    <n v="3.5"/>
    <s v="Familia González Arévalo"/>
    <s v="feryenis@hotmail.com"/>
    <s v="Calle Guacara Nro. 89-86"/>
    <s v="Colaboración mantenimiento Caseta de Vigilancia"/>
    <x v="8"/>
    <m/>
    <s v="01060"/>
    <s v="22 de mayo de 2018"/>
    <n v="22"/>
    <x v="18"/>
    <s v="3,50"/>
    <e v="#NAME?"/>
  </r>
  <r>
    <n v="1061"/>
    <m/>
    <x v="0"/>
    <d v="2018-05-22T00:00:00"/>
    <n v="4"/>
    <s v="Familia Jiménez Navarro"/>
    <s v="joyasonline2012@gmail.com"/>
    <s v="Calle Güigüe Nro. 88-50"/>
    <s v="Cancelación Vigilancia, mes de Mayo 2018"/>
    <x v="0"/>
    <m/>
    <s v="01061"/>
    <s v="22 de mayo de 2018"/>
    <n v="22"/>
    <x v="18"/>
    <s v="4,00"/>
    <e v="#NAME?"/>
  </r>
  <r>
    <n v="1062"/>
    <m/>
    <x v="0"/>
    <d v="2018-05-22T00:00:00"/>
    <n v="3.5"/>
    <s v="Familia Jiménez Navarro"/>
    <s v="joyasonline2012@gmail.com"/>
    <s v="Calle Güigüe Nro. 88-50"/>
    <s v="Colaboración mantenimiento Caseta de Vigilancia"/>
    <x v="8"/>
    <m/>
    <s v="01062"/>
    <s v="22 de mayo de 2018"/>
    <n v="22"/>
    <x v="18"/>
    <s v="3,50"/>
    <e v="#NAME?"/>
  </r>
  <r>
    <n v="1063"/>
    <m/>
    <x v="0"/>
    <d v="2018-05-22T00:00:00"/>
    <n v="3.5"/>
    <s v="Familia Jiménez Salvatierra"/>
    <s v="En Físico"/>
    <s v="Calle Güigüe Nro. 89-45"/>
    <s v="Colaboración mantenimiento Caseta de Vigilancia (saldo a favor: Bs. 1.493.000)"/>
    <x v="8"/>
    <m/>
    <s v="01063"/>
    <s v="22 de mayo de 2018"/>
    <n v="22"/>
    <x v="18"/>
    <s v="3,50"/>
    <e v="#NAME?"/>
  </r>
  <r>
    <n v="1064"/>
    <m/>
    <x v="0"/>
    <d v="2018-05-22T00:00:00"/>
    <n v="3.5"/>
    <s v="La Casita Encantada"/>
    <s v="En Físico"/>
    <s v="Av. &quot;M&quot; Nro. 146-30"/>
    <s v="Colaboración mantenimiento Caseta de Vigilancia"/>
    <x v="8"/>
    <m/>
    <s v="01064"/>
    <s v="22 de mayo de 2018"/>
    <n v="22"/>
    <x v="18"/>
    <s v="3,50"/>
    <e v="#NAME?"/>
  </r>
  <r>
    <n v="1065"/>
    <m/>
    <x v="0"/>
    <d v="2018-05-22T00:00:00"/>
    <n v="6.6"/>
    <s v="Familia González Arévalo"/>
    <s v="feryenis@hotmail.com"/>
    <s v="Calle Guacara Nro. 89-86"/>
    <s v="Vigilancia, saldo mes de Mayo y cancelación mes de Junio 2018"/>
    <x v="0"/>
    <m/>
    <s v="01065"/>
    <s v="22 de mayo de 2018"/>
    <n v="22"/>
    <x v="18"/>
    <s v="6,60"/>
    <e v="#NAME?"/>
  </r>
  <r>
    <n v="1066"/>
    <m/>
    <x v="0"/>
    <d v="2018-05-23T00:00:00"/>
    <n v="3.5"/>
    <s v="Familia Machado Stoppa"/>
    <s v="machadoru@hotmail.com"/>
    <s v="Calle Guacara Nro. 88-85"/>
    <s v="Colaboración mantenimiento Caseta de Vigilancia"/>
    <x v="8"/>
    <m/>
    <s v="01066"/>
    <s v="23 de mayo de 2018"/>
    <n v="23"/>
    <x v="18"/>
    <s v="3,50"/>
    <e v="#NAME?"/>
  </r>
  <r>
    <n v="1067"/>
    <m/>
    <x v="0"/>
    <d v="2018-05-23T00:00:00"/>
    <n v="4"/>
    <s v="Familia Scabuzzo Gómez"/>
    <s v="sfscabuzzo@msn.com"/>
    <s v="Av. &quot;I&quot; Nro. 146-20"/>
    <s v="Cancelación Vigilancia, mes de Mayo 2018"/>
    <x v="0"/>
    <m/>
    <s v="01067"/>
    <s v="23 de mayo de 2018"/>
    <n v="23"/>
    <x v="18"/>
    <s v="4,00"/>
    <e v="#NAME?"/>
  </r>
  <r>
    <n v="1068"/>
    <m/>
    <x v="0"/>
    <d v="2018-05-23T00:00:00"/>
    <n v="3.5"/>
    <s v="Familia Delgado Hidalgo"/>
    <s v="ardh@hotmail.com"/>
    <s v="Calle Güigüe Nro. 88-10"/>
    <s v="Colaboración mantenimiento Caseta de Vigilancia"/>
    <x v="8"/>
    <m/>
    <s v="01068"/>
    <s v="23 de mayo de 2018"/>
    <n v="23"/>
    <x v="18"/>
    <s v="3,50"/>
    <e v="#NAME?"/>
  </r>
  <r>
    <n v="1069"/>
    <m/>
    <x v="0"/>
    <d v="2018-05-23T00:00:00"/>
    <n v="3.5"/>
    <s v="Héctor Hernández"/>
    <s v="eof64@hotmail.com"/>
    <s v="Calle Guacara Nro. 89-94"/>
    <s v="Colaboración mantenimiento Caseta de Vigilancia"/>
    <x v="8"/>
    <m/>
    <s v="01069"/>
    <s v="23 de mayo de 2018"/>
    <n v="23"/>
    <x v="18"/>
    <s v="3,50"/>
    <e v="#NAME?"/>
  </r>
  <r>
    <n v="1070"/>
    <m/>
    <x v="0"/>
    <d v="2018-05-23T00:00:00"/>
    <n v="3.5"/>
    <s v="Isbeth Palacios"/>
    <s v="ispalparcpc@gmail.com"/>
    <s v="Calle Guacara Nro. 88-75"/>
    <s v="Colaboración mantenimiento Caseta de Vigilancia"/>
    <x v="8"/>
    <m/>
    <s v="01070"/>
    <s v="23 de mayo de 2018"/>
    <n v="23"/>
    <x v="18"/>
    <s v="3,50"/>
    <e v="#NAME?"/>
  </r>
  <r>
    <n v="1071"/>
    <m/>
    <x v="0"/>
    <d v="2018-05-23T00:00:00"/>
    <n v="3.5"/>
    <s v="Familia Lomeña Agudo"/>
    <s v="claudialomena@hotmail.com"/>
    <s v="Calle Guacara Nro. 89-30"/>
    <s v="Complemento colaboración mantenimiento Caseta de Vigilancia"/>
    <x v="8"/>
    <m/>
    <s v="01071"/>
    <s v="23 de mayo de 2018"/>
    <n v="23"/>
    <x v="18"/>
    <s v="3,50"/>
    <e v="#NAME?"/>
  </r>
  <r>
    <n v="1072"/>
    <m/>
    <x v="0"/>
    <d v="2018-05-23T00:00:00"/>
    <n v="1.5"/>
    <s v="Familia Puerta Burguillos"/>
    <s v="namaricakes@gmail.com"/>
    <s v="Calle Guacara Nro. 87-100"/>
    <s v="Cancelación Vigilancia, saldo mes de Mayo 2018"/>
    <x v="0"/>
    <m/>
    <s v="01072"/>
    <s v="23 de mayo de 2018"/>
    <n v="23"/>
    <x v="18"/>
    <s v="1,50"/>
    <e v="#NAME?"/>
  </r>
  <r>
    <n v="1073"/>
    <m/>
    <x v="0"/>
    <d v="2018-05-23T00:00:00"/>
    <n v="1"/>
    <s v="Familia Puerta Burguillos"/>
    <s v="namaricakes@gmail.com"/>
    <s v="Calle Guacara Nro. 87-100"/>
    <s v="Colaboración mantenimiento Caseta de Vigilancia"/>
    <x v="8"/>
    <m/>
    <s v="01073"/>
    <s v="23 de mayo de 2018"/>
    <n v="23"/>
    <x v="18"/>
    <s v="1,00"/>
    <e v="#NAME?"/>
  </r>
  <r>
    <n v="1074"/>
    <m/>
    <x v="0"/>
    <d v="2018-05-23T00:00:00"/>
    <n v="3.5"/>
    <s v="Familia Kablan Sarmiento"/>
    <s v="norisjsb56@hotmail.com"/>
    <s v="Calle Güigüe Nro. 89-80"/>
    <s v="Colaboración mantenimiento Caseta de Vigilancia"/>
    <x v="8"/>
    <m/>
    <s v="01074"/>
    <s v="23 de mayo de 2018"/>
    <n v="23"/>
    <x v="18"/>
    <s v="3,50"/>
    <e v="#NAME?"/>
  </r>
  <r>
    <n v="1075"/>
    <m/>
    <x v="0"/>
    <d v="2018-05-23T00:00:00"/>
    <n v="3.5"/>
    <s v="Familia Nava Gordon"/>
    <s v="maru_19_66@hotmail.com"/>
    <s v="Calle Guacara Nro. 89-78"/>
    <s v="Colaboración mantenimiento Caseta de Vigilancia"/>
    <x v="8"/>
    <m/>
    <s v="01075"/>
    <s v="23 de mayo de 2018"/>
    <n v="23"/>
    <x v="18"/>
    <s v="3,50"/>
    <e v="#NAME?"/>
  </r>
  <r>
    <n v="1076"/>
    <m/>
    <x v="0"/>
    <d v="2018-05-23T00:00:00"/>
    <n v="3.5"/>
    <s v="Familia Kattar González"/>
    <s v="jagiak123@yahoo.es"/>
    <s v="Calle Güigüe Nro. 89-95"/>
    <s v="Colaboración mantenimiento Caseta de Vigilancia"/>
    <x v="8"/>
    <m/>
    <s v="01076"/>
    <s v="23 de mayo de 2018"/>
    <n v="23"/>
    <x v="18"/>
    <s v="3,50"/>
    <e v="#NAME?"/>
  </r>
  <r>
    <n v="1077"/>
    <m/>
    <x v="0"/>
    <d v="2018-05-23T00:00:00"/>
    <n v="8"/>
    <s v="Yuraima Rodríguez"/>
    <s v="En Físico"/>
    <s v="Calle Guacara Nro. 89-70"/>
    <s v="Cancelación Vigilancia, meses de Mayo y Junio 2018"/>
    <x v="0"/>
    <m/>
    <s v="01077"/>
    <s v="23 de mayo de 2018"/>
    <n v="23"/>
    <x v="18"/>
    <s v="8,00"/>
    <e v="#NAME?"/>
  </r>
  <r>
    <n v="1078"/>
    <m/>
    <x v="0"/>
    <d v="2018-05-24T00:00:00"/>
    <n v="4"/>
    <s v="Carmen Moreno"/>
    <s v="carmenemoreno10@gmail.com"/>
    <s v="Calle Güigüe Nro. 89-04"/>
    <s v="Cancelación Vigilancia, mes de Mayo 2018"/>
    <x v="0"/>
    <m/>
    <s v="01078"/>
    <s v="24 de mayo de 2018"/>
    <n v="24"/>
    <x v="18"/>
    <s v="4,00"/>
    <e v="#NAME?"/>
  </r>
  <r>
    <n v="1079"/>
    <m/>
    <x v="0"/>
    <d v="2018-05-24T00:00:00"/>
    <n v="3.5"/>
    <s v="Carmen Moreno"/>
    <s v="carmenemoreno10@gmail.com"/>
    <s v="Calle Güigüe Nro. 89-04"/>
    <s v="Colaboración mantenimiento Caseta de Vigilancia"/>
    <x v="8"/>
    <m/>
    <s v="01079"/>
    <s v="24 de mayo de 2018"/>
    <n v="24"/>
    <x v="18"/>
    <s v="3,50"/>
    <e v="#NAME?"/>
  </r>
  <r>
    <n v="1080"/>
    <m/>
    <x v="0"/>
    <d v="2018-05-24T00:00:00"/>
    <n v="3.5"/>
    <s v="Familia Ferrer Bahri"/>
    <s v="bahrimariela@hotmail.com"/>
    <s v="Calle Güigüe Nro. 89-83"/>
    <s v="Colaboración mantenimiento Caseta de Vigilancia"/>
    <x v="8"/>
    <m/>
    <s v="01080"/>
    <s v="24 de mayo de 2018"/>
    <n v="24"/>
    <x v="18"/>
    <s v="3,50"/>
    <e v="#NAME?"/>
  </r>
  <r>
    <n v="1081"/>
    <m/>
    <x v="0"/>
    <d v="2018-05-25T00:00:00"/>
    <n v="3.5"/>
    <s v="Beatriz Lara"/>
    <s v="valentina.gutierrez@hotmail.com"/>
    <s v="Calle Guacara Nro. 89-130"/>
    <s v="Colaboración mantenimiento Caseta de Vigilancia"/>
    <x v="8"/>
    <m/>
    <s v="01081"/>
    <s v="25 de mayo de 2018"/>
    <n v="25"/>
    <x v="18"/>
    <s v="3,50"/>
    <e v="#NAME?"/>
  </r>
  <r>
    <n v="1082"/>
    <m/>
    <x v="0"/>
    <d v="2018-05-25T00:00:00"/>
    <n v="3.5"/>
    <s v="Familia Montilla García"/>
    <s v="dairy252525@hotmail.com"/>
    <s v="Calle Güigüe Nro. 89-90"/>
    <s v="Colaboración mantenimiento Caseta de Vigilancia"/>
    <x v="8"/>
    <m/>
    <s v="01082"/>
    <s v="25 de mayo de 2018"/>
    <n v="25"/>
    <x v="18"/>
    <s v="3,50"/>
    <e v="#NAME?"/>
  </r>
  <r>
    <n v="1083"/>
    <m/>
    <x v="0"/>
    <d v="2018-05-25T00:00:00"/>
    <n v="3.5"/>
    <s v="Familia Costermani Terrer"/>
    <s v="claudiacostermani@hotmail.com"/>
    <s v="Calle Güigüe Nro. 88-11"/>
    <s v="Colaboración mantenimiento Caseta de Vigilancia"/>
    <x v="8"/>
    <m/>
    <s v="01083"/>
    <s v="25 de mayo de 2018"/>
    <n v="25"/>
    <x v="18"/>
    <s v="3,50"/>
    <e v="#NAME?"/>
  </r>
  <r>
    <n v="1084"/>
    <m/>
    <x v="0"/>
    <d v="2018-05-26T00:00:00"/>
    <n v="1"/>
    <s v="Familia Chávez Hernández"/>
    <s v="mercedesch23@hotmail.com"/>
    <s v="Calle Güigüe Nro. 88-20"/>
    <s v="Colaboración mantenimiento Caseta de Vigilancia"/>
    <x v="8"/>
    <m/>
    <s v="01084"/>
    <s v="26 de mayo de 2018"/>
    <n v="26"/>
    <x v="18"/>
    <s v="1,00"/>
    <e v="#NAME?"/>
  </r>
  <r>
    <n v="1085"/>
    <m/>
    <x v="0"/>
    <d v="2018-05-27T00:00:00"/>
    <n v="4"/>
    <s v="Familia Gascón Domínguez"/>
    <s v="vrgascon@gmail.com"/>
    <s v="Calle Güigüe Nro. 88-70"/>
    <s v="Cancelación Vigilancia, mes de Mayo 2018"/>
    <x v="0"/>
    <m/>
    <s v="01085"/>
    <s v="27 de mayo de 2018"/>
    <n v="27"/>
    <x v="18"/>
    <s v="4,00"/>
    <e v="#NAME?"/>
  </r>
  <r>
    <n v="1086"/>
    <m/>
    <x v="0"/>
    <d v="2018-05-27T00:00:00"/>
    <n v="3.5"/>
    <s v="Familia Gascón Domínguez"/>
    <s v="vrgascon@gmail.com"/>
    <s v="Calle Güigüe Nro. 88-70"/>
    <s v="Colaboración mantenimiento Caseta de Vigilancia"/>
    <x v="8"/>
    <m/>
    <s v="01086"/>
    <s v="27 de mayo de 2018"/>
    <n v="27"/>
    <x v="18"/>
    <s v="3,50"/>
    <e v="#NAME?"/>
  </r>
  <r>
    <n v="1087"/>
    <m/>
    <x v="0"/>
    <d v="2018-05-28T00:00:00"/>
    <n v="4"/>
    <s v="Ma. de Jesus Alonso"/>
    <s v="alonsojg@gmail.com"/>
    <s v="Calle Güigüe Nro. 88-30"/>
    <s v="Ajuste Colaboración Vigilancia, meses de Febrero, Marzo, Abril y Mayo 2018"/>
    <x v="0"/>
    <m/>
    <s v="01087"/>
    <s v="28 de mayo de 2018"/>
    <n v="28"/>
    <x v="18"/>
    <s v="4,00"/>
    <e v="#NAME?"/>
  </r>
  <r>
    <n v="1088"/>
    <m/>
    <x v="0"/>
    <d v="2018-05-28T00:00:00"/>
    <n v="3.5"/>
    <s v="Ma. de Jesus Alonso"/>
    <s v="alonsojg@gmail.com"/>
    <s v="Calle Güigüe Nro. 88-30"/>
    <s v="Colaboración mantenimiento Caseta de Vigilancia"/>
    <x v="8"/>
    <m/>
    <s v="01088"/>
    <s v="28 de mayo de 2018"/>
    <n v="28"/>
    <x v="18"/>
    <s v="3,50"/>
    <e v="#NAME?"/>
  </r>
  <r>
    <n v="1089"/>
    <m/>
    <x v="0"/>
    <d v="2018-05-28T00:00:00"/>
    <n v="3.5"/>
    <s v="Anahiz Seijas"/>
    <s v="anahiz_2@hotmail.es"/>
    <s v="Calle Güigüe Nro. 89-106"/>
    <s v="Colaboración mantenimiento Caseta de Vigilancia"/>
    <x v="8"/>
    <m/>
    <s v="01089"/>
    <s v="28 de mayo de 2018"/>
    <n v="28"/>
    <x v="18"/>
    <s v="3,50"/>
    <e v="#NAME?"/>
  </r>
  <r>
    <n v="1090"/>
    <m/>
    <x v="0"/>
    <d v="2018-05-28T00:00:00"/>
    <n v="3.5"/>
    <s v="Ana de González"/>
    <s v="mikelnowak25@gmail.com"/>
    <s v="Av. &quot;O&quot; Nro. 146-17"/>
    <s v="Colaboración mantenimiento Caseta de Vigilancia"/>
    <x v="8"/>
    <m/>
    <s v="01090"/>
    <s v="28 de mayo de 2018"/>
    <n v="28"/>
    <x v="18"/>
    <s v="3,50"/>
    <e v="#NAME?"/>
  </r>
  <r>
    <n v="1091"/>
    <m/>
    <x v="0"/>
    <d v="2018-05-28T00:00:00"/>
    <n v="3.5"/>
    <s v="Familia Franco Gómez"/>
    <s v="eof64@hotmail.com"/>
    <s v="Calle Guacara Nro. 87-07"/>
    <s v="Colaboración mantenimiento Caseta de Vigilancia"/>
    <x v="8"/>
    <m/>
    <s v="01091"/>
    <s v="28 de mayo de 2018"/>
    <n v="28"/>
    <x v="18"/>
    <s v="3,50"/>
    <e v="#NAME?"/>
  </r>
  <r>
    <n v="1092"/>
    <m/>
    <x v="0"/>
    <d v="2018-05-29T00:00:00"/>
    <n v="2"/>
    <s v="Familia Méndez Parra"/>
    <s v="briceidademendez@gmail.com"/>
    <s v="Calle Guacara Nro. 88-19"/>
    <s v="Colaboración Vigilancia, mes de Mayo 2018"/>
    <x v="0"/>
    <m/>
    <s v="01092"/>
    <s v="29 de mayo de 2018"/>
    <n v="29"/>
    <x v="18"/>
    <s v="2,00"/>
    <e v="#NAME?"/>
  </r>
  <r>
    <n v="1093"/>
    <m/>
    <x v="0"/>
    <d v="2018-05-29T00:00:00"/>
    <n v="3.5"/>
    <s v="Familia Méndez Parra"/>
    <s v="briceidademendez@gmail.com"/>
    <s v="Calle Guacara Nro. 88-19"/>
    <s v="Colaboración mantenimiento Caseta de Vigilancia"/>
    <x v="8"/>
    <m/>
    <s v="01093"/>
    <s v="29 de mayo de 2018"/>
    <n v="29"/>
    <x v="18"/>
    <s v="3,50"/>
    <e v="#NAME?"/>
  </r>
  <r>
    <n v="1094"/>
    <m/>
    <x v="0"/>
    <d v="2018-05-29T00:00:00"/>
    <n v="3.5"/>
    <s v="Familia Díaz González"/>
    <s v="luisrdt57@gmail.com"/>
    <s v="Calle Güigüe Nro. 88-116"/>
    <s v="Colaboración mantenimiento Caseta de Vigilancia"/>
    <x v="8"/>
    <m/>
    <s v="01094"/>
    <s v="29 de mayo de 2018"/>
    <n v="29"/>
    <x v="18"/>
    <s v="3,50"/>
    <e v="#NAME?"/>
  </r>
  <r>
    <n v="1095"/>
    <m/>
    <x v="0"/>
    <d v="2018-05-29T00:00:00"/>
    <n v="3.5"/>
    <s v="Colegio El Trigal"/>
    <s v="En Físico"/>
    <s v="Calle Güigüe Nros. 88-71 y 88-81"/>
    <s v="Colaboración mantenimiento Caseta de Vigilancia"/>
    <x v="8"/>
    <m/>
    <s v="01095"/>
    <s v="29 de mayo de 2018"/>
    <n v="29"/>
    <x v="18"/>
    <s v="3,50"/>
    <e v="#NAME?"/>
  </r>
  <r>
    <n v="1096"/>
    <m/>
    <x v="0"/>
    <d v="2018-05-30T00:00:00"/>
    <n v="2.4"/>
    <s v="Dra. Lilia Magallanes"/>
    <s v="liliamagallanes2010@gmail.com"/>
    <s v="Calle Güigüe Nro. 88-51"/>
    <s v="Cancelación Vigilancia, saldo mes de Marzo y mes de Abril 2018"/>
    <x v="0"/>
    <m/>
    <s v="01096"/>
    <s v="30 de mayo de 2018"/>
    <n v="30"/>
    <x v="18"/>
    <s v="2,40"/>
    <e v="#NAME?"/>
  </r>
  <r>
    <n v="1097"/>
    <m/>
    <x v="0"/>
    <d v="2018-05-23T00:00:00"/>
    <n v="4"/>
    <s v="Familia Zavarce Pérez"/>
    <s v="En Físico"/>
    <s v="Calle Guacara Nro. 90-35"/>
    <s v="Cancelación Vigilancia, mes de Mayo 2018"/>
    <x v="0"/>
    <m/>
    <s v="01097"/>
    <s v="23 de mayo de 2018"/>
    <n v="23"/>
    <x v="18"/>
    <s v="4,00"/>
    <e v="#NAME?"/>
  </r>
  <r>
    <n v="1098"/>
    <m/>
    <x v="0"/>
    <d v="2018-05-30T00:00:00"/>
    <n v="9.4"/>
    <s v="Familia Civitico Rueda"/>
    <s v="ruedaelizabeth@gmail.com"/>
    <s v="Calle Güigüe Nro. 89-89"/>
    <s v="Cancelación Vigilancia, meses de Abril, Mayo y Junio 2018"/>
    <x v="0"/>
    <m/>
    <s v="01098"/>
    <s v="30 de mayo de 2018"/>
    <n v="30"/>
    <x v="18"/>
    <s v="9,40"/>
    <e v="#NAME?"/>
  </r>
  <r>
    <n v="1099"/>
    <m/>
    <x v="0"/>
    <d v="2018-05-30T00:00:00"/>
    <n v="3.5"/>
    <s v="Familia Civitico Rueda"/>
    <s v="ruedaelizabeth@gmail.com"/>
    <s v="Calle Güigüe Nro. 89-89"/>
    <s v="Colaboración mantenimiento Caseta de Vigilancia"/>
    <x v="8"/>
    <m/>
    <s v="01099"/>
    <s v="30 de mayo de 2018"/>
    <n v="30"/>
    <x v="18"/>
    <s v="3,50"/>
    <e v="#NAME?"/>
  </r>
  <r>
    <n v="1100"/>
    <m/>
    <x v="0"/>
    <d v="2018-05-30T00:00:00"/>
    <n v="2.5"/>
    <s v="Familia Navarro Assing"/>
    <s v="liliaassing@gmail.com"/>
    <s v="Calle Güigüe Nro. 88-54"/>
    <s v="Colaboración mantenimiento Caseta de Vigilancia"/>
    <x v="8"/>
    <m/>
    <s v="01100"/>
    <s v="30 de mayo de 2018"/>
    <n v="30"/>
    <x v="18"/>
    <s v="2,50"/>
    <e v="#NAME?"/>
  </r>
  <r>
    <n v="1101"/>
    <m/>
    <x v="0"/>
    <d v="2018-05-30T00:00:00"/>
    <n v="4"/>
    <s v="Familia Acosta Carpio"/>
    <s v="pablo962@hotmail.com"/>
    <s v="Calle Güigüe Nro. 89-10"/>
    <s v="Cancelación Vigilancia, mes de Mayo 2018"/>
    <x v="0"/>
    <m/>
    <s v="01101"/>
    <s v="30 de mayo de 2018"/>
    <n v="30"/>
    <x v="18"/>
    <s v="4,00"/>
    <e v="#NAME?"/>
  </r>
  <r>
    <n v="1102"/>
    <m/>
    <x v="0"/>
    <d v="2018-05-30T00:00:00"/>
    <n v="3.5"/>
    <s v="Familia Acosta Carpio"/>
    <s v="pablo962@hotmail.com"/>
    <s v="Calle Güigüe Nro. 89-10"/>
    <s v="Colaboración mantenimiento Caseta de Vigilancia"/>
    <x v="8"/>
    <m/>
    <s v="01102"/>
    <s v="30 de mayo de 2018"/>
    <n v="30"/>
    <x v="18"/>
    <s v="3,50"/>
    <e v="#NAME?"/>
  </r>
  <r>
    <n v="1103"/>
    <m/>
    <x v="0"/>
    <d v="2018-05-31T00:00:00"/>
    <n v="5.4"/>
    <s v="Familia Manrique Riera"/>
    <s v="patriciamanrique@gmail.com"/>
    <s v="Calle Guacara Nro. 89-40"/>
    <s v="Cancelación Vigilancia, meses de Abril y Mayo 2018"/>
    <x v="0"/>
    <m/>
    <s v="01103"/>
    <s v="31 de mayo de 2018"/>
    <n v="31"/>
    <x v="18"/>
    <s v="5,40"/>
    <e v="#NAME?"/>
  </r>
  <r>
    <n v="1104"/>
    <m/>
    <x v="0"/>
    <d v="2018-05-31T00:00:00"/>
    <n v="6.6"/>
    <s v="Sra. Reina Meléndez"/>
    <s v="olgajipe@gmail.com"/>
    <s v="Av. &quot;M&quot; Nro. 145-10"/>
    <s v="Cancelación Vigilancia, saldo mes de Mayo y mes de Junio 2018"/>
    <x v="0"/>
    <m/>
    <s v="01104"/>
    <s v="31 de mayo de 2018"/>
    <n v="31"/>
    <x v="18"/>
    <s v="6,60"/>
    <e v="#NAME?"/>
  </r>
  <r>
    <n v="1105"/>
    <m/>
    <x v="0"/>
    <d v="2018-06-02T00:00:00"/>
    <n v="8"/>
    <s v="Familia Il Grande Franceschi"/>
    <s v="arcifran75@hotmail.com"/>
    <s v="Av. &quot;I&quot; Nro. 146-40"/>
    <s v="Cancelación Vigilancia, meses de Mayo y Junio 2018"/>
    <x v="0"/>
    <m/>
    <s v="01105"/>
    <s v="02 de junio de 2018"/>
    <n v="2"/>
    <x v="19"/>
    <s v="8,00"/>
    <e v="#NAME?"/>
  </r>
  <r>
    <n v="1106"/>
    <m/>
    <x v="0"/>
    <d v="2018-06-02T00:00:00"/>
    <n v="3.5"/>
    <s v="Familia Il Grande Franceschi"/>
    <s v="arcifran75@hotmail.com"/>
    <s v="Av. &quot;I&quot; Nro. 146-40"/>
    <s v="Colaboración mantenimiento Caseta de Vigilancia"/>
    <x v="8"/>
    <m/>
    <s v="01106"/>
    <s v="02 de junio de 2018"/>
    <n v="2"/>
    <x v="19"/>
    <s v="3,50"/>
    <e v="#NAME?"/>
  </r>
  <r>
    <n v="1107"/>
    <m/>
    <x v="0"/>
    <d v="2018-06-02T00:00:00"/>
    <n v="3.5"/>
    <s v="Ely Saúl Rivero Gómez"/>
    <s v="hhs.admon@gmail.com"/>
    <s v="Av. &quot;Ñ&quot; Nro. 145-25"/>
    <s v="Colaboración mantenimiento Caseta de Vigilancia"/>
    <x v="8"/>
    <m/>
    <s v="01107"/>
    <s v="02 de junio de 2018"/>
    <n v="2"/>
    <x v="19"/>
    <s v="3,50"/>
    <e v="#NAME?"/>
  </r>
  <r>
    <n v="1108"/>
    <m/>
    <x v="0"/>
    <d v="2018-06-04T00:00:00"/>
    <n v="4"/>
    <s v="Isbeth Palacios"/>
    <s v="ispalparcpc@gmail.com"/>
    <s v="Calle Guacara Nro. 88-75"/>
    <s v="Cancelación Vigilancia, mes de Junio 2018"/>
    <x v="0"/>
    <m/>
    <s v="01108"/>
    <s v="04 de junio de 2018"/>
    <n v="4"/>
    <x v="19"/>
    <s v="4,00"/>
    <e v="#NAME?"/>
  </r>
  <r>
    <n v="1109"/>
    <m/>
    <x v="0"/>
    <d v="2018-06-04T00:00:00"/>
    <n v="4"/>
    <s v="Chin Chun Ya (Goya)"/>
    <s v="uc2721@gmail.com"/>
    <s v="Calle Guacara Nro. 87-86"/>
    <s v="Cancelación Vigilancia, mes de Junio 2018"/>
    <x v="0"/>
    <m/>
    <s v="01109"/>
    <s v="04 de junio de 2018"/>
    <n v="4"/>
    <x v="19"/>
    <s v="4,00"/>
    <e v="#NAME?"/>
  </r>
  <r>
    <n v="1110"/>
    <m/>
    <x v="0"/>
    <d v="2018-06-04T00:00:00"/>
    <n v="4"/>
    <s v="Familia Barreto Pérez"/>
    <s v="bbetsa19@hotmail.com"/>
    <s v="Av. &quot;M&quot; Nro. 146-15"/>
    <s v="Cancelación Vigilancia, mes de Mayo 2018"/>
    <x v="0"/>
    <m/>
    <s v="01110"/>
    <s v="04 de junio de 2018"/>
    <n v="4"/>
    <x v="19"/>
    <s v="4,00"/>
    <e v="#NAME?"/>
  </r>
  <r>
    <n v="1111"/>
    <m/>
    <x v="0"/>
    <d v="2018-06-04T00:00:00"/>
    <n v="1"/>
    <s v="Familia Morales Sesar"/>
    <s v="moralesesar@gmail.com"/>
    <s v="Calle Güigüe Nro. 89-120"/>
    <s v="Colaboración Vigilancia, mes de Mayo 2018"/>
    <x v="0"/>
    <m/>
    <s v="01111"/>
    <s v="04 de junio de 2018"/>
    <n v="4"/>
    <x v="19"/>
    <s v="1,00"/>
    <e v="#NAME?"/>
  </r>
  <r>
    <n v="1112"/>
    <m/>
    <x v="0"/>
    <d v="2018-06-04T00:00:00"/>
    <n v="4"/>
    <s v="Familia Ferrer Bahri"/>
    <s v="bahrimariela@hotmail.com"/>
    <s v="Calle Güigüe Nro. 89-83"/>
    <s v="Cancelación Vigilancia, mes de Junio 2018"/>
    <x v="0"/>
    <m/>
    <s v="01112"/>
    <s v="04 de junio de 2018"/>
    <n v="4"/>
    <x v="19"/>
    <s v="4,00"/>
    <e v="#NAME?"/>
  </r>
  <r>
    <n v="1113"/>
    <m/>
    <x v="0"/>
    <d v="2018-06-04T00:00:00"/>
    <n v="4.5999999999999996"/>
    <s v="Familia Rodríguez Aular"/>
    <s v="mvaular@hotmail.com"/>
    <s v="Calle Güigüe Nro. 88-58"/>
    <s v="Colaboración Vigilancia, meses de Marzo, Abril y Mayo 2018"/>
    <x v="0"/>
    <m/>
    <s v="01113"/>
    <s v="04 de junio de 2018"/>
    <n v="4"/>
    <x v="19"/>
    <s v="4,60"/>
    <e v="#NAME?"/>
  </r>
  <r>
    <n v="1114"/>
    <m/>
    <x v="0"/>
    <d v="2018-06-04T00:00:00"/>
    <n v="2"/>
    <s v="Gloria Molina"/>
    <s v="glomola2@yahoo.es"/>
    <s v="Calle Güigüe Nro. 89-71"/>
    <s v="Colaboración Vigilancia, mes de Mayo 2018"/>
    <x v="0"/>
    <m/>
    <s v="01114"/>
    <s v="04 de junio de 2018"/>
    <n v="4"/>
    <x v="19"/>
    <s v="2,00"/>
    <e v="#NAME?"/>
  </r>
  <r>
    <n v="1115"/>
    <m/>
    <x v="0"/>
    <d v="2018-06-04T00:00:00"/>
    <n v="3"/>
    <s v="Gloria Molina"/>
    <s v="glomola2@yahoo.es"/>
    <s v="Calle Güigüe Nro. 89-71"/>
    <s v="Colaboración mantenimiento Caseta de Vigilancia"/>
    <x v="8"/>
    <m/>
    <s v="01115"/>
    <s v="04 de junio de 2018"/>
    <n v="4"/>
    <x v="19"/>
    <s v="3,00"/>
    <e v="#NAME?"/>
  </r>
  <r>
    <n v="1116"/>
    <m/>
    <x v="0"/>
    <d v="2018-06-06T00:00:00"/>
    <n v="8"/>
    <s v="Familia Loponte Arteaga"/>
    <s v="En Físico"/>
    <s v="Calle Güigüe Nro. 88-120"/>
    <s v="Cancelación Vigilancia, meses de Junio y Julio 2018"/>
    <x v="0"/>
    <m/>
    <s v="01116"/>
    <s v="06 de junio de 2018"/>
    <n v="6"/>
    <x v="19"/>
    <s v="8,00"/>
    <e v="#NAME?"/>
  </r>
  <r>
    <n v="1117"/>
    <m/>
    <x v="0"/>
    <d v="2018-06-06T00:00:00"/>
    <n v="3"/>
    <s v="Familia Loponte Arteaga"/>
    <s v="En Físico"/>
    <s v="Calle Güigüe Nro. 88-120"/>
    <s v="Colaboración mantenimiento Caseta de Vigilancia"/>
    <x v="8"/>
    <m/>
    <s v="01117"/>
    <s v="06 de junio de 2018"/>
    <n v="6"/>
    <x v="19"/>
    <s v="3,00"/>
    <e v="#NAME?"/>
  </r>
  <r>
    <n v="1118"/>
    <m/>
    <x v="0"/>
    <d v="2018-06-06T00:00:00"/>
    <n v="4"/>
    <s v="Carmen Moreno"/>
    <s v="carmenemoreno10@gmail.com"/>
    <s v="Calle Güigüe Nro. 89-04"/>
    <s v="Cancelación Vigilancia, mes de Junio 2018"/>
    <x v="0"/>
    <m/>
    <s v="01118"/>
    <s v="06 de junio de 2018"/>
    <n v="6"/>
    <x v="19"/>
    <s v="4,00"/>
    <e v="#NAME?"/>
  </r>
  <r>
    <n v="1119"/>
    <m/>
    <x v="0"/>
    <d v="2018-06-06T00:00:00"/>
    <n v="4"/>
    <s v="Familia Milanés Carmona"/>
    <s v="yndira11m@gmail.com"/>
    <s v="Calle Güigüe Nro. 89-65"/>
    <s v="Cancelación Vigilancia, mes de Junio 2018"/>
    <x v="0"/>
    <m/>
    <s v="01119"/>
    <s v="06 de junio de 2018"/>
    <n v="6"/>
    <x v="19"/>
    <s v="4,00"/>
    <e v="#NAME?"/>
  </r>
  <r>
    <n v="1120"/>
    <m/>
    <x v="0"/>
    <d v="2018-06-06T00:00:00"/>
    <n v="4"/>
    <s v="Familia Del Negro Palermo"/>
    <s v="vdelnegro@gmail.com"/>
    <s v="Calle Guacara Nro. 88-45"/>
    <s v="Cancelación Vigilancia, mes de Junio 2018 (saldo a favor: Bs. 4.720.000)"/>
    <x v="0"/>
    <m/>
    <s v="01120"/>
    <s v="06 de junio de 2018"/>
    <n v="6"/>
    <x v="19"/>
    <s v="4,00"/>
    <e v="#NAME?"/>
  </r>
  <r>
    <n v="1121"/>
    <m/>
    <x v="0"/>
    <d v="2018-06-06T00:00:00"/>
    <n v="4"/>
    <s v="Ely Saúl Rivero Gómez"/>
    <s v="hhs.admon@gmail.com"/>
    <s v="Av. &quot;Ñ&quot; Nro. 145-25"/>
    <s v="Cancelación Vigilancia, mes de Junio 2018 (saldo a favor: Bs. 3.435.000)"/>
    <x v="0"/>
    <m/>
    <s v="01121"/>
    <s v="06 de junio de 2018"/>
    <n v="6"/>
    <x v="19"/>
    <s v="4,00"/>
    <e v="#NAME?"/>
  </r>
  <r>
    <n v="1122"/>
    <m/>
    <x v="0"/>
    <d v="2018-06-06T00:00:00"/>
    <n v="4"/>
    <s v="Familia Arcia Polanco"/>
    <s v="misipo29@gmail.com"/>
    <s v="Calle Guacara Nro. 89-20"/>
    <s v="Cancelación Vigilancia, mes de Junio 2018"/>
    <x v="0"/>
    <m/>
    <s v="01122"/>
    <s v="06 de junio de 2018"/>
    <n v="6"/>
    <x v="19"/>
    <s v="4,00"/>
    <e v="#NAME?"/>
  </r>
  <r>
    <n v="1123"/>
    <m/>
    <x v="0"/>
    <d v="2018-06-06T00:00:00"/>
    <n v="4"/>
    <s v="Familia Jiménez Salvatierra"/>
    <s v="En Físico"/>
    <s v="Calle Güigüe Nro. 89-45"/>
    <s v="Cancelación Vigilancia, mes de Junio 2018 (saldo a favor: Bs. 1.593.000)"/>
    <x v="0"/>
    <m/>
    <s v="01123"/>
    <s v="06 de junio de 2018"/>
    <n v="6"/>
    <x v="19"/>
    <s v="4,00"/>
    <e v="#NAME?"/>
  </r>
  <r>
    <n v="1124"/>
    <m/>
    <x v="0"/>
    <d v="2018-06-06T00:00:00"/>
    <n v="4"/>
    <s v="Familia Fermín Rivas"/>
    <s v="angelferminb@gmail.com"/>
    <s v="Calle Güigüe Nro. 89-55"/>
    <s v="Cancelación Vigilancia, mes de Junio 2018 (saldo a favor: Bs. 660.000)"/>
    <x v="0"/>
    <m/>
    <s v="01124"/>
    <s v="06 de junio de 2018"/>
    <n v="6"/>
    <x v="19"/>
    <s v="4,00"/>
    <e v="#NAME?"/>
  </r>
  <r>
    <n v="1125"/>
    <m/>
    <x v="0"/>
    <d v="2018-06-07T00:00:00"/>
    <n v="4"/>
    <s v="Familia Puerta Burguillos"/>
    <s v="namaricakes@gmail.com"/>
    <s v="Calle Guacara Nro. 87-100"/>
    <s v="Cancelación Vigilancia, mes de Junio 2018"/>
    <x v="0"/>
    <m/>
    <s v="01125"/>
    <s v="07 de junio de 2018"/>
    <n v="7"/>
    <x v="19"/>
    <s v="4,00"/>
    <e v="#NAME?"/>
  </r>
  <r>
    <n v="1126"/>
    <m/>
    <x v="0"/>
    <d v="2018-06-07T00:00:00"/>
    <n v="4"/>
    <s v="Familia Colosso Delgado"/>
    <s v="mcolosso@gmail.com"/>
    <s v="Calle Güigüe Nro. 88-44"/>
    <s v="Cancelación Vigilancia, mes de Junio 2018"/>
    <x v="0"/>
    <m/>
    <s v="01126"/>
    <s v="07 de junio de 2018"/>
    <n v="7"/>
    <x v="19"/>
    <s v="4,00"/>
    <e v="#NAME?"/>
  </r>
  <r>
    <n v="1127"/>
    <m/>
    <x v="0"/>
    <d v="2018-06-07T00:00:00"/>
    <n v="4"/>
    <s v="Familia Nava Gordon"/>
    <s v="maru_19_66@hotmail.com"/>
    <s v="Calle Guacara Nro. 89-78"/>
    <s v="Cancelación Vigilancia, mes de Junio 2018"/>
    <x v="0"/>
    <m/>
    <s v="01127"/>
    <s v="07 de junio de 2018"/>
    <n v="7"/>
    <x v="19"/>
    <s v="4,00"/>
    <e v="#NAME?"/>
  </r>
  <r>
    <n v="1128"/>
    <m/>
    <x v="0"/>
    <d v="2018-06-08T00:00:00"/>
    <n v="1"/>
    <s v="Familia Triana González"/>
    <s v="En Físico"/>
    <s v="Calle Guacara Nro. 90-61"/>
    <s v="Colaboración Vigilancia, mes de Mayo 2018"/>
    <x v="0"/>
    <m/>
    <s v="01128"/>
    <s v="08 de junio de 2018"/>
    <n v="8"/>
    <x v="19"/>
    <s v="1,00"/>
    <e v="#NAME?"/>
  </r>
  <r>
    <n v="1129"/>
    <m/>
    <x v="0"/>
    <d v="2018-06-08T00:00:00"/>
    <n v="4"/>
    <s v="Dra. Lilia Magallanes"/>
    <s v="liliamagallanes2010@gmail.com"/>
    <s v="Calle Güigüe Nro. 88-51"/>
    <s v="Cancelación Vigilancia, mes de Mayo 2018"/>
    <x v="0"/>
    <m/>
    <s v="01129"/>
    <s v="08 de junio de 2018"/>
    <n v="8"/>
    <x v="19"/>
    <s v="4,00"/>
    <e v="#NAME?"/>
  </r>
  <r>
    <n v="1130"/>
    <m/>
    <x v="0"/>
    <d v="2018-06-08T00:00:00"/>
    <n v="3.5"/>
    <s v="Familia Barreto Pérez"/>
    <s v="bbetsa19@hotmail.com"/>
    <s v="Av. &quot;M&quot; Nro. 146-15"/>
    <s v="Colaboración mantenimiento Caseta de Vigilancia"/>
    <x v="8"/>
    <m/>
    <s v="01130"/>
    <s v="08 de junio de 2018"/>
    <n v="8"/>
    <x v="19"/>
    <s v="3,50"/>
    <e v="#NAME?"/>
  </r>
  <r>
    <n v="1131"/>
    <m/>
    <x v="0"/>
    <d v="2018-06-09T00:00:00"/>
    <n v="1"/>
    <s v="Familia Chávez Hernández"/>
    <s v="mercedesch23@hotmail.com"/>
    <s v="Calle Güigüe Nro. 88-20"/>
    <s v="Colaboración Vigilancia, meses de Mayo y Junio 2018"/>
    <x v="0"/>
    <m/>
    <s v="01131"/>
    <s v="09 de junio de 2018"/>
    <n v="9"/>
    <x v="19"/>
    <s v="1,00"/>
    <e v="#NAME?"/>
  </r>
  <r>
    <n v="1132"/>
    <m/>
    <x v="0"/>
    <d v="2018-06-09T00:00:00"/>
    <n v="10.8"/>
    <s v="Familia Leung"/>
    <s v="En Físico"/>
    <s v="Calle Guacara Nro. 88-55"/>
    <s v="Cancelación Vigilancia, meses de Marzo, Abril, Mayo y Junio 2018"/>
    <x v="0"/>
    <m/>
    <s v="01132"/>
    <s v="09 de junio de 2018"/>
    <n v="9"/>
    <x v="19"/>
    <s v="10,80"/>
    <e v="#NAME?"/>
  </r>
  <r>
    <n v="1133"/>
    <m/>
    <x v="0"/>
    <d v="2018-06-10T00:00:00"/>
    <n v="4"/>
    <s v="Héctor Hernández"/>
    <s v="eof64@hotmail.com"/>
    <s v="Calle Guacara Nro. 89-94"/>
    <s v="Cancelación Vigilancia, mes de Junio 2018"/>
    <x v="0"/>
    <m/>
    <s v="01133"/>
    <s v="10 de junio de 2018"/>
    <n v="10"/>
    <x v="19"/>
    <s v="4,00"/>
    <e v="#NAME?"/>
  </r>
  <r>
    <n v="1134"/>
    <m/>
    <x v="0"/>
    <d v="2018-06-10T00:00:00"/>
    <n v="4"/>
    <s v="Victoria Francischiello"/>
    <s v="victoriafrancischiello@hotmail.com"/>
    <s v="Calle Guacara Nro. 88-25"/>
    <s v="Colaboración Vigilancia, mes de Junio 2018"/>
    <x v="0"/>
    <m/>
    <s v="01134"/>
    <s v="10 de junio de 2018"/>
    <n v="10"/>
    <x v="19"/>
    <s v="4,00"/>
    <e v="#NAME?"/>
  </r>
  <r>
    <n v="1135"/>
    <m/>
    <x v="0"/>
    <d v="2018-06-10T00:00:00"/>
    <n v="3.5"/>
    <s v="Victoria Francischiello"/>
    <s v="victoriafrancischiello@hotmail.com"/>
    <s v="Calle Guacara Nro. 88-25"/>
    <s v="Colaboración mantenimiento Caseta de Vigilancia"/>
    <x v="8"/>
    <m/>
    <s v="01135"/>
    <s v="10 de junio de 2018"/>
    <n v="10"/>
    <x v="19"/>
    <s v="3,50"/>
    <e v="#NAME?"/>
  </r>
  <r>
    <n v="1136"/>
    <m/>
    <x v="0"/>
    <d v="2018-06-11T00:00:00"/>
    <n v="4"/>
    <s v="Familia Barreto Pérez"/>
    <s v="bbetsa19@hotmail.com"/>
    <s v="Av. &quot;M&quot; Nro. 146-15"/>
    <s v="Cancelación Vigilancia, mes de Junio 2018"/>
    <x v="0"/>
    <m/>
    <s v="01136"/>
    <s v="11 de junio de 2018"/>
    <n v="11"/>
    <x v="19"/>
    <s v="4,00"/>
    <e v="#NAME?"/>
  </r>
  <r>
    <n v="1137"/>
    <m/>
    <x v="0"/>
    <d v="2018-06-11T00:00:00"/>
    <n v="4"/>
    <s v="Familia Delgado Hidalgo"/>
    <s v="ardh@hotmail.com"/>
    <s v="Calle Güigüe Nro. 88-10"/>
    <s v="Cancelación Vigilancia, mes de Junio 2018"/>
    <x v="0"/>
    <m/>
    <s v="01137"/>
    <s v="11 de junio de 2018"/>
    <n v="11"/>
    <x v="19"/>
    <s v="4,00"/>
    <e v="#NAME?"/>
  </r>
  <r>
    <n v="1138"/>
    <m/>
    <x v="0"/>
    <d v="2018-06-13T00:00:00"/>
    <n v="2"/>
    <s v="Familia Rodríguez Landaeta"/>
    <s v="mrl58@hotmail.com"/>
    <s v="Calle Güigüe Nro. 89-29"/>
    <s v="Colaboración Vigilancia, mes de Junio 2018"/>
    <x v="0"/>
    <m/>
    <s v="01138"/>
    <s v="13 de junio de 2018"/>
    <n v="13"/>
    <x v="19"/>
    <s v="2,00"/>
    <e v="#NAME?"/>
  </r>
  <r>
    <n v="1139"/>
    <m/>
    <x v="0"/>
    <d v="2018-06-12T00:00:00"/>
    <n v="4"/>
    <s v="Ma. de Jesus Alonso"/>
    <s v="alonsojg@gmail.com"/>
    <s v="Calle Güigüe Nro. 88-30"/>
    <s v="Cancelación Vigilancia, mes de Junio 2018"/>
    <x v="0"/>
    <m/>
    <s v="01139"/>
    <s v="12 de junio de 2018"/>
    <n v="12"/>
    <x v="19"/>
    <s v="4,00"/>
    <e v="#NAME?"/>
  </r>
  <r>
    <n v="1140"/>
    <m/>
    <x v="0"/>
    <d v="2018-06-13T00:00:00"/>
    <n v="21"/>
    <s v="Zoraida Khair"/>
    <s v="zorakhair@hotmail.com"/>
    <s v="Calle Güigüe Nro. 88-80"/>
    <s v="Cancelación Vigilancia, meses de Abril, Mayo, Junio, Julio, Agosto y Septiembre 2017"/>
    <x v="0"/>
    <m/>
    <s v="01140"/>
    <s v="13 de junio de 2018"/>
    <n v="13"/>
    <x v="19"/>
    <s v="21,00"/>
    <e v="#NAME?"/>
  </r>
  <r>
    <n v="1141"/>
    <m/>
    <x v="0"/>
    <d v="2018-06-14T00:00:00"/>
    <n v="8"/>
    <s v="Familia Hatem Medina"/>
    <s v="hhatem1@hotmail.com"/>
    <s v="Calle Guacara Nro. 88-51"/>
    <s v="Cancelación Vigilancia, meses de Junio y Julio 2018"/>
    <x v="0"/>
    <m/>
    <s v="01141"/>
    <s v="14 de junio de 2018"/>
    <n v="14"/>
    <x v="19"/>
    <s v="8,00"/>
    <e v="#NAME?"/>
  </r>
  <r>
    <n v="1142"/>
    <m/>
    <x v="0"/>
    <d v="2018-06-15T00:00:00"/>
    <n v="4"/>
    <s v="Familia Kablan Sarmiento"/>
    <s v="norisjsb56@hotmail.com"/>
    <s v="Calle Güigüe Nro. 89-80"/>
    <s v="Cancelación Vigilancia, mes de Junio 2018"/>
    <x v="0"/>
    <m/>
    <s v="01142"/>
    <s v="15 de junio de 2018"/>
    <n v="15"/>
    <x v="19"/>
    <s v="4,00"/>
    <e v="#NAME?"/>
  </r>
  <r>
    <n v="1143"/>
    <m/>
    <x v="0"/>
    <d v="2018-06-15T00:00:00"/>
    <n v="4"/>
    <s v="Familia Scabuzzo Gómez"/>
    <s v="sfscabuzzo@msn.com"/>
    <s v="Av. &quot;I&quot; Nro. 146-20"/>
    <s v="Cancelación Vigilancia, mes de Junio 2018"/>
    <x v="0"/>
    <m/>
    <s v="01143"/>
    <s v="15 de junio de 2018"/>
    <n v="15"/>
    <x v="19"/>
    <s v="4,00"/>
    <e v="#NAME?"/>
  </r>
  <r>
    <n v="1144"/>
    <m/>
    <x v="0"/>
    <d v="2018-06-15T00:00:00"/>
    <n v="4"/>
    <s v="Familia Scabuzzo Gómez"/>
    <s v="sfscabuzzo@msn.com"/>
    <s v="Av. &quot;I&quot; Nro. 146-20"/>
    <s v="Colaboración mantenimiento Caseta de Vigilancia"/>
    <x v="8"/>
    <m/>
    <s v="01144"/>
    <s v="15 de junio de 2018"/>
    <n v="15"/>
    <x v="19"/>
    <s v="4,00"/>
    <e v="#NAME?"/>
  </r>
  <r>
    <n v="1145"/>
    <m/>
    <x v="0"/>
    <d v="2018-06-18T00:00:00"/>
    <n v="4"/>
    <s v="Beatriz Lara"/>
    <s v="valentina.gutierrez@hotmail.com"/>
    <s v="Calle Guacara Nro. 89-130"/>
    <s v="Cancelación Vigilancia, mes de Junio 2018"/>
    <x v="0"/>
    <m/>
    <s v="01145"/>
    <s v="18 de junio de 2018"/>
    <n v="18"/>
    <x v="19"/>
    <s v="4,00"/>
    <e v="#NAME?"/>
  </r>
  <r>
    <n v="1146"/>
    <m/>
    <x v="0"/>
    <d v="2018-06-18T00:00:00"/>
    <n v="4"/>
    <s v="Familia Hurtado"/>
    <s v="En Físico"/>
    <s v="Av. &quot;O&quot; Nro. 146-11"/>
    <s v="Cancelación Vigilancia, mes de Junio 2018"/>
    <x v="0"/>
    <m/>
    <s v="01146"/>
    <s v="18 de junio de 2018"/>
    <n v="18"/>
    <x v="19"/>
    <s v="4,00"/>
    <e v="#NAME?"/>
  </r>
  <r>
    <n v="1147"/>
    <m/>
    <x v="0"/>
    <d v="2018-06-18T00:00:00"/>
    <n v="6"/>
    <s v="Wu Hung Fung"/>
    <s v="carolinahung24@gmail.com"/>
    <s v="Calle Guacara Nro. 90-81"/>
    <s v="Cancelación Vigilancia, mes de Junio y anticipo Julio 2018"/>
    <x v="0"/>
    <m/>
    <s v="01147"/>
    <s v="18 de junio de 2018"/>
    <n v="18"/>
    <x v="19"/>
    <s v="6,00"/>
    <e v="#NAME?"/>
  </r>
  <r>
    <n v="1148"/>
    <m/>
    <x v="0"/>
    <d v="2018-06-18T00:00:00"/>
    <n v="4"/>
    <s v="Familia Montilla García"/>
    <s v="dairy252525@hotmail.com"/>
    <s v="Calle Güigüe Nro. 89-90"/>
    <s v="Cancelación Vigilancia, mes de Junio 2018"/>
    <x v="0"/>
    <m/>
    <s v="01148"/>
    <s v="18 de junio de 2018"/>
    <n v="18"/>
    <x v="19"/>
    <s v="4,00"/>
    <e v="#NAME?"/>
  </r>
  <r>
    <n v="1149"/>
    <m/>
    <x v="0"/>
    <d v="2018-06-19T00:00:00"/>
    <n v="4"/>
    <s v="Familia Navarro Assing"/>
    <s v="liliaassing@gmail.com"/>
    <s v="Calle Güigüe Nro. 88-54"/>
    <s v="Cancelación Vigilancia, mes de Junio 2018"/>
    <x v="0"/>
    <m/>
    <s v="01149"/>
    <s v="19 de junio de 2018"/>
    <n v="19"/>
    <x v="19"/>
    <s v="4,00"/>
    <e v="#NAME?"/>
  </r>
  <r>
    <n v="1150"/>
    <m/>
    <x v="0"/>
    <d v="2018-06-19T00:00:00"/>
    <n v="4"/>
    <s v="Familia Rodríguez Aular"/>
    <s v="mvaular@hotmail.com"/>
    <s v="Calle Güigüe Nro. 88-58"/>
    <s v="Cancelación Vigilancia, mes de Junio 2018"/>
    <x v="0"/>
    <m/>
    <s v="01150"/>
    <s v="19 de junio de 2018"/>
    <n v="19"/>
    <x v="19"/>
    <s v="4,00"/>
    <e v="#NAME?"/>
  </r>
  <r>
    <n v="1151"/>
    <m/>
    <x v="0"/>
    <d v="2018-06-21T00:00:00"/>
    <n v="4"/>
    <s v="Familia Castro Jiménez"/>
    <s v="aurycastrojimenez@gmail.com"/>
    <s v="Calle Guacara Nro. 90-51"/>
    <s v="Cancelación Vigilancia, mes de Junio 2018"/>
    <x v="0"/>
    <m/>
    <s v="01151"/>
    <s v="21 de junio de 2018"/>
    <n v="21"/>
    <x v="19"/>
    <s v="4,00"/>
    <e v="#NAME?"/>
  </r>
  <r>
    <n v="1152"/>
    <m/>
    <x v="0"/>
    <d v="2018-06-21T00:00:00"/>
    <n v="1"/>
    <s v="Familia Castro Jiménez"/>
    <s v="aurycastrojimenez@gmail.com"/>
    <s v="Calle Guacara Nro. 90-51"/>
    <s v="Colaboración para comida de vigilantes"/>
    <x v="9"/>
    <m/>
    <s v="01152"/>
    <s v="21 de junio de 2018"/>
    <n v="21"/>
    <x v="19"/>
    <s v="1,00"/>
    <e v="#NAME?"/>
  </r>
  <r>
    <n v="1153"/>
    <m/>
    <x v="0"/>
    <d v="2018-06-21T00:00:00"/>
    <n v="10"/>
    <s v="Familia Ozar Rivero"/>
    <s v="vanessarivero81@hotmail.com"/>
    <s v="Calle Güigüe Nro. 88-06"/>
    <s v="Cancelación Vigilancia, meses de Mayo y Junio y anticipo mes de Julio 2018"/>
    <x v="0"/>
    <m/>
    <s v="01153"/>
    <s v="21 de junio de 2018"/>
    <n v="21"/>
    <x v="19"/>
    <s v="10,00"/>
    <e v="#NAME?"/>
  </r>
  <r>
    <n v="1154"/>
    <m/>
    <x v="0"/>
    <d v="2018-06-26T00:00:00"/>
    <n v="25.5"/>
    <s v="Familia Ochoa Mendoza"/>
    <s v="marisoljudithm@hotmail.com"/>
    <s v="Calle Güigüe Nro. 89-105"/>
    <s v="Cancelación Vigilancia, meses de Junio, Julio y Agosto, y anticipo Septiembre 2018"/>
    <x v="0"/>
    <m/>
    <s v="01154"/>
    <s v="26 de junio de 2018"/>
    <n v="26"/>
    <x v="19"/>
    <s v="25,50"/>
    <e v="#NAME?"/>
  </r>
  <r>
    <n v="1155"/>
    <m/>
    <x v="0"/>
    <d v="2018-06-26T00:00:00"/>
    <n v="4"/>
    <s v="Familia Costermani Terrer"/>
    <s v="claudiacostermani@hotmail.com"/>
    <s v="Calle Güigüe Nro. 88-11"/>
    <s v="Cancelación Vigilancia, mes de Junio 2018"/>
    <x v="0"/>
    <m/>
    <s v="01155"/>
    <s v="26 de junio de 2018"/>
    <n v="26"/>
    <x v="19"/>
    <s v="4,00"/>
    <e v="#NAME?"/>
  </r>
  <r>
    <n v="1156"/>
    <m/>
    <x v="0"/>
    <d v="2018-06-26T00:00:00"/>
    <n v="0.4"/>
    <s v="Familia Rivero"/>
    <s v="En Físico"/>
    <s v="Calle Güigüe Nro. 88-40"/>
    <s v="Colaboración Vigilancia, mes de Junio 2018"/>
    <x v="0"/>
    <m/>
    <s v="01156"/>
    <s v="26 de junio de 2018"/>
    <n v="26"/>
    <x v="19"/>
    <s v="0,40"/>
    <e v="#NAME?"/>
  </r>
  <r>
    <n v="1157"/>
    <m/>
    <x v="0"/>
    <d v="2018-06-26T00:00:00"/>
    <n v="3.4"/>
    <s v="Familia Zavarce Barón"/>
    <s v="alexanderzavarce@gmail.com"/>
    <s v="Calle Guacara Nro. 88-91"/>
    <s v="Cancelación Vigilancia, saldo mes de Mayo 2018"/>
    <x v="0"/>
    <m/>
    <s v="01157"/>
    <s v="26 de junio de 2018"/>
    <n v="26"/>
    <x v="19"/>
    <s v="3,40"/>
    <e v="#NAME?"/>
  </r>
  <r>
    <n v="1158"/>
    <m/>
    <x v="0"/>
    <d v="2018-06-26T00:00:00"/>
    <n v="3.5"/>
    <s v="Familia Zavarce Barón"/>
    <s v="alexanderzavarce@gmail.com"/>
    <s v="Calle Guacara Nro. 88-91"/>
    <s v="Colaboración mantenimiento Caseta de Vigilancia"/>
    <x v="8"/>
    <m/>
    <s v="01158"/>
    <s v="26 de junio de 2018"/>
    <n v="26"/>
    <x v="19"/>
    <s v="3,50"/>
    <e v="#NAME?"/>
  </r>
  <r>
    <n v="1159"/>
    <m/>
    <x v="0"/>
    <d v="2018-06-28T00:00:00"/>
    <n v="10.75"/>
    <s v="Familia Alonso Rojas"/>
    <s v="redjc01@gmail.com"/>
    <s v="Calle Güigüe Nro. 89-54"/>
    <s v="Cancelación Vigilancia, ajuste mes de Junio y cancelación mes de Julio 2018"/>
    <x v="0"/>
    <m/>
    <s v="01159"/>
    <s v="28 de junio de 2018"/>
    <n v="28"/>
    <x v="19"/>
    <s v="10,75"/>
    <e v="#NAME?"/>
  </r>
  <r>
    <n v="1160"/>
    <m/>
    <x v="0"/>
    <d v="2018-06-28T00:00:00"/>
    <n v="4"/>
    <s v="Familia Guerra Miret"/>
    <s v="antoniojguerrag@hotmail.com"/>
    <s v="Calle Güigüe Nro. 89-40"/>
    <s v="Cancelación Vigilancia, anticipo mes de Junio 2018"/>
    <x v="0"/>
    <m/>
    <s v="01160"/>
    <s v="28 de junio de 2018"/>
    <n v="28"/>
    <x v="19"/>
    <s v="4,00"/>
    <e v="#NAME?"/>
  </r>
  <r>
    <n v="1161"/>
    <m/>
    <x v="0"/>
    <d v="2018-06-28T00:00:00"/>
    <n v="2.25"/>
    <s v="Familia Fermín Rivas"/>
    <s v="angelferminb@gmail.com"/>
    <s v="Calle Güigüe Nro. 89-55"/>
    <s v="Cancelación Vigilancia, ajuste mes de Junio 2018 (saldo a favor: Bs. 435.000)"/>
    <x v="0"/>
    <m/>
    <s v="01161"/>
    <s v="28 de junio de 2018"/>
    <n v="28"/>
    <x v="19"/>
    <s v="2,25"/>
    <e v="#NAME?"/>
  </r>
  <r>
    <n v="1162"/>
    <m/>
    <x v="0"/>
    <d v="2018-06-28T00:00:00"/>
    <n v="2.25"/>
    <s v="Familia Del Negro Palermo"/>
    <s v="vdelnegro@gmail.com"/>
    <s v="Calle Guacara Nro. 88-45"/>
    <s v="Cancelación Vigilancia, ajuste mes de Junio 2018 (saldo a favor: Bs. 4.495.000)"/>
    <x v="0"/>
    <m/>
    <s v="01162"/>
    <s v="28 de junio de 2018"/>
    <n v="28"/>
    <x v="19"/>
    <s v="2,25"/>
    <e v="#NAME?"/>
  </r>
  <r>
    <n v="1163"/>
    <m/>
    <x v="0"/>
    <d v="2018-06-28T00:00:00"/>
    <n v="2.25"/>
    <s v="Ely Saúl Rivero Gómez"/>
    <s v="hhs.admon@gmail.com"/>
    <s v="Av. &quot;Ñ&quot; Nro. 145-25"/>
    <s v="Cancelación Vigilancia, ajuste mes de Junio 2018 (saldo a favor: Bs. 3.210.000)"/>
    <x v="0"/>
    <m/>
    <s v="01163"/>
    <s v="28 de junio de 2018"/>
    <n v="28"/>
    <x v="19"/>
    <s v="2,25"/>
    <e v="#NAME?"/>
  </r>
  <r>
    <n v="1164"/>
    <m/>
    <x v="0"/>
    <d v="2018-06-28T00:00:00"/>
    <n v="2.25"/>
    <s v="Familia Jiménez Salvatierra"/>
    <s v="En Físico"/>
    <s v="Calle Güigüe Nro. 89-45"/>
    <s v="Cancelación Vigilancia, ajuste mes de Junio 2018 (saldo a favor: Bs. 1.368.000)"/>
    <x v="0"/>
    <m/>
    <s v="01164"/>
    <s v="28 de junio de 2018"/>
    <n v="28"/>
    <x v="19"/>
    <s v="2,25"/>
    <e v="#NAME?"/>
  </r>
  <r>
    <n v="1165"/>
    <m/>
    <x v="0"/>
    <d v="2018-06-28T00:00:00"/>
    <n v="2.25"/>
    <s v="Familia Arcia Polanco"/>
    <s v="misipo29@gmail.com"/>
    <s v="Calle Guacara Nro. 89-20"/>
    <s v="Cancelación Vigilancia, ajuste mes de Junio 2018"/>
    <x v="0"/>
    <m/>
    <s v="01165"/>
    <s v="28 de junio de 2018"/>
    <n v="28"/>
    <x v="19"/>
    <s v="2,25"/>
    <e v="#NAME?"/>
  </r>
  <r>
    <n v="1166"/>
    <m/>
    <x v="0"/>
    <d v="2018-06-28T00:00:00"/>
    <n v="10.75"/>
    <s v="Familia Milanés Carmona"/>
    <s v="yndira11m@gmail.com"/>
    <s v="Calle Güigüe Nro. 89-65"/>
    <s v="Cancelación Vigilancia, ajuste mes de Junio y cancelación mes de Julio 2018"/>
    <x v="0"/>
    <m/>
    <s v="01166"/>
    <s v="28 de junio de 2018"/>
    <n v="28"/>
    <x v="19"/>
    <s v="10,75"/>
    <e v="#NAME?"/>
  </r>
  <r>
    <n v="1167"/>
    <m/>
    <x v="0"/>
    <d v="2018-06-28T00:00:00"/>
    <n v="10.75"/>
    <s v="Chin Chun Ya (Goya)"/>
    <s v="uc2721@gmail.com"/>
    <s v="Calle Guacara Nro. 87-86"/>
    <s v="Cancelación Vigilancia, ajuste mes de Junio y cancelación mes de Julio 2018"/>
    <x v="0"/>
    <m/>
    <s v="01167"/>
    <s v="28 de junio de 2018"/>
    <n v="28"/>
    <x v="19"/>
    <s v="10,75"/>
    <e v="#NAME?"/>
  </r>
  <r>
    <n v="1168"/>
    <m/>
    <x v="0"/>
    <d v="2018-06-28T00:00:00"/>
    <n v="10.75"/>
    <s v="Familia González Arévalo"/>
    <s v="feryenis@hotmail.com"/>
    <s v="Calle Guacara Nro. 89-86"/>
    <s v="Cancelación Vigilancia, ajuste mes de Junio y cancelación mes de Julio 2018"/>
    <x v="0"/>
    <m/>
    <s v="01168"/>
    <s v="28 de junio de 2018"/>
    <n v="28"/>
    <x v="19"/>
    <s v="10,75"/>
    <e v="#NAME?"/>
  </r>
  <r>
    <n v="1169"/>
    <m/>
    <x v="0"/>
    <d v="2018-06-28T00:00:00"/>
    <n v="2.25"/>
    <s v="Carmen Moreno"/>
    <s v="carmenemoreno10@gmail.com"/>
    <s v="Calle Güigüe Nro. 89-04"/>
    <s v="Cancelación Vigilancia, ajuste mes de Junio 2018"/>
    <x v="0"/>
    <m/>
    <s v="01169"/>
    <s v="28 de junio de 2018"/>
    <n v="28"/>
    <x v="19"/>
    <s v="2,25"/>
    <e v="#NAME?"/>
  </r>
  <r>
    <n v="1170"/>
    <m/>
    <x v="0"/>
    <d v="2018-06-28T00:00:00"/>
    <n v="4"/>
    <s v="Amarilis Guerra"/>
    <s v="amarilisguerra1@yahoo.com"/>
    <s v="Calle Güigüe Nro. 89-96"/>
    <s v="Cancelación Vigilancia, anticipo mes de Junio 2018"/>
    <x v="0"/>
    <m/>
    <s v="01170"/>
    <s v="28 de junio de 2018"/>
    <n v="28"/>
    <x v="19"/>
    <s v="4,00"/>
    <e v="#NAME?"/>
  </r>
  <r>
    <n v="1171"/>
    <m/>
    <x v="0"/>
    <d v="2018-06-29T00:00:00"/>
    <n v="6.75"/>
    <s v="Familia Kattar González"/>
    <s v="jagiak123@yahoo.es"/>
    <s v="Calle Güigüe Nro. 89-95"/>
    <s v="Cancelación Vigilancia, ajuste mes de Junio, y saldo mes de Junio 2018"/>
    <x v="0"/>
    <m/>
    <s v="01171"/>
    <s v="29 de junio de 2018"/>
    <n v="29"/>
    <x v="19"/>
    <s v="6,75"/>
    <e v="#NAME?"/>
  </r>
  <r>
    <n v="1172"/>
    <m/>
    <x v="0"/>
    <d v="2018-06-29T00:00:00"/>
    <n v="10.75"/>
    <s v="Familia Puerta Burguillos"/>
    <s v="namaricakes@gmail.com"/>
    <s v="Calle Guacara Nro. 87-100"/>
    <s v="Cancelación Vigilancia, ajuste mes de Junio y cancelación mes de Julio 2018"/>
    <x v="0"/>
    <m/>
    <s v="01172"/>
    <s v="29 de junio de 2018"/>
    <n v="29"/>
    <x v="19"/>
    <s v="10,75"/>
    <e v="#NAME?"/>
  </r>
  <r>
    <n v="1173"/>
    <m/>
    <x v="0"/>
    <d v="2018-06-29T00:00:00"/>
    <n v="9.25"/>
    <s v="Familia Puerta Burguillos"/>
    <s v="namaricakes@gmail.com"/>
    <s v="Calle Guacara Nro. 87-100"/>
    <s v="Colaboración reparación portón principal"/>
    <x v="10"/>
    <m/>
    <s v="01173"/>
    <s v="29 de junio de 2018"/>
    <n v="29"/>
    <x v="19"/>
    <s v="9,25"/>
    <e v="#NAME?"/>
  </r>
  <r>
    <n v="1174"/>
    <m/>
    <x v="0"/>
    <d v="2018-06-29T00:00:00"/>
    <n v="2.25"/>
    <s v="Familia Hatem Medina"/>
    <s v="hhatem1@hotmail.com"/>
    <s v="Calle Guacara Nro. 88-51"/>
    <s v="Cancelación Vigilancia, ajuste mes de Junio 2018"/>
    <x v="0"/>
    <m/>
    <s v="01174"/>
    <s v="29 de junio de 2018"/>
    <n v="29"/>
    <x v="19"/>
    <s v="2,25"/>
    <e v="#NAME?"/>
  </r>
  <r>
    <n v="1175"/>
    <m/>
    <x v="0"/>
    <d v="2018-06-29T00:00:00"/>
    <n v="6.25"/>
    <s v="Familia Gascón Domínguez"/>
    <s v="vrgascon@gmail.com"/>
    <s v="Calle Güigüe Nro. 88-70"/>
    <s v="Cancelación Vigilancia, mes de Junio 2018"/>
    <x v="0"/>
    <m/>
    <s v="01175"/>
    <s v="29 de junio de 2018"/>
    <n v="29"/>
    <x v="19"/>
    <s v="6,25"/>
    <e v="#NAME?"/>
  </r>
  <r>
    <n v="1176"/>
    <m/>
    <x v="0"/>
    <d v="2018-06-30T00:00:00"/>
    <n v="10.75"/>
    <s v="Isbeth Palacios"/>
    <s v="ispalparcpc@gmail.com"/>
    <s v="Calle Guacara Nro. 88-75"/>
    <s v="Cancelación Vigilancia, ajuste mes de Junio y cancelación mes de Julio 2018"/>
    <x v="0"/>
    <m/>
    <s v="01176"/>
    <s v="30 de junio de 2018"/>
    <n v="30"/>
    <x v="19"/>
    <s v="10,75"/>
    <e v="#NAME?"/>
  </r>
  <r>
    <n v="1177"/>
    <m/>
    <x v="0"/>
    <d v="2018-06-30T00:00:00"/>
    <n v="2.25"/>
    <s v="Anahiz Seijas"/>
    <s v="anahiz_2@hotmail.es"/>
    <s v="Calle Güigüe Nro. 89-106"/>
    <s v="Cancelación Vigilancia, ajuste mes de Junio 2018"/>
    <x v="0"/>
    <m/>
    <s v="01177"/>
    <s v="30 de junio de 2018"/>
    <n v="30"/>
    <x v="19"/>
    <s v="2,25"/>
    <e v="#NAME?"/>
  </r>
  <r>
    <n v="1178"/>
    <m/>
    <x v="0"/>
    <d v="2018-06-30T00:00:00"/>
    <n v="10.75"/>
    <s v="Familia Nava Gordon"/>
    <s v="maru_19_66@hotmail.com"/>
    <s v="Calle Guacara Nro. 89-78"/>
    <s v="Cancelación Vigilancia, ajuste mes de Junio y cancelación mes de Julio 2018"/>
    <x v="0"/>
    <m/>
    <s v="01178"/>
    <s v="30 de junio de 2018"/>
    <n v="30"/>
    <x v="19"/>
    <s v="10,75"/>
    <e v="#NAME?"/>
  </r>
  <r>
    <n v="1179"/>
    <m/>
    <x v="0"/>
    <d v="2018-06-30T00:00:00"/>
    <n v="4.5"/>
    <s v="Familia Hatem Medina"/>
    <s v="hhatem1@hotmail.com"/>
    <s v="Calle Guacara Nro. 88-51"/>
    <s v="Cancelación Vigilancia, saldo mes de Julio 2018"/>
    <x v="0"/>
    <m/>
    <s v="01179"/>
    <s v="30 de junio de 2018"/>
    <n v="30"/>
    <x v="19"/>
    <s v="4,50"/>
    <e v="#NAME?"/>
  </r>
  <r>
    <n v="1180"/>
    <m/>
    <x v="0"/>
    <d v="2018-06-30T00:00:00"/>
    <n v="10.75"/>
    <s v="Familia Colosso Delgado"/>
    <s v="mcolosso@gmail.com"/>
    <s v="Calle Güigüe Nro. 88-44"/>
    <s v="Cancelación Vigilancia, ajuste mes de Junio y cancelación mes de Julio 2018"/>
    <x v="0"/>
    <m/>
    <s v="01180"/>
    <s v="30 de junio de 2018"/>
    <n v="30"/>
    <x v="19"/>
    <s v="10,75"/>
    <e v="#NAME?"/>
  </r>
  <r>
    <n v="1181"/>
    <m/>
    <x v="0"/>
    <d v="2018-06-30T00:00:00"/>
    <n v="10.25"/>
    <s v="Familia Ozar Rivero"/>
    <s v="vanessarivero81@hotmail.com"/>
    <s v="Calle Güigüe Nro. 88-06"/>
    <s v="Cancelación Vigilancia, ajuste mes de Junio, saldo mes de Julio 2018"/>
    <x v="0"/>
    <m/>
    <s v="01181"/>
    <s v="30 de junio de 2018"/>
    <n v="30"/>
    <x v="19"/>
    <s v="10,25"/>
    <e v="#NAME?"/>
  </r>
  <r>
    <n v="1182"/>
    <m/>
    <x v="0"/>
    <d v="2018-06-30T00:00:00"/>
    <n v="10.75"/>
    <s v="Wu Hung Fung"/>
    <s v="carolinahung24@gmail.com"/>
    <s v="Calle Guacara Nro. 90-81"/>
    <s v="Cancelación Vigilancia, ajuste mes de Junio, saldo mes de Julio y anticipo mes de Agosto 2018"/>
    <x v="0"/>
    <m/>
    <s v="01182"/>
    <s v="30 de junio de 2018"/>
    <n v="30"/>
    <x v="19"/>
    <s v="10,75"/>
    <e v="#NAME?"/>
  </r>
  <r>
    <n v="1183"/>
    <m/>
    <x v="0"/>
    <d v="2018-07-01T00:00:00"/>
    <n v="10.75"/>
    <s v="Familia Delgado Hidalgo"/>
    <s v="ardh@hotmail.com"/>
    <s v="Calle Güigüe Nro. 88-10"/>
    <s v="Cancelación Vigilancia, ajuste mes de Junio y cancelación mes de Julio 2018"/>
    <x v="0"/>
    <m/>
    <s v="01183"/>
    <s v="01 de julio de 2018"/>
    <n v="1"/>
    <x v="20"/>
    <s v="10,75"/>
    <e v="#NAME?"/>
  </r>
  <r>
    <n v="1184"/>
    <m/>
    <x v="0"/>
    <d v="2018-07-01T00:00:00"/>
    <n v="10.75"/>
    <s v="Familia Ferrer Bahri"/>
    <s v="bahrimariela@hotmail.com"/>
    <s v="Calle Güigüe Nro. 89-83"/>
    <s v="Cancelación Vigilancia, ajuste mes de Junio y cancelación mes de Julio 2018"/>
    <x v="0"/>
    <m/>
    <s v="01184"/>
    <s v="01 de julio de 2018"/>
    <n v="1"/>
    <x v="20"/>
    <s v="10,75"/>
    <e v="#NAME?"/>
  </r>
  <r>
    <n v="1185"/>
    <m/>
    <x v="0"/>
    <d v="2018-07-01T00:00:00"/>
    <n v="4"/>
    <s v="Gloria Molina"/>
    <s v="glomola2@yahoo.es"/>
    <s v="Calle Güigüe Nro. 89-71"/>
    <s v="Colaboración Vigilancia, mes de Junio 2017"/>
    <x v="0"/>
    <m/>
    <s v="01185"/>
    <s v="01 de julio de 2018"/>
    <n v="1"/>
    <x v="20"/>
    <s v="4,00"/>
    <e v="#NAME?"/>
  </r>
  <r>
    <n v="1186"/>
    <m/>
    <x v="0"/>
    <d v="2018-07-01T00:00:00"/>
    <n v="2.5"/>
    <s v="Familia Navarro Assing"/>
    <s v="liliaassing@gmail.com"/>
    <s v="Calle Güigüe Nro. 88-54"/>
    <s v="Cancelación Vigilancia, ajuste mes de Junio 2018, más adicional de Bs. 25.000"/>
    <x v="0"/>
    <m/>
    <s v="01186"/>
    <s v="01 de julio de 2018"/>
    <n v="1"/>
    <x v="20"/>
    <s v="2,50"/>
    <e v="#NAME?"/>
  </r>
  <r>
    <n v="1187"/>
    <m/>
    <x v="0"/>
    <d v="2018-07-01T00:00:00"/>
    <n v="2.25"/>
    <s v="Héctor Hernández"/>
    <s v="eof64@hotmail.com"/>
    <s v="Calle Guacara Nro. 89-94"/>
    <s v="Cancelación Vigilancia, ajuste mes de Junio 2018"/>
    <x v="0"/>
    <m/>
    <s v="01187"/>
    <s v="01 de julio de 2018"/>
    <n v="1"/>
    <x v="20"/>
    <s v="2,25"/>
    <e v="#NAME?"/>
  </r>
  <r>
    <n v="1188"/>
    <m/>
    <x v="0"/>
    <d v="2018-07-01T00:00:00"/>
    <n v="10.75"/>
    <s v="Familia Narváez Caldera"/>
    <s v="jeannette_nc@yahoo.com"/>
    <s v="Calle Güigüe Nro. 87-A-11"/>
    <s v="Cancelación Vigilancia, ajuste mes de Junio y cancelación mes de Julio 2018"/>
    <x v="0"/>
    <m/>
    <s v="01188"/>
    <s v="01 de julio de 2018"/>
    <n v="1"/>
    <x v="20"/>
    <s v="10,75"/>
    <e v="#NAME?"/>
  </r>
  <r>
    <n v="1189"/>
    <m/>
    <x v="0"/>
    <d v="2018-07-02T00:00:00"/>
    <n v="2.25"/>
    <s v="Familia Kablan Sarmiento"/>
    <s v="norisjsb56@hotmail.com"/>
    <s v="Calle Güigüe Nro. 89-80"/>
    <s v="Cancelación Vigilancia, ajuste mes de Junio 2018"/>
    <x v="0"/>
    <m/>
    <s v="01189"/>
    <s v="02 de julio de 2018"/>
    <n v="2"/>
    <x v="20"/>
    <s v="2,25"/>
    <e v="#NAME?"/>
  </r>
  <r>
    <n v="1190"/>
    <m/>
    <x v="0"/>
    <d v="2018-07-02T00:00:00"/>
    <n v="8.5"/>
    <s v="Carmen Moreno"/>
    <s v="carmenemoreno10@gmail.com"/>
    <s v="Calle Güigüe Nro. 89-04"/>
    <s v="Cancelación Vigilancia, mes de Julio 2018"/>
    <x v="0"/>
    <m/>
    <s v="01190"/>
    <s v="02 de julio de 2018"/>
    <n v="2"/>
    <x v="20"/>
    <s v="8,50"/>
    <e v="#NAME?"/>
  </r>
  <r>
    <n v="1191"/>
    <m/>
    <x v="0"/>
    <d v="2018-07-02T00:00:00"/>
    <n v="23.25"/>
    <s v="Familia Cegarra Villamizar"/>
    <s v="jesus.villamizar.ra@gmail.com"/>
    <s v="Calle Guacara Nro. 88-35"/>
    <s v="Cancelación Vigilancia, meses de Junio, Julio y Agosto 2018"/>
    <x v="0"/>
    <m/>
    <s v="01191"/>
    <s v="02 de julio de 2018"/>
    <n v="2"/>
    <x v="20"/>
    <s v="23,25"/>
    <e v="#NAME?"/>
  </r>
  <r>
    <n v="1192"/>
    <m/>
    <x v="0"/>
    <d v="2018-07-02T00:00:00"/>
    <n v="6.25"/>
    <s v="Familia Zavarce Pérez"/>
    <s v="En Físico"/>
    <s v="Calle Guacara Nro. 90-35"/>
    <s v="Cancelación Vigilancia, mes de Junio 2018"/>
    <x v="0"/>
    <m/>
    <s v="01192"/>
    <s v="02 de julio de 2018"/>
    <n v="2"/>
    <x v="20"/>
    <s v="6,25"/>
    <e v="#NAME?"/>
  </r>
  <r>
    <n v="1193"/>
    <m/>
    <x v="0"/>
    <d v="2018-07-02T00:00:00"/>
    <n v="10"/>
    <s v="Familia Lomeña Agudo"/>
    <s v="claudialomena@hotmail.com"/>
    <s v="Calle Guacara Nro. 89-30"/>
    <s v="Cancelación Vigilancia, mes de Julio 2018"/>
    <x v="0"/>
    <m/>
    <s v="01193"/>
    <s v="02 de julio de 2018"/>
    <n v="2"/>
    <x v="20"/>
    <s v="10,00"/>
    <e v="#NAME?"/>
  </r>
  <r>
    <n v="1194"/>
    <m/>
    <x v="0"/>
    <d v="2018-07-02T00:00:00"/>
    <n v="8.5"/>
    <s v="Familia Romero"/>
    <s v="autoescuela21@gmail.com"/>
    <s v="Calle Guacara Nro. 89-50"/>
    <s v="Cancelación Vigilancia, anticipo mes de Julio 2018"/>
    <x v="0"/>
    <m/>
    <s v="01194"/>
    <s v="02 de julio de 2018"/>
    <n v="2"/>
    <x v="20"/>
    <s v="8,50"/>
    <e v="#NAME?"/>
  </r>
  <r>
    <n v="1195"/>
    <m/>
    <x v="0"/>
    <d v="2018-07-03T00:00:00"/>
    <n v="16.25"/>
    <s v="Familia López Hermoso"/>
    <s v="lopez.humberto14@yahoo.com.ve"/>
    <s v="Calle Güigüe Nro. 89-79"/>
    <s v="Cancelación Vigilancia, meses de Junio y Julio 2018 (saldo a favor: Bs. 3.535.000)"/>
    <x v="0"/>
    <m/>
    <s v="01195"/>
    <s v="03 de julio de 2018"/>
    <n v="3"/>
    <x v="20"/>
    <s v="16,25"/>
    <e v="#NAME?"/>
  </r>
  <r>
    <n v="1196"/>
    <m/>
    <x v="0"/>
    <d v="2018-07-03T00:00:00"/>
    <n v="6.5"/>
    <s v="Familia Lomeña Agudo"/>
    <s v="claudialomena@hotmail.com"/>
    <s v="Calle Guacara Nro. 89-30"/>
    <s v="Cancelación Vigilancia, mes de Junio 2018"/>
    <x v="0"/>
    <m/>
    <s v="01196"/>
    <s v="03 de julio de 2018"/>
    <n v="3"/>
    <x v="20"/>
    <s v="6,50"/>
    <e v="#NAME?"/>
  </r>
  <r>
    <n v="1197"/>
    <m/>
    <x v="0"/>
    <d v="2018-07-03T00:00:00"/>
    <n v="12.25"/>
    <s v="Familia Scabuzzo Gómez"/>
    <s v="sfscabuzzo@msn.com"/>
    <s v="Av. &quot;I&quot; Nro. 146-20"/>
    <s v="Cancelación Vigilancia, ajuste mes de Junio y cancelación mes de Julio 2018"/>
    <x v="0"/>
    <m/>
    <s v="01197"/>
    <s v="03 de julio de 2018"/>
    <n v="3"/>
    <x v="20"/>
    <s v="12,25"/>
    <e v="#NAME?"/>
  </r>
  <r>
    <n v="1198"/>
    <m/>
    <x v="0"/>
    <d v="2018-07-03T00:00:00"/>
    <n v="12.25"/>
    <s v="Familia Castro Jiménez"/>
    <s v="aurycastrojimenez@gmail.com"/>
    <s v="Calle Guacara Nro. 90-51"/>
    <s v="Cancelación Vigilancia, ajuste mes de Junio y cancelación mes de Julio 2018"/>
    <x v="0"/>
    <m/>
    <s v="01198"/>
    <s v="03 de julio de 2018"/>
    <n v="3"/>
    <x v="20"/>
    <s v="12,25"/>
    <e v="#NAME?"/>
  </r>
  <r>
    <n v="1199"/>
    <m/>
    <x v="0"/>
    <d v="2018-07-03T00:00:00"/>
    <n v="0.5"/>
    <s v="Familia Castro Jiménez"/>
    <s v="aurycastrojimenez@gmail.com"/>
    <s v="Calle Guacara Nro. 90-51"/>
    <s v="Colaboración para comida de vigilantes"/>
    <x v="9"/>
    <m/>
    <s v="01199"/>
    <s v="03 de julio de 2018"/>
    <n v="3"/>
    <x v="20"/>
    <s v="0,50"/>
    <e v="#NAME?"/>
  </r>
  <r>
    <n v="1200"/>
    <m/>
    <x v="0"/>
    <d v="2018-07-03T00:00:00"/>
    <n v="4"/>
    <s v="Familia Romero"/>
    <s v="autoescuela21@gmail.com"/>
    <s v="Calle Guacara Nro. 89-50"/>
    <s v="Cancelación Vigilancia, anticipo mes de Junio 2018"/>
    <x v="0"/>
    <m/>
    <s v="01200"/>
    <s v="03 de julio de 2018"/>
    <n v="3"/>
    <x v="20"/>
    <s v="4,00"/>
    <e v="#NAME?"/>
  </r>
  <r>
    <n v="1201"/>
    <m/>
    <x v="0"/>
    <d v="2018-07-03T00:00:00"/>
    <n v="3.5"/>
    <s v="Familia Romero"/>
    <s v="autoescuela21@gmail.com"/>
    <s v="Calle Guacara Nro. 89-50"/>
    <s v="Colaboración mantenimiento Caseta de Vigilancia"/>
    <x v="8"/>
    <m/>
    <s v="01201"/>
    <s v="03 de julio de 2018"/>
    <n v="3"/>
    <x v="20"/>
    <s v="3,50"/>
    <e v="#NAME?"/>
  </r>
  <r>
    <n v="1202"/>
    <m/>
    <x v="0"/>
    <d v="2018-07-03T00:00:00"/>
    <n v="14.75"/>
    <s v="Familia Zavarce Barón"/>
    <s v="alexanderzavarce@gmail.com"/>
    <s v="Calle Guacara Nro. 88-91"/>
    <s v="Cancelación Vigilancia, mes de Junio y anticipo Julio 2018"/>
    <x v="0"/>
    <m/>
    <s v="01202"/>
    <s v="03 de julio de 2018"/>
    <n v="3"/>
    <x v="20"/>
    <s v="14,75"/>
    <e v="#NAME?"/>
  </r>
  <r>
    <n v="1203"/>
    <m/>
    <x v="0"/>
    <d v="2018-07-03T00:00:00"/>
    <n v="1.5"/>
    <s v="Familia Colosso Delgado"/>
    <s v="mcolosso@gmail.com"/>
    <s v="Calle Güigüe Nro. 88-44"/>
    <s v="Cancelación Vigilancia, ajuste mes de Julio 2018"/>
    <x v="0"/>
    <m/>
    <s v="01203"/>
    <s v="03 de julio de 2018"/>
    <n v="3"/>
    <x v="20"/>
    <s v="1,50"/>
    <e v="#NAME?"/>
  </r>
  <r>
    <n v="1204"/>
    <m/>
    <x v="0"/>
    <d v="2018-07-03T00:00:00"/>
    <n v="23.55"/>
    <s v="Colegio El Trigal"/>
    <s v="En Físico"/>
    <s v="Calle Güigüe Nros. 88-71 y 88-81"/>
    <s v="Cancelación Vigilancia, meses de Junio y Julio 2018"/>
    <x v="0"/>
    <m/>
    <s v="01204"/>
    <s v="03 de julio de 2018"/>
    <n v="3"/>
    <x v="20"/>
    <s v="23,55"/>
    <e v="#NAME?"/>
  </r>
  <r>
    <n v="1205"/>
    <m/>
    <x v="0"/>
    <d v="2018-07-03T00:00:00"/>
    <n v="1.5"/>
    <s v="Familia Alonso Rojas"/>
    <s v="redjc01@gmail.com"/>
    <s v="Calle Güigüe Nro. 89-54"/>
    <s v="Cancelación Vigilancia, ajuste mes de Julio 2018"/>
    <x v="0"/>
    <m/>
    <s v="01205"/>
    <s v="03 de julio de 2018"/>
    <n v="3"/>
    <x v="20"/>
    <s v="1,50"/>
    <e v="#NAME?"/>
  </r>
  <r>
    <n v="1206"/>
    <m/>
    <x v="0"/>
    <d v="2018-07-03T00:00:00"/>
    <n v="1.5"/>
    <s v="Familia Narváez Caldera"/>
    <s v="jeannette_nc@yahoo.com"/>
    <s v="Calle Güigüe Nro. 87-A-11"/>
    <s v="Cancelación Vigilancia, ajuste mes de Julio 2018"/>
    <x v="0"/>
    <m/>
    <s v="01206"/>
    <s v="03 de julio de 2018"/>
    <n v="3"/>
    <x v="20"/>
    <s v="1,50"/>
    <e v="#NAME?"/>
  </r>
  <r>
    <n v="1207"/>
    <m/>
    <x v="0"/>
    <d v="2018-07-04T00:00:00"/>
    <n v="8.25"/>
    <s v="Familia Loponte Arteaga"/>
    <s v="En Físico"/>
    <s v="Calle Güigüe Nro. 88-120"/>
    <s v="Cancelación Vigilancia, ajuste meses de Junio y Julio 2018"/>
    <x v="0"/>
    <m/>
    <s v="01207"/>
    <s v="04 de julio de 2018"/>
    <n v="4"/>
    <x v="20"/>
    <s v="8,25"/>
    <e v="#NAME?"/>
  </r>
  <r>
    <n v="1208"/>
    <m/>
    <x v="0"/>
    <d v="2018-07-04T00:00:00"/>
    <n v="10"/>
    <s v="Ely Saúl Rivero Gómez"/>
    <s v="hhs.admon@gmail.com"/>
    <s v="Av. &quot;Ñ&quot; Nro. 145-25"/>
    <s v="Cancelación Vigilancia, mes de Julio 2018 (saldo a favor: Bs. 2.210.000)"/>
    <x v="0"/>
    <m/>
    <s v="01208"/>
    <s v="04 de julio de 2018"/>
    <n v="4"/>
    <x v="20"/>
    <s v="10,00"/>
    <e v="#NAME?"/>
  </r>
  <r>
    <n v="1209"/>
    <m/>
    <x v="0"/>
    <d v="2018-07-04T00:00:00"/>
    <n v="10"/>
    <s v="Familia Jiménez Salvatierra"/>
    <s v="En Físico"/>
    <s v="Calle Güigüe Nro. 89-45"/>
    <s v="Cancelación Vigilancia, mes de Julio 2018 (saldo a favor: Bs. 1.518.000)"/>
    <x v="0"/>
    <m/>
    <s v="01209"/>
    <s v="04 de julio de 2018"/>
    <n v="4"/>
    <x v="20"/>
    <s v="10,00"/>
    <e v="#NAME?"/>
  </r>
  <r>
    <n v="1210"/>
    <m/>
    <x v="0"/>
    <d v="2018-07-04T00:00:00"/>
    <n v="10"/>
    <s v="Familia Del Negro Palermo"/>
    <s v="vdelnegro@gmail.com"/>
    <s v="Calle Guacara Nro. 88-45"/>
    <s v="Cancelación Vigilancia, mes de Julio 2018 (saldo a favor: Bs. 3.495.000)"/>
    <x v="0"/>
    <m/>
    <s v="01210"/>
    <s v="04 de julio de 2018"/>
    <n v="4"/>
    <x v="20"/>
    <s v="10,00"/>
    <e v="#NAME?"/>
  </r>
  <r>
    <n v="1211"/>
    <m/>
    <x v="0"/>
    <d v="2018-05-08T00:00:00"/>
    <n v="14.75"/>
    <s v="Familia Matta Palomino"/>
    <s v="En Físico"/>
    <s v="Calle Güigüe Nro. 88-90"/>
    <s v="Cancelación Vigilancia, mes de Junio y anticipo mes de Julio 2018"/>
    <x v="0"/>
    <m/>
    <s v="01211"/>
    <s v="08 de mayo de 2018"/>
    <n v="8"/>
    <x v="18"/>
    <s v="14,75"/>
    <e v="#NAME?"/>
  </r>
  <r>
    <n v="1212"/>
    <m/>
    <x v="0"/>
    <d v="2018-07-04T00:00:00"/>
    <n v="5"/>
    <s v="Familia Sirit Palencia"/>
    <s v="irasirit@gmail.com"/>
    <s v="Calle Güigüe Nro. 89-35"/>
    <s v="Colaboración Vigilancia, mes de Julio 2018"/>
    <x v="0"/>
    <m/>
    <s v="01212"/>
    <s v="04 de julio de 2018"/>
    <n v="4"/>
    <x v="20"/>
    <s v="5,00"/>
    <e v="#NAME?"/>
  </r>
  <r>
    <n v="1213"/>
    <m/>
    <x v="0"/>
    <d v="2018-07-04T00:00:00"/>
    <n v="10"/>
    <s v="Familia Zavarce Pérez"/>
    <s v="En Físico"/>
    <s v="Calle Guacara Nro. 90-35"/>
    <s v="Cancelación Vigilancia, mes de Julio 2018"/>
    <x v="0"/>
    <m/>
    <s v="01213"/>
    <s v="04 de julio de 2018"/>
    <n v="4"/>
    <x v="20"/>
    <s v="10,00"/>
    <e v="#NAME?"/>
  </r>
  <r>
    <n v="1214"/>
    <m/>
    <x v="0"/>
    <d v="2018-07-04T00:00:00"/>
    <n v="10"/>
    <s v="Familia Flores Montagne"/>
    <s v="martaflores@gmail.com"/>
    <s v="Av. &quot;M&quot; Nro. 146-20"/>
    <s v="Cancelación Vigilancia, mes de Julio 2018"/>
    <x v="0"/>
    <m/>
    <s v="01214"/>
    <s v="04 de julio de 2018"/>
    <n v="4"/>
    <x v="20"/>
    <s v="10,00"/>
    <e v="#NAME?"/>
  </r>
  <r>
    <n v="1215"/>
    <m/>
    <x v="0"/>
    <d v="2018-07-05T00:00:00"/>
    <n v="12.25"/>
    <s v="Familia Barreto Pérez"/>
    <s v="bbetsa19@hotmail.com"/>
    <s v="Av. &quot;M&quot; Nro. 146-15"/>
    <s v="Cancelación Vigilancia, ajuste mes de Junio y cancelación mes de Julio 2018"/>
    <x v="0"/>
    <m/>
    <s v="01215"/>
    <s v="05 de julio de 2018"/>
    <n v="5"/>
    <x v="20"/>
    <s v="12,25"/>
    <e v="#NAME?"/>
  </r>
  <r>
    <n v="1216"/>
    <m/>
    <x v="0"/>
    <d v="2018-07-05T00:00:00"/>
    <n v="6"/>
    <s v="Familia Méndez Parra"/>
    <s v="briceidademendez@gmail.com"/>
    <s v="Calle Guacara Nro. 88-19"/>
    <s v="Colaboración Vigilancia, mes de Junio 2018"/>
    <x v="0"/>
    <m/>
    <s v="01216"/>
    <s v="05 de julio de 2018"/>
    <n v="5"/>
    <x v="20"/>
    <s v="6,00"/>
    <e v="#NAME?"/>
  </r>
  <r>
    <n v="1217"/>
    <m/>
    <x v="0"/>
    <d v="2018-07-05T00:00:00"/>
    <n v="1"/>
    <s v="Familia Morales Sesar"/>
    <s v="moralesesar@gmail.com"/>
    <s v="Calle Güigüe Nro. 89-120"/>
    <s v="Colaboración Vigilancia, mes de Junio 2018"/>
    <x v="0"/>
    <m/>
    <s v="01217"/>
    <s v="05 de julio de 2018"/>
    <n v="5"/>
    <x v="20"/>
    <s v="1,00"/>
    <e v="#NAME?"/>
  </r>
  <r>
    <n v="1218"/>
    <m/>
    <x v="0"/>
    <d v="2018-07-05T00:00:00"/>
    <n v="1.5"/>
    <s v="Familia Ferrer Bahri"/>
    <s v="bahrimariela@hotmail.com"/>
    <s v="Calle Güigüe Nro. 89-83"/>
    <s v="Cancelación Vigilancia, ajuste mes de Julio 2018"/>
    <x v="0"/>
    <m/>
    <s v="01218"/>
    <s v="05 de julio de 2018"/>
    <n v="5"/>
    <x v="20"/>
    <s v="1,50"/>
    <e v="#NAME?"/>
  </r>
  <r>
    <n v="1219"/>
    <m/>
    <x v="0"/>
    <d v="2018-07-06T00:00:00"/>
    <n v="2.25"/>
    <s v="Amarilis Guerra"/>
    <s v="amarilisguerra1@yahoo.com"/>
    <s v="Calle Güigüe Nro. 89-96"/>
    <s v="Cancelación Vigilancia, ajuste mes de Junio 2018"/>
    <x v="0"/>
    <m/>
    <s v="01219"/>
    <s v="06 de julio de 2018"/>
    <n v="6"/>
    <x v="20"/>
    <s v="2,25"/>
    <e v="#NAME?"/>
  </r>
  <r>
    <n v="1220"/>
    <m/>
    <x v="0"/>
    <d v="2018-07-07T00:00:00"/>
    <n v="10"/>
    <s v="Amparo Acosta"/>
    <s v="amparonatividad@hotmail.com"/>
    <s v="Calle Guacara Nro. 88-65"/>
    <s v="Cancelación Vigilancia, mes de Julio 2018"/>
    <x v="0"/>
    <m/>
    <s v="01220"/>
    <s v="07 de julio de 2018"/>
    <n v="7"/>
    <x v="20"/>
    <s v="10,00"/>
    <e v="#NAME?"/>
  </r>
  <r>
    <n v="1221"/>
    <m/>
    <x v="0"/>
    <d v="2018-07-07T00:00:00"/>
    <n v="4"/>
    <s v="Familia Narváez Caldera"/>
    <s v="jeannette_nc@yahoo.com"/>
    <s v="Calle Güigüe Nro. 87-A-11"/>
    <s v="Cancelación Vigilancia, saldo mes de Junio 2018"/>
    <x v="0"/>
    <m/>
    <s v="01221"/>
    <s v="07 de julio de 2018"/>
    <n v="7"/>
    <x v="20"/>
    <s v="4,00"/>
    <e v="#NAME?"/>
  </r>
  <r>
    <n v="1222"/>
    <m/>
    <x v="0"/>
    <d v="2018-07-07T00:00:00"/>
    <n v="12.4"/>
    <s v="Familia Durvelle Serrano"/>
    <s v="sdurvelle@hotmail.com"/>
    <s v="Calle Guacara Nro. 89-60"/>
    <s v="Cancelación Vigilancia, ajuste mes de Junio, cancelación mes de Julio y anticipo mes de Agosto 2018"/>
    <x v="0"/>
    <m/>
    <s v="01222"/>
    <s v="07 de julio de 2018"/>
    <n v="7"/>
    <x v="20"/>
    <s v="12,40"/>
    <e v="#NAME?"/>
  </r>
  <r>
    <n v="1223"/>
    <m/>
    <x v="0"/>
    <d v="2018-07-01T00:00:00"/>
    <n v="6.25"/>
    <s v="Familia Franco Gómez"/>
    <s v="eof64@hotmail.com"/>
    <s v="Calle Guacara Nro. 87-07"/>
    <s v="Cancelación Vigilancia, mes de Junio 2018"/>
    <x v="0"/>
    <m/>
    <s v="01223"/>
    <s v="01 de julio de 2018"/>
    <n v="1"/>
    <x v="20"/>
    <s v="6,25"/>
    <e v="#NAME?"/>
  </r>
  <r>
    <n v="1224"/>
    <m/>
    <x v="0"/>
    <d v="2018-07-08T00:00:00"/>
    <n v="6.5"/>
    <s v="Familia Manrique Riera"/>
    <s v="patriciamanrique@gmail.com"/>
    <s v="Calle Guacara Nro. 89-40"/>
    <s v="Cancelación Vigilancia, mes de Junio 2018"/>
    <x v="0"/>
    <m/>
    <s v="01224"/>
    <s v="08 de julio de 2018"/>
    <n v="8"/>
    <x v="20"/>
    <s v="6,50"/>
    <e v="#NAME?"/>
  </r>
  <r>
    <n v="1225"/>
    <m/>
    <x v="0"/>
    <d v="2018-07-08T00:00:00"/>
    <n v="10"/>
    <s v="Victoria Francischiello"/>
    <s v="victoriafrancischiello@hotmail.com"/>
    <s v="Calle Guacara Nro. 88-25"/>
    <s v="Cancelación Vigilancia, mes de Julio 2018"/>
    <x v="0"/>
    <m/>
    <s v="01225"/>
    <s v="08 de julio de 2018"/>
    <n v="8"/>
    <x v="20"/>
    <s v="10,00"/>
    <e v="#NAME?"/>
  </r>
  <r>
    <n v="1226"/>
    <m/>
    <x v="0"/>
    <d v="2018-07-08T00:00:00"/>
    <n v="1.5"/>
    <s v="Familia Milanés Carmona"/>
    <s v="yndira11m@gmail.com"/>
    <s v="Calle Güigüe Nro. 89-65"/>
    <s v="Cancelación Vigilancia, ajuste mes de Julio 2018"/>
    <x v="0"/>
    <m/>
    <s v="01226"/>
    <s v="08 de julio de 2018"/>
    <n v="8"/>
    <x v="20"/>
    <s v="1,50"/>
    <e v="#NAME?"/>
  </r>
  <r>
    <n v="1227"/>
    <m/>
    <x v="0"/>
    <d v="2018-07-09T00:00:00"/>
    <n v="12.25"/>
    <s v="Sra. Reina Meléndez"/>
    <s v="olgajipe@gmail.com"/>
    <s v="Av. &quot;M&quot; Nro. 145-10"/>
    <s v="Cancelación Vigilancia, ajuste mes de Junio y mes de Julio 2018"/>
    <x v="0"/>
    <m/>
    <s v="01227"/>
    <s v="09 de julio de 2018"/>
    <n v="9"/>
    <x v="20"/>
    <s v="12,25"/>
    <e v="#NAME?"/>
  </r>
  <r>
    <n v="1228"/>
    <m/>
    <x v="0"/>
    <d v="2018-07-09T00:00:00"/>
    <n v="3.5"/>
    <s v="Sra. Reina Meléndez"/>
    <s v="olgajipe@gmail.com"/>
    <s v="Av. &quot;M&quot; Nro. 145-10"/>
    <s v="Colaboración mantenimiento Caseta de Vigilancia"/>
    <x v="8"/>
    <m/>
    <s v="01228"/>
    <s v="09 de julio de 2018"/>
    <n v="9"/>
    <x v="20"/>
    <s v="3,50"/>
    <e v="#NAME?"/>
  </r>
  <r>
    <n v="1229"/>
    <m/>
    <x v="0"/>
    <d v="2018-07-09T00:00:00"/>
    <n v="10"/>
    <s v="Héctor Hernández"/>
    <s v="eof64@hotmail.com"/>
    <s v="Calle Guacara Nro. 89-94"/>
    <s v="Cancelación Vigilancia, mes de Julio 2018"/>
    <x v="0"/>
    <m/>
    <s v="01229"/>
    <s v="09 de julio de 2018"/>
    <n v="9"/>
    <x v="20"/>
    <s v="10,00"/>
    <e v="#NAME?"/>
  </r>
  <r>
    <n v="1230"/>
    <m/>
    <x v="0"/>
    <d v="2018-07-09T00:00:00"/>
    <n v="12.5"/>
    <s v="Familia Costermani Terrer"/>
    <s v="claudiacostermani@hotmail.com"/>
    <s v="Calle Güigüe Nro. 88-11"/>
    <s v="Cancelación Vigilancia, ajuste mes de Junio y mes de Julio 2018"/>
    <x v="0"/>
    <m/>
    <s v="01230"/>
    <s v="09 de julio de 2018"/>
    <n v="9"/>
    <x v="20"/>
    <s v="12,50"/>
    <e v="#NAME?"/>
  </r>
  <r>
    <n v="1231"/>
    <m/>
    <x v="0"/>
    <d v="2018-07-09T00:00:00"/>
    <n v="2.5"/>
    <s v="Beatriz Lara"/>
    <s v="valentina.gutierrez@hotmail.com"/>
    <s v="Calle Guacara Nro. 89-130"/>
    <s v="Cancelación Vigilancia, ajuste mes de Junio 2018"/>
    <x v="0"/>
    <m/>
    <s v="01231"/>
    <s v="09 de julio de 2018"/>
    <n v="9"/>
    <x v="20"/>
    <s v="2,50"/>
    <e v="#NAME?"/>
  </r>
  <r>
    <n v="1232"/>
    <m/>
    <x v="0"/>
    <d v="2018-07-09T00:00:00"/>
    <n v="12.2"/>
    <s v="Familia Alonso Rojas"/>
    <s v="redjc01@gmail.com"/>
    <s v="Calle Güigüe Nro. 89-54"/>
    <s v="Colaboración reparación portón principal"/>
    <x v="10"/>
    <m/>
    <s v="01232"/>
    <s v="09 de julio de 2018"/>
    <n v="9"/>
    <x v="20"/>
    <s v="12,20"/>
    <e v="#NAME?"/>
  </r>
  <r>
    <n v="1233"/>
    <m/>
    <x v="0"/>
    <d v="2018-07-09T00:00:00"/>
    <n v="17.899999999999999"/>
    <s v="La Casita Encantada"/>
    <s v="En Físico"/>
    <s v="Av. &quot;M&quot; Nro. 146-30"/>
    <s v="Cancelación Vigilancia, meses de Junio y Julio 2018"/>
    <x v="0"/>
    <m/>
    <s v="01233"/>
    <s v="09 de julio de 2018"/>
    <n v="9"/>
    <x v="20"/>
    <s v="17,90"/>
    <e v="#NAME?"/>
  </r>
  <r>
    <n v="1234"/>
    <m/>
    <x v="0"/>
    <d v="2018-07-09T00:00:00"/>
    <n v="10"/>
    <s v="Familia Arcia Polanco"/>
    <s v="misipo29@gmail.com"/>
    <s v="Calle Guacara Nro. 89-20"/>
    <s v="Cancelación Vigilancia, mes de Julio 2018"/>
    <x v="0"/>
    <m/>
    <s v="01234"/>
    <s v="09 de julio de 2018"/>
    <n v="9"/>
    <x v="20"/>
    <s v="10,00"/>
    <e v="#NAME?"/>
  </r>
  <r>
    <n v="1235"/>
    <m/>
    <x v="0"/>
    <d v="2018-07-09T00:00:00"/>
    <n v="12.2"/>
    <s v="Chin Chun Ya (Goya)"/>
    <s v="uc2721@gmail.com"/>
    <s v="Calle Guacara Nro. 87-86"/>
    <s v="Colaboración reparación portón principal"/>
    <x v="10"/>
    <m/>
    <s v="01235"/>
    <s v="09 de julio de 2018"/>
    <n v="9"/>
    <x v="20"/>
    <s v="12,20"/>
    <e v="#NAME?"/>
  </r>
  <r>
    <n v="1236"/>
    <m/>
    <x v="0"/>
    <d v="2018-07-09T00:00:00"/>
    <n v="1.5"/>
    <s v="Chin Chun Ya (Goya)"/>
    <s v="uc2721@gmail.com"/>
    <s v="Calle Guacara Nro. 87-86"/>
    <s v="Cancelación Vigilancia, ajuste mes de Julio 2018"/>
    <x v="0"/>
    <m/>
    <s v="01236"/>
    <s v="09 de julio de 2018"/>
    <n v="9"/>
    <x v="20"/>
    <s v="1,50"/>
    <e v="#NAME?"/>
  </r>
  <r>
    <n v="1237"/>
    <m/>
    <x v="0"/>
    <d v="2018-07-09T00:00:00"/>
    <n v="10"/>
    <s v="Familia Acosta Carpio"/>
    <s v="pablo962@hotmail.com"/>
    <s v="Calle Güigüe Nro. 89-10"/>
    <s v="Cancelación Vigilancia, mes de Junio y anticipo mes de Julio 2018"/>
    <x v="0"/>
    <m/>
    <s v="01237"/>
    <s v="09 de julio de 2018"/>
    <n v="9"/>
    <x v="20"/>
    <s v="10,00"/>
    <e v="#NAME?"/>
  </r>
  <r>
    <n v="1238"/>
    <m/>
    <x v="0"/>
    <d v="2018-07-09T00:00:00"/>
    <n v="6"/>
    <s v="Familia Rodríguez Landaeta"/>
    <s v="mrl58@hotmail.com"/>
    <s v="Calle Güigüe Nro. 89-29"/>
    <s v="Colaboración Vigilancia, ajuste mes de Junio y mes de Julio 2018"/>
    <x v="0"/>
    <m/>
    <s v="01238"/>
    <s v="09 de julio de 2018"/>
    <n v="9"/>
    <x v="20"/>
    <s v="6,00"/>
    <e v="#NAME?"/>
  </r>
  <r>
    <n v="1239"/>
    <m/>
    <x v="0"/>
    <d v="2018-07-09T00:00:00"/>
    <n v="12.2"/>
    <s v="Familia Jiménez Salvatierra"/>
    <s v="En Físico"/>
    <s v="Calle Güigüe Nro. 89-45"/>
    <s v="Colaboración reparación portón principal (saldo a favor Bs. 2.298.000)"/>
    <x v="10"/>
    <m/>
    <s v="01239"/>
    <s v="09 de julio de 2018"/>
    <n v="9"/>
    <x v="20"/>
    <s v="12,20"/>
    <e v="#NAME?"/>
  </r>
  <r>
    <n v="1240"/>
    <m/>
    <x v="0"/>
    <d v="2018-07-09T00:00:00"/>
    <n v="6.3"/>
    <s v="Dra. Lilia Magallanes"/>
    <s v="liliamagallanes2010@gmail.com"/>
    <s v="Calle Güigüe Nro. 88-51"/>
    <s v="Cancelación Vigilancia, mes de Junio y anticipo mes de Julio 2018"/>
    <x v="0"/>
    <m/>
    <s v="01240"/>
    <s v="09 de julio de 2018"/>
    <n v="9"/>
    <x v="20"/>
    <s v="6,30"/>
    <e v="#NAME?"/>
  </r>
  <r>
    <n v="1241"/>
    <m/>
    <x v="0"/>
    <d v="2018-07-10T00:00:00"/>
    <n v="12.2"/>
    <s v="Familia Costermani Terrer"/>
    <s v="claudiacostermani@hotmail.com"/>
    <s v="Calle Güigüe Nro. 88-11"/>
    <s v="Colaboración reparación portón principal"/>
    <x v="10"/>
    <m/>
    <s v="01241"/>
    <s v="10 de julio de 2018"/>
    <n v="10"/>
    <x v="20"/>
    <s v="12,20"/>
    <e v="#NAME?"/>
  </r>
  <r>
    <n v="1242"/>
    <m/>
    <x v="0"/>
    <d v="2018-07-10T00:00:00"/>
    <n v="12.2"/>
    <s v="Familia López Hermoso"/>
    <s v="lopez.humberto14@yahoo.com.ve"/>
    <s v="Calle Güigüe Nro. 89-79"/>
    <s v="Colaboración reparación portón principal (saldo a favor Bs. 2.315.000)"/>
    <x v="10"/>
    <m/>
    <s v="01242"/>
    <s v="10 de julio de 2018"/>
    <n v="10"/>
    <x v="20"/>
    <s v="12,20"/>
    <e v="#NAME?"/>
  </r>
  <r>
    <n v="1243"/>
    <m/>
    <x v="0"/>
    <d v="2018-07-10T00:00:00"/>
    <n v="1.5"/>
    <s v="Familia Delgado Hidalgo"/>
    <s v="ardh@hotmail.com"/>
    <s v="Calle Güigüe Nro. 88-10"/>
    <s v="Cancelación Vigilancia, ajuste mes de Julio 2018"/>
    <x v="0"/>
    <m/>
    <s v="01243"/>
    <s v="10 de julio de 2018"/>
    <n v="10"/>
    <x v="20"/>
    <s v="1,50"/>
    <e v="#NAME?"/>
  </r>
  <r>
    <n v="1244"/>
    <m/>
    <x v="0"/>
    <d v="2018-07-10T00:00:00"/>
    <n v="12.2"/>
    <s v="Familia Delgado Hidalgo"/>
    <s v="ardh@hotmail.com"/>
    <s v="Calle Güigüe Nro. 88-10"/>
    <s v="Colaboración reparación portón principal"/>
    <x v="10"/>
    <m/>
    <s v="01244"/>
    <s v="10 de julio de 2018"/>
    <n v="10"/>
    <x v="20"/>
    <s v="12,20"/>
    <e v="#NAME?"/>
  </r>
  <r>
    <n v="1245"/>
    <m/>
    <x v="0"/>
    <d v="2018-07-10T00:00:00"/>
    <n v="12.2"/>
    <s v="Ely Saúl Rivero Gómez"/>
    <s v="hhs.admon@gmail.com"/>
    <s v="Av. &quot;Ñ&quot; Nro. 145-25"/>
    <s v="Colaboración reparación portón principal (saldo a favor Bs. 990.000)"/>
    <x v="10"/>
    <m/>
    <s v="01245"/>
    <s v="10 de julio de 2018"/>
    <n v="10"/>
    <x v="20"/>
    <s v="12,20"/>
    <e v="#NAME?"/>
  </r>
  <r>
    <n v="1246"/>
    <m/>
    <x v="0"/>
    <d v="2018-07-10T00:00:00"/>
    <n v="12.2"/>
    <s v="Familia Kattar González"/>
    <s v="jagiak123@yahoo.es"/>
    <s v="Calle Güigüe Nro. 89-95"/>
    <s v="Colaboración reparación portón principal"/>
    <x v="10"/>
    <m/>
    <s v="01246"/>
    <s v="10 de julio de 2018"/>
    <n v="10"/>
    <x v="20"/>
    <s v="12,20"/>
    <e v="#NAME?"/>
  </r>
  <r>
    <n v="1247"/>
    <m/>
    <x v="0"/>
    <d v="2018-07-10T00:00:00"/>
    <n v="16.25"/>
    <s v="Ana de González"/>
    <s v="mikelnowak25@gmail.com"/>
    <s v="Av. &quot;O&quot; Nro. 146-17"/>
    <s v="Cancelación Vigilancia, meses de Junio y Julio 2018"/>
    <x v="0"/>
    <m/>
    <s v="01247"/>
    <s v="10 de julio de 2018"/>
    <n v="10"/>
    <x v="20"/>
    <s v="16,25"/>
    <e v="#NAME?"/>
  </r>
  <r>
    <n v="1248"/>
    <m/>
    <x v="0"/>
    <d v="2018-07-10T00:00:00"/>
    <n v="12.2"/>
    <s v="Familia Lomeña Agudo"/>
    <s v="claudialomena@hotmail.com"/>
    <s v="Calle Guacara Nro. 89-30"/>
    <s v="Colaboración reparación portón principal"/>
    <x v="10"/>
    <m/>
    <s v="01248"/>
    <s v="10 de julio de 2018"/>
    <n v="10"/>
    <x v="20"/>
    <s v="12,20"/>
    <e v="#NAME?"/>
  </r>
  <r>
    <n v="1249"/>
    <m/>
    <x v="0"/>
    <d v="2018-07-10T00:00:00"/>
    <n v="10"/>
    <s v="Familia Fermín Rivas"/>
    <s v="angelferminb@gmail.com"/>
    <s v="Calle Güigüe Nro. 89-55"/>
    <s v="Cancelación Vigilancia, mes de Julio 2018"/>
    <x v="0"/>
    <m/>
    <s v="01249"/>
    <s v="10 de julio de 2018"/>
    <n v="10"/>
    <x v="20"/>
    <s v="10,00"/>
    <e v="#NAME?"/>
  </r>
  <r>
    <n v="1250"/>
    <m/>
    <x v="0"/>
    <d v="2018-07-10T00:00:00"/>
    <n v="12.2"/>
    <s v="Familia Fermín Rivas"/>
    <s v="angelferminb@gmail.com"/>
    <s v="Calle Güigüe Nro. 89-55"/>
    <s v="Colaboración reparación portón principal"/>
    <x v="10"/>
    <m/>
    <s v="01250"/>
    <s v="10 de julio de 2018"/>
    <n v="10"/>
    <x v="20"/>
    <s v="12,20"/>
    <e v="#NAME?"/>
  </r>
  <r>
    <n v="1251"/>
    <m/>
    <x v="0"/>
    <d v="2018-07-10T00:00:00"/>
    <n v="1.5"/>
    <s v="Familia Nava Gordon"/>
    <s v="maru_19_66@hotmail.com"/>
    <s v="Calle Guacara Nro. 89-78"/>
    <s v="Cancelación Vigilancia, ajuste mes de Julio 2018"/>
    <x v="0"/>
    <m/>
    <s v="01251"/>
    <s v="10 de julio de 2018"/>
    <n v="10"/>
    <x v="20"/>
    <s v="1,50"/>
    <e v="#NAME?"/>
  </r>
  <r>
    <n v="1252"/>
    <m/>
    <x v="0"/>
    <d v="2018-07-10T00:00:00"/>
    <n v="11.5"/>
    <s v="Familia Romero"/>
    <s v="autoescuela21@gmail.com"/>
    <s v="Calle Guacara Nro. 89-50"/>
    <s v="Cancelación Vigilancia, ajuste mes de Julio y Agosto 2018"/>
    <x v="0"/>
    <m/>
    <s v="01252"/>
    <s v="10 de julio de 2018"/>
    <n v="10"/>
    <x v="20"/>
    <s v="11,50"/>
    <e v="#NAME?"/>
  </r>
  <r>
    <n v="1253"/>
    <m/>
    <x v="0"/>
    <d v="2018-07-10T00:00:00"/>
    <n v="12.2"/>
    <s v="Familia Colosso Delgado"/>
    <s v="mcolosso@gmail.com"/>
    <s v="Calle Güigüe Nro. 88-44"/>
    <s v="Colaboración reparación portón principal"/>
    <x v="10"/>
    <m/>
    <s v="01253"/>
    <s v="10 de julio de 2018"/>
    <n v="10"/>
    <x v="20"/>
    <s v="12,20"/>
    <e v="#NAME?"/>
  </r>
  <r>
    <n v="1254"/>
    <m/>
    <x v="0"/>
    <d v="2018-07-10T00:00:00"/>
    <n v="12.2"/>
    <s v="Familia Montilla García"/>
    <s v="dairy252525@hotmail.com"/>
    <s v="Calle Güigüe Nro. 89-90"/>
    <s v="Colaboración reparación portón principal"/>
    <x v="10"/>
    <m/>
    <s v="01254"/>
    <s v="10 de julio de 2018"/>
    <n v="10"/>
    <x v="20"/>
    <s v="12,20"/>
    <e v="#NAME?"/>
  </r>
  <r>
    <n v="1255"/>
    <m/>
    <x v="0"/>
    <d v="2018-07-10T00:00:00"/>
    <n v="10.3"/>
    <s v="Familia Montilla García"/>
    <s v="dairy252525@hotmail.com"/>
    <s v="Calle Güigüe Nro. 89-90"/>
    <s v="Cancelación Vigilancia, ajuste mes de Junio y anticipo mes de Julio 2018"/>
    <x v="0"/>
    <m/>
    <s v="01255"/>
    <s v="10 de julio de 2018"/>
    <n v="10"/>
    <x v="20"/>
    <s v="10,30"/>
    <e v="#NAME?"/>
  </r>
  <r>
    <n v="1256"/>
    <m/>
    <x v="0"/>
    <d v="2018-07-11T00:00:00"/>
    <n v="12.2"/>
    <s v="La Casita Encantada"/>
    <s v="En Físico"/>
    <s v="Av. &quot;M&quot; Nro. 146-30"/>
    <s v="Colaboración reparación portón principal"/>
    <x v="10"/>
    <m/>
    <s v="01256"/>
    <s v="11 de julio de 2018"/>
    <n v="11"/>
    <x v="20"/>
    <s v="12,20"/>
    <e v="#NAME?"/>
  </r>
  <r>
    <n v="1257"/>
    <m/>
    <x v="0"/>
    <d v="2018-07-11T00:00:00"/>
    <n v="1.5"/>
    <s v="Carmen Moreno"/>
    <s v="carmenemoreno10@gmail.com"/>
    <s v="Calle Güigüe Nro. 89-04"/>
    <s v="Cancelación Vigilancia, ajuste mes de Julio 2018"/>
    <x v="0"/>
    <m/>
    <s v="01257"/>
    <s v="11 de julio de 2018"/>
    <n v="11"/>
    <x v="20"/>
    <s v="1,50"/>
    <e v="#NAME?"/>
  </r>
  <r>
    <n v="1258"/>
    <m/>
    <x v="0"/>
    <d v="2018-07-11T00:00:00"/>
    <n v="16.25"/>
    <s v="Familia Díaz González"/>
    <s v="luisrdt57@gmail.com"/>
    <s v="Calle Güigüe Nro. 88-116"/>
    <s v="Cancelación Vigilancia, meses de Junio y Julio 2018"/>
    <x v="0"/>
    <m/>
    <s v="01258"/>
    <s v="11 de julio de 2018"/>
    <n v="11"/>
    <x v="20"/>
    <s v="16,25"/>
    <e v="#NAME?"/>
  </r>
  <r>
    <n v="1259"/>
    <m/>
    <x v="0"/>
    <d v="2018-07-11T00:00:00"/>
    <n v="1.95"/>
    <s v="Familia Montilla García"/>
    <s v="dairy252525@hotmail.com"/>
    <s v="Calle Güigüe Nro. 89-90"/>
    <s v="Cancelación Vigilancia, ajuste mes de Julio 2018"/>
    <x v="0"/>
    <m/>
    <s v="01259"/>
    <s v="11 de julio de 2018"/>
    <n v="11"/>
    <x v="20"/>
    <s v="1,95"/>
    <e v="#NAME?"/>
  </r>
  <r>
    <n v="1260"/>
    <m/>
    <x v="0"/>
    <d v="2018-07-12T00:00:00"/>
    <n v="10"/>
    <s v="Familia Wu Acevedo"/>
    <s v="rudyacevedo90@gmail.com"/>
    <s v="Calle Guacara Nro. 88-A-10"/>
    <s v="Cancelación Vigilancia, mes de Julio 2018"/>
    <x v="0"/>
    <m/>
    <s v="01260"/>
    <s v="12 de julio de 2018"/>
    <n v="12"/>
    <x v="20"/>
    <s v="10,00"/>
    <e v="#NAME?"/>
  </r>
  <r>
    <n v="1261"/>
    <m/>
    <x v="0"/>
    <d v="2018-07-12T00:00:00"/>
    <n v="12.2"/>
    <s v="Familia Wu Acevedo"/>
    <s v="rudyacevedo90@gmail.com"/>
    <s v="Calle Guacara Nro. 88-A-10"/>
    <s v="Colaboración reparación portón principal"/>
    <x v="10"/>
    <m/>
    <s v="01261"/>
    <s v="12 de julio de 2018"/>
    <n v="12"/>
    <x v="20"/>
    <s v="12,20"/>
    <e v="#NAME?"/>
  </r>
  <r>
    <n v="1262"/>
    <m/>
    <x v="0"/>
    <d v="2018-07-12T00:00:00"/>
    <n v="10.75"/>
    <s v="Familia Castillo Mena"/>
    <s v="emmecas@hotmail.com"/>
    <s v="Calle Güigüe Nro. 88-101"/>
    <s v="Cancelación Vigilancia, mes de junio y anticipo mes de Julio 2018"/>
    <x v="0"/>
    <m/>
    <s v="01262"/>
    <s v="12 de julio de 2018"/>
    <n v="12"/>
    <x v="20"/>
    <s v="10,75"/>
    <e v="#NAME?"/>
  </r>
  <r>
    <n v="1263"/>
    <m/>
    <x v="0"/>
    <d v="2018-07-12T00:00:00"/>
    <n v="2.25"/>
    <s v="Familia Guerra Miret"/>
    <s v="antoniojguerrag@hotmail.com"/>
    <s v="Calle Güigüe Nro. 89-40"/>
    <s v="Cancelación Vigilancia, saldo mes de Junio 2018"/>
    <x v="0"/>
    <m/>
    <s v="01263"/>
    <s v="12 de julio de 2018"/>
    <n v="12"/>
    <x v="20"/>
    <s v="2,25"/>
    <e v="#NAME?"/>
  </r>
  <r>
    <n v="1264"/>
    <m/>
    <x v="0"/>
    <d v="2018-07-12T00:00:00"/>
    <n v="6.25"/>
    <s v="Familia Flores Montagne"/>
    <s v="martaflores@gmail.com"/>
    <s v="Av. &quot;M&quot; Nro. 146-20"/>
    <s v="Cancelación Vigilancia, mes de Junio 2018"/>
    <x v="0"/>
    <m/>
    <s v="01264"/>
    <s v="12 de julio de 2018"/>
    <n v="12"/>
    <x v="20"/>
    <s v="6,25"/>
    <e v="#NAME?"/>
  </r>
  <r>
    <n v="1265"/>
    <m/>
    <x v="0"/>
    <d v="2018-07-12T00:00:00"/>
    <n v="16.25"/>
    <s v="Familia Piñero Padilla"/>
    <s v="achepaul2005@hotmail.com"/>
    <s v="Calle Güigüe Nro. 89-21"/>
    <s v="Cancelación Vigilancia, meses de Junio y Julio 2018"/>
    <x v="0"/>
    <m/>
    <s v="01265"/>
    <s v="12 de julio de 2018"/>
    <n v="12"/>
    <x v="20"/>
    <s v="16,25"/>
    <e v="#NAME?"/>
  </r>
  <r>
    <n v="1266"/>
    <m/>
    <x v="0"/>
    <d v="2018-07-12T00:00:00"/>
    <n v="12.2"/>
    <s v="Familia Piñero Padilla"/>
    <s v="achepaul2005@hotmail.com"/>
    <s v="Calle Güigüe Nro. 89-21"/>
    <s v="Colaboración reparación portón principal"/>
    <x v="10"/>
    <m/>
    <s v="01266"/>
    <s v="12 de julio de 2018"/>
    <n v="12"/>
    <x v="20"/>
    <s v="12,20"/>
    <e v="#NAME?"/>
  </r>
  <r>
    <n v="1267"/>
    <m/>
    <x v="0"/>
    <d v="2018-07-12T00:00:00"/>
    <n v="20"/>
    <s v="Familia Jiménez Navarro"/>
    <s v="joyasonline2012@gmail.com"/>
    <s v="Calle Güigüe Nro. 88-50"/>
    <s v="Cancelación Vigilancia, meses de Junio y Julio 2018"/>
    <x v="0"/>
    <m/>
    <s v="01267"/>
    <s v="12 de julio de 2018"/>
    <n v="12"/>
    <x v="20"/>
    <s v="20,00"/>
    <e v="#NAME?"/>
  </r>
  <r>
    <n v="1268"/>
    <m/>
    <x v="0"/>
    <d v="2018-07-12T00:00:00"/>
    <n v="15"/>
    <s v="Familia Jiménez Navarro"/>
    <s v="joyasonline2012@gmail.com"/>
    <s v="Calle Güigüe Nro. 88-50"/>
    <s v="Colaboración reparación portón principal"/>
    <x v="10"/>
    <m/>
    <s v="01268"/>
    <s v="12 de julio de 2018"/>
    <n v="12"/>
    <x v="20"/>
    <s v="15,00"/>
    <e v="#NAME?"/>
  </r>
  <r>
    <n v="1269"/>
    <m/>
    <x v="0"/>
    <d v="2018-07-12T00:00:00"/>
    <n v="13"/>
    <s v="Familia Ferrer Bahri"/>
    <s v="bahrimariela@hotmail.com"/>
    <s v="Calle Güigüe Nro. 89-83"/>
    <s v="Colaboración reparación portón principal"/>
    <x v="10"/>
    <m/>
    <s v="01269"/>
    <s v="12 de julio de 2018"/>
    <n v="12"/>
    <x v="20"/>
    <s v="13,00"/>
    <e v="#NAME?"/>
  </r>
  <r>
    <n v="1270"/>
    <m/>
    <x v="0"/>
    <d v="2018-07-12T00:00:00"/>
    <n v="12.2"/>
    <s v="Familia Guerra Miret"/>
    <s v="antoniojguerrag@hotmail.com"/>
    <s v="Calle Güigüe Nro. 89-40"/>
    <s v="Colaboración reparación portón principal"/>
    <x v="10"/>
    <m/>
    <s v="01270"/>
    <s v="12 de julio de 2018"/>
    <n v="12"/>
    <x v="20"/>
    <s v="12,20"/>
    <e v="#NAME?"/>
  </r>
  <r>
    <n v="1271"/>
    <m/>
    <x v="0"/>
    <d v="2018-07-12T00:00:00"/>
    <n v="12.2"/>
    <s v="Familia Romero"/>
    <s v="autoescuela21@gmail.com"/>
    <s v="Calle Guacara Nro. 89-50"/>
    <s v="Colaboración reparación portón principal"/>
    <x v="10"/>
    <m/>
    <s v="01271"/>
    <s v="12 de julio de 2018"/>
    <n v="12"/>
    <x v="20"/>
    <s v="12,20"/>
    <e v="#NAME?"/>
  </r>
  <r>
    <n v="1272"/>
    <m/>
    <x v="0"/>
    <d v="2018-07-12T00:00:00"/>
    <n v="12.2"/>
    <s v="Familia Ozar Rivero"/>
    <s v="vanessarivero81@hotmail.com"/>
    <s v="Calle Güigüe Nro. 88-06"/>
    <s v="Colaboración reparación portón principal (saldo a favor Bs. 3.255.000)"/>
    <x v="10"/>
    <m/>
    <s v="01272"/>
    <s v="12 de julio de 2018"/>
    <n v="12"/>
    <x v="20"/>
    <s v="12,20"/>
    <e v="#NAME?"/>
  </r>
  <r>
    <n v="1273"/>
    <m/>
    <x v="0"/>
    <d v="2018-06-12T00:00:00"/>
    <n v="12.25"/>
    <s v="Ma. de Jesus Alonso"/>
    <s v="alonsojg@gmail.com"/>
    <s v="Calle Güigüe Nro. 88-30"/>
    <s v="Cancelación Vigilancia, ajuste mes de Junio y cancelación mes de Julio 2018"/>
    <x v="0"/>
    <m/>
    <s v="01273"/>
    <s v="12 de junio de 2018"/>
    <n v="12"/>
    <x v="19"/>
    <s v="12,25"/>
    <e v="#NAME?"/>
  </r>
  <r>
    <n v="1274"/>
    <m/>
    <x v="0"/>
    <d v="2018-07-13T00:00:00"/>
    <n v="10"/>
    <s v="Familia Kablan Sarmiento"/>
    <s v="norisjsb56@hotmail.com"/>
    <s v="Calle Güigüe Nro. 89-80"/>
    <s v="Cancelación Vigilancia, mes de Julio 2018"/>
    <x v="0"/>
    <m/>
    <s v="01274"/>
    <s v="13 de julio de 2018"/>
    <n v="13"/>
    <x v="20"/>
    <s v="10,00"/>
    <e v="#NAME?"/>
  </r>
  <r>
    <n v="1275"/>
    <m/>
    <x v="0"/>
    <d v="2018-07-13T00:00:00"/>
    <n v="12.2"/>
    <s v="Familia Kablan Sarmiento"/>
    <s v="norisjsb56@hotmail.com"/>
    <s v="Calle Güigüe Nro. 89-80"/>
    <s v="Colaboración reparación portón principal"/>
    <x v="10"/>
    <m/>
    <s v="01275"/>
    <s v="13 de julio de 2018"/>
    <n v="13"/>
    <x v="20"/>
    <s v="12,20"/>
    <e v="#NAME?"/>
  </r>
  <r>
    <n v="1276"/>
    <m/>
    <x v="0"/>
    <d v="2018-07-14T00:00:00"/>
    <n v="10"/>
    <s v="Familia Guerra Miret"/>
    <s v="antoniojguerrag@hotmail.com"/>
    <s v="Calle Güigüe Nro. 89-40"/>
    <s v="Cancelación Vigilancia, mes de Julio 2018"/>
    <x v="0"/>
    <m/>
    <s v="01276"/>
    <s v="14 de julio de 2018"/>
    <n v="14"/>
    <x v="20"/>
    <s v="10,00"/>
    <e v="#NAME?"/>
  </r>
  <r>
    <n v="1277"/>
    <m/>
    <x v="0"/>
    <d v="2018-07-14T00:00:00"/>
    <n v="1.5"/>
    <s v="Familia Hatem Medina"/>
    <s v="hhatem1@hotmail.com"/>
    <s v="Calle Guacara Nro. 88-51"/>
    <s v="Cancelación Vigilancia, saldo mes de Julio 2018"/>
    <x v="0"/>
    <m/>
    <s v="01277"/>
    <s v="14 de julio de 2018"/>
    <n v="14"/>
    <x v="20"/>
    <s v="1,50"/>
    <e v="#NAME?"/>
  </r>
  <r>
    <n v="1278"/>
    <m/>
    <x v="0"/>
    <d v="2018-07-14T00:00:00"/>
    <n v="8.5"/>
    <s v="Familia Hatem Medina"/>
    <s v="hhatem1@hotmail.com"/>
    <s v="Calle Guacara Nro. 88-51"/>
    <s v="Colaboración reparación portón principal"/>
    <x v="10"/>
    <m/>
    <s v="01278"/>
    <s v="14 de julio de 2018"/>
    <n v="14"/>
    <x v="20"/>
    <s v="8,50"/>
    <e v="#NAME?"/>
  </r>
  <r>
    <n v="1279"/>
    <m/>
    <x v="0"/>
    <d v="2018-07-14T00:00:00"/>
    <n v="12.2"/>
    <s v="Amparo Acosta"/>
    <s v="amparonatividad@hotmail.com"/>
    <s v="Calle Guacara Nro. 88-65"/>
    <s v="Colaboración reparación portón principal"/>
    <x v="10"/>
    <m/>
    <s v="01279"/>
    <s v="14 de julio de 2018"/>
    <n v="14"/>
    <x v="20"/>
    <s v="12,20"/>
    <e v="#NAME?"/>
  </r>
  <r>
    <n v="1280"/>
    <m/>
    <x v="0"/>
    <d v="2018-07-16T00:00:00"/>
    <n v="8.25"/>
    <s v="Familia Machado Stoppa"/>
    <s v="machadoru@hotmail.com"/>
    <s v="Calle Guacara Nro. 88-85"/>
    <s v="Cancelación Vigilancia, ajuste mes de Junio y diferencia mes de Julio 2018"/>
    <x v="0"/>
    <m/>
    <s v="01280"/>
    <s v="16 de julio de 2018"/>
    <n v="16"/>
    <x v="20"/>
    <s v="8,25"/>
    <e v="#NAME?"/>
  </r>
  <r>
    <n v="1281"/>
    <m/>
    <x v="0"/>
    <d v="2018-07-16T00:00:00"/>
    <n v="12.2"/>
    <s v="Familia Machado Stoppa"/>
    <s v="machadoru@hotmail.com"/>
    <s v="Calle Guacara Nro. 88-85"/>
    <s v="Colaboración reparación portón principal"/>
    <x v="10"/>
    <m/>
    <s v="01281"/>
    <s v="16 de julio de 2018"/>
    <n v="16"/>
    <x v="20"/>
    <s v="12,20"/>
    <e v="#NAME?"/>
  </r>
  <r>
    <n v="1282"/>
    <m/>
    <x v="0"/>
    <d v="2018-07-16T00:00:00"/>
    <n v="22.25"/>
    <s v="Familia Hurtado"/>
    <s v="En Físico"/>
    <s v="Av. &quot;O&quot; Nro. 146-11"/>
    <s v="Cancelación Vigilancia, ajuste mes de Junio y cancelación meses de Julio y Agosto 2018"/>
    <x v="0"/>
    <m/>
    <s v="01282"/>
    <s v="16 de julio de 2018"/>
    <n v="16"/>
    <x v="20"/>
    <s v="22,25"/>
    <e v="#NAME?"/>
  </r>
  <r>
    <n v="1283"/>
    <m/>
    <x v="0"/>
    <d v="2018-07-17T00:00:00"/>
    <n v="8"/>
    <s v="Familia Navarrete Medina"/>
    <s v="juanin1919@yahoo.com"/>
    <s v="Calle Güigüe Nro. 89-22"/>
    <s v="Cancelación Vigilancia, mes de Junio y anticipo mes de Julio 2018"/>
    <x v="0"/>
    <m/>
    <s v="01283"/>
    <s v="17 de julio de 2018"/>
    <n v="17"/>
    <x v="20"/>
    <s v="8,00"/>
    <e v="#NAME?"/>
  </r>
  <r>
    <n v="1284"/>
    <m/>
    <x v="0"/>
    <d v="2018-07-17T00:00:00"/>
    <n v="10"/>
    <s v="Familia Rodríguez Aular"/>
    <s v="mvaular@hotmail.com"/>
    <s v="Calle Güigüe Nro. 88-58"/>
    <s v="Cancelación Vigilancia, mes de Julio 2018"/>
    <x v="0"/>
    <m/>
    <s v="01284"/>
    <s v="17 de julio de 2018"/>
    <n v="17"/>
    <x v="20"/>
    <s v="10,00"/>
    <e v="#NAME?"/>
  </r>
  <r>
    <n v="1285"/>
    <m/>
    <x v="0"/>
    <d v="2018-07-18T00:00:00"/>
    <n v="10"/>
    <s v="Beatriz Lara"/>
    <s v="valentina.gutierrez@hotmail.com"/>
    <s v="Calle Guacara Nro. 89-130"/>
    <s v="Cancelación Vigilancia, mes de Julio 2018"/>
    <x v="0"/>
    <m/>
    <s v="01285"/>
    <s v="18 de julio de 2018"/>
    <n v="18"/>
    <x v="20"/>
    <s v="10,00"/>
    <e v="#NAME?"/>
  </r>
  <r>
    <n v="1286"/>
    <m/>
    <x v="0"/>
    <d v="2018-07-18T00:00:00"/>
    <n v="12.2"/>
    <s v="Beatriz Lara"/>
    <s v="valentina.gutierrez@hotmail.com"/>
    <s v="Calle Guacara Nro. 89-130"/>
    <s v="Colaboración reparación portón principal"/>
    <x v="10"/>
    <m/>
    <s v="01286"/>
    <s v="18 de julio de 2018"/>
    <n v="18"/>
    <x v="20"/>
    <s v="12,20"/>
    <e v="#NAME?"/>
  </r>
  <r>
    <n v="1287"/>
    <m/>
    <x v="0"/>
    <d v="2018-07-18T00:00:00"/>
    <n v="12"/>
    <s v="Familia Martínez Boada"/>
    <s v="florcitakmz@gmail.com"/>
    <s v="Calle Güigüe Nro. 88-62"/>
    <s v="Colaboración Vigilancia, meses de Junio y Julio 2018"/>
    <x v="0"/>
    <m/>
    <s v="01287"/>
    <s v="18 de julio de 2018"/>
    <n v="18"/>
    <x v="20"/>
    <s v="12,00"/>
    <e v="#NAME?"/>
  </r>
  <r>
    <n v="1288"/>
    <m/>
    <x v="0"/>
    <d v="2018-07-20T00:00:00"/>
    <n v="12.2"/>
    <s v="Familia Arcia Polanco"/>
    <s v="misipo29@gmail.com"/>
    <s v="Calle Guacara Nro. 89-20"/>
    <s v="Colaboración reparación portón principal"/>
    <x v="10"/>
    <m/>
    <s v="01288"/>
    <s v="20 de julio de 2018"/>
    <n v="20"/>
    <x v="20"/>
    <s v="12,20"/>
    <e v="#NAME?"/>
  </r>
  <r>
    <n v="1289"/>
    <m/>
    <x v="0"/>
    <d v="2018-07-20T00:00:00"/>
    <n v="5.5"/>
    <s v="Familia Castillo Mena"/>
    <s v="emmecas@hotmail.com"/>
    <s v="Calle Güigüe Nro. 88-101"/>
    <s v="Cancelación Vigilancia, saldo mes de Julio 2018"/>
    <x v="0"/>
    <m/>
    <s v="01289"/>
    <s v="20 de julio de 2018"/>
    <n v="20"/>
    <x v="20"/>
    <s v="5,50"/>
    <e v="#NAME?"/>
  </r>
  <r>
    <n v="1290"/>
    <m/>
    <x v="0"/>
    <d v="2018-07-21T00:00:00"/>
    <n v="1"/>
    <s v="Familia Triana González"/>
    <s v="En Físico"/>
    <s v="Calle Guacara Nro. 90-61"/>
    <s v="Colaboración Vigilancia, mes de Junio 2018"/>
    <x v="0"/>
    <m/>
    <s v="01290"/>
    <s v="21 de julio de 2018"/>
    <n v="21"/>
    <x v="20"/>
    <s v="1,00"/>
    <e v="#NAME?"/>
  </r>
  <r>
    <n v="1291"/>
    <m/>
    <x v="0"/>
    <d v="2018-07-20T00:00:00"/>
    <n v="10"/>
    <s v="Familia Gascón Domínguez"/>
    <s v="vrgascon@gmail.com"/>
    <s v="Calle Güigüe Nro. 88-70"/>
    <s v="Cancelación Vigilancia, mes de Julio 2018"/>
    <x v="0"/>
    <m/>
    <s v="01291"/>
    <s v="20 de julio de 2018"/>
    <n v="20"/>
    <x v="20"/>
    <s v="10,00"/>
    <e v="#NAME?"/>
  </r>
  <r>
    <n v="1292"/>
    <m/>
    <x v="0"/>
    <d v="2018-07-20T00:00:00"/>
    <n v="13"/>
    <s v="Familia Gascón Domínguez"/>
    <s v="vrgascon@gmail.com"/>
    <s v="Calle Güigüe Nro. 88-70"/>
    <s v="Colaboración reparación portón principal"/>
    <x v="10"/>
    <m/>
    <s v="01292"/>
    <s v="20 de julio de 2018"/>
    <n v="20"/>
    <x v="20"/>
    <s v="13,00"/>
    <e v="#NAME?"/>
  </r>
  <r>
    <n v="1293"/>
    <m/>
    <x v="0"/>
    <d v="2018-07-20T00:00:00"/>
    <n v="30"/>
    <s v="Familia Gascón Domínguez"/>
    <s v="vrgascon@gmail.com"/>
    <s v="Calle Güigüe Nro. 88-70"/>
    <s v="Donativo para los vigilantes"/>
    <x v="7"/>
    <m/>
    <s v="01293"/>
    <s v="20 de julio de 2018"/>
    <n v="20"/>
    <x v="20"/>
    <s v="30,00"/>
    <e v="#NAME?"/>
  </r>
  <r>
    <n v="1294"/>
    <m/>
    <x v="0"/>
    <d v="2018-07-23T00:00:00"/>
    <n v="12.2"/>
    <s v="Familia Nava Gordon"/>
    <s v="maru_19_66@hotmail.com"/>
    <s v="Calle Guacara Nro. 89-78"/>
    <s v="Colaboración reparación portón principal"/>
    <x v="10"/>
    <m/>
    <s v="01294"/>
    <s v="23 de julio de 2018"/>
    <n v="23"/>
    <x v="20"/>
    <s v="12,20"/>
    <e v="#NAME?"/>
  </r>
  <r>
    <n v="1295"/>
    <m/>
    <x v="0"/>
    <d v="2018-07-20T00:00:00"/>
    <n v="12.2"/>
    <s v="Familia Narváez Caldera"/>
    <s v="jeannette_nc@yahoo.com"/>
    <s v="Calle Güigüe Nro. 87-A-11"/>
    <s v="Colaboración reparación portón principal"/>
    <x v="10"/>
    <m/>
    <s v="01295"/>
    <s v="20 de julio de 2018"/>
    <n v="20"/>
    <x v="20"/>
    <s v="12,20"/>
    <e v="#NAME?"/>
  </r>
  <r>
    <n v="1296"/>
    <m/>
    <x v="0"/>
    <d v="2018-07-23T00:00:00"/>
    <n v="10"/>
    <s v="Familia Navarro Assing"/>
    <s v="liliaassing@gmail.com"/>
    <s v="Calle Güigüe Nro. 88-54"/>
    <s v="Cancelación Vigilancia, ajuste mes de Junio 2018, más adicional de Bs. 25.000"/>
    <x v="0"/>
    <m/>
    <s v="01296"/>
    <s v="23 de julio de 2018"/>
    <n v="23"/>
    <x v="20"/>
    <s v="10,00"/>
    <e v="#NAME?"/>
  </r>
  <r>
    <n v="1297"/>
    <m/>
    <x v="0"/>
    <d v="2018-07-23T00:00:00"/>
    <n v="12"/>
    <s v="Familia Navarro Assing"/>
    <s v="liliaassing@gmail.com"/>
    <s v="Calle Güigüe Nro. 88-54"/>
    <s v="Colaboración reparación portón principal"/>
    <x v="10"/>
    <m/>
    <s v="01297"/>
    <s v="23 de julio de 2018"/>
    <n v="23"/>
    <x v="20"/>
    <s v="12,00"/>
    <e v="#NAME?"/>
  </r>
  <r>
    <n v="1298"/>
    <m/>
    <x v="0"/>
    <d v="2018-07-23T00:00:00"/>
    <n v="1.5"/>
    <s v="Familia Puerta Burguillos"/>
    <s v="namaricakes@gmail.com"/>
    <s v="Calle Guacara Nro. 87-100"/>
    <s v="Cancelación Vigilancia, ajuste mes de Julio 2018"/>
    <x v="0"/>
    <m/>
    <s v="01298"/>
    <s v="23 de julio de 2018"/>
    <n v="23"/>
    <x v="20"/>
    <s v="1,50"/>
    <e v="#NAME?"/>
  </r>
  <r>
    <n v="1299"/>
    <m/>
    <x v="0"/>
    <d v="2018-07-23T00:00:00"/>
    <n v="2.95"/>
    <s v="Familia Puerta Burguillos"/>
    <s v="namaricakes@gmail.com"/>
    <s v="Calle Guacara Nro. 87-100"/>
    <s v="Colaboración reparación portón principal"/>
    <x v="10"/>
    <m/>
    <s v="01299"/>
    <s v="23 de julio de 2018"/>
    <n v="23"/>
    <x v="20"/>
    <s v="2,95"/>
    <e v="#NAME?"/>
  </r>
  <r>
    <n v="1300"/>
    <m/>
    <x v="0"/>
    <d v="2018-07-23T00:00:00"/>
    <n v="2.25"/>
    <s v="Zoraida Khair"/>
    <s v="zorakhair@hotmail.com"/>
    <s v="Calle Güigüe Nro. 88-80"/>
    <s v="Cancelación Vigilancia, ajuste mes de Junio 2018 (saldo a favor Bs. 2.775.000)"/>
    <x v="0"/>
    <m/>
    <s v="01300"/>
    <s v="23 de julio de 2018"/>
    <n v="23"/>
    <x v="20"/>
    <s v="2,25"/>
    <e v="#NAME?"/>
  </r>
  <r>
    <n v="1301"/>
    <m/>
    <x v="0"/>
    <d v="2018-07-23T00:00:00"/>
    <n v="6"/>
    <s v="Zoraida Khair"/>
    <s v="zorakhair@hotmail.com"/>
    <s v="Calle Güigüe Nro. 88-80"/>
    <s v="Cancelación Vigilancia, saldo mes de Julio 2018 (saldo a favor Bs. 2.175.000)"/>
    <x v="0"/>
    <m/>
    <s v="01301"/>
    <s v="23 de julio de 2018"/>
    <n v="23"/>
    <x v="20"/>
    <s v="6,00"/>
    <e v="#NAME?"/>
  </r>
  <r>
    <n v="1302"/>
    <m/>
    <x v="0"/>
    <d v="2018-07-23T00:00:00"/>
    <n v="12.2"/>
    <s v="Zoraida Khair"/>
    <s v="zorakhair@hotmail.com"/>
    <s v="Calle Güigüe Nro. 88-80"/>
    <s v="Colaboración reparación portón principal (saldo a favor Bs. 995.000)"/>
    <x v="10"/>
    <m/>
    <s v="01302"/>
    <s v="23 de julio de 2018"/>
    <n v="23"/>
    <x v="20"/>
    <s v="12,20"/>
    <e v="#NAME?"/>
  </r>
  <r>
    <n v="1303"/>
    <m/>
    <x v="0"/>
    <d v="2018-07-23T00:00:00"/>
    <n v="20"/>
    <s v="Anahiz Seijas"/>
    <s v="anahiz_2@hotmail.es"/>
    <s v="Calle Güigüe Nro. 89-106"/>
    <s v="Cancelación Vigilancia, meses de Julio y Agosto 2018"/>
    <x v="0"/>
    <m/>
    <s v="01303"/>
    <s v="23 de julio de 2018"/>
    <n v="23"/>
    <x v="20"/>
    <s v="20,00"/>
    <e v="#NAME?"/>
  </r>
  <r>
    <n v="1304"/>
    <m/>
    <x v="0"/>
    <d v="2018-07-26T00:00:00"/>
    <n v="1.5"/>
    <s v="Familia Zavarce Barón"/>
    <s v="alexanderzavarce@gmail.com"/>
    <s v="Calle Guacara Nro. 88-91"/>
    <s v="Cancelación Vigilancia, mes de Junio y anticipo Julio 2018"/>
    <x v="0"/>
    <m/>
    <s v="01304"/>
    <s v="26 de julio de 2018"/>
    <n v="26"/>
    <x v="20"/>
    <s v="1,50"/>
    <e v="#NAME?"/>
  </r>
  <r>
    <n v="1305"/>
    <m/>
    <x v="0"/>
    <d v="2018-07-26T00:00:00"/>
    <n v="12"/>
    <s v="Familia Zavarce Barón"/>
    <s v="alexanderzavarce@gmail.com"/>
    <s v="Calle Guacara Nro. 88-91"/>
    <s v="Colaboración reparación portón principal"/>
    <x v="10"/>
    <m/>
    <s v="01305"/>
    <s v="26 de julio de 2018"/>
    <n v="26"/>
    <x v="20"/>
    <s v="12,00"/>
    <e v="#NAME?"/>
  </r>
  <r>
    <n v="1306"/>
    <m/>
    <x v="0"/>
    <d v="2018-07-26T00:00:00"/>
    <n v="6.25"/>
    <s v="Familia Acosta Carpio"/>
    <s v="pablo962@hotmail.com"/>
    <s v="Calle Güigüe Nro. 89-10"/>
    <s v="Cancelación Vigilancia, saldo mes de Julio 2018"/>
    <x v="0"/>
    <m/>
    <s v="01306"/>
    <s v="26 de julio de 2018"/>
    <n v="26"/>
    <x v="20"/>
    <s v="6,25"/>
    <e v="#NAME?"/>
  </r>
  <r>
    <n v="1307"/>
    <m/>
    <x v="0"/>
    <d v="2018-07-26T00:00:00"/>
    <n v="12.2"/>
    <s v="Familia Acosta Carpio"/>
    <s v="pablo962@hotmail.com"/>
    <s v="Calle Güigüe Nro. 89-10"/>
    <s v="Colaboración reparación portón principal"/>
    <x v="10"/>
    <m/>
    <s v="01307"/>
    <s v="26 de julio de 2018"/>
    <n v="26"/>
    <x v="20"/>
    <s v="12,20"/>
    <e v="#NAME?"/>
  </r>
  <r>
    <n v="1308"/>
    <m/>
    <x v="0"/>
    <d v="2018-07-26T00:00:00"/>
    <n v="19.850000000000001"/>
    <s v="Silvia Power"/>
    <s v="spowermeneses@gmail.com"/>
    <s v="Calle Güigüe Nro. 89-16"/>
    <s v="Cancelación Vigilancia, meses de Febrero, Marzo, Abril, Mayo, Junio y Julio 2018"/>
    <x v="0"/>
    <m/>
    <s v="01308"/>
    <s v="26 de julio de 2018"/>
    <n v="26"/>
    <x v="20"/>
    <s v="19,85"/>
    <e v="#NAME?"/>
  </r>
  <r>
    <n v="1309"/>
    <m/>
    <x v="0"/>
    <d v="2018-07-26T00:00:00"/>
    <n v="12.2"/>
    <s v="Silvia Power"/>
    <s v="spowermeneses@gmail.com"/>
    <s v="Calle Güigüe Nro. 89-16"/>
    <s v="Colaboración reparación portón principal"/>
    <x v="10"/>
    <m/>
    <s v="01309"/>
    <s v="26 de julio de 2018"/>
    <n v="26"/>
    <x v="20"/>
    <s v="12,20"/>
    <e v="#NAME?"/>
  </r>
  <r>
    <n v="1310"/>
    <m/>
    <x v="0"/>
    <d v="2018-07-27T00:00:00"/>
    <n v="1.5"/>
    <s v="Familia González Arévalo"/>
    <s v="feryenis@hotmail.com"/>
    <s v="Calle Guacara Nro. 89-86"/>
    <s v="Cancelación Vigilancia, ajuste mes de Julio 2018"/>
    <x v="0"/>
    <m/>
    <s v="01310"/>
    <s v="27 de julio de 2018"/>
    <n v="27"/>
    <x v="20"/>
    <s v="1,50"/>
    <e v="#NAME?"/>
  </r>
  <r>
    <n v="1311"/>
    <m/>
    <x v="0"/>
    <d v="2018-06-28T00:00:00"/>
    <n v="12.2"/>
    <s v="Familia González Arévalo"/>
    <s v="feryenis@hotmail.com"/>
    <s v="Calle Guacara Nro. 89-86"/>
    <s v="Colaboración reparación portón principal"/>
    <x v="10"/>
    <m/>
    <s v="01311"/>
    <s v="28 de junio de 2018"/>
    <n v="28"/>
    <x v="19"/>
    <s v="12,20"/>
    <e v="#NAME?"/>
  </r>
  <r>
    <n v="1312"/>
    <m/>
    <x v="0"/>
    <d v="2018-07-27T00:00:00"/>
    <n v="12.5"/>
    <s v="Familia Castro Jiménez"/>
    <s v="aurycastrojimenez@gmail.com"/>
    <s v="Calle Guacara Nro. 90-51"/>
    <s v="Colaboración reparación portón principal"/>
    <x v="10"/>
    <m/>
    <s v="01312"/>
    <s v="27 de julio de 2018"/>
    <n v="27"/>
    <x v="20"/>
    <s v="12,50"/>
    <e v="#NAME?"/>
  </r>
  <r>
    <n v="1313"/>
    <m/>
    <x v="0"/>
    <d v="2018-07-27T00:00:00"/>
    <n v="10"/>
    <s v="Amarilis Guerra"/>
    <s v="amarilisguerra1@yahoo.com"/>
    <s v="Calle Güigüe Nro. 89-96"/>
    <s v="Cancelación Vigilancia, mes de Julio 2018"/>
    <x v="0"/>
    <m/>
    <s v="01313"/>
    <s v="27 de julio de 2018"/>
    <n v="27"/>
    <x v="20"/>
    <s v="10,00"/>
    <e v="#NAME?"/>
  </r>
  <r>
    <n v="1314"/>
    <m/>
    <x v="0"/>
    <d v="2018-07-28T00:00:00"/>
    <n v="12.25"/>
    <s v="Wilson Escamilla"/>
    <s v="wilsonescamilla45@gmail.com"/>
    <s v="Calle Güigüe Nro. 89-89"/>
    <s v="Cancelación Vigilancia, ajuste mes de Junio y cancelación mes de Julio 2018"/>
    <x v="0"/>
    <m/>
    <s v="01314"/>
    <s v="28 de julio de 2018"/>
    <n v="28"/>
    <x v="20"/>
    <s v="12,25"/>
    <e v="#NAME?"/>
  </r>
  <r>
    <n v="1315"/>
    <m/>
    <x v="0"/>
    <d v="2018-07-28T00:00:00"/>
    <n v="12.2"/>
    <s v="Wilson Escamilla"/>
    <s v="wilsonescamilla45@gmail.com"/>
    <s v="Calle Güigüe Nro. 89-89"/>
    <s v="Colaboración reparación portón principal"/>
    <x v="10"/>
    <m/>
    <s v="01315"/>
    <s v="28 de julio de 2018"/>
    <n v="28"/>
    <x v="20"/>
    <s v="12,20"/>
    <e v="#NAME?"/>
  </r>
  <r>
    <n v="1316"/>
    <m/>
    <x v="0"/>
    <d v="2018-07-29T00:00:00"/>
    <n v="10"/>
    <s v="Familia Loponte Arteaga"/>
    <s v="En Físico"/>
    <s v="Calle Güigüe Nro. 88-120"/>
    <s v="Cancelación Vigilancia, mes de Agosto 2018"/>
    <x v="0"/>
    <m/>
    <s v="01316"/>
    <s v="29 de julio de 2018"/>
    <n v="29"/>
    <x v="20"/>
    <s v="10,00"/>
    <e v="#NAME?"/>
  </r>
  <r>
    <n v="1317"/>
    <m/>
    <x v="0"/>
    <d v="2018-07-29T00:00:00"/>
    <n v="12.2"/>
    <s v="Familia Loponte Arteaga"/>
    <s v="En Físico"/>
    <s v="Calle Güigüe Nro. 88-120"/>
    <s v="Colaboración reparación portón principal"/>
    <x v="10"/>
    <m/>
    <s v="01317"/>
    <s v="29 de julio de 2018"/>
    <n v="29"/>
    <x v="20"/>
    <s v="12,20"/>
    <e v="#NAME?"/>
  </r>
  <r>
    <n v="1318"/>
    <m/>
    <x v="0"/>
    <d v="2018-07-29T00:00:00"/>
    <n v="5"/>
    <s v="Gloria Molina"/>
    <s v="glomola2@yahoo.es"/>
    <s v="Calle Güigüe Nro. 89-71"/>
    <s v="Colaboración Vigilancia, mes de Junio 2017"/>
    <x v="0"/>
    <m/>
    <s v="01318"/>
    <s v="29 de julio de 2018"/>
    <n v="29"/>
    <x v="20"/>
    <s v="5,00"/>
    <e v="#NAME?"/>
  </r>
  <r>
    <n v="1319"/>
    <m/>
    <x v="0"/>
    <d v="2018-07-29T00:00:00"/>
    <n v="5"/>
    <s v="Gloria Molina"/>
    <s v="glomola2@yahoo.es"/>
    <s v="Calle Güigüe Nro. 89-71"/>
    <s v="Colaboración reparación portón principal"/>
    <x v="10"/>
    <m/>
    <s v="01319"/>
    <s v="29 de julio de 2018"/>
    <n v="29"/>
    <x v="20"/>
    <s v="5,00"/>
    <e v="#NAME?"/>
  </r>
  <r>
    <n v="1320"/>
    <m/>
    <x v="0"/>
    <d v="2018-07-31T00:00:00"/>
    <n v="10"/>
    <s v="Dra. Lilia Magallanes"/>
    <s v="liliamagallanes2010@gmail.com"/>
    <s v="Calle Güigüe Nro. 88-51"/>
    <s v="Cancelación Vigilancia, mes de Julio 2018"/>
    <x v="0"/>
    <m/>
    <s v="01320"/>
    <s v="31 de julio de 2018"/>
    <n v="31"/>
    <x v="20"/>
    <s v="10,00"/>
    <e v="#NAME?"/>
  </r>
  <r>
    <n v="1321"/>
    <m/>
    <x v="0"/>
    <d v="2018-07-31T00:00:00"/>
    <n v="2"/>
    <s v="Familia Triana González"/>
    <s v="En Físico"/>
    <s v="Calle Guacara Nro. 90-61"/>
    <s v="Colaboración Vigilancia, mes de Julio 2018"/>
    <x v="0"/>
    <m/>
    <s v="01321"/>
    <s v="31 de julio de 2018"/>
    <n v="31"/>
    <x v="20"/>
    <s v="2,00"/>
    <e v="#NAME?"/>
  </r>
  <r>
    <n v="1322"/>
    <m/>
    <x v="0"/>
    <d v="2018-07-31T00:00:00"/>
    <n v="12"/>
    <s v="Familia Narváez Caldera"/>
    <s v="jeannette_nc@yahoo.com"/>
    <s v="Calle Güigüe Nro. 87-A-11"/>
    <s v="Cancelación Vigilancia, saldo mes de Agosto 2018"/>
    <x v="0"/>
    <m/>
    <s v="01322"/>
    <s v="31 de julio de 2018"/>
    <n v="31"/>
    <x v="20"/>
    <s v="12,00"/>
    <e v="#NAME?"/>
  </r>
  <r>
    <n v="1323"/>
    <m/>
    <x v="0"/>
    <d v="2018-07-31T00:00:00"/>
    <n v="12.2"/>
    <s v="Familia Lomeña Agudo"/>
    <s v="claudialomena@hotmail.com"/>
    <s v="Calle Guacara Nro. 89-30"/>
    <s v="Cancelación Vigilancia, mes de Agosto 2018"/>
    <x v="0"/>
    <m/>
    <s v="01323"/>
    <s v="31 de julio de 2018"/>
    <n v="31"/>
    <x v="20"/>
    <s v="12,20"/>
    <e v="#NAME?"/>
  </r>
  <r>
    <n v="1324"/>
    <m/>
    <x v="0"/>
    <d v="2018-08-01T00:00:00"/>
    <n v="13.5"/>
    <s v="Isbeth Palacios"/>
    <s v="ispalparcpc@gmail.com"/>
    <s v="Calle Guacara Nro. 88-75"/>
    <s v="Cancelación Vigilancia, ajuste mes de Julio y cancelación mes de Agosto 2018"/>
    <x v="0"/>
    <m/>
    <s v="01324"/>
    <s v="01 de agosto de 2018"/>
    <n v="1"/>
    <x v="21"/>
    <s v="13,50"/>
    <e v="#NAME?"/>
  </r>
  <r>
    <n v="1325"/>
    <m/>
    <x v="0"/>
    <d v="2018-08-01T00:00:00"/>
    <n v="12.2"/>
    <s v="Isbeth Palacios"/>
    <s v="ispalparcpc@gmail.com"/>
    <s v="Calle Guacara Nro. 88-75"/>
    <s v="Colaboración reparación portón principal"/>
    <x v="10"/>
    <m/>
    <s v="01325"/>
    <s v="01 de agosto de 2018"/>
    <n v="1"/>
    <x v="21"/>
    <s v="12,20"/>
    <e v="#NAME?"/>
  </r>
  <r>
    <n v="1326"/>
    <m/>
    <x v="0"/>
    <d v="2018-08-01T00:00:00"/>
    <n v="12"/>
    <s v="Carmen Moreno"/>
    <s v="carmenemoreno10@gmail.com"/>
    <s v="Calle Güigüe Nro. 89-04"/>
    <s v="Cancelación Vigilancia, mes de Agosto 2018"/>
    <x v="0"/>
    <m/>
    <s v="01326"/>
    <s v="01 de agosto de 2018"/>
    <n v="1"/>
    <x v="21"/>
    <s v="12,00"/>
    <e v="#NAME?"/>
  </r>
  <r>
    <n v="1327"/>
    <m/>
    <x v="0"/>
    <d v="2018-08-01T00:00:00"/>
    <n v="12.2"/>
    <s v="Carmen Moreno"/>
    <s v="carmenemoreno10@gmail.com"/>
    <s v="Calle Güigüe Nro. 89-04"/>
    <s v="Colaboración reparación portón principal"/>
    <x v="10"/>
    <m/>
    <s v="01327"/>
    <s v="01 de agosto de 2018"/>
    <n v="1"/>
    <x v="21"/>
    <s v="12,20"/>
    <e v="#NAME?"/>
  </r>
  <r>
    <n v="1328"/>
    <m/>
    <x v="0"/>
    <d v="2018-08-01T00:00:00"/>
    <n v="22"/>
    <s v="Familia Franco Gómez"/>
    <s v="eof64@hotmail.com"/>
    <s v="Calle Guacara Nro. 87-07"/>
    <s v="Cancelación Vigilancia, meses de Julio y Agosto 2018"/>
    <x v="0"/>
    <m/>
    <s v="01328"/>
    <s v="01 de agosto de 2018"/>
    <n v="1"/>
    <x v="21"/>
    <s v="22,00"/>
    <e v="#NAME?"/>
  </r>
  <r>
    <n v="1329"/>
    <m/>
    <x v="0"/>
    <d v="2018-08-01T00:00:00"/>
    <n v="12.2"/>
    <s v="Familia Franco Gómez"/>
    <s v="eof64@hotmail.com"/>
    <s v="Calle Guacara Nro. 87-07"/>
    <s v="Colaboración reparación portón principal"/>
    <x v="10"/>
    <m/>
    <s v="01329"/>
    <s v="01 de agosto de 2018"/>
    <n v="1"/>
    <x v="21"/>
    <s v="12,20"/>
    <e v="#NAME?"/>
  </r>
  <r>
    <n v="1330"/>
    <m/>
    <x v="0"/>
    <d v="2018-08-01T00:00:00"/>
    <n v="12"/>
    <s v="Héctor Hernández"/>
    <s v="eof64@hotmail.com"/>
    <s v="Calle Guacara Nro. 89-94"/>
    <s v="Cancelación Vigilancia, mes de Agosto 2018"/>
    <x v="0"/>
    <m/>
    <s v="01330"/>
    <s v="01 de agosto de 2018"/>
    <n v="1"/>
    <x v="21"/>
    <s v="12,00"/>
    <e v="#NAME?"/>
  </r>
  <r>
    <n v="1331"/>
    <m/>
    <x v="0"/>
    <d v="2018-08-01T00:00:00"/>
    <n v="12.2"/>
    <s v="Héctor Hernández"/>
    <s v="eof64@hotmail.com"/>
    <s v="Calle Guacara Nro. 89-94"/>
    <s v="Colaboración reparación portón principal"/>
    <x v="10"/>
    <m/>
    <s v="01331"/>
    <s v="01 de agosto de 2018"/>
    <n v="1"/>
    <x v="21"/>
    <s v="12,20"/>
    <e v="#NAME?"/>
  </r>
  <r>
    <n v="1332"/>
    <m/>
    <x v="0"/>
    <d v="2018-08-01T00:00:00"/>
    <n v="25"/>
    <s v="Familia Milanés Carmona"/>
    <s v="yndira11m@gmail.com"/>
    <s v="Calle Güigüe Nro. 89-65"/>
    <s v="Cancelación Vigilancia, mes de Agosto y anticipo Septiembre 2018"/>
    <x v="0"/>
    <m/>
    <s v="01332"/>
    <s v="01 de agosto de 2018"/>
    <n v="1"/>
    <x v="21"/>
    <s v="25,00"/>
    <e v="#NAME?"/>
  </r>
  <r>
    <n v="1333"/>
    <m/>
    <x v="0"/>
    <d v="2018-08-01T00:00:00"/>
    <n v="12"/>
    <s v="Chin Chun Ya (Goya)"/>
    <s v="uc2721@gmail.com"/>
    <s v="Calle Guacara Nro. 87-86"/>
    <s v="Cancelación Vigilancia, mes de Agosto 2018"/>
    <x v="0"/>
    <m/>
    <s v="01333"/>
    <s v="01 de agosto de 2018"/>
    <n v="1"/>
    <x v="21"/>
    <s v="12,00"/>
    <e v="#NAME?"/>
  </r>
  <r>
    <n v="1334"/>
    <m/>
    <x v="0"/>
    <d v="2018-08-01T00:00:00"/>
    <n v="12"/>
    <s v="Familia Guerra Miret"/>
    <s v="antoniojguerrag@hotmail.com"/>
    <s v="Calle Güigüe Nro. 89-40"/>
    <s v="Cancelación Vigilancia, mes de Agosto 2018"/>
    <x v="0"/>
    <m/>
    <s v="01334"/>
    <s v="01 de agosto de 2018"/>
    <n v="1"/>
    <x v="21"/>
    <s v="12,00"/>
    <e v="#NAME?"/>
  </r>
  <r>
    <n v="1335"/>
    <m/>
    <x v="0"/>
    <d v="2018-08-01T00:00:00"/>
    <n v="12"/>
    <s v="Familia Jiménez Salvatierra"/>
    <s v="En Físico"/>
    <s v="Calle Güigüe Nro. 89-45"/>
    <s v="Cancelación Vigilancia, mes de Agosto 2018 (saldo a favor: Bs. 3.598.000)"/>
    <x v="0"/>
    <m/>
    <s v="01335"/>
    <s v="01 de agosto de 2018"/>
    <n v="1"/>
    <x v="21"/>
    <s v="12,00"/>
    <e v="#NAME?"/>
  </r>
  <r>
    <n v="1336"/>
    <m/>
    <x v="0"/>
    <d v="2018-08-01T00:00:00"/>
    <n v="17.399999999999999"/>
    <s v="Colegio El Trigal"/>
    <s v="En Físico"/>
    <s v="Calle Güigüe Nros. 88-71 y 88-81"/>
    <s v="Cancelación Vigilancia, mes de Agosto 2018"/>
    <x v="0"/>
    <m/>
    <s v="01336"/>
    <s v="01 de agosto de 2018"/>
    <n v="1"/>
    <x v="21"/>
    <s v="17,40"/>
    <e v="#NAME?"/>
  </r>
  <r>
    <n v="1337"/>
    <m/>
    <x v="0"/>
    <d v="2018-08-01T00:00:00"/>
    <n v="12"/>
    <s v="Familia Ozar Rivero"/>
    <s v="vanessarivero81@hotmail.com"/>
    <s v="Calle Güigüe Nro. 88-06"/>
    <s v="Cancelación Vigilancia, mes de Agosto 2018 (saldo a favor: Bs. 2.055.000)"/>
    <x v="0"/>
    <m/>
    <s v="01337"/>
    <s v="01 de agosto de 2018"/>
    <n v="1"/>
    <x v="21"/>
    <s v="12,00"/>
    <e v="#NAME?"/>
  </r>
  <r>
    <n v="1338"/>
    <m/>
    <x v="0"/>
    <d v="2018-08-01T00:00:00"/>
    <n v="12"/>
    <s v="Familia López Hermoso"/>
    <s v="lopez.humberto14@yahoo.com.ve"/>
    <s v="Calle Güigüe Nro. 89-79"/>
    <s v="Cancelación Vigilancia, mes de Agosto 2018 (saldo a favor: Bs. 1.155.000)"/>
    <x v="0"/>
    <m/>
    <s v="01338"/>
    <s v="01 de agosto de 2018"/>
    <n v="1"/>
    <x v="21"/>
    <s v="12,00"/>
    <e v="#NAME?"/>
  </r>
  <r>
    <n v="1339"/>
    <m/>
    <x v="0"/>
    <d v="2018-08-01T00:00:00"/>
    <n v="12"/>
    <s v="Familia Wu Acevedo"/>
    <s v="rudyacevedo90@gmail.com"/>
    <s v="Calle Guacara Nro. 88-A-10"/>
    <s v="Cancelación Vigilancia, mes de Agosto 2018 (saldo a favor: Bs. 580.000)"/>
    <x v="0"/>
    <m/>
    <s v="01339"/>
    <s v="01 de agosto de 2018"/>
    <n v="1"/>
    <x v="21"/>
    <s v="12,00"/>
    <e v="#NAME?"/>
  </r>
  <r>
    <n v="1340"/>
    <m/>
    <x v="0"/>
    <d v="2018-08-01T00:00:00"/>
    <n v="12"/>
    <s v="Familia Del Negro Palermo"/>
    <s v="vdelnegro@gmail.com"/>
    <s v="Calle Guacara Nro. 88-45"/>
    <s v="Cancelación Vigilancia, mes de Agosto 2018 (saldo a favor: Bs. 2.295.000)"/>
    <x v="0"/>
    <m/>
    <s v="01340"/>
    <s v="01 de agosto de 2018"/>
    <n v="1"/>
    <x v="21"/>
    <s v="12,00"/>
    <e v="#NAME?"/>
  </r>
  <r>
    <n v="1341"/>
    <m/>
    <x v="0"/>
    <d v="2018-08-01T00:00:00"/>
    <n v="9.9"/>
    <s v="Ely Saúl Rivero Gómez"/>
    <s v="hhs.admon@gmail.com"/>
    <s v="Av. &quot;Ñ&quot; Nro. 145-25"/>
    <s v="Anticipo Vigilancia, mes de Agosto 2018 (saldo pendiente: Bs. 210.000)"/>
    <x v="0"/>
    <m/>
    <s v="01341"/>
    <s v="01 de agosto de 2018"/>
    <n v="1"/>
    <x v="21"/>
    <s v="9,90"/>
    <e v="#NAME?"/>
  </r>
  <r>
    <n v="1342"/>
    <m/>
    <x v="0"/>
    <d v="2018-08-02T00:00:00"/>
    <n v="2.0999999999999996"/>
    <s v="Ely Saúl Rivero Gómez"/>
    <s v="hhs.admon@gmail.com"/>
    <s v="Av. &quot;Ñ&quot; Nro. 145-25"/>
    <s v="Cancelación Vigilancia, saldo mes de Agosto 2018 (saldo a favor: Bs. 7.200.000)"/>
    <x v="0"/>
    <m/>
    <s v="01342"/>
    <s v="02 de agosto de 2018"/>
    <n v="2"/>
    <x v="21"/>
    <s v="2,10"/>
    <e v="#NAME?"/>
  </r>
  <r>
    <n v="1343"/>
    <m/>
    <x v="0"/>
    <d v="2018-08-02T00:00:00"/>
    <n v="12"/>
    <s v="Familia Costermani Terrer"/>
    <s v="claudiacostermani@hotmail.com"/>
    <s v="Calle Güigüe Nro. 88-11"/>
    <s v="Cancelación Vigilancia, mes de Agosto 2018"/>
    <x v="0"/>
    <m/>
    <s v="01343"/>
    <s v="02 de agosto de 2018"/>
    <n v="2"/>
    <x v="21"/>
    <s v="12,00"/>
    <e v="#NAME?"/>
  </r>
  <r>
    <n v="1344"/>
    <m/>
    <x v="0"/>
    <d v="2018-07-30T00:00:00"/>
    <n v="10"/>
    <s v="Familia Manrique Riera"/>
    <s v="patriciamanrique@gmail.com"/>
    <s v="Calle Guacara Nro. 89-40"/>
    <s v="Cancelación Vigilancia, mes de Julio 2018"/>
    <x v="0"/>
    <m/>
    <s v="01344"/>
    <s v="30 de julio de 2018"/>
    <n v="30"/>
    <x v="20"/>
    <s v="10,00"/>
    <e v="#NAME?"/>
  </r>
  <r>
    <n v="1345"/>
    <m/>
    <x v="0"/>
    <d v="2018-08-03T00:00:00"/>
    <n v="6"/>
    <s v="Familia Méndez Parra"/>
    <s v="briceidademendez@gmail.com"/>
    <s v="Calle Guacara Nro. 88-19"/>
    <s v="Colaboración Vigilancia, mes de Julio 2018"/>
    <x v="0"/>
    <m/>
    <s v="01345"/>
    <s v="03 de agosto de 2018"/>
    <n v="3"/>
    <x v="21"/>
    <s v="6,00"/>
    <e v="#NAME?"/>
  </r>
  <r>
    <n v="1346"/>
    <m/>
    <x v="0"/>
    <d v="2018-08-03T00:00:00"/>
    <n v="12"/>
    <s v="Familia Méndez Parra"/>
    <s v="briceidademendez@gmail.com"/>
    <s v="Calle Guacara Nro. 88-19"/>
    <s v="Colaboración reparación portón principal"/>
    <x v="10"/>
    <m/>
    <s v="01346"/>
    <s v="03 de agosto de 2018"/>
    <n v="3"/>
    <x v="21"/>
    <s v="12,00"/>
    <e v="#NAME?"/>
  </r>
  <r>
    <n v="1347"/>
    <m/>
    <x v="0"/>
    <d v="2018-08-04T00:00:00"/>
    <n v="6"/>
    <s v="Amarilis Guerra"/>
    <s v="amarilisguerra1@yahoo.com"/>
    <s v="Calle Güigüe Nro. 89-96"/>
    <s v="Colaboración reparación portón principal"/>
    <x v="10"/>
    <m/>
    <s v="01347"/>
    <s v="04 de agosto de 2018"/>
    <n v="4"/>
    <x v="21"/>
    <s v="6,00"/>
    <e v="#NAME?"/>
  </r>
  <r>
    <n v="1348"/>
    <m/>
    <x v="0"/>
    <d v="2018-08-06T00:00:00"/>
    <n v="8.75"/>
    <s v="Familia Navarrete Medina"/>
    <s v="juanin1919@yahoo.com"/>
    <s v="Calle Güigüe Nro. 89-22"/>
    <s v="Cancelación Vigilancia, saldo mes de Julio y anticipo mes de Agosto 2018"/>
    <x v="0"/>
    <m/>
    <s v="01348"/>
    <s v="06 de agosto de 2018"/>
    <n v="6"/>
    <x v="21"/>
    <s v="8,75"/>
    <e v="#NAME?"/>
  </r>
  <r>
    <n v="1349"/>
    <m/>
    <x v="0"/>
    <d v="2018-08-06T00:00:00"/>
    <n v="12.2"/>
    <s v="Sra. Reina Meléndez"/>
    <s v="olgajipe@gmail.com"/>
    <s v="Av. &quot;M&quot; Nro. 145-10"/>
    <s v="Colaboración reparación portón principal"/>
    <x v="10"/>
    <m/>
    <s v="01349"/>
    <s v="06 de agosto de 2018"/>
    <n v="6"/>
    <x v="21"/>
    <s v="12,20"/>
    <e v="#NAME?"/>
  </r>
  <r>
    <n v="1350"/>
    <m/>
    <x v="0"/>
    <d v="2018-08-06T00:00:00"/>
    <n v="22"/>
    <s v="Yuraima Rodríguez"/>
    <s v="En Físico"/>
    <s v="Calle Guacara Nro. 89-70"/>
    <s v="Cancelación Vigilancia, meses de Julio y Agosto 2018"/>
    <x v="0"/>
    <m/>
    <s v="01350"/>
    <s v="06 de agosto de 2018"/>
    <n v="6"/>
    <x v="21"/>
    <s v="22,00"/>
    <e v="#NAME?"/>
  </r>
  <r>
    <n v="1351"/>
    <m/>
    <x v="0"/>
    <d v="2018-08-06T00:00:00"/>
    <n v="10"/>
    <s v="Familia Il Grande Franceschi"/>
    <s v="arcifran75@hotmail.com"/>
    <s v="Av. &quot;I&quot; Nro. 146-40"/>
    <s v="Cancelación Vigilancia, mes de Julio 2018"/>
    <x v="0"/>
    <m/>
    <s v="01351"/>
    <s v="06 de agosto de 2018"/>
    <n v="6"/>
    <x v="21"/>
    <s v="10,00"/>
    <e v="#NAME?"/>
  </r>
  <r>
    <n v="1352"/>
    <m/>
    <x v="0"/>
    <d v="2018-08-06T00:00:00"/>
    <n v="14.25"/>
    <s v="Familia Il Grande Franceschi"/>
    <s v="arcifran75@hotmail.com"/>
    <s v="Av. &quot;I&quot; Nro. 146-40"/>
    <s v="Cancelación Vigilancia, ajuste mes de Junio y cancelación mes de Agosto 2018"/>
    <x v="0"/>
    <m/>
    <s v="01352"/>
    <s v="06 de agosto de 2018"/>
    <n v="6"/>
    <x v="21"/>
    <s v="14,25"/>
    <e v="#NAME?"/>
  </r>
  <r>
    <n v="1353"/>
    <m/>
    <x v="0"/>
    <d v="2018-08-06T00:00:00"/>
    <n v="12"/>
    <s v="Familia Ferrer Bahri"/>
    <s v="bahrimariela@hotmail.com"/>
    <s v="Calle Güigüe Nro. 89-83"/>
    <s v="Cancelación Vigilancia, mes de Agosto 2018"/>
    <x v="0"/>
    <m/>
    <s v="01353"/>
    <s v="06 de agosto de 2018"/>
    <n v="6"/>
    <x v="21"/>
    <s v="12,00"/>
    <e v="#NAME?"/>
  </r>
  <r>
    <n v="1354"/>
    <m/>
    <x v="0"/>
    <d v="2018-08-07T00:00:00"/>
    <n v="14"/>
    <s v="Familia Loponte Arteaga"/>
    <s v="En Físico"/>
    <s v="Calle Güigüe Nro. 88-120"/>
    <s v="Cancelación Vigilancia, saldo mes de Agosto y anticipo mes de Septiembre 2018"/>
    <x v="0"/>
    <m/>
    <s v="01354"/>
    <s v="07 de agosto de 2018"/>
    <n v="7"/>
    <x v="21"/>
    <s v="14,00"/>
    <e v="#NAME?"/>
  </r>
  <r>
    <n v="1355"/>
    <m/>
    <x v="0"/>
    <d v="2018-08-07T00:00:00"/>
    <n v="8"/>
    <s v="Zoraida Khair"/>
    <s v="zorakhair@hotmail.com"/>
    <s v="Calle Güigüe Nro. 88-80"/>
    <s v="Cancelación Vigilancia, saldo mes de Agosto 2018 (saldo a favor Bs. 10.155.000)"/>
    <x v="0"/>
    <m/>
    <s v="01355"/>
    <s v="07 de agosto de 2018"/>
    <n v="7"/>
    <x v="21"/>
    <s v="8,00"/>
    <e v="#NAME?"/>
  </r>
  <r>
    <n v="1356"/>
    <m/>
    <x v="0"/>
    <d v="2018-08-06T00:00:00"/>
    <n v="15"/>
    <s v="Familia Durvelle Serrano"/>
    <s v="sdurvelle@hotmail.com"/>
    <s v="Calle Guacara Nro. 89-60"/>
    <s v="Cancelación Vigilancia, mes de Agosto y anticipo mes de Septiembre 2018"/>
    <x v="0"/>
    <m/>
    <s v="01356"/>
    <s v="06 de agosto de 2018"/>
    <n v="6"/>
    <x v="21"/>
    <s v="15,00"/>
    <e v="#NAME?"/>
  </r>
  <r>
    <n v="1357"/>
    <m/>
    <x v="0"/>
    <d v="2018-08-07T00:00:00"/>
    <n v="12"/>
    <s v="Familia Colosso Delgado"/>
    <s v="mcolosso@gmail.com"/>
    <s v="Calle Güigüe Nro. 88-44"/>
    <s v="Cancelación Vigilancia, mes de Agosto 2018"/>
    <x v="0"/>
    <m/>
    <s v="01357"/>
    <s v="07 de agosto de 2018"/>
    <n v="7"/>
    <x v="21"/>
    <s v="12,00"/>
    <e v="#NAME?"/>
  </r>
  <r>
    <n v="1358"/>
    <m/>
    <x v="0"/>
    <d v="2018-08-08T00:00:00"/>
    <n v="12"/>
    <s v="Familia Delgado Hidalgo"/>
    <s v="ardh@hotmail.com"/>
    <s v="Calle Güigüe Nro. 88-10"/>
    <s v="Cancelación Vigilancia, mes de Agosto 2018"/>
    <x v="0"/>
    <m/>
    <s v="01358"/>
    <s v="08 de agosto de 2018"/>
    <n v="8"/>
    <x v="21"/>
    <s v="12,00"/>
    <e v="#NAME?"/>
  </r>
  <r>
    <n v="1359"/>
    <m/>
    <x v="0"/>
    <d v="2018-08-10T00:00:00"/>
    <n v="1"/>
    <s v="Familia Chávez Hernández"/>
    <s v="mercedesch23@hotmail.com"/>
    <s v="Calle Güigüe Nro. 88-20"/>
    <s v="Colaboración Vigilancia, mes de Julio 2018"/>
    <x v="0"/>
    <m/>
    <s v="01359"/>
    <s v="10 de agosto de 2018"/>
    <n v="10"/>
    <x v="21"/>
    <s v="1,00"/>
    <e v="#NAME?"/>
  </r>
  <r>
    <n v="1360"/>
    <m/>
    <x v="0"/>
    <d v="2018-08-12T00:00:00"/>
    <n v="12"/>
    <s v="Familia Fermín Rivas"/>
    <s v="angelferminb@gmail.com"/>
    <s v="Calle Güigüe Nro. 89-55"/>
    <s v="Cancelación Vigilancia, mes de Agosto 2018"/>
    <x v="0"/>
    <m/>
    <s v="01360"/>
    <s v="12 de agosto de 2018"/>
    <n v="12"/>
    <x v="21"/>
    <s v="12,00"/>
    <e v="#NAME?"/>
  </r>
  <r>
    <n v="1361"/>
    <m/>
    <x v="0"/>
    <d v="2018-08-12T00:00:00"/>
    <n v="12"/>
    <s v="Familia Acosta Carpio"/>
    <s v="pablo962@hotmail.com"/>
    <s v="Calle Güigüe Nro. 89-10"/>
    <s v="Cancelación Vigilancia, mes de Agosto 2018"/>
    <x v="0"/>
    <m/>
    <s v="01361"/>
    <s v="12 de agosto de 2018"/>
    <n v="12"/>
    <x v="21"/>
    <s v="12,00"/>
    <e v="#NAME?"/>
  </r>
  <r>
    <n v="1362"/>
    <m/>
    <x v="0"/>
    <d v="2018-08-12T00:00:00"/>
    <n v="12"/>
    <s v="Familia Arcia Polanco"/>
    <s v="misipo29@gmail.com"/>
    <s v="Calle Guacara Nro. 89-20"/>
    <s v="Cancelación Vigilancia, mes de Agosto 2018"/>
    <x v="0"/>
    <m/>
    <s v="01362"/>
    <s v="12 de agosto de 2018"/>
    <n v="12"/>
    <x v="21"/>
    <s v="12,00"/>
    <e v="#NAME?"/>
  </r>
  <r>
    <n v="1363"/>
    <m/>
    <x v="0"/>
    <d v="2018-08-12T00:00:00"/>
    <n v="12"/>
    <s v="Familia Flores Montagne"/>
    <s v="martaflores@gmail.com"/>
    <s v="Av. &quot;M&quot; Nro. 146-20"/>
    <s v="Cancelación Vigilancia, mes de Agosto 2018"/>
    <x v="0"/>
    <m/>
    <s v="01363"/>
    <s v="12 de agosto de 2018"/>
    <n v="12"/>
    <x v="21"/>
    <s v="12,00"/>
    <e v="#NAME?"/>
  </r>
  <r>
    <n v="1364"/>
    <m/>
    <x v="0"/>
    <d v="2018-08-13T00:00:00"/>
    <n v="12"/>
    <s v="Sra. Reina Meléndez"/>
    <s v="olgajipe@gmail.com"/>
    <s v="Av. &quot;M&quot; Nro. 145-10"/>
    <s v="Cancelación Vigilancia, mes de Agosto 2018"/>
    <x v="0"/>
    <m/>
    <s v="01364"/>
    <s v="13 de agosto de 2018"/>
    <n v="13"/>
    <x v="21"/>
    <s v="12,00"/>
    <e v="#NAME?"/>
  </r>
  <r>
    <n v="1365"/>
    <m/>
    <x v="0"/>
    <d v="2018-08-13T00:00:00"/>
    <n v="12"/>
    <s v="Familia Montilla García"/>
    <s v="dairy252525@hotmail.com"/>
    <s v="Calle Güigüe Nro. 89-90"/>
    <s v="Cancelación Vigilancia, mes de Agosto 2018"/>
    <x v="0"/>
    <m/>
    <s v="01365"/>
    <s v="13 de agosto de 2018"/>
    <n v="13"/>
    <x v="21"/>
    <s v="12,00"/>
    <e v="#NAME?"/>
  </r>
  <r>
    <n v="1366"/>
    <m/>
    <x v="0"/>
    <d v="2018-08-13T00:00:00"/>
    <n v="12"/>
    <s v="Familia Scabuzzo Gómez"/>
    <s v="sfscabuzzo@msn.com"/>
    <s v="Av. &quot;I&quot; Nro. 146-20"/>
    <s v="Cancelación Vigilancia, mes de Agosto 2018"/>
    <x v="0"/>
    <m/>
    <s v="01366"/>
    <s v="13 de agosto de 2018"/>
    <n v="13"/>
    <x v="21"/>
    <s v="12,00"/>
    <e v="#NAME?"/>
  </r>
  <r>
    <n v="1367"/>
    <m/>
    <x v="0"/>
    <d v="2018-08-14T00:00:00"/>
    <n v="12"/>
    <s v="Familia Kablan Sarmiento"/>
    <s v="norisjsb56@hotmail.com"/>
    <s v="Calle Güigüe Nro. 89-80"/>
    <s v="Cancelación Vigilancia, mes de Agosto 2018"/>
    <x v="0"/>
    <m/>
    <s v="01367"/>
    <s v="14 de agosto de 2018"/>
    <n v="14"/>
    <x v="21"/>
    <s v="12,00"/>
    <e v="#NAME?"/>
  </r>
  <r>
    <n v="1368"/>
    <m/>
    <x v="0"/>
    <d v="2018-08-15T00:00:00"/>
    <n v="4"/>
    <s v="Familia Astor Zamora"/>
    <s v="imzastor@gmail.com"/>
    <s v="Calle Güigüe Nro. 88-111"/>
    <s v="Cancelación Vigilancia, mes de Mayo 2018"/>
    <x v="0"/>
    <m/>
    <s v="01368"/>
    <s v="15 de agosto de 2018"/>
    <n v="15"/>
    <x v="21"/>
    <s v="4,00"/>
    <e v="#NAME?"/>
  </r>
  <r>
    <n v="1369"/>
    <m/>
    <x v="0"/>
    <d v="2018-08-15T00:00:00"/>
    <n v="9.5"/>
    <s v="Familia Kattar González"/>
    <s v="jagiak123@yahoo.es"/>
    <s v="Calle Güigüe Nro. 89-95"/>
    <s v="Cancelación Vigilancia, saldo meses de Julio y Agosto 2018"/>
    <x v="0"/>
    <m/>
    <s v="01369"/>
    <s v="15 de agosto de 2018"/>
    <n v="15"/>
    <x v="21"/>
    <s v="9,50"/>
    <e v="#NAME?"/>
  </r>
  <r>
    <n v="1370"/>
    <m/>
    <x v="0"/>
    <d v="2018-08-15T00:00:00"/>
    <n v="30.5"/>
    <s v="Familia Kattar González"/>
    <s v="jagiak123@yahoo.es"/>
    <s v="Calle Güigüe Nro. 89-95"/>
    <s v="Donación para vigilante Ana María Mogollón"/>
    <x v="7"/>
    <m/>
    <s v="01370"/>
    <s v="15 de agosto de 2018"/>
    <n v="15"/>
    <x v="21"/>
    <s v="30,50"/>
    <e v="#NAME?"/>
  </r>
  <r>
    <n v="1371"/>
    <m/>
    <x v="0"/>
    <d v="2018-08-15T00:00:00"/>
    <n v="8"/>
    <s v="Familia Machado Stoppa"/>
    <s v="machadoru@hotmail.com"/>
    <s v="Calle Guacara Nro. 88-85"/>
    <s v="Cancelación Vigilancia, saldo mes de Agosto 2018"/>
    <x v="0"/>
    <m/>
    <s v="01371"/>
    <s v="15 de agosto de 2018"/>
    <n v="15"/>
    <x v="21"/>
    <s v="8,00"/>
    <e v="#NAME?"/>
  </r>
  <r>
    <n v="1372"/>
    <m/>
    <x v="0"/>
    <d v="2018-08-15T00:00:00"/>
    <n v="12"/>
    <s v="Familia Barreto Pérez"/>
    <s v="bbetsa19@hotmail.com"/>
    <s v="Av. &quot;M&quot; Nro. 146-15"/>
    <s v="Cancelación Vigilancia, mes de Agosto 2018"/>
    <x v="0"/>
    <m/>
    <s v="01372"/>
    <s v="15 de agosto de 2018"/>
    <n v="15"/>
    <x v="21"/>
    <s v="12,00"/>
    <e v="#NAME?"/>
  </r>
  <r>
    <n v="1373"/>
    <m/>
    <x v="0"/>
    <d v="2018-08-16T00:00:00"/>
    <n v="12"/>
    <s v="Familia Nava Gordon"/>
    <s v="maru_19_66@hotmail.com"/>
    <s v="Calle Guacara Nro. 89-78"/>
    <s v="Cancelación Vigilancia, mes de Agosto 2018"/>
    <x v="0"/>
    <m/>
    <s v="01373"/>
    <s v="16 de agosto de 2018"/>
    <n v="16"/>
    <x v="21"/>
    <s v="12,00"/>
    <e v="#NAME?"/>
  </r>
  <r>
    <n v="1374"/>
    <m/>
    <x v="0"/>
    <d v="2018-08-16T00:00:00"/>
    <n v="12"/>
    <s v="Beatriz Lara"/>
    <s v="valentina.gutierrez@hotmail.com"/>
    <s v="Calle Guacara Nro. 89-130"/>
    <s v="Cancelación Vigilancia, mes de Agosto 2018"/>
    <x v="0"/>
    <m/>
    <s v="01374"/>
    <s v="16 de agosto de 2018"/>
    <n v="16"/>
    <x v="21"/>
    <s v="12,00"/>
    <e v="#NAME?"/>
  </r>
  <r>
    <n v="1375"/>
    <m/>
    <x v="0"/>
    <d v="2018-08-16T00:00:00"/>
    <n v="12"/>
    <s v="Familia Díaz González"/>
    <s v="luisrdt57@gmail.com"/>
    <s v="Calle Güigüe Nro. 88-116"/>
    <s v="Cancelación Vigilancia, mes de Agosto 2018"/>
    <x v="0"/>
    <m/>
    <s v="01375"/>
    <s v="16 de agosto de 2018"/>
    <n v="16"/>
    <x v="21"/>
    <s v="12,00"/>
    <e v="#NAME?"/>
  </r>
  <r>
    <n v="1376"/>
    <m/>
    <x v="0"/>
    <d v="2018-08-16T00:00:00"/>
    <n v="13.5"/>
    <s v="Familia Matta Palomino"/>
    <s v="En Físico"/>
    <s v="Calle Güigüe Nro. 88-90"/>
    <s v="Cancelación Vigilancia, saldo mes de Julio y cancelación mes de Agosto 2018"/>
    <x v="0"/>
    <m/>
    <s v="01376"/>
    <s v="16 de agosto de 2018"/>
    <n v="16"/>
    <x v="21"/>
    <s v="13,50"/>
    <e v="#NAME?"/>
  </r>
  <r>
    <n v="1377"/>
    <m/>
    <x v="0"/>
    <d v="2018-08-18T00:00:00"/>
    <n v="11"/>
    <s v="La Casita Encantada"/>
    <s v="En Físico"/>
    <s v="Av. &quot;M&quot; Nro. 146-30"/>
    <s v="Cancelación Vigilancia, anticipo mes de Agosto 2018"/>
    <x v="0"/>
    <m/>
    <s v="01377"/>
    <s v="18 de agosto de 2018"/>
    <n v="18"/>
    <x v="21"/>
    <s v="11,00"/>
    <e v="#NAME?"/>
  </r>
  <r>
    <n v="1378"/>
    <m/>
    <x v="0"/>
    <d v="2018-08-19T00:00:00"/>
    <n v="12"/>
    <s v="Amarilis Guerra"/>
    <s v="amarilisguerra1@yahoo.com"/>
    <s v="Calle Güigüe Nro. 89-96"/>
    <s v="Cancelación Vigilancia, mes de Agosto 2018"/>
    <x v="0"/>
    <m/>
    <s v="01378"/>
    <s v="19 de agosto de 2018"/>
    <n v="19"/>
    <x v="21"/>
    <s v="12,00"/>
    <e v="#NAME?"/>
  </r>
  <r>
    <n v="1379"/>
    <m/>
    <x v="0"/>
    <d v="2018-08-19T00:00:00"/>
    <n v="6"/>
    <s v="Amarilis Guerra"/>
    <s v="amarilisguerra1@yahoo.com"/>
    <s v="Calle Güigüe Nro. 89-96"/>
    <s v="Colaboración reparación portón principal"/>
    <x v="10"/>
    <m/>
    <s v="01379"/>
    <s v="19 de agosto de 2018"/>
    <n v="19"/>
    <x v="21"/>
    <s v="6,00"/>
    <e v="#NAME?"/>
  </r>
  <r>
    <n v="1380"/>
    <m/>
    <x v="0"/>
    <d v="2018-08-22T00:00:00"/>
    <n v="12"/>
    <s v="Familia Navarro Assing"/>
    <s v="liliaassing@gmail.com"/>
    <s v="Calle Güigüe Nro. 88-54"/>
    <s v="Cancelación Vigilancia, mes de Agosto 2018"/>
    <x v="0"/>
    <m/>
    <s v="01380"/>
    <s v="22 de agosto de 2018"/>
    <n v="22"/>
    <x v="21"/>
    <s v="12,00"/>
    <e v="#NAME?"/>
  </r>
  <r>
    <n v="1381"/>
    <m/>
    <x v="0"/>
    <d v="2018-08-23T00:00:00"/>
    <n v="12"/>
    <s v="Familia Piñero Padilla"/>
    <s v="achepaul2005@hotmail.com"/>
    <s v="Calle Güigüe Nro. 89-21"/>
    <s v="Cancelación Vigilancia, mes de Agosto 2018"/>
    <x v="0"/>
    <m/>
    <s v="01381"/>
    <s v="23 de agosto de 2018"/>
    <n v="23"/>
    <x v="21"/>
    <s v="12,00"/>
    <e v="#NAME?"/>
  </r>
  <r>
    <n v="1382"/>
    <m/>
    <x v="0"/>
    <d v="2018-08-23T00:00:00"/>
    <n v="11.5"/>
    <s v="Familia Navarrete Medina"/>
    <s v="juanin1919@yahoo.com"/>
    <s v="Calle Güigüe Nro. 89-22"/>
    <s v="Cancelación Vigilancia, saldo mes de Agosto 2018"/>
    <x v="0"/>
    <m/>
    <s v="01382"/>
    <s v="23 de agosto de 2018"/>
    <n v="23"/>
    <x v="21"/>
    <s v="11,50"/>
    <e v="#NAME?"/>
  </r>
  <r>
    <n v="1383"/>
    <m/>
    <x v="0"/>
    <d v="2018-08-23T00:00:00"/>
    <n v="12"/>
    <s v="Familia Castro Jiménez"/>
    <s v="aurycastrojimenez@gmail.com"/>
    <s v="Calle Guacara Nro. 90-51"/>
    <s v="Cancelación Vigilancia, mes de Agosto 2018"/>
    <x v="0"/>
    <m/>
    <s v="01383"/>
    <s v="23 de agosto de 2018"/>
    <n v="23"/>
    <x v="21"/>
    <s v="12,00"/>
    <e v="#NAME?"/>
  </r>
  <r>
    <n v="1384"/>
    <m/>
    <x v="0"/>
    <d v="2018-08-23T00:00:00"/>
    <n v="2"/>
    <s v="Familia Castro Jiménez"/>
    <s v="aurycastrojimenez@gmail.com"/>
    <s v="Calle Guacara Nro. 90-51"/>
    <s v="Colaboración para comida de vigilantes"/>
    <x v="9"/>
    <m/>
    <s v="01384"/>
    <s v="23 de agosto de 2018"/>
    <n v="23"/>
    <x v="21"/>
    <s v="2,00"/>
    <e v="#NAME?"/>
  </r>
  <r>
    <n v="1385"/>
    <m/>
    <x v="0"/>
    <d v="2018-08-23T00:00:00"/>
    <n v="24"/>
    <s v="Familia Hatem Medina"/>
    <s v="hhatem1@hotmail.com"/>
    <s v="Calle Guacara Nro. 88-51"/>
    <s v="Cancelación Vigilancia, mes de Agosto y anticipo mes de Septiembre 2018"/>
    <x v="0"/>
    <m/>
    <s v="01385"/>
    <s v="23 de agosto de 2018"/>
    <n v="23"/>
    <x v="21"/>
    <s v="24,00"/>
    <e v="#NAME?"/>
  </r>
  <r>
    <n v="1386"/>
    <m/>
    <x v="0"/>
    <d v="2018-08-23T00:00:00"/>
    <n v="12"/>
    <s v="Familia González Arévalo"/>
    <s v="feryenis@hotmail.com"/>
    <s v="Calle Guacara Nro. 89-86"/>
    <s v="Cancelación Vigilancia, mes de Agosto 2018"/>
    <x v="0"/>
    <m/>
    <s v="01386"/>
    <s v="23 de agosto de 2018"/>
    <n v="23"/>
    <x v="21"/>
    <s v="12,00"/>
    <e v="#NAME?"/>
  </r>
  <r>
    <n v="1387"/>
    <m/>
    <x v="0"/>
    <d v="2018-08-23T00:00:00"/>
    <n v="12"/>
    <s v="Familia Rodríguez Landaeta"/>
    <s v="mrl58@hotmail.com"/>
    <s v="Calle Güigüe Nro. 89-29"/>
    <s v="Cancelación Vigilancia, mes de Agosto 2018"/>
    <x v="0"/>
    <m/>
    <s v="01387"/>
    <s v="23 de agosto de 2018"/>
    <n v="23"/>
    <x v="21"/>
    <s v="12,00"/>
    <e v="#NAME?"/>
  </r>
  <r>
    <n v="1388"/>
    <m/>
    <x v="0"/>
    <d v="2018-08-23T00:00:00"/>
    <n v="12"/>
    <s v="Familia Manrique Riera"/>
    <s v="patriciamanrique@gmail.com"/>
    <s v="Calle Guacara Nro. 89-40"/>
    <s v="Cancelación Vigilancia, mes de Agosto 2018"/>
    <x v="0"/>
    <m/>
    <s v="01388"/>
    <s v="23 de agosto de 2018"/>
    <n v="23"/>
    <x v="21"/>
    <s v="12,00"/>
    <e v="#NAME?"/>
  </r>
  <r>
    <n v="1389"/>
    <m/>
    <x v="0"/>
    <d v="2018-08-23T00:00:00"/>
    <n v="12"/>
    <s v="Familia Puerta Burguillos"/>
    <s v="namaricakes@gmail.com"/>
    <s v="Calle Guacara Nro. 87-100"/>
    <s v="Cancelación Vigilancia, mes de Agosto 2018"/>
    <x v="0"/>
    <m/>
    <s v="01389"/>
    <s v="23 de agosto de 2018"/>
    <n v="23"/>
    <x v="21"/>
    <s v="12,00"/>
    <e v="#NAME?"/>
  </r>
  <r>
    <n v="1390"/>
    <m/>
    <x v="0"/>
    <d v="2018-08-24T00:00:00"/>
    <n v="12"/>
    <s v="Familia Rodríguez Aular"/>
    <s v="mvaular@hotmail.com"/>
    <s v="Calle Güigüe Nro. 88-58"/>
    <s v="Cancelación Vigilancia, mes de Agosto 2018"/>
    <x v="0"/>
    <m/>
    <s v="01390"/>
    <s v="24 de agosto de 2018"/>
    <n v="24"/>
    <x v="21"/>
    <s v="12,00"/>
    <e v="#NAME?"/>
  </r>
  <r>
    <n v="1391"/>
    <m/>
    <x v="0"/>
    <d v="2018-08-25T00:00:00"/>
    <n v="12"/>
    <s v="Dra. Lilia Magallanes"/>
    <s v="liliamagallanes2010@gmail.com"/>
    <s v="Calle Güigüe Nro. 88-51"/>
    <s v="Cancelación Vigilancia, mes de Agosto 2018"/>
    <x v="0"/>
    <m/>
    <s v="01391"/>
    <s v="25 de agosto de 2018"/>
    <n v="25"/>
    <x v="21"/>
    <s v="12,00"/>
    <e v="#NAME?"/>
  </r>
  <r>
    <n v="1392"/>
    <m/>
    <x v="0"/>
    <d v="2018-08-27T00:00:00"/>
    <n v="2.2000000000000002"/>
    <s v="La Casita Encantada"/>
    <s v="En Físico"/>
    <s v="Av. &quot;M&quot; Nro. 146-30"/>
    <s v="Cancelación Vigilancia, saldo mes de Agosto 2018"/>
    <x v="0"/>
    <m/>
    <s v="01392"/>
    <s v="27 de agosto de 2018"/>
    <n v="27"/>
    <x v="21"/>
    <s v="2,20"/>
    <e v="#NAME?"/>
  </r>
  <r>
    <n v="1393"/>
    <m/>
    <x v="0"/>
    <d v="2018-08-27T00:00:00"/>
    <n v="12"/>
    <s v="Familia Castillo Mena"/>
    <s v="emmecas@hotmail.com"/>
    <s v="Calle Güigüe Nro. 88-101"/>
    <s v="Cancelación Vigilancia, mes de Agosto 2018"/>
    <x v="0"/>
    <m/>
    <s v="01393"/>
    <s v="27 de agosto de 2018"/>
    <n v="27"/>
    <x v="21"/>
    <s v="12,00"/>
    <e v="#NAME?"/>
  </r>
  <r>
    <n v="1394"/>
    <m/>
    <x v="0"/>
    <d v="2018-08-27T00:00:00"/>
    <n v="12"/>
    <s v="Familia Triana González"/>
    <s v="En Físico"/>
    <s v="Calle Guacara Nro. 90-61"/>
    <s v="Cancelación Vigilancia, mes de Agosto 2018"/>
    <x v="0"/>
    <m/>
    <s v="01394"/>
    <s v="27 de agosto de 2018"/>
    <n v="27"/>
    <x v="21"/>
    <s v="12,00"/>
    <e v="#NAME?"/>
  </r>
  <r>
    <n v="1395"/>
    <m/>
    <x v="0"/>
    <d v="2018-08-27T00:00:00"/>
    <n v="15"/>
    <s v="Familia Alonso Rojas"/>
    <s v="redjc01@gmail.com"/>
    <s v="Calle Güigüe Nro. 89-54"/>
    <s v="Cancelación Vigilancia, mes de Agosto 2018"/>
    <x v="0"/>
    <m/>
    <s v="01395"/>
    <s v="27 de agosto de 2018"/>
    <n v="27"/>
    <x v="21"/>
    <s v="15,00"/>
    <e v="#NAME?"/>
  </r>
  <r>
    <n v="1396"/>
    <m/>
    <x v="0"/>
    <d v="2018-08-27T00:00:00"/>
    <n v="12"/>
    <s v="Familia Zavarce Pérez"/>
    <s v="En Físico"/>
    <s v="Calle Guacara Nro. 90-35"/>
    <s v="Cancelación Vigilancia, mes de Agosto 2018"/>
    <x v="0"/>
    <m/>
    <s v="01396"/>
    <s v="27 de agosto de 2018"/>
    <n v="27"/>
    <x v="21"/>
    <s v="12,00"/>
    <e v="#NAME?"/>
  </r>
  <r>
    <n v="1397"/>
    <m/>
    <x v="0"/>
    <d v="2018-08-27T00:00:00"/>
    <n v="12"/>
    <s v="Familia Jiménez Navarro"/>
    <s v="joyasonline2012@gmail.com"/>
    <s v="Calle Güigüe Nro. 88-50"/>
    <s v="Cancelación Vigilancia, mes de Agosto 2018"/>
    <x v="0"/>
    <m/>
    <s v="01397"/>
    <s v="27 de agosto de 2018"/>
    <n v="27"/>
    <x v="21"/>
    <s v="12,00"/>
    <e v="#NAME?"/>
  </r>
  <r>
    <n v="1398"/>
    <m/>
    <x v="0"/>
    <d v="2018-08-29T00:00:00"/>
    <n v="12"/>
    <s v="Familia Zavarce Barón"/>
    <s v="alexanderzavarce@gmail.com"/>
    <s v="Calle Guacara Nro. 88-91"/>
    <s v="Cancelación Vigilancia, mes de Agosto 2018"/>
    <x v="0"/>
    <m/>
    <s v="01398"/>
    <s v="29 de agosto de 2018"/>
    <n v="29"/>
    <x v="21"/>
    <s v="12,00"/>
    <e v="#NAME?"/>
  </r>
  <r>
    <n v="1399"/>
    <m/>
    <x v="0"/>
    <d v="2018-08-29T00:00:00"/>
    <n v="12"/>
    <s v="Wilson Escamilla"/>
    <s v="wilsonescamilla45@gmail.com"/>
    <s v="Calle Güigüe Nro. 89-89"/>
    <s v="Cancelación Vigilancia, mes de Agosto 2018"/>
    <x v="0"/>
    <m/>
    <s v="01399"/>
    <s v="29 de agosto de 2018"/>
    <n v="29"/>
    <x v="21"/>
    <s v="12,00"/>
    <e v="#NAME?"/>
  </r>
  <r>
    <n v="1400"/>
    <m/>
    <x v="0"/>
    <d v="2018-08-12T00:00:00"/>
    <n v="12"/>
    <s v="Amparo Acosta"/>
    <s v="amparonatividad@hotmail.com"/>
    <s v="Calle Guacara Nro. 88-65"/>
    <s v="Cancelación Vigilancia, mes de Agosto 2018"/>
    <x v="0"/>
    <m/>
    <s v="01400"/>
    <s v="12 de agosto de 2018"/>
    <n v="12"/>
    <x v="21"/>
    <s v="12,00"/>
    <e v="#NAME?"/>
  </r>
  <r>
    <n v="1401"/>
    <m/>
    <x v="0"/>
    <d v="2018-08-31T00:00:00"/>
    <n v="8"/>
    <s v="Familia Méndez Parra"/>
    <s v="briceidademendez@gmail.com"/>
    <s v="Calle Guacara Nro. 88-19"/>
    <s v="Colaboración Vigilancia, mes de Agosto 2018"/>
    <x v="0"/>
    <m/>
    <s v="01401"/>
    <s v="31 de agosto de 2018"/>
    <n v="31"/>
    <x v="21"/>
    <s v="8,00"/>
    <e v="#NAME?"/>
  </r>
  <r>
    <n v="1402"/>
    <m/>
    <x v="0"/>
    <d v="2018-09-01T00:00:00"/>
    <n v="370"/>
    <s v="Carmen Moreno"/>
    <s v="carmenemoreno10@gmail.com"/>
    <s v="Calle Güigüe Nro. 89-04"/>
    <s v="Cancelación Vigilancia, mes de Septiembre y anticipo mes de Octubre 2018"/>
    <x v="0"/>
    <m/>
    <s v="01402"/>
    <s v="01 de septiembre de 2018"/>
    <n v="1"/>
    <x v="22"/>
    <s v="370,00"/>
    <e v="#NAME?"/>
  </r>
  <r>
    <n v="1403"/>
    <m/>
    <x v="0"/>
    <d v="2018-09-01T00:00:00"/>
    <n v="12"/>
    <s v="Ma. de Jesus Alonso"/>
    <s v="alonsojg@gmail.com"/>
    <s v="Calle Güigüe Nro. 88-30"/>
    <s v="Cancelación Vigilancia, mes de Agosto 2018"/>
    <x v="0"/>
    <m/>
    <s v="01403"/>
    <s v="01 de septiembre de 2018"/>
    <n v="1"/>
    <x v="22"/>
    <s v="12,00"/>
    <e v="#NAME?"/>
  </r>
  <r>
    <n v="1404"/>
    <m/>
    <x v="0"/>
    <d v="2018-09-02T00:00:00"/>
    <n v="27"/>
    <s v="Familia Loponte Arteaga"/>
    <s v="En Físico"/>
    <s v="Calle Güigüe Nro. 88-120"/>
    <s v="Cancelación Vigilancia, anticipo mes de Septiembre 2018"/>
    <x v="0"/>
    <m/>
    <s v="01404"/>
    <s v="02 de septiembre de 2018"/>
    <n v="2"/>
    <x v="22"/>
    <s v="27,00"/>
    <e v="#NAME?"/>
  </r>
  <r>
    <n v="1405"/>
    <m/>
    <x v="0"/>
    <d v="2018-09-02T00:00:00"/>
    <n v="12"/>
    <s v="Victoria Francischiello"/>
    <s v="victoriafrancischiello@hotmail.com"/>
    <s v="Calle Guacara Nro. 88-25"/>
    <s v="Cancelación Vigilancia, mes de Agosto 2018"/>
    <x v="0"/>
    <m/>
    <s v="01405"/>
    <s v="02 de septiembre de 2018"/>
    <n v="2"/>
    <x v="22"/>
    <s v="12,00"/>
    <e v="#NAME?"/>
  </r>
  <r>
    <n v="1406"/>
    <m/>
    <x v="0"/>
    <d v="2018-09-03T00:00:00"/>
    <n v="10"/>
    <s v="Gloria Molina"/>
    <s v="glomola2@yahoo.es"/>
    <s v="Calle Güigüe Nro. 89-71"/>
    <s v="Colaboración Vigilancia, mes de Agosto 2018"/>
    <x v="0"/>
    <m/>
    <s v="01406"/>
    <s v="03 de septiembre de 2018"/>
    <n v="3"/>
    <x v="22"/>
    <s v="10,00"/>
    <e v="#NAME?"/>
  </r>
  <r>
    <n v="1407"/>
    <m/>
    <x v="0"/>
    <d v="2018-09-03T00:00:00"/>
    <n v="12"/>
    <s v="Familia Gascón Domínguez"/>
    <s v="vrgascon@gmail.com"/>
    <s v="Calle Güigüe Nro. 88-70"/>
    <s v="Cancelación Vigilancia, mes de Agosto 2018"/>
    <x v="0"/>
    <m/>
    <s v="01407"/>
    <s v="03 de septiembre de 2018"/>
    <n v="3"/>
    <x v="22"/>
    <s v="12,00"/>
    <e v="#NAME?"/>
  </r>
  <r>
    <n v="1408"/>
    <m/>
    <x v="0"/>
    <d v="2018-09-05T00:00:00"/>
    <n v="320"/>
    <s v="Familia Ferrer Bahri"/>
    <s v="bahrimariela@hotmail.com"/>
    <s v="Calle Güigüe Nro. 89-83"/>
    <s v="Cancelación Vigilancia, mes de Septiembre 2018"/>
    <x v="0"/>
    <m/>
    <s v="01408"/>
    <s v="05 de septiembre de 2018"/>
    <n v="5"/>
    <x v="22"/>
    <s v="320,00"/>
    <e v="#NAME?"/>
  </r>
  <r>
    <n v="1409"/>
    <m/>
    <x v="0"/>
    <d v="2018-09-05T00:00:00"/>
    <n v="320"/>
    <s v="Familia Arcia Polanco"/>
    <s v="misipo29@gmail.com"/>
    <s v="Calle Guacara Nro. 89-20"/>
    <s v="Cancelación Vigilancia, mes de Septiembre 2018"/>
    <x v="0"/>
    <m/>
    <s v="01409"/>
    <s v="05 de septiembre de 2018"/>
    <n v="5"/>
    <x v="22"/>
    <s v="320,00"/>
    <e v="#NAME?"/>
  </r>
  <r>
    <n v="1410"/>
    <m/>
    <x v="0"/>
    <d v="2018-09-05T00:00:00"/>
    <n v="320"/>
    <s v="Familia Machado Stoppa"/>
    <s v="machadoru@hotmail.com"/>
    <s v="Calle Guacara Nro. 88-85"/>
    <s v="Cancelación Vigilancia, mes de Septiembre 2018"/>
    <x v="0"/>
    <m/>
    <s v="01410"/>
    <s v="05 de septiembre de 2018"/>
    <n v="5"/>
    <x v="22"/>
    <s v="320,00"/>
    <e v="#NAME?"/>
  </r>
  <r>
    <n v="1411"/>
    <m/>
    <x v="0"/>
    <d v="2018-09-05T00:00:00"/>
    <n v="320"/>
    <s v="Chin Chun Ya (Goya)"/>
    <s v="uc2721@gmail.com"/>
    <s v="Calle Guacara Nro. 87-86"/>
    <s v="Cancelación Vigilancia, mes de Septiembre 2018"/>
    <x v="0"/>
    <m/>
    <s v="01411"/>
    <s v="05 de septiembre de 2018"/>
    <n v="5"/>
    <x v="22"/>
    <s v="320,00"/>
    <e v="#NAME?"/>
  </r>
  <r>
    <n v="1412"/>
    <m/>
    <x v="0"/>
    <d v="2018-09-05T00:00:00"/>
    <n v="320"/>
    <s v="Familia González Arévalo"/>
    <s v="feryenis@hotmail.com"/>
    <s v="Calle Guacara Nro. 89-86"/>
    <s v="Cancelación Vigilancia, mes de Septiembre 2018"/>
    <x v="0"/>
    <m/>
    <s v="01412"/>
    <s v="05 de septiembre de 2018"/>
    <n v="5"/>
    <x v="22"/>
    <s v="320,00"/>
    <e v="#NAME?"/>
  </r>
  <r>
    <n v="1413"/>
    <m/>
    <x v="0"/>
    <d v="2018-09-05T00:00:00"/>
    <n v="320"/>
    <s v="Familia Colosso Delgado"/>
    <s v="mcolosso@gmail.com"/>
    <s v="Calle Güigüe Nro. 88-44"/>
    <s v="Cancelación Vigilancia, mes de Septiembre 2018"/>
    <x v="0"/>
    <m/>
    <s v="01413"/>
    <s v="05 de septiembre de 2018"/>
    <n v="5"/>
    <x v="22"/>
    <s v="320,00"/>
    <e v="#NAME?"/>
  </r>
  <r>
    <n v="1414"/>
    <m/>
    <x v="0"/>
    <d v="2018-09-05T00:00:00"/>
    <n v="400"/>
    <s v="Familia Durvelle Serrano"/>
    <s v="sdurvelle@hotmail.com"/>
    <s v="Calle Guacara Nro. 89-60"/>
    <s v="Cancelación Vigilancia, mes de Septiembre 2018 más aporte"/>
    <x v="0"/>
    <m/>
    <s v="01414"/>
    <s v="05 de septiembre de 2018"/>
    <n v="5"/>
    <x v="22"/>
    <s v="400,00"/>
    <e v="#NAME?"/>
  </r>
  <r>
    <n v="1415"/>
    <m/>
    <x v="0"/>
    <d v="2018-09-05T00:00:00"/>
    <n v="320"/>
    <s v="Familia Fermín Rivas"/>
    <s v="angelferminb@gmail.com"/>
    <s v="Calle Güigüe Nro. 89-55"/>
    <s v="Cancelación Vigilancia, mes de Septiembre 2018"/>
    <x v="0"/>
    <m/>
    <s v="01415"/>
    <s v="05 de septiembre de 2018"/>
    <n v="5"/>
    <x v="22"/>
    <s v="320,00"/>
    <e v="#NAME?"/>
  </r>
  <r>
    <n v="1416"/>
    <m/>
    <x v="0"/>
    <d v="2018-09-06T00:00:00"/>
    <n v="320"/>
    <s v="Familia Nava Gordon"/>
    <s v="maru_19_66@hotmail.com"/>
    <s v="Calle Guacara Nro. 89-78"/>
    <s v="Cancelación Vigilancia, mes de Septiembre 2018"/>
    <x v="0"/>
    <m/>
    <s v="01416"/>
    <s v="06 de septiembre de 2018"/>
    <n v="6"/>
    <x v="22"/>
    <s v="320,00"/>
    <e v="#NAME?"/>
  </r>
  <r>
    <n v="1417"/>
    <m/>
    <x v="0"/>
    <d v="2018-09-06T00:00:00"/>
    <n v="320"/>
    <s v="Familia Milanés Carmona"/>
    <s v="yndira11m@gmail.com"/>
    <s v="Calle Güigüe Nro. 89-65"/>
    <s v="Cancelación Vigilancia, mes de Septiembre 2018"/>
    <x v="0"/>
    <m/>
    <s v="01417"/>
    <s v="06 de septiembre de 2018"/>
    <n v="6"/>
    <x v="22"/>
    <s v="320,00"/>
    <e v="#NAME?"/>
  </r>
  <r>
    <n v="1418"/>
    <m/>
    <x v="0"/>
    <d v="2018-09-06T00:00:00"/>
    <n v="350"/>
    <s v="Familia Lomeña Agudo"/>
    <s v="claudialomena@hotmail.com"/>
    <s v="Calle Guacara Nro. 89-30"/>
    <s v="Cancelación Vigilancia, mes de Septiembre 2018 más aporte"/>
    <x v="0"/>
    <m/>
    <s v="01418"/>
    <s v="06 de septiembre de 2018"/>
    <n v="6"/>
    <x v="22"/>
    <s v="350,00"/>
    <e v="#NAME?"/>
  </r>
  <r>
    <n v="1419"/>
    <m/>
    <x v="0"/>
    <d v="2018-09-06T00:00:00"/>
    <n v="320"/>
    <s v="Sra. Reina Meléndez"/>
    <s v="olgajipe@gmail.com"/>
    <s v="Av. &quot;M&quot; Nro. 145-10"/>
    <s v="Cancelación Vigilancia, mes de Septiembre 2018"/>
    <x v="0"/>
    <m/>
    <s v="01419"/>
    <s v="06 de septiembre de 2018"/>
    <n v="6"/>
    <x v="22"/>
    <s v="320,00"/>
    <e v="#NAME?"/>
  </r>
  <r>
    <n v="1420"/>
    <m/>
    <x v="0"/>
    <d v="2018-09-06T00:00:00"/>
    <n v="320"/>
    <s v="Familia Guerra Miret"/>
    <s v="antoniojguerrag@hotmail.com"/>
    <s v="Calle Güigüe Nro. 89-40"/>
    <s v="Cancelación Vigilancia, mes de Septiembre 2018"/>
    <x v="0"/>
    <m/>
    <s v="01420"/>
    <s v="06 de septiembre de 2018"/>
    <n v="6"/>
    <x v="22"/>
    <s v="320,00"/>
    <e v="#NAME?"/>
  </r>
  <r>
    <n v="1421"/>
    <m/>
    <x v="0"/>
    <d v="2018-09-07T00:00:00"/>
    <n v="320"/>
    <s v="Familia Navarro Assing"/>
    <s v="liliaassing@gmail.com"/>
    <s v="Calle Güigüe Nro. 88-54"/>
    <s v="Cancelación Vigilancia, mes de Septiembre 2018"/>
    <x v="0"/>
    <m/>
    <s v="01421"/>
    <s v="07 de septiembre de 2018"/>
    <n v="7"/>
    <x v="22"/>
    <s v="320,00"/>
    <e v="#NAME?"/>
  </r>
  <r>
    <n v="1422"/>
    <m/>
    <x v="0"/>
    <d v="2018-09-07T00:00:00"/>
    <n v="320"/>
    <s v="Familia Wu Acevedo"/>
    <s v="rudyacevedo90@gmail.com"/>
    <s v="Calle Guacara Nro. 88-A-10"/>
    <s v="Cancelación Vigilancia, mes de Septiembre 2018 (saldo a favor: Bs. 5,80)"/>
    <x v="0"/>
    <m/>
    <s v="01422"/>
    <s v="07 de septiembre de 2018"/>
    <n v="7"/>
    <x v="22"/>
    <s v="320,00"/>
    <e v="#NAME?"/>
  </r>
  <r>
    <n v="1423"/>
    <m/>
    <x v="0"/>
    <d v="2018-09-07T00:00:00"/>
    <n v="320"/>
    <s v="Amparo Acosta"/>
    <s v="amparonatividad@hotmail.com"/>
    <s v="Calle Guacara Nro. 88-65"/>
    <s v="Cancelación Vigilancia, mes de Septiembre 2018"/>
    <x v="0"/>
    <m/>
    <s v="01423"/>
    <s v="07 de septiembre de 2018"/>
    <n v="7"/>
    <x v="22"/>
    <s v="320,00"/>
    <e v="#NAME?"/>
  </r>
  <r>
    <n v="1424"/>
    <m/>
    <x v="0"/>
    <d v="2018-09-09T00:00:00"/>
    <n v="320"/>
    <s v="Familia Delgado Hidalgo"/>
    <s v="ardh@hotmail.com"/>
    <s v="Calle Güigüe Nro. 88-10"/>
    <s v="Cancelación Vigilancia, mes de Septiembre 2018"/>
    <x v="0"/>
    <m/>
    <s v="01424"/>
    <s v="09 de septiembre de 2018"/>
    <n v="9"/>
    <x v="22"/>
    <s v="320,00"/>
    <e v="#NAME?"/>
  </r>
  <r>
    <n v="1425"/>
    <m/>
    <x v="0"/>
    <d v="2018-09-11T00:00:00"/>
    <n v="320"/>
    <s v="Familia Zavarce Pérez"/>
    <s v="En Físico"/>
    <s v="Calle Guacara Nro. 90-35"/>
    <s v="Cancelación Vigilancia, mes de Septiembre 2018"/>
    <x v="0"/>
    <m/>
    <s v="01425"/>
    <s v="11 de septiembre de 2018"/>
    <n v="11"/>
    <x v="22"/>
    <s v="320,00"/>
    <e v="#NAME?"/>
  </r>
  <r>
    <n v="1426"/>
    <m/>
    <x v="0"/>
    <d v="2018-09-11T00:00:00"/>
    <n v="320"/>
    <s v="La Casita Encantada"/>
    <s v="En Físico"/>
    <s v="Av. &quot;M&quot; Nro. 146-30"/>
    <s v="Cancelación Vigilancia, mes de Septiembre 2018"/>
    <x v="0"/>
    <m/>
    <s v="01426"/>
    <s v="11 de septiembre de 2018"/>
    <n v="11"/>
    <x v="22"/>
    <s v="320,00"/>
    <e v="#NAME?"/>
  </r>
  <r>
    <n v="1427"/>
    <m/>
    <x v="0"/>
    <d v="2018-09-12T00:00:00"/>
    <n v="320"/>
    <s v="Familia Ozar Rivero"/>
    <s v="vanessarivero81@hotmail.com"/>
    <s v="Calle Güigüe Nro. 88-06"/>
    <s v="Cancelación Vigilancia, mes de Septiembre 2018 (saldo a favor: Bs.S. 0,00)"/>
    <x v="0"/>
    <m/>
    <s v="01427"/>
    <s v="12 de septiembre de 2018"/>
    <n v="12"/>
    <x v="22"/>
    <s v="320,00"/>
    <e v="#NAME?"/>
  </r>
  <r>
    <n v="1428"/>
    <m/>
    <x v="0"/>
    <d v="2018-09-12T00:00:00"/>
    <n v="320"/>
    <s v="Familia Puerta Burguillos"/>
    <s v="namaricakes@gmail.com"/>
    <s v="Calle Guacara Nro. 87-100"/>
    <s v="Cancelación Vigilancia, mes de Septiembre 2018"/>
    <x v="0"/>
    <m/>
    <s v="01428"/>
    <s v="12 de septiembre de 2018"/>
    <n v="12"/>
    <x v="22"/>
    <s v="320,00"/>
    <e v="#NAME?"/>
  </r>
  <r>
    <n v="1429"/>
    <m/>
    <x v="0"/>
    <d v="2018-09-12T00:00:00"/>
    <n v="320"/>
    <s v="Familia Flores Montagne"/>
    <s v="martaflores@gmail.com"/>
    <s v="Av. &quot;M&quot; Nro. 146-20"/>
    <s v="Cancelación Vigilancia, mes de Septiembre 2018"/>
    <x v="0"/>
    <m/>
    <s v="01429"/>
    <s v="12 de septiembre de 2018"/>
    <n v="12"/>
    <x v="22"/>
    <s v="320,00"/>
    <e v="#NAME?"/>
  </r>
  <r>
    <n v="1430"/>
    <m/>
    <x v="0"/>
    <d v="2018-09-12T00:00:00"/>
    <n v="12"/>
    <s v="Familia Chávez Hernández"/>
    <s v="mercedesch23@hotmail.com"/>
    <s v="Calle Güigüe Nro. 88-20"/>
    <s v="Colaboración Vigilancia, mes de Agosto 2018"/>
    <x v="0"/>
    <m/>
    <s v="01430"/>
    <s v="12 de septiembre de 2018"/>
    <n v="12"/>
    <x v="22"/>
    <s v="12,00"/>
    <e v="#NAME?"/>
  </r>
  <r>
    <n v="1431"/>
    <m/>
    <x v="0"/>
    <d v="2018-09-12T00:00:00"/>
    <n v="320"/>
    <s v="Familia Del Negro Palermo"/>
    <s v="vdelnegro@gmail.com"/>
    <s v="Calle Guacara Nro. 88-45"/>
    <s v="Cancelación Vigilancia, mes de Septiembre 2018 (saldo a favor: Bs. 1.302,95)"/>
    <x v="0"/>
    <m/>
    <s v="01431"/>
    <s v="12 de septiembre de 2018"/>
    <n v="12"/>
    <x v="22"/>
    <s v="320,00"/>
    <e v="#NAME?"/>
  </r>
  <r>
    <n v="1432"/>
    <m/>
    <x v="0"/>
    <d v="2018-09-13T00:00:00"/>
    <n v="320"/>
    <s v="Familia Díaz González"/>
    <s v="luisrdt57@gmail.com"/>
    <s v="Calle Güigüe Nro. 88-116"/>
    <s v="Cancelación Vigilancia, mes de Septiembre 2018"/>
    <x v="0"/>
    <m/>
    <s v="01432"/>
    <s v="13 de septiembre de 2018"/>
    <n v="13"/>
    <x v="22"/>
    <s v="320,00"/>
    <e v="#NAME?"/>
  </r>
  <r>
    <n v="1433"/>
    <m/>
    <x v="0"/>
    <d v="2018-09-14T00:00:00"/>
    <n v="500"/>
    <s v="Wu Hung Fung"/>
    <s v="carolinahung24@gmail.com"/>
    <s v="Calle Guacara Nro. 90-81"/>
    <s v="Cancelación Vigilancia, saldo mes de Agosto, cancelación mes de Septiembre y anticipo mes de Octubre 2018 (Bs.S 168,50)"/>
    <x v="0"/>
    <m/>
    <s v="01433"/>
    <s v="14 de septiembre de 2018"/>
    <n v="14"/>
    <x v="22"/>
    <s v="500,00"/>
    <e v="#NAME?"/>
  </r>
  <r>
    <n v="1434"/>
    <m/>
    <x v="0"/>
    <d v="2018-09-14T00:00:00"/>
    <n v="320"/>
    <s v="Familia Zavarce Barón"/>
    <s v="alexanderzavarce@gmail.com"/>
    <s v="Calle Guacara Nro. 88-91"/>
    <s v="Cancelación Vigilancia, mes de Septiembre 2018"/>
    <x v="0"/>
    <m/>
    <s v="01434"/>
    <s v="14 de septiembre de 2018"/>
    <n v="14"/>
    <x v="22"/>
    <s v="320,00"/>
    <e v="#NAME?"/>
  </r>
  <r>
    <n v="1435"/>
    <m/>
    <x v="0"/>
    <d v="2018-09-15T00:00:00"/>
    <n v="320"/>
    <s v="Familia Manrique Riera"/>
    <s v="patriciamanrique@gmail.com"/>
    <s v="Calle Guacara Nro. 89-40"/>
    <s v="Cancelación Vigilancia, mes de Septiembre 2018"/>
    <x v="0"/>
    <m/>
    <s v="01435"/>
    <s v="15 de septiembre de 2018"/>
    <n v="15"/>
    <x v="22"/>
    <s v="320,00"/>
    <e v="#NAME?"/>
  </r>
  <r>
    <n v="1436"/>
    <m/>
    <x v="0"/>
    <d v="2018-09-16T00:00:00"/>
    <n v="350"/>
    <s v="Familia Scabuzzo Gómez"/>
    <s v="sfscabuzzo@msn.com"/>
    <s v="Av. &quot;I&quot; Nro. 146-20"/>
    <s v="Cancelación Vigilancia, mes de Septiembre y anticipo de Octubre 2018"/>
    <x v="0"/>
    <m/>
    <s v="01436"/>
    <s v="16 de septiembre de 2018"/>
    <n v="16"/>
    <x v="22"/>
    <s v="350,00"/>
    <e v="#NAME?"/>
  </r>
  <r>
    <n v="1437"/>
    <m/>
    <x v="0"/>
    <d v="2018-09-17T00:00:00"/>
    <n v="320"/>
    <s v="Wilson Escamilla"/>
    <s v="wilsonescamilla45@gmail.com"/>
    <s v="Calle Güigüe Nro. 89-89"/>
    <s v="Cancelación Vigilancia, mes de Septiembre 2018"/>
    <x v="0"/>
    <m/>
    <s v="01437"/>
    <s v="17 de septiembre de 2018"/>
    <n v="17"/>
    <x v="22"/>
    <s v="320,00"/>
    <e v="#NAME?"/>
  </r>
  <r>
    <n v="1438"/>
    <m/>
    <x v="0"/>
    <d v="2018-09-18T00:00:00"/>
    <n v="342"/>
    <s v="Familia Leung"/>
    <s v="En Físico"/>
    <s v="Calle Guacara Nro. 88-55"/>
    <s v="Cancelación Vigilancia, meses de Julio, Agosto y Septiembre 2018"/>
    <x v="0"/>
    <m/>
    <s v="01438"/>
    <s v="18 de septiembre de 2018"/>
    <n v="18"/>
    <x v="22"/>
    <s v="342,00"/>
    <e v="#NAME?"/>
  </r>
  <r>
    <n v="1439"/>
    <m/>
    <x v="0"/>
    <d v="2018-09-18T00:00:00"/>
    <n v="320"/>
    <s v="Familia Montilla García"/>
    <s v="dairy252525@hotmail.com"/>
    <s v="Calle Güigüe Nro. 89-90"/>
    <s v="Cancelación Vigilancia, mes de Septiembre 2018"/>
    <x v="0"/>
    <m/>
    <s v="01439"/>
    <s v="18 de septiembre de 2018"/>
    <n v="18"/>
    <x v="22"/>
    <s v="320,00"/>
    <e v="#NAME?"/>
  </r>
  <r>
    <n v="1440"/>
    <m/>
    <x v="0"/>
    <d v="2018-09-17T00:00:00"/>
    <n v="320"/>
    <s v="Familia Acosta Carpio"/>
    <s v="pablo962@hotmail.com"/>
    <s v="Calle Güigüe Nro. 89-10"/>
    <s v="Cancelación Vigilancia, mes de Septiembre 2018"/>
    <x v="0"/>
    <m/>
    <s v="01440"/>
    <s v="17 de septiembre de 2018"/>
    <n v="17"/>
    <x v="22"/>
    <s v="320,00"/>
    <e v="#NAME?"/>
  </r>
  <r>
    <n v="1441"/>
    <m/>
    <x v="0"/>
    <d v="2018-09-18T00:00:00"/>
    <n v="320"/>
    <s v="Amarilis Guerra"/>
    <s v="amarilisguerra1@yahoo.com"/>
    <s v="Calle Güigüe Nro. 89-96"/>
    <s v="Cancelación Vigilancia, mes de Septiembre 2018"/>
    <x v="0"/>
    <m/>
    <s v="01441"/>
    <s v="18 de septiembre de 2018"/>
    <n v="18"/>
    <x v="22"/>
    <s v="320,00"/>
    <e v="#NAME?"/>
  </r>
  <r>
    <n v="1442"/>
    <m/>
    <x v="0"/>
    <d v="2018-09-18T00:00:00"/>
    <n v="345.25"/>
    <s v="Familia Astor Zamora"/>
    <s v="imzastor@gmail.com"/>
    <s v="Calle Güigüe Nro. 88-111"/>
    <s v="Cancelación Vigilancia, meses de Junio, Julio, Agosto y Septiembre 2018"/>
    <x v="0"/>
    <m/>
    <s v="01442"/>
    <s v="18 de septiembre de 2018"/>
    <n v="18"/>
    <x v="22"/>
    <s v="345,25"/>
    <e v="#NAME?"/>
  </r>
  <r>
    <n v="1443"/>
    <m/>
    <x v="0"/>
    <d v="2018-09-18T00:00:00"/>
    <n v="601"/>
    <s v="Familia Loponte Arteaga"/>
    <s v="En Físico"/>
    <s v="Calle Güigüe Nro. 88-120"/>
    <s v="Cancelación Vigilancia, saldo mes de Septiembre y cancelación mes de Octubre 2018"/>
    <x v="0"/>
    <m/>
    <s v="01443"/>
    <s v="18 de septiembre de 2018"/>
    <n v="18"/>
    <x v="22"/>
    <s v="601,00"/>
    <e v="#NAME?"/>
  </r>
  <r>
    <n v="1444"/>
    <m/>
    <x v="0"/>
    <d v="2018-09-19T00:00:00"/>
    <n v="465"/>
    <s v="Colegio El Trigal"/>
    <s v="En Físico"/>
    <s v="Calle Güigüe Nros. 88-71 y 88-81"/>
    <s v="Cancelación Vigilancia, mes de Septiembre 2018"/>
    <x v="0"/>
    <m/>
    <s v="01444"/>
    <s v="19 de septiembre de 2018"/>
    <n v="19"/>
    <x v="22"/>
    <s v="465,00"/>
    <e v="#NAME?"/>
  </r>
  <r>
    <n v="1445"/>
    <m/>
    <x v="0"/>
    <d v="2018-09-19T00:00:00"/>
    <n v="320"/>
    <s v="Familia Costermani Terrer"/>
    <s v="claudiacostermani@hotmail.com"/>
    <s v="Calle Güigüe Nro. 88-11"/>
    <s v="Cancelación Vigilancia, mes de Septiembre 2018"/>
    <x v="0"/>
    <m/>
    <s v="01445"/>
    <s v="19 de septiembre de 2018"/>
    <n v="19"/>
    <x v="22"/>
    <s v="320,00"/>
    <e v="#NAME?"/>
  </r>
  <r>
    <n v="1446"/>
    <m/>
    <x v="0"/>
    <d v="2018-09-21T00:00:00"/>
    <n v="320"/>
    <s v="Héctor Hernández"/>
    <s v="eof64@hotmail.com"/>
    <s v="Calle Guacara Nro. 89-94"/>
    <s v="Cancelación Vigilancia, mes de Septiembre 2018"/>
    <x v="0"/>
    <m/>
    <s v="01446"/>
    <s v="21 de septiembre de 2018"/>
    <n v="21"/>
    <x v="22"/>
    <s v="320,00"/>
    <e v="#NAME?"/>
  </r>
  <r>
    <n v="1447"/>
    <m/>
    <x v="0"/>
    <d v="2018-09-21T00:00:00"/>
    <n v="160"/>
    <s v="Familia Franco Gómez"/>
    <s v="eof64@hotmail.com"/>
    <s v="Calle Guacara Nro. 87-07"/>
    <s v="Anticipo Vigilancia, mes de Septiembre 2018"/>
    <x v="0"/>
    <m/>
    <s v="01447"/>
    <s v="21 de septiembre de 2018"/>
    <n v="21"/>
    <x v="22"/>
    <s v="160,00"/>
    <e v="#NAME?"/>
  </r>
  <r>
    <n v="1448"/>
    <m/>
    <x v="0"/>
    <d v="2018-09-22T00:00:00"/>
    <n v="320"/>
    <s v="Beatriz Lara"/>
    <s v="valentina.gutierrez@hotmail.com"/>
    <s v="Calle Guacara Nro. 89-130"/>
    <s v="Cancelación Vigilancia, mes de Septiembre 2018"/>
    <x v="0"/>
    <m/>
    <s v="01448"/>
    <s v="22 de septiembre de 2018"/>
    <n v="22"/>
    <x v="22"/>
    <s v="320,00"/>
    <e v="#NAME?"/>
  </r>
  <r>
    <n v="1449"/>
    <m/>
    <x v="0"/>
    <d v="2018-09-24T00:00:00"/>
    <n v="320"/>
    <s v="Familia Navarrete Medina"/>
    <s v="juanin1919@yahoo.com"/>
    <s v="Calle Güigüe Nro. 89-22"/>
    <s v="Cancelación Vigilancia, mes de Septiembre 2018"/>
    <x v="0"/>
    <m/>
    <s v="01449"/>
    <s v="24 de septiembre de 2018"/>
    <n v="24"/>
    <x v="22"/>
    <s v="320,00"/>
    <e v="#NAME?"/>
  </r>
  <r>
    <n v="1450"/>
    <m/>
    <x v="0"/>
    <d v="2018-08-29T00:00:00"/>
    <n v="12"/>
    <s v="Ana de González"/>
    <s v="mikelnowak25@gmail.com"/>
    <s v="Av. &quot;O&quot; Nro. 146-17"/>
    <s v="Cancelación Vigilancia, mes de Agosto 2018"/>
    <x v="0"/>
    <m/>
    <s v="01450"/>
    <s v="29 de agosto de 2018"/>
    <n v="29"/>
    <x v="21"/>
    <s v="12,00"/>
    <e v="#NAME?"/>
  </r>
  <r>
    <n v="1451"/>
    <m/>
    <x v="0"/>
    <d v="2018-09-25T00:00:00"/>
    <n v="320"/>
    <s v="Ana de González"/>
    <s v="mikelnowak25@gmail.com"/>
    <s v="Av. &quot;O&quot; Nro. 146-17"/>
    <s v="Cancelación Vigilancia, mes de Septiembre 2018"/>
    <x v="0"/>
    <m/>
    <s v="01451"/>
    <s v="25 de septiembre de 2018"/>
    <n v="25"/>
    <x v="22"/>
    <s v="320,00"/>
    <e v="#NAME?"/>
  </r>
  <r>
    <n v="1452"/>
    <m/>
    <x v="0"/>
    <d v="2018-09-25T00:00:00"/>
    <n v="320"/>
    <s v="Ma. de Jesus Alonso"/>
    <s v="alonsojg@gmail.com"/>
    <s v="Calle Güigüe Nro. 88-30"/>
    <s v="Cancelación Vigilancia, mes de Septiembre 2018"/>
    <x v="0"/>
    <m/>
    <s v="01452"/>
    <s v="25 de septiembre de 2018"/>
    <n v="25"/>
    <x v="22"/>
    <s v="320,00"/>
    <e v="#NAME?"/>
  </r>
  <r>
    <n v="1453"/>
    <m/>
    <x v="0"/>
    <d v="2018-09-25T00:00:00"/>
    <n v="320"/>
    <s v="Familia López Hermoso"/>
    <s v="lopez.humberto14@yahoo.com.ve"/>
    <s v="Calle Güigüe Nro. 89-79"/>
    <s v="Cancelación Vigilancia, mes de Septiembre 2018 (saldo a favor: Bs. 11,15)"/>
    <x v="0"/>
    <m/>
    <s v="01453"/>
    <s v="25 de septiembre de 2018"/>
    <n v="25"/>
    <x v="22"/>
    <s v="320,00"/>
    <e v="#NAME?"/>
  </r>
  <r>
    <n v="1454"/>
    <m/>
    <x v="0"/>
    <d v="2018-09-25T00:00:00"/>
    <n v="320"/>
    <s v="Familia Narváez Caldera"/>
    <s v="jeannette_nc@yahoo.com"/>
    <s v="Calle Güigüe Nro. 87-A-11"/>
    <s v="Cancelación Vigilancia, mes de Septiembre 2018"/>
    <x v="0"/>
    <m/>
    <s v="01454"/>
    <s v="25 de septiembre de 2018"/>
    <n v="25"/>
    <x v="22"/>
    <s v="320,00"/>
    <e v="#NAME?"/>
  </r>
  <r>
    <n v="1455"/>
    <m/>
    <x v="0"/>
    <d v="2018-09-25T00:00:00"/>
    <n v="320"/>
    <s v="Dra. Lilia Magallanes"/>
    <s v="liliamagallanes2010@gmail.com"/>
    <s v="Calle Güigüe Nro. 88-51"/>
    <s v="Cancelación Vigilancia, mes de Septiembre 2018"/>
    <x v="0"/>
    <m/>
    <s v="01455"/>
    <s v="25 de septiembre de 2018"/>
    <n v="25"/>
    <x v="22"/>
    <s v="320,00"/>
    <e v="#NAME?"/>
  </r>
  <r>
    <n v="1456"/>
    <m/>
    <x v="0"/>
    <d v="2018-06-25T00:00:00"/>
    <n v="320"/>
    <s v="Familia Matta Palomino"/>
    <s v="En Físico"/>
    <s v="Calle Güigüe Nro. 88-90"/>
    <s v="Cancelación Vigilancia, mes de Septiembre 2018"/>
    <x v="0"/>
    <m/>
    <s v="01456"/>
    <s v="25 de junio de 2018"/>
    <n v="25"/>
    <x v="19"/>
    <s v="320,00"/>
    <e v="#NAME?"/>
  </r>
  <r>
    <n v="1457"/>
    <m/>
    <x v="0"/>
    <d v="2018-09-27T00:00:00"/>
    <n v="320"/>
    <s v="Familia Kablan Sarmiento"/>
    <s v="norisjsb56@hotmail.com"/>
    <s v="Calle Güigüe Nro. 89-80"/>
    <s v="Cancelación Vigilancia, mes de Septiembre 2018"/>
    <x v="0"/>
    <m/>
    <s v="01457"/>
    <s v="27 de septiembre de 2018"/>
    <n v="27"/>
    <x v="22"/>
    <s v="320,00"/>
    <e v="#NAME?"/>
  </r>
  <r>
    <n v="1458"/>
    <m/>
    <x v="0"/>
    <d v="2018-09-27T00:00:00"/>
    <n v="320"/>
    <s v="Familia Alonso Rojas"/>
    <s v="redjc01@gmail.com"/>
    <s v="Calle Güigüe Nro. 89-54"/>
    <s v="Cancelación Vigilancia, mes de Septiembre 2018"/>
    <x v="0"/>
    <m/>
    <s v="01458"/>
    <s v="27 de septiembre de 2018"/>
    <n v="27"/>
    <x v="22"/>
    <s v="320,00"/>
    <e v="#NAME?"/>
  </r>
  <r>
    <n v="1459"/>
    <m/>
    <x v="0"/>
    <d v="2018-09-27T00:00:00"/>
    <n v="320"/>
    <s v="Familia Castillo Mena"/>
    <s v="emmecas@hotmail.com"/>
    <s v="Calle Güigüe Nro. 88-101"/>
    <s v="Cancelación Vigilancia, mes de Septiembre 2018"/>
    <x v="0"/>
    <m/>
    <s v="01459"/>
    <s v="27 de septiembre de 2018"/>
    <n v="27"/>
    <x v="22"/>
    <s v="320,00"/>
    <e v="#NAME?"/>
  </r>
  <r>
    <n v="1460"/>
    <m/>
    <x v="0"/>
    <d v="2018-09-27T00:00:00"/>
    <n v="320"/>
    <s v="Familia Il Grande Franceschi"/>
    <s v="arcifran75@hotmail.com"/>
    <s v="Av. &quot;I&quot; Nro. 146-40"/>
    <s v="Cancelación Vigilancia, mes de Septiembre 2018"/>
    <x v="0"/>
    <m/>
    <s v="01460"/>
    <s v="27 de septiembre de 2018"/>
    <n v="27"/>
    <x v="22"/>
    <s v="320,00"/>
    <e v="#NAME?"/>
  </r>
  <r>
    <n v="1461"/>
    <m/>
    <x v="0"/>
    <d v="2018-09-29T00:00:00"/>
    <n v="320"/>
    <s v="Familia Rodríguez Landaeta"/>
    <s v="mrl58@hotmail.com"/>
    <s v="Calle Güigüe Nro. 89-29"/>
    <s v="Cancelación Vigilancia, mes de Septiembre 2018"/>
    <x v="0"/>
    <m/>
    <s v="01461"/>
    <s v="29 de septiembre de 2018"/>
    <n v="29"/>
    <x v="22"/>
    <s v="320,00"/>
    <e v="#NAME?"/>
  </r>
  <r>
    <n v="1462"/>
    <m/>
    <x v="0"/>
    <d v="2018-09-30T00:00:00"/>
    <n v="100"/>
    <s v="Familia Chávez Hernández"/>
    <s v="mercedesch23@hotmail.com"/>
    <s v="Calle Güigüe Nro. 88-20"/>
    <s v="Colaboración Vigilancia, mes de Septiembre 2018"/>
    <x v="0"/>
    <m/>
    <s v="01462"/>
    <s v="30 de septiembre de 2018"/>
    <n v="30"/>
    <x v="22"/>
    <s v="100,00"/>
    <e v="#NAME?"/>
  </r>
  <r>
    <n v="1463"/>
    <m/>
    <x v="0"/>
    <d v="2018-10-02T00:00:00"/>
    <n v="270"/>
    <s v="Familia Méndez Parra"/>
    <s v="briceidademendez@gmail.com"/>
    <s v="Calle Guacara Nro. 88-19"/>
    <s v="Colaboración Vigilancia, mes de Septiembre 2018"/>
    <x v="0"/>
    <m/>
    <s v="01463"/>
    <s v="02 de octubre de 2018"/>
    <n v="2"/>
    <x v="23"/>
    <s v="270,00"/>
    <e v="#NAME?"/>
  </r>
  <r>
    <n v="1464"/>
    <m/>
    <x v="0"/>
    <d v="2018-10-03T00:00:00"/>
    <n v="320"/>
    <s v="Chin Chun Ya (Goya)"/>
    <s v="uc2721@gmail.com"/>
    <s v="Calle Guacara Nro. 87-86"/>
    <s v="Cancelación Vigilancia, mes de Octubre 2018"/>
    <x v="0"/>
    <m/>
    <s v="01464"/>
    <s v="03 de octubre de 2018"/>
    <n v="3"/>
    <x v="23"/>
    <s v="320,00"/>
    <e v="#NAME?"/>
  </r>
  <r>
    <n v="1465"/>
    <m/>
    <x v="0"/>
    <d v="2018-10-03T00:00:00"/>
    <n v="320"/>
    <s v="Anahiz Seijas"/>
    <s v="anahiz_2@hotmail.es"/>
    <s v="Calle Güigüe Nro. 89-106"/>
    <s v="Cancelación Vigilancia, mes de Septiembre 2018"/>
    <x v="0"/>
    <m/>
    <s v="01465"/>
    <s v="03 de octubre de 2018"/>
    <n v="3"/>
    <x v="23"/>
    <s v="320,00"/>
    <e v="#NAME?"/>
  </r>
  <r>
    <n v="1466"/>
    <m/>
    <x v="0"/>
    <d v="2018-10-03T00:00:00"/>
    <n v="350"/>
    <s v="Familia Martínez Boada"/>
    <s v="florcitakmz@gmail.com"/>
    <s v="Calle Güigüe Nro. 88-62"/>
    <s v="Cancelación Vigilancia, meses de Agosto y Septiembre, y anticipo mes de Octubre 2018"/>
    <x v="0"/>
    <m/>
    <s v="01466"/>
    <s v="03 de octubre de 2018"/>
    <n v="3"/>
    <x v="23"/>
    <s v="350,00"/>
    <e v="#NAME?"/>
  </r>
  <r>
    <n v="1467"/>
    <m/>
    <x v="0"/>
    <d v="2018-10-03T00:00:00"/>
    <n v="320"/>
    <s v="Familia Guerra Miret"/>
    <s v="antoniojguerrag@hotmail.com"/>
    <s v="Calle Güigüe Nro. 89-40"/>
    <s v="Cancelación Vigilancia, mes de Octubre 2018"/>
    <x v="0"/>
    <m/>
    <s v="01467"/>
    <s v="03 de octubre de 2018"/>
    <n v="3"/>
    <x v="23"/>
    <s v="320,00"/>
    <e v="#NAME?"/>
  </r>
  <r>
    <n v="1468"/>
    <m/>
    <x v="0"/>
    <d v="2018-10-03T00:00:00"/>
    <n v="320"/>
    <s v="Familia Castro Jiménez"/>
    <s v="aurycastrojimenez@gmail.com"/>
    <s v="Calle Guacara Nro. 90-51"/>
    <s v="Cancelación Vigilancia, mes de Septiembre 2018"/>
    <x v="0"/>
    <m/>
    <s v="01468"/>
    <s v="03 de octubre de 2018"/>
    <n v="3"/>
    <x v="23"/>
    <s v="320,00"/>
    <e v="#NAME?"/>
  </r>
  <r>
    <n v="1469"/>
    <m/>
    <x v="0"/>
    <d v="2018-10-02T00:00:00"/>
    <n v="500"/>
    <s v="Familia Durvelle Serrano"/>
    <s v="sdurvelle@hotmail.com"/>
    <s v="Calle Guacara Nro. 89-60"/>
    <s v="Cancelación Vigilancia, mes de Octubre 2018 más aporte"/>
    <x v="0"/>
    <m/>
    <s v="01469"/>
    <s v="02 de octubre de 2018"/>
    <n v="2"/>
    <x v="23"/>
    <s v="500,00"/>
    <e v="#NAME?"/>
  </r>
  <r>
    <n v="1470"/>
    <m/>
    <x v="0"/>
    <d v="2018-10-04T00:00:00"/>
    <n v="320"/>
    <s v="Familia Milanés Carmona"/>
    <s v="yndira11m@gmail.com"/>
    <s v="Calle Güigüe Nro. 89-65"/>
    <s v="Cancelación Vigilancia, mes de Octubre 2018"/>
    <x v="0"/>
    <m/>
    <s v="01470"/>
    <s v="04 de octubre de 2018"/>
    <n v="4"/>
    <x v="23"/>
    <s v="320,00"/>
    <e v="#NAME?"/>
  </r>
  <r>
    <n v="1471"/>
    <m/>
    <x v="0"/>
    <d v="2018-10-04T00:00:00"/>
    <n v="10"/>
    <s v="Familia Arcia Polanco"/>
    <s v="misipo29@gmail.com"/>
    <s v="Calle Guacara Nro. 89-20"/>
    <s v="Colaboración reparación del portón principal"/>
    <x v="11"/>
    <m/>
    <s v="01471"/>
    <s v="04 de octubre de 2018"/>
    <n v="4"/>
    <x v="23"/>
    <s v="10,00"/>
    <e v="#NAME?"/>
  </r>
  <r>
    <n v="1472"/>
    <m/>
    <x v="0"/>
    <d v="2018-10-04T00:00:00"/>
    <n v="320"/>
    <s v="Familia Arcia Polanco"/>
    <s v="misipo29@gmail.com"/>
    <s v="Calle Guacara Nro. 89-20"/>
    <s v="Cancelación Vigilancia, mes de Octubre 2018"/>
    <x v="0"/>
    <m/>
    <s v="01472"/>
    <s v="04 de octubre de 2018"/>
    <n v="4"/>
    <x v="23"/>
    <s v="320,00"/>
    <e v="#NAME?"/>
  </r>
  <r>
    <n v="1473"/>
    <m/>
    <x v="0"/>
    <d v="2018-10-04T00:00:00"/>
    <n v="50"/>
    <s v="Familia Alonso Rojas"/>
    <s v="redjc01@gmail.com"/>
    <s v="Calle Güigüe Nro. 89-54"/>
    <s v="Colaboración reparación del portón principal"/>
    <x v="11"/>
    <m/>
    <s v="01473"/>
    <s v="04 de octubre de 2018"/>
    <n v="4"/>
    <x v="23"/>
    <s v="50,00"/>
    <e v="#NAME?"/>
  </r>
  <r>
    <n v="1474"/>
    <m/>
    <x v="0"/>
    <d v="2018-10-04T00:00:00"/>
    <n v="10"/>
    <s v="Familia Navarrete Medina"/>
    <s v="juanin1919@yahoo.com"/>
    <s v="Calle Güigüe Nro. 89-22"/>
    <s v="Colaboración reparación del portón principal"/>
    <x v="11"/>
    <m/>
    <s v="01474"/>
    <s v="04 de octubre de 2018"/>
    <n v="4"/>
    <x v="23"/>
    <s v="10,00"/>
    <e v="#NAME?"/>
  </r>
  <r>
    <n v="1475"/>
    <m/>
    <x v="0"/>
    <d v="2018-10-04T00:00:00"/>
    <n v="320"/>
    <s v="Familia Colosso Delgado"/>
    <s v="mcolosso@gmail.com"/>
    <s v="Calle Güigüe Nro. 88-44"/>
    <s v="Cancelación Vigilancia, mes de Octubre 2018"/>
    <x v="0"/>
    <m/>
    <s v="01475"/>
    <s v="04 de octubre de 2018"/>
    <n v="4"/>
    <x v="23"/>
    <s v="320,00"/>
    <e v="#NAME?"/>
  </r>
  <r>
    <n v="1476"/>
    <m/>
    <x v="0"/>
    <d v="2018-10-04T00:00:00"/>
    <n v="10"/>
    <s v="Familia Colosso Delgado"/>
    <s v="mcolosso@gmail.com"/>
    <s v="Calle Güigüe Nro. 88-44"/>
    <s v="Colaboración reparación del portón principal"/>
    <x v="11"/>
    <m/>
    <s v="01476"/>
    <s v="04 de octubre de 2018"/>
    <n v="4"/>
    <x v="23"/>
    <s v="10,00"/>
    <e v="#NAME?"/>
  </r>
  <r>
    <n v="1477"/>
    <m/>
    <x v="0"/>
    <d v="2018-10-04T00:00:00"/>
    <n v="50"/>
    <s v="Familia Durvelle Serrano"/>
    <s v="sdurvelle@hotmail.com"/>
    <s v="Calle Guacara Nro. 89-60"/>
    <s v="Colaboración reparación del portón principal"/>
    <x v="11"/>
    <m/>
    <s v="01477"/>
    <s v="04 de octubre de 2018"/>
    <n v="4"/>
    <x v="23"/>
    <s v="50,00"/>
    <e v="#NAME?"/>
  </r>
  <r>
    <n v="1478"/>
    <m/>
    <x v="0"/>
    <d v="2018-10-05T00:00:00"/>
    <n v="628"/>
    <s v="Familia Hatem Medina"/>
    <s v="hhatem1@hotmail.com"/>
    <s v="Calle Guacara Nro. 88-51"/>
    <s v="Cancelación Vigilancia, saldo mes de Septiembre y cancelación mes de Octubre 2018"/>
    <x v="0"/>
    <m/>
    <s v="01478"/>
    <s v="05 de octubre de 2018"/>
    <n v="5"/>
    <x v="23"/>
    <s v="628,00"/>
    <e v="#NAME?"/>
  </r>
  <r>
    <n v="1479"/>
    <m/>
    <x v="0"/>
    <d v="2018-10-05T00:00:00"/>
    <n v="72"/>
    <s v="Familia Hatem Medina"/>
    <s v="hhatem1@hotmail.com"/>
    <s v="Calle Guacara Nro. 88-51"/>
    <s v="Colaboración reparación del portón principal"/>
    <x v="11"/>
    <m/>
    <s v="01479"/>
    <s v="05 de octubre de 2018"/>
    <n v="5"/>
    <x v="23"/>
    <s v="72,00"/>
    <e v="#NAME?"/>
  </r>
  <r>
    <n v="1480"/>
    <m/>
    <x v="0"/>
    <d v="2018-10-05T00:00:00"/>
    <n v="320"/>
    <s v="Familia Fermín Rivas"/>
    <s v="angelferminb@gmail.com"/>
    <s v="Calle Güigüe Nro. 89-55"/>
    <s v="Cancelación Vigilancia, mes de Octubre 2018"/>
    <x v="0"/>
    <m/>
    <s v="01480"/>
    <s v="05 de octubre de 2018"/>
    <n v="5"/>
    <x v="23"/>
    <s v="320,00"/>
    <e v="#NAME?"/>
  </r>
  <r>
    <n v="1481"/>
    <m/>
    <x v="0"/>
    <d v="2018-10-05T00:00:00"/>
    <n v="10"/>
    <s v="Familia Fermín Rivas"/>
    <s v="angelferminb@gmail.com"/>
    <s v="Calle Güigüe Nro. 89-55"/>
    <s v="Colaboración reparación del portón principal"/>
    <x v="11"/>
    <m/>
    <s v="01481"/>
    <s v="05 de octubre de 2018"/>
    <n v="5"/>
    <x v="23"/>
    <s v="10,00"/>
    <e v="#NAME?"/>
  </r>
  <r>
    <n v="1482"/>
    <m/>
    <x v="0"/>
    <d v="2018-10-05T00:00:00"/>
    <n v="10"/>
    <s v="Familia Machado Stoppa"/>
    <s v="machadoru@hotmail.com"/>
    <s v="Calle Guacara Nro. 88-85"/>
    <s v="Colaboración reparación del portón principal"/>
    <x v="11"/>
    <m/>
    <s v="01482"/>
    <s v="05 de octubre de 2018"/>
    <n v="5"/>
    <x v="23"/>
    <s v="10,00"/>
    <e v="#NAME?"/>
  </r>
  <r>
    <n v="1483"/>
    <m/>
    <x v="0"/>
    <d v="2018-10-05T00:00:00"/>
    <n v="270"/>
    <s v="Carmen Moreno"/>
    <s v="carmenemoreno10@gmail.com"/>
    <s v="Calle Güigüe Nro. 89-04"/>
    <s v="Cancelación Vigilancia, saldo mes de Octubre 2018"/>
    <x v="0"/>
    <m/>
    <s v="01483"/>
    <s v="05 de octubre de 2018"/>
    <n v="5"/>
    <x v="23"/>
    <s v="270,00"/>
    <e v="#NAME?"/>
  </r>
  <r>
    <n v="1484"/>
    <m/>
    <x v="0"/>
    <d v="2018-10-05T00:00:00"/>
    <n v="10"/>
    <s v="Carmen Moreno"/>
    <s v="carmenemoreno10@gmail.com"/>
    <s v="Calle Güigüe Nro. 89-04"/>
    <s v="Colaboración reparación del portón principal"/>
    <x v="11"/>
    <m/>
    <s v="01484"/>
    <s v="05 de octubre de 2018"/>
    <n v="5"/>
    <x v="23"/>
    <s v="10,00"/>
    <e v="#NAME?"/>
  </r>
  <r>
    <n v="1485"/>
    <m/>
    <x v="0"/>
    <d v="2018-10-05T00:00:00"/>
    <n v="10"/>
    <s v="Beatriz Lara"/>
    <s v="valentina.gutierrez@hotmail.com"/>
    <s v="Calle Guacara Nro. 89-130"/>
    <s v="Colaboración reparación del portón principal"/>
    <x v="11"/>
    <m/>
    <s v="01485"/>
    <s v="05 de octubre de 2018"/>
    <n v="5"/>
    <x v="23"/>
    <s v="10,00"/>
    <e v="#NAME?"/>
  </r>
  <r>
    <n v="1486"/>
    <m/>
    <x v="0"/>
    <d v="2018-09-29T00:00:00"/>
    <n v="322"/>
    <s v="Familia Hurtado"/>
    <s v="En Físico"/>
    <s v="Av. &quot;O&quot; Nro. 146-11"/>
    <s v="Cancelación Vigilancia, saldo mes de Agosto y cancelación mes de Septiembre 2018"/>
    <x v="0"/>
    <m/>
    <s v="01486"/>
    <s v="29 de septiembre de 2018"/>
    <n v="29"/>
    <x v="22"/>
    <s v="322,00"/>
    <e v="#NAME?"/>
  </r>
  <r>
    <n v="1487"/>
    <m/>
    <x v="0"/>
    <d v="2018-10-05T00:00:00"/>
    <n v="10"/>
    <s v="Amarilis Guerra"/>
    <s v="amarilisguerra1@yahoo.com"/>
    <s v="Calle Güigüe Nro. 89-96"/>
    <s v="Colaboración reparación del portón principal"/>
    <x v="11"/>
    <m/>
    <s v="01487"/>
    <s v="05 de octubre de 2018"/>
    <n v="5"/>
    <x v="23"/>
    <s v="10,00"/>
    <e v="#NAME?"/>
  </r>
  <r>
    <n v="1488"/>
    <m/>
    <x v="0"/>
    <d v="2018-10-05T00:00:00"/>
    <n v="10"/>
    <s v="Familia Nava Gordon"/>
    <s v="maru_19_66@hotmail.com"/>
    <s v="Calle Guacara Nro. 89-78"/>
    <s v="Colaboración reparación del portón principal"/>
    <x v="11"/>
    <m/>
    <s v="01488"/>
    <s v="05 de octubre de 2018"/>
    <n v="5"/>
    <x v="23"/>
    <s v="10,00"/>
    <e v="#NAME?"/>
  </r>
  <r>
    <n v="1489"/>
    <m/>
    <x v="0"/>
    <d v="2018-10-05T00:00:00"/>
    <n v="10"/>
    <s v="Judith Lazo"/>
    <s v="0414-412.3763"/>
    <s v="Av. &quot;M&quot; Nro. 146-25"/>
    <s v="Colaboración reparación del portón principal"/>
    <x v="11"/>
    <m/>
    <s v="01489"/>
    <s v="05 de octubre de 2018"/>
    <n v="5"/>
    <x v="23"/>
    <s v="10,00"/>
    <e v="#NAME?"/>
  </r>
  <r>
    <n v="1490"/>
    <m/>
    <x v="0"/>
    <d v="2018-10-05T00:00:00"/>
    <n v="10"/>
    <s v="Familia Narváez Caldera"/>
    <s v="jeannette_nc@yahoo.com"/>
    <s v="Calle Güigüe Nro. 87-A-11"/>
    <s v="Colaboración reparación del portón principal"/>
    <x v="11"/>
    <m/>
    <s v="01490"/>
    <s v="05 de octubre de 2018"/>
    <n v="5"/>
    <x v="23"/>
    <s v="10,00"/>
    <e v="#NAME?"/>
  </r>
  <r>
    <n v="1491"/>
    <m/>
    <x v="0"/>
    <d v="2018-10-05T00:00:00"/>
    <n v="15"/>
    <s v="Wu Hung Fung"/>
    <s v="carolinahung24@gmail.com"/>
    <s v="Calle Guacara Nro. 90-81"/>
    <s v="Colaboración reparación del portón principal"/>
    <x v="11"/>
    <m/>
    <s v="01491"/>
    <s v="05 de octubre de 2018"/>
    <n v="5"/>
    <x v="23"/>
    <s v="15,00"/>
    <e v="#NAME?"/>
  </r>
  <r>
    <n v="1492"/>
    <m/>
    <x v="0"/>
    <d v="2018-10-05T00:00:00"/>
    <n v="10"/>
    <s v="Chin Chun Ya (Goya)"/>
    <s v="uc2721@gmail.com"/>
    <s v="Calle Guacara Nro. 87-86"/>
    <s v="Colaboración reparación del portón principal"/>
    <x v="11"/>
    <m/>
    <s v="01492"/>
    <s v="05 de octubre de 2018"/>
    <n v="5"/>
    <x v="23"/>
    <s v="10,00"/>
    <e v="#NAME?"/>
  </r>
  <r>
    <n v="1493"/>
    <m/>
    <x v="0"/>
    <d v="2018-10-05T00:00:00"/>
    <n v="10"/>
    <s v="Familia Castillo Mena"/>
    <s v="emmecas@hotmail.com"/>
    <s v="Calle Güigüe Nro. 88-101"/>
    <s v="Colaboración reparación del portón principal"/>
    <x v="11"/>
    <m/>
    <s v="01493"/>
    <s v="05 de octubre de 2018"/>
    <n v="5"/>
    <x v="23"/>
    <s v="10,00"/>
    <e v="#NAME?"/>
  </r>
  <r>
    <n v="1494"/>
    <m/>
    <x v="0"/>
    <d v="2018-10-06T00:00:00"/>
    <n v="100"/>
    <s v="Familia Rivero"/>
    <s v="En Físico"/>
    <s v="Calle Güigüe Nro. 88-40"/>
    <s v="Colaboración Vigilancia, meses de Julio, Agosto y Septiembre 2018"/>
    <x v="0"/>
    <m/>
    <s v="01494"/>
    <s v="06 de octubre de 2018"/>
    <n v="6"/>
    <x v="23"/>
    <s v="100,00"/>
    <e v="#NAME?"/>
  </r>
  <r>
    <n v="1495"/>
    <m/>
    <x v="0"/>
    <d v="2018-10-06T00:00:00"/>
    <n v="10"/>
    <s v="Familia Franco Gómez"/>
    <s v="eof64@hotmail.com"/>
    <s v="Calle Guacara Nro. 87-07"/>
    <s v="Colaboración reparación del portón principal"/>
    <x v="11"/>
    <m/>
    <s v="01495"/>
    <s v="06 de octubre de 2018"/>
    <n v="6"/>
    <x v="23"/>
    <s v="10,00"/>
    <e v="#NAME?"/>
  </r>
  <r>
    <n v="1496"/>
    <m/>
    <x v="0"/>
    <d v="2018-10-06T00:00:00"/>
    <n v="320"/>
    <s v="Héctor Hernández"/>
    <s v="eof64@hotmail.com"/>
    <s v="Calle Guacara Nro. 89-94"/>
    <s v="Cancelación Vigilancia, mes de Octubre 2018"/>
    <x v="0"/>
    <m/>
    <s v="01496"/>
    <s v="06 de octubre de 2018"/>
    <n v="6"/>
    <x v="23"/>
    <s v="320,00"/>
    <e v="#NAME?"/>
  </r>
  <r>
    <n v="1497"/>
    <m/>
    <x v="0"/>
    <d v="2018-10-06T00:00:00"/>
    <n v="10"/>
    <s v="Héctor Hernández"/>
    <s v="eof64@hotmail.com"/>
    <s v="Calle Guacara Nro. 89-94"/>
    <s v="Colaboración reparación del portón principal"/>
    <x v="11"/>
    <m/>
    <s v="01497"/>
    <s v="06 de octubre de 2018"/>
    <n v="6"/>
    <x v="23"/>
    <s v="10,00"/>
    <e v="#NAME?"/>
  </r>
  <r>
    <n v="1498"/>
    <m/>
    <x v="0"/>
    <d v="2018-10-07T00:00:00"/>
    <n v="320"/>
    <s v="Familia Lomeña Agudo"/>
    <s v="claudialomena@hotmail.com"/>
    <s v="Calle Guacara Nro. 89-30"/>
    <s v="Cancelación Vigilancia, mes de Octubre 2018"/>
    <x v="0"/>
    <m/>
    <s v="01498"/>
    <s v="07 de octubre de 2018"/>
    <n v="7"/>
    <x v="23"/>
    <s v="320,00"/>
    <e v="#NAME?"/>
  </r>
  <r>
    <n v="1499"/>
    <m/>
    <x v="0"/>
    <d v="2018-10-07T00:00:00"/>
    <n v="10"/>
    <s v="Familia Lomeña Agudo"/>
    <s v="claudialomena@hotmail.com"/>
    <s v="Calle Guacara Nro. 89-30"/>
    <s v="Colaboración reparación del portón principal"/>
    <x v="11"/>
    <m/>
    <s v="01499"/>
    <s v="07 de octubre de 2018"/>
    <n v="7"/>
    <x v="23"/>
    <s v="10,00"/>
    <e v="#NAME?"/>
  </r>
  <r>
    <n v="1500"/>
    <m/>
    <x v="0"/>
    <d v="2018-10-07T00:00:00"/>
    <n v="320"/>
    <s v="Familia Flores Montagne"/>
    <s v="martaflores@gmail.com"/>
    <s v="Av. &quot;M&quot; Nro. 146-20"/>
    <s v="Cancelación Vigilancia, mes de Octubre 2018"/>
    <x v="0"/>
    <m/>
    <s v="01500"/>
    <s v="07 de octubre de 2018"/>
    <n v="7"/>
    <x v="23"/>
    <s v="320,00"/>
    <e v="#NAME?"/>
  </r>
  <r>
    <n v="1501"/>
    <m/>
    <x v="0"/>
    <d v="2018-10-07T00:00:00"/>
    <n v="10"/>
    <s v="Familia Flores Montagne"/>
    <s v="martaflores@gmail.com"/>
    <s v="Av. &quot;M&quot; Nro. 146-20"/>
    <s v="Colaboración reparación del portón principal"/>
    <x v="11"/>
    <m/>
    <s v="01501"/>
    <s v="07 de octubre de 2018"/>
    <n v="7"/>
    <x v="23"/>
    <s v="10,00"/>
    <e v="#NAME?"/>
  </r>
  <r>
    <n v="1502"/>
    <m/>
    <x v="0"/>
    <d v="2018-10-07T00:00:00"/>
    <n v="322"/>
    <s v="Familia Ochoa Mendoza"/>
    <s v="marisoljudithm@hotmail.com"/>
    <s v="Calle Güigüe Nro. 89-105"/>
    <s v="Cancelación Vigilancia, saldo mes de Agosto y cancelación mes de Septiembre 2018"/>
    <x v="0"/>
    <m/>
    <s v="01502"/>
    <s v="07 de octubre de 2018"/>
    <n v="7"/>
    <x v="23"/>
    <s v="322,00"/>
    <e v="#NAME?"/>
  </r>
  <r>
    <n v="1503"/>
    <m/>
    <x v="0"/>
    <d v="2018-10-07T00:00:00"/>
    <n v="10"/>
    <s v="Familia Ochoa Mendoza"/>
    <s v="marisoljudithm@hotmail.com"/>
    <s v="Calle Güigüe Nro. 89-105"/>
    <s v="Colaboración reparación del portón principal"/>
    <x v="11"/>
    <m/>
    <s v="01503"/>
    <s v="07 de octubre de 2018"/>
    <n v="7"/>
    <x v="23"/>
    <s v="10,00"/>
    <e v="#NAME?"/>
  </r>
  <r>
    <n v="1504"/>
    <m/>
    <x v="0"/>
    <d v="2018-10-07T00:00:00"/>
    <n v="320"/>
    <s v="Familia Ochoa Mendoza"/>
    <s v="marisoljudithm@hotmail.com"/>
    <s v="Calle Guacara Nro. 89-130"/>
    <s v="Cancelación Vigilancia, mes de Octubre 2018"/>
    <x v="0"/>
    <m/>
    <s v="01504"/>
    <s v="07 de octubre de 2018"/>
    <n v="7"/>
    <x v="23"/>
    <s v="320,00"/>
    <e v="#NAME?"/>
  </r>
  <r>
    <n v="1505"/>
    <m/>
    <x v="0"/>
    <d v="2018-10-07T00:00:00"/>
    <n v="320"/>
    <s v="Familia Montilla García"/>
    <s v="dairy252525@hotmail.com"/>
    <s v="Calle Güigüe Nro. 89-90"/>
    <s v="Cancelación Vigilancia, mes de Octubre 2018"/>
    <x v="0"/>
    <m/>
    <s v="01505"/>
    <s v="07 de octubre de 2018"/>
    <n v="7"/>
    <x v="23"/>
    <s v="320,00"/>
    <e v="#NAME?"/>
  </r>
  <r>
    <n v="1506"/>
    <m/>
    <x v="0"/>
    <d v="2018-10-07T00:00:00"/>
    <n v="30"/>
    <s v="Familia Montilla García"/>
    <s v="dairy252525@hotmail.com"/>
    <s v="Calle Güigüe Nro. 89-90"/>
    <s v="Colaboración reparación del portón principal"/>
    <x v="11"/>
    <m/>
    <s v="01506"/>
    <s v="07 de octubre de 2018"/>
    <n v="7"/>
    <x v="23"/>
    <s v="30,00"/>
    <e v="#NAME?"/>
  </r>
  <r>
    <n v="1507"/>
    <m/>
    <x v="0"/>
    <d v="2018-10-08T00:00:00"/>
    <n v="320"/>
    <s v="Familia Navarro Assing"/>
    <s v="liliaassing@gmail.com"/>
    <s v="Calle Güigüe Nro. 88-54"/>
    <s v="Cancelación Vigilancia, mes de Octubre 2018"/>
    <x v="0"/>
    <m/>
    <s v="01507"/>
    <s v="08 de octubre de 2018"/>
    <n v="8"/>
    <x v="23"/>
    <s v="320,00"/>
    <e v="#NAME?"/>
  </r>
  <r>
    <n v="1508"/>
    <m/>
    <x v="0"/>
    <d v="2018-10-08T00:00:00"/>
    <n v="10"/>
    <s v="Familia Navarro Assing"/>
    <s v="liliaassing@gmail.com"/>
    <s v="Calle Güigüe Nro. 88-54"/>
    <s v="Colaboración reparación del portón principal"/>
    <x v="11"/>
    <m/>
    <s v="01508"/>
    <s v="08 de octubre de 2018"/>
    <n v="8"/>
    <x v="23"/>
    <s v="10,00"/>
    <e v="#NAME?"/>
  </r>
  <r>
    <n v="1509"/>
    <m/>
    <x v="0"/>
    <d v="2018-10-08T00:00:00"/>
    <n v="320"/>
    <s v="Sra. Reina Meléndez"/>
    <s v="olgajipe@gmail.com"/>
    <s v="Av. &quot;M&quot; Nro. 145-10"/>
    <s v="Cancelación Vigilancia, mes de Octubre 2018"/>
    <x v="0"/>
    <m/>
    <s v="01509"/>
    <s v="08 de octubre de 2018"/>
    <n v="8"/>
    <x v="23"/>
    <s v="320,00"/>
    <e v="#NAME?"/>
  </r>
  <r>
    <n v="1510"/>
    <m/>
    <x v="0"/>
    <d v="2018-10-08T00:00:00"/>
    <n v="10"/>
    <s v="Sra. Reina Meléndez"/>
    <s v="olgajipe@gmail.com"/>
    <s v="Av. &quot;M&quot; Nro. 145-10"/>
    <s v="Colaboración reparación del portón principal"/>
    <x v="11"/>
    <m/>
    <s v="01510"/>
    <s v="08 de octubre de 2018"/>
    <n v="8"/>
    <x v="23"/>
    <s v="10,00"/>
    <e v="#NAME?"/>
  </r>
  <r>
    <n v="1511"/>
    <m/>
    <x v="0"/>
    <d v="2018-10-08T00:00:00"/>
    <n v="320"/>
    <s v="Familia Scabuzzo Gómez"/>
    <s v="sfscabuzzo@msn.com"/>
    <s v="Av. &quot;I&quot; Nro. 146-20"/>
    <s v="Cancelación Vigilancia, saldo mes de Octubre y anticipo mes de Noviembre 2018"/>
    <x v="0"/>
    <m/>
    <s v="01511"/>
    <s v="08 de octubre de 2018"/>
    <n v="8"/>
    <x v="23"/>
    <s v="320,00"/>
    <e v="#NAME?"/>
  </r>
  <r>
    <n v="1512"/>
    <m/>
    <x v="0"/>
    <d v="2018-10-08T00:00:00"/>
    <n v="10"/>
    <s v="Familia Scabuzzo Gómez"/>
    <s v="sfscabuzzo@msn.com"/>
    <s v="Av. &quot;I&quot; Nro. 146-20"/>
    <s v="Colaboración reparación del portón principal"/>
    <x v="11"/>
    <m/>
    <s v="01512"/>
    <s v="08 de octubre de 2018"/>
    <n v="8"/>
    <x v="23"/>
    <s v="10,00"/>
    <e v="#NAME?"/>
  </r>
  <r>
    <n v="1513"/>
    <m/>
    <x v="0"/>
    <d v="2018-10-08T00:00:00"/>
    <n v="320"/>
    <s v="Familia Ferrer Bahri"/>
    <s v="bahrimariela@hotmail.com"/>
    <s v="Calle Güigüe Nro. 89-83"/>
    <s v="Cancelación Vigilancia, mes de Octubre 2018"/>
    <x v="0"/>
    <m/>
    <s v="01513"/>
    <s v="08 de octubre de 2018"/>
    <n v="8"/>
    <x v="23"/>
    <s v="320,00"/>
    <e v="#NAME?"/>
  </r>
  <r>
    <n v="1514"/>
    <m/>
    <x v="0"/>
    <d v="2018-10-08T00:00:00"/>
    <n v="10"/>
    <s v="Familia Ferrer Bahri"/>
    <s v="bahrimariela@hotmail.com"/>
    <s v="Calle Güigüe Nro. 89-83"/>
    <s v="Colaboración reparación del portón principal"/>
    <x v="11"/>
    <m/>
    <s v="01514"/>
    <s v="08 de octubre de 2018"/>
    <n v="8"/>
    <x v="23"/>
    <s v="10,00"/>
    <e v="#NAME?"/>
  </r>
  <r>
    <n v="1515"/>
    <m/>
    <x v="0"/>
    <d v="2018-10-08T00:00:00"/>
    <n v="320"/>
    <s v="Victoria Francischiello"/>
    <s v="victoriafrancischiello@hotmail.com"/>
    <s v="Calle Guacara Nro. 88-25"/>
    <s v="Cancelación Vigilancia, mes de Septiembre 2018"/>
    <x v="0"/>
    <m/>
    <s v="01515"/>
    <s v="08 de octubre de 2018"/>
    <n v="8"/>
    <x v="23"/>
    <s v="320,00"/>
    <e v="#NAME?"/>
  </r>
  <r>
    <n v="1516"/>
    <m/>
    <x v="0"/>
    <d v="2018-10-08T00:00:00"/>
    <n v="10"/>
    <s v="Victoria Francischiello"/>
    <s v="victoriafrancischiello@hotmail.com"/>
    <s v="Calle Guacara Nro. 88-25"/>
    <s v="Colaboración reparación del portón principal"/>
    <x v="11"/>
    <m/>
    <s v="01516"/>
    <s v="08 de octubre de 2018"/>
    <n v="8"/>
    <x v="23"/>
    <s v="10,00"/>
    <e v="#NAME?"/>
  </r>
  <r>
    <n v="1517"/>
    <m/>
    <x v="0"/>
    <d v="2018-10-09T00:00:00"/>
    <n v="10"/>
    <s v="Familia Hurtado"/>
    <s v="En Físico"/>
    <s v="Av. &quot;O&quot; Nro. 146-11"/>
    <s v="Colaboración reparación del portón principal"/>
    <x v="11"/>
    <m/>
    <s v="01517"/>
    <s v="09 de octubre de 2018"/>
    <n v="9"/>
    <x v="23"/>
    <s v="10,00"/>
    <e v="#NAME?"/>
  </r>
  <r>
    <n v="1518"/>
    <m/>
    <x v="0"/>
    <d v="2018-10-10T00:00:00"/>
    <n v="320"/>
    <s v="Familia Costermani Terrer"/>
    <s v="claudiacostermani@hotmail.com"/>
    <s v="Calle Güigüe Nro. 88-11"/>
    <s v="Cancelación Vigilancia, mes de Octubre 2018"/>
    <x v="0"/>
    <m/>
    <s v="01518"/>
    <s v="10 de octubre de 2018"/>
    <n v="10"/>
    <x v="23"/>
    <s v="320,00"/>
    <e v="#NAME?"/>
  </r>
  <r>
    <n v="1519"/>
    <m/>
    <x v="0"/>
    <d v="2018-10-11T00:00:00"/>
    <n v="320"/>
    <s v="Familia Puerta Burguillos"/>
    <s v="namaricakes@gmail.com"/>
    <s v="Calle Guacara Nro. 87-100"/>
    <s v="Cancelación Vigilancia, mes de Octubre 2018"/>
    <x v="0"/>
    <m/>
    <s v="01519"/>
    <s v="11 de octubre de 2018"/>
    <n v="11"/>
    <x v="23"/>
    <s v="320,00"/>
    <e v="#NAME?"/>
  </r>
  <r>
    <n v="1520"/>
    <m/>
    <x v="0"/>
    <d v="2018-10-11T00:00:00"/>
    <n v="10"/>
    <s v="Familia Puerta Burguillos"/>
    <s v="namaricakes@gmail.com"/>
    <s v="Calle Guacara Nro. 87-100"/>
    <s v="Colaboración reparación del portón principal"/>
    <x v="11"/>
    <m/>
    <s v="01520"/>
    <s v="11 de octubre de 2018"/>
    <n v="11"/>
    <x v="23"/>
    <s v="10,00"/>
    <e v="#NAME?"/>
  </r>
  <r>
    <n v="1521"/>
    <m/>
    <x v="0"/>
    <d v="2018-10-09T00:00:00"/>
    <n v="640"/>
    <s v="Familia Jiménez Navarro"/>
    <s v="joyasonline2012@gmail.com"/>
    <s v="Calle Güigüe Nro. 88-50"/>
    <s v="Cancelación Vigilancia, meses de Septiembre y Octubre 2018"/>
    <x v="0"/>
    <m/>
    <s v="01521"/>
    <s v="09 de octubre de 2018"/>
    <n v="9"/>
    <x v="23"/>
    <s v="640,00"/>
    <e v="#NAME?"/>
  </r>
  <r>
    <n v="1522"/>
    <m/>
    <x v="0"/>
    <d v="2018-10-09T00:00:00"/>
    <n v="10"/>
    <s v="Familia Jiménez Navarro"/>
    <s v="joyasonline2012@gmail.com"/>
    <s v="Calle Güigüe Nro. 88-50"/>
    <s v="Colaboración reparación del portón principal"/>
    <x v="11"/>
    <m/>
    <s v="01522"/>
    <s v="09 de octubre de 2018"/>
    <n v="9"/>
    <x v="23"/>
    <s v="10,00"/>
    <e v="#NAME?"/>
  </r>
  <r>
    <n v="1523"/>
    <m/>
    <x v="0"/>
    <d v="2018-10-04T00:00:00"/>
    <n v="10"/>
    <s v="Familia Costermani Terrer"/>
    <s v="claudiacostermani@hotmail.com"/>
    <s v="Calle Güigüe Nro. 88-11"/>
    <s v="Colaboración reparación del portón principal"/>
    <x v="11"/>
    <m/>
    <s v="01523"/>
    <s v="04 de octubre de 2018"/>
    <n v="4"/>
    <x v="23"/>
    <s v="10,00"/>
    <e v="#NAME?"/>
  </r>
  <r>
    <n v="1524"/>
    <m/>
    <x v="0"/>
    <d v="2018-10-11T00:00:00"/>
    <n v="320"/>
    <s v="Familia Del Negro Palermo"/>
    <s v="vdelnegro@gmail.com"/>
    <s v="Calle Guacara Nro. 88-45"/>
    <s v="Cancelación Vigilancia, mes de Octubre 2018 (saldo a favor: Bs. 982,95)"/>
    <x v="0"/>
    <m/>
    <s v="01524"/>
    <s v="11 de octubre de 2018"/>
    <n v="11"/>
    <x v="23"/>
    <s v="320,00"/>
    <e v="#NAME?"/>
  </r>
  <r>
    <n v="1525"/>
    <m/>
    <x v="0"/>
    <d v="2018-10-08T00:00:00"/>
    <n v="320"/>
    <s v="Familia Gascón Domínguez"/>
    <s v="vrgascon@gmail.com"/>
    <s v="Calle Güigüe Nro. 88-70"/>
    <s v="Cancelación Vigilancia, mes de Septiembre 2018"/>
    <x v="0"/>
    <m/>
    <s v="01525"/>
    <s v="08 de octubre de 2018"/>
    <n v="8"/>
    <x v="23"/>
    <s v="320,00"/>
    <e v="#NAME?"/>
  </r>
  <r>
    <n v="1526"/>
    <m/>
    <x v="0"/>
    <d v="2018-10-08T00:00:00"/>
    <n v="10"/>
    <s v="Familia Gascón Domínguez"/>
    <s v="vrgascon@gmail.com"/>
    <s v="Calle Güigüe Nro. 88-70"/>
    <s v="Colaboración reparación del portón principal"/>
    <x v="11"/>
    <m/>
    <s v="01526"/>
    <s v="08 de octubre de 2018"/>
    <n v="8"/>
    <x v="23"/>
    <s v="10,00"/>
    <e v="#NAME?"/>
  </r>
  <r>
    <n v="1527"/>
    <m/>
    <x v="0"/>
    <d v="2018-10-12T00:00:00"/>
    <n v="320"/>
    <s v="Familia Barreto Pérez"/>
    <s v="bbetsa19@hotmail.com"/>
    <s v="Av. &quot;M&quot; Nro. 146-15"/>
    <s v="Cancelación Vigilancia, mes de Septiembre 2018"/>
    <x v="0"/>
    <m/>
    <s v="01527"/>
    <s v="12 de octubre de 2018"/>
    <n v="12"/>
    <x v="23"/>
    <s v="320,00"/>
    <e v="#NAME?"/>
  </r>
  <r>
    <n v="1528"/>
    <m/>
    <x v="0"/>
    <d v="2018-10-12T00:00:00"/>
    <n v="10"/>
    <s v="Familia Barreto Pérez"/>
    <s v="bbetsa19@hotmail.com"/>
    <s v="Av. &quot;M&quot; Nro. 146-15"/>
    <s v="Colaboración reparación del portón principal"/>
    <x v="11"/>
    <m/>
    <s v="01528"/>
    <s v="12 de octubre de 2018"/>
    <n v="12"/>
    <x v="23"/>
    <s v="10,00"/>
    <e v="#NAME?"/>
  </r>
  <r>
    <n v="1529"/>
    <m/>
    <x v="0"/>
    <d v="2018-10-12T00:00:00"/>
    <n v="320"/>
    <s v="Familia Zavarce Barón"/>
    <s v="alexanderzavarce@gmail.com"/>
    <s v="Calle Guacara Nro. 88-91"/>
    <s v="Cancelación Vigilancia, mes de Octubre 2018"/>
    <x v="0"/>
    <m/>
    <s v="01529"/>
    <s v="12 de octubre de 2018"/>
    <n v="12"/>
    <x v="23"/>
    <s v="320,00"/>
    <e v="#NAME?"/>
  </r>
  <r>
    <n v="1530"/>
    <m/>
    <x v="0"/>
    <d v="2018-10-12T00:00:00"/>
    <n v="10"/>
    <s v="Familia Zavarce Barón"/>
    <s v="alexanderzavarce@gmail.com"/>
    <s v="Calle Guacara Nro. 88-91"/>
    <s v="Colaboración reparación del portón principal"/>
    <x v="11"/>
    <m/>
    <s v="01530"/>
    <s v="12 de octubre de 2018"/>
    <n v="12"/>
    <x v="23"/>
    <s v="10,00"/>
    <e v="#NAME?"/>
  </r>
  <r>
    <n v="1531"/>
    <m/>
    <x v="0"/>
    <d v="2018-10-12T00:00:00"/>
    <n v="320"/>
    <s v="Familia Wu Acevedo"/>
    <s v="rudyacevedo90@gmail.com"/>
    <s v="Calle Guacara Nro. 88-A-10"/>
    <s v="Cancelación Vigilancia, mes de Octubre 2018"/>
    <x v="0"/>
    <m/>
    <s v="01531"/>
    <s v="12 de octubre de 2018"/>
    <n v="12"/>
    <x v="23"/>
    <s v="320,00"/>
    <e v="#NAME?"/>
  </r>
  <r>
    <n v="1532"/>
    <m/>
    <x v="0"/>
    <d v="2018-10-12T00:00:00"/>
    <n v="10"/>
    <s v="Familia Wu Acevedo"/>
    <s v="rudyacevedo90@gmail.com"/>
    <s v="Calle Guacara Nro. 88-A-10"/>
    <s v="Colaboración reparación del portón principal"/>
    <x v="11"/>
    <m/>
    <s v="01532"/>
    <s v="12 de octubre de 2018"/>
    <n v="12"/>
    <x v="23"/>
    <s v="10,00"/>
    <e v="#NAME?"/>
  </r>
  <r>
    <n v="1533"/>
    <m/>
    <x v="0"/>
    <d v="2018-10-12T00:00:00"/>
    <n v="320"/>
    <s v="Familia Delgado Hidalgo"/>
    <s v="ardh@hotmail.com"/>
    <s v="Calle Güigüe Nro. 88-10"/>
    <s v="Cancelación Vigilancia, mes de Octubre 2018"/>
    <x v="0"/>
    <m/>
    <s v="01533"/>
    <s v="12 de octubre de 2018"/>
    <n v="12"/>
    <x v="23"/>
    <s v="320,00"/>
    <e v="#NAME?"/>
  </r>
  <r>
    <n v="1534"/>
    <m/>
    <x v="0"/>
    <d v="2018-10-12T00:00:00"/>
    <n v="10"/>
    <s v="Familia Delgado Hidalgo"/>
    <s v="ardh@hotmail.com"/>
    <s v="Calle Güigüe Nro. 88-10"/>
    <s v="Colaboración reparación del portón principal"/>
    <x v="11"/>
    <m/>
    <s v="01534"/>
    <s v="12 de octubre de 2018"/>
    <n v="12"/>
    <x v="23"/>
    <s v="10,00"/>
    <e v="#NAME?"/>
  </r>
  <r>
    <n v="1535"/>
    <m/>
    <x v="0"/>
    <d v="2018-10-13T00:00:00"/>
    <n v="320"/>
    <s v="Amparo Acosta"/>
    <s v="amparonatividad@hotmail.com"/>
    <s v="Calle Guacara Nro. 88-65"/>
    <s v="Cancelación Vigilancia, mes de Octubre 2018"/>
    <x v="0"/>
    <m/>
    <s v="01535"/>
    <s v="13 de octubre de 2018"/>
    <n v="13"/>
    <x v="23"/>
    <s v="320,00"/>
    <e v="#NAME?"/>
  </r>
  <r>
    <n v="1536"/>
    <m/>
    <x v="0"/>
    <d v="2018-10-13T00:00:00"/>
    <n v="10"/>
    <s v="Amparo Acosta"/>
    <s v="amparonatividad@hotmail.com"/>
    <s v="Calle Guacara Nro. 88-65"/>
    <s v="Colaboración reparación del portón principal"/>
    <x v="11"/>
    <m/>
    <s v="01536"/>
    <s v="13 de octubre de 2018"/>
    <n v="13"/>
    <x v="23"/>
    <s v="10,00"/>
    <e v="#NAME?"/>
  </r>
  <r>
    <n v="1537"/>
    <m/>
    <x v="0"/>
    <d v="2018-10-14T00:00:00"/>
    <n v="960"/>
    <s v="Familia González Arévalo"/>
    <s v="feryenis@hotmail.com"/>
    <s v="Calle Guacara Nro. 89-86"/>
    <s v="Cancelación Vigilancia, mes de Octubre y anticipo meses de Noviembre y Diciembre 2018"/>
    <x v="0"/>
    <m/>
    <s v="01537"/>
    <s v="14 de octubre de 2018"/>
    <n v="14"/>
    <x v="23"/>
    <s v="960,00"/>
    <e v="#NAME?"/>
  </r>
  <r>
    <n v="1538"/>
    <m/>
    <x v="0"/>
    <d v="2018-10-14T00:00:00"/>
    <n v="10"/>
    <s v="Familia González Arévalo"/>
    <s v="feryenis@hotmail.com"/>
    <s v="Calle Guacara Nro. 89-86"/>
    <s v="Colaboración reparación del portón principal"/>
    <x v="11"/>
    <m/>
    <s v="01538"/>
    <s v="14 de octubre de 2018"/>
    <n v="14"/>
    <x v="23"/>
    <s v="10,00"/>
    <e v="#NAME?"/>
  </r>
  <r>
    <n v="1539"/>
    <m/>
    <x v="0"/>
    <d v="2018-10-17T00:00:00"/>
    <n v="320"/>
    <s v="Familia Díaz González"/>
    <s v="luisrdt57@gmail.com"/>
    <s v="Calle Güigüe Nro. 88-116"/>
    <s v="Cancelación Vigilancia, mes de Octubre 2018"/>
    <x v="0"/>
    <m/>
    <s v="01539"/>
    <s v="17 de octubre de 2018"/>
    <n v="17"/>
    <x v="23"/>
    <s v="320,00"/>
    <e v="#NAME?"/>
  </r>
  <r>
    <n v="1540"/>
    <m/>
    <x v="0"/>
    <d v="2018-10-21T00:00:00"/>
    <n v="360"/>
    <s v="Familia Nava Gordon"/>
    <s v="maru_19_66@hotmail.com"/>
    <s v="Calle Guacara Nro. 89-78"/>
    <s v="Cancelación Vigilancia, mes de Octubre y anticipo mes de Noviembre 2018"/>
    <x v="0"/>
    <m/>
    <s v="01540"/>
    <s v="21 de octubre de 2018"/>
    <n v="21"/>
    <x v="23"/>
    <s v="360,00"/>
    <e v="#NAME?"/>
  </r>
  <r>
    <n v="1541"/>
    <m/>
    <x v="0"/>
    <d v="2018-10-21T00:00:00"/>
    <n v="320"/>
    <s v="Dra. Lilia Magallanes"/>
    <s v="liliamagallanes2010@gmail.com"/>
    <s v="Calle Güigüe Nro. 88-51"/>
    <s v="Cancelación Vigilancia, mes de Octubre 2018"/>
    <x v="0"/>
    <m/>
    <s v="01541"/>
    <s v="21 de octubre de 2018"/>
    <n v="21"/>
    <x v="23"/>
    <s v="320,00"/>
    <e v="#NAME?"/>
  </r>
  <r>
    <n v="1542"/>
    <m/>
    <x v="0"/>
    <d v="2018-10-24T00:00:00"/>
    <n v="320"/>
    <s v="Familia Kablan Sarmiento"/>
    <s v="norisjsb56@hotmail.com"/>
    <s v="Calle Güigüe Nro. 89-80"/>
    <s v="Cancelación Vigilancia, mes de Octubre 2018"/>
    <x v="0"/>
    <m/>
    <s v="01542"/>
    <s v="24 de octubre de 2018"/>
    <n v="24"/>
    <x v="23"/>
    <s v="320,00"/>
    <e v="#NAME?"/>
  </r>
  <r>
    <n v="1543"/>
    <m/>
    <x v="0"/>
    <d v="2018-10-24T00:00:00"/>
    <n v="10"/>
    <s v="Familia Kablan Sarmiento"/>
    <s v="norisjsb56@hotmail.com"/>
    <s v="Calle Güigüe Nro. 89-80"/>
    <s v="Colaboración reparación del portón principal"/>
    <x v="11"/>
    <m/>
    <s v="01543"/>
    <s v="24 de octubre de 2018"/>
    <n v="24"/>
    <x v="23"/>
    <s v="10,00"/>
    <e v="#NAME?"/>
  </r>
  <r>
    <n v="1544"/>
    <m/>
    <x v="0"/>
    <d v="2018-10-24T00:00:00"/>
    <n v="465"/>
    <s v="Colegio El Trigal"/>
    <s v="En Físico"/>
    <s v="Calle Güigüe Nros. 88-71 y 88-81"/>
    <s v="Cancelación Vigilancia, mes de Octubre 2018"/>
    <x v="0"/>
    <m/>
    <s v="01544"/>
    <s v="24 de octubre de 2018"/>
    <n v="24"/>
    <x v="23"/>
    <s v="465,00"/>
    <e v="#NAME?"/>
  </r>
  <r>
    <n v="1545"/>
    <m/>
    <x v="0"/>
    <d v="2018-10-25T00:00:00"/>
    <n v="320"/>
    <s v="Amarilis Guerra"/>
    <s v="amarilisguerra1@yahoo.com"/>
    <s v="Calle Güigüe Nro. 89-96"/>
    <s v="Cancelación Vigilancia, mes de Octubre 2018"/>
    <x v="0"/>
    <m/>
    <s v="01545"/>
    <s v="25 de octubre de 2018"/>
    <n v="25"/>
    <x v="23"/>
    <s v="320,00"/>
    <e v="#NAME?"/>
  </r>
  <r>
    <n v="1546"/>
    <m/>
    <x v="0"/>
    <d v="2018-10-25T00:00:00"/>
    <n v="320"/>
    <s v="Familia Alonso Rojas"/>
    <s v="redjc01@gmail.com"/>
    <s v="Calle Güigüe Nro. 89-54"/>
    <s v="Cancelación Vigilancia, mes de Octubre 2018"/>
    <x v="0"/>
    <m/>
    <s v="01546"/>
    <s v="25 de octubre de 2018"/>
    <n v="25"/>
    <x v="23"/>
    <s v="320,00"/>
    <e v="#NAME?"/>
  </r>
  <r>
    <n v="1547"/>
    <m/>
    <x v="0"/>
    <d v="2018-10-25T00:00:00"/>
    <n v="320"/>
    <s v="Beatriz Lara"/>
    <s v="valentina.gutierrez@hotmail.com"/>
    <s v="Calle Guacara Nro. 89-130"/>
    <s v="Cancelación Vigilancia, mes de Octubre 2018"/>
    <x v="0"/>
    <m/>
    <s v="01547"/>
    <s v="25 de octubre de 2018"/>
    <n v="25"/>
    <x v="23"/>
    <s v="320,00"/>
    <e v="#NAME?"/>
  </r>
  <r>
    <n v="1548"/>
    <m/>
    <x v="0"/>
    <d v="2018-10-25T00:00:00"/>
    <n v="320"/>
    <s v="Familia Narváez Caldera"/>
    <s v="jeannette_nc@yahoo.com"/>
    <s v="Calle Güigüe Nro. 87-A-11"/>
    <s v="Cancelación Vigilancia, mes de Octubre 2018"/>
    <x v="0"/>
    <m/>
    <s v="01548"/>
    <s v="25 de octubre de 2018"/>
    <n v="25"/>
    <x v="23"/>
    <s v="320,00"/>
    <e v="#NAME?"/>
  </r>
  <r>
    <n v="1549"/>
    <m/>
    <x v="0"/>
    <d v="2018-10-25T00:00:00"/>
    <n v="355"/>
    <s v="La Casita Encantada"/>
    <s v="En Físico"/>
    <s v="Av. &quot;M&quot; Nro. 146-30"/>
    <s v="Cancelación Vigilancia, mes de Octubre 2018"/>
    <x v="0"/>
    <m/>
    <s v="01549"/>
    <s v="25 de octubre de 2018"/>
    <n v="25"/>
    <x v="23"/>
    <s v="355,00"/>
    <e v="#NAME?"/>
  </r>
  <r>
    <n v="1550"/>
    <m/>
    <x v="0"/>
    <d v="2018-10-25T00:00:00"/>
    <n v="300"/>
    <s v="Gloria Molina"/>
    <s v="glomola2@yahoo.es"/>
    <s v="Calle Güigüe Nro. 89-71"/>
    <s v="Colaboración Vigilancia, mes de Septiembre 2017"/>
    <x v="0"/>
    <m/>
    <s v="01550"/>
    <s v="25 de octubre de 2018"/>
    <n v="25"/>
    <x v="23"/>
    <s v="300,00"/>
    <e v="#NAME?"/>
  </r>
  <r>
    <n v="1551"/>
    <m/>
    <x v="0"/>
    <d v="2018-10-26T00:00:00"/>
    <n v="320"/>
    <s v="Familia Zavarce Pérez"/>
    <s v="En Físico"/>
    <s v="Calle Guacara Nro. 90-35"/>
    <s v="Cancelación Vigilancia, mes de Octubre 2018"/>
    <x v="0"/>
    <m/>
    <s v="01551"/>
    <s v="26 de octubre de 2018"/>
    <n v="26"/>
    <x v="23"/>
    <s v="320,00"/>
    <e v="#NAME?"/>
  </r>
  <r>
    <n v="1552"/>
    <m/>
    <x v="0"/>
    <d v="2018-10-25T00:00:00"/>
    <n v="250"/>
    <s v="Familia Rodríguez Landaeta"/>
    <s v="mrl58@hotmail.com"/>
    <s v="Calle Güigüe Nro. 89-29"/>
    <s v="Colaboración Vigilancia, mes de Octubre 2018"/>
    <x v="0"/>
    <m/>
    <s v="01552"/>
    <s v="25 de octubre de 2018"/>
    <n v="25"/>
    <x v="23"/>
    <s v="250,00"/>
    <e v="#NAME?"/>
  </r>
  <r>
    <n v="1553"/>
    <m/>
    <x v="0"/>
    <d v="2018-10-29T00:00:00"/>
    <n v="320"/>
    <s v="Familia Gascón Domínguez"/>
    <s v="vrgascon@gmail.com"/>
    <s v="Calle Güigüe Nro. 88-70"/>
    <s v="Cancelación Vigilancia, mes de Octubre 2018"/>
    <x v="0"/>
    <m/>
    <s v="01553"/>
    <s v="29 de octubre de 2018"/>
    <n v="29"/>
    <x v="23"/>
    <s v="320,00"/>
    <e v="#NAME?"/>
  </r>
  <r>
    <n v="1554"/>
    <m/>
    <x v="0"/>
    <d v="2018-10-30T00:00:00"/>
    <n v="10"/>
    <s v="Ely Saúl Rivero Gómez"/>
    <s v="hhs.admon@gmail.com"/>
    <s v="Av. &quot;Ñ&quot; Nro. 145-25"/>
    <s v="Colaboración reparación del portón principal (saldo a favor: Bs. 3.272)"/>
    <x v="11"/>
    <m/>
    <s v="01554"/>
    <s v="30 de octubre de 2018"/>
    <n v="30"/>
    <x v="23"/>
    <s v="10,00"/>
    <e v="#NAME?"/>
  </r>
  <r>
    <n v="1555"/>
    <m/>
    <x v="0"/>
    <d v="2018-10-30T00:00:00"/>
    <n v="320"/>
    <s v="Familia Rodríguez Aular"/>
    <s v="mvaular@hotmail.com"/>
    <s v="Calle Güigüe Nro. 88-58"/>
    <s v="Cancelación Vigilancia, mes de Octubre 2018"/>
    <x v="0"/>
    <m/>
    <s v="01555"/>
    <s v="30 de octubre de 2018"/>
    <n v="30"/>
    <x v="23"/>
    <s v="320,00"/>
    <e v="#NAME?"/>
  </r>
  <r>
    <n v="1556"/>
    <m/>
    <x v="0"/>
    <d v="2018-10-30T00:00:00"/>
    <n v="640"/>
    <s v="Ely Saúl Rivero Gómez"/>
    <s v="hhs.admon@gmail.com"/>
    <s v="Av. &quot;Ñ&quot; Nro. 145-25"/>
    <s v="Cancelación Vigilancia meses de Septiembre y Octubre 2018 (saldo a favor: Bs. 3.272)"/>
    <x v="0"/>
    <m/>
    <s v="01556"/>
    <s v="30 de octubre de 2018"/>
    <n v="30"/>
    <x v="23"/>
    <s v="640,00"/>
    <e v="#NAME?"/>
  </r>
  <r>
    <n v="1557"/>
    <m/>
    <x v="0"/>
    <d v="2018-10-30T00:00:00"/>
    <n v="645"/>
    <s v="Familia Cegarra Villamizar"/>
    <s v="jesus.villamizar.ra@gmail.com"/>
    <s v="Calle Guacara Nro. 88-35"/>
    <s v="Cancelación Vigilancia, saldo meses de Julio y Agosto, y cancelación meses de Septiembre y Octubre 2018"/>
    <x v="0"/>
    <m/>
    <s v="01557"/>
    <s v="30 de octubre de 2018"/>
    <n v="30"/>
    <x v="23"/>
    <s v="645,00"/>
    <e v="#NAME?"/>
  </r>
  <r>
    <n v="1558"/>
    <m/>
    <x v="0"/>
    <d v="2018-10-30T00:00:00"/>
    <n v="320"/>
    <s v="Familia Abbinante Pinto"/>
    <s v="abbinante47@gmail.com"/>
    <s v="Calle Güigüe Nro. 89-120"/>
    <s v="Cancelación Vigilancia, mes de Octubre 2018"/>
    <x v="0"/>
    <m/>
    <s v="01558"/>
    <s v="30 de octubre de 2018"/>
    <n v="30"/>
    <x v="23"/>
    <s v="320,00"/>
    <e v="#NAME?"/>
  </r>
  <r>
    <n v="1559"/>
    <m/>
    <x v="0"/>
    <d v="2018-10-30T00:00:00"/>
    <n v="10"/>
    <s v="Familia Abbinante Pinto"/>
    <s v="abbinante47@gmail.com"/>
    <s v="Calle Güigüe Nro. 89-120"/>
    <s v="Colaboración reparación del portón principal (saldo a favor: Bs. 3.272)"/>
    <x v="11"/>
    <m/>
    <s v="01559"/>
    <s v="30 de octubre de 2018"/>
    <n v="30"/>
    <x v="23"/>
    <s v="10,00"/>
    <e v="#NAME?"/>
  </r>
  <r>
    <n v="1560"/>
    <m/>
    <x v="0"/>
    <d v="2018-10-23T00:00:00"/>
    <n v="320"/>
    <s v="Familia Romero"/>
    <s v="autoescuela21@gmail.com"/>
    <s v="Calle Guacara Nro. 89-50"/>
    <s v="Colaboración Vigilancia, meses de Septiembre y Octubre 2018"/>
    <x v="0"/>
    <m/>
    <s v="01560"/>
    <s v="23 de octubre de 2018"/>
    <n v="23"/>
    <x v="23"/>
    <s v="320,00"/>
    <e v="#NAME?"/>
  </r>
  <r>
    <n v="1561"/>
    <m/>
    <x v="0"/>
    <d v="2018-10-30T00:00:00"/>
    <n v="320"/>
    <s v="Familia Matta Palomino"/>
    <s v="En Físico"/>
    <s v="Calle Güigüe Nro. 88-90"/>
    <s v="Cancelación Vigilancia, mes de Octubre 2018"/>
    <x v="0"/>
    <m/>
    <s v="01561"/>
    <s v="30 de octubre de 2018"/>
    <n v="30"/>
    <x v="23"/>
    <s v="320,00"/>
    <e v="#NAME?"/>
  </r>
  <r>
    <n v="1562"/>
    <m/>
    <x v="0"/>
    <d v="2018-10-31T00:00:00"/>
    <n v="320"/>
    <s v="Familia Castillo Mena"/>
    <s v="emmecas@hotmail.com"/>
    <s v="Calle Güigüe Nro. 88-101"/>
    <s v="Cancelación Vigilancia, mes de Octubre 2018"/>
    <x v="0"/>
    <m/>
    <s v="01562"/>
    <s v="31 de octubre de 2018"/>
    <n v="31"/>
    <x v="23"/>
    <s v="320,00"/>
    <e v="#NAME?"/>
  </r>
  <r>
    <n v="1563"/>
    <m/>
    <x v="0"/>
    <d v="2018-11-01T00:00:00"/>
    <n v="320"/>
    <s v="Familia Navarrete Medina"/>
    <s v="juanin1919@yahoo.com"/>
    <s v="Calle Güigüe Nro. 89-22"/>
    <s v="Cancelación Vigilancia, mes de Octubre 2018"/>
    <x v="0"/>
    <m/>
    <s v="01563"/>
    <s v="01 de noviembre de 2018"/>
    <n v="1"/>
    <x v="24"/>
    <s v="320,00"/>
    <e v="#NAME?"/>
  </r>
  <r>
    <n v="1564"/>
    <m/>
    <x v="0"/>
    <d v="2018-11-01T00:00:00"/>
    <n v="640"/>
    <s v="Wilson Escamilla"/>
    <s v="wilsonescamilla45@gmail.com"/>
    <s v="Calle Güigüe Nro. 89-89"/>
    <s v="Cancelación Vigilancia, meses de Octubre y Noviembre 2018"/>
    <x v="0"/>
    <m/>
    <s v="01564"/>
    <s v="01 de noviembre de 2018"/>
    <n v="1"/>
    <x v="24"/>
    <s v="640,00"/>
    <e v="#NAME?"/>
  </r>
  <r>
    <n v="1565"/>
    <m/>
    <x v="0"/>
    <d v="2018-10-31T00:00:00"/>
    <n v="320"/>
    <s v="Familia Piñero Padilla"/>
    <s v="achepaul2005@hotmail.com"/>
    <s v="Calle Güigüe Nro. 89-21"/>
    <s v="Cancelación Vigilancia, mes de Septiembre 2018"/>
    <x v="0"/>
    <m/>
    <s v="01565"/>
    <s v="31 de octubre de 2018"/>
    <n v="31"/>
    <x v="23"/>
    <s v="320,00"/>
    <e v="#NAME?"/>
  </r>
  <r>
    <n v="1566"/>
    <m/>
    <x v="0"/>
    <d v="2018-10-31T00:00:00"/>
    <n v="10"/>
    <s v="Familia Piñero Padilla"/>
    <s v="achepaul2005@hotmail.com"/>
    <s v="Calle Güigüe Nro. 89-21"/>
    <s v="Colaboración reparación del portón principal"/>
    <x v="11"/>
    <m/>
    <s v="01566"/>
    <s v="31 de octubre de 2018"/>
    <n v="31"/>
    <x v="23"/>
    <s v="10,00"/>
    <e v="#NAME?"/>
  </r>
  <r>
    <n v="1567"/>
    <m/>
    <x v="0"/>
    <d v="2018-11-01T00:00:00"/>
    <n v="960"/>
    <s v="Anahiz Seijas"/>
    <s v="anahiz_2@hotmail.es"/>
    <s v="Calle Güigüe Nro. 89-106"/>
    <s v="Cancelación Vigilancia, meses de Octubre, Noviembre y Diciembre 2018"/>
    <x v="0"/>
    <m/>
    <s v="01567"/>
    <s v="01 de noviembre de 2018"/>
    <n v="1"/>
    <x v="24"/>
    <s v="960,00"/>
    <e v="#NAME?"/>
  </r>
  <r>
    <n v="1568"/>
    <m/>
    <x v="0"/>
    <d v="2018-11-01T00:00:00"/>
    <n v="100"/>
    <s v="Familia Chávez Hernández"/>
    <s v="mercedesch23@hotmail.com"/>
    <s v="Calle Güigüe Nro. 88-20"/>
    <s v="Colaboración Vigilancia, mes de Octubre 2018"/>
    <x v="0"/>
    <m/>
    <s v="01568"/>
    <s v="01 de noviembre de 2018"/>
    <n v="1"/>
    <x v="24"/>
    <s v="100,00"/>
    <e v="#NAME?"/>
  </r>
  <r>
    <n v="1569"/>
    <m/>
    <x v="0"/>
    <d v="2018-11-01T00:00:00"/>
    <n v="320"/>
    <s v="Familia Ferrer Bahri"/>
    <s v="bahrimariela@hotmail.com"/>
    <s v="Calle Güigüe Nro. 89-83"/>
    <s v="Cancelación Vigilancia, mes de Noviembre 2018"/>
    <x v="0"/>
    <m/>
    <s v="01569"/>
    <s v="01 de noviembre de 2018"/>
    <n v="1"/>
    <x v="24"/>
    <s v="320,00"/>
    <e v="#NAME?"/>
  </r>
  <r>
    <n v="1570"/>
    <m/>
    <x v="0"/>
    <d v="2018-11-02T00:00:00"/>
    <n v="320"/>
    <s v="Familia Milanés Carmona"/>
    <s v="yndira11m@gmail.com"/>
    <s v="Calle Güigüe Nro. 89-65"/>
    <s v="Cancelación Vigilancia, mes de Noviembre 2018"/>
    <x v="0"/>
    <m/>
    <s v="01570"/>
    <s v="02 de noviembre de 2018"/>
    <n v="2"/>
    <x v="24"/>
    <s v="320,00"/>
    <e v="#NAME?"/>
  </r>
  <r>
    <n v="1571"/>
    <m/>
    <x v="0"/>
    <d v="2018-11-02T00:00:00"/>
    <n v="320"/>
    <s v="Familia Alonso Rojas"/>
    <s v="redjc01@gmail.com"/>
    <s v="Calle Güigüe Nro. 89-54"/>
    <s v="Cancelación Vigilancia, mes de Noviembre 2018"/>
    <x v="0"/>
    <m/>
    <s v="01571"/>
    <s v="02 de noviembre de 2018"/>
    <n v="2"/>
    <x v="24"/>
    <s v="320,00"/>
    <e v="#NAME?"/>
  </r>
  <r>
    <n v="1572"/>
    <m/>
    <x v="0"/>
    <d v="2018-11-02T00:00:00"/>
    <n v="320"/>
    <s v="Familia Navarro Assing"/>
    <s v="liliaassing@gmail.com"/>
    <s v="Calle Güigüe Nro. 88-54"/>
    <s v="Cancelación Vigilancia, mes de Noviembre 2018"/>
    <x v="0"/>
    <m/>
    <s v="01572"/>
    <s v="02 de noviembre de 2018"/>
    <n v="2"/>
    <x v="24"/>
    <s v="320,00"/>
    <e v="#NAME?"/>
  </r>
  <r>
    <n v="1573"/>
    <m/>
    <x v="0"/>
    <d v="2018-11-02T00:00:00"/>
    <n v="640"/>
    <s v="Familia Franco Gómez"/>
    <s v="eof64@hotmail.com"/>
    <s v="Calle Guacara Nro. 87-07"/>
    <s v="Cancelación Vigilancia, meses de Octubre y Noviembre 2018"/>
    <x v="0"/>
    <m/>
    <s v="01573"/>
    <s v="02 de noviembre de 2018"/>
    <n v="2"/>
    <x v="24"/>
    <s v="640,00"/>
    <e v="#NAME?"/>
  </r>
  <r>
    <n v="1574"/>
    <m/>
    <x v="0"/>
    <d v="2018-11-02T00:00:00"/>
    <n v="320"/>
    <s v="Familia López Hermoso"/>
    <s v="lopez.humberto14@yahoo.com.ve"/>
    <s v="Calle Güigüe Nro. 89-79"/>
    <s v="Cancelación Vigilancia, mes de Octubre 2018 (saldo a favor: Bs. 11,15)"/>
    <x v="0"/>
    <m/>
    <s v="01574"/>
    <s v="02 de noviembre de 2018"/>
    <n v="2"/>
    <x v="24"/>
    <s v="320,00"/>
    <e v="#NAME?"/>
  </r>
  <r>
    <n v="1575"/>
    <m/>
    <x v="0"/>
    <d v="2018-11-03T00:00:00"/>
    <n v="320"/>
    <s v="Familia Loponte Arteaga"/>
    <s v="En Físico"/>
    <s v="Calle Güigüe Nro. 88-120"/>
    <s v="Cancelación Vigilancia, mes de Noviembre 2018"/>
    <x v="0"/>
    <m/>
    <s v="01575"/>
    <s v="03 de noviembre de 2018"/>
    <n v="3"/>
    <x v="24"/>
    <s v="320,00"/>
    <e v="#NAME?"/>
  </r>
  <r>
    <n v="1576"/>
    <m/>
    <x v="0"/>
    <d v="2018-11-03T00:00:00"/>
    <n v="320"/>
    <s v="Chin Chun Ya (Goya)"/>
    <s v="uc2721@gmail.com"/>
    <s v="Calle Guacara Nro. 87-86"/>
    <s v="Cancelación Vigilancia, mes de Noviembre 2018"/>
    <x v="0"/>
    <m/>
    <s v="01576"/>
    <s v="03 de noviembre de 2018"/>
    <n v="3"/>
    <x v="24"/>
    <s v="320,00"/>
    <e v="#NAME?"/>
  </r>
  <r>
    <n v="1577"/>
    <m/>
    <x v="0"/>
    <d v="2018-11-04T00:00:00"/>
    <n v="320"/>
    <s v="Familia Guerra Miret"/>
    <s v="antoniojguerrag@hotmail.com"/>
    <s v="Calle Güigüe Nro. 89-40"/>
    <s v="Cancelación Vigilancia, mes de Noviembre 2018"/>
    <x v="0"/>
    <m/>
    <s v="01577"/>
    <s v="04 de noviembre de 2018"/>
    <n v="4"/>
    <x v="24"/>
    <s v="320,00"/>
    <e v="#NAME?"/>
  </r>
  <r>
    <n v="1578"/>
    <m/>
    <x v="0"/>
    <d v="2018-11-04T00:00:00"/>
    <n v="520"/>
    <s v="Familia Méndez Parra"/>
    <s v="briceidademendez@gmail.com"/>
    <s v="Calle Guacara Nro. 88-19"/>
    <s v="Colaboración Vigilancia, meses de Octubre y Noviembre 2018"/>
    <x v="0"/>
    <m/>
    <s v="01578"/>
    <s v="04 de noviembre de 2018"/>
    <n v="4"/>
    <x v="24"/>
    <s v="520,00"/>
    <e v="#NAME?"/>
  </r>
  <r>
    <n v="1579"/>
    <m/>
    <x v="0"/>
    <d v="2018-11-04T00:00:00"/>
    <n v="320"/>
    <s v="Victoria Francischiello"/>
    <s v="victoriafrancischiello@hotmail.com"/>
    <s v="Calle Guacara Nro. 88-25"/>
    <s v="Cancelación Vigilancia, mes de Octubre 2018"/>
    <x v="0"/>
    <m/>
    <s v="01579"/>
    <s v="04 de noviembre de 2018"/>
    <n v="4"/>
    <x v="24"/>
    <s v="320,00"/>
    <e v="#NAME?"/>
  </r>
  <r>
    <n v="1580"/>
    <m/>
    <x v="0"/>
    <d v="2018-11-04T00:00:00"/>
    <n v="320"/>
    <s v="Sra. Reina Meléndez"/>
    <s v="olgajipe@gmail.com"/>
    <s v="Av. &quot;M&quot; Nro. 145-10"/>
    <s v="Cancelación Vigilancia, mes de Noviembre 2018"/>
    <x v="0"/>
    <m/>
    <s v="01580"/>
    <s v="04 de noviembre de 2018"/>
    <n v="4"/>
    <x v="24"/>
    <s v="320,00"/>
    <e v="#NAME?"/>
  </r>
  <r>
    <n v="1581"/>
    <m/>
    <x v="0"/>
    <d v="2018-11-05T00:00:00"/>
    <n v="640"/>
    <s v="Familia Colosso Delgado"/>
    <s v="mcolosso@gmail.com"/>
    <s v="Calle Güigüe Nro. 88-44"/>
    <s v="Cancelación Vigilancia, meses de Noviembre y Diciembre 2018"/>
    <x v="0"/>
    <m/>
    <s v="01581"/>
    <s v="05 de noviembre de 2018"/>
    <n v="5"/>
    <x v="24"/>
    <s v="640,00"/>
    <e v="#NAME?"/>
  </r>
  <r>
    <n v="1582"/>
    <m/>
    <x v="0"/>
    <d v="2018-11-05T00:00:00"/>
    <n v="320"/>
    <s v="Familia Castro Jiménez"/>
    <s v="aurycastrojimenez@gmail.com"/>
    <s v="Calle Guacara Nro. 90-51"/>
    <s v="Cancelación Vigilancia, mes de Octubre 2018"/>
    <x v="0"/>
    <m/>
    <s v="01582"/>
    <s v="05 de noviembre de 2018"/>
    <n v="5"/>
    <x v="24"/>
    <s v="320,00"/>
    <e v="#NAME?"/>
  </r>
  <r>
    <n v="1583"/>
    <m/>
    <x v="0"/>
    <d v="2018-11-05T00:00:00"/>
    <n v="320"/>
    <s v="Carmen Moreno"/>
    <s v="carmenemoreno10@gmail.com"/>
    <s v="Calle Güigüe Nro. 89-04"/>
    <s v="Cancelación Vigilancia, mes de Noviembre 2018"/>
    <x v="0"/>
    <m/>
    <s v="01583"/>
    <s v="05 de noviembre de 2018"/>
    <n v="5"/>
    <x v="24"/>
    <s v="320,00"/>
    <e v="#NAME?"/>
  </r>
  <r>
    <n v="1584"/>
    <m/>
    <x v="0"/>
    <d v="2018-11-06T00:00:00"/>
    <n v="350"/>
    <s v="Familia Machado Stoppa"/>
    <s v="machadoru@hotmail.com"/>
    <s v="Calle Guacara Nro. 88-85"/>
    <s v="Cancelación Vigilancia, mes de Octubre 2018"/>
    <x v="0"/>
    <m/>
    <s v="01584"/>
    <s v="06 de noviembre de 2018"/>
    <n v="6"/>
    <x v="24"/>
    <s v="350,00"/>
    <e v="#NAME?"/>
  </r>
  <r>
    <n v="1585"/>
    <m/>
    <x v="0"/>
    <d v="2018-11-06T00:00:00"/>
    <n v="350"/>
    <s v="Familia Lomeña Agudo"/>
    <s v="claudialomena@hotmail.com"/>
    <s v="Calle Guacara Nro. 89-30"/>
    <s v="Cancelación Vigilancia, mes de Noviembre 2018"/>
    <x v="0"/>
    <m/>
    <s v="01585"/>
    <s v="06 de noviembre de 2018"/>
    <n v="6"/>
    <x v="24"/>
    <s v="350,00"/>
    <e v="#NAME?"/>
  </r>
  <r>
    <n v="1586"/>
    <m/>
    <x v="0"/>
    <d v="2018-11-06T00:00:00"/>
    <n v="320"/>
    <s v="Familia Arcia Polanco"/>
    <s v="misipo29@gmail.com"/>
    <s v="Calle Guacara Nro. 89-20"/>
    <s v="Cancelación Vigilancia, mes de Noviembre 2018"/>
    <x v="0"/>
    <m/>
    <s v="01586"/>
    <s v="06 de noviembre de 2018"/>
    <n v="6"/>
    <x v="24"/>
    <s v="320,00"/>
    <e v="#NAME?"/>
  </r>
  <r>
    <n v="1587"/>
    <m/>
    <x v="0"/>
    <d v="2018-11-06T00:00:00"/>
    <n v="320"/>
    <s v="Amarilis Guerra"/>
    <s v="amarilisguerra1@yahoo.com"/>
    <s v="Calle Güigüe Nro. 89-96"/>
    <s v="Cancelación Vigilancia, mes de Noviembre 2018"/>
    <x v="0"/>
    <m/>
    <s v="01587"/>
    <s v="06 de noviembre de 2018"/>
    <n v="6"/>
    <x v="24"/>
    <s v="320,00"/>
    <e v="#NAME?"/>
  </r>
  <r>
    <n v="1588"/>
    <m/>
    <x v="0"/>
    <d v="2018-11-07T00:00:00"/>
    <n v="320"/>
    <s v="Familia Abbinante Pinto"/>
    <s v="abbinante47@gmail.com"/>
    <s v="Calle Güigüe Nro. 89-120"/>
    <s v="Cancelación Vigilancia, mes de Noviembre 2018"/>
    <x v="0"/>
    <m/>
    <s v="01588"/>
    <s v="07 de noviembre de 2018"/>
    <n v="7"/>
    <x v="24"/>
    <s v="320,00"/>
    <e v="#NAME?"/>
  </r>
  <r>
    <n v="1589"/>
    <m/>
    <x v="0"/>
    <d v="2018-11-08T00:00:00"/>
    <n v="1000"/>
    <s v="Familia Kattar González"/>
    <s v="jagiak123@yahoo.es"/>
    <s v="Calle Güigüe Nro. 89-95"/>
    <s v="Cancelación Vigilancia, saldo meses de Septiembre y Octubre, cancelación mes de Noviembre y anticipo mes de Diciembre 2018"/>
    <x v="0"/>
    <m/>
    <s v="01589"/>
    <s v="08 de noviembre de 2018"/>
    <n v="8"/>
    <x v="24"/>
    <s v="1.000,00"/>
    <e v="#NAME?"/>
  </r>
  <r>
    <n v="1590"/>
    <m/>
    <x v="0"/>
    <d v="2018-11-08T00:00:00"/>
    <n v="320"/>
    <s v="Familia Del Negro Palermo"/>
    <s v="vdelnegro@gmail.com"/>
    <s v="Calle Guacara Nro. 88-45"/>
    <s v="Cancelación Vigilancia, mes de Noviembre 2018 (saldo a favor: Bs. 662,95)"/>
    <x v="0"/>
    <m/>
    <s v="01590"/>
    <s v="08 de noviembre de 2018"/>
    <n v="8"/>
    <x v="24"/>
    <s v="320,00"/>
    <e v="#NAME?"/>
  </r>
  <r>
    <n v="1591"/>
    <m/>
    <x v="0"/>
    <d v="2018-11-08T00:00:00"/>
    <n v="320"/>
    <s v="Ely Saúl Rivero Gómez"/>
    <s v="hhs.admon@gmail.com"/>
    <s v="Av. &quot;Ñ&quot; Nro. 145-25"/>
    <s v="Cancelación Vigilancia, mes de Noviembre 2018 (saldo a favor: Bs. 2.952,00)"/>
    <x v="0"/>
    <m/>
    <s v="01591"/>
    <s v="08 de noviembre de 2018"/>
    <n v="8"/>
    <x v="24"/>
    <s v="320,00"/>
    <e v="#NAME?"/>
  </r>
  <r>
    <n v="1592"/>
    <m/>
    <x v="0"/>
    <d v="2018-11-08T00:00:00"/>
    <n v="500"/>
    <s v="Familia Durvelle Serrano"/>
    <s v="sdurvelle@hotmail.com"/>
    <s v="Calle Guacara Nro. 89-60"/>
    <s v="Cancelación Vigilancia, mes de Noviembre 2018 más aporte"/>
    <x v="0"/>
    <m/>
    <s v="01592"/>
    <s v="08 de noviembre de 2018"/>
    <n v="8"/>
    <x v="24"/>
    <s v="500,00"/>
    <e v="#NAME?"/>
  </r>
  <r>
    <n v="1593"/>
    <m/>
    <x v="0"/>
    <d v="2018-11-08T00:00:00"/>
    <n v="640"/>
    <s v="Familia Manrique Riera"/>
    <s v="patriciamanrique@gmail.com"/>
    <s v="Calle Guacara Nro. 89-40"/>
    <s v="Cancelación Vigilancia, meses de Octubre y Noviembre 2018"/>
    <x v="0"/>
    <m/>
    <s v="01593"/>
    <s v="08 de noviembre de 2018"/>
    <n v="8"/>
    <x v="24"/>
    <s v="640,00"/>
    <e v="#NAME?"/>
  </r>
  <r>
    <n v="1594"/>
    <m/>
    <x v="0"/>
    <d v="2018-11-09T00:00:00"/>
    <n v="320"/>
    <s v="Familia Acosta Carpio"/>
    <s v="pablo962@hotmail.com"/>
    <s v="Calle Güigüe Nro. 89-10"/>
    <s v="Cancelación Vigilancia, mes de Octubre 2018"/>
    <x v="0"/>
    <m/>
    <s v="01594"/>
    <s v="09 de noviembre de 2018"/>
    <n v="9"/>
    <x v="24"/>
    <s v="320,00"/>
    <e v="#NAME?"/>
  </r>
  <r>
    <n v="1595"/>
    <m/>
    <x v="0"/>
    <d v="2018-11-10T00:00:00"/>
    <n v="320"/>
    <s v="Familia Barreto Pérez"/>
    <s v="bbetsa19@hotmail.com"/>
    <s v="Av. &quot;M&quot; Nro. 146-15"/>
    <s v="Cancelación Vigilancia, mes de Octubre 2018"/>
    <x v="0"/>
    <m/>
    <s v="01595"/>
    <s v="10 de noviembre de 2018"/>
    <n v="10"/>
    <x v="24"/>
    <s v="320,00"/>
    <e v="#NAME?"/>
  </r>
  <r>
    <n v="1596"/>
    <m/>
    <x v="0"/>
    <d v="2018-11-11T00:00:00"/>
    <n v="1350"/>
    <s v="Familia Jiménez de Avila"/>
    <s v="meji2333@gmail.com"/>
    <s v="Calle Güigüe Nro. 89-116"/>
    <s v="Colaboración Vigilancia, meses de Diciembre 2017, Enero a Diciembre 2018 y Enero a Junio 2019"/>
    <x v="0"/>
    <m/>
    <s v="01596"/>
    <s v="11 de noviembre de 2018"/>
    <n v="11"/>
    <x v="24"/>
    <s v="1.350,00"/>
    <e v="#NAME?"/>
  </r>
  <r>
    <n v="1597"/>
    <m/>
    <x v="0"/>
    <d v="2018-11-12T00:00:00"/>
    <n v="320"/>
    <s v="Familia Astor Zamora"/>
    <s v="imzastor@gmail.com"/>
    <s v="Calle Güigüe Nro. 88-111"/>
    <s v="Cancelación Vigilancia, mes de Octubre 2018"/>
    <x v="0"/>
    <m/>
    <s v="01597"/>
    <s v="12 de noviembre de 2018"/>
    <n v="12"/>
    <x v="24"/>
    <s v="320,00"/>
    <e v="#NAME?"/>
  </r>
  <r>
    <n v="1598"/>
    <m/>
    <x v="0"/>
    <d v="2018-11-13T00:00:00"/>
    <n v="320"/>
    <s v="Familia Flores Montagne"/>
    <s v="martaflores@gmail.com"/>
    <s v="Av. &quot;M&quot; Nro. 146-20"/>
    <s v="Cancelación Vigilancia, mes de Noviembre 2018"/>
    <x v="0"/>
    <m/>
    <s v="01598"/>
    <s v="13 de noviembre de 2018"/>
    <n v="13"/>
    <x v="24"/>
    <s v="320,00"/>
    <e v="#NAME?"/>
  </r>
  <r>
    <n v="1599"/>
    <m/>
    <x v="0"/>
    <d v="2018-11-14T00:00:00"/>
    <n v="320"/>
    <s v="Familia Nava Gordon"/>
    <s v="maru_19_66@hotmail.com"/>
    <s v="Calle Guacara Nro. 89-78"/>
    <s v="Cancelación Vigilancia, saldo mes de Noviembre y anticipo mes de Diciembre 2018"/>
    <x v="0"/>
    <m/>
    <s v="01599"/>
    <s v="14 de noviembre de 2018"/>
    <n v="14"/>
    <x v="24"/>
    <s v="320,00"/>
    <e v="#NAME?"/>
  </r>
  <r>
    <n v="1600"/>
    <m/>
    <x v="0"/>
    <d v="2018-10-14T00:00:00"/>
    <n v="320"/>
    <s v="Familia Wu Acevedo"/>
    <s v="rudyacevedo90@gmail.com"/>
    <s v="Calle Guacara Nro. 88-A-10"/>
    <s v="Cancelación Vigilancia, mes de Noviembre 2018"/>
    <x v="0"/>
    <m/>
    <s v="01600"/>
    <s v="14 de octubre de 2018"/>
    <n v="14"/>
    <x v="23"/>
    <s v="320,00"/>
    <e v="#NAME?"/>
  </r>
  <r>
    <n v="1601"/>
    <m/>
    <x v="0"/>
    <d v="2018-10-14T00:00:00"/>
    <n v="320"/>
    <s v="Familia Castro Jiménez"/>
    <s v="aurycastrojimenez@gmail.com"/>
    <s v="Calle Guacara Nro. 90-51"/>
    <s v="Cancelación Vigilancia, mes de Noviembre 2018"/>
    <x v="0"/>
    <m/>
    <s v="01601"/>
    <s v="14 de octubre de 2018"/>
    <n v="14"/>
    <x v="23"/>
    <s v="320,00"/>
    <e v="#NAME?"/>
  </r>
  <r>
    <n v="1602"/>
    <m/>
    <x v="0"/>
    <d v="2018-11-15T00:00:00"/>
    <n v="320"/>
    <s v="Familia Díaz González"/>
    <s v="luisrdt57@gmail.com"/>
    <s v="Calle Güigüe Nro. 88-116"/>
    <s v="Cancelación Vigilancia, mes de Noviembre 2018"/>
    <x v="0"/>
    <m/>
    <s v="01602"/>
    <s v="15 de noviembre de 2018"/>
    <n v="15"/>
    <x v="24"/>
    <s v="320,00"/>
    <e v="#NAME?"/>
  </r>
  <r>
    <n v="1603"/>
    <m/>
    <x v="0"/>
    <d v="2018-11-17T00:00:00"/>
    <n v="320"/>
    <s v="Familia Barreto Pérez"/>
    <s v="bbetsa19@hotmail.com"/>
    <s v="Av. &quot;M&quot; Nro. 146-15"/>
    <s v="Cancelación Vigilancia, mes de Noviembre 2018"/>
    <x v="0"/>
    <m/>
    <s v="01603"/>
    <s v="17 de noviembre de 2018"/>
    <n v="17"/>
    <x v="24"/>
    <s v="320,00"/>
    <e v="#NAME?"/>
  </r>
  <r>
    <n v="1604"/>
    <m/>
    <x v="0"/>
    <d v="2018-11-20T00:00:00"/>
    <n v="250"/>
    <s v="Familia Martínez Boada"/>
    <s v="florcitakmz@gmail.com"/>
    <s v="Calle Güigüe Nro. 88-62"/>
    <s v="Colaboración Vigilancia, mes de Octubre 2018"/>
    <x v="0"/>
    <m/>
    <s v="01604"/>
    <s v="20 de noviembre de 2018"/>
    <n v="20"/>
    <x v="24"/>
    <s v="250,00"/>
    <e v="#NAME?"/>
  </r>
  <r>
    <n v="1605"/>
    <m/>
    <x v="0"/>
    <d v="2018-11-20T00:00:00"/>
    <n v="320"/>
    <s v="Dra. Lilia Magallanes"/>
    <s v="liliamagallanes2010@gmail.com"/>
    <s v="Calle Güigüe Nro. 88-51"/>
    <s v="Cancelación Vigilancia, mes de Noviembre 2018"/>
    <x v="0"/>
    <m/>
    <s v="01605"/>
    <s v="20 de noviembre de 2018"/>
    <n v="20"/>
    <x v="24"/>
    <s v="320,00"/>
    <e v="#NAME?"/>
  </r>
  <r>
    <n v="1606"/>
    <m/>
    <x v="0"/>
    <d v="2018-11-20T00:00:00"/>
    <n v="320"/>
    <s v="Familia Costermani Terrer"/>
    <s v="claudiacostermani@hotmail.com"/>
    <s v="Calle Güigüe Nro. 88-11"/>
    <s v="Cancelación Vigilancia, mes de Noviembre 2018"/>
    <x v="0"/>
    <m/>
    <s v="01606"/>
    <s v="20 de noviembre de 2018"/>
    <n v="20"/>
    <x v="24"/>
    <s v="320,00"/>
    <e v="#NAME?"/>
  </r>
  <r>
    <n v="1607"/>
    <m/>
    <x v="0"/>
    <d v="2018-11-21T00:00:00"/>
    <n v="200"/>
    <s v="Familia Triana González"/>
    <s v="En Físico"/>
    <s v="Calle Guacara Nro. 90-61"/>
    <s v="Colaboración Vigilancia, meses de Septiembre y Octubre 2018"/>
    <x v="0"/>
    <m/>
    <s v="01607"/>
    <s v="21 de noviembre de 2018"/>
    <n v="21"/>
    <x v="24"/>
    <s v="200,00"/>
    <e v="#NAME?"/>
  </r>
  <r>
    <n v="1608"/>
    <m/>
    <x v="0"/>
    <d v="2018-11-21T00:00:00"/>
    <n v="320"/>
    <s v="Familia Piñero Padilla"/>
    <s v="achepaul2005@hotmail.com"/>
    <s v="Calle Güigüe Nro. 89-21"/>
    <s v="Cancelación Vigilancia, mes de Octubre 2018"/>
    <x v="0"/>
    <m/>
    <s v="01608"/>
    <s v="21 de noviembre de 2018"/>
    <n v="21"/>
    <x v="24"/>
    <s v="320,00"/>
    <e v="#NAME?"/>
  </r>
  <r>
    <n v="1609"/>
    <m/>
    <x v="0"/>
    <d v="2018-11-21T00:00:00"/>
    <n v="640"/>
    <s v="Familia Hatem Medina"/>
    <s v="hhatem1@hotmail.com"/>
    <s v="Calle Guacara Nro. 88-51"/>
    <s v="Cancelación Vigilancia, meses de Noviembre y Diciembre 2018"/>
    <x v="0"/>
    <m/>
    <s v="01609"/>
    <s v="21 de noviembre de 2018"/>
    <n v="21"/>
    <x v="24"/>
    <s v="640,00"/>
    <e v="#NAME?"/>
  </r>
  <r>
    <n v="1610"/>
    <m/>
    <x v="0"/>
    <d v="2018-11-22T00:00:00"/>
    <n v="320"/>
    <s v="Familia Fermín Rivas"/>
    <s v="angelferminb@gmail.com"/>
    <s v="Calle Güigüe Nro. 89-55"/>
    <s v="Cancelación Vigilancia, mes de Noviembre 2018"/>
    <x v="0"/>
    <m/>
    <s v="01610"/>
    <s v="22 de noviembre de 2018"/>
    <n v="22"/>
    <x v="24"/>
    <s v="320,00"/>
    <e v="#NAME?"/>
  </r>
  <r>
    <n v="1611"/>
    <m/>
    <x v="0"/>
    <d v="2018-11-10T00:00:00"/>
    <n v="640"/>
    <s v="Familia Il Grande Franceschi"/>
    <s v="arcifran75@hotmail.com"/>
    <s v="Av. &quot;I&quot; Nro. 146-40"/>
    <s v="Cancelación Vigilancia, meses de Octubre y Noviembre 2018"/>
    <x v="0"/>
    <m/>
    <s v="01611"/>
    <s v="10 de noviembre de 2018"/>
    <n v="10"/>
    <x v="24"/>
    <s v="640,00"/>
    <e v="#NAME?"/>
  </r>
  <r>
    <n v="1612"/>
    <m/>
    <x v="0"/>
    <d v="2018-11-22T00:00:00"/>
    <n v="320"/>
    <s v="Ana de González"/>
    <s v="mikelnowak25@gmail.com"/>
    <s v="Av. &quot;O&quot; Nro. 146-17"/>
    <s v="Cancelación Vigilancia, mes de Octubre 2018"/>
    <x v="0"/>
    <m/>
    <s v="01612"/>
    <s v="22 de noviembre de 2018"/>
    <n v="22"/>
    <x v="24"/>
    <s v="320,00"/>
    <e v="#NAME?"/>
  </r>
  <r>
    <n v="1613"/>
    <m/>
    <x v="0"/>
    <d v="2018-11-23T00:00:00"/>
    <n v="250"/>
    <s v="Familia Rodríguez Landaeta"/>
    <s v="mrl58@hotmail.com"/>
    <s v="Calle Güigüe Nro. 89-29"/>
    <s v="Colaboración Vigilancia, mes de Noviembre 2018"/>
    <x v="0"/>
    <m/>
    <s v="01613"/>
    <s v="23 de noviembre de 2018"/>
    <n v="23"/>
    <x v="24"/>
    <s v="250,00"/>
    <e v="#NAME?"/>
  </r>
  <r>
    <n v="1614"/>
    <m/>
    <x v="0"/>
    <d v="2018-11-23T00:00:00"/>
    <n v="620"/>
    <s v="Familia Puerta Burguillos"/>
    <s v="namaricakes@gmail.com"/>
    <s v="Calle Guacara Nro. 87-100"/>
    <s v="Cancelación Vigilancia, mes de Noviembre y anticipo mes de Diciembre 2018"/>
    <x v="0"/>
    <m/>
    <s v="01614"/>
    <s v="23 de noviembre de 2018"/>
    <n v="23"/>
    <x v="24"/>
    <s v="620,00"/>
    <e v="#NAME?"/>
  </r>
  <r>
    <n v="1615"/>
    <m/>
    <x v="0"/>
    <d v="2018-11-20T00:00:00"/>
    <n v="640"/>
    <s v="Familia Ferrer Bahri"/>
    <s v="bahrimariela@hotmail.com"/>
    <s v="Calle Güigüe Nro. 89-83"/>
    <s v="Cancelación Vigilancia, mes de Diciembre 2018 y Enero 2019"/>
    <x v="0"/>
    <m/>
    <s v="01615"/>
    <s v="20 de noviembre de 2018"/>
    <n v="20"/>
    <x v="24"/>
    <s v="640,00"/>
    <e v="#NAME?"/>
  </r>
  <r>
    <n v="1616"/>
    <m/>
    <x v="0"/>
    <d v="2018-11-24T00:00:00"/>
    <n v="320"/>
    <s v="Familia Guerra Miret"/>
    <s v="antoniojguerrag@hotmail.com"/>
    <s v="Calle Güigüe Nro. 89-40"/>
    <s v="Cancelación Vigilancia, mes de Diciembre 2018"/>
    <x v="0"/>
    <m/>
    <s v="01616"/>
    <s v="24 de noviembre de 2018"/>
    <n v="24"/>
    <x v="24"/>
    <s v="320,00"/>
    <e v="#NAME?"/>
  </r>
  <r>
    <n v="1617"/>
    <m/>
    <x v="0"/>
    <d v="2018-11-26T00:00:00"/>
    <n v="320"/>
    <s v="Familia Kablan Sarmiento"/>
    <s v="norisjsb56@hotmail.com"/>
    <s v="Calle Güigüe Nro. 89-80"/>
    <s v="Cancelación Vigilancia, mes de Noviembre 2018"/>
    <x v="0"/>
    <m/>
    <s v="01617"/>
    <s v="26 de noviembre de 2018"/>
    <n v="26"/>
    <x v="24"/>
    <s v="320,00"/>
    <e v="#NAME?"/>
  </r>
  <r>
    <n v="1618"/>
    <m/>
    <x v="0"/>
    <d v="2018-11-26T00:00:00"/>
    <n v="320"/>
    <s v="Familia Castillo Mena"/>
    <s v="emmecas@hotmail.com"/>
    <s v="Calle Güigüe Nro. 88-101"/>
    <s v="Cancelación Vigilancia, mes de Noviembre 2018"/>
    <x v="0"/>
    <m/>
    <s v="01618"/>
    <s v="26 de noviembre de 2018"/>
    <n v="26"/>
    <x v="24"/>
    <s v="320,00"/>
    <e v="#NAME?"/>
  </r>
  <r>
    <n v="1619"/>
    <m/>
    <x v="0"/>
    <d v="2018-11-26T00:00:00"/>
    <n v="350"/>
    <s v="Familia Scabuzzo Gómez"/>
    <s v="sfscabuzzo@msn.com"/>
    <s v="Av. &quot;I&quot; Nro. 146-20"/>
    <s v="Cancelación Vigilancia, saldo mes de Noviembre y anticipo mes de Diciembre 2018"/>
    <x v="0"/>
    <m/>
    <s v="01619"/>
    <s v="26 de noviembre de 2018"/>
    <n v="26"/>
    <x v="24"/>
    <s v="350,00"/>
    <e v="#NAME?"/>
  </r>
  <r>
    <n v="1620"/>
    <m/>
    <x v="0"/>
    <d v="2018-11-26T00:00:00"/>
    <n v="320"/>
    <s v="Familia Zavarce Pérez"/>
    <s v="En Físico"/>
    <s v="Calle Guacara Nro. 90-35"/>
    <s v="Cancelación Vigilancia, mes de Noviembre 2018"/>
    <x v="0"/>
    <m/>
    <s v="01620"/>
    <s v="26 de noviembre de 2018"/>
    <n v="26"/>
    <x v="24"/>
    <s v="320,00"/>
    <e v="#NAME?"/>
  </r>
  <r>
    <n v="1621"/>
    <m/>
    <x v="0"/>
    <d v="2018-11-29T00:00:00"/>
    <n v="330"/>
    <s v="Amparo Acosta"/>
    <s v="amparonatividad@hotmail.com"/>
    <s v="Calle Guacara Nro. 88-65"/>
    <s v="Cancelación Vigilancia, mes de Noviembre 2018"/>
    <x v="0"/>
    <m/>
    <s v="01621"/>
    <s v="29 de noviembre de 2018"/>
    <n v="29"/>
    <x v="24"/>
    <s v="330,00"/>
    <e v="#NAME?"/>
  </r>
  <r>
    <n v="1622"/>
    <m/>
    <x v="0"/>
    <d v="2018-12-02T00:00:00"/>
    <n v="500"/>
    <s v="Familia Alonso Rojas"/>
    <s v="redjc01@gmail.com"/>
    <s v="Calle Güigüe Nro. 89-54"/>
    <s v="Anticipo Vigilancia, mes de Diciembre 2018"/>
    <x v="0"/>
    <m/>
    <s v="01622"/>
    <s v="02 de diciembre de 2018"/>
    <n v="2"/>
    <x v="25"/>
    <s v="500,00"/>
    <e v="#NAME?"/>
  </r>
  <r>
    <n v="1623"/>
    <m/>
    <x v="0"/>
    <d v="2018-12-02T00:00:00"/>
    <n v="320"/>
    <s v="Familia Milanés Carmona"/>
    <s v="yndira11m@gmail.com"/>
    <s v="Calle Güigüe Nro. 89-65"/>
    <s v="Anticipo Vigilancia, mes de Diciembre 2018"/>
    <x v="0"/>
    <m/>
    <s v="01623"/>
    <s v="02 de diciembre de 2018"/>
    <n v="2"/>
    <x v="25"/>
    <s v="320,00"/>
    <e v="#NAME?"/>
  </r>
  <r>
    <n v="1624"/>
    <m/>
    <x v="0"/>
    <d v="2018-12-03T00:00:00"/>
    <n v="240"/>
    <s v="Familia Fermín Rivas"/>
    <s v="angelferminb@gmail.com"/>
    <s v="Calle Güigüe Nro. 89-55"/>
    <s v="Anticipo Vigilancia, mes de Diciembre 2018"/>
    <x v="0"/>
    <m/>
    <s v="01624"/>
    <s v="03 de diciembre de 2018"/>
    <n v="3"/>
    <x v="25"/>
    <s v="240,00"/>
    <e v="#NAME?"/>
  </r>
  <r>
    <n v="1625"/>
    <m/>
    <x v="0"/>
    <d v="2018-12-03T00:00:00"/>
    <n v="320"/>
    <s v="Familia Loponte Arteaga"/>
    <s v="En Físico"/>
    <s v="Calle Güigüe Nro. 88-120"/>
    <s v="Anticipo Vigilancia, mes de Diciembre 2018"/>
    <x v="0"/>
    <m/>
    <s v="01625"/>
    <s v="03 de diciembre de 2018"/>
    <n v="3"/>
    <x v="25"/>
    <s v="320,00"/>
    <e v="#NAME?"/>
  </r>
  <r>
    <n v="1626"/>
    <m/>
    <x v="0"/>
    <d v="2018-12-03T00:00:00"/>
    <n v="800"/>
    <s v="Familia Arcia Polanco"/>
    <s v="misipo29@gmail.com"/>
    <s v="Calle Guacara Nro. 89-20"/>
    <s v="Cancelación Vigilancia, mes de Diciembre 2018"/>
    <x v="0"/>
    <m/>
    <s v="01626"/>
    <s v="03 de diciembre de 2018"/>
    <n v="3"/>
    <x v="25"/>
    <s v="800,00"/>
    <e v="#NAME?"/>
  </r>
  <r>
    <n v="1627"/>
    <m/>
    <x v="0"/>
    <d v="2018-12-03T00:00:00"/>
    <n v="800"/>
    <s v="Familia Montilla García"/>
    <s v="dairy252525@hotmail.com"/>
    <s v="Calle Güigüe Nro. 89-90"/>
    <s v="Cancelación Vigilancia, mes de Diciembre 2018"/>
    <x v="0"/>
    <m/>
    <s v="01627"/>
    <s v="03 de diciembre de 2018"/>
    <n v="3"/>
    <x v="25"/>
    <s v="800,00"/>
    <e v="#NAME?"/>
  </r>
  <r>
    <n v="1628"/>
    <m/>
    <x v="0"/>
    <d v="2018-12-03T00:00:00"/>
    <n v="800"/>
    <s v="Wu Hung Fung"/>
    <s v="carolinahung24@gmail.com"/>
    <s v="Calle Guacara Nro. 90-81"/>
    <s v="Cancelación Vigilancia, mes de Diciembre 2018"/>
    <x v="0"/>
    <m/>
    <s v="01628"/>
    <s v="03 de diciembre de 2018"/>
    <n v="3"/>
    <x v="25"/>
    <s v="800,00"/>
    <e v="#NAME?"/>
  </r>
  <r>
    <n v="1629"/>
    <m/>
    <x v="0"/>
    <d v="2018-12-04T00:00:00"/>
    <n v="800"/>
    <s v="Familia Lomeña Agudo"/>
    <s v="claudialomena@hotmail.com"/>
    <s v="Calle Guacara Nro. 89-30"/>
    <s v="Cancelación Vigilancia, mes de Diciembre 2018"/>
    <x v="0"/>
    <m/>
    <s v="01629"/>
    <s v="04 de diciembre de 2018"/>
    <n v="4"/>
    <x v="25"/>
    <s v="800,00"/>
    <e v="#NAME?"/>
  </r>
  <r>
    <n v="1630"/>
    <m/>
    <x v="0"/>
    <d v="2018-12-04T00:00:00"/>
    <n v="320"/>
    <s v="Familia Montilla García"/>
    <s v="dairy252525@hotmail.com"/>
    <s v="Calle Güigüe Nro. 89-90"/>
    <s v="Cancelación Vigilancia, mes de Noviembre 2018"/>
    <x v="0"/>
    <m/>
    <s v="01630"/>
    <s v="04 de diciembre de 2018"/>
    <n v="4"/>
    <x v="25"/>
    <s v="320,00"/>
    <e v="#NAME?"/>
  </r>
  <r>
    <n v="1631"/>
    <m/>
    <x v="0"/>
    <d v="2018-12-04T00:00:00"/>
    <n v="1625"/>
    <s v="Colegio El Trigal"/>
    <s v="En Físico"/>
    <s v="Calle Güigüe Nros. 88-71 y 88-81"/>
    <s v="Cancelación Vigilancia, meses de Noviembre y Diciembre 2018"/>
    <x v="0"/>
    <m/>
    <s v="01631"/>
    <s v="04 de diciembre de 2018"/>
    <n v="4"/>
    <x v="25"/>
    <s v="1.625,00"/>
    <e v="#NAME?"/>
  </r>
  <r>
    <n v="1632"/>
    <m/>
    <x v="0"/>
    <d v="2018-12-04T00:00:00"/>
    <n v="320"/>
    <s v="Victoria Francischiello"/>
    <s v="victoriafrancischiello@hotmail.com"/>
    <s v="Calle Guacara Nro. 88-25"/>
    <s v="Cancelación Vigilancia, mes de Noviembre 2018"/>
    <x v="0"/>
    <m/>
    <s v="01632"/>
    <s v="04 de diciembre de 2018"/>
    <n v="4"/>
    <x v="25"/>
    <s v="320,00"/>
    <e v="#NAME?"/>
  </r>
  <r>
    <n v="1633"/>
    <m/>
    <x v="0"/>
    <d v="2018-12-04T00:00:00"/>
    <n v="800"/>
    <s v="Chin Chun Ya (Goya)"/>
    <s v="uc2721@gmail.com"/>
    <s v="Calle Guacara Nro. 87-86"/>
    <s v="Cancelación Vigilancia, mes de Diciembre 2018"/>
    <x v="0"/>
    <m/>
    <s v="01633"/>
    <s v="04 de diciembre de 2018"/>
    <n v="4"/>
    <x v="25"/>
    <s v="800,00"/>
    <e v="#NAME?"/>
  </r>
  <r>
    <n v="1634"/>
    <m/>
    <x v="0"/>
    <d v="2018-12-05T00:00:00"/>
    <n v="480"/>
    <s v="Familia Milanés Carmona"/>
    <s v="yndira11m@gmail.com"/>
    <s v="Calle Güigüe Nro. 89-65"/>
    <s v="Cancelación Vigilancia, saldo mes de Diciembre 2018"/>
    <x v="0"/>
    <m/>
    <s v="01634"/>
    <s v="05 de diciembre de 2018"/>
    <n v="5"/>
    <x v="25"/>
    <s v="480,00"/>
    <e v="#NAME?"/>
  </r>
  <r>
    <n v="1635"/>
    <m/>
    <x v="0"/>
    <d v="2018-12-05T00:00:00"/>
    <n v="960"/>
    <s v="Familia Ferrer Bahri"/>
    <s v="bahrimariela@hotmail.com"/>
    <s v="Calle Güigüe Nro. 89-83"/>
    <s v="Vigilancia: cancelación saldo mes de Diciembre 2018 y mes de Enero 2019"/>
    <x v="0"/>
    <m/>
    <s v="01635"/>
    <s v="05 de diciembre de 2018"/>
    <n v="5"/>
    <x v="25"/>
    <s v="960,00"/>
    <e v="#NAME?"/>
  </r>
  <r>
    <n v="1636"/>
    <m/>
    <x v="0"/>
    <d v="2018-12-05T00:00:00"/>
    <n v="1000"/>
    <s v="Familia Durvelle Serrano"/>
    <s v="sdurvelle@hotmail.com"/>
    <s v="Calle Guacara Nro. 89-60"/>
    <s v="Cancelación Vigilancia, mes de Diciembre 2018 más aporte"/>
    <x v="0"/>
    <m/>
    <s v="01636"/>
    <s v="05 de diciembre de 2018"/>
    <n v="5"/>
    <x v="25"/>
    <s v="1.000,00"/>
    <e v="#NAME?"/>
  </r>
  <r>
    <n v="1637"/>
    <m/>
    <x v="0"/>
    <d v="2018-12-05T00:00:00"/>
    <n v="662.95"/>
    <s v="Familia Del Negro Palermo"/>
    <s v="vdelnegro@gmail.com"/>
    <s v="Calle Guacara Nro. 88-45"/>
    <s v="Cancelación Vigilancia, mes de Diciembre 2018 (saldo a favor: Bs. 0,00)"/>
    <x v="0"/>
    <m/>
    <s v="01637"/>
    <s v="05 de diciembre de 2018"/>
    <n v="5"/>
    <x v="25"/>
    <s v="662,95"/>
    <e v="#NAME?"/>
  </r>
  <r>
    <n v="1638"/>
    <m/>
    <x v="0"/>
    <d v="2018-12-05T00:00:00"/>
    <n v="800"/>
    <s v="Ely Saúl Rivero Gómez"/>
    <s v="hhs.admon@gmail.com"/>
    <s v="Av. &quot;Ñ&quot; Nro. 145-25"/>
    <s v="Cancelación Vigilancia, mes de Diciembre 2018 (saldo a favor: Bs. 2.152,00)"/>
    <x v="0"/>
    <m/>
    <s v="01638"/>
    <s v="05 de diciembre de 2018"/>
    <n v="5"/>
    <x v="25"/>
    <s v="800,00"/>
    <e v="#NAME?"/>
  </r>
  <r>
    <n v="1639"/>
    <m/>
    <x v="0"/>
    <d v="2018-11-01T00:00:00"/>
    <n v="320"/>
    <s v="Familia Hurtado"/>
    <s v="En Físico"/>
    <s v="Av. &quot;O&quot; Nro. 146-11"/>
    <s v="Cancelación Vigilancia, mes de Octubre 2018"/>
    <x v="0"/>
    <m/>
    <s v="01639"/>
    <s v="01 de noviembre de 2018"/>
    <n v="1"/>
    <x v="24"/>
    <s v="320,00"/>
    <e v="#NAME?"/>
  </r>
  <r>
    <n v="1640"/>
    <m/>
    <x v="0"/>
    <d v="2018-11-30T00:00:00"/>
    <n v="320"/>
    <s v="Familia Hurtado"/>
    <s v="En Físico"/>
    <s v="Av. &quot;O&quot; Nro. 146-11"/>
    <s v="Cancelación Vigilancia, mes de Noviembre 2018"/>
    <x v="0"/>
    <m/>
    <s v="01640"/>
    <s v="30 de noviembre de 2018"/>
    <n v="30"/>
    <x v="24"/>
    <s v="320,00"/>
    <e v="#NAME?"/>
  </r>
  <r>
    <n v="1641"/>
    <m/>
    <x v="0"/>
    <d v="2018-12-05T00:00:00"/>
    <n v="480"/>
    <s v="Familia Colosso Delgado"/>
    <s v="mcolosso@gmail.com"/>
    <s v="Calle Güigüe Nro. 88-44"/>
    <s v="Cancelación Vigilancia, saldo mes de Diciembre 2018"/>
    <x v="0"/>
    <m/>
    <s v="01641"/>
    <s v="05 de diciembre de 2018"/>
    <n v="5"/>
    <x v="25"/>
    <s v="480,00"/>
    <e v="#NAME?"/>
  </r>
  <r>
    <n v="1642"/>
    <m/>
    <x v="0"/>
    <d v="2018-11-05T00:00:00"/>
    <n v="560"/>
    <s v="Familia Fermín Rivas"/>
    <s v="angelferminb@gmail.com"/>
    <s v="Calle Güigüe Nro. 89-55"/>
    <s v="Cancelación Vigilancia, saldo mes de Diciembre 2018"/>
    <x v="0"/>
    <m/>
    <s v="01642"/>
    <s v="05 de noviembre de 2018"/>
    <n v="5"/>
    <x v="24"/>
    <s v="560,00"/>
    <e v="#NAME?"/>
  </r>
  <r>
    <n v="1643"/>
    <m/>
    <x v="0"/>
    <d v="2018-12-06T00:00:00"/>
    <n v="800"/>
    <s v="Familia Navarrete Medina"/>
    <s v="juanin1919@yahoo.com"/>
    <s v="Calle Güigüe Nro. 89-22"/>
    <s v="Cancelación Vigilancia, mes de Diciembre 2018"/>
    <x v="0"/>
    <m/>
    <s v="01643"/>
    <s v="06 de diciembre de 2018"/>
    <n v="6"/>
    <x v="25"/>
    <s v="800,00"/>
    <e v="#NAME?"/>
  </r>
  <r>
    <n v="1644"/>
    <m/>
    <x v="0"/>
    <d v="2018-12-06T00:00:00"/>
    <n v="800"/>
    <s v="Familia Costermani Terrer"/>
    <s v="claudiacostermani@hotmail.com"/>
    <s v="Calle Güigüe Nro. 88-11"/>
    <s v="Cancelación Vigilancia, mes de Diciembre 2018"/>
    <x v="0"/>
    <m/>
    <s v="01644"/>
    <s v="06 de diciembre de 2018"/>
    <n v="6"/>
    <x v="25"/>
    <s v="800,00"/>
    <e v="#NAME?"/>
  </r>
  <r>
    <n v="1645"/>
    <m/>
    <x v="0"/>
    <d v="2018-12-06T00:00:00"/>
    <n v="800"/>
    <s v="Dra. Lilia Magallanes"/>
    <s v="liliamagallanes2010@gmail.com"/>
    <s v="Calle Güigüe Nro. 88-51"/>
    <s v="Cancelación Vigilancia, mes de Diciembre 2018"/>
    <x v="0"/>
    <m/>
    <s v="01645"/>
    <s v="06 de diciembre de 2018"/>
    <n v="6"/>
    <x v="25"/>
    <s v="800,00"/>
    <e v="#NAME?"/>
  </r>
  <r>
    <n v="1646"/>
    <m/>
    <x v="0"/>
    <d v="2018-12-06T00:00:00"/>
    <n v="800"/>
    <s v="Familia Navarro Assing"/>
    <s v="liliaassing@gmail.com"/>
    <s v="Calle Güigüe Nro. 88-54"/>
    <s v="Cancelación Vigilancia, mes de Diciembre 2018"/>
    <x v="0"/>
    <m/>
    <s v="01646"/>
    <s v="06 de diciembre de 2018"/>
    <n v="6"/>
    <x v="25"/>
    <s v="800,00"/>
    <e v="#NAME?"/>
  </r>
  <r>
    <n v="1647"/>
    <m/>
    <x v="0"/>
    <d v="2018-12-06T00:00:00"/>
    <n v="320"/>
    <s v="Familia Machado Stoppa"/>
    <s v="machadoru@hotmail.com"/>
    <s v="Calle Guacara Nro. 88-85"/>
    <s v="Cancelación Vigilancia, mes de Noviembre 2018"/>
    <x v="0"/>
    <m/>
    <s v="01647"/>
    <s v="06 de diciembre de 2018"/>
    <n v="6"/>
    <x v="25"/>
    <s v="320,00"/>
    <e v="#NAME?"/>
  </r>
  <r>
    <n v="1648"/>
    <m/>
    <x v="0"/>
    <d v="2018-12-07T00:00:00"/>
    <n v="800"/>
    <s v="Familia Castro Jiménez"/>
    <s v="aurycastrojimenez@gmail.com"/>
    <s v="Calle Guacara Nro. 90-51"/>
    <s v="Cancelación Vigilancia, mes de Diciembre 2018"/>
    <x v="0"/>
    <m/>
    <s v="01648"/>
    <s v="07 de diciembre de 2018"/>
    <n v="7"/>
    <x v="25"/>
    <s v="800,00"/>
    <e v="#NAME?"/>
  </r>
  <r>
    <n v="1649"/>
    <m/>
    <x v="0"/>
    <d v="2018-12-08T00:00:00"/>
    <n v="1000"/>
    <s v="Wu Hung Fung"/>
    <s v="carolinahung24@gmail.com"/>
    <s v="Calle Guacara Nro. 90-81"/>
    <s v="Vigilancia: saldo mes de Octubre 2018, cancelación Noviembre 2018 y anticipo Enero 2019"/>
    <x v="0"/>
    <m/>
    <s v="01649"/>
    <s v="08 de diciembre de 2018"/>
    <n v="8"/>
    <x v="25"/>
    <s v="1.000,00"/>
    <e v="#NAME?"/>
  </r>
  <r>
    <n v="1650"/>
    <m/>
    <x v="0"/>
    <d v="2018-12-08T00:00:00"/>
    <n v="400"/>
    <s v="Gloria Molina"/>
    <s v="glomola2@yahoo.es"/>
    <s v="Calle Güigüe Nro. 89-71"/>
    <s v="Colaboración Vigilancia, meses de Octubre y Noviembre 2018"/>
    <x v="0"/>
    <m/>
    <s v="01650"/>
    <s v="08 de diciembre de 2018"/>
    <n v="8"/>
    <x v="25"/>
    <s v="400,00"/>
    <e v="#NAME?"/>
  </r>
  <r>
    <n v="1651"/>
    <m/>
    <x v="0"/>
    <d v="2018-12-08T00:00:00"/>
    <n v="800"/>
    <s v="Amparo Acosta"/>
    <s v="amparonatividad@hotmail.com"/>
    <s v="Calle Guacara Nro. 88-65"/>
    <s v="Cancelación Vigilancia, mes de Diciembre 2018"/>
    <x v="0"/>
    <m/>
    <s v="01651"/>
    <s v="08 de diciembre de 2018"/>
    <n v="8"/>
    <x v="25"/>
    <s v="800,00"/>
    <e v="#NAME?"/>
  </r>
  <r>
    <n v="1652"/>
    <m/>
    <x v="0"/>
    <d v="2018-12-08T00:00:00"/>
    <n v="800"/>
    <s v="Carmen Moreno"/>
    <s v="carmenemoreno10@gmail.com"/>
    <s v="Calle Güigüe Nro. 89-04"/>
    <s v="Cancelación Vigilancia, mes de Diciembre 2018"/>
    <x v="0"/>
    <m/>
    <s v="01652"/>
    <s v="08 de diciembre de 2018"/>
    <n v="8"/>
    <x v="25"/>
    <s v="800,00"/>
    <e v="#NAME?"/>
  </r>
  <r>
    <n v="1653"/>
    <m/>
    <x v="0"/>
    <d v="2018-12-09T00:00:00"/>
    <n v="320"/>
    <s v="Héctor Hernández"/>
    <s v="eof64@hotmail.com"/>
    <s v="Calle Guacara Nro. 89-94"/>
    <s v="Cancelación Vigilancia, mes de Noviembre 2018"/>
    <x v="0"/>
    <m/>
    <s v="01653"/>
    <s v="09 de diciembre de 2018"/>
    <n v="9"/>
    <x v="25"/>
    <s v="320,00"/>
    <e v="#NAME?"/>
  </r>
  <r>
    <n v="1654"/>
    <m/>
    <x v="0"/>
    <d v="2018-12-09T00:00:00"/>
    <n v="800"/>
    <s v="Familia Franco Gómez"/>
    <s v="eof64@hotmail.com"/>
    <s v="Calle Guacara Nro. 87-07"/>
    <s v="Cancelación Vigilancia, mes de Diciembre 2018"/>
    <x v="0"/>
    <m/>
    <s v="01654"/>
    <s v="09 de diciembre de 2018"/>
    <n v="9"/>
    <x v="25"/>
    <s v="800,00"/>
    <e v="#NAME?"/>
  </r>
  <r>
    <n v="1655"/>
    <m/>
    <x v="0"/>
    <d v="2018-12-09T00:00:00"/>
    <n v="800"/>
    <s v="Familia Machado Stoppa"/>
    <s v="machadoru@hotmail.com"/>
    <s v="Calle Guacara Nro. 88-85"/>
    <s v="Cancelación Vigilancia, mes de Diciembre 2018"/>
    <x v="0"/>
    <m/>
    <s v="01655"/>
    <s v="09 de diciembre de 2018"/>
    <n v="9"/>
    <x v="25"/>
    <s v="800,00"/>
    <e v="#NAME?"/>
  </r>
  <r>
    <n v="1656"/>
    <m/>
    <x v="0"/>
    <d v="2018-12-09T00:00:00"/>
    <n v="800"/>
    <s v="Héctor Hernández"/>
    <s v="eof64@hotmail.com"/>
    <s v="Calle Guacara Nro. 89-94"/>
    <s v="Cancelación Vigilancia, mes de Diciembre 2018"/>
    <x v="0"/>
    <m/>
    <s v="01656"/>
    <s v="09 de diciembre de 2018"/>
    <n v="9"/>
    <x v="25"/>
    <s v="800,00"/>
    <e v="#NAME?"/>
  </r>
  <r>
    <n v="1657"/>
    <m/>
    <x v="0"/>
    <d v="2018-10-31T00:00:00"/>
    <n v="320"/>
    <s v="Ma. de Jesus Alonso"/>
    <s v="alonsojg@gmail.com"/>
    <s v="Calle Güigüe Nro. 88-30"/>
    <s v="Cancelación Vigilancia, mes de Octubre 2018"/>
    <x v="0"/>
    <m/>
    <s v="01657"/>
    <s v="31 de octubre de 2018"/>
    <n v="31"/>
    <x v="23"/>
    <s v="320,00"/>
    <e v="#NAME?"/>
  </r>
  <r>
    <n v="1658"/>
    <m/>
    <x v="0"/>
    <d v="2018-12-07T00:00:00"/>
    <n v="800"/>
    <s v="Familia Kablan Sarmiento"/>
    <s v="norisjsb56@hotmail.com"/>
    <s v="Calle Güigüe Nro. 89-80"/>
    <s v="Cancelación Vigilancia, mes de Diciembre 2018"/>
    <x v="0"/>
    <m/>
    <s v="01658"/>
    <s v="07 de diciembre de 2018"/>
    <n v="7"/>
    <x v="25"/>
    <s v="800,00"/>
    <e v="#NAME?"/>
  </r>
  <r>
    <n v="1659"/>
    <m/>
    <x v="0"/>
    <d v="2018-12-10T00:00:00"/>
    <n v="800"/>
    <s v="Sra. Reina Meléndez"/>
    <s v="olgajipe@gmail.com"/>
    <s v="Av. &quot;M&quot; Nro. 145-10"/>
    <s v="Cancelación Vigilancia, mes de Diciembre 2018"/>
    <x v="0"/>
    <m/>
    <s v="01659"/>
    <s v="10 de diciembre de 2018"/>
    <n v="10"/>
    <x v="25"/>
    <s v="800,00"/>
    <e v="#NAME?"/>
  </r>
  <r>
    <n v="1660"/>
    <m/>
    <x v="0"/>
    <d v="2018-12-11T00:00:00"/>
    <n v="800"/>
    <s v="Familia Manrique Riera"/>
    <s v="patriciamanrique@gmail.com"/>
    <s v="Calle Guacara Nro. 89-40"/>
    <s v="Cancelación Vigilancia, mes de Diciembre 2018"/>
    <x v="0"/>
    <m/>
    <s v="01660"/>
    <s v="11 de diciembre de 2018"/>
    <n v="11"/>
    <x v="25"/>
    <s v="800,00"/>
    <e v="#NAME?"/>
  </r>
  <r>
    <n v="1661"/>
    <m/>
    <x v="0"/>
    <d v="2018-12-11T00:00:00"/>
    <n v="800"/>
    <s v="Familia Gascón Domínguez"/>
    <s v="vrgascon@gmail.com"/>
    <s v="Calle Güigüe Nro. 88-70"/>
    <s v="Cancelación Vigilancia, mes de Diciembre 2018"/>
    <x v="0"/>
    <m/>
    <s v="01661"/>
    <s v="11 de diciembre de 2018"/>
    <n v="11"/>
    <x v="25"/>
    <s v="800,00"/>
    <e v="#NAME?"/>
  </r>
  <r>
    <n v="1662"/>
    <m/>
    <x v="0"/>
    <d v="2018-11-19T00:00:00"/>
    <n v="320"/>
    <s v="Familia Delgado Hidalgo"/>
    <s v="ardh@hotmail.com"/>
    <s v="Calle Güigüe Nro. 88-10"/>
    <s v="Cancelación Vigilancia, mes de Noviembre 2018"/>
    <x v="0"/>
    <m/>
    <s v="01662"/>
    <s v="19 de noviembre de 2018"/>
    <n v="19"/>
    <x v="24"/>
    <s v="320,00"/>
    <e v="#NAME?"/>
  </r>
  <r>
    <n v="1663"/>
    <m/>
    <x v="0"/>
    <d v="2018-12-13T00:00:00"/>
    <n v="800"/>
    <s v="Familia Delgado Hidalgo"/>
    <s v="ardh@hotmail.com"/>
    <s v="Calle Güigüe Nro. 88-10"/>
    <s v="Cancelación Vigilancia, mes de Diciembre 2018"/>
    <x v="0"/>
    <m/>
    <s v="01663"/>
    <s v="13 de diciembre de 2018"/>
    <n v="13"/>
    <x v="25"/>
    <s v="800,00"/>
    <e v="#NAME?"/>
  </r>
  <r>
    <n v="1664"/>
    <m/>
    <x v="0"/>
    <d v="2018-12-13T00:00:00"/>
    <n v="800"/>
    <s v="Familia Kattar González"/>
    <s v="jagiak123@yahoo.es"/>
    <s v="Calle Güigüe Nro. 89-95"/>
    <s v="Cancelación Vigilancia, saldo mes de Diciembre 2018 y anticipo mes de Enero 2019"/>
    <x v="0"/>
    <m/>
    <s v="01664"/>
    <s v="13 de diciembre de 2018"/>
    <n v="13"/>
    <x v="25"/>
    <s v="800,00"/>
    <e v="#NAME?"/>
  </r>
  <r>
    <n v="1665"/>
    <m/>
    <x v="0"/>
    <d v="2018-11-11T00:00:00"/>
    <n v="320"/>
    <s v="Beatriz Lara"/>
    <s v="valentina.gutierrez@hotmail.com"/>
    <s v="Calle Guacara Nro. 89-130"/>
    <s v="Cancelación Vigilancia, mes de Noviembre 2018"/>
    <x v="0"/>
    <m/>
    <s v="01665"/>
    <s v="11 de noviembre de 2018"/>
    <n v="11"/>
    <x v="24"/>
    <s v="320,00"/>
    <e v="#NAME?"/>
  </r>
  <r>
    <n v="1666"/>
    <m/>
    <x v="0"/>
    <d v="2018-12-13T00:00:00"/>
    <n v="1131.1500000000001"/>
    <s v="Familia López Hermoso"/>
    <s v="lopez.humberto14@yahoo.com.ve"/>
    <s v="Calle Güigüe Nro. 89-79"/>
    <s v="Cancelación Vigilancia, meses de Noviembre y Diciembre 2018 (saldo a favor: Bs. 11,15)"/>
    <x v="0"/>
    <m/>
    <s v="01666"/>
    <s v="13 de diciembre de 2018"/>
    <n v="13"/>
    <x v="25"/>
    <s v="1.131,15"/>
    <e v="#NAME?"/>
  </r>
  <r>
    <n v="1667"/>
    <m/>
    <x v="0"/>
    <d v="2018-12-13T00:00:00"/>
    <n v="320"/>
    <s v="Familia Piñero Padilla"/>
    <s v="achepaul2005@hotmail.com"/>
    <s v="Calle Güigüe Nro. 89-21"/>
    <s v="Cancelación Vigilancia, mes de Noviembre 2018"/>
    <x v="0"/>
    <m/>
    <s v="01667"/>
    <s v="13 de diciembre de 2018"/>
    <n v="13"/>
    <x v="25"/>
    <s v="320,00"/>
    <e v="#NAME?"/>
  </r>
  <r>
    <n v="1668"/>
    <m/>
    <x v="0"/>
    <d v="2018-12-14T00:00:00"/>
    <n v="320"/>
    <s v="Familia Navarrete Medina"/>
    <s v="juanin1919@yahoo.com"/>
    <s v="Calle Güigüe Nro. 89-22"/>
    <s v="Cancelación Vigilancia, mes de Noviembre 2018"/>
    <x v="0"/>
    <m/>
    <s v="01668"/>
    <s v="14 de diciembre de 2018"/>
    <n v="14"/>
    <x v="25"/>
    <s v="320,00"/>
    <e v="#NAME?"/>
  </r>
  <r>
    <n v="1669"/>
    <m/>
    <x v="0"/>
    <d v="2018-12-14T00:00:00"/>
    <n v="320"/>
    <s v="Familia Matta Palomino"/>
    <s v="En Físico"/>
    <s v="Calle Güigüe Nro. 88-90"/>
    <s v="Cancelación Vigilancia, mes de Noviembre 2018"/>
    <x v="0"/>
    <m/>
    <s v="01669"/>
    <s v="14 de diciembre de 2018"/>
    <n v="14"/>
    <x v="25"/>
    <s v="320,00"/>
    <e v="#NAME?"/>
  </r>
  <r>
    <n v="1670"/>
    <m/>
    <x v="0"/>
    <d v="2018-12-14T00:00:00"/>
    <n v="3000"/>
    <s v="Familia Ozar Rivero"/>
    <s v="vanessarivero81@hotmail.com"/>
    <s v="Calle Güigüe Nro. 88-06"/>
    <s v="Vigilancia: Cancelación meses de Octubre, Noviembre y Diciembre 2018 y anticipo mes de Enero 2019"/>
    <x v="0"/>
    <m/>
    <s v="01670"/>
    <s v="14 de diciembre de 2018"/>
    <n v="14"/>
    <x v="25"/>
    <s v="3.000,00"/>
    <e v="#NAME?"/>
  </r>
  <r>
    <n v="1671"/>
    <m/>
    <x v="0"/>
    <d v="2018-12-14T00:00:00"/>
    <n v="1760"/>
    <s v="Yuraima Rodríguez"/>
    <s v="En Físico"/>
    <s v="Calle Guacara Nro. 89-70"/>
    <s v="Cancelación Vigilancia, meses de Septiembre, Octubre, Noviembre y Diciembre 2018"/>
    <x v="0"/>
    <m/>
    <s v="01671"/>
    <s v="14 de diciembre de 2018"/>
    <n v="14"/>
    <x v="25"/>
    <s v="1.760,00"/>
    <e v="#NAME?"/>
  </r>
  <r>
    <n v="1672"/>
    <m/>
    <x v="0"/>
    <d v="2018-12-15T00:00:00"/>
    <n v="800"/>
    <s v="Beatriz Lara"/>
    <s v="valentina.gutierrez@hotmail.com"/>
    <s v="Calle Guacara Nro. 89-130"/>
    <s v="Cancelación Vigilancia, mes de Diciembre 2018"/>
    <x v="0"/>
    <m/>
    <s v="01672"/>
    <s v="15 de diciembre de 2018"/>
    <n v="15"/>
    <x v="25"/>
    <s v="800,00"/>
    <e v="#NAME?"/>
  </r>
  <r>
    <n v="1673"/>
    <m/>
    <x v="0"/>
    <d v="2018-12-16T00:00:00"/>
    <n v="355"/>
    <s v="La Casita Encantada"/>
    <s v="En Físico"/>
    <s v="Av. &quot;M&quot; Nro. 146-30"/>
    <s v="Cancelación Vigilancia, mes de Noviembre 2018"/>
    <x v="0"/>
    <m/>
    <s v="01673"/>
    <s v="16 de diciembre de 2018"/>
    <n v="16"/>
    <x v="25"/>
    <s v="355,00"/>
    <e v="#NAME?"/>
  </r>
  <r>
    <n v="1674"/>
    <m/>
    <x v="0"/>
    <d v="2018-12-16T00:00:00"/>
    <n v="200"/>
    <s v="Familia Chávez Hernández"/>
    <s v="mercedesch23@hotmail.com"/>
    <s v="Calle Güigüe Nro. 88-20"/>
    <s v="Colaboración Vigilancia, meses de Noviembre y Diciembre 2018"/>
    <x v="0"/>
    <m/>
    <s v="01674"/>
    <s v="16 de diciembre de 2018"/>
    <n v="16"/>
    <x v="25"/>
    <s v="200,00"/>
    <e v="#NAME?"/>
  </r>
  <r>
    <n v="1675"/>
    <m/>
    <x v="0"/>
    <d v="2018-12-17T00:00:00"/>
    <n v="1600"/>
    <s v="Familia Sirit Palencia"/>
    <s v="irasirit@gmail.com"/>
    <s v="Calle Güigüe Nro. 89-35"/>
    <s v="Cancelación Vigilancia, meses de Octubre, Noviembre y Diciembre 2018, y adelanto mes de Enero 2019"/>
    <x v="0"/>
    <m/>
    <s v="01675"/>
    <s v="17 de diciembre de 2018"/>
    <n v="17"/>
    <x v="25"/>
    <s v="1.600,00"/>
    <e v="#NAME?"/>
  </r>
  <r>
    <n v="1676"/>
    <m/>
    <x v="0"/>
    <d v="2018-12-17T00:00:00"/>
    <n v="1120"/>
    <s v="Familia Rodríguez Aular"/>
    <s v="mvaular@hotmail.com"/>
    <s v="Calle Güigüe Nro. 88-58"/>
    <s v="Cancelación Vigilancia, meses de Noviembre y Diciembre 2018"/>
    <x v="0"/>
    <m/>
    <s v="01676"/>
    <s v="17 de diciembre de 2018"/>
    <n v="17"/>
    <x v="25"/>
    <s v="1.120,00"/>
    <e v="#NAME?"/>
  </r>
  <r>
    <n v="1677"/>
    <m/>
    <x v="0"/>
    <d v="2018-12-17T00:00:00"/>
    <n v="320"/>
    <s v="Familia Astor Zamora"/>
    <s v="imzastor@gmail.com"/>
    <s v="Calle Güigüe Nro. 88-111"/>
    <s v="Cancelación Vigilancia, mes de Noviembre 2018"/>
    <x v="0"/>
    <m/>
    <s v="01677"/>
    <s v="17 de diciembre de 2018"/>
    <n v="17"/>
    <x v="25"/>
    <s v="320,00"/>
    <e v="#NAME?"/>
  </r>
  <r>
    <n v="1678"/>
    <m/>
    <x v="0"/>
    <d v="2018-12-18T00:00:00"/>
    <n v="1000"/>
    <s v="Familia Wu Acevedo"/>
    <s v="rudyacevedo90@gmail.com"/>
    <s v="Calle Guacara Nro. 88-A-10"/>
    <s v="Cancelación Vigilancia, mes de Diciembre 2018"/>
    <x v="0"/>
    <m/>
    <s v="01678"/>
    <s v="18 de diciembre de 2018"/>
    <n v="18"/>
    <x v="25"/>
    <s v="1.000,00"/>
    <e v="#NAME?"/>
  </r>
  <r>
    <n v="1679"/>
    <m/>
    <x v="0"/>
    <d v="2018-12-18T00:00:00"/>
    <n v="1950"/>
    <s v="Familia Ochoa Mendoza"/>
    <s v="marisoljudithm@hotmail.com"/>
    <s v="Calle Guacara Nro. 89-130"/>
    <s v="Cancelación Vigilancia, meses de Noviembre y Diciembre 2018, y Enero 2019"/>
    <x v="0"/>
    <m/>
    <s v="01679"/>
    <s v="18 de diciembre de 2018"/>
    <n v="18"/>
    <x v="25"/>
    <s v="1.950,00"/>
    <e v="#NAME?"/>
  </r>
  <r>
    <n v="1680"/>
    <m/>
    <x v="0"/>
    <d v="2018-12-19T00:00:00"/>
    <n v="980"/>
    <s v="Familia Loponte Arteaga"/>
    <s v="En Físico"/>
    <s v="Calle Güigüe Nro. 88-120"/>
    <s v="Contribución Vigilancia, mes de Diciembre 2018 y cancelación mes de Enero 2019"/>
    <x v="0"/>
    <m/>
    <s v="01680"/>
    <s v="19 de diciembre de 2018"/>
    <n v="19"/>
    <x v="25"/>
    <s v="980,00"/>
    <e v="#NAME?"/>
  </r>
  <r>
    <n v="1681"/>
    <m/>
    <x v="0"/>
    <d v="2018-12-22T00:00:00"/>
    <n v="800"/>
    <s v="Familia Acosta Carpio"/>
    <s v="pablo962@hotmail.com"/>
    <s v="Calle Güigüe Nro. 89-10"/>
    <s v="Cancelación Vigilancia, mes de Diciembre 2018"/>
    <x v="0"/>
    <m/>
    <s v="01681"/>
    <s v="22 de diciembre de 2018"/>
    <n v="22"/>
    <x v="25"/>
    <s v="800,00"/>
    <e v="#NAME?"/>
  </r>
  <r>
    <n v="1682"/>
    <m/>
    <x v="0"/>
    <d v="2018-12-23T00:00:00"/>
    <n v="480"/>
    <s v="Anahiz Seijas"/>
    <s v="anahiz_2@hotmail.es"/>
    <s v="Calle Güigüe Nro. 89-106"/>
    <s v="Cancelación Vigilancia, saldo mes de Diciembre 2018"/>
    <x v="0"/>
    <m/>
    <s v="01682"/>
    <s v="23 de diciembre de 2018"/>
    <n v="23"/>
    <x v="25"/>
    <s v="480,00"/>
    <e v="#NAME?"/>
  </r>
  <r>
    <n v="1683"/>
    <m/>
    <x v="0"/>
    <d v="2018-12-25T00:00:00"/>
    <n v="1450"/>
    <s v="Familia Leung"/>
    <s v="En Físico"/>
    <s v="Calle Guacara Nro. 88-55"/>
    <s v="Cancelación Vigilancia, meses de Octubre, Noviembre y Diciembre 2018, y anticipo mes de Enero 2019"/>
    <x v="0"/>
    <m/>
    <s v="01683"/>
    <s v="25 de diciembre de 2018"/>
    <n v="25"/>
    <x v="25"/>
    <s v="1.450,00"/>
    <e v="#NAME?"/>
  </r>
  <r>
    <n v="1684"/>
    <m/>
    <x v="0"/>
    <d v="2018-12-25T00:00:00"/>
    <n v="500"/>
    <s v="Gloria Molina"/>
    <s v="glomola2@yahoo.es"/>
    <s v="Calle Güigüe Nro. 89-71"/>
    <s v="Colaboración Vigilancia, mes de Diciembre 2018"/>
    <x v="0"/>
    <m/>
    <s v="01684"/>
    <s v="25 de diciembre de 2018"/>
    <n v="25"/>
    <x v="25"/>
    <s v="500,00"/>
    <e v="#NAME?"/>
  </r>
  <r>
    <n v="1685"/>
    <m/>
    <x v="0"/>
    <d v="2018-12-26T00:00:00"/>
    <n v="800"/>
    <s v="La Casita Encantada"/>
    <s v="En Físico"/>
    <s v="Av. &quot;M&quot; Nro. 146-30"/>
    <s v="Cancelación Vigilancia, mes de Diciembre 2018"/>
    <x v="0"/>
    <m/>
    <s v="01685"/>
    <s v="26 de diciembre de 2018"/>
    <n v="26"/>
    <x v="25"/>
    <s v="800,00"/>
    <e v="#NAME?"/>
  </r>
  <r>
    <n v="1686"/>
    <m/>
    <x v="0"/>
    <d v="2018-12-26T00:00:00"/>
    <n v="1000"/>
    <s v="Familia Martínez Boada"/>
    <s v="florcitakmz@gmail.com"/>
    <s v="Calle Güigüe Nro. 88-62"/>
    <s v="Colaboración Vigilancia, meses de Noviembre y Diciembre 2018"/>
    <x v="0"/>
    <m/>
    <s v="01686"/>
    <s v="26 de diciembre de 2018"/>
    <n v="26"/>
    <x v="25"/>
    <s v="1.000,00"/>
    <e v="#NAME?"/>
  </r>
  <r>
    <n v="1687"/>
    <m/>
    <x v="0"/>
    <d v="2018-12-28T00:00:00"/>
    <n v="800"/>
    <s v="Familia Díaz González"/>
    <s v="luisrdt57@gmail.com"/>
    <s v="Calle Güigüe Nro. 88-116"/>
    <s v="Cancelación Vigilancia, mes de Diciembre 2018"/>
    <x v="0"/>
    <m/>
    <s v="01687"/>
    <s v="28 de diciembre de 2018"/>
    <n v="28"/>
    <x v="25"/>
    <s v="800,00"/>
    <e v="#NAME?"/>
  </r>
  <r>
    <n v="1688"/>
    <m/>
    <x v="0"/>
    <d v="2018-12-29T00:00:00"/>
    <n v="1600"/>
    <s v="Familia Piñero Padilla"/>
    <s v="achepaul2005@hotmail.com"/>
    <s v="Calle Güigüe Nro. 89-21"/>
    <s v="Cancelación Vigilancia, meses de Diciembre 2018 y Enero 2019"/>
    <x v="0"/>
    <m/>
    <s v="01688"/>
    <s v="29 de diciembre de 2018"/>
    <n v="29"/>
    <x v="25"/>
    <s v="1.600,00"/>
    <e v="#NAME?"/>
  </r>
  <r>
    <n v="1689"/>
    <m/>
    <x v="0"/>
    <d v="2019-01-02T00:00:00"/>
    <n v="1200"/>
    <s v="Ma. de Jesus Alonso"/>
    <s v="alonsojg@gmail.com"/>
    <s v="Calle Güigüe Nro. 88-30"/>
    <s v="Cancelación Vigilancia, meses de Noviembre y Diciembre 2018"/>
    <x v="0"/>
    <m/>
    <s v="01689"/>
    <s v="02 de enero de 2019"/>
    <n v="2"/>
    <x v="26"/>
    <s v="1.200,00"/>
    <e v="#NAME?"/>
  </r>
  <r>
    <n v="1690"/>
    <m/>
    <x v="0"/>
    <d v="2019-01-03T00:00:00"/>
    <n v="400"/>
    <s v="Familia Rodríguez Landaeta"/>
    <s v="mrl58@hotmail.com"/>
    <s v="Calle Güigüe Nro. 89-29"/>
    <s v="Colaboración Vigilancia, mes de Diciembre 2018"/>
    <x v="0"/>
    <m/>
    <s v="01690"/>
    <s v="03 de enero de 2019"/>
    <n v="3"/>
    <x v="26"/>
    <s v="400,00"/>
    <e v="#NAME?"/>
  </r>
  <r>
    <n v="1691"/>
    <m/>
    <x v="0"/>
    <d v="2019-01-03T00:00:00"/>
    <n v="800"/>
    <s v="Familia Kattar González"/>
    <s v="jagiak123@yahoo.es"/>
    <s v="Calle Güigüe Nro. 89-95"/>
    <s v="Vigilancia: Anticipo meses de Enero y Febrero 2019"/>
    <x v="0"/>
    <m/>
    <s v="01691"/>
    <s v="03 de enero de 2019"/>
    <n v="3"/>
    <x v="26"/>
    <s v="800,00"/>
    <e v="#NAME?"/>
  </r>
  <r>
    <n v="1692"/>
    <m/>
    <x v="0"/>
    <d v="2019-01-03T00:00:00"/>
    <n v="1600"/>
    <s v="Familia Zavarce Pérez"/>
    <s v="En Físico"/>
    <s v="Calle Guacara Nro. 90-35"/>
    <s v="Cancelación Vigilancia, meses de Diciembre 2018 y Enero 2019"/>
    <x v="0"/>
    <m/>
    <s v="01692"/>
    <s v="03 de enero de 2019"/>
    <n v="3"/>
    <x v="26"/>
    <s v="1.600,00"/>
    <e v="#NAME?"/>
  </r>
  <r>
    <n v="1693"/>
    <m/>
    <x v="0"/>
    <d v="2019-01-05T00:00:00"/>
    <n v="1800"/>
    <s v="Familia Fermín Rivas"/>
    <s v="angelferminb@gmail.com"/>
    <s v="Calle Güigüe Nro. 89-55"/>
    <s v="Vigilancia: Anticipo mes de Enero 2019"/>
    <x v="0"/>
    <m/>
    <s v="01693"/>
    <s v="05 de enero de 2019"/>
    <n v="5"/>
    <x v="26"/>
    <s v="1.800,00"/>
    <e v="#NAME?"/>
  </r>
  <r>
    <n v="1694"/>
    <m/>
    <x v="0"/>
    <d v="2019-01-06T00:00:00"/>
    <n v="770"/>
    <s v="Familia Scabuzzo Gómez"/>
    <s v="sfscabuzzo@msn.com"/>
    <s v="Av. &quot;I&quot; Nro. 146-20"/>
    <s v="Cancelación Vigilancia, saldo mes de Diciembre 2018 y anticipo mes de Enero 2019"/>
    <x v="0"/>
    <m/>
    <s v="01694"/>
    <s v="06 de enero de 2019"/>
    <n v="6"/>
    <x v="26"/>
    <s v="770,00"/>
    <e v="#NAME?"/>
  </r>
  <r>
    <n v="1695"/>
    <m/>
    <x v="0"/>
    <d v="2019-01-06T00:00:00"/>
    <n v="800"/>
    <s v="Familia Scabuzzo Gómez"/>
    <s v="sfscabuzzo@msn.com"/>
    <s v="Av. &quot;I&quot; Nro. 146-20"/>
    <s v="Vigilancia: Anticipo mes de Enero 2019"/>
    <x v="0"/>
    <m/>
    <s v="01695"/>
    <s v="06 de enero de 2019"/>
    <n v="6"/>
    <x v="26"/>
    <s v="800,00"/>
    <e v="#NAME?"/>
  </r>
  <r>
    <n v="1696"/>
    <m/>
    <x v="0"/>
    <d v="2019-01-07T00:00:00"/>
    <n v="800"/>
    <s v="Carmen Moreno"/>
    <s v="carmenemoreno10@gmail.com"/>
    <s v="Calle Güigüe Nro. 89-04"/>
    <s v="Vigilancia: Anticipo mes de Enero 2019"/>
    <x v="0"/>
    <m/>
    <s v="01696"/>
    <s v="07 de enero de 2019"/>
    <n v="7"/>
    <x v="26"/>
    <s v="800,00"/>
    <e v="#NAME?"/>
  </r>
  <r>
    <n v="1697"/>
    <m/>
    <x v="0"/>
    <d v="2019-01-07T00:00:00"/>
    <n v="320"/>
    <s v="Ana de González"/>
    <s v="mikelnowak25@gmail.com"/>
    <s v="Av. &quot;O&quot; Nro. 146-17"/>
    <s v="Cancelación Vigilancia, mes de Noviembre 2018"/>
    <x v="0"/>
    <m/>
    <s v="01697"/>
    <s v="07 de enero de 2019"/>
    <n v="7"/>
    <x v="26"/>
    <s v="320,00"/>
    <e v="#NAME?"/>
  </r>
  <r>
    <n v="1698"/>
    <m/>
    <x v="0"/>
    <d v="2019-01-07T00:00:00"/>
    <n v="800"/>
    <s v="Ana de González"/>
    <s v="mikelnowak25@gmail.com"/>
    <s v="Av. &quot;O&quot; Nro. 146-17"/>
    <s v="Cancelación Vigilancia, mes de Diciembre 2018"/>
    <x v="0"/>
    <m/>
    <s v="01698"/>
    <s v="07 de enero de 2019"/>
    <n v="7"/>
    <x v="26"/>
    <s v="800,00"/>
    <e v="#NAME?"/>
  </r>
  <r>
    <n v="1699"/>
    <m/>
    <x v="0"/>
    <d v="2019-01-07T00:00:00"/>
    <n v="800"/>
    <s v="Victoria Francischiello"/>
    <s v="victoriafrancischiello@hotmail.com"/>
    <s v="Calle Guacara Nro. 88-25"/>
    <s v="Cancelación Vigilancia, mes de Diciembre 2018"/>
    <x v="0"/>
    <m/>
    <s v="01699"/>
    <s v="07 de enero de 2019"/>
    <n v="7"/>
    <x v="26"/>
    <s v="800,00"/>
    <e v="#NAME?"/>
  </r>
  <r>
    <n v="1700"/>
    <m/>
    <x v="0"/>
    <d v="2019-01-08T00:00:00"/>
    <n v="937.05"/>
    <s v="Familia Del Negro Palermo"/>
    <s v="vdelnegro@gmail.com"/>
    <s v="Calle Guacara Nro. 88-45"/>
    <s v="Vigilancia: Cancelación saldo mes de Diciembre 2018 y anticipo mes de Enero 2019 (saldo a favor: Bs. 9.062,95)"/>
    <x v="0"/>
    <m/>
    <s v="01700"/>
    <s v="08 de enero de 2019"/>
    <n v="8"/>
    <x v="26"/>
    <s v="937,05"/>
    <e v="#NAME?"/>
  </r>
  <r>
    <n v="1701"/>
    <m/>
    <x v="0"/>
    <d v="2019-01-08T00:00:00"/>
    <n v="800"/>
    <s v="Familia Lomeña Agudo"/>
    <s v="claudialomena@hotmail.com"/>
    <s v="Calle Guacara Nro. 89-30"/>
    <s v="Vigilancia: Anticipo mes de Enero 2019"/>
    <x v="0"/>
    <m/>
    <s v="01701"/>
    <s v="08 de enero de 2019"/>
    <n v="8"/>
    <x v="26"/>
    <s v="800,00"/>
    <e v="#NAME?"/>
  </r>
  <r>
    <n v="1702"/>
    <m/>
    <x v="0"/>
    <d v="2019-01-08T00:00:00"/>
    <n v="800"/>
    <s v="Chin Chun Ya (Goya)"/>
    <s v="uc2721@gmail.com"/>
    <s v="Calle Guacara Nro. 87-86"/>
    <s v="Vigilancia: Anticipo mes de Enero 2019"/>
    <x v="0"/>
    <m/>
    <s v="01702"/>
    <s v="08 de enero de 2019"/>
    <n v="8"/>
    <x v="26"/>
    <s v="800,00"/>
    <e v="#NAME?"/>
  </r>
  <r>
    <n v="1703"/>
    <m/>
    <x v="0"/>
    <d v="2019-01-08T00:00:00"/>
    <n v="1280"/>
    <s v="Familia Guerra Miret"/>
    <s v="antoniojguerrag@hotmail.com"/>
    <s v="Calle Güigüe Nro. 89-40"/>
    <s v="Vigilancia: cancelación saldo mes de Diciembre 2018 y mes de Enero 2019"/>
    <x v="0"/>
    <m/>
    <s v="01703"/>
    <s v="08 de enero de 2019"/>
    <n v="8"/>
    <x v="26"/>
    <s v="1.280,00"/>
    <e v="#NAME?"/>
  </r>
  <r>
    <n v="1704"/>
    <m/>
    <x v="0"/>
    <d v="2019-01-08T00:00:00"/>
    <n v="800"/>
    <s v="Héctor Hernández"/>
    <s v="eof64@hotmail.com"/>
    <s v="Calle Guacara Nro. 89-94"/>
    <s v="Vigilancia: Anticipo mes de Enero 2019"/>
    <x v="0"/>
    <m/>
    <s v="01704"/>
    <s v="08 de enero de 2019"/>
    <n v="8"/>
    <x v="26"/>
    <s v="800,00"/>
    <e v="#NAME?"/>
  </r>
  <r>
    <n v="1705"/>
    <m/>
    <x v="0"/>
    <d v="2019-01-08T00:00:00"/>
    <n v="800"/>
    <s v="Familia Franco Gómez"/>
    <s v="eof64@hotmail.com"/>
    <s v="Calle Guacara Nro. 87-07"/>
    <s v="Vigilancia: Anticipo mes de Enero 2019"/>
    <x v="0"/>
    <m/>
    <s v="01705"/>
    <s v="08 de enero de 2019"/>
    <n v="8"/>
    <x v="26"/>
    <s v="800,00"/>
    <e v="#NAME?"/>
  </r>
  <r>
    <n v="1706"/>
    <m/>
    <x v="0"/>
    <d v="2019-01-09T00:00:00"/>
    <n v="800"/>
    <s v="Familia Arcia Polanco"/>
    <s v="misipo29@gmail.com"/>
    <s v="Calle Guacara Nro. 89-20"/>
    <s v="Vigilancia: Anticipo mes de Enero 2019"/>
    <x v="0"/>
    <m/>
    <s v="01706"/>
    <s v="09 de enero de 2019"/>
    <n v="9"/>
    <x v="26"/>
    <s v="800,00"/>
    <e v="#NAME?"/>
  </r>
  <r>
    <n v="1707"/>
    <m/>
    <x v="0"/>
    <d v="2019-01-10T00:00:00"/>
    <n v="800"/>
    <s v="Familia Milanés Carmona"/>
    <s v="yndira11m@gmail.com"/>
    <s v="Calle Güigüe Nro. 89-65"/>
    <s v="Vigilancia: Anticipo mes de Enero 2019"/>
    <x v="0"/>
    <m/>
    <s v="01707"/>
    <s v="10 de enero de 2019"/>
    <n v="10"/>
    <x v="26"/>
    <s v="800,00"/>
    <e v="#NAME?"/>
  </r>
  <r>
    <n v="1708"/>
    <m/>
    <x v="0"/>
    <d v="2019-01-10T00:00:00"/>
    <n v="1600"/>
    <s v="Wilson Escamilla"/>
    <s v="wilsonescamilla45@gmail.com"/>
    <s v="Calle Güigüe Nro. 89-89"/>
    <s v="Vigilancia: Cancelación mes de Diciembre 2018 y anticipo mes de Enero 2019"/>
    <x v="0"/>
    <m/>
    <s v="01708"/>
    <s v="10 de enero de 2019"/>
    <n v="10"/>
    <x v="26"/>
    <s v="1.600,00"/>
    <e v="#NAME?"/>
  </r>
  <r>
    <n v="1709"/>
    <m/>
    <x v="0"/>
    <d v="2019-01-10T00:00:00"/>
    <n v="1000"/>
    <s v="Familia Castro Jiménez"/>
    <s v="aurycastrojimenez@gmail.com"/>
    <s v="Calle Guacara Nro. 90-51"/>
    <s v="Vigilancia: Anticipo mes de Enero 2019"/>
    <x v="0"/>
    <m/>
    <s v="01709"/>
    <s v="10 de enero de 2019"/>
    <n v="10"/>
    <x v="26"/>
    <s v="1.000,00"/>
    <e v="#NAME?"/>
  </r>
  <r>
    <n v="1710"/>
    <m/>
    <x v="0"/>
    <d v="2019-01-10T00:00:00"/>
    <n v="800"/>
    <s v="Familia Delgado Hidalgo"/>
    <s v="ardh@hotmail.com"/>
    <s v="Calle Güigüe Nro. 88-10"/>
    <s v="Vigilancia: Anticipo mes de Enero 2019"/>
    <x v="0"/>
    <m/>
    <s v="01710"/>
    <s v="10 de enero de 2019"/>
    <n v="10"/>
    <x v="26"/>
    <s v="800,00"/>
    <e v="#NAME?"/>
  </r>
  <r>
    <n v="1711"/>
    <m/>
    <x v="0"/>
    <d v="2019-01-10T00:00:00"/>
    <n v="1500"/>
    <s v="Wu Hung Fung"/>
    <s v="carolinahung24@gmail.com"/>
    <s v="Calle Guacara Nro. 90-81"/>
    <s v="Vigilancia: Anticipo mes de Enero 2019"/>
    <x v="0"/>
    <m/>
    <s v="01711"/>
    <s v="10 de enero de 2019"/>
    <n v="10"/>
    <x v="26"/>
    <s v="1.500,00"/>
    <e v="#NAME?"/>
  </r>
  <r>
    <n v="1712"/>
    <m/>
    <x v="0"/>
    <d v="2019-01-11T00:00:00"/>
    <n v="800"/>
    <s v="Ely Saúl Rivero Gómez"/>
    <s v="hhs.admon@gmail.com"/>
    <s v="Av. &quot;Ñ&quot; Nro. 145-25"/>
    <s v="Vigilancia: Anticipo mes de Enero 2019 (saldo a favor: Bs. 1.352,00)"/>
    <x v="0"/>
    <m/>
    <s v="01712"/>
    <s v="11 de enero de 2019"/>
    <n v="11"/>
    <x v="26"/>
    <s v="800,00"/>
    <e v="#NAME?"/>
  </r>
  <r>
    <n v="1713"/>
    <m/>
    <x v="0"/>
    <d v="2019-01-11T00:00:00"/>
    <n v="1000"/>
    <s v="Familia Durvelle Serrano"/>
    <s v="sdurvelle@hotmail.com"/>
    <s v="Calle Guacara Nro. 89-60"/>
    <s v="Vigilancia: Anticipo mes de Enero 2019"/>
    <x v="0"/>
    <m/>
    <s v="01713"/>
    <s v="11 de enero de 2019"/>
    <n v="11"/>
    <x v="26"/>
    <s v="1.000,00"/>
    <e v="#NAME?"/>
  </r>
  <r>
    <n v="1714"/>
    <m/>
    <x v="0"/>
    <d v="2019-01-11T00:00:00"/>
    <n v="800"/>
    <s v="Familia Navarro Assing"/>
    <s v="liliaassing@gmail.com"/>
    <s v="Calle Güigüe Nro. 88-54"/>
    <s v="Vigilancia: Anticipo mes de Enero 2019"/>
    <x v="0"/>
    <m/>
    <s v="01714"/>
    <s v="11 de enero de 2019"/>
    <n v="11"/>
    <x v="26"/>
    <s v="800,00"/>
    <e v="#NAME?"/>
  </r>
  <r>
    <n v="1715"/>
    <m/>
    <x v="0"/>
    <d v="2019-01-11T00:00:00"/>
    <n v="800"/>
    <s v="Amparo Acosta"/>
    <s v="amparonatividad@hotmail.com"/>
    <s v="Calle Guacara Nro. 88-65"/>
    <s v="Vigilancia: Anticipo mes de Enero 2019"/>
    <x v="0"/>
    <m/>
    <s v="01715"/>
    <s v="11 de enero de 2019"/>
    <n v="11"/>
    <x v="26"/>
    <s v="800,00"/>
    <e v="#NAME?"/>
  </r>
  <r>
    <n v="1716"/>
    <m/>
    <x v="0"/>
    <d v="2019-01-11T00:00:00"/>
    <n v="800"/>
    <s v="Familia Colosso Delgado"/>
    <s v="mcolosso@gmail.com"/>
    <s v="Calle Güigüe Nro. 88-44"/>
    <s v="Vigilancia: Anticipo mes de Enero 2019"/>
    <x v="0"/>
    <m/>
    <s v="01716"/>
    <s v="11 de enero de 2019"/>
    <n v="11"/>
    <x v="26"/>
    <s v="800,00"/>
    <e v="#NAME?"/>
  </r>
  <r>
    <n v="1717"/>
    <m/>
    <x v="0"/>
    <d v="2019-01-13T00:00:00"/>
    <n v="850"/>
    <s v="Familia Alonso Rojas"/>
    <s v="redjc01@gmail.com"/>
    <s v="Calle Güigüe Nro. 89-54"/>
    <s v="Vigilancia: Anticipo mes de Enero 2019"/>
    <x v="0"/>
    <m/>
    <s v="01717"/>
    <s v="13 de enero de 2019"/>
    <n v="13"/>
    <x v="26"/>
    <s v="850,00"/>
    <e v="#NAME?"/>
  </r>
  <r>
    <n v="1718"/>
    <m/>
    <x v="0"/>
    <d v="2019-01-13T00:00:00"/>
    <n v="1120"/>
    <s v="Familia Zavarce Barón"/>
    <s v="alexanderzavarce@gmail.com"/>
    <s v="Calle Guacara Nro. 88-91"/>
    <s v="Cancelación Vigilancia, meses de Noviembre y Diciembre 2018"/>
    <x v="0"/>
    <m/>
    <s v="01718"/>
    <s v="13 de enero de 2019"/>
    <n v="13"/>
    <x v="26"/>
    <s v="1.120,00"/>
    <e v="#NAME?"/>
  </r>
  <r>
    <n v="1719"/>
    <m/>
    <x v="0"/>
    <d v="2019-01-13T00:00:00"/>
    <n v="1600"/>
    <s v="Familia Franco Gómez"/>
    <s v="eof64@hotmail.com"/>
    <s v="Calle Guacara Nro. 87-07"/>
    <s v="Vigilancia: Anticipo mes de Enero 2019"/>
    <x v="0"/>
    <m/>
    <s v="01719"/>
    <s v="13 de enero de 2019"/>
    <n v="13"/>
    <x v="26"/>
    <s v="1.600,00"/>
    <e v="#NAME?"/>
  </r>
  <r>
    <n v="1720"/>
    <m/>
    <x v="0"/>
    <d v="2019-01-14T00:00:00"/>
    <n v="800"/>
    <s v="Beatriz Lara"/>
    <s v="valentina.gutierrez@hotmail.com"/>
    <s v="Calle Guacara Nro. 89-130"/>
    <s v="Vigilancia: Anticipo mes de Enero 2019"/>
    <x v="0"/>
    <m/>
    <s v="01720"/>
    <s v="14 de enero de 2019"/>
    <n v="14"/>
    <x v="26"/>
    <s v="800,00"/>
    <e v="#NAME?"/>
  </r>
  <r>
    <n v="1721"/>
    <m/>
    <x v="0"/>
    <d v="2019-01-13T00:00:00"/>
    <n v="1160"/>
    <s v="Colegio El Trigal"/>
    <s v="En Físico"/>
    <s v="Calle Güigüe Nros. 88-71 y 88-81"/>
    <s v="Vigilancia: Anticipo mes de Enero 2019"/>
    <x v="0"/>
    <m/>
    <s v="01721"/>
    <s v="13 de enero de 2019"/>
    <n v="13"/>
    <x v="26"/>
    <s v="1.160,00"/>
    <e v="#NAME?"/>
  </r>
  <r>
    <n v="1722"/>
    <m/>
    <x v="0"/>
    <d v="2019-01-14T00:00:00"/>
    <n v="800"/>
    <s v="Familia Sirit Palencia"/>
    <s v="irasirit@gmail.com"/>
    <s v="Calle Güigüe Nro. 89-35"/>
    <s v="Vigilancia: Anticipo mes de Enero 2019"/>
    <x v="0"/>
    <m/>
    <s v="01722"/>
    <s v="14 de enero de 2019"/>
    <n v="14"/>
    <x v="26"/>
    <s v="800,00"/>
    <e v="#NAME?"/>
  </r>
  <r>
    <n v="1723"/>
    <m/>
    <x v="0"/>
    <d v="2019-01-15T00:00:00"/>
    <n v="800"/>
    <s v="Familia Rodríguez Aular"/>
    <s v="mvaular@hotmail.com"/>
    <s v="Calle Güigüe Nro. 88-58"/>
    <s v="Vigilancia: Anticipo mes de Enero 2019"/>
    <x v="0"/>
    <m/>
    <s v="01723"/>
    <s v="15 de enero de 2019"/>
    <n v="15"/>
    <x v="26"/>
    <s v="800,00"/>
    <e v="#NAME?"/>
  </r>
  <r>
    <n v="1724"/>
    <m/>
    <x v="0"/>
    <d v="2019-01-14T00:00:00"/>
    <n v="2000"/>
    <s v="Familia Hatem Medina"/>
    <s v="hhatem1@hotmail.com"/>
    <s v="Calle Guacara Nro. 88-51"/>
    <s v="Vigilancia: Anticipo mes de Enero 2019"/>
    <x v="0"/>
    <m/>
    <s v="01724"/>
    <s v="14 de enero de 2019"/>
    <n v="14"/>
    <x v="26"/>
    <s v="2.000,00"/>
    <e v="#NAME?"/>
  </r>
  <r>
    <n v="1725"/>
    <m/>
    <x v="0"/>
    <d v="2019-01-15T00:00:00"/>
    <n v="800"/>
    <s v="Familia Machado Stoppa"/>
    <s v="machadoru@hotmail.com"/>
    <s v="Calle Guacara Nro. 88-85"/>
    <s v="Vigilancia: Anticipo mes de Enero 2019"/>
    <x v="0"/>
    <m/>
    <s v="01725"/>
    <s v="15 de enero de 2019"/>
    <n v="15"/>
    <x v="26"/>
    <s v="800,00"/>
    <e v="#NAME?"/>
  </r>
  <r>
    <n v="1726"/>
    <m/>
    <x v="0"/>
    <d v="2019-01-15T00:00:00"/>
    <n v="1250"/>
    <s v="Familia González Arévalo"/>
    <s v="feryenis@hotmail.com"/>
    <s v="Calle Guacara Nro. 89-86"/>
    <s v="Vigilancia: Cancelación saldo mes de Diciembre 2018 y anticipo mes de Enero 2019"/>
    <x v="0"/>
    <m/>
    <s v="01726"/>
    <s v="15 de enero de 2019"/>
    <n v="15"/>
    <x v="26"/>
    <s v="1.250,00"/>
    <e v="#NAME?"/>
  </r>
  <r>
    <n v="1727"/>
    <m/>
    <x v="0"/>
    <d v="2019-01-15T00:00:00"/>
    <n v="800"/>
    <s v="Familia Manrique Riera"/>
    <s v="patriciamanrique@gmail.com"/>
    <s v="Calle Guacara Nro. 89-40"/>
    <s v="Vigilancia: Anticipo mes de Enero 2019"/>
    <x v="0"/>
    <m/>
    <s v="01727"/>
    <s v="15 de enero de 2019"/>
    <n v="15"/>
    <x v="26"/>
    <s v="800,00"/>
    <e v="#NAME?"/>
  </r>
  <r>
    <n v="1728"/>
    <m/>
    <x v="0"/>
    <d v="2019-01-16T00:00:00"/>
    <n v="800"/>
    <s v="Familia Barreto Pérez"/>
    <s v="bbetsa19@hotmail.com"/>
    <s v="Av. &quot;M&quot; Nro. 146-15"/>
    <s v="Cancelación Vigilancia, mes de Diciembre 2018"/>
    <x v="0"/>
    <m/>
    <s v="01728"/>
    <s v="16 de enero de 2019"/>
    <n v="16"/>
    <x v="26"/>
    <s v="800,00"/>
    <e v="#NAME?"/>
  </r>
  <r>
    <n v="1729"/>
    <m/>
    <x v="0"/>
    <d v="2019-01-16T00:00:00"/>
    <n v="2200"/>
    <s v="Carmen Moreno"/>
    <s v="carmenemoreno10@gmail.com"/>
    <s v="Calle Güigüe Nro. 89-04"/>
    <s v="Vigilancia: Cancelación saldo mes de Enero 2019"/>
    <x v="0"/>
    <m/>
    <s v="01729"/>
    <s v="16 de enero de 2019"/>
    <n v="16"/>
    <x v="26"/>
    <s v="2.200,00"/>
    <e v="#NAME?"/>
  </r>
  <r>
    <n v="1730"/>
    <m/>
    <x v="0"/>
    <d v="2019-01-16T00:00:00"/>
    <n v="3000"/>
    <s v="Familia Narváez Caldera"/>
    <s v="jeannette_nc@yahoo.com"/>
    <s v="Calle Güigüe Nro. 87-A-11"/>
    <s v="Cancelación Vigilancia, mes de Enero 2019"/>
    <x v="0"/>
    <m/>
    <s v="01730"/>
    <s v="16 de enero de 2019"/>
    <n v="16"/>
    <x v="26"/>
    <s v="3.000,00"/>
    <e v="#NAME?"/>
  </r>
  <r>
    <n v="1731"/>
    <m/>
    <x v="0"/>
    <d v="2019-01-16T00:00:00"/>
    <n v="1120"/>
    <s v="Familia Narváez Caldera"/>
    <s v="jeannette_nc@yahoo.com"/>
    <s v="Calle Güigüe Nro. 87-A-11"/>
    <s v="Cancelación Vigilancia, meses de Noviembre y Diciembre 2018"/>
    <x v="0"/>
    <m/>
    <s v="01731"/>
    <s v="16 de enero de 2019"/>
    <n v="16"/>
    <x v="26"/>
    <s v="1.120,00"/>
    <e v="#NAME?"/>
  </r>
  <r>
    <n v="1732"/>
    <m/>
    <x v="0"/>
    <d v="2019-01-16T00:00:00"/>
    <n v="2200"/>
    <s v="Familia Del Negro Palermo"/>
    <s v="vdelnegro@gmail.com"/>
    <s v="Calle Guacara Nro. 88-45"/>
    <s v="Vigilancia: Cancelación saldo mes de Enero 2019 (saldo a favor: Bs. 6.862,95)"/>
    <x v="0"/>
    <m/>
    <s v="01732"/>
    <s v="16 de enero de 2019"/>
    <n v="16"/>
    <x v="26"/>
    <s v="2.200,00"/>
    <e v="#NAME?"/>
  </r>
  <r>
    <n v="1733"/>
    <m/>
    <x v="0"/>
    <d v="2019-01-16T00:00:00"/>
    <n v="2200"/>
    <s v="Familia Manrique Riera"/>
    <s v="patriciamanrique@gmail.com"/>
    <s v="Calle Guacara Nro. 89-40"/>
    <s v="Vigilancia: Cancelación saldo mes de Enero 2019"/>
    <x v="0"/>
    <m/>
    <s v="01733"/>
    <s v="16 de enero de 2019"/>
    <n v="16"/>
    <x v="26"/>
    <s v="2.200,00"/>
    <e v="#NAME?"/>
  </r>
  <r>
    <n v="1734"/>
    <m/>
    <x v="0"/>
    <d v="2019-01-16T00:00:00"/>
    <n v="972"/>
    <s v="Wu Hung Fung"/>
    <s v="carolinahung24@gmail.com"/>
    <s v="Calle Guacara Nro. 90-81"/>
    <s v="Vigilancia: Cancelación saldo mes de Enero 2019"/>
    <x v="0"/>
    <m/>
    <s v="01734"/>
    <s v="16 de enero de 2019"/>
    <n v="16"/>
    <x v="26"/>
    <s v="972,00"/>
    <e v="#NAME?"/>
  </r>
  <r>
    <n v="1735"/>
    <m/>
    <x v="0"/>
    <d v="2019-01-16T00:00:00"/>
    <n v="800"/>
    <s v="Familia Castillo Mena"/>
    <s v="emmecas@hotmail.com"/>
    <s v="Calle Güigüe Nro. 88-101"/>
    <s v="Cancelación Vigilancia, mes de Diciembre 2018"/>
    <x v="0"/>
    <m/>
    <s v="01735"/>
    <s v="16 de enero de 2019"/>
    <n v="16"/>
    <x v="26"/>
    <s v="800,00"/>
    <e v="#NAME?"/>
  </r>
  <r>
    <n v="1736"/>
    <m/>
    <x v="0"/>
    <d v="2019-01-16T00:00:00"/>
    <n v="2200"/>
    <s v="Familia Colosso Delgado"/>
    <s v="mcolosso@gmail.com"/>
    <s v="Calle Güigüe Nro. 88-44"/>
    <s v="Vigilancia: Cancelación saldo mes de Enero 2019"/>
    <x v="0"/>
    <m/>
    <s v="01736"/>
    <s v="16 de enero de 2019"/>
    <n v="16"/>
    <x v="26"/>
    <s v="2.200,00"/>
    <e v="#NAME?"/>
  </r>
  <r>
    <n v="1737"/>
    <m/>
    <x v="0"/>
    <d v="2019-01-17T00:00:00"/>
    <n v="2200"/>
    <s v="Héctor Hernández"/>
    <s v="eof64@hotmail.com"/>
    <s v="Calle Guacara Nro. 89-94"/>
    <s v="Vigilancia: Cancelación saldo mes de Enero 2019"/>
    <x v="0"/>
    <m/>
    <s v="01737"/>
    <s v="17 de enero de 2019"/>
    <n v="17"/>
    <x v="26"/>
    <s v="2.200,00"/>
    <e v="#NAME?"/>
  </r>
  <r>
    <n v="1738"/>
    <m/>
    <x v="0"/>
    <d v="2019-01-17T00:00:00"/>
    <n v="3800"/>
    <s v="Familia Il Grande Franceschi"/>
    <s v="arcifran75@hotmail.com"/>
    <s v="Av. &quot;I&quot; Nro. 146-40"/>
    <s v="Cancelación Vigilancia, meses de Diciembre 2018 y Enero 2019"/>
    <x v="0"/>
    <m/>
    <s v="01738"/>
    <s v="17 de enero de 2019"/>
    <n v="17"/>
    <x v="26"/>
    <s v="3.800,00"/>
    <e v="#NAME?"/>
  </r>
  <r>
    <n v="1739"/>
    <m/>
    <x v="0"/>
    <d v="2019-01-17T00:00:00"/>
    <n v="600"/>
    <s v="Familia Franco Gómez"/>
    <s v="eof64@hotmail.com"/>
    <s v="Calle Guacara Nro. 87-07"/>
    <s v="Vigilancia: Cancelación saldo mes de Enero 2019"/>
    <x v="0"/>
    <m/>
    <s v="01739"/>
    <s v="17 de enero de 2019"/>
    <n v="17"/>
    <x v="26"/>
    <s v="600,00"/>
    <e v="#NAME?"/>
  </r>
  <r>
    <n v="1740"/>
    <m/>
    <x v="0"/>
    <d v="2019-01-17T00:00:00"/>
    <n v="800"/>
    <s v="Familia Matta Palomino"/>
    <s v="En Físico"/>
    <s v="Calle Güigüe Nro. 88-90"/>
    <s v="Cancelación Vigilancia, mes de Diciembre 2018"/>
    <x v="0"/>
    <m/>
    <s v="01740"/>
    <s v="17 de enero de 2019"/>
    <n v="17"/>
    <x v="26"/>
    <s v="800,00"/>
    <e v="#NAME?"/>
  </r>
  <r>
    <n v="1741"/>
    <m/>
    <x v="0"/>
    <d v="2019-01-17T00:00:00"/>
    <n v="2200"/>
    <s v="Familia Kattar González"/>
    <s v="jagiak123@yahoo.es"/>
    <s v="Calle Güigüe Nro. 89-95"/>
    <s v="Vigilancia: Cancelación saldo mes de Enero 2019"/>
    <x v="0"/>
    <m/>
    <s v="01741"/>
    <s v="17 de enero de 2019"/>
    <n v="17"/>
    <x v="26"/>
    <s v="2.200,00"/>
    <e v="#NAME?"/>
  </r>
  <r>
    <n v="1742"/>
    <m/>
    <x v="0"/>
    <d v="2019-01-17T00:00:00"/>
    <n v="2200"/>
    <s v="Familia Navarro Assing"/>
    <s v="liliaassing@gmail.com"/>
    <s v="Calle Güigüe Nro. 88-54"/>
    <s v="Vigilancia: Cancelación saldo mes de Enero 2019"/>
    <x v="0"/>
    <m/>
    <s v="01742"/>
    <s v="17 de enero de 2019"/>
    <n v="17"/>
    <x v="26"/>
    <s v="2.200,00"/>
    <e v="#NAME?"/>
  </r>
  <r>
    <n v="1743"/>
    <m/>
    <x v="0"/>
    <d v="2019-01-17T00:00:00"/>
    <n v="2200"/>
    <s v="Amparo Acosta"/>
    <s v="amparonatividad@hotmail.com"/>
    <s v="Calle Guacara Nro. 88-65"/>
    <s v="Vigilancia: Cancelación saldo mes de Enero 2019"/>
    <x v="0"/>
    <m/>
    <s v="01743"/>
    <s v="17 de enero de 2019"/>
    <n v="17"/>
    <x v="26"/>
    <s v="2.200,00"/>
    <e v="#NAME?"/>
  </r>
  <r>
    <n v="1744"/>
    <m/>
    <x v="0"/>
    <d v="2019-01-17T00:00:00"/>
    <n v="2200"/>
    <s v="Familia Lomeña Agudo"/>
    <s v="claudialomena@hotmail.com"/>
    <s v="Calle Guacara Nro. 89-30"/>
    <s v="Vigilancia: Cancelación saldo mes de Enero 2019"/>
    <x v="0"/>
    <m/>
    <s v="01744"/>
    <s v="17 de enero de 2019"/>
    <n v="17"/>
    <x v="26"/>
    <s v="2.200,00"/>
    <e v="#NAME?"/>
  </r>
  <r>
    <n v="1745"/>
    <m/>
    <x v="0"/>
    <d v="2019-01-17T00:00:00"/>
    <n v="3000"/>
    <s v="Familia Durvelle Serrano"/>
    <s v="sdurvelle@hotmail.com"/>
    <s v="Calle Guacara Nro. 89-60"/>
    <s v="Vigilancia: Cancelación saldo mes de Enero 2019"/>
    <x v="0"/>
    <m/>
    <s v="01745"/>
    <s v="17 de enero de 2019"/>
    <n v="17"/>
    <x v="26"/>
    <s v="3.000,00"/>
    <e v="#NAME?"/>
  </r>
  <r>
    <n v="1746"/>
    <m/>
    <x v="0"/>
    <d v="2019-01-17T00:00:00"/>
    <n v="800"/>
    <s v="Amarilis Guerra"/>
    <s v="amarilisguerra1@yahoo.com"/>
    <s v="Calle Güigüe Nro. 89-96"/>
    <s v="Vigilancia: Anticipo mes de Enero 2019"/>
    <x v="0"/>
    <m/>
    <s v="01746"/>
    <s v="17 de enero de 2019"/>
    <n v="17"/>
    <x v="26"/>
    <s v="800,00"/>
    <e v="#NAME?"/>
  </r>
  <r>
    <n v="1747"/>
    <m/>
    <x v="0"/>
    <d v="2019-01-18T00:00:00"/>
    <n v="1200"/>
    <s v="Familia Fermín Rivas"/>
    <s v="angelferminb@gmail.com"/>
    <s v="Calle Güigüe Nro. 89-55"/>
    <s v="Vigilancia: Cancelación saldo mes de Enero 2019"/>
    <x v="0"/>
    <m/>
    <s v="01747"/>
    <s v="18 de enero de 2019"/>
    <n v="18"/>
    <x v="26"/>
    <s v="1.200,00"/>
    <e v="#NAME?"/>
  </r>
  <r>
    <n v="1748"/>
    <m/>
    <x v="0"/>
    <d v="2018-12-07T00:00:00"/>
    <n v="800"/>
    <s v="Amarilis Guerra"/>
    <s v="amarilisguerra1@yahoo.com"/>
    <s v="Calle Güigüe Nro. 89-96"/>
    <s v="Cancelación Vigilancia, mes de Diciembre 2018"/>
    <x v="0"/>
    <m/>
    <s v="01748"/>
    <s v="07 de diciembre de 2018"/>
    <n v="7"/>
    <x v="25"/>
    <s v="800,00"/>
    <e v="#NAME?"/>
  </r>
  <r>
    <n v="1749"/>
    <m/>
    <x v="0"/>
    <d v="2019-01-18T00:00:00"/>
    <n v="4120"/>
    <s v="Familia Jiménez Navarro"/>
    <s v="joyasonline2012@gmail.com"/>
    <s v="Calle Güigüe Nro. 88-50"/>
    <s v="Cancelación Vigilancia, meses de Noviembre y Diciembre 2018 y Enero 2019"/>
    <x v="0"/>
    <m/>
    <s v="01749"/>
    <s v="18 de enero de 2019"/>
    <n v="18"/>
    <x v="26"/>
    <s v="4.120,00"/>
    <e v="#NAME?"/>
  </r>
  <r>
    <n v="1750"/>
    <m/>
    <x v="0"/>
    <d v="2019-01-19T00:00:00"/>
    <n v="2200"/>
    <s v="Familia Machado Stoppa"/>
    <s v="machadoru@hotmail.com"/>
    <s v="Calle Guacara Nro. 88-85"/>
    <s v="Vigilancia: Cancelación saldo mes de Enero 2019"/>
    <x v="0"/>
    <m/>
    <s v="01750"/>
    <s v="19 de enero de 2019"/>
    <n v="19"/>
    <x v="26"/>
    <s v="2.200,00"/>
    <e v="#NAME?"/>
  </r>
  <r>
    <n v="1751"/>
    <m/>
    <x v="0"/>
    <d v="2019-01-19T00:00:00"/>
    <n v="2200"/>
    <s v="Familia Flores Montagne"/>
    <s v="martaflores@gmail.com"/>
    <s v="Av. &quot;M&quot; Nro. 146-20"/>
    <s v="Vigilancia: Anticipo mes de Enero 2019"/>
    <x v="0"/>
    <m/>
    <s v="01751"/>
    <s v="19 de enero de 2019"/>
    <n v="19"/>
    <x v="26"/>
    <s v="2.200,00"/>
    <e v="#NAME?"/>
  </r>
  <r>
    <n v="1752"/>
    <m/>
    <x v="0"/>
    <d v="2019-01-20T00:00:00"/>
    <n v="3800"/>
    <s v="Familia Nava Gordon"/>
    <s v="maru_19_66@hotmail.com"/>
    <s v="Calle Guacara Nro. 89-78"/>
    <s v="Vigilancia: Cancelación saldo mes de Diciembre 2018, mes de Enero y anticipo mes de Febrero 2019"/>
    <x v="0"/>
    <m/>
    <s v="01752"/>
    <s v="20 de enero de 2019"/>
    <n v="20"/>
    <x v="26"/>
    <s v="3.800,00"/>
    <e v="#NAME?"/>
  </r>
  <r>
    <n v="1753"/>
    <m/>
    <x v="0"/>
    <d v="2019-01-20T00:00:00"/>
    <n v="3000"/>
    <s v="Dra. Lilia Magallanes"/>
    <s v="liliamagallanes2010@gmail.com"/>
    <s v="Calle Güigüe Nro. 88-51"/>
    <s v="Cancelación Vigilancia, mes de Enero 2019"/>
    <x v="0"/>
    <m/>
    <s v="01753"/>
    <s v="20 de enero de 2019"/>
    <n v="20"/>
    <x v="26"/>
    <s v="3.000,00"/>
    <e v="#NAME?"/>
  </r>
  <r>
    <n v="1754"/>
    <m/>
    <x v="0"/>
    <d v="2019-01-22T00:00:00"/>
    <n v="2200"/>
    <s v="Familia Arcia Polanco"/>
    <s v="misipo29@gmail.com"/>
    <s v="Calle Guacara Nro. 89-20"/>
    <s v="Vigilancia: Cancelación saldo mes de Enero 2019"/>
    <x v="0"/>
    <m/>
    <s v="01754"/>
    <s v="22 de enero de 2019"/>
    <n v="22"/>
    <x v="26"/>
    <s v="2.200,00"/>
    <e v="#NAME?"/>
  </r>
  <r>
    <n v="1755"/>
    <m/>
    <x v="0"/>
    <d v="2019-01-23T00:00:00"/>
    <n v="2200"/>
    <s v="Familia Milanés Carmona"/>
    <s v="yndira11m@gmail.com"/>
    <s v="Calle Güigüe Nro. 89-65"/>
    <s v="Vigilancia: Cancelación saldo mes de Enero 2019"/>
    <x v="0"/>
    <m/>
    <s v="01755"/>
    <s v="23 de enero de 2019"/>
    <n v="23"/>
    <x v="26"/>
    <s v="2.200,00"/>
    <e v="#NAME?"/>
  </r>
  <r>
    <n v="1756"/>
    <m/>
    <x v="0"/>
    <d v="2019-01-23T00:00:00"/>
    <n v="3000"/>
    <s v="Familia Kablan Sarmiento"/>
    <s v="norisjsb56@hotmail.com"/>
    <s v="Calle Güigüe Nro. 89-80"/>
    <s v="Cancelación Vigilancia, mes de Enero 2019"/>
    <x v="0"/>
    <m/>
    <s v="01756"/>
    <s v="23 de enero de 2019"/>
    <n v="23"/>
    <x v="26"/>
    <s v="3.000,00"/>
    <e v="#NAME?"/>
  </r>
  <r>
    <n v="1757"/>
    <m/>
    <x v="0"/>
    <d v="2019-01-23T00:00:00"/>
    <n v="3000"/>
    <s v="Familia Castillo Mena"/>
    <s v="emmecas@hotmail.com"/>
    <s v="Calle Güigüe Nro. 88-101"/>
    <s v="Cancelación Vigilancia, mes de Enero 2019"/>
    <x v="0"/>
    <m/>
    <s v="01757"/>
    <s v="23 de enero de 2019"/>
    <n v="23"/>
    <x v="26"/>
    <s v="3.000,00"/>
    <e v="#NAME?"/>
  </r>
  <r>
    <n v="1758"/>
    <m/>
    <x v="0"/>
    <d v="2019-01-23T00:00:00"/>
    <n v="2200"/>
    <s v="Familia Guerra Miret"/>
    <s v="antoniojguerrag@hotmail.com"/>
    <s v="Calle Güigüe Nro. 89-40"/>
    <s v="Vigilancia: Cancelación saldo mes de Enero 2019"/>
    <x v="0"/>
    <m/>
    <s v="01758"/>
    <s v="23 de enero de 2019"/>
    <n v="23"/>
    <x v="26"/>
    <s v="2.200,00"/>
    <e v="#NAME?"/>
  </r>
  <r>
    <n v="1759"/>
    <m/>
    <x v="0"/>
    <d v="2019-01-24T00:00:00"/>
    <n v="3000"/>
    <s v="Familia Montilla García"/>
    <s v="dairy252525@hotmail.com"/>
    <s v="Calle Güigüe Nro. 89-90"/>
    <s v="Cancelación Vigilancia, mes de Enero 2019"/>
    <x v="0"/>
    <m/>
    <s v="01759"/>
    <s v="24 de enero de 2019"/>
    <n v="24"/>
    <x v="26"/>
    <s v="3.000,00"/>
    <e v="#NAME?"/>
  </r>
  <r>
    <n v="1760"/>
    <m/>
    <x v="0"/>
    <d v="2019-01-25T00:00:00"/>
    <n v="3000"/>
    <s v="Familia Costermani Terrer"/>
    <s v="claudiacostermani@hotmail.com"/>
    <s v="Calle Güigüe Nro. 88-11"/>
    <s v="Cancelación Vigilancia, mes de Enero 2019"/>
    <x v="0"/>
    <m/>
    <s v="01760"/>
    <s v="25 de enero de 2019"/>
    <n v="25"/>
    <x v="26"/>
    <s v="3.000,00"/>
    <e v="#NAME?"/>
  </r>
  <r>
    <n v="1761"/>
    <m/>
    <x v="0"/>
    <d v="2019-01-25T00:00:00"/>
    <n v="3000"/>
    <s v="Familia Wu Acevedo"/>
    <s v="rudyacevedo90@gmail.com"/>
    <s v="Calle Guacara Nro. 88-A-10"/>
    <s v="Cancelación Vigilancia, mes de Enero 2019 (saldo a favor: Bs. 17.005,80)"/>
    <x v="0"/>
    <m/>
    <s v="01761"/>
    <s v="25 de enero de 2019"/>
    <n v="25"/>
    <x v="26"/>
    <s v="3.000,00"/>
    <e v="#NAME?"/>
  </r>
  <r>
    <n v="1762"/>
    <m/>
    <x v="0"/>
    <d v="2019-01-29T00:00:00"/>
    <n v="3000"/>
    <s v="Familia Gascón Domínguez"/>
    <s v="vrgascon@gmail.com"/>
    <s v="Calle Güigüe Nro. 88-70"/>
    <s v="Cancelación Vigilancia, mes de Enero 2019"/>
    <x v="0"/>
    <m/>
    <s v="01762"/>
    <s v="29 de enero de 2019"/>
    <n v="29"/>
    <x v="26"/>
    <s v="3.000,00"/>
    <e v="#NAME?"/>
  </r>
  <r>
    <n v="1763"/>
    <m/>
    <x v="0"/>
    <d v="2019-01-29T00:00:00"/>
    <n v="6500"/>
    <s v="Familia Puerta Burguillos"/>
    <s v="namaricakes@gmail.com"/>
    <s v="Calle Guacara Nro. 87-100"/>
    <s v="Vigilancia: Cancelación saldo mes de Diciembre 2018, mes de Enero y anticipo mes de Febrero 2019"/>
    <x v="0"/>
    <m/>
    <s v="01763"/>
    <s v="29 de enero de 2019"/>
    <n v="29"/>
    <x v="26"/>
    <s v="6.500,00"/>
    <e v="#NAME?"/>
  </r>
  <r>
    <n v="1764"/>
    <m/>
    <x v="0"/>
    <d v="2019-01-30T00:00:00"/>
    <n v="2200"/>
    <s v="Familia Scabuzzo Gómez"/>
    <s v="sfscabuzzo@msn.com"/>
    <s v="Av. &quot;I&quot; Nro. 146-20"/>
    <s v="Vigilancia: Cancelación saldo mes de Enero 2019"/>
    <x v="0"/>
    <m/>
    <s v="01764"/>
    <s v="30 de enero de 2019"/>
    <n v="30"/>
    <x v="26"/>
    <s v="2.200,00"/>
    <e v="#NAME?"/>
  </r>
  <r>
    <n v="1765"/>
    <m/>
    <x v="0"/>
    <d v="2019-01-30T00:00:00"/>
    <n v="2200"/>
    <s v="Familia Ochoa Mendoza"/>
    <s v="marisoljudithm@hotmail.com"/>
    <s v="Calle Guacara Nro. 89-130"/>
    <s v="Vigilancia: Cancelación saldo mes de Enero 2019"/>
    <x v="0"/>
    <m/>
    <s v="01765"/>
    <s v="30 de enero de 2019"/>
    <n v="30"/>
    <x v="26"/>
    <s v="2.200,00"/>
    <e v="#NAME?"/>
  </r>
  <r>
    <n v="1766"/>
    <m/>
    <x v="0"/>
    <d v="2019-01-30T00:00:00"/>
    <n v="500"/>
    <s v="Familia Hatem Medina"/>
    <s v="hhatem1@hotmail.com"/>
    <s v="Calle Guacara Nro. 88-51"/>
    <s v="Vigilancia: Anticipo mes de Enero 2019"/>
    <x v="0"/>
    <m/>
    <s v="01766"/>
    <s v="30 de enero de 2019"/>
    <n v="30"/>
    <x v="26"/>
    <s v="500,00"/>
    <e v="#NAME?"/>
  </r>
  <r>
    <n v="1767"/>
    <m/>
    <x v="0"/>
    <d v="2019-01-30T00:00:00"/>
    <n v="2200"/>
    <s v="Amarilis Guerra"/>
    <s v="amarilisguerra1@yahoo.com"/>
    <s v="Calle Güigüe Nro. 89-96"/>
    <s v="Vigilancia: Cancelación saldo mes de Enero 2019"/>
    <x v="0"/>
    <m/>
    <s v="01767"/>
    <s v="30 de enero de 2019"/>
    <n v="30"/>
    <x v="26"/>
    <s v="2.200,00"/>
    <e v="#NAME?"/>
  </r>
  <r>
    <n v="1768"/>
    <m/>
    <x v="0"/>
    <d v="2019-01-30T00:00:00"/>
    <n v="2200"/>
    <s v="Chin Chun Ya (Goya)"/>
    <s v="uc2721@gmail.com"/>
    <s v="Calle Guacara Nro. 87-86"/>
    <s v="Vigilancia: Cancelación saldo mes de Enero 2019"/>
    <x v="0"/>
    <m/>
    <s v="01768"/>
    <s v="30 de enero de 2019"/>
    <n v="30"/>
    <x v="26"/>
    <s v="2.200,00"/>
    <e v="#NAME?"/>
  </r>
  <r>
    <n v="1769"/>
    <m/>
    <x v="0"/>
    <d v="2019-01-30T00:00:00"/>
    <n v="3000"/>
    <s v="Familia Navarrete Medina"/>
    <s v="juanin1919@yahoo.com"/>
    <s v="Calle Güigüe Nro. 89-22"/>
    <s v="Cancelación Vigilancia, mes de Enero 2019"/>
    <x v="0"/>
    <m/>
    <s v="01769"/>
    <s v="30 de enero de 2019"/>
    <n v="30"/>
    <x v="26"/>
    <s v="3.000,00"/>
    <e v="#NAME?"/>
  </r>
  <r>
    <n v="1770"/>
    <m/>
    <x v="0"/>
    <d v="2019-01-30T00:00:00"/>
    <n v="2200"/>
    <s v="Familia Ferrer Bahri"/>
    <s v="bahrimariela@hotmail.com"/>
    <s v="Calle Güigüe Nro. 89-83"/>
    <s v="Vigilancia: Cancelación saldo mes de Enero 2019"/>
    <x v="0"/>
    <m/>
    <s v="01770"/>
    <s v="30 de enero de 2019"/>
    <n v="30"/>
    <x v="26"/>
    <s v="2.200,00"/>
    <e v="#NAME?"/>
  </r>
  <r>
    <n v="1771"/>
    <m/>
    <x v="0"/>
    <d v="2019-01-30T00:00:00"/>
    <n v="2000"/>
    <s v="Familia Castro Jiménez"/>
    <s v="aurycastrojimenez@gmail.com"/>
    <s v="Calle Guacara Nro. 90-51"/>
    <s v="Vigilancia: Cancelación saldo mes de Enero 2019"/>
    <x v="0"/>
    <m/>
    <s v="01771"/>
    <s v="30 de enero de 2019"/>
    <n v="30"/>
    <x v="26"/>
    <s v="2.000,00"/>
    <e v="#NAME?"/>
  </r>
  <r>
    <n v="1772"/>
    <m/>
    <x v="0"/>
    <d v="2019-01-30T00:00:00"/>
    <n v="3800"/>
    <s v="Familia Abbinante Pinto"/>
    <s v="abbinante47@gmail.com"/>
    <s v="Calle Güigüe Nro. 89-120"/>
    <s v="Cancelación Vigilancia, meses de Diciembre 2018 y Enero 2019"/>
    <x v="0"/>
    <m/>
    <s v="01772"/>
    <s v="30 de enero de 2019"/>
    <n v="30"/>
    <x v="26"/>
    <s v="3.800,00"/>
    <e v="#NAME?"/>
  </r>
  <r>
    <n v="1773"/>
    <m/>
    <x v="0"/>
    <d v="2019-01-30T00:00:00"/>
    <n v="3000"/>
    <s v="Sra. Reina Meléndez"/>
    <s v="olgajipe@gmail.com"/>
    <s v="Av. &quot;M&quot; Nro. 145-10"/>
    <s v="Cancelación Vigilancia, mes de Enero 2019"/>
    <x v="0"/>
    <m/>
    <s v="01773"/>
    <s v="30 de enero de 2019"/>
    <n v="30"/>
    <x v="26"/>
    <s v="3.000,00"/>
    <e v="#NAME?"/>
  </r>
  <r>
    <n v="1774"/>
    <m/>
    <x v="0"/>
    <d v="2019-01-30T00:00:00"/>
    <n v="3000"/>
    <s v="Familia Díaz González"/>
    <s v="luisrdt57@gmail.com"/>
    <s v="Calle Güigüe Nro. 88-116"/>
    <s v="Cancelación Vigilancia, mes de Enero 2019"/>
    <x v="0"/>
    <m/>
    <s v="01774"/>
    <s v="30 de enero de 2019"/>
    <n v="30"/>
    <x v="26"/>
    <s v="3.000,00"/>
    <e v="#NAME?"/>
  </r>
  <r>
    <n v="1775"/>
    <m/>
    <x v="0"/>
    <d v="2019-01-31T00:00:00"/>
    <n v="3000"/>
    <s v="Familia Calzadilla Trujillo"/>
    <s v="calzadilla40@hotmail.com"/>
    <s v="Av. &quot;M&quot; Nro. 146-30"/>
    <s v="Cancelación Vigilancia, mes de Enero 2019"/>
    <x v="0"/>
    <m/>
    <s v="01775"/>
    <s v="31 de enero de 2019"/>
    <n v="31"/>
    <x v="26"/>
    <s v="3.000,00"/>
    <e v="#NAME?"/>
  </r>
  <r>
    <n v="1776"/>
    <m/>
    <x v="0"/>
    <d v="2019-01-31T00:00:00"/>
    <n v="3190"/>
    <s v="Colegio El Trigal"/>
    <s v="En Físico"/>
    <s v="Calle Güigüe Nros. 88-71 y 88-81"/>
    <s v="Vigilancia: Cancelación saldo mes de Enero 2019"/>
    <x v="0"/>
    <m/>
    <s v="01776"/>
    <s v="31 de enero de 2019"/>
    <n v="31"/>
    <x v="26"/>
    <s v="3.190,00"/>
    <e v="#NAME?"/>
  </r>
  <r>
    <n v="1777"/>
    <m/>
    <x v="0"/>
    <d v="2019-01-31T00:00:00"/>
    <n v="1500"/>
    <s v="Familia Hatem Medina"/>
    <s v="hhatem1@hotmail.com"/>
    <s v="Calle Guacara Nro. 88-51"/>
    <s v="Vigilancia: Cancelación saldo mes de Enero y anticipo mes de Febrero 2019"/>
    <x v="0"/>
    <m/>
    <s v="01777"/>
    <s v="31 de enero de 2019"/>
    <n v="31"/>
    <x v="26"/>
    <s v="1.500,00"/>
    <e v="#NAME?"/>
  </r>
  <r>
    <n v="1778"/>
    <m/>
    <x v="0"/>
    <d v="2019-01-31T00:00:00"/>
    <n v="2200"/>
    <s v="Beatriz Lara"/>
    <s v="valentina.gutierrez@hotmail.com"/>
    <s v="Calle Guacara Nro. 89-130"/>
    <s v="Vigilancia: Cancelación saldo mes de Enero 2019"/>
    <x v="0"/>
    <m/>
    <s v="01778"/>
    <s v="31 de enero de 2019"/>
    <n v="31"/>
    <x v="26"/>
    <s v="2.200,00"/>
    <e v="#NAME?"/>
  </r>
  <r>
    <n v="1779"/>
    <m/>
    <x v="0"/>
    <d v="2019-01-31T00:00:00"/>
    <n v="2200"/>
    <s v="Familia Rodríguez Aular"/>
    <s v="mvaular@hotmail.com"/>
    <s v="Calle Güigüe Nro. 88-58"/>
    <s v="Vigilancia: Cancelación saldo mes de Enero 2019"/>
    <x v="0"/>
    <m/>
    <s v="01779"/>
    <s v="31 de enero de 2019"/>
    <n v="31"/>
    <x v="26"/>
    <s v="2.200,00"/>
    <e v="#NAME?"/>
  </r>
  <r>
    <n v="1780"/>
    <m/>
    <x v="0"/>
    <d v="2019-01-31T00:00:00"/>
    <n v="3000"/>
    <s v="Familia Barreto Pérez"/>
    <s v="bbetsa19@hotmail.com"/>
    <s v="Av. &quot;M&quot; Nro. 146-15"/>
    <s v="Cancelación Vigilancia, mes de Enero 2019"/>
    <x v="0"/>
    <m/>
    <s v="01780"/>
    <s v="31 de enero de 2019"/>
    <n v="31"/>
    <x v="26"/>
    <s v="3.000,00"/>
    <e v="#NAME?"/>
  </r>
  <r>
    <n v="1781"/>
    <m/>
    <x v="0"/>
    <d v="2019-02-01T00:00:00"/>
    <n v="2200"/>
    <s v="Familia Zavarce Pérez"/>
    <s v="En Físico"/>
    <s v="Calle Guacara Nro. 90-35"/>
    <s v="Vigilancia: Cancelación saldo mes de Enero 2019"/>
    <x v="0"/>
    <m/>
    <s v="01781"/>
    <s v="01 de febrero de 2019"/>
    <n v="1"/>
    <x v="27"/>
    <s v="2.200,00"/>
    <e v="#NAME?"/>
  </r>
  <r>
    <n v="1782"/>
    <m/>
    <x v="0"/>
    <d v="2019-01-21T00:00:00"/>
    <n v="5200"/>
    <s v="Familia González Arévalo"/>
    <s v="feryenis@hotmail.com"/>
    <s v="Calle Guacara Nro. 89-86"/>
    <s v="Vigilancia: Cancelación saldo mes de Enero y mes de Febrero 2019"/>
    <x v="0"/>
    <m/>
    <s v="01782"/>
    <s v="21 de enero de 2019"/>
    <n v="21"/>
    <x v="26"/>
    <s v="5.200,00"/>
    <e v="#NAME?"/>
  </r>
  <r>
    <n v="1783"/>
    <m/>
    <x v="0"/>
    <d v="2019-01-30T00:00:00"/>
    <n v="1425"/>
    <s v="Familia Fermín Rivas"/>
    <s v="angelferminb@gmail.com"/>
    <s v="Calle Güigüe Nro. 89-55"/>
    <s v="Vigilancia: Anticipo mes de Febrero 2019 (contra factura)"/>
    <x v="0"/>
    <m/>
    <s v="01783"/>
    <s v="30 de enero de 2019"/>
    <n v="30"/>
    <x v="26"/>
    <s v="1.425,00"/>
    <e v="#NAME?"/>
  </r>
  <r>
    <n v="1784"/>
    <m/>
    <x v="0"/>
    <d v="2019-02-02T00:00:00"/>
    <n v="4000"/>
    <s v="Familia Durvelle Serrano"/>
    <s v="sdurvelle@hotmail.com"/>
    <s v="Calle Guacara Nro. 89-60"/>
    <s v="Cancelación Vigilancia, mes de Febrero 2019"/>
    <x v="0"/>
    <m/>
    <s v="01784"/>
    <s v="02 de febrero de 2019"/>
    <n v="2"/>
    <x v="27"/>
    <s v="4.000,00"/>
    <e v="#NAME?"/>
  </r>
  <r>
    <n v="1785"/>
    <m/>
    <x v="0"/>
    <d v="2019-02-04T00:00:00"/>
    <n v="800"/>
    <s v="Familia Flores Montagne"/>
    <s v="martaflores@gmail.com"/>
    <s v="Av. &quot;M&quot; Nro. 146-20"/>
    <s v="Cancelación Vigilancia, mes de Diciembre 2018"/>
    <x v="0"/>
    <m/>
    <s v="01785"/>
    <s v="04 de febrero de 2019"/>
    <n v="4"/>
    <x v="27"/>
    <s v="800,00"/>
    <e v="#NAME?"/>
  </r>
  <r>
    <n v="1786"/>
    <m/>
    <x v="0"/>
    <d v="2019-02-04T00:00:00"/>
    <n v="5200"/>
    <s v="Familia Piñero Padilla"/>
    <s v="achepaul2005@hotmail.com"/>
    <s v="Calle Güigüe Nro. 89-21"/>
    <s v="Vigilancia: Cancelación saldo mes de Enero y mes de Febrero 2019"/>
    <x v="0"/>
    <m/>
    <s v="01786"/>
    <s v="04 de febrero de 2019"/>
    <n v="4"/>
    <x v="27"/>
    <s v="5.200,00"/>
    <e v="#NAME?"/>
  </r>
  <r>
    <n v="1787"/>
    <m/>
    <x v="0"/>
    <d v="2019-02-04T00:00:00"/>
    <n v="3000"/>
    <s v="Familia Zavarce Barón"/>
    <s v="alexanderzavarce@gmail.com"/>
    <s v="Calle Guacara Nro. 88-91"/>
    <s v="Cancelación Vigilancia, mes de Enero 2019"/>
    <x v="0"/>
    <m/>
    <s v="01787"/>
    <s v="04 de febrero de 2019"/>
    <n v="4"/>
    <x v="27"/>
    <s v="3.000,00"/>
    <e v="#NAME?"/>
  </r>
  <r>
    <n v="1788"/>
    <m/>
    <x v="0"/>
    <d v="2019-02-04T00:00:00"/>
    <n v="300"/>
    <s v="Familia Loponte Arteaga"/>
    <s v="En Físico"/>
    <s v="Calle Güigüe Nro. 88-120"/>
    <s v="Vigilancia: Anticipo mes de Febrero 2019"/>
    <x v="0"/>
    <m/>
    <s v="01788"/>
    <s v="04 de febrero de 2019"/>
    <n v="4"/>
    <x v="27"/>
    <s v="300,00"/>
    <e v="#NAME?"/>
  </r>
  <r>
    <n v="1789"/>
    <m/>
    <x v="0"/>
    <d v="2019-02-04T00:00:00"/>
    <n v="5700"/>
    <s v="Familia Loponte Arteaga"/>
    <s v="En Físico"/>
    <s v="Calle Güigüe Nro. 88-120"/>
    <s v="Vigilancia: Cancelación saldo meses de Enero y Febrero y anticipo mes de Marzo 2019"/>
    <x v="0"/>
    <m/>
    <s v="01789"/>
    <s v="04 de febrero de 2019"/>
    <n v="4"/>
    <x v="27"/>
    <s v="5.700,00"/>
    <e v="#NAME?"/>
  </r>
  <r>
    <n v="1790"/>
    <m/>
    <x v="0"/>
    <d v="2019-02-07T00:00:00"/>
    <n v="600"/>
    <s v="Familia Méndez Parra"/>
    <s v="briceidademendez@gmail.com"/>
    <s v="Calle Guacara Nro. 88-19"/>
    <s v="Colaboración Vigilancia, mes de Enero 2019"/>
    <x v="0"/>
    <m/>
    <s v="01790"/>
    <s v="07 de febrero de 2019"/>
    <n v="7"/>
    <x v="27"/>
    <s v="600,00"/>
    <e v="#NAME?"/>
  </r>
  <r>
    <n v="1791"/>
    <m/>
    <x v="0"/>
    <d v="2019-02-04T00:00:00"/>
    <n v="3000"/>
    <s v="Familia Colosso Delgado"/>
    <s v="mcolosso@gmail.com"/>
    <s v="Calle Güigüe Nro. 88-44"/>
    <s v="Cancelación Vigilancia, mes de Febrero 2019"/>
    <x v="0"/>
    <m/>
    <s v="01791"/>
    <s v="04 de febrero de 2019"/>
    <n v="4"/>
    <x v="27"/>
    <s v="3.000,00"/>
    <e v="#NAME?"/>
  </r>
  <r>
    <n v="1792"/>
    <m/>
    <x v="0"/>
    <d v="2019-02-06T00:00:00"/>
    <n v="3000"/>
    <s v="Familia Matta Palomino"/>
    <s v="En Físico"/>
    <s v="Calle Güigüe Nro. 88-90"/>
    <s v="Cancelación Vigilancia, mes de Enero 2019"/>
    <x v="0"/>
    <m/>
    <s v="01792"/>
    <s v="06 de febrero de 2019"/>
    <n v="6"/>
    <x v="27"/>
    <s v="3.000,00"/>
    <e v="#NAME?"/>
  </r>
  <r>
    <n v="1793"/>
    <m/>
    <x v="0"/>
    <d v="2019-02-06T00:00:00"/>
    <n v="3000"/>
    <s v="Carmen Moreno"/>
    <s v="carmenemoreno10@gmail.com"/>
    <s v="Calle Güigüe Nro. 89-04"/>
    <s v="Cancelación Vigilancia, mes de Febrero 2019"/>
    <x v="0"/>
    <m/>
    <s v="01793"/>
    <s v="06 de febrero de 2019"/>
    <n v="6"/>
    <x v="27"/>
    <s v="3.000,00"/>
    <e v="#NAME?"/>
  </r>
  <r>
    <n v="1794"/>
    <m/>
    <x v="0"/>
    <d v="2019-02-06T00:00:00"/>
    <n v="300"/>
    <s v="Familia Chávez Hernández"/>
    <s v="mercedesch23@hotmail.com"/>
    <s v="Calle Güigüe Nro. 88-20"/>
    <s v="Colaboración Vigilancia, mes de Enero 2019"/>
    <x v="0"/>
    <m/>
    <s v="01794"/>
    <s v="06 de febrero de 2019"/>
    <n v="6"/>
    <x v="27"/>
    <s v="300,00"/>
    <e v="#NAME?"/>
  </r>
  <r>
    <n v="1795"/>
    <m/>
    <x v="0"/>
    <d v="2019-02-06T00:00:00"/>
    <n v="2300"/>
    <s v="Familia Méndez Parra"/>
    <s v="briceidademendez@gmail.com"/>
    <s v="Calle Guacara Nro. 88-19"/>
    <s v="Colaboración Vigilancia, mes de Febrero 2019"/>
    <x v="0"/>
    <m/>
    <s v="01795"/>
    <s v="06 de febrero de 2019"/>
    <n v="6"/>
    <x v="27"/>
    <s v="2.300,00"/>
    <e v="#NAME?"/>
  </r>
  <r>
    <n v="1796"/>
    <m/>
    <x v="0"/>
    <d v="2019-02-06T00:00:00"/>
    <n v="320"/>
    <s v="Familia Gascón Domínguez"/>
    <s v="vrgascon@gmail.com"/>
    <s v="Calle Güigüe Nro. 88-70"/>
    <s v="Cancelación Vigilancia, mes de Noviembre 2018"/>
    <x v="0"/>
    <m/>
    <s v="01796"/>
    <s v="06 de febrero de 2019"/>
    <n v="6"/>
    <x v="27"/>
    <s v="320,00"/>
    <e v="#NAME?"/>
  </r>
  <r>
    <n v="1797"/>
    <m/>
    <x v="0"/>
    <d v="2019-02-07T00:00:00"/>
    <n v="5200"/>
    <s v="Ely Saúl Rivero Gómez"/>
    <s v="hhs.admon@gmail.com"/>
    <s v="Av. &quot;Ñ&quot; Nro. 145-25"/>
    <s v="Vigilancia: Cancelación saldo mes de Enero y mes de Febrero 2019 (saldo a favor: Bs. 31.352,00)"/>
    <x v="0"/>
    <m/>
    <s v="01797"/>
    <s v="07 de febrero de 2019"/>
    <n v="7"/>
    <x v="27"/>
    <s v="5.200,00"/>
    <e v="#NAME?"/>
  </r>
  <r>
    <n v="1798"/>
    <m/>
    <x v="0"/>
    <d v="2019-02-08T00:00:00"/>
    <n v="3000"/>
    <s v="Familia Milanés Carmona"/>
    <s v="yndira11m@gmail.com"/>
    <s v="Calle Güigüe Nro. 89-65"/>
    <s v="Cancelación Vigilancia, mes de Febrero 2019"/>
    <x v="0"/>
    <m/>
    <s v="01798"/>
    <s v="08 de febrero de 2019"/>
    <n v="8"/>
    <x v="27"/>
    <s v="3.000,00"/>
    <e v="#NAME?"/>
  </r>
  <r>
    <n v="1799"/>
    <m/>
    <x v="0"/>
    <d v="2019-02-09T00:00:00"/>
    <n v="3000"/>
    <s v="Familia Guerra Miret"/>
    <s v="antoniojguerrag@hotmail.com"/>
    <s v="Calle Güigüe Nro. 89-40"/>
    <s v="Cancelación Vigilancia, mes de Febrero 2019"/>
    <x v="0"/>
    <m/>
    <s v="01799"/>
    <s v="09 de febrero de 2019"/>
    <n v="9"/>
    <x v="27"/>
    <s v="3.000,00"/>
    <e v="#NAME?"/>
  </r>
  <r>
    <n v="1800"/>
    <m/>
    <x v="0"/>
    <d v="2019-02-09T00:00:00"/>
    <n v="1500"/>
    <s v="Gloria Molina"/>
    <s v="glomola2@yahoo.es"/>
    <s v="Calle Güigüe Nro. 89-71"/>
    <s v="Colaboración Vigilancia, mes de Enero 2019"/>
    <x v="0"/>
    <m/>
    <s v="01800"/>
    <s v="09 de febrero de 2019"/>
    <n v="9"/>
    <x v="27"/>
    <s v="1.500,00"/>
    <e v="#NAME?"/>
  </r>
  <r>
    <n v="1801"/>
    <m/>
    <x v="0"/>
    <d v="2019-02-09T00:00:00"/>
    <n v="3000"/>
    <s v="Chin Chun Ya (Goya)"/>
    <s v="uc2721@gmail.com"/>
    <s v="Calle Guacara Nro. 87-86"/>
    <s v="Cancelación Vigilancia, mes de Febrero 2019"/>
    <x v="0"/>
    <m/>
    <s v="01801"/>
    <s v="09 de febrero de 2019"/>
    <n v="9"/>
    <x v="27"/>
    <s v="3.000,00"/>
    <e v="#NAME?"/>
  </r>
  <r>
    <n v="1802"/>
    <m/>
    <x v="0"/>
    <d v="2019-02-09T00:00:00"/>
    <n v="3000"/>
    <s v="Familia Lomeña Agudo"/>
    <s v="claudialomena@hotmail.com"/>
    <s v="Calle Guacara Nro. 89-30"/>
    <s v="Cancelación Vigilancia, mes de Febrero 2019"/>
    <x v="0"/>
    <m/>
    <s v="01802"/>
    <s v="09 de febrero de 2019"/>
    <n v="9"/>
    <x v="27"/>
    <s v="3.000,00"/>
    <e v="#NAME?"/>
  </r>
  <r>
    <n v="1803"/>
    <m/>
    <x v="0"/>
    <d v="2019-02-09T00:00:00"/>
    <n v="3000"/>
    <s v="Familia Machado Stoppa"/>
    <s v="machadoru@hotmail.com"/>
    <s v="Calle Guacara Nro. 88-85"/>
    <s v="Cancelación Vigilancia, mes de Febrero 2019"/>
    <x v="0"/>
    <m/>
    <s v="01803"/>
    <s v="09 de febrero de 2019"/>
    <n v="9"/>
    <x v="27"/>
    <s v="3.000,00"/>
    <e v="#NAME?"/>
  </r>
  <r>
    <n v="1804"/>
    <m/>
    <x v="0"/>
    <d v="2019-02-09T00:00:00"/>
    <n v="3000"/>
    <s v="Familia Arcia Polanco"/>
    <s v="misipo29@gmail.com"/>
    <s v="Calle Guacara Nro. 89-20"/>
    <s v="Cancelación Vigilancia, mes de Febrero 2019"/>
    <x v="0"/>
    <m/>
    <s v="01804"/>
    <s v="09 de febrero de 2019"/>
    <n v="9"/>
    <x v="27"/>
    <s v="3.000,00"/>
    <e v="#NAME?"/>
  </r>
  <r>
    <n v="1805"/>
    <m/>
    <x v="0"/>
    <d v="2019-02-11T00:00:00"/>
    <n v="3000"/>
    <s v="Sra. Reina Meléndez"/>
    <s v="olgajipe@gmail.com"/>
    <s v="Av. &quot;M&quot; Nro. 145-10"/>
    <s v="Cancelación Vigilancia, mes de Febrero 2019"/>
    <x v="0"/>
    <m/>
    <s v="01805"/>
    <s v="11 de febrero de 2019"/>
    <n v="11"/>
    <x v="27"/>
    <s v="3.000,00"/>
    <e v="#NAME?"/>
  </r>
  <r>
    <n v="1806"/>
    <m/>
    <x v="0"/>
    <d v="2019-02-12T00:00:00"/>
    <n v="6000"/>
    <s v="Anahiz Seijas"/>
    <s v="anahiz_2@hotmail.es"/>
    <s v="Calle Güigüe Nro. 89-106"/>
    <s v="Cancelación Vigilancia, meses de Enero y Febrero 2019"/>
    <x v="0"/>
    <m/>
    <s v="01806"/>
    <s v="12 de febrero de 2019"/>
    <n v="12"/>
    <x v="27"/>
    <s v="6.000,00"/>
    <e v="#NAME?"/>
  </r>
  <r>
    <n v="1807"/>
    <m/>
    <x v="0"/>
    <d v="2019-02-13T00:00:00"/>
    <n v="5200"/>
    <s v="Familia Delgado Hidalgo"/>
    <s v="ardh@hotmail.com"/>
    <s v="Calle Güigüe Nro. 88-10"/>
    <s v="Vigilancia: Cancelación saldo mes de Enero y mes de Febrero 2019"/>
    <x v="0"/>
    <m/>
    <s v="01807"/>
    <s v="13 de febrero de 2019"/>
    <n v="13"/>
    <x v="27"/>
    <s v="5.200,00"/>
    <e v="#NAME?"/>
  </r>
  <r>
    <n v="1808"/>
    <m/>
    <x v="0"/>
    <d v="2019-02-13T00:00:00"/>
    <n v="3000"/>
    <s v="Familia Del Negro Palermo"/>
    <s v="vdelnegro@gmail.com"/>
    <s v="Calle Guacara Nro. 88-45"/>
    <s v="Vigilancia: Cancelación saldo mes de Febrero 2019 (saldo a favor: Bs. 3.862,95)"/>
    <x v="0"/>
    <m/>
    <s v="01808"/>
    <s v="13 de febrero de 2019"/>
    <n v="13"/>
    <x v="27"/>
    <s v="3.000,00"/>
    <e v="#NAME?"/>
  </r>
  <r>
    <n v="1809"/>
    <m/>
    <x v="0"/>
    <d v="2019-02-14T00:00:00"/>
    <n v="2200"/>
    <s v="Familia Loponte Arteaga"/>
    <s v="En Físico"/>
    <s v="Calle Güigüe Nro. 88-120"/>
    <s v="Vigilancia: Cancelación saldo mes de Marzo 2019"/>
    <x v="0"/>
    <m/>
    <s v="01809"/>
    <s v="14 de febrero de 2019"/>
    <n v="14"/>
    <x v="27"/>
    <s v="2.200,00"/>
    <e v="#NAME?"/>
  </r>
  <r>
    <n v="1810"/>
    <m/>
    <x v="0"/>
    <d v="2019-02-14T00:00:00"/>
    <n v="3000"/>
    <s v="Victoria Francischiello"/>
    <s v="victoriafrancischiello@hotmail.com"/>
    <s v="Calle Guacara Nro. 88-25"/>
    <s v="Cancelación Vigilancia, mes de Enero 2019"/>
    <x v="0"/>
    <m/>
    <s v="01810"/>
    <s v="14 de febrero de 2019"/>
    <n v="14"/>
    <x v="27"/>
    <s v="3.000,00"/>
    <e v="#NAME?"/>
  </r>
  <r>
    <n v="1811"/>
    <m/>
    <x v="0"/>
    <d v="2019-02-14T00:00:00"/>
    <n v="3000"/>
    <s v="Familia Wu Acevedo"/>
    <s v="rudyacevedo90@gmail.com"/>
    <s v="Calle Guacara Nro. 88-A-10"/>
    <s v="Cancelación Vigilancia, mes de Febrero 2019 (saldo a favor: Bs. 14.005,80)"/>
    <x v="0"/>
    <m/>
    <s v="01811"/>
    <s v="14 de febrero de 2019"/>
    <n v="14"/>
    <x v="27"/>
    <s v="3.000,00"/>
    <e v="#NAME?"/>
  </r>
  <r>
    <n v="1812"/>
    <m/>
    <x v="0"/>
    <d v="2019-02-13T00:00:00"/>
    <n v="1500"/>
    <s v="Familia Sirit Palencia"/>
    <s v="irasirit@gmail.com"/>
    <s v="Calle Güigüe Nro. 89-35"/>
    <s v="Colaboración Vigilancia, mes de Febrero 2019"/>
    <x v="0"/>
    <m/>
    <s v="01812"/>
    <s v="13 de febrero de 2019"/>
    <n v="13"/>
    <x v="27"/>
    <s v="1.500,00"/>
    <e v="#NAME?"/>
  </r>
  <r>
    <n v="1813"/>
    <m/>
    <x v="0"/>
    <d v="2019-02-15T00:00:00"/>
    <n v="3000"/>
    <s v="Familia Rodríguez Aular"/>
    <s v="mvaular@hotmail.com"/>
    <s v="Calle Güigüe Nro. 88-58"/>
    <s v="Cancelación Vigilancia, mes de Febrero 2019"/>
    <x v="0"/>
    <m/>
    <s v="01813"/>
    <s v="15 de febrero de 2019"/>
    <n v="15"/>
    <x v="27"/>
    <s v="3.000,00"/>
    <e v="#NAME?"/>
  </r>
  <r>
    <n v="1814"/>
    <m/>
    <x v="0"/>
    <d v="2019-02-17T00:00:00"/>
    <n v="3000"/>
    <s v="Dra. Lilia Magallanes"/>
    <s v="liliamagallanes2010@gmail.com"/>
    <s v="Calle Güigüe Nro. 88-51"/>
    <s v="Cancelación Vigilancia, mes de Febrero 2019"/>
    <x v="0"/>
    <m/>
    <s v="01814"/>
    <s v="17 de febrero de 2019"/>
    <n v="17"/>
    <x v="27"/>
    <s v="3.000,00"/>
    <e v="#NAME?"/>
  </r>
  <r>
    <n v="1815"/>
    <m/>
    <x v="1"/>
    <d v="2019-02-17T00:00:00"/>
    <n v="3000"/>
    <s v="Familia Il Grande Franceschi"/>
    <s v="arcifran75@hotmail.com"/>
    <s v="Av. &quot;I&quot; Nro. 146-40"/>
    <s v="ANULADO; Cancelación Vigilancia, mes de Febrero 2019"/>
    <x v="3"/>
    <m/>
    <s v="01815"/>
    <s v="17 de febrero de 2019"/>
    <n v="17"/>
    <x v="27"/>
    <s v="3.000,00"/>
    <e v="#NAME?"/>
  </r>
  <r>
    <n v="1816"/>
    <m/>
    <x v="0"/>
    <d v="2019-02-18T00:00:00"/>
    <n v="3000"/>
    <s v="Familia Castro Jiménez"/>
    <s v="aurycastrojimenez@gmail.com"/>
    <s v="Calle Guacara Nro. 90-51"/>
    <s v="Cancelación Vigilancia, mes de Febrero 2019"/>
    <x v="0"/>
    <m/>
    <s v="01816"/>
    <s v="18 de febrero de 2019"/>
    <n v="18"/>
    <x v="27"/>
    <s v="3.000,00"/>
    <e v="#NAME?"/>
  </r>
  <r>
    <n v="1817"/>
    <m/>
    <x v="0"/>
    <d v="2019-02-19T00:00:00"/>
    <n v="1575"/>
    <s v="Familia Fermín Rivas"/>
    <s v="angelferminb@gmail.com"/>
    <s v="Calle Güigüe Nro. 89-55"/>
    <s v="Vigilancia: Cancelación saldo mes de Febrero 2019"/>
    <x v="0"/>
    <m/>
    <s v="01817"/>
    <s v="19 de febrero de 2019"/>
    <n v="19"/>
    <x v="27"/>
    <s v="1.575,00"/>
    <e v="#NAME?"/>
  </r>
  <r>
    <n v="1818"/>
    <m/>
    <x v="0"/>
    <d v="2019-02-20T00:00:00"/>
    <n v="3000"/>
    <s v="Familia Costermani Terrer"/>
    <s v="claudiacostermani@hotmail.com"/>
    <s v="Calle Güigüe Nro. 88-11"/>
    <s v="Cancelación Vigilancia, mes de Febrero 2019"/>
    <x v="0"/>
    <m/>
    <s v="01818"/>
    <s v="20 de febrero de 2019"/>
    <n v="20"/>
    <x v="27"/>
    <s v="3.000,00"/>
    <e v="#NAME?"/>
  </r>
  <r>
    <n v="1819"/>
    <m/>
    <x v="0"/>
    <d v="2019-02-22T00:00:00"/>
    <n v="600"/>
    <s v="Familia Rodríguez Landaeta"/>
    <s v="mrl58@hotmail.com"/>
    <s v="Calle Güigüe Nro. 89-29"/>
    <s v="Colaboración Vigilancia, mes de Enero 2019"/>
    <x v="0"/>
    <m/>
    <s v="01819"/>
    <s v="22 de febrero de 2019"/>
    <n v="22"/>
    <x v="27"/>
    <s v="600,00"/>
    <e v="#NAME?"/>
  </r>
  <r>
    <n v="1820"/>
    <m/>
    <x v="0"/>
    <d v="2019-02-22T00:00:00"/>
    <n v="3000"/>
    <s v="Héctor Hernández"/>
    <s v="eof64@hotmail.com"/>
    <s v="Calle Guacara Nro. 89-94"/>
    <s v="Cancelación Vigilancia, mes de Febrero 2019"/>
    <x v="0"/>
    <m/>
    <s v="01820"/>
    <s v="22 de febrero de 2019"/>
    <n v="22"/>
    <x v="27"/>
    <s v="3.000,00"/>
    <e v="#NAME?"/>
  </r>
  <r>
    <n v="1821"/>
    <m/>
    <x v="0"/>
    <d v="2019-02-24T00:00:00"/>
    <n v="3000"/>
    <s v="Familia Puerta Burguillos"/>
    <s v="namaricakes@gmail.com"/>
    <s v="Calle Guacara Nro. 87-100"/>
    <s v="Cancelación Vigilancia, mes de Marzo 2019"/>
    <x v="0"/>
    <m/>
    <s v="01821"/>
    <s v="24 de febrero de 2019"/>
    <n v="24"/>
    <x v="27"/>
    <s v="3.000,00"/>
    <e v="#NAME?"/>
  </r>
  <r>
    <n v="1822"/>
    <m/>
    <x v="0"/>
    <d v="2019-02-25T00:00:00"/>
    <n v="6000"/>
    <s v="Familia Ozar Rivero"/>
    <s v="vanessarivero81@hotmail.com"/>
    <s v="Calle Güigüe Nro. 88-06"/>
    <s v="Vigilancia: Cancelación saldo mes de Enero, mes de Febrero y anticipo mes de Marzo 2019"/>
    <x v="0"/>
    <m/>
    <s v="01822"/>
    <s v="25 de febrero de 2019"/>
    <n v="25"/>
    <x v="27"/>
    <s v="6.000,00"/>
    <e v="#NAME?"/>
  </r>
  <r>
    <n v="1823"/>
    <m/>
    <x v="0"/>
    <d v="2019-02-25T00:00:00"/>
    <n v="3000"/>
    <s v="Familia Kablan Sarmiento"/>
    <s v="norisjsb56@hotmail.com"/>
    <s v="Calle Güigüe Nro. 89-80"/>
    <s v="Cancelación Vigilancia, mes de Febrero 2019"/>
    <x v="0"/>
    <m/>
    <s v="01823"/>
    <s v="25 de febrero de 2019"/>
    <n v="25"/>
    <x v="27"/>
    <s v="3.000,00"/>
    <e v="#NAME?"/>
  </r>
  <r>
    <n v="1824"/>
    <m/>
    <x v="0"/>
    <d v="2019-02-25T00:00:00"/>
    <n v="3000"/>
    <s v="Familia Zavarce Pérez"/>
    <s v="En Físico"/>
    <s v="Calle Guacara Nro. 90-35"/>
    <s v="Cancelación Vigilancia, mes de Febrero 2019"/>
    <x v="0"/>
    <m/>
    <s v="01824"/>
    <s v="25 de febrero de 2019"/>
    <n v="25"/>
    <x v="27"/>
    <s v="3.000,00"/>
    <e v="#NAME?"/>
  </r>
  <r>
    <n v="1825"/>
    <m/>
    <x v="0"/>
    <d v="2019-02-25T00:00:00"/>
    <n v="3000"/>
    <s v="Familia Díaz González"/>
    <s v="luisrdt57@gmail.com"/>
    <s v="Calle Güigüe Nro. 88-116"/>
    <s v="Cancelación Vigilancia, mes de Febrero 2019"/>
    <x v="0"/>
    <m/>
    <s v="01825"/>
    <s v="25 de febrero de 2019"/>
    <n v="25"/>
    <x v="27"/>
    <s v="3.000,00"/>
    <e v="#NAME?"/>
  </r>
  <r>
    <n v="1826"/>
    <m/>
    <x v="0"/>
    <d v="2019-02-25T00:00:00"/>
    <n v="3000"/>
    <s v="Amparo Acosta"/>
    <s v="amparonatividad@hotmail.com"/>
    <s v="Calle Guacara Nro. 88-65"/>
    <s v="Cancelación Vigilancia, mes de Febrero 2019"/>
    <x v="0"/>
    <m/>
    <s v="01826"/>
    <s v="25 de febrero de 2019"/>
    <n v="25"/>
    <x v="27"/>
    <s v="3.000,00"/>
    <e v="#NAME?"/>
  </r>
  <r>
    <n v="1827"/>
    <m/>
    <x v="0"/>
    <d v="2019-02-25T00:00:00"/>
    <n v="3000"/>
    <s v="Familia Montilla García"/>
    <s v="dairy252525@hotmail.com"/>
    <s v="Calle Güigüe Nro. 89-90"/>
    <s v="Cancelación Vigilancia, mes de Febrero 2019"/>
    <x v="0"/>
    <m/>
    <s v="01827"/>
    <s v="25 de febrero de 2019"/>
    <n v="25"/>
    <x v="27"/>
    <s v="3.000,00"/>
    <e v="#NAME?"/>
  </r>
  <r>
    <n v="1828"/>
    <m/>
    <x v="0"/>
    <d v="2019-02-25T00:00:00"/>
    <n v="1500"/>
    <s v="Familia Rodríguez Landaeta"/>
    <s v="mrl58@hotmail.com"/>
    <s v="Calle Güigüe Nro. 89-29"/>
    <s v="Colaboración Vigilancia, mes de Febrero 2019"/>
    <x v="0"/>
    <m/>
    <s v="01828"/>
    <s v="25 de febrero de 2019"/>
    <n v="25"/>
    <x v="27"/>
    <s v="1.500,00"/>
    <e v="#NAME?"/>
  </r>
  <r>
    <n v="1829"/>
    <m/>
    <x v="0"/>
    <d v="2019-02-26T00:00:00"/>
    <n v="3000"/>
    <s v="Familia Gascón Domínguez"/>
    <s v="vrgascon@gmail.com"/>
    <s v="Calle Güigüe Nro. 88-70"/>
    <s v="Cancelación Vigilancia, mes de Febrero 2019"/>
    <x v="0"/>
    <m/>
    <s v="01829"/>
    <s v="26 de febrero de 2019"/>
    <n v="26"/>
    <x v="27"/>
    <s v="3.000,00"/>
    <e v="#NAME?"/>
  </r>
  <r>
    <n v="1830"/>
    <m/>
    <x v="0"/>
    <d v="2019-02-17T00:00:00"/>
    <n v="3000"/>
    <s v="Familia Franco Gómez"/>
    <s v="eof64@hotmail.com"/>
    <s v="Calle Guacara Nro. 87-07"/>
    <s v="Cancelación Vigilancia, mes de Febrero 2019"/>
    <x v="0"/>
    <m/>
    <s v="01830"/>
    <s v="17 de febrero de 2019"/>
    <n v="17"/>
    <x v="27"/>
    <s v="3.000,00"/>
    <e v="#NAME?"/>
  </r>
  <r>
    <n v="1831"/>
    <m/>
    <x v="0"/>
    <d v="2019-02-26T00:00:00"/>
    <n v="3000"/>
    <s v="Familia Navarrete Medina"/>
    <s v="juanin1919@yahoo.com"/>
    <s v="Calle Güigüe Nro. 89-22"/>
    <s v="Cancelación Vigilancia, mes de Febrero 2019"/>
    <x v="0"/>
    <m/>
    <s v="01831"/>
    <s v="26 de febrero de 2019"/>
    <n v="26"/>
    <x v="27"/>
    <s v="3.000,00"/>
    <e v="#NAME?"/>
  </r>
  <r>
    <n v="1832"/>
    <m/>
    <x v="0"/>
    <d v="2019-02-27T00:00:00"/>
    <n v="3000"/>
    <s v="Familia Manrique Riera"/>
    <s v="patriciamanrique@gmail.com"/>
    <s v="Calle Guacara Nro. 89-40"/>
    <s v="Cancelación Vigilancia, mes de Febrero 2019"/>
    <x v="0"/>
    <m/>
    <s v="01832"/>
    <s v="27 de febrero de 2019"/>
    <n v="27"/>
    <x v="27"/>
    <s v="3.000,00"/>
    <e v="#NAME?"/>
  </r>
  <r>
    <n v="1833"/>
    <m/>
    <x v="0"/>
    <d v="2019-02-26T00:00:00"/>
    <n v="3000"/>
    <s v="Familia Zavarce Barón"/>
    <s v="alexanderzavarce@gmail.com"/>
    <s v="Calle Guacara Nro. 88-91"/>
    <s v="Cancelación Vigilancia, mes de Febrero 2019"/>
    <x v="0"/>
    <m/>
    <s v="01833"/>
    <s v="26 de febrero de 2019"/>
    <n v="26"/>
    <x v="27"/>
    <s v="3.000,00"/>
    <e v="#NAME?"/>
  </r>
  <r>
    <n v="1834"/>
    <m/>
    <x v="0"/>
    <d v="2019-02-27T00:00:00"/>
    <n v="3000"/>
    <s v="Familia Guerra Miret"/>
    <s v="antoniojguerrag@hotmail.com"/>
    <s v="Calle Güigüe Nro. 89-40"/>
    <s v="Cancelación Vigilancia, mes de Marzo 2019"/>
    <x v="0"/>
    <m/>
    <s v="01834"/>
    <s v="27 de febrero de 2019"/>
    <n v="27"/>
    <x v="27"/>
    <s v="3.000,00"/>
    <e v="#NAME?"/>
  </r>
  <r>
    <n v="1835"/>
    <m/>
    <x v="0"/>
    <d v="2019-02-27T00:00:00"/>
    <n v="6000"/>
    <s v="Familia Durvelle Serrano"/>
    <s v="sdurvelle@hotmail.com"/>
    <s v="Calle Guacara Nro. 89-60"/>
    <s v="Cancelación Vigilancia, mes de Marzo 2019 y aporte especial"/>
    <x v="0"/>
    <m/>
    <s v="01835"/>
    <s v="27 de febrero de 2019"/>
    <n v="27"/>
    <x v="27"/>
    <s v="6.000,00"/>
    <e v="#NAME?"/>
  </r>
  <r>
    <n v="1836"/>
    <m/>
    <x v="0"/>
    <d v="2019-02-27T00:00:00"/>
    <n v="6000"/>
    <s v="Familia Narváez Caldera"/>
    <s v="jeannette_nc@yahoo.com"/>
    <s v="Calle Güigüe Nro. 87-A-11"/>
    <s v="Cancelación Vigilancia, meses de Febrero y Marzo 2019"/>
    <x v="0"/>
    <m/>
    <s v="01836"/>
    <s v="27 de febrero de 2019"/>
    <n v="27"/>
    <x v="27"/>
    <s v="6.000,00"/>
    <e v="#NAME?"/>
  </r>
  <r>
    <n v="1837"/>
    <m/>
    <x v="0"/>
    <d v="2019-02-27T00:00:00"/>
    <n v="3000"/>
    <s v="Familia Matta Palomino"/>
    <s v="En Físico"/>
    <s v="Calle Güigüe Nro. 88-90"/>
    <s v="Cancelación Vigilancia, mes de Febrero 2019"/>
    <x v="0"/>
    <m/>
    <s v="01837"/>
    <s v="27 de febrero de 2019"/>
    <n v="27"/>
    <x v="27"/>
    <s v="3.000,00"/>
    <e v="#NAME?"/>
  </r>
  <r>
    <n v="1838"/>
    <m/>
    <x v="0"/>
    <d v="2019-02-27T00:00:00"/>
    <n v="5000"/>
    <s v="Wu Hung Fung"/>
    <s v="carolinahung24@gmail.com"/>
    <s v="Calle Guacara Nro. 90-81"/>
    <s v="Cancelación Vigilancia, mes de Febrero 2019 y aporte especial"/>
    <x v="0"/>
    <m/>
    <s v="01838"/>
    <s v="27 de febrero de 2019"/>
    <n v="27"/>
    <x v="27"/>
    <s v="5.000,00"/>
    <e v="#NAME?"/>
  </r>
  <r>
    <n v="1839"/>
    <m/>
    <x v="0"/>
    <d v="2019-02-27T00:00:00"/>
    <n v="9000"/>
    <s v="Familia Hatem Medina"/>
    <s v="hhatem1@hotmail.com"/>
    <s v="Calle Guacara Nro. 88-51"/>
    <s v="Cancelación Vigilancia, meses de Febrero, Marzo y Abril 2019"/>
    <x v="0"/>
    <m/>
    <s v="01839"/>
    <s v="27 de febrero de 2019"/>
    <n v="27"/>
    <x v="27"/>
    <s v="9.000,00"/>
    <e v="#NAME?"/>
  </r>
  <r>
    <n v="1840"/>
    <m/>
    <x v="0"/>
    <d v="2019-02-27T00:00:00"/>
    <n v="4000"/>
    <s v="Familia Martínez Boada"/>
    <s v="florcitakmz@gmail.com"/>
    <s v="Calle Güigüe Nro. 88-62"/>
    <s v="Colaboración Vigilancia, meses de Enero y Febrero 2019"/>
    <x v="0"/>
    <m/>
    <s v="01840"/>
    <s v="27 de febrero de 2019"/>
    <n v="27"/>
    <x v="27"/>
    <s v="4.000,00"/>
    <e v="#NAME?"/>
  </r>
  <r>
    <n v="1841"/>
    <m/>
    <x v="0"/>
    <d v="2019-02-27T00:00:00"/>
    <n v="3000"/>
    <s v="Familia Castillo Mena"/>
    <s v="emmecas@hotmail.com"/>
    <s v="Calle Güigüe Nro. 88-101"/>
    <s v="Cancelación Vigilancia, mes de Febrero 2019"/>
    <x v="0"/>
    <m/>
    <s v="01841"/>
    <s v="27 de febrero de 2019"/>
    <n v="27"/>
    <x v="27"/>
    <s v="3.000,00"/>
    <e v="#NAME?"/>
  </r>
  <r>
    <n v="1842"/>
    <m/>
    <x v="0"/>
    <d v="2019-02-27T00:00:00"/>
    <n v="3000"/>
    <s v="Beatriz Lara"/>
    <s v="valentina.gutierrez@hotmail.com"/>
    <s v="Calle Guacara Nro. 89-130"/>
    <s v="Cancelación Vigilancia, mes de Febrero 2019"/>
    <x v="0"/>
    <m/>
    <s v="01842"/>
    <s v="27 de febrero de 2019"/>
    <n v="27"/>
    <x v="27"/>
    <s v="3.000,00"/>
    <e v="#NAME?"/>
  </r>
  <r>
    <n v="1843"/>
    <m/>
    <x v="0"/>
    <d v="2019-02-27T00:00:00"/>
    <n v="3000"/>
    <s v="Familia Scabuzzo Gómez"/>
    <s v="sfscabuzzo@msn.com"/>
    <s v="Av. &quot;I&quot; Nro. 146-20"/>
    <s v="Cancelación Vigilancia, mes de Febrero 2019"/>
    <x v="0"/>
    <m/>
    <s v="01843"/>
    <s v="27 de febrero de 2019"/>
    <n v="27"/>
    <x v="27"/>
    <s v="3.000,00"/>
    <e v="#NAME?"/>
  </r>
  <r>
    <n v="1844"/>
    <m/>
    <x v="0"/>
    <d v="2019-02-27T00:00:00"/>
    <n v="6000"/>
    <s v="Familia Kattar González"/>
    <s v="jagiak123@yahoo.es"/>
    <s v="Calle Güigüe Nro. 89-95"/>
    <s v="Cancelación Vigilancia, meses de Febrero y Marzo 2019"/>
    <x v="0"/>
    <m/>
    <s v="01844"/>
    <s v="27 de febrero de 2019"/>
    <n v="27"/>
    <x v="27"/>
    <s v="6.000,00"/>
    <e v="#NAME?"/>
  </r>
  <r>
    <n v="1845"/>
    <m/>
    <x v="0"/>
    <d v="2019-02-27T00:00:00"/>
    <n v="6000"/>
    <s v="Familia Ferrer Bahri"/>
    <s v="bahrimariela@hotmail.com"/>
    <s v="Calle Güigüe Nro. 89-83"/>
    <s v="Cancelación Vigilancia, mes de Marzo 2019"/>
    <x v="0"/>
    <m/>
    <s v="01845"/>
    <s v="27 de febrero de 2019"/>
    <n v="27"/>
    <x v="27"/>
    <s v="6.000,00"/>
    <e v="#NAME?"/>
  </r>
  <r>
    <n v="1846"/>
    <m/>
    <x v="0"/>
    <d v="2019-02-27T00:00:00"/>
    <n v="3000"/>
    <s v="Amarilis Guerra"/>
    <s v="amarilisguerra1@yahoo.com"/>
    <s v="Calle Güigüe Nro. 89-96"/>
    <s v="Cancelación Vigilancia, mes de Febrero 2019"/>
    <x v="0"/>
    <m/>
    <s v="01846"/>
    <s v="27 de febrero de 2019"/>
    <n v="27"/>
    <x v="27"/>
    <s v="3.000,00"/>
    <e v="#NAME?"/>
  </r>
  <r>
    <n v="1847"/>
    <m/>
    <x v="0"/>
    <d v="2019-02-27T00:00:00"/>
    <n v="3000"/>
    <s v="Familia Nava Gordon"/>
    <s v="maru_19_66@hotmail.com"/>
    <s v="Calle Guacara Nro. 89-78"/>
    <s v="Cancelación Vigilancia, mes de Febrero 2019"/>
    <x v="0"/>
    <m/>
    <s v="01847"/>
    <s v="27 de febrero de 2019"/>
    <n v="27"/>
    <x v="27"/>
    <s v="3.000,00"/>
    <e v="#NAME?"/>
  </r>
  <r>
    <n v="1848"/>
    <m/>
    <x v="0"/>
    <d v="2019-02-04T00:00:00"/>
    <n v="3000"/>
    <s v="Familia Ferrer Bahri"/>
    <s v="bahrimariela@hotmail.com"/>
    <s v="Calle Güigüe Nro. 89-83"/>
    <s v="Cancelación Vigilancia, mes de Febrero 2019"/>
    <x v="0"/>
    <m/>
    <s v="01848"/>
    <s v="04 de febrero de 2019"/>
    <n v="4"/>
    <x v="27"/>
    <s v="3.000,00"/>
    <e v="#NAME?"/>
  </r>
  <r>
    <n v="1849"/>
    <m/>
    <x v="0"/>
    <d v="2019-02-28T00:00:00"/>
    <n v="6000"/>
    <s v="Familia Ochoa Mendoza"/>
    <s v="marisoljudithm@hotmail.com"/>
    <s v="Calle Guacara Nro. 89-130"/>
    <s v="Cancelación Vigilancia, meses de Febrero y Marzo 2019"/>
    <x v="0"/>
    <m/>
    <s v="01849"/>
    <s v="28 de febrero de 2019"/>
    <n v="28"/>
    <x v="27"/>
    <s v="6.000,00"/>
    <e v="#NAME?"/>
  </r>
  <r>
    <n v="1850"/>
    <m/>
    <x v="0"/>
    <d v="2019-02-28T00:00:00"/>
    <n v="8000"/>
    <s v="Wilson Escamilla"/>
    <s v="wilsonescamilla45@gmail.com"/>
    <s v="Calle Güigüe Nro. 89-89"/>
    <s v="Vigilancia: Aporte saldo mes de Enero y cancelación meses de Febrero y Marzo 2019"/>
    <x v="0"/>
    <m/>
    <s v="01850"/>
    <s v="28 de febrero de 2019"/>
    <n v="28"/>
    <x v="27"/>
    <s v="8.000,00"/>
    <e v="#NAME?"/>
  </r>
  <r>
    <n v="1851"/>
    <m/>
    <x v="0"/>
    <d v="2019-02-28T00:00:00"/>
    <n v="3000"/>
    <s v="Familia Franco Gómez"/>
    <s v="eof64@hotmail.com"/>
    <s v="Calle Guacara Nro. 87-07"/>
    <s v="Cancelación Vigilancia, mes de Marzo 2019"/>
    <x v="0"/>
    <m/>
    <s v="01851"/>
    <s v="28 de febrero de 2019"/>
    <n v="28"/>
    <x v="27"/>
    <s v="3.000,00"/>
    <e v="#NAME?"/>
  </r>
  <r>
    <n v="1852"/>
    <m/>
    <x v="0"/>
    <d v="2019-02-28T00:00:00"/>
    <n v="3000"/>
    <s v="Héctor Hernández"/>
    <s v="eof64@hotmail.com"/>
    <s v="Calle Guacara Nro. 89-94"/>
    <s v="Cancelación Vigilancia, mes de Marzo 2019"/>
    <x v="0"/>
    <m/>
    <s v="01852"/>
    <s v="28 de febrero de 2019"/>
    <n v="28"/>
    <x v="27"/>
    <s v="3.000,00"/>
    <e v="#NAME?"/>
  </r>
  <r>
    <n v="1853"/>
    <m/>
    <x v="0"/>
    <d v="2019-03-01T00:00:00"/>
    <n v="3000"/>
    <s v="Familia Barreto Pérez"/>
    <s v="bbetsa19@hotmail.com"/>
    <s v="Av. &quot;M&quot; Nro. 146-15"/>
    <s v="Cancelación Vigilancia, mes de Febrero 2019"/>
    <x v="0"/>
    <m/>
    <s v="01853"/>
    <s v="01 de marzo de 2019"/>
    <n v="1"/>
    <x v="28"/>
    <s v="3.000,00"/>
    <e v="#NAME?"/>
  </r>
  <r>
    <n v="1854"/>
    <m/>
    <x v="0"/>
    <d v="2019-03-06T00:00:00"/>
    <n v="3000"/>
    <s v="Familia Arcia Polanco"/>
    <s v="misipo29@gmail.com"/>
    <s v="Calle Guacara Nro. 89-20"/>
    <s v="Cancelación Vigilancia, mes de Marzo 2019"/>
    <x v="0"/>
    <m/>
    <s v="01854"/>
    <s v="06 de marzo de 2019"/>
    <n v="6"/>
    <x v="28"/>
    <s v="3.000,00"/>
    <e v="#NAME?"/>
  </r>
  <r>
    <n v="1855"/>
    <m/>
    <x v="0"/>
    <d v="2019-03-06T00:00:00"/>
    <n v="4500"/>
    <s v="Familia Lomeña Agudo"/>
    <s v="claudialomena@hotmail.com"/>
    <s v="Calle Guacara Nro. 89-30"/>
    <s v="Cancelación Vigilancia, mes de Marzo 2019"/>
    <x v="0"/>
    <m/>
    <s v="01855"/>
    <s v="06 de marzo de 2019"/>
    <n v="6"/>
    <x v="28"/>
    <s v="4.500,00"/>
    <e v="#NAME?"/>
  </r>
  <r>
    <n v="1856"/>
    <m/>
    <x v="0"/>
    <d v="2019-03-06T00:00:00"/>
    <n v="3000"/>
    <s v="Familia Puerta Burguillos"/>
    <s v="namaricakes@gmail.com"/>
    <s v="Calle Guacara Nro. 87-100"/>
    <s v="Cancelación Vigilancia, mes de Abril 2019"/>
    <x v="0"/>
    <m/>
    <s v="01856"/>
    <s v="06 de marzo de 2019"/>
    <n v="6"/>
    <x v="28"/>
    <s v="3.000,00"/>
    <e v="#NAME?"/>
  </r>
  <r>
    <n v="1857"/>
    <m/>
    <x v="0"/>
    <d v="2019-03-06T00:00:00"/>
    <n v="3000"/>
    <s v="Familia Milanés Carmona"/>
    <s v="yndira11m@gmail.com"/>
    <s v="Calle Güigüe Nro. 89-65"/>
    <s v="Cancelación Vigilancia, mes de Marzo 2019"/>
    <x v="0"/>
    <m/>
    <s v="01857"/>
    <s v="06 de marzo de 2019"/>
    <n v="6"/>
    <x v="28"/>
    <s v="3.000,00"/>
    <e v="#NAME?"/>
  </r>
  <r>
    <n v="1858"/>
    <m/>
    <x v="0"/>
    <d v="2019-03-06T00:00:00"/>
    <n v="3000"/>
    <s v="Familia Jiménez Navarro"/>
    <s v="joyasonline2012@gmail.com"/>
    <s v="Calle Güigüe Nro. 88-50"/>
    <s v="Cancelación Vigilancia, mes de Febrero 2019"/>
    <x v="0"/>
    <m/>
    <s v="01858"/>
    <s v="06 de marzo de 2019"/>
    <n v="6"/>
    <x v="28"/>
    <s v="3.000,00"/>
    <e v="#NAME?"/>
  </r>
  <r>
    <n v="1859"/>
    <m/>
    <x v="0"/>
    <d v="2019-03-06T00:00:00"/>
    <n v="3000"/>
    <s v="Victoria Francischiello"/>
    <s v="victoriafrancischiello@hotmail.com"/>
    <s v="Calle Guacara Nro. 88-25"/>
    <s v="Cancelación Vigilancia, mes de Febrero 2019"/>
    <x v="0"/>
    <m/>
    <s v="01859"/>
    <s v="06 de marzo de 2019"/>
    <n v="6"/>
    <x v="28"/>
    <s v="3.000,00"/>
    <e v="#NAME?"/>
  </r>
  <r>
    <n v="1860"/>
    <m/>
    <x v="0"/>
    <d v="2019-03-07T00:00:00"/>
    <n v="3000"/>
    <s v="Familia Machado Stoppa"/>
    <s v="machadoru@hotmail.com"/>
    <s v="Calle Guacara Nro. 88-85"/>
    <s v="Cancelación Vigilancia, mes de Marzo 2019"/>
    <x v="0"/>
    <m/>
    <s v="01860"/>
    <s v="07 de marzo de 2019"/>
    <n v="7"/>
    <x v="28"/>
    <s v="3.000,00"/>
    <e v="#NAME?"/>
  </r>
  <r>
    <n v="1861"/>
    <m/>
    <x v="0"/>
    <d v="2019-02-27T00:00:00"/>
    <n v="3000"/>
    <s v="Familia Abbinante Pinto"/>
    <s v="abbinante47@gmail.com"/>
    <s v="Calle Güigüe Nro. 89-120"/>
    <s v="Cancelación Vigilancia, mes de Febrero 2019"/>
    <x v="0"/>
    <m/>
    <s v="01861"/>
    <s v="27 de febrero de 2019"/>
    <n v="27"/>
    <x v="27"/>
    <s v="3.000,00"/>
    <e v="#NAME?"/>
  </r>
  <r>
    <n v="1862"/>
    <m/>
    <x v="0"/>
    <d v="2019-03-07T00:00:00"/>
    <n v="3000"/>
    <s v="Carmen Moreno"/>
    <s v="carmenemoreno10@gmail.com"/>
    <s v="Calle Güigüe Nro. 89-04"/>
    <s v="Cancelación Vigilancia, mes de Marzo 2019"/>
    <x v="0"/>
    <m/>
    <s v="01862"/>
    <s v="07 de marzo de 2019"/>
    <n v="7"/>
    <x v="28"/>
    <s v="3.000,00"/>
    <e v="#NAME?"/>
  </r>
  <r>
    <n v="1863"/>
    <m/>
    <x v="0"/>
    <d v="2019-03-07T00:00:00"/>
    <n v="3000"/>
    <s v="Familia Castro Jiménez"/>
    <s v="aurycastrojimenez@gmail.com"/>
    <s v="Calle Guacara Nro. 90-51"/>
    <s v="Cancelación Vigilancia, mes de Marzo 2019"/>
    <x v="0"/>
    <m/>
    <s v="01863"/>
    <s v="07 de marzo de 2019"/>
    <n v="7"/>
    <x v="28"/>
    <s v="3.000,00"/>
    <e v="#NAME?"/>
  </r>
  <r>
    <n v="1864"/>
    <m/>
    <x v="0"/>
    <d v="2019-03-08T00:00:00"/>
    <n v="1500"/>
    <s v="Gloria Molina"/>
    <s v="glomola2@yahoo.es"/>
    <s v="Calle Güigüe Nro. 89-71"/>
    <s v="Colaboración Vigilancia, mes de Febrero 2019"/>
    <x v="0"/>
    <m/>
    <s v="01864"/>
    <s v="08 de marzo de 2019"/>
    <n v="8"/>
    <x v="28"/>
    <s v="1.500,00"/>
    <e v="#NAME?"/>
  </r>
  <r>
    <n v="1865"/>
    <m/>
    <x v="0"/>
    <d v="2019-03-11T00:00:00"/>
    <n v="3000"/>
    <s v="Chin Chun Ya (Goya)"/>
    <s v="uc2721@gmail.com"/>
    <s v="Calle Guacara Nro. 87-86"/>
    <s v="Cancelación Vigilancia, mes de Marzo 2019"/>
    <x v="0"/>
    <m/>
    <s v="01865"/>
    <s v="11 de marzo de 2019"/>
    <n v="11"/>
    <x v="28"/>
    <s v="3.000,00"/>
    <e v="#NAME?"/>
  </r>
  <r>
    <n v="1866"/>
    <m/>
    <x v="0"/>
    <d v="2019-03-09T00:00:00"/>
    <n v="3000"/>
    <s v="Familia Montilla García"/>
    <s v="dairy252525@hotmail.com"/>
    <s v="Calle Güigüe Nro. 89-90"/>
    <s v="Cancelación Vigilancia, mes de Marzo 2019"/>
    <x v="0"/>
    <m/>
    <s v="01866"/>
    <s v="09 de marzo de 2019"/>
    <n v="9"/>
    <x v="28"/>
    <s v="3.000,00"/>
    <e v="#NAME?"/>
  </r>
  <r>
    <n v="1867"/>
    <m/>
    <x v="0"/>
    <d v="2019-03-11T00:00:00"/>
    <n v="6000"/>
    <s v="Familia González Arévalo"/>
    <s v="feryenis@hotmail.com"/>
    <s v="Calle Guacara Nro. 89-86"/>
    <s v="Cancelación Vigilancia, meses de Marzo y Abril 2019"/>
    <x v="0"/>
    <m/>
    <s v="01867"/>
    <s v="11 de marzo de 2019"/>
    <n v="11"/>
    <x v="28"/>
    <s v="6.000,00"/>
    <e v="#NAME?"/>
  </r>
  <r>
    <n v="1868"/>
    <m/>
    <x v="0"/>
    <d v="2019-03-11T00:00:00"/>
    <n v="3000"/>
    <s v="Familia Colosso Delgado"/>
    <s v="mcolosso@gmail.com"/>
    <s v="Calle Güigüe Nro. 88-44"/>
    <s v="Cancelación Vigilancia, mes de Marzo 2019"/>
    <x v="0"/>
    <m/>
    <s v="01868"/>
    <s v="11 de marzo de 2019"/>
    <n v="11"/>
    <x v="28"/>
    <s v="3.000,00"/>
    <e v="#NAME?"/>
  </r>
  <r>
    <n v="1869"/>
    <m/>
    <x v="0"/>
    <d v="2019-03-12T00:00:00"/>
    <n v="9000"/>
    <s v="Familia López Hermoso"/>
    <s v="lopez.humberto14@yahoo.com.ve"/>
    <s v="Calle Güigüe Nro. 89-79"/>
    <s v="Cancelación Vigilancia, meses de Enero, Febrero y Marzo 2018 (saldo a favor: Bs. 11.000,00)"/>
    <x v="0"/>
    <m/>
    <s v="01869"/>
    <s v="12 de marzo de 2019"/>
    <n v="12"/>
    <x v="28"/>
    <s v="9.000,00"/>
    <e v="#NAME?"/>
  </r>
  <r>
    <n v="1870"/>
    <m/>
    <x v="0"/>
    <d v="2019-03-12T00:00:00"/>
    <n v="3000"/>
    <s v="Familia Del Negro Palermo"/>
    <s v="vdelnegro@gmail.com"/>
    <s v="Calle Guacara Nro. 88-45"/>
    <s v="Cancelación Vigilancia, mes de Marzo 2019 (saldo a favor: Bs. 862,95)"/>
    <x v="0"/>
    <m/>
    <s v="01870"/>
    <s v="12 de marzo de 2019"/>
    <n v="12"/>
    <x v="28"/>
    <s v="3.000,00"/>
    <e v="#NAME?"/>
  </r>
  <r>
    <n v="1871"/>
    <m/>
    <x v="0"/>
    <d v="2019-03-12T00:00:00"/>
    <n v="3000"/>
    <s v="Familia Wu Acevedo"/>
    <s v="rudyacevedo90@gmail.com"/>
    <s v="Calle Guacara Nro. 88-A-10"/>
    <s v="Cancelación Vigilancia, mes de Marzo 2019 (saldo a favor: Bs. 11.005,80)"/>
    <x v="0"/>
    <m/>
    <s v="01871"/>
    <s v="12 de marzo de 2019"/>
    <n v="12"/>
    <x v="28"/>
    <s v="3.000,00"/>
    <e v="#NAME?"/>
  </r>
  <r>
    <n v="1872"/>
    <m/>
    <x v="0"/>
    <d v="2019-03-12T00:00:00"/>
    <n v="3000"/>
    <s v="Ely Saúl Rivero Gómez"/>
    <s v="hhs.admon@gmail.com"/>
    <s v="Av. &quot;Ñ&quot; Nro. 145-25"/>
    <s v="Cancelación Vigilancia, mes de Marzo 2019 (saldo a favor: Bs. 28.352,00)"/>
    <x v="0"/>
    <m/>
    <s v="01872"/>
    <s v="12 de marzo de 2019"/>
    <n v="12"/>
    <x v="28"/>
    <s v="3.000,00"/>
    <e v="#NAME?"/>
  </r>
  <r>
    <n v="1873"/>
    <m/>
    <x v="0"/>
    <d v="2019-03-12T00:00:00"/>
    <n v="3500"/>
    <s v="Familia Navarro Assing"/>
    <s v="liliaassing@gmail.com"/>
    <s v="Calle Güigüe Nro. 88-54"/>
    <s v="Vigilancia: Cancelación mes de Marzo y anticipo Abril 2019"/>
    <x v="0"/>
    <m/>
    <s v="01873"/>
    <s v="12 de marzo de 2019"/>
    <n v="12"/>
    <x v="28"/>
    <s v="3.500,00"/>
    <e v="#NAME?"/>
  </r>
  <r>
    <n v="1874"/>
    <m/>
    <x v="0"/>
    <d v="2019-03-13T00:00:00"/>
    <n v="3000"/>
    <s v="Familia Kablan Sarmiento"/>
    <s v="norisjsb56@hotmail.com"/>
    <s v="Calle Güigüe Nro. 89-80"/>
    <s v="Cancelación Vigilancia, mes de Marzo 2019"/>
    <x v="0"/>
    <m/>
    <s v="01874"/>
    <s v="13 de marzo de 2019"/>
    <n v="13"/>
    <x v="28"/>
    <s v="3.000,00"/>
    <e v="#NAME?"/>
  </r>
  <r>
    <n v="1875"/>
    <m/>
    <x v="0"/>
    <d v="2019-03-13T00:00:00"/>
    <n v="3000"/>
    <s v="Familia Fermín Rivas"/>
    <s v="angelferminb@gmail.com"/>
    <s v="Calle Güigüe Nro. 89-55"/>
    <s v="Cancelación Vigilancia, mes de Marzo 2019"/>
    <x v="0"/>
    <m/>
    <s v="01875"/>
    <s v="13 de marzo de 2019"/>
    <n v="13"/>
    <x v="28"/>
    <s v="3.000,00"/>
    <e v="#NAME?"/>
  </r>
  <r>
    <n v="1876"/>
    <m/>
    <x v="0"/>
    <d v="2019-03-13T00:00:00"/>
    <n v="3000"/>
    <s v="Familia Castillo Mena"/>
    <s v="emmecas@hotmail.com"/>
    <s v="Calle Güigüe Nro. 88-101"/>
    <s v="Cancelación Vigilancia, mes de Marzo 2019"/>
    <x v="0"/>
    <m/>
    <s v="01876"/>
    <s v="13 de marzo de 2019"/>
    <n v="13"/>
    <x v="28"/>
    <s v="3.000,00"/>
    <e v="#NAME?"/>
  </r>
  <r>
    <n v="1877"/>
    <m/>
    <x v="0"/>
    <d v="2019-03-14T00:00:00"/>
    <n v="6000"/>
    <s v="Anahiz Seijas"/>
    <s v="anahiz_2@hotmail.es"/>
    <s v="Calle Güigüe Nro. 89-106"/>
    <s v="Cancelación Vigilancia, meses de Marzo y Abril 2019"/>
    <x v="0"/>
    <m/>
    <s v="01877"/>
    <s v="14 de marzo de 2019"/>
    <n v="14"/>
    <x v="28"/>
    <s v="6.000,00"/>
    <e v="#NAME?"/>
  </r>
  <r>
    <n v="1878"/>
    <m/>
    <x v="0"/>
    <d v="2019-03-14T00:00:00"/>
    <n v="3000"/>
    <s v="Amparo Acosta"/>
    <s v="amparonatividad@hotmail.com"/>
    <s v="Calle Guacara Nro. 88-65"/>
    <s v="Cancelación Vigilancia, mes de Marzo 2019"/>
    <x v="0"/>
    <m/>
    <s v="01878"/>
    <s v="14 de marzo de 2019"/>
    <n v="14"/>
    <x v="28"/>
    <s v="3.000,00"/>
    <e v="#NAME?"/>
  </r>
  <r>
    <n v="1879"/>
    <m/>
    <x v="0"/>
    <d v="2019-03-15T00:00:00"/>
    <n v="4756"/>
    <s v="Zoraida Khair"/>
    <s v="zorakhair@hotmail.com"/>
    <s v="Calle Güigüe Nro. 88-80"/>
    <s v="Vigilancia: Cancelación meses de Septiembre, Octubre, Noviembre y Diciembre 2018 y Enero 2019 (saldo a favor Bs. 1.345,55)"/>
    <x v="0"/>
    <m/>
    <s v="01879"/>
    <s v="15 de marzo de 2019"/>
    <n v="15"/>
    <x v="28"/>
    <s v="4.756,00"/>
    <e v="#NAME?"/>
  </r>
  <r>
    <n v="1880"/>
    <m/>
    <x v="0"/>
    <d v="2019-03-15T00:00:00"/>
    <n v="3000"/>
    <s v="Familia Rodríguez Aular"/>
    <s v="mvaular@hotmail.com"/>
    <s v="Calle Güigüe Nro. 88-58"/>
    <s v="Cancelación Vigilancia, mes de Marzo 2019"/>
    <x v="0"/>
    <m/>
    <s v="01880"/>
    <s v="15 de marzo de 2019"/>
    <n v="15"/>
    <x v="28"/>
    <s v="3.000,00"/>
    <e v="#NAME?"/>
  </r>
  <r>
    <n v="1881"/>
    <m/>
    <x v="0"/>
    <d v="2019-03-15T00:00:00"/>
    <n v="6000"/>
    <s v="Familia Loponte Arteaga"/>
    <s v="En Físico"/>
    <s v="Calle Güigüe Nro. 88-120"/>
    <s v="Cancelación Vigilancia, meses de Abril y Mayo 2019"/>
    <x v="0"/>
    <m/>
    <s v="01881"/>
    <s v="15 de marzo de 2019"/>
    <n v="15"/>
    <x v="28"/>
    <s v="6.000,00"/>
    <e v="#NAME?"/>
  </r>
  <r>
    <n v="1882"/>
    <m/>
    <x v="0"/>
    <d v="2019-03-18T00:00:00"/>
    <n v="3000"/>
    <s v="Familia Nava Gordon"/>
    <s v="maru_19_66@hotmail.com"/>
    <s v="Calle Guacara Nro. 89-78"/>
    <s v="Cancelación Vigilancia, mes de Marzo 2019"/>
    <x v="0"/>
    <m/>
    <s v="01882"/>
    <s v="18 de marzo de 2019"/>
    <n v="18"/>
    <x v="28"/>
    <s v="3.000,00"/>
    <e v="#NAME?"/>
  </r>
  <r>
    <n v="1883"/>
    <m/>
    <x v="0"/>
    <d v="2019-03-19T00:00:00"/>
    <n v="8700"/>
    <s v="Colegio El Trigal"/>
    <s v="En Físico"/>
    <s v="Calle Güigüe Nros. 88-71 y 88-81"/>
    <s v="Cancelación Vigilancia, meses de Febrero y Marzo 2019"/>
    <x v="0"/>
    <m/>
    <s v="01883"/>
    <s v="19 de marzo de 2019"/>
    <n v="19"/>
    <x v="28"/>
    <s v="8.700,00"/>
    <e v="#NAME?"/>
  </r>
  <r>
    <n v="1884"/>
    <m/>
    <x v="0"/>
    <d v="2019-02-16T00:00:00"/>
    <n v="3000"/>
    <s v="Familia Navarro Assing"/>
    <s v="liliaassing@gmail.com"/>
    <s v="Calle Güigüe Nro. 88-54"/>
    <s v="Cancelación Vigilancia, mes de Febrero 2019"/>
    <x v="0"/>
    <m/>
    <s v="01884"/>
    <s v="16 de febrero de 2019"/>
    <n v="16"/>
    <x v="27"/>
    <s v="3.000,00"/>
    <e v="#NAME?"/>
  </r>
  <r>
    <n v="1885"/>
    <m/>
    <x v="0"/>
    <d v="2018-12-21T00:00:00"/>
    <n v="800"/>
    <s v="Familia Romero"/>
    <s v="autoescuela21@gmail.com"/>
    <s v="Calle Guacara Nro. 89-50"/>
    <s v="Cancelación Vigilancia, mes de Diciembre 2018"/>
    <x v="0"/>
    <m/>
    <s v="01885"/>
    <s v="21 de diciembre de 2018"/>
    <n v="21"/>
    <x v="25"/>
    <s v="800,00"/>
    <e v="#NAME?"/>
  </r>
  <r>
    <n v="1886"/>
    <m/>
    <x v="0"/>
    <d v="2019-03-20T00:00:00"/>
    <n v="3000"/>
    <s v="Amarilis Guerra"/>
    <s v="amarilisguerra1@yahoo.com"/>
    <s v="Calle Güigüe Nro. 89-96"/>
    <s v="Cancelación Vigilancia, mes de Marzo 2019"/>
    <x v="0"/>
    <m/>
    <s v="01886"/>
    <s v="20 de marzo de 2019"/>
    <n v="20"/>
    <x v="28"/>
    <s v="3.000,00"/>
    <e v="#NAME?"/>
  </r>
  <r>
    <n v="1887"/>
    <m/>
    <x v="0"/>
    <d v="2019-03-14T00:00:00"/>
    <n v="5000"/>
    <s v="Familia Alonso Rojas"/>
    <s v="redjc01@gmail.com"/>
    <s v="Calle Güigüe Nro. 89-54"/>
    <s v="Vigilancia: Cancelación saldo mes de Enero y anticipo mes de Febrero 2019"/>
    <x v="0"/>
    <m/>
    <s v="01887"/>
    <s v="14 de marzo de 2019"/>
    <n v="14"/>
    <x v="28"/>
    <s v="5.000,00"/>
    <e v="#NAME?"/>
  </r>
  <r>
    <n v="1888"/>
    <m/>
    <x v="0"/>
    <d v="2019-03-21T00:00:00"/>
    <n v="3150"/>
    <s v="Familia Alonso Rojas"/>
    <s v="redjc01@gmail.com"/>
    <s v="Calle Güigüe Nro. 89-54"/>
    <s v="Vigilancia: Cancelación saldo mes de Febrero y cancelación mes de Marzo 2019"/>
    <x v="0"/>
    <m/>
    <s v="01888"/>
    <s v="21 de marzo de 2019"/>
    <n v="21"/>
    <x v="28"/>
    <s v="3.150,00"/>
    <e v="#NAME?"/>
  </r>
  <r>
    <n v="1889"/>
    <m/>
    <x v="0"/>
    <d v="2019-03-21T00:00:00"/>
    <n v="3000"/>
    <s v="Familia Costermani Terrer"/>
    <s v="claudiacostermani@hotmail.com"/>
    <s v="Calle Güigüe Nro. 88-11"/>
    <s v="Cancelación Vigilancia, mes de Marzo 2019"/>
    <x v="0"/>
    <m/>
    <s v="01889"/>
    <s v="21 de marzo de 2019"/>
    <n v="21"/>
    <x v="28"/>
    <s v="3.000,00"/>
    <e v="#NAME?"/>
  </r>
  <r>
    <n v="1890"/>
    <m/>
    <x v="0"/>
    <d v="2019-03-22T00:00:00"/>
    <n v="3000"/>
    <s v="Beatriz Lara"/>
    <s v="valentina.gutierrez@hotmail.com"/>
    <s v="Calle Guacara Nro. 89-130"/>
    <s v="Cancelación Vigilancia, mes de Marzo 2019"/>
    <x v="0"/>
    <m/>
    <s v="01890"/>
    <s v="22 de marzo de 2019"/>
    <n v="22"/>
    <x v="28"/>
    <s v="3.000,00"/>
    <e v="#NAME?"/>
  </r>
  <r>
    <n v="1891"/>
    <m/>
    <x v="0"/>
    <d v="2019-03-23T00:00:00"/>
    <n v="3000"/>
    <s v="Familia Delgado Hidalgo"/>
    <s v="ardh@hotmail.com"/>
    <s v="Calle Güigüe Nro. 88-10"/>
    <s v="Cancelación Vigilancia, mes de Marzo 2019"/>
    <x v="0"/>
    <m/>
    <s v="01891"/>
    <s v="23 de marzo de 2019"/>
    <n v="23"/>
    <x v="28"/>
    <s v="3.000,00"/>
    <e v="#NAME?"/>
  </r>
  <r>
    <n v="1892"/>
    <m/>
    <x v="0"/>
    <d v="2019-03-28T00:00:00"/>
    <n v="3000"/>
    <s v="Dra. Lilia Magallanes"/>
    <s v="liliamagallanes2010@gmail.com"/>
    <s v="Calle Güigüe Nro. 88-51"/>
    <s v="Cancelación Vigilancia, mes de Marzo 2019"/>
    <x v="0"/>
    <m/>
    <s v="01892"/>
    <s v="28 de marzo de 2019"/>
    <n v="28"/>
    <x v="28"/>
    <s v="3.000,00"/>
    <e v="#NAME?"/>
  </r>
  <r>
    <n v="1893"/>
    <m/>
    <x v="0"/>
    <d v="2019-03-28T00:00:00"/>
    <n v="3000"/>
    <s v="Victoria Francischiello"/>
    <s v="victoriafrancischiello@hotmail.com"/>
    <s v="Calle Guacara Nro. 88-25"/>
    <s v="Cancelación Vigilancia, mes de Marzo 2019"/>
    <x v="0"/>
    <m/>
    <s v="01893"/>
    <s v="28 de marzo de 2019"/>
    <n v="28"/>
    <x v="28"/>
    <s v="3.000,00"/>
    <e v="#NAME?"/>
  </r>
  <r>
    <n v="1894"/>
    <m/>
    <x v="0"/>
    <d v="2019-03-30T00:00:00"/>
    <n v="3000"/>
    <s v="Sra. Reina Meléndez"/>
    <s v="olgajipe@gmail.com"/>
    <s v="Av. &quot;M&quot; Nro. 145-10"/>
    <s v="Cancelación Vigilancia, mes de Marzo 2019"/>
    <x v="0"/>
    <m/>
    <s v="01894"/>
    <s v="30 de marzo de 2019"/>
    <n v="30"/>
    <x v="28"/>
    <s v="3.000,00"/>
    <e v="#NAME?"/>
  </r>
  <r>
    <n v="1895"/>
    <m/>
    <x v="0"/>
    <d v="2019-03-30T00:00:00"/>
    <n v="3000"/>
    <s v="Familia Guerra Miret"/>
    <s v="antoniojguerrag@hotmail.com"/>
    <s v="Calle Güigüe Nro. 89-40"/>
    <s v="Cancelación Vigilancia, mes de Abril 2019"/>
    <x v="0"/>
    <m/>
    <s v="01895"/>
    <s v="30 de marzo de 2019"/>
    <n v="30"/>
    <x v="28"/>
    <s v="3.000,00"/>
    <e v="#NAME?"/>
  </r>
  <r>
    <n v="1896"/>
    <m/>
    <x v="0"/>
    <d v="2019-03-30T00:00:00"/>
    <n v="3000"/>
    <s v="Familia Zavarce Pérez"/>
    <s v="En Físico"/>
    <s v="Calle Guacara Nro. 90-35"/>
    <s v="Cancelación Vigilancia, mes de Marzo 2019"/>
    <x v="0"/>
    <m/>
    <s v="01896"/>
    <s v="30 de marzo de 2019"/>
    <n v="30"/>
    <x v="28"/>
    <s v="3.000,00"/>
    <e v="#NAME?"/>
  </r>
  <r>
    <n v="1897"/>
    <m/>
    <x v="0"/>
    <d v="2019-02-27T00:00:00"/>
    <n v="6000"/>
    <s v="Familia Acosta Carpio"/>
    <s v="pablo962@hotmail.com"/>
    <s v="Calle Güigüe Nro. 89-10"/>
    <s v="Cancelación Vigilancia, meses de Enero y Febrero 2019"/>
    <x v="0"/>
    <m/>
    <s v="01897"/>
    <s v="27 de febrero de 2019"/>
    <n v="27"/>
    <x v="27"/>
    <s v="6.000,00"/>
    <e v="#NAME?"/>
  </r>
  <r>
    <n v="1898"/>
    <m/>
    <x v="0"/>
    <d v="2019-04-02T00:00:00"/>
    <n v="9000"/>
    <s v="Yuraima Rodríguez"/>
    <s v="En Físico"/>
    <s v="Calle Guacara Nro. 89-70"/>
    <s v="Cancelación Vigilancia, meses de Enero, Febrero y Marzo 2019"/>
    <x v="0"/>
    <m/>
    <s v="01898"/>
    <s v="02 de abril de 2019"/>
    <n v="2"/>
    <x v="29"/>
    <s v="9.000,00"/>
    <e v="#NAME?"/>
  </r>
  <r>
    <n v="1899"/>
    <m/>
    <x v="0"/>
    <d v="2019-04-02T00:00:00"/>
    <n v="6000"/>
    <s v="Familia Calzadilla Trujillo"/>
    <s v="calzadilla40@hotmail.com"/>
    <s v="Av. &quot;M&quot; Nro. 146-30"/>
    <s v="Cancelación Vigilancia, meses de Febrero y Marzo 2019"/>
    <x v="0"/>
    <m/>
    <s v="01899"/>
    <s v="02 de abril de 2019"/>
    <n v="2"/>
    <x v="29"/>
    <s v="6.000,00"/>
    <e v="#NAME?"/>
  </r>
  <r>
    <n v="1900"/>
    <m/>
    <x v="0"/>
    <d v="2019-04-03T00:00:00"/>
    <n v="3000"/>
    <s v="Familia Zavarce Barón"/>
    <s v="alexanderzavarce@gmail.com"/>
    <s v="Calle Guacara Nro. 88-91"/>
    <s v="Cancelación Vigilancia, mes de Marzo 2019"/>
    <x v="0"/>
    <m/>
    <s v="01900"/>
    <s v="03 de abril de 2019"/>
    <n v="3"/>
    <x v="29"/>
    <s v="3.000,00"/>
    <e v="#NAME?"/>
  </r>
  <r>
    <n v="1901"/>
    <m/>
    <x v="0"/>
    <d v="2019-03-16T00:00:00"/>
    <n v="3000"/>
    <s v="Familia Abbinante Pinto"/>
    <s v="abbinante47@gmail.com"/>
    <s v="Calle Güigüe Nro. 89-120"/>
    <s v="Cancelación Vigilancia, mes de Marzo 2019"/>
    <x v="0"/>
    <m/>
    <s v="01901"/>
    <s v="16 de marzo de 2019"/>
    <n v="16"/>
    <x v="28"/>
    <s v="3.000,00"/>
    <e v="#NAME?"/>
  </r>
  <r>
    <n v="1902"/>
    <m/>
    <x v="0"/>
    <d v="2019-04-03T00:00:00"/>
    <n v="3000"/>
    <s v="Amarilis Guerra"/>
    <s v="amarilisguerra1@yahoo.com"/>
    <s v="Calle Güigüe Nro. 89-96"/>
    <s v="Cancelación Vigilancia, mes de Abril 2019"/>
    <x v="0"/>
    <m/>
    <s v="01902"/>
    <s v="03 de abril de 2019"/>
    <n v="3"/>
    <x v="29"/>
    <s v="3.000,00"/>
    <e v="#NAME?"/>
  </r>
  <r>
    <n v="1903"/>
    <m/>
    <x v="0"/>
    <d v="2019-04-04T00:00:00"/>
    <n v="6000"/>
    <s v="Familia Scabuzzo Gómez"/>
    <s v="sfscabuzzo@msn.com"/>
    <s v="Av. &quot;I&quot; Nro. 146-20"/>
    <s v="Cancelación Vigilancia, meses de Marzo y Abril 2019"/>
    <x v="0"/>
    <m/>
    <s v="01903"/>
    <s v="04 de abril de 2019"/>
    <n v="4"/>
    <x v="29"/>
    <s v="6.000,00"/>
    <e v="#NAME?"/>
  </r>
  <r>
    <n v="1904"/>
    <m/>
    <x v="0"/>
    <d v="2019-04-05T00:00:00"/>
    <n v="3000"/>
    <s v="Héctor Hernández"/>
    <s v="eof64@hotmail.com"/>
    <s v="Calle Guacara Nro. 89-94"/>
    <s v="Cancelación Vigilancia, mes de Abril 2019"/>
    <x v="0"/>
    <m/>
    <s v="01904"/>
    <s v="05 de abril de 2019"/>
    <n v="5"/>
    <x v="29"/>
    <s v="3.000,00"/>
    <e v="#NAME?"/>
  </r>
  <r>
    <n v="1905"/>
    <m/>
    <x v="0"/>
    <d v="2019-04-05T00:00:00"/>
    <n v="3000"/>
    <s v="Familia Franco Gómez"/>
    <s v="eof64@hotmail.com"/>
    <s v="Calle Guacara Nro. 87-07"/>
    <s v="Cancelación Vigilancia, mes de Abril 2019"/>
    <x v="0"/>
    <m/>
    <s v="01905"/>
    <s v="05 de abril de 2019"/>
    <n v="5"/>
    <x v="29"/>
    <s v="3.000,00"/>
    <e v="#NAME?"/>
  </r>
  <r>
    <n v="1906"/>
    <m/>
    <x v="0"/>
    <d v="2019-03-22T00:00:00"/>
    <n v="3000"/>
    <s v="Familia Gascón Domínguez"/>
    <s v="vrgascon@gmail.com"/>
    <s v="Calle Güigüe Nro. 88-70"/>
    <s v="Cancelación Vigilancia, mes de Marzo 2019"/>
    <x v="0"/>
    <m/>
    <s v="01906"/>
    <s v="22 de marzo de 2019"/>
    <n v="22"/>
    <x v="28"/>
    <s v="3.000,00"/>
    <e v="#NAME?"/>
  </r>
  <r>
    <n v="1907"/>
    <m/>
    <x v="0"/>
    <d v="2019-03-27T00:00:00"/>
    <n v="2200"/>
    <s v="Familia Méndez Parra"/>
    <s v="briceidademendez@gmail.com"/>
    <s v="Calle Guacara Nro. 88-19"/>
    <s v="Colaboración Vigilancia, mes de Marzo 2019"/>
    <x v="0"/>
    <m/>
    <s v="01907"/>
    <s v="27 de marzo de 2019"/>
    <n v="27"/>
    <x v="28"/>
    <s v="2.200,00"/>
    <e v="#NAME?"/>
  </r>
  <r>
    <n v="1908"/>
    <m/>
    <x v="0"/>
    <d v="2019-04-05T00:00:00"/>
    <n v="3000"/>
    <s v="Familia Fermín Rivas"/>
    <s v="angelferminb@gmail.com"/>
    <s v="Calle Güigüe Nro. 89-55"/>
    <s v="Cancelación Vigilancia, mes de Abril 2019"/>
    <x v="0"/>
    <m/>
    <s v="01908"/>
    <s v="05 de abril de 2019"/>
    <n v="5"/>
    <x v="29"/>
    <s v="3.000,00"/>
    <e v="#NAME?"/>
  </r>
  <r>
    <n v="1909"/>
    <m/>
    <x v="0"/>
    <d v="2019-04-06T00:00:00"/>
    <n v="10000"/>
    <s v="Wu Hung Fung"/>
    <s v="carolinahung24@gmail.com"/>
    <s v="Calle Guacara Nro. 90-81"/>
    <s v="Cancelación Vigilancia, meses de Marzo y Abril 2019 y aporte especial"/>
    <x v="0"/>
    <m/>
    <s v="01909"/>
    <s v="06 de abril de 2019"/>
    <n v="6"/>
    <x v="29"/>
    <s v="10.000,00"/>
    <e v="#NAME?"/>
  </r>
  <r>
    <n v="1910"/>
    <m/>
    <x v="0"/>
    <d v="2019-04-06T00:00:00"/>
    <n v="5000"/>
    <s v="Familia Milanés Carmona"/>
    <s v="yndira11m@gmail.com"/>
    <s v="Calle Güigüe Nro. 89-65"/>
    <s v="Cancelación Vigilancia, mes de Abril 2019 y aporte especial"/>
    <x v="0"/>
    <m/>
    <s v="01910"/>
    <s v="06 de abril de 2019"/>
    <n v="6"/>
    <x v="29"/>
    <s v="5.000,00"/>
    <e v="#NAME?"/>
  </r>
  <r>
    <n v="1911"/>
    <m/>
    <x v="0"/>
    <d v="2019-04-07T00:00:00"/>
    <n v="3000"/>
    <s v="Familia Barreto Pérez"/>
    <s v="bbetsa19@hotmail.com"/>
    <s v="Av. &quot;M&quot; Nro. 146-15"/>
    <s v="Cancelación Vigilancia, mes de Marzo 2019"/>
    <x v="0"/>
    <m/>
    <s v="01911"/>
    <s v="07 de abril de 2019"/>
    <n v="7"/>
    <x v="29"/>
    <s v="3.000,00"/>
    <e v="#NAME?"/>
  </r>
  <r>
    <n v="1912"/>
    <m/>
    <x v="1"/>
    <d v="2019-04-07T00:00:00"/>
    <n v="4000"/>
    <s v="Familia Lomeña Agudo"/>
    <s v="claudialomena@hotmail.com"/>
    <s v="Calle Guacara Nro. 89-30"/>
    <s v="REVERTIDO: Cancelación Vigilancia, mes de Abril 2019"/>
    <x v="12"/>
    <m/>
    <s v="01912"/>
    <s v="07 de abril de 2019"/>
    <n v="7"/>
    <x v="29"/>
    <s v="4.000,00"/>
    <e v="#NAME?"/>
  </r>
  <r>
    <n v="1913"/>
    <m/>
    <x v="0"/>
    <d v="2019-04-07T00:00:00"/>
    <n v="6000"/>
    <s v="Gloria Molina"/>
    <s v="glomola2@yahoo.es"/>
    <s v="Calle Güigüe Nro. 89-71"/>
    <s v="Colaboración Vigilancia, meses de Marzo y Abril 2019"/>
    <x v="0"/>
    <m/>
    <s v="01913"/>
    <s v="07 de abril de 2019"/>
    <n v="7"/>
    <x v="29"/>
    <s v="6.000,00"/>
    <e v="#NAME?"/>
  </r>
  <r>
    <n v="1914"/>
    <m/>
    <x v="0"/>
    <d v="2019-04-08T00:00:00"/>
    <n v="6000"/>
    <s v="Familia Ferrer Bahri"/>
    <s v="bahrimariela@hotmail.com"/>
    <s v="Calle Güigüe Nro. 89-83"/>
    <s v="Cancelación Vigilancia, mes de Abril 2019"/>
    <x v="0"/>
    <m/>
    <s v="01914"/>
    <s v="08 de abril de 2019"/>
    <n v="8"/>
    <x v="29"/>
    <s v="6.000,00"/>
    <e v="#NAME?"/>
  </r>
  <r>
    <n v="1915"/>
    <m/>
    <x v="0"/>
    <d v="2019-04-08T00:00:00"/>
    <n v="4350"/>
    <s v="Colegio El Trigal"/>
    <s v="En Físico"/>
    <s v="Calle Güigüe Nros. 88-71 y 88-81"/>
    <s v="Cancelación Vigilancia, anticipo mes de Abril 2019"/>
    <x v="0"/>
    <m/>
    <s v="01915"/>
    <s v="08 de abril de 2019"/>
    <n v="8"/>
    <x v="29"/>
    <s v="4.350,00"/>
    <e v="#NAME?"/>
  </r>
  <r>
    <n v="1916"/>
    <m/>
    <x v="0"/>
    <d v="2019-04-08T00:00:00"/>
    <n v="3000"/>
    <s v="Carmen Moreno"/>
    <s v="carmenemoreno10@gmail.com"/>
    <s v="Calle Güigüe Nro. 89-04"/>
    <s v="Cancelación Vigilancia, mes de Abril 2019"/>
    <x v="0"/>
    <m/>
    <s v="01916"/>
    <s v="08 de abril de 2019"/>
    <n v="8"/>
    <x v="29"/>
    <s v="3.000,00"/>
    <e v="#NAME?"/>
  </r>
  <r>
    <n v="1917"/>
    <m/>
    <x v="0"/>
    <d v="2019-04-08T00:00:00"/>
    <n v="3000"/>
    <s v="Familia Matta Palomino"/>
    <s v="En Físico"/>
    <s v="Calle Güigüe Nro. 88-90"/>
    <s v="Cancelación Vigilancia, mes de Marzo 2019"/>
    <x v="0"/>
    <m/>
    <s v="01917"/>
    <s v="08 de abril de 2019"/>
    <n v="8"/>
    <x v="29"/>
    <s v="3.000,00"/>
    <e v="#NAME?"/>
  </r>
  <r>
    <n v="1918"/>
    <m/>
    <x v="0"/>
    <d v="2019-04-08T00:00:00"/>
    <n v="3000"/>
    <s v="Familia Colosso Delgado"/>
    <s v="mcolosso@gmail.com"/>
    <s v="Calle Güigüe Nro. 88-44"/>
    <s v="Cancelación Vigilancia, mes de Abril 2019"/>
    <x v="0"/>
    <m/>
    <s v="01918"/>
    <s v="08 de abril de 2019"/>
    <n v="8"/>
    <x v="29"/>
    <s v="3.000,00"/>
    <e v="#NAME?"/>
  </r>
  <r>
    <n v="1919"/>
    <m/>
    <x v="0"/>
    <d v="2019-04-08T00:00:00"/>
    <n v="3000"/>
    <s v="Chin Chun Ya (Goya)"/>
    <s v="uc2721@gmail.com"/>
    <s v="Calle Guacara Nro. 87-86"/>
    <s v="Cancelación Vigilancia, mes de Abril 2019"/>
    <x v="0"/>
    <m/>
    <s v="01919"/>
    <s v="08 de abril de 2019"/>
    <n v="8"/>
    <x v="29"/>
    <s v="3.000,00"/>
    <e v="#NAME?"/>
  </r>
  <r>
    <n v="1920"/>
    <m/>
    <x v="0"/>
    <d v="2019-04-08T00:00:00"/>
    <n v="3000"/>
    <s v="Familia Arcia Polanco"/>
    <s v="misipo29@gmail.com"/>
    <s v="Calle Guacara Nro. 89-20"/>
    <s v="Cancelación Vigilancia, mes de Abril 2019"/>
    <x v="0"/>
    <m/>
    <s v="01920"/>
    <s v="08 de abril de 2019"/>
    <n v="8"/>
    <x v="29"/>
    <s v="3.000,00"/>
    <e v="#NAME?"/>
  </r>
  <r>
    <n v="1921"/>
    <m/>
    <x v="0"/>
    <d v="2019-04-08T00:00:00"/>
    <n v="6000"/>
    <s v="Andrea Valor"/>
    <s v="aavp992@gmail.com"/>
    <s v="Calle Guacara Nro. 88-75"/>
    <s v="Cancelación Vigilancia, meses de Marzo y Abril 2019"/>
    <x v="0"/>
    <m/>
    <s v="01921"/>
    <s v="08 de abril de 2019"/>
    <n v="8"/>
    <x v="29"/>
    <s v="6.000,00"/>
    <e v="#NAME?"/>
  </r>
  <r>
    <n v="1922"/>
    <m/>
    <x v="0"/>
    <d v="2019-04-08T00:00:00"/>
    <n v="3000"/>
    <s v="Familia Navarrete Medina"/>
    <s v="juanin1919@yahoo.com"/>
    <s v="Calle Güigüe Nro. 89-22"/>
    <s v="Cancelación Vigilancia, mes de Marzo 2019"/>
    <x v="0"/>
    <m/>
    <s v="01922"/>
    <s v="08 de abril de 2019"/>
    <n v="8"/>
    <x v="29"/>
    <s v="3.000,00"/>
    <e v="#NAME?"/>
  </r>
  <r>
    <n v="1923"/>
    <m/>
    <x v="0"/>
    <d v="2019-04-08T00:00:00"/>
    <n v="3000"/>
    <s v="Familia Piñero Padilla"/>
    <s v="achepaul2005@hotmail.com"/>
    <s v="Calle Güigüe Nro. 89-21"/>
    <s v="Cancelación Vigilancia, mes de Marzo 2019"/>
    <x v="0"/>
    <m/>
    <s v="01923"/>
    <s v="08 de abril de 2019"/>
    <n v="8"/>
    <x v="29"/>
    <s v="3.000,00"/>
    <e v="#NAME?"/>
  </r>
  <r>
    <n v="1924"/>
    <m/>
    <x v="0"/>
    <d v="2019-04-08T00:00:00"/>
    <n v="2200"/>
    <s v="Familia Méndez Parra"/>
    <s v="briceidademendez@gmail.com"/>
    <s v="Calle Guacara Nro. 88-19"/>
    <s v="Colaboración Vigilancia, mes de Abril 2019"/>
    <x v="0"/>
    <m/>
    <s v="01924"/>
    <s v="08 de abril de 2019"/>
    <n v="8"/>
    <x v="29"/>
    <s v="2.200,00"/>
    <e v="#NAME?"/>
  </r>
  <r>
    <n v="1925"/>
    <m/>
    <x v="0"/>
    <d v="2019-04-08T00:00:00"/>
    <n v="3000"/>
    <s v="Amparo Acosta"/>
    <s v="amparonatividad@hotmail.com"/>
    <s v="Calle Guacara Nro. 88-65"/>
    <s v="Colaboración Vigilancia, mes de Abril 2019"/>
    <x v="0"/>
    <m/>
    <s v="01925"/>
    <s v="08 de abril de 2019"/>
    <n v="8"/>
    <x v="29"/>
    <s v="3.000,00"/>
    <e v="#NAME?"/>
  </r>
  <r>
    <n v="1926"/>
    <m/>
    <x v="0"/>
    <d v="2019-04-08T00:00:00"/>
    <n v="3000"/>
    <s v="Familia Acosta Carpio"/>
    <s v="pablo962@hotmail.com"/>
    <s v="Calle Güigüe Nro. 89-10"/>
    <s v="Cancelación Vigilancia, mes de Marzo 2019"/>
    <x v="0"/>
    <m/>
    <s v="01926"/>
    <s v="08 de abril de 2019"/>
    <n v="8"/>
    <x v="29"/>
    <s v="3.000,00"/>
    <e v="#NAME?"/>
  </r>
  <r>
    <n v="1927"/>
    <m/>
    <x v="0"/>
    <d v="2019-04-09T00:00:00"/>
    <n v="3000"/>
    <s v="Familia Montilla García"/>
    <s v="dairy252525@hotmail.com"/>
    <s v="Calle Güigüe Nro. 89-90"/>
    <s v="Cancelación Vigilancia, anticipo mes de Abril 2019"/>
    <x v="0"/>
    <m/>
    <s v="01927"/>
    <s v="09 de abril de 2019"/>
    <n v="9"/>
    <x v="29"/>
    <s v="3.000,00"/>
    <e v="#NAME?"/>
  </r>
  <r>
    <n v="1928"/>
    <m/>
    <x v="0"/>
    <d v="2019-04-09T00:00:00"/>
    <n v="3000"/>
    <s v="Familia Machado Stoppa"/>
    <s v="machadoru@hotmail.com"/>
    <s v="Calle Guacara Nro. 88-85"/>
    <s v="Colaboración Vigilancia, mes de Abril 2019"/>
    <x v="0"/>
    <m/>
    <s v="01928"/>
    <s v="09 de abril de 2019"/>
    <n v="9"/>
    <x v="29"/>
    <s v="3.000,00"/>
    <e v="#NAME?"/>
  </r>
  <r>
    <n v="1929"/>
    <m/>
    <x v="0"/>
    <d v="2019-03-22T00:00:00"/>
    <n v="3000"/>
    <s v="Familia Díaz González"/>
    <s v="luisrdt57@gmail.com"/>
    <s v="Calle Güigüe Nro. 88-116"/>
    <s v="Cancelación Vigilancia, mes de Marzo 2019"/>
    <x v="0"/>
    <m/>
    <s v="01929"/>
    <s v="22 de marzo de 2019"/>
    <n v="22"/>
    <x v="28"/>
    <s v="3.000,00"/>
    <e v="#NAME?"/>
  </r>
  <r>
    <n v="1930"/>
    <m/>
    <x v="0"/>
    <d v="2019-04-10T00:00:00"/>
    <n v="12000"/>
    <s v="Familia Romero"/>
    <s v="autoescuela21@gmail.com"/>
    <s v="Calle Guacara Nro. 89-50"/>
    <s v="Cancelación Vigilancia, meses de Enero, Febrero, Marzo y Abril 2019"/>
    <x v="0"/>
    <m/>
    <s v="01930"/>
    <s v="10 de abril de 2019"/>
    <n v="10"/>
    <x v="29"/>
    <s v="12.000,00"/>
    <e v="#NAME?"/>
  </r>
  <r>
    <n v="1931"/>
    <m/>
    <x v="0"/>
    <d v="2019-04-10T00:00:00"/>
    <n v="15000"/>
    <s v="Familia Cegarra Villamizar"/>
    <s v="jesus.villamizar.ra@gmail.com"/>
    <s v="Calle Guacara Nro. 88-35"/>
    <s v="Cancelación Vigilancia, meses de Noviembre y Diciembre 2018, de Enero a Abril 2019, y anticipo de Mayo 2019"/>
    <x v="0"/>
    <m/>
    <s v="01931"/>
    <s v="10 de abril de 2019"/>
    <n v="10"/>
    <x v="29"/>
    <s v="15.000,00"/>
    <e v="#NAME?"/>
  </r>
  <r>
    <n v="1932"/>
    <m/>
    <x v="0"/>
    <d v="2019-04-11T00:00:00"/>
    <n v="12000"/>
    <s v="Familia Il Grande Franceschi"/>
    <s v="arcifran75@hotmail.com"/>
    <s v="Av. &quot;I&quot; Nro. 146-40"/>
    <s v="Cancelación Vigilancia, meses de Febrero, Marzo y  Abril, y anticipo del  mes de Mayo 2019"/>
    <x v="0"/>
    <m/>
    <s v="01932"/>
    <s v="11 de abril de 2019"/>
    <n v="11"/>
    <x v="29"/>
    <s v="12.000,00"/>
    <e v="#NAME?"/>
  </r>
  <r>
    <n v="1933"/>
    <m/>
    <x v="0"/>
    <d v="2018-12-20T00:00:00"/>
    <n v="800"/>
    <s v="Familia Hurtado"/>
    <s v="hurtadomilena@gmail.com"/>
    <s v="Av. &quot;O&quot; Nro. 146-11"/>
    <s v="Cancelación Vigilancia, mes de Diciembre 2018. Transferencia Banesco nro. 10643789740"/>
    <x v="0"/>
    <m/>
    <s v="01933"/>
    <s v="20 de diciembre de 2018"/>
    <n v="20"/>
    <x v="25"/>
    <s v="800,00"/>
    <e v="#NAME?"/>
  </r>
  <r>
    <n v="1934"/>
    <m/>
    <x v="0"/>
    <d v="2019-02-04T00:00:00"/>
    <n v="3000"/>
    <s v="Familia Hurtado"/>
    <s v="hurtadomilena@gmail.com"/>
    <s v="Av. &quot;O&quot; Nro. 146-11"/>
    <s v="Cancelación Vigilancia, mes de Enero 2019. Transferencia Banesco nro. 10824360060"/>
    <x v="0"/>
    <m/>
    <s v="01934"/>
    <s v="04 de febrero de 2019"/>
    <n v="4"/>
    <x v="27"/>
    <s v="3.000,00"/>
    <e v="#NAME?"/>
  </r>
  <r>
    <n v="1935"/>
    <m/>
    <x v="0"/>
    <d v="2019-03-03T00:00:00"/>
    <n v="3000"/>
    <s v="Familia Hurtado"/>
    <s v="hurtadomilena@gmail.com"/>
    <s v="Av. &quot;O&quot; Nro. 146-11"/>
    <s v="Cancelación Vigilancia, mes de Febrero 2019. Transferencia Banesco nro. 10936247652"/>
    <x v="0"/>
    <m/>
    <s v="01935"/>
    <s v="03 de marzo de 2019"/>
    <n v="3"/>
    <x v="28"/>
    <s v="3.000,00"/>
    <e v="#NAME?"/>
  </r>
  <r>
    <n v="1936"/>
    <m/>
    <x v="0"/>
    <d v="2019-04-01T00:00:00"/>
    <n v="3000"/>
    <s v="Familia Hurtado"/>
    <s v="hurtadomilena@gmail.com"/>
    <s v="Av. &quot;O&quot; Nro. 146-11"/>
    <s v="Cancelación Vigilancia, mes de Marzo 2019. Transferencia Banesco nro. 11022452320"/>
    <x v="0"/>
    <m/>
    <s v="01936"/>
    <s v="01 de abril de 2019"/>
    <n v="1"/>
    <x v="29"/>
    <s v="3.000,00"/>
    <e v="#NAME?"/>
  </r>
  <r>
    <n v="1937"/>
    <m/>
    <x v="0"/>
    <d v="2019-04-10T00:00:00"/>
    <n v="3000"/>
    <s v="Familia Hurtado"/>
    <s v="hurtadomilena@gmail.com"/>
    <s v="Av. &quot;O&quot; Nro. 146-11"/>
    <s v="Cancelación Vigilancia, mes de Abril 2019. Transferencia Banesco nro. 11051108616"/>
    <x v="0"/>
    <m/>
    <s v="01937"/>
    <s v="10 de abril de 2019"/>
    <n v="10"/>
    <x v="29"/>
    <s v="3.000,00"/>
    <e v="#NAME?"/>
  </r>
  <r>
    <n v="1938"/>
    <m/>
    <x v="0"/>
    <d v="2019-04-11T00:00:00"/>
    <n v="6000"/>
    <s v="Familia Sirit Palencia"/>
    <s v="irasirit@gmail.com"/>
    <s v="Calle Güigüe Nro. 89-35"/>
    <s v="Cancelación Vigilancia, meses de Marzo y Abril 2019"/>
    <x v="0"/>
    <m/>
    <s v="01938"/>
    <s v="11 de abril de 2019"/>
    <n v="11"/>
    <x v="29"/>
    <s v="6.000,00"/>
    <e v="#NAME?"/>
  </r>
  <r>
    <n v="1939"/>
    <m/>
    <x v="0"/>
    <d v="2019-04-12T00:00:00"/>
    <n v="10000"/>
    <s v="Familia Soto Urdaneta"/>
    <s v="esotom61@gmail.com"/>
    <s v="Calle Guacara Nro. 89-102"/>
    <s v="Cancelación Vigilancia, meses de Enero, Febrero y Marzo 2019"/>
    <x v="0"/>
    <m/>
    <s v="01939"/>
    <s v="12 de abril de 2019"/>
    <n v="12"/>
    <x v="29"/>
    <s v="10.000,00"/>
    <e v="#NAME?"/>
  </r>
  <r>
    <n v="1940"/>
    <m/>
    <x v="0"/>
    <d v="2019-04-12T00:00:00"/>
    <n v="2000"/>
    <s v="Familia Arcia Polanco"/>
    <s v="misipo29@gmail.com"/>
    <s v="Calle Guacara Nro. 89-20"/>
    <s v="Cancelación Vigilancia, saldo mes de Abril 2019"/>
    <x v="0"/>
    <m/>
    <s v="01940"/>
    <s v="12 de abril de 2019"/>
    <n v="12"/>
    <x v="29"/>
    <s v="2.000,00"/>
    <e v="#NAME?"/>
  </r>
  <r>
    <n v="1941"/>
    <m/>
    <x v="0"/>
    <d v="2019-04-12T00:00:00"/>
    <n v="12000"/>
    <s v="Ana de González"/>
    <s v="mikelnowak25@gmail.com"/>
    <s v="Av. &quot;O&quot; Nro. 146-17"/>
    <s v="Cancelación Vigilancia, meses de Enero, Febrero, Marzo y Abril 2019"/>
    <x v="0"/>
    <m/>
    <s v="01941"/>
    <s v="12 de abril de 2019"/>
    <n v="12"/>
    <x v="29"/>
    <s v="12.000,00"/>
    <e v="#NAME?"/>
  </r>
  <r>
    <n v="1942"/>
    <m/>
    <x v="0"/>
    <d v="2019-04-12T00:00:00"/>
    <n v="2000"/>
    <s v="Amarilis Guerra"/>
    <s v="amarilisguerra1@yahoo.com"/>
    <s v="Calle Güigüe Nro. 89-96"/>
    <s v="Cancelación Vigilancia, saldo mes de Abril 2019"/>
    <x v="0"/>
    <m/>
    <s v="01942"/>
    <s v="12 de abril de 2019"/>
    <n v="12"/>
    <x v="29"/>
    <s v="2.000,00"/>
    <e v="#NAME?"/>
  </r>
  <r>
    <n v="1943"/>
    <m/>
    <x v="0"/>
    <d v="2019-04-12T00:00:00"/>
    <n v="2000"/>
    <s v="Familia Guerra Miret"/>
    <s v="antoniojguerrag@hotmail.com"/>
    <s v="Calle Güigüe Nro. 89-40"/>
    <s v="Cancelación Vigilancia, saldo mes de Abril 2019"/>
    <x v="0"/>
    <m/>
    <s v="01943"/>
    <s v="12 de abril de 2019"/>
    <n v="12"/>
    <x v="29"/>
    <s v="2.000,00"/>
    <e v="#NAME?"/>
  </r>
  <r>
    <n v="1944"/>
    <m/>
    <x v="0"/>
    <d v="2019-04-12T00:00:00"/>
    <n v="2000"/>
    <s v="Familia Sirit Palencia"/>
    <s v="irasirit@gmail.com"/>
    <s v="Calle Güigüe Nro. 89-35"/>
    <s v="Cancelación Vigilancia, saldo mes de Abril 2019"/>
    <x v="0"/>
    <m/>
    <s v="01944"/>
    <s v="12 de abril de 2019"/>
    <n v="12"/>
    <x v="29"/>
    <s v="2.000,00"/>
    <e v="#NAME?"/>
  </r>
  <r>
    <n v="1945"/>
    <m/>
    <x v="0"/>
    <d v="2019-04-13T00:00:00"/>
    <n v="5000"/>
    <s v="Familia Fermín Rivas"/>
    <s v="angelferminb@gmail.com"/>
    <s v="Calle Güigüe Nro. 89-55"/>
    <s v="Cancelación Vigilancia, saldo mes de Abril 2019 y aporte especial"/>
    <x v="0"/>
    <m/>
    <s v="01945"/>
    <s v="13 de abril de 2019"/>
    <n v="13"/>
    <x v="29"/>
    <s v="5.000,00"/>
    <e v="#NAME?"/>
  </r>
  <r>
    <n v="1946"/>
    <m/>
    <x v="0"/>
    <d v="2019-04-13T00:00:00"/>
    <n v="13000"/>
    <s v="Familia Jiménez Navarro"/>
    <s v="joyasonline2012@gmail.com"/>
    <s v="Calle Güigüe Nro. 88-50"/>
    <s v="Vigilancia: Cancelación meses de Marzo y Abril 2019, y anticipo mes de Mayo 2019"/>
    <x v="0"/>
    <m/>
    <s v="01946"/>
    <s v="13 de abril de 2019"/>
    <n v="13"/>
    <x v="29"/>
    <s v="13.000,00"/>
    <e v="#NAME?"/>
  </r>
  <r>
    <n v="1947"/>
    <m/>
    <x v="0"/>
    <d v="2019-04-14T00:00:00"/>
    <n v="900"/>
    <s v="Familia Chávez Hernández"/>
    <s v="mercedesch23@hotmail.com"/>
    <s v="Calle Güigüe Nro. 88-20"/>
    <s v="Colaboración Vigilancia, meses de Febrero, Marzo y Abril 2019"/>
    <x v="0"/>
    <m/>
    <s v="01947"/>
    <s v="14 de abril de 2019"/>
    <n v="14"/>
    <x v="29"/>
    <s v="900,00"/>
    <e v="#NAME?"/>
  </r>
  <r>
    <n v="1948"/>
    <m/>
    <x v="0"/>
    <d v="2019-04-14T00:00:00"/>
    <n v="2000"/>
    <s v="Familia Colosso Delgado"/>
    <s v="mcolosso@gmail.com"/>
    <s v="Calle Güigüe Nro. 88-44"/>
    <s v="Cancelación Vigilancia, saldo mes de Abril 2019"/>
    <x v="0"/>
    <m/>
    <s v="01948"/>
    <s v="14 de abril de 2019"/>
    <n v="14"/>
    <x v="29"/>
    <s v="2.000,00"/>
    <e v="#NAME?"/>
  </r>
  <r>
    <n v="1949"/>
    <m/>
    <x v="0"/>
    <d v="2019-04-16T00:00:00"/>
    <n v="5000"/>
    <s v="Ely Saúl Rivero Gómez"/>
    <s v="hhs.admon@gmail.com"/>
    <s v="Av. &quot;Ñ&quot; Nro. 145-25"/>
    <s v="Cancelación Vigilancia, mes de Abril 2019 (saldo a favor: Bs. 23.352,00)"/>
    <x v="0"/>
    <m/>
    <s v="01949"/>
    <s v="16 de abril de 2019"/>
    <n v="16"/>
    <x v="29"/>
    <s v="5.000,00"/>
    <e v="#NAME?"/>
  </r>
  <r>
    <n v="1950"/>
    <m/>
    <x v="0"/>
    <d v="2019-04-16T00:00:00"/>
    <n v="5000"/>
    <s v="Familia Wu Acevedo"/>
    <s v="rudyacevedo90@gmail.com"/>
    <s v="Calle Guacara Nro. 88-A-10"/>
    <s v="Cancelación Vigilancia, mes de Abril 2019 (saldo a favor: Bs. 6.005,80)"/>
    <x v="0"/>
    <m/>
    <s v="01950"/>
    <s v="16 de abril de 2019"/>
    <n v="16"/>
    <x v="29"/>
    <s v="5.000,00"/>
    <e v="#NAME?"/>
  </r>
  <r>
    <n v="1951"/>
    <m/>
    <x v="0"/>
    <d v="2019-04-16T00:00:00"/>
    <n v="5000"/>
    <s v="Familia López Hermoso"/>
    <s v="lopez.humberto14@yahoo.com.ve"/>
    <s v="Calle Güigüe Nro. 89-79"/>
    <s v="Cancelación Vigilancia, mes de Abril 2019 (saldo a favor: Bs. 6.000,00)"/>
    <x v="0"/>
    <m/>
    <s v="01951"/>
    <s v="16 de abril de 2019"/>
    <n v="16"/>
    <x v="29"/>
    <s v="5.000,00"/>
    <e v="#NAME?"/>
  </r>
  <r>
    <n v="1952"/>
    <m/>
    <x v="0"/>
    <d v="2019-04-16T00:00:00"/>
    <n v="5000"/>
    <s v="Familia Costermani Terrer"/>
    <s v="claudiacostermani@hotmail.com"/>
    <s v="Calle Güigüe Nro. 88-11"/>
    <s v="Cancelación Vigilancia, mes de Abril 2019"/>
    <x v="0"/>
    <m/>
    <s v="01952"/>
    <s v="16 de abril de 2019"/>
    <n v="16"/>
    <x v="29"/>
    <s v="5.000,00"/>
    <e v="#NAME?"/>
  </r>
  <r>
    <n v="1953"/>
    <m/>
    <x v="0"/>
    <d v="2019-04-16T00:00:00"/>
    <n v="5000"/>
    <s v="Familia Del Negro Palermo"/>
    <s v="vdelnegro@gmail.com"/>
    <s v="Calle Guacara Nro. 88-45"/>
    <s v="Cancelación Vigilancia, mes de Abril 2019 (saldo a favor: Bs. 95.862,95)"/>
    <x v="0"/>
    <m/>
    <s v="01953"/>
    <s v="16 de abril de 2019"/>
    <n v="16"/>
    <x v="29"/>
    <s v="5.000,00"/>
    <e v="#NAME?"/>
  </r>
  <r>
    <n v="1954"/>
    <m/>
    <x v="0"/>
    <d v="2019-04-16T00:00:00"/>
    <n v="9000"/>
    <s v="Ma. de Jesus Alonso"/>
    <s v="alonsojg@gmail.com"/>
    <s v="Calle Güigüe Nro. 88-30"/>
    <s v="Cancelación Vigilancia, meses de Enero, Febrero y Marzo 2019"/>
    <x v="0"/>
    <m/>
    <s v="01954"/>
    <s v="16 de abril de 2019"/>
    <n v="16"/>
    <x v="29"/>
    <s v="9.000,00"/>
    <e v="#NAME?"/>
  </r>
  <r>
    <n v="1955"/>
    <m/>
    <x v="0"/>
    <d v="2019-04-17T00:00:00"/>
    <n v="2000"/>
    <s v="Carmen Moreno"/>
    <s v="carmenemoreno10@gmail.com"/>
    <s v="Calle Güigüe Nro. 89-04"/>
    <s v="Cancelación Vigilancia, saldo mes de Abril 2019"/>
    <x v="0"/>
    <m/>
    <s v="01955"/>
    <s v="17 de abril de 2019"/>
    <n v="17"/>
    <x v="29"/>
    <s v="2.000,00"/>
    <e v="#NAME?"/>
  </r>
  <r>
    <n v="1956"/>
    <m/>
    <x v="0"/>
    <d v="2019-04-18T00:00:00"/>
    <n v="3000"/>
    <s v="Zoraida Khair"/>
    <s v="zorakhair@hotmail.com | lbracamonte@netuno.net"/>
    <s v="Calle Güigüe Nro. 88-80"/>
    <s v="Cancelación Vigilancia, mes de Febrero 2019 (saldo a favor Bs. 345,55)"/>
    <x v="0"/>
    <m/>
    <s v="01956"/>
    <s v="18 de abril de 2019"/>
    <n v="18"/>
    <x v="29"/>
    <s v="3.000,00"/>
    <e v="#NAME?"/>
  </r>
  <r>
    <n v="1957"/>
    <m/>
    <x v="0"/>
    <d v="2019-04-18T00:00:00"/>
    <n v="5000"/>
    <s v="Familia Alonso Rojas"/>
    <s v="redjc01@gmail.com"/>
    <s v="Calle Güigüe Nro. 89-54"/>
    <s v="Cancelación Vigilancia, mes de Abril 2019"/>
    <x v="0"/>
    <m/>
    <s v="01957"/>
    <s v="18 de abril de 2019"/>
    <n v="18"/>
    <x v="29"/>
    <s v="5.000,00"/>
    <e v="#NAME?"/>
  </r>
  <r>
    <n v="1958"/>
    <m/>
    <x v="0"/>
    <d v="2019-04-18T00:00:00"/>
    <n v="2000"/>
    <s v="Chin Chun Ya (Goya)"/>
    <s v="uc2721@gmail.com"/>
    <s v="Calle Guacara Nro. 87-86"/>
    <s v="Cancelación Vigilancia, saldo mes de Abril 2019"/>
    <x v="0"/>
    <m/>
    <s v="01958"/>
    <s v="18 de abril de 2019"/>
    <n v="18"/>
    <x v="29"/>
    <s v="2.000,00"/>
    <e v="#NAME?"/>
  </r>
  <r>
    <n v="1959"/>
    <m/>
    <x v="0"/>
    <d v="2019-04-18T00:00:00"/>
    <n v="5000"/>
    <s v="Familia Kablan Sarmiento"/>
    <s v="norisjsb56@hotmail.com"/>
    <s v="Calle Güigüe Nro. 89-80"/>
    <s v="Cancelación Vigilancia, mes de Abril 2019"/>
    <x v="0"/>
    <m/>
    <s v="01959"/>
    <s v="18 de abril de 2019"/>
    <n v="18"/>
    <x v="29"/>
    <s v="5.000,00"/>
    <e v="#NAME?"/>
  </r>
  <r>
    <n v="1960"/>
    <m/>
    <x v="0"/>
    <d v="2019-04-19T00:00:00"/>
    <n v="5000"/>
    <s v="Familia Soto Urdaneta"/>
    <s v="esotom61@gmail.com"/>
    <s v="Calle Guacara Nro. 89-102"/>
    <s v="Cancelación Vigilancia, mes de Abril 2019"/>
    <x v="0"/>
    <m/>
    <s v="01960"/>
    <s v="19 de abril de 2019"/>
    <n v="19"/>
    <x v="29"/>
    <s v="5.000,00"/>
    <e v="#NAME?"/>
  </r>
  <r>
    <n v="1961"/>
    <m/>
    <x v="0"/>
    <d v="2019-04-19T00:00:00"/>
    <n v="2000"/>
    <s v="Héctor Hernández"/>
    <s v="eof64@hotmail.com"/>
    <s v="Calle Guacara Nro. 89-94"/>
    <s v="Cancelación Vigilancia, saldo mes de Abril 2019"/>
    <x v="0"/>
    <m/>
    <s v="01961"/>
    <s v="19 de abril de 2019"/>
    <n v="19"/>
    <x v="29"/>
    <s v="2.000,00"/>
    <e v="#NAME?"/>
  </r>
  <r>
    <n v="1962"/>
    <m/>
    <x v="0"/>
    <d v="2019-04-19T00:00:00"/>
    <n v="2000"/>
    <s v="Familia Franco Gómez"/>
    <s v="eof64@hotmail.com"/>
    <s v="Calle Guacara Nro. 87-07"/>
    <s v="Cancelación Vigilancia, saldo mes de Abril 2019"/>
    <x v="0"/>
    <m/>
    <s v="01962"/>
    <s v="19 de abril de 2019"/>
    <n v="19"/>
    <x v="29"/>
    <s v="2.000,00"/>
    <e v="#NAME?"/>
  </r>
  <r>
    <n v="1963"/>
    <m/>
    <x v="0"/>
    <d v="2019-04-19T00:00:00"/>
    <n v="7000"/>
    <s v="Familia González Arévalo"/>
    <s v="feryenis@hotmail.com"/>
    <s v="Calle Guacara Nro. 89-86"/>
    <s v="Vigilancia: Cancelación saldo mes de Abril y anticipo mes de Mayo 2019"/>
    <x v="0"/>
    <m/>
    <s v="01963"/>
    <s v="19 de abril de 2019"/>
    <n v="19"/>
    <x v="29"/>
    <s v="7.000,00"/>
    <e v="#NAME?"/>
  </r>
  <r>
    <n v="1964"/>
    <m/>
    <x v="0"/>
    <d v="2019-04-21T00:00:00"/>
    <n v="5000"/>
    <s v="Familia Abbinante Pinto"/>
    <s v="abbinante47@gmail.com"/>
    <s v="Calle Güigüe Nro. 89-120"/>
    <s v="Cancelación Vigilancia, mes de Abril 2019"/>
    <x v="0"/>
    <m/>
    <s v="01964"/>
    <s v="21 de abril de 2019"/>
    <n v="21"/>
    <x v="29"/>
    <s v="5.000,00"/>
    <e v="#NAME?"/>
  </r>
  <r>
    <n v="1965"/>
    <m/>
    <x v="0"/>
    <d v="2019-04-22T00:00:00"/>
    <n v="5000"/>
    <s v="Familia Rodríguez Aular"/>
    <s v="mvaular@hotmail.com"/>
    <s v="Calle Güigüe Nro. 88-58"/>
    <s v="Cancelación Vigilancia, mes de Abril 2019"/>
    <x v="0"/>
    <m/>
    <s v="01965"/>
    <s v="22 de abril de 2019"/>
    <n v="22"/>
    <x v="29"/>
    <s v="5.000,00"/>
    <e v="#NAME?"/>
  </r>
  <r>
    <n v="1966"/>
    <m/>
    <x v="0"/>
    <d v="2019-04-22T00:00:00"/>
    <n v="5000"/>
    <s v="Familia Zavarce Barón"/>
    <s v="alexanderzavarce@gmail.com"/>
    <s v="Calle Guacara Nro. 88-91"/>
    <s v="Cancelación Vigilancia, mes de Abril 2019"/>
    <x v="0"/>
    <m/>
    <s v="01966"/>
    <s v="22 de abril de 2019"/>
    <n v="22"/>
    <x v="29"/>
    <s v="5.000,00"/>
    <e v="#NAME?"/>
  </r>
  <r>
    <n v="1967"/>
    <m/>
    <x v="0"/>
    <d v="2019-04-22T00:00:00"/>
    <n v="2365.5500000000002"/>
    <s v="Zoraida Khair"/>
    <s v="zorakhair@hotmail.com | lbracamonte@netuno.net"/>
    <s v="Calle Güigüe Nro. 88-80"/>
    <s v="Colaboración Vigilancia, mes de Marzo 2019"/>
    <x v="0"/>
    <m/>
    <s v="01967"/>
    <s v="22 de abril de 2019"/>
    <n v="22"/>
    <x v="29"/>
    <s v="2.365,55"/>
    <e v="#NAME?"/>
  </r>
  <r>
    <n v="1968"/>
    <m/>
    <x v="0"/>
    <d v="2019-04-22T00:00:00"/>
    <n v="5000"/>
    <s v="Familia Castro Jiménez"/>
    <s v="aurycastrojimenez@gmail.com"/>
    <s v="Calle Guacara Nro. 90-51"/>
    <s v="Cancelación Vigilancia, mes de Abril 2019"/>
    <x v="0"/>
    <m/>
    <s v="01968"/>
    <s v="22 de abril de 2019"/>
    <n v="22"/>
    <x v="29"/>
    <s v="5.000,00"/>
    <e v="#NAME?"/>
  </r>
  <r>
    <n v="1969"/>
    <m/>
    <x v="0"/>
    <d v="2019-04-22T00:00:00"/>
    <n v="1440"/>
    <s v="Familia Ozar Rivero"/>
    <s v="vanessarivero81@hotmail.com"/>
    <s v="Calle Güigüe Nro. 88-06"/>
    <s v="Cancelación Vigilancia: saldo mes de Marzo 2019"/>
    <x v="0"/>
    <m/>
    <s v="01969"/>
    <s v="22 de abril de 2019"/>
    <n v="22"/>
    <x v="29"/>
    <s v="1.440,00"/>
    <e v="#NAME?"/>
  </r>
  <r>
    <n v="1970"/>
    <m/>
    <x v="0"/>
    <d v="2019-04-22T00:00:00"/>
    <n v="5000"/>
    <s v="Familia Ozar Rivero"/>
    <s v="vanessarivero81@hotmail.com"/>
    <s v="Calle Güigüe Nro. 88-06"/>
    <s v="Cancelación Vigilancia, mes de Abril 2019"/>
    <x v="0"/>
    <m/>
    <s v="01970"/>
    <s v="22 de abril de 2019"/>
    <n v="22"/>
    <x v="29"/>
    <s v="5.000,00"/>
    <e v="#NAME?"/>
  </r>
  <r>
    <n v="1971"/>
    <m/>
    <x v="0"/>
    <d v="2019-04-22T00:00:00"/>
    <n v="2000"/>
    <s v="Familia Machado Stoppa"/>
    <s v="machadoru@hotmail.com"/>
    <s v="Calle Guacara Nro. 88-85"/>
    <s v="Cancelación Vigilancia, saldo mes de Abril 2019"/>
    <x v="0"/>
    <m/>
    <s v="01971"/>
    <s v="22 de abril de 2019"/>
    <n v="22"/>
    <x v="29"/>
    <s v="2.000,00"/>
    <e v="#NAME?"/>
  </r>
  <r>
    <n v="1972"/>
    <m/>
    <x v="0"/>
    <d v="2019-04-23T00:00:00"/>
    <n v="5000"/>
    <s v="Familia Delgado Hidalgo"/>
    <s v="ardh@hotmail.com"/>
    <s v="Calle Güigüe Nro. 88-10"/>
    <s v="Cancelación Vigilancia, mes de Abril 2019"/>
    <x v="0"/>
    <m/>
    <s v="01972"/>
    <s v="23 de abril de 2019"/>
    <n v="23"/>
    <x v="29"/>
    <s v="5.000,00"/>
    <e v="#NAME?"/>
  </r>
  <r>
    <n v="1973"/>
    <m/>
    <x v="0"/>
    <d v="2019-04-23T00:00:00"/>
    <n v="5000"/>
    <s v="Familia Gascón Domínguez"/>
    <s v="vrgascon@gmail.com"/>
    <s v="Calle Güigüe Nro. 88-70"/>
    <s v="Cancelación Vigilancia, mes de Abril 2019"/>
    <x v="0"/>
    <m/>
    <s v="01973"/>
    <s v="23 de abril de 2019"/>
    <n v="23"/>
    <x v="29"/>
    <s v="5.000,00"/>
    <e v="#NAME?"/>
  </r>
  <r>
    <n v="1974"/>
    <m/>
    <x v="0"/>
    <d v="2019-04-24T00:00:00"/>
    <n v="5000"/>
    <s v="Familia Navarro Assing"/>
    <s v="liliaassing@gmail.com"/>
    <s v="Calle Güigüe Nro. 88-54"/>
    <s v="Cancelación Vigilancia, mes de Abril 2019"/>
    <x v="0"/>
    <m/>
    <s v="01974"/>
    <s v="24 de abril de 2019"/>
    <n v="24"/>
    <x v="29"/>
    <s v="5.000,00"/>
    <e v="#NAME?"/>
  </r>
  <r>
    <n v="1975"/>
    <m/>
    <x v="0"/>
    <d v="2019-04-25T00:00:00"/>
    <n v="9000"/>
    <s v="Familia Loponte Arteaga"/>
    <s v="En Físico"/>
    <s v="Calle Güigüe Nro. 88-120"/>
    <s v="Vigilancia: Saldo meses de Abril y Mayo y cancelación mes de Junio 2019"/>
    <x v="0"/>
    <m/>
    <s v="01975"/>
    <s v="25 de abril de 2019"/>
    <n v="25"/>
    <x v="29"/>
    <s v="9.000,00"/>
    <e v="#NAME?"/>
  </r>
  <r>
    <n v="1976"/>
    <m/>
    <x v="0"/>
    <d v="2019-04-27T00:00:00"/>
    <n v="6000"/>
    <s v="Familia Calzadilla Trujillo"/>
    <s v="calzadilla40@hotmail.com"/>
    <s v="Av. &quot;M&quot; Nro. 146-30"/>
    <s v="Vigilancia: Cancelación mes de Abril y anticipo mes de Mayo 2019"/>
    <x v="0"/>
    <m/>
    <s v="01976"/>
    <s v="27 de abril de 2019"/>
    <n v="27"/>
    <x v="29"/>
    <s v="6.000,00"/>
    <e v="#NAME?"/>
  </r>
  <r>
    <n v="1977"/>
    <m/>
    <x v="0"/>
    <d v="2019-04-28T00:00:00"/>
    <n v="5000"/>
    <s v="Familia Lomeña Agudo"/>
    <s v="claudialomena@hotmail.com"/>
    <s v="Calle Guacara Nro. 89-30"/>
    <s v="Cancelación Vigilancia, mes de Abril 2019"/>
    <x v="0"/>
    <m/>
    <s v="01977"/>
    <s v="28 de abril de 2019"/>
    <n v="28"/>
    <x v="29"/>
    <s v="5.000,00"/>
    <e v="#NAME?"/>
  </r>
  <r>
    <n v="1978"/>
    <m/>
    <x v="0"/>
    <d v="2019-04-28T00:00:00"/>
    <n v="10000"/>
    <s v="Familia Durvelle Serrano"/>
    <s v="sdurvelle@hotmail.com"/>
    <s v="Calle Guacara Nro. 89-60"/>
    <s v="Vigilancia: Cancelación mes de Abril y anticipo del mes de Mayo 2019"/>
    <x v="0"/>
    <m/>
    <s v="01978"/>
    <s v="28 de abril de 2019"/>
    <n v="28"/>
    <x v="29"/>
    <s v="10.000,00"/>
    <e v="#NAME?"/>
  </r>
  <r>
    <n v="1979"/>
    <m/>
    <x v="0"/>
    <d v="2019-04-28T00:00:00"/>
    <n v="5000"/>
    <s v="Familia Narváez Caldera"/>
    <s v="jeannette_nc@yahoo.com"/>
    <s v="Calle Güigüe Nro. 87-A-11"/>
    <s v="Cancelación Vigilancia, mes de Abril 2019"/>
    <x v="0"/>
    <m/>
    <s v="01979"/>
    <s v="28 de abril de 2019"/>
    <n v="28"/>
    <x v="29"/>
    <s v="5.000,00"/>
    <e v="#NAME?"/>
  </r>
  <r>
    <n v="1980"/>
    <m/>
    <x v="0"/>
    <d v="2019-04-28T00:00:00"/>
    <n v="5000"/>
    <s v="Familia Nava Gordon"/>
    <s v="maru_19_66@hotmail.com"/>
    <s v="Calle Guacara Nro. 89-78"/>
    <s v="Cancelación Vigilancia, mes de Abril 2019"/>
    <x v="0"/>
    <m/>
    <s v="01980"/>
    <s v="28 de abril de 2019"/>
    <n v="28"/>
    <x v="29"/>
    <s v="5.000,00"/>
    <e v="#NAME?"/>
  </r>
  <r>
    <n v="1981"/>
    <m/>
    <x v="0"/>
    <d v="2019-04-28T00:00:00"/>
    <n v="5000"/>
    <s v="Familia Kattar González"/>
    <s v="jagiak123@yahoo.es"/>
    <s v="Calle Güigüe Nro. 89-95"/>
    <s v="Cancelación Vigilancia, mes de Abril 2019"/>
    <x v="0"/>
    <m/>
    <s v="01981"/>
    <s v="28 de abril de 2019"/>
    <n v="28"/>
    <x v="29"/>
    <s v="5.000,00"/>
    <e v="#NAME?"/>
  </r>
  <r>
    <n v="1982"/>
    <m/>
    <x v="0"/>
    <d v="2019-04-28T00:00:00"/>
    <n v="5000"/>
    <s v="Zoraida Khair"/>
    <s v="zorakhair@hotmail.com | lbracamonte@netuno.net"/>
    <s v="Calle Güigüe Nro. 88-80"/>
    <s v="Cancelación Vigilancia, mes de Abril 2019"/>
    <x v="0"/>
    <m/>
    <s v="01982"/>
    <s v="28 de abril de 2019"/>
    <n v="28"/>
    <x v="29"/>
    <s v="5.000,00"/>
    <e v="#NAME?"/>
  </r>
  <r>
    <n v="1983"/>
    <m/>
    <x v="0"/>
    <d v="2019-04-29T00:00:00"/>
    <n v="7000"/>
    <s v="Familia Puerta Burguillos"/>
    <s v="namaricakes@gmail.com"/>
    <s v="Calle Guacara Nro. 87-100"/>
    <s v="Vigilancia: Cancelación saldo mes de Abril y anticipo mes de Mayo 2019"/>
    <x v="0"/>
    <m/>
    <s v="01983"/>
    <s v="29 de abril de 2019"/>
    <n v="29"/>
    <x v="29"/>
    <s v="7.000,00"/>
    <e v="#NAME?"/>
  </r>
  <r>
    <n v="1984"/>
    <m/>
    <x v="0"/>
    <d v="2019-03-29T00:00:00"/>
    <n v="5000"/>
    <s v="Familia Díaz González"/>
    <s v="luisrdt57@gmail.com"/>
    <s v="Calle Güigüe Nro. 88-116"/>
    <s v="Cancelación Vigilancia, mes de Abril 2019"/>
    <x v="0"/>
    <m/>
    <s v="01984"/>
    <s v="29 de marzo de 2019"/>
    <n v="29"/>
    <x v="28"/>
    <s v="5.000,00"/>
    <e v="#NAME?"/>
  </r>
  <r>
    <n v="1985"/>
    <m/>
    <x v="0"/>
    <d v="2019-03-29T00:00:00"/>
    <n v="8000"/>
    <s v="Familia Manrique Riera"/>
    <s v="patriciamanrique@gmail.com"/>
    <s v="Calle Guacara Nro. 89-40"/>
    <s v="Cancelación Vigilancia, meses de Marzo y Abril 2019"/>
    <x v="0"/>
    <m/>
    <s v="01985"/>
    <s v="29 de marzo de 2019"/>
    <n v="29"/>
    <x v="28"/>
    <s v="8.000,00"/>
    <e v="#NAME?"/>
  </r>
  <r>
    <n v="1986"/>
    <m/>
    <x v="0"/>
    <d v="2019-04-30T00:00:00"/>
    <n v="7000"/>
    <s v="Amparo Acosta"/>
    <s v="amparonatividad@hotmail.com"/>
    <s v="Calle Guacara Nro. 88-65"/>
    <s v="Vigilancia: Cancelación saldo mes de Abril y anticipo mes de Mayo 2019"/>
    <x v="0"/>
    <m/>
    <s v="01986"/>
    <s v="30 de abril de 2019"/>
    <n v="30"/>
    <x v="29"/>
    <s v="7.000,00"/>
    <e v="#NAME?"/>
  </r>
  <r>
    <n v="1987"/>
    <m/>
    <x v="0"/>
    <d v="2019-04-30T00:00:00"/>
    <n v="4000"/>
    <s v="Familia Il Grande Franceschi"/>
    <s v="arcifran75@hotmail.com"/>
    <s v="Av. &quot;I&quot; Nro. 146-40"/>
    <s v="Vigilancia: Anticipo mes de Mayo 2019"/>
    <x v="0"/>
    <m/>
    <s v="01987"/>
    <s v="30 de abril de 2019"/>
    <n v="30"/>
    <x v="29"/>
    <s v="4.000,00"/>
    <e v="#NAME?"/>
  </r>
  <r>
    <n v="1988"/>
    <m/>
    <x v="0"/>
    <d v="2019-04-28T00:00:00"/>
    <n v="2000"/>
    <s v="Andrea Valor"/>
    <s v="aavp992@gmail.com"/>
    <s v="Calle Guacara Nro. 88-75"/>
    <s v="Cancelación Vigilancia, saldo mes de Abril 2019"/>
    <x v="0"/>
    <m/>
    <s v="01988"/>
    <s v="28 de abril de 2019"/>
    <n v="28"/>
    <x v="29"/>
    <s v="2.000,00"/>
    <e v="#NAME?"/>
  </r>
  <r>
    <n v="1989"/>
    <m/>
    <x v="0"/>
    <d v="2019-05-01T00:00:00"/>
    <n v="5000"/>
    <s v="Dra. Lilia Magallanes"/>
    <s v="liliamagallanes2010@gmail.com"/>
    <s v="Calle Güigüe Nro. 88-51"/>
    <s v="Cancelación Vigilancia, mes de Abril 2019"/>
    <x v="0"/>
    <m/>
    <s v="01989"/>
    <s v="01 de mayo de 2019"/>
    <n v="1"/>
    <x v="30"/>
    <s v="5.000,00"/>
    <e v="#NAME?"/>
  </r>
  <r>
    <n v="1990"/>
    <m/>
    <x v="0"/>
    <d v="2019-05-02T00:00:00"/>
    <n v="10000"/>
    <s v="Beatriz Lara"/>
    <s v="valentina.gutierrez@hotmail.com"/>
    <s v="Calle Guacara Nro. 89-130"/>
    <s v="Vigilancia: Cancelación saldo mes de Abril y anticipo mes de Mayo 2019"/>
    <x v="0"/>
    <m/>
    <s v="01990"/>
    <s v="02 de mayo de 2019"/>
    <n v="2"/>
    <x v="30"/>
    <s v="10.000,00"/>
    <e v="#NAME?"/>
  </r>
  <r>
    <n v="1991"/>
    <m/>
    <x v="0"/>
    <d v="2019-05-02T00:00:00"/>
    <n v="5000"/>
    <s v="Familia Castillo Mena"/>
    <s v="emmecas@hotmail.com"/>
    <s v="Calle Güigüe Nro. 88-101"/>
    <s v="Cancelación Vigilancia, mes de Abril 2019"/>
    <x v="0"/>
    <m/>
    <s v="01991"/>
    <s v="02 de mayo de 2019"/>
    <n v="2"/>
    <x v="30"/>
    <s v="5.000,00"/>
    <e v="#NAME?"/>
  </r>
  <r>
    <n v="1992"/>
    <m/>
    <x v="0"/>
    <d v="2019-05-02T00:00:00"/>
    <n v="5000"/>
    <s v="Héctor Hernández"/>
    <s v="eof64@hotmail.com"/>
    <s v="Calle Guacara Nro. 89-94"/>
    <s v="Vigilancia: Anticipo mes de Mayo 2019"/>
    <x v="0"/>
    <m/>
    <s v="01992"/>
    <s v="02 de mayo de 2019"/>
    <n v="2"/>
    <x v="30"/>
    <s v="5.000,00"/>
    <e v="#NAME?"/>
  </r>
  <r>
    <n v="1993"/>
    <m/>
    <x v="0"/>
    <d v="2019-05-02T00:00:00"/>
    <n v="5000"/>
    <s v="Familia Franco Gómez"/>
    <s v="eof64@hotmail.com"/>
    <s v="Calle Guacara Nro. 87-07"/>
    <s v="Vigilancia: Anticipo mes de Mayo 2019"/>
    <x v="0"/>
    <m/>
    <s v="01993"/>
    <s v="02 de mayo de 2019"/>
    <n v="2"/>
    <x v="30"/>
    <s v="5.000,00"/>
    <e v="#NAME?"/>
  </r>
  <r>
    <n v="1994"/>
    <m/>
    <x v="0"/>
    <d v="2019-05-02T00:00:00"/>
    <n v="5000"/>
    <s v="Victoria Francischiello"/>
    <s v="victoriafrancischiello@hotmail.com"/>
    <s v="Calle Guacara Nro. 88-25"/>
    <s v="Cancelación Vigilancia, mes de Abril 2019"/>
    <x v="0"/>
    <m/>
    <s v="01994"/>
    <s v="02 de mayo de 2019"/>
    <n v="2"/>
    <x v="30"/>
    <s v="5.000,00"/>
    <e v="#NAME?"/>
  </r>
  <r>
    <n v="1995"/>
    <m/>
    <x v="0"/>
    <d v="2019-05-03T00:00:00"/>
    <n v="5000"/>
    <s v="Familia Guerra Miret"/>
    <s v="antoniojguerrag@hotmail.com"/>
    <s v="Calle Güigüe Nro. 89-40"/>
    <s v="Cancelación Vigilancia, anticipo mes de Mayo 2019"/>
    <x v="0"/>
    <m/>
    <s v="01995"/>
    <s v="03 de mayo de 2019"/>
    <n v="3"/>
    <x v="30"/>
    <s v="5.000,00"/>
    <e v="#NAME?"/>
  </r>
  <r>
    <n v="1996"/>
    <m/>
    <x v="0"/>
    <d v="2019-05-02T00:00:00"/>
    <n v="10000"/>
    <s v="Ma. de Jesus Alonso"/>
    <s v="alonsojg@gmail.com"/>
    <s v="Calle Güigüe Nro. 88-30"/>
    <s v="Cancelación Vigilancia, mes de Abril y anticipo mes de Mayo 2019"/>
    <x v="0"/>
    <m/>
    <s v="01996"/>
    <s v="02 de mayo de 2019"/>
    <n v="2"/>
    <x v="30"/>
    <s v="10.000,00"/>
    <e v="#NAME?"/>
  </r>
  <r>
    <n v="1997"/>
    <m/>
    <x v="0"/>
    <d v="2019-05-03T00:00:00"/>
    <n v="10000"/>
    <s v="Familia Ochoa Mendoza"/>
    <s v="marisoljudithm@hotmail.com"/>
    <s v="Calle Guacara Nro. 89-130"/>
    <s v="Cancelación Vigilancia, mes de Abril y anticipo mes de Mayo 2019"/>
    <x v="0"/>
    <m/>
    <s v="01997"/>
    <s v="03 de mayo de 2019"/>
    <n v="3"/>
    <x v="30"/>
    <s v="10.000,00"/>
    <e v="#NAME?"/>
  </r>
  <r>
    <n v="1998"/>
    <m/>
    <x v="0"/>
    <d v="2019-05-03T00:00:00"/>
    <n v="5000"/>
    <s v="Sra. Reina Meléndez"/>
    <s v="olgajipe@gmail.com"/>
    <s v="Av. &quot;M&quot; Nro. 145-10"/>
    <s v="Cancelación Vigilancia, mes de Abril 2019"/>
    <x v="0"/>
    <m/>
    <s v="01998"/>
    <s v="03 de mayo de 2019"/>
    <n v="3"/>
    <x v="30"/>
    <s v="5.000,00"/>
    <e v="#NAME?"/>
  </r>
  <r>
    <n v="1999"/>
    <m/>
    <x v="0"/>
    <d v="2019-05-04T00:00:00"/>
    <n v="6000"/>
    <s v="Familia Martínez Boada"/>
    <s v="florcitakmz@gmail.com"/>
    <s v="Calle Güigüe Nro. 88-62"/>
    <s v="Colaboración Vigilancia, meses de Marzo y Abril 2019"/>
    <x v="0"/>
    <m/>
    <s v="01999"/>
    <s v="04 de mayo de 2019"/>
    <n v="4"/>
    <x v="30"/>
    <s v="6.000,00"/>
    <e v="#NAME?"/>
  </r>
  <r>
    <n v="2000"/>
    <m/>
    <x v="0"/>
    <d v="2019-05-04T00:00:00"/>
    <n v="4500"/>
    <s v="Familia Rodríguez Landaeta"/>
    <s v="mrl58@hotmail.com"/>
    <s v="Calle Güigüe Nro. 89-29"/>
    <s v="Colaboración Vigilancia, meses de Marzo y Abril 2019"/>
    <x v="0"/>
    <m/>
    <s v="02000"/>
    <s v="04 de mayo de 2019"/>
    <n v="4"/>
    <x v="30"/>
    <s v="4.500,00"/>
    <e v="#NAME?"/>
  </r>
  <r>
    <n v="2001"/>
    <m/>
    <x v="0"/>
    <d v="2019-05-04T00:00:00"/>
    <n v="5000"/>
    <s v="Familia Delgado Hidalgo"/>
    <s v="ardh@hotmail.com"/>
    <s v="Calle Güigüe Nro. 88-10"/>
    <s v="Cancelación Vigilancia, anticipo mes de Mayo 2019"/>
    <x v="0"/>
    <m/>
    <s v="02001"/>
    <s v="04 de mayo de 2019"/>
    <n v="4"/>
    <x v="30"/>
    <s v="5.000,00"/>
    <e v="#NAME?"/>
  </r>
  <r>
    <n v="2002"/>
    <m/>
    <x v="0"/>
    <d v="2019-05-04T00:00:00"/>
    <n v="2500"/>
    <s v="Familia Rodríguez Landaeta"/>
    <s v="mrl58@hotmail.com"/>
    <s v="Calle Güigüe Nro. 89-29"/>
    <s v="Colaboración Vigilancia, mes de Mayo 2019"/>
    <x v="0"/>
    <m/>
    <s v="02002"/>
    <s v="04 de mayo de 2019"/>
    <n v="4"/>
    <x v="30"/>
    <s v="2.500,00"/>
    <e v="#NAME?"/>
  </r>
  <r>
    <n v="2003"/>
    <m/>
    <x v="0"/>
    <d v="2019-05-05T00:00:00"/>
    <n v="14000"/>
    <s v="Familia Leung"/>
    <s v="En Físico"/>
    <s v="Calle Guacara Nro. 88-55"/>
    <s v="Cancelación Vigilancia, meses de Enero, Febrero, Marzo y Abril 2019"/>
    <x v="0"/>
    <m/>
    <s v="02003"/>
    <s v="05 de mayo de 2019"/>
    <n v="5"/>
    <x v="30"/>
    <s v="14.000,00"/>
    <e v="#NAME?"/>
  </r>
  <r>
    <n v="2004"/>
    <m/>
    <x v="0"/>
    <d v="2019-05-05T00:00:00"/>
    <n v="5000"/>
    <s v="Familia Arcia Polanco"/>
    <s v="misipo29@gmail.com"/>
    <s v="Calle Guacara Nro. 89-20"/>
    <s v="Cancelación Vigilancia, anticipo mes de Mayo 2019"/>
    <x v="0"/>
    <m/>
    <s v="02004"/>
    <s v="05 de mayo de 2019"/>
    <n v="5"/>
    <x v="30"/>
    <s v="5.000,00"/>
    <e v="#NAME?"/>
  </r>
  <r>
    <n v="2005"/>
    <m/>
    <x v="0"/>
    <d v="2019-05-05T00:00:00"/>
    <n v="11666"/>
    <s v="Familia Fermín Rivas"/>
    <s v="angelferminb@gmail.com"/>
    <s v="Calle Güigüe Nro. 89-55"/>
    <s v="Cancelación Vigilancia, saldo mes de Abril 2019 y aporte especial"/>
    <x v="0"/>
    <m/>
    <s v="02005"/>
    <s v="05 de mayo de 2019"/>
    <n v="5"/>
    <x v="30"/>
    <s v="11.666,00"/>
    <e v="#NAME?"/>
  </r>
  <r>
    <n v="2006"/>
    <m/>
    <x v="0"/>
    <d v="2019-05-05T00:00:00"/>
    <n v="3000"/>
    <s v="Familia Guerra Miret"/>
    <s v="antoniojguerrag@hotmail.com"/>
    <s v="Calle Güigüe Nro. 89-40"/>
    <s v="Cancelación Vigilancia, saldo mes de Mayo 2019"/>
    <x v="0"/>
    <m/>
    <s v="02006"/>
    <s v="05 de mayo de 2019"/>
    <n v="5"/>
    <x v="30"/>
    <s v="3.000,00"/>
    <e v="#NAME?"/>
  </r>
  <r>
    <n v="2007"/>
    <m/>
    <x v="0"/>
    <d v="2019-05-05T00:00:00"/>
    <n v="8000"/>
    <s v="Familia Alonso Rojas"/>
    <s v="redjc01@gmail.com"/>
    <s v="Calle Güigüe Nro. 89-54"/>
    <s v="Cancelación Vigilancia, mes de Mayo 2019"/>
    <x v="0"/>
    <m/>
    <s v="02007"/>
    <s v="05 de mayo de 2019"/>
    <n v="5"/>
    <x v="30"/>
    <s v="8.000,00"/>
    <e v="#NAME?"/>
  </r>
  <r>
    <n v="2008"/>
    <m/>
    <x v="0"/>
    <d v="2019-05-04T00:00:00"/>
    <n v="5000"/>
    <s v="Amarilis Guerra"/>
    <s v="amarilisguerra1@yahoo.com"/>
    <s v="Calle Güigüe Nro. 89-96"/>
    <s v="Cancelación Vigilancia, anticipo mes de Mayo 2019"/>
    <x v="0"/>
    <m/>
    <s v="02008"/>
    <s v="04 de mayo de 2019"/>
    <n v="4"/>
    <x v="30"/>
    <s v="5.000,00"/>
    <e v="#NAME?"/>
  </r>
  <r>
    <n v="2009"/>
    <m/>
    <x v="0"/>
    <d v="2019-05-05T00:00:00"/>
    <n v="5000"/>
    <s v="Familia Zavarce Pérez"/>
    <s v="En Físico"/>
    <s v="Calle Guacara Nro. 90-35"/>
    <s v="Cancelación Vigilancia, mes de Abril 2019"/>
    <x v="0"/>
    <m/>
    <s v="02009"/>
    <s v="05 de mayo de 2019"/>
    <n v="5"/>
    <x v="30"/>
    <s v="5.000,00"/>
    <e v="#NAME?"/>
  </r>
  <r>
    <n v="2010"/>
    <m/>
    <x v="0"/>
    <d v="2019-05-05T00:00:00"/>
    <n v="8000"/>
    <s v="Familia Lomeña Agudo"/>
    <s v="claudialomena@hotmail.com"/>
    <s v="Calle Guacara Nro. 89-30"/>
    <s v="Cancelación Vigilancia, mes de Mayo 2019"/>
    <x v="0"/>
    <m/>
    <s v="02010"/>
    <s v="05 de mayo de 2019"/>
    <n v="5"/>
    <x v="30"/>
    <s v="8.000,00"/>
    <e v="#NAME?"/>
  </r>
  <r>
    <n v="2011"/>
    <m/>
    <x v="0"/>
    <d v="2019-05-06T00:00:00"/>
    <n v="3000"/>
    <s v="Familia Arcia Polanco"/>
    <s v="misipo29@gmail.com"/>
    <s v="Calle Guacara Nro. 89-20"/>
    <s v="Cancelación Vigilancia, saldo mes de Mayo 2019"/>
    <x v="0"/>
    <m/>
    <s v="02011"/>
    <s v="06 de mayo de 2019"/>
    <n v="6"/>
    <x v="30"/>
    <s v="3.000,00"/>
    <e v="#NAME?"/>
  </r>
  <r>
    <n v="2012"/>
    <m/>
    <x v="0"/>
    <d v="2019-05-06T00:00:00"/>
    <n v="2900"/>
    <s v="Colegio El Trigal"/>
    <s v="En Físico"/>
    <s v="Calle Güigüe Nros. 88-71 y 88-81"/>
    <s v="Cancelación Vigilancia, saldo mes de Abril 2019"/>
    <x v="0"/>
    <m/>
    <s v="02012"/>
    <s v="06 de mayo de 2019"/>
    <n v="6"/>
    <x v="30"/>
    <s v="2.900,00"/>
    <e v="#NAME?"/>
  </r>
  <r>
    <n v="2013"/>
    <m/>
    <x v="0"/>
    <d v="2019-05-06T00:00:00"/>
    <n v="10000"/>
    <s v="Familia Montilla García"/>
    <s v="dairy252525@hotmail.com"/>
    <s v="Calle Güigüe Nro. 89-90"/>
    <s v="Cancelación Vigilancia, saldo mes de Abril y mes de Mayo 2019"/>
    <x v="0"/>
    <m/>
    <s v="02013"/>
    <s v="06 de mayo de 2019"/>
    <n v="6"/>
    <x v="30"/>
    <s v="10.000,00"/>
    <e v="#NAME?"/>
  </r>
  <r>
    <n v="2014"/>
    <m/>
    <x v="0"/>
    <d v="2019-05-06T00:00:00"/>
    <n v="8000"/>
    <s v="Familia Costermani Terrer"/>
    <s v="claudiacostermani@hotmail.com"/>
    <s v="Calle Güigüe Nro. 88-11"/>
    <s v="Cancelación Vigilancia, mes de Mayo 2019"/>
    <x v="0"/>
    <m/>
    <s v="02014"/>
    <s v="06 de mayo de 2019"/>
    <n v="6"/>
    <x v="30"/>
    <s v="8.000,00"/>
    <e v="#NAME?"/>
  </r>
  <r>
    <n v="2015"/>
    <m/>
    <x v="0"/>
    <d v="2019-05-06T00:00:00"/>
    <n v="7000"/>
    <s v="Anahiz Seijas"/>
    <s v="anahiz_2@hotmail.es"/>
    <s v="Calle Güigüe Nro. 89-106"/>
    <s v="Cancelación Vigilancia, saldo mes de Abril y anticipo mes de Mayo 2019"/>
    <x v="0"/>
    <m/>
    <s v="02015"/>
    <s v="06 de mayo de 2019"/>
    <n v="6"/>
    <x v="30"/>
    <s v="7.000,00"/>
    <e v="#NAME?"/>
  </r>
  <r>
    <n v="2016"/>
    <m/>
    <x v="0"/>
    <d v="2019-05-06T00:00:00"/>
    <n v="8000"/>
    <s v="Familia Colosso Delgado"/>
    <s v="mcolosso@gmail.com"/>
    <s v="Calle Güigüe Nro. 88-44"/>
    <s v="Cancelación Vigilancia, mes de Mayo 2019"/>
    <x v="0"/>
    <m/>
    <s v="02016"/>
    <s v="06 de mayo de 2019"/>
    <n v="6"/>
    <x v="30"/>
    <s v="8.000,00"/>
    <e v="#NAME?"/>
  </r>
  <r>
    <n v="2017"/>
    <m/>
    <x v="0"/>
    <d v="2019-05-08T00:00:00"/>
    <n v="3000"/>
    <s v="Anahiz Seijas"/>
    <s v="anahiz_2@hotmail.es"/>
    <s v="Calle Güigüe Nro. 89-106"/>
    <s v="Cancelación Vigilancia, saldo mes de Mayo 2019"/>
    <x v="0"/>
    <m/>
    <s v="02017"/>
    <s v="08 de mayo de 2019"/>
    <n v="8"/>
    <x v="30"/>
    <s v="3.000,00"/>
    <e v="#NAME?"/>
  </r>
  <r>
    <n v="2018"/>
    <m/>
    <x v="0"/>
    <d v="2019-05-08T00:00:00"/>
    <n v="8000"/>
    <s v="Familia Milanés Carmona"/>
    <s v="yndira11m@gmail.com"/>
    <s v="Calle Güigüe Nro. 89-65"/>
    <s v="Cancelación Vigilancia, mes de Mayo 2019"/>
    <x v="0"/>
    <m/>
    <s v="02018"/>
    <s v="08 de mayo de 2019"/>
    <n v="8"/>
    <x v="30"/>
    <s v="8.000,00"/>
    <e v="#NAME?"/>
  </r>
  <r>
    <n v="2019"/>
    <m/>
    <x v="0"/>
    <d v="2019-05-07T00:00:00"/>
    <n v="8000"/>
    <s v="Familia Gascón Domínguez"/>
    <s v="vrgascon@gmail.com"/>
    <s v="Calle Güigüe Nro. 88-70"/>
    <s v="Cancelación Vigilancia, mes de Mayo 2019"/>
    <x v="0"/>
    <m/>
    <s v="02019"/>
    <s v="07 de mayo de 2019"/>
    <n v="7"/>
    <x v="30"/>
    <s v="8.000,00"/>
    <e v="#NAME?"/>
  </r>
  <r>
    <n v="2020"/>
    <m/>
    <x v="0"/>
    <d v="2019-05-08T00:00:00"/>
    <n v="5000"/>
    <s v="Silvia Power"/>
    <s v="spowermeneses@gmail.com"/>
    <s v="Calle Güigüe Nro. 89-16"/>
    <s v="Cancelación Vigilancia, mes de Abril 2019"/>
    <x v="0"/>
    <m/>
    <s v="02020"/>
    <s v="08 de mayo de 2019"/>
    <n v="8"/>
    <x v="30"/>
    <s v="5.000,00"/>
    <e v="#NAME?"/>
  </r>
  <r>
    <n v="2021"/>
    <m/>
    <x v="0"/>
    <d v="2019-05-08T00:00:00"/>
    <n v="12000"/>
    <s v="Familia Ferrer Bahri"/>
    <s v="bahrimariela@hotmail.com"/>
    <s v="Calle Güigüe Nro. 89-83"/>
    <s v="Cancelación Vigilancia, mes de Mayo 2019"/>
    <x v="0"/>
    <m/>
    <s v="02021"/>
    <s v="08 de mayo de 2019"/>
    <n v="8"/>
    <x v="30"/>
    <s v="12.000,00"/>
    <e v="#NAME?"/>
  </r>
  <r>
    <n v="2022"/>
    <m/>
    <x v="0"/>
    <d v="2019-05-09T00:00:00"/>
    <n v="13000"/>
    <s v="Familia Acosta Carpio"/>
    <s v="pablo962@hotmail.com"/>
    <s v="Calle Güigüe Nro. 89-10"/>
    <s v="Cancelación Vigilancia, meses de Abril y Mayo 2019"/>
    <x v="0"/>
    <m/>
    <s v="02022"/>
    <s v="09 de mayo de 2019"/>
    <n v="9"/>
    <x v="30"/>
    <s v="13.000,00"/>
    <e v="#NAME?"/>
  </r>
  <r>
    <n v="2023"/>
    <m/>
    <x v="0"/>
    <d v="2019-05-09T00:00:00"/>
    <n v="8000"/>
    <s v="Familia Zavarce Pérez"/>
    <s v="En Físico"/>
    <s v="Calle Guacara Nro. 90-35"/>
    <s v="Cancelación Vigilancia, mes de Mayo 2019"/>
    <x v="0"/>
    <m/>
    <s v="02023"/>
    <s v="09 de mayo de 2019"/>
    <n v="9"/>
    <x v="30"/>
    <s v="8.000,00"/>
    <e v="#NAME?"/>
  </r>
  <r>
    <n v="2024"/>
    <m/>
    <x v="0"/>
    <d v="2019-05-09T00:00:00"/>
    <n v="5000"/>
    <s v="Familia Méndez Parra"/>
    <s v="briceidademendez@gmail.com"/>
    <s v="Calle Guacara Nro. 88-19"/>
    <s v="Colaboración Vigilancia, mes de Mayo 2019"/>
    <x v="0"/>
    <m/>
    <s v="02024"/>
    <s v="09 de mayo de 2019"/>
    <n v="9"/>
    <x v="30"/>
    <s v="5.000,00"/>
    <e v="#NAME?"/>
  </r>
  <r>
    <n v="2025"/>
    <m/>
    <x v="0"/>
    <d v="2019-05-11T00:00:00"/>
    <n v="8000"/>
    <s v="Familia Kattar González"/>
    <s v="jagiak123@yahoo.es"/>
    <s v="Calle Güigüe Nro. 89-95"/>
    <s v="Cancelación Vigilancia, mes de Mayo 2019"/>
    <x v="0"/>
    <m/>
    <s v="02025"/>
    <s v="11 de mayo de 2019"/>
    <n v="11"/>
    <x v="30"/>
    <s v="8.000,00"/>
    <e v="#NAME?"/>
  </r>
  <r>
    <n v="2026"/>
    <m/>
    <x v="0"/>
    <d v="2019-05-13T00:00:00"/>
    <n v="8000"/>
    <s v="Familia Soto Urdaneta"/>
    <s v="esotom61@gmail.com"/>
    <s v="Calle Guacara Nro. 89-102"/>
    <s v="Cancelación Vigilancia, mes de Mayo 2019"/>
    <x v="0"/>
    <m/>
    <s v="02026"/>
    <s v="13 de mayo de 2019"/>
    <n v="13"/>
    <x v="30"/>
    <s v="8.000,00"/>
    <e v="#NAME?"/>
  </r>
  <r>
    <n v="2027"/>
    <m/>
    <x v="0"/>
    <d v="2019-05-13T00:00:00"/>
    <n v="8000"/>
    <s v="Familia Del Negro Palermo"/>
    <s v="vdelnegro@gmail.com"/>
    <s v="Calle Guacara Nro. 88-45"/>
    <s v="Cancelación Vigilancia, mes de Mayo 2019 (saldo a favor: Bs. 87.862,95)"/>
    <x v="0"/>
    <m/>
    <s v="02027"/>
    <s v="13 de mayo de 2019"/>
    <n v="13"/>
    <x v="30"/>
    <s v="8.000,00"/>
    <e v="#NAME?"/>
  </r>
  <r>
    <n v="2028"/>
    <m/>
    <x v="0"/>
    <d v="2019-05-13T00:00:00"/>
    <n v="8000"/>
    <s v="Ely Saúl Rivero Gómez"/>
    <s v="hhs.admon@gmail.com"/>
    <s v="Av. &quot;Ñ&quot; Nro. 145-25"/>
    <s v="Cancelación Vigilancia, mes de Mayo 2019 (saldo a favor: Bs. 15.352,00)"/>
    <x v="0"/>
    <m/>
    <s v="02028"/>
    <s v="13 de mayo de 2019"/>
    <n v="13"/>
    <x v="30"/>
    <s v="8.000,00"/>
    <e v="#NAME?"/>
  </r>
  <r>
    <n v="2029"/>
    <m/>
    <x v="0"/>
    <d v="2019-05-14T00:00:00"/>
    <n v="19800"/>
    <s v="Familia Flores Montagne"/>
    <s v="martaflores@gmail.com"/>
    <s v="Av. &quot;M&quot; Nro. 146-20"/>
    <s v="Cancelación Vigilancia, saldo mes de Enero y meses de Febrero, Marzo, Abril y Mayo 2019"/>
    <x v="0"/>
    <m/>
    <s v="02029"/>
    <s v="14 de mayo de 2019"/>
    <n v="14"/>
    <x v="30"/>
    <s v="19.800,00"/>
    <e v="#NAME?"/>
  </r>
  <r>
    <n v="2030"/>
    <m/>
    <x v="0"/>
    <d v="2019-05-14T00:00:00"/>
    <n v="8000"/>
    <s v="Familia Machado Stoppa"/>
    <s v="machadoru@hotmail.com"/>
    <s v="Calle Guacara Nro. 88-85"/>
    <s v="Cancelación Vigilancia, mes de Mayo 2019"/>
    <x v="0"/>
    <m/>
    <s v="02030"/>
    <s v="14 de mayo de 2019"/>
    <n v="14"/>
    <x v="30"/>
    <s v="8.000,00"/>
    <e v="#NAME?"/>
  </r>
  <r>
    <n v="2031"/>
    <m/>
    <x v="0"/>
    <d v="2019-05-14T00:00:00"/>
    <n v="8000"/>
    <s v="Carmen Moreno"/>
    <s v="carmenemoreno10@gmail.com"/>
    <s v="Calle Güigüe Nro. 89-04"/>
    <s v="Cancelación Vigilancia, mes de Mayo 2019"/>
    <x v="0"/>
    <m/>
    <s v="02031"/>
    <s v="14 de mayo de 2019"/>
    <n v="14"/>
    <x v="30"/>
    <s v="8.000,00"/>
    <e v="#NAME?"/>
  </r>
  <r>
    <n v="2032"/>
    <m/>
    <x v="0"/>
    <d v="2019-05-14T00:00:00"/>
    <n v="8000"/>
    <s v="Familia Sirit Palencia"/>
    <s v="irasirit@gmail.com"/>
    <s v="Calle Güigüe Nro. 89-35"/>
    <s v="Cancelación Vigilancia, mes de Mayo 2019"/>
    <x v="0"/>
    <m/>
    <s v="02032"/>
    <s v="14 de mayo de 2019"/>
    <n v="14"/>
    <x v="30"/>
    <s v="8.000,00"/>
    <e v="#NAME?"/>
  </r>
  <r>
    <n v="2033"/>
    <m/>
    <x v="0"/>
    <d v="2019-05-14T00:00:00"/>
    <n v="13000"/>
    <s v="Familia Piñero Padilla"/>
    <s v="achepaul2005@hotmail.com"/>
    <s v="Calle Güigüe Nro. 89-21"/>
    <s v="Cancelación Vigilancia, meses de Abril y Mayo 2019"/>
    <x v="0"/>
    <m/>
    <s v="02033"/>
    <s v="14 de mayo de 2019"/>
    <n v="14"/>
    <x v="30"/>
    <s v="13.000,00"/>
    <e v="#NAME?"/>
  </r>
  <r>
    <n v="2034"/>
    <m/>
    <x v="0"/>
    <d v="2019-05-15T00:00:00"/>
    <n v="8000"/>
    <s v="Familia Castro Jiménez"/>
    <s v="aurycastrojimenez@gmail.com"/>
    <s v="Calle Guacara Nro. 90-51"/>
    <s v="Cancelación Vigilancia, mes de Mayo 2019"/>
    <x v="0"/>
    <m/>
    <s v="02034"/>
    <s v="15 de mayo de 2019"/>
    <n v="15"/>
    <x v="30"/>
    <s v="8.000,00"/>
    <e v="#NAME?"/>
  </r>
  <r>
    <n v="2035"/>
    <m/>
    <x v="0"/>
    <d v="2019-05-15T00:00:00"/>
    <n v="8000"/>
    <s v="Zoraida Khair"/>
    <s v="zorakhair@hotmail.com | lbracamonte@netuno.net"/>
    <s v="Calle Güigüe Nro. 88-80"/>
    <s v="Cancelación Vigilancia, mes de Mayo 2019"/>
    <x v="0"/>
    <m/>
    <s v="02035"/>
    <s v="15 de mayo de 2019"/>
    <n v="15"/>
    <x v="30"/>
    <s v="8.000,00"/>
    <e v="#NAME?"/>
  </r>
  <r>
    <n v="2036"/>
    <m/>
    <x v="0"/>
    <d v="2019-05-15T00:00:00"/>
    <n v="8000"/>
    <s v="Familia Nava Gordon"/>
    <s v="maru_19_66@hotmail.com"/>
    <s v="Calle Guacara Nro. 89-78"/>
    <s v="Cancelación Vigilancia, mes de Mayo 2019"/>
    <x v="0"/>
    <m/>
    <s v="02036"/>
    <s v="15 de mayo de 2019"/>
    <n v="15"/>
    <x v="30"/>
    <s v="8.000,00"/>
    <e v="#NAME?"/>
  </r>
  <r>
    <n v="2037"/>
    <m/>
    <x v="0"/>
    <d v="2019-05-16T00:00:00"/>
    <n v="8000"/>
    <s v="Wilson Escamilla"/>
    <s v="wilsonescamilla45@gmail.com"/>
    <s v="Calle Güigüe Nro. 89-89"/>
    <s v="Cancelación Vigilancia, mes de Abril y anticipo mes de Mayo 2019"/>
    <x v="0"/>
    <m/>
    <s v="02037"/>
    <s v="16 de mayo de 2019"/>
    <n v="16"/>
    <x v="30"/>
    <s v="8.000,00"/>
    <e v="#NAME?"/>
  </r>
  <r>
    <n v="2038"/>
    <m/>
    <x v="0"/>
    <d v="2019-05-16T00:00:00"/>
    <n v="8000"/>
    <s v="Familia Kablan Sarmiento"/>
    <s v="norisjsb56@hotmail.com"/>
    <s v="Calle Güigüe Nro. 89-80"/>
    <s v="Cancelación Vigilancia, mes de Mayo 2019"/>
    <x v="0"/>
    <m/>
    <s v="02038"/>
    <s v="16 de mayo de 2019"/>
    <n v="16"/>
    <x v="30"/>
    <s v="8.000,00"/>
    <e v="#NAME?"/>
  </r>
  <r>
    <n v="2039"/>
    <m/>
    <x v="0"/>
    <d v="2019-05-16T00:00:00"/>
    <n v="20000"/>
    <s v="Familia Triana González"/>
    <s v="En Físico"/>
    <s v="Calle Guacara Nro. 90-61"/>
    <s v="Colaboración Vigilancia, meses de Noviembre y Diciembre 2018, y Enero, Febrero, Marzo, Abril y Mayo 2019"/>
    <x v="0"/>
    <m/>
    <s v="02039"/>
    <s v="16 de mayo de 2019"/>
    <n v="16"/>
    <x v="30"/>
    <s v="20.000,00"/>
    <e v="#NAME?"/>
  </r>
  <r>
    <n v="2040"/>
    <m/>
    <x v="0"/>
    <d v="2019-05-16T00:00:00"/>
    <n v="8000"/>
    <s v="Familia Rodríguez Aular"/>
    <s v="mvaular@hotmail.com"/>
    <s v="Calle Güigüe Nro. 88-58"/>
    <s v="Cancelación Vigilancia, mes de Mayo 2019"/>
    <x v="0"/>
    <m/>
    <s v="02040"/>
    <s v="16 de mayo de 2019"/>
    <n v="16"/>
    <x v="30"/>
    <s v="8.000,00"/>
    <e v="#NAME?"/>
  </r>
  <r>
    <n v="2041"/>
    <m/>
    <x v="0"/>
    <d v="2019-05-16T00:00:00"/>
    <n v="12000"/>
    <s v="Ana de González"/>
    <s v="mikelnowak25@gmail.com"/>
    <s v="Av. &quot;O&quot; Nro. 146-17"/>
    <s v="Cancelación Vigilancia, saldo mes de Abril, mes de Mayo y anticipo mes de Junio 2019"/>
    <x v="0"/>
    <m/>
    <s v="02041"/>
    <s v="16 de mayo de 2019"/>
    <n v="16"/>
    <x v="30"/>
    <s v="12.000,00"/>
    <e v="#NAME?"/>
  </r>
  <r>
    <n v="2042"/>
    <m/>
    <x v="0"/>
    <d v="2019-05-17T00:00:00"/>
    <n v="5000"/>
    <s v="Familia Barreto Pérez"/>
    <s v="bbetsa19@hotmail.com"/>
    <s v="Av. &quot;M&quot; Nro. 146-15"/>
    <s v="Cancelación Vigilancia, mes de Abril 2019"/>
    <x v="0"/>
    <m/>
    <s v="02042"/>
    <s v="17 de mayo de 2019"/>
    <n v="17"/>
    <x v="30"/>
    <s v="5.000,00"/>
    <e v="#NAME?"/>
  </r>
  <r>
    <n v="2043"/>
    <m/>
    <x v="0"/>
    <d v="2019-05-17T00:00:00"/>
    <n v="8000"/>
    <s v="Familia Díaz González"/>
    <s v="luisrdt57@gmail.com"/>
    <s v="Calle Güigüe Nro. 88-116"/>
    <s v="Cancelación Vigilancia, mes de Mayo 2019"/>
    <x v="0"/>
    <m/>
    <s v="02043"/>
    <s v="17 de mayo de 2019"/>
    <n v="17"/>
    <x v="30"/>
    <s v="8.000,00"/>
    <e v="#NAME?"/>
  </r>
  <r>
    <n v="2044"/>
    <m/>
    <x v="0"/>
    <d v="2019-05-16T00:00:00"/>
    <n v="13000"/>
    <s v="Familia Navarrete Medina"/>
    <s v="juanin1919@yahoo.com"/>
    <s v="Calle Güigüe Nro. 89-22"/>
    <s v="Cancelación Vigilancia, meses de Abril y Mayo 2019"/>
    <x v="0"/>
    <m/>
    <s v="02044"/>
    <s v="16 de mayo de 2019"/>
    <n v="16"/>
    <x v="30"/>
    <s v="13.000,00"/>
    <e v="#NAME?"/>
  </r>
  <r>
    <n v="2045"/>
    <m/>
    <x v="0"/>
    <d v="2019-05-19T00:00:00"/>
    <n v="8000"/>
    <s v="Dra. Lilia Magallanes"/>
    <s v="liliamagallanes2010@gmail.com"/>
    <s v="Calle Güigüe Nro. 88-51"/>
    <s v="Cancelación Vigilancia, mes de Mayo 2019"/>
    <x v="0"/>
    <m/>
    <s v="02045"/>
    <s v="19 de mayo de 2019"/>
    <n v="19"/>
    <x v="30"/>
    <s v="8.000,00"/>
    <e v="#NAME?"/>
  </r>
  <r>
    <n v="2046"/>
    <m/>
    <x v="0"/>
    <d v="2019-05-19T00:00:00"/>
    <n v="15000"/>
    <s v="Wu Hung Fung"/>
    <s v="carolinahung24@gmail.com | barbarahung15@hotmail.com"/>
    <s v="Calle Guacara Nro. 90-81"/>
    <s v="Vigilancia: mes de Mayo y anticipo Junio 2019"/>
    <x v="0"/>
    <m/>
    <s v="02046"/>
    <s v="19 de mayo de 2019"/>
    <n v="19"/>
    <x v="30"/>
    <s v="15.000,00"/>
    <e v="#NAME?"/>
  </r>
  <r>
    <n v="2047"/>
    <m/>
    <x v="0"/>
    <d v="2019-05-20T00:00:00"/>
    <n v="5000"/>
    <s v="Familia Matta Palomino"/>
    <s v="En Físico"/>
    <s v="Calle Güigüe Nro. 88-90"/>
    <s v="Cancelación Vigilancia, mes de Abril 2019"/>
    <x v="0"/>
    <m/>
    <s v="02047"/>
    <s v="20 de mayo de 2019"/>
    <n v="20"/>
    <x v="30"/>
    <s v="5.000,00"/>
    <e v="#NAME?"/>
  </r>
  <r>
    <n v="2048"/>
    <m/>
    <x v="0"/>
    <d v="2019-05-21T00:00:00"/>
    <n v="5000"/>
    <s v="Chin Chun Ya (Goya)"/>
    <s v="uc2721@gmail.com"/>
    <s v="Calle Guacara Nro. 87-86"/>
    <s v="Anticipo Vigilancia, mes de Mayo 2019"/>
    <x v="0"/>
    <m/>
    <s v="02048"/>
    <s v="21 de mayo de 2019"/>
    <n v="21"/>
    <x v="30"/>
    <s v="5.000,00"/>
    <e v="#NAME?"/>
  </r>
  <r>
    <n v="2049"/>
    <m/>
    <x v="0"/>
    <d v="2019-05-22T00:00:00"/>
    <n v="3000"/>
    <s v="Amparo Acosta"/>
    <s v="amparonatividad@hotmail.com"/>
    <s v="Calle Guacara Nro. 88-65"/>
    <s v="Cancelación Vigilancia, saldo mes de Mayo 2019"/>
    <x v="0"/>
    <m/>
    <s v="02049"/>
    <s v="22 de mayo de 2019"/>
    <n v="22"/>
    <x v="30"/>
    <s v="3.000,00"/>
    <e v="#NAME?"/>
  </r>
  <r>
    <n v="2050"/>
    <m/>
    <x v="0"/>
    <d v="2019-05-23T00:00:00"/>
    <n v="8000"/>
    <s v="Familia Barreto Pérez"/>
    <s v="bbetsa19@hotmail.com"/>
    <s v="Av. &quot;M&quot; Nro. 146-15"/>
    <s v="Cancelación Vigilancia, mes de Mayo 2019"/>
    <x v="0"/>
    <m/>
    <s v="02050"/>
    <s v="23 de mayo de 2019"/>
    <n v="23"/>
    <x v="30"/>
    <s v="8.000,00"/>
    <e v="#NAME?"/>
  </r>
  <r>
    <n v="2051"/>
    <m/>
    <x v="0"/>
    <d v="2019-05-23T00:00:00"/>
    <n v="5000"/>
    <s v="Sra. Reina Meléndez"/>
    <s v="olgajipe@gmail.com"/>
    <s v="Av. &quot;M&quot; Nro. 145-10"/>
    <s v="Anticipo Vigilancia, mes de Mayo 2019"/>
    <x v="0"/>
    <m/>
    <s v="02051"/>
    <s v="23 de mayo de 2019"/>
    <n v="23"/>
    <x v="30"/>
    <s v="5.000,00"/>
    <e v="#NAME?"/>
  </r>
  <r>
    <n v="2052"/>
    <m/>
    <x v="0"/>
    <d v="2019-05-23T00:00:00"/>
    <n v="5000"/>
    <s v="Silvia Power"/>
    <s v="spowermeneses@gmail.com"/>
    <s v="Calle Güigüe Nro. 89-16"/>
    <s v="Colaboración Vigilancia, mes de Mayo 2019"/>
    <x v="0"/>
    <m/>
    <s v="02052"/>
    <s v="23 de mayo de 2019"/>
    <n v="23"/>
    <x v="30"/>
    <s v="5.000,00"/>
    <e v="#NAME?"/>
  </r>
  <r>
    <n v="2053"/>
    <m/>
    <x v="0"/>
    <d v="2019-05-15T00:00:00"/>
    <n v="3000"/>
    <s v="Beatriz Lara"/>
    <s v="valentina.gutierrez@hotmail.com"/>
    <s v="Calle Guacara Nro. 89-130"/>
    <s v="Cancelación Vigilancia, saldo mes de Mayo 2019"/>
    <x v="0"/>
    <m/>
    <s v="02053"/>
    <s v="15 de mayo de 2019"/>
    <n v="15"/>
    <x v="30"/>
    <s v="3.000,00"/>
    <e v="#NAME?"/>
  </r>
  <r>
    <n v="2054"/>
    <m/>
    <x v="0"/>
    <d v="2019-05-24T00:00:00"/>
    <n v="8000"/>
    <s v="Familia Castillo Mena"/>
    <s v="emmecas@hotmail.com"/>
    <s v="Calle Güigüe Nro. 88-101"/>
    <s v="Cancelación Vigilancia, mes de Mayo 2019"/>
    <x v="0"/>
    <m/>
    <s v="02054"/>
    <s v="24 de mayo de 2019"/>
    <n v="24"/>
    <x v="30"/>
    <s v="8.000,00"/>
    <e v="#NAME?"/>
  </r>
  <r>
    <n v="2055"/>
    <m/>
    <x v="0"/>
    <d v="2019-05-24T00:00:00"/>
    <n v="19800"/>
    <s v="Familia Astor Zamora"/>
    <s v="imzastor@gmail.com"/>
    <s v="Calle Güigüe Nro. 88-111"/>
    <s v="Cancelación Vigilancia, meses de Diciembre 2018, de Enero a Abril 2019 y anticipo Mayo 2019"/>
    <x v="0"/>
    <m/>
    <s v="02055"/>
    <s v="24 de mayo de 2019"/>
    <n v="24"/>
    <x v="30"/>
    <s v="19.800,00"/>
    <e v="#NAME?"/>
  </r>
  <r>
    <n v="2056"/>
    <m/>
    <x v="0"/>
    <d v="2019-05-24T00:00:00"/>
    <n v="3000"/>
    <s v="Familia Navarro Assing"/>
    <s v="liliaassing@gmail.com"/>
    <s v="Calle Güigüe Nro. 88-54"/>
    <s v="Anticipo Vigilancia, mes de Junio 2019 (Bs. 3.500)"/>
    <x v="0"/>
    <m/>
    <s v="02056"/>
    <s v="24 de mayo de 2019"/>
    <n v="24"/>
    <x v="30"/>
    <s v="3.000,00"/>
    <e v="#NAME?"/>
  </r>
  <r>
    <n v="2057"/>
    <m/>
    <x v="0"/>
    <d v="2019-05-24T00:00:00"/>
    <n v="8000"/>
    <s v="Familia Navarro Assing"/>
    <s v="liliaassing@gmail.com"/>
    <s v="Calle Güigüe Nro. 88-54"/>
    <s v="Cancelación Vigilancia, mes de Mayo 2019"/>
    <x v="0"/>
    <m/>
    <s v="02057"/>
    <s v="24 de mayo de 2019"/>
    <n v="24"/>
    <x v="30"/>
    <s v="8.000,00"/>
    <e v="#NAME?"/>
  </r>
  <r>
    <n v="2058"/>
    <m/>
    <x v="0"/>
    <d v="2019-05-25T00:00:00"/>
    <n v="3000"/>
    <s v="Familia Franco Gómez"/>
    <s v="eof64@hotmail.com"/>
    <s v="Calle Guacara Nro. 87-07"/>
    <s v="Cancelación Vigilancia, saldo mes de Mayo 2019"/>
    <x v="0"/>
    <m/>
    <s v="02058"/>
    <s v="25 de mayo de 2019"/>
    <n v="25"/>
    <x v="30"/>
    <s v="3.000,00"/>
    <e v="#NAME?"/>
  </r>
  <r>
    <n v="2059"/>
    <m/>
    <x v="0"/>
    <d v="2019-05-25T00:00:00"/>
    <n v="3000"/>
    <s v="Héctor Hernández"/>
    <s v="eof64@hotmail.com"/>
    <s v="Calle Guacara Nro. 89-94"/>
    <s v="Cancelación Vigilancia, saldo mes de Mayo 2019"/>
    <x v="0"/>
    <m/>
    <s v="02059"/>
    <s v="25 de mayo de 2019"/>
    <n v="25"/>
    <x v="30"/>
    <s v="3.000,00"/>
    <e v="#NAME?"/>
  </r>
  <r>
    <n v="2060"/>
    <m/>
    <x v="0"/>
    <d v="2019-05-25T00:00:00"/>
    <n v="10000"/>
    <s v="Familia Wu Acevedo"/>
    <s v="rudyacevedo90@gmail.com"/>
    <s v="Calle Guacara Nro. 88-A-10"/>
    <s v="Cancelación Vigilancia, mes de Mayo 2019 (saldo a favor: Bs. 46.005,80)"/>
    <x v="0"/>
    <m/>
    <s v="02060"/>
    <s v="25 de mayo de 2019"/>
    <n v="25"/>
    <x v="30"/>
    <s v="10.000,00"/>
    <e v="#NAME?"/>
  </r>
  <r>
    <n v="2061"/>
    <m/>
    <x v="0"/>
    <d v="2019-05-25T00:00:00"/>
    <n v="8000"/>
    <s v="Familia Manrique Riera"/>
    <s v="patriciamanrique@gmail.com"/>
    <s v="Calle Guacara Nro. 89-40"/>
    <s v="Cancelación Vigilancia, mes de Mayo 2019"/>
    <x v="0"/>
    <m/>
    <s v="02061"/>
    <s v="25 de mayo de 2019"/>
    <n v="25"/>
    <x v="30"/>
    <s v="8.000,00"/>
    <e v="#NAME?"/>
  </r>
  <r>
    <n v="2062"/>
    <m/>
    <x v="0"/>
    <d v="2019-05-25T00:00:00"/>
    <n v="8000"/>
    <s v="Familia Scabuzzo Gómez"/>
    <s v="sfscabuzzo@msn.com"/>
    <s v="Av. &quot;I&quot; Nro. 146-20"/>
    <s v="Cancelación Vigilancia, mes de Mayo 2019"/>
    <x v="0"/>
    <m/>
    <s v="02062"/>
    <s v="25 de mayo de 2019"/>
    <n v="25"/>
    <x v="30"/>
    <s v="8.000,00"/>
    <e v="#NAME?"/>
  </r>
  <r>
    <n v="2063"/>
    <m/>
    <x v="0"/>
    <d v="2019-05-26T00:00:00"/>
    <n v="1000"/>
    <s v="Familia Chávez Hernández"/>
    <s v="mercedesch23@hotmail.com"/>
    <s v="Calle Güigüe Nro. 88-20"/>
    <s v="Colaboración Vigilancia, mes de Mayo 2019"/>
    <x v="0"/>
    <m/>
    <s v="02063"/>
    <s v="26 de mayo de 2019"/>
    <n v="26"/>
    <x v="30"/>
    <s v="1.000,00"/>
    <e v="#NAME?"/>
  </r>
  <r>
    <n v="2064"/>
    <m/>
    <x v="0"/>
    <d v="2019-05-02T00:00:00"/>
    <n v="2000"/>
    <s v="Familia Scabuzzo Gómez"/>
    <s v="sfscabuzzo@msn.com"/>
    <s v="Av. &quot;I&quot; Nro. 146-20"/>
    <s v="Cancelación Vigilancia, saldo mes de Abril 2019"/>
    <x v="0"/>
    <m/>
    <s v="02064"/>
    <s v="02 de mayo de 2019"/>
    <n v="2"/>
    <x v="30"/>
    <s v="2.000,00"/>
    <e v="#NAME?"/>
  </r>
  <r>
    <n v="2065"/>
    <m/>
    <x v="0"/>
    <d v="2019-05-28T00:00:00"/>
    <n v="3000"/>
    <s v="Sra. Reina Meléndez"/>
    <s v="olgajipe@gmail.com"/>
    <s v="Av. &quot;M&quot; Nro. 145-10"/>
    <s v="Cancelación Vigilancia, saldo mes de Mayo 2019"/>
    <x v="0"/>
    <m/>
    <s v="02065"/>
    <s v="28 de mayo de 2019"/>
    <n v="28"/>
    <x v="30"/>
    <s v="3.000,00"/>
    <e v="#NAME?"/>
  </r>
  <r>
    <n v="2066"/>
    <m/>
    <x v="0"/>
    <d v="2019-05-28T00:00:00"/>
    <n v="15000"/>
    <s v="Familia Calzadilla Trujillo"/>
    <s v="calzadilla40@hotmail.com"/>
    <s v="Av. &quot;M&quot; Nro. 146-30"/>
    <s v="Cancelación Vigilancia, saldo mes de Mayo y mes de Junio 2019"/>
    <x v="0"/>
    <m/>
    <s v="02066"/>
    <s v="28 de mayo de 2019"/>
    <n v="28"/>
    <x v="30"/>
    <s v="15.000,00"/>
    <e v="#NAME?"/>
  </r>
  <r>
    <n v="2067"/>
    <m/>
    <x v="0"/>
    <d v="2019-05-28T00:00:00"/>
    <n v="8000"/>
    <s v="Andrea Valor"/>
    <s v="aavp992@gmail.com"/>
    <s v="Calle Guacara Nro. 88-75"/>
    <s v="Cancelación Vigilancia, mes de Mayo 2019"/>
    <x v="0"/>
    <m/>
    <s v="02067"/>
    <s v="28 de mayo de 2019"/>
    <n v="28"/>
    <x v="30"/>
    <s v="8.000,00"/>
    <e v="#NAME?"/>
  </r>
  <r>
    <n v="2068"/>
    <m/>
    <x v="0"/>
    <d v="2019-05-28T00:00:00"/>
    <n v="8000"/>
    <s v="Familia López Hermoso"/>
    <s v="lopez.humberto14@yahoo.com.ve"/>
    <s v="Calle Güigüe Nro. 89-79"/>
    <s v="Cancelación Vigilancia, mes de Mayo 2019 (saldo a favor: Bs. 48.000,00)"/>
    <x v="0"/>
    <m/>
    <s v="02068"/>
    <s v="28 de mayo de 2019"/>
    <n v="28"/>
    <x v="30"/>
    <s v="8.000,00"/>
    <e v="#NAME?"/>
  </r>
  <r>
    <n v="2069"/>
    <m/>
    <x v="0"/>
    <d v="2019-05-29T00:00:00"/>
    <n v="8000"/>
    <s v="Zoraida Khair"/>
    <s v="zorakhair@hotmail.com | lbracamonte@netuno.net"/>
    <s v="Calle Güigüe Nro. 88-80"/>
    <s v="Cancelación Vigilancia, mes de Junio 2019"/>
    <x v="0"/>
    <m/>
    <s v="02069"/>
    <s v="29 de mayo de 2019"/>
    <n v="29"/>
    <x v="30"/>
    <s v="8.000,00"/>
    <e v="#NAME?"/>
  </r>
  <r>
    <n v="2070"/>
    <m/>
    <x v="0"/>
    <d v="2019-05-29T00:00:00"/>
    <n v="11600"/>
    <s v="Colegio El Trigal"/>
    <s v="En Físico"/>
    <s v="Calle Güigüe Nros. 88-71 y 88-81"/>
    <s v="Cancelación Vigilancia, mes de Mayo 2019"/>
    <x v="0"/>
    <m/>
    <s v="02070"/>
    <s v="29 de mayo de 2019"/>
    <n v="29"/>
    <x v="30"/>
    <s v="11.600,00"/>
    <e v="#NAME?"/>
  </r>
  <r>
    <n v="2071"/>
    <m/>
    <x v="0"/>
    <d v="2019-05-29T00:00:00"/>
    <n v="11000"/>
    <s v="Familia González Arévalo"/>
    <s v="feryenis@hotmail.com"/>
    <s v="Calle Guacara Nro. 89-86"/>
    <s v="Cancelación Vigilancia, saldo mes de Mayo y mes de Junio 2019"/>
    <x v="0"/>
    <m/>
    <s v="02071"/>
    <s v="29 de mayo de 2019"/>
    <n v="29"/>
    <x v="30"/>
    <s v="11.000,00"/>
    <e v="#NAME?"/>
  </r>
  <r>
    <n v="2072"/>
    <m/>
    <x v="0"/>
    <d v="2019-05-29T00:00:00"/>
    <n v="8000"/>
    <s v="Familia Narváez Caldera"/>
    <s v="jeannette_nc@yahoo.com"/>
    <s v="Calle Güigüe Nro. 87-A-11"/>
    <s v="Cancelación Vigilancia, mes de Mayo 2019"/>
    <x v="0"/>
    <m/>
    <s v="02072"/>
    <s v="29 de mayo de 2019"/>
    <n v="29"/>
    <x v="30"/>
    <s v="8.000,00"/>
    <e v="#NAME?"/>
  </r>
  <r>
    <n v="2073"/>
    <m/>
    <x v="0"/>
    <d v="2019-05-30T00:00:00"/>
    <n v="13000"/>
    <s v="Familia Puerta Burguillos"/>
    <s v="namaricakes@gmail.com"/>
    <s v="Calle Guacara Nro. 87-100"/>
    <s v="Vigilancia: Cancelación saldo mes de Mayo y mes de Junio 2019"/>
    <x v="0"/>
    <m/>
    <s v="02073"/>
    <s v="30 de mayo de 2019"/>
    <n v="30"/>
    <x v="30"/>
    <s v="13.000,00"/>
    <e v="#NAME?"/>
  </r>
  <r>
    <n v="2074"/>
    <m/>
    <x v="0"/>
    <d v="2019-05-30T00:00:00"/>
    <n v="11520"/>
    <s v="Familia Hatem Medina"/>
    <s v="hhatem1@hotmail.com"/>
    <s v="Calle Guacara Nro. 88-51"/>
    <s v="Vigilancia: saldo mes de Abril (Bs. 1.480), cancelación mes de Mayo (Bs. 8.000) y anticipo mes de Junio 2019 (Bs. 2.040)"/>
    <x v="0"/>
    <m/>
    <s v="02074"/>
    <s v="30 de mayo de 2019"/>
    <n v="30"/>
    <x v="30"/>
    <s v="11.520,00"/>
    <e v="#NAME?"/>
  </r>
  <r>
    <n v="2075"/>
    <m/>
    <x v="0"/>
    <d v="2019-05-30T00:00:00"/>
    <n v="8000"/>
    <s v="Familia Ozar Rivero"/>
    <s v="vanessarivero81@hotmail.com"/>
    <s v="Calle Güigüe Nro. 88-06"/>
    <s v="Cancelación Vigilancia, mes de Mayo 2019"/>
    <x v="0"/>
    <m/>
    <s v="02075"/>
    <s v="30 de mayo de 2019"/>
    <n v="30"/>
    <x v="30"/>
    <s v="8.000,00"/>
    <e v="#NAME?"/>
  </r>
  <r>
    <n v="2076"/>
    <m/>
    <x v="0"/>
    <d v="2019-05-30T00:00:00"/>
    <n v="3000"/>
    <s v="Amarilis Guerra"/>
    <s v="amarilisguerra1@yahoo.com"/>
    <s v="Calle Güigüe Nro. 89-96"/>
    <s v="Cancelación Vigilancia, saldo mes de Mayo 2019"/>
    <x v="0"/>
    <m/>
    <s v="02076"/>
    <s v="30 de mayo de 2019"/>
    <n v="30"/>
    <x v="30"/>
    <s v="3.000,00"/>
    <e v="#NAME?"/>
  </r>
  <r>
    <n v="2077"/>
    <m/>
    <x v="0"/>
    <d v="2019-05-30T00:00:00"/>
    <n v="8000"/>
    <s v="Familia Abbinante Pinto"/>
    <s v="abbinante47@gmail.com"/>
    <s v="Calle Güigüe Nro. 89-120"/>
    <s v="Cancelación Vigilancia, mes de Mayo 2019"/>
    <x v="0"/>
    <m/>
    <s v="02077"/>
    <s v="30 de mayo de 2019"/>
    <n v="30"/>
    <x v="30"/>
    <s v="8.000,00"/>
    <e v="#NAME?"/>
  </r>
  <r>
    <n v="2078"/>
    <m/>
    <x v="0"/>
    <d v="2019-05-31T00:00:00"/>
    <n v="8000"/>
    <s v="Familia Zavarce Barón"/>
    <s v="alexanderzavarce@gmail.com"/>
    <s v="Calle Guacara Nro. 88-91"/>
    <s v="Cancelación Vigilancia, mes de Mayo 2019"/>
    <x v="0"/>
    <m/>
    <s v="02078"/>
    <s v="31 de mayo de 2019"/>
    <n v="31"/>
    <x v="30"/>
    <s v="8.000,00"/>
    <e v="#NAME?"/>
  </r>
  <r>
    <n v="2079"/>
    <m/>
    <x v="0"/>
    <d v="2019-05-31T00:00:00"/>
    <n v="8000"/>
    <s v="Familia Guerra Miret"/>
    <s v="antoniojguerrag@hotmail.com"/>
    <s v="Calle Güigüe Nro. 89-40"/>
    <s v="Cancelación Vigilancia, mes de Junio 2019"/>
    <x v="0"/>
    <m/>
    <s v="02079"/>
    <s v="31 de mayo de 2019"/>
    <n v="31"/>
    <x v="30"/>
    <s v="8.000,00"/>
    <e v="#NAME?"/>
  </r>
  <r>
    <n v="2080"/>
    <m/>
    <x v="0"/>
    <d v="2019-05-31T00:00:00"/>
    <n v="11000"/>
    <s v="Familia Durvelle Serrano"/>
    <s v="sdurvelle@hotmail.com"/>
    <s v="Calle Guacara Nro. 89-60"/>
    <s v="Cancelación Vigilancia, saldo mes de Mayo y mes de Junio 2019"/>
    <x v="0"/>
    <m/>
    <s v="02080"/>
    <s v="31 de mayo de 2019"/>
    <n v="31"/>
    <x v="30"/>
    <s v="11.000,00"/>
    <e v="#NAME?"/>
  </r>
  <r>
    <n v="2081"/>
    <m/>
    <x v="0"/>
    <d v="2019-05-31T00:00:00"/>
    <n v="10000"/>
    <s v="Familia Hurtado"/>
    <s v="hurtadomilena@gmail.com"/>
    <s v="Av. &quot;O&quot; Nro. 146-11"/>
    <s v="Cancelación Vigilancia, saldo mes de Abril y mes de Mayo 2019. Transferencia Banesco nro. 11216214961"/>
    <x v="0"/>
    <m/>
    <s v="02081"/>
    <s v="31 de mayo de 2019"/>
    <n v="31"/>
    <x v="30"/>
    <s v="10.000,00"/>
    <e v="#NAME?"/>
  </r>
  <r>
    <n v="2082"/>
    <m/>
    <x v="0"/>
    <d v="2019-06-02T00:00:00"/>
    <n v="8000"/>
    <s v="Familia Milanés Carmona"/>
    <s v="yndira11m@gmail.com"/>
    <s v="Calle Güigüe Nro. 89-65"/>
    <s v="Cancelación Vigilancia, mes de Junio 2019"/>
    <x v="0"/>
    <m/>
    <s v="02082"/>
    <s v="02 de junio de 2019"/>
    <n v="2"/>
    <x v="31"/>
    <s v="8.000,00"/>
    <e v="#NAME?"/>
  </r>
  <r>
    <n v="2083"/>
    <m/>
    <x v="1"/>
    <d v="2019-06-02T00:00:00"/>
    <n v="8000"/>
    <s v="Sra. Reina Meléndez"/>
    <s v="olgajipe@gmail.com"/>
    <s v="Av. &quot;M&quot; Nro. 145-10"/>
    <s v="ANULADO: Cancelación Vigilancia, mes de Junio 2019"/>
    <x v="3"/>
    <m/>
    <s v="02083"/>
    <s v="02 de junio de 2019"/>
    <n v="2"/>
    <x v="31"/>
    <s v="8.000,00"/>
    <e v="#NAME?"/>
  </r>
  <r>
    <n v="2084"/>
    <m/>
    <x v="0"/>
    <d v="2019-06-02T00:00:00"/>
    <n v="8000"/>
    <s v="Gloria Molina"/>
    <s v="glomola2@yahoo.es"/>
    <s v="Calle Güigüe Nro. 89-71"/>
    <s v="Cancelación Vigilancia, mes de Mayo 2019"/>
    <x v="0"/>
    <m/>
    <s v="02084"/>
    <s v="02 de junio de 2019"/>
    <n v="2"/>
    <x v="31"/>
    <s v="8.000,00"/>
    <e v="#NAME?"/>
  </r>
  <r>
    <n v="2085"/>
    <m/>
    <x v="0"/>
    <d v="2019-06-03T00:00:00"/>
    <n v="10000"/>
    <s v="Familia Lomeña Agudo"/>
    <s v="claudialomena@hotmail.com"/>
    <s v="Calle Guacara Nro. 89-30"/>
    <s v="Cancelación Vigilancia, mes de Junio 2019"/>
    <x v="0"/>
    <m/>
    <s v="02085"/>
    <s v="03 de junio de 2019"/>
    <n v="3"/>
    <x v="31"/>
    <s v="10.000,00"/>
    <e v="#NAME?"/>
  </r>
  <r>
    <n v="2086"/>
    <m/>
    <x v="0"/>
    <d v="2019-06-03T00:00:00"/>
    <n v="12000"/>
    <s v="Familia Ferrer Bahri"/>
    <s v="bahrimariela@hotmail.com"/>
    <s v="Calle Güigüe Nro. 89-83"/>
    <s v="Cancelación Vigilancia, mes de Junio 2019"/>
    <x v="0"/>
    <m/>
    <s v="02086"/>
    <s v="03 de junio de 2019"/>
    <n v="3"/>
    <x v="31"/>
    <s v="12.000,00"/>
    <e v="#NAME?"/>
  </r>
  <r>
    <n v="2087"/>
    <m/>
    <x v="0"/>
    <d v="2019-06-03T00:00:00"/>
    <n v="8000"/>
    <s v="Chin Chun Ya (Goya)"/>
    <s v="uc2721@gmail.com"/>
    <s v="Calle Guacara Nro. 87-86"/>
    <s v="Cancelación Vigilancia, mes de Junio 2019"/>
    <x v="0"/>
    <m/>
    <s v="02087"/>
    <s v="03 de junio de 2019"/>
    <n v="3"/>
    <x v="31"/>
    <s v="8.000,00"/>
    <e v="#NAME?"/>
  </r>
  <r>
    <n v="2088"/>
    <m/>
    <x v="0"/>
    <d v="2019-06-03T00:00:00"/>
    <n v="3000"/>
    <s v="Familia Jiménez Navarro"/>
    <s v="joyasonline2012@gmail.com"/>
    <s v="Calle Güigüe Nro. 88-50"/>
    <s v="Cancelación Vigilancia, saldo mes de Mayo 2019"/>
    <x v="0"/>
    <m/>
    <s v="02088"/>
    <s v="03 de junio de 2019"/>
    <n v="3"/>
    <x v="31"/>
    <s v="3.000,00"/>
    <e v="#NAME?"/>
  </r>
  <r>
    <n v="2089"/>
    <m/>
    <x v="0"/>
    <d v="2019-06-03T00:00:00"/>
    <n v="8000"/>
    <s v="Familia Matta Palomino"/>
    <s v="En Físico"/>
    <s v="Calle Güigüe Nro. 88-90"/>
    <s v="Cancelación Vigilancia, mes de Mayo 2019"/>
    <x v="0"/>
    <m/>
    <s v="02089"/>
    <s v="03 de junio de 2019"/>
    <n v="3"/>
    <x v="31"/>
    <s v="8.000,00"/>
    <e v="#NAME?"/>
  </r>
  <r>
    <n v="2090"/>
    <m/>
    <x v="0"/>
    <d v="2019-06-03T00:00:00"/>
    <n v="8000"/>
    <s v="Familia Nava Gordon"/>
    <s v="maru_19_66@hotmail.com"/>
    <s v="Calle Guacara Nro. 89-78"/>
    <s v="Cancelación Vigilancia, mes de Junio 2019"/>
    <x v="0"/>
    <m/>
    <s v="02090"/>
    <s v="03 de junio de 2019"/>
    <n v="3"/>
    <x v="31"/>
    <s v="8.000,00"/>
    <e v="#NAME?"/>
  </r>
  <r>
    <n v="2091"/>
    <m/>
    <x v="0"/>
    <d v="2019-06-03T00:00:00"/>
    <n v="5000"/>
    <s v="Familia Rodríguez Landaeta"/>
    <s v="mrl58@hotmail.com"/>
    <s v="Calle Güigüe Nro. 89-29"/>
    <s v="Colaboración Vigilancia, mes de Junio 2019"/>
    <x v="0"/>
    <m/>
    <s v="02091"/>
    <s v="03 de junio de 2019"/>
    <n v="3"/>
    <x v="31"/>
    <s v="5.000,00"/>
    <e v="#NAME?"/>
  </r>
  <r>
    <n v="2092"/>
    <m/>
    <x v="0"/>
    <d v="2019-06-04T00:00:00"/>
    <n v="11000"/>
    <s v="Familia Delgado Hidalgo"/>
    <s v="ardh@hotmail.com"/>
    <s v="Calle Güigüe Nro. 88-10"/>
    <s v="Cancelación Vigilancia, saldo mes de Mayo y mes de Junio 2019"/>
    <x v="0"/>
    <m/>
    <s v="02092"/>
    <s v="04 de junio de 2019"/>
    <n v="4"/>
    <x v="31"/>
    <s v="11.000,00"/>
    <e v="#NAME?"/>
  </r>
  <r>
    <n v="2093"/>
    <m/>
    <x v="0"/>
    <d v="2019-06-05T00:00:00"/>
    <n v="8000"/>
    <s v="Familia Acosta Carpio"/>
    <s v="pablo962@hotmail.com"/>
    <s v="Calle Güigüe Nro. 89-10"/>
    <s v="Cancelación Vigilancia, mes de Junio 2019"/>
    <x v="0"/>
    <m/>
    <s v="02093"/>
    <s v="05 de junio de 2019"/>
    <n v="5"/>
    <x v="31"/>
    <s v="8.000,00"/>
    <e v="#NAME?"/>
  </r>
  <r>
    <n v="2094"/>
    <m/>
    <x v="0"/>
    <d v="2019-06-05T00:00:00"/>
    <n v="5000"/>
    <s v="Familia Méndez Parra"/>
    <s v="briceidademendez@gmail.com"/>
    <s v="Calle Guacara Nro. 88-19"/>
    <s v="Colaboración Vigilancia, mes de Junio 2019"/>
    <x v="0"/>
    <m/>
    <s v="02094"/>
    <s v="05 de junio de 2019"/>
    <n v="5"/>
    <x v="31"/>
    <s v="5.000,00"/>
    <e v="#NAME?"/>
  </r>
  <r>
    <n v="2095"/>
    <m/>
    <x v="0"/>
    <d v="2019-06-05T00:00:00"/>
    <n v="8000"/>
    <s v="Familia Arcia Polanco"/>
    <s v="misipo29@gmail.com"/>
    <s v="Calle Guacara Nro. 89-20"/>
    <s v="Anticipo Vigilancia, mes de Junio 2019"/>
    <x v="0"/>
    <m/>
    <s v="02095"/>
    <s v="05 de junio de 2019"/>
    <n v="5"/>
    <x v="31"/>
    <s v="8.000,00"/>
    <e v="#NAME?"/>
  </r>
  <r>
    <n v="2096"/>
    <m/>
    <x v="0"/>
    <d v="2019-06-05T00:00:00"/>
    <n v="8000"/>
    <s v="Familia Colosso Delgado"/>
    <s v="mcolosso@gmail.com"/>
    <s v="Calle Güigüe Nro. 88-44"/>
    <s v="Cancelación Vigilancia, mes de Junio 2019"/>
    <x v="0"/>
    <m/>
    <s v="02096"/>
    <s v="05 de junio de 2019"/>
    <n v="5"/>
    <x v="31"/>
    <s v="8.000,00"/>
    <e v="#NAME?"/>
  </r>
  <r>
    <n v="2097"/>
    <m/>
    <x v="0"/>
    <d v="2019-06-05T00:00:00"/>
    <n v="8000"/>
    <s v="Familia Machado Stoppa"/>
    <s v="machadoru@hotmail.com"/>
    <s v="Calle Guacara Nro. 88-85"/>
    <s v="Cancelación Vigilancia, mes de Junio 2019"/>
    <x v="0"/>
    <m/>
    <s v="02097"/>
    <s v="05 de junio de 2019"/>
    <n v="5"/>
    <x v="31"/>
    <s v="8.000,00"/>
    <e v="#NAME?"/>
  </r>
  <r>
    <n v="2098"/>
    <m/>
    <x v="0"/>
    <d v="2019-05-29T00:00:00"/>
    <n v="8000"/>
    <s v="Victoria Francischiello"/>
    <s v="victoriafrancischiello@hotmail.com"/>
    <s v="Calle Guacara Nro. 88-25"/>
    <s v="Cancelación Vigilancia, mes de Mayo 2019"/>
    <x v="0"/>
    <m/>
    <s v="02098"/>
    <s v="29 de mayo de 2019"/>
    <n v="29"/>
    <x v="30"/>
    <s v="8.000,00"/>
    <e v="#NAME?"/>
  </r>
  <r>
    <n v="2099"/>
    <m/>
    <x v="0"/>
    <d v="2019-06-05T00:00:00"/>
    <n v="8000"/>
    <s v="Familia Montilla García"/>
    <s v="dairy252525@hotmail.com"/>
    <s v="Calle Güigüe Nro. 89-90"/>
    <s v="Cancelación Vigilancia, mes de Junio 2019"/>
    <x v="0"/>
    <m/>
    <s v="02099"/>
    <s v="05 de junio de 2019"/>
    <n v="5"/>
    <x v="31"/>
    <s v="8.000,00"/>
    <e v="#NAME?"/>
  </r>
  <r>
    <n v="2100"/>
    <m/>
    <x v="0"/>
    <d v="2019-06-05T00:00:00"/>
    <n v="8000"/>
    <s v="Familia Scabuzzo Gómez"/>
    <s v="sfscabuzzo@msn.com"/>
    <s v="Av. &quot;I&quot; Nro. 146-20"/>
    <s v="Cancelación Vigilancia, mes de Junio 2019"/>
    <x v="0"/>
    <m/>
    <s v="02100"/>
    <s v="05 de junio de 2019"/>
    <n v="5"/>
    <x v="31"/>
    <s v="8.000,00"/>
    <e v="#NAME?"/>
  </r>
  <r>
    <n v="2101"/>
    <m/>
    <x v="0"/>
    <d v="2019-06-06T00:00:00"/>
    <n v="8000"/>
    <s v="Familia Castro Jiménez"/>
    <s v="aurycastrojimenez@gmail.com"/>
    <s v="Calle Guacara Nro. 90-51"/>
    <s v="Cancelación Vigilancia, mes de Junio 2019"/>
    <x v="0"/>
    <m/>
    <s v="02101"/>
    <s v="06 de junio de 2019"/>
    <n v="6"/>
    <x v="31"/>
    <s v="8.000,00"/>
    <e v="#NAME?"/>
  </r>
  <r>
    <n v="2102"/>
    <m/>
    <x v="0"/>
    <d v="2019-06-06T00:00:00"/>
    <n v="15000"/>
    <s v="Familia Fermín Rivas"/>
    <s v="angelferminb@gmail.com"/>
    <s v="Calle Güigüe Nro. 89-55"/>
    <s v="Cancelación Vigilancia, saldo mes de Junio, mes de Julio y anticipo mes de Agosto 2019 (contra factura)"/>
    <x v="0"/>
    <m/>
    <s v="02102"/>
    <s v="06 de junio de 2019"/>
    <n v="6"/>
    <x v="31"/>
    <s v="15.000,00"/>
    <e v="#NAME?"/>
  </r>
  <r>
    <n v="2103"/>
    <m/>
    <x v="0"/>
    <d v="2019-06-07T00:00:00"/>
    <n v="10000"/>
    <s v="Familia Wu Acevedo"/>
    <s v="rudyacevedo90@gmail.com"/>
    <s v="Calle Guacara Nro. 88-A-10"/>
    <s v="Cancelación Vigilancia, mes de Junio 2019 (saldo a favor: Bs. 36.005,80)"/>
    <x v="0"/>
    <m/>
    <s v="02103"/>
    <s v="07 de junio de 2019"/>
    <n v="7"/>
    <x v="31"/>
    <s v="10.000,00"/>
    <e v="#NAME?"/>
  </r>
  <r>
    <n v="2104"/>
    <m/>
    <x v="0"/>
    <d v="2019-06-07T00:00:00"/>
    <n v="8000"/>
    <s v="Familia Del Negro Palermo"/>
    <s v="vdelnegro@gmail.com"/>
    <s v="Calle Guacara Nro. 88-45"/>
    <s v="Cancelación Vigilancia, mes de Junio 2019 (saldo a favor: Bs. 79.862,95)"/>
    <x v="0"/>
    <m/>
    <s v="02104"/>
    <s v="07 de junio de 2019"/>
    <n v="7"/>
    <x v="31"/>
    <s v="8.000,00"/>
    <e v="#NAME?"/>
  </r>
  <r>
    <n v="2105"/>
    <m/>
    <x v="0"/>
    <d v="2019-06-07T00:00:00"/>
    <n v="8000"/>
    <s v="Familia López Hermoso"/>
    <s v="lopez.humberto14@yahoo.com.ve"/>
    <s v="Calle Güigüe Nro. 89-79"/>
    <s v="Cancelación Vigilancia, mes de Junio 2019 (saldo a favor: Bs. 40.000,00)"/>
    <x v="0"/>
    <m/>
    <s v="02105"/>
    <s v="07 de junio de 2019"/>
    <n v="7"/>
    <x v="31"/>
    <s v="8.000,00"/>
    <e v="#NAME?"/>
  </r>
  <r>
    <n v="2106"/>
    <m/>
    <x v="0"/>
    <d v="2019-06-07T00:00:00"/>
    <n v="8000"/>
    <s v="Ely Saúl Rivero Gómez"/>
    <s v="hhs.admon@gmail.com"/>
    <s v="Av. &quot;Ñ&quot; Nro. 145-25"/>
    <s v="Cancelación Vigilancia, mes de Junio 2019 (saldo a favor: Bs. 7.352,00)"/>
    <x v="0"/>
    <m/>
    <s v="02106"/>
    <s v="07 de junio de 2019"/>
    <n v="7"/>
    <x v="31"/>
    <s v="8.000,00"/>
    <e v="#NAME?"/>
  </r>
  <r>
    <n v="2107"/>
    <m/>
    <x v="0"/>
    <d v="2019-06-07T00:00:00"/>
    <n v="8000"/>
    <s v="Carmen Moreno"/>
    <s v="carmenemoreno10@gmail.com"/>
    <s v="Calle Güigüe Nro. 89-04"/>
    <s v="Cancelación Vigilancia, mes de Junio 2019"/>
    <x v="0"/>
    <m/>
    <s v="02107"/>
    <s v="07 de junio de 2019"/>
    <n v="7"/>
    <x v="31"/>
    <s v="8.000,00"/>
    <e v="#NAME?"/>
  </r>
  <r>
    <n v="2108"/>
    <m/>
    <x v="0"/>
    <d v="2019-06-07T00:00:00"/>
    <n v="8000"/>
    <s v="Familia Martínez Boada"/>
    <s v="florcitakmz@gmail.com"/>
    <s v="Calle Güigüe Nro. 88-62"/>
    <s v="Cancelación Vigilancia, mes de Mayo 2019"/>
    <x v="0"/>
    <m/>
    <s v="02108"/>
    <s v="07 de junio de 2019"/>
    <n v="7"/>
    <x v="31"/>
    <s v="8.000,00"/>
    <e v="#NAME?"/>
  </r>
  <r>
    <n v="2109"/>
    <m/>
    <x v="0"/>
    <d v="2019-06-10T00:00:00"/>
    <n v="3000"/>
    <s v="Familia Astor Zamora"/>
    <s v="imzastor@gmail.com"/>
    <s v="Calle Güigüe Nro. 88-111"/>
    <s v="Cancelación Vigilancia, saldo mes de Mayo 2019"/>
    <x v="0"/>
    <m/>
    <s v="02109"/>
    <s v="10 de junio de 2019"/>
    <n v="10"/>
    <x v="31"/>
    <s v="3.000,00"/>
    <e v="#NAME?"/>
  </r>
  <r>
    <n v="2110"/>
    <m/>
    <x v="0"/>
    <d v="2019-06-10T00:00:00"/>
    <n v="16000"/>
    <s v="Jocsan Orta Correa"/>
    <s v="carlos_arturox@hotmail.com"/>
    <s v="Av. &quot;L&quot; anexo de Los Tronquitos"/>
    <s v="Cancelación Vigilancia, meses de Mayo y Junio 2019"/>
    <x v="0"/>
    <m/>
    <s v="02110"/>
    <s v="10 de junio de 2019"/>
    <n v="10"/>
    <x v="31"/>
    <s v="16.000,00"/>
    <e v="#NAME?"/>
  </r>
  <r>
    <n v="2111"/>
    <m/>
    <x v="0"/>
    <d v="2019-06-10T00:00:00"/>
    <n v="10000"/>
    <s v="Familia Romero"/>
    <s v="autoescuela21@gmail.com"/>
    <s v="Calle Guacara Nro. 89-50"/>
    <s v="Cancelación Vigilancia, saldo mes de Abril y mes de Mayo 2019"/>
    <x v="0"/>
    <m/>
    <s v="02111"/>
    <s v="10 de junio de 2019"/>
    <n v="10"/>
    <x v="31"/>
    <s v="10.000,00"/>
    <e v="#NAME?"/>
  </r>
  <r>
    <n v="2112"/>
    <m/>
    <x v="0"/>
    <d v="2019-06-12T00:00:00"/>
    <n v="8000"/>
    <s v="Sra. Reina Meléndez"/>
    <s v="olgajipe@gmail.com"/>
    <s v="Av. &quot;M&quot; Nro. 145-10"/>
    <s v="Cancelación Vigilancia, mes de Junio 2019"/>
    <x v="0"/>
    <m/>
    <s v="02112"/>
    <s v="12 de junio de 2019"/>
    <n v="12"/>
    <x v="31"/>
    <s v="8.000,00"/>
    <e v="#NAME?"/>
  </r>
  <r>
    <n v="2113"/>
    <m/>
    <x v="0"/>
    <d v="2019-06-14T00:00:00"/>
    <n v="8000"/>
    <s v="Familia Kablan Sarmiento"/>
    <s v="norisjsb56@hotmail.com"/>
    <s v="Calle Güigüe Nro. 89-80"/>
    <s v="Cancelación Vigilancia, mes de Junio 2019"/>
    <x v="0"/>
    <m/>
    <s v="02113"/>
    <s v="14 de junio de 2019"/>
    <n v="14"/>
    <x v="31"/>
    <s v="8.000,00"/>
    <e v="#NAME?"/>
  </r>
  <r>
    <n v="2114"/>
    <m/>
    <x v="0"/>
    <d v="2019-06-15T00:00:00"/>
    <n v="8000"/>
    <s v="Familia Ochoa Mendoza"/>
    <s v="marisoljudithm@hotmail.com"/>
    <s v="Calle Guacara Nro. 89-130"/>
    <s v="Cancelación Vigilancia, saldo mes de Mayo y anticipo mes de Junio 2019"/>
    <x v="0"/>
    <m/>
    <s v="02114"/>
    <s v="15 de junio de 2019"/>
    <n v="15"/>
    <x v="31"/>
    <s v="8.000,00"/>
    <e v="#NAME?"/>
  </r>
  <r>
    <n v="2115"/>
    <m/>
    <x v="0"/>
    <d v="2019-06-15T00:00:00"/>
    <n v="8000"/>
    <s v="Beatriz Lara"/>
    <s v="valentina.gutierrez@hotmail.com"/>
    <s v="Calle Guacara Nro. 89-130"/>
    <s v="Cancelación Vigilancia, mes de Junio 2019"/>
    <x v="0"/>
    <m/>
    <s v="02115"/>
    <s v="15 de junio de 2019"/>
    <n v="15"/>
    <x v="31"/>
    <s v="8.000,00"/>
    <e v="#NAME?"/>
  </r>
  <r>
    <n v="2116"/>
    <m/>
    <x v="0"/>
    <d v="2019-06-15T00:00:00"/>
    <n v="8000"/>
    <s v="Dra. Lilia Magallanes"/>
    <s v="liliamagallanes2010@gmail.com"/>
    <s v="Calle Güigüe Nro. 88-51"/>
    <s v="Cancelación Vigilancia, mes de Junio 2019"/>
    <x v="0"/>
    <m/>
    <s v="02116"/>
    <s v="15 de junio de 2019"/>
    <n v="15"/>
    <x v="31"/>
    <s v="8.000,00"/>
    <e v="#NAME?"/>
  </r>
  <r>
    <n v="2117"/>
    <m/>
    <x v="0"/>
    <d v="2019-06-15T00:00:00"/>
    <n v="11000"/>
    <s v="Ma. de Jesus Alonso"/>
    <s v="alonsojg@gmail.com"/>
    <s v="Calle Güigüe Nro. 88-30"/>
    <s v="Cancelación Vigilancia, saldo mes de Mayo y mes de Junio 2019"/>
    <x v="0"/>
    <m/>
    <s v="02117"/>
    <s v="15 de junio de 2019"/>
    <n v="15"/>
    <x v="31"/>
    <s v="11.000,00"/>
    <e v="#NAME?"/>
  </r>
  <r>
    <n v="2118"/>
    <m/>
    <x v="0"/>
    <d v="2019-06-17T00:00:00"/>
    <n v="8000"/>
    <s v="Familia Gascón Domínguez"/>
    <s v="vrgascon@gmail.com"/>
    <s v="Calle Güigüe Nro. 88-70"/>
    <s v="Cancelación Vigilancia, mes de Junio 2019"/>
    <x v="0"/>
    <m/>
    <s v="02118"/>
    <s v="17 de junio de 2019"/>
    <n v="17"/>
    <x v="31"/>
    <s v="8.000,00"/>
    <e v="#NAME?"/>
  </r>
  <r>
    <n v="2119"/>
    <m/>
    <x v="0"/>
    <d v="2019-06-17T00:00:00"/>
    <n v="8000"/>
    <s v="Amparo Acosta"/>
    <s v="amparonatividad@hotmail.com"/>
    <s v="Calle Guacara Nro. 88-65"/>
    <s v="Cancelación Vigilancia, mes de Junio 2019"/>
    <x v="0"/>
    <m/>
    <s v="02119"/>
    <s v="17 de junio de 2019"/>
    <n v="17"/>
    <x v="31"/>
    <s v="8.000,00"/>
    <e v="#NAME?"/>
  </r>
  <r>
    <n v="2120"/>
    <m/>
    <x v="0"/>
    <d v="2019-06-18T00:00:00"/>
    <n v="8000"/>
    <s v="Familia Franco Gómez"/>
    <s v="eof64@hotmail.com"/>
    <s v="Calle Guacara Nro. 87-07"/>
    <s v="Cancelación Vigilancia, mes de Junio 2019"/>
    <x v="0"/>
    <m/>
    <s v="02120"/>
    <s v="18 de junio de 2019"/>
    <n v="18"/>
    <x v="31"/>
    <s v="8.000,00"/>
    <e v="#NAME?"/>
  </r>
  <r>
    <n v="2121"/>
    <m/>
    <x v="0"/>
    <d v="2019-06-18T00:00:00"/>
    <n v="8000"/>
    <s v="Héctor Hernández"/>
    <s v="eof64@hotmail.com"/>
    <s v="Calle Guacara Nro. 89-94"/>
    <s v="Cancelación Vigilancia, mes de Junio 2019"/>
    <x v="0"/>
    <m/>
    <s v="02121"/>
    <s v="18 de junio de 2019"/>
    <n v="18"/>
    <x v="31"/>
    <s v="8.000,00"/>
    <e v="#NAME?"/>
  </r>
  <r>
    <n v="2122"/>
    <m/>
    <x v="0"/>
    <d v="2019-06-20T00:00:00"/>
    <n v="8000"/>
    <s v="Familia Soto Urdaneta"/>
    <s v="esotom61@gmail.com"/>
    <s v="Calle Guacara Nro. 89-102"/>
    <s v="Cancelación Vigilancia, mes de Junio 2019"/>
    <x v="0"/>
    <m/>
    <s v="02122"/>
    <s v="20 de junio de 2019"/>
    <n v="20"/>
    <x v="31"/>
    <s v="8.000,00"/>
    <e v="#NAME?"/>
  </r>
  <r>
    <n v="2123"/>
    <m/>
    <x v="0"/>
    <d v="2019-06-20T00:00:00"/>
    <n v="8000"/>
    <s v="Familia Costermani Terrer"/>
    <s v="claudiacostermani@hotmail.com"/>
    <s v="Calle Güigüe Nro. 88-11"/>
    <s v="Cancelación Vigilancia, mes de Junio 2019"/>
    <x v="0"/>
    <m/>
    <s v="02123"/>
    <s v="20 de junio de 2019"/>
    <n v="20"/>
    <x v="31"/>
    <s v="8.000,00"/>
    <e v="#NAME?"/>
  </r>
  <r>
    <n v="2124"/>
    <m/>
    <x v="0"/>
    <d v="2019-06-21T00:00:00"/>
    <n v="6000"/>
    <s v="Familia Loponte Arteaga"/>
    <s v="En Físico"/>
    <s v="Calle Güigüe Nro. 88-120"/>
    <s v="Cancelación Vigilancia, saldo mes de Junio 2019"/>
    <x v="0"/>
    <m/>
    <s v="02124"/>
    <s v="21 de junio de 2019"/>
    <n v="21"/>
    <x v="31"/>
    <s v="6.000,00"/>
    <e v="#NAME?"/>
  </r>
  <r>
    <n v="2125"/>
    <m/>
    <x v="0"/>
    <d v="2019-06-22T00:00:00"/>
    <n v="8000"/>
    <s v="Familia Jiménez Navarro"/>
    <s v="joyasonline2012@gmail.com"/>
    <s v="Calle Güigüe Nro. 88-50"/>
    <s v="Cancelación Vigilancia, mes de Junio 2019"/>
    <x v="0"/>
    <m/>
    <s v="02125"/>
    <s v="22 de junio de 2019"/>
    <n v="22"/>
    <x v="31"/>
    <s v="8.000,00"/>
    <e v="#NAME?"/>
  </r>
  <r>
    <n v="2126"/>
    <m/>
    <x v="0"/>
    <d v="2019-06-22T00:00:00"/>
    <n v="8000"/>
    <s v="Familia Castillo Mena"/>
    <s v="emmecas@hotmail.com"/>
    <s v="Calle Güigüe Nro. 88-101"/>
    <s v="Cancelación Vigilancia, mes de Junio 2019"/>
    <x v="0"/>
    <m/>
    <s v="02126"/>
    <s v="22 de junio de 2019"/>
    <n v="22"/>
    <x v="31"/>
    <s v="8.000,00"/>
    <e v="#NAME?"/>
  </r>
  <r>
    <n v="2127"/>
    <m/>
    <x v="0"/>
    <d v="2019-06-22T00:00:00"/>
    <n v="8000"/>
    <s v="Familia Díaz González"/>
    <s v="luisrdt57@gmail.com"/>
    <s v="Calle Güigüe Nro. 88-116"/>
    <s v="Cancelación Vigilancia, mes de Junio 2019"/>
    <x v="0"/>
    <m/>
    <s v="02127"/>
    <s v="22 de junio de 2019"/>
    <n v="22"/>
    <x v="31"/>
    <s v="8.000,00"/>
    <e v="#NAME?"/>
  </r>
  <r>
    <n v="2128"/>
    <m/>
    <x v="0"/>
    <d v="2019-06-22T00:00:00"/>
    <n v="8000"/>
    <s v="Familia Rodríguez Girón"/>
    <s v="daniellegt4@gmail.com"/>
    <s v="Calle Güigüe Nro. 89-22"/>
    <s v="Cancelación Vigilancia, mes de Junio 2019"/>
    <x v="0"/>
    <m/>
    <s v="02128"/>
    <s v="22 de junio de 2019"/>
    <n v="22"/>
    <x v="31"/>
    <s v="8.000,00"/>
    <e v="#NAME?"/>
  </r>
  <r>
    <n v="2129"/>
    <m/>
    <x v="0"/>
    <d v="2019-06-23T00:00:00"/>
    <n v="30000"/>
    <s v="Familia Jiménez de Avila"/>
    <s v="meji2333@gmail.com"/>
    <s v="Calle Güigüe Nro. 89-116"/>
    <s v="Colaboración Vigilancia, meses de Julio a Diciembre 2019"/>
    <x v="0"/>
    <m/>
    <s v="02129"/>
    <s v="23 de junio de 2019"/>
    <n v="23"/>
    <x v="31"/>
    <s v="30.000,00"/>
    <e v="#NAME?"/>
  </r>
  <r>
    <n v="2130"/>
    <m/>
    <x v="0"/>
    <d v="2019-06-26T00:00:00"/>
    <n v="8000"/>
    <s v="Familia Delgado Hidalgo"/>
    <s v="ardh@hotmail.com"/>
    <s v="Calle Güigüe Nro. 88-10"/>
    <s v="Cancelación Vigilancia, mes de Julio 2019"/>
    <x v="0"/>
    <m/>
    <s v="02130"/>
    <s v="26 de junio de 2019"/>
    <n v="26"/>
    <x v="31"/>
    <s v="8.000,00"/>
    <e v="#NAME?"/>
  </r>
  <r>
    <n v="2131"/>
    <m/>
    <x v="0"/>
    <d v="2019-06-26T00:00:00"/>
    <n v="8000"/>
    <s v="Amarilis Guerra"/>
    <s v="amarilisguerra1@yahoo.com"/>
    <s v="Calle Güigüe Nro. 89-96"/>
    <s v="Cancelación Vigilancia, mes de Junio 2019"/>
    <x v="0"/>
    <m/>
    <s v="02131"/>
    <s v="26 de junio de 2019"/>
    <n v="26"/>
    <x v="31"/>
    <s v="8.000,00"/>
    <e v="#NAME?"/>
  </r>
  <r>
    <n v="2132"/>
    <m/>
    <x v="0"/>
    <d v="2019-06-26T00:00:00"/>
    <n v="4500"/>
    <s v="Familia Navarro Assing"/>
    <s v="liliaassing@gmail.com"/>
    <s v="Calle Güigüe Nro. 88-54"/>
    <s v="Cancelación Vigilancia, saldo mes de Junio 2019"/>
    <x v="0"/>
    <m/>
    <s v="02132"/>
    <s v="26 de junio de 2019"/>
    <n v="26"/>
    <x v="31"/>
    <s v="4.500,00"/>
    <e v="#NAME?"/>
  </r>
  <r>
    <n v="2133"/>
    <m/>
    <x v="0"/>
    <d v="2019-06-26T00:00:00"/>
    <n v="8000"/>
    <s v="Victoria Francischiello"/>
    <s v="victoriafrancischiello@hotmail.com"/>
    <s v="Calle Guacara Nro. 88-25"/>
    <s v="Cancelación Vigilancia, mes de Junio 2019"/>
    <x v="0"/>
    <m/>
    <s v="02133"/>
    <s v="26 de junio de 2019"/>
    <n v="26"/>
    <x v="31"/>
    <s v="8.000,00"/>
    <e v="#NAME?"/>
  </r>
  <r>
    <n v="2134"/>
    <m/>
    <x v="0"/>
    <d v="2019-06-26T00:00:00"/>
    <n v="11600"/>
    <s v="Colegio El Trigal"/>
    <s v="En Físico"/>
    <s v="Calle Güigüe Nros. 88-71 y 88-81"/>
    <s v="Cancelación Vigilancia, mes de Junio 2019"/>
    <x v="0"/>
    <m/>
    <s v="02134"/>
    <s v="26 de junio de 2019"/>
    <n v="26"/>
    <x v="31"/>
    <s v="11.600,00"/>
    <e v="#NAME?"/>
  </r>
  <r>
    <n v="2135"/>
    <m/>
    <x v="0"/>
    <d v="2019-06-26T00:00:00"/>
    <n v="8000"/>
    <s v="Familia Zavarce Barón"/>
    <s v="alexanderzavarce@gmail.com"/>
    <s v="Calle Guacara Nro. 88-91"/>
    <s v="Cancelación Vigilancia, mes de Junio 2019"/>
    <x v="0"/>
    <m/>
    <s v="02135"/>
    <s v="26 de junio de 2019"/>
    <n v="26"/>
    <x v="31"/>
    <s v="8.000,00"/>
    <e v="#NAME?"/>
  </r>
  <r>
    <n v="2136"/>
    <m/>
    <x v="0"/>
    <d v="2019-06-26T00:00:00"/>
    <n v="8000"/>
    <s v="Familia Sirit Palencia"/>
    <s v="irasirit@gmail.com"/>
    <s v="Calle Güigüe Nro. 89-35"/>
    <s v="Cancelación Vigilancia, mes de Junio 2019"/>
    <x v="0"/>
    <m/>
    <s v="02136"/>
    <s v="26 de junio de 2019"/>
    <n v="26"/>
    <x v="31"/>
    <s v="8.000,00"/>
    <e v="#NAME?"/>
  </r>
  <r>
    <n v="2137"/>
    <m/>
    <x v="0"/>
    <d v="2019-06-27T00:00:00"/>
    <n v="8000"/>
    <s v="Familia Rodríguez Aular"/>
    <s v="mvaular@hotmail.com"/>
    <s v="Calle Güigüe Nro. 88-58"/>
    <s v="Cancelación Vigilancia, mes de Junio 2019"/>
    <x v="0"/>
    <m/>
    <s v="02137"/>
    <s v="27 de junio de 2019"/>
    <n v="27"/>
    <x v="31"/>
    <s v="8.000,00"/>
    <e v="#NAME?"/>
  </r>
  <r>
    <n v="2138"/>
    <m/>
    <x v="0"/>
    <d v="2019-06-27T00:00:00"/>
    <n v="8000"/>
    <s v="Gloria Molina"/>
    <s v="glomola2@yahoo.es"/>
    <s v="Calle Güigüe Nro. 89-71"/>
    <s v="Cancelación Vigilancia, mes de Junio 2019"/>
    <x v="0"/>
    <m/>
    <s v="02138"/>
    <s v="27 de junio de 2019"/>
    <n v="27"/>
    <x v="31"/>
    <s v="8.000,00"/>
    <e v="#NAME?"/>
  </r>
  <r>
    <n v="2139"/>
    <m/>
    <x v="0"/>
    <d v="2019-06-27T00:00:00"/>
    <n v="8000"/>
    <s v="Andrea Valor"/>
    <s v="aavp992@gmail.com"/>
    <s v="Calle Guacara Nro. 88-75"/>
    <s v="Cancelación Vigilancia, mes de Junio 2019"/>
    <x v="0"/>
    <m/>
    <s v="02139"/>
    <s v="27 de junio de 2019"/>
    <n v="27"/>
    <x v="31"/>
    <s v="8.000,00"/>
    <e v="#NAME?"/>
  </r>
  <r>
    <n v="2140"/>
    <m/>
    <x v="0"/>
    <d v="2019-06-27T00:00:00"/>
    <n v="8000"/>
    <s v="Familia Manrique Riera"/>
    <s v="patriciamanrique@gmail.com"/>
    <s v="Calle Guacara Nro. 89-40"/>
    <s v="Cancelación Vigilancia, mes de Junio 2019"/>
    <x v="0"/>
    <m/>
    <s v="02140"/>
    <s v="27 de junio de 2019"/>
    <n v="27"/>
    <x v="31"/>
    <s v="8.000,00"/>
    <e v="#NAME?"/>
  </r>
  <r>
    <n v="2141"/>
    <m/>
    <x v="0"/>
    <d v="2019-06-27T00:00:00"/>
    <n v="3000"/>
    <s v="Familia Ochoa Mendoza"/>
    <s v="marisoljudithm@hotmail.com"/>
    <s v="Calle Guacara Nro. 89-130"/>
    <s v="Cancelación Vigilancia, saldo mes de Junio 2019"/>
    <x v="0"/>
    <m/>
    <s v="02141"/>
    <s v="27 de junio de 2019"/>
    <n v="27"/>
    <x v="31"/>
    <s v="3.000,00"/>
    <e v="#NAME?"/>
  </r>
  <r>
    <n v="2142"/>
    <m/>
    <x v="0"/>
    <d v="2019-06-27T00:00:00"/>
    <n v="8000"/>
    <s v="Familia Narváez Caldera"/>
    <s v="jeannette_nc@yahoo.com"/>
    <s v="Calle Güigüe Nro. 87-A-11"/>
    <s v="Cancelación Vigilancia, mes de Junio 2019"/>
    <x v="0"/>
    <m/>
    <s v="02142"/>
    <s v="27 de junio de 2019"/>
    <n v="27"/>
    <x v="31"/>
    <s v="8.000,00"/>
    <e v="#NAME?"/>
  </r>
  <r>
    <n v="2143"/>
    <m/>
    <x v="0"/>
    <d v="2019-06-27T00:00:00"/>
    <n v="8000"/>
    <s v="Familia Alonso Rojas"/>
    <s v="redjc01@gmail.com"/>
    <s v="Calle Güigüe Nro. 89-54"/>
    <s v="Cancelación Vigilancia, mes de Junio 2019"/>
    <x v="0"/>
    <m/>
    <s v="02143"/>
    <s v="27 de junio de 2019"/>
    <n v="27"/>
    <x v="31"/>
    <s v="8.000,00"/>
    <e v="#NAME?"/>
  </r>
  <r>
    <n v="2144"/>
    <m/>
    <x v="0"/>
    <d v="2019-06-27T00:00:00"/>
    <n v="10000"/>
    <s v="Familia Alonso Rojas"/>
    <s v="redjc01@gmail.com"/>
    <s v="Calle Güigüe Nro. 89-54"/>
    <s v="Cancelación Vigilancia, mes de Julio 2019"/>
    <x v="0"/>
    <m/>
    <s v="02144"/>
    <s v="27 de junio de 2019"/>
    <n v="27"/>
    <x v="31"/>
    <s v="10.000,00"/>
    <e v="#NAME?"/>
  </r>
  <r>
    <n v="2145"/>
    <m/>
    <x v="0"/>
    <d v="2019-06-27T00:00:00"/>
    <n v="15000"/>
    <s v="Familia González Arévalo"/>
    <s v="feryenis@hotmail.com"/>
    <s v="Calle Guacara Nro. 89-86"/>
    <s v="Cancelación Vigilancia, mes de Junio y anticipo mes de Julio 2019"/>
    <x v="0"/>
    <m/>
    <s v="02145"/>
    <s v="27 de junio de 2019"/>
    <n v="27"/>
    <x v="31"/>
    <s v="15.000,00"/>
    <e v="#NAME?"/>
  </r>
  <r>
    <n v="2146"/>
    <m/>
    <x v="0"/>
    <d v="2019-06-27T00:00:00"/>
    <n v="16000"/>
    <s v="Wu Hung Fung"/>
    <s v="carolinahung24@gmail.com | barbarahung15@hotmail.com"/>
    <s v="Calle Guacara Nro. 90-81"/>
    <s v="Cancelación Vigilancia, saldo mes de Junio y mes de  Julio 2019"/>
    <x v="0"/>
    <m/>
    <s v="02146"/>
    <s v="27 de junio de 2019"/>
    <n v="27"/>
    <x v="31"/>
    <s v="16.000,00"/>
    <e v="#NAME?"/>
  </r>
  <r>
    <n v="2147"/>
    <m/>
    <x v="0"/>
    <d v="2019-06-27T00:00:00"/>
    <n v="8000"/>
    <s v="Familia Matta Palomino"/>
    <s v="En Físico"/>
    <s v="Calle Güigüe Nro. 88-90"/>
    <s v="Cancelación Vigilancia, mes de Junio 2019"/>
    <x v="0"/>
    <m/>
    <s v="02147"/>
    <s v="27 de junio de 2019"/>
    <n v="27"/>
    <x v="31"/>
    <s v="8.000,00"/>
    <e v="#NAME?"/>
  </r>
  <r>
    <n v="2148"/>
    <m/>
    <x v="0"/>
    <d v="2019-06-28T00:00:00"/>
    <n v="23000"/>
    <s v="Wilson Escamilla"/>
    <s v="wilsonescamilla45@gmail.com"/>
    <s v="Calle Güigüe Nro. 89-89"/>
    <s v="Cancelación Vigilancia, saldo mes de Mayo y meses de Junio y Julio 2019"/>
    <x v="0"/>
    <m/>
    <s v="02148"/>
    <s v="28 de junio de 2019"/>
    <n v="28"/>
    <x v="31"/>
    <s v="23.000,00"/>
    <e v="#NAME?"/>
  </r>
  <r>
    <n v="2149"/>
    <m/>
    <x v="0"/>
    <d v="2019-06-28T00:00:00"/>
    <n v="10000"/>
    <s v="Familia Nava Gordon"/>
    <s v="maru_19_66@hotmail.com"/>
    <s v="Calle Guacara Nro. 89-78"/>
    <s v="Cancelación Vigilancia, mes de Julio 2019"/>
    <x v="0"/>
    <m/>
    <s v="02149"/>
    <s v="28 de junio de 2019"/>
    <n v="28"/>
    <x v="31"/>
    <s v="10.000,00"/>
    <e v="#NAME?"/>
  </r>
  <r>
    <n v="2150"/>
    <m/>
    <x v="0"/>
    <d v="2019-06-28T00:00:00"/>
    <n v="8000"/>
    <s v="Familia Barreto Pérez"/>
    <s v="bbetsa19@hotmail.com"/>
    <s v="Av. &quot;M&quot; Nro. 146-15"/>
    <s v="Cancelación Vigilancia, mes de Junio 2019"/>
    <x v="0"/>
    <m/>
    <s v="02150"/>
    <s v="28 de junio de 2019"/>
    <n v="28"/>
    <x v="31"/>
    <s v="8.000,00"/>
    <e v="#NAME?"/>
  </r>
  <r>
    <n v="2151"/>
    <m/>
    <x v="0"/>
    <d v="2019-06-28T00:00:00"/>
    <n v="11000"/>
    <s v="Familia Il Grande Franceschi"/>
    <s v="arcifran75@hotmail.com"/>
    <s v="Av. &quot;I&quot; Nro. 146-40"/>
    <s v="Cancelación Vigilancia, saldo mes de Mayo y mes de Junio 2019"/>
    <x v="0"/>
    <m/>
    <s v="02151"/>
    <s v="28 de junio de 2019"/>
    <n v="28"/>
    <x v="31"/>
    <s v="11.000,00"/>
    <e v="#NAME?"/>
  </r>
  <r>
    <n v="2152"/>
    <m/>
    <x v="0"/>
    <d v="2019-06-28T00:00:00"/>
    <n v="30000"/>
    <s v="Familia Hatem Medina"/>
    <s v="hhatem1@hotmail.com"/>
    <s v="Calle Guacara Nro. 88-51"/>
    <s v="Cancelación Vigilancia, meses de Junio, Julio y Agosto 2019"/>
    <x v="0"/>
    <m/>
    <s v="02152"/>
    <s v="28 de junio de 2019"/>
    <n v="28"/>
    <x v="31"/>
    <s v="30.000,00"/>
    <e v="#NAME?"/>
  </r>
  <r>
    <n v="2153"/>
    <m/>
    <x v="0"/>
    <d v="2019-06-28T00:00:00"/>
    <n v="5000"/>
    <s v="Silvia Power"/>
    <s v="spowermeneses@gmail.com"/>
    <s v="Calle Güigüe Nro. 89-16"/>
    <s v="Colaboración Vigilancia, mes de Junio 2019"/>
    <x v="0"/>
    <m/>
    <s v="02153"/>
    <s v="28 de junio de 2019"/>
    <n v="28"/>
    <x v="31"/>
    <s v="5.000,00"/>
    <e v="#NAME?"/>
  </r>
  <r>
    <n v="2154"/>
    <m/>
    <x v="0"/>
    <d v="2019-06-28T00:00:00"/>
    <n v="8000"/>
    <s v="Familia Triana González"/>
    <s v="En Físico"/>
    <s v="Calle Guacara Nro. 90-61"/>
    <s v="Cancelación Vigilancia, mes de Junio 2019"/>
    <x v="0"/>
    <m/>
    <s v="02154"/>
    <s v="28 de junio de 2019"/>
    <n v="28"/>
    <x v="31"/>
    <s v="8.000,00"/>
    <e v="#NAME?"/>
  </r>
  <r>
    <n v="2155"/>
    <m/>
    <x v="0"/>
    <d v="2019-06-30T00:00:00"/>
    <n v="8000"/>
    <s v="Zoraida Khair"/>
    <s v="zorakhair@hotmail.com | lbracamonte@netuno.net"/>
    <s v="Calle Güigüe Nro. 88-80"/>
    <s v="Cancelación Vigilancia, anticipo mes de Julio 2019"/>
    <x v="0"/>
    <m/>
    <s v="02155"/>
    <s v="30 de junio de 2019"/>
    <n v="30"/>
    <x v="31"/>
    <s v="8.000,00"/>
    <e v="#NAME?"/>
  </r>
  <r>
    <n v="2156"/>
    <m/>
    <x v="0"/>
    <d v="2019-06-29T00:00:00"/>
    <n v="16000"/>
    <s v="Familia Abbinante Pinto"/>
    <s v="abbinante47@gmail.com"/>
    <s v="Calle Güigüe Nro. 89-120"/>
    <s v="Cancelación Vigilancia, mes de Junio y anticipo mes de Julio 2019"/>
    <x v="0"/>
    <m/>
    <s v="02156"/>
    <s v="29 de junio de 2019"/>
    <n v="29"/>
    <x v="31"/>
    <s v="16.000,00"/>
    <e v="#NAME?"/>
  </r>
  <r>
    <n v="2157"/>
    <m/>
    <x v="0"/>
    <d v="2019-07-01T00:00:00"/>
    <n v="5000"/>
    <s v="Familia Rodríguez Landaeta"/>
    <s v="mrl58@hotmail.com"/>
    <s v="Calle Güigüe Nro. 89-29"/>
    <s v="Colaboración Vigilancia, mes de Julio 2019"/>
    <x v="0"/>
    <m/>
    <s v="02157"/>
    <s v="01 de julio de 2019"/>
    <n v="1"/>
    <x v="32"/>
    <s v="5.000,00"/>
    <e v="#NAME?"/>
  </r>
  <r>
    <n v="2158"/>
    <m/>
    <x v="0"/>
    <d v="2019-07-01T00:00:00"/>
    <n v="8000"/>
    <s v="Familia Flores Montagne"/>
    <s v="martaflores@gmail.com"/>
    <s v="Av. &quot;M&quot; Nro. 146-20"/>
    <s v="Cancelación Vigilancia, mes de Junio 2019"/>
    <x v="0"/>
    <m/>
    <s v="02158"/>
    <s v="01 de julio de 2019"/>
    <n v="1"/>
    <x v="32"/>
    <s v="8.000,00"/>
    <e v="#NAME?"/>
  </r>
  <r>
    <n v="2159"/>
    <m/>
    <x v="0"/>
    <d v="2019-07-01T00:00:00"/>
    <n v="10000"/>
    <s v="Chin Chun Ya (Goya)"/>
    <s v="uc2721@gmail.com"/>
    <s v="Calle Guacara Nro. 87-86"/>
    <s v="Cancelación Vigilancia, mes de Julio 2019"/>
    <x v="0"/>
    <m/>
    <s v="02159"/>
    <s v="01 de julio de 2019"/>
    <n v="1"/>
    <x v="32"/>
    <s v="10.000,00"/>
    <e v="#NAME?"/>
  </r>
  <r>
    <n v="2160"/>
    <m/>
    <x v="0"/>
    <d v="2019-07-01T00:00:00"/>
    <n v="10000"/>
    <s v="Familia Milanés Carmona"/>
    <s v="yndira11m@gmail.com"/>
    <s v="Calle Güigüe Nro. 89-65"/>
    <s v="Cancelación Vigilancia, mes de Julio 2019"/>
    <x v="0"/>
    <m/>
    <s v="02160"/>
    <s v="01 de julio de 2019"/>
    <n v="1"/>
    <x v="32"/>
    <s v="10.000,00"/>
    <e v="#NAME?"/>
  </r>
  <r>
    <n v="2161"/>
    <m/>
    <x v="0"/>
    <d v="2019-07-01T00:00:00"/>
    <n v="14300"/>
    <s v="Familia Fermín Rivas"/>
    <s v="angelferminb@gmail.com"/>
    <s v="Calle Güigüe Nro. 89-55"/>
    <s v="Cancelación Vigilancia, saldo mes de Julio y anticipo meses de Agosto y Septiembre 2019 (contra factura)"/>
    <x v="0"/>
    <m/>
    <s v="02161"/>
    <s v="01 de julio de 2019"/>
    <n v="1"/>
    <x v="32"/>
    <s v="14.300,00"/>
    <e v="#NAME?"/>
  </r>
  <r>
    <n v="2162"/>
    <m/>
    <x v="0"/>
    <d v="2019-07-02T00:00:00"/>
    <n v="8000"/>
    <s v="Familia Zavarce Pérez"/>
    <s v="En Físico"/>
    <s v="Calle Guacara Nro. 90-35"/>
    <s v="Cancelación Vigilancia, mes de Junio 2019"/>
    <x v="0"/>
    <m/>
    <s v="02162"/>
    <s v="02 de julio de 2019"/>
    <n v="2"/>
    <x v="32"/>
    <s v="8.000,00"/>
    <e v="#NAME?"/>
  </r>
  <r>
    <n v="2163"/>
    <m/>
    <x v="0"/>
    <d v="2019-07-02T00:00:00"/>
    <n v="10000"/>
    <s v="Sra. Reina Meléndez"/>
    <s v="olgajipe@gmail.com"/>
    <s v="Av. &quot;M&quot; Nro. 145-10"/>
    <s v="Cancelación Vigilancia, mes de Julio 2019"/>
    <x v="0"/>
    <m/>
    <s v="02163"/>
    <s v="02 de julio de 2019"/>
    <n v="2"/>
    <x v="32"/>
    <s v="10.000,00"/>
    <e v="#NAME?"/>
  </r>
  <r>
    <n v="2164"/>
    <m/>
    <x v="0"/>
    <d v="2019-07-02T00:00:00"/>
    <n v="10000"/>
    <s v="Familia Castro Jiménez"/>
    <s v="aurycastrojimenez@gmail.com"/>
    <s v="Calle Guacara Nro. 90-51"/>
    <s v="Cancelación Vigilancia, mes de Julio 2019"/>
    <x v="0"/>
    <m/>
    <s v="02164"/>
    <s v="02 de julio de 2019"/>
    <n v="2"/>
    <x v="32"/>
    <s v="10.000,00"/>
    <e v="#NAME?"/>
  </r>
  <r>
    <n v="2165"/>
    <m/>
    <x v="0"/>
    <d v="2019-07-02T00:00:00"/>
    <n v="10000"/>
    <s v="Familia Guerra Miret"/>
    <s v="antoniojguerrag@hotmail.com"/>
    <s v="Calle Güigüe Nro. 89-40"/>
    <s v="Cancelación Vigilancia, mes de Julio 2019"/>
    <x v="0"/>
    <m/>
    <s v="02165"/>
    <s v="02 de julio de 2019"/>
    <n v="2"/>
    <x v="32"/>
    <s v="10.000,00"/>
    <e v="#NAME?"/>
  </r>
  <r>
    <n v="2166"/>
    <m/>
    <x v="0"/>
    <d v="2019-07-03T00:00:00"/>
    <n v="10000"/>
    <s v="Santiago Varela"/>
    <s v="svg0583@gmail.com"/>
    <s v="Av. &quot;M&quot; Nro. 146-30"/>
    <s v="Cancelación Vigilancia, mes de Julio 2019"/>
    <x v="0"/>
    <m/>
    <s v="02166"/>
    <s v="03 de julio de 2019"/>
    <n v="3"/>
    <x v="32"/>
    <s v="10.000,00"/>
    <e v="#NAME?"/>
  </r>
  <r>
    <n v="2167"/>
    <m/>
    <x v="0"/>
    <d v="2019-07-04T00:00:00"/>
    <n v="8000"/>
    <s v="Familia Ozar Rivero"/>
    <s v="vanessarivero81@hotmail.com"/>
    <s v="Calle Güigüe Nro. 88-06"/>
    <s v="Cancelación Vigilancia, mes de Junio 2019"/>
    <x v="0"/>
    <m/>
    <s v="02167"/>
    <s v="04 de julio de 2019"/>
    <n v="4"/>
    <x v="32"/>
    <s v="8.000,00"/>
    <e v="#NAME?"/>
  </r>
  <r>
    <n v="2168"/>
    <m/>
    <x v="0"/>
    <d v="2019-07-04T00:00:00"/>
    <n v="8000"/>
    <s v="Familia Chan García"/>
    <s v="chanalberto10@hotmail.com | endrinagarciah@gmail.com"/>
    <s v="Calle Güigüe Nro. 89-106"/>
    <s v="Cancelación Vigilancia, mes de Junio 2019"/>
    <x v="0"/>
    <m/>
    <s v="02168"/>
    <s v="04 de julio de 2019"/>
    <n v="4"/>
    <x v="32"/>
    <s v="8.000,00"/>
    <e v="#NAME?"/>
  </r>
  <r>
    <n v="2169"/>
    <m/>
    <x v="0"/>
    <d v="2019-07-04T00:00:00"/>
    <n v="3000"/>
    <s v="Familia Chávez Hernández"/>
    <s v="mercedesch23@hotmail.com"/>
    <s v="Calle Güigüe Nro. 88-20"/>
    <s v="Colaboración Vigilancia, mes de Junio 2019"/>
    <x v="0"/>
    <m/>
    <s v="02169"/>
    <s v="04 de julio de 2019"/>
    <n v="4"/>
    <x v="32"/>
    <s v="3.000,00"/>
    <e v="#NAME?"/>
  </r>
  <r>
    <n v="2170"/>
    <m/>
    <x v="0"/>
    <d v="2019-07-07T00:00:00"/>
    <n v="10000"/>
    <s v="Familia Colosso Delgado"/>
    <s v="mcolosso@gmail.com"/>
    <s v="Calle Güigüe Nro. 88-44"/>
    <s v="Cancelación Vigilancia, mes de Julio 2019"/>
    <x v="0"/>
    <m/>
    <s v="02170"/>
    <s v="07 de julio de 2019"/>
    <n v="7"/>
    <x v="32"/>
    <s v="10.000,00"/>
    <e v="#NAME?"/>
  </r>
  <r>
    <n v="2171"/>
    <m/>
    <x v="0"/>
    <d v="2019-07-07T00:00:00"/>
    <n v="10000"/>
    <s v="Familia Arcia Polanco"/>
    <s v="misipo29@gmail.com"/>
    <s v="Calle Guacara Nro. 89-20"/>
    <s v="Cancelación Vigilancia, mes de Julio 2019"/>
    <x v="0"/>
    <m/>
    <s v="02171"/>
    <s v="07 de julio de 2019"/>
    <n v="7"/>
    <x v="32"/>
    <s v="10.000,00"/>
    <e v="#NAME?"/>
  </r>
  <r>
    <n v="2172"/>
    <m/>
    <x v="0"/>
    <d v="2019-07-07T00:00:00"/>
    <n v="10000"/>
    <s v="Amparo Acosta"/>
    <s v="amparonatividad@hotmail.com"/>
    <s v="Calle Guacara Nro. 88-65"/>
    <s v="Cancelación Vigilancia, mes de Julio 2019"/>
    <x v="0"/>
    <m/>
    <s v="02172"/>
    <s v="07 de julio de 2019"/>
    <n v="7"/>
    <x v="32"/>
    <s v="10.000,00"/>
    <e v="#NAME?"/>
  </r>
  <r>
    <n v="2173"/>
    <m/>
    <x v="0"/>
    <d v="2019-07-07T00:00:00"/>
    <n v="8000"/>
    <s v="Familia Piñero Padilla"/>
    <s v="achepaul2005@hotmail.com"/>
    <s v="Calle Güigüe Nro. 89-21"/>
    <s v="Cancelación Vigilancia, mes de Junio 2019"/>
    <x v="0"/>
    <m/>
    <s v="02173"/>
    <s v="07 de julio de 2019"/>
    <n v="7"/>
    <x v="32"/>
    <s v="8.000,00"/>
    <e v="#NAME?"/>
  </r>
  <r>
    <n v="2174"/>
    <m/>
    <x v="0"/>
    <d v="2019-07-07T00:00:00"/>
    <n v="10000"/>
    <s v="Familia Soto Urdaneta"/>
    <s v="esotom61@gmail.com"/>
    <s v="Calle Guacara Nro. 89-102"/>
    <s v="Cancelación Vigilancia, mes de Julio 2019"/>
    <x v="0"/>
    <m/>
    <s v="02174"/>
    <s v="07 de julio de 2019"/>
    <n v="7"/>
    <x v="32"/>
    <s v="10.000,00"/>
    <e v="#NAME?"/>
  </r>
  <r>
    <n v="2175"/>
    <m/>
    <x v="0"/>
    <d v="2019-07-08T00:00:00"/>
    <n v="10000"/>
    <s v="Familia Romero"/>
    <s v="autoescuela21@gmail.com"/>
    <s v="Calle Guacara Nro. 89-50"/>
    <s v="Cancelación Vigilancia, mes de Julio 2019"/>
    <x v="0"/>
    <m/>
    <s v="02175"/>
    <s v="08 de julio de 2019"/>
    <n v="8"/>
    <x v="32"/>
    <s v="10.000,00"/>
    <e v="#NAME?"/>
  </r>
  <r>
    <n v="2176"/>
    <m/>
    <x v="0"/>
    <d v="2019-07-08T00:00:00"/>
    <n v="10000"/>
    <s v="Familia Franco Gómez"/>
    <s v="eof64@hotmail.com"/>
    <s v="Calle Guacara Nro. 87-07"/>
    <s v="Cancelación Vigilancia, mes de Julio 2019"/>
    <x v="0"/>
    <m/>
    <s v="02176"/>
    <s v="08 de julio de 2019"/>
    <n v="8"/>
    <x v="32"/>
    <s v="10.000,00"/>
    <e v="#NAME?"/>
  </r>
  <r>
    <n v="2177"/>
    <m/>
    <x v="0"/>
    <d v="2019-07-08T00:00:00"/>
    <n v="10000"/>
    <s v="Héctor Hernández"/>
    <s v="eof64@hotmail.com"/>
    <s v="Calle Guacara Nro. 89-94"/>
    <s v="Cancelación Vigilancia, mes de Julio 2019"/>
    <x v="0"/>
    <m/>
    <s v="02177"/>
    <s v="08 de julio de 2019"/>
    <n v="8"/>
    <x v="32"/>
    <s v="10.000,00"/>
    <e v="#NAME?"/>
  </r>
  <r>
    <n v="2178"/>
    <m/>
    <x v="0"/>
    <d v="2019-07-09T00:00:00"/>
    <n v="10000"/>
    <s v="Victoria Francischiello"/>
    <s v="victoriafrancischiello@hotmail.com"/>
    <s v="Calle Guacara Nro. 88-25"/>
    <s v="Cancelación Vigilancia, mes de Julio 2019"/>
    <x v="0"/>
    <m/>
    <s v="02178"/>
    <s v="09 de julio de 2019"/>
    <n v="9"/>
    <x v="32"/>
    <s v="10.000,00"/>
    <e v="#NAME?"/>
  </r>
  <r>
    <n v="2179"/>
    <m/>
    <x v="0"/>
    <d v="2019-07-09T00:00:00"/>
    <n v="6000"/>
    <s v="Familia Méndez Parra"/>
    <s v="briceidademendez@gmail.com"/>
    <s v="Calle Guacara Nro. 88-19"/>
    <s v="Colaboración Vigilancia, mes de Julio 2019"/>
    <x v="0"/>
    <m/>
    <s v="02179"/>
    <s v="09 de julio de 2019"/>
    <n v="9"/>
    <x v="32"/>
    <s v="6.000,00"/>
    <e v="#NAME?"/>
  </r>
  <r>
    <n v="2180"/>
    <m/>
    <x v="0"/>
    <d v="2019-07-09T00:00:00"/>
    <n v="24000"/>
    <s v="Familia Cegarra Villamizar"/>
    <s v="jesus.villamizar.ra@gmail.com"/>
    <s v="Calle Guacara Nro. 88-35"/>
    <s v="Cancelación Vigilancia, meses de Mayo y Junio 2019 y anticipo mes de Julio 2019"/>
    <x v="0"/>
    <m/>
    <s v="02180"/>
    <s v="09 de julio de 2019"/>
    <n v="9"/>
    <x v="32"/>
    <s v="24.000,00"/>
    <e v="#NAME?"/>
  </r>
  <r>
    <n v="2181"/>
    <m/>
    <x v="0"/>
    <d v="2019-07-09T00:00:00"/>
    <n v="2000"/>
    <s v="Familia Cegarra Villamizar"/>
    <s v="jesus.villamizar.ra@gmail.com"/>
    <s v="Calle Guacara Nro. 88-35"/>
    <s v="Cancelación Vigilancia, saldo mes de Julio 2019"/>
    <x v="0"/>
    <m/>
    <s v="02181"/>
    <s v="09 de julio de 2019"/>
    <n v="9"/>
    <x v="32"/>
    <s v="2.000,00"/>
    <e v="#NAME?"/>
  </r>
  <r>
    <n v="2182"/>
    <m/>
    <x v="0"/>
    <d v="2019-07-10T00:00:00"/>
    <n v="10000"/>
    <s v="Familia Del Negro Palermo"/>
    <s v="vdelnegro@gmail.com"/>
    <s v="Calle Guacara Nro. 88-45"/>
    <s v="Cancelación Vigilancia, mes de Julio 2019 (saldo a favor: Bs. 69.862,95)"/>
    <x v="0"/>
    <m/>
    <s v="02182"/>
    <s v="10 de julio de 2019"/>
    <n v="10"/>
    <x v="32"/>
    <s v="10.000,00"/>
    <e v="#NAME?"/>
  </r>
  <r>
    <n v="2183"/>
    <m/>
    <x v="0"/>
    <d v="2019-07-10T00:00:00"/>
    <n v="10000"/>
    <s v="Familia Wu Acevedo"/>
    <s v="rudyacevedo90@gmail.com"/>
    <s v="Calle Guacara Nro. 88-A-10"/>
    <s v="Cancelación Vigilancia, mes de Julio 2019 (saldo a favor: Bs. 26.005,80)"/>
    <x v="0"/>
    <m/>
    <s v="02183"/>
    <s v="10 de julio de 2019"/>
    <n v="10"/>
    <x v="32"/>
    <s v="10.000,00"/>
    <e v="#NAME?"/>
  </r>
  <r>
    <n v="2184"/>
    <m/>
    <x v="0"/>
    <d v="2019-07-10T00:00:00"/>
    <n v="10000"/>
    <s v="Familia López Hermoso"/>
    <s v="lopez.humberto14@yahoo.com.ve"/>
    <s v="Calle Güigüe Nro. 89-79"/>
    <s v="Cancelación Vigilancia, mes de Julio 2019 (saldo a favor: Bs. 30.000,00)"/>
    <x v="0"/>
    <m/>
    <s v="02184"/>
    <s v="10 de julio de 2019"/>
    <n v="10"/>
    <x v="32"/>
    <s v="10.000,00"/>
    <e v="#NAME?"/>
  </r>
  <r>
    <n v="2185"/>
    <m/>
    <x v="0"/>
    <d v="2019-07-09T00:00:00"/>
    <n v="10000"/>
    <s v="Ma. de Jesus Alonso"/>
    <s v="alonsojg@gmail.com"/>
    <s v="Calle Güigüe Nro. 88-30"/>
    <s v="Cancelación Vigilancia, mes de Julio 2019"/>
    <x v="0"/>
    <m/>
    <s v="02185"/>
    <s v="09 de julio de 2019"/>
    <n v="9"/>
    <x v="32"/>
    <s v="10.000,00"/>
    <e v="#NAME?"/>
  </r>
  <r>
    <n v="2186"/>
    <m/>
    <x v="0"/>
    <d v="2019-07-10T00:00:00"/>
    <n v="10000"/>
    <s v="Amarilis Guerra"/>
    <s v="amarilisguerra1@yahoo.com"/>
    <s v="Calle Güigüe Nro. 89-96"/>
    <s v="Cancelación Vigilancia, mes de Julio 2019"/>
    <x v="0"/>
    <m/>
    <s v="02186"/>
    <s v="10 de julio de 2019"/>
    <n v="10"/>
    <x v="32"/>
    <s v="10.000,00"/>
    <e v="#NAME?"/>
  </r>
  <r>
    <n v="2187"/>
    <m/>
    <x v="0"/>
    <d v="2019-07-11T00:00:00"/>
    <n v="8000"/>
    <s v="Familia Manrique Riera"/>
    <s v="patriciamanrique@gmail.com"/>
    <s v="Calle Guacara Nro. 89-40"/>
    <s v="Cancelación Vigilancia, anticipo mes de Julio 2019"/>
    <x v="0"/>
    <m/>
    <s v="02187"/>
    <s v="11 de julio de 2019"/>
    <n v="11"/>
    <x v="32"/>
    <s v="8.000,00"/>
    <e v="#NAME?"/>
  </r>
  <r>
    <n v="2188"/>
    <m/>
    <x v="0"/>
    <d v="2019-07-11T00:00:00"/>
    <n v="2000"/>
    <s v="Familia Manrique Riera"/>
    <s v="patriciamanrique@gmail.com"/>
    <s v="Calle Guacara Nro. 89-40"/>
    <s v="Cancelación Vigilancia, saldo mes de Julio 2019"/>
    <x v="0"/>
    <m/>
    <s v="02188"/>
    <s v="11 de julio de 2019"/>
    <n v="11"/>
    <x v="32"/>
    <s v="2.000,00"/>
    <e v="#NAME?"/>
  </r>
  <r>
    <n v="2189"/>
    <m/>
    <x v="0"/>
    <d v="2019-07-11T00:00:00"/>
    <n v="18000"/>
    <s v="Familia Kattar González"/>
    <s v="jagiak123@yahoo.es"/>
    <s v="Calle Güigüe Nro. 89-95"/>
    <s v="Cancelación Vigilancia, meses de Junio y Julio 2019"/>
    <x v="0"/>
    <m/>
    <s v="02189"/>
    <s v="11 de julio de 2019"/>
    <n v="11"/>
    <x v="32"/>
    <s v="18.000,00"/>
    <e v="#NAME?"/>
  </r>
  <r>
    <n v="2190"/>
    <m/>
    <x v="0"/>
    <d v="2019-07-14T00:00:00"/>
    <n v="10000"/>
    <s v="Familia Lomeña Agudo"/>
    <s v="claudialomena@hotmail.com"/>
    <s v="Calle Guacara Nro. 89-30"/>
    <s v="Cancelación Vigilancia, mes de Julio 2019"/>
    <x v="0"/>
    <m/>
    <s v="02190"/>
    <s v="14 de julio de 2019"/>
    <n v="14"/>
    <x v="32"/>
    <s v="10.000,00"/>
    <e v="#NAME?"/>
  </r>
  <r>
    <n v="2191"/>
    <m/>
    <x v="0"/>
    <d v="2019-07-14T00:00:00"/>
    <n v="10000"/>
    <s v="Dra. Lilia Magallanes"/>
    <s v="liliamagallanes2010@gmail.com"/>
    <s v="Calle Güigüe Nro. 88-51"/>
    <s v="Cancelación Vigilancia, mes de Julio 2019"/>
    <x v="0"/>
    <m/>
    <s v="02191"/>
    <s v="14 de julio de 2019"/>
    <n v="14"/>
    <x v="32"/>
    <s v="10.000,00"/>
    <e v="#NAME?"/>
  </r>
  <r>
    <n v="2192"/>
    <m/>
    <x v="0"/>
    <d v="2019-07-15T00:00:00"/>
    <n v="10000"/>
    <s v="Beatriz Lara"/>
    <s v="valentina.gutierrez@hotmail.com"/>
    <s v="Calle Guacara Nro. 89-130"/>
    <s v="Cancelación Vigilancia, mes de Julio 2019"/>
    <x v="0"/>
    <m/>
    <s v="02192"/>
    <s v="15 de julio de 2019"/>
    <n v="15"/>
    <x v="32"/>
    <s v="10.000,00"/>
    <e v="#NAME?"/>
  </r>
  <r>
    <n v="2193"/>
    <m/>
    <x v="0"/>
    <d v="2019-07-15T00:00:00"/>
    <n v="10000"/>
    <s v="Familia Díaz González"/>
    <s v="luisrdt57@gmail.com"/>
    <s v="Calle Güigüe Nro. 88-116"/>
    <s v="Cancelación Vigilancia, mes de Julio 2019"/>
    <x v="0"/>
    <m/>
    <s v="02193"/>
    <s v="15 de julio de 2019"/>
    <n v="15"/>
    <x v="32"/>
    <s v="10.000,00"/>
    <e v="#NAME?"/>
  </r>
  <r>
    <n v="2194"/>
    <m/>
    <x v="0"/>
    <d v="2019-07-15T00:00:00"/>
    <n v="8000"/>
    <s v="Familia Martínez Boada"/>
    <s v="florcitakmz@gmail.com"/>
    <s v="Calle Güigüe Nro. 88-62"/>
    <s v="Cancelación Vigilancia, mes de Junio 2019"/>
    <x v="0"/>
    <m/>
    <s v="02194"/>
    <s v="15 de julio de 2019"/>
    <n v="15"/>
    <x v="32"/>
    <s v="8.000,00"/>
    <e v="#NAME?"/>
  </r>
  <r>
    <n v="2195"/>
    <m/>
    <x v="0"/>
    <d v="2019-07-17T00:00:00"/>
    <n v="10000"/>
    <s v="Familia Acosta Carpio"/>
    <s v="pablo962@hotmail.com"/>
    <s v="Calle Güigüe Nro. 89-10"/>
    <s v="Cancelación Vigilancia, mes de Julio 2019"/>
    <x v="0"/>
    <m/>
    <s v="02195"/>
    <s v="17 de julio de 2019"/>
    <n v="17"/>
    <x v="32"/>
    <s v="10.000,00"/>
    <e v="#NAME?"/>
  </r>
  <r>
    <n v="2196"/>
    <m/>
    <x v="0"/>
    <d v="2019-07-18T00:00:00"/>
    <n v="10000"/>
    <s v="Familia Machado Stoppa"/>
    <s v="machadoru@hotmail.com"/>
    <s v="Calle Guacara Nro. 88-85"/>
    <s v="Cancelación Vigilancia, mes de Julio 2019"/>
    <x v="0"/>
    <m/>
    <s v="02196"/>
    <s v="18 de julio de 2019"/>
    <n v="18"/>
    <x v="32"/>
    <s v="10.000,00"/>
    <e v="#NAME?"/>
  </r>
  <r>
    <n v="2197"/>
    <m/>
    <x v="0"/>
    <d v="2019-07-18T00:00:00"/>
    <n v="10000"/>
    <s v="Familia Costermani Terrer"/>
    <s v="claudiacostermani@hotmail.com"/>
    <s v="Calle Güigüe Nro. 88-11"/>
    <s v="Cancelación Vigilancia, mes de Julio 2019"/>
    <x v="0"/>
    <m/>
    <s v="02197"/>
    <s v="18 de julio de 2019"/>
    <n v="18"/>
    <x v="32"/>
    <s v="10.000,00"/>
    <e v="#NAME?"/>
  </r>
  <r>
    <n v="2198"/>
    <m/>
    <x v="0"/>
    <d v="2019-07-18T00:00:00"/>
    <n v="10000"/>
    <s v="Familia Kablan Sarmiento"/>
    <s v="norisjsb56@hotmail.com"/>
    <s v="Calle Güigüe Nro. 89-80"/>
    <s v="Cancelación Vigilancia, mes de Julio 2019"/>
    <x v="0"/>
    <m/>
    <s v="02198"/>
    <s v="18 de julio de 2019"/>
    <n v="18"/>
    <x v="32"/>
    <s v="10.000,00"/>
    <e v="#NAME?"/>
  </r>
  <r>
    <n v="2199"/>
    <m/>
    <x v="0"/>
    <d v="2019-07-18T00:00:00"/>
    <n v="20000"/>
    <s v="Jocsan Orta Correa"/>
    <s v="carlos_arturox@hotmail.com"/>
    <s v="Av. &quot;L&quot; anexo de Los Tronquitos"/>
    <s v="Cancelación Vigilancia, meses de Julio y Agosto 2019"/>
    <x v="0"/>
    <m/>
    <s v="02199"/>
    <s v="18 de julio de 2019"/>
    <n v="18"/>
    <x v="32"/>
    <s v="20.000,00"/>
    <e v="#NAME?"/>
  </r>
  <r>
    <n v="2200"/>
    <m/>
    <x v="0"/>
    <d v="2019-07-20T00:00:00"/>
    <n v="10000"/>
    <s v="Familia Loponte Arteaga"/>
    <s v="En Físico"/>
    <s v="Calle Güigüe Nro. 88-120"/>
    <s v="Cancelación Vigilancia, mes de Julio 2019"/>
    <x v="0"/>
    <m/>
    <s v="02200"/>
    <s v="20 de julio de 2019"/>
    <n v="20"/>
    <x v="32"/>
    <s v="10.000,00"/>
    <e v="#NAME?"/>
  </r>
  <r>
    <n v="2201"/>
    <m/>
    <x v="0"/>
    <d v="2019-07-21T00:00:00"/>
    <n v="8000"/>
    <s v="Familia Gascón Domínguez"/>
    <s v="vrgascon@gmail.com"/>
    <s v="Calle Güigüe Nro. 88-70"/>
    <s v="Cancelación Vigilancia, anticipo mes de Julio 2019"/>
    <x v="0"/>
    <m/>
    <s v="02201"/>
    <s v="21 de julio de 2019"/>
    <n v="21"/>
    <x v="32"/>
    <s v="8.000,00"/>
    <e v="#NAME?"/>
  </r>
  <r>
    <n v="2202"/>
    <m/>
    <x v="0"/>
    <d v="2019-07-22T00:00:00"/>
    <n v="2000"/>
    <s v="Familia Gascón Domínguez"/>
    <s v="vrgascon@gmail.com"/>
    <s v="Calle Güigüe Nro. 88-70"/>
    <s v="Cancelación Vigilancia, saldo mes de Julio 2019"/>
    <x v="0"/>
    <m/>
    <s v="02202"/>
    <s v="22 de julio de 2019"/>
    <n v="22"/>
    <x v="32"/>
    <s v="2.000,00"/>
    <e v="#NAME?"/>
  </r>
  <r>
    <n v="2203"/>
    <m/>
    <x v="0"/>
    <d v="2019-07-23T00:00:00"/>
    <n v="10000"/>
    <s v="Familia Zavarce Pérez"/>
    <s v="En Físico"/>
    <s v="Calle Guacara Nro. 90-35"/>
    <s v="Cancelación Vigilancia, mes de Julio 2019"/>
    <x v="0"/>
    <m/>
    <s v="02203"/>
    <s v="23 de julio de 2019"/>
    <n v="23"/>
    <x v="32"/>
    <s v="10.000,00"/>
    <e v="#NAME?"/>
  </r>
  <r>
    <n v="2204"/>
    <m/>
    <x v="0"/>
    <d v="2019-07-23T00:00:00"/>
    <n v="10000"/>
    <s v="Familia Rodríguez Girón"/>
    <s v="daniellegt4@gmail.com"/>
    <s v="Calle Güigüe Nro. 89-22"/>
    <s v="Cancelación Vigilancia, mes de Julio 2019"/>
    <x v="0"/>
    <m/>
    <s v="02204"/>
    <s v="23 de julio de 2019"/>
    <n v="23"/>
    <x v="32"/>
    <s v="10.000,00"/>
    <e v="#NAME?"/>
  </r>
  <r>
    <n v="2205"/>
    <m/>
    <x v="0"/>
    <d v="2019-07-24T00:00:00"/>
    <n v="10000"/>
    <s v="Familia Navarro Assing"/>
    <s v="liliaassing@gmail.com"/>
    <s v="Calle Güigüe Nro. 88-54"/>
    <s v="Cancelación Vigilancia, mes de Julio 2019"/>
    <x v="0"/>
    <m/>
    <s v="02205"/>
    <s v="24 de julio de 2019"/>
    <n v="24"/>
    <x v="32"/>
    <s v="10.000,00"/>
    <e v="#NAME?"/>
  </r>
  <r>
    <n v="2206"/>
    <m/>
    <x v="0"/>
    <d v="2019-07-24T00:00:00"/>
    <n v="29000"/>
    <s v="Colegio El Trigal"/>
    <s v="En Físico"/>
    <s v="Calle Güigüe Nros. 88-71 y 88-81"/>
    <s v="Cancelación Vigilancia, meses de Julio y Agosto 2019"/>
    <x v="0"/>
    <m/>
    <s v="02206"/>
    <s v="24 de julio de 2019"/>
    <n v="24"/>
    <x v="32"/>
    <s v="29.000,00"/>
    <e v="#NAME?"/>
  </r>
  <r>
    <n v="2207"/>
    <m/>
    <x v="0"/>
    <d v="2019-07-25T00:00:00"/>
    <n v="8000"/>
    <s v="Familia Romero"/>
    <s v="autoescuela21@gmail.com"/>
    <s v="Calle Guacara Nro. 89-50"/>
    <s v="Cancelación Vigilancia, mes de Junio 2019"/>
    <x v="0"/>
    <m/>
    <s v="02207"/>
    <s v="25 de julio de 2019"/>
    <n v="25"/>
    <x v="32"/>
    <s v="8.000,00"/>
    <e v="#NAME?"/>
  </r>
  <r>
    <n v="2208"/>
    <m/>
    <x v="0"/>
    <d v="2019-07-25T00:00:00"/>
    <n v="10000"/>
    <s v="Familia Matta Palomino"/>
    <s v="En Físico"/>
    <s v="Calle Güigüe Nro. 88-90"/>
    <s v="Cancelación Vigilancia, mes de Julio 2019"/>
    <x v="0"/>
    <m/>
    <s v="02208"/>
    <s v="25 de julio de 2019"/>
    <n v="25"/>
    <x v="32"/>
    <s v="10.000,00"/>
    <e v="#NAME?"/>
  </r>
  <r>
    <n v="2209"/>
    <m/>
    <x v="0"/>
    <d v="2019-07-25T00:00:00"/>
    <n v="10000"/>
    <s v="Familia Narváez Caldera"/>
    <s v="jeannette_nc@yahoo.com"/>
    <s v="Calle Güigüe Nro. 87-A-11"/>
    <s v="Cancelación Vigilancia, mes de Julio 2019"/>
    <x v="0"/>
    <m/>
    <s v="02209"/>
    <s v="25 de julio de 2019"/>
    <n v="25"/>
    <x v="32"/>
    <s v="10.000,00"/>
    <e v="#NAME?"/>
  </r>
  <r>
    <n v="2210"/>
    <m/>
    <x v="0"/>
    <d v="2019-07-25T00:00:00"/>
    <n v="10000"/>
    <s v="Familia Triana González"/>
    <s v="En Físico"/>
    <s v="Calle Guacara Nro. 90-61"/>
    <s v="Cancelación Vigilancia, mes de Julio 2019"/>
    <x v="0"/>
    <m/>
    <s v="02210"/>
    <s v="25 de julio de 2019"/>
    <n v="25"/>
    <x v="32"/>
    <s v="10.000,00"/>
    <e v="#NAME?"/>
  </r>
  <r>
    <n v="2211"/>
    <m/>
    <x v="0"/>
    <d v="2019-07-25T00:00:00"/>
    <n v="20000"/>
    <s v="Familia Ferrer Bahri"/>
    <s v="bahrimariela@hotmail.com"/>
    <s v="Calle Güigüe Nro. 89-83"/>
    <s v="Cancelación Vigilancia, mes de Julio 2019"/>
    <x v="0"/>
    <m/>
    <s v="02211"/>
    <s v="25 de julio de 2019"/>
    <n v="25"/>
    <x v="32"/>
    <s v="20.000,00"/>
    <e v="#NAME?"/>
  </r>
  <r>
    <n v="2212"/>
    <m/>
    <x v="0"/>
    <d v="2019-07-25T00:00:00"/>
    <n v="10000"/>
    <s v="Zoraida Khair"/>
    <s v="zorakhair@hotmail.com | lbracamonte@netuno.net"/>
    <s v="Calle Güigüe Nro. 88-80"/>
    <s v="Cancelación Vigilancia, mes de Agosto 2019"/>
    <x v="0"/>
    <m/>
    <s v="02212"/>
    <s v="25 de julio de 2019"/>
    <n v="25"/>
    <x v="32"/>
    <s v="10.000,00"/>
    <e v="#NAME?"/>
  </r>
  <r>
    <n v="2213"/>
    <m/>
    <x v="0"/>
    <d v="2019-07-03T00:00:00"/>
    <n v="10000"/>
    <s v="Carmen Moreno"/>
    <s v="carmenemoreno10@gmail.com"/>
    <s v="Calle Güigüe Nro. 89-04"/>
    <s v="Cancelación Vigilancia, mes de Julio 2019"/>
    <x v="0"/>
    <m/>
    <s v="02213"/>
    <s v="03 de julio de 2019"/>
    <n v="3"/>
    <x v="32"/>
    <s v="10.000,00"/>
    <e v="#NAME?"/>
  </r>
  <r>
    <n v="2214"/>
    <m/>
    <x v="0"/>
    <d v="2019-07-26T00:00:00"/>
    <n v="10000"/>
    <s v="Familia Jiménez Navarro"/>
    <s v="joyasonline2012@gmail.com"/>
    <s v="Calle Güigüe Nro. 88-50"/>
    <s v="Cancelación Vigilancia, mes de Julio 2019"/>
    <x v="0"/>
    <m/>
    <s v="02214"/>
    <s v="26 de julio de 2019"/>
    <n v="26"/>
    <x v="32"/>
    <s v="10.000,00"/>
    <e v="#NAME?"/>
  </r>
  <r>
    <n v="2215"/>
    <m/>
    <x v="0"/>
    <d v="2019-07-26T00:00:00"/>
    <n v="15000"/>
    <s v="Familia Durvelle Serrano"/>
    <s v="sdurvelle@hotmail.com"/>
    <s v="Calle Guacara Nro. 89-60"/>
    <s v="Cancelación Vigilancia, mes de Julio 2019"/>
    <x v="0"/>
    <m/>
    <s v="02215"/>
    <s v="26 de julio de 2019"/>
    <n v="26"/>
    <x v="32"/>
    <s v="15.000,00"/>
    <e v="#NAME?"/>
  </r>
  <r>
    <n v="2216"/>
    <m/>
    <x v="0"/>
    <d v="2019-07-26T00:00:00"/>
    <n v="3500"/>
    <s v="Silvia Power"/>
    <s v="spowermeneses@gmail.com"/>
    <s v="Calle Güigüe Nro. 89-16"/>
    <s v="Colaboración Vigilancia, mes de Julio 2019"/>
    <x v="0"/>
    <m/>
    <s v="02216"/>
    <s v="26 de julio de 2019"/>
    <n v="26"/>
    <x v="32"/>
    <s v="3.500,00"/>
    <e v="#NAME?"/>
  </r>
  <r>
    <n v="2217"/>
    <m/>
    <x v="0"/>
    <d v="2019-07-26T00:00:00"/>
    <n v="10000"/>
    <s v="Familia Sirit Palencia"/>
    <s v="irasirit@gmail.com"/>
    <s v="Calle Güigüe Nro. 89-35"/>
    <s v="Cancelación Vigilancia, mes de Julio 2019"/>
    <x v="0"/>
    <m/>
    <s v="02217"/>
    <s v="26 de julio de 2019"/>
    <n v="26"/>
    <x v="32"/>
    <s v="10.000,00"/>
    <e v="#NAME?"/>
  </r>
  <r>
    <n v="2218"/>
    <m/>
    <x v="0"/>
    <d v="2019-07-27T00:00:00"/>
    <n v="6000"/>
    <s v="Familia Chávez Hernández"/>
    <s v="mercedesch23@hotmail.com"/>
    <s v="Calle Güigüe Nro. 88-20"/>
    <s v="Colaboración Vigilancia, mes de Julio 2019"/>
    <x v="0"/>
    <m/>
    <s v="02218"/>
    <s v="27 de julio de 2019"/>
    <n v="27"/>
    <x v="32"/>
    <s v="6.000,00"/>
    <e v="#NAME?"/>
  </r>
  <r>
    <n v="2219"/>
    <m/>
    <x v="0"/>
    <d v="2019-07-28T00:00:00"/>
    <n v="20000"/>
    <s v="Familia Montilla García"/>
    <s v="dairy252525@hotmail.com"/>
    <s v="Calle Güigüe Nro. 89-90"/>
    <s v="Cancelación Vigilancia, meses de Julio y Agosto 2019"/>
    <x v="0"/>
    <m/>
    <s v="02219"/>
    <s v="28 de julio de 2019"/>
    <n v="28"/>
    <x v="32"/>
    <s v="20.000,00"/>
    <e v="#NAME?"/>
  </r>
  <r>
    <n v="2220"/>
    <m/>
    <x v="0"/>
    <d v="2019-07-29T00:00:00"/>
    <n v="20000"/>
    <s v="Familia Ochoa Mendoza"/>
    <s v="marisoljudithm@hotmail.com"/>
    <s v="Calle Guacara Nro. 89-130"/>
    <s v="Cancelación Vigilancia, meses de Julio y Agosto 2019"/>
    <x v="0"/>
    <m/>
    <s v="02220"/>
    <s v="29 de julio de 2019"/>
    <n v="29"/>
    <x v="32"/>
    <s v="20.000,00"/>
    <e v="#NAME?"/>
  </r>
  <r>
    <n v="2221"/>
    <m/>
    <x v="0"/>
    <d v="2019-07-29T00:00:00"/>
    <n v="10000"/>
    <s v="Andrea Valor"/>
    <s v="aavp992@gmail.com"/>
    <s v="Calle Guacara Nro. 88-75"/>
    <s v="Cancelación Vigilancia, mes de Julio 2019"/>
    <x v="0"/>
    <m/>
    <s v="02221"/>
    <s v="29 de julio de 2019"/>
    <n v="29"/>
    <x v="32"/>
    <s v="10.000,00"/>
    <e v="#NAME?"/>
  </r>
  <r>
    <n v="2222"/>
    <m/>
    <x v="0"/>
    <d v="2019-07-29T00:00:00"/>
    <n v="10000"/>
    <s v="Familia Castillo Mena"/>
    <s v="emmecas@hotmail.com"/>
    <s v="Calle Güigüe Nro. 88-101"/>
    <s v="Cancelación Vigilancia, mes de Julio 2019"/>
    <x v="0"/>
    <m/>
    <s v="02222"/>
    <s v="29 de julio de 2019"/>
    <n v="29"/>
    <x v="32"/>
    <s v="10.000,00"/>
    <e v="#NAME?"/>
  </r>
  <r>
    <n v="2223"/>
    <m/>
    <x v="0"/>
    <d v="2019-07-17T00:00:00"/>
    <n v="10000"/>
    <s v="Familia Rodríguez Aular"/>
    <s v="mvaular@hotmail.com"/>
    <s v="Calle Güigüe Nro. 88-58"/>
    <s v="Cancelación Vigilancia, mes de Julio 2019"/>
    <x v="0"/>
    <m/>
    <s v="02223"/>
    <s v="17 de julio de 2019"/>
    <n v="17"/>
    <x v="32"/>
    <s v="10.000,00"/>
    <e v="#NAME?"/>
  </r>
  <r>
    <n v="2224"/>
    <m/>
    <x v="0"/>
    <d v="2019-07-30T00:00:00"/>
    <n v="20000"/>
    <s v="Familia Puerta Burguillos"/>
    <s v="namaricakes@gmail.com"/>
    <s v="Calle Guacara Nro. 87-100"/>
    <s v="Cancelación Vigilancia, meses de Julio y Agosto 2019"/>
    <x v="0"/>
    <m/>
    <s v="02224"/>
    <s v="30 de julio de 2019"/>
    <n v="30"/>
    <x v="32"/>
    <s v="20.000,00"/>
    <e v="#NAME?"/>
  </r>
  <r>
    <n v="2225"/>
    <m/>
    <x v="0"/>
    <d v="2019-07-30T00:00:00"/>
    <n v="10000"/>
    <s v="Familia Chan García"/>
    <s v="chanalberto10@hotmail.com | endrinagarciah@gmail.com"/>
    <s v="Calle Güigüe Nro. 89-106"/>
    <s v="Cancelación Vigilancia, mes de Julio 2019"/>
    <x v="0"/>
    <m/>
    <s v="02225"/>
    <s v="30 de julio de 2019"/>
    <n v="30"/>
    <x v="32"/>
    <s v="10.000,00"/>
    <e v="#NAME?"/>
  </r>
  <r>
    <n v="2226"/>
    <m/>
    <x v="0"/>
    <d v="2019-07-30T00:00:00"/>
    <n v="10000"/>
    <s v="Familia Barreto Pérez"/>
    <s v="bbetsa19@hotmail.com"/>
    <s v="Av. &quot;M&quot; Nro. 146-15"/>
    <s v="Cancelación Vigilancia, mes de Julio 2019"/>
    <x v="0"/>
    <m/>
    <s v="02226"/>
    <s v="30 de julio de 2019"/>
    <n v="30"/>
    <x v="32"/>
    <s v="10.000,00"/>
    <e v="#NAME?"/>
  </r>
  <r>
    <n v="2227"/>
    <m/>
    <x v="0"/>
    <d v="2019-07-31T00:00:00"/>
    <n v="18000"/>
    <s v="Familia Astor Zamora"/>
    <s v="imzastor@gmail.com"/>
    <s v="Calle Güigüe Nro. 88-111"/>
    <s v="Cancelación Vigilancia, meses de Junio y Julio 2019"/>
    <x v="0"/>
    <m/>
    <s v="02227"/>
    <s v="31 de julio de 2019"/>
    <n v="31"/>
    <x v="32"/>
    <s v="18.000,00"/>
    <e v="#NAME?"/>
  </r>
  <r>
    <n v="2228"/>
    <m/>
    <x v="0"/>
    <d v="2019-07-31T00:00:00"/>
    <n v="10000"/>
    <s v="Familia Alonso Rojas"/>
    <s v="redjc01@gmail.com"/>
    <s v="Calle Güigüe Nro. 89-54"/>
    <s v="Cancelación Vigilancia, mes de Agosto 2019"/>
    <x v="0"/>
    <m/>
    <s v="02228"/>
    <s v="31 de julio de 2019"/>
    <n v="31"/>
    <x v="32"/>
    <s v="10.000,00"/>
    <e v="#NAME?"/>
  </r>
  <r>
    <n v="2229"/>
    <m/>
    <x v="0"/>
    <d v="2019-08-01T00:00:00"/>
    <n v="10000"/>
    <s v="Familia Colosso Delgado"/>
    <s v="mcolosso@gmail.com"/>
    <s v="Calle Güigüe Nro. 88-44"/>
    <s v="Cancelación Vigilancia, mes de Agosto 2019"/>
    <x v="0"/>
    <m/>
    <s v="02229"/>
    <s v="01 de agosto de 2019"/>
    <n v="1"/>
    <x v="33"/>
    <s v="10.000,00"/>
    <e v="#NAME?"/>
  </r>
  <r>
    <n v="2230"/>
    <m/>
    <x v="0"/>
    <d v="2019-08-01T00:00:00"/>
    <n v="10000"/>
    <s v="Sra. Reina Meléndez"/>
    <s v="olgajipe@gmail.com"/>
    <s v="Av. &quot;M&quot; Nro. 145-10"/>
    <s v="Cancelación Vigilancia, mes de Agosto 2019"/>
    <x v="0"/>
    <m/>
    <s v="02230"/>
    <s v="01 de agosto de 2019"/>
    <n v="1"/>
    <x v="33"/>
    <s v="10.000,00"/>
    <e v="#NAME?"/>
  </r>
  <r>
    <n v="2231"/>
    <m/>
    <x v="0"/>
    <d v="2019-08-01T00:00:00"/>
    <n v="20000"/>
    <s v="Ana de González"/>
    <s v="mikelnowak25@gmail.com"/>
    <s v="Av. &quot;O&quot; Nro. 146-17"/>
    <s v="Cancelación Vigilancia, meses de Julio y Agosto 2019"/>
    <x v="0"/>
    <m/>
    <s v="02231"/>
    <s v="01 de agosto de 2019"/>
    <n v="1"/>
    <x v="33"/>
    <s v="20.000,00"/>
    <e v="#NAME?"/>
  </r>
  <r>
    <n v="2232"/>
    <m/>
    <x v="0"/>
    <d v="2019-08-01T00:00:00"/>
    <n v="15000"/>
    <s v="Familia Nava Gordon"/>
    <s v="maru_19_66@hotmail.com"/>
    <s v="Calle Guacara Nro. 89-78"/>
    <s v="Cancelación Vigilancia, mes de Agosto 2019"/>
    <x v="0"/>
    <m/>
    <s v="02232"/>
    <s v="01 de agosto de 2019"/>
    <n v="1"/>
    <x v="33"/>
    <s v="15.000,00"/>
    <e v="#NAME?"/>
  </r>
  <r>
    <n v="2233"/>
    <m/>
    <x v="0"/>
    <d v="2019-08-02T00:00:00"/>
    <n v="10000"/>
    <s v="Gloria Molina"/>
    <s v="glomola2@yahoo.es"/>
    <s v="Calle Güigüe Nro. 89-71"/>
    <s v="Cancelación Vigilancia, mes de Julio 2019"/>
    <x v="0"/>
    <m/>
    <s v="02233"/>
    <s v="02 de agosto de 2019"/>
    <n v="2"/>
    <x v="33"/>
    <s v="10.000,00"/>
    <e v="#NAME?"/>
  </r>
  <r>
    <n v="2234"/>
    <m/>
    <x v="0"/>
    <d v="2019-07-03T00:00:00"/>
    <n v="10000"/>
    <s v="Familia Guerra Miret"/>
    <s v="antoniojguerrag@hotmail.com"/>
    <s v="Calle Güigüe Nro. 89-40"/>
    <s v="Cancelación Vigilancia, mes de Agosto 2019"/>
    <x v="0"/>
    <m/>
    <s v="02234"/>
    <s v="03 de julio de 2019"/>
    <n v="3"/>
    <x v="32"/>
    <s v="10.000,00"/>
    <e v="#NAME?"/>
  </r>
  <r>
    <n v="2235"/>
    <m/>
    <x v="0"/>
    <d v="2019-08-04T00:00:00"/>
    <n v="6000"/>
    <s v="Familia Méndez Parra"/>
    <s v="briceidademendez@gmail.com"/>
    <s v="Calle Guacara Nro. 88-19"/>
    <s v="Colaboración Vigilancia, mes de Agosto 2019"/>
    <x v="0"/>
    <m/>
    <s v="02235"/>
    <s v="04 de agosto de 2019"/>
    <n v="4"/>
    <x v="33"/>
    <s v="6.000,00"/>
    <e v="#NAME?"/>
  </r>
  <r>
    <n v="2236"/>
    <m/>
    <x v="0"/>
    <d v="2019-08-05T00:00:00"/>
    <n v="10000"/>
    <s v="Familia Franco Gómez"/>
    <s v="eof64@hotmail.com"/>
    <s v="Calle Guacara Nro. 87-07"/>
    <s v="Cancelación Vigilancia, mes de Agosto 2019"/>
    <x v="0"/>
    <m/>
    <s v="02236"/>
    <s v="05 de agosto de 2019"/>
    <n v="5"/>
    <x v="33"/>
    <s v="10.000,00"/>
    <e v="#NAME?"/>
  </r>
  <r>
    <n v="2237"/>
    <m/>
    <x v="0"/>
    <d v="2019-08-05T00:00:00"/>
    <n v="10000"/>
    <s v="Héctor Hernández"/>
    <s v="eof64@hotmail.com"/>
    <s v="Calle Guacara Nro. 89-94"/>
    <s v="Cancelación Vigilancia, mes de Agosto 2019"/>
    <x v="0"/>
    <m/>
    <s v="02237"/>
    <s v="05 de agosto de 2019"/>
    <n v="5"/>
    <x v="33"/>
    <s v="10.000,00"/>
    <e v="#NAME?"/>
  </r>
  <r>
    <n v="2238"/>
    <m/>
    <x v="0"/>
    <d v="2019-08-05T00:00:00"/>
    <n v="10000"/>
    <s v="Chin Chun Ya (Goya)"/>
    <s v="uc2721@gmail.com"/>
    <s v="Calle Guacara Nro. 87-86"/>
    <s v="Cancelación Vigilancia, mes de Agosto 2019"/>
    <x v="0"/>
    <m/>
    <s v="02238"/>
    <s v="05 de agosto de 2019"/>
    <n v="5"/>
    <x v="33"/>
    <s v="10.000,00"/>
    <e v="#NAME?"/>
  </r>
  <r>
    <n v="2239"/>
    <m/>
    <x v="0"/>
    <d v="2019-08-05T00:00:00"/>
    <n v="10000"/>
    <s v="Familia Delgado Hidalgo"/>
    <s v="ardh@hotmail.com"/>
    <s v="Calle Güigüe Nro. 88-10"/>
    <s v="Cancelación Vigilancia, mes de Agosto 2019"/>
    <x v="0"/>
    <m/>
    <s v="02239"/>
    <s v="05 de agosto de 2019"/>
    <n v="5"/>
    <x v="33"/>
    <s v="10.000,00"/>
    <e v="#NAME?"/>
  </r>
  <r>
    <n v="2240"/>
    <m/>
    <x v="0"/>
    <d v="2019-08-05T00:00:00"/>
    <n v="10000"/>
    <s v="Dra. Lilia Magallanes"/>
    <s v="liliamagallanes2010@gmail.com"/>
    <s v="Calle Güigüe Nro. 88-51"/>
    <s v="Cancelación Vigilancia, mes de Agosto 2019"/>
    <x v="0"/>
    <m/>
    <s v="02240"/>
    <s v="05 de agosto de 2019"/>
    <n v="5"/>
    <x v="33"/>
    <s v="10.000,00"/>
    <e v="#NAME?"/>
  </r>
  <r>
    <n v="2241"/>
    <m/>
    <x v="0"/>
    <d v="2019-08-05T00:00:00"/>
    <n v="10000"/>
    <s v="Familia Wu Acevedo"/>
    <s v="rudyacevedo90@gmail.com"/>
    <s v="Calle Guacara Nro. 88-A-10"/>
    <s v="Cancelación Vigilancia, mes de Agosto 2019 (saldo a favor: Bs. 16.005,80)"/>
    <x v="0"/>
    <m/>
    <s v="02241"/>
    <s v="05 de agosto de 2019"/>
    <n v="5"/>
    <x v="33"/>
    <s v="10.000,00"/>
    <e v="#NAME?"/>
  </r>
  <r>
    <n v="2242"/>
    <m/>
    <x v="0"/>
    <d v="2019-08-05T00:00:00"/>
    <n v="10000"/>
    <s v="Familia Del Negro Palermo"/>
    <s v="vdelnegro@gmail.com"/>
    <s v="Calle Guacara Nro. 88-45"/>
    <s v="Cancelación Vigilancia, mes de Agosto 2019 (saldo a favor: Bs. 59.862,95)"/>
    <x v="0"/>
    <m/>
    <s v="02242"/>
    <s v="05 de agosto de 2019"/>
    <n v="5"/>
    <x v="33"/>
    <s v="10.000,00"/>
    <e v="#NAME?"/>
  </r>
  <r>
    <n v="2243"/>
    <m/>
    <x v="0"/>
    <d v="2019-08-05T00:00:00"/>
    <n v="10000"/>
    <s v="Familia López Hermoso"/>
    <s v="lopez.humberto14@yahoo.com.ve"/>
    <s v="Calle Güigüe Nro. 89-79"/>
    <s v="Cancelación Vigilancia, mes de Agosto 2019 (saldo a favor: Bs. 20.000,00)"/>
    <x v="0"/>
    <m/>
    <s v="02243"/>
    <s v="05 de agosto de 2019"/>
    <n v="5"/>
    <x v="33"/>
    <s v="10.000,00"/>
    <e v="#NAME?"/>
  </r>
  <r>
    <n v="2244"/>
    <m/>
    <x v="0"/>
    <d v="2019-08-06T00:00:00"/>
    <n v="40000"/>
    <s v="Familia Ferrer Bahri"/>
    <s v="bahrimariela@hotmail.com"/>
    <s v="Calle Güigüe Nro. 89-83"/>
    <s v="Cancelación Vigilancia, meses de Agosto y Septiembre 2019"/>
    <x v="0"/>
    <m/>
    <s v="02244"/>
    <s v="06 de agosto de 2019"/>
    <n v="6"/>
    <x v="33"/>
    <s v="40.000,00"/>
    <e v="#NAME?"/>
  </r>
  <r>
    <n v="2245"/>
    <m/>
    <x v="0"/>
    <d v="2019-08-06T00:00:00"/>
    <n v="10000"/>
    <s v="Silvia Power"/>
    <s v="spowermeneses@gmail.com"/>
    <s v="Calle Güigüe Nro. 89-16"/>
    <s v="Cancelación Vigilancia, saldo mes de Julio, mes de Agosto y anticipo mes de Septiembre 2019"/>
    <x v="0"/>
    <m/>
    <s v="02245"/>
    <s v="06 de agosto de 2019"/>
    <n v="6"/>
    <x v="33"/>
    <s v="10.000,00"/>
    <e v="#NAME?"/>
  </r>
  <r>
    <n v="2246"/>
    <m/>
    <x v="0"/>
    <d v="2019-08-06T00:00:00"/>
    <n v="20000"/>
    <s v="Ely Saúl Rivero Gómez"/>
    <s v="hhs.admon@gmail.com"/>
    <s v="Av. &quot;Ñ&quot; Nro. 145-25"/>
    <s v="Cancelación Vigilancia, meses de Julio y Agosto 2019 (saldo a favor: Bs.87.352,00)"/>
    <x v="0"/>
    <m/>
    <s v="02246"/>
    <s v="06 de agosto de 2019"/>
    <n v="6"/>
    <x v="33"/>
    <s v="20.000,00"/>
    <e v="#NAME?"/>
  </r>
  <r>
    <n v="2247"/>
    <m/>
    <x v="0"/>
    <d v="2019-07-07T00:00:00"/>
    <n v="20000"/>
    <s v="Familia Loponte Arteaga"/>
    <s v="En Físico"/>
    <s v="Calle Güigüe Nro. 88-120"/>
    <s v="Cancelación Vigilancia, meses de Agosto y Septiembre 2019"/>
    <x v="0"/>
    <m/>
    <s v="02247"/>
    <s v="07 de julio de 2019"/>
    <n v="7"/>
    <x v="32"/>
    <s v="20.000,00"/>
    <e v="#NAME?"/>
  </r>
  <r>
    <n v="2248"/>
    <m/>
    <x v="0"/>
    <d v="2019-07-07T00:00:00"/>
    <n v="10000"/>
    <s v="Familia Díaz González"/>
    <s v="luisrdt57@gmail.com"/>
    <s v="Calle Güigüe Nro. 88-116"/>
    <s v="Cancelación Vigilancia, mes de Agosto 2019"/>
    <x v="0"/>
    <m/>
    <s v="02248"/>
    <s v="07 de julio de 2019"/>
    <n v="7"/>
    <x v="32"/>
    <s v="10.000,00"/>
    <e v="#NAME?"/>
  </r>
  <r>
    <n v="2249"/>
    <m/>
    <x v="0"/>
    <d v="2019-08-08T00:00:00"/>
    <n v="10000"/>
    <s v="Familia Milanés Carmona"/>
    <s v="yndira11m@gmail.com"/>
    <s v="Calle Güigüe Nro. 89-65"/>
    <s v="Cancelación Vigilancia, mes de Agosto 2019"/>
    <x v="0"/>
    <m/>
    <s v="02249"/>
    <s v="08 de agosto de 2019"/>
    <n v="8"/>
    <x v="33"/>
    <s v="10.000,00"/>
    <e v="#NAME?"/>
  </r>
  <r>
    <n v="2250"/>
    <m/>
    <x v="0"/>
    <d v="2019-08-08T00:00:00"/>
    <n v="15000"/>
    <s v="Familia Lomeña Agudo"/>
    <s v="claudialomena@hotmail.com"/>
    <s v="Calle Guacara Nro. 89-30"/>
    <s v="Cancelación Vigilancia, mes de Agosto 2019"/>
    <x v="0"/>
    <m/>
    <s v="02250"/>
    <s v="08 de agosto de 2019"/>
    <n v="8"/>
    <x v="33"/>
    <s v="15.000,00"/>
    <e v="#NAME?"/>
  </r>
  <r>
    <n v="2251"/>
    <m/>
    <x v="0"/>
    <d v="2019-08-08T00:00:00"/>
    <n v="2000"/>
    <s v="Familia Delgado Hidalgo"/>
    <s v="ardh@hotmail.com"/>
    <s v="Calle Güigüe Nro. 88-10"/>
    <s v="Cancelación Vigilancia, saldo mes de Julio 2019"/>
    <x v="0"/>
    <m/>
    <s v="02251"/>
    <s v="08 de agosto de 2019"/>
    <n v="8"/>
    <x v="33"/>
    <s v="2.000,00"/>
    <e v="#NAME?"/>
  </r>
  <r>
    <n v="2252"/>
    <m/>
    <x v="0"/>
    <d v="2019-08-08T00:00:00"/>
    <n v="10000"/>
    <s v="Amarilis Guerra"/>
    <s v="amarilisguerra1@yahoo.com"/>
    <s v="Calle Güigüe Nro. 89-96"/>
    <s v="Cancelación Vigilancia, mes de Agosto 2019"/>
    <x v="0"/>
    <m/>
    <s v="02252"/>
    <s v="08 de agosto de 2019"/>
    <n v="8"/>
    <x v="33"/>
    <s v="10.000,00"/>
    <e v="#NAME?"/>
  </r>
  <r>
    <n v="2253"/>
    <m/>
    <x v="0"/>
    <d v="2019-08-08T00:00:00"/>
    <n v="10000"/>
    <s v="Familia Soto Urdaneta"/>
    <s v="esotom61@gmail.com"/>
    <s v="Calle Guacara Nro. 89-102"/>
    <s v="Cancelación Vigilancia, mes de Agosto 2019"/>
    <x v="0"/>
    <m/>
    <s v="02253"/>
    <s v="08 de agosto de 2019"/>
    <n v="8"/>
    <x v="33"/>
    <s v="10.000,00"/>
    <e v="#NAME?"/>
  </r>
  <r>
    <n v="2254"/>
    <m/>
    <x v="0"/>
    <d v="2019-08-07T00:00:00"/>
    <n v="10000"/>
    <s v="Ma. de Jesus Alonso"/>
    <s v="alonsojg@gmail.com"/>
    <s v="Calle Güigüe Nro. 88-30"/>
    <s v="Cancelación Vigilancia, mes de Agosto 2019"/>
    <x v="0"/>
    <m/>
    <s v="02254"/>
    <s v="07 de agosto de 2019"/>
    <n v="7"/>
    <x v="33"/>
    <s v="10.000,00"/>
    <e v="#NAME?"/>
  </r>
  <r>
    <n v="2255"/>
    <m/>
    <x v="0"/>
    <d v="2019-08-08T00:00:00"/>
    <n v="21000"/>
    <s v="Yuraima Rodríguez"/>
    <s v="En Físico"/>
    <s v="Calle Guacara Nro. 89-70"/>
    <s v="Cancelación Vigilancia, meses de Abril, Mayo y Junio 2019"/>
    <x v="0"/>
    <m/>
    <s v="02255"/>
    <s v="08 de agosto de 2019"/>
    <n v="8"/>
    <x v="33"/>
    <s v="21.000,00"/>
    <e v="#NAME?"/>
  </r>
  <r>
    <n v="2256"/>
    <m/>
    <x v="0"/>
    <d v="2019-08-09T00:00:00"/>
    <n v="10000"/>
    <s v="Familia Ozar Rivero"/>
    <s v="vanessarivero81@hotmail.com"/>
    <s v="Calle Güigüe Nro. 88-06"/>
    <s v="Cancelación Vigilancia, mes de Julio 2019"/>
    <x v="0"/>
    <m/>
    <s v="02256"/>
    <s v="09 de agosto de 2019"/>
    <n v="9"/>
    <x v="33"/>
    <s v="10.000,00"/>
    <e v="#NAME?"/>
  </r>
  <r>
    <n v="2257"/>
    <m/>
    <x v="0"/>
    <d v="2019-08-09T00:00:00"/>
    <n v="15000"/>
    <s v="Familia Lomeña Agudo"/>
    <s v="claudialomena@hotmail.com"/>
    <s v="Calle Guacara Nro. 89-30"/>
    <s v="Cancelación Vigilancia, mes de Septiembre 2019"/>
    <x v="0"/>
    <m/>
    <s v="02257"/>
    <s v="09 de agosto de 2019"/>
    <n v="9"/>
    <x v="33"/>
    <s v="15.000,00"/>
    <e v="#NAME?"/>
  </r>
  <r>
    <n v="2258"/>
    <m/>
    <x v="0"/>
    <d v="2019-08-10T00:00:00"/>
    <n v="10000"/>
    <s v="Carmen Moreno"/>
    <s v="carmenemoreno10@gmail.com"/>
    <s v="Calle Güigüe Nro. 89-04"/>
    <s v="Cancelación Vigilancia, mes de Agosto 2019"/>
    <x v="0"/>
    <m/>
    <s v="02258"/>
    <s v="10 de agosto de 2019"/>
    <n v="10"/>
    <x v="33"/>
    <s v="10.000,00"/>
    <e v="#NAME?"/>
  </r>
  <r>
    <n v="2259"/>
    <m/>
    <x v="0"/>
    <d v="2019-08-11T00:00:00"/>
    <n v="10000"/>
    <s v="Familia Zavarce Pérez"/>
    <s v="En Físico"/>
    <s v="Calle Guacara Nro. 90-35"/>
    <s v="Cancelación Vigilancia, mes de Agosto 2019"/>
    <x v="0"/>
    <m/>
    <s v="02259"/>
    <s v="11 de agosto de 2019"/>
    <n v="11"/>
    <x v="33"/>
    <s v="10.000,00"/>
    <e v="#NAME?"/>
  </r>
  <r>
    <n v="2260"/>
    <m/>
    <x v="0"/>
    <d v="2019-08-12T00:00:00"/>
    <n v="10000"/>
    <s v="Familia Machado Stoppa"/>
    <s v="machadoru@hotmail.com | marisa2710chardan@gmail.com"/>
    <s v="Calle Guacara Nro. 88-85"/>
    <s v="Cancelación Vigilancia, mes de Agosto 2019"/>
    <x v="0"/>
    <m/>
    <s v="02260"/>
    <s v="12 de agosto de 2019"/>
    <n v="12"/>
    <x v="33"/>
    <s v="10.000,00"/>
    <e v="#NAME?"/>
  </r>
  <r>
    <n v="2261"/>
    <m/>
    <x v="0"/>
    <d v="2019-08-12T00:00:00"/>
    <n v="10000"/>
    <s v="Familia Arcia Polanco"/>
    <s v="misipo29@gmail.com"/>
    <s v="Calle Guacara Nro. 89-20"/>
    <s v="Cancelación Vigilancia, mes de Agosto 2019"/>
    <x v="0"/>
    <m/>
    <s v="02261"/>
    <s v="12 de agosto de 2019"/>
    <n v="12"/>
    <x v="33"/>
    <s v="10.000,00"/>
    <e v="#NAME?"/>
  </r>
  <r>
    <n v="2262"/>
    <m/>
    <x v="0"/>
    <d v="2019-08-13T00:00:00"/>
    <n v="10000"/>
    <s v="Familia Kablan Sarmiento"/>
    <s v="norisjsb56@hotmail.com"/>
    <s v="Calle Güigüe Nro. 89-80"/>
    <s v="Cancelación Vigilancia, mes de Agosto 2019"/>
    <x v="0"/>
    <m/>
    <s v="02262"/>
    <s v="13 de agosto de 2019"/>
    <n v="13"/>
    <x v="33"/>
    <s v="10.000,00"/>
    <e v="#NAME?"/>
  </r>
  <r>
    <n v="2263"/>
    <m/>
    <x v="0"/>
    <d v="2019-08-15T00:00:00"/>
    <n v="20000"/>
    <s v="Familia Scabuzzo Gómez"/>
    <s v="sfscabuzzo@msn.com"/>
    <s v="Av. &quot;I&quot; Nro. 146-20"/>
    <s v="Cancelación Vigilancia, meses de Julio y Agosto 2019"/>
    <x v="0"/>
    <m/>
    <s v="02263"/>
    <s v="15 de agosto de 2019"/>
    <n v="15"/>
    <x v="33"/>
    <s v="20.000,00"/>
    <e v="#NAME?"/>
  </r>
  <r>
    <n v="2264"/>
    <m/>
    <x v="0"/>
    <d v="2019-08-15T00:00:00"/>
    <n v="25000"/>
    <s v="Familia González Arévalo"/>
    <s v="feryenis@hotmail.com"/>
    <s v="Calle Guacara Nro. 89-86"/>
    <s v="Cancelación Vigilancia, saldo mes de Agosto y meses de Septiembre y Octubre 2019"/>
    <x v="0"/>
    <m/>
    <s v="02264"/>
    <s v="15 de agosto de 2019"/>
    <n v="15"/>
    <x v="33"/>
    <s v="25.000,00"/>
    <e v="#NAME?"/>
  </r>
  <r>
    <n v="2265"/>
    <m/>
    <x v="0"/>
    <d v="2019-08-15T00:00:00"/>
    <n v="10000"/>
    <s v="Familia Rodríguez Aular"/>
    <s v="mvaular@hotmail.com"/>
    <s v="Calle Güigüe Nro. 88-58"/>
    <s v="Cancelación Vigilancia, mes de Agosto 2019"/>
    <x v="0"/>
    <m/>
    <s v="02265"/>
    <s v="15 de agosto de 2019"/>
    <n v="15"/>
    <x v="33"/>
    <s v="10.000,00"/>
    <e v="#NAME?"/>
  </r>
  <r>
    <n v="2266"/>
    <m/>
    <x v="0"/>
    <d v="2019-08-15T00:00:00"/>
    <n v="20000"/>
    <s v="Familia Piñero Padilla"/>
    <s v="achepaul2005@hotmail.com"/>
    <s v="Calle Güigüe Nro. 89-21"/>
    <s v="Cancelación Vigilancia, meses de Julio y Agosto 2019"/>
    <x v="0"/>
    <m/>
    <s v="02266"/>
    <s v="15 de agosto de 2019"/>
    <n v="15"/>
    <x v="33"/>
    <s v="20.000,00"/>
    <e v="#NAME?"/>
  </r>
  <r>
    <n v="2267"/>
    <m/>
    <x v="0"/>
    <d v="2019-08-15T00:00:00"/>
    <n v="20000"/>
    <s v="Familia Flores Montagne"/>
    <s v="martaflores@gmail.com"/>
    <s v="Av. &quot;M&quot; Nro. 146-20"/>
    <s v="Cancelación Vigilancia, meses de Julio y Agosto 2019"/>
    <x v="0"/>
    <m/>
    <s v="02267"/>
    <s v="15 de agosto de 2019"/>
    <n v="15"/>
    <x v="33"/>
    <s v="20.000,00"/>
    <e v="#NAME?"/>
  </r>
  <r>
    <n v="2268"/>
    <m/>
    <x v="0"/>
    <d v="2019-07-08T00:00:00"/>
    <n v="8000"/>
    <s v="Familia Hurtado"/>
    <s v="hurtadomilena@gmail.com"/>
    <s v="Av. &quot;O&quot; Nro. 146-11"/>
    <s v="Cancelación Vigilancia, mes de Junio 2019. Transferencia Banesco nro. 11316930451"/>
    <x v="0"/>
    <m/>
    <s v="02268"/>
    <s v="08 de julio de 2019"/>
    <n v="8"/>
    <x v="32"/>
    <s v="8.000,00"/>
    <e v="#NAME?"/>
  </r>
  <r>
    <n v="2269"/>
    <m/>
    <x v="0"/>
    <d v="2019-08-12T00:00:00"/>
    <n v="10000"/>
    <s v="Familia Hurtado"/>
    <s v="hurtadomilena@gmail.com"/>
    <s v="Av. &quot;O&quot; Nro. 146-11"/>
    <s v="Cancelación Vigilancia, mes de Julio 2019. Transferencia Banesco nro. 11403142575"/>
    <x v="0"/>
    <m/>
    <s v="02269"/>
    <s v="12 de agosto de 2019"/>
    <n v="12"/>
    <x v="33"/>
    <s v="10.000,00"/>
    <e v="#NAME?"/>
  </r>
  <r>
    <n v="2270"/>
    <m/>
    <x v="0"/>
    <d v="2019-08-20T00:00:00"/>
    <n v="10000"/>
    <s v="Familia Gascón Domínguez"/>
    <s v="vrgascon@gmail.com"/>
    <s v="Calle Güigüe Nro. 88-70"/>
    <s v="Cancelación Vigilancia, mes de Agosto 2019"/>
    <x v="0"/>
    <m/>
    <s v="02270"/>
    <s v="20 de agosto de 2019"/>
    <n v="20"/>
    <x v="33"/>
    <s v="10.000,00"/>
    <e v="#NAME?"/>
  </r>
  <r>
    <n v="2271"/>
    <m/>
    <x v="0"/>
    <d v="2019-08-21T00:00:00"/>
    <n v="10000"/>
    <s v="Familia Martínez Boada"/>
    <s v="florcitakmz@gmail.com"/>
    <s v="Calle Güigüe Nro. 88-62"/>
    <s v="Cancelación Vigilancia, mes de Julio 2019"/>
    <x v="0"/>
    <m/>
    <s v="02271"/>
    <s v="21 de agosto de 2019"/>
    <n v="21"/>
    <x v="33"/>
    <s v="10.000,00"/>
    <e v="#NAME?"/>
  </r>
  <r>
    <n v="2272"/>
    <m/>
    <x v="0"/>
    <d v="2019-08-22T00:00:00"/>
    <n v="10000"/>
    <s v="Familia Costermani Terrer"/>
    <s v="claudiacostermani@hotmail.com"/>
    <s v="Calle Güigüe Nro. 88-11"/>
    <s v="Cancelación Vigilancia, mes de Agosto 2019"/>
    <x v="0"/>
    <m/>
    <s v="02272"/>
    <s v="22 de agosto de 2019"/>
    <n v="22"/>
    <x v="33"/>
    <s v="10.000,00"/>
    <e v="#NAME?"/>
  </r>
  <r>
    <n v="2273"/>
    <m/>
    <x v="0"/>
    <d v="2019-08-22T00:00:00"/>
    <n v="10000"/>
    <s v="Familia Acosta Carpio"/>
    <s v="pablo962@hotmail.com"/>
    <s v="Calle Güigüe Nro. 89-10"/>
    <s v="Cancelación Vigilancia, mes de Agosto 2019"/>
    <x v="0"/>
    <m/>
    <s v="02273"/>
    <s v="22 de agosto de 2019"/>
    <n v="22"/>
    <x v="33"/>
    <s v="10.000,00"/>
    <e v="#NAME?"/>
  </r>
  <r>
    <n v="2274"/>
    <m/>
    <x v="0"/>
    <d v="2019-08-22T00:00:00"/>
    <n v="10000"/>
    <s v="Familia Castillo Mena"/>
    <s v="emmecas@hotmail.com"/>
    <s v="Calle Güigüe Nro. 88-101"/>
    <s v="Cancelación Vigilancia, mes de Agosto 2019"/>
    <x v="0"/>
    <m/>
    <s v="02274"/>
    <s v="22 de agosto de 2019"/>
    <n v="22"/>
    <x v="33"/>
    <s v="10.000,00"/>
    <e v="#NAME?"/>
  </r>
  <r>
    <n v="2275"/>
    <m/>
    <x v="0"/>
    <d v="2019-08-23T00:00:00"/>
    <n v="5000"/>
    <s v="Familia Rodríguez Landaeta"/>
    <s v="mrl58@hotmail.com"/>
    <s v="Calle Güigüe Nro. 89-29"/>
    <s v="Colaboración Vigilancia, mes de Agosto 2019"/>
    <x v="0"/>
    <m/>
    <s v="02275"/>
    <s v="23 de agosto de 2019"/>
    <n v="23"/>
    <x v="33"/>
    <s v="5.000,00"/>
    <e v="#NAME?"/>
  </r>
  <r>
    <n v="2276"/>
    <m/>
    <x v="0"/>
    <d v="2019-08-24T00:00:00"/>
    <n v="10000"/>
    <s v="Familia Navarro Assing"/>
    <s v="liliaassing@gmail.com"/>
    <s v="Calle Güigüe Nro. 88-54"/>
    <s v="Cancelación Vigilancia, mes de Agosto 2019"/>
    <x v="0"/>
    <m/>
    <s v="02276"/>
    <s v="24 de agosto de 2019"/>
    <n v="24"/>
    <x v="33"/>
    <s v="10.000,00"/>
    <e v="#NAME?"/>
  </r>
  <r>
    <n v="2277"/>
    <m/>
    <x v="0"/>
    <d v="2019-08-25T00:00:00"/>
    <n v="20000"/>
    <s v="Familia Il Grande Franceschi"/>
    <s v="arcifran75@hotmail.com"/>
    <s v="Av. &quot;I&quot; Nro. 146-40"/>
    <s v="Cancelación Vigilancia, meses de Julio y Agosto 2019"/>
    <x v="0"/>
    <m/>
    <s v="02277"/>
    <s v="25 de agosto de 2019"/>
    <n v="25"/>
    <x v="33"/>
    <s v="20.000,00"/>
    <e v="#NAME?"/>
  </r>
  <r>
    <n v="2278"/>
    <m/>
    <x v="0"/>
    <d v="2019-08-26T00:00:00"/>
    <n v="10000"/>
    <s v="Santiago Varela"/>
    <s v="svg0583@gmail.com"/>
    <s v="Av. &quot;M&quot; Nro. 146-30"/>
    <s v="Cancelación Vigilancia, mes de Agosto 2019"/>
    <x v="0"/>
    <m/>
    <s v="02278"/>
    <s v="26 de agosto de 2019"/>
    <n v="26"/>
    <x v="33"/>
    <s v="10.000,00"/>
    <e v="#NAME?"/>
  </r>
  <r>
    <n v="2279"/>
    <m/>
    <x v="0"/>
    <d v="2019-08-26T00:00:00"/>
    <n v="20000"/>
    <s v="Familia Castro Jiménez"/>
    <s v="aurycastrojimenez@gmail.com"/>
    <s v="Calle Guacara Nro. 90-51"/>
    <s v="Cancelación Vigilancia, meses de Agosto y Septiembre 2019"/>
    <x v="0"/>
    <m/>
    <s v="02279"/>
    <s v="26 de agosto de 2019"/>
    <n v="26"/>
    <x v="33"/>
    <s v="20.000,00"/>
    <e v="#NAME?"/>
  </r>
  <r>
    <n v="2280"/>
    <m/>
    <x v="0"/>
    <d v="2019-08-26T00:00:00"/>
    <n v="10000"/>
    <s v="Familia Castro Jiménez"/>
    <s v="aurycastrojimenez@gmail.com"/>
    <s v="Calle Guacara Nro. 90-51"/>
    <s v="Colaboración para comida de vigilantes"/>
    <x v="9"/>
    <m/>
    <s v="02280"/>
    <s v="26 de agosto de 2019"/>
    <n v="26"/>
    <x v="33"/>
    <s v="10.000,00"/>
    <e v="#NAME?"/>
  </r>
  <r>
    <n v="2281"/>
    <m/>
    <x v="0"/>
    <d v="2019-08-26T00:00:00"/>
    <n v="10000"/>
    <s v="Andrea Valor"/>
    <s v="aavp992@gmail.com"/>
    <s v="Calle Guacara Nro. 88-75"/>
    <s v="Cancelación Vigilancia, mes de Agosto 2019"/>
    <x v="0"/>
    <m/>
    <s v="02281"/>
    <s v="26 de agosto de 2019"/>
    <n v="26"/>
    <x v="33"/>
    <s v="10.000,00"/>
    <e v="#NAME?"/>
  </r>
  <r>
    <n v="2282"/>
    <m/>
    <x v="0"/>
    <d v="2019-08-27T00:00:00"/>
    <n v="10000"/>
    <s v="Familia Chan García"/>
    <s v="chanalberto10@hotmail.com | endrinagarciah@gmail.com"/>
    <s v="Calle Güigüe Nro. 89-106"/>
    <s v="Cancelación Vigilancia, mes de Agosto 2019"/>
    <x v="0"/>
    <m/>
    <s v="02282"/>
    <s v="27 de agosto de 2019"/>
    <n v="27"/>
    <x v="33"/>
    <s v="10.000,00"/>
    <e v="#NAME?"/>
  </r>
  <r>
    <n v="2283"/>
    <m/>
    <x v="0"/>
    <d v="2019-08-27T00:00:00"/>
    <n v="10000"/>
    <s v="Familia Triana González"/>
    <s v="En Físico"/>
    <s v="Calle Guacara Nro. 90-61"/>
    <s v="Cancelación Vigilancia, mes de Agosto 2019"/>
    <x v="0"/>
    <m/>
    <s v="02283"/>
    <s v="27 de agosto de 2019"/>
    <n v="27"/>
    <x v="33"/>
    <s v="10.000,00"/>
    <e v="#NAME?"/>
  </r>
  <r>
    <n v="2284"/>
    <m/>
    <x v="0"/>
    <d v="2019-08-27T00:00:00"/>
    <n v="10000"/>
    <s v="Familia Barreto Pérez"/>
    <s v="bbetsa19@hotmail.com"/>
    <s v="Av. &quot;M&quot; Nro. 146-15"/>
    <s v="Cancelación Vigilancia, mes de Agosto 2019"/>
    <x v="0"/>
    <m/>
    <s v="02284"/>
    <s v="27 de agosto de 2019"/>
    <n v="27"/>
    <x v="33"/>
    <s v="10.000,00"/>
    <e v="#NAME?"/>
  </r>
  <r>
    <n v="2285"/>
    <m/>
    <x v="0"/>
    <d v="2019-08-26T00:00:00"/>
    <n v="20000"/>
    <s v="Familia Zavarce Barón"/>
    <s v="alexanderzavarce@gmail.com"/>
    <s v="Calle Guacara Nro. 88-91"/>
    <s v="Cancelación Vigilancia, meses de Julio y Agosto 2019"/>
    <x v="0"/>
    <m/>
    <s v="02285"/>
    <s v="26 de agosto de 2019"/>
    <n v="26"/>
    <x v="33"/>
    <s v="20.000,00"/>
    <e v="#NAME?"/>
  </r>
  <r>
    <n v="2286"/>
    <m/>
    <x v="0"/>
    <d v="2019-08-28T00:00:00"/>
    <n v="10000"/>
    <s v="Zoraida Khair"/>
    <s v="zorakhair@hotmail.com | lbracamonte@netuno.net"/>
    <s v="Calle Güigüe Nro. 88-80"/>
    <s v="Cancelación Vigilancia, mes de Septiembre 2019"/>
    <x v="0"/>
    <m/>
    <s v="02286"/>
    <s v="28 de agosto de 2019"/>
    <n v="28"/>
    <x v="33"/>
    <s v="10.000,00"/>
    <e v="#NAME?"/>
  </r>
  <r>
    <n v="2287"/>
    <m/>
    <x v="0"/>
    <d v="2019-08-22T00:00:00"/>
    <n v="12000"/>
    <s v="Familia Abbinante Pinto"/>
    <s v="abbinante47@gmail.com"/>
    <s v="Calle Güigüe Nro. 89-120"/>
    <s v="Cancelación Vigilancia, saldo mes de Julio y mes de Agosto 2019"/>
    <x v="0"/>
    <m/>
    <s v="02287"/>
    <s v="22 de agosto de 2019"/>
    <n v="22"/>
    <x v="33"/>
    <s v="12.000,00"/>
    <e v="#NAME?"/>
  </r>
  <r>
    <n v="2288"/>
    <m/>
    <x v="0"/>
    <d v="2019-08-27T00:00:00"/>
    <n v="10000"/>
    <s v="Beatriz Lara"/>
    <s v="valentina.gutierrez@hotmail.com"/>
    <s v="Calle Guacara Nro. 89-130"/>
    <s v="Cancelación Vigilancia, mes de Agosto 2019"/>
    <x v="0"/>
    <m/>
    <s v="02288"/>
    <s v="27 de agosto de 2019"/>
    <n v="27"/>
    <x v="33"/>
    <s v="10.000,00"/>
    <e v="#NAME?"/>
  </r>
  <r>
    <n v="2289"/>
    <m/>
    <x v="0"/>
    <d v="2019-08-19T00:00:00"/>
    <n v="10000"/>
    <s v="Familia Rodríguez Girón"/>
    <s v="daniellegt4@gmail.com"/>
    <s v="Calle Güigüe Nro. 89-22"/>
    <s v="Cancelación Vigilancia, mes de Agosto 2019"/>
    <x v="0"/>
    <m/>
    <s v="02289"/>
    <s v="19 de agosto de 2019"/>
    <n v="19"/>
    <x v="33"/>
    <s v="10.000,00"/>
    <e v="#NAME?"/>
  </r>
  <r>
    <n v="2290"/>
    <m/>
    <x v="0"/>
    <d v="2019-08-28T00:00:00"/>
    <n v="10000"/>
    <s v="Familia Ozar Rivero"/>
    <s v="vanessarivero81@hotmail.com"/>
    <s v="Calle Güigüe Nro. 88-06"/>
    <s v="Cancelación Vigilancia, mes de Agosto 2019"/>
    <x v="0"/>
    <m/>
    <s v="02290"/>
    <s v="28 de agosto de 2019"/>
    <n v="28"/>
    <x v="33"/>
    <s v="10.000,00"/>
    <e v="#NAME?"/>
  </r>
  <r>
    <n v="2291"/>
    <m/>
    <x v="0"/>
    <d v="2019-08-28T00:00:00"/>
    <n v="10000"/>
    <s v="Familia Manrique Riera"/>
    <s v="patriciamanrique@gmail.com"/>
    <s v="Calle Guacara Nro. 89-40"/>
    <s v="Cancelación Vigilancia, mes de Agosto 2019"/>
    <x v="0"/>
    <m/>
    <s v="02291"/>
    <s v="28 de agosto de 2019"/>
    <n v="28"/>
    <x v="33"/>
    <s v="10.000,00"/>
    <e v="#NAME?"/>
  </r>
  <r>
    <n v="2292"/>
    <m/>
    <x v="0"/>
    <d v="2019-08-28T00:00:00"/>
    <n v="20000"/>
    <s v="Familia Narváez Caldera"/>
    <s v="jeannette_nc@yahoo.com"/>
    <s v="Calle Güigüe Nro. 87-A-11"/>
    <s v="Cancelación Vigilancia, meses de Agosto y Septiembre 2019"/>
    <x v="0"/>
    <m/>
    <s v="02292"/>
    <s v="28 de agosto de 2019"/>
    <n v="28"/>
    <x v="33"/>
    <s v="20.000,00"/>
    <e v="#NAME?"/>
  </r>
  <r>
    <n v="2293"/>
    <m/>
    <x v="0"/>
    <d v="2019-08-29T00:00:00"/>
    <n v="10000"/>
    <s v="Familia Sirit Palencia"/>
    <s v="irasirit@gmail.com"/>
    <s v="Calle Güigüe Nro. 89-35"/>
    <s v="Cancelación Vigilancia, mes de Agosto 2019"/>
    <x v="0"/>
    <m/>
    <s v="02293"/>
    <s v="29 de agosto de 2019"/>
    <n v="29"/>
    <x v="33"/>
    <s v="10.000,00"/>
    <e v="#NAME?"/>
  </r>
  <r>
    <n v="2294"/>
    <m/>
    <x v="0"/>
    <d v="2019-08-29T00:00:00"/>
    <n v="5000"/>
    <s v="Familia Chávez Hernández"/>
    <s v="mercedesch23@hotmail.com"/>
    <s v="Calle Güigüe Nro. 88-20"/>
    <s v="Colaboración Vigilancia, mes de Agosto 2019"/>
    <x v="0"/>
    <m/>
    <s v="02294"/>
    <s v="29 de agosto de 2019"/>
    <n v="29"/>
    <x v="33"/>
    <s v="5.000,00"/>
    <e v="#NAME?"/>
  </r>
  <r>
    <n v="2295"/>
    <m/>
    <x v="0"/>
    <d v="2019-08-29T00:00:00"/>
    <n v="30000"/>
    <s v="Wu Hung Fung"/>
    <s v="carolinahung24@gmail.com | barbarahung15@hotmail.com"/>
    <s v="Calle Guacara Nro. 90-81"/>
    <s v="Cancelación Vigilancia, meses de Agosto y Septiembre 2019"/>
    <x v="0"/>
    <m/>
    <s v="02295"/>
    <s v="29 de agosto de 2019"/>
    <n v="29"/>
    <x v="33"/>
    <s v="30.000,00"/>
    <e v="#NAME?"/>
  </r>
  <r>
    <n v="2296"/>
    <m/>
    <x v="0"/>
    <d v="2019-08-29T00:00:00"/>
    <n v="10000"/>
    <s v="Familia Franco Gómez"/>
    <s v="eof64@hotmail.com"/>
    <s v="Calle Guacara Nro. 87-07"/>
    <s v="Cancelación Vigilancia, mes de Septiembre 2019"/>
    <x v="0"/>
    <m/>
    <s v="02296"/>
    <s v="29 de agosto de 2019"/>
    <n v="29"/>
    <x v="33"/>
    <s v="10.000,00"/>
    <e v="#NAME?"/>
  </r>
  <r>
    <n v="2297"/>
    <m/>
    <x v="0"/>
    <d v="2019-08-29T00:00:00"/>
    <n v="10000"/>
    <s v="Héctor Hernández"/>
    <s v="eof64@hotmail.com"/>
    <s v="Calle Guacara Nro. 89-94"/>
    <s v="Cancelación Vigilancia, mes de Septiembre 2019"/>
    <x v="0"/>
    <m/>
    <s v="02297"/>
    <s v="29 de agosto de 2019"/>
    <n v="29"/>
    <x v="33"/>
    <s v="10.000,00"/>
    <e v="#NAME?"/>
  </r>
  <r>
    <n v="2298"/>
    <m/>
    <x v="0"/>
    <d v="2019-08-30T00:00:00"/>
    <n v="10000"/>
    <s v="Amparo Acosta"/>
    <s v="amparonatividad@hotmail.com"/>
    <s v="Calle Guacara Nro. 88-65"/>
    <s v="Cancelación Vigilancia, mes de Agosto 2019"/>
    <x v="0"/>
    <m/>
    <s v="02298"/>
    <s v="30 de agosto de 2019"/>
    <n v="30"/>
    <x v="33"/>
    <s v="10.000,00"/>
    <e v="#NAME?"/>
  </r>
  <r>
    <n v="2299"/>
    <m/>
    <x v="0"/>
    <d v="2019-08-30T00:00:00"/>
    <n v="10000"/>
    <s v="Victoria Francischiello"/>
    <s v="victoriafrancischiello@hotmail.com"/>
    <s v="Calle Guacara Nro. 88-25"/>
    <s v="Cancelación Vigilancia, mes de Agosto 2019"/>
    <x v="0"/>
    <m/>
    <s v="02299"/>
    <s v="30 de agosto de 2019"/>
    <n v="30"/>
    <x v="33"/>
    <s v="10.000,00"/>
    <e v="#NAME?"/>
  </r>
  <r>
    <n v="2300"/>
    <m/>
    <x v="0"/>
    <d v="2019-08-30T00:00:00"/>
    <n v="24200"/>
    <s v="Familia Arcia Polanco"/>
    <s v="misipo29@gmail.com"/>
    <s v="Calle Guacara Nro. 89-20"/>
    <s v="Cancelación Vigilancia, mes de Septiembre y anticipo mes de Octubre 2019"/>
    <x v="0"/>
    <m/>
    <s v="02300"/>
    <s v="30 de agosto de 2019"/>
    <n v="30"/>
    <x v="33"/>
    <s v="24.200,00"/>
    <e v="#NAME?"/>
  </r>
  <r>
    <n v="2301"/>
    <m/>
    <x v="0"/>
    <d v="2019-08-30T00:00:00"/>
    <n v="10000"/>
    <s v="Familia Martínez Boada"/>
    <s v="florcitakmz@gmail.com"/>
    <s v="Calle Güigüe Nro. 88-62"/>
    <s v="Cancelación Vigilancia, mes de Agosto 2019"/>
    <x v="0"/>
    <m/>
    <s v="02301"/>
    <s v="30 de agosto de 2019"/>
    <n v="30"/>
    <x v="33"/>
    <s v="10.000,00"/>
    <e v="#NAME?"/>
  </r>
  <r>
    <n v="2302"/>
    <m/>
    <x v="0"/>
    <d v="2019-09-02T00:00:00"/>
    <n v="10000"/>
    <s v="Gloria Molina"/>
    <s v="glomola2@yahoo.es"/>
    <s v="Calle Güigüe Nro. 89-71"/>
    <s v="Cancelación Vigilancia, mes de Agosto 2019"/>
    <x v="0"/>
    <m/>
    <s v="02302"/>
    <s v="02 de septiembre de 2019"/>
    <n v="2"/>
    <x v="34"/>
    <s v="10.000,00"/>
    <e v="#NAME?"/>
  </r>
  <r>
    <n v="2303"/>
    <m/>
    <x v="0"/>
    <d v="2019-09-03T00:00:00"/>
    <n v="23400"/>
    <s v="Familia Nava Gordon"/>
    <s v="maru_19_66@hotmail.com"/>
    <s v="Calle Guacara Nro. 89-78"/>
    <s v="Cancelación Vigilancia, mes de Septiembre 2019"/>
    <x v="0"/>
    <m/>
    <s v="02303"/>
    <s v="03 de septiembre de 2019"/>
    <n v="3"/>
    <x v="34"/>
    <s v="23.400,00"/>
    <e v="#NAME?"/>
  </r>
  <r>
    <n v="2304"/>
    <m/>
    <x v="0"/>
    <d v="2019-09-03T00:00:00"/>
    <n v="23400"/>
    <s v="Familia Soto Urdaneta"/>
    <s v="esotom61@gmail.com"/>
    <s v="Calle Guacara Nro. 89-102"/>
    <s v="Cancelación Vigilancia, mes de Septiembre 2019"/>
    <x v="0"/>
    <m/>
    <s v="02304"/>
    <s v="03 de septiembre de 2019"/>
    <n v="3"/>
    <x v="34"/>
    <s v="23.400,00"/>
    <e v="#NAME?"/>
  </r>
  <r>
    <n v="2305"/>
    <m/>
    <x v="0"/>
    <d v="2019-09-03T00:00:00"/>
    <n v="13400"/>
    <s v="Familia Narváez Caldera"/>
    <s v="jeannette_nc@yahoo.com"/>
    <s v="Calle Güigüe Nro. 87-A-11"/>
    <s v="Cancelación Vigilancia, saldo mes de Septiembre 2019"/>
    <x v="0"/>
    <m/>
    <s v="02305"/>
    <s v="03 de septiembre de 2019"/>
    <n v="3"/>
    <x v="34"/>
    <s v="13.400,00"/>
    <e v="#NAME?"/>
  </r>
  <r>
    <n v="2306"/>
    <m/>
    <x v="0"/>
    <d v="2019-09-03T00:00:00"/>
    <n v="23400"/>
    <s v="Familia Del Negro Palermo"/>
    <s v="vdelnegro@gmail.com"/>
    <s v="Calle Guacara Nro. 88-45"/>
    <s v="Cancelación Vigilancia, mes de Septiembre 2019 (saldo a favor: Bs. 36.462,95)"/>
    <x v="0"/>
    <m/>
    <s v="02306"/>
    <s v="03 de septiembre de 2019"/>
    <n v="3"/>
    <x v="34"/>
    <s v="23.400,00"/>
    <e v="#NAME?"/>
  </r>
  <r>
    <n v="2307"/>
    <m/>
    <x v="0"/>
    <d v="2019-09-03T00:00:00"/>
    <n v="23400"/>
    <s v="Ely Saúl Rivero Gómez"/>
    <s v="hhs.admon@gmail.com"/>
    <s v="Av. &quot;Ñ&quot; Nro. 145-25"/>
    <s v="Cancelación Vigilancia, mes de Septiembre 2019 (saldo a favor: Bs. 63.952,00)"/>
    <x v="0"/>
    <m/>
    <s v="02307"/>
    <s v="03 de septiembre de 2019"/>
    <n v="3"/>
    <x v="34"/>
    <s v="23.400,00"/>
    <e v="#NAME?"/>
  </r>
  <r>
    <n v="2308"/>
    <m/>
    <x v="0"/>
    <d v="2019-09-03T00:00:00"/>
    <n v="23400"/>
    <s v="Familia Colosso Delgado"/>
    <s v="mcolosso@gmail.com"/>
    <s v="Calle Güigüe Nro. 88-44"/>
    <s v="Cancelación Vigilancia, mes de Septiembre 2019"/>
    <x v="0"/>
    <m/>
    <s v="02308"/>
    <s v="03 de septiembre de 2019"/>
    <n v="3"/>
    <x v="34"/>
    <s v="23.400,00"/>
    <e v="#NAME?"/>
  </r>
  <r>
    <n v="2309"/>
    <m/>
    <x v="0"/>
    <d v="2019-09-03T00:00:00"/>
    <n v="18018"/>
    <s v="Familia Méndez Parra"/>
    <s v="briceidademendez@gmail.com"/>
    <s v="Calle Guacara Nro. 88-19"/>
    <s v="Colaboración Vigilancia, mes de Septiembre 2019"/>
    <x v="0"/>
    <m/>
    <s v="02309"/>
    <s v="03 de septiembre de 2019"/>
    <n v="3"/>
    <x v="34"/>
    <s v="18.018,00"/>
    <e v="#NAME?"/>
  </r>
  <r>
    <n v="2310"/>
    <m/>
    <x v="0"/>
    <d v="2019-09-03T00:00:00"/>
    <n v="23500"/>
    <s v="Familia Triana González"/>
    <s v="En Físico"/>
    <s v="Calle Guacara Nro. 90-61"/>
    <s v="Cancelación Vigilancia, mes de Septiembre 2019"/>
    <x v="0"/>
    <m/>
    <s v="02310"/>
    <s v="03 de septiembre de 2019"/>
    <n v="3"/>
    <x v="34"/>
    <s v="23.500,00"/>
    <e v="#NAME?"/>
  </r>
  <r>
    <n v="2311"/>
    <m/>
    <x v="0"/>
    <d v="2019-09-03T00:00:00"/>
    <n v="23400"/>
    <s v="Carmen Moreno"/>
    <s v="carmenemoreno10@gmail.com"/>
    <s v="Calle Güigüe Nro. 89-04"/>
    <s v="Cancelación Vigilancia, mes de Septiembre 2019"/>
    <x v="0"/>
    <m/>
    <s v="02311"/>
    <s v="03 de septiembre de 2019"/>
    <n v="3"/>
    <x v="34"/>
    <s v="23.400,00"/>
    <e v="#NAME?"/>
  </r>
  <r>
    <n v="2312"/>
    <m/>
    <x v="0"/>
    <d v="2019-09-03T00:00:00"/>
    <n v="3400"/>
    <s v="Familia Ferrer Bahri"/>
    <s v="bahrimariela@hotmail.com"/>
    <s v="Calle Güigüe Nro. 89-83"/>
    <s v="Cancelación Vigilancia, saldo mes de Septiembre 2019"/>
    <x v="0"/>
    <m/>
    <s v="02312"/>
    <s v="03 de septiembre de 2019"/>
    <n v="3"/>
    <x v="34"/>
    <s v="3.400,00"/>
    <e v="#NAME?"/>
  </r>
  <r>
    <n v="2313"/>
    <m/>
    <x v="0"/>
    <d v="2019-09-03T00:00:00"/>
    <n v="34000"/>
    <s v="Familia Durvelle Serrano"/>
    <s v="sdurvelle@hotmail.com"/>
    <s v="Calle Guacara Nro. 89-60"/>
    <s v="Cancelación Vigilancia, meses de Agosto y Septiembre 2019"/>
    <x v="0"/>
    <m/>
    <s v="02313"/>
    <s v="03 de septiembre de 2019"/>
    <n v="3"/>
    <x v="34"/>
    <s v="34.000,00"/>
    <e v="#NAME?"/>
  </r>
  <r>
    <n v="2314"/>
    <m/>
    <x v="0"/>
    <d v="2019-09-03T00:00:00"/>
    <n v="23400"/>
    <s v="Familia Guerra Miret"/>
    <s v="antoniojguerrag@hotmail.com"/>
    <s v="Calle Güigüe Nro. 89-40"/>
    <s v="Cancelación Vigilancia, mes de Septiembre 2019"/>
    <x v="0"/>
    <m/>
    <s v="02314"/>
    <s v="03 de septiembre de 2019"/>
    <n v="3"/>
    <x v="34"/>
    <s v="23.400,00"/>
    <e v="#NAME?"/>
  </r>
  <r>
    <n v="2315"/>
    <m/>
    <x v="0"/>
    <d v="2019-09-03T00:00:00"/>
    <n v="34000"/>
    <s v="Familia Jiménez Navarro"/>
    <s v="joyasonline2012@gmail.com"/>
    <s v="Calle Güigüe Nro. 88-50"/>
    <s v="Cancelación Vigilancia, meses de Agosto y Septiembre 2019"/>
    <x v="0"/>
    <m/>
    <s v="02315"/>
    <s v="03 de septiembre de 2019"/>
    <n v="3"/>
    <x v="34"/>
    <s v="34.000,00"/>
    <e v="#NAME?"/>
  </r>
  <r>
    <n v="2316"/>
    <m/>
    <x v="0"/>
    <d v="2019-09-03T00:00:00"/>
    <n v="23400"/>
    <s v="Familia Zavarce Pérez"/>
    <s v="En Físico"/>
    <s v="Calle Guacara Nro. 90-35"/>
    <s v="Cancelación Vigilancia, mes de Septiembre 2019"/>
    <x v="0"/>
    <m/>
    <s v="02316"/>
    <s v="03 de septiembre de 2019"/>
    <n v="3"/>
    <x v="34"/>
    <s v="23.400,00"/>
    <e v="#NAME?"/>
  </r>
  <r>
    <n v="2317"/>
    <m/>
    <x v="0"/>
    <d v="2019-09-04T00:00:00"/>
    <n v="10000"/>
    <s v="Familia Matta Palomino"/>
    <s v="En Físico"/>
    <s v="Calle Güigüe Nro. 88-90"/>
    <s v="Cancelación Vigilancia, mes de Agosto 2019"/>
    <x v="0"/>
    <m/>
    <s v="02317"/>
    <s v="04 de septiembre de 2019"/>
    <n v="4"/>
    <x v="34"/>
    <s v="10.000,00"/>
    <e v="#NAME?"/>
  </r>
  <r>
    <n v="2318"/>
    <m/>
    <x v="0"/>
    <d v="2019-09-04T00:00:00"/>
    <n v="23400"/>
    <s v="Familia Manrique Riera"/>
    <s v="patriciamanrique@gmail.com"/>
    <s v="Calle Guacara Nro. 89-40"/>
    <s v="Cancelación Vigilancia, mes de Septiembre 2019"/>
    <x v="0"/>
    <m/>
    <s v="02318"/>
    <s v="04 de septiembre de 2019"/>
    <n v="4"/>
    <x v="34"/>
    <s v="23.400,00"/>
    <e v="#NAME?"/>
  </r>
  <r>
    <n v="2319"/>
    <m/>
    <x v="0"/>
    <d v="2019-09-05T00:00:00"/>
    <n v="8400"/>
    <s v="Familia Lomeña Agudo"/>
    <s v="claudialomena@hotmail.com"/>
    <s v="Calle Guacara Nro. 89-30"/>
    <s v="Cancelación Vigilancia, saldo mes de Septiembre 2019"/>
    <x v="0"/>
    <m/>
    <s v="02319"/>
    <s v="05 de septiembre de 2019"/>
    <n v="5"/>
    <x v="34"/>
    <s v="8.400,00"/>
    <e v="#NAME?"/>
  </r>
  <r>
    <n v="2320"/>
    <m/>
    <x v="0"/>
    <d v="2019-09-04T00:00:00"/>
    <n v="23400"/>
    <s v="Amarilis Guerra"/>
    <s v="amarilisguerra1@yahoo.com"/>
    <s v="Calle Güigüe Nro. 89-96"/>
    <s v="Cancelación Vigilancia, mes de Septiembre 2019"/>
    <x v="0"/>
    <m/>
    <s v="02320"/>
    <s v="04 de septiembre de 2019"/>
    <n v="4"/>
    <x v="34"/>
    <s v="23.400,00"/>
    <e v="#NAME?"/>
  </r>
  <r>
    <n v="2321"/>
    <m/>
    <x v="0"/>
    <d v="2019-09-05T00:00:00"/>
    <n v="18435"/>
    <s v="Familia Fermín Rivas"/>
    <s v="angelferminb@gmail.com"/>
    <s v="Calle Güigüe Nro. 89-55"/>
    <s v="Cancelación Vigilancia, saldo mes de Septiembre 2019"/>
    <x v="0"/>
    <m/>
    <s v="02321"/>
    <s v="05 de septiembre de 2019"/>
    <n v="5"/>
    <x v="34"/>
    <s v="18.435,00"/>
    <e v="#NAME?"/>
  </r>
  <r>
    <n v="2322"/>
    <m/>
    <x v="0"/>
    <d v="2019-09-05T00:00:00"/>
    <n v="23400"/>
    <s v="Chin Chun Ya (Goya)"/>
    <s v="uc2721@gmail.com"/>
    <s v="Calle Guacara Nro. 87-86"/>
    <s v="Cancelación Vigilancia, mes de Septiembre 2019"/>
    <x v="0"/>
    <m/>
    <s v="02322"/>
    <s v="05 de septiembre de 2019"/>
    <n v="5"/>
    <x v="34"/>
    <s v="23.400,00"/>
    <e v="#NAME?"/>
  </r>
  <r>
    <n v="2323"/>
    <m/>
    <x v="0"/>
    <d v="2019-09-05T00:00:00"/>
    <n v="10000"/>
    <s v="Familia Loponte Arteaga"/>
    <s v="En Físico"/>
    <s v="Calle Güigüe Nro. 88-120"/>
    <s v="Cancelación Vigilancia, mes de Septiembre 2019"/>
    <x v="0"/>
    <m/>
    <s v="02323"/>
    <s v="05 de septiembre de 2019"/>
    <n v="5"/>
    <x v="34"/>
    <s v="10.000,00"/>
    <e v="#NAME?"/>
  </r>
  <r>
    <n v="2324"/>
    <m/>
    <x v="0"/>
    <d v="2019-09-06T00:00:00"/>
    <n v="23400"/>
    <s v="Dra. Lilia Magallanes"/>
    <s v="liliamagallanes2010@gmail.com"/>
    <s v="Calle Güigüe Nro. 88-51"/>
    <s v="Cancelación Vigilancia, mes de Septiembre 2019"/>
    <x v="0"/>
    <m/>
    <s v="02324"/>
    <s v="06 de septiembre de 2019"/>
    <n v="6"/>
    <x v="34"/>
    <s v="23.400,00"/>
    <e v="#NAME?"/>
  </r>
  <r>
    <n v="2325"/>
    <m/>
    <x v="0"/>
    <d v="2019-09-06T00:00:00"/>
    <n v="13000"/>
    <s v="Zoraida Khair"/>
    <s v="zorakhair@hotmail.com | lbracamonte@netuno.net"/>
    <s v="Calle Güigüe Nro. 88-80"/>
    <s v="Cancelación Vigilancia, mes de Septiembre 2019"/>
    <x v="0"/>
    <m/>
    <s v="02325"/>
    <s v="06 de septiembre de 2019"/>
    <n v="6"/>
    <x v="34"/>
    <s v="13.000,00"/>
    <e v="#NAME?"/>
  </r>
  <r>
    <n v="2326"/>
    <m/>
    <x v="0"/>
    <d v="2019-09-07T00:00:00"/>
    <n v="13400"/>
    <s v="Familia González Arévalo"/>
    <s v="feryenis@hotmail.com"/>
    <s v="Calle Guacara Nro. 89-86"/>
    <s v="Cancelación Vigilancia, saldo mes de Septiembre 2019"/>
    <x v="0"/>
    <m/>
    <s v="02326"/>
    <s v="07 de septiembre de 2019"/>
    <n v="7"/>
    <x v="34"/>
    <s v="13.400,00"/>
    <e v="#NAME?"/>
  </r>
  <r>
    <n v="2327"/>
    <m/>
    <x v="0"/>
    <d v="2019-09-09T00:00:00"/>
    <n v="10500"/>
    <s v="Familia Franco Gómez"/>
    <s v="eof64@hotmail.com"/>
    <s v="Calle Guacara Nro. 87-07"/>
    <s v="Cancelación Vigilancia, saldo mes de Septiembre 2019"/>
    <x v="0"/>
    <m/>
    <s v="02327"/>
    <s v="09 de septiembre de 2019"/>
    <n v="9"/>
    <x v="34"/>
    <s v="10.500,00"/>
    <e v="#NAME?"/>
  </r>
  <r>
    <n v="2328"/>
    <m/>
    <x v="0"/>
    <d v="2019-09-09T00:00:00"/>
    <n v="10500"/>
    <s v="Héctor Hernández"/>
    <s v="eof64@hotmail.com"/>
    <s v="Calle Guacara Nro. 89-94"/>
    <s v="Cancelación Vigilancia, saldo mes de Septiembre 2019"/>
    <x v="0"/>
    <m/>
    <s v="02328"/>
    <s v="09 de septiembre de 2019"/>
    <n v="9"/>
    <x v="34"/>
    <s v="10.500,00"/>
    <e v="#NAME?"/>
  </r>
  <r>
    <n v="2329"/>
    <m/>
    <x v="0"/>
    <d v="2019-09-09T00:00:00"/>
    <n v="20500"/>
    <s v="Familia Montilla García"/>
    <s v="dairy252525@hotmail.com"/>
    <s v="Calle Güigüe Nro. 89-90"/>
    <s v="Cancelación Vigilancia, mes de Septiembre 2019"/>
    <x v="0"/>
    <m/>
    <s v="02329"/>
    <s v="09 de septiembre de 2019"/>
    <n v="9"/>
    <x v="34"/>
    <s v="20.500,00"/>
    <e v="#NAME?"/>
  </r>
  <r>
    <n v="2330"/>
    <m/>
    <x v="0"/>
    <d v="2019-09-09T00:00:00"/>
    <n v="20500"/>
    <s v="Familia Ochoa Mendoza"/>
    <s v="marisoljudithm@hotmail.com"/>
    <s v="Calle Guacara Nro. 89-130"/>
    <s v="Cancelación Vigilancia, mes de Septiembre 2019"/>
    <x v="0"/>
    <m/>
    <s v="02330"/>
    <s v="09 de septiembre de 2019"/>
    <n v="9"/>
    <x v="34"/>
    <s v="20.500,00"/>
    <e v="#NAME?"/>
  </r>
  <r>
    <n v="2331"/>
    <m/>
    <x v="0"/>
    <d v="2019-09-09T00:00:00"/>
    <n v="20500"/>
    <s v="Familia Piñero Padilla"/>
    <s v="achepaul2005@hotmail.com"/>
    <s v="Calle Güigüe Nro. 89-21"/>
    <s v="Cancelación Vigilancia, mes de Septiembre 2019"/>
    <x v="0"/>
    <m/>
    <s v="02331"/>
    <s v="09 de septiembre de 2019"/>
    <n v="9"/>
    <x v="34"/>
    <s v="20.500,00"/>
    <e v="#NAME?"/>
  </r>
  <r>
    <n v="2332"/>
    <m/>
    <x v="0"/>
    <d v="2019-09-09T00:00:00"/>
    <n v="21100"/>
    <s v="Familia Rodríguez Girón"/>
    <s v="daniellegt4@gmail.com"/>
    <s v="Calle Güigüe Nro. 89-22"/>
    <s v="Cancelación Vigilancia, mes de Septiembre 2019"/>
    <x v="0"/>
    <m/>
    <s v="02332"/>
    <s v="09 de septiembre de 2019"/>
    <n v="9"/>
    <x v="34"/>
    <s v="21.100,00"/>
    <e v="#NAME?"/>
  </r>
  <r>
    <n v="2333"/>
    <m/>
    <x v="0"/>
    <d v="2019-09-09T00:00:00"/>
    <n v="20500"/>
    <s v="Familia Costermani Terrer"/>
    <s v="claudiacostermani@hotmail.com"/>
    <s v="Calle Güigüe Nro. 88-11"/>
    <s v="Cancelación Vigilancia, mes de Septiembre 2019"/>
    <x v="0"/>
    <m/>
    <s v="02333"/>
    <s v="09 de septiembre de 2019"/>
    <n v="9"/>
    <x v="34"/>
    <s v="20.500,00"/>
    <e v="#NAME?"/>
  </r>
  <r>
    <n v="2334"/>
    <m/>
    <x v="0"/>
    <d v="2019-09-11T00:00:00"/>
    <n v="10000"/>
    <s v="Familia Hurtado"/>
    <s v="hurtadomilena@gmail.com"/>
    <s v="Av. &quot;O&quot; Nro. 146-11"/>
    <s v="Cancelación Vigilancia, mes de Agosto 2019. Transferencia Banesco nro. 11476317553"/>
    <x v="0"/>
    <m/>
    <s v="02334"/>
    <s v="11 de septiembre de 2019"/>
    <n v="11"/>
    <x v="34"/>
    <s v="10.000,00"/>
    <e v="#NAME?"/>
  </r>
  <r>
    <n v="2335"/>
    <m/>
    <x v="0"/>
    <d v="2019-09-11T00:00:00"/>
    <n v="20500"/>
    <s v="Beatriz Lara"/>
    <s v="arquitectoag@gmail.com"/>
    <s v="Calle Guacara Nro. 89-130"/>
    <s v="Cancelación Vigilancia, mes de Septiembre 2019 (US$ 1,00)"/>
    <x v="0"/>
    <m/>
    <s v="02335"/>
    <s v="11 de septiembre de 2019"/>
    <n v="11"/>
    <x v="34"/>
    <s v="20.500,00"/>
    <e v="#NAME?"/>
  </r>
  <r>
    <n v="2336"/>
    <m/>
    <x v="0"/>
    <d v="2019-09-11T00:00:00"/>
    <n v="24400"/>
    <s v="Familia Kattar González"/>
    <s v="jagiak123@yahoo.es"/>
    <s v="Calle Güigüe Nro. 89-95"/>
    <s v="Cancelación Vigilancia, anticipo mes de Agosto y cancelación mes de Septiembre 2019"/>
    <x v="0"/>
    <m/>
    <s v="02336"/>
    <s v="11 de septiembre de 2019"/>
    <n v="11"/>
    <x v="34"/>
    <s v="24.400,00"/>
    <e v="#NAME?"/>
  </r>
  <r>
    <n v="2337"/>
    <m/>
    <x v="0"/>
    <d v="2019-09-12T00:00:00"/>
    <n v="20500"/>
    <s v="Amparo Acosta"/>
    <s v="amparonatividad@hotmail.com"/>
    <s v="Calle Guacara Nro. 88-65"/>
    <s v="Cancelación Vigilancia, mes de Septiembre 2019"/>
    <x v="0"/>
    <m/>
    <s v="02337"/>
    <s v="12 de septiembre de 2019"/>
    <n v="12"/>
    <x v="34"/>
    <s v="20.500,00"/>
    <e v="#NAME?"/>
  </r>
  <r>
    <n v="2338"/>
    <m/>
    <x v="0"/>
    <d v="2019-09-12T00:00:00"/>
    <n v="22000"/>
    <s v="Sra. Reina Meléndez"/>
    <s v="olgajipe@gmail.com"/>
    <s v="Av. &quot;M&quot; Nro. 145-10"/>
    <s v="Cancelación Vigilancia, mes de Septiembre 2019"/>
    <x v="0"/>
    <m/>
    <s v="02338"/>
    <s v="12 de septiembre de 2019"/>
    <n v="12"/>
    <x v="34"/>
    <s v="22.000,00"/>
    <e v="#NAME?"/>
  </r>
  <r>
    <n v="2339"/>
    <m/>
    <x v="0"/>
    <d v="2019-09-14T00:00:00"/>
    <n v="20500"/>
    <s v="Familia Machado Stoppa"/>
    <s v="machadoru@hotmail.com | marisa2710chardan@gmail.com"/>
    <s v="Calle Guacara Nro. 88-85"/>
    <s v="Cancelación Vigilancia, mes de Septiembre 2019"/>
    <x v="0"/>
    <m/>
    <s v="02339"/>
    <s v="14 de septiembre de 2019"/>
    <n v="14"/>
    <x v="34"/>
    <s v="20.500,00"/>
    <e v="#NAME?"/>
  </r>
  <r>
    <n v="2340"/>
    <m/>
    <x v="0"/>
    <d v="2019-09-14T00:00:00"/>
    <n v="20500"/>
    <s v="Andrea Valor"/>
    <s v="aavp992@gmail.com"/>
    <s v="Calle Guacara Nro. 88-75"/>
    <s v="Cancelación Vigilancia, mes de Septiembre 2019"/>
    <x v="0"/>
    <m/>
    <s v="02340"/>
    <s v="14 de septiembre de 2019"/>
    <n v="14"/>
    <x v="34"/>
    <s v="20.500,00"/>
    <e v="#NAME?"/>
  </r>
  <r>
    <n v="2341"/>
    <m/>
    <x v="0"/>
    <d v="2019-09-13T00:00:00"/>
    <n v="20500"/>
    <s v="Familia Delgado Hidalgo"/>
    <s v="ardh@hotmail.com"/>
    <s v="Calle Güigüe Nro. 88-10"/>
    <s v="Cancelación Vigilancia, mes de Septiembre 2019"/>
    <x v="0"/>
    <m/>
    <s v="02341"/>
    <s v="13 de septiembre de 2019"/>
    <n v="13"/>
    <x v="34"/>
    <s v="20.500,00"/>
    <e v="#NAME?"/>
  </r>
  <r>
    <n v="2342"/>
    <m/>
    <x v="0"/>
    <d v="2019-09-14T00:00:00"/>
    <n v="20500"/>
    <s v="Familia Puerta Burguillos"/>
    <s v="namaricakes@gmail.com"/>
    <s v="Calle Guacara Nro. 87-100"/>
    <s v="Cancelación Vigilancia, mes de Septiembre 2019 (US$ 1,00)"/>
    <x v="0"/>
    <m/>
    <s v="02342"/>
    <s v="14 de septiembre de 2019"/>
    <n v="14"/>
    <x v="34"/>
    <s v="20.500,00"/>
    <e v="#NAME?"/>
  </r>
  <r>
    <n v="2343"/>
    <m/>
    <x v="0"/>
    <d v="2019-09-14T00:00:00"/>
    <n v="10000"/>
    <s v="Wilson Escamilla"/>
    <s v="wilsonescamilla45@gmail.com"/>
    <s v="Calle Güigüe Nro. 89-89"/>
    <s v="Cancelación Vigilancia, mes de Agosto 2019"/>
    <x v="0"/>
    <m/>
    <s v="02343"/>
    <s v="14 de septiembre de 2019"/>
    <n v="14"/>
    <x v="34"/>
    <s v="10.000,00"/>
    <e v="#NAME?"/>
  </r>
  <r>
    <n v="2344"/>
    <m/>
    <x v="0"/>
    <d v="2019-09-14T00:00:00"/>
    <n v="20500"/>
    <s v="Wilson Escamilla"/>
    <s v="wilsonescamilla45@gmail.com"/>
    <s v="Calle Güigüe Nro. 89-89"/>
    <s v="Cancelación Vigilancia, mes de Septiembre 2019 (US$ 1,00)"/>
    <x v="0"/>
    <m/>
    <s v="02344"/>
    <s v="14 de septiembre de 2019"/>
    <n v="14"/>
    <x v="34"/>
    <s v="20.500,00"/>
    <e v="#NAME?"/>
  </r>
  <r>
    <n v="2345"/>
    <m/>
    <x v="0"/>
    <d v="2019-09-14T00:00:00"/>
    <n v="10000"/>
    <s v="Zoraida Khair"/>
    <s v="zorakhair@hotmail.com | lbracamonte@netuno.net"/>
    <s v="Calle Güigüe Nro. 88-80"/>
    <s v="Cancelación Vigilancia, anticipo mes de Octubre 2019"/>
    <x v="0"/>
    <m/>
    <s v="02345"/>
    <s v="14 de septiembre de 2019"/>
    <n v="14"/>
    <x v="34"/>
    <s v="10.000,00"/>
    <e v="#NAME?"/>
  </r>
  <r>
    <n v="2346"/>
    <m/>
    <x v="0"/>
    <d v="2019-09-12T00:00:00"/>
    <n v="35000"/>
    <s v="Familia Romero"/>
    <s v="almacenajeiri@gmail.com"/>
    <s v="Calle Guacara Nro. 89-50"/>
    <s v="Cancelación Vigilancia, meses de Agosto y Septiembre, y anticipo mes de Octubre 2019"/>
    <x v="0"/>
    <m/>
    <s v="02346"/>
    <s v="12 de septiembre de 2019"/>
    <n v="12"/>
    <x v="34"/>
    <s v="35.000,00"/>
    <e v="#NAME?"/>
  </r>
  <r>
    <n v="2347"/>
    <m/>
    <x v="0"/>
    <d v="2019-09-15T00:00:00"/>
    <n v="29725"/>
    <s v="Colegio El Trigal"/>
    <s v="En Físico"/>
    <s v="Calle Güigüe Nros. 88-71 y 88-81"/>
    <s v="Cancelación Vigilancia, mes de Septiembre 2019"/>
    <x v="0"/>
    <m/>
    <s v="02347"/>
    <s v="15 de septiembre de 2019"/>
    <n v="15"/>
    <x v="34"/>
    <s v="29.725,00"/>
    <e v="#NAME?"/>
  </r>
  <r>
    <n v="2348"/>
    <m/>
    <x v="0"/>
    <d v="2019-09-17T00:00:00"/>
    <n v="11000"/>
    <s v="Familia Castro Jiménez"/>
    <s v="aurycastrojimenez@gmail.com"/>
    <s v="Calle Guacara Nro. 90-51"/>
    <s v="Cancelación Vigilancia, saldo mes de Septiembre 2019"/>
    <x v="0"/>
    <m/>
    <s v="02348"/>
    <s v="17 de septiembre de 2019"/>
    <n v="17"/>
    <x v="34"/>
    <s v="11.000,00"/>
    <e v="#NAME?"/>
  </r>
  <r>
    <n v="2349"/>
    <m/>
    <x v="0"/>
    <d v="2019-09-18T00:00:00"/>
    <n v="21600"/>
    <s v="Familia Navarro Assing"/>
    <s v="liliaassing@gmail.com"/>
    <s v="Calle Güigüe Nro. 88-54"/>
    <s v="Cancelación Vigilancia, mes de Septiembre 2019 (US$ 1,00)"/>
    <x v="0"/>
    <m/>
    <s v="02349"/>
    <s v="18 de septiembre de 2019"/>
    <n v="18"/>
    <x v="34"/>
    <s v="21.600,00"/>
    <e v="#NAME?"/>
  </r>
  <r>
    <n v="2350"/>
    <m/>
    <x v="0"/>
    <d v="2019-09-18T00:00:00"/>
    <n v="21600"/>
    <s v="Familia Wu Acevedo"/>
    <s v="rudyacevedo90@gmail.com"/>
    <s v="Calle Guacara Nro. 88-A-10"/>
    <s v="Cancelación Vigilancia, mes de Septiembre 2019 (saldo a favor: Bs. 44.405,80)"/>
    <x v="0"/>
    <m/>
    <s v="02350"/>
    <s v="18 de septiembre de 2019"/>
    <n v="18"/>
    <x v="34"/>
    <s v="21.600,00"/>
    <e v="#NAME?"/>
  </r>
  <r>
    <n v="2351"/>
    <m/>
    <x v="0"/>
    <d v="2019-09-19T00:00:00"/>
    <n v="21600"/>
    <s v="Familia Chan García"/>
    <s v="chanalberto10@hotmail.com | endrinagarciah@gmail.com"/>
    <s v="Calle Güigüe Nro. 89-106"/>
    <s v="Cancelación Vigilancia, mes de Septiembre 2019"/>
    <x v="0"/>
    <m/>
    <s v="02351"/>
    <s v="19 de septiembre de 2019"/>
    <n v="19"/>
    <x v="34"/>
    <s v="21.600,00"/>
    <e v="#NAME?"/>
  </r>
  <r>
    <n v="2352"/>
    <m/>
    <x v="0"/>
    <d v="2019-09-19T00:00:00"/>
    <n v="21600"/>
    <s v="Familia Sirit Palencia"/>
    <s v="irasirit@gmail.com"/>
    <s v="Calle Güigüe Nro. 89-35"/>
    <s v="Cancelación Vigilancia, mes de Septiembre 2019"/>
    <x v="0"/>
    <m/>
    <s v="02352"/>
    <s v="19 de septiembre de 2019"/>
    <n v="19"/>
    <x v="34"/>
    <s v="21.600,00"/>
    <e v="#NAME?"/>
  </r>
  <r>
    <n v="2353"/>
    <m/>
    <x v="0"/>
    <d v="2019-09-19T00:00:00"/>
    <n v="22000"/>
    <s v="Familia Barreto Pérez"/>
    <s v="bbetsa19@hotmail.com"/>
    <s v="Av. &quot;M&quot; Nro. 146-15"/>
    <s v="Cancelación Vigilancia, mes de Septiembre 2019"/>
    <x v="0"/>
    <m/>
    <s v="02353"/>
    <s v="19 de septiembre de 2019"/>
    <n v="19"/>
    <x v="34"/>
    <s v="22.000,00"/>
    <e v="#NAME?"/>
  </r>
  <r>
    <n v="2354"/>
    <m/>
    <x v="0"/>
    <d v="2019-09-19T00:00:00"/>
    <n v="21600"/>
    <s v="Familia Gascón Domínguez"/>
    <s v="vrgascon@gmail.com"/>
    <s v="Calle Güigüe Nro. 88-70"/>
    <s v="Cancelación Vigilancia, mes de Septiembre 2019"/>
    <x v="0"/>
    <m/>
    <s v="02354"/>
    <s v="19 de septiembre de 2019"/>
    <n v="19"/>
    <x v="34"/>
    <s v="21.600,00"/>
    <e v="#NAME?"/>
  </r>
  <r>
    <n v="2355"/>
    <m/>
    <x v="0"/>
    <d v="2019-09-22T00:00:00"/>
    <n v="21600"/>
    <s v="Familia Abbinante Pinto"/>
    <s v="abbinante47@gmail.com"/>
    <s v="Calle Güigüe Nro. 89-120"/>
    <s v="Cancelación Vigilancia, mes de Septiembre 2019"/>
    <x v="0"/>
    <m/>
    <s v="02355"/>
    <s v="22 de septiembre de 2019"/>
    <n v="22"/>
    <x v="34"/>
    <s v="21.600,00"/>
    <e v="#NAME?"/>
  </r>
  <r>
    <n v="2356"/>
    <m/>
    <x v="0"/>
    <d v="2019-09-23T00:00:00"/>
    <n v="19800"/>
    <s v="Familia Acosta Carpio"/>
    <s v="pablo962@hotmail.com"/>
    <s v="Calle Güigüe Nro. 89-10"/>
    <s v="Cancelación Vigilancia, mes de Septiembre 2019"/>
    <x v="0"/>
    <m/>
    <s v="02356"/>
    <s v="23 de septiembre de 2019"/>
    <n v="23"/>
    <x v="34"/>
    <s v="19.800,00"/>
    <e v="#NAME?"/>
  </r>
  <r>
    <n v="2357"/>
    <m/>
    <x v="0"/>
    <d v="2019-09-23T00:00:00"/>
    <n v="19800"/>
    <s v="Familia Rodríguez Aular"/>
    <s v="vaular@kromi-market.com | mvaular@hotmail.com"/>
    <s v="Calle Güigüe Nro. 88-58"/>
    <s v="Cancelación Vigilancia, mes de Septiembre 2019"/>
    <x v="0"/>
    <m/>
    <s v="02357"/>
    <s v="23 de septiembre de 2019"/>
    <n v="23"/>
    <x v="34"/>
    <s v="19.800,00"/>
    <e v="#NAME?"/>
  </r>
  <r>
    <n v="2358"/>
    <m/>
    <x v="0"/>
    <d v="2019-09-23T00:00:00"/>
    <n v="19800"/>
    <s v="Santiago Varela"/>
    <s v="svg0583@gmail.com"/>
    <s v="Av. &quot;M&quot; Nro. 146-30"/>
    <s v="Cancelación Vigilancia, mes de Septiembre 2019"/>
    <x v="0"/>
    <m/>
    <s v="02358"/>
    <s v="23 de septiembre de 2019"/>
    <n v="23"/>
    <x v="34"/>
    <s v="19.800,00"/>
    <e v="#NAME?"/>
  </r>
  <r>
    <n v="2359"/>
    <m/>
    <x v="0"/>
    <d v="2019-09-23T00:00:00"/>
    <n v="19800"/>
    <s v="Familia López Hermoso"/>
    <s v="lopez.humberto14@yahoo.com.ve"/>
    <s v="Calle Güigüe Nro. 89-79"/>
    <s v="Cancelación Vigilancia, mes de Septiembre 2019 (saldo a favor: Bs. 200,00)"/>
    <x v="0"/>
    <m/>
    <s v="02359"/>
    <s v="23 de septiembre de 2019"/>
    <n v="23"/>
    <x v="34"/>
    <s v="19.800,00"/>
    <e v="#NAME?"/>
  </r>
  <r>
    <n v="2360"/>
    <m/>
    <x v="0"/>
    <d v="2019-09-23T00:00:00"/>
    <n v="19800"/>
    <s v="Familia Milanés Carmona"/>
    <s v="yndira11m@gmail.com"/>
    <s v="Calle Güigüe Nro. 89-65"/>
    <s v="Cancelación Vigilancia, mes de Septiembre 2019"/>
    <x v="0"/>
    <m/>
    <s v="02360"/>
    <s v="23 de septiembre de 2019"/>
    <n v="23"/>
    <x v="34"/>
    <s v="19.800,00"/>
    <e v="#NAME?"/>
  </r>
  <r>
    <n v="2361"/>
    <m/>
    <x v="0"/>
    <d v="2019-09-23T00:00:00"/>
    <n v="19800"/>
    <s v="Familia Hatem Medina"/>
    <s v="hhatem1@hotmail.com"/>
    <s v="Calle Guacara Nro. 88-51"/>
    <s v="Cancelación Vigilancia, mes de Septiembre 2019"/>
    <x v="0"/>
    <m/>
    <s v="02361"/>
    <s v="23 de septiembre de 2019"/>
    <n v="23"/>
    <x v="34"/>
    <s v="19.800,00"/>
    <e v="#NAME?"/>
  </r>
  <r>
    <n v="2362"/>
    <m/>
    <x v="0"/>
    <d v="2019-09-23T00:00:00"/>
    <n v="19800"/>
    <s v="Familia Zavarce Barón"/>
    <s v="alexanderzavarce@gmail.com"/>
    <s v="Calle Guacara Nro. 88-91"/>
    <s v="Cancelación Vigilancia, mes de Septiembre 2019"/>
    <x v="0"/>
    <m/>
    <s v="02362"/>
    <s v="23 de septiembre de 2019"/>
    <n v="23"/>
    <x v="34"/>
    <s v="19.800,00"/>
    <e v="#NAME?"/>
  </r>
  <r>
    <n v="2363"/>
    <m/>
    <x v="0"/>
    <d v="2019-09-24T00:00:00"/>
    <n v="21600"/>
    <s v="Ana de González"/>
    <s v="mikelnowak25@gmail.com"/>
    <s v="Av. &quot;O&quot; Nro. 146-17"/>
    <s v="Cancelación Vigilancia, mes de Septiembre 2019"/>
    <x v="0"/>
    <m/>
    <s v="02363"/>
    <s v="24 de septiembre de 2019"/>
    <n v="24"/>
    <x v="34"/>
    <s v="21.600,00"/>
    <e v="#NAME?"/>
  </r>
  <r>
    <n v="2364"/>
    <m/>
    <x v="0"/>
    <d v="2019-09-25T00:00:00"/>
    <n v="39600"/>
    <s v="Jocsan Orta Correa"/>
    <s v="carlos_arturox@hotmail.com"/>
    <s v="Av. &quot;L&quot; anexo de Los Tronquitos"/>
    <s v="Cancelación Vigilancia, mes de Septiembre y anticipo mes de Octubre 2019"/>
    <x v="0"/>
    <m/>
    <s v="02364"/>
    <s v="25 de septiembre de 2019"/>
    <n v="25"/>
    <x v="34"/>
    <s v="39.600,00"/>
    <e v="#NAME?"/>
  </r>
  <r>
    <n v="2365"/>
    <m/>
    <x v="0"/>
    <d v="2019-09-26T00:00:00"/>
    <n v="20000"/>
    <s v="Familia Alonso Rojas"/>
    <s v="redjc01@gmail.com"/>
    <s v="Calle Güigüe Nro. 89-54"/>
    <s v="Cancelación Vigilancia, mes de Septiembre 2019"/>
    <x v="0"/>
    <m/>
    <s v="02365"/>
    <s v="26 de septiembre de 2019"/>
    <n v="26"/>
    <x v="34"/>
    <s v="20.000,00"/>
    <e v="#NAME?"/>
  </r>
  <r>
    <n v="2366"/>
    <m/>
    <x v="0"/>
    <d v="2019-09-27T00:00:00"/>
    <n v="19800"/>
    <s v="Familia Díaz González"/>
    <s v="luisrdt57@gmail.com"/>
    <s v="Calle Güigüe Nro. 88-116"/>
    <s v="Cancelación Vigilancia, mes de Septiembre 2019"/>
    <x v="0"/>
    <m/>
    <s v="02366"/>
    <s v="27 de septiembre de 2019"/>
    <n v="27"/>
    <x v="34"/>
    <s v="19.800,00"/>
    <e v="#NAME?"/>
  </r>
  <r>
    <n v="2367"/>
    <m/>
    <x v="0"/>
    <d v="2019-09-27T00:00:00"/>
    <n v="20000"/>
    <s v="Familia Kablan Sarmiento"/>
    <s v="norisjsb56@hotmail.com"/>
    <s v="Calle Güigüe Nro. 89-80"/>
    <s v="Cancelación Vigilancia, mes de Septiembre 2019"/>
    <x v="0"/>
    <m/>
    <s v="02367"/>
    <s v="27 de septiembre de 2019"/>
    <n v="27"/>
    <x v="34"/>
    <s v="20.000,00"/>
    <e v="#NAME?"/>
  </r>
  <r>
    <n v="2368"/>
    <m/>
    <x v="0"/>
    <d v="2019-09-27T00:00:00"/>
    <n v="19800"/>
    <s v="Gloria Molina"/>
    <s v="glomola2@yahoo.es"/>
    <s v="Calle Güigüe Nro. 89-71"/>
    <s v="Cancelación Vigilancia, mes de Septiembre 2019"/>
    <x v="0"/>
    <m/>
    <s v="02368"/>
    <s v="27 de septiembre de 2019"/>
    <n v="27"/>
    <x v="34"/>
    <s v="19.800,00"/>
    <e v="#NAME?"/>
  </r>
  <r>
    <n v="2369"/>
    <m/>
    <x v="0"/>
    <d v="2019-09-28T00:00:00"/>
    <n v="19800"/>
    <s v="Familia Navarro Assing"/>
    <s v="liliaassing@gmail.com"/>
    <s v="Calle Güigüe Nro. 88-54"/>
    <s v="Cancelación Vigilancia, mes de Octubre 2019 (US$ 1,00)"/>
    <x v="0"/>
    <m/>
    <s v="02369"/>
    <s v="28 de septiembre de 2019"/>
    <n v="28"/>
    <x v="34"/>
    <s v="19.800,00"/>
    <e v="#NAME?"/>
  </r>
  <r>
    <n v="2370"/>
    <m/>
    <x v="0"/>
    <d v="2019-09-28T00:00:00"/>
    <n v="19800"/>
    <s v="Victoria Francischiello"/>
    <s v="victoriafrancischiello@hotmail.com"/>
    <s v="Calle Guacara Nro. 88-25"/>
    <s v="Cancelación Vigilancia, mes de Septiembre 2019"/>
    <x v="0"/>
    <m/>
    <s v="02370"/>
    <s v="28 de septiembre de 2019"/>
    <n v="28"/>
    <x v="34"/>
    <s v="19.800,00"/>
    <e v="#NAME?"/>
  </r>
  <r>
    <n v="2371"/>
    <m/>
    <x v="0"/>
    <d v="2019-09-28T00:00:00"/>
    <n v="19800"/>
    <s v="Familia Flores Montagne"/>
    <s v="martaflores@gmail.com"/>
    <s v="Av. &quot;M&quot; Nro. 146-20"/>
    <s v="Cancelación Vigilancia, mes de Septiembre 2019"/>
    <x v="0"/>
    <m/>
    <s v="02371"/>
    <s v="28 de septiembre de 2019"/>
    <n v="28"/>
    <x v="34"/>
    <s v="19.800,00"/>
    <e v="#NAME?"/>
  </r>
  <r>
    <n v="2372"/>
    <m/>
    <x v="0"/>
    <d v="2019-09-29T00:00:00"/>
    <n v="4800"/>
    <s v="Wu Hung Fung"/>
    <s v="carolinahung24@gmail.com | barbarahung15@hotmail.com"/>
    <s v="Calle Guacara Nro. 90-81"/>
    <s v="Cancelación Vigilancia, saldo mes de  Septiembre 2019"/>
    <x v="0"/>
    <m/>
    <s v="02372"/>
    <s v="29 de septiembre de 2019"/>
    <n v="29"/>
    <x v="34"/>
    <s v="4.800,00"/>
    <e v="#NAME?"/>
  </r>
  <r>
    <n v="2373"/>
    <m/>
    <x v="0"/>
    <d v="2019-09-29T00:00:00"/>
    <n v="15200"/>
    <s v="Wu Hung Fung"/>
    <s v="carolinahung24@gmail.com | barbarahung15@hotmail.com"/>
    <s v="Calle Guacara Nro. 90-81"/>
    <s v="Aporte para la caseta de vigilancia"/>
    <x v="13"/>
    <m/>
    <s v="02373"/>
    <s v="29 de septiembre de 2019"/>
    <n v="29"/>
    <x v="34"/>
    <s v="15.200,00"/>
    <e v="#NAME?"/>
  </r>
  <r>
    <n v="2374"/>
    <m/>
    <x v="0"/>
    <d v="2019-09-30T00:00:00"/>
    <n v="21100"/>
    <s v="Familia Martínez Boada"/>
    <s v="florcitakmz@gmail.com"/>
    <s v="Calle Güigüe Nro. 88-62"/>
    <s v="Cancelación Vigilancia, mes de Septiembre 2019"/>
    <x v="0"/>
    <m/>
    <s v="02374"/>
    <s v="30 de septiembre de 2019"/>
    <n v="30"/>
    <x v="34"/>
    <s v="21.100,00"/>
    <e v="#NAME?"/>
  </r>
  <r>
    <n v="2375"/>
    <m/>
    <x v="0"/>
    <d v="2019-09-30T00:00:00"/>
    <n v="21100"/>
    <s v="Familia Matta Palomino"/>
    <s v="En Físico"/>
    <s v="Calle Güigüe Nro. 88-90"/>
    <s v="Cancelación Vigilancia, mes de Septiembre 2019"/>
    <x v="0"/>
    <m/>
    <s v="02375"/>
    <s v="30 de septiembre de 2019"/>
    <n v="30"/>
    <x v="34"/>
    <s v="21.100,00"/>
    <e v="#NAME?"/>
  </r>
  <r>
    <n v="2376"/>
    <m/>
    <x v="0"/>
    <d v="2019-09-30T00:00:00"/>
    <n v="21100"/>
    <s v="Familia Castillo Mena"/>
    <s v="emmecas@hotmail.com"/>
    <s v="Calle Güigüe Nro. 88-101"/>
    <s v="Cancelación Vigilancia, mes de Septiembre 2019"/>
    <x v="0"/>
    <m/>
    <s v="02376"/>
    <s v="30 de septiembre de 2019"/>
    <n v="30"/>
    <x v="34"/>
    <s v="21.100,00"/>
    <e v="#NAME?"/>
  </r>
  <r>
    <n v="2377"/>
    <m/>
    <x v="0"/>
    <d v="2019-10-01T00:00:00"/>
    <n v="21100"/>
    <s v="Familia Guerra Miret"/>
    <s v="antoniojguerrag@hotmail.com"/>
    <s v="Calle Güigüe Nro. 89-40"/>
    <s v="Cancelación Vigilancia, mes de Octubre 2019"/>
    <x v="0"/>
    <m/>
    <s v="02377"/>
    <s v="01 de octubre de 2019"/>
    <n v="1"/>
    <x v="35"/>
    <s v="21.100,00"/>
    <e v="#NAME?"/>
  </r>
  <r>
    <n v="2378"/>
    <m/>
    <x v="0"/>
    <d v="2019-10-01T00:00:00"/>
    <n v="20000"/>
    <s v="Familia Rodríguez Landaeta"/>
    <s v="mrl58@hotmail.com"/>
    <s v="Calle Güigüe Nro. 89-29"/>
    <s v="Colaboración Vigilancia, meses de Septiembre y Octubre 2019"/>
    <x v="0"/>
    <m/>
    <s v="02378"/>
    <s v="01 de octubre de 2019"/>
    <n v="1"/>
    <x v="35"/>
    <s v="20.000,00"/>
    <e v="#NAME?"/>
  </r>
  <r>
    <n v="2379"/>
    <m/>
    <x v="0"/>
    <d v="2019-10-01T00:00:00"/>
    <n v="21100"/>
    <s v="Familia Franco Gómez"/>
    <s v="eof64@hotmail.com"/>
    <s v="Calle Guacara Nro. 87-07"/>
    <s v="Cancelación Vigilancia, mes de Octubre 2019"/>
    <x v="0"/>
    <m/>
    <s v="02379"/>
    <s v="01 de octubre de 2019"/>
    <n v="1"/>
    <x v="35"/>
    <s v="21.100,00"/>
    <e v="#NAME?"/>
  </r>
  <r>
    <n v="2380"/>
    <m/>
    <x v="0"/>
    <d v="2019-10-01T00:00:00"/>
    <n v="21100"/>
    <s v="Héctor Hernández"/>
    <s v="eof64@hotmail.com"/>
    <s v="Calle Guacara Nro. 89-94"/>
    <s v="Cancelación Vigilancia, mes de Octubre 2019"/>
    <x v="0"/>
    <m/>
    <s v="02380"/>
    <s v="01 de octubre de 2019"/>
    <n v="1"/>
    <x v="35"/>
    <s v="21.100,00"/>
    <e v="#NAME?"/>
  </r>
  <r>
    <n v="2381"/>
    <m/>
    <x v="0"/>
    <d v="2019-10-02T00:00:00"/>
    <n v="21100"/>
    <s v="Familia Sirit Palencia"/>
    <s v="irasirit@gmail.com"/>
    <s v="Calle Güigüe Nro. 89-35"/>
    <s v="Cancelación Vigilancia, mes de Octubre 2019"/>
    <x v="0"/>
    <m/>
    <s v="02381"/>
    <s v="02 de octubre de 2019"/>
    <n v="2"/>
    <x v="35"/>
    <s v="21.100,00"/>
    <e v="#NAME?"/>
  </r>
  <r>
    <n v="2382"/>
    <m/>
    <x v="0"/>
    <d v="2019-10-02T00:00:00"/>
    <n v="21100"/>
    <s v="Carmen Moreno"/>
    <s v="carmenemoreno10@gmail.com"/>
    <s v="Calle Güigüe Nro. 89-04"/>
    <s v="Cancelación Vigilancia, mes de Octubre 2019"/>
    <x v="0"/>
    <m/>
    <s v="02382"/>
    <s v="02 de octubre de 2019"/>
    <n v="2"/>
    <x v="35"/>
    <s v="21.100,00"/>
    <e v="#NAME?"/>
  </r>
  <r>
    <n v="2383"/>
    <m/>
    <x v="0"/>
    <d v="2019-10-02T00:00:00"/>
    <n v="21100"/>
    <s v="Familia Soto Urdaneta"/>
    <s v="esotom61@gmail.com"/>
    <s v="Calle Guacara Nro. 89-102"/>
    <s v="Cancelación Vigilancia, mes de Octubre 2019"/>
    <x v="0"/>
    <m/>
    <s v="02383"/>
    <s v="02 de octubre de 2019"/>
    <n v="2"/>
    <x v="35"/>
    <s v="21.100,00"/>
    <e v="#NAME?"/>
  </r>
  <r>
    <n v="2384"/>
    <m/>
    <x v="0"/>
    <d v="2019-10-02T00:00:00"/>
    <n v="20482.22"/>
    <s v="Familia Il Grande Franceschi"/>
    <s v="arcifran75@hotmail.com"/>
    <s v="Av. &quot;I&quot; Nro. 146-40"/>
    <s v="Cancelación Vigilancia, mes de Septiembre 2019"/>
    <x v="0"/>
    <m/>
    <s v="02384"/>
    <s v="02 de octubre de 2019"/>
    <n v="2"/>
    <x v="35"/>
    <s v="20.482,22"/>
    <e v="#NAME?"/>
  </r>
  <r>
    <n v="2385"/>
    <m/>
    <x v="0"/>
    <d v="2019-10-02T00:00:00"/>
    <n v="21100"/>
    <s v="Familia Del Negro Palermo"/>
    <s v="vdelnegro@gmail.com"/>
    <s v="Calle Guacara Nro. 88-45"/>
    <s v="Cancelación Vigilancia, mes de Octubre 2019 (saldo a favor: Bs. 15.362,95)"/>
    <x v="0"/>
    <m/>
    <s v="02385"/>
    <s v="02 de octubre de 2019"/>
    <n v="2"/>
    <x v="35"/>
    <s v="21.100,00"/>
    <e v="#NAME?"/>
  </r>
  <r>
    <n v="2386"/>
    <m/>
    <x v="0"/>
    <d v="2019-10-02T00:00:00"/>
    <n v="21100"/>
    <s v="Ely Saúl Rivero Gómez"/>
    <s v="hhs.admon@gmail.com"/>
    <s v="Av. &quot;Ñ&quot; Nro. 145-25"/>
    <s v="Cancelación Vigilancia, mes de Octubre 2019 (saldo a favor: Bs. 42.852,00)"/>
    <x v="0"/>
    <m/>
    <s v="02386"/>
    <s v="02 de octubre de 2019"/>
    <n v="2"/>
    <x v="35"/>
    <s v="21.100,00"/>
    <e v="#NAME?"/>
  </r>
  <r>
    <n v="2387"/>
    <m/>
    <x v="0"/>
    <d v="2019-10-02T00:00:00"/>
    <n v="21100"/>
    <s v="Familia Wu Acevedo"/>
    <s v="rudyacevedo90@gmail.com"/>
    <s v="Calle Guacara Nro. 88-A-10"/>
    <s v="Cancelación Vigilancia, mes de Octubre 2019 (saldo a favor: Bs. 23.305,80)"/>
    <x v="0"/>
    <m/>
    <s v="02387"/>
    <s v="02 de octubre de 2019"/>
    <n v="2"/>
    <x v="35"/>
    <s v="21.100,00"/>
    <e v="#NAME?"/>
  </r>
  <r>
    <n v="2388"/>
    <m/>
    <x v="0"/>
    <d v="2019-10-02T00:00:00"/>
    <n v="11100"/>
    <s v="Familia González Arévalo"/>
    <s v="feryenis@hotmail.com"/>
    <s v="Calle Guacara Nro. 89-86"/>
    <s v="Cancelación Vigilancia, saldo mes de Octubre 2019"/>
    <x v="0"/>
    <m/>
    <s v="02388"/>
    <s v="02 de octubre de 2019"/>
    <n v="2"/>
    <x v="35"/>
    <s v="11.100,00"/>
    <e v="#NAME?"/>
  </r>
  <r>
    <n v="2389"/>
    <m/>
    <x v="0"/>
    <d v="2019-10-02T00:00:00"/>
    <n v="20300"/>
    <s v="Familia Arcia Polanco"/>
    <s v="misipo29@gmail.com"/>
    <s v="Calle Guacara Nro. 89-20"/>
    <s v="Cancelación Vigilancia, saldo mes de Octubre 2019"/>
    <x v="0"/>
    <m/>
    <s v="02389"/>
    <s v="02 de octubre de 2019"/>
    <n v="2"/>
    <x v="35"/>
    <s v="20.300,00"/>
    <e v="#NAME?"/>
  </r>
  <r>
    <n v="2390"/>
    <m/>
    <x v="0"/>
    <d v="2019-10-02T00:00:00"/>
    <n v="21100"/>
    <s v="Amarilis Guerra"/>
    <s v="amarilisguerra1@yahoo.com"/>
    <s v="Calle Güigüe Nro. 89-96"/>
    <s v="Cancelación Vigilancia, mes de Octubre 2019"/>
    <x v="0"/>
    <m/>
    <s v="02390"/>
    <s v="02 de octubre de 2019"/>
    <n v="2"/>
    <x v="35"/>
    <s v="21.100,00"/>
    <e v="#NAME?"/>
  </r>
  <r>
    <n v="2391"/>
    <m/>
    <x v="0"/>
    <d v="2019-10-03T00:00:00"/>
    <n v="21100"/>
    <s v="Familia Nava Gordon"/>
    <s v="maru_19_66@hotmail.com"/>
    <s v="Calle Guacara Nro. 89-78"/>
    <s v="Cancelación Vigilancia, mes de Octubre 2019"/>
    <x v="0"/>
    <m/>
    <s v="02391"/>
    <s v="03 de octubre de 2019"/>
    <n v="3"/>
    <x v="35"/>
    <s v="21.100,00"/>
    <e v="#NAME?"/>
  </r>
  <r>
    <n v="2392"/>
    <m/>
    <x v="0"/>
    <d v="2019-10-03T00:00:00"/>
    <n v="42200"/>
    <s v="Familia Scabuzzo Gómez"/>
    <s v="sfscabuzzo@msn.com"/>
    <s v="Av. &quot;I&quot; Nro. 146-20"/>
    <s v="Cancelación Vigilancia, meses de Septiembre y Octubre 2019"/>
    <x v="0"/>
    <m/>
    <s v="02392"/>
    <s v="03 de octubre de 2019"/>
    <n v="3"/>
    <x v="35"/>
    <s v="42.200,00"/>
    <e v="#NAME?"/>
  </r>
  <r>
    <n v="2393"/>
    <m/>
    <x v="0"/>
    <d v="2019-10-03T00:00:00"/>
    <n v="44000"/>
    <s v="Familia Ozar Rivero"/>
    <s v="vanessarivero81@hotmail.com"/>
    <s v="Calle Güigüe Nro. 88-06"/>
    <s v="Cancelación Vigilancia, meses de Septiembre y Octubre 2019"/>
    <x v="0"/>
    <m/>
    <s v="02393"/>
    <s v="03 de octubre de 2019"/>
    <n v="3"/>
    <x v="35"/>
    <s v="44.000,00"/>
    <e v="#NAME?"/>
  </r>
  <r>
    <n v="2394"/>
    <m/>
    <x v="0"/>
    <d v="2019-10-03T00:00:00"/>
    <n v="30000"/>
    <s v="Familia Ferrer Bahri"/>
    <s v="bahrimariela@hotmail.com"/>
    <s v="Calle Güigüe Nro. 89-83"/>
    <s v="Cancelación Vigilancia, mes de Octubre 2019"/>
    <x v="0"/>
    <m/>
    <s v="02394"/>
    <s v="03 de octubre de 2019"/>
    <n v="3"/>
    <x v="35"/>
    <s v="30.000,00"/>
    <e v="#NAME?"/>
  </r>
  <r>
    <n v="2395"/>
    <m/>
    <x v="0"/>
    <d v="2019-10-04T00:00:00"/>
    <n v="21100"/>
    <s v="Familia Triana González"/>
    <s v="En Físico"/>
    <s v="Calle Guacara Nro. 90-61"/>
    <s v="Cancelación Vigilancia, mes de Octubre 2019"/>
    <x v="0"/>
    <m/>
    <s v="02395"/>
    <s v="04 de octubre de 2019"/>
    <n v="4"/>
    <x v="35"/>
    <s v="21.100,00"/>
    <e v="#NAME?"/>
  </r>
  <r>
    <n v="2396"/>
    <m/>
    <x v="0"/>
    <d v="2019-10-04T00:00:00"/>
    <n v="21100"/>
    <s v="Familia Fermín Rivas"/>
    <s v="angelferminb@gmail.com"/>
    <s v="Calle Güigüe Nro. 89-55"/>
    <s v="Cancelación Vigilancia, mes de Octubre 2019"/>
    <x v="0"/>
    <m/>
    <s v="02396"/>
    <s v="04 de octubre de 2019"/>
    <n v="4"/>
    <x v="35"/>
    <s v="21.100,00"/>
    <e v="#NAME?"/>
  </r>
  <r>
    <n v="2397"/>
    <m/>
    <x v="0"/>
    <d v="2019-10-04T00:00:00"/>
    <n v="21100"/>
    <s v="Chin Chun Ya (Goya)"/>
    <s v="uc2721@gmail.com"/>
    <s v="Calle Guacara Nro. 87-86"/>
    <s v="Cancelación Vigilancia, mes de Octubre 2019"/>
    <x v="0"/>
    <m/>
    <s v="02397"/>
    <s v="04 de octubre de 2019"/>
    <n v="4"/>
    <x v="35"/>
    <s v="21.100,00"/>
    <e v="#NAME?"/>
  </r>
  <r>
    <n v="2398"/>
    <m/>
    <x v="0"/>
    <d v="2019-10-05T00:00:00"/>
    <n v="21100"/>
    <s v="Familia Colosso Delgado"/>
    <s v="mcolosso@gmail.com"/>
    <s v="Calle Güigüe Nro. 88-44"/>
    <s v="Cancelación Vigilancia, mes de Octubre 2019"/>
    <x v="0"/>
    <m/>
    <s v="02398"/>
    <s v="05 de octubre de 2019"/>
    <n v="5"/>
    <x v="35"/>
    <s v="21.100,00"/>
    <e v="#NAME?"/>
  </r>
  <r>
    <n v="2399"/>
    <m/>
    <x v="0"/>
    <d v="2019-10-04T00:00:00"/>
    <n v="21100"/>
    <s v="Familia Zavarce Pérez"/>
    <s v="En Físico"/>
    <s v="Calle Guacara Nro. 90-35"/>
    <s v="Cancelación Vigilancia, mes de Octubre 2019"/>
    <x v="0"/>
    <m/>
    <s v="02399"/>
    <s v="04 de octubre de 2019"/>
    <n v="4"/>
    <x v="35"/>
    <s v="21.100,00"/>
    <e v="#NAME?"/>
  </r>
  <r>
    <n v="2400"/>
    <m/>
    <x v="0"/>
    <d v="2019-10-07T00:00:00"/>
    <n v="20300"/>
    <s v="Beatriz Lara"/>
    <s v="arquitectoag@gmail.com"/>
    <s v="Calle Guacara Nro. 89-130"/>
    <s v="Cancelación Vigilancia, mes de Octubre 2019 (US$ 1,00)"/>
    <x v="0"/>
    <m/>
    <s v="02400"/>
    <s v="07 de octubre de 2019"/>
    <n v="7"/>
    <x v="35"/>
    <s v="20.300,00"/>
    <e v="#NAME?"/>
  </r>
  <r>
    <n v="2401"/>
    <m/>
    <x v="0"/>
    <d v="2019-10-09T00:00:00"/>
    <n v="29435"/>
    <s v="Colegio El Trigal"/>
    <s v="En Físico"/>
    <s v="Calle Güigüe Nros. 88-71 y 88-81"/>
    <s v="Cancelación Vigilancia, mes de Octubre 2019"/>
    <x v="0"/>
    <m/>
    <s v="02401"/>
    <s v="09 de octubre de 2019"/>
    <n v="9"/>
    <x v="35"/>
    <s v="29.435,00"/>
    <e v="#NAME?"/>
  </r>
  <r>
    <n v="2402"/>
    <m/>
    <x v="0"/>
    <d v="2019-10-09T00:00:00"/>
    <n v="20300"/>
    <s v="Familia Hurtado"/>
    <s v="hurtadomilena@gmail.com"/>
    <s v="Av. &quot;O&quot; Nro. 146-11"/>
    <s v="Cancelación Vigilancia, mes de Septiembre 2019. Transferencia Banesco nro. 11536535772"/>
    <x v="0"/>
    <m/>
    <s v="02402"/>
    <s v="09 de octubre de 2019"/>
    <n v="9"/>
    <x v="35"/>
    <s v="20.300,00"/>
    <e v="#NAME?"/>
  </r>
  <r>
    <n v="2403"/>
    <m/>
    <x v="0"/>
    <d v="2019-10-10T00:00:00"/>
    <n v="20300"/>
    <s v="Familia Castro Jiménez"/>
    <s v="aurycastrojimenez@gmail.com"/>
    <s v="Calle Guacara Nro. 90-51"/>
    <s v="Cancelación Vigilancia, mes de Octubre 2019"/>
    <x v="0"/>
    <m/>
    <s v="02403"/>
    <s v="10 de octubre de 2019"/>
    <n v="10"/>
    <x v="35"/>
    <s v="20.300,00"/>
    <e v="#NAME?"/>
  </r>
  <r>
    <n v="2404"/>
    <m/>
    <x v="0"/>
    <d v="2019-10-10T00:00:00"/>
    <n v="24700"/>
    <s v="Familia Castro Jiménez"/>
    <s v="aurycastrojimenez@gmail.com"/>
    <s v="Calle Guacara Nro. 90-51"/>
    <s v="Colaboración para comida de vigilantes"/>
    <x v="9"/>
    <m/>
    <s v="02404"/>
    <s v="10 de octubre de 2019"/>
    <n v="10"/>
    <x v="35"/>
    <s v="24.700,00"/>
    <e v="#NAME?"/>
  </r>
  <r>
    <n v="2405"/>
    <m/>
    <x v="0"/>
    <d v="2019-10-10T00:00:00"/>
    <n v="23300"/>
    <s v="Dra. Lilia Magallanes"/>
    <s v="liliamagallanes2010@gmail.com"/>
    <s v="Calle Güigüe Nro. 88-51"/>
    <s v="Cancelación Vigilancia, mes de Octubre 2019"/>
    <x v="0"/>
    <m/>
    <s v="02405"/>
    <s v="10 de octubre de 2019"/>
    <n v="10"/>
    <x v="35"/>
    <s v="23.300,00"/>
    <e v="#NAME?"/>
  </r>
  <r>
    <n v="2406"/>
    <m/>
    <x v="0"/>
    <d v="2019-10-11T00:00:00"/>
    <n v="20000"/>
    <s v="Sra. Reina Meléndez"/>
    <s v="olgajipe@gmail.com"/>
    <s v="Av. &quot;M&quot; Nro. 145-10"/>
    <s v="Cancelación Vigilancia, mes de Octubre 2019"/>
    <x v="0"/>
    <m/>
    <s v="02406"/>
    <s v="11 de octubre de 2019"/>
    <n v="11"/>
    <x v="35"/>
    <s v="20.000,00"/>
    <e v="#NAME?"/>
  </r>
  <r>
    <n v="2407"/>
    <m/>
    <x v="0"/>
    <d v="2019-10-11T00:00:00"/>
    <n v="15000"/>
    <s v="Familia Méndez Parra"/>
    <s v="briceidademendez@gmail.com"/>
    <s v="Calle Guacara Nro. 88-19"/>
    <s v="Colaboración Vigilancia, mes de Octubre 2019"/>
    <x v="0"/>
    <m/>
    <s v="02407"/>
    <s v="11 de octubre de 2019"/>
    <n v="11"/>
    <x v="35"/>
    <s v="15.000,00"/>
    <e v="#NAME?"/>
  </r>
  <r>
    <n v="2408"/>
    <m/>
    <x v="0"/>
    <d v="2019-10-11T00:00:00"/>
    <n v="11000"/>
    <s v="Zoraida Khair"/>
    <s v="zorakhair@hotmail.com | lbracamonte@netuno.net"/>
    <s v="Calle Güigüe Nro. 88-80"/>
    <s v="Cancelación Vigilancia, saldo mes de Octubre 2019"/>
    <x v="0"/>
    <m/>
    <s v="02408"/>
    <s v="11 de octubre de 2019"/>
    <n v="11"/>
    <x v="35"/>
    <s v="11.000,00"/>
    <e v="#NAME?"/>
  </r>
  <r>
    <n v="2409"/>
    <m/>
    <x v="0"/>
    <d v="2019-10-12T00:00:00"/>
    <n v="90000"/>
    <s v="Familia Zhen"/>
    <s v="En Físico"/>
    <s v="Calle Guacara Nro. 88-55"/>
    <s v="Cancelación Vigilancia, meses de Mayo, Junio, Julio, Agosto y Septiembre, y anticipo mes de Octubre 2019"/>
    <x v="0"/>
    <m/>
    <s v="02409"/>
    <s v="12 de octubre de 2019"/>
    <n v="12"/>
    <x v="35"/>
    <s v="90.000,00"/>
    <e v="#NAME?"/>
  </r>
  <r>
    <n v="2410"/>
    <m/>
    <x v="0"/>
    <d v="2019-10-13T00:00:00"/>
    <n v="20000"/>
    <s v="Familia Milanés Carmona"/>
    <s v="yndira11m@gmail.com"/>
    <s v="Calle Güigüe Nro. 89-65"/>
    <s v="Cancelación Vigilancia, mes de Octubre 2019"/>
    <x v="0"/>
    <m/>
    <s v="02410"/>
    <s v="13 de octubre de 2019"/>
    <n v="13"/>
    <x v="35"/>
    <s v="20.000,00"/>
    <e v="#NAME?"/>
  </r>
  <r>
    <n v="2411"/>
    <m/>
    <x v="0"/>
    <d v="2019-10-14T00:00:00"/>
    <n v="25000"/>
    <s v="Familia Durvelle Serrano"/>
    <s v="sdurvelle@hotmail.com"/>
    <s v="Calle Guacara Nro. 89-60"/>
    <s v="Cancelación Vigilancia, mes de Octubre 2019"/>
    <x v="0"/>
    <m/>
    <s v="02411"/>
    <s v="14 de octubre de 2019"/>
    <n v="14"/>
    <x v="35"/>
    <s v="25.000,00"/>
    <e v="#NAME?"/>
  </r>
  <r>
    <n v="2412"/>
    <m/>
    <x v="0"/>
    <d v="2019-10-14T00:00:00"/>
    <n v="19800"/>
    <s v="Familia Rodríguez Girón"/>
    <s v="daniellegt4@gmail.com"/>
    <s v="Calle Güigüe Nro. 89-22"/>
    <s v="Cancelación Vigilancia, mes de Octubre 2019"/>
    <x v="0"/>
    <m/>
    <s v="02412"/>
    <s v="14 de octubre de 2019"/>
    <n v="14"/>
    <x v="35"/>
    <s v="19.800,00"/>
    <e v="#NAME?"/>
  </r>
  <r>
    <n v="2413"/>
    <m/>
    <x v="0"/>
    <d v="2019-10-14T00:00:00"/>
    <n v="19800"/>
    <s v="Andrea Valor"/>
    <s v="aavp992@gmail.com"/>
    <s v="Calle Guacara Nro. 88-75"/>
    <s v="Cancelación Vigilancia, mes de Octubre 2019"/>
    <x v="0"/>
    <m/>
    <s v="02413"/>
    <s v="14 de octubre de 2019"/>
    <n v="14"/>
    <x v="35"/>
    <s v="19.800,00"/>
    <e v="#NAME?"/>
  </r>
  <r>
    <n v="2414"/>
    <m/>
    <x v="0"/>
    <d v="2019-10-14T00:00:00"/>
    <n v="19800"/>
    <s v="Familia Montilla García"/>
    <s v="dairy252525@hotmail.com"/>
    <s v="Calle Güigüe Nro. 89-90"/>
    <s v="Cancelación Vigilancia, mes de Octubre 2019"/>
    <x v="0"/>
    <m/>
    <s v="02414"/>
    <s v="14 de octubre de 2019"/>
    <n v="14"/>
    <x v="35"/>
    <s v="19.800,00"/>
    <e v="#NAME?"/>
  </r>
  <r>
    <n v="2415"/>
    <m/>
    <x v="0"/>
    <d v="2019-10-14T00:00:00"/>
    <n v="19800"/>
    <s v="Familia Barreto Pérez"/>
    <s v="bbetsa19@hotmail.com"/>
    <s v="Av. &quot;M&quot; Nro. 146-15"/>
    <s v="Cancelación Vigilancia, mes de Octubre 2019"/>
    <x v="0"/>
    <m/>
    <s v="02415"/>
    <s v="14 de octubre de 2019"/>
    <n v="14"/>
    <x v="35"/>
    <s v="19.800,00"/>
    <e v="#NAME?"/>
  </r>
  <r>
    <n v="2416"/>
    <m/>
    <x v="0"/>
    <d v="2019-10-14T00:00:00"/>
    <n v="20000"/>
    <s v="Familia Kablan Sarmiento"/>
    <s v="norisjsb56@hotmail.com"/>
    <s v="Calle Güigüe Nro. 89-80"/>
    <s v="Cancelación Vigilancia, mes de Octubre 2019"/>
    <x v="0"/>
    <m/>
    <s v="02416"/>
    <s v="14 de octubre de 2019"/>
    <n v="14"/>
    <x v="35"/>
    <s v="20.000,00"/>
    <e v="#NAME?"/>
  </r>
  <r>
    <n v="2417"/>
    <m/>
    <x v="1"/>
    <d v="2019-10-14T00:00:00"/>
    <n v="25000"/>
    <s v="Familia Lomeña Agudo"/>
    <s v="claudialomena@hotmail.com"/>
    <s v="Calle Guacara Nro. 89-30"/>
    <s v="REVERTIDO: Cancelación Vigilancia, mes de Octubre 2019"/>
    <x v="12"/>
    <m/>
    <s v="02417"/>
    <s v="14 de octubre de 2019"/>
    <n v="14"/>
    <x v="35"/>
    <s v="25.000,00"/>
    <e v="#NAME?"/>
  </r>
  <r>
    <n v="2418"/>
    <m/>
    <x v="0"/>
    <d v="2019-10-15T00:00:00"/>
    <n v="40000"/>
    <s v="Familia Puerta Burguillos"/>
    <s v="namaricakes@gmail.com"/>
    <s v="Calle Guacara Nro. 87-100"/>
    <s v="Cancelación Vigilancia, mes de Octubre 2019"/>
    <x v="0"/>
    <m/>
    <s v="02418"/>
    <s v="15 de octubre de 2019"/>
    <n v="15"/>
    <x v="35"/>
    <s v="40.000,00"/>
    <e v="#NAME?"/>
  </r>
  <r>
    <n v="2419"/>
    <m/>
    <x v="0"/>
    <d v="2019-10-16T00:00:00"/>
    <n v="19800"/>
    <s v="Familia Machado Stoppa"/>
    <s v="machadoru@hotmail.com | marisa2710chardan@gmail.com"/>
    <s v="Calle Guacara Nro. 88-85"/>
    <s v="Cancelación Vigilancia, mes de Octubre 2019"/>
    <x v="0"/>
    <m/>
    <s v="02419"/>
    <s v="16 de octubre de 2019"/>
    <n v="16"/>
    <x v="35"/>
    <s v="19.800,00"/>
    <e v="#NAME?"/>
  </r>
  <r>
    <n v="2420"/>
    <m/>
    <x v="0"/>
    <d v="2019-10-16T00:00:00"/>
    <n v="19800"/>
    <s v="Familia Delgado Hidalgo"/>
    <s v="ardh@hotmail.com"/>
    <s v="Calle Güigüe Nro. 88-10"/>
    <s v="Cancelación Vigilancia, mes de Octubre 2019"/>
    <x v="0"/>
    <m/>
    <s v="02420"/>
    <s v="16 de octubre de 2019"/>
    <n v="16"/>
    <x v="35"/>
    <s v="19.800,00"/>
    <e v="#NAME?"/>
  </r>
  <r>
    <n v="2421"/>
    <m/>
    <x v="0"/>
    <d v="2019-10-16T00:00:00"/>
    <n v="19800"/>
    <s v="Familia Matta Palomino"/>
    <s v="En Físico"/>
    <s v="Calle Güigüe Nro. 88-90"/>
    <s v="Cancelación Vigilancia, mes de Octubre 2019"/>
    <x v="0"/>
    <m/>
    <s v="02421"/>
    <s v="16 de octubre de 2019"/>
    <n v="16"/>
    <x v="35"/>
    <s v="19.800,00"/>
    <e v="#NAME?"/>
  </r>
  <r>
    <n v="2422"/>
    <m/>
    <x v="0"/>
    <d v="2019-10-17T00:00:00"/>
    <n v="19800"/>
    <s v="Familia Gascón Domínguez"/>
    <s v="vrgascon@gmail.com"/>
    <s v="Calle Güigüe Nro. 88-70"/>
    <s v="Cancelación Vigilancia, mes de Octubre 2019"/>
    <x v="0"/>
    <m/>
    <s v="02422"/>
    <s v="17 de octubre de 2019"/>
    <n v="17"/>
    <x v="35"/>
    <s v="19.800,00"/>
    <e v="#NAME?"/>
  </r>
  <r>
    <n v="2423"/>
    <m/>
    <x v="0"/>
    <d v="2019-10-17T00:00:00"/>
    <n v="25000"/>
    <s v="Familia Lomeña Agudo"/>
    <s v="claudialomena@hotmail.com"/>
    <s v="Calle Guacara Nro. 89-30"/>
    <s v="Cancelación Vigilancia, anticipo mes de Octubre 2019"/>
    <x v="0"/>
    <m/>
    <s v="02423"/>
    <s v="17 de octubre de 2019"/>
    <n v="17"/>
    <x v="35"/>
    <s v="25.000,00"/>
    <e v="#NAME?"/>
  </r>
  <r>
    <n v="2424"/>
    <m/>
    <x v="0"/>
    <d v="2019-10-17T00:00:00"/>
    <n v="19800"/>
    <s v="Familia Ochoa Mendoza"/>
    <s v="marisoljudithm@hotmail.com"/>
    <s v="Calle Guacara Nro. 89-130"/>
    <s v="Cancelación Vigilancia, mes de Octubre 2019"/>
    <x v="0"/>
    <m/>
    <s v="02424"/>
    <s v="17 de octubre de 2019"/>
    <n v="17"/>
    <x v="35"/>
    <s v="19.800,00"/>
    <e v="#NAME?"/>
  </r>
  <r>
    <n v="2425"/>
    <m/>
    <x v="0"/>
    <d v="2019-10-17T00:00:00"/>
    <n v="19800"/>
    <s v="Familia Hatem Medina"/>
    <s v="hhatem1@hotmail.com"/>
    <s v="Calle Guacara Nro. 88-51"/>
    <s v="Cancelación Vigilancia, mes de Octubre 2019"/>
    <x v="0"/>
    <m/>
    <s v="02425"/>
    <s v="17 de octubre de 2019"/>
    <n v="17"/>
    <x v="35"/>
    <s v="19.800,00"/>
    <e v="#NAME?"/>
  </r>
  <r>
    <n v="2426"/>
    <m/>
    <x v="0"/>
    <d v="2019-10-19T00:00:00"/>
    <n v="20000"/>
    <s v="Familia Jiménez Navarro"/>
    <s v="joyasonline2012@gmail.com"/>
    <s v="Calle Güigüe Nro. 88-50"/>
    <s v="Cancelación Vigilancia, anticipo mes de Octubre 2019"/>
    <x v="0"/>
    <m/>
    <s v="02426"/>
    <s v="19 de octubre de 2019"/>
    <n v="19"/>
    <x v="35"/>
    <s v="20.000,00"/>
    <e v="#NAME?"/>
  </r>
  <r>
    <n v="2427"/>
    <m/>
    <x v="0"/>
    <d v="2019-10-20T00:00:00"/>
    <n v="30000"/>
    <s v="Familia Milanés Carmona"/>
    <s v="yndira11m@gmail.com"/>
    <s v="Calle Güigüe Nro. 89-65"/>
    <s v="Cancelación Vigilancia, mes de Octubre 2019"/>
    <x v="0"/>
    <m/>
    <s v="02427"/>
    <s v="20 de octubre de 2019"/>
    <n v="20"/>
    <x v="35"/>
    <s v="30.000,00"/>
    <e v="#NAME?"/>
  </r>
  <r>
    <n v="2428"/>
    <m/>
    <x v="0"/>
    <d v="2019-10-20T00:00:00"/>
    <n v="27200"/>
    <s v="Familia Ochoa Mendoza"/>
    <s v="marisoljudithm@hotmail.com"/>
    <s v="Calle Guacara Nro. 89-130"/>
    <s v="Cancelación Vigilancia, mes de Octubre 2019"/>
    <x v="0"/>
    <m/>
    <s v="02428"/>
    <s v="20 de octubre de 2019"/>
    <n v="20"/>
    <x v="35"/>
    <s v="27.200,00"/>
    <e v="#NAME?"/>
  </r>
  <r>
    <n v="2429"/>
    <m/>
    <x v="0"/>
    <d v="2019-10-20T00:00:00"/>
    <n v="27200"/>
    <s v="Familia Hatem Medina"/>
    <s v="hhatem1@hotmail.com"/>
    <s v="Calle Guacara Nro. 88-51"/>
    <s v="Cancelación Vigilancia, mes de Octubre 2019"/>
    <x v="0"/>
    <m/>
    <s v="02429"/>
    <s v="20 de octubre de 2019"/>
    <n v="20"/>
    <x v="35"/>
    <s v="27.200,00"/>
    <e v="#NAME?"/>
  </r>
  <r>
    <n v="2430"/>
    <m/>
    <x v="0"/>
    <d v="2019-10-20T00:00:00"/>
    <n v="28200"/>
    <s v="Familia Arcia Polanco"/>
    <s v="misipo29@gmail.com"/>
    <s v="Calle Guacara Nro. 89-20"/>
    <s v="Cancelación Vigilancia, saldo mes de Octubre 2019"/>
    <x v="0"/>
    <m/>
    <s v="02430"/>
    <s v="20 de octubre de 2019"/>
    <n v="20"/>
    <x v="35"/>
    <s v="28.200,00"/>
    <e v="#NAME?"/>
  </r>
  <r>
    <n v="2431"/>
    <m/>
    <x v="0"/>
    <d v="2019-10-20T00:00:00"/>
    <n v="25900"/>
    <s v="Ely Saúl Rivero Gómez"/>
    <s v="hhs.admon@gmail.com"/>
    <s v="Av. &quot;Ñ&quot; Nro. 145-25"/>
    <s v="Cancelación Vigilancia, saldo mes de Octubre 2019 (saldo a favor: Bs. 16.952,00)"/>
    <x v="0"/>
    <m/>
    <s v="02431"/>
    <s v="20 de octubre de 2019"/>
    <n v="20"/>
    <x v="35"/>
    <s v="25.900,00"/>
    <e v="#NAME?"/>
  </r>
  <r>
    <n v="2432"/>
    <m/>
    <x v="0"/>
    <d v="2019-10-20T00:00:00"/>
    <n v="27000"/>
    <s v="Familia Jiménez Navarro"/>
    <s v="joyasonline2012@gmail.com"/>
    <s v="Calle Güigüe Nro. 88-50"/>
    <s v="Cancelación Vigilancia, saldo mes de Octubre 2019"/>
    <x v="0"/>
    <m/>
    <s v="02432"/>
    <s v="20 de octubre de 2019"/>
    <n v="20"/>
    <x v="35"/>
    <s v="27.000,00"/>
    <e v="#NAME?"/>
  </r>
  <r>
    <n v="2433"/>
    <m/>
    <x v="0"/>
    <d v="2019-10-21T00:00:00"/>
    <n v="47000"/>
    <s v="Familia López Hermoso"/>
    <s v="lopez.humberto14@yahoo.com.ve"/>
    <s v="Calle Güigüe Nro. 89-79"/>
    <s v="Cancelación Vigilancia, mes de Octubre 2019 (saldo a favor: Bs. 200,00)"/>
    <x v="0"/>
    <m/>
    <s v="02433"/>
    <s v="21 de octubre de 2019"/>
    <n v="21"/>
    <x v="35"/>
    <s v="47.000,00"/>
    <e v="#NAME?"/>
  </r>
  <r>
    <n v="2434"/>
    <m/>
    <x v="0"/>
    <d v="2019-10-21T00:00:00"/>
    <n v="7000"/>
    <s v="Familia Puerta Burguillos"/>
    <s v="namaricakes@gmail.com"/>
    <s v="Calle Guacara Nro. 87-100"/>
    <s v="Cancelación Vigilancia, saldo mes de Octubre 2019"/>
    <x v="0"/>
    <m/>
    <s v="02434"/>
    <s v="21 de octubre de 2019"/>
    <n v="21"/>
    <x v="35"/>
    <s v="7.000,00"/>
    <e v="#NAME?"/>
  </r>
  <r>
    <n v="2435"/>
    <m/>
    <x v="0"/>
    <d v="2019-10-21T00:00:00"/>
    <n v="23000"/>
    <s v="Familia Lomeña Agudo"/>
    <s v="claudialomena@hotmail.com"/>
    <s v="Calle Guacara Nro. 89-30"/>
    <s v="Cancelación Vigilancia, saldo mes de Octubre 2019"/>
    <x v="0"/>
    <m/>
    <s v="02435"/>
    <s v="21 de octubre de 2019"/>
    <n v="21"/>
    <x v="35"/>
    <s v="23.000,00"/>
    <e v="#NAME?"/>
  </r>
  <r>
    <n v="2436"/>
    <m/>
    <x v="0"/>
    <d v="2019-10-21T00:00:00"/>
    <n v="28800"/>
    <s v="Familia Rodríguez Girón"/>
    <s v="daniellegt4@gmail.com"/>
    <s v="Calle Güigüe Nro. 89-22"/>
    <s v="Cancelación Vigilancia, saldo mes de Octubre 2019"/>
    <x v="0"/>
    <m/>
    <s v="02436"/>
    <s v="21 de octubre de 2019"/>
    <n v="21"/>
    <x v="35"/>
    <s v="28.800,00"/>
    <e v="#NAME?"/>
  </r>
  <r>
    <n v="2437"/>
    <m/>
    <x v="0"/>
    <d v="2019-10-21T00:00:00"/>
    <n v="25900"/>
    <s v="Familia Fermín Rivas"/>
    <s v="angelferminb@gmail.com"/>
    <s v="Calle Güigüe Nro. 89-55"/>
    <s v="Cancelación Vigilancia, saldo mes de Octubre 2019"/>
    <x v="0"/>
    <m/>
    <s v="02437"/>
    <s v="21 de octubre de 2019"/>
    <n v="21"/>
    <x v="35"/>
    <s v="25.900,00"/>
    <e v="#NAME?"/>
  </r>
  <r>
    <n v="2438"/>
    <m/>
    <x v="0"/>
    <d v="2019-10-21T00:00:00"/>
    <n v="25900"/>
    <s v="Familia Colosso Delgado"/>
    <s v="mcolosso@gmail.com"/>
    <s v="Calle Güigüe Nro. 88-44"/>
    <s v="Cancelación Vigilancia, saldo mes de Octubre 2019"/>
    <x v="0"/>
    <m/>
    <s v="02438"/>
    <s v="21 de octubre de 2019"/>
    <n v="21"/>
    <x v="35"/>
    <s v="25.900,00"/>
    <e v="#NAME?"/>
  </r>
  <r>
    <n v="2439"/>
    <m/>
    <x v="0"/>
    <d v="2019-10-21T00:00:00"/>
    <n v="28200"/>
    <s v="Familia Nava Gordon"/>
    <s v="maru_19_66@hotmail.com"/>
    <s v="Calle Guacara Nro. 89-78"/>
    <s v="Cancelación Vigilancia, saldo mes de Octubre y anticipo mes de Noviembre 2019"/>
    <x v="0"/>
    <m/>
    <s v="02439"/>
    <s v="21 de octubre de 2019"/>
    <n v="21"/>
    <x v="35"/>
    <s v="28.200,00"/>
    <e v="#NAME?"/>
  </r>
  <r>
    <n v="2440"/>
    <m/>
    <x v="0"/>
    <d v="2019-10-21T00:00:00"/>
    <n v="27000"/>
    <s v="Familia Triana González"/>
    <s v="En Físico"/>
    <s v="Calle Guacara Nro. 90-61"/>
    <s v="Cancelación Vigilancia, saldo mes de Octubre 2019"/>
    <x v="0"/>
    <m/>
    <s v="02440"/>
    <s v="21 de octubre de 2019"/>
    <n v="21"/>
    <x v="35"/>
    <s v="27.000,00"/>
    <e v="#NAME?"/>
  </r>
  <r>
    <n v="2441"/>
    <m/>
    <x v="0"/>
    <d v="2019-10-21T00:00:00"/>
    <n v="29800"/>
    <s v="Familia Astor Zamora"/>
    <s v="imzastor@gmail.com"/>
    <s v="Calle Güigüe Nro. 88-111"/>
    <s v="Cancelación Vigilancia, meses de Agosto y Septiembre 2019"/>
    <x v="0"/>
    <m/>
    <s v="02441"/>
    <s v="21 de octubre de 2019"/>
    <n v="21"/>
    <x v="35"/>
    <s v="29.800,00"/>
    <e v="#NAME?"/>
  </r>
  <r>
    <n v="2442"/>
    <m/>
    <x v="0"/>
    <d v="2019-10-21T00:00:00"/>
    <n v="26700"/>
    <s v="Beatriz Lara"/>
    <s v="arquitectoag@gmail.com"/>
    <s v="Calle Guacara Nro. 89-130"/>
    <s v="Cancelación Vigilancia, saldo mes de Octubre 2019 (US$ 1,50)"/>
    <x v="0"/>
    <m/>
    <s v="02442"/>
    <s v="21 de octubre de 2019"/>
    <n v="21"/>
    <x v="35"/>
    <s v="26.700,00"/>
    <e v="#NAME?"/>
  </r>
  <r>
    <n v="2443"/>
    <m/>
    <x v="0"/>
    <d v="2019-10-21T00:00:00"/>
    <n v="25900"/>
    <s v="Familia Wu Acevedo"/>
    <s v="rudyacevedo90@gmail.com"/>
    <s v="Calle Guacara Nro. 88-A-10"/>
    <s v="Cancelación Vigilancia, saldo mes de Octubre 2019 (saldo a favor: Bs. 197.405,80)"/>
    <x v="0"/>
    <m/>
    <s v="02443"/>
    <s v="21 de octubre de 2019"/>
    <n v="21"/>
    <x v="35"/>
    <s v="25.900,00"/>
    <e v="#NAME?"/>
  </r>
  <r>
    <n v="2444"/>
    <m/>
    <x v="0"/>
    <d v="2019-10-22T00:00:00"/>
    <n v="28065"/>
    <s v="Familia Castro Jiménez"/>
    <s v="aurycastrojimenez@gmail.com"/>
    <s v="Calle Guacara Nro. 90-51"/>
    <s v="Cancelación Vigilancia, saldo mes de Octubre 2019"/>
    <x v="0"/>
    <m/>
    <s v="02444"/>
    <s v="22 de octubre de 2019"/>
    <n v="22"/>
    <x v="35"/>
    <s v="28.065,00"/>
    <e v="#NAME?"/>
  </r>
  <r>
    <n v="2445"/>
    <m/>
    <x v="0"/>
    <d v="2019-10-22T00:00:00"/>
    <n v="30000"/>
    <s v="Chin Chun Ya (Goya)"/>
    <s v="uc2721@gmail.com"/>
    <s v="Calle Guacara Nro. 87-86"/>
    <s v="Cancelación Vigilancia, saldo mes de Octubre 2019"/>
    <x v="0"/>
    <m/>
    <s v="02445"/>
    <s v="22 de octubre de 2019"/>
    <n v="22"/>
    <x v="35"/>
    <s v="30.000,00"/>
    <e v="#NAME?"/>
  </r>
  <r>
    <n v="2446"/>
    <m/>
    <x v="0"/>
    <d v="2019-10-22T00:00:00"/>
    <n v="47000"/>
    <s v="Familia Manrique Riera"/>
    <s v="patriciamanrique@gmail.com"/>
    <s v="Calle Guacara Nro. 89-40"/>
    <s v="Cancelación Vigilancia, mes de Octubre 2019"/>
    <x v="0"/>
    <m/>
    <s v="02446"/>
    <s v="22 de octubre de 2019"/>
    <n v="22"/>
    <x v="35"/>
    <s v="47.000,00"/>
    <e v="#NAME?"/>
  </r>
  <r>
    <n v="2447"/>
    <m/>
    <x v="0"/>
    <d v="2019-10-22T00:00:00"/>
    <n v="25900"/>
    <s v="Carmen Moreno"/>
    <s v="carmenemoreno10@gmail.com"/>
    <s v="Calle Güigüe Nro. 89-04"/>
    <s v="Cancelación Vigilancia, saldo mes de Octubre 2019"/>
    <x v="0"/>
    <m/>
    <s v="02447"/>
    <s v="22 de octubre de 2019"/>
    <n v="22"/>
    <x v="35"/>
    <s v="25.900,00"/>
    <e v="#NAME?"/>
  </r>
  <r>
    <n v="2448"/>
    <m/>
    <x v="0"/>
    <d v="2019-10-22T00:00:00"/>
    <n v="25900"/>
    <s v="Familia González Arévalo"/>
    <s v="feryenis@hotmail.com"/>
    <s v="Calle Guacara Nro. 89-86"/>
    <s v="Cancelación Vigilancia, saldo mes de Octubre 2019"/>
    <x v="0"/>
    <m/>
    <s v="02448"/>
    <s v="22 de octubre de 2019"/>
    <n v="22"/>
    <x v="35"/>
    <s v="25.900,00"/>
    <e v="#NAME?"/>
  </r>
  <r>
    <n v="2449"/>
    <m/>
    <x v="0"/>
    <d v="2019-10-23T00:00:00"/>
    <n v="47000"/>
    <s v="Familia Chan García"/>
    <s v="chanalberto10@hotmail.com | endrinagarciah@gmail.com"/>
    <s v="Calle Güigüe Nro. 89-106"/>
    <s v="Cancelación Vigilancia, mes de Octubre 2019"/>
    <x v="0"/>
    <m/>
    <s v="02449"/>
    <s v="23 de octubre de 2019"/>
    <n v="23"/>
    <x v="35"/>
    <s v="47.000,00"/>
    <e v="#NAME?"/>
  </r>
  <r>
    <n v="2450"/>
    <m/>
    <x v="0"/>
    <d v="2019-10-23T00:00:00"/>
    <n v="27200"/>
    <s v="Familia Barreto Pérez"/>
    <s v="bbetsa19@hotmail.com"/>
    <s v="Av. &quot;M&quot; Nro. 146-15"/>
    <s v="Cancelación Vigilancia, saldo mes de Octubre 2019"/>
    <x v="0"/>
    <m/>
    <s v="02450"/>
    <s v="23 de octubre de 2019"/>
    <n v="23"/>
    <x v="35"/>
    <s v="27.200,00"/>
    <e v="#NAME?"/>
  </r>
  <r>
    <n v="2451"/>
    <m/>
    <x v="0"/>
    <d v="2019-10-23T00:00:00"/>
    <n v="47000"/>
    <s v="Familia Díaz González"/>
    <s v="luisrdt57@gmail.com"/>
    <s v="Calle Güigüe Nro. 88-116"/>
    <s v="Cancelación Vigilancia, mes de Octubre 2019"/>
    <x v="0"/>
    <m/>
    <s v="02451"/>
    <s v="23 de octubre de 2019"/>
    <n v="23"/>
    <x v="35"/>
    <s v="47.000,00"/>
    <e v="#NAME?"/>
  </r>
  <r>
    <n v="2452"/>
    <m/>
    <x v="0"/>
    <d v="2019-10-23T00:00:00"/>
    <n v="47000"/>
    <s v="Familia Loponte Arteaga"/>
    <s v="En Físico"/>
    <s v="Calle Güigüe Nro. 88-120"/>
    <s v="Cancelación Vigilancia, mes de Octubre 2019"/>
    <x v="0"/>
    <m/>
    <s v="02452"/>
    <s v="23 de octubre de 2019"/>
    <n v="23"/>
    <x v="35"/>
    <s v="47.000,00"/>
    <e v="#NAME?"/>
  </r>
  <r>
    <n v="2453"/>
    <m/>
    <x v="0"/>
    <d v="2019-10-24T00:00:00"/>
    <n v="17000"/>
    <s v="Familia Ferrer Bahri"/>
    <s v="bahrimariela@hotmail.com"/>
    <s v="Calle Güigüe Nro. 89-83"/>
    <s v="Cancelación Vigilancia, saldo mes de Octubre 2019"/>
    <x v="0"/>
    <m/>
    <s v="02453"/>
    <s v="24 de octubre de 2019"/>
    <n v="24"/>
    <x v="35"/>
    <s v="17.000,00"/>
    <e v="#NAME?"/>
  </r>
  <r>
    <n v="2454"/>
    <m/>
    <x v="0"/>
    <d v="2019-10-24T00:00:00"/>
    <n v="27000"/>
    <s v="Sra. Reina Meléndez"/>
    <s v="olgajipe@gmail.com"/>
    <s v="Av. &quot;M&quot; Nro. 145-10"/>
    <s v="Cancelación Vigilancia, saldo mes de Octubre 2019"/>
    <x v="0"/>
    <m/>
    <s v="02454"/>
    <s v="24 de octubre de 2019"/>
    <n v="24"/>
    <x v="35"/>
    <s v="27.000,00"/>
    <e v="#NAME?"/>
  </r>
  <r>
    <n v="2455"/>
    <m/>
    <x v="0"/>
    <d v="2019-10-24T00:00:00"/>
    <n v="48000"/>
    <s v="Familia Kattar González"/>
    <s v="jagiak123@yahoo.es"/>
    <s v="Calle Güigüe Nro. 89-95"/>
    <s v="Cancelación Vigilancia, mes de Octubre 2019"/>
    <x v="0"/>
    <m/>
    <s v="02455"/>
    <s v="24 de octubre de 2019"/>
    <n v="24"/>
    <x v="35"/>
    <s v="48.000,00"/>
    <e v="#NAME?"/>
  </r>
  <r>
    <n v="2456"/>
    <m/>
    <x v="0"/>
    <d v="2019-10-24T00:00:00"/>
    <n v="25900"/>
    <s v="Familia Soto Urdaneta"/>
    <s v="esotom61@gmail.com"/>
    <s v="Calle Guacara Nro. 89-102"/>
    <s v="Cancelación Vigilancia, saldo mes de Octubre 2019"/>
    <x v="0"/>
    <m/>
    <s v="02456"/>
    <s v="24 de octubre de 2019"/>
    <n v="24"/>
    <x v="35"/>
    <s v="25.900,00"/>
    <e v="#NAME?"/>
  </r>
  <r>
    <n v="2457"/>
    <m/>
    <x v="0"/>
    <d v="2019-10-25T00:00:00"/>
    <n v="27200"/>
    <s v="Familia Machado Stoppa"/>
    <s v="machadoru@hotmail.com | marisa2710chardan@gmail.com"/>
    <s v="Calle Guacara Nro. 88-85"/>
    <s v="Cancelación Vigilancia, saldo mes de Octubre 2019"/>
    <x v="0"/>
    <m/>
    <s v="02457"/>
    <s v="25 de octubre de 2019"/>
    <n v="25"/>
    <x v="35"/>
    <s v="27.200,00"/>
    <e v="#NAME?"/>
  </r>
  <r>
    <n v="2458"/>
    <m/>
    <x v="0"/>
    <d v="2019-10-25T00:00:00"/>
    <n v="47000"/>
    <s v="Gloria Molina"/>
    <s v="glomola2@yahoo.es"/>
    <s v="Calle Güigüe Nro. 89-71"/>
    <s v="Cancelación Vigilancia, mes de Octubre 2019"/>
    <x v="0"/>
    <m/>
    <s v="02458"/>
    <s v="25 de octubre de 2019"/>
    <n v="25"/>
    <x v="35"/>
    <s v="47.000,00"/>
    <e v="#NAME?"/>
  </r>
  <r>
    <n v="2459"/>
    <m/>
    <x v="0"/>
    <d v="2019-10-25T00:00:00"/>
    <n v="47000"/>
    <s v="Amparo Acosta"/>
    <s v="amparonatividad@hotmail.com"/>
    <s v="Calle Guacara Nro. 88-65"/>
    <s v="Cancelación Vigilancia, mes de Octubre 2019"/>
    <x v="0"/>
    <m/>
    <s v="02459"/>
    <s v="25 de octubre de 2019"/>
    <n v="25"/>
    <x v="35"/>
    <s v="47.000,00"/>
    <e v="#NAME?"/>
  </r>
  <r>
    <n v="2460"/>
    <m/>
    <x v="0"/>
    <d v="2019-10-26T00:00:00"/>
    <n v="20000"/>
    <s v="Familia Chávez Hernández"/>
    <s v="mercedesch23@hotmail.com"/>
    <s v="Calle Güigüe Nro. 88-20"/>
    <s v="Colaboración Vigilancia, meses de Septiembre y Octubre 2019"/>
    <x v="0"/>
    <m/>
    <s v="02460"/>
    <s v="26 de octubre de 2019"/>
    <n v="26"/>
    <x v="35"/>
    <s v="20.000,00"/>
    <e v="#NAME?"/>
  </r>
  <r>
    <n v="2461"/>
    <m/>
    <x v="0"/>
    <d v="2019-10-27T00:00:00"/>
    <n v="69000"/>
    <s v="Familia Durvelle Serrano"/>
    <s v="sdurvelle@hotmail.com"/>
    <s v="Calle Guacara Nro. 89-60"/>
    <s v="Cancelación Vigilancia, saldo mes de Octubre y anticipó mes de Noviembre 2019"/>
    <x v="0"/>
    <m/>
    <s v="02461"/>
    <s v="27 de octubre de 2019"/>
    <n v="27"/>
    <x v="35"/>
    <s v="69.000,00"/>
    <e v="#NAME?"/>
  </r>
  <r>
    <n v="2462"/>
    <m/>
    <x v="0"/>
    <d v="2019-10-27T00:00:00"/>
    <n v="42500"/>
    <s v="Familia Romero"/>
    <s v="almacenajeiri@gmail.com"/>
    <s v="Calle Guacara Nro. 89-50"/>
    <s v="Cancelación Vigilancia, saldo mes de Octubre 2019"/>
    <x v="0"/>
    <m/>
    <s v="02462"/>
    <s v="27 de octubre de 2019"/>
    <n v="27"/>
    <x v="35"/>
    <s v="42.500,00"/>
    <e v="#NAME?"/>
  </r>
  <r>
    <n v="2463"/>
    <m/>
    <x v="0"/>
    <d v="2019-10-28T00:00:00"/>
    <n v="52000"/>
    <s v="Familia Acosta Carpio"/>
    <s v="pablo962@hotmail.com"/>
    <s v="Calle Güigüe Nro. 89-10"/>
    <s v="Cancelación Vigilancia, mes de Octubre 2019"/>
    <x v="0"/>
    <m/>
    <s v="02463"/>
    <s v="28 de octubre de 2019"/>
    <n v="28"/>
    <x v="35"/>
    <s v="52.000,00"/>
    <e v="#NAME?"/>
  </r>
  <r>
    <n v="2464"/>
    <m/>
    <x v="0"/>
    <d v="2019-10-28T00:00:00"/>
    <n v="31450"/>
    <s v="Andrea Valor"/>
    <s v="aavp992@gmail.com"/>
    <s v="Calle Guacara Nro. 88-75"/>
    <s v="Cancelación Vigilancia, saldo mes de Octubre 2019"/>
    <x v="0"/>
    <m/>
    <s v="02464"/>
    <s v="28 de octubre de 2019"/>
    <n v="28"/>
    <x v="35"/>
    <s v="31.450,00"/>
    <e v="#NAME?"/>
  </r>
  <r>
    <n v="2465"/>
    <m/>
    <x v="0"/>
    <d v="2019-10-23T00:00:00"/>
    <n v="25900"/>
    <s v="Amarilis Guerra"/>
    <s v="amarilisguerra1@yahoo.com"/>
    <s v="Calle Güigüe Nro. 89-96"/>
    <s v="Cancelación Vigilancia, saldo mes de Octubre 2019"/>
    <x v="0"/>
    <m/>
    <s v="02465"/>
    <s v="23 de octubre de 2019"/>
    <n v="23"/>
    <x v="35"/>
    <s v="25.900,00"/>
    <e v="#NAME?"/>
  </r>
  <r>
    <n v="2466"/>
    <m/>
    <x v="0"/>
    <d v="2019-10-28T00:00:00"/>
    <n v="29250"/>
    <s v="Familia Ozar Rivero"/>
    <s v="vanessarivero81@hotmail.com"/>
    <s v="Calle Güigüe Nro. 88-06"/>
    <s v="Cancelación Vigilancia, saldo mes de Octubre 2019"/>
    <x v="0"/>
    <m/>
    <s v="02466"/>
    <s v="28 de octubre de 2019"/>
    <n v="28"/>
    <x v="35"/>
    <s v="29.250,00"/>
    <e v="#NAME?"/>
  </r>
  <r>
    <n v="2467"/>
    <m/>
    <x v="0"/>
    <d v="2019-10-28T00:00:00"/>
    <n v="51250"/>
    <s v="Familia Il Grande Franceschi"/>
    <s v="arcifran75@hotmail.com"/>
    <s v="Av. &quot;I&quot; Nro. 146-40"/>
    <s v="Cancelación Vigilancia, mes de Octubre 2019"/>
    <x v="0"/>
    <m/>
    <s v="02467"/>
    <s v="28 de octubre de 2019"/>
    <n v="28"/>
    <x v="35"/>
    <s v="51.250,00"/>
    <e v="#NAME?"/>
  </r>
  <r>
    <n v="2468"/>
    <m/>
    <x v="0"/>
    <d v="2019-10-29T00:00:00"/>
    <n v="30150"/>
    <s v="Familia Scabuzzo Gómez"/>
    <s v="sfscabuzzo@msn.com"/>
    <s v="Av. &quot;I&quot; Nro. 146-20"/>
    <s v="Cancelación Vigilancia, saldo mes de Octubre 2019"/>
    <x v="0"/>
    <m/>
    <s v="02468"/>
    <s v="29 de octubre de 2019"/>
    <n v="29"/>
    <x v="35"/>
    <s v="30.150,00"/>
    <e v="#NAME?"/>
  </r>
  <r>
    <n v="2469"/>
    <m/>
    <x v="0"/>
    <d v="2019-10-29T00:00:00"/>
    <n v="81400"/>
    <s v="Familia Guerra Miret"/>
    <s v="antoniojguerrag@hotmail.com"/>
    <s v="Calle Güigüe Nro. 89-40"/>
    <s v="Cancelación Vigilancia, saldo mes de Octubre y mes de Noviembre 2019"/>
    <x v="0"/>
    <m/>
    <s v="02469"/>
    <s v="29 de octubre de 2019"/>
    <n v="29"/>
    <x v="35"/>
    <s v="81.400,00"/>
    <e v="#NAME?"/>
  </r>
  <r>
    <n v="2470"/>
    <m/>
    <x v="0"/>
    <d v="2019-10-29T00:00:00"/>
    <n v="60000"/>
    <s v="Wu Hung Fung"/>
    <s v="carolinahung24@gmail.com | barbarahung15@hotmail.com"/>
    <s v="Calle Guacara Nro. 90-81"/>
    <s v="Cancelación Vigilancia, mes de Octubre 2019"/>
    <x v="0"/>
    <m/>
    <s v="02470"/>
    <s v="29 de octubre de 2019"/>
    <n v="29"/>
    <x v="35"/>
    <s v="60.000,00"/>
    <e v="#NAME?"/>
  </r>
  <r>
    <n v="2471"/>
    <m/>
    <x v="0"/>
    <d v="2019-10-29T00:00:00"/>
    <n v="31500"/>
    <s v="Jocsan Orta Correa"/>
    <s v="carlos_arturox@hotmail.com"/>
    <s v="Av. &quot;L&quot; anexo de Los Tronquitos"/>
    <s v="Cancelación Vigilancia, saldo mes de Octubre 2019"/>
    <x v="0"/>
    <m/>
    <s v="02471"/>
    <s v="29 de octubre de 2019"/>
    <n v="29"/>
    <x v="35"/>
    <s v="31.500,00"/>
    <e v="#NAME?"/>
  </r>
  <r>
    <n v="2472"/>
    <m/>
    <x v="0"/>
    <d v="2019-10-29T00:00:00"/>
    <n v="50000"/>
    <s v="Silvia Power"/>
    <s v="spowermeneses@gmail.com"/>
    <s v="Calle Güigüe Nro. 89-16"/>
    <s v="Colaboración Vigilancia, meses de Octubre, Noviembre y Diciembre 2019"/>
    <x v="0"/>
    <m/>
    <s v="02472"/>
    <s v="29 de octubre de 2019"/>
    <n v="29"/>
    <x v="35"/>
    <s v="50.000,00"/>
    <e v="#NAME?"/>
  </r>
  <r>
    <n v="2473"/>
    <m/>
    <x v="0"/>
    <d v="2019-10-29T00:00:00"/>
    <n v="51250"/>
    <s v="Familia Narváez Caldera"/>
    <s v="jeannette_nc@yahoo.com"/>
    <s v="Calle Güigüe Nro. 87-A-11"/>
    <s v="Cancelación Vigilancia, mes de Octubre 2019"/>
    <x v="0"/>
    <m/>
    <s v="02473"/>
    <s v="29 de octubre de 2019"/>
    <n v="29"/>
    <x v="35"/>
    <s v="51.250,00"/>
    <e v="#NAME?"/>
  </r>
  <r>
    <n v="2474"/>
    <m/>
    <x v="0"/>
    <d v="2019-10-29T00:00:00"/>
    <n v="51250"/>
    <s v="Santiago Varela"/>
    <s v="svg0583@gmail.com"/>
    <s v="Av. &quot;M&quot; Nro. 146-30"/>
    <s v="Cancelación Vigilancia, mes de Octubre 2019"/>
    <x v="0"/>
    <m/>
    <s v="02474"/>
    <s v="29 de octubre de 2019"/>
    <n v="29"/>
    <x v="35"/>
    <s v="51.250,00"/>
    <e v="#NAME?"/>
  </r>
  <r>
    <n v="2475"/>
    <m/>
    <x v="0"/>
    <d v="2019-10-23T00:00:00"/>
    <n v="38715"/>
    <s v="Colegio El Trigal"/>
    <s v="En Físico"/>
    <s v="Calle Güigüe Nros. 88-71 y 88-81"/>
    <s v="Cancelación Vigilancia, saldo mes de Octubre 2019"/>
    <x v="0"/>
    <m/>
    <s v="02475"/>
    <s v="23 de octubre de 2019"/>
    <n v="23"/>
    <x v="35"/>
    <s v="38.715,00"/>
    <e v="#NAME?"/>
  </r>
  <r>
    <n v="2476"/>
    <m/>
    <x v="0"/>
    <d v="2019-10-28T00:00:00"/>
    <n v="31450"/>
    <s v="Familia Gascón Domínguez"/>
    <s v="vrgascon@gmail.com"/>
    <s v="Calle Güigüe Nro. 88-70"/>
    <s v="Cancelación Vigilancia, saldo mes de Octubre 2019"/>
    <x v="0"/>
    <m/>
    <s v="02476"/>
    <s v="28 de octubre de 2019"/>
    <n v="28"/>
    <x v="35"/>
    <s v="31.450,00"/>
    <e v="#NAME?"/>
  </r>
  <r>
    <n v="2477"/>
    <m/>
    <x v="0"/>
    <d v="2019-10-27T00:00:00"/>
    <n v="31000"/>
    <s v="Familia Kablan Sarmiento"/>
    <s v="norisjsb56@hotmail.com"/>
    <s v="Calle Güigüe Nro. 89-80"/>
    <s v="Cancelación Vigilancia, complemento mes de Octubre 2019"/>
    <x v="0"/>
    <m/>
    <s v="02477"/>
    <s v="27 de octubre de 2019"/>
    <n v="27"/>
    <x v="35"/>
    <s v="31.000,00"/>
    <e v="#NAME?"/>
  </r>
  <r>
    <n v="2478"/>
    <m/>
    <x v="0"/>
    <d v="2019-10-30T00:00:00"/>
    <n v="47000"/>
    <s v="Familia Kablan Sarmiento"/>
    <s v="norisjsb56@hotmail.com"/>
    <s v="Calle Güigüe Nro. 89-80"/>
    <s v="Cancelación Vigilancia, anticipo mes de Noviembre 2019"/>
    <x v="0"/>
    <m/>
    <s v="02478"/>
    <s v="30 de octubre de 2019"/>
    <n v="30"/>
    <x v="35"/>
    <s v="47.000,00"/>
    <e v="#NAME?"/>
  </r>
  <r>
    <n v="2479"/>
    <m/>
    <x v="0"/>
    <d v="2019-10-30T00:00:00"/>
    <n v="51250"/>
    <s v="Familia Colosso Delgado"/>
    <s v="mcolosso@gmail.com"/>
    <s v="Calle Güigüe Nro. 88-44"/>
    <s v="Cancelación Vigilancia, mes de Noviembre 2019"/>
    <x v="0"/>
    <m/>
    <s v="02479"/>
    <s v="30 de octubre de 2019"/>
    <n v="30"/>
    <x v="35"/>
    <s v="51.250,00"/>
    <e v="#NAME?"/>
  </r>
  <r>
    <n v="2480"/>
    <m/>
    <x v="0"/>
    <d v="2019-10-30T00:00:00"/>
    <n v="23000"/>
    <s v="Zoraida Khair"/>
    <s v="zorakhair@hotmail.com | lbracamonte@netuno.net"/>
    <s v="Calle Güigüe Nro. 88-80"/>
    <s v="Cancelación Vigilancia, complemento mes de Octubre 2019"/>
    <x v="0"/>
    <m/>
    <s v="02480"/>
    <s v="30 de octubre de 2019"/>
    <n v="30"/>
    <x v="35"/>
    <s v="23.000,00"/>
    <e v="#NAME?"/>
  </r>
  <r>
    <n v="2481"/>
    <m/>
    <x v="0"/>
    <d v="2019-10-30T00:00:00"/>
    <n v="7250"/>
    <s v="Zoraida Khair"/>
    <s v="zorakhair@hotmail.com | lbracamonte@netuno.net"/>
    <s v="Calle Güigüe Nro. 88-80"/>
    <s v="Cancelación Vigilancia, complemento mes de Octubre 2019"/>
    <x v="0"/>
    <m/>
    <s v="02481"/>
    <s v="30 de octubre de 2019"/>
    <n v="30"/>
    <x v="35"/>
    <s v="7.250,00"/>
    <e v="#NAME?"/>
  </r>
  <r>
    <n v="2482"/>
    <m/>
    <x v="0"/>
    <d v="2019-10-30T00:00:00"/>
    <n v="51250"/>
    <s v="Familia Fermín Rivas"/>
    <s v="angelferminb@gmail.com"/>
    <s v="Calle Güigüe Nro. 89-55"/>
    <s v="Cancelación Vigilancia, mes de Noviembre 2019"/>
    <x v="0"/>
    <m/>
    <s v="02482"/>
    <s v="30 de octubre de 2019"/>
    <n v="30"/>
    <x v="35"/>
    <s v="51.250,00"/>
    <e v="#NAME?"/>
  </r>
  <r>
    <n v="2483"/>
    <m/>
    <x v="0"/>
    <d v="2019-10-30T00:00:00"/>
    <n v="51250"/>
    <s v="Victoria Francischiello"/>
    <s v="victoriafrancischiello@hotmail.com"/>
    <s v="Calle Guacara Nro. 88-25"/>
    <s v="Cancelación Vigilancia, mes de Octubre 2019"/>
    <x v="0"/>
    <m/>
    <s v="02483"/>
    <s v="30 de octubre de 2019"/>
    <n v="30"/>
    <x v="35"/>
    <s v="51.250,00"/>
    <e v="#NAME?"/>
  </r>
  <r>
    <n v="2484"/>
    <m/>
    <x v="0"/>
    <d v="2019-10-30T00:00:00"/>
    <n v="51250"/>
    <s v="Familia Castillo Mena"/>
    <s v="emmecas@hotmail.com"/>
    <s v="Calle Güigüe Nro. 88-101"/>
    <s v="Cancelación Vigilancia, mes de Octubre 2019"/>
    <x v="0"/>
    <m/>
    <s v="02484"/>
    <s v="30 de octubre de 2019"/>
    <n v="30"/>
    <x v="35"/>
    <s v="51.250,00"/>
    <e v="#NAME?"/>
  </r>
  <r>
    <n v="2485"/>
    <m/>
    <x v="0"/>
    <d v="2019-10-30T00:00:00"/>
    <n v="30150"/>
    <s v="Héctor Hernández"/>
    <s v="eof64@hotmail.com"/>
    <s v="Calle Guacara Nro. 89-94"/>
    <s v="Cancelación Vigilancia, saldo mes de Octubre 2019"/>
    <x v="0"/>
    <m/>
    <s v="02485"/>
    <s v="30 de octubre de 2019"/>
    <n v="30"/>
    <x v="35"/>
    <s v="30.150,00"/>
    <e v="#NAME?"/>
  </r>
  <r>
    <n v="2486"/>
    <m/>
    <x v="0"/>
    <d v="2019-10-30T00:00:00"/>
    <n v="51250"/>
    <s v="Héctor Hernández"/>
    <s v="eof64@hotmail.com"/>
    <s v="Calle Guacara Nro. 89-94"/>
    <s v="Cancelación Vigilancia, mes de Noviembre 2019"/>
    <x v="0"/>
    <m/>
    <s v="02486"/>
    <s v="30 de octubre de 2019"/>
    <n v="30"/>
    <x v="35"/>
    <s v="51.250,00"/>
    <e v="#NAME?"/>
  </r>
  <r>
    <n v="2487"/>
    <m/>
    <x v="0"/>
    <d v="2019-10-30T00:00:00"/>
    <n v="51250"/>
    <s v="Familia Abbinante Pinto"/>
    <s v="abbinante47@gmail.com"/>
    <s v="Calle Güigüe Nro. 89-120"/>
    <s v="Cancelación Vigilancia, mes de Octubre 2019"/>
    <x v="0"/>
    <m/>
    <s v="02487"/>
    <s v="30 de octubre de 2019"/>
    <n v="30"/>
    <x v="35"/>
    <s v="51.250,00"/>
    <e v="#NAME?"/>
  </r>
  <r>
    <n v="2488"/>
    <m/>
    <x v="0"/>
    <d v="2019-10-30T00:00:00"/>
    <n v="51250"/>
    <s v="Familia Costermani Terrer"/>
    <s v="claudiacostermani@hotmail.com"/>
    <s v="Calle Güigüe Nro. 88-11"/>
    <s v="Cancelación Vigilancia, mes de Octubre 2019"/>
    <x v="0"/>
    <m/>
    <s v="02488"/>
    <s v="30 de octubre de 2019"/>
    <n v="30"/>
    <x v="35"/>
    <s v="51.250,00"/>
    <e v="#NAME?"/>
  </r>
  <r>
    <n v="2489"/>
    <m/>
    <x v="0"/>
    <d v="2019-10-30T00:00:00"/>
    <n v="51250"/>
    <s v="Familia Rodríguez Aular"/>
    <s v="vaular@kromi-market.com | mvaular@hotmail.com"/>
    <s v="Calle Güigüe Nro. 88-58"/>
    <s v="Cancelación Vigilancia, mes de Octubre 2019"/>
    <x v="0"/>
    <m/>
    <s v="02489"/>
    <s v="30 de octubre de 2019"/>
    <n v="30"/>
    <x v="35"/>
    <s v="51.250,00"/>
    <e v="#NAME?"/>
  </r>
  <r>
    <n v="2490"/>
    <m/>
    <x v="0"/>
    <d v="2019-10-30T00:00:00"/>
    <n v="51250"/>
    <s v="Ana de González"/>
    <s v="mikelnowak25@gmail.com"/>
    <s v="Av. &quot;O&quot; Nro. 146-17"/>
    <s v="Cancelación Vigilancia, mes de Octubre 2019"/>
    <x v="0"/>
    <m/>
    <s v="02490"/>
    <s v="30 de octubre de 2019"/>
    <n v="30"/>
    <x v="35"/>
    <s v="51.250,00"/>
    <e v="#NAME?"/>
  </r>
  <r>
    <n v="2491"/>
    <m/>
    <x v="0"/>
    <d v="2019-10-31T00:00:00"/>
    <n v="51250"/>
    <s v="Familia Flores Montagne"/>
    <s v="martaflores@gmail.com"/>
    <s v="Av. &quot;M&quot; Nro. 146-20"/>
    <s v="Cancelación Vigilancia, mes de Octubre 2019"/>
    <x v="0"/>
    <m/>
    <s v="02491"/>
    <s v="31 de octubre de 2019"/>
    <n v="31"/>
    <x v="35"/>
    <s v="51.250,00"/>
    <e v="#NAME?"/>
  </r>
  <r>
    <n v="2492"/>
    <m/>
    <x v="0"/>
    <d v="2019-10-31T00:00:00"/>
    <n v="27965"/>
    <s v="Dra. Lilia Magallanes"/>
    <s v="liliamagallanes2010@gmail.com"/>
    <s v="Calle Güigüe Nro. 88-51"/>
    <s v="Cancelación Vigilancia, complemento mes de Octubre 2019"/>
    <x v="0"/>
    <m/>
    <s v="02492"/>
    <s v="31 de octubre de 2019"/>
    <n v="31"/>
    <x v="35"/>
    <s v="27.965,00"/>
    <e v="#NAME?"/>
  </r>
  <r>
    <n v="2493"/>
    <m/>
    <x v="0"/>
    <d v="2019-11-01T00:00:00"/>
    <n v="40000"/>
    <s v="Familia Navarro Assing"/>
    <s v="liliaassing@gmail.com"/>
    <s v="Calle Güigüe Nro. 88-54"/>
    <s v="Cancelación Vigilancia, complemento mes de Octubre y anticipo mes de Noviembre 2019"/>
    <x v="0"/>
    <m/>
    <s v="02493"/>
    <s v="01 de noviembre de 2019"/>
    <n v="1"/>
    <x v="36"/>
    <s v="40.000,00"/>
    <e v="#NAME?"/>
  </r>
  <r>
    <n v="2494"/>
    <m/>
    <x v="0"/>
    <d v="2019-11-03T00:00:00"/>
    <n v="51250"/>
    <s v="Familia Barreto Pérez"/>
    <s v="bbetsa19@hotmail.com"/>
    <s v="Av. &quot;M&quot; Nro. 146-15"/>
    <s v="Cancelación Vigilancia, mes de Noviembre 2019"/>
    <x v="0"/>
    <m/>
    <s v="02494"/>
    <s v="03 de noviembre de 2019"/>
    <n v="3"/>
    <x v="36"/>
    <s v="51.250,00"/>
    <e v="#NAME?"/>
  </r>
  <r>
    <n v="2495"/>
    <m/>
    <x v="0"/>
    <d v="2019-11-03T00:00:00"/>
    <n v="51250"/>
    <s v="Familia Zavarce Barón"/>
    <s v="alexanderzavarce@gmail.com"/>
    <s v="Calle Guacara Nro. 88-91"/>
    <s v="Cancelación Vigilancia, mes de Octubre 2019"/>
    <x v="0"/>
    <m/>
    <s v="02495"/>
    <s v="03 de noviembre de 2019"/>
    <n v="3"/>
    <x v="36"/>
    <s v="51.250,00"/>
    <e v="#NAME?"/>
  </r>
  <r>
    <n v="2496"/>
    <m/>
    <x v="0"/>
    <d v="2019-11-04T00:00:00"/>
    <n v="60000"/>
    <s v="Familia Puerta Burguillos"/>
    <s v="namaricakes@gmail.com"/>
    <s v="Calle Guacara Nro. 87-100"/>
    <s v="Cancelación Vigilancia, mes de Noviembre 2019"/>
    <x v="0"/>
    <m/>
    <s v="02496"/>
    <s v="04 de noviembre de 2019"/>
    <n v="4"/>
    <x v="36"/>
    <s v="60.000,00"/>
    <e v="#NAME?"/>
  </r>
  <r>
    <n v="2497"/>
    <m/>
    <x v="0"/>
    <d v="2019-11-04T00:00:00"/>
    <n v="56300"/>
    <s v="Familia Triana González"/>
    <s v="En Físico"/>
    <s v="Calle Guacara Nro. 90-61"/>
    <s v="Cancelación Vigilancia, mes de Noviembre 2019"/>
    <x v="0"/>
    <m/>
    <s v="02497"/>
    <s v="04 de noviembre de 2019"/>
    <n v="4"/>
    <x v="36"/>
    <s v="56.300,00"/>
    <e v="#NAME?"/>
  </r>
  <r>
    <n v="2498"/>
    <m/>
    <x v="0"/>
    <d v="2019-10-30T00:00:00"/>
    <n v="4250"/>
    <s v="Familia Kablan Sarmiento"/>
    <s v="norisjsb56@hotmail.com"/>
    <s v="Calle Güigüe Nro. 89-80"/>
    <s v="Cancelación Vigilancia, saldo mes de Noviembre 2019"/>
    <x v="0"/>
    <m/>
    <s v="02498"/>
    <s v="30 de octubre de 2019"/>
    <n v="30"/>
    <x v="35"/>
    <s v="4.250,00"/>
    <e v="#NAME?"/>
  </r>
  <r>
    <n v="2499"/>
    <m/>
    <x v="0"/>
    <d v="2019-11-04T00:00:00"/>
    <n v="56250"/>
    <s v="Familia Astor Zamora"/>
    <s v="imzastor@gmail.com"/>
    <s v="Calle Güigüe Nro. 88-111"/>
    <s v="Cancelación Vigilancia, mes de Octubre 2019"/>
    <x v="0"/>
    <m/>
    <s v="02499"/>
    <s v="04 de noviembre de 2019"/>
    <n v="4"/>
    <x v="36"/>
    <s v="56.250,00"/>
    <e v="#NAME?"/>
  </r>
  <r>
    <n v="2500"/>
    <m/>
    <x v="0"/>
    <d v="2019-11-05T00:00:00"/>
    <n v="60000"/>
    <s v="Familia Ferrer Bahri"/>
    <s v="bahrimariela@hotmail.com"/>
    <s v="Calle Güigüe Nro. 89-83"/>
    <s v="Cancelación Vigilancia, mes de Noviembre 2019"/>
    <x v="0"/>
    <m/>
    <s v="02500"/>
    <s v="05 de noviembre de 2019"/>
    <n v="5"/>
    <x v="36"/>
    <s v="60.000,00"/>
    <e v="#NAME?"/>
  </r>
  <r>
    <n v="2501"/>
    <m/>
    <x v="0"/>
    <d v="2019-11-05T00:00:00"/>
    <n v="56250"/>
    <s v="Familia Nava Gordon"/>
    <s v="maru_19_66@hotmail.com"/>
    <s v="Calle Guacara Nro. 89-78"/>
    <s v="Cancelación Vigilancia, saldo mes de Noviembre y anticipo mes de Diciembre 2019"/>
    <x v="0"/>
    <m/>
    <s v="02501"/>
    <s v="05 de noviembre de 2019"/>
    <n v="5"/>
    <x v="36"/>
    <s v="56.250,00"/>
    <e v="#NAME?"/>
  </r>
  <r>
    <n v="2502"/>
    <m/>
    <x v="0"/>
    <d v="2019-11-05T00:00:00"/>
    <n v="67481"/>
    <s v="Familia Lomeña Agudo"/>
    <s v="claudialomena@hotmail.com"/>
    <s v="Calle Guacara Nro. 89-30"/>
    <s v="Cancelación Vigilancia, mes de Noviembre 2019"/>
    <x v="0"/>
    <m/>
    <s v="02502"/>
    <s v="05 de noviembre de 2019"/>
    <n v="5"/>
    <x v="36"/>
    <s v="67.481,00"/>
    <e v="#NAME?"/>
  </r>
  <r>
    <n v="2503"/>
    <m/>
    <x v="0"/>
    <d v="2019-11-01T00:00:00"/>
    <n v="51250"/>
    <s v="Familia Wu Acevedo"/>
    <s v="rudyacevedo90@gmail.com"/>
    <s v="Calle Guacara Nro. 88-A-10"/>
    <s v="Cancelación Vigilancia, mes de Noviembre 2019 (saldo a favor: Bs. 146.155,80)"/>
    <x v="0"/>
    <m/>
    <s v="02503"/>
    <s v="01 de noviembre de 2019"/>
    <n v="1"/>
    <x v="36"/>
    <s v="51.250,00"/>
    <e v="#NAME?"/>
  </r>
  <r>
    <n v="2504"/>
    <m/>
    <x v="0"/>
    <d v="2019-11-05T00:00:00"/>
    <n v="33750"/>
    <s v="Familia Franco Gómez"/>
    <s v="eof64@hotmail.com"/>
    <s v="Calle Guacara Nro. 87-07"/>
    <s v="Colaboración Vigilancia, mes de Noviembre 2019"/>
    <x v="0"/>
    <m/>
    <s v="02504"/>
    <s v="05 de noviembre de 2019"/>
    <n v="5"/>
    <x v="36"/>
    <s v="33.750,00"/>
    <e v="#NAME?"/>
  </r>
  <r>
    <n v="2505"/>
    <m/>
    <x v="0"/>
    <d v="2019-11-05T00:00:00"/>
    <n v="112500"/>
    <s v="Familia Alonso Rojas"/>
    <s v="redjc01@gmail.com"/>
    <s v="Calle Güigüe Nro. 89-54"/>
    <s v="Cancelación Vigilancia, meses de Octubre y Noviembre 2019"/>
    <x v="0"/>
    <m/>
    <s v="02505"/>
    <s v="05 de noviembre de 2019"/>
    <n v="5"/>
    <x v="36"/>
    <s v="112.500,00"/>
    <e v="#NAME?"/>
  </r>
  <r>
    <n v="2506"/>
    <m/>
    <x v="0"/>
    <d v="2019-11-05T00:00:00"/>
    <n v="56250"/>
    <s v="Familia Ochoa Mendoza"/>
    <s v="marisoljudithm@hotmail.com"/>
    <s v="Calle Guacara Nro. 89-130"/>
    <s v="Cancelación Vigilancia, mes de Noviembre 2019"/>
    <x v="0"/>
    <m/>
    <s v="02506"/>
    <s v="05 de noviembre de 2019"/>
    <n v="5"/>
    <x v="36"/>
    <s v="56.250,00"/>
    <e v="#NAME?"/>
  </r>
  <r>
    <n v="2507"/>
    <m/>
    <x v="0"/>
    <d v="2019-11-05T00:00:00"/>
    <n v="56250"/>
    <s v="Familia Hatem Medina"/>
    <s v="hhatem1@hotmail.com"/>
    <s v="Calle Guacara Nro. 88-51"/>
    <s v="Cancelación Vigilancia, mes de Noviembre 2019"/>
    <x v="0"/>
    <m/>
    <s v="02507"/>
    <s v="05 de noviembre de 2019"/>
    <n v="5"/>
    <x v="36"/>
    <s v="56.250,00"/>
    <e v="#NAME?"/>
  </r>
  <r>
    <n v="2508"/>
    <m/>
    <x v="0"/>
    <d v="2019-11-06T00:00:00"/>
    <n v="60000"/>
    <s v="Familia Milanés Carmona"/>
    <s v="yndira11m@gmail.com"/>
    <s v="Calle Güigüe Nro. 89-65"/>
    <s v="Cancelación Vigilancia, mes de Noviembre 2019"/>
    <x v="0"/>
    <m/>
    <s v="02508"/>
    <s v="06 de noviembre de 2019"/>
    <n v="6"/>
    <x v="36"/>
    <s v="60.000,00"/>
    <e v="#NAME?"/>
  </r>
  <r>
    <n v="2509"/>
    <m/>
    <x v="0"/>
    <d v="2019-11-06T00:00:00"/>
    <n v="100000"/>
    <s v="Familia Montilla García"/>
    <s v="dairy252525@hotmail.com"/>
    <s v="Calle Güigüe Nro. 89-90"/>
    <s v="Cancelación Vigilancia, saldo mes de Octubre, cancelación mes de Noviembre y anticipo mes de Diciembre 2019"/>
    <x v="0"/>
    <m/>
    <s v="02509"/>
    <s v="06 de noviembre de 2019"/>
    <n v="6"/>
    <x v="36"/>
    <s v="100.000,00"/>
    <e v="#NAME?"/>
  </r>
  <r>
    <n v="2510"/>
    <m/>
    <x v="0"/>
    <d v="2019-11-06T00:00:00"/>
    <n v="36120"/>
    <s v="Beatriz Lara"/>
    <s v="arquitectoag@gmail.com"/>
    <s v="Calle Guacara Nro. 89-130"/>
    <s v="Cancelación Vigilancia, anticipo mes de Noviembre 2019 (US$ 1,40)"/>
    <x v="0"/>
    <m/>
    <s v="02510"/>
    <s v="06 de noviembre de 2019"/>
    <n v="6"/>
    <x v="36"/>
    <s v="36.120,00"/>
    <e v="#NAME?"/>
  </r>
  <r>
    <n v="2511"/>
    <m/>
    <x v="0"/>
    <d v="2019-11-07T00:00:00"/>
    <n v="10000"/>
    <s v="Familia Durvelle Serrano"/>
    <s v="sdurvelle@hotmail.com"/>
    <s v="Calle Guacara Nro. 89-60"/>
    <s v="Cancelación Vigilancia, saldo mes de Noviembre 2019"/>
    <x v="0"/>
    <m/>
    <s v="02511"/>
    <s v="07 de noviembre de 2019"/>
    <n v="7"/>
    <x v="36"/>
    <s v="10.000,00"/>
    <e v="#NAME?"/>
  </r>
  <r>
    <n v="2512"/>
    <m/>
    <x v="0"/>
    <d v="2019-11-07T00:00:00"/>
    <n v="13000"/>
    <s v="Zoraida Khair"/>
    <s v="zorakhair@hotmail.com | lbracamonte@netuno.net"/>
    <s v="Calle Güigüe Nro. 88-80"/>
    <s v="Cancelación Vigilancia, anticipo mes de Noviembre 2019"/>
    <x v="0"/>
    <m/>
    <s v="02512"/>
    <s v="07 de noviembre de 2019"/>
    <n v="7"/>
    <x v="36"/>
    <s v="13.000,00"/>
    <e v="#NAME?"/>
  </r>
  <r>
    <n v="2513"/>
    <m/>
    <x v="0"/>
    <d v="2019-11-07T00:00:00"/>
    <n v="56250"/>
    <s v="Chin Chun Ya (Goya)"/>
    <s v="uc2721@gmail.com"/>
    <s v="Calle Guacara Nro. 87-86"/>
    <s v="Cancelación Vigilancia, mes de Noviembre 2019"/>
    <x v="0"/>
    <m/>
    <s v="02513"/>
    <s v="07 de noviembre de 2019"/>
    <n v="7"/>
    <x v="36"/>
    <s v="56.250,00"/>
    <e v="#NAME?"/>
  </r>
  <r>
    <n v="2514"/>
    <m/>
    <x v="0"/>
    <d v="2019-11-07T00:00:00"/>
    <n v="56250"/>
    <s v="Familia Soto Urdaneta"/>
    <s v="esotom61@gmail.com"/>
    <s v="Calle Guacara Nro. 89-102"/>
    <s v="Cancelación Vigilancia, mes de Noviembre 2019"/>
    <x v="0"/>
    <m/>
    <s v="02514"/>
    <s v="07 de noviembre de 2019"/>
    <n v="7"/>
    <x v="36"/>
    <s v="56.250,00"/>
    <e v="#NAME?"/>
  </r>
  <r>
    <n v="2515"/>
    <m/>
    <x v="0"/>
    <d v="2019-11-07T00:00:00"/>
    <n v="92710"/>
    <s v="Familia Delgado Hidalgo"/>
    <s v="ardh@hotmail.com"/>
    <s v="Calle Güigüe Nro. 88-10"/>
    <s v="Cancelación Vigilancia, saldo mes de Octubre y cancelación mes de Noviembre 2019"/>
    <x v="0"/>
    <m/>
    <s v="02515"/>
    <s v="07 de noviembre de 2019"/>
    <n v="7"/>
    <x v="36"/>
    <s v="92.710,00"/>
    <e v="#NAME?"/>
  </r>
  <r>
    <n v="2516"/>
    <m/>
    <x v="0"/>
    <d v="2019-11-07T00:00:00"/>
    <n v="56250"/>
    <s v="Familia Arcia Polanco"/>
    <s v="misipo29@gmail.com"/>
    <s v="Calle Guacara Nro. 89-20"/>
    <s v="Cancelación Vigilancia, mes de Noviembre 2019"/>
    <x v="0"/>
    <m/>
    <s v="02516"/>
    <s v="07 de noviembre de 2019"/>
    <n v="7"/>
    <x v="36"/>
    <s v="56.250,00"/>
    <e v="#NAME?"/>
  </r>
  <r>
    <n v="2517"/>
    <m/>
    <x v="0"/>
    <d v="2019-11-09T00:00:00"/>
    <n v="56250"/>
    <s v="Familia Loponte Arteaga"/>
    <s v="En Físico"/>
    <s v="Calle Güigüe Nro. 88-120"/>
    <s v="Cancelación Vigilancia, mes de Noviembre 2019"/>
    <x v="0"/>
    <m/>
    <s v="02517"/>
    <s v="09 de noviembre de 2019"/>
    <n v="9"/>
    <x v="36"/>
    <s v="56.250,00"/>
    <e v="#NAME?"/>
  </r>
  <r>
    <n v="2518"/>
    <m/>
    <x v="0"/>
    <d v="2019-11-09T00:00:00"/>
    <n v="48000"/>
    <s v="Familia Méndez Parra"/>
    <s v="briceidademendez@gmail.com"/>
    <s v="Calle Guacara Nro. 88-19"/>
    <s v="Colaboración Vigilancia, mes de Noviembre 2019"/>
    <x v="0"/>
    <m/>
    <s v="02518"/>
    <s v="09 de noviembre de 2019"/>
    <n v="9"/>
    <x v="36"/>
    <s v="48.000,00"/>
    <e v="#NAME?"/>
  </r>
  <r>
    <n v="2519"/>
    <m/>
    <x v="0"/>
    <d v="2019-11-09T00:00:00"/>
    <n v="56250"/>
    <s v="Familia Machado Stoppa"/>
    <s v="machadoru@hotmail.com | marisa2710chardan@gmail.com"/>
    <s v="Calle Guacara Nro. 88-85"/>
    <s v="Cancelación Vigilancia, mes de Noviembre 2019"/>
    <x v="0"/>
    <m/>
    <s v="02519"/>
    <s v="09 de noviembre de 2019"/>
    <n v="9"/>
    <x v="36"/>
    <s v="56.250,00"/>
    <e v="#NAME?"/>
  </r>
  <r>
    <n v="2520"/>
    <m/>
    <x v="0"/>
    <d v="2019-11-09T00:00:00"/>
    <n v="40000"/>
    <s v="Familia Matta Palomino"/>
    <s v="En Físico"/>
    <s v="Calle Güigüe Nro. 88-90"/>
    <s v="Cancelación Vigilancia, saldo mes de Octubre 2019"/>
    <x v="0"/>
    <m/>
    <s v="02520"/>
    <s v="09 de noviembre de 2019"/>
    <n v="9"/>
    <x v="36"/>
    <s v="40.000,00"/>
    <e v="#NAME?"/>
  </r>
  <r>
    <n v="2521"/>
    <m/>
    <x v="0"/>
    <d v="2019-11-09T00:00:00"/>
    <n v="56250"/>
    <s v="Amparo Acosta"/>
    <s v="amparonatividad@hotmail.com"/>
    <s v="Calle Guacara Nro. 88-65"/>
    <s v="Cancelación Vigilancia, mes de Noviembre 2019"/>
    <x v="0"/>
    <m/>
    <s v="02521"/>
    <s v="09 de noviembre de 2019"/>
    <n v="9"/>
    <x v="36"/>
    <s v="56.250,00"/>
    <e v="#NAME?"/>
  </r>
  <r>
    <n v="2522"/>
    <m/>
    <x v="0"/>
    <d v="2019-11-10T00:00:00"/>
    <n v="60000"/>
    <s v="Familia Rodríguez Girón"/>
    <s v="daniellegt4@gmail.com"/>
    <s v="Calle Güigüe Nro. 89-22"/>
    <s v="Cancelación Vigilancia, mes de Noviembre 2019"/>
    <x v="0"/>
    <m/>
    <s v="02522"/>
    <s v="10 de noviembre de 2019"/>
    <n v="10"/>
    <x v="36"/>
    <s v="60.000,00"/>
    <e v="#NAME?"/>
  </r>
  <r>
    <n v="2523"/>
    <m/>
    <x v="0"/>
    <d v="2019-11-10T00:00:00"/>
    <n v="112500"/>
    <s v="Wilson Escamilla"/>
    <s v="wilsonescamilla45@gmail.com"/>
    <s v="Calle Güigüe Nro. 89-89"/>
    <s v="Cancelación Vigilancia, meses de Octubre y Noviembre 2019"/>
    <x v="0"/>
    <m/>
    <s v="02523"/>
    <s v="10 de noviembre de 2019"/>
    <n v="10"/>
    <x v="36"/>
    <s v="112.500,00"/>
    <e v="#NAME?"/>
  </r>
  <r>
    <n v="2524"/>
    <m/>
    <x v="0"/>
    <d v="2019-11-10T00:00:00"/>
    <n v="56250"/>
    <s v="Sra. Reina Meléndez"/>
    <s v="olgajipe@gmail.com"/>
    <s v="Av. &quot;M&quot; Nro. 145-10"/>
    <s v="Cancelación Vigilancia, mes de Noviembre 2019"/>
    <x v="0"/>
    <m/>
    <s v="02524"/>
    <s v="10 de noviembre de 2019"/>
    <n v="10"/>
    <x v="36"/>
    <s v="56.250,00"/>
    <e v="#NAME?"/>
  </r>
  <r>
    <n v="2525"/>
    <m/>
    <x v="0"/>
    <d v="2019-11-10T00:00:00"/>
    <n v="56250"/>
    <s v="Familia Romero"/>
    <s v="almacenajeiri@gmail.com"/>
    <s v="Calle Guacara Nro. 89-50"/>
    <s v="Cancelación Vigilancia, mes de Noviembre 2019"/>
    <x v="0"/>
    <m/>
    <s v="02525"/>
    <s v="10 de noviembre de 2019"/>
    <n v="10"/>
    <x v="36"/>
    <s v="56.250,00"/>
    <e v="#NAME?"/>
  </r>
  <r>
    <n v="2526"/>
    <m/>
    <x v="0"/>
    <d v="2019-11-10T00:00:00"/>
    <n v="56250"/>
    <s v="Dra. Lilia Magallanes"/>
    <s v="liliamagallanes2010@gmail.com"/>
    <s v="Calle Güigüe Nro. 88-51"/>
    <s v="Cancelación Vigilancia, mes de Noviembre 2019"/>
    <x v="0"/>
    <m/>
    <s v="02526"/>
    <s v="10 de noviembre de 2019"/>
    <n v="10"/>
    <x v="36"/>
    <s v="56.250,00"/>
    <e v="#NAME?"/>
  </r>
  <r>
    <n v="2527"/>
    <m/>
    <x v="0"/>
    <d v="2019-11-10T00:00:00"/>
    <n v="56250"/>
    <s v="Familia Zavarce Pérez"/>
    <s v="En Físico"/>
    <s v="Calle Guacara Nro. 90-35"/>
    <s v="Cancelación Vigilancia, mes de Noviembre 2019"/>
    <x v="0"/>
    <m/>
    <s v="02527"/>
    <s v="10 de noviembre de 2019"/>
    <n v="10"/>
    <x v="36"/>
    <s v="56.250,00"/>
    <e v="#NAME?"/>
  </r>
  <r>
    <n v="2528"/>
    <m/>
    <x v="0"/>
    <d v="2019-11-10T00:00:00"/>
    <n v="56250"/>
    <s v="Familia Narváez Caldera"/>
    <s v="jeannette_nc@yahoo.com"/>
    <s v="Calle Güigüe Nro. 87-A-11"/>
    <s v="Cancelación Vigilancia, mes de Noviembre 2019"/>
    <x v="0"/>
    <m/>
    <s v="02528"/>
    <s v="10 de noviembre de 2019"/>
    <n v="10"/>
    <x v="36"/>
    <s v="56.250,00"/>
    <e v="#NAME?"/>
  </r>
  <r>
    <n v="2529"/>
    <m/>
    <x v="0"/>
    <d v="2019-11-10T00:00:00"/>
    <n v="56250"/>
    <s v="Familia González Arévalo"/>
    <s v="feryenis@hotmail.com"/>
    <s v="Calle Guacara Nro. 89-86"/>
    <s v="Cancelación Vigilancia, mes de Noviembre 2019"/>
    <x v="0"/>
    <m/>
    <s v="02529"/>
    <s v="10 de noviembre de 2019"/>
    <n v="10"/>
    <x v="36"/>
    <s v="56.250,00"/>
    <e v="#NAME?"/>
  </r>
  <r>
    <n v="2530"/>
    <m/>
    <x v="0"/>
    <d v="2019-11-11T00:00:00"/>
    <n v="56000"/>
    <s v="Familia Navarro Assing"/>
    <s v="liliaassing@gmail.com"/>
    <s v="Calle Güigüe Nro. 88-54"/>
    <s v="Cancelación Vigilancia, saldo mes de Noviembre 2019"/>
    <x v="0"/>
    <m/>
    <s v="02530"/>
    <s v="11 de noviembre de 2019"/>
    <n v="11"/>
    <x v="36"/>
    <s v="56.000,00"/>
    <e v="#NAME?"/>
  </r>
  <r>
    <n v="2531"/>
    <m/>
    <x v="0"/>
    <d v="2019-11-12T00:00:00"/>
    <n v="75000"/>
    <s v="Familia Castro Jiménez"/>
    <s v="aurycastrojimenez@gmail.com"/>
    <s v="Calle Guacara Nro. 90-51"/>
    <s v="Cancelación Vigilancia, mes de Noviembre 2019"/>
    <x v="0"/>
    <m/>
    <s v="02531"/>
    <s v="12 de noviembre de 2019"/>
    <n v="12"/>
    <x v="36"/>
    <s v="75.000,00"/>
    <e v="#NAME?"/>
  </r>
  <r>
    <n v="2532"/>
    <m/>
    <x v="0"/>
    <d v="2019-11-13T00:00:00"/>
    <n v="129000"/>
    <s v="Familia Díaz González"/>
    <s v="luisrdt57@gmail.com"/>
    <s v="Calle Güigüe Nro. 88-116"/>
    <s v="Cancelación Vigilancia, meses de Noviembre y Diciembre 2019 (US$ 5,00)"/>
    <x v="0"/>
    <m/>
    <s v="02532"/>
    <s v="13 de noviembre de 2019"/>
    <n v="13"/>
    <x v="36"/>
    <s v="129.000,00"/>
    <e v="#NAME?"/>
  </r>
  <r>
    <n v="2533"/>
    <m/>
    <x v="0"/>
    <d v="2019-11-13T00:00:00"/>
    <n v="64500"/>
    <s v="Familia Hurtado"/>
    <s v="hurtadomilena@gmail.com"/>
    <s v="Av. &quot;O&quot; Nro. 146-11"/>
    <s v="Cancelación Vigilancia, mes de Octubre 2019. Transferencia Banesco nro. 11608170091"/>
    <x v="0"/>
    <m/>
    <s v="02533"/>
    <s v="13 de noviembre de 2019"/>
    <n v="13"/>
    <x v="36"/>
    <s v="64.500,00"/>
    <e v="#NAME?"/>
  </r>
  <r>
    <n v="2534"/>
    <m/>
    <x v="0"/>
    <d v="2019-11-13T00:00:00"/>
    <n v="107900"/>
    <s v="Familia Del Negro Palermo"/>
    <s v="vdelnegro@gmail.com"/>
    <s v="Calle Guacara Nro. 88-45"/>
    <s v="Cancelación Vigilancia, saldo mes de Octubre y mes de Noviembre 2019 (saldo a favor: Bs. 407.462,95)"/>
    <x v="0"/>
    <m/>
    <s v="02534"/>
    <s v="13 de noviembre de 2019"/>
    <n v="13"/>
    <x v="36"/>
    <s v="107.900,00"/>
    <e v="#NAME?"/>
  </r>
  <r>
    <n v="2535"/>
    <m/>
    <x v="0"/>
    <d v="2019-11-15T00:00:00"/>
    <n v="64500"/>
    <s v="Familia Acosta Carpio"/>
    <s v="pablo962@hotmail.com"/>
    <s v="Calle Güigüe Nro. 89-10"/>
    <s v="Cancelación Vigilancia, mes de Noviembre 2019"/>
    <x v="0"/>
    <m/>
    <s v="02535"/>
    <s v="15 de noviembre de 2019"/>
    <n v="15"/>
    <x v="36"/>
    <s v="64.500,00"/>
    <e v="#NAME?"/>
  </r>
  <r>
    <n v="2536"/>
    <m/>
    <x v="0"/>
    <d v="2019-11-15T00:00:00"/>
    <n v="18000"/>
    <s v="Zoraida Khair"/>
    <s v="zorakhair@hotmail.com | lbracamonte@netuno.net"/>
    <s v="Calle Güigüe Nro. 88-80"/>
    <s v="Cancelación Vigilancia, abono mes de Noviembre 2019"/>
    <x v="0"/>
    <m/>
    <s v="02536"/>
    <s v="15 de noviembre de 2019"/>
    <n v="15"/>
    <x v="36"/>
    <s v="18.000,00"/>
    <e v="#NAME?"/>
  </r>
  <r>
    <n v="2537"/>
    <m/>
    <x v="0"/>
    <d v="2019-11-15T00:00:00"/>
    <n v="64500"/>
    <s v="Familia Rodríguez Aular"/>
    <s v="vaular@kromi-market.com | mvaular@hotmail.com"/>
    <s v="Calle Güigüe Nro. 88-58"/>
    <s v="Cancelación Vigilancia, mes de Noviembre 2019"/>
    <x v="0"/>
    <m/>
    <s v="02537"/>
    <s v="15 de noviembre de 2019"/>
    <n v="15"/>
    <x v="36"/>
    <s v="64.500,00"/>
    <e v="#NAME?"/>
  </r>
  <r>
    <n v="2538"/>
    <m/>
    <x v="0"/>
    <d v="2019-11-17T00:00:00"/>
    <n v="64500"/>
    <s v="Andrea Valor"/>
    <s v="aavp992@gmail.com"/>
    <s v="Calle Guacara Nro. 88-75"/>
    <s v="Cancelación Vigilancia, mes de Noviembre 2019"/>
    <x v="0"/>
    <m/>
    <s v="02538"/>
    <s v="17 de noviembre de 2019"/>
    <n v="17"/>
    <x v="36"/>
    <s v="64.500,00"/>
    <e v="#NAME?"/>
  </r>
  <r>
    <n v="2539"/>
    <m/>
    <x v="0"/>
    <d v="2019-11-17T00:00:00"/>
    <n v="64500"/>
    <s v="Familia Gascón Domínguez"/>
    <s v="vrgascon@gmail.com"/>
    <s v="Calle Güigüe Nro. 88-70"/>
    <s v="Cancelación Vigilancia, mes de Noviembre 2019"/>
    <x v="0"/>
    <m/>
    <s v="02539"/>
    <s v="17 de noviembre de 2019"/>
    <n v="17"/>
    <x v="36"/>
    <s v="64.500,00"/>
    <e v="#NAME?"/>
  </r>
  <r>
    <n v="2540"/>
    <m/>
    <x v="0"/>
    <d v="2019-11-17T00:00:00"/>
    <n v="64500"/>
    <s v="Familia Costermani Terrer"/>
    <s v="claudiacostermani@hotmail.com"/>
    <s v="Calle Güigüe Nro. 88-11"/>
    <s v="Cancelación Vigilancia, mes de Noviembre 2019"/>
    <x v="0"/>
    <m/>
    <s v="02540"/>
    <s v="17 de noviembre de 2019"/>
    <n v="17"/>
    <x v="36"/>
    <s v="64.500,00"/>
    <e v="#NAME?"/>
  </r>
  <r>
    <n v="2541"/>
    <m/>
    <x v="0"/>
    <d v="2019-11-17T00:00:00"/>
    <n v="64500"/>
    <s v="Familia Manrique Riera"/>
    <s v="patriciamanrique@gmail.com"/>
    <s v="Calle Guacara Nro. 89-40"/>
    <s v="Cancelación Vigilancia, mes de Noviembre 2019"/>
    <x v="0"/>
    <m/>
    <s v="02541"/>
    <s v="17 de noviembre de 2019"/>
    <n v="17"/>
    <x v="36"/>
    <s v="64.500,00"/>
    <e v="#NAME?"/>
  </r>
  <r>
    <n v="2542"/>
    <m/>
    <x v="0"/>
    <d v="2019-11-18T00:00:00"/>
    <n v="73500"/>
    <s v="Ely Saúl Rivero Gómez"/>
    <s v="hhs.admon@gmail.com"/>
    <s v="Av. &quot;Ñ&quot; Nro. 145-25"/>
    <s v="Cancelación Vigilancia, mes de Noviembre 2019 (saldo a favor: Bs. 43.452,00)"/>
    <x v="0"/>
    <m/>
    <s v="02542"/>
    <s v="18 de noviembre de 2019"/>
    <n v="18"/>
    <x v="36"/>
    <s v="73.500,00"/>
    <e v="#NAME?"/>
  </r>
  <r>
    <n v="2543"/>
    <m/>
    <x v="0"/>
    <d v="2019-11-19T00:00:00"/>
    <n v="73500"/>
    <s v="Familia Scabuzzo Gómez"/>
    <s v="sfscabuzzo@msn.com"/>
    <s v="Av. &quot;I&quot; Nro. 146-20"/>
    <s v="Cancelación Vigilancia, mes de Noviembre 2019"/>
    <x v="0"/>
    <m/>
    <s v="02543"/>
    <s v="19 de noviembre de 2019"/>
    <n v="19"/>
    <x v="36"/>
    <s v="73.500,00"/>
    <e v="#NAME?"/>
  </r>
  <r>
    <n v="2544"/>
    <m/>
    <x v="0"/>
    <d v="2019-11-19T00:00:00"/>
    <n v="200000"/>
    <s v="Familia González Arévalo"/>
    <s v="feryenis@hotmail.com"/>
    <s v="Calle Guacara Nro. 89-86"/>
    <s v="Cancelación Vigilancia, meses de Diciembre 2019 y Enero 2020"/>
    <x v="0"/>
    <m/>
    <s v="02544"/>
    <s v="19 de noviembre de 2019"/>
    <n v="19"/>
    <x v="36"/>
    <s v="200.000,00"/>
    <e v="#NAME?"/>
  </r>
  <r>
    <n v="2545"/>
    <m/>
    <x v="0"/>
    <d v="2019-11-20T00:00:00"/>
    <n v="147000"/>
    <s v="Familia Piñero Padilla"/>
    <s v="achepaul2005@hotmail.com"/>
    <s v="Calle Güigüe Nro. 89-21"/>
    <s v="Cancelación Vigilancia, meses de Octubre y Noviembre 2019"/>
    <x v="0"/>
    <m/>
    <s v="02545"/>
    <s v="20 de noviembre de 2019"/>
    <n v="20"/>
    <x v="36"/>
    <s v="147.000,00"/>
    <e v="#NAME?"/>
  </r>
  <r>
    <n v="2546"/>
    <m/>
    <x v="0"/>
    <d v="2019-11-21T00:00:00"/>
    <n v="73500"/>
    <s v="Carmen Moreno"/>
    <s v="carmenemoreno10@gmail.com"/>
    <s v="Calle Güigüe Nro. 89-04"/>
    <s v="Cancelación Vigilancia, mes de Noviembre 2019"/>
    <x v="0"/>
    <m/>
    <s v="02546"/>
    <s v="21 de noviembre de 2019"/>
    <n v="21"/>
    <x v="36"/>
    <s v="73.500,00"/>
    <e v="#NAME?"/>
  </r>
  <r>
    <n v="2547"/>
    <m/>
    <x v="0"/>
    <d v="2019-11-21T00:00:00"/>
    <n v="73500"/>
    <s v="Familia Chan García"/>
    <s v="chanalberto10@hotmail.com | endrinagarciah@gmail.com"/>
    <s v="Calle Güigüe Nro. 89-106"/>
    <s v="Cancelación Vigilancia, mes de Noviembre 2019"/>
    <x v="0"/>
    <m/>
    <s v="02547"/>
    <s v="21 de noviembre de 2019"/>
    <n v="21"/>
    <x v="36"/>
    <s v="73.500,00"/>
    <e v="#NAME?"/>
  </r>
  <r>
    <n v="2548"/>
    <m/>
    <x v="0"/>
    <d v="2019-11-21T00:00:00"/>
    <n v="73500"/>
    <s v="Amarilis Guerra"/>
    <s v="amarilisguerra1@yahoo.com"/>
    <s v="Calle Güigüe Nro. 89-96"/>
    <s v="Cancelación Vigilancia, mes de Noviembre 2019"/>
    <x v="0"/>
    <m/>
    <s v="02548"/>
    <s v="21 de noviembre de 2019"/>
    <n v="21"/>
    <x v="36"/>
    <s v="73.500,00"/>
    <e v="#NAME?"/>
  </r>
  <r>
    <n v="2549"/>
    <m/>
    <x v="0"/>
    <d v="2019-11-22T00:00:00"/>
    <n v="25000"/>
    <s v="Familia Rodríguez Landaeta"/>
    <s v="mrl58@hotmail.com"/>
    <s v="Calle Güigüe Nro. 89-29"/>
    <s v="Colaboración Vigilancia, mes de Noviembre 2019"/>
    <x v="0"/>
    <m/>
    <s v="02549"/>
    <s v="22 de noviembre de 2019"/>
    <n v="22"/>
    <x v="36"/>
    <s v="25.000,00"/>
    <e v="#NAME?"/>
  </r>
  <r>
    <n v="2550"/>
    <m/>
    <x v="0"/>
    <d v="2019-11-22T00:00:00"/>
    <n v="73500"/>
    <s v="Familia Ozar Rivero"/>
    <s v="vanessarivero81@hotmail.com"/>
    <s v="Calle Güigüe Nro. 88-06"/>
    <s v="Cancelación Vigilancia, mes de Noviembre 2019"/>
    <x v="0"/>
    <m/>
    <s v="02550"/>
    <s v="22 de noviembre de 2019"/>
    <n v="22"/>
    <x v="36"/>
    <s v="73.500,00"/>
    <e v="#NAME?"/>
  </r>
  <r>
    <n v="2551"/>
    <m/>
    <x v="0"/>
    <d v="2019-11-24T00:00:00"/>
    <n v="73500"/>
    <s v="Familia Abbinante Pinto"/>
    <s v="abbinante47@gmail.com"/>
    <s v="Calle Güigüe Nro. 89-120"/>
    <s v="Cancelación Vigilancia, mes de Noviembre 2019"/>
    <x v="0"/>
    <m/>
    <s v="02551"/>
    <s v="24 de noviembre de 2019"/>
    <n v="24"/>
    <x v="36"/>
    <s v="73.500,00"/>
    <e v="#NAME?"/>
  </r>
  <r>
    <n v="2552"/>
    <m/>
    <x v="0"/>
    <d v="2019-11-24T00:00:00"/>
    <n v="73500"/>
    <s v="Familia López Hermoso"/>
    <s v="lopez.humberto14@yahoo.com.ve"/>
    <s v="Calle Güigüe Nro. 89-79"/>
    <s v="Cancelación Vigilancia, mes de Noviembre 2019 (saldo a favor: Bs. 200,00)"/>
    <x v="0"/>
    <m/>
    <s v="02552"/>
    <s v="24 de noviembre de 2019"/>
    <n v="24"/>
    <x v="36"/>
    <s v="73.500,00"/>
    <e v="#NAME?"/>
  </r>
  <r>
    <n v="2553"/>
    <m/>
    <x v="0"/>
    <d v="2019-11-25T00:00:00"/>
    <n v="81750"/>
    <s v="Familia Castillo Mena"/>
    <s v="emmecas@hotmail.com"/>
    <s v="Calle Güigüe Nro. 88-101"/>
    <s v="Cancelación Vigilancia, mes de Noviembre 2019"/>
    <x v="0"/>
    <m/>
    <s v="02553"/>
    <s v="25 de noviembre de 2019"/>
    <n v="25"/>
    <x v="36"/>
    <s v="81.750,00"/>
    <e v="#NAME?"/>
  </r>
  <r>
    <n v="2554"/>
    <m/>
    <x v="0"/>
    <d v="2019-11-24T00:00:00"/>
    <n v="73500"/>
    <s v="Jocsan Orta Correa"/>
    <s v="carlos_arturox@hotmail.com"/>
    <s v="Av. &quot;L&quot; anexo de Los Tronquitos"/>
    <s v="Cancelación Vigilancia, mes de Noviembre 2019"/>
    <x v="0"/>
    <m/>
    <s v="02554"/>
    <s v="24 de noviembre de 2019"/>
    <n v="24"/>
    <x v="36"/>
    <s v="73.500,00"/>
    <e v="#NAME?"/>
  </r>
  <r>
    <n v="2555"/>
    <m/>
    <x v="0"/>
    <d v="2019-11-15T00:00:00"/>
    <n v="28380.000000000004"/>
    <s v="Beatriz Lara"/>
    <s v="arquitectoag@gmail.com"/>
    <s v="Calle Guacara Nro. 89-130"/>
    <s v="Cancelación Vigilancia, saldo mes de Noviembre 2019 (US$ 1,10)"/>
    <x v="0"/>
    <m/>
    <s v="02555"/>
    <s v="15 de noviembre de 2019"/>
    <n v="15"/>
    <x v="36"/>
    <s v="28.380,00"/>
    <e v="#NAME?"/>
  </r>
  <r>
    <n v="2556"/>
    <m/>
    <x v="0"/>
    <d v="2019-11-26T00:00:00"/>
    <n v="100000"/>
    <s v="Familia Durvelle Serrano"/>
    <s v="sdurvelle@hotmail.com"/>
    <s v="Calle Guacara Nro. 89-60"/>
    <s v="Cancelación Vigilancia, mes de Diciembre 2019"/>
    <x v="0"/>
    <m/>
    <s v="02556"/>
    <s v="26 de noviembre de 2019"/>
    <n v="26"/>
    <x v="36"/>
    <s v="100.000,00"/>
    <e v="#NAME?"/>
  </r>
  <r>
    <n v="2557"/>
    <m/>
    <x v="0"/>
    <d v="2019-11-26T00:00:00"/>
    <n v="159299"/>
    <s v="Familia Castillo Rodríguez"/>
    <s v="vesperanzacastillor@gmail.com | emmecas@hotmail.com"/>
    <s v="Calle Güigüe Nro. 88-91"/>
    <s v="Colaboración Vigilancia, meses de Julio 2017 a Octubre 2019"/>
    <x v="0"/>
    <m/>
    <s v="02557"/>
    <s v="26 de noviembre de 2019"/>
    <n v="26"/>
    <x v="36"/>
    <s v="159.299,00"/>
    <e v="#NAME?"/>
  </r>
  <r>
    <n v="2558"/>
    <m/>
    <x v="0"/>
    <d v="2019-11-26T00:00:00"/>
    <n v="81750"/>
    <s v="Familia Castillo Rodríguez"/>
    <s v="vesperanzacastillor@gmail.com | emmecas@hotmail.com"/>
    <s v="Calle Güigüe Nro. 88-91"/>
    <s v="Cancelación Vigilancia, mes de Noviembre 2019"/>
    <x v="0"/>
    <m/>
    <s v="02558"/>
    <s v="26 de noviembre de 2019"/>
    <n v="26"/>
    <x v="36"/>
    <s v="81.750,00"/>
    <e v="#NAME?"/>
  </r>
  <r>
    <n v="2559"/>
    <m/>
    <x v="0"/>
    <d v="2019-11-28T00:00:00"/>
    <n v="81750"/>
    <s v="Familia Soto Urdaneta"/>
    <s v="esotom61@gmail.com"/>
    <s v="Calle Guacara Nro. 89-102"/>
    <s v="Cancelación Vigilancia, mes de Diciembre 2019"/>
    <x v="0"/>
    <m/>
    <s v="02559"/>
    <s v="28 de noviembre de 2019"/>
    <n v="28"/>
    <x v="36"/>
    <s v="81.750,00"/>
    <e v="#NAME?"/>
  </r>
  <r>
    <n v="2560"/>
    <m/>
    <x v="0"/>
    <d v="2019-11-28T00:00:00"/>
    <n v="100000"/>
    <s v="Wu Hung Fung"/>
    <s v="carolinahung24@gmail.com | barbarahung15@hotmail.com"/>
    <s v="Calle Guacara Nro. 90-81"/>
    <s v="Cancelación Vigilancia, mes de Noviembre 2019"/>
    <x v="0"/>
    <m/>
    <s v="02560"/>
    <s v="28 de noviembre de 2019"/>
    <n v="28"/>
    <x v="36"/>
    <s v="100.000,00"/>
    <e v="#NAME?"/>
  </r>
  <r>
    <n v="2561"/>
    <m/>
    <x v="0"/>
    <d v="2019-11-29T00:00:00"/>
    <n v="118540"/>
    <s v="Colegio El Trigal"/>
    <s v="En Físico"/>
    <s v="Calle Güigüe Nros. 88-71 y 88-81"/>
    <s v="Cancelación Vigilancia, mes de Noviembre 2019"/>
    <x v="0"/>
    <m/>
    <s v="02561"/>
    <s v="29 de noviembre de 2019"/>
    <n v="29"/>
    <x v="36"/>
    <s v="118.540,00"/>
    <e v="#NAME?"/>
  </r>
  <r>
    <n v="2562"/>
    <m/>
    <x v="0"/>
    <d v="2019-11-29T00:00:00"/>
    <n v="81750"/>
    <s v="Familia Guerra Miret"/>
    <s v="antoniojguerrag@hotmail.com"/>
    <s v="Calle Güigüe Nro. 89-40"/>
    <s v="Cancelación Vigilancia, mes de Diciembre 2019"/>
    <x v="0"/>
    <m/>
    <s v="02562"/>
    <s v="29 de noviembre de 2019"/>
    <n v="29"/>
    <x v="36"/>
    <s v="81.750,00"/>
    <e v="#NAME?"/>
  </r>
  <r>
    <n v="2563"/>
    <m/>
    <x v="0"/>
    <d v="2019-11-29T00:00:00"/>
    <n v="81750"/>
    <s v="Familia Flores Montagne"/>
    <s v="martaflores@gmail.com"/>
    <s v="Av. &quot;M&quot; Nro. 146-20"/>
    <s v="Cancelación Vigilancia, mes de Noviembre 2019"/>
    <x v="0"/>
    <m/>
    <s v="02563"/>
    <s v="29 de noviembre de 2019"/>
    <n v="29"/>
    <x v="36"/>
    <s v="81.750,00"/>
    <e v="#NAME?"/>
  </r>
  <r>
    <n v="2564"/>
    <m/>
    <x v="0"/>
    <d v="2019-11-29T00:00:00"/>
    <n v="81750"/>
    <s v="Familia Romero"/>
    <s v="almacenajeiri@gmail.com"/>
    <s v="Calle Guacara Nro. 89-50"/>
    <s v="Cancelación Vigilancia, mes de Diciembre 2019"/>
    <x v="0"/>
    <m/>
    <s v="02564"/>
    <s v="29 de noviembre de 2019"/>
    <n v="29"/>
    <x v="36"/>
    <s v="81.750,00"/>
    <e v="#NAME?"/>
  </r>
  <r>
    <n v="2565"/>
    <m/>
    <x v="0"/>
    <d v="2019-11-24T00:00:00"/>
    <n v="73500"/>
    <s v="Ana de González"/>
    <s v="mikelnowak25@gmail.com"/>
    <s v="Av. &quot;O&quot; Nro. 146-17"/>
    <s v="Cancelación Vigilancia, mes de Noviembre 2019"/>
    <x v="0"/>
    <m/>
    <s v="02565"/>
    <s v="24 de noviembre de 2019"/>
    <n v="24"/>
    <x v="36"/>
    <s v="73.500,00"/>
    <e v="#NAME?"/>
  </r>
  <r>
    <n v="2566"/>
    <m/>
    <x v="0"/>
    <d v="2019-11-29T00:00:00"/>
    <n v="81750"/>
    <s v="Familia Fermín Rivas"/>
    <s v="angelferminb@gmail.com"/>
    <s v="Calle Güigüe Nro. 89-55"/>
    <s v="Cancelación Vigilancia, mes de Diciembre 2019"/>
    <x v="0"/>
    <m/>
    <s v="02566"/>
    <s v="29 de noviembre de 2019"/>
    <n v="29"/>
    <x v="36"/>
    <s v="81.750,00"/>
    <e v="#NAME?"/>
  </r>
  <r>
    <n v="2567"/>
    <m/>
    <x v="0"/>
    <d v="2019-11-30T00:00:00"/>
    <n v="81750"/>
    <s v="Familia Del Negro Palermo"/>
    <s v="vdelnegro@gmail.com"/>
    <s v="Calle Guacara Nro. 88-45"/>
    <s v="Cancelación Vigilancia, mes de Diciembre 2019 (saldo a favor: Bs. 325.712,95)"/>
    <x v="0"/>
    <m/>
    <s v="02567"/>
    <s v="30 de noviembre de 2019"/>
    <n v="30"/>
    <x v="36"/>
    <s v="81.750,00"/>
    <e v="#NAME?"/>
  </r>
  <r>
    <n v="2568"/>
    <m/>
    <x v="0"/>
    <d v="2019-11-30T00:00:00"/>
    <n v="81750"/>
    <s v="Familia Wu Acevedo"/>
    <s v="rudyacevedo90@gmail.com"/>
    <s v="Calle Guacara Nro. 88-A-10"/>
    <s v="Cancelación Vigilancia, mes de Diciembre 2019 (saldo a favor: Bs. 64.425,80)"/>
    <x v="0"/>
    <m/>
    <s v="02568"/>
    <s v="30 de noviembre de 2019"/>
    <n v="30"/>
    <x v="36"/>
    <s v="81.750,00"/>
    <e v="#NAME?"/>
  </r>
  <r>
    <n v="2569"/>
    <m/>
    <x v="0"/>
    <d v="2019-11-30T00:00:00"/>
    <n v="81750"/>
    <s v="Familia Colosso Delgado"/>
    <s v="mcolosso@gmail.com"/>
    <s v="Calle Güigüe Nro. 88-44"/>
    <s v="Cancelación Vigilancia, mes de Diciembre 2019"/>
    <x v="0"/>
    <m/>
    <s v="02569"/>
    <s v="30 de noviembre de 2019"/>
    <n v="30"/>
    <x v="36"/>
    <s v="81.750,00"/>
    <e v="#NAME?"/>
  </r>
  <r>
    <n v="2570"/>
    <m/>
    <x v="0"/>
    <d v="2019-11-30T00:00:00"/>
    <n v="81750"/>
    <s v="Amarilis Guerra"/>
    <s v="amarilisguerra1@yahoo.com"/>
    <s v="Calle Güigüe Nro. 89-96"/>
    <s v="Cancelación Vigilancia, mes de Diciembre 2019"/>
    <x v="0"/>
    <m/>
    <s v="02570"/>
    <s v="30 de noviembre de 2019"/>
    <n v="30"/>
    <x v="36"/>
    <s v="81.750,00"/>
    <e v="#NAME?"/>
  </r>
  <r>
    <n v="2571"/>
    <m/>
    <x v="0"/>
    <d v="2019-11-30T00:00:00"/>
    <n v="81750"/>
    <s v="Amparo Acosta"/>
    <s v="amparonatividad@hotmail.com"/>
    <s v="Calle Guacara Nro. 88-65"/>
    <s v="Cancelación Vigilancia, mes de Diciembre 2019"/>
    <x v="0"/>
    <m/>
    <s v="02571"/>
    <s v="30 de noviembre de 2019"/>
    <n v="30"/>
    <x v="36"/>
    <s v="81.750,00"/>
    <e v="#NAME?"/>
  </r>
  <r>
    <n v="2572"/>
    <m/>
    <x v="0"/>
    <d v="2019-12-01T00:00:00"/>
    <n v="32700"/>
    <s v="Familia Franco Gómez"/>
    <s v="eof64@hotmail.com"/>
    <s v="Calle Guacara Nro. 87-07"/>
    <s v="Colaboración Vigilancia, mes de Diciembre 2019"/>
    <x v="0"/>
    <m/>
    <s v="02572"/>
    <s v="01 de diciembre de 2019"/>
    <n v="1"/>
    <x v="37"/>
    <s v="32.700,00"/>
    <e v="#NAME?"/>
  </r>
  <r>
    <n v="2573"/>
    <m/>
    <x v="0"/>
    <d v="2019-12-01T00:00:00"/>
    <n v="81750"/>
    <s v="Héctor Hernández"/>
    <s v="eof64@hotmail.com"/>
    <s v="Calle Guacara Nro. 89-94"/>
    <s v="Cancelación Vigilancia, mes de Diciembre 2019"/>
    <x v="0"/>
    <m/>
    <s v="02573"/>
    <s v="01 de diciembre de 2019"/>
    <n v="1"/>
    <x v="37"/>
    <s v="81.750,00"/>
    <e v="#NAME?"/>
  </r>
  <r>
    <n v="2574"/>
    <m/>
    <x v="0"/>
    <d v="2019-12-01T00:00:00"/>
    <n v="255250"/>
    <s v="Familia Cegarra Villamizar"/>
    <s v="jesus.villamizar.ra@gmail.com"/>
    <s v="Calle Guacara Nro. 88-35"/>
    <s v="Cancelación Vigilancia, meses de Agosto a Noviembre 2019"/>
    <x v="0"/>
    <m/>
    <s v="02574"/>
    <s v="01 de diciembre de 2019"/>
    <n v="1"/>
    <x v="37"/>
    <s v="255.250,00"/>
    <e v="#NAME?"/>
  </r>
  <r>
    <n v="2575"/>
    <m/>
    <x v="0"/>
    <d v="2019-12-01T00:00:00"/>
    <n v="81750"/>
    <s v="Familia Jiménez Navarro"/>
    <s v="joyasonline2012@gmail.com"/>
    <s v="Calle Güigüe Nro. 88-50"/>
    <s v="Cancelación Vigilancia, mes de Noviembre 2019"/>
    <x v="0"/>
    <m/>
    <s v="02575"/>
    <s v="01 de diciembre de 2019"/>
    <n v="1"/>
    <x v="37"/>
    <s v="81.750,00"/>
    <e v="#NAME?"/>
  </r>
  <r>
    <n v="2576"/>
    <m/>
    <x v="0"/>
    <d v="2019-12-01T00:00:00"/>
    <n v="81750"/>
    <s v="Familia Arcia Polanco"/>
    <s v="misipo29@gmail.com"/>
    <s v="Calle Guacara Nro. 89-20"/>
    <s v="Cancelación Vigilancia, mes de Diciembre 2019"/>
    <x v="0"/>
    <m/>
    <s v="02576"/>
    <s v="01 de diciembre de 2019"/>
    <n v="1"/>
    <x v="37"/>
    <s v="81.750,00"/>
    <e v="#NAME?"/>
  </r>
  <r>
    <n v="2577"/>
    <m/>
    <x v="0"/>
    <d v="2019-12-01T00:00:00"/>
    <n v="81750"/>
    <s v="Andrea Valor"/>
    <s v="aavp992@gmail.com"/>
    <s v="Calle Guacara Nro. 88-75"/>
    <s v="Cancelación Vigilancia, mes de Diciembre 2019"/>
    <x v="0"/>
    <m/>
    <s v="02577"/>
    <s v="01 de diciembre de 2019"/>
    <n v="1"/>
    <x v="37"/>
    <s v="81.750,00"/>
    <e v="#NAME?"/>
  </r>
  <r>
    <n v="2578"/>
    <m/>
    <x v="0"/>
    <d v="2019-12-01T00:00:00"/>
    <n v="81750"/>
    <s v="Familia Ochoa Mendoza"/>
    <s v="marisoljudithm@hotmail.com"/>
    <s v="Calle Guacara Nro. 89-130"/>
    <s v="Cancelación Vigilancia, mes de Diciembre 2019"/>
    <x v="0"/>
    <m/>
    <s v="02578"/>
    <s v="01 de diciembre de 2019"/>
    <n v="1"/>
    <x v="37"/>
    <s v="81.750,00"/>
    <e v="#NAME?"/>
  </r>
  <r>
    <n v="2579"/>
    <m/>
    <x v="0"/>
    <d v="2019-12-01T00:00:00"/>
    <n v="81750"/>
    <s v="Familia Hatem Medina"/>
    <s v="hhatem1@hotmail.com"/>
    <s v="Calle Guacara Nro. 88-51"/>
    <s v="Cancelación Vigilancia, mes de Diciembre 2019"/>
    <x v="0"/>
    <m/>
    <s v="02579"/>
    <s v="01 de diciembre de 2019"/>
    <n v="1"/>
    <x v="37"/>
    <s v="81.750,00"/>
    <e v="#NAME?"/>
  </r>
  <r>
    <n v="2580"/>
    <m/>
    <x v="0"/>
    <d v="2019-12-01T00:00:00"/>
    <n v="81750"/>
    <s v="Familia Nava Gordon"/>
    <s v="maru_19_66@hotmail.com"/>
    <s v="Calle Guacara Nro. 89-78"/>
    <s v="Cancelación Vigilancia, saldo mes de Diciembre 2019 y anticipo mes de Enero 2020 (Bs. 2.300)"/>
    <x v="0"/>
    <m/>
    <s v="02580"/>
    <s v="01 de diciembre de 2019"/>
    <n v="1"/>
    <x v="37"/>
    <s v="81.750,00"/>
    <e v="#NAME?"/>
  </r>
  <r>
    <n v="2581"/>
    <m/>
    <x v="0"/>
    <d v="2019-12-01T00:00:00"/>
    <n v="81750"/>
    <s v="Familia Rodríguez Girón"/>
    <s v="daniellegt4@gmail.com"/>
    <s v="Calle Güigüe Nro. 89-22"/>
    <s v="Cancelación Vigilancia, mes de Diciembre 2019"/>
    <x v="0"/>
    <m/>
    <s v="02581"/>
    <s v="01 de diciembre de 2019"/>
    <n v="1"/>
    <x v="37"/>
    <s v="81.750,00"/>
    <e v="#NAME?"/>
  </r>
  <r>
    <n v="2582"/>
    <m/>
    <x v="0"/>
    <d v="2019-12-01T00:00:00"/>
    <n v="81750"/>
    <s v="Familia Triana González"/>
    <s v="En Físico"/>
    <s v="Calle Guacara Nro. 90-61"/>
    <s v="Cancelación Vigilancia, mes de Diciembre 2019"/>
    <x v="0"/>
    <m/>
    <s v="02582"/>
    <s v="01 de diciembre de 2019"/>
    <n v="1"/>
    <x v="37"/>
    <s v="81.750,00"/>
    <e v="#NAME?"/>
  </r>
  <r>
    <n v="2583"/>
    <m/>
    <x v="0"/>
    <d v="2019-12-01T00:00:00"/>
    <n v="81750"/>
    <s v="Familia Delgado Hidalgo"/>
    <s v="ardh@hotmail.com"/>
    <s v="Calle Güigüe Nro. 88-10"/>
    <s v="Cancelación Vigilancia, mes de Diciembre 2019"/>
    <x v="0"/>
    <m/>
    <s v="02583"/>
    <s v="01 de diciembre de 2019"/>
    <n v="1"/>
    <x v="37"/>
    <s v="81.750,00"/>
    <e v="#NAME?"/>
  </r>
  <r>
    <n v="2584"/>
    <m/>
    <x v="0"/>
    <d v="2019-12-01T00:00:00"/>
    <n v="163500"/>
    <s v="Santiago Varela"/>
    <s v="svg0583@gmail.com"/>
    <s v="Av. &quot;M&quot; Nro. 146-30"/>
    <s v="Cancelación Vigilancia, meses de Noviembre y Diciembre 2019"/>
    <x v="0"/>
    <m/>
    <s v="02584"/>
    <s v="01 de diciembre de 2019"/>
    <n v="1"/>
    <x v="37"/>
    <s v="163.500,00"/>
    <e v="#NAME?"/>
  </r>
  <r>
    <n v="2585"/>
    <m/>
    <x v="0"/>
    <d v="2019-12-01T00:00:00"/>
    <n v="80000"/>
    <s v="Victoria Francischiello"/>
    <s v="victoriafrancischiello@hotmail.com"/>
    <s v="Calle Guacara Nro. 88-25"/>
    <s v="Colaboración Vigilancia, meses de Noviembre y Diciembre 2019"/>
    <x v="0"/>
    <m/>
    <s v="02585"/>
    <s v="01 de diciembre de 2019"/>
    <n v="1"/>
    <x v="37"/>
    <s v="80.000,00"/>
    <e v="#NAME?"/>
  </r>
  <r>
    <n v="2586"/>
    <m/>
    <x v="0"/>
    <d v="2019-12-01T00:00:00"/>
    <n v="81750"/>
    <s v="Familia Manrique Riera"/>
    <s v="patriciamanrique@gmail.com"/>
    <s v="Calle Guacara Nro. 89-40"/>
    <s v="Cancelación Vigilancia, mes de Diciembre 2019"/>
    <x v="0"/>
    <m/>
    <s v="02586"/>
    <s v="01 de diciembre de 2019"/>
    <n v="1"/>
    <x v="37"/>
    <s v="81.750,00"/>
    <e v="#NAME?"/>
  </r>
  <r>
    <n v="2587"/>
    <m/>
    <x v="0"/>
    <d v="2019-12-01T00:00:00"/>
    <n v="81750"/>
    <s v="Familia Barreto Pérez"/>
    <s v="bbetsa19@hotmail.com"/>
    <s v="Av. &quot;M&quot; Nro. 146-15"/>
    <s v="Cancelación Vigilancia, mes de Diciembre 2019"/>
    <x v="0"/>
    <m/>
    <s v="02587"/>
    <s v="01 de diciembre de 2019"/>
    <n v="1"/>
    <x v="37"/>
    <s v="81.750,00"/>
    <e v="#NAME?"/>
  </r>
  <r>
    <n v="2588"/>
    <m/>
    <x v="0"/>
    <d v="2019-12-01T00:00:00"/>
    <n v="21000"/>
    <s v="Zoraida Khair"/>
    <s v="zorakhair@hotmail.com | lbracamonte@netuno.net"/>
    <s v="Calle Güigüe Nro. 88-80"/>
    <s v="Cancelación Vigilancia, saldo mes de Noviembre 2019"/>
    <x v="0"/>
    <m/>
    <s v="02588"/>
    <s v="01 de diciembre de 2019"/>
    <n v="1"/>
    <x v="37"/>
    <s v="21.000,00"/>
    <e v="#NAME?"/>
  </r>
  <r>
    <n v="2589"/>
    <m/>
    <x v="0"/>
    <d v="2019-12-01T00:00:00"/>
    <n v="81750"/>
    <s v="Familia Kattar González"/>
    <s v="jagiak123@yahoo.es"/>
    <s v="Calle Güigüe Nro. 89-95"/>
    <s v="Cancelación Vigilancia, mes de Noviembre 2019"/>
    <x v="0"/>
    <m/>
    <s v="02589"/>
    <s v="01 de diciembre de 2019"/>
    <n v="1"/>
    <x v="37"/>
    <s v="81.750,00"/>
    <e v="#NAME?"/>
  </r>
  <r>
    <n v="2590"/>
    <m/>
    <x v="0"/>
    <d v="2019-12-03T00:00:00"/>
    <n v="300000"/>
    <s v="Familia Ferrer Bahri"/>
    <s v="bahrimariela@hotmail.com"/>
    <s v="Calle Güigüe Nro. 89-83"/>
    <s v="Cancelación Vigilancia, meses de Diciembre 2019 y Enero 2020"/>
    <x v="0"/>
    <m/>
    <s v="02590"/>
    <s v="03 de diciembre de 2019"/>
    <n v="3"/>
    <x v="37"/>
    <s v="300.000,00"/>
    <e v="#NAME?"/>
  </r>
  <r>
    <n v="2591"/>
    <m/>
    <x v="0"/>
    <d v="2019-12-03T00:00:00"/>
    <n v="97500"/>
    <s v="Carmen Moreno"/>
    <s v="carmenemoreno10@gmail.com"/>
    <s v="Calle Güigüe Nro. 89-04"/>
    <s v="Cancelación Vigilancia, mes de Diciembre 2019"/>
    <x v="0"/>
    <m/>
    <s v="02591"/>
    <s v="03 de diciembre de 2019"/>
    <n v="3"/>
    <x v="37"/>
    <s v="97.500,00"/>
    <e v="#NAME?"/>
  </r>
  <r>
    <n v="2592"/>
    <m/>
    <x v="0"/>
    <d v="2019-12-03T00:00:00"/>
    <n v="97500"/>
    <s v="Familia Zavarce Barón"/>
    <s v="alexanderzavarce@gmail.com"/>
    <s v="Calle Guacara Nro. 88-91"/>
    <s v="Cancelación Vigilancia, mes de Noviembre 2019"/>
    <x v="0"/>
    <m/>
    <s v="02592"/>
    <s v="03 de diciembre de 2019"/>
    <n v="3"/>
    <x v="37"/>
    <s v="97.500,00"/>
    <e v="#NAME?"/>
  </r>
  <r>
    <n v="2593"/>
    <m/>
    <x v="0"/>
    <d v="2019-12-04T00:00:00"/>
    <n v="40000"/>
    <s v="Familia Chávez Hernández"/>
    <s v="mercedesch23@hotmail.com"/>
    <s v="Calle Güigüe Nro. 88-20"/>
    <s v="Colaboración Vigilancia, meses de Noviembre y Diciembre 2019"/>
    <x v="0"/>
    <m/>
    <s v="02593"/>
    <s v="04 de diciembre de 2019"/>
    <n v="4"/>
    <x v="37"/>
    <s v="40.000,00"/>
    <e v="#NAME?"/>
  </r>
  <r>
    <n v="2594"/>
    <m/>
    <x v="0"/>
    <d v="2019-12-04T00:00:00"/>
    <n v="97500"/>
    <s v="Familia Matta Palomino"/>
    <s v="En Físico"/>
    <s v="Calle Güigüe Nro. 88-90"/>
    <s v="Cancelación Vigilancia, mes de Noviembre 2019"/>
    <x v="0"/>
    <m/>
    <s v="02594"/>
    <s v="04 de diciembre de 2019"/>
    <n v="4"/>
    <x v="37"/>
    <s v="97.500,00"/>
    <e v="#NAME?"/>
  </r>
  <r>
    <n v="2595"/>
    <m/>
    <x v="0"/>
    <d v="2019-12-04T00:00:00"/>
    <n v="20000"/>
    <s v="Familia Rivero"/>
    <s v="En Físico"/>
    <s v="Calle Güigüe Nro. 88-40"/>
    <s v="Colaboración Vigilancia, mes de Noviembre 2019"/>
    <x v="0"/>
    <m/>
    <s v="02595"/>
    <s v="04 de diciembre de 2019"/>
    <n v="4"/>
    <x v="37"/>
    <s v="20.000,00"/>
    <e v="#NAME?"/>
  </r>
  <r>
    <n v="2596"/>
    <m/>
    <x v="0"/>
    <d v="2019-12-05T00:00:00"/>
    <n v="35000"/>
    <s v="Familia Méndez Parra"/>
    <s v="briceidademendez@gmail.com"/>
    <s v="Calle Guacara Nro. 88-19"/>
    <s v="Colaboración Vigilancia, mes de Diciembre 2019"/>
    <x v="0"/>
    <m/>
    <s v="02596"/>
    <s v="05 de diciembre de 2019"/>
    <n v="5"/>
    <x v="37"/>
    <s v="35.000,00"/>
    <e v="#NAME?"/>
  </r>
  <r>
    <n v="2597"/>
    <m/>
    <x v="0"/>
    <d v="2019-12-06T00:00:00"/>
    <n v="97500"/>
    <s v="Beatriz Lara"/>
    <s v="arquitectoag@gmail.com"/>
    <s v="Calle Guacara Nro. 89-130"/>
    <s v="Cancelación Vigilancia, mes de Diciembre 2019"/>
    <x v="0"/>
    <m/>
    <s v="02597"/>
    <s v="06 de diciembre de 2019"/>
    <n v="6"/>
    <x v="37"/>
    <s v="97.500,00"/>
    <e v="#NAME?"/>
  </r>
  <r>
    <n v="2598"/>
    <m/>
    <x v="0"/>
    <d v="2019-12-06T00:00:00"/>
    <n v="97500"/>
    <s v="Familia Martínez Boada"/>
    <s v="florcitakmz@gmail.com"/>
    <s v="Calle Güigüe Nro. 88-62"/>
    <s v="Colaboración Vigilancia, meses de Octubre, Noviembre y Diciembre 2019"/>
    <x v="0"/>
    <m/>
    <s v="02598"/>
    <s v="06 de diciembre de 2019"/>
    <n v="6"/>
    <x v="37"/>
    <s v="97.500,00"/>
    <e v="#NAME?"/>
  </r>
  <r>
    <n v="2599"/>
    <m/>
    <x v="0"/>
    <d v="2019-12-06T00:00:00"/>
    <n v="97500"/>
    <s v="Dra. Lilia Magallanes"/>
    <s v="liliamagallanes2010@gmail.com"/>
    <s v="Calle Güigüe Nro. 88-51"/>
    <s v="Cancelación Vigilancia, mes de Diciembre 2019"/>
    <x v="0"/>
    <m/>
    <s v="02599"/>
    <s v="06 de diciembre de 2019"/>
    <n v="6"/>
    <x v="37"/>
    <s v="97.500,00"/>
    <e v="#NAME?"/>
  </r>
  <r>
    <n v="2600"/>
    <m/>
    <x v="1"/>
    <d v="2019-12-07T00:00:00"/>
    <n v="195000"/>
    <s v="Jocsan Orta Correa"/>
    <s v="carlos_arturox@hotmail.com"/>
    <s v="Av. &quot;L&quot; anexo de Los Tronquitos"/>
    <s v="ANULADO: Cancelación Vigilancia, saldo mes de Noviembre, Diciembre 2019 y anticipo mes de Enero 2020 (Bs. 77.100)"/>
    <x v="3"/>
    <m/>
    <s v="02600"/>
    <s v="07 de diciembre de 2019"/>
    <n v="7"/>
    <x v="37"/>
    <s v="195.000,00"/>
    <e v="#NAME?"/>
  </r>
  <r>
    <n v="2601"/>
    <m/>
    <x v="0"/>
    <d v="2019-12-07T00:00:00"/>
    <n v="148000"/>
    <s v="Familia Lomeña Agudo"/>
    <s v="claudialomena@hotmail.com"/>
    <s v="Calle Guacara Nro. 89-30"/>
    <s v="Cancelación Vigilancia, mes de Diciembre 2019"/>
    <x v="0"/>
    <m/>
    <s v="02601"/>
    <s v="07 de diciembre de 2019"/>
    <n v="7"/>
    <x v="37"/>
    <s v="148.000,00"/>
    <e v="#NAME?"/>
  </r>
  <r>
    <n v="2602"/>
    <m/>
    <x v="0"/>
    <d v="2019-12-07T00:00:00"/>
    <n v="195000"/>
    <s v="Jocsan Orta Correa"/>
    <s v="carlos_arturox@hotmail.com"/>
    <s v="Av. &quot;L&quot; anexo de Los Tronquitos"/>
    <s v="Cancelación Vigilancia, meses de Diciembre 2019 y Enero 2020"/>
    <x v="0"/>
    <m/>
    <s v="02602"/>
    <s v="07 de diciembre de 2019"/>
    <n v="7"/>
    <x v="37"/>
    <s v="195.000,00"/>
    <e v="#NAME?"/>
  </r>
  <r>
    <n v="2603"/>
    <m/>
    <x v="0"/>
    <d v="2019-12-09T00:00:00"/>
    <n v="105500"/>
    <s v="Familia Navarro Assing"/>
    <s v="liliaassing@gmail.com"/>
    <s v="Calle Güigüe Nro. 88-54"/>
    <s v="Cancelación Vigilancia, mes de Diciembre 2019"/>
    <x v="0"/>
    <m/>
    <s v="02603"/>
    <s v="09 de diciembre de 2019"/>
    <n v="9"/>
    <x v="37"/>
    <s v="105.500,00"/>
    <e v="#NAME?"/>
  </r>
  <r>
    <n v="2604"/>
    <m/>
    <x v="0"/>
    <d v="2019-12-09T00:00:00"/>
    <n v="105250"/>
    <s v="Familia Castro Jiménez"/>
    <s v="aurycastrojimenez@gmail.com"/>
    <s v="Calle Guacara Nro. 90-51"/>
    <s v="Cancelación Vigilancia, mes de Diciembre 2019"/>
    <x v="0"/>
    <m/>
    <s v="02604"/>
    <s v="09 de diciembre de 2019"/>
    <n v="9"/>
    <x v="37"/>
    <s v="105.250,00"/>
    <e v="#NAME?"/>
  </r>
  <r>
    <n v="2605"/>
    <m/>
    <x v="0"/>
    <d v="2019-12-03T00:00:00"/>
    <n v="97500"/>
    <s v="Familia Loponte Arteaga"/>
    <s v="En Físico"/>
    <s v="Calle Güigüe Nro. 88-120"/>
    <s v="Cancelación Vigilancia, mes de Diciembre 2019"/>
    <x v="0"/>
    <m/>
    <s v="02605"/>
    <s v="03 de diciembre de 2019"/>
    <n v="3"/>
    <x v="37"/>
    <s v="97.500,00"/>
    <e v="#NAME?"/>
  </r>
  <r>
    <n v="2606"/>
    <m/>
    <x v="0"/>
    <d v="2019-12-10T00:00:00"/>
    <n v="105250"/>
    <s v="Familia López Hermoso"/>
    <s v="lopez.humberto14@yahoo.com.ve"/>
    <s v="Calle Güigüe Nro. 89-79"/>
    <s v="Cancelación Vigilancia, mes de Diciembre 2019 (saldo a favor: Bs. 200,00)"/>
    <x v="0"/>
    <m/>
    <s v="02606"/>
    <s v="10 de diciembre de 2019"/>
    <n v="10"/>
    <x v="37"/>
    <s v="105.250,00"/>
    <e v="#NAME?"/>
  </r>
  <r>
    <n v="2607"/>
    <m/>
    <x v="0"/>
    <d v="2019-12-11T00:00:00"/>
    <n v="105250"/>
    <s v="Ely Saúl Rivero Gómez"/>
    <s v="hhs.admon@gmail.com"/>
    <s v="Av. &quot;Ñ&quot; Nro. 145-25"/>
    <s v="Cancelación Vigilancia, mes de Diciembre 2019 (saldo a favor: Bs. 138.202,00)"/>
    <x v="0"/>
    <m/>
    <s v="02607"/>
    <s v="11 de diciembre de 2019"/>
    <n v="11"/>
    <x v="37"/>
    <s v="105.250,00"/>
    <e v="#NAME?"/>
  </r>
  <r>
    <n v="2608"/>
    <m/>
    <x v="0"/>
    <d v="2019-12-11T00:00:00"/>
    <n v="2387000"/>
    <s v="Familia Chávez Moncada"/>
    <s v="alechavezmoncada@gmail.com"/>
    <s v="Calle Guacara Nro. 88-95"/>
    <s v="Cancelación Vigilancia, meses de Enero 2016 a Diciembre 2019"/>
    <x v="0"/>
    <m/>
    <s v="02608"/>
    <s v="11 de diciembre de 2019"/>
    <n v="11"/>
    <x v="37"/>
    <s v="2.387.000,00"/>
    <e v="#NAME?"/>
  </r>
  <r>
    <n v="2609"/>
    <m/>
    <x v="1"/>
    <d v="2019-12-11T00:00:00"/>
    <n v="2387000"/>
    <s v="Familia Chávez Moncada"/>
    <s v="alechavezmoncada@gmail.com"/>
    <s v="Calle Guacara Nro. 88-95"/>
    <s v="SOLVENCIA: Cancelación Vigilancia, meses de Enero 2016 a Diciembre 2019"/>
    <x v="14"/>
    <m/>
    <s v="02609"/>
    <s v="11 de diciembre de 2019"/>
    <n v="11"/>
    <x v="37"/>
    <s v="2.387.000,00"/>
    <e v="#NAME?"/>
  </r>
  <r>
    <n v="2610"/>
    <m/>
    <x v="0"/>
    <d v="2019-12-12T00:00:00"/>
    <n v="60000"/>
    <s v="Gloria Molina"/>
    <s v="glomola2@yahoo.es"/>
    <s v="Calle Güigüe Nro. 89-71"/>
    <s v="Cancelación Vigilancia, mes de Noviembre 2019"/>
    <x v="0"/>
    <m/>
    <s v="02610"/>
    <s v="12 de diciembre de 2019"/>
    <n v="12"/>
    <x v="37"/>
    <s v="60.000,00"/>
    <e v="#NAME?"/>
  </r>
  <r>
    <n v="2611"/>
    <m/>
    <x v="0"/>
    <d v="2019-12-12T00:00:00"/>
    <n v="105250"/>
    <s v="Familia Alonso Rojas"/>
    <s v="redjc01@gmail.com"/>
    <s v="Calle Güigüe Nro. 89-54"/>
    <s v="Cancelación Vigilancia, mes de Diciembre 2019"/>
    <x v="0"/>
    <m/>
    <s v="02611"/>
    <s v="12 de diciembre de 2019"/>
    <n v="12"/>
    <x v="37"/>
    <s v="105.250,00"/>
    <e v="#NAME?"/>
  </r>
  <r>
    <n v="2612"/>
    <m/>
    <x v="0"/>
    <d v="2019-12-12T00:00:00"/>
    <n v="105250"/>
    <s v="Familia Milanés Carmona"/>
    <s v="yndira11m@gmail.com"/>
    <s v="Calle Güigüe Nro. 89-65"/>
    <s v="Cancelación Vigilancia, mes de Diciembre 2019"/>
    <x v="0"/>
    <m/>
    <s v="02612"/>
    <s v="12 de diciembre de 2019"/>
    <n v="12"/>
    <x v="37"/>
    <s v="105.250,00"/>
    <e v="#NAME?"/>
  </r>
  <r>
    <n v="2613"/>
    <m/>
    <x v="0"/>
    <d v="2019-12-08T00:00:00"/>
    <n v="141375"/>
    <s v="Colegio El Trigal"/>
    <s v="En Físico"/>
    <s v="Calle Güigüe Nros. 88-71 y 88-81"/>
    <s v="Cancelación Vigilancia, mes de Diciembre 2019"/>
    <x v="0"/>
    <m/>
    <s v="02613"/>
    <s v="08 de diciembre de 2019"/>
    <n v="8"/>
    <x v="37"/>
    <s v="141.375,00"/>
    <e v="#NAME?"/>
  </r>
  <r>
    <n v="2614"/>
    <m/>
    <x v="0"/>
    <d v="2019-12-13T00:00:00"/>
    <n v="105250"/>
    <s v="Familia Machado Stoppa"/>
    <s v="machadoru@hotmail.com | marisa2710chardan@gmail.com"/>
    <s v="Calle Guacara Nro. 88-85"/>
    <s v="Cancelación Vigilancia, mes de Diciembre 2019"/>
    <x v="0"/>
    <m/>
    <s v="02614"/>
    <s v="13 de diciembre de 2019"/>
    <n v="13"/>
    <x v="37"/>
    <s v="105.250,00"/>
    <e v="#NAME?"/>
  </r>
  <r>
    <n v="2615"/>
    <m/>
    <x v="0"/>
    <d v="2019-12-13T00:00:00"/>
    <n v="210500"/>
    <s v="Familia Puerta Burguillos"/>
    <s v="namaricakes@gmail.com"/>
    <s v="Calle Guacara Nro. 87-100"/>
    <s v="Cancelación Vigilancia, mes de Diciembre 2019"/>
    <x v="0"/>
    <m/>
    <s v="02615"/>
    <s v="13 de diciembre de 2019"/>
    <n v="13"/>
    <x v="37"/>
    <s v="210.500,00"/>
    <e v="#NAME?"/>
  </r>
  <r>
    <n v="2616"/>
    <m/>
    <x v="0"/>
    <d v="2019-12-13T00:00:00"/>
    <n v="105250"/>
    <s v="Familia Hurtado"/>
    <s v="hurtadomilena@gmail.com"/>
    <s v="Av. &quot;O&quot; Nro. 146-11"/>
    <s v="Cancelación Vigilancia, mes de Noviembre 2019. Transferencia Banesco nro. 11672199428"/>
    <x v="0"/>
    <m/>
    <s v="02616"/>
    <s v="13 de diciembre de 2019"/>
    <n v="13"/>
    <x v="37"/>
    <s v="105.250,00"/>
    <e v="#NAME?"/>
  </r>
  <r>
    <n v="2617"/>
    <m/>
    <x v="0"/>
    <d v="2019-12-17T00:00:00"/>
    <n v="105250"/>
    <s v="Familia Acosta Carpio"/>
    <s v="pablo962@hotmail.com"/>
    <s v="Calle Güigüe Nro. 89-10"/>
    <s v="Cancelación Vigilancia, mes de Diciembre 2019"/>
    <x v="0"/>
    <m/>
    <s v="02617"/>
    <s v="17 de diciembre de 2019"/>
    <n v="17"/>
    <x v="37"/>
    <s v="105.250,00"/>
    <e v="#NAME?"/>
  </r>
  <r>
    <n v="2618"/>
    <m/>
    <x v="0"/>
    <d v="2019-12-05T00:00:00"/>
    <n v="97500"/>
    <s v="Chin Chun Ya (Goya)"/>
    <s v="uc2721@gmail.com"/>
    <s v="Calle Guacara Nro. 87-86"/>
    <s v="Cancelación Vigilancia, mes de Diciembre 2019"/>
    <x v="0"/>
    <m/>
    <s v="02618"/>
    <s v="05 de diciembre de 2019"/>
    <n v="5"/>
    <x v="37"/>
    <s v="97.500,00"/>
    <e v="#NAME?"/>
  </r>
  <r>
    <n v="2619"/>
    <m/>
    <x v="0"/>
    <d v="2019-12-06T00:00:00"/>
    <n v="97500"/>
    <s v="Sra. Reina Meléndez"/>
    <s v="olgajipe@gmail.com"/>
    <s v="Av. &quot;M&quot; Nro. 145-10"/>
    <s v="Cancelación Vigilancia, mes de Diciembre 2019"/>
    <x v="0"/>
    <m/>
    <s v="02619"/>
    <s v="06 de diciembre de 2019"/>
    <n v="6"/>
    <x v="37"/>
    <s v="97.500,00"/>
    <e v="#NAME?"/>
  </r>
  <r>
    <n v="2620"/>
    <m/>
    <x v="0"/>
    <d v="2019-12-19T00:00:00"/>
    <n v="105250"/>
    <s v="Familia Gascón Domínguez"/>
    <s v="vrgascon@gmail.com"/>
    <s v="Calle Güigüe Nro. 88-70"/>
    <s v="Cancelación Vigilancia, mes de Diciembre 2019"/>
    <x v="0"/>
    <m/>
    <s v="02620"/>
    <s v="19 de diciembre de 2019"/>
    <n v="19"/>
    <x v="37"/>
    <s v="105.250,00"/>
    <e v="#NAME?"/>
  </r>
  <r>
    <n v="2621"/>
    <m/>
    <x v="0"/>
    <d v="2019-12-20T00:00:00"/>
    <n v="106000"/>
    <s v="Familia Montilla García"/>
    <s v="dairy252525@hotmail.com"/>
    <s v="Calle Güigüe Nro. 89-90"/>
    <s v="Cancelación Vigilancia, mes de Diciembre 2019"/>
    <x v="0"/>
    <m/>
    <s v="02621"/>
    <s v="20 de diciembre de 2019"/>
    <n v="20"/>
    <x v="37"/>
    <s v="106.000,00"/>
    <e v="#NAME?"/>
  </r>
  <r>
    <n v="2622"/>
    <m/>
    <x v="0"/>
    <d v="2019-12-20T00:00:00"/>
    <n v="105250"/>
    <s v="Familia Chan García"/>
    <s v="chanalberto10@hotmail.com | endrinagarciah@gmail.com"/>
    <s v="Calle Güigüe Nro. 89-106"/>
    <s v="Cancelación Vigilancia, mes de Diciembre 2019"/>
    <x v="0"/>
    <m/>
    <s v="02622"/>
    <s v="20 de diciembre de 2019"/>
    <n v="20"/>
    <x v="37"/>
    <s v="105.250,00"/>
    <e v="#NAME?"/>
  </r>
  <r>
    <n v="2623"/>
    <m/>
    <x v="0"/>
    <d v="2019-12-19T00:00:00"/>
    <n v="105250"/>
    <s v="Familia Zavarce Barón"/>
    <s v="alexanderzavarce@gmail.com"/>
    <s v="Calle Guacara Nro. 88-91"/>
    <s v="Cancelación Vigilancia, mes de Diciembre 2019"/>
    <x v="0"/>
    <m/>
    <s v="02623"/>
    <s v="19 de diciembre de 2019"/>
    <n v="19"/>
    <x v="37"/>
    <s v="105.250,00"/>
    <e v="#NAME?"/>
  </r>
  <r>
    <n v="2624"/>
    <m/>
    <x v="1"/>
    <d v="2019-12-21T00:00:00"/>
    <n v="105250"/>
    <s v="Familia Castillo Rodríguez"/>
    <s v="vesperanzacastillor@gmail.com | emmecas@hotmail.com"/>
    <s v="Calle Güigüe Nro. 88-91"/>
    <s v="Cancelación Vigilancia, mes de Diciembre 2019"/>
    <x v="3"/>
    <m/>
    <s v="02624"/>
    <s v="21 de diciembre de 2019"/>
    <n v="21"/>
    <x v="37"/>
    <s v="105.250,00"/>
    <e v="#NAME?"/>
  </r>
  <r>
    <n v="2625"/>
    <m/>
    <x v="0"/>
    <d v="2019-12-21T00:00:00"/>
    <n v="105250"/>
    <s v="Familia Abbinante Pinto"/>
    <s v="abbinante47@gmail.com"/>
    <s v="Calle Güigüe Nro. 89-120"/>
    <s v="Cancelación Vigilancia, mes de Diciembre 2019"/>
    <x v="0"/>
    <m/>
    <s v="02625"/>
    <s v="21 de diciembre de 2019"/>
    <n v="21"/>
    <x v="37"/>
    <s v="105.250,00"/>
    <e v="#NAME?"/>
  </r>
  <r>
    <n v="2626"/>
    <m/>
    <x v="0"/>
    <d v="2019-12-23T00:00:00"/>
    <n v="210500"/>
    <s v="Familia Zavarce Pérez"/>
    <s v="En Físico"/>
    <s v="Calle Guacara Nro. 90-35"/>
    <s v="Cancelación Vigilancia, meses de Diciembre 2019 y Enero 2020"/>
    <x v="0"/>
    <m/>
    <s v="02626"/>
    <s v="23 de diciembre de 2019"/>
    <n v="23"/>
    <x v="37"/>
    <s v="210.500,00"/>
    <e v="#NAME?"/>
  </r>
  <r>
    <n v="2627"/>
    <m/>
    <x v="0"/>
    <d v="2019-12-13T00:00:00"/>
    <n v="20000"/>
    <s v="Zoraida Khair"/>
    <s v="zorakhair@hotmail.com | lbracamonte@netuno.net"/>
    <s v="Calle Güigüe Nro. 88-80"/>
    <s v="Colaboración Vigilancia, mes de Diciembre 2019"/>
    <x v="0"/>
    <m/>
    <s v="02627"/>
    <s v="13 de diciembre de 2019"/>
    <n v="13"/>
    <x v="37"/>
    <s v="20.000,00"/>
    <e v="#NAME?"/>
  </r>
  <r>
    <n v="2628"/>
    <m/>
    <x v="0"/>
    <d v="2019-12-26T00:00:00"/>
    <n v="105250"/>
    <s v="Familia Costermani Terrer"/>
    <s v="claudiacostermani@hotmail.com"/>
    <s v="Calle Güigüe Nro. 88-11"/>
    <s v="Cancelación Vigilancia, mes de Diciembre 2019"/>
    <x v="0"/>
    <m/>
    <s v="02628"/>
    <s v="26 de diciembre de 2019"/>
    <n v="26"/>
    <x v="37"/>
    <s v="105.250,00"/>
    <e v="#NAME?"/>
  </r>
  <r>
    <n v="2629"/>
    <m/>
    <x v="0"/>
    <d v="2019-12-26T00:00:00"/>
    <n v="20000"/>
    <s v="Zoraida Khair"/>
    <s v="zorakhair@hotmail.com | lbracamonte@netuno.net"/>
    <s v="Calle Güigüe Nro. 88-80"/>
    <s v="Colaboración Vigilancia, mes de Diciembre 2019"/>
    <x v="0"/>
    <m/>
    <s v="02629"/>
    <s v="26 de diciembre de 2019"/>
    <n v="26"/>
    <x v="37"/>
    <s v="20.000,00"/>
    <e v="#NAME?"/>
  </r>
  <r>
    <n v="2630"/>
    <m/>
    <x v="0"/>
    <d v="2019-12-21T00:00:00"/>
    <n v="105250"/>
    <s v="Familia Castillo Mena"/>
    <s v="emmecas@hotmail.com"/>
    <s v="Calle Güigüe Nro. 88-101"/>
    <s v="Cancelación Vigilancia, mes de Diciembre 2019"/>
    <x v="0"/>
    <m/>
    <s v="02630"/>
    <s v="21 de diciembre de 2019"/>
    <n v="21"/>
    <x v="37"/>
    <s v="105.250,00"/>
    <e v="#NAME?"/>
  </r>
  <r>
    <n v="2631"/>
    <m/>
    <x v="0"/>
    <d v="2019-12-30T00:00:00"/>
    <n v="105250"/>
    <s v="Familia Guerra Miret"/>
    <s v="antoniojguerrag@hotmail.com"/>
    <s v="Calle Güigüe Nro. 89-40"/>
    <s v="Cancelación Vigilancia, mes de Enero 2020"/>
    <x v="0"/>
    <m/>
    <s v="02631"/>
    <s v="30 de diciembre de 2019"/>
    <n v="30"/>
    <x v="37"/>
    <s v="105.250,00"/>
    <e v="#NAME?"/>
  </r>
  <r>
    <n v="2632"/>
    <m/>
    <x v="0"/>
    <d v="2019-12-30T00:00:00"/>
    <n v="105250"/>
    <s v="Familia Flores Montagne"/>
    <s v="martaflores@gmail.com"/>
    <s v="Av. &quot;M&quot; Nro. 146-20"/>
    <s v="Cancelación Vigilancia, mes de Diciembre 2019"/>
    <x v="0"/>
    <m/>
    <s v="02632"/>
    <s v="30 de diciembre de 2019"/>
    <n v="30"/>
    <x v="37"/>
    <s v="105.250,00"/>
    <e v="#NAME?"/>
  </r>
  <r>
    <n v="2633"/>
    <m/>
    <x v="0"/>
    <d v="2019-12-08T00:00:00"/>
    <n v="97500"/>
    <s v="Familia Kablan Sarmiento"/>
    <s v="norisjsb56@hotmail.com"/>
    <s v="Calle Güigüe Nro. 89-80"/>
    <s v="Cancelación Vigilancia, saldo mes de Diciembre 2019"/>
    <x v="0"/>
    <m/>
    <s v="02633"/>
    <s v="08 de diciembre de 2019"/>
    <n v="8"/>
    <x v="37"/>
    <s v="97.500,00"/>
    <e v="#NAME?"/>
  </r>
  <r>
    <n v="2634"/>
    <m/>
    <x v="0"/>
    <d v="2020-01-01T00:00:00"/>
    <n v="60000"/>
    <s v="Gloria Molina"/>
    <s v="glomola2@yahoo.es"/>
    <s v="Calle Güigüe Nro. 89-71"/>
    <s v="Colaboración Vigilancia, mes de Diciembre 2019"/>
    <x v="0"/>
    <m/>
    <s v="02634"/>
    <s v="01 de enero de 2020"/>
    <n v="1"/>
    <x v="38"/>
    <s v="60.000,00"/>
    <e v="#NAME?"/>
  </r>
  <r>
    <n v="2635"/>
    <m/>
    <x v="0"/>
    <d v="2020-01-04T00:00:00"/>
    <n v="136250"/>
    <s v="Familia Arcia Polanco"/>
    <s v="misipo29@gmail.com"/>
    <s v="Calle Guacara Nro. 89-20"/>
    <s v="Cancelación Vigilancia, mes de Enero 2020"/>
    <x v="0"/>
    <m/>
    <s v="02635"/>
    <s v="04 de enero de 2020"/>
    <n v="4"/>
    <x v="38"/>
    <s v="136.250,00"/>
    <e v="#NAME?"/>
  </r>
  <r>
    <n v="2636"/>
    <m/>
    <x v="0"/>
    <d v="2020-01-04T00:00:00"/>
    <n v="136250"/>
    <s v="Beatriz Lara"/>
    <s v="arquitectoag@gmail.com"/>
    <s v="Calle Guacara Nro. 89-130"/>
    <s v="Cancelación Vigilancia, mes de Enero 2020"/>
    <x v="0"/>
    <m/>
    <s v="02636"/>
    <s v="04 de enero de 2020"/>
    <n v="4"/>
    <x v="38"/>
    <s v="136.250,00"/>
    <e v="#NAME?"/>
  </r>
  <r>
    <n v="2637"/>
    <m/>
    <x v="0"/>
    <d v="2020-01-04T00:00:00"/>
    <n v="136250"/>
    <s v="Familia Rodríguez Girón"/>
    <s v="daniellegt4@gmail.com"/>
    <s v="Calle Güigüe Nro. 89-22"/>
    <s v="Cancelación Vigilancia, mes de Enero 2020"/>
    <x v="0"/>
    <m/>
    <s v="02637"/>
    <s v="04 de enero de 2020"/>
    <n v="4"/>
    <x v="38"/>
    <s v="136.250,00"/>
    <e v="#NAME?"/>
  </r>
  <r>
    <n v="2638"/>
    <m/>
    <x v="0"/>
    <d v="2020-01-04T00:00:00"/>
    <n v="136250"/>
    <s v="Familia Matta Palomino"/>
    <s v="En Físico"/>
    <s v="Calle Güigüe Nro. 88-90"/>
    <s v="Cancelación Vigilancia, mes de Diciembre 2019"/>
    <x v="0"/>
    <m/>
    <s v="02638"/>
    <s v="04 de enero de 2020"/>
    <n v="4"/>
    <x v="38"/>
    <s v="136.250,00"/>
    <e v="#NAME?"/>
  </r>
  <r>
    <n v="2639"/>
    <m/>
    <x v="0"/>
    <d v="2020-01-04T00:00:00"/>
    <n v="136250"/>
    <s v="Amparo Acosta"/>
    <s v="amparonatividad@hotmail.com"/>
    <s v="Calle Guacara Nro. 88-65"/>
    <s v="Cancelación Vigilancia, mes de Enero 2020"/>
    <x v="0"/>
    <m/>
    <s v="02639"/>
    <s v="04 de enero de 2020"/>
    <n v="4"/>
    <x v="38"/>
    <s v="136.250,00"/>
    <e v="#NAME?"/>
  </r>
  <r>
    <n v="2640"/>
    <m/>
    <x v="0"/>
    <d v="2020-01-04T00:00:00"/>
    <n v="136250"/>
    <s v="Familia Del Negro Palermo"/>
    <s v="vdelnegro@gmail.com"/>
    <s v="Calle Guacara Nro. 88-45"/>
    <s v="Cancelación Vigilancia, mes de Enero 2020 (saldo a favor: Bs. 189.462,95)"/>
    <x v="0"/>
    <m/>
    <s v="02640"/>
    <s v="04 de enero de 2020"/>
    <n v="4"/>
    <x v="38"/>
    <s v="136.250,00"/>
    <e v="#NAME?"/>
  </r>
  <r>
    <n v="2641"/>
    <m/>
    <x v="0"/>
    <d v="2020-01-04T00:00:00"/>
    <n v="136250"/>
    <s v="Ely Saúl Rivero Gómez"/>
    <s v="hhs.admon@gmail.com"/>
    <s v="Av. &quot;Ñ&quot; Nro. 145-25"/>
    <s v="Cancelación Vigilancia, mes de Enero 2020 (saldo a favor: Bs. 1.952,00)"/>
    <x v="0"/>
    <m/>
    <s v="02641"/>
    <s v="04 de enero de 2020"/>
    <n v="4"/>
    <x v="38"/>
    <s v="136.250,00"/>
    <e v="#NAME?"/>
  </r>
  <r>
    <n v="2642"/>
    <m/>
    <x v="0"/>
    <d v="2020-01-03T00:00:00"/>
    <n v="105250"/>
    <s v="Familia Soto Urdaneta"/>
    <s v="esotom61@gmail.com"/>
    <s v="Calle Guacara Nro. 89-102"/>
    <s v="Cancelación Vigilancia, anticipo mes de Enero 2020"/>
    <x v="0"/>
    <m/>
    <s v="02642"/>
    <s v="03 de enero de 2020"/>
    <n v="3"/>
    <x v="38"/>
    <s v="105.250,00"/>
    <e v="#NAME?"/>
  </r>
  <r>
    <n v="2643"/>
    <m/>
    <x v="0"/>
    <d v="2020-01-04T00:00:00"/>
    <n v="31000"/>
    <s v="Familia Soto Urdaneta"/>
    <s v="esotom61@gmail.com"/>
    <s v="Calle Guacara Nro. 89-102"/>
    <s v="Cancelación Vigilancia, saldo mes de Enero 2020"/>
    <x v="0"/>
    <m/>
    <s v="02643"/>
    <s v="04 de enero de 2020"/>
    <n v="4"/>
    <x v="38"/>
    <s v="31.000,00"/>
    <e v="#NAME?"/>
  </r>
  <r>
    <n v="2644"/>
    <m/>
    <x v="0"/>
    <d v="2020-01-04T00:00:00"/>
    <n v="136250"/>
    <s v="Familia Narváez Caldera"/>
    <s v="jeannette_nc@yahoo.com"/>
    <s v="Calle Güigüe Nro. 87-A-11"/>
    <s v="Cancelación Vigilancia, mes de Enero 2020"/>
    <x v="0"/>
    <m/>
    <s v="02644"/>
    <s v="04 de enero de 2020"/>
    <n v="4"/>
    <x v="38"/>
    <s v="136.250,00"/>
    <e v="#NAME?"/>
  </r>
  <r>
    <n v="2645"/>
    <m/>
    <x v="0"/>
    <d v="2020-01-05T00:00:00"/>
    <n v="136250"/>
    <s v="Familia Colosso Delgado"/>
    <s v="mcolosso@gmail.com"/>
    <s v="Calle Güigüe Nro. 88-44"/>
    <s v="Cancelación Vigilancia, mes de Enero 2020"/>
    <x v="0"/>
    <m/>
    <s v="02645"/>
    <s v="05 de enero de 2020"/>
    <n v="5"/>
    <x v="38"/>
    <s v="136.250,00"/>
    <e v="#NAME?"/>
  </r>
  <r>
    <n v="2646"/>
    <m/>
    <x v="0"/>
    <d v="2020-01-05T00:00:00"/>
    <n v="136250"/>
    <s v="Familia Delgado Hidalgo"/>
    <s v="ardh@hotmail.com"/>
    <s v="Calle Güigüe Nro. 88-10"/>
    <s v="Cancelación Vigilancia, mes de Enero 2020"/>
    <x v="0"/>
    <m/>
    <s v="02646"/>
    <s v="05 de enero de 2020"/>
    <n v="5"/>
    <x v="38"/>
    <s v="136.250,00"/>
    <e v="#NAME?"/>
  </r>
  <r>
    <n v="2647"/>
    <m/>
    <x v="0"/>
    <d v="2020-01-02T00:00:00"/>
    <n v="105250"/>
    <s v="Familia Hurtado"/>
    <s v="hurtadomilena@gmail.com"/>
    <s v="Av. &quot;O&quot; Nro. 146-11"/>
    <s v="Cancelación Vigilancia, mes de Diciembre 2019. Transferencia Banesco nro. 11711787408"/>
    <x v="0"/>
    <m/>
    <s v="02647"/>
    <s v="02 de enero de 2020"/>
    <n v="2"/>
    <x v="38"/>
    <s v="105.250,00"/>
    <e v="#NAME?"/>
  </r>
  <r>
    <n v="2648"/>
    <m/>
    <x v="0"/>
    <d v="2020-01-06T00:00:00"/>
    <n v="136250"/>
    <s v="Familia Fermín Rivas"/>
    <s v="angelferminb@gmail.com"/>
    <s v="Calle Güigüe Nro. 89-55"/>
    <s v="Cancelación Vigilancia, mes de Enero 2020"/>
    <x v="0"/>
    <m/>
    <s v="02648"/>
    <s v="06 de enero de 2020"/>
    <n v="6"/>
    <x v="38"/>
    <s v="136.250,00"/>
    <e v="#NAME?"/>
  </r>
  <r>
    <n v="2649"/>
    <m/>
    <x v="0"/>
    <d v="2020-01-06T00:00:00"/>
    <n v="137000"/>
    <s v="Familia Montilla García"/>
    <s v="dairy252525@hotmail.com"/>
    <s v="Calle Güigüe Nro. 89-90"/>
    <s v="Cancelación Vigilancia, mes de Enero 2020"/>
    <x v="0"/>
    <m/>
    <s v="02649"/>
    <s v="06 de enero de 2020"/>
    <n v="6"/>
    <x v="38"/>
    <s v="137.000,00"/>
    <e v="#NAME?"/>
  </r>
  <r>
    <n v="2650"/>
    <m/>
    <x v="0"/>
    <d v="2020-01-06T00:00:00"/>
    <n v="136250"/>
    <s v="Familia Loponte Arteaga"/>
    <s v="En Físico"/>
    <s v="Calle Güigüe Nro. 88-120"/>
    <s v="Cancelación Vigilancia, mes de Enero 2020"/>
    <x v="0"/>
    <m/>
    <s v="02650"/>
    <s v="06 de enero de 2020"/>
    <n v="6"/>
    <x v="38"/>
    <s v="136.250,00"/>
    <e v="#NAME?"/>
  </r>
  <r>
    <n v="2651"/>
    <m/>
    <x v="0"/>
    <d v="2020-01-06T00:00:00"/>
    <n v="137000"/>
    <s v="Familia Kattar González"/>
    <s v="jagiak123@yahoo.es"/>
    <s v="Calle Güigüe Nro. 89-95"/>
    <s v="Cancelación Vigilancia, mes de Diciembre 2019"/>
    <x v="0"/>
    <m/>
    <s v="02651"/>
    <s v="06 de enero de 2020"/>
    <n v="6"/>
    <x v="38"/>
    <s v="137.000,00"/>
    <e v="#NAME?"/>
  </r>
  <r>
    <n v="2652"/>
    <m/>
    <x v="0"/>
    <d v="2020-01-07T00:00:00"/>
    <n v="175000"/>
    <s v="Chin Chun Ya (Goya)"/>
    <s v="uc2721@gmail.com"/>
    <s v="Calle Guacara Nro. 87-86"/>
    <s v="Cancelación Vigilancia, mes de Enero y anticipo Febrero 2020"/>
    <x v="0"/>
    <m/>
    <s v="02652"/>
    <s v="07 de enero de 2020"/>
    <n v="7"/>
    <x v="38"/>
    <s v="175.000,00"/>
    <e v="#NAME?"/>
  </r>
  <r>
    <n v="2653"/>
    <m/>
    <x v="0"/>
    <d v="2020-01-08T00:00:00"/>
    <n v="136250"/>
    <s v="Dra. Lilia Magallanes"/>
    <s v="liliamagallanes2010@gmail.com"/>
    <s v="Calle Güigüe Nro. 88-51"/>
    <s v="Cancelación Vigilancia, mes de Enero 2020"/>
    <x v="0"/>
    <m/>
    <s v="02653"/>
    <s v="08 de enero de 2020"/>
    <n v="8"/>
    <x v="38"/>
    <s v="136.250,00"/>
    <e v="#NAME?"/>
  </r>
  <r>
    <n v="2654"/>
    <m/>
    <x v="0"/>
    <d v="2020-01-09T00:00:00"/>
    <n v="136250"/>
    <s v="Amarilis Guerra"/>
    <s v="amarilisguerra1@yahoo.com"/>
    <s v="Calle Güigüe Nro. 89-96"/>
    <s v="Cancelación Vigilancia, mes de Enero 2020"/>
    <x v="0"/>
    <m/>
    <s v="02654"/>
    <s v="09 de enero de 2020"/>
    <n v="9"/>
    <x v="38"/>
    <s v="136.250,00"/>
    <e v="#NAME?"/>
  </r>
  <r>
    <n v="2655"/>
    <m/>
    <x v="0"/>
    <d v="2020-01-09T00:00:00"/>
    <n v="136250"/>
    <s v="Familia Lomeña Agudo"/>
    <s v="claudialomena@hotmail.com"/>
    <s v="Calle Guacara Nro. 89-30"/>
    <s v="Cancelación Vigilancia, mes de Enero 2020"/>
    <x v="0"/>
    <m/>
    <s v="02655"/>
    <s v="09 de enero de 2020"/>
    <n v="9"/>
    <x v="38"/>
    <s v="136.250,00"/>
    <e v="#NAME?"/>
  </r>
  <r>
    <n v="2656"/>
    <m/>
    <x v="0"/>
    <d v="2020-01-09T00:00:00"/>
    <n v="136250"/>
    <s v="Familia Nava Gordon"/>
    <s v="maru_19_66@hotmail.com"/>
    <s v="Calle Guacara Nro. 89-78"/>
    <s v="Cancelación Vigilancia, mes de Enero y anticipo mes de Febrero 2020 (Bs. 2.300)"/>
    <x v="0"/>
    <m/>
    <s v="02656"/>
    <s v="09 de enero de 2020"/>
    <n v="9"/>
    <x v="38"/>
    <s v="136.250,00"/>
    <e v="#NAME?"/>
  </r>
  <r>
    <n v="2657"/>
    <m/>
    <x v="0"/>
    <d v="2020-01-09T00:00:00"/>
    <n v="136250"/>
    <s v="Familia Barreto Pérez"/>
    <s v="bbetsa19@hotmail.com"/>
    <s v="Av. &quot;M&quot; Nro. 146-15"/>
    <s v="Cancelación Vigilancia, mes de Enero 2020"/>
    <x v="0"/>
    <m/>
    <s v="02657"/>
    <s v="09 de enero de 2020"/>
    <n v="9"/>
    <x v="38"/>
    <s v="136.250,00"/>
    <e v="#NAME?"/>
  </r>
  <r>
    <n v="2658"/>
    <m/>
    <x v="0"/>
    <d v="2020-01-09T00:00:00"/>
    <n v="141952"/>
    <s v="Ely Saúl Rivero Gómez"/>
    <s v="hhs.admon@gmail.com"/>
    <s v="Av. &quot;Ñ&quot; Nro. 145-25"/>
    <s v="Cancelación Vigilancia, anticipo mes de Febrero 2020 (saldo a favor: Bs. 0,00)"/>
    <x v="0"/>
    <m/>
    <s v="02658"/>
    <s v="09 de enero de 2020"/>
    <n v="9"/>
    <x v="38"/>
    <s v="141.952,00"/>
    <e v="#NAME?"/>
  </r>
  <r>
    <n v="2659"/>
    <m/>
    <x v="0"/>
    <d v="2020-01-09T00:00:00"/>
    <n v="136250"/>
    <s v="Familia González Arévalo"/>
    <s v="feryenis@hotmail.com"/>
    <s v="Calle Guacara Nro. 89-86"/>
    <s v="Cancelación Vigilancia, mes de Enero 2020"/>
    <x v="0"/>
    <m/>
    <s v="02659"/>
    <s v="09 de enero de 2020"/>
    <n v="9"/>
    <x v="38"/>
    <s v="136.250,00"/>
    <e v="#NAME?"/>
  </r>
  <r>
    <n v="2660"/>
    <m/>
    <x v="0"/>
    <d v="2020-01-10T00:00:00"/>
    <n v="197575"/>
    <s v="Colegio El Trigal"/>
    <s v="En Físico"/>
    <s v="Calle Güigüe Nros. 88-71 y 88-81"/>
    <s v="Cancelación Vigilancia, mes de Enero 2020"/>
    <x v="0"/>
    <m/>
    <s v="02660"/>
    <s v="10 de enero de 2020"/>
    <n v="10"/>
    <x v="38"/>
    <s v="197.575,00"/>
    <e v="#NAME?"/>
  </r>
  <r>
    <n v="2661"/>
    <m/>
    <x v="0"/>
    <d v="2020-01-11T00:00:00"/>
    <n v="136250"/>
    <s v="Carmen Moreno"/>
    <s v="carmenemoreno10@gmail.com"/>
    <s v="Calle Güigüe Nro. 89-04"/>
    <s v="Cancelación Vigilancia, mes de Enero 2020"/>
    <x v="0"/>
    <m/>
    <s v="02661"/>
    <s v="11 de enero de 2020"/>
    <n v="11"/>
    <x v="38"/>
    <s v="136.250,00"/>
    <e v="#NAME?"/>
  </r>
  <r>
    <n v="2662"/>
    <m/>
    <x v="0"/>
    <d v="2020-01-10T00:00:00"/>
    <n v="80000"/>
    <s v="Familia Méndez Parra"/>
    <s v="briceidademendez@gmail.com"/>
    <s v="Calle Guacara Nro. 88-19"/>
    <s v="Colaboración Vigilancia, mes de Enero 2020"/>
    <x v="0"/>
    <m/>
    <s v="02662"/>
    <s v="10 de enero de 2020"/>
    <n v="10"/>
    <x v="38"/>
    <s v="80.000,00"/>
    <e v="#NAME?"/>
  </r>
  <r>
    <n v="2663"/>
    <m/>
    <x v="0"/>
    <d v="2020-01-11T00:00:00"/>
    <n v="136250"/>
    <s v="Familia Machado Stoppa"/>
    <s v="machadoru@hotmail.com | marisa2710chardan@gmail.com"/>
    <s v="Calle Guacara Nro. 88-85"/>
    <s v="Cancelación Vigilancia, mes de Enero 2020"/>
    <x v="0"/>
    <m/>
    <s v="02663"/>
    <s v="11 de enero de 2020"/>
    <n v="11"/>
    <x v="38"/>
    <s v="136.250,00"/>
    <e v="#NAME?"/>
  </r>
  <r>
    <n v="2664"/>
    <m/>
    <x v="0"/>
    <d v="2020-01-11T00:00:00"/>
    <n v="136250"/>
    <s v="Familia Ochoa Mendoza"/>
    <s v="marisoljudithm@hotmail.com"/>
    <s v="Calle Guacara Nro. 89-130"/>
    <s v="Cancelación Vigilancia, mes de Enero 2020"/>
    <x v="0"/>
    <m/>
    <s v="02664"/>
    <s v="11 de enero de 2020"/>
    <n v="11"/>
    <x v="38"/>
    <s v="136.250,00"/>
    <e v="#NAME?"/>
  </r>
  <r>
    <n v="2665"/>
    <m/>
    <x v="0"/>
    <d v="2020-01-11T00:00:00"/>
    <n v="210000"/>
    <s v="Familia Jiménez de Avila"/>
    <s v="meji2333@gmail.com"/>
    <s v="Calle Güigüe Nro. 89-116"/>
    <s v="Colaboración Vigilancia, meses de Enero a Marzo 2020"/>
    <x v="0"/>
    <m/>
    <s v="02665"/>
    <s v="11 de enero de 2020"/>
    <n v="11"/>
    <x v="38"/>
    <s v="210.000,00"/>
    <e v="#NAME?"/>
  </r>
  <r>
    <n v="2666"/>
    <m/>
    <x v="0"/>
    <d v="2020-01-11T00:00:00"/>
    <n v="136250"/>
    <s v="Familia Kablan Sarmiento"/>
    <s v="norisjsb56@hotmail.com"/>
    <s v="Calle Güigüe Nro. 89-80"/>
    <s v="Cancelación Vigilancia, mes de Enero 2020"/>
    <x v="0"/>
    <m/>
    <s v="02666"/>
    <s v="11 de enero de 2020"/>
    <n v="11"/>
    <x v="38"/>
    <s v="136.250,00"/>
    <e v="#NAME?"/>
  </r>
  <r>
    <n v="2667"/>
    <m/>
    <x v="0"/>
    <d v="2020-01-13T00:00:00"/>
    <n v="136250"/>
    <s v="Familia Triana González"/>
    <s v="En Físico"/>
    <s v="Calle Guacara Nro. 90-61"/>
    <s v="Cancelación Vigilancia, mes de Enero 2020"/>
    <x v="0"/>
    <m/>
    <s v="02667"/>
    <s v="13 de enero de 2020"/>
    <n v="13"/>
    <x v="38"/>
    <s v="136.250,00"/>
    <e v="#NAME?"/>
  </r>
  <r>
    <n v="2668"/>
    <m/>
    <x v="0"/>
    <d v="2020-01-15T00:00:00"/>
    <n v="136250"/>
    <s v="Familia Abbinante Pinto"/>
    <s v="abbinante47@gmail.com"/>
    <s v="Calle Güigüe Nro. 89-120"/>
    <s v="Cancelación Vigilancia, mes de Enero 2020"/>
    <x v="0"/>
    <m/>
    <s v="02668"/>
    <s v="15 de enero de 2020"/>
    <n v="15"/>
    <x v="38"/>
    <s v="136.250,00"/>
    <e v="#NAME?"/>
  </r>
  <r>
    <n v="2669"/>
    <m/>
    <x v="0"/>
    <d v="2020-01-15T00:00:00"/>
    <n v="30000"/>
    <s v="Zoraida Khair"/>
    <s v="zorakhair@hotmail.com | lbracamonte@netuno.net"/>
    <s v="Calle Güigüe Nro. 88-80"/>
    <s v="Colaboración Vigilancia, anticipo mes de Enero 2020"/>
    <x v="0"/>
    <m/>
    <s v="02669"/>
    <s v="15 de enero de 2020"/>
    <n v="15"/>
    <x v="38"/>
    <s v="30.000,00"/>
    <e v="#NAME?"/>
  </r>
  <r>
    <n v="2670"/>
    <m/>
    <x v="0"/>
    <d v="2020-01-17T00:00:00"/>
    <n v="136250"/>
    <s v="Andrea Valor"/>
    <s v="aavp992@gmail.com"/>
    <s v="Calle Guacara Nro. 88-75"/>
    <s v="Cancelación Vigilancia, mes de Enero 2020"/>
    <x v="0"/>
    <m/>
    <s v="02670"/>
    <s v="17 de enero de 2020"/>
    <n v="17"/>
    <x v="38"/>
    <s v="136.250,00"/>
    <e v="#NAME?"/>
  </r>
  <r>
    <n v="2671"/>
    <m/>
    <x v="0"/>
    <d v="2020-01-21T00:00:00"/>
    <n v="136250"/>
    <s v="Familia Milanés Carmona"/>
    <s v="yndira11m@gmail.com"/>
    <s v="Calle Güigüe Nro. 89-65"/>
    <s v="Cancelación Vigilancia, mes de Enero 2020"/>
    <x v="0"/>
    <m/>
    <s v="02671"/>
    <s v="21 de enero de 2020"/>
    <n v="21"/>
    <x v="38"/>
    <s v="136.250,00"/>
    <e v="#NAME?"/>
  </r>
  <r>
    <n v="2672"/>
    <m/>
    <x v="0"/>
    <d v="2020-01-21T00:00:00"/>
    <n v="273000"/>
    <s v="Familia Jiménez Navarro"/>
    <s v="joyasonline2012@gmail.com"/>
    <s v="Calle Güigüe Nro. 88-50"/>
    <s v="Cancelación Vigilancia, meses de Diciembre 2019 y Enero 2020"/>
    <x v="0"/>
    <m/>
    <s v="02672"/>
    <s v="21 de enero de 2020"/>
    <n v="21"/>
    <x v="38"/>
    <s v="273.000,00"/>
    <e v="#NAME?"/>
  </r>
  <r>
    <n v="2673"/>
    <m/>
    <x v="0"/>
    <d v="2020-01-22T00:00:00"/>
    <n v="136250"/>
    <s v="Familia Puerta Burguillos"/>
    <s v="namaricakes@gmail.com"/>
    <s v="Calle Guacara Nro. 87-100"/>
    <s v="Cancelación Vigilancia, mes de Enero 2020"/>
    <x v="0"/>
    <m/>
    <s v="02673"/>
    <s v="22 de enero de 2020"/>
    <n v="22"/>
    <x v="38"/>
    <s v="136.250,00"/>
    <e v="#NAME?"/>
  </r>
  <r>
    <n v="2674"/>
    <m/>
    <x v="0"/>
    <d v="2020-01-07T00:00:00"/>
    <n v="136250"/>
    <s v="Ana de González"/>
    <s v="mikelnowak25@gmail.com"/>
    <s v="Av. &quot;O&quot; Nro. 146-17"/>
    <s v="Cancelación Vigilancia, mes de Noviembre 2019"/>
    <x v="0"/>
    <m/>
    <s v="02674"/>
    <s v="07 de enero de 2020"/>
    <n v="7"/>
    <x v="38"/>
    <s v="136.250,00"/>
    <e v="#NAME?"/>
  </r>
  <r>
    <n v="2675"/>
    <m/>
    <x v="0"/>
    <d v="2020-01-04T00:00:00"/>
    <n v="54500"/>
    <s v="Familia Franco Gómez"/>
    <s v="eof64@hotmail.com"/>
    <s v="Calle Guacara Nro. 87-07"/>
    <s v="Colaboración Vigilancia, mes de Diciembre 2019"/>
    <x v="0"/>
    <m/>
    <s v="02675"/>
    <s v="04 de enero de 2020"/>
    <n v="4"/>
    <x v="38"/>
    <s v="54.500,00"/>
    <e v="#NAME?"/>
  </r>
  <r>
    <n v="2676"/>
    <m/>
    <x v="0"/>
    <d v="2020-01-04T00:00:00"/>
    <n v="136250"/>
    <s v="Héctor Hernández"/>
    <s v="eof64@hotmail.com"/>
    <s v="Calle Guacara Nro. 89-94"/>
    <s v="Cancelación Vigilancia, mes de Diciembre 2019"/>
    <x v="0"/>
    <m/>
    <s v="02676"/>
    <s v="04 de enero de 2020"/>
    <n v="4"/>
    <x v="38"/>
    <s v="136.250,00"/>
    <e v="#NAME?"/>
  </r>
  <r>
    <n v="2677"/>
    <m/>
    <x v="0"/>
    <d v="2020-01-22T00:00:00"/>
    <n v="105250"/>
    <s v="Familia Piñero Padilla"/>
    <s v="achepaul2005@hotmail.com"/>
    <s v="Calle Güigüe Nro. 89-21"/>
    <s v="Cancelación Vigilancia, anticipo mes de Diciembre 2019"/>
    <x v="0"/>
    <m/>
    <s v="02677"/>
    <s v="22 de enero de 2020"/>
    <n v="22"/>
    <x v="38"/>
    <s v="105.250,00"/>
    <e v="#NAME?"/>
  </r>
  <r>
    <n v="2678"/>
    <m/>
    <x v="0"/>
    <d v="2020-01-22T00:00:00"/>
    <n v="136000"/>
    <s v="Victoria Francischiello"/>
    <s v="victoriafrancischiello@hotmail.com"/>
    <s v="Calle Guacara Nro. 88-25"/>
    <s v="Colaboración Vigilancia, mes de Enero 2020"/>
    <x v="0"/>
    <m/>
    <s v="02678"/>
    <s v="22 de enero de 2020"/>
    <n v="22"/>
    <x v="38"/>
    <s v="136.000,00"/>
    <e v="#NAME?"/>
  </r>
  <r>
    <n v="2679"/>
    <m/>
    <x v="0"/>
    <d v="2020-01-22T00:00:00"/>
    <n v="136250"/>
    <s v="Familia Wu Acevedo"/>
    <s v="rudyacevedo90@gmail.com"/>
    <s v="Calle Guacara Nro. 88-A-10"/>
    <s v="Cancelación Vigilancia, mes de Enero 2020 (saldo a favor Bs. 64.405,80)"/>
    <x v="0"/>
    <m/>
    <s v="02679"/>
    <s v="22 de enero de 2020"/>
    <n v="22"/>
    <x v="38"/>
    <s v="136.250,00"/>
    <e v="#NAME?"/>
  </r>
  <r>
    <n v="2680"/>
    <m/>
    <x v="0"/>
    <d v="2020-01-22T00:00:00"/>
    <n v="64405.8"/>
    <s v="Familia Wu Acevedo"/>
    <s v="rudyacevedo90@gmail.com"/>
    <s v="Calle Guacara Nro. 88-A-10"/>
    <s v="Cancelación Vigilancia, anticipo mes de Febrero 2020 (saldo a favor Bs. 0,00)"/>
    <x v="0"/>
    <m/>
    <s v="02680"/>
    <s v="22 de enero de 2020"/>
    <n v="22"/>
    <x v="38"/>
    <s v="64.405,80"/>
    <e v="#NAME?"/>
  </r>
  <r>
    <n v="2681"/>
    <m/>
    <x v="0"/>
    <d v="2020-01-23T00:00:00"/>
    <n v="136250"/>
    <s v="Familia Manrique Riera"/>
    <s v="patriciamanrique@gmail.com"/>
    <s v="Calle Guacara Nro. 89-40"/>
    <s v="Cancelación Vigilancia, mes de Enero 2020"/>
    <x v="0"/>
    <m/>
    <s v="02681"/>
    <s v="23 de enero de 2020"/>
    <n v="23"/>
    <x v="38"/>
    <s v="136.250,00"/>
    <e v="#NAME?"/>
  </r>
  <r>
    <n v="2682"/>
    <m/>
    <x v="0"/>
    <d v="2020-01-23T00:00:00"/>
    <n v="136250"/>
    <s v="Familia Alonso Rojas"/>
    <s v="redjc01@gmail.com"/>
    <s v="Calle Güigüe Nro. 89-54"/>
    <s v="Cancelación Vigilancia, mes de Enero 2020"/>
    <x v="0"/>
    <m/>
    <s v="02682"/>
    <s v="23 de enero de 2020"/>
    <n v="23"/>
    <x v="38"/>
    <s v="136.250,00"/>
    <e v="#NAME?"/>
  </r>
  <r>
    <n v="2683"/>
    <m/>
    <x v="0"/>
    <d v="2020-01-23T00:00:00"/>
    <n v="136250"/>
    <s v="Familia Brito Viana"/>
    <s v="0424-496.2884"/>
    <s v="Calle Guacara Nro. 88-95"/>
    <s v="Cancelación Vigilancia, mes de Enero 2020"/>
    <x v="0"/>
    <m/>
    <s v="02683"/>
    <s v="23 de enero de 2020"/>
    <n v="23"/>
    <x v="38"/>
    <s v="136.250,00"/>
    <e v="#NAME?"/>
  </r>
  <r>
    <n v="2684"/>
    <m/>
    <x v="0"/>
    <d v="2020-01-23T00:00:00"/>
    <n v="136250"/>
    <s v="Familia Chan García"/>
    <s v="chanalberto10@hotmail.com | endrinagarciah@gmail.com"/>
    <s v="Calle Güigüe Nro. 89-106"/>
    <s v="Cancelación Vigilancia, mes de Enero 2020"/>
    <x v="0"/>
    <m/>
    <s v="02684"/>
    <s v="23 de enero de 2020"/>
    <n v="23"/>
    <x v="38"/>
    <s v="136.250,00"/>
    <e v="#NAME?"/>
  </r>
  <r>
    <n v="2685"/>
    <m/>
    <x v="1"/>
    <d v="2020-01-24T00:00:00"/>
    <n v="144200"/>
    <s v="Familia Navarro Assing"/>
    <s v="liliaassing@gmail.com"/>
    <s v="Calle Güigüe Nro. 88-54"/>
    <s v="Cancelación Vigilancia, mes de Diciembre 2019"/>
    <x v="3"/>
    <m/>
    <s v="02685"/>
    <s v="24 de enero de 2020"/>
    <n v="24"/>
    <x v="38"/>
    <s v="144.200,00"/>
    <e v="#NAME?"/>
  </r>
  <r>
    <n v="2686"/>
    <m/>
    <x v="0"/>
    <d v="2020-01-24T00:00:00"/>
    <n v="144200"/>
    <s v="Familia Navarro Assing"/>
    <s v="liliaassing@gmail.com"/>
    <s v="Calle Güigüe Nro. 88-54"/>
    <s v="Cancelación Vigilancia, mes de Enero y anticipo mes de Febrero 2020 (Bs. 7.950)"/>
    <x v="0"/>
    <m/>
    <s v="02686"/>
    <s v="24 de enero de 2020"/>
    <n v="24"/>
    <x v="38"/>
    <s v="144.200,00"/>
    <e v="#NAME?"/>
  </r>
  <r>
    <n v="2687"/>
    <m/>
    <x v="0"/>
    <d v="2020-01-23T00:00:00"/>
    <n v="136250"/>
    <s v="Sra. Reina Meléndez"/>
    <s v="olgajipe@gmail.com"/>
    <s v="Av. &quot;M&quot; Nro. 145-10"/>
    <s v="Cancelación Vigilancia, mes de Enero 2020"/>
    <x v="0"/>
    <m/>
    <s v="02687"/>
    <s v="23 de enero de 2020"/>
    <n v="23"/>
    <x v="38"/>
    <s v="136.250,00"/>
    <e v="#NAME?"/>
  </r>
  <r>
    <n v="2688"/>
    <m/>
    <x v="0"/>
    <d v="2020-01-23T00:00:00"/>
    <n v="136250"/>
    <s v="Familia Díaz González"/>
    <s v="luisrdt57@gmail.com"/>
    <s v="Calle Güigüe Nro. 88-116"/>
    <s v="Cancelación Vigilancia, mes de Enero 2020"/>
    <x v="0"/>
    <m/>
    <s v="02688"/>
    <s v="23 de enero de 2020"/>
    <n v="23"/>
    <x v="38"/>
    <s v="136.250,00"/>
    <e v="#NAME?"/>
  </r>
  <r>
    <n v="2689"/>
    <m/>
    <x v="0"/>
    <d v="2020-01-23T00:00:00"/>
    <n v="137000"/>
    <s v="Familia López Hermoso"/>
    <s v="lopez.humberto14@yahoo.com.ve"/>
    <s v="Calle Güigüe Nro. 89-79"/>
    <s v="Cancelación Vigilancia, mes de Enero 2020"/>
    <x v="0"/>
    <m/>
    <s v="02689"/>
    <s v="23 de enero de 2020"/>
    <n v="23"/>
    <x v="38"/>
    <s v="137.000,00"/>
    <e v="#NAME?"/>
  </r>
  <r>
    <n v="2690"/>
    <m/>
    <x v="0"/>
    <d v="2020-01-25T00:00:00"/>
    <n v="135000"/>
    <s v="Familia Durvelle Serrano"/>
    <s v="sdurvelle@hotmail.com"/>
    <s v="Calle Guacara Nro. 89-60"/>
    <s v="Cancelación Vigilancia, anticipo mes de Enero 2020"/>
    <x v="0"/>
    <m/>
    <s v="02690"/>
    <s v="25 de enero de 2020"/>
    <n v="25"/>
    <x v="38"/>
    <s v="135.000,00"/>
    <e v="#NAME?"/>
  </r>
  <r>
    <n v="2691"/>
    <m/>
    <x v="0"/>
    <d v="2020-01-27T00:00:00"/>
    <n v="136250"/>
    <s v="Santiago Varela"/>
    <s v="svg0583@gmail.com"/>
    <s v="Av. &quot;M&quot; Nro. 146-30"/>
    <s v="Cancelación Vigilancia, mes de Enero 2020"/>
    <x v="0"/>
    <m/>
    <s v="02691"/>
    <s v="27 de enero de 2020"/>
    <n v="27"/>
    <x v="38"/>
    <s v="136.250,00"/>
    <e v="#NAME?"/>
  </r>
  <r>
    <n v="2692"/>
    <m/>
    <x v="0"/>
    <d v="2020-01-27T00:00:00"/>
    <n v="136250"/>
    <s v="Familia Hatem Medina"/>
    <s v="hhatem1@hotmail.com"/>
    <s v="Calle Guacara Nro. 88-51"/>
    <s v="Cancelación Vigilancia, mes de Enero 2020"/>
    <x v="0"/>
    <m/>
    <s v="02692"/>
    <s v="27 de enero de 2020"/>
    <n v="27"/>
    <x v="38"/>
    <s v="136.250,00"/>
    <e v="#NAME?"/>
  </r>
  <r>
    <n v="2693"/>
    <m/>
    <x v="0"/>
    <d v="2020-01-26T00:00:00"/>
    <n v="136250"/>
    <s v="Familia Gascón Domínguez"/>
    <s v="vrgascon@gmail.com"/>
    <s v="Calle Güigüe Nro. 88-70"/>
    <s v="Cancelación Vigilancia, mes de Enero 2020"/>
    <x v="0"/>
    <m/>
    <s v="02693"/>
    <s v="26 de enero de 2020"/>
    <n v="26"/>
    <x v="38"/>
    <s v="136.250,00"/>
    <e v="#NAME?"/>
  </r>
  <r>
    <n v="2694"/>
    <m/>
    <x v="0"/>
    <d v="2020-01-29T00:00:00"/>
    <n v="136250"/>
    <s v="Ana de González"/>
    <s v="mikelnowak25@gmail.com"/>
    <s v="Av. &quot;O&quot; Nro. 146-17"/>
    <s v="Cancelación Vigilancia, mes de Enero 2020"/>
    <x v="0"/>
    <m/>
    <s v="02694"/>
    <s v="29 de enero de 2020"/>
    <n v="29"/>
    <x v="38"/>
    <s v="136.250,00"/>
    <e v="#NAME?"/>
  </r>
  <r>
    <n v="2695"/>
    <m/>
    <x v="0"/>
    <d v="2020-01-30T00:00:00"/>
    <n v="136250"/>
    <s v="Familia Flores Montagne"/>
    <s v="martaflores@gmail.com"/>
    <s v="Av. &quot;M&quot; Nro. 146-20"/>
    <s v="Cancelación Vigilancia, mes de Diciembre 2019"/>
    <x v="0"/>
    <m/>
    <s v="02695"/>
    <s v="30 de enero de 2020"/>
    <n v="30"/>
    <x v="38"/>
    <s v="136.250,00"/>
    <e v="#NAME?"/>
  </r>
  <r>
    <n v="2696"/>
    <m/>
    <x v="0"/>
    <d v="2020-01-31T00:00:00"/>
    <n v="300000"/>
    <s v="Wu Hung Fung"/>
    <s v="carolinahung24@gmail.com | barbarahung15@hotmail.com"/>
    <s v="Calle Guacara Nro. 90-81"/>
    <s v="Cancelación Vigilancia, meses de Diciembre 2019 y Enero 2020"/>
    <x v="0"/>
    <m/>
    <s v="02696"/>
    <s v="31 de enero de 2020"/>
    <n v="31"/>
    <x v="38"/>
    <s v="300.000,00"/>
    <e v="#NAME?"/>
  </r>
  <r>
    <n v="2697"/>
    <m/>
    <x v="0"/>
    <d v="2020-01-30T00:00:00"/>
    <n v="136250"/>
    <s v="Familia Costermani Terrer"/>
    <s v="claudiacostermani@hotmail.com"/>
    <s v="Calle Güigüe Nro. 88-11"/>
    <s v="Cancelación Vigilancia, mes de Enero 2020"/>
    <x v="0"/>
    <m/>
    <s v="02697"/>
    <s v="30 de enero de 2020"/>
    <n v="30"/>
    <x v="38"/>
    <s v="136.250,00"/>
    <e v="#NAME?"/>
  </r>
  <r>
    <n v="2698"/>
    <m/>
    <x v="0"/>
    <d v="2020-02-01T00:00:00"/>
    <n v="136250"/>
    <s v="Familia Hurtado"/>
    <s v="hurtadomilena@gmail.com"/>
    <s v="Av. &quot;O&quot; Nro. 146-11"/>
    <s v="Cancelación Vigilancia, mes de Enero 2020. Transferencia Banesco nro. 11755669819"/>
    <x v="0"/>
    <m/>
    <s v="02698"/>
    <s v="01 de febrero de 2020"/>
    <n v="1"/>
    <x v="39"/>
    <s v="136.250,00"/>
    <e v="#NAME?"/>
  </r>
  <r>
    <n v="2699"/>
    <m/>
    <x v="0"/>
    <d v="2020-02-01T00:00:00"/>
    <n v="136250"/>
    <s v="Familia Castillo Mena"/>
    <s v="emmecas@hotmail.com"/>
    <s v="Calle Güigüe Nro. 88-101"/>
    <s v="Cancelación Vigilancia, mes de Enero 2020"/>
    <x v="0"/>
    <m/>
    <s v="02699"/>
    <s v="01 de febrero de 2020"/>
    <n v="1"/>
    <x v="39"/>
    <s v="136.250,00"/>
    <e v="#NAME?"/>
  </r>
  <r>
    <n v="2700"/>
    <m/>
    <x v="0"/>
    <d v="2020-02-02T00:00:00"/>
    <n v="136250"/>
    <s v="Familia Ochoa Mendoza"/>
    <s v="marisoljudithm@hotmail.com"/>
    <s v="Calle Guacara Nro. 89-130"/>
    <s v="Cancelación Vigilancia, mes de Febero 2020"/>
    <x v="0"/>
    <m/>
    <s v="02700"/>
    <s v="02 de febrero de 2020"/>
    <n v="2"/>
    <x v="39"/>
    <s v="136.250,00"/>
    <e v="#NAME?"/>
  </r>
  <r>
    <n v="2701"/>
    <m/>
    <x v="0"/>
    <d v="2020-02-02T00:00:00"/>
    <n v="136250"/>
    <s v="Familia Hatem Medina"/>
    <s v="hhatem1@hotmail.com"/>
    <s v="Calle Guacara Nro. 88-51"/>
    <s v="Cancelación Vigilancia, mes de Febero 2020"/>
    <x v="0"/>
    <m/>
    <s v="02701"/>
    <s v="02 de febrero de 2020"/>
    <n v="2"/>
    <x v="39"/>
    <s v="136.250,00"/>
    <e v="#NAME?"/>
  </r>
  <r>
    <n v="2702"/>
    <m/>
    <x v="0"/>
    <d v="2020-02-02T00:00:00"/>
    <n v="136250"/>
    <s v="Familia Colosso Delgado"/>
    <s v="mcolosso@gmail.com"/>
    <s v="Calle Güigüe Nro. 88-44"/>
    <s v="Cancelación Vigilancia, mes de Febero 2020"/>
    <x v="0"/>
    <m/>
    <s v="02702"/>
    <s v="02 de febrero de 2020"/>
    <n v="2"/>
    <x v="39"/>
    <s v="136.250,00"/>
    <e v="#NAME?"/>
  </r>
  <r>
    <n v="2703"/>
    <m/>
    <x v="0"/>
    <d v="2020-02-02T00:00:00"/>
    <n v="136250"/>
    <s v="Familia Fermín Rivas"/>
    <s v="angelferminb@gmail.com"/>
    <s v="Calle Güigüe Nro. 89-55"/>
    <s v="Cancelación Vigilancia, mes de Febero 2020"/>
    <x v="0"/>
    <m/>
    <s v="02703"/>
    <s v="02 de febrero de 2020"/>
    <n v="2"/>
    <x v="39"/>
    <s v="136.250,00"/>
    <e v="#NAME?"/>
  </r>
  <r>
    <n v="2704"/>
    <m/>
    <x v="0"/>
    <d v="2020-02-02T00:00:00"/>
    <n v="136250"/>
    <s v="Familia Puerta Burguillos"/>
    <s v="namaricakes@gmail.com"/>
    <s v="Calle Guacara Nro. 87-100"/>
    <s v="Cancelación Vigilancia, mes de Febero 2020"/>
    <x v="0"/>
    <m/>
    <s v="02704"/>
    <s v="02 de febrero de 2020"/>
    <n v="2"/>
    <x v="39"/>
    <s v="136.250,00"/>
    <e v="#NAME?"/>
  </r>
  <r>
    <n v="2705"/>
    <m/>
    <x v="0"/>
    <d v="2020-02-02T00:00:00"/>
    <n v="272500"/>
    <s v="Familia Rodríguez Aular"/>
    <s v="vaular@kromi-market.com | mvaular@hotmail.com"/>
    <s v="Calle Güigüe Nro. 88-58"/>
    <s v="Cancelación Vigilancia, meses de Diciembre 2019 y Enero 2020"/>
    <x v="0"/>
    <m/>
    <s v="02705"/>
    <s v="02 de febrero de 2020"/>
    <n v="2"/>
    <x v="39"/>
    <s v="272.500,00"/>
    <e v="#NAME?"/>
  </r>
  <r>
    <n v="2706"/>
    <m/>
    <x v="0"/>
    <d v="2020-02-02T00:00:00"/>
    <n v="107000"/>
    <s v="Zoraida Khair"/>
    <s v="zorakhair@hotmail.com | lbracamonte@netuno.net"/>
    <s v="Calle Güigüe Nro. 88-80"/>
    <s v="Colaboración Vigilancia, saldo mes de Enero 2020"/>
    <x v="0"/>
    <m/>
    <s v="02706"/>
    <s v="02 de febrero de 2020"/>
    <n v="2"/>
    <x v="39"/>
    <s v="107.000,00"/>
    <e v="#NAME?"/>
  </r>
  <r>
    <m/>
    <m/>
    <x v="2"/>
    <m/>
    <m/>
    <m/>
    <m/>
    <m/>
    <m/>
    <x v="15"/>
    <m/>
    <m/>
    <m/>
    <m/>
    <x v="40"/>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600-000000000000}" name="Tabla dinámica1" cacheId="4" applyNumberFormats="0" applyBorderFormats="0" applyFontFormats="0" applyPatternFormats="0" applyAlignmentFormats="0" applyWidthHeightFormats="1" dataCaption="Valores" updatedVersion="6" minRefreshableVersion="3" useAutoFormatting="1" itemPrintTitles="1" createdVersion="5" indent="0" outline="1" outlineData="1" multipleFieldFilters="0" rowHeaderCaption="Fecha" colHeaderCaption="Categoría">
  <location ref="A5:E20" firstHeaderRow="1" firstDataRow="2" firstDataCol="1" rowPageCount="1" colPageCount="1"/>
  <pivotFields count="17">
    <pivotField showAll="0"/>
    <pivotField showAll="0" defaultSubtotal="0"/>
    <pivotField axis="axisPage" multipleItemSelectionAllowed="1" showAll="0">
      <items count="4">
        <item h="1" x="1"/>
        <item x="0"/>
        <item x="2"/>
        <item t="default"/>
      </items>
    </pivotField>
    <pivotField showAll="0"/>
    <pivotField dataField="1" showAll="0"/>
    <pivotField showAll="0"/>
    <pivotField showAll="0"/>
    <pivotField showAll="0"/>
    <pivotField showAll="0"/>
    <pivotField axis="axisCol" showAll="0">
      <items count="18">
        <item x="0"/>
        <item x="4"/>
        <item x="8"/>
        <item x="10"/>
        <item x="11"/>
        <item x="1"/>
        <item x="9"/>
        <item x="2"/>
        <item x="5"/>
        <item x="7"/>
        <item x="15"/>
        <item x="3"/>
        <item m="1" x="16"/>
        <item x="13"/>
        <item x="6"/>
        <item x="12"/>
        <item x="14"/>
        <item t="default"/>
      </items>
    </pivotField>
    <pivotField showAll="0"/>
    <pivotField showAll="0"/>
    <pivotField showAll="0"/>
    <pivotField showAll="0"/>
    <pivotField axis="axisRow" showAll="0">
      <items count="43">
        <item h="1" x="6"/>
        <item h="1" x="0"/>
        <item h="1" x="1"/>
        <item h="1" x="2"/>
        <item h="1" x="3"/>
        <item h="1" x="4"/>
        <item h="1" x="5"/>
        <item h="1" x="7"/>
        <item h="1" x="8"/>
        <item h="1" x="9"/>
        <item h="1" x="10"/>
        <item h="1" x="11"/>
        <item h="1" x="12"/>
        <item h="1" x="13"/>
        <item h="1" x="14"/>
        <item h="1" x="15"/>
        <item h="1" x="16"/>
        <item h="1" x="17"/>
        <item h="1" x="18"/>
        <item h="1" x="19"/>
        <item h="1" x="20"/>
        <item h="1" x="21"/>
        <item h="1" x="22"/>
        <item h="1" x="23"/>
        <item h="1" x="40"/>
        <item h="1" x="24"/>
        <item h="1" x="25"/>
        <item x="26"/>
        <item x="27"/>
        <item x="28"/>
        <item x="29"/>
        <item x="30"/>
        <item x="31"/>
        <item x="32"/>
        <item x="33"/>
        <item x="34"/>
        <item x="35"/>
        <item x="36"/>
        <item x="37"/>
        <item m="1" x="41"/>
        <item x="38"/>
        <item h="1" x="39"/>
        <item t="default"/>
      </items>
    </pivotField>
    <pivotField showAll="0"/>
    <pivotField showAll="0"/>
  </pivotFields>
  <rowFields count="1">
    <field x="14"/>
  </rowFields>
  <rowItems count="14">
    <i>
      <x v="27"/>
    </i>
    <i>
      <x v="28"/>
    </i>
    <i>
      <x v="29"/>
    </i>
    <i>
      <x v="30"/>
    </i>
    <i>
      <x v="31"/>
    </i>
    <i>
      <x v="32"/>
    </i>
    <i>
      <x v="33"/>
    </i>
    <i>
      <x v="34"/>
    </i>
    <i>
      <x v="35"/>
    </i>
    <i>
      <x v="36"/>
    </i>
    <i>
      <x v="37"/>
    </i>
    <i>
      <x v="38"/>
    </i>
    <i>
      <x v="40"/>
    </i>
    <i t="grand">
      <x/>
    </i>
  </rowItems>
  <colFields count="1">
    <field x="9"/>
  </colFields>
  <colItems count="4">
    <i>
      <x/>
    </i>
    <i>
      <x v="6"/>
    </i>
    <i>
      <x v="13"/>
    </i>
    <i t="grand">
      <x/>
    </i>
  </colItems>
  <pageFields count="1">
    <pageField fld="2" hier="-1"/>
  </pageFields>
  <dataFields count="1">
    <dataField name=" " fld="4" baseField="12" baseItem="0" numFmtId="173"/>
  </dataFields>
  <formats count="23">
    <format dxfId="826">
      <pivotArea outline="0" collapsedLevelsAreSubtotals="1" fieldPosition="0"/>
    </format>
    <format dxfId="827">
      <pivotArea dataOnly="0" labelOnly="1" fieldPosition="0">
        <references count="1">
          <reference field="9" count="0"/>
        </references>
      </pivotArea>
    </format>
    <format dxfId="828">
      <pivotArea dataOnly="0" labelOnly="1" grandCol="1" outline="0" fieldPosition="0"/>
    </format>
    <format dxfId="829">
      <pivotArea dataOnly="0" labelOnly="1" fieldPosition="0">
        <references count="1">
          <reference field="14" count="0"/>
        </references>
      </pivotArea>
    </format>
    <format dxfId="830">
      <pivotArea dataOnly="0" labelOnly="1" grandRow="1" outline="0" fieldPosition="0"/>
    </format>
    <format dxfId="831">
      <pivotArea field="14" type="button" dataOnly="0" labelOnly="1" outline="0" axis="axisRow" fieldPosition="0"/>
    </format>
    <format dxfId="832">
      <pivotArea dataOnly="0" labelOnly="1" fieldPosition="0">
        <references count="1">
          <reference field="9" count="11">
            <x v="0"/>
            <x v="1"/>
            <x v="2"/>
            <x v="3"/>
            <x v="4"/>
            <x v="5"/>
            <x v="6"/>
            <x v="7"/>
            <x v="8"/>
            <x v="9"/>
            <x v="11"/>
          </reference>
        </references>
      </pivotArea>
    </format>
    <format dxfId="833">
      <pivotArea dataOnly="0" labelOnly="1" grandCol="1" outline="0" fieldPosition="0"/>
    </format>
    <format dxfId="834">
      <pivotArea dataOnly="0" labelOnly="1" fieldPosition="0">
        <references count="1">
          <reference field="9" count="11">
            <x v="0"/>
            <x v="1"/>
            <x v="2"/>
            <x v="3"/>
            <x v="4"/>
            <x v="5"/>
            <x v="6"/>
            <x v="7"/>
            <x v="8"/>
            <x v="9"/>
            <x v="11"/>
          </reference>
        </references>
      </pivotArea>
    </format>
    <format dxfId="835">
      <pivotArea dataOnly="0" labelOnly="1" grandCol="1" outline="0" fieldPosition="0"/>
    </format>
    <format dxfId="836">
      <pivotArea type="all" dataOnly="0" outline="0" fieldPosition="0"/>
    </format>
    <format dxfId="837">
      <pivotArea type="origin" dataOnly="0" labelOnly="1" outline="0" fieldPosition="0"/>
    </format>
    <format dxfId="838">
      <pivotArea grandCol="1" outline="0" collapsedLevelsAreSubtotals="1" fieldPosition="0"/>
    </format>
    <format dxfId="839">
      <pivotArea field="14" type="button" dataOnly="0" labelOnly="1" outline="0" axis="axisRow" fieldPosition="0"/>
    </format>
    <format dxfId="840">
      <pivotArea dataOnly="0" labelOnly="1" fieldPosition="0">
        <references count="1">
          <reference field="14" count="0"/>
        </references>
      </pivotArea>
    </format>
    <format dxfId="841">
      <pivotArea dataOnly="0" labelOnly="1" grandRow="1" outline="0" fieldPosition="0"/>
    </format>
    <format dxfId="842">
      <pivotArea dataOnly="0" labelOnly="1" fieldPosition="0">
        <references count="1">
          <reference field="9" count="11">
            <x v="0"/>
            <x v="1"/>
            <x v="2"/>
            <x v="3"/>
            <x v="4"/>
            <x v="5"/>
            <x v="6"/>
            <x v="7"/>
            <x v="8"/>
            <x v="9"/>
            <x v="11"/>
          </reference>
        </references>
      </pivotArea>
    </format>
    <format dxfId="843">
      <pivotArea dataOnly="0" labelOnly="1" fieldPosition="0">
        <references count="1">
          <reference field="9" count="11">
            <x v="0"/>
            <x v="1"/>
            <x v="2"/>
            <x v="3"/>
            <x v="4"/>
            <x v="5"/>
            <x v="6"/>
            <x v="7"/>
            <x v="8"/>
            <x v="9"/>
            <x v="11"/>
          </reference>
        </references>
      </pivotArea>
    </format>
    <format dxfId="844">
      <pivotArea type="topRight" dataOnly="0" labelOnly="1" outline="0" offset="G1" fieldPosition="0"/>
    </format>
    <format dxfId="845">
      <pivotArea dataOnly="0" labelOnly="1" grandCol="1" outline="0" fieldPosition="0"/>
    </format>
    <format dxfId="846">
      <pivotArea dataOnly="0" labelOnly="1" grandCol="1" outline="0" fieldPosition="0"/>
    </format>
    <format dxfId="847">
      <pivotArea type="topRight" dataOnly="0" labelOnly="1" outline="0" offset="H1" fieldPosition="0"/>
    </format>
    <format dxfId="848">
      <pivotArea dataOnly="0" labelOnly="1" outline="0" fieldPosition="0">
        <references count="1">
          <reference field="2"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A00-000000000000}" name="Tabla dinámica1" cacheId="3" applyNumberFormats="0" applyBorderFormats="0" applyFontFormats="0" applyPatternFormats="0" applyAlignmentFormats="0" applyWidthHeightFormats="1" dataCaption="Valores" updatedVersion="5" minRefreshableVersion="3" useAutoFormatting="1" itemPrintTitles="1" createdVersion="5" indent="0" outline="1" outlineData="1" multipleFieldFilters="0" rowHeaderCaption="Familia">
  <location ref="A3:C17" firstHeaderRow="1" firstDataRow="2" firstDataCol="1"/>
  <pivotFields count="17">
    <pivotField numFmtId="164" showAll="0"/>
    <pivotField showAll="0" defaultSubtotal="0"/>
    <pivotField showAll="0"/>
    <pivotField showAll="0"/>
    <pivotField showAll="0"/>
    <pivotField axis="axisRow" showAll="0">
      <items count="109">
        <item x="26"/>
        <item h="1" x="77"/>
        <item x="49"/>
        <item x="27"/>
        <item x="19"/>
        <item x="90"/>
        <item x="7"/>
        <item h="1" x="73"/>
        <item x="58"/>
        <item m="1" x="106"/>
        <item m="1" x="102"/>
        <item x="84"/>
        <item x="12"/>
        <item x="39"/>
        <item x="10"/>
        <item x="40"/>
        <item x="41"/>
        <item x="8"/>
        <item x="64"/>
        <item x="74"/>
        <item x="1"/>
        <item x="88"/>
        <item x="0"/>
        <item x="65"/>
        <item x="23"/>
        <item x="6"/>
        <item x="4"/>
        <item x="29"/>
        <item x="14"/>
        <item x="17"/>
        <item x="51"/>
        <item x="56"/>
        <item x="11"/>
        <item x="69"/>
        <item x="60"/>
        <item x="13"/>
        <item x="50"/>
        <item x="34"/>
        <item x="37"/>
        <item x="85"/>
        <item x="43"/>
        <item x="52"/>
        <item m="1" x="101"/>
        <item m="1" x="103"/>
        <item x="80"/>
        <item x="20"/>
        <item x="42"/>
        <item x="5"/>
        <item x="63"/>
        <item x="44"/>
        <item x="3"/>
        <item x="48"/>
        <item x="66"/>
        <item x="2"/>
        <item x="81"/>
        <item h="1" x="79"/>
        <item x="76"/>
        <item x="32"/>
        <item x="45"/>
        <item x="38"/>
        <item x="83"/>
        <item x="24"/>
        <item x="21"/>
        <item x="87"/>
        <item x="33"/>
        <item x="54"/>
        <item x="18"/>
        <item x="78"/>
        <item x="57"/>
        <item x="25"/>
        <item x="86"/>
        <item x="67"/>
        <item x="30"/>
        <item x="46"/>
        <item x="72"/>
        <item x="82"/>
        <item x="53"/>
        <item x="59"/>
        <item m="1" x="104"/>
        <item x="71"/>
        <item x="15"/>
        <item x="89"/>
        <item h="1" x="9"/>
        <item x="28"/>
        <item m="1" x="105"/>
        <item x="55"/>
        <item x="62"/>
        <item x="22"/>
        <item x="16"/>
        <item x="70"/>
        <item x="47"/>
        <item h="1" x="91"/>
        <item h="1" m="1" x="99"/>
        <item h="1" m="1" x="107"/>
        <item h="1" x="92"/>
        <item h="1" x="93"/>
        <item h="1" x="31"/>
        <item h="1" m="1" x="100"/>
        <item h="1" x="36"/>
        <item h="1" x="75"/>
        <item h="1" x="94"/>
        <item h="1" x="35"/>
        <item h="1" x="61"/>
        <item h="1" x="95"/>
        <item h="1" x="96"/>
        <item h="1" x="97"/>
        <item h="1" x="98"/>
        <item h="1" x="68"/>
        <item t="default"/>
      </items>
    </pivotField>
    <pivotField axis="axisCol" showAll="0">
      <items count="97">
        <item h="1" x="68"/>
        <item h="1" x="47"/>
        <item h="1" x="48"/>
        <item h="1" x="59"/>
        <item h="1" x="67"/>
        <item h="1" x="49"/>
        <item h="1" x="8"/>
        <item h="1" x="50"/>
        <item h="1" x="28"/>
        <item h="1" x="77"/>
        <item h="1" x="24"/>
        <item h="1" x="25"/>
        <item h="1" x="4"/>
        <item h="1" x="61"/>
        <item h="1" x="34"/>
        <item h="1" x="58"/>
        <item h="1" x="78"/>
        <item h="1" x="73"/>
        <item h="1" x="13"/>
        <item h="1" x="10"/>
        <item h="1" x="83"/>
        <item h="1" x="2"/>
        <item h="1" x="82"/>
        <item h="1" x="15"/>
        <item h="1" x="76"/>
        <item h="1" x="18"/>
        <item h="1" x="66"/>
        <item h="1" x="37"/>
        <item x="9"/>
        <item h="1" x="14"/>
        <item h="1" x="11"/>
        <item h="1" x="3"/>
        <item h="1" x="31"/>
        <item h="1" x="62"/>
        <item h="1" x="54"/>
        <item h="1" x="65"/>
        <item h="1" x="36"/>
        <item h="1" x="63"/>
        <item h="1" x="81"/>
        <item h="1" x="29"/>
        <item h="1" x="42"/>
        <item h="1" x="57"/>
        <item h="1" x="79"/>
        <item h="1" x="40"/>
        <item h="1" x="70"/>
        <item h="1" x="22"/>
        <item h="1" x="53"/>
        <item h="1" x="39"/>
        <item h="1" x="21"/>
        <item h="1" x="56"/>
        <item h="1" x="19"/>
        <item h="1" x="26"/>
        <item h="1" x="74"/>
        <item h="1" x="35"/>
        <item h="1" x="1"/>
        <item h="1" x="72"/>
        <item h="1" x="64"/>
        <item h="1" x="46"/>
        <item h="1" x="12"/>
        <item h="1" x="30"/>
        <item h="1" x="60"/>
        <item h="1" x="23"/>
        <item h="1" x="16"/>
        <item h="1" x="5"/>
        <item h="1" x="32"/>
        <item h="1" x="45"/>
        <item h="1" x="55"/>
        <item h="1" x="33"/>
        <item h="1" x="41"/>
        <item h="1" x="71"/>
        <item h="1" x="6"/>
        <item h="1" x="43"/>
        <item h="1" x="51"/>
        <item h="1" x="7"/>
        <item h="1" x="17"/>
        <item h="1" x="75"/>
        <item h="1" x="0"/>
        <item h="1" x="38"/>
        <item h="1" x="20"/>
        <item h="1" x="52"/>
        <item h="1" x="27"/>
        <item h="1" x="69"/>
        <item h="1" x="44"/>
        <item h="1" x="80"/>
        <item h="1" x="84"/>
        <item h="1" m="1" x="95"/>
        <item h="1" x="85"/>
        <item h="1" x="86"/>
        <item h="1" x="87"/>
        <item h="1" x="88"/>
        <item h="1" x="89"/>
        <item h="1" x="90"/>
        <item h="1" x="91"/>
        <item h="1" x="92"/>
        <item h="1" x="93"/>
        <item h="1" x="94"/>
        <item t="default"/>
      </items>
    </pivotField>
    <pivotField showAll="0"/>
    <pivotField showAll="0"/>
    <pivotField showAll="0"/>
    <pivotField showAll="0"/>
    <pivotField showAll="0"/>
    <pivotField showAll="0"/>
    <pivotField showAll="0" defaultSubtotal="0"/>
    <pivotField numFmtId="167" showAll="0"/>
    <pivotField showAll="0"/>
    <pivotField showAll="0"/>
  </pivotFields>
  <rowFields count="1">
    <field x="5"/>
  </rowFields>
  <rowItems count="13">
    <i>
      <x v="35"/>
    </i>
    <i>
      <x v="37"/>
    </i>
    <i>
      <x v="41"/>
    </i>
    <i>
      <x v="44"/>
    </i>
    <i>
      <x v="47"/>
    </i>
    <i>
      <x v="51"/>
    </i>
    <i>
      <x v="64"/>
    </i>
    <i>
      <x v="68"/>
    </i>
    <i>
      <x v="71"/>
    </i>
    <i>
      <x v="75"/>
    </i>
    <i>
      <x v="77"/>
    </i>
    <i>
      <x v="89"/>
    </i>
    <i t="grand">
      <x/>
    </i>
  </rowItems>
  <colFields count="1">
    <field x="6"/>
  </colFields>
  <colItems count="2">
    <i>
      <x v="28"/>
    </i>
    <i t="grand">
      <x/>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6" personId="{83E57F0F-77DB-46B2-9417-DD17A5D4CA1D}" id="{5F9A15B7-DE45-41C1-AE06-E2B1F8F84AE2}">
    <text xml:space="preserve">
    Sólo por WhatsApp</text>
  </threadedComment>
  <threadedComment ref="F136" personId="{83E57F0F-77DB-46B2-9417-DD17A5D4CA1D}" id="{6EFEBA0E-0814-4CD9-9D16-938C11DC6B4C}">
    <text xml:space="preserve">
Miguel, el de la vigilancia</text>
  </threadedComment>
  <threadedComment ref="G237" personId="{83E57F0F-77DB-46B2-9417-DD17A5D4CA1D}" id="{01681DDA-784B-4CFE-810E-91F6BCBA0660}">
    <text xml:space="preserve">
    Sólo por WhatsApp</text>
  </threadedComment>
  <threadedComment ref="G242" personId="{83E57F0F-77DB-46B2-9417-DD17A5D4CA1D}" id="{23A1429E-2F80-425E-949D-EC701DE2A337}">
    <text xml:space="preserve">
    Sólo por WhatsApp</text>
  </threadedComment>
  <threadedComment ref="G308" personId="{83E57F0F-77DB-46B2-9417-DD17A5D4CA1D}" id="{2FC930F1-EA3E-41DE-9F79-DAABB6F41018}">
    <text>Martha Rivas de Fermín:
La familia Manrique quiere recibo en electrónico para ella y en físico para su mamá</text>
  </threadedComment>
  <threadedComment ref="G309" personId="{83E57F0F-77DB-46B2-9417-DD17A5D4CA1D}" id="{2E4BA2F8-8A81-4CC0-91B3-E1DF434C6C26}">
    <text>Martha Rivas de Fermín:
La familia Manrique quiere recibo en electrónico para ella y en físico para su mamá</text>
  </threadedComment>
  <threadedComment ref="G431" personId="{83E57F0F-77DB-46B2-9417-DD17A5D4CA1D}" id="{B68B4C01-2238-4A65-ACCA-34F297610E00}">
    <text xml:space="preserve">
    Sólo por WhatsApp</text>
  </threadedComment>
  <threadedComment ref="J452" personId="{9511D04E-3370-441C-9D1A-E6B7DD65868A}" id="{3A200B24-0317-408D-AC7A-FB66B144728D}">
    <text>El pago corresponde a la Familia Zavarce Barón y no a Luis Zavarce</text>
  </threadedComment>
  <threadedComment ref="J453" personId="{9511D04E-3370-441C-9D1A-E6B7DD65868A}" id="{063106D1-8E0B-48A0-AD56-9833B756D251}">
    <text>El pago corresponde a la Familia Zavarce Barón y no a Luis Zavarce</text>
  </threadedComment>
  <threadedComment ref="J454" personId="{9511D04E-3370-441C-9D1A-E6B7DD65868A}" id="{2517FBF5-FD40-42AC-8771-4DA824B254E2}">
    <text>El pago corresponde a la Familia Zavarce Barón y no a Luis Zavarce</text>
  </threadedComment>
  <threadedComment ref="I481" personId="{9511D04E-3370-441C-9D1A-E6B7DD65868A}" id="{D98AE982-9ADB-49F7-9675-207450373B06}">
    <text>Compra de bombillos</text>
  </threadedComment>
  <threadedComment ref="G538" personId="{83E57F0F-77DB-46B2-9417-DD17A5D4CA1D}" id="{E6F8D89E-D9F8-409A-8F6B-13125ED00F86}">
    <text>Martha Rivas de Fermín:
La familia Manrique quiere recibo en electrónico para ella y en físico para su mamá</text>
  </threadedComment>
  <threadedComment ref="G567" personId="{83E57F0F-77DB-46B2-9417-DD17A5D4CA1D}" id="{F8C0B29F-9757-4AD7-B13B-86C67DFF7704}">
    <text xml:space="preserve">
    Sólo por WhatsApp</text>
  </threadedComment>
  <threadedComment ref="G631" personId="{83E57F0F-77DB-46B2-9417-DD17A5D4CA1D}" id="{371249CA-90A1-4796-9F3E-51A0EAB49269}">
    <text>Martha Rivas de Fermín:
La familia Manrique quiere recibo en electrónico para ella y en físico para su mamá</text>
  </threadedComment>
  <threadedComment ref="I652" personId="{9511D04E-3370-441C-9D1A-E6B7DD65868A}" id="{33FF4648-4161-492E-A554-F2CEFCD86063}">
    <text>Compra de bombillo de emergencia para la caseta de vigilancia</text>
  </threadedComment>
  <threadedComment ref="G676" personId="{83E57F0F-77DB-46B2-9417-DD17A5D4CA1D}" id="{4D3A6990-1F5F-4DCB-88B5-B3620A50D76D}">
    <text>Martha Rivas de Fermín:
La familia Manrique quiere recibo en electrónico para ella y en físico para su mamá</text>
  </threadedComment>
  <threadedComment ref="E744" personId="{83E57F0F-77DB-46B2-9417-DD17A5D4CA1D}" id="{2C416140-2146-4424-B98D-3B355512CDF8}">
    <text>Bco. Mercantil Ch. 136129.
El cheque es de un paciente de ella llamado Félix Hernán Ibarra Aranda</text>
  </threadedComment>
  <threadedComment ref="E746" personId="{9511D04E-3370-441C-9D1A-E6B7DD65868A}" id="{F4E8149E-6EA8-477A-A00A-20A33208032E}">
    <text>BOD Ch. 01000840</text>
  </threadedComment>
  <threadedComment ref="E754" personId="{83E57F0F-77DB-46B2-9417-DD17A5D4CA1D}" id="{2A8E2A5A-F677-47B1-96D4-D071BA3558F4}">
    <text>BOD Ch. 63003907 de Oscar Méndez</text>
  </threadedComment>
  <threadedComment ref="E755" personId="{83E57F0F-77DB-46B2-9417-DD17A5D4CA1D}" id="{ED7DC259-7125-4B04-BB83-D932F1759DAF}">
    <text>BOD Ch. 59000523 de Carmen Saavedra de Ibarra</text>
  </threadedComment>
  <threadedComment ref="E792" personId="{83E57F0F-77DB-46B2-9417-DD17A5D4CA1D}" id="{0E21F493-C6DB-4216-B94B-4FFABFE539E6}">
    <text>Cheque BOD 00000282</text>
  </threadedComment>
  <threadedComment ref="E801" personId="{83E57F0F-77DB-46B2-9417-DD17A5D4CA1D}" id="{DB8B1FBC-001B-4B18-968C-25CB4A270731}">
    <text>Bco. Mercantil, cheque nro. 63146627</text>
  </threadedComment>
  <threadedComment ref="E804" personId="{83E57F0F-77DB-46B2-9417-DD17A5D4CA1D}" id="{9C67A871-82DD-4228-8018-5407188D0814}">
    <text>BOD cheque nro. 03642165</text>
  </threadedComment>
  <threadedComment ref="E805" personId="{83E57F0F-77DB-46B2-9417-DD17A5D4CA1D}" id="{215036DF-E179-4048-82AA-52AC73C88027}">
    <text>BOD Ch. 87003914</text>
  </threadedComment>
  <threadedComment ref="E807" personId="{9511D04E-3370-441C-9D1A-E6B7DD65868A}" id="{F849F1B9-C24A-434A-B936-FAE3F0D5A7DD}">
    <text>BOD Ch. 34000803</text>
  </threadedComment>
  <threadedComment ref="E837" personId="{83E57F0F-77DB-46B2-9417-DD17A5D4CA1D}" id="{B700CC0D-16C6-4A53-97DD-085F28E8A5C7}">
    <text xml:space="preserve">Bco. Mercantil, cheque nro. </text>
  </threadedComment>
  <threadedComment ref="G868" personId="{83E57F0F-77DB-46B2-9417-DD17A5D4CA1D}" id="{09FAA690-0377-451F-A305-CD0AF14E0C85}">
    <text>Martha Rivas de Fermín:
La familia Manrique quiere recibo en electrónico para ella y en físico para su mamá</text>
  </threadedComment>
  <threadedComment ref="E903" personId="{83E57F0F-77DB-46B2-9417-DD17A5D4CA1D}" id="{61868B71-58F8-4C55-978D-257601C5573E}">
    <text>Bco. Mercantil, cheque nro. 07148741</text>
  </threadedComment>
  <threadedComment ref="E916" personId="{9511D04E-3370-441C-9D1A-E6B7DD65868A}" id="{5B060EA2-2604-4296-8535-7A3C7DB39400}">
    <text>Baco. Mercantil, cheque nro. 19428894</text>
  </threadedComment>
  <threadedComment ref="G938" personId="{83E57F0F-77DB-46B2-9417-DD17A5D4CA1D}" id="{E21D0547-DE68-4ABA-ACAF-735DC95C9DD2}">
    <text>Martha Rivas de Fermín:
La familia Manrique quiere recibo en electrónico para ella y en físico para su mamá</text>
  </threadedComment>
  <threadedComment ref="E947" personId="{83E57F0F-77DB-46B2-9417-DD17A5D4CA1D}" id="{89BCA17C-97DC-4F22-9FCF-18D463B432E8}">
    <text>BOD cheque nro. 92000183</text>
  </threadedComment>
  <threadedComment ref="E951" personId="{83E57F0F-77DB-46B2-9417-DD17A5D4CA1D}" id="{5D0035AB-AE46-4E9B-B5F9-9DD6FBE10836}">
    <text>Bco. Mercantil, cheque nro. 07148741</text>
  </threadedComment>
  <threadedComment ref="J980" personId="{9511D04E-3370-441C-9D1A-E6B7DD65868A}" id="{E4A32EAA-04D5-4D65-B6D0-318CF6EDB5A0}">
    <text>La totalidad del pago fue acreditado al mes de Abril/2018</text>
  </threadedComment>
  <threadedComment ref="E1008" personId="{83E57F0F-77DB-46B2-9417-DD17A5D4CA1D}" id="{C9FE728B-9CB0-4A65-8497-5A9841FA94C5}">
    <text>BBVA Ch. 03642311</text>
  </threadedComment>
  <threadedComment ref="E1009" personId="{83E57F0F-77DB-46B2-9417-DD17A5D4CA1D}" id="{F0497BBA-2D8D-4214-A4F7-BF25199FA234}">
    <text>Ch. Bco. de Venezuela s92 7003668
Ch. Bco. Mercantil 69105020</text>
  </threadedComment>
  <threadedComment ref="E1028" personId="{83E57F0F-77DB-46B2-9417-DD17A5D4CA1D}" id="{63E3F924-7EF3-4CDE-8498-5489C55F3377}">
    <text>BOD cheque nro. 59000184</text>
  </threadedComment>
  <threadedComment ref="J1059" personId="{83E57F0F-77DB-46B2-9417-DD17A5D4CA1D}" id="{0ED5A8D3-462D-444D-B4E4-5183E772FAB4}">
    <text>El monto fue convertido en un adelanto del mes de Junio/2018</text>
  </threadedComment>
  <threadedComment ref="E1093" personId="{83E57F0F-77DB-46B2-9417-DD17A5D4CA1D}" id="{AFD94319-7F1C-4A99-B0A6-B95C90F39D7B}">
    <text>BBVA Ch. 03642347
Bs. 550.000</text>
  </threadedComment>
  <threadedComment ref="E1094" personId="{83E57F0F-77DB-46B2-9417-DD17A5D4CA1D}" id="{3AAF244A-E450-4BCC-BB6B-FAA8BC37A4B3}">
    <text>BBVA Ch. 03642347
Bs. 550.000</text>
  </threadedComment>
  <threadedComment ref="G1104" personId="{83E57F0F-77DB-46B2-9417-DD17A5D4CA1D}" id="{292911AE-6B5E-4A9C-B546-1B469236A19A}">
    <text>Martha Rivas de Fermín:
La familia Manrique quiere recibo en electrónico para ella y en físico para su mamá</text>
  </threadedComment>
  <threadedComment ref="E1135" personId="{83E57F0F-77DB-46B2-9417-DD17A5D4CA1D}" id="{8D657225-F64F-4BFB-BEBB-9DCAB609256C}">
    <text>BOD cheque nro. 84000185</text>
  </threadedComment>
  <threadedComment ref="E1136" personId="{83E57F0F-77DB-46B2-9417-DD17A5D4CA1D}" id="{A8B4B31E-DFA3-46E2-A635-B28A00469C06}">
    <text>BOD cheque nro. 84000185</text>
  </threadedComment>
  <threadedComment ref="E1147" personId="{9511D04E-3370-441C-9D1A-E6B7DD65868A}" id="{13C8C810-C39A-4F98-8D0A-1C4B5F2F5613}">
    <text>Cheque BOD 57000855</text>
  </threadedComment>
  <threadedComment ref="E1217" personId="{83E57F0F-77DB-46B2-9417-DD17A5D4CA1D}" id="{33D959E0-70EF-428B-9C0B-E42CEB5078BF}">
    <text>BBVA Ch. 03642414
Bs. 600.000</text>
  </threadedComment>
  <threadedComment ref="G1225" personId="{83E57F0F-77DB-46B2-9417-DD17A5D4CA1D}" id="{783D297F-9C06-4309-89C7-9AD7A7A25CC1}">
    <text>Martha Rivas de Fermín:
La familia Manrique quiere recibo en electrónico para ella y en físico para su mamá</text>
  </threadedComment>
  <threadedComment ref="E1226" personId="{83E57F0F-77DB-46B2-9417-DD17A5D4CA1D}" id="{A23CB201-8FF6-4C31-B1DC-CD4012E9D3AD}">
    <text>BOD cheque nro. 56000186</text>
  </threadedComment>
  <threadedComment ref="E1283" personId="{9511D04E-3370-441C-9D1A-E6B7DD65868A}" id="{F850DAFE-C3CE-470B-844F-7D29354EA93A}">
    <text>Cheque BOD 66000857</text>
  </threadedComment>
  <threadedComment ref="G1345" personId="{83E57F0F-77DB-46B2-9417-DD17A5D4CA1D}" id="{FEF018AC-4C75-40F0-BABC-8824F81B6819}">
    <text>Martha Rivas de Fermín:
La familia Manrique quiere recibo en electrónico para ella y en físico para su mamá</text>
  </threadedComment>
  <threadedComment ref="G1389" personId="{83E57F0F-77DB-46B2-9417-DD17A5D4CA1D}" id="{C0617F6E-E438-44AB-A4EA-3811DCAD96D4}">
    <text>Martha Rivas de Fermín:
La familia Manrique quiere recibo en electrónico para ella y en físico para su mamá</text>
  </threadedComment>
  <threadedComment ref="G1436" personId="{83E57F0F-77DB-46B2-9417-DD17A5D4CA1D}" id="{CF1F5D37-0CED-40F5-A75A-1584B3B7BB97}">
    <text>Martha Rivas de Fermín:
La familia Manrique quiere recibo en electrónico para ella y en físico para su mamá</text>
  </threadedComment>
  <threadedComment ref="G1594" personId="{83E57F0F-77DB-46B2-9417-DD17A5D4CA1D}" id="{8DF29CC7-0E68-455C-87EC-977C98A9C038}">
    <text>Martha Rivas de Fermín:
La familia Manrique quiere recibo en electrónico para ella y en físico para su mamá</text>
  </threadedComment>
  <threadedComment ref="G1661" personId="{83E57F0F-77DB-46B2-9417-DD17A5D4CA1D}" id="{559FCB07-2861-4961-862B-D57FAE1B70F0}">
    <text>Martha Rivas de Fermín:
La familia Manrique quiere recibo en electrónico para ella y en físico para su mamá</text>
  </threadedComment>
  <threadedComment ref="G1728" personId="{83E57F0F-77DB-46B2-9417-DD17A5D4CA1D}" id="{4BF3893E-E39B-43DC-B48D-973F6DD9B6B3}">
    <text>Martha Rivas de Fermín:
La familia Manrique quiere recibo en electrónico para ella y en físico para su mamá</text>
  </threadedComment>
  <threadedComment ref="G1734" personId="{83E57F0F-77DB-46B2-9417-DD17A5D4CA1D}" id="{76F5E833-864D-4183-B59B-7F3F67A7938F}">
    <text>Martha Rivas de Fermín:
La familia Manrique quiere recibo en electrónico para ella y en físico para su mamá</text>
  </threadedComment>
  <threadedComment ref="J1816" personId="{83E57F0F-77DB-46B2-9417-DD17A5D4CA1D}" id="{6D441E0C-7353-4503-9A69-54E363FADF1A}">
    <text>Se acreditó por error a la Familia Il Grande Franceschi en lugar de a la Familia Franco Gómez</text>
  </threadedComment>
  <threadedComment ref="G1833" personId="{83E57F0F-77DB-46B2-9417-DD17A5D4CA1D}" id="{4EC86C62-C591-4DA1-9F6B-204ADD28BFE5}">
    <text>Martha Rivas de Fermín:
La familia Manrique quiere recibo en electrónico para ella y en físico para su mamá</text>
  </threadedComment>
  <threadedComment ref="G1986" personId="{83E57F0F-77DB-46B2-9417-DD17A5D4CA1D}" id="{5D0D3F47-DD4D-447C-9F7C-9EA2C4AB5ED2}">
    <text>Martha Rivas de Fermín:
La familia Manrique quiere recibo en electrónico para ella y en físico para su mamá</text>
  </threadedComment>
  <threadedComment ref="G2062" personId="{83E57F0F-77DB-46B2-9417-DD17A5D4CA1D}" id="{2A5DE486-02CB-49AE-AD07-9AA4FD65E326}">
    <text>Martha Rivas de Fermín:
La familia Manrique quiere recibo en electrónico para ella y en físico para su mamá</text>
  </threadedComment>
  <threadedComment ref="J2084" personId="{83E57F0F-77DB-46B2-9417-DD17A5D4CA1D}" id="{1B4CCF0D-8394-4881-8F84-249EFE12F08B}">
    <text>Se acreditó por error a la Sra. Reina Meléndez en lugar de a la Sra. Gloria Molina</text>
  </threadedComment>
  <threadedComment ref="G2141" personId="{83E57F0F-77DB-46B2-9417-DD17A5D4CA1D}" id="{9051F4B6-8F45-48FB-8E5E-3846F8053BB5}">
    <text>Martha Rivas de Fermín:
La familia Manrique quiere recibo en electrónico para ella y en físico para su mamá</text>
  </threadedComment>
  <threadedComment ref="G2188" personId="{83E57F0F-77DB-46B2-9417-DD17A5D4CA1D}" id="{9A9B0695-C0B6-4F80-BE9F-56B8A3DCC5EA}">
    <text>Martha Rivas de Fermín:
La familia Manrique quiere recibo en electrónico para ella y en físico para su mamá</text>
  </threadedComment>
  <threadedComment ref="G2189" personId="{83E57F0F-77DB-46B2-9417-DD17A5D4CA1D}" id="{6A54040E-C77A-4D0C-98E1-951B0698BA63}">
    <text>Martha Rivas de Fermín:
La familia Manrique quiere recibo en electrónico para ella y en físico para su mamá</text>
  </threadedComment>
  <threadedComment ref="G2292" personId="{83E57F0F-77DB-46B2-9417-DD17A5D4CA1D}" id="{B715ED14-7C65-4662-9F19-473F63565788}">
    <text>Martha Rivas de Fermín:
La familia Manrique quiere recibo en electrónico para ella y en físico para su mamá</text>
  </threadedComment>
  <threadedComment ref="G2319" personId="{83E57F0F-77DB-46B2-9417-DD17A5D4CA1D}" id="{F6563D1F-E614-4784-BEFF-8D60B2978EDA}">
    <text>Martha Rivas de Fermín:
La familia Manrique quiere recibo en electrónico para ella y en físico para su mamá</text>
  </threadedComment>
  <threadedComment ref="E2336" personId="{83E57F0F-77DB-46B2-9417-DD17A5D4CA1D}" id="{770ECEBE-830E-4245-B926-B0008EB955BD}">
    <text>En efectivo:
1 $, serial L 47212353 R</text>
  </threadedComment>
  <threadedComment ref="E2343" personId="{83E57F0F-77DB-46B2-9417-DD17A5D4CA1D}" id="{2F0F019A-91C4-40A8-88C2-4F26EFD12A46}">
    <text>En efectivo:
1 $, serial L 91564055 N</text>
  </threadedComment>
  <threadedComment ref="E2345" personId="{83E57F0F-77DB-46B2-9417-DD17A5D4CA1D}" id="{98B309F7-17CD-4D33-89AE-43ED5255C287}">
    <text>En efectivo:
1 $, serial L 56027958 E</text>
  </threadedComment>
  <threadedComment ref="E2350" personId="{83E57F0F-77DB-46B2-9417-DD17A5D4CA1D}" id="{6C9CF329-B024-499A-B4D3-F9662330B755}">
    <text>En efectivo:
1 US$, serial K 80274842 G</text>
  </threadedComment>
  <threadedComment ref="E2370" personId="{83E57F0F-77DB-46B2-9417-DD17A5D4CA1D}" id="{E6D3BC99-BA58-4346-9F50-96674B425B9A}">
    <text>En efectivo:
1 US$, serial A 76874432 C</text>
  </threadedComment>
  <threadedComment ref="E2401" personId="{83E57F0F-77DB-46B2-9417-DD17A5D4CA1D}" id="{05DC736B-82D5-480A-9B9B-A377D1959230}">
    <text>En efectivo:
4 monedas de 25 centavos de dólar</text>
  </threadedComment>
  <threadedComment ref="E2443" personId="{83E57F0F-77DB-46B2-9417-DD17A5D4CA1D}" id="{E343E698-9EC3-4983-9D57-1E8536000244}">
    <text>En efectivo:
5 monedas de 25 centavos de dólar, 1 de 5 centavos y 2 de 10 centavos</text>
  </threadedComment>
  <threadedComment ref="G2447" personId="{83E57F0F-77DB-46B2-9417-DD17A5D4CA1D}" id="{068D844B-5743-450B-9450-ABF6CA1A4A5E}">
    <text>Martha Rivas de Fermín:
La familia Manrique quiere recibo en electrónico para ella y en físico para su mamá</text>
  </threadedComment>
  <threadedComment ref="D2478" personId="{83E57F0F-77DB-46B2-9417-DD17A5D4CA1D}" id="{C6DD7A99-A1A0-41F4-A965-6BCF38CD0375}">
    <text>Ajustada la fecha de pago (del 30/10 al 27/10) para que no se mostrase con un saldo pendiente a Octubre</text>
  </threadedComment>
  <threadedComment ref="E2511" personId="{83E57F0F-77DB-46B2-9417-DD17A5D4CA1D}" id="{E247231E-7514-459A-A6A6-FB4EB0119385}">
    <text>En efectivo:
1 US$, serial H 74755074 A
4 monedas de 10 centavos de dólar</text>
  </threadedComment>
  <threadedComment ref="E2533" personId="{83E57F0F-77DB-46B2-9417-DD17A5D4CA1D}" id="{A68F38FC-57DB-4C1A-B087-E1D339F5D16E}">
    <text xml:space="preserve">En efectivo:
5 US$, serial MF 41360215 F
</text>
  </threadedComment>
  <threadedComment ref="G2542" personId="{83E57F0F-77DB-46B2-9417-DD17A5D4CA1D}" id="{6CD747A2-9D29-4E3D-864F-DFCD59ECCE1B}">
    <text>Martha Rivas de Fermín:
La familia Manrique quiere recibo en electrónico para ella y en físico para su mamá</text>
  </threadedComment>
  <threadedComment ref="E2556" personId="{83E57F0F-77DB-46B2-9417-DD17A5D4CA1D}" id="{E247231E-7514-459B-A6A6-FB4EB0119385}">
    <text>En efectivo:
1 US$, serial H 74755074 A
4 monedas de 10 centavos de dólar</text>
  </threadedComment>
  <threadedComment ref="G2587" personId="{83E57F0F-77DB-46B2-9417-DD17A5D4CA1D}" id="{4070D77B-7B3D-4FDA-9ED7-98531DC24768}">
    <text>Martha Rivas de Fermín:
La familia Manrique quiere recibo en electrónico para ella y en físico para su mamá</text>
  </threadedComment>
  <threadedComment ref="G2682" personId="{83E57F0F-77DB-46B2-9417-DD17A5D4CA1D}" id="{F3AE276C-04A0-4469-AC09-445EE168F79A}">
    <text>Martha Rivas de Fermín:
La familia Manrique quiere recibo en electrónico para ella y en físico para su mamá</text>
  </threadedComment>
  <threadedComment ref="E2686" personId="{83E57F0F-77DB-46B2-9417-DD17A5D4CA1D}" id="{734E991F-24EF-4A55-A7CE-F358C7EE440F}">
    <text xml:space="preserve">En efectivo:
1 US$, serial B 58396426 G
Bs.S 70.000
</text>
  </threadedComment>
  <threadedComment ref="E2687" personId="{83E57F0F-77DB-46B2-9417-DD17A5D4CA1D}" id="{9ED0130F-635E-4F2F-A531-BBB0CE107C19}">
    <text xml:space="preserve">En efectivo:
1 US$, serial B 58396426 G
Bs.S 70.000
</text>
  </threadedComment>
  <threadedComment ref="E2723" personId="{83E57F0F-77DB-46B2-9417-DD17A5D4CA1D}" id="{C958876A-D835-4344-BB1C-AECEC76FD985}">
    <text xml:space="preserve">En efectivo:
Pagó 10 US$ con un billete de 20 US$, serial ML 80192407 L
Se le devolveron 10 US$, serial MF 57042790 D
Tasa utilizada: Bs.S 73.400
</text>
  </threadedComment>
  <threadedComment ref="E2724" personId="{83E57F0F-77DB-46B2-9417-DD17A5D4CA1D}" id="{0E322785-844D-4A5D-8754-15C89B1F7C58}">
    <text xml:space="preserve">En efectivo:
2 US$, serial ??? (tasa 73.400), más
Bs.S 20.000
</text>
  </threadedComment>
  <threadedComment ref="G2729" personId="{83E57F0F-77DB-46B2-9417-DD17A5D4CA1D}" id="{9CBACDBB-5782-498B-B583-A948D3E22D59}">
    <text>Martha Rivas de Fermín:
La familia Manrique quiere recibo en electrónico para ella y en físico para su mamá</text>
  </threadedComment>
  <threadedComment ref="E2730" personId="{83E57F0F-77DB-46B2-9417-DD17A5D4CA1D}" id="{9D9A3A8C-96FC-46BF-921F-20E9FB8091BB}">
    <text xml:space="preserve">En efectivo:
2 US$, serial ??? (tasa 73.400), más
Bs.S 36.000
</text>
  </threadedComment>
  <threadedComment ref="E2743" personId="{83E57F0F-77DB-46B2-9417-DD17A5D4CA1D}" id="{6A6FBBD2-1E2B-46D6-A481-5306D744D6F8}">
    <text xml:space="preserve">En efectivo:
1 US$, serial F 21933555 B, más
Bs.S 50.000
</text>
  </threadedComment>
</ThreadedComments>
</file>

<file path=xl/threadedComments/threadedComment2.xml><?xml version="1.0" encoding="utf-8"?>
<ThreadedComments xmlns="http://schemas.microsoft.com/office/spreadsheetml/2018/threadedcomments" xmlns:x="http://schemas.openxmlformats.org/spreadsheetml/2006/main">
  <threadedComment ref="I60" personId="{83E57F0F-77DB-46B2-9417-DD17A5D4CA1D}" id="{39D6F919-C5DB-4036-8B88-1BF61CA3A3DF}">
    <text>Hola buen día Fabiola, lamento no haber podido explicarme adecuadamente con relación al pago de la mensualidad de vigilancia. Hasta el mes de junio estas solvente, cancelarías cuotas de 26.000 Bs. Por ahora y si hay aumento del sueldo mínimo pagarías la diferencia si has pagado por adelantado. Disculpa las molestias, reiterando mi disposición de aclarar cualquier duda que puedas tener. Marisol Mendoza.</text>
  </threadedComment>
  <threadedComment ref="B70" personId="{83E57F0F-77DB-46B2-9417-DD17A5D4CA1D}" id="{28900678-92FF-459B-AED8-6120B57FC98B}">
    <text>Marisol dice que es 89-93, y no 90</text>
  </threadedComment>
  <threadedComment ref="B71" personId="{83E57F0F-77DB-46B2-9417-DD17A5D4CA1D}" id="{4B9DED9D-F6E1-4C97-BA82-D0B62F52AF85}">
    <text>Marisol indica que el número de la casa es 89-110</text>
  </threadedComment>
  <threadedComment ref="Q106" personId="{83E57F0F-77DB-46B2-9417-DD17A5D4CA1D}" id="{81052E88-2125-463B-8443-D25839B4767D}">
    <text>Condonado por donación de pego y fondo anticorrosivo</text>
  </threadedComment>
  <threadedComment ref="Q108" personId="{83E57F0F-77DB-46B2-9417-DD17A5D4CA1D}" id="{429E367C-080F-4103-8262-A9E124D83CAB}">
    <text>Bs. 50.000 anticipo
Bs. 12.450 cancelados al Sr. Francisco
Bs. 17550 diferencia</text>
  </threadedComment>
  <threadedComment ref="U120" personId="{83E57F0F-77DB-46B2-9417-DD17A5D4CA1D}" id="{1779862F-85EA-48AC-8478-0DA31E0410E9}">
    <text>Donación de tubo estructural para reparación de la caseta de vitilancia: Enero a Diciembre/2018</text>
  </threadedComment>
  <threadedComment ref="AL124" personId="{83E57F0F-77DB-46B2-9417-DD17A5D4CA1D}" id="{B664B36B-655E-4AD8-842B-3F499C307165}">
    <text>Por indicaciones de Marisol, se toma como pago total</text>
  </threadedComment>
</ThreadedComments>
</file>

<file path=xl/threadedComments/threadedComment3.xml><?xml version="1.0" encoding="utf-8"?>
<ThreadedComments xmlns="http://schemas.microsoft.com/office/spreadsheetml/2018/threadedcomments" xmlns:x="http://schemas.openxmlformats.org/spreadsheetml/2006/main">
  <threadedComment ref="AF7" personId="{83E57F0F-77DB-46B2-9417-DD17A5D4CA1D}" id="{A4B9DBF7-222B-4E92-B574-4BC34CA8E3FC}">
    <text>Martha Rivas:
Se compraron 6 y quedan 4 para una eventualidad</text>
  </threadedComment>
</ThreadedComments>
</file>

<file path=xl/threadedComments/threadedComment4.xml><?xml version="1.0" encoding="utf-8"?>
<ThreadedComments xmlns="http://schemas.microsoft.com/office/spreadsheetml/2018/threadedcomments" xmlns:x="http://schemas.openxmlformats.org/spreadsheetml/2006/main">
  <threadedComment ref="C15" dT="2019-12-28T17:56:59.75" personId="{9C042599-BB1B-4767-9133-4A877AA7D484}" id="{D012610D-39B3-4534-A812-18FD8FCE22F9}">
    <text xml:space="preserve">Anteriormente "Cuota completa"
</text>
  </threadedComment>
  <threadedComment ref="J17" personId="{83E57F0F-77DB-46B2-9417-DD17A5D4CA1D}" id="{6FC948A9-24E3-41AD-B732-CED8ECECF4AC}">
    <text>Hola buen día Fabiola, lamento no haber podido explicarme adecuadamente con relación al pago de la mensualidad de vigilancia. Hasta el mes de junio estas solvente, cancelarías cuotas de 26.000 Bs. Por ahora y si hay aumento del sueldo mínimo pagarías la diferencia si has pagado por adelantado. Disculpa las molestias, reiterando mi disposición de aclarar cualquier duda que puedas tener. Marisol Mendoza.</text>
  </threadedComment>
  <threadedComment ref="B20" personId="{83E57F0F-77DB-46B2-9417-DD17A5D4CA1D}" id="{BAC0DF17-C194-4E98-81CB-6312E25EED7D}">
    <text>Marisol indica que el número de la casa es 89-110</text>
  </threadedComment>
  <threadedComment ref="D38" personId="{83E57F0F-77DB-46B2-9417-DD17A5D4CA1D}" id="{8AA48C56-AFDF-48F9-A5EB-34697D8F1182}">
    <text>Incorporado el 01 de Julio de 2019</text>
  </threadedComment>
  <threadedComment ref="B50" personId="{83E57F0F-77DB-46B2-9417-DD17A5D4CA1D}" id="{4AF21287-5CD9-4695-AE65-DA618CC23733}">
    <text>Marisol dice que es 89-93, y no 90</text>
  </threadedComment>
  <threadedComment ref="C82" dT="2019-12-28T17:56:05.76" personId="{9C042599-BB1B-4767-9133-4A877AA7D484}" id="{51961700-5B93-4183-8AAE-35BD0D40006C}">
    <text xml:space="preserve">Anteriormente "Cuota completa"
</text>
  </threadedComment>
  <threadedComment ref="C86" dT="2019-12-28T17:58:13.10" personId="{9C042599-BB1B-4767-9133-4A877AA7D484}" id="{8BEAA087-D0E9-4908-8834-4786EFAACC57}">
    <text xml:space="preserve">Anteriormente "Cuota completa"
</text>
  </threadedComment>
  <threadedComment ref="D137" personId="{83E57F0F-77DB-46B2-9417-DD17A5D4CA1D}" id="{480D3F0C-2BC6-4617-B556-AA843D6BD589}">
    <text>Eliminado el 01 de Julio de 2019</text>
  </threadedComment>
</ThreadedComments>
</file>

<file path=xl/threadedComments/threadedComment5.xml><?xml version="1.0" encoding="utf-8"?>
<ThreadedComments xmlns="http://schemas.microsoft.com/office/spreadsheetml/2018/threadedcomments" xmlns:x="http://schemas.openxmlformats.org/spreadsheetml/2006/main">
  <threadedComment ref="E57" personId="{83E57F0F-77DB-46B2-9417-DD17A5D4CA1D}" id="{3DAC56FE-504E-4B89-8DF2-0110B4EB5076}">
    <text>Donación de tres (03) camisas para los vigilantes (5 MMBs c/u)</text>
  </threadedComment>
  <threadedComment ref="B70" personId="{83E57F0F-77DB-46B2-9417-DD17A5D4CA1D}" id="{25088AD0-CA0F-4C1C-9145-20DBCEF5310E}">
    <text>Marisol dice que es 89-93, y no 90</text>
  </threadedComment>
  <threadedComment ref="B71" personId="{83E57F0F-77DB-46B2-9417-DD17A5D4CA1D}" id="{257FF8DF-03CF-45AD-B57A-3000761851FD}">
    <text>Marisol indica que el número de la casa es 89-110</text>
  </threadedComment>
</ThreadedComments>
</file>

<file path=xl/threadedComments/threadedComment6.xml><?xml version="1.0" encoding="utf-8"?>
<ThreadedComments xmlns="http://schemas.microsoft.com/office/spreadsheetml/2018/threadedcomments" xmlns:x="http://schemas.openxmlformats.org/spreadsheetml/2006/main">
  <threadedComment ref="A7" personId="{83E57F0F-77DB-46B2-9417-DD17A5D4CA1D}" id="{F0178A2A-8F3E-49F7-9867-6BA1E85F76BF}">
    <text>Betsahy</text>
  </threadedComment>
  <threadedComment ref="C70" personId="{83E57F0F-77DB-46B2-9417-DD17A5D4CA1D}" id="{18891FC0-C5E1-4335-835C-743808DB2F5C}">
    <text>Marisol dice que es 89-93, y no 90</text>
  </threadedComment>
  <threadedComment ref="C71" personId="{83E57F0F-77DB-46B2-9417-DD17A5D4CA1D}" id="{89328B46-E82E-40F0-945B-196CA209FEBC}">
    <text>Marisol indica que el número de la casa es 89-110</text>
  </threadedComment>
</ThreadedComments>
</file>

<file path=xl/worksheets/_rels/sheet1.xml.rels><?xml version="1.0" encoding="UTF-8" standalone="yes"?>
<Relationships xmlns="http://schemas.openxmlformats.org/package/2006/relationships"><Relationship Id="rId8" Type="http://schemas.openxmlformats.org/officeDocument/2006/relationships/hyperlink" Target="mailto:redjc01@gmail.com" TargetMode="External"/><Relationship Id="rId13" Type="http://schemas.openxmlformats.org/officeDocument/2006/relationships/hyperlink" Target="mailto:lopez.humberto14@yahoo.com.ve" TargetMode="External"/><Relationship Id="rId18" Type="http://schemas.openxmlformats.org/officeDocument/2006/relationships/hyperlink" Target="mailto:lopez.humberto14@yahoo.com.ve" TargetMode="External"/><Relationship Id="rId26" Type="http://schemas.openxmlformats.org/officeDocument/2006/relationships/comments" Target="../comments1.xml"/><Relationship Id="rId3" Type="http://schemas.openxmlformats.org/officeDocument/2006/relationships/hyperlink" Target="mailto:lopez.humberto14@yahoo.com.ve" TargetMode="External"/><Relationship Id="rId21" Type="http://schemas.openxmlformats.org/officeDocument/2006/relationships/hyperlink" Target="mailto:lopez.humberto14@yahoo.com.ve" TargetMode="External"/><Relationship Id="rId7" Type="http://schemas.openxmlformats.org/officeDocument/2006/relationships/hyperlink" Target="mailto:lopez.humberto14@yahoo.com.ve" TargetMode="External"/><Relationship Id="rId12" Type="http://schemas.openxmlformats.org/officeDocument/2006/relationships/hyperlink" Target="mailto:lopez.humberto14@yahoo.com.ve" TargetMode="External"/><Relationship Id="rId17" Type="http://schemas.openxmlformats.org/officeDocument/2006/relationships/hyperlink" Target="mailto:lopez.humberto14@yahoo.com.ve" TargetMode="External"/><Relationship Id="rId25" Type="http://schemas.openxmlformats.org/officeDocument/2006/relationships/vmlDrawing" Target="../drawings/vmlDrawing1.vml"/><Relationship Id="rId2" Type="http://schemas.openxmlformats.org/officeDocument/2006/relationships/hyperlink" Target="mailto:lopez.humberto14@yahoo.com.ve" TargetMode="External"/><Relationship Id="rId16" Type="http://schemas.openxmlformats.org/officeDocument/2006/relationships/hyperlink" Target="mailto:redjc01@gmail.com" TargetMode="External"/><Relationship Id="rId20" Type="http://schemas.openxmlformats.org/officeDocument/2006/relationships/hyperlink" Target="mailto:redjc01@gmail.com" TargetMode="External"/><Relationship Id="rId1" Type="http://schemas.openxmlformats.org/officeDocument/2006/relationships/hyperlink" Target="mailto:lopez.humberto14@yahoo.com.ve" TargetMode="External"/><Relationship Id="rId6" Type="http://schemas.openxmlformats.org/officeDocument/2006/relationships/hyperlink" Target="mailto:lopez.humberto14@yahoo.com.ve" TargetMode="External"/><Relationship Id="rId11" Type="http://schemas.openxmlformats.org/officeDocument/2006/relationships/hyperlink" Target="mailto:redjc01@gmail.com" TargetMode="External"/><Relationship Id="rId24" Type="http://schemas.openxmlformats.org/officeDocument/2006/relationships/printerSettings" Target="../printerSettings/printerSettings1.bin"/><Relationship Id="rId5" Type="http://schemas.openxmlformats.org/officeDocument/2006/relationships/hyperlink" Target="mailto:redjc01@gmail.com" TargetMode="External"/><Relationship Id="rId15" Type="http://schemas.openxmlformats.org/officeDocument/2006/relationships/hyperlink" Target="mailto:lopez.humberto14@yahoo.com.ve" TargetMode="External"/><Relationship Id="rId23" Type="http://schemas.openxmlformats.org/officeDocument/2006/relationships/hyperlink" Target="mailto:redjc01@gmail.com" TargetMode="External"/><Relationship Id="rId10" Type="http://schemas.openxmlformats.org/officeDocument/2006/relationships/hyperlink" Target="mailto:lopez.humberto14@yahoo.com.ve" TargetMode="External"/><Relationship Id="rId19" Type="http://schemas.openxmlformats.org/officeDocument/2006/relationships/hyperlink" Target="mailto:redjc01@gmail.com" TargetMode="External"/><Relationship Id="rId4" Type="http://schemas.openxmlformats.org/officeDocument/2006/relationships/hyperlink" Target="mailto:redjc01@gmail.com" TargetMode="External"/><Relationship Id="rId9" Type="http://schemas.openxmlformats.org/officeDocument/2006/relationships/hyperlink" Target="mailto:redjc01@gmail.com" TargetMode="External"/><Relationship Id="rId14" Type="http://schemas.openxmlformats.org/officeDocument/2006/relationships/hyperlink" Target="mailto:redjc01@gmail.com" TargetMode="External"/><Relationship Id="rId22" Type="http://schemas.openxmlformats.org/officeDocument/2006/relationships/hyperlink" Target="mailto:lopez.humberto14@yahoo.com.ve" TargetMode="External"/><Relationship Id="rId27"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4" Type="http://schemas.microsoft.com/office/2017/10/relationships/threadedComment" Target="../threadedComments/threadedComment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 Id="rId4" Type="http://schemas.microsoft.com/office/2017/10/relationships/threadedComment" Target="../threadedComments/threadedComment4.xml"/></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8.bin"/><Relationship Id="rId4" Type="http://schemas.microsoft.com/office/2017/10/relationships/threadedComment" Target="../threadedComments/threadedComment5.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10.bin"/><Relationship Id="rId4" Type="http://schemas.microsoft.com/office/2017/10/relationships/threadedComment" Target="../threadedComments/threadedComment6.xml"/></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Q2752"/>
  <sheetViews>
    <sheetView tabSelected="1" workbookViewId="0">
      <pane ySplit="1" topLeftCell="A2748" activePane="bottomLeft" state="frozen"/>
      <selection pane="bottomLeft" activeCell="A2752" sqref="A2752"/>
      <selection activeCell="D2603" sqref="D2603"/>
    </sheetView>
  </sheetViews>
  <sheetFormatPr defaultColWidth="10.7109375" defaultRowHeight="15"/>
  <cols>
    <col min="1" max="1" width="8.28515625" style="1" customWidth="1"/>
    <col min="2" max="2" width="6" style="573" customWidth="1"/>
    <col min="3" max="3" width="6.42578125" style="8" bestFit="1" customWidth="1"/>
    <col min="4" max="4" width="11.42578125" style="2"/>
    <col min="5" max="5" width="13.7109375" style="3" customWidth="1"/>
    <col min="6" max="6" width="23" bestFit="1" customWidth="1"/>
    <col min="7" max="7" width="14.140625" customWidth="1"/>
    <col min="8" max="8" width="12.85546875" bestFit="1" customWidth="1"/>
    <col min="9" max="9" width="48.28515625" style="6" customWidth="1"/>
    <col min="10" max="10" width="13.85546875" style="63" bestFit="1" customWidth="1"/>
    <col min="11" max="11" width="14.140625" style="11" customWidth="1"/>
    <col min="12" max="12" width="7" style="5" bestFit="1" customWidth="1"/>
    <col min="13" max="13" width="10.7109375" style="5" bestFit="1" customWidth="1"/>
    <col min="14" max="14" width="6" style="5" bestFit="1" customWidth="1"/>
    <col min="15" max="15" width="9.28515625" style="25" bestFit="1" customWidth="1"/>
    <col min="16" max="16" width="11" style="5" bestFit="1" customWidth="1"/>
    <col min="17" max="17" width="48" style="4" bestFit="1" customWidth="1"/>
  </cols>
  <sheetData>
    <row r="1" spans="1:17">
      <c r="A1" s="629" t="s">
        <v>0</v>
      </c>
      <c r="B1" s="629" t="s">
        <v>1</v>
      </c>
      <c r="C1" s="629" t="s">
        <v>2</v>
      </c>
      <c r="D1" s="629" t="s">
        <v>3</v>
      </c>
      <c r="E1" s="629" t="s">
        <v>4</v>
      </c>
      <c r="F1" s="629" t="s">
        <v>5</v>
      </c>
      <c r="G1" s="629" t="s">
        <v>6</v>
      </c>
      <c r="H1" s="629" t="s">
        <v>7</v>
      </c>
      <c r="I1" s="629" t="s">
        <v>8</v>
      </c>
      <c r="J1" s="629" t="s">
        <v>9</v>
      </c>
      <c r="K1" s="624" t="s">
        <v>10</v>
      </c>
      <c r="L1" s="624" t="s">
        <v>11</v>
      </c>
      <c r="M1" s="624" t="s">
        <v>12</v>
      </c>
      <c r="N1" s="624" t="s">
        <v>13</v>
      </c>
      <c r="O1" s="624" t="s">
        <v>14</v>
      </c>
      <c r="P1" s="624" t="s">
        <v>15</v>
      </c>
      <c r="Q1" s="624" t="s">
        <v>16</v>
      </c>
    </row>
    <row r="2" spans="1:17">
      <c r="A2" s="1">
        <v>1</v>
      </c>
      <c r="C2" s="8" t="s">
        <v>17</v>
      </c>
      <c r="D2" s="2">
        <v>42713</v>
      </c>
      <c r="E2" s="3">
        <f>10500/100000</f>
        <v>0.105</v>
      </c>
      <c r="F2" t="s">
        <v>18</v>
      </c>
      <c r="G2" t="s">
        <v>19</v>
      </c>
      <c r="H2" t="s">
        <v>20</v>
      </c>
      <c r="I2" s="6" t="s">
        <v>21</v>
      </c>
      <c r="J2" s="61" t="s">
        <v>22</v>
      </c>
      <c r="K2" s="11" t="s">
        <v>23</v>
      </c>
      <c r="L2" s="5" t="str">
        <f t="shared" ref="L2:L65" si="0">IF(ISBLANK(A2),"",TEXT(A2,"00000"))</f>
        <v>00001</v>
      </c>
      <c r="M2" s="47" t="str">
        <f t="shared" ref="M2:M65" si="1">IF(ISBLANK(D2),"",TEXT(D2,"dd")&amp;" de "&amp;TEXT(D2,"mmmm")&amp;" de "&amp;TEXT(YEAR(D2),"0"))</f>
        <v>09 de diciembre de 2016</v>
      </c>
      <c r="N2" s="323">
        <f>DAY(D2)</f>
        <v>9</v>
      </c>
      <c r="O2" s="25">
        <f t="shared" ref="O2:O65" si="2">DATE(YEAR(D2),MONTH(D2),1)</f>
        <v>42705</v>
      </c>
      <c r="P2" s="5" t="str">
        <f t="shared" ref="P2:P65" si="3">TEXT(E2,"#.##0,00")</f>
        <v>0,11</v>
      </c>
      <c r="Q2" s="4" t="e">
        <f t="shared" ref="Q2:Q65" ca="1" si="4">CONVERTIRNUM(E2)</f>
        <v>#NAME?</v>
      </c>
    </row>
    <row r="3" spans="1:17">
      <c r="A3" s="1">
        <f>A2+1</f>
        <v>2</v>
      </c>
      <c r="C3" s="8" t="s">
        <v>17</v>
      </c>
      <c r="D3" s="2">
        <v>42717</v>
      </c>
      <c r="E3" s="3">
        <f>10500/100000</f>
        <v>0.105</v>
      </c>
      <c r="F3" t="s">
        <v>24</v>
      </c>
      <c r="G3" t="s">
        <v>25</v>
      </c>
      <c r="H3" t="s">
        <v>26</v>
      </c>
      <c r="I3" s="6" t="s">
        <v>21</v>
      </c>
      <c r="J3" s="61" t="s">
        <v>22</v>
      </c>
      <c r="K3" s="11" t="s">
        <v>27</v>
      </c>
      <c r="L3" s="5" t="str">
        <f t="shared" si="0"/>
        <v>00002</v>
      </c>
      <c r="M3" s="47" t="str">
        <f t="shared" si="1"/>
        <v>13 de diciembre de 2016</v>
      </c>
      <c r="N3" s="323">
        <f t="shared" ref="N3:N66" si="5">DAY(D3)</f>
        <v>13</v>
      </c>
      <c r="O3" s="25">
        <f t="shared" si="2"/>
        <v>42705</v>
      </c>
      <c r="P3" s="5" t="str">
        <f t="shared" si="3"/>
        <v>0,11</v>
      </c>
      <c r="Q3" s="4" t="e">
        <f t="shared" ca="1" si="4"/>
        <v>#NAME?</v>
      </c>
    </row>
    <row r="4" spans="1:17">
      <c r="A4" s="1">
        <f t="shared" ref="A4:A67" si="6">A3+1</f>
        <v>3</v>
      </c>
      <c r="C4" s="8" t="s">
        <v>17</v>
      </c>
      <c r="D4" s="2">
        <v>42724</v>
      </c>
      <c r="E4" s="3">
        <f>4500/100000</f>
        <v>4.4999999999999998E-2</v>
      </c>
      <c r="F4" t="s">
        <v>28</v>
      </c>
      <c r="G4" t="s">
        <v>29</v>
      </c>
      <c r="H4" t="s">
        <v>30</v>
      </c>
      <c r="I4" s="6" t="s">
        <v>21</v>
      </c>
      <c r="J4" s="61" t="s">
        <v>22</v>
      </c>
      <c r="K4" s="11" t="s">
        <v>31</v>
      </c>
      <c r="L4" s="5" t="str">
        <f t="shared" si="0"/>
        <v>00003</v>
      </c>
      <c r="M4" s="47" t="str">
        <f t="shared" si="1"/>
        <v>20 de diciembre de 2016</v>
      </c>
      <c r="N4" s="323">
        <f t="shared" si="5"/>
        <v>20</v>
      </c>
      <c r="O4" s="25">
        <f t="shared" si="2"/>
        <v>42705</v>
      </c>
      <c r="P4" s="5" t="str">
        <f t="shared" si="3"/>
        <v>0,05</v>
      </c>
      <c r="Q4" s="4" t="e">
        <f t="shared" ca="1" si="4"/>
        <v>#NAME?</v>
      </c>
    </row>
    <row r="5" spans="1:17">
      <c r="A5" s="1">
        <f t="shared" si="6"/>
        <v>4</v>
      </c>
      <c r="C5" s="8" t="s">
        <v>17</v>
      </c>
      <c r="D5" s="2">
        <v>42737</v>
      </c>
      <c r="E5" s="3">
        <f>10500/100000</f>
        <v>0.105</v>
      </c>
      <c r="F5" t="s">
        <v>32</v>
      </c>
      <c r="G5" t="s">
        <v>33</v>
      </c>
      <c r="H5" t="s">
        <v>34</v>
      </c>
      <c r="I5" s="6" t="s">
        <v>21</v>
      </c>
      <c r="J5" s="61" t="s">
        <v>22</v>
      </c>
      <c r="K5" s="11" t="s">
        <v>35</v>
      </c>
      <c r="L5" s="5" t="str">
        <f t="shared" si="0"/>
        <v>00004</v>
      </c>
      <c r="M5" s="47" t="str">
        <f t="shared" si="1"/>
        <v>02 de enero de 2017</v>
      </c>
      <c r="N5" s="323">
        <f t="shared" si="5"/>
        <v>2</v>
      </c>
      <c r="O5" s="25">
        <f t="shared" si="2"/>
        <v>42736</v>
      </c>
      <c r="P5" s="5" t="str">
        <f t="shared" si="3"/>
        <v>0,11</v>
      </c>
      <c r="Q5" s="4" t="e">
        <f t="shared" ca="1" si="4"/>
        <v>#NAME?</v>
      </c>
    </row>
    <row r="6" spans="1:17">
      <c r="A6" s="1">
        <f t="shared" si="6"/>
        <v>5</v>
      </c>
      <c r="C6" s="8" t="s">
        <v>17</v>
      </c>
      <c r="D6" s="2">
        <v>42741</v>
      </c>
      <c r="E6" s="3">
        <f>10500/100000</f>
        <v>0.105</v>
      </c>
      <c r="F6" t="s">
        <v>36</v>
      </c>
      <c r="G6" t="s">
        <v>37</v>
      </c>
      <c r="H6" t="s">
        <v>38</v>
      </c>
      <c r="I6" s="6" t="s">
        <v>21</v>
      </c>
      <c r="J6" s="61" t="s">
        <v>22</v>
      </c>
      <c r="K6" s="11" t="s">
        <v>39</v>
      </c>
      <c r="L6" s="5" t="str">
        <f t="shared" si="0"/>
        <v>00005</v>
      </c>
      <c r="M6" s="47" t="str">
        <f t="shared" si="1"/>
        <v>06 de enero de 2017</v>
      </c>
      <c r="N6" s="323">
        <f t="shared" si="5"/>
        <v>6</v>
      </c>
      <c r="O6" s="25">
        <f t="shared" si="2"/>
        <v>42736</v>
      </c>
      <c r="P6" s="5" t="str">
        <f t="shared" si="3"/>
        <v>0,11</v>
      </c>
      <c r="Q6" s="4" t="e">
        <f t="shared" ca="1" si="4"/>
        <v>#NAME?</v>
      </c>
    </row>
    <row r="7" spans="1:17">
      <c r="A7" s="1">
        <f t="shared" si="6"/>
        <v>6</v>
      </c>
      <c r="C7" s="8" t="s">
        <v>17</v>
      </c>
      <c r="D7" s="2">
        <v>42742</v>
      </c>
      <c r="E7" s="10">
        <f>10500/100000</f>
        <v>0.105</v>
      </c>
      <c r="F7" t="s">
        <v>40</v>
      </c>
      <c r="G7" t="s">
        <v>41</v>
      </c>
      <c r="H7" t="s">
        <v>42</v>
      </c>
      <c r="I7" s="9" t="s">
        <v>21</v>
      </c>
      <c r="J7" s="61" t="s">
        <v>22</v>
      </c>
      <c r="K7" s="11" t="s">
        <v>43</v>
      </c>
      <c r="L7" s="5" t="str">
        <f t="shared" si="0"/>
        <v>00006</v>
      </c>
      <c r="M7" s="47" t="str">
        <f t="shared" si="1"/>
        <v>07 de enero de 2017</v>
      </c>
      <c r="N7" s="323">
        <f t="shared" si="5"/>
        <v>7</v>
      </c>
      <c r="O7" s="25">
        <f t="shared" si="2"/>
        <v>42736</v>
      </c>
      <c r="P7" s="5" t="str">
        <f t="shared" si="3"/>
        <v>0,11</v>
      </c>
      <c r="Q7" s="4" t="e">
        <f t="shared" ca="1" si="4"/>
        <v>#NAME?</v>
      </c>
    </row>
    <row r="8" spans="1:17">
      <c r="A8" s="1">
        <f t="shared" si="6"/>
        <v>7</v>
      </c>
      <c r="C8" s="8" t="s">
        <v>17</v>
      </c>
      <c r="D8" s="2">
        <v>42745</v>
      </c>
      <c r="E8" s="10">
        <f>10000/100000</f>
        <v>0.1</v>
      </c>
      <c r="F8" t="s">
        <v>44</v>
      </c>
      <c r="G8" t="s">
        <v>45</v>
      </c>
      <c r="H8" t="s">
        <v>46</v>
      </c>
      <c r="I8" s="9" t="s">
        <v>21</v>
      </c>
      <c r="J8" s="61" t="s">
        <v>22</v>
      </c>
      <c r="K8" s="11" t="s">
        <v>47</v>
      </c>
      <c r="L8" s="5" t="str">
        <f t="shared" si="0"/>
        <v>00007</v>
      </c>
      <c r="M8" s="47" t="str">
        <f t="shared" si="1"/>
        <v>10 de enero de 2017</v>
      </c>
      <c r="N8" s="323">
        <f t="shared" si="5"/>
        <v>10</v>
      </c>
      <c r="O8" s="25">
        <f t="shared" si="2"/>
        <v>42736</v>
      </c>
      <c r="P8" s="5" t="str">
        <f t="shared" si="3"/>
        <v>0,10</v>
      </c>
      <c r="Q8" s="4" t="e">
        <f t="shared" ca="1" si="4"/>
        <v>#NAME?</v>
      </c>
    </row>
    <row r="9" spans="1:17">
      <c r="A9" s="1">
        <f t="shared" si="6"/>
        <v>8</v>
      </c>
      <c r="C9" s="8" t="s">
        <v>17</v>
      </c>
      <c r="D9" s="2">
        <v>42746</v>
      </c>
      <c r="E9" s="3">
        <f>5000/100000</f>
        <v>0.05</v>
      </c>
      <c r="F9" t="s">
        <v>48</v>
      </c>
      <c r="G9" t="s">
        <v>49</v>
      </c>
      <c r="H9" t="s">
        <v>50</v>
      </c>
      <c r="I9" s="6" t="s">
        <v>51</v>
      </c>
      <c r="J9" s="61" t="s">
        <v>22</v>
      </c>
      <c r="K9" s="11" t="s">
        <v>52</v>
      </c>
      <c r="L9" s="5" t="str">
        <f t="shared" si="0"/>
        <v>00008</v>
      </c>
      <c r="M9" s="47" t="str">
        <f t="shared" si="1"/>
        <v>11 de enero de 2017</v>
      </c>
      <c r="N9" s="323">
        <f t="shared" si="5"/>
        <v>11</v>
      </c>
      <c r="O9" s="25">
        <f t="shared" si="2"/>
        <v>42736</v>
      </c>
      <c r="P9" s="5" t="str">
        <f t="shared" si="3"/>
        <v>0,05</v>
      </c>
      <c r="Q9" s="4" t="e">
        <f t="shared" ca="1" si="4"/>
        <v>#NAME?</v>
      </c>
    </row>
    <row r="10" spans="1:17" ht="15.75" thickBot="1">
      <c r="A10" s="1">
        <f t="shared" si="6"/>
        <v>9</v>
      </c>
      <c r="C10" s="8" t="s">
        <v>17</v>
      </c>
      <c r="D10" s="2">
        <v>42746</v>
      </c>
      <c r="E10" s="3">
        <f>10500/100000</f>
        <v>0.105</v>
      </c>
      <c r="F10" t="s">
        <v>53</v>
      </c>
      <c r="G10" t="s">
        <v>54</v>
      </c>
      <c r="H10" t="s">
        <v>55</v>
      </c>
      <c r="I10" s="6" t="s">
        <v>21</v>
      </c>
      <c r="J10" s="61" t="s">
        <v>22</v>
      </c>
      <c r="K10" s="11" t="s">
        <v>56</v>
      </c>
      <c r="L10" s="5" t="str">
        <f t="shared" si="0"/>
        <v>00009</v>
      </c>
      <c r="M10" s="47" t="str">
        <f t="shared" si="1"/>
        <v>11 de enero de 2017</v>
      </c>
      <c r="N10" s="323">
        <f t="shared" si="5"/>
        <v>11</v>
      </c>
      <c r="O10" s="25">
        <f t="shared" si="2"/>
        <v>42736</v>
      </c>
      <c r="P10" s="5" t="str">
        <f t="shared" si="3"/>
        <v>0,11</v>
      </c>
      <c r="Q10" s="4" t="e">
        <f t="shared" ca="1" si="4"/>
        <v>#NAME?</v>
      </c>
    </row>
    <row r="11" spans="1:17" ht="15.75" thickBot="1">
      <c r="A11" s="1">
        <f t="shared" si="6"/>
        <v>10</v>
      </c>
      <c r="C11" s="8" t="s">
        <v>17</v>
      </c>
      <c r="D11" s="2">
        <v>42750</v>
      </c>
      <c r="E11" s="3">
        <f>12000/100000</f>
        <v>0.12</v>
      </c>
      <c r="F11" s="20" t="s">
        <v>57</v>
      </c>
      <c r="G11" s="18" t="s">
        <v>58</v>
      </c>
      <c r="H11" s="21" t="s">
        <v>59</v>
      </c>
      <c r="I11" s="6" t="s">
        <v>60</v>
      </c>
      <c r="J11" s="61" t="s">
        <v>22</v>
      </c>
      <c r="K11" s="22" t="s">
        <v>61</v>
      </c>
      <c r="L11" s="5" t="str">
        <f t="shared" si="0"/>
        <v>00010</v>
      </c>
      <c r="M11" s="47" t="str">
        <f t="shared" si="1"/>
        <v>15 de enero de 2017</v>
      </c>
      <c r="N11" s="323">
        <f t="shared" si="5"/>
        <v>15</v>
      </c>
      <c r="O11" s="25">
        <f t="shared" si="2"/>
        <v>42736</v>
      </c>
      <c r="P11" s="5" t="str">
        <f t="shared" si="3"/>
        <v>0,12</v>
      </c>
      <c r="Q11" s="4" t="e">
        <f t="shared" ca="1" si="4"/>
        <v>#NAME?</v>
      </c>
    </row>
    <row r="12" spans="1:17">
      <c r="A12" s="1">
        <f t="shared" si="6"/>
        <v>11</v>
      </c>
      <c r="C12" s="8" t="s">
        <v>17</v>
      </c>
      <c r="D12" s="2">
        <v>42748</v>
      </c>
      <c r="E12" s="3">
        <f>10500/100000</f>
        <v>0.105</v>
      </c>
      <c r="F12" t="s">
        <v>62</v>
      </c>
      <c r="G12" t="s">
        <v>63</v>
      </c>
      <c r="H12" t="s">
        <v>64</v>
      </c>
      <c r="I12" s="6" t="s">
        <v>21</v>
      </c>
      <c r="J12" s="61" t="s">
        <v>22</v>
      </c>
      <c r="K12" s="11" t="s">
        <v>65</v>
      </c>
      <c r="L12" s="5" t="str">
        <f t="shared" si="0"/>
        <v>00011</v>
      </c>
      <c r="M12" s="47" t="str">
        <f t="shared" si="1"/>
        <v>13 de enero de 2017</v>
      </c>
      <c r="N12" s="323">
        <f t="shared" si="5"/>
        <v>13</v>
      </c>
      <c r="O12" s="25">
        <f t="shared" si="2"/>
        <v>42736</v>
      </c>
      <c r="P12" s="5" t="str">
        <f t="shared" si="3"/>
        <v>0,11</v>
      </c>
      <c r="Q12" s="4" t="e">
        <f t="shared" ca="1" si="4"/>
        <v>#NAME?</v>
      </c>
    </row>
    <row r="13" spans="1:17">
      <c r="A13" s="1">
        <f t="shared" si="6"/>
        <v>12</v>
      </c>
      <c r="C13" s="8" t="s">
        <v>17</v>
      </c>
      <c r="D13" s="2">
        <v>42750</v>
      </c>
      <c r="E13" s="10">
        <f>10500/100000</f>
        <v>0.105</v>
      </c>
      <c r="F13" t="s">
        <v>66</v>
      </c>
      <c r="G13" t="s">
        <v>67</v>
      </c>
      <c r="H13" t="s">
        <v>68</v>
      </c>
      <c r="I13" s="9" t="s">
        <v>21</v>
      </c>
      <c r="J13" s="61" t="s">
        <v>22</v>
      </c>
      <c r="K13" s="11" t="s">
        <v>69</v>
      </c>
      <c r="L13" s="5" t="str">
        <f t="shared" si="0"/>
        <v>00012</v>
      </c>
      <c r="M13" s="47" t="str">
        <f t="shared" si="1"/>
        <v>15 de enero de 2017</v>
      </c>
      <c r="N13" s="323">
        <f t="shared" si="5"/>
        <v>15</v>
      </c>
      <c r="O13" s="25">
        <f t="shared" si="2"/>
        <v>42736</v>
      </c>
      <c r="P13" s="5" t="str">
        <f t="shared" si="3"/>
        <v>0,11</v>
      </c>
      <c r="Q13" s="4" t="e">
        <f t="shared" ca="1" si="4"/>
        <v>#NAME?</v>
      </c>
    </row>
    <row r="14" spans="1:17" ht="15.75" thickBot="1">
      <c r="A14" s="1">
        <f>A13+1</f>
        <v>13</v>
      </c>
      <c r="C14" s="8" t="s">
        <v>17</v>
      </c>
      <c r="D14" s="2">
        <v>42754</v>
      </c>
      <c r="E14" s="3">
        <f>10500/100000</f>
        <v>0.105</v>
      </c>
      <c r="F14" t="s">
        <v>70</v>
      </c>
      <c r="G14" t="s">
        <v>71</v>
      </c>
      <c r="H14" t="s">
        <v>72</v>
      </c>
      <c r="I14" s="6" t="s">
        <v>21</v>
      </c>
      <c r="J14" s="61" t="s">
        <v>22</v>
      </c>
      <c r="K14" s="11" t="s">
        <v>73</v>
      </c>
      <c r="L14" s="5" t="str">
        <f t="shared" si="0"/>
        <v>00013</v>
      </c>
      <c r="M14" s="47" t="str">
        <f t="shared" si="1"/>
        <v>19 de enero de 2017</v>
      </c>
      <c r="N14" s="323">
        <f t="shared" si="5"/>
        <v>19</v>
      </c>
      <c r="O14" s="25">
        <f t="shared" si="2"/>
        <v>42736</v>
      </c>
      <c r="P14" s="5" t="str">
        <f t="shared" si="3"/>
        <v>0,11</v>
      </c>
      <c r="Q14" s="4" t="e">
        <f t="shared" ca="1" si="4"/>
        <v>#NAME?</v>
      </c>
    </row>
    <row r="15" spans="1:17" ht="15.75" thickBot="1">
      <c r="A15" s="1">
        <f t="shared" si="6"/>
        <v>14</v>
      </c>
      <c r="C15" s="8" t="s">
        <v>17</v>
      </c>
      <c r="D15" s="2">
        <v>42754</v>
      </c>
      <c r="E15" s="3">
        <f>4500/100000</f>
        <v>4.4999999999999998E-2</v>
      </c>
      <c r="F15" t="s">
        <v>74</v>
      </c>
      <c r="G15" s="18" t="s">
        <v>58</v>
      </c>
      <c r="H15" t="s">
        <v>75</v>
      </c>
      <c r="I15" s="6" t="s">
        <v>51</v>
      </c>
      <c r="J15" s="61" t="s">
        <v>22</v>
      </c>
      <c r="K15" s="11" t="s">
        <v>76</v>
      </c>
      <c r="L15" s="5" t="str">
        <f t="shared" si="0"/>
        <v>00014</v>
      </c>
      <c r="M15" s="47" t="str">
        <f t="shared" si="1"/>
        <v>19 de enero de 2017</v>
      </c>
      <c r="N15" s="323">
        <f t="shared" si="5"/>
        <v>19</v>
      </c>
      <c r="O15" s="25">
        <f t="shared" si="2"/>
        <v>42736</v>
      </c>
      <c r="P15" s="5" t="str">
        <f t="shared" si="3"/>
        <v>0,05</v>
      </c>
      <c r="Q15" s="4" t="e">
        <f t="shared" ca="1" si="4"/>
        <v>#NAME?</v>
      </c>
    </row>
    <row r="16" spans="1:17">
      <c r="A16" s="1">
        <f t="shared" si="6"/>
        <v>15</v>
      </c>
      <c r="C16" s="8" t="s">
        <v>17</v>
      </c>
      <c r="D16" s="2">
        <v>42755</v>
      </c>
      <c r="E16" s="3">
        <f>6500/100000</f>
        <v>6.5000000000000002E-2</v>
      </c>
      <c r="F16" t="s">
        <v>70</v>
      </c>
      <c r="G16" t="s">
        <v>71</v>
      </c>
      <c r="H16" t="s">
        <v>72</v>
      </c>
      <c r="I16" s="6" t="s">
        <v>77</v>
      </c>
      <c r="J16" s="61" t="s">
        <v>22</v>
      </c>
      <c r="K16" s="11" t="s">
        <v>78</v>
      </c>
      <c r="L16" s="5" t="str">
        <f t="shared" si="0"/>
        <v>00015</v>
      </c>
      <c r="M16" s="47" t="str">
        <f t="shared" si="1"/>
        <v>20 de enero de 2017</v>
      </c>
      <c r="N16" s="323">
        <f t="shared" si="5"/>
        <v>20</v>
      </c>
      <c r="O16" s="25">
        <f t="shared" si="2"/>
        <v>42736</v>
      </c>
      <c r="P16" s="5" t="str">
        <f t="shared" si="3"/>
        <v>0,07</v>
      </c>
      <c r="Q16" s="4" t="e">
        <f t="shared" ca="1" si="4"/>
        <v>#NAME?</v>
      </c>
    </row>
    <row r="17" spans="1:17">
      <c r="A17" s="1">
        <f t="shared" si="6"/>
        <v>16</v>
      </c>
      <c r="C17" s="8" t="s">
        <v>17</v>
      </c>
      <c r="D17" s="2">
        <v>42755</v>
      </c>
      <c r="E17" s="3">
        <f>6500/100000</f>
        <v>6.5000000000000002E-2</v>
      </c>
      <c r="F17" t="s">
        <v>18</v>
      </c>
      <c r="G17" t="s">
        <v>19</v>
      </c>
      <c r="H17" t="s">
        <v>20</v>
      </c>
      <c r="I17" s="6" t="s">
        <v>77</v>
      </c>
      <c r="J17" s="61" t="s">
        <v>22</v>
      </c>
      <c r="K17" s="11" t="s">
        <v>79</v>
      </c>
      <c r="L17" s="5" t="str">
        <f t="shared" si="0"/>
        <v>00016</v>
      </c>
      <c r="M17" s="47" t="str">
        <f t="shared" si="1"/>
        <v>20 de enero de 2017</v>
      </c>
      <c r="N17" s="323">
        <f t="shared" si="5"/>
        <v>20</v>
      </c>
      <c r="O17" s="25">
        <f t="shared" si="2"/>
        <v>42736</v>
      </c>
      <c r="P17" s="5" t="str">
        <f t="shared" si="3"/>
        <v>0,07</v>
      </c>
      <c r="Q17" s="4" t="e">
        <f t="shared" ca="1" si="4"/>
        <v>#NAME?</v>
      </c>
    </row>
    <row r="18" spans="1:17">
      <c r="A18" s="1">
        <f t="shared" si="6"/>
        <v>17</v>
      </c>
      <c r="C18" s="8" t="s">
        <v>17</v>
      </c>
      <c r="D18" s="2">
        <v>42755</v>
      </c>
      <c r="E18" s="3">
        <f>17000/100000</f>
        <v>0.17</v>
      </c>
      <c r="F18" t="s">
        <v>80</v>
      </c>
      <c r="G18" t="s">
        <v>81</v>
      </c>
      <c r="H18" t="s">
        <v>82</v>
      </c>
      <c r="I18" s="6" t="s">
        <v>60</v>
      </c>
      <c r="J18" s="61" t="s">
        <v>22</v>
      </c>
      <c r="K18" s="11" t="s">
        <v>83</v>
      </c>
      <c r="L18" s="5" t="str">
        <f t="shared" si="0"/>
        <v>00017</v>
      </c>
      <c r="M18" s="47" t="str">
        <f t="shared" si="1"/>
        <v>20 de enero de 2017</v>
      </c>
      <c r="N18" s="323">
        <f t="shared" si="5"/>
        <v>20</v>
      </c>
      <c r="O18" s="25">
        <f t="shared" si="2"/>
        <v>42736</v>
      </c>
      <c r="P18" s="5" t="str">
        <f t="shared" si="3"/>
        <v>0,17</v>
      </c>
      <c r="Q18" s="4" t="e">
        <f t="shared" ca="1" si="4"/>
        <v>#NAME?</v>
      </c>
    </row>
    <row r="19" spans="1:17">
      <c r="A19" s="1">
        <f t="shared" si="6"/>
        <v>18</v>
      </c>
      <c r="C19" s="8" t="s">
        <v>17</v>
      </c>
      <c r="D19" s="2">
        <v>42755</v>
      </c>
      <c r="E19" s="3">
        <f>6000/100000</f>
        <v>0.06</v>
      </c>
      <c r="F19" t="s">
        <v>84</v>
      </c>
      <c r="G19" t="s">
        <v>85</v>
      </c>
      <c r="H19" t="s">
        <v>86</v>
      </c>
      <c r="I19" s="6" t="s">
        <v>51</v>
      </c>
      <c r="J19" s="61" t="s">
        <v>22</v>
      </c>
      <c r="K19" s="11" t="s">
        <v>87</v>
      </c>
      <c r="L19" s="5" t="str">
        <f t="shared" si="0"/>
        <v>00018</v>
      </c>
      <c r="M19" s="47" t="str">
        <f t="shared" si="1"/>
        <v>20 de enero de 2017</v>
      </c>
      <c r="N19" s="323">
        <f t="shared" si="5"/>
        <v>20</v>
      </c>
      <c r="O19" s="25">
        <f t="shared" si="2"/>
        <v>42736</v>
      </c>
      <c r="P19" s="5" t="str">
        <f t="shared" si="3"/>
        <v>0,06</v>
      </c>
      <c r="Q19" s="4" t="e">
        <f t="shared" ca="1" si="4"/>
        <v>#NAME?</v>
      </c>
    </row>
    <row r="20" spans="1:17">
      <c r="A20" s="1">
        <f t="shared" si="6"/>
        <v>19</v>
      </c>
      <c r="C20" s="8" t="s">
        <v>17</v>
      </c>
      <c r="D20" s="2">
        <v>42759</v>
      </c>
      <c r="E20" s="3">
        <f>6500/100000</f>
        <v>6.5000000000000002E-2</v>
      </c>
      <c r="F20" t="s">
        <v>24</v>
      </c>
      <c r="G20" t="s">
        <v>25</v>
      </c>
      <c r="H20" t="s">
        <v>26</v>
      </c>
      <c r="I20" s="6" t="s">
        <v>77</v>
      </c>
      <c r="J20" s="61" t="s">
        <v>22</v>
      </c>
      <c r="K20" s="11" t="s">
        <v>88</v>
      </c>
      <c r="L20" s="5" t="str">
        <f t="shared" si="0"/>
        <v>00019</v>
      </c>
      <c r="M20" s="47" t="str">
        <f t="shared" si="1"/>
        <v>24 de enero de 2017</v>
      </c>
      <c r="N20" s="323">
        <f t="shared" si="5"/>
        <v>24</v>
      </c>
      <c r="O20" s="25">
        <f t="shared" si="2"/>
        <v>42736</v>
      </c>
      <c r="P20" s="5" t="str">
        <f t="shared" si="3"/>
        <v>0,07</v>
      </c>
      <c r="Q20" s="4" t="e">
        <f t="shared" ca="1" si="4"/>
        <v>#NAME?</v>
      </c>
    </row>
    <row r="21" spans="1:17">
      <c r="A21" s="1">
        <f t="shared" si="6"/>
        <v>20</v>
      </c>
      <c r="C21" s="8" t="s">
        <v>17</v>
      </c>
      <c r="D21" s="2">
        <v>42759</v>
      </c>
      <c r="E21" s="3">
        <f>10000/100000</f>
        <v>0.1</v>
      </c>
      <c r="F21" t="s">
        <v>28</v>
      </c>
      <c r="G21" t="s">
        <v>29</v>
      </c>
      <c r="H21" t="s">
        <v>30</v>
      </c>
      <c r="I21" s="6" t="s">
        <v>21</v>
      </c>
      <c r="J21" s="61" t="s">
        <v>22</v>
      </c>
      <c r="K21" s="11" t="s">
        <v>89</v>
      </c>
      <c r="L21" s="5" t="str">
        <f t="shared" si="0"/>
        <v>00020</v>
      </c>
      <c r="M21" s="47" t="str">
        <f t="shared" si="1"/>
        <v>24 de enero de 2017</v>
      </c>
      <c r="N21" s="323">
        <f t="shared" si="5"/>
        <v>24</v>
      </c>
      <c r="O21" s="25">
        <f t="shared" si="2"/>
        <v>42736</v>
      </c>
      <c r="P21" s="5" t="str">
        <f t="shared" si="3"/>
        <v>0,10</v>
      </c>
      <c r="Q21" s="4" t="e">
        <f t="shared" ca="1" si="4"/>
        <v>#NAME?</v>
      </c>
    </row>
    <row r="22" spans="1:17">
      <c r="A22" s="1">
        <f t="shared" si="6"/>
        <v>21</v>
      </c>
      <c r="C22" s="8" t="s">
        <v>17</v>
      </c>
      <c r="D22" s="2">
        <v>42759</v>
      </c>
      <c r="E22" s="3">
        <f>17000/100000</f>
        <v>0.17</v>
      </c>
      <c r="F22" t="s">
        <v>90</v>
      </c>
      <c r="G22" t="s">
        <v>91</v>
      </c>
      <c r="H22" t="s">
        <v>92</v>
      </c>
      <c r="I22" s="6" t="s">
        <v>60</v>
      </c>
      <c r="J22" s="61" t="s">
        <v>22</v>
      </c>
      <c r="K22" s="11" t="s">
        <v>93</v>
      </c>
      <c r="L22" s="5" t="str">
        <f t="shared" si="0"/>
        <v>00021</v>
      </c>
      <c r="M22" s="47" t="str">
        <f t="shared" si="1"/>
        <v>24 de enero de 2017</v>
      </c>
      <c r="N22" s="323">
        <f t="shared" si="5"/>
        <v>24</v>
      </c>
      <c r="O22" s="25">
        <f t="shared" si="2"/>
        <v>42736</v>
      </c>
      <c r="P22" s="5" t="str">
        <f t="shared" si="3"/>
        <v>0,17</v>
      </c>
      <c r="Q22" s="4" t="e">
        <f t="shared" ca="1" si="4"/>
        <v>#NAME?</v>
      </c>
    </row>
    <row r="23" spans="1:17">
      <c r="A23" s="1">
        <f t="shared" si="6"/>
        <v>22</v>
      </c>
      <c r="C23" s="8" t="s">
        <v>17</v>
      </c>
      <c r="D23" s="2">
        <v>42760</v>
      </c>
      <c r="E23" s="3">
        <f>2000/100000</f>
        <v>0.02</v>
      </c>
      <c r="F23" t="s">
        <v>94</v>
      </c>
      <c r="G23" t="s">
        <v>95</v>
      </c>
      <c r="H23" t="s">
        <v>96</v>
      </c>
      <c r="I23" s="6" t="s">
        <v>51</v>
      </c>
      <c r="J23" s="61" t="s">
        <v>22</v>
      </c>
      <c r="K23" s="11" t="s">
        <v>97</v>
      </c>
      <c r="L23" s="5" t="str">
        <f t="shared" si="0"/>
        <v>00022</v>
      </c>
      <c r="M23" s="47" t="str">
        <f t="shared" si="1"/>
        <v>25 de enero de 2017</v>
      </c>
      <c r="N23" s="323">
        <f t="shared" si="5"/>
        <v>25</v>
      </c>
      <c r="O23" s="25">
        <f t="shared" si="2"/>
        <v>42736</v>
      </c>
      <c r="P23" s="5" t="str">
        <f t="shared" si="3"/>
        <v>0,02</v>
      </c>
      <c r="Q23" s="4" t="e">
        <f t="shared" ca="1" si="4"/>
        <v>#NAME?</v>
      </c>
    </row>
    <row r="24" spans="1:17">
      <c r="A24" s="1">
        <f t="shared" si="6"/>
        <v>23</v>
      </c>
      <c r="C24" s="8" t="s">
        <v>17</v>
      </c>
      <c r="D24" s="2">
        <v>42760</v>
      </c>
      <c r="E24" s="3">
        <f>6500/100000</f>
        <v>6.5000000000000002E-2</v>
      </c>
      <c r="F24" t="s">
        <v>32</v>
      </c>
      <c r="G24" t="s">
        <v>33</v>
      </c>
      <c r="H24" t="s">
        <v>34</v>
      </c>
      <c r="I24" s="6" t="s">
        <v>98</v>
      </c>
      <c r="J24" s="61" t="s">
        <v>22</v>
      </c>
      <c r="K24" s="11" t="s">
        <v>99</v>
      </c>
      <c r="L24" s="5" t="str">
        <f t="shared" si="0"/>
        <v>00023</v>
      </c>
      <c r="M24" s="47" t="str">
        <f t="shared" si="1"/>
        <v>25 de enero de 2017</v>
      </c>
      <c r="N24" s="323">
        <f t="shared" si="5"/>
        <v>25</v>
      </c>
      <c r="O24" s="25">
        <f t="shared" si="2"/>
        <v>42736</v>
      </c>
      <c r="P24" s="5" t="str">
        <f t="shared" si="3"/>
        <v>0,07</v>
      </c>
      <c r="Q24" s="4" t="e">
        <f t="shared" ca="1" si="4"/>
        <v>#NAME?</v>
      </c>
    </row>
    <row r="25" spans="1:17">
      <c r="A25" s="1">
        <f t="shared" si="6"/>
        <v>24</v>
      </c>
      <c r="C25" s="8" t="s">
        <v>17</v>
      </c>
      <c r="D25" s="2">
        <v>42760</v>
      </c>
      <c r="E25" s="3">
        <f>17000/100000</f>
        <v>0.17</v>
      </c>
      <c r="F25" t="s">
        <v>100</v>
      </c>
      <c r="G25" t="s">
        <v>95</v>
      </c>
      <c r="H25" t="s">
        <v>101</v>
      </c>
      <c r="I25" s="6" t="s">
        <v>60</v>
      </c>
      <c r="J25" s="61" t="s">
        <v>22</v>
      </c>
      <c r="K25" s="11" t="s">
        <v>102</v>
      </c>
      <c r="L25" s="5" t="str">
        <f t="shared" si="0"/>
        <v>00024</v>
      </c>
      <c r="M25" s="47" t="str">
        <f t="shared" si="1"/>
        <v>25 de enero de 2017</v>
      </c>
      <c r="N25" s="323">
        <f t="shared" si="5"/>
        <v>25</v>
      </c>
      <c r="O25" s="25">
        <f t="shared" si="2"/>
        <v>42736</v>
      </c>
      <c r="P25" s="5" t="str">
        <f t="shared" si="3"/>
        <v>0,17</v>
      </c>
      <c r="Q25" s="4" t="e">
        <f t="shared" ca="1" si="4"/>
        <v>#NAME?</v>
      </c>
    </row>
    <row r="26" spans="1:17">
      <c r="A26" s="1">
        <f t="shared" si="6"/>
        <v>25</v>
      </c>
      <c r="C26" s="8" t="s">
        <v>17</v>
      </c>
      <c r="D26" s="2">
        <v>42761</v>
      </c>
      <c r="E26" s="3">
        <f>17000/100000</f>
        <v>0.17</v>
      </c>
      <c r="F26" t="s">
        <v>103</v>
      </c>
      <c r="G26" t="s">
        <v>104</v>
      </c>
      <c r="H26" t="s">
        <v>105</v>
      </c>
      <c r="I26" s="6" t="s">
        <v>60</v>
      </c>
      <c r="J26" s="61" t="s">
        <v>22</v>
      </c>
      <c r="K26" s="11" t="s">
        <v>106</v>
      </c>
      <c r="L26" s="5" t="str">
        <f t="shared" si="0"/>
        <v>00025</v>
      </c>
      <c r="M26" s="47" t="str">
        <f t="shared" si="1"/>
        <v>26 de enero de 2017</v>
      </c>
      <c r="N26" s="323">
        <f t="shared" si="5"/>
        <v>26</v>
      </c>
      <c r="O26" s="25">
        <f t="shared" si="2"/>
        <v>42736</v>
      </c>
      <c r="P26" s="5" t="str">
        <f t="shared" si="3"/>
        <v>0,17</v>
      </c>
      <c r="Q26" s="4" t="e">
        <f t="shared" ca="1" si="4"/>
        <v>#NAME?</v>
      </c>
    </row>
    <row r="27" spans="1:17">
      <c r="A27" s="1">
        <f t="shared" si="6"/>
        <v>26</v>
      </c>
      <c r="C27" s="8" t="s">
        <v>17</v>
      </c>
      <c r="D27" s="2">
        <v>42762</v>
      </c>
      <c r="E27" s="3">
        <f>17000/100000</f>
        <v>0.17</v>
      </c>
      <c r="F27" t="s">
        <v>107</v>
      </c>
      <c r="G27" t="s">
        <v>108</v>
      </c>
      <c r="H27" t="s">
        <v>109</v>
      </c>
      <c r="I27" s="6" t="s">
        <v>60</v>
      </c>
      <c r="J27" s="61" t="s">
        <v>22</v>
      </c>
      <c r="K27" s="11" t="s">
        <v>110</v>
      </c>
      <c r="L27" s="5" t="str">
        <f t="shared" si="0"/>
        <v>00026</v>
      </c>
      <c r="M27" s="47" t="str">
        <f t="shared" si="1"/>
        <v>27 de enero de 2017</v>
      </c>
      <c r="N27" s="323">
        <f t="shared" si="5"/>
        <v>27</v>
      </c>
      <c r="O27" s="25">
        <f t="shared" si="2"/>
        <v>42736</v>
      </c>
      <c r="P27" s="5" t="str">
        <f t="shared" si="3"/>
        <v>0,17</v>
      </c>
      <c r="Q27" s="4" t="e">
        <f t="shared" ca="1" si="4"/>
        <v>#NAME?</v>
      </c>
    </row>
    <row r="28" spans="1:17">
      <c r="A28" s="1">
        <f t="shared" si="6"/>
        <v>27</v>
      </c>
      <c r="C28" s="8" t="s">
        <v>17</v>
      </c>
      <c r="D28" s="2">
        <v>42765</v>
      </c>
      <c r="E28" s="3">
        <f>6500/100000</f>
        <v>6.5000000000000002E-2</v>
      </c>
      <c r="F28" t="s">
        <v>36</v>
      </c>
      <c r="G28" t="s">
        <v>37</v>
      </c>
      <c r="H28" t="s">
        <v>38</v>
      </c>
      <c r="I28" s="6" t="s">
        <v>77</v>
      </c>
      <c r="J28" s="61" t="s">
        <v>22</v>
      </c>
      <c r="K28" s="11" t="s">
        <v>111</v>
      </c>
      <c r="L28" s="5" t="str">
        <f t="shared" si="0"/>
        <v>00027</v>
      </c>
      <c r="M28" s="47" t="str">
        <f t="shared" si="1"/>
        <v>30 de enero de 2017</v>
      </c>
      <c r="N28" s="323">
        <f t="shared" si="5"/>
        <v>30</v>
      </c>
      <c r="O28" s="25">
        <f t="shared" si="2"/>
        <v>42736</v>
      </c>
      <c r="P28" s="5" t="str">
        <f t="shared" si="3"/>
        <v>0,07</v>
      </c>
      <c r="Q28" s="4" t="e">
        <f t="shared" ca="1" si="4"/>
        <v>#NAME?</v>
      </c>
    </row>
    <row r="29" spans="1:17">
      <c r="A29" s="1">
        <f t="shared" si="6"/>
        <v>28</v>
      </c>
      <c r="C29" s="8" t="s">
        <v>17</v>
      </c>
      <c r="D29" s="2">
        <v>42765</v>
      </c>
      <c r="E29" s="3">
        <f>7488/100000</f>
        <v>7.4880000000000002E-2</v>
      </c>
      <c r="F29" t="s">
        <v>36</v>
      </c>
      <c r="G29" t="s">
        <v>37</v>
      </c>
      <c r="H29" t="s">
        <v>38</v>
      </c>
      <c r="I29" s="6" t="s">
        <v>112</v>
      </c>
      <c r="J29" s="61" t="s">
        <v>22</v>
      </c>
      <c r="K29" s="11" t="s">
        <v>113</v>
      </c>
      <c r="L29" s="5" t="str">
        <f t="shared" si="0"/>
        <v>00028</v>
      </c>
      <c r="M29" s="47" t="str">
        <f t="shared" si="1"/>
        <v>30 de enero de 2017</v>
      </c>
      <c r="N29" s="323">
        <f t="shared" si="5"/>
        <v>30</v>
      </c>
      <c r="O29" s="25">
        <f t="shared" si="2"/>
        <v>42736</v>
      </c>
      <c r="P29" s="5" t="str">
        <f t="shared" si="3"/>
        <v>0,07</v>
      </c>
      <c r="Q29" s="4" t="e">
        <f t="shared" ca="1" si="4"/>
        <v>#NAME?</v>
      </c>
    </row>
    <row r="30" spans="1:17">
      <c r="A30" s="1">
        <f t="shared" si="6"/>
        <v>29</v>
      </c>
      <c r="C30" s="8" t="s">
        <v>17</v>
      </c>
      <c r="D30" s="2">
        <v>42766</v>
      </c>
      <c r="E30" s="3">
        <f>17000/100000</f>
        <v>0.17</v>
      </c>
      <c r="F30" t="s">
        <v>114</v>
      </c>
      <c r="G30" t="s">
        <v>115</v>
      </c>
      <c r="H30" t="s">
        <v>116</v>
      </c>
      <c r="I30" s="6" t="s">
        <v>60</v>
      </c>
      <c r="J30" s="61" t="s">
        <v>22</v>
      </c>
      <c r="K30" s="11" t="s">
        <v>117</v>
      </c>
      <c r="L30" s="5" t="str">
        <f t="shared" si="0"/>
        <v>00029</v>
      </c>
      <c r="M30" s="47" t="str">
        <f t="shared" si="1"/>
        <v>31 de enero de 2017</v>
      </c>
      <c r="N30" s="323">
        <f t="shared" si="5"/>
        <v>31</v>
      </c>
      <c r="O30" s="25">
        <f t="shared" si="2"/>
        <v>42736</v>
      </c>
      <c r="P30" s="5" t="str">
        <f t="shared" si="3"/>
        <v>0,17</v>
      </c>
      <c r="Q30" s="4" t="e">
        <f t="shared" ca="1" si="4"/>
        <v>#NAME?</v>
      </c>
    </row>
    <row r="31" spans="1:17">
      <c r="A31" s="1">
        <f t="shared" si="6"/>
        <v>30</v>
      </c>
      <c r="C31" s="8" t="s">
        <v>17</v>
      </c>
      <c r="D31" s="2">
        <v>42766</v>
      </c>
      <c r="E31" s="3">
        <f>7960/100000</f>
        <v>7.9600000000000004E-2</v>
      </c>
      <c r="F31" t="s">
        <v>118</v>
      </c>
      <c r="G31" t="s">
        <v>119</v>
      </c>
      <c r="H31" t="s">
        <v>120</v>
      </c>
      <c r="I31" s="6" t="s">
        <v>51</v>
      </c>
      <c r="J31" s="61" t="s">
        <v>22</v>
      </c>
      <c r="K31" s="11" t="s">
        <v>121</v>
      </c>
      <c r="L31" s="5" t="str">
        <f t="shared" si="0"/>
        <v>00030</v>
      </c>
      <c r="M31" s="47" t="str">
        <f t="shared" si="1"/>
        <v>31 de enero de 2017</v>
      </c>
      <c r="N31" s="323">
        <f t="shared" si="5"/>
        <v>31</v>
      </c>
      <c r="O31" s="25">
        <f t="shared" si="2"/>
        <v>42736</v>
      </c>
      <c r="P31" s="5" t="str">
        <f t="shared" si="3"/>
        <v>0,08</v>
      </c>
      <c r="Q31" s="4" t="e">
        <f t="shared" ca="1" si="4"/>
        <v>#NAME?</v>
      </c>
    </row>
    <row r="32" spans="1:17">
      <c r="A32" s="1">
        <f t="shared" si="6"/>
        <v>31</v>
      </c>
      <c r="C32" s="8" t="s">
        <v>17</v>
      </c>
      <c r="D32" s="2">
        <v>42767</v>
      </c>
      <c r="E32" s="3">
        <f>17000/100000</f>
        <v>0.17</v>
      </c>
      <c r="F32" t="s">
        <v>122</v>
      </c>
      <c r="G32" t="s">
        <v>123</v>
      </c>
      <c r="H32" t="s">
        <v>124</v>
      </c>
      <c r="I32" s="6" t="s">
        <v>60</v>
      </c>
      <c r="J32" s="61" t="s">
        <v>22</v>
      </c>
      <c r="K32" s="11" t="s">
        <v>125</v>
      </c>
      <c r="L32" s="5" t="str">
        <f t="shared" si="0"/>
        <v>00031</v>
      </c>
      <c r="M32" s="47" t="str">
        <f t="shared" si="1"/>
        <v>01 de febrero de 2017</v>
      </c>
      <c r="N32" s="323">
        <f t="shared" si="5"/>
        <v>1</v>
      </c>
      <c r="O32" s="25">
        <f t="shared" si="2"/>
        <v>42767</v>
      </c>
      <c r="P32" s="5" t="str">
        <f t="shared" si="3"/>
        <v>0,17</v>
      </c>
      <c r="Q32" s="4" t="e">
        <f t="shared" ca="1" si="4"/>
        <v>#NAME?</v>
      </c>
    </row>
    <row r="33" spans="1:17">
      <c r="A33" s="1">
        <f t="shared" si="6"/>
        <v>32</v>
      </c>
      <c r="C33" s="8" t="s">
        <v>17</v>
      </c>
      <c r="D33" s="2">
        <v>42767</v>
      </c>
      <c r="E33" s="3">
        <f>17000/100000</f>
        <v>0.17</v>
      </c>
      <c r="F33" t="s">
        <v>126</v>
      </c>
      <c r="G33" t="s">
        <v>127</v>
      </c>
      <c r="H33" t="s">
        <v>128</v>
      </c>
      <c r="I33" s="6" t="s">
        <v>60</v>
      </c>
      <c r="J33" s="61" t="s">
        <v>22</v>
      </c>
      <c r="K33" s="11" t="s">
        <v>129</v>
      </c>
      <c r="L33" s="5" t="str">
        <f t="shared" si="0"/>
        <v>00032</v>
      </c>
      <c r="M33" s="47" t="str">
        <f t="shared" si="1"/>
        <v>01 de febrero de 2017</v>
      </c>
      <c r="N33" s="323">
        <f t="shared" si="5"/>
        <v>1</v>
      </c>
      <c r="O33" s="25">
        <f t="shared" si="2"/>
        <v>42767</v>
      </c>
      <c r="P33" s="5" t="str">
        <f t="shared" si="3"/>
        <v>0,17</v>
      </c>
      <c r="Q33" s="4" t="e">
        <f t="shared" ca="1" si="4"/>
        <v>#NAME?</v>
      </c>
    </row>
    <row r="34" spans="1:17">
      <c r="A34" s="1">
        <f t="shared" si="6"/>
        <v>33</v>
      </c>
      <c r="C34" s="8" t="s">
        <v>17</v>
      </c>
      <c r="D34" s="2">
        <v>42767</v>
      </c>
      <c r="E34" s="3">
        <f>10500/100000</f>
        <v>0.105</v>
      </c>
      <c r="F34" t="s">
        <v>130</v>
      </c>
      <c r="G34" t="s">
        <v>131</v>
      </c>
      <c r="H34" t="s">
        <v>132</v>
      </c>
      <c r="I34" s="6" t="s">
        <v>51</v>
      </c>
      <c r="J34" s="61" t="s">
        <v>22</v>
      </c>
      <c r="K34" s="11" t="s">
        <v>133</v>
      </c>
      <c r="L34" s="5" t="str">
        <f t="shared" si="0"/>
        <v>00033</v>
      </c>
      <c r="M34" s="47" t="str">
        <f t="shared" si="1"/>
        <v>01 de febrero de 2017</v>
      </c>
      <c r="N34" s="323">
        <f t="shared" si="5"/>
        <v>1</v>
      </c>
      <c r="O34" s="25">
        <f t="shared" si="2"/>
        <v>42767</v>
      </c>
      <c r="P34" s="5" t="str">
        <f t="shared" si="3"/>
        <v>0,11</v>
      </c>
      <c r="Q34" s="4" t="e">
        <f t="shared" ca="1" si="4"/>
        <v>#NAME?</v>
      </c>
    </row>
    <row r="35" spans="1:17">
      <c r="A35" s="1">
        <f t="shared" si="6"/>
        <v>34</v>
      </c>
      <c r="C35" s="8" t="s">
        <v>17</v>
      </c>
      <c r="D35" s="2">
        <v>42768</v>
      </c>
      <c r="E35" s="3">
        <f>17000/100000</f>
        <v>0.17</v>
      </c>
      <c r="F35" t="s">
        <v>134</v>
      </c>
      <c r="G35" t="s">
        <v>135</v>
      </c>
      <c r="H35" t="s">
        <v>136</v>
      </c>
      <c r="I35" s="6" t="s">
        <v>60</v>
      </c>
      <c r="J35" s="61" t="s">
        <v>22</v>
      </c>
      <c r="K35" s="11" t="s">
        <v>137</v>
      </c>
      <c r="L35" s="5" t="str">
        <f t="shared" si="0"/>
        <v>00034</v>
      </c>
      <c r="M35" s="47" t="str">
        <f t="shared" si="1"/>
        <v>02 de febrero de 2017</v>
      </c>
      <c r="N35" s="323">
        <f t="shared" si="5"/>
        <v>2</v>
      </c>
      <c r="O35" s="25">
        <f t="shared" si="2"/>
        <v>42767</v>
      </c>
      <c r="P35" s="5" t="str">
        <f t="shared" si="3"/>
        <v>0,17</v>
      </c>
      <c r="Q35" s="4" t="e">
        <f t="shared" ca="1" si="4"/>
        <v>#NAME?</v>
      </c>
    </row>
    <row r="36" spans="1:17">
      <c r="A36" s="1">
        <f t="shared" si="6"/>
        <v>35</v>
      </c>
      <c r="C36" s="8" t="s">
        <v>17</v>
      </c>
      <c r="D36" s="2">
        <v>42768</v>
      </c>
      <c r="E36" s="3">
        <f>17000/100000</f>
        <v>0.17</v>
      </c>
      <c r="F36" t="s">
        <v>138</v>
      </c>
      <c r="G36" t="s">
        <v>139</v>
      </c>
      <c r="H36" t="s">
        <v>140</v>
      </c>
      <c r="I36" s="6" t="s">
        <v>60</v>
      </c>
      <c r="J36" s="61" t="s">
        <v>22</v>
      </c>
      <c r="K36" s="11" t="s">
        <v>141</v>
      </c>
      <c r="L36" s="5" t="str">
        <f t="shared" si="0"/>
        <v>00035</v>
      </c>
      <c r="M36" s="47" t="str">
        <f t="shared" si="1"/>
        <v>02 de febrero de 2017</v>
      </c>
      <c r="N36" s="323">
        <f t="shared" si="5"/>
        <v>2</v>
      </c>
      <c r="O36" s="25">
        <f t="shared" si="2"/>
        <v>42767</v>
      </c>
      <c r="P36" s="5" t="str">
        <f t="shared" si="3"/>
        <v>0,17</v>
      </c>
      <c r="Q36" s="4" t="e">
        <f t="shared" ca="1" si="4"/>
        <v>#NAME?</v>
      </c>
    </row>
    <row r="37" spans="1:17">
      <c r="A37" s="1">
        <f t="shared" si="6"/>
        <v>36</v>
      </c>
      <c r="C37" s="8" t="s">
        <v>17</v>
      </c>
      <c r="D37" s="2">
        <v>42768</v>
      </c>
      <c r="E37" s="3">
        <f>17000/100000</f>
        <v>0.17</v>
      </c>
      <c r="F37" t="s">
        <v>44</v>
      </c>
      <c r="G37" t="s">
        <v>45</v>
      </c>
      <c r="H37" t="s">
        <v>46</v>
      </c>
      <c r="I37" s="6" t="s">
        <v>142</v>
      </c>
      <c r="J37" s="61" t="s">
        <v>22</v>
      </c>
      <c r="K37" s="11" t="s">
        <v>143</v>
      </c>
      <c r="L37" s="5" t="str">
        <f t="shared" si="0"/>
        <v>00036</v>
      </c>
      <c r="M37" s="47" t="str">
        <f t="shared" si="1"/>
        <v>02 de febrero de 2017</v>
      </c>
      <c r="N37" s="323">
        <f t="shared" si="5"/>
        <v>2</v>
      </c>
      <c r="O37" s="25">
        <f t="shared" si="2"/>
        <v>42767</v>
      </c>
      <c r="P37" s="5" t="str">
        <f t="shared" si="3"/>
        <v>0,17</v>
      </c>
      <c r="Q37" s="4" t="e">
        <f t="shared" ca="1" si="4"/>
        <v>#NAME?</v>
      </c>
    </row>
    <row r="38" spans="1:17">
      <c r="A38" s="1">
        <f t="shared" si="6"/>
        <v>37</v>
      </c>
      <c r="C38" s="8" t="s">
        <v>17</v>
      </c>
      <c r="D38" s="2">
        <v>42768</v>
      </c>
      <c r="E38" s="3">
        <f>3000/100000</f>
        <v>0.03</v>
      </c>
      <c r="F38" t="s">
        <v>144</v>
      </c>
      <c r="G38" t="s">
        <v>145</v>
      </c>
      <c r="H38" t="s">
        <v>146</v>
      </c>
      <c r="I38" s="6" t="s">
        <v>51</v>
      </c>
      <c r="J38" s="61" t="s">
        <v>22</v>
      </c>
      <c r="K38" s="11" t="s">
        <v>147</v>
      </c>
      <c r="L38" s="5" t="str">
        <f t="shared" si="0"/>
        <v>00037</v>
      </c>
      <c r="M38" s="47" t="str">
        <f t="shared" si="1"/>
        <v>02 de febrero de 2017</v>
      </c>
      <c r="N38" s="323">
        <f t="shared" si="5"/>
        <v>2</v>
      </c>
      <c r="O38" s="25">
        <f t="shared" si="2"/>
        <v>42767</v>
      </c>
      <c r="P38" s="5" t="str">
        <f t="shared" si="3"/>
        <v>0,03</v>
      </c>
      <c r="Q38" s="4" t="e">
        <f t="shared" ca="1" si="4"/>
        <v>#NAME?</v>
      </c>
    </row>
    <row r="39" spans="1:17">
      <c r="A39" s="1">
        <f t="shared" si="6"/>
        <v>38</v>
      </c>
      <c r="C39" s="8" t="s">
        <v>17</v>
      </c>
      <c r="D39" s="2">
        <v>42769</v>
      </c>
      <c r="E39" s="3">
        <f>17000/100000</f>
        <v>0.17</v>
      </c>
      <c r="F39" t="s">
        <v>148</v>
      </c>
      <c r="G39" t="s">
        <v>149</v>
      </c>
      <c r="H39" t="s">
        <v>150</v>
      </c>
      <c r="I39" s="6" t="s">
        <v>60</v>
      </c>
      <c r="J39" s="61" t="s">
        <v>22</v>
      </c>
      <c r="K39" s="11" t="s">
        <v>151</v>
      </c>
      <c r="L39" s="5" t="str">
        <f t="shared" si="0"/>
        <v>00038</v>
      </c>
      <c r="M39" s="47" t="str">
        <f t="shared" si="1"/>
        <v>03 de febrero de 2017</v>
      </c>
      <c r="N39" s="323">
        <f t="shared" si="5"/>
        <v>3</v>
      </c>
      <c r="O39" s="25">
        <f t="shared" si="2"/>
        <v>42767</v>
      </c>
      <c r="P39" s="5" t="str">
        <f t="shared" si="3"/>
        <v>0,17</v>
      </c>
      <c r="Q39" s="4" t="e">
        <f t="shared" ca="1" si="4"/>
        <v>#NAME?</v>
      </c>
    </row>
    <row r="40" spans="1:17">
      <c r="A40" s="1">
        <f t="shared" si="6"/>
        <v>39</v>
      </c>
      <c r="C40" s="8" t="s">
        <v>17</v>
      </c>
      <c r="D40" s="2">
        <v>42769</v>
      </c>
      <c r="E40" s="3">
        <f>17000/100000</f>
        <v>0.17</v>
      </c>
      <c r="F40" t="s">
        <v>152</v>
      </c>
      <c r="G40" t="s">
        <v>153</v>
      </c>
      <c r="H40" t="s">
        <v>154</v>
      </c>
      <c r="I40" s="6" t="s">
        <v>60</v>
      </c>
      <c r="J40" s="61" t="s">
        <v>22</v>
      </c>
      <c r="K40" s="11" t="s">
        <v>155</v>
      </c>
      <c r="L40" s="5" t="str">
        <f t="shared" si="0"/>
        <v>00039</v>
      </c>
      <c r="M40" s="47" t="str">
        <f t="shared" si="1"/>
        <v>03 de febrero de 2017</v>
      </c>
      <c r="N40" s="323">
        <f t="shared" si="5"/>
        <v>3</v>
      </c>
      <c r="O40" s="25">
        <f t="shared" si="2"/>
        <v>42767</v>
      </c>
      <c r="P40" s="5" t="str">
        <f t="shared" si="3"/>
        <v>0,17</v>
      </c>
      <c r="Q40" s="4" t="e">
        <f t="shared" ca="1" si="4"/>
        <v>#NAME?</v>
      </c>
    </row>
    <row r="41" spans="1:17">
      <c r="A41" s="1">
        <f t="shared" si="6"/>
        <v>40</v>
      </c>
      <c r="C41" s="8" t="s">
        <v>17</v>
      </c>
      <c r="D41" s="2">
        <v>42770</v>
      </c>
      <c r="E41" s="3">
        <f>17000/100000-7488/100000</f>
        <v>9.512000000000001E-2</v>
      </c>
      <c r="F41" t="s">
        <v>36</v>
      </c>
      <c r="G41" t="s">
        <v>37</v>
      </c>
      <c r="H41" t="s">
        <v>38</v>
      </c>
      <c r="I41" s="6" t="s">
        <v>156</v>
      </c>
      <c r="J41" s="61" t="s">
        <v>22</v>
      </c>
      <c r="K41" s="11" t="s">
        <v>157</v>
      </c>
      <c r="L41" s="5" t="str">
        <f t="shared" si="0"/>
        <v>00040</v>
      </c>
      <c r="M41" s="47" t="str">
        <f t="shared" si="1"/>
        <v>04 de febrero de 2017</v>
      </c>
      <c r="N41" s="323">
        <f t="shared" si="5"/>
        <v>4</v>
      </c>
      <c r="O41" s="25">
        <f t="shared" si="2"/>
        <v>42767</v>
      </c>
      <c r="P41" s="5" t="str">
        <f t="shared" si="3"/>
        <v>0,10</v>
      </c>
      <c r="Q41" s="4" t="e">
        <f t="shared" ca="1" si="4"/>
        <v>#NAME?</v>
      </c>
    </row>
    <row r="42" spans="1:17">
      <c r="A42" s="1">
        <f t="shared" si="6"/>
        <v>41</v>
      </c>
      <c r="C42" s="8" t="s">
        <v>17</v>
      </c>
      <c r="D42" s="2">
        <v>42771</v>
      </c>
      <c r="E42" s="3">
        <f>5000/100000</f>
        <v>0.05</v>
      </c>
      <c r="F42" t="s">
        <v>48</v>
      </c>
      <c r="G42" t="s">
        <v>49</v>
      </c>
      <c r="H42" t="s">
        <v>50</v>
      </c>
      <c r="I42" s="6" t="s">
        <v>158</v>
      </c>
      <c r="J42" s="61" t="s">
        <v>22</v>
      </c>
      <c r="K42" s="11" t="s">
        <v>159</v>
      </c>
      <c r="L42" s="5" t="str">
        <f t="shared" si="0"/>
        <v>00041</v>
      </c>
      <c r="M42" s="47" t="str">
        <f t="shared" si="1"/>
        <v>05 de febrero de 2017</v>
      </c>
      <c r="N42" s="323">
        <f t="shared" si="5"/>
        <v>5</v>
      </c>
      <c r="O42" s="25">
        <f t="shared" si="2"/>
        <v>42767</v>
      </c>
      <c r="P42" s="5" t="str">
        <f t="shared" si="3"/>
        <v>0,05</v>
      </c>
      <c r="Q42" s="4" t="e">
        <f t="shared" ca="1" si="4"/>
        <v>#NAME?</v>
      </c>
    </row>
    <row r="43" spans="1:17">
      <c r="A43" s="1">
        <f t="shared" si="6"/>
        <v>42</v>
      </c>
      <c r="C43" s="8" t="s">
        <v>17</v>
      </c>
      <c r="D43" s="2">
        <v>42771</v>
      </c>
      <c r="E43" s="3">
        <f>4000/100000</f>
        <v>0.04</v>
      </c>
      <c r="F43" t="s">
        <v>84</v>
      </c>
      <c r="G43" t="s">
        <v>85</v>
      </c>
      <c r="H43" t="s">
        <v>86</v>
      </c>
      <c r="I43" s="6" t="s">
        <v>51</v>
      </c>
      <c r="J43" s="61" t="s">
        <v>22</v>
      </c>
      <c r="K43" s="11" t="s">
        <v>160</v>
      </c>
      <c r="L43" s="5" t="str">
        <f t="shared" si="0"/>
        <v>00042</v>
      </c>
      <c r="M43" s="47" t="str">
        <f t="shared" si="1"/>
        <v>05 de febrero de 2017</v>
      </c>
      <c r="N43" s="323">
        <f t="shared" si="5"/>
        <v>5</v>
      </c>
      <c r="O43" s="25">
        <f t="shared" si="2"/>
        <v>42767</v>
      </c>
      <c r="P43" s="5" t="str">
        <f t="shared" si="3"/>
        <v>0,04</v>
      </c>
      <c r="Q43" s="4" t="e">
        <f t="shared" ca="1" si="4"/>
        <v>#NAME?</v>
      </c>
    </row>
    <row r="44" spans="1:17">
      <c r="A44" s="1">
        <f t="shared" si="6"/>
        <v>43</v>
      </c>
      <c r="C44" s="8" t="s">
        <v>17</v>
      </c>
      <c r="D44" s="2">
        <v>42773</v>
      </c>
      <c r="E44" s="3">
        <f>17000/100000</f>
        <v>0.17</v>
      </c>
      <c r="F44" t="s">
        <v>24</v>
      </c>
      <c r="G44" t="s">
        <v>25</v>
      </c>
      <c r="H44" t="s">
        <v>26</v>
      </c>
      <c r="I44" s="6" t="s">
        <v>142</v>
      </c>
      <c r="J44" s="61" t="s">
        <v>22</v>
      </c>
      <c r="K44" s="11" t="s">
        <v>161</v>
      </c>
      <c r="L44" s="5" t="str">
        <f t="shared" si="0"/>
        <v>00043</v>
      </c>
      <c r="M44" s="47" t="str">
        <f t="shared" si="1"/>
        <v>07 de febrero de 2017</v>
      </c>
      <c r="N44" s="323">
        <f t="shared" si="5"/>
        <v>7</v>
      </c>
      <c r="O44" s="25">
        <f t="shared" si="2"/>
        <v>42767</v>
      </c>
      <c r="P44" s="5" t="str">
        <f t="shared" si="3"/>
        <v>0,17</v>
      </c>
      <c r="Q44" s="4" t="e">
        <f t="shared" ca="1" si="4"/>
        <v>#NAME?</v>
      </c>
    </row>
    <row r="45" spans="1:17">
      <c r="A45" s="1">
        <f t="shared" si="6"/>
        <v>44</v>
      </c>
      <c r="C45" s="8" t="s">
        <v>17</v>
      </c>
      <c r="D45" s="2">
        <v>42774</v>
      </c>
      <c r="E45" s="3">
        <f>17000/100000</f>
        <v>0.17</v>
      </c>
      <c r="F45" t="s">
        <v>162</v>
      </c>
      <c r="G45" t="s">
        <v>163</v>
      </c>
      <c r="H45" t="s">
        <v>164</v>
      </c>
      <c r="I45" s="6" t="s">
        <v>60</v>
      </c>
      <c r="J45" s="61" t="s">
        <v>22</v>
      </c>
      <c r="K45" s="11" t="s">
        <v>165</v>
      </c>
      <c r="L45" s="5" t="str">
        <f t="shared" si="0"/>
        <v>00044</v>
      </c>
      <c r="M45" s="47" t="str">
        <f t="shared" si="1"/>
        <v>08 de febrero de 2017</v>
      </c>
      <c r="N45" s="323">
        <f t="shared" si="5"/>
        <v>8</v>
      </c>
      <c r="O45" s="25">
        <f t="shared" si="2"/>
        <v>42767</v>
      </c>
      <c r="P45" s="5" t="str">
        <f t="shared" si="3"/>
        <v>0,17</v>
      </c>
      <c r="Q45" s="4" t="e">
        <f t="shared" ca="1" si="4"/>
        <v>#NAME?</v>
      </c>
    </row>
    <row r="46" spans="1:17">
      <c r="A46" s="1">
        <f t="shared" si="6"/>
        <v>45</v>
      </c>
      <c r="C46" s="8" t="s">
        <v>17</v>
      </c>
      <c r="D46" s="2">
        <v>42774</v>
      </c>
      <c r="E46" s="3">
        <f>12000/100000</f>
        <v>0.12</v>
      </c>
      <c r="F46" t="s">
        <v>162</v>
      </c>
      <c r="G46" t="s">
        <v>163</v>
      </c>
      <c r="H46" t="s">
        <v>164</v>
      </c>
      <c r="I46" s="6" t="s">
        <v>112</v>
      </c>
      <c r="J46" s="61" t="s">
        <v>22</v>
      </c>
      <c r="K46" s="11" t="s">
        <v>166</v>
      </c>
      <c r="L46" s="5" t="str">
        <f t="shared" si="0"/>
        <v>00045</v>
      </c>
      <c r="M46" s="47" t="str">
        <f t="shared" si="1"/>
        <v>08 de febrero de 2017</v>
      </c>
      <c r="N46" s="323">
        <f t="shared" si="5"/>
        <v>8</v>
      </c>
      <c r="O46" s="25">
        <f t="shared" si="2"/>
        <v>42767</v>
      </c>
      <c r="P46" s="5" t="str">
        <f t="shared" si="3"/>
        <v>0,12</v>
      </c>
      <c r="Q46" s="4" t="e">
        <f t="shared" ca="1" si="4"/>
        <v>#NAME?</v>
      </c>
    </row>
    <row r="47" spans="1:17" ht="15.75" thickBot="1">
      <c r="A47" s="1">
        <f t="shared" si="6"/>
        <v>46</v>
      </c>
      <c r="C47" s="8" t="s">
        <v>17</v>
      </c>
      <c r="D47" s="2">
        <v>42774</v>
      </c>
      <c r="E47" s="3">
        <f>17000/100000</f>
        <v>0.17</v>
      </c>
      <c r="F47" t="s">
        <v>167</v>
      </c>
      <c r="G47" t="s">
        <v>168</v>
      </c>
      <c r="H47" t="s">
        <v>169</v>
      </c>
      <c r="I47" s="6" t="s">
        <v>60</v>
      </c>
      <c r="J47" s="61" t="s">
        <v>22</v>
      </c>
      <c r="K47" s="11" t="s">
        <v>170</v>
      </c>
      <c r="L47" s="5" t="str">
        <f t="shared" si="0"/>
        <v>00046</v>
      </c>
      <c r="M47" s="47" t="str">
        <f t="shared" si="1"/>
        <v>08 de febrero de 2017</v>
      </c>
      <c r="N47" s="323">
        <f t="shared" si="5"/>
        <v>8</v>
      </c>
      <c r="O47" s="25">
        <f t="shared" si="2"/>
        <v>42767</v>
      </c>
      <c r="P47" s="5" t="str">
        <f t="shared" si="3"/>
        <v>0,17</v>
      </c>
      <c r="Q47" s="4" t="e">
        <f t="shared" ca="1" si="4"/>
        <v>#NAME?</v>
      </c>
    </row>
    <row r="48" spans="1:17" ht="15.75" thickBot="1">
      <c r="A48" s="1">
        <f t="shared" si="6"/>
        <v>47</v>
      </c>
      <c r="C48" s="8" t="s">
        <v>17</v>
      </c>
      <c r="D48" s="2">
        <v>42774</v>
      </c>
      <c r="E48" s="3">
        <f>2000/100000</f>
        <v>0.02</v>
      </c>
      <c r="F48" t="s">
        <v>171</v>
      </c>
      <c r="G48" s="18" t="s">
        <v>58</v>
      </c>
      <c r="H48" t="s">
        <v>172</v>
      </c>
      <c r="I48" s="6" t="s">
        <v>51</v>
      </c>
      <c r="J48" s="61" t="s">
        <v>22</v>
      </c>
      <c r="K48" s="11" t="s">
        <v>173</v>
      </c>
      <c r="L48" s="5" t="str">
        <f t="shared" si="0"/>
        <v>00047</v>
      </c>
      <c r="M48" s="47" t="str">
        <f t="shared" si="1"/>
        <v>08 de febrero de 2017</v>
      </c>
      <c r="N48" s="323">
        <f t="shared" si="5"/>
        <v>8</v>
      </c>
      <c r="O48" s="25">
        <f t="shared" si="2"/>
        <v>42767</v>
      </c>
      <c r="P48" s="5" t="str">
        <f t="shared" si="3"/>
        <v>0,02</v>
      </c>
      <c r="Q48" s="4" t="e">
        <f t="shared" ca="1" si="4"/>
        <v>#NAME?</v>
      </c>
    </row>
    <row r="49" spans="1:17">
      <c r="A49" s="1">
        <f t="shared" si="6"/>
        <v>48</v>
      </c>
      <c r="C49" s="8" t="s">
        <v>17</v>
      </c>
      <c r="D49" s="2">
        <v>42774</v>
      </c>
      <c r="E49" s="3">
        <f>3000/100000</f>
        <v>0.03</v>
      </c>
      <c r="F49" t="s">
        <v>144</v>
      </c>
      <c r="G49" t="s">
        <v>145</v>
      </c>
      <c r="H49" t="s">
        <v>146</v>
      </c>
      <c r="I49" s="6" t="s">
        <v>158</v>
      </c>
      <c r="J49" s="61" t="s">
        <v>22</v>
      </c>
      <c r="K49" s="11" t="s">
        <v>174</v>
      </c>
      <c r="L49" s="5" t="str">
        <f t="shared" si="0"/>
        <v>00048</v>
      </c>
      <c r="M49" s="47" t="str">
        <f t="shared" si="1"/>
        <v>08 de febrero de 2017</v>
      </c>
      <c r="N49" s="323">
        <f t="shared" si="5"/>
        <v>8</v>
      </c>
      <c r="O49" s="25">
        <f t="shared" si="2"/>
        <v>42767</v>
      </c>
      <c r="P49" s="5" t="str">
        <f t="shared" si="3"/>
        <v>0,03</v>
      </c>
      <c r="Q49" s="4" t="e">
        <f t="shared" ca="1" si="4"/>
        <v>#NAME?</v>
      </c>
    </row>
    <row r="50" spans="1:17" ht="15.75" thickBot="1">
      <c r="A50" s="1">
        <f t="shared" si="6"/>
        <v>49</v>
      </c>
      <c r="C50" s="8" t="s">
        <v>17</v>
      </c>
      <c r="D50" s="2">
        <v>42774</v>
      </c>
      <c r="E50" s="3">
        <f>17000/100000</f>
        <v>0.17</v>
      </c>
      <c r="F50" t="s">
        <v>90</v>
      </c>
      <c r="G50" t="s">
        <v>91</v>
      </c>
      <c r="H50" t="s">
        <v>92</v>
      </c>
      <c r="I50" s="6" t="s">
        <v>142</v>
      </c>
      <c r="J50" s="61" t="s">
        <v>22</v>
      </c>
      <c r="K50" s="11" t="s">
        <v>175</v>
      </c>
      <c r="L50" s="5" t="str">
        <f t="shared" si="0"/>
        <v>00049</v>
      </c>
      <c r="M50" s="47" t="str">
        <f t="shared" si="1"/>
        <v>08 de febrero de 2017</v>
      </c>
      <c r="N50" s="323">
        <f t="shared" si="5"/>
        <v>8</v>
      </c>
      <c r="O50" s="25">
        <f t="shared" si="2"/>
        <v>42767</v>
      </c>
      <c r="P50" s="5" t="str">
        <f t="shared" si="3"/>
        <v>0,17</v>
      </c>
      <c r="Q50" s="4" t="e">
        <f t="shared" ca="1" si="4"/>
        <v>#NAME?</v>
      </c>
    </row>
    <row r="51" spans="1:17" ht="15.75" thickBot="1">
      <c r="A51" s="1">
        <f t="shared" si="6"/>
        <v>50</v>
      </c>
      <c r="C51" s="8" t="s">
        <v>17</v>
      </c>
      <c r="D51" s="2">
        <v>42775</v>
      </c>
      <c r="E51" s="3">
        <f>4500/100000</f>
        <v>4.4999999999999998E-2</v>
      </c>
      <c r="F51" t="s">
        <v>74</v>
      </c>
      <c r="G51" s="18" t="s">
        <v>58</v>
      </c>
      <c r="H51" t="s">
        <v>75</v>
      </c>
      <c r="I51" s="6" t="s">
        <v>158</v>
      </c>
      <c r="J51" s="61" t="s">
        <v>22</v>
      </c>
      <c r="K51" s="11" t="s">
        <v>176</v>
      </c>
      <c r="L51" s="5" t="str">
        <f t="shared" si="0"/>
        <v>00050</v>
      </c>
      <c r="M51" s="47" t="str">
        <f t="shared" si="1"/>
        <v>09 de febrero de 2017</v>
      </c>
      <c r="N51" s="323">
        <f t="shared" si="5"/>
        <v>9</v>
      </c>
      <c r="O51" s="25">
        <f t="shared" si="2"/>
        <v>42767</v>
      </c>
      <c r="P51" s="5" t="str">
        <f t="shared" si="3"/>
        <v>0,05</v>
      </c>
      <c r="Q51" s="4" t="e">
        <f t="shared" ca="1" si="4"/>
        <v>#NAME?</v>
      </c>
    </row>
    <row r="52" spans="1:17">
      <c r="A52" s="1">
        <f t="shared" si="6"/>
        <v>51</v>
      </c>
      <c r="C52" s="8" t="s">
        <v>17</v>
      </c>
      <c r="D52" s="2">
        <v>42775</v>
      </c>
      <c r="E52" s="3">
        <f>10500/100000</f>
        <v>0.105</v>
      </c>
      <c r="F52" t="s">
        <v>177</v>
      </c>
      <c r="G52" t="s">
        <v>178</v>
      </c>
      <c r="H52" t="s">
        <v>179</v>
      </c>
      <c r="I52" s="6" t="s">
        <v>51</v>
      </c>
      <c r="J52" s="61" t="s">
        <v>22</v>
      </c>
      <c r="K52" s="11" t="s">
        <v>180</v>
      </c>
      <c r="L52" s="5" t="str">
        <f t="shared" si="0"/>
        <v>00051</v>
      </c>
      <c r="M52" s="47" t="str">
        <f t="shared" si="1"/>
        <v>09 de febrero de 2017</v>
      </c>
      <c r="N52" s="323">
        <f t="shared" si="5"/>
        <v>9</v>
      </c>
      <c r="O52" s="25">
        <f t="shared" si="2"/>
        <v>42767</v>
      </c>
      <c r="P52" s="5" t="str">
        <f t="shared" si="3"/>
        <v>0,11</v>
      </c>
      <c r="Q52" s="4" t="e">
        <f t="shared" ca="1" si="4"/>
        <v>#NAME?</v>
      </c>
    </row>
    <row r="53" spans="1:17">
      <c r="A53" s="1">
        <f t="shared" si="6"/>
        <v>52</v>
      </c>
      <c r="C53" s="8" t="s">
        <v>17</v>
      </c>
      <c r="D53" s="2">
        <v>42775</v>
      </c>
      <c r="E53" s="3">
        <f>10000/100000</f>
        <v>0.1</v>
      </c>
      <c r="F53" t="s">
        <v>181</v>
      </c>
      <c r="G53" t="s">
        <v>182</v>
      </c>
      <c r="H53" t="s">
        <v>183</v>
      </c>
      <c r="I53" s="6" t="s">
        <v>51</v>
      </c>
      <c r="J53" s="61" t="s">
        <v>22</v>
      </c>
      <c r="K53" s="11" t="s">
        <v>184</v>
      </c>
      <c r="L53" s="5" t="str">
        <f t="shared" si="0"/>
        <v>00052</v>
      </c>
      <c r="M53" s="47" t="str">
        <f t="shared" si="1"/>
        <v>09 de febrero de 2017</v>
      </c>
      <c r="N53" s="323">
        <f t="shared" si="5"/>
        <v>9</v>
      </c>
      <c r="O53" s="25">
        <f t="shared" si="2"/>
        <v>42767</v>
      </c>
      <c r="P53" s="5" t="str">
        <f t="shared" si="3"/>
        <v>0,10</v>
      </c>
      <c r="Q53" s="4" t="e">
        <f t="shared" ca="1" si="4"/>
        <v>#NAME?</v>
      </c>
    </row>
    <row r="54" spans="1:17">
      <c r="A54" s="1">
        <f t="shared" si="6"/>
        <v>53</v>
      </c>
      <c r="C54" s="8" t="s">
        <v>17</v>
      </c>
      <c r="D54" s="2">
        <v>42777</v>
      </c>
      <c r="E54" s="3">
        <f>17000/100000</f>
        <v>0.17</v>
      </c>
      <c r="F54" t="s">
        <v>185</v>
      </c>
      <c r="G54" t="s">
        <v>186</v>
      </c>
      <c r="H54" t="s">
        <v>187</v>
      </c>
      <c r="I54" s="6" t="s">
        <v>60</v>
      </c>
      <c r="J54" s="61" t="s">
        <v>22</v>
      </c>
      <c r="K54" s="11" t="s">
        <v>188</v>
      </c>
      <c r="L54" s="5" t="str">
        <f t="shared" si="0"/>
        <v>00053</v>
      </c>
      <c r="M54" s="47" t="str">
        <f t="shared" si="1"/>
        <v>11 de febrero de 2017</v>
      </c>
      <c r="N54" s="323">
        <f t="shared" si="5"/>
        <v>11</v>
      </c>
      <c r="O54" s="25">
        <f t="shared" si="2"/>
        <v>42767</v>
      </c>
      <c r="P54" s="5" t="str">
        <f t="shared" si="3"/>
        <v>0,17</v>
      </c>
      <c r="Q54" s="4" t="e">
        <f t="shared" ca="1" si="4"/>
        <v>#NAME?</v>
      </c>
    </row>
    <row r="55" spans="1:17">
      <c r="A55" s="1">
        <f t="shared" si="6"/>
        <v>54</v>
      </c>
      <c r="C55" s="8" t="s">
        <v>17</v>
      </c>
      <c r="D55" s="2">
        <v>42778</v>
      </c>
      <c r="E55" s="3">
        <f>17000/100000</f>
        <v>0.17</v>
      </c>
      <c r="F55" t="s">
        <v>80</v>
      </c>
      <c r="G55" t="s">
        <v>81</v>
      </c>
      <c r="H55" t="s">
        <v>82</v>
      </c>
      <c r="I55" s="6" t="s">
        <v>142</v>
      </c>
      <c r="J55" s="61" t="s">
        <v>22</v>
      </c>
      <c r="K55" s="11" t="s">
        <v>189</v>
      </c>
      <c r="L55" s="5" t="str">
        <f t="shared" si="0"/>
        <v>00054</v>
      </c>
      <c r="M55" s="47" t="str">
        <f t="shared" si="1"/>
        <v>12 de febrero de 2017</v>
      </c>
      <c r="N55" s="323">
        <f t="shared" si="5"/>
        <v>12</v>
      </c>
      <c r="O55" s="25">
        <f t="shared" si="2"/>
        <v>42767</v>
      </c>
      <c r="P55" s="5" t="str">
        <f t="shared" si="3"/>
        <v>0,17</v>
      </c>
      <c r="Q55" s="4" t="e">
        <f t="shared" ca="1" si="4"/>
        <v>#NAME?</v>
      </c>
    </row>
    <row r="56" spans="1:17">
      <c r="A56" s="1">
        <f t="shared" si="6"/>
        <v>55</v>
      </c>
      <c r="C56" s="8" t="s">
        <v>17</v>
      </c>
      <c r="D56" s="2">
        <v>42778</v>
      </c>
      <c r="E56" s="3">
        <f>17000/100000</f>
        <v>0.17</v>
      </c>
      <c r="F56" t="s">
        <v>66</v>
      </c>
      <c r="G56" t="s">
        <v>67</v>
      </c>
      <c r="H56" t="s">
        <v>68</v>
      </c>
      <c r="I56" s="6" t="s">
        <v>142</v>
      </c>
      <c r="J56" s="61" t="s">
        <v>22</v>
      </c>
      <c r="K56" s="11" t="s">
        <v>190</v>
      </c>
      <c r="L56" s="5" t="str">
        <f t="shared" si="0"/>
        <v>00055</v>
      </c>
      <c r="M56" s="47" t="str">
        <f t="shared" si="1"/>
        <v>12 de febrero de 2017</v>
      </c>
      <c r="N56" s="323">
        <f t="shared" si="5"/>
        <v>12</v>
      </c>
      <c r="O56" s="25">
        <f t="shared" si="2"/>
        <v>42767</v>
      </c>
      <c r="P56" s="5" t="str">
        <f t="shared" si="3"/>
        <v>0,17</v>
      </c>
      <c r="Q56" s="4" t="e">
        <f t="shared" ca="1" si="4"/>
        <v>#NAME?</v>
      </c>
    </row>
    <row r="57" spans="1:17">
      <c r="A57" s="1">
        <f t="shared" si="6"/>
        <v>56</v>
      </c>
      <c r="C57" s="8" t="s">
        <v>17</v>
      </c>
      <c r="D57" s="2">
        <v>42778</v>
      </c>
      <c r="E57" s="3">
        <f>2040/100000</f>
        <v>2.0400000000000001E-2</v>
      </c>
      <c r="F57" t="s">
        <v>118</v>
      </c>
      <c r="G57" t="s">
        <v>119</v>
      </c>
      <c r="H57" t="s">
        <v>120</v>
      </c>
      <c r="I57" s="6" t="s">
        <v>51</v>
      </c>
      <c r="J57" s="61" t="s">
        <v>22</v>
      </c>
      <c r="K57" s="11" t="s">
        <v>191</v>
      </c>
      <c r="L57" s="5" t="str">
        <f t="shared" si="0"/>
        <v>00056</v>
      </c>
      <c r="M57" s="47" t="str">
        <f t="shared" si="1"/>
        <v>12 de febrero de 2017</v>
      </c>
      <c r="N57" s="323">
        <f t="shared" si="5"/>
        <v>12</v>
      </c>
      <c r="O57" s="25">
        <f t="shared" si="2"/>
        <v>42767</v>
      </c>
      <c r="P57" s="5" t="str">
        <f t="shared" si="3"/>
        <v>0,02</v>
      </c>
      <c r="Q57" s="4" t="e">
        <f t="shared" ca="1" si="4"/>
        <v>#NAME?</v>
      </c>
    </row>
    <row r="58" spans="1:17">
      <c r="A58" s="1">
        <f t="shared" si="6"/>
        <v>57</v>
      </c>
      <c r="C58" s="8" t="s">
        <v>17</v>
      </c>
      <c r="D58" s="2">
        <v>42779</v>
      </c>
      <c r="E58" s="3">
        <f>10000/100000</f>
        <v>0.1</v>
      </c>
      <c r="F58" t="s">
        <v>84</v>
      </c>
      <c r="G58" t="s">
        <v>85</v>
      </c>
      <c r="H58" t="s">
        <v>86</v>
      </c>
      <c r="I58" s="6" t="s">
        <v>158</v>
      </c>
      <c r="J58" s="61" t="s">
        <v>22</v>
      </c>
      <c r="K58" s="11" t="s">
        <v>192</v>
      </c>
      <c r="L58" s="5" t="str">
        <f t="shared" si="0"/>
        <v>00057</v>
      </c>
      <c r="M58" s="47" t="str">
        <f t="shared" si="1"/>
        <v>13 de febrero de 2017</v>
      </c>
      <c r="N58" s="323">
        <f t="shared" si="5"/>
        <v>13</v>
      </c>
      <c r="O58" s="25">
        <f t="shared" si="2"/>
        <v>42767</v>
      </c>
      <c r="P58" s="5" t="str">
        <f t="shared" si="3"/>
        <v>0,10</v>
      </c>
      <c r="Q58" s="4" t="e">
        <f t="shared" ca="1" si="4"/>
        <v>#NAME?</v>
      </c>
    </row>
    <row r="59" spans="1:17">
      <c r="A59" s="1">
        <f t="shared" si="6"/>
        <v>58</v>
      </c>
      <c r="C59" s="8" t="s">
        <v>17</v>
      </c>
      <c r="D59" s="2">
        <v>42780</v>
      </c>
      <c r="E59" s="3">
        <f>17000/100000</f>
        <v>0.17</v>
      </c>
      <c r="F59" t="s">
        <v>138</v>
      </c>
      <c r="G59" t="s">
        <v>139</v>
      </c>
      <c r="H59" t="s">
        <v>140</v>
      </c>
      <c r="I59" s="6" t="s">
        <v>142</v>
      </c>
      <c r="J59" s="61" t="s">
        <v>22</v>
      </c>
      <c r="K59" s="11" t="s">
        <v>193</v>
      </c>
      <c r="L59" s="5" t="str">
        <f t="shared" si="0"/>
        <v>00058</v>
      </c>
      <c r="M59" s="47" t="str">
        <f t="shared" si="1"/>
        <v>14 de febrero de 2017</v>
      </c>
      <c r="N59" s="323">
        <f t="shared" si="5"/>
        <v>14</v>
      </c>
      <c r="O59" s="25">
        <f t="shared" si="2"/>
        <v>42767</v>
      </c>
      <c r="P59" s="5" t="str">
        <f t="shared" si="3"/>
        <v>0,17</v>
      </c>
      <c r="Q59" s="4" t="e">
        <f t="shared" ca="1" si="4"/>
        <v>#NAME?</v>
      </c>
    </row>
    <row r="60" spans="1:17">
      <c r="A60" s="1">
        <f t="shared" si="6"/>
        <v>59</v>
      </c>
      <c r="C60" s="8" t="s">
        <v>17</v>
      </c>
      <c r="D60" s="2">
        <v>42780</v>
      </c>
      <c r="E60" s="3">
        <f>17000/100000</f>
        <v>0.17</v>
      </c>
      <c r="F60" t="s">
        <v>103</v>
      </c>
      <c r="G60" t="s">
        <v>104</v>
      </c>
      <c r="H60" t="s">
        <v>105</v>
      </c>
      <c r="I60" s="6" t="s">
        <v>142</v>
      </c>
      <c r="J60" s="61" t="s">
        <v>22</v>
      </c>
      <c r="K60" s="11" t="s">
        <v>194</v>
      </c>
      <c r="L60" s="5" t="str">
        <f t="shared" si="0"/>
        <v>00059</v>
      </c>
      <c r="M60" s="47" t="str">
        <f t="shared" si="1"/>
        <v>14 de febrero de 2017</v>
      </c>
      <c r="N60" s="323">
        <f t="shared" si="5"/>
        <v>14</v>
      </c>
      <c r="O60" s="25">
        <f t="shared" si="2"/>
        <v>42767</v>
      </c>
      <c r="P60" s="5" t="str">
        <f t="shared" si="3"/>
        <v>0,17</v>
      </c>
      <c r="Q60" s="4" t="e">
        <f t="shared" ca="1" si="4"/>
        <v>#NAME?</v>
      </c>
    </row>
    <row r="61" spans="1:17">
      <c r="A61" s="1">
        <f t="shared" si="6"/>
        <v>60</v>
      </c>
      <c r="C61" s="8" t="s">
        <v>17</v>
      </c>
      <c r="D61" s="2">
        <v>42780</v>
      </c>
      <c r="E61" s="3">
        <f>34000/100000</f>
        <v>0.34</v>
      </c>
      <c r="F61" t="s">
        <v>18</v>
      </c>
      <c r="G61" t="s">
        <v>19</v>
      </c>
      <c r="H61" t="s">
        <v>20</v>
      </c>
      <c r="I61" s="6" t="s">
        <v>195</v>
      </c>
      <c r="J61" s="61" t="s">
        <v>22</v>
      </c>
      <c r="K61" s="11" t="s">
        <v>196</v>
      </c>
      <c r="L61" s="5" t="str">
        <f t="shared" si="0"/>
        <v>00060</v>
      </c>
      <c r="M61" s="47" t="str">
        <f t="shared" si="1"/>
        <v>14 de febrero de 2017</v>
      </c>
      <c r="N61" s="323">
        <f t="shared" si="5"/>
        <v>14</v>
      </c>
      <c r="O61" s="25">
        <f t="shared" si="2"/>
        <v>42767</v>
      </c>
      <c r="P61" s="5" t="str">
        <f t="shared" si="3"/>
        <v>0,34</v>
      </c>
      <c r="Q61" s="4" t="e">
        <f t="shared" ca="1" si="4"/>
        <v>#NAME?</v>
      </c>
    </row>
    <row r="62" spans="1:17">
      <c r="A62" s="1">
        <f t="shared" si="6"/>
        <v>61</v>
      </c>
      <c r="C62" s="8" t="s">
        <v>17</v>
      </c>
      <c r="D62" s="2">
        <v>42780</v>
      </c>
      <c r="E62" s="3">
        <f t="shared" ref="E62:E68" si="7">17000/100000</f>
        <v>0.17</v>
      </c>
      <c r="F62" t="s">
        <v>197</v>
      </c>
      <c r="G62" t="s">
        <v>198</v>
      </c>
      <c r="H62" t="s">
        <v>199</v>
      </c>
      <c r="I62" s="6" t="s">
        <v>60</v>
      </c>
      <c r="J62" s="61" t="s">
        <v>22</v>
      </c>
      <c r="K62" s="11" t="s">
        <v>200</v>
      </c>
      <c r="L62" s="5" t="str">
        <f t="shared" si="0"/>
        <v>00061</v>
      </c>
      <c r="M62" s="47" t="str">
        <f t="shared" si="1"/>
        <v>14 de febrero de 2017</v>
      </c>
      <c r="N62" s="323">
        <f t="shared" si="5"/>
        <v>14</v>
      </c>
      <c r="O62" s="25">
        <f t="shared" si="2"/>
        <v>42767</v>
      </c>
      <c r="P62" s="5" t="str">
        <f t="shared" si="3"/>
        <v>0,17</v>
      </c>
      <c r="Q62" s="4" t="e">
        <f t="shared" ca="1" si="4"/>
        <v>#NAME?</v>
      </c>
    </row>
    <row r="63" spans="1:17">
      <c r="A63" s="1">
        <f t="shared" si="6"/>
        <v>62</v>
      </c>
      <c r="C63" s="8" t="s">
        <v>17</v>
      </c>
      <c r="D63" s="2">
        <v>42780</v>
      </c>
      <c r="E63" s="3">
        <f t="shared" si="7"/>
        <v>0.17</v>
      </c>
      <c r="F63" t="s">
        <v>201</v>
      </c>
      <c r="G63" t="s">
        <v>202</v>
      </c>
      <c r="H63" t="s">
        <v>203</v>
      </c>
      <c r="I63" s="6" t="s">
        <v>60</v>
      </c>
      <c r="J63" s="61" t="s">
        <v>22</v>
      </c>
      <c r="K63" s="11" t="s">
        <v>204</v>
      </c>
      <c r="L63" s="5" t="str">
        <f t="shared" si="0"/>
        <v>00062</v>
      </c>
      <c r="M63" s="47" t="str">
        <f t="shared" si="1"/>
        <v>14 de febrero de 2017</v>
      </c>
      <c r="N63" s="323">
        <f t="shared" si="5"/>
        <v>14</v>
      </c>
      <c r="O63" s="25">
        <f t="shared" si="2"/>
        <v>42767</v>
      </c>
      <c r="P63" s="5" t="str">
        <f t="shared" si="3"/>
        <v>0,17</v>
      </c>
      <c r="Q63" s="4" t="e">
        <f t="shared" ca="1" si="4"/>
        <v>#NAME?</v>
      </c>
    </row>
    <row r="64" spans="1:17">
      <c r="A64" s="1">
        <f t="shared" si="6"/>
        <v>63</v>
      </c>
      <c r="C64" s="8" t="s">
        <v>17</v>
      </c>
      <c r="D64" s="2">
        <v>42780</v>
      </c>
      <c r="E64" s="3">
        <f t="shared" si="7"/>
        <v>0.17</v>
      </c>
      <c r="F64" t="s">
        <v>114</v>
      </c>
      <c r="G64" t="s">
        <v>115</v>
      </c>
      <c r="H64" t="s">
        <v>116</v>
      </c>
      <c r="I64" s="6" t="s">
        <v>142</v>
      </c>
      <c r="J64" s="61" t="s">
        <v>22</v>
      </c>
      <c r="K64" s="11" t="s">
        <v>205</v>
      </c>
      <c r="L64" s="5" t="str">
        <f t="shared" si="0"/>
        <v>00063</v>
      </c>
      <c r="M64" s="47" t="str">
        <f t="shared" si="1"/>
        <v>14 de febrero de 2017</v>
      </c>
      <c r="N64" s="323">
        <f t="shared" si="5"/>
        <v>14</v>
      </c>
      <c r="O64" s="25">
        <f t="shared" si="2"/>
        <v>42767</v>
      </c>
      <c r="P64" s="5" t="str">
        <f t="shared" si="3"/>
        <v>0,17</v>
      </c>
      <c r="Q64" s="4" t="e">
        <f t="shared" ca="1" si="4"/>
        <v>#NAME?</v>
      </c>
    </row>
    <row r="65" spans="1:17">
      <c r="A65" s="1">
        <f t="shared" si="6"/>
        <v>64</v>
      </c>
      <c r="C65" s="8" t="s">
        <v>17</v>
      </c>
      <c r="D65" s="2">
        <v>42781</v>
      </c>
      <c r="E65" s="3">
        <f t="shared" si="7"/>
        <v>0.17</v>
      </c>
      <c r="F65" t="s">
        <v>206</v>
      </c>
      <c r="G65" t="s">
        <v>207</v>
      </c>
      <c r="H65" t="s">
        <v>208</v>
      </c>
      <c r="I65" s="6" t="s">
        <v>60</v>
      </c>
      <c r="J65" s="61" t="s">
        <v>22</v>
      </c>
      <c r="K65" s="11" t="s">
        <v>209</v>
      </c>
      <c r="L65" s="5" t="str">
        <f t="shared" si="0"/>
        <v>00064</v>
      </c>
      <c r="M65" s="47" t="str">
        <f t="shared" si="1"/>
        <v>15 de febrero de 2017</v>
      </c>
      <c r="N65" s="323">
        <f t="shared" si="5"/>
        <v>15</v>
      </c>
      <c r="O65" s="25">
        <f t="shared" si="2"/>
        <v>42767</v>
      </c>
      <c r="P65" s="5" t="str">
        <f t="shared" si="3"/>
        <v>0,17</v>
      </c>
      <c r="Q65" s="4" t="e">
        <f t="shared" ca="1" si="4"/>
        <v>#NAME?</v>
      </c>
    </row>
    <row r="66" spans="1:17">
      <c r="A66" s="1">
        <f t="shared" si="6"/>
        <v>65</v>
      </c>
      <c r="C66" s="8" t="s">
        <v>17</v>
      </c>
      <c r="D66" s="2">
        <v>42781</v>
      </c>
      <c r="E66" s="3">
        <f t="shared" si="7"/>
        <v>0.17</v>
      </c>
      <c r="F66" t="s">
        <v>62</v>
      </c>
      <c r="G66" t="s">
        <v>63</v>
      </c>
      <c r="H66" t="s">
        <v>64</v>
      </c>
      <c r="I66" s="6" t="s">
        <v>142</v>
      </c>
      <c r="J66" s="61" t="s">
        <v>22</v>
      </c>
      <c r="K66" s="11" t="s">
        <v>210</v>
      </c>
      <c r="L66" s="5" t="str">
        <f t="shared" ref="L66:L129" si="8">IF(ISBLANK(A66),"",TEXT(A66,"00000"))</f>
        <v>00065</v>
      </c>
      <c r="M66" s="47" t="str">
        <f t="shared" ref="M66:M129" si="9">IF(ISBLANK(D66),"",TEXT(D66,"dd")&amp;" de "&amp;TEXT(D66,"mmmm")&amp;" de "&amp;TEXT(YEAR(D66),"0"))</f>
        <v>15 de febrero de 2017</v>
      </c>
      <c r="N66" s="323">
        <f t="shared" si="5"/>
        <v>15</v>
      </c>
      <c r="O66" s="25">
        <f t="shared" ref="O66:O129" si="10">DATE(YEAR(D66),MONTH(D66),1)</f>
        <v>42767</v>
      </c>
      <c r="P66" s="5" t="str">
        <f t="shared" ref="P66:P129" si="11">TEXT(E66,"#.##0,00")</f>
        <v>0,17</v>
      </c>
      <c r="Q66" s="4" t="e">
        <f t="shared" ref="Q66:Q129" ca="1" si="12">CONVERTIRNUM(E66)</f>
        <v>#NAME?</v>
      </c>
    </row>
    <row r="67" spans="1:17">
      <c r="A67" s="1">
        <f t="shared" si="6"/>
        <v>66</v>
      </c>
      <c r="C67" s="8" t="s">
        <v>17</v>
      </c>
      <c r="D67" s="2">
        <v>42781</v>
      </c>
      <c r="E67" s="3">
        <f t="shared" si="7"/>
        <v>0.17</v>
      </c>
      <c r="F67" t="s">
        <v>211</v>
      </c>
      <c r="G67" t="s">
        <v>212</v>
      </c>
      <c r="H67" t="s">
        <v>213</v>
      </c>
      <c r="I67" s="6" t="s">
        <v>60</v>
      </c>
      <c r="J67" s="61" t="s">
        <v>22</v>
      </c>
      <c r="K67" s="11" t="s">
        <v>214</v>
      </c>
      <c r="L67" s="5" t="str">
        <f t="shared" si="8"/>
        <v>00066</v>
      </c>
      <c r="M67" s="47" t="str">
        <f t="shared" si="9"/>
        <v>15 de febrero de 2017</v>
      </c>
      <c r="N67" s="323">
        <f t="shared" ref="N67:N130" si="13">DAY(D67)</f>
        <v>15</v>
      </c>
      <c r="O67" s="25">
        <f t="shared" si="10"/>
        <v>42767</v>
      </c>
      <c r="P67" s="5" t="str">
        <f t="shared" si="11"/>
        <v>0,17</v>
      </c>
      <c r="Q67" s="4" t="e">
        <f t="shared" ca="1" si="12"/>
        <v>#NAME?</v>
      </c>
    </row>
    <row r="68" spans="1:17">
      <c r="A68" s="1">
        <f t="shared" ref="A68:A131" si="14">A67+1</f>
        <v>67</v>
      </c>
      <c r="C68" s="8" t="s">
        <v>17</v>
      </c>
      <c r="D68" s="2">
        <v>42781</v>
      </c>
      <c r="E68" s="3">
        <f t="shared" si="7"/>
        <v>0.17</v>
      </c>
      <c r="F68" t="s">
        <v>215</v>
      </c>
      <c r="G68" t="s">
        <v>216</v>
      </c>
      <c r="H68" t="s">
        <v>217</v>
      </c>
      <c r="I68" s="6" t="s">
        <v>60</v>
      </c>
      <c r="J68" s="61" t="s">
        <v>22</v>
      </c>
      <c r="K68" s="11" t="s">
        <v>218</v>
      </c>
      <c r="L68" s="5" t="str">
        <f t="shared" si="8"/>
        <v>00067</v>
      </c>
      <c r="M68" s="47" t="str">
        <f t="shared" si="9"/>
        <v>15 de febrero de 2017</v>
      </c>
      <c r="N68" s="323">
        <f t="shared" si="13"/>
        <v>15</v>
      </c>
      <c r="O68" s="25">
        <f t="shared" si="10"/>
        <v>42767</v>
      </c>
      <c r="P68" s="5" t="str">
        <f t="shared" si="11"/>
        <v>0,17</v>
      </c>
      <c r="Q68" s="4" t="e">
        <f t="shared" ca="1" si="12"/>
        <v>#NAME?</v>
      </c>
    </row>
    <row r="69" spans="1:17">
      <c r="A69" s="1">
        <f t="shared" si="14"/>
        <v>68</v>
      </c>
      <c r="C69" s="8" t="s">
        <v>17</v>
      </c>
      <c r="D69" s="2">
        <v>42781</v>
      </c>
      <c r="E69" s="3">
        <f>17000*2/100000</f>
        <v>0.34</v>
      </c>
      <c r="F69" t="s">
        <v>219</v>
      </c>
      <c r="G69" t="s">
        <v>220</v>
      </c>
      <c r="H69" t="s">
        <v>221</v>
      </c>
      <c r="I69" s="6" t="s">
        <v>222</v>
      </c>
      <c r="J69" s="61" t="s">
        <v>22</v>
      </c>
      <c r="K69" s="11" t="s">
        <v>223</v>
      </c>
      <c r="L69" s="5" t="str">
        <f t="shared" si="8"/>
        <v>00068</v>
      </c>
      <c r="M69" s="47" t="str">
        <f t="shared" si="9"/>
        <v>15 de febrero de 2017</v>
      </c>
      <c r="N69" s="323">
        <f t="shared" si="13"/>
        <v>15</v>
      </c>
      <c r="O69" s="25">
        <f t="shared" si="10"/>
        <v>42767</v>
      </c>
      <c r="P69" s="5" t="str">
        <f t="shared" si="11"/>
        <v>0,34</v>
      </c>
      <c r="Q69" s="4" t="e">
        <f t="shared" ca="1" si="12"/>
        <v>#NAME?</v>
      </c>
    </row>
    <row r="70" spans="1:17">
      <c r="A70" s="1">
        <f t="shared" si="14"/>
        <v>69</v>
      </c>
      <c r="C70" s="8" t="s">
        <v>17</v>
      </c>
      <c r="D70" s="2">
        <v>42781</v>
      </c>
      <c r="E70" s="3">
        <f>7760/100000+2240/100000</f>
        <v>0.1</v>
      </c>
      <c r="F70" t="s">
        <v>118</v>
      </c>
      <c r="G70" t="s">
        <v>119</v>
      </c>
      <c r="H70" t="s">
        <v>120</v>
      </c>
      <c r="I70" s="6" t="s">
        <v>158</v>
      </c>
      <c r="J70" s="61" t="s">
        <v>22</v>
      </c>
      <c r="K70" s="11" t="s">
        <v>224</v>
      </c>
      <c r="L70" s="5" t="str">
        <f t="shared" si="8"/>
        <v>00069</v>
      </c>
      <c r="M70" s="47" t="str">
        <f t="shared" si="9"/>
        <v>15 de febrero de 2017</v>
      </c>
      <c r="N70" s="323">
        <f t="shared" si="13"/>
        <v>15</v>
      </c>
      <c r="O70" s="25">
        <f t="shared" si="10"/>
        <v>42767</v>
      </c>
      <c r="P70" s="5" t="str">
        <f t="shared" si="11"/>
        <v>0,10</v>
      </c>
      <c r="Q70" s="4" t="e">
        <f t="shared" ca="1" si="12"/>
        <v>#NAME?</v>
      </c>
    </row>
    <row r="71" spans="1:17">
      <c r="A71" s="1">
        <f t="shared" si="14"/>
        <v>70</v>
      </c>
      <c r="B71" s="574"/>
      <c r="C71" s="12" t="s">
        <v>225</v>
      </c>
      <c r="D71" s="17">
        <v>42782</v>
      </c>
      <c r="E71" s="13">
        <f>170000/100000</f>
        <v>1.7</v>
      </c>
      <c r="F71" s="14" t="s">
        <v>18</v>
      </c>
      <c r="G71" s="14" t="s">
        <v>19</v>
      </c>
      <c r="H71" s="14" t="s">
        <v>20</v>
      </c>
      <c r="I71" s="15" t="s">
        <v>226</v>
      </c>
      <c r="J71" s="62" t="s">
        <v>227</v>
      </c>
      <c r="K71" s="16" t="s">
        <v>228</v>
      </c>
      <c r="L71" s="5" t="str">
        <f t="shared" si="8"/>
        <v>00070</v>
      </c>
      <c r="M71" s="47" t="str">
        <f t="shared" si="9"/>
        <v>16 de febrero de 2017</v>
      </c>
      <c r="N71" s="323">
        <f t="shared" si="13"/>
        <v>16</v>
      </c>
      <c r="O71" s="25">
        <f t="shared" si="10"/>
        <v>42767</v>
      </c>
      <c r="P71" s="5" t="str">
        <f t="shared" si="11"/>
        <v>1,70</v>
      </c>
      <c r="Q71" s="4" t="e">
        <f t="shared" ca="1" si="12"/>
        <v>#NAME?</v>
      </c>
    </row>
    <row r="72" spans="1:17">
      <c r="A72" s="1">
        <f t="shared" si="14"/>
        <v>71</v>
      </c>
      <c r="C72" s="8" t="s">
        <v>17</v>
      </c>
      <c r="D72" s="2">
        <v>42782</v>
      </c>
      <c r="E72" s="3">
        <f t="shared" ref="E72:E78" si="15">17000/100000</f>
        <v>0.17</v>
      </c>
      <c r="F72" t="s">
        <v>148</v>
      </c>
      <c r="G72" t="s">
        <v>149</v>
      </c>
      <c r="H72" t="s">
        <v>150</v>
      </c>
      <c r="I72" s="6" t="s">
        <v>142</v>
      </c>
      <c r="J72" s="61" t="s">
        <v>22</v>
      </c>
      <c r="K72" s="11" t="s">
        <v>229</v>
      </c>
      <c r="L72" s="5" t="str">
        <f t="shared" si="8"/>
        <v>00071</v>
      </c>
      <c r="M72" s="47" t="str">
        <f t="shared" si="9"/>
        <v>16 de febrero de 2017</v>
      </c>
      <c r="N72" s="323">
        <f t="shared" si="13"/>
        <v>16</v>
      </c>
      <c r="O72" s="25">
        <f t="shared" si="10"/>
        <v>42767</v>
      </c>
      <c r="P72" s="5" t="str">
        <f t="shared" si="11"/>
        <v>0,17</v>
      </c>
      <c r="Q72" s="4" t="e">
        <f t="shared" ca="1" si="12"/>
        <v>#NAME?</v>
      </c>
    </row>
    <row r="73" spans="1:17">
      <c r="A73" s="1">
        <f t="shared" si="14"/>
        <v>72</v>
      </c>
      <c r="C73" s="8" t="s">
        <v>17</v>
      </c>
      <c r="D73" s="2">
        <v>42782</v>
      </c>
      <c r="E73" s="3">
        <f t="shared" si="15"/>
        <v>0.17</v>
      </c>
      <c r="F73" t="s">
        <v>230</v>
      </c>
      <c r="G73" t="s">
        <v>231</v>
      </c>
      <c r="H73" t="s">
        <v>232</v>
      </c>
      <c r="I73" s="6" t="s">
        <v>60</v>
      </c>
      <c r="J73" s="61" t="s">
        <v>22</v>
      </c>
      <c r="K73" s="11" t="s">
        <v>233</v>
      </c>
      <c r="L73" s="5" t="str">
        <f t="shared" si="8"/>
        <v>00072</v>
      </c>
      <c r="M73" s="47" t="str">
        <f t="shared" si="9"/>
        <v>16 de febrero de 2017</v>
      </c>
      <c r="N73" s="323">
        <f t="shared" si="13"/>
        <v>16</v>
      </c>
      <c r="O73" s="25">
        <f t="shared" si="10"/>
        <v>42767</v>
      </c>
      <c r="P73" s="5" t="str">
        <f t="shared" si="11"/>
        <v>0,17</v>
      </c>
      <c r="Q73" s="4" t="e">
        <f t="shared" ca="1" si="12"/>
        <v>#NAME?</v>
      </c>
    </row>
    <row r="74" spans="1:17">
      <c r="A74" s="1">
        <f t="shared" si="14"/>
        <v>73</v>
      </c>
      <c r="C74" s="8" t="s">
        <v>17</v>
      </c>
      <c r="D74" s="2">
        <v>42782</v>
      </c>
      <c r="E74" s="3">
        <f t="shared" si="15"/>
        <v>0.17</v>
      </c>
      <c r="F74" t="s">
        <v>107</v>
      </c>
      <c r="G74" t="s">
        <v>108</v>
      </c>
      <c r="H74" t="s">
        <v>109</v>
      </c>
      <c r="I74" s="6" t="s">
        <v>142</v>
      </c>
      <c r="J74" s="61" t="s">
        <v>22</v>
      </c>
      <c r="K74" s="11" t="s">
        <v>234</v>
      </c>
      <c r="L74" s="5" t="str">
        <f t="shared" si="8"/>
        <v>00073</v>
      </c>
      <c r="M74" s="47" t="str">
        <f t="shared" si="9"/>
        <v>16 de febrero de 2017</v>
      </c>
      <c r="N74" s="323">
        <f t="shared" si="13"/>
        <v>16</v>
      </c>
      <c r="O74" s="25">
        <f t="shared" si="10"/>
        <v>42767</v>
      </c>
      <c r="P74" s="5" t="str">
        <f t="shared" si="11"/>
        <v>0,17</v>
      </c>
      <c r="Q74" s="4" t="e">
        <f t="shared" ca="1" si="12"/>
        <v>#NAME?</v>
      </c>
    </row>
    <row r="75" spans="1:17">
      <c r="A75" s="1">
        <f t="shared" si="14"/>
        <v>74</v>
      </c>
      <c r="C75" s="8" t="s">
        <v>17</v>
      </c>
      <c r="D75" s="2">
        <v>42783</v>
      </c>
      <c r="E75" s="3">
        <f t="shared" si="15"/>
        <v>0.17</v>
      </c>
      <c r="F75" t="s">
        <v>126</v>
      </c>
      <c r="G75" t="s">
        <v>127</v>
      </c>
      <c r="H75" t="s">
        <v>128</v>
      </c>
      <c r="I75" s="6" t="s">
        <v>142</v>
      </c>
      <c r="J75" s="61" t="s">
        <v>22</v>
      </c>
      <c r="K75" s="11" t="s">
        <v>235</v>
      </c>
      <c r="L75" s="5" t="str">
        <f t="shared" si="8"/>
        <v>00074</v>
      </c>
      <c r="M75" s="47" t="str">
        <f t="shared" si="9"/>
        <v>17 de febrero de 2017</v>
      </c>
      <c r="N75" s="323">
        <f t="shared" si="13"/>
        <v>17</v>
      </c>
      <c r="O75" s="25">
        <f t="shared" si="10"/>
        <v>42767</v>
      </c>
      <c r="P75" s="5" t="str">
        <f t="shared" si="11"/>
        <v>0,17</v>
      </c>
      <c r="Q75" s="4" t="e">
        <f t="shared" ca="1" si="12"/>
        <v>#NAME?</v>
      </c>
    </row>
    <row r="76" spans="1:17">
      <c r="A76" s="1">
        <f t="shared" si="14"/>
        <v>75</v>
      </c>
      <c r="C76" s="8" t="s">
        <v>17</v>
      </c>
      <c r="D76" s="2">
        <v>42783</v>
      </c>
      <c r="E76" s="3">
        <f t="shared" si="15"/>
        <v>0.17</v>
      </c>
      <c r="F76" t="s">
        <v>201</v>
      </c>
      <c r="G76" t="s">
        <v>202</v>
      </c>
      <c r="H76" t="s">
        <v>203</v>
      </c>
      <c r="I76" s="6" t="s">
        <v>142</v>
      </c>
      <c r="J76" s="61" t="s">
        <v>22</v>
      </c>
      <c r="K76" s="11" t="s">
        <v>236</v>
      </c>
      <c r="L76" s="5" t="str">
        <f t="shared" si="8"/>
        <v>00075</v>
      </c>
      <c r="M76" s="47" t="str">
        <f t="shared" si="9"/>
        <v>17 de febrero de 2017</v>
      </c>
      <c r="N76" s="323">
        <f t="shared" si="13"/>
        <v>17</v>
      </c>
      <c r="O76" s="25">
        <f t="shared" si="10"/>
        <v>42767</v>
      </c>
      <c r="P76" s="5" t="str">
        <f t="shared" si="11"/>
        <v>0,17</v>
      </c>
      <c r="Q76" s="4" t="e">
        <f t="shared" ca="1" si="12"/>
        <v>#NAME?</v>
      </c>
    </row>
    <row r="77" spans="1:17">
      <c r="A77" s="1">
        <f t="shared" si="14"/>
        <v>76</v>
      </c>
      <c r="C77" s="8" t="s">
        <v>17</v>
      </c>
      <c r="D77" s="2">
        <v>42784</v>
      </c>
      <c r="E77" s="3">
        <f t="shared" si="15"/>
        <v>0.17</v>
      </c>
      <c r="F77" t="s">
        <v>70</v>
      </c>
      <c r="G77" t="s">
        <v>71</v>
      </c>
      <c r="H77" t="s">
        <v>72</v>
      </c>
      <c r="I77" s="6" t="s">
        <v>142</v>
      </c>
      <c r="J77" s="61" t="s">
        <v>22</v>
      </c>
      <c r="K77" s="11" t="s">
        <v>237</v>
      </c>
      <c r="L77" s="5" t="str">
        <f t="shared" si="8"/>
        <v>00076</v>
      </c>
      <c r="M77" s="47" t="str">
        <f t="shared" si="9"/>
        <v>18 de febrero de 2017</v>
      </c>
      <c r="N77" s="323">
        <f t="shared" si="13"/>
        <v>18</v>
      </c>
      <c r="O77" s="25">
        <f t="shared" si="10"/>
        <v>42767</v>
      </c>
      <c r="P77" s="5" t="str">
        <f t="shared" si="11"/>
        <v>0,17</v>
      </c>
      <c r="Q77" s="4" t="e">
        <f t="shared" ca="1" si="12"/>
        <v>#NAME?</v>
      </c>
    </row>
    <row r="78" spans="1:17">
      <c r="A78" s="1">
        <f t="shared" si="14"/>
        <v>77</v>
      </c>
      <c r="C78" s="8" t="s">
        <v>17</v>
      </c>
      <c r="D78" s="2">
        <v>42784</v>
      </c>
      <c r="E78" s="3">
        <f t="shared" si="15"/>
        <v>0.17</v>
      </c>
      <c r="F78" t="s">
        <v>53</v>
      </c>
      <c r="G78" t="s">
        <v>54</v>
      </c>
      <c r="H78" t="s">
        <v>55</v>
      </c>
      <c r="I78" s="6" t="s">
        <v>142</v>
      </c>
      <c r="J78" s="61" t="s">
        <v>22</v>
      </c>
      <c r="K78" s="11" t="s">
        <v>238</v>
      </c>
      <c r="L78" s="5" t="str">
        <f t="shared" si="8"/>
        <v>00077</v>
      </c>
      <c r="M78" s="47" t="str">
        <f t="shared" si="9"/>
        <v>18 de febrero de 2017</v>
      </c>
      <c r="N78" s="323">
        <f t="shared" si="13"/>
        <v>18</v>
      </c>
      <c r="O78" s="25">
        <f t="shared" si="10"/>
        <v>42767</v>
      </c>
      <c r="P78" s="5" t="str">
        <f t="shared" si="11"/>
        <v>0,17</v>
      </c>
      <c r="Q78" s="4" t="e">
        <f t="shared" ca="1" si="12"/>
        <v>#NAME?</v>
      </c>
    </row>
    <row r="79" spans="1:17">
      <c r="A79" s="1">
        <f t="shared" si="14"/>
        <v>78</v>
      </c>
      <c r="C79" s="8" t="s">
        <v>17</v>
      </c>
      <c r="D79" s="2">
        <v>42784</v>
      </c>
      <c r="E79" s="3">
        <f>14000/100000</f>
        <v>0.14000000000000001</v>
      </c>
      <c r="F79" t="s">
        <v>239</v>
      </c>
      <c r="G79" t="s">
        <v>240</v>
      </c>
      <c r="H79" t="s">
        <v>241</v>
      </c>
      <c r="I79" s="6" t="s">
        <v>21</v>
      </c>
      <c r="J79" s="61" t="s">
        <v>22</v>
      </c>
      <c r="K79" s="11" t="s">
        <v>242</v>
      </c>
      <c r="L79" s="5" t="str">
        <f t="shared" si="8"/>
        <v>00078</v>
      </c>
      <c r="M79" s="47" t="str">
        <f t="shared" si="9"/>
        <v>18 de febrero de 2017</v>
      </c>
      <c r="N79" s="323">
        <f t="shared" si="13"/>
        <v>18</v>
      </c>
      <c r="O79" s="25">
        <f t="shared" si="10"/>
        <v>42767</v>
      </c>
      <c r="P79" s="5" t="str">
        <f t="shared" si="11"/>
        <v>0,14</v>
      </c>
      <c r="Q79" s="4" t="e">
        <f t="shared" ca="1" si="12"/>
        <v>#NAME?</v>
      </c>
    </row>
    <row r="80" spans="1:17">
      <c r="A80" s="1">
        <f t="shared" si="14"/>
        <v>79</v>
      </c>
      <c r="C80" s="8" t="s">
        <v>17</v>
      </c>
      <c r="D80" s="2">
        <v>42784</v>
      </c>
      <c r="E80" s="3">
        <f>10000/100000</f>
        <v>0.1</v>
      </c>
      <c r="F80" t="s">
        <v>243</v>
      </c>
      <c r="G80" t="s">
        <v>244</v>
      </c>
      <c r="H80" t="s">
        <v>245</v>
      </c>
      <c r="I80" s="6" t="s">
        <v>21</v>
      </c>
      <c r="J80" s="61" t="s">
        <v>22</v>
      </c>
      <c r="K80" s="11" t="s">
        <v>246</v>
      </c>
      <c r="L80" s="5" t="str">
        <f t="shared" si="8"/>
        <v>00079</v>
      </c>
      <c r="M80" s="47" t="str">
        <f t="shared" si="9"/>
        <v>18 de febrero de 2017</v>
      </c>
      <c r="N80" s="323">
        <f t="shared" si="13"/>
        <v>18</v>
      </c>
      <c r="O80" s="25">
        <f t="shared" si="10"/>
        <v>42767</v>
      </c>
      <c r="P80" s="5" t="str">
        <f t="shared" si="11"/>
        <v>0,10</v>
      </c>
      <c r="Q80" s="4" t="e">
        <f t="shared" ca="1" si="12"/>
        <v>#NAME?</v>
      </c>
    </row>
    <row r="81" spans="1:17">
      <c r="A81" s="1">
        <f t="shared" si="14"/>
        <v>80</v>
      </c>
      <c r="C81" s="8" t="s">
        <v>17</v>
      </c>
      <c r="D81" s="2">
        <v>42784</v>
      </c>
      <c r="E81" s="3">
        <f>17000/100000</f>
        <v>0.17</v>
      </c>
      <c r="F81" t="s">
        <v>152</v>
      </c>
      <c r="G81" t="s">
        <v>153</v>
      </c>
      <c r="H81" t="s">
        <v>154</v>
      </c>
      <c r="I81" s="6" t="s">
        <v>142</v>
      </c>
      <c r="J81" s="61" t="s">
        <v>22</v>
      </c>
      <c r="K81" s="11" t="s">
        <v>247</v>
      </c>
      <c r="L81" s="5" t="str">
        <f t="shared" si="8"/>
        <v>00080</v>
      </c>
      <c r="M81" s="47" t="str">
        <f t="shared" si="9"/>
        <v>18 de febrero de 2017</v>
      </c>
      <c r="N81" s="323">
        <f t="shared" si="13"/>
        <v>18</v>
      </c>
      <c r="O81" s="25">
        <f t="shared" si="10"/>
        <v>42767</v>
      </c>
      <c r="P81" s="5" t="str">
        <f t="shared" si="11"/>
        <v>0,17</v>
      </c>
      <c r="Q81" s="4" t="e">
        <f t="shared" ca="1" si="12"/>
        <v>#NAME?</v>
      </c>
    </row>
    <row r="82" spans="1:17">
      <c r="A82" s="1">
        <f t="shared" si="14"/>
        <v>81</v>
      </c>
      <c r="C82" s="8" t="s">
        <v>17</v>
      </c>
      <c r="D82" s="2">
        <v>42784</v>
      </c>
      <c r="E82" s="3">
        <f>17000*2/100000</f>
        <v>0.34</v>
      </c>
      <c r="F82" t="s">
        <v>248</v>
      </c>
      <c r="G82" t="s">
        <v>249</v>
      </c>
      <c r="H82" t="s">
        <v>250</v>
      </c>
      <c r="I82" s="6" t="s">
        <v>222</v>
      </c>
      <c r="J82" s="61" t="s">
        <v>22</v>
      </c>
      <c r="K82" s="11" t="s">
        <v>251</v>
      </c>
      <c r="L82" s="5" t="str">
        <f t="shared" si="8"/>
        <v>00081</v>
      </c>
      <c r="M82" s="47" t="str">
        <f t="shared" si="9"/>
        <v>18 de febrero de 2017</v>
      </c>
      <c r="N82" s="323">
        <f t="shared" si="13"/>
        <v>18</v>
      </c>
      <c r="O82" s="25">
        <f t="shared" si="10"/>
        <v>42767</v>
      </c>
      <c r="P82" s="5" t="str">
        <f t="shared" si="11"/>
        <v>0,34</v>
      </c>
      <c r="Q82" s="4" t="e">
        <f t="shared" ca="1" si="12"/>
        <v>#NAME?</v>
      </c>
    </row>
    <row r="83" spans="1:17">
      <c r="A83" s="1">
        <f t="shared" si="14"/>
        <v>82</v>
      </c>
      <c r="C83" s="8" t="s">
        <v>17</v>
      </c>
      <c r="D83" s="2">
        <v>42785</v>
      </c>
      <c r="E83" s="3">
        <f>6000/100000</f>
        <v>0.06</v>
      </c>
      <c r="F83" t="s">
        <v>252</v>
      </c>
      <c r="G83" t="s">
        <v>253</v>
      </c>
      <c r="H83" t="s">
        <v>254</v>
      </c>
      <c r="I83" s="6" t="s">
        <v>158</v>
      </c>
      <c r="J83" s="61" t="s">
        <v>22</v>
      </c>
      <c r="K83" s="11" t="s">
        <v>255</v>
      </c>
      <c r="L83" s="5" t="str">
        <f t="shared" si="8"/>
        <v>00082</v>
      </c>
      <c r="M83" s="47" t="str">
        <f t="shared" si="9"/>
        <v>19 de febrero de 2017</v>
      </c>
      <c r="N83" s="323">
        <f t="shared" si="13"/>
        <v>19</v>
      </c>
      <c r="O83" s="25">
        <f t="shared" si="10"/>
        <v>42767</v>
      </c>
      <c r="P83" s="5" t="str">
        <f t="shared" si="11"/>
        <v>0,06</v>
      </c>
      <c r="Q83" s="4" t="e">
        <f t="shared" ca="1" si="12"/>
        <v>#NAME?</v>
      </c>
    </row>
    <row r="84" spans="1:17">
      <c r="A84" s="1">
        <f t="shared" si="14"/>
        <v>83</v>
      </c>
      <c r="C84" s="8" t="s">
        <v>17</v>
      </c>
      <c r="D84" s="2">
        <v>42786</v>
      </c>
      <c r="E84" s="3">
        <f>2000/100000</f>
        <v>0.02</v>
      </c>
      <c r="F84" t="s">
        <v>94</v>
      </c>
      <c r="G84" t="s">
        <v>95</v>
      </c>
      <c r="H84" t="s">
        <v>96</v>
      </c>
      <c r="I84" s="6" t="s">
        <v>158</v>
      </c>
      <c r="J84" s="61" t="s">
        <v>22</v>
      </c>
      <c r="K84" s="11" t="s">
        <v>256</v>
      </c>
      <c r="L84" s="5" t="str">
        <f t="shared" si="8"/>
        <v>00083</v>
      </c>
      <c r="M84" s="47" t="str">
        <f t="shared" si="9"/>
        <v>20 de febrero de 2017</v>
      </c>
      <c r="N84" s="323">
        <f t="shared" si="13"/>
        <v>20</v>
      </c>
      <c r="O84" s="25">
        <f t="shared" si="10"/>
        <v>42767</v>
      </c>
      <c r="P84" s="5" t="str">
        <f t="shared" si="11"/>
        <v>0,02</v>
      </c>
      <c r="Q84" s="4" t="e">
        <f t="shared" ca="1" si="12"/>
        <v>#NAME?</v>
      </c>
    </row>
    <row r="85" spans="1:17">
      <c r="A85" s="1">
        <f t="shared" si="14"/>
        <v>84</v>
      </c>
      <c r="C85" s="8" t="s">
        <v>17</v>
      </c>
      <c r="D85" s="2">
        <v>42786</v>
      </c>
      <c r="E85" s="3">
        <f>17000/100000</f>
        <v>0.17</v>
      </c>
      <c r="F85" t="s">
        <v>230</v>
      </c>
      <c r="G85" t="s">
        <v>231</v>
      </c>
      <c r="H85" t="s">
        <v>232</v>
      </c>
      <c r="I85" s="6" t="s">
        <v>142</v>
      </c>
      <c r="J85" s="61" t="s">
        <v>22</v>
      </c>
      <c r="K85" s="11" t="s">
        <v>257</v>
      </c>
      <c r="L85" s="5" t="str">
        <f t="shared" si="8"/>
        <v>00084</v>
      </c>
      <c r="M85" s="47" t="str">
        <f t="shared" si="9"/>
        <v>20 de febrero de 2017</v>
      </c>
      <c r="N85" s="323">
        <f t="shared" si="13"/>
        <v>20</v>
      </c>
      <c r="O85" s="25">
        <f t="shared" si="10"/>
        <v>42767</v>
      </c>
      <c r="P85" s="5" t="str">
        <f t="shared" si="11"/>
        <v>0,17</v>
      </c>
      <c r="Q85" s="4" t="e">
        <f t="shared" ca="1" si="12"/>
        <v>#NAME?</v>
      </c>
    </row>
    <row r="86" spans="1:17">
      <c r="A86" s="1">
        <f t="shared" si="14"/>
        <v>85</v>
      </c>
      <c r="C86" s="8" t="s">
        <v>17</v>
      </c>
      <c r="D86" s="2">
        <v>42786</v>
      </c>
      <c r="E86" s="3">
        <f>10000/100000</f>
        <v>0.1</v>
      </c>
      <c r="F86" t="s">
        <v>181</v>
      </c>
      <c r="G86" t="s">
        <v>182</v>
      </c>
      <c r="H86" t="s">
        <v>183</v>
      </c>
      <c r="I86" s="6" t="s">
        <v>158</v>
      </c>
      <c r="J86" s="61" t="s">
        <v>22</v>
      </c>
      <c r="K86" s="11" t="s">
        <v>258</v>
      </c>
      <c r="L86" s="5" t="str">
        <f t="shared" si="8"/>
        <v>00085</v>
      </c>
      <c r="M86" s="47" t="str">
        <f t="shared" si="9"/>
        <v>20 de febrero de 2017</v>
      </c>
      <c r="N86" s="323">
        <f t="shared" si="13"/>
        <v>20</v>
      </c>
      <c r="O86" s="25">
        <f t="shared" si="10"/>
        <v>42767</v>
      </c>
      <c r="P86" s="5" t="str">
        <f t="shared" si="11"/>
        <v>0,10</v>
      </c>
      <c r="Q86" s="4" t="e">
        <f t="shared" ca="1" si="12"/>
        <v>#NAME?</v>
      </c>
    </row>
    <row r="87" spans="1:17">
      <c r="A87" s="1">
        <f t="shared" si="14"/>
        <v>86</v>
      </c>
      <c r="C87" s="8" t="s">
        <v>17</v>
      </c>
      <c r="D87" s="2">
        <v>42786</v>
      </c>
      <c r="E87" s="3">
        <f>17000/100000</f>
        <v>0.17</v>
      </c>
      <c r="F87" t="s">
        <v>259</v>
      </c>
      <c r="G87" t="s">
        <v>260</v>
      </c>
      <c r="H87" t="s">
        <v>261</v>
      </c>
      <c r="I87" s="6" t="s">
        <v>142</v>
      </c>
      <c r="J87" s="61" t="s">
        <v>22</v>
      </c>
      <c r="K87" s="11" t="s">
        <v>262</v>
      </c>
      <c r="L87" s="5" t="str">
        <f t="shared" si="8"/>
        <v>00086</v>
      </c>
      <c r="M87" s="47" t="str">
        <f t="shared" si="9"/>
        <v>20 de febrero de 2017</v>
      </c>
      <c r="N87" s="323">
        <f t="shared" si="13"/>
        <v>20</v>
      </c>
      <c r="O87" s="25">
        <f t="shared" si="10"/>
        <v>42767</v>
      </c>
      <c r="P87" s="5" t="str">
        <f t="shared" si="11"/>
        <v>0,17</v>
      </c>
      <c r="Q87" s="4" t="e">
        <f t="shared" ca="1" si="12"/>
        <v>#NAME?</v>
      </c>
    </row>
    <row r="88" spans="1:17">
      <c r="A88" s="1">
        <f t="shared" si="14"/>
        <v>87</v>
      </c>
      <c r="C88" s="8" t="s">
        <v>17</v>
      </c>
      <c r="D88" s="2">
        <v>42786</v>
      </c>
      <c r="E88" s="3">
        <f>17000/100000</f>
        <v>0.17</v>
      </c>
      <c r="F88" t="s">
        <v>100</v>
      </c>
      <c r="G88" t="s">
        <v>95</v>
      </c>
      <c r="H88" t="s">
        <v>101</v>
      </c>
      <c r="I88" s="6" t="s">
        <v>142</v>
      </c>
      <c r="J88" s="61" t="s">
        <v>22</v>
      </c>
      <c r="K88" s="11" t="s">
        <v>263</v>
      </c>
      <c r="L88" s="5" t="str">
        <f t="shared" si="8"/>
        <v>00087</v>
      </c>
      <c r="M88" s="47" t="str">
        <f t="shared" si="9"/>
        <v>20 de febrero de 2017</v>
      </c>
      <c r="N88" s="323">
        <f t="shared" si="13"/>
        <v>20</v>
      </c>
      <c r="O88" s="25">
        <f t="shared" si="10"/>
        <v>42767</v>
      </c>
      <c r="P88" s="5" t="str">
        <f t="shared" si="11"/>
        <v>0,17</v>
      </c>
      <c r="Q88" s="4" t="e">
        <f t="shared" ca="1" si="12"/>
        <v>#NAME?</v>
      </c>
    </row>
    <row r="89" spans="1:17">
      <c r="A89" s="1">
        <f t="shared" si="14"/>
        <v>88</v>
      </c>
      <c r="C89" s="8" t="s">
        <v>17</v>
      </c>
      <c r="D89" s="2">
        <v>42788</v>
      </c>
      <c r="E89" s="3">
        <f>17000*2/100000</f>
        <v>0.34</v>
      </c>
      <c r="F89" t="s">
        <v>264</v>
      </c>
      <c r="G89" t="s">
        <v>265</v>
      </c>
      <c r="H89" t="s">
        <v>266</v>
      </c>
      <c r="I89" s="6" t="s">
        <v>222</v>
      </c>
      <c r="J89" s="61" t="s">
        <v>22</v>
      </c>
      <c r="K89" s="11" t="s">
        <v>267</v>
      </c>
      <c r="L89" s="5" t="str">
        <f t="shared" si="8"/>
        <v>00088</v>
      </c>
      <c r="M89" s="47" t="str">
        <f t="shared" si="9"/>
        <v>22 de febrero de 2017</v>
      </c>
      <c r="N89" s="323">
        <f t="shared" si="13"/>
        <v>22</v>
      </c>
      <c r="O89" s="25">
        <f t="shared" si="10"/>
        <v>42767</v>
      </c>
      <c r="P89" s="5" t="str">
        <f t="shared" si="11"/>
        <v>0,34</v>
      </c>
      <c r="Q89" s="4" t="e">
        <f t="shared" ca="1" si="12"/>
        <v>#NAME?</v>
      </c>
    </row>
    <row r="90" spans="1:17">
      <c r="A90" s="1">
        <f t="shared" si="14"/>
        <v>89</v>
      </c>
      <c r="C90" s="8" t="s">
        <v>17</v>
      </c>
      <c r="D90" s="2">
        <v>42788</v>
      </c>
      <c r="E90" s="3">
        <f>17000*2/100000</f>
        <v>0.34</v>
      </c>
      <c r="F90" t="s">
        <v>40</v>
      </c>
      <c r="G90" t="s">
        <v>41</v>
      </c>
      <c r="H90" t="s">
        <v>42</v>
      </c>
      <c r="I90" s="6" t="s">
        <v>195</v>
      </c>
      <c r="J90" s="61" t="s">
        <v>22</v>
      </c>
      <c r="K90" s="11" t="s">
        <v>268</v>
      </c>
      <c r="L90" s="5" t="str">
        <f t="shared" si="8"/>
        <v>00089</v>
      </c>
      <c r="M90" s="47" t="str">
        <f t="shared" si="9"/>
        <v>22 de febrero de 2017</v>
      </c>
      <c r="N90" s="323">
        <f t="shared" si="13"/>
        <v>22</v>
      </c>
      <c r="O90" s="25">
        <f t="shared" si="10"/>
        <v>42767</v>
      </c>
      <c r="P90" s="5" t="str">
        <f t="shared" si="11"/>
        <v>0,34</v>
      </c>
      <c r="Q90" s="4" t="e">
        <f t="shared" ca="1" si="12"/>
        <v>#NAME?</v>
      </c>
    </row>
    <row r="91" spans="1:17">
      <c r="A91" s="1">
        <f t="shared" si="14"/>
        <v>90</v>
      </c>
      <c r="C91" s="8" t="s">
        <v>17</v>
      </c>
      <c r="D91" s="2">
        <v>42789</v>
      </c>
      <c r="E91" s="3">
        <f>17000/100000</f>
        <v>0.17</v>
      </c>
      <c r="F91" t="s">
        <v>134</v>
      </c>
      <c r="G91" t="s">
        <v>135</v>
      </c>
      <c r="H91" t="s">
        <v>136</v>
      </c>
      <c r="I91" s="6" t="s">
        <v>142</v>
      </c>
      <c r="J91" s="61" t="s">
        <v>22</v>
      </c>
      <c r="K91" s="11" t="s">
        <v>269</v>
      </c>
      <c r="L91" s="5" t="str">
        <f t="shared" si="8"/>
        <v>00090</v>
      </c>
      <c r="M91" s="47" t="str">
        <f t="shared" si="9"/>
        <v>23 de febrero de 2017</v>
      </c>
      <c r="N91" s="323">
        <f t="shared" si="13"/>
        <v>23</v>
      </c>
      <c r="O91" s="25">
        <f t="shared" si="10"/>
        <v>42767</v>
      </c>
      <c r="P91" s="5" t="str">
        <f t="shared" si="11"/>
        <v>0,17</v>
      </c>
      <c r="Q91" s="4" t="e">
        <f t="shared" ca="1" si="12"/>
        <v>#NAME?</v>
      </c>
    </row>
    <row r="92" spans="1:17">
      <c r="A92" s="1">
        <f t="shared" si="14"/>
        <v>91</v>
      </c>
      <c r="C92" s="8" t="s">
        <v>17</v>
      </c>
      <c r="D92" s="2">
        <v>42789</v>
      </c>
      <c r="E92" s="3">
        <f>10500/100000</f>
        <v>0.105</v>
      </c>
      <c r="F92" t="s">
        <v>270</v>
      </c>
      <c r="G92" t="s">
        <v>271</v>
      </c>
      <c r="H92" t="s">
        <v>272</v>
      </c>
      <c r="I92" s="6" t="s">
        <v>51</v>
      </c>
      <c r="J92" s="61" t="s">
        <v>22</v>
      </c>
      <c r="K92" s="11" t="s">
        <v>273</v>
      </c>
      <c r="L92" s="5" t="str">
        <f t="shared" si="8"/>
        <v>00091</v>
      </c>
      <c r="M92" s="47" t="str">
        <f t="shared" si="9"/>
        <v>23 de febrero de 2017</v>
      </c>
      <c r="N92" s="323">
        <f t="shared" si="13"/>
        <v>23</v>
      </c>
      <c r="O92" s="25">
        <f t="shared" si="10"/>
        <v>42767</v>
      </c>
      <c r="P92" s="5" t="str">
        <f t="shared" si="11"/>
        <v>0,11</v>
      </c>
      <c r="Q92" s="4" t="e">
        <f t="shared" ca="1" si="12"/>
        <v>#NAME?</v>
      </c>
    </row>
    <row r="93" spans="1:17">
      <c r="A93" s="1">
        <f t="shared" si="14"/>
        <v>92</v>
      </c>
      <c r="C93" s="8" t="s">
        <v>17</v>
      </c>
      <c r="D93" s="2">
        <v>42789</v>
      </c>
      <c r="E93" s="3">
        <f>17000/100000</f>
        <v>0.17</v>
      </c>
      <c r="F93" t="s">
        <v>167</v>
      </c>
      <c r="G93" t="s">
        <v>168</v>
      </c>
      <c r="H93" t="s">
        <v>169</v>
      </c>
      <c r="I93" s="6" t="s">
        <v>142</v>
      </c>
      <c r="J93" s="61" t="s">
        <v>22</v>
      </c>
      <c r="K93" s="11" t="s">
        <v>274</v>
      </c>
      <c r="L93" s="5" t="str">
        <f t="shared" si="8"/>
        <v>00092</v>
      </c>
      <c r="M93" s="47" t="str">
        <f t="shared" si="9"/>
        <v>23 de febrero de 2017</v>
      </c>
      <c r="N93" s="323">
        <f t="shared" si="13"/>
        <v>23</v>
      </c>
      <c r="O93" s="25">
        <f t="shared" si="10"/>
        <v>42767</v>
      </c>
      <c r="P93" s="5" t="str">
        <f t="shared" si="11"/>
        <v>0,17</v>
      </c>
      <c r="Q93" s="4" t="e">
        <f t="shared" ca="1" si="12"/>
        <v>#NAME?</v>
      </c>
    </row>
    <row r="94" spans="1:17">
      <c r="A94" s="1">
        <f t="shared" si="14"/>
        <v>93</v>
      </c>
      <c r="C94" s="8" t="s">
        <v>17</v>
      </c>
      <c r="D94" s="2">
        <v>42790</v>
      </c>
      <c r="E94" s="3">
        <f>20000/100000</f>
        <v>0.2</v>
      </c>
      <c r="F94" t="s">
        <v>275</v>
      </c>
      <c r="G94" t="s">
        <v>276</v>
      </c>
      <c r="H94" t="s">
        <v>277</v>
      </c>
      <c r="I94" s="6" t="s">
        <v>278</v>
      </c>
      <c r="J94" s="61" t="s">
        <v>22</v>
      </c>
      <c r="K94" s="11" t="s">
        <v>279</v>
      </c>
      <c r="L94" s="5" t="str">
        <f t="shared" si="8"/>
        <v>00093</v>
      </c>
      <c r="M94" s="47" t="str">
        <f t="shared" si="9"/>
        <v>24 de febrero de 2017</v>
      </c>
      <c r="N94" s="323">
        <f t="shared" si="13"/>
        <v>24</v>
      </c>
      <c r="O94" s="25">
        <f t="shared" si="10"/>
        <v>42767</v>
      </c>
      <c r="P94" s="5" t="str">
        <f t="shared" si="11"/>
        <v>0,20</v>
      </c>
      <c r="Q94" s="4" t="e">
        <f t="shared" ca="1" si="12"/>
        <v>#NAME?</v>
      </c>
    </row>
    <row r="95" spans="1:17">
      <c r="A95" s="1">
        <f t="shared" si="14"/>
        <v>94</v>
      </c>
      <c r="C95" s="8" t="s">
        <v>17</v>
      </c>
      <c r="D95" s="2">
        <v>42790</v>
      </c>
      <c r="E95" s="3">
        <f>16000/100000</f>
        <v>0.16</v>
      </c>
      <c r="F95" t="s">
        <v>280</v>
      </c>
      <c r="G95" t="s">
        <v>281</v>
      </c>
      <c r="H95" t="s">
        <v>282</v>
      </c>
      <c r="I95" s="6" t="s">
        <v>21</v>
      </c>
      <c r="J95" s="61" t="s">
        <v>22</v>
      </c>
      <c r="K95" s="11" t="s">
        <v>283</v>
      </c>
      <c r="L95" s="5" t="str">
        <f t="shared" si="8"/>
        <v>00094</v>
      </c>
      <c r="M95" s="47" t="str">
        <f t="shared" si="9"/>
        <v>24 de febrero de 2017</v>
      </c>
      <c r="N95" s="323">
        <f t="shared" si="13"/>
        <v>24</v>
      </c>
      <c r="O95" s="25">
        <f t="shared" si="10"/>
        <v>42767</v>
      </c>
      <c r="P95" s="5" t="str">
        <f t="shared" si="11"/>
        <v>0,16</v>
      </c>
      <c r="Q95" s="4" t="e">
        <f t="shared" ca="1" si="12"/>
        <v>#NAME?</v>
      </c>
    </row>
    <row r="96" spans="1:17">
      <c r="A96" s="1">
        <f t="shared" si="14"/>
        <v>95</v>
      </c>
      <c r="C96" s="8" t="s">
        <v>17</v>
      </c>
      <c r="D96" s="2">
        <v>42789</v>
      </c>
      <c r="E96" s="3">
        <f>20000/100000</f>
        <v>0.2</v>
      </c>
      <c r="F96" t="s">
        <v>284</v>
      </c>
      <c r="G96" t="s">
        <v>276</v>
      </c>
      <c r="H96" t="s">
        <v>285</v>
      </c>
      <c r="I96" s="6" t="s">
        <v>278</v>
      </c>
      <c r="J96" s="61" t="s">
        <v>22</v>
      </c>
      <c r="K96" s="11" t="s">
        <v>286</v>
      </c>
      <c r="L96" s="5" t="str">
        <f t="shared" si="8"/>
        <v>00095</v>
      </c>
      <c r="M96" s="47" t="str">
        <f t="shared" si="9"/>
        <v>23 de febrero de 2017</v>
      </c>
      <c r="N96" s="323">
        <f t="shared" si="13"/>
        <v>23</v>
      </c>
      <c r="O96" s="25">
        <f t="shared" si="10"/>
        <v>42767</v>
      </c>
      <c r="P96" s="5" t="str">
        <f t="shared" si="11"/>
        <v>0,20</v>
      </c>
      <c r="Q96" s="4" t="e">
        <f t="shared" ca="1" si="12"/>
        <v>#NAME?</v>
      </c>
    </row>
    <row r="97" spans="1:17">
      <c r="A97" s="1">
        <f t="shared" si="14"/>
        <v>96</v>
      </c>
      <c r="C97" s="8" t="s">
        <v>17</v>
      </c>
      <c r="D97" s="2">
        <v>42790</v>
      </c>
      <c r="E97" s="3">
        <f>17000*2/100000</f>
        <v>0.34</v>
      </c>
      <c r="F97" t="s">
        <v>287</v>
      </c>
      <c r="G97" t="s">
        <v>288</v>
      </c>
      <c r="H97" t="s">
        <v>289</v>
      </c>
      <c r="I97" s="6" t="s">
        <v>222</v>
      </c>
      <c r="J97" s="61" t="s">
        <v>22</v>
      </c>
      <c r="K97" s="11" t="s">
        <v>290</v>
      </c>
      <c r="L97" s="5" t="str">
        <f t="shared" si="8"/>
        <v>00096</v>
      </c>
      <c r="M97" s="47" t="str">
        <f t="shared" si="9"/>
        <v>24 de febrero de 2017</v>
      </c>
      <c r="N97" s="323">
        <f t="shared" si="13"/>
        <v>24</v>
      </c>
      <c r="O97" s="25">
        <f t="shared" si="10"/>
        <v>42767</v>
      </c>
      <c r="P97" s="5" t="str">
        <f t="shared" si="11"/>
        <v>0,34</v>
      </c>
      <c r="Q97" s="4" t="e">
        <f t="shared" ca="1" si="12"/>
        <v>#NAME?</v>
      </c>
    </row>
    <row r="98" spans="1:17">
      <c r="A98" s="1">
        <f t="shared" si="14"/>
        <v>97</v>
      </c>
      <c r="C98" s="8" t="s">
        <v>17</v>
      </c>
      <c r="D98" s="2">
        <v>42790</v>
      </c>
      <c r="E98" s="3">
        <f>1500*2/100000</f>
        <v>0.03</v>
      </c>
      <c r="F98" t="s">
        <v>291</v>
      </c>
      <c r="G98" t="s">
        <v>292</v>
      </c>
      <c r="H98" t="s">
        <v>293</v>
      </c>
      <c r="I98" s="6" t="s">
        <v>294</v>
      </c>
      <c r="J98" s="61" t="s">
        <v>22</v>
      </c>
      <c r="K98" s="11" t="s">
        <v>295</v>
      </c>
      <c r="L98" s="5" t="str">
        <f t="shared" si="8"/>
        <v>00097</v>
      </c>
      <c r="M98" s="47" t="str">
        <f t="shared" si="9"/>
        <v>24 de febrero de 2017</v>
      </c>
      <c r="N98" s="323">
        <f t="shared" si="13"/>
        <v>24</v>
      </c>
      <c r="O98" s="25">
        <f t="shared" si="10"/>
        <v>42767</v>
      </c>
      <c r="P98" s="5" t="str">
        <f t="shared" si="11"/>
        <v>0,03</v>
      </c>
      <c r="Q98" s="4" t="e">
        <f t="shared" ca="1" si="12"/>
        <v>#NAME?</v>
      </c>
    </row>
    <row r="99" spans="1:17">
      <c r="A99" s="1">
        <f t="shared" si="14"/>
        <v>98</v>
      </c>
      <c r="C99" s="8" t="s">
        <v>17</v>
      </c>
      <c r="D99" s="2">
        <v>42791</v>
      </c>
      <c r="E99" s="3">
        <f>10000*2/100000</f>
        <v>0.2</v>
      </c>
      <c r="F99" t="s">
        <v>296</v>
      </c>
      <c r="G99" t="s">
        <v>297</v>
      </c>
      <c r="H99" t="s">
        <v>298</v>
      </c>
      <c r="I99" s="6" t="s">
        <v>294</v>
      </c>
      <c r="J99" s="61" t="s">
        <v>22</v>
      </c>
      <c r="K99" s="11" t="s">
        <v>299</v>
      </c>
      <c r="L99" s="5" t="str">
        <f t="shared" si="8"/>
        <v>00098</v>
      </c>
      <c r="M99" s="47" t="str">
        <f t="shared" si="9"/>
        <v>25 de febrero de 2017</v>
      </c>
      <c r="N99" s="323">
        <f t="shared" si="13"/>
        <v>25</v>
      </c>
      <c r="O99" s="25">
        <f t="shared" si="10"/>
        <v>42767</v>
      </c>
      <c r="P99" s="5" t="str">
        <f t="shared" si="11"/>
        <v>0,20</v>
      </c>
      <c r="Q99" s="4" t="e">
        <f t="shared" ca="1" si="12"/>
        <v>#NAME?</v>
      </c>
    </row>
    <row r="100" spans="1:17">
      <c r="A100" s="1">
        <f t="shared" si="14"/>
        <v>99</v>
      </c>
      <c r="C100" s="8" t="s">
        <v>17</v>
      </c>
      <c r="D100" s="2">
        <v>42791</v>
      </c>
      <c r="E100" s="3">
        <f>10500/100000</f>
        <v>0.105</v>
      </c>
      <c r="F100" t="s">
        <v>28</v>
      </c>
      <c r="G100" t="s">
        <v>29</v>
      </c>
      <c r="H100" t="s">
        <v>30</v>
      </c>
      <c r="I100" s="6" t="s">
        <v>158</v>
      </c>
      <c r="J100" s="61" t="s">
        <v>22</v>
      </c>
      <c r="K100" s="11" t="s">
        <v>300</v>
      </c>
      <c r="L100" s="5" t="str">
        <f t="shared" si="8"/>
        <v>00099</v>
      </c>
      <c r="M100" s="47" t="str">
        <f t="shared" si="9"/>
        <v>25 de febrero de 2017</v>
      </c>
      <c r="N100" s="323">
        <f t="shared" si="13"/>
        <v>25</v>
      </c>
      <c r="O100" s="25">
        <f t="shared" si="10"/>
        <v>42767</v>
      </c>
      <c r="P100" s="5" t="str">
        <f t="shared" si="11"/>
        <v>0,11</v>
      </c>
      <c r="Q100" s="4" t="e">
        <f t="shared" ca="1" si="12"/>
        <v>#NAME?</v>
      </c>
    </row>
    <row r="101" spans="1:17" ht="15.75" thickBot="1">
      <c r="A101" s="1">
        <f t="shared" si="14"/>
        <v>100</v>
      </c>
      <c r="C101" s="8" t="s">
        <v>17</v>
      </c>
      <c r="D101" s="2">
        <v>42795</v>
      </c>
      <c r="E101" s="3">
        <f>14200/100000</f>
        <v>0.14199999999999999</v>
      </c>
      <c r="F101" t="s">
        <v>100</v>
      </c>
      <c r="G101" t="s">
        <v>95</v>
      </c>
      <c r="H101" t="s">
        <v>101</v>
      </c>
      <c r="I101" s="6" t="s">
        <v>301</v>
      </c>
      <c r="J101" s="61" t="s">
        <v>22</v>
      </c>
      <c r="K101" s="11" t="s">
        <v>302</v>
      </c>
      <c r="L101" s="5" t="str">
        <f t="shared" si="8"/>
        <v>00100</v>
      </c>
      <c r="M101" s="47" t="str">
        <f t="shared" si="9"/>
        <v>01 de marzo de 2017</v>
      </c>
      <c r="N101" s="323">
        <f t="shared" si="13"/>
        <v>1</v>
      </c>
      <c r="O101" s="25">
        <f t="shared" si="10"/>
        <v>42795</v>
      </c>
      <c r="P101" s="5" t="str">
        <f t="shared" si="11"/>
        <v>0,14</v>
      </c>
      <c r="Q101" s="4" t="e">
        <f t="shared" ca="1" si="12"/>
        <v>#NAME?</v>
      </c>
    </row>
    <row r="102" spans="1:17" ht="15.75" thickBot="1">
      <c r="A102" s="1">
        <f t="shared" si="14"/>
        <v>101</v>
      </c>
      <c r="C102" s="8" t="s">
        <v>17</v>
      </c>
      <c r="D102" s="2">
        <v>42796</v>
      </c>
      <c r="E102" s="3">
        <f>2*3000/100000</f>
        <v>0.06</v>
      </c>
      <c r="F102" t="s">
        <v>303</v>
      </c>
      <c r="G102" s="18" t="s">
        <v>58</v>
      </c>
      <c r="H102" t="s">
        <v>304</v>
      </c>
      <c r="I102" s="6" t="s">
        <v>294</v>
      </c>
      <c r="J102" s="61" t="s">
        <v>22</v>
      </c>
      <c r="K102" s="11" t="s">
        <v>305</v>
      </c>
      <c r="L102" s="5" t="str">
        <f t="shared" si="8"/>
        <v>00101</v>
      </c>
      <c r="M102" s="47" t="str">
        <f t="shared" si="9"/>
        <v>02 de marzo de 2017</v>
      </c>
      <c r="N102" s="323">
        <f t="shared" si="13"/>
        <v>2</v>
      </c>
      <c r="O102" s="25">
        <f t="shared" si="10"/>
        <v>42795</v>
      </c>
      <c r="P102" s="5" t="str">
        <f t="shared" si="11"/>
        <v>0,06</v>
      </c>
      <c r="Q102" s="4" t="e">
        <f t="shared" ca="1" si="12"/>
        <v>#NAME?</v>
      </c>
    </row>
    <row r="103" spans="1:17">
      <c r="A103" s="1">
        <f t="shared" si="14"/>
        <v>102</v>
      </c>
      <c r="C103" s="8" t="s">
        <v>17</v>
      </c>
      <c r="D103" s="2">
        <v>42796</v>
      </c>
      <c r="E103" s="3">
        <f>17000/100000</f>
        <v>0.17</v>
      </c>
      <c r="F103" t="s">
        <v>90</v>
      </c>
      <c r="G103" t="s">
        <v>91</v>
      </c>
      <c r="H103" t="s">
        <v>92</v>
      </c>
      <c r="I103" s="6" t="s">
        <v>306</v>
      </c>
      <c r="J103" s="61" t="s">
        <v>22</v>
      </c>
      <c r="K103" s="11" t="s">
        <v>307</v>
      </c>
      <c r="L103" s="5" t="str">
        <f t="shared" si="8"/>
        <v>00102</v>
      </c>
      <c r="M103" s="47" t="str">
        <f t="shared" si="9"/>
        <v>02 de marzo de 2017</v>
      </c>
      <c r="N103" s="323">
        <f t="shared" si="13"/>
        <v>2</v>
      </c>
      <c r="O103" s="25">
        <f t="shared" si="10"/>
        <v>42795</v>
      </c>
      <c r="P103" s="5" t="str">
        <f t="shared" si="11"/>
        <v>0,17</v>
      </c>
      <c r="Q103" s="4" t="e">
        <f t="shared" ca="1" si="12"/>
        <v>#NAME?</v>
      </c>
    </row>
    <row r="104" spans="1:17">
      <c r="A104" s="1">
        <f t="shared" si="14"/>
        <v>103</v>
      </c>
      <c r="C104" s="8" t="s">
        <v>17</v>
      </c>
      <c r="D104" s="2">
        <v>42796</v>
      </c>
      <c r="E104" s="3">
        <f>2000/100000</f>
        <v>0.02</v>
      </c>
      <c r="F104" t="s">
        <v>90</v>
      </c>
      <c r="G104" t="s">
        <v>91</v>
      </c>
      <c r="H104" t="s">
        <v>92</v>
      </c>
      <c r="I104" s="6" t="s">
        <v>308</v>
      </c>
      <c r="J104" s="61" t="s">
        <v>22</v>
      </c>
      <c r="K104" s="11" t="s">
        <v>309</v>
      </c>
      <c r="L104" s="5" t="str">
        <f t="shared" si="8"/>
        <v>00103</v>
      </c>
      <c r="M104" s="47" t="str">
        <f t="shared" si="9"/>
        <v>02 de marzo de 2017</v>
      </c>
      <c r="N104" s="323">
        <f t="shared" si="13"/>
        <v>2</v>
      </c>
      <c r="O104" s="25">
        <f t="shared" si="10"/>
        <v>42795</v>
      </c>
      <c r="P104" s="5" t="str">
        <f t="shared" si="11"/>
        <v>0,02</v>
      </c>
      <c r="Q104" s="4" t="e">
        <f t="shared" ca="1" si="12"/>
        <v>#NAME?</v>
      </c>
    </row>
    <row r="105" spans="1:17">
      <c r="A105" s="1">
        <f t="shared" si="14"/>
        <v>104</v>
      </c>
      <c r="C105" s="8" t="s">
        <v>17</v>
      </c>
      <c r="D105" s="2">
        <v>42797</v>
      </c>
      <c r="E105" s="3">
        <f>17000/100000+7000/100000</f>
        <v>0.24000000000000002</v>
      </c>
      <c r="F105" t="s">
        <v>243</v>
      </c>
      <c r="G105" t="s">
        <v>244</v>
      </c>
      <c r="H105" t="s">
        <v>245</v>
      </c>
      <c r="I105" s="6" t="s">
        <v>310</v>
      </c>
      <c r="J105" s="61" t="s">
        <v>22</v>
      </c>
      <c r="K105" s="11" t="s">
        <v>311</v>
      </c>
      <c r="L105" s="5" t="str">
        <f t="shared" si="8"/>
        <v>00104</v>
      </c>
      <c r="M105" s="47" t="str">
        <f t="shared" si="9"/>
        <v>03 de marzo de 2017</v>
      </c>
      <c r="N105" s="323">
        <f t="shared" si="13"/>
        <v>3</v>
      </c>
      <c r="O105" s="25">
        <f t="shared" si="10"/>
        <v>42795</v>
      </c>
      <c r="P105" s="5" t="str">
        <f t="shared" si="11"/>
        <v>0,24</v>
      </c>
      <c r="Q105" s="4" t="e">
        <f t="shared" ca="1" si="12"/>
        <v>#NAME?</v>
      </c>
    </row>
    <row r="106" spans="1:17">
      <c r="A106" s="1">
        <f t="shared" si="14"/>
        <v>105</v>
      </c>
      <c r="C106" s="8" t="s">
        <v>17</v>
      </c>
      <c r="D106" s="2">
        <v>42797</v>
      </c>
      <c r="E106" s="3">
        <f>17000/100000</f>
        <v>0.17</v>
      </c>
      <c r="F106" t="s">
        <v>312</v>
      </c>
      <c r="G106" t="s">
        <v>313</v>
      </c>
      <c r="H106" t="s">
        <v>314</v>
      </c>
      <c r="I106" s="6" t="s">
        <v>315</v>
      </c>
      <c r="J106" s="61" t="s">
        <v>22</v>
      </c>
      <c r="K106" s="11" t="s">
        <v>316</v>
      </c>
      <c r="L106" s="5" t="str">
        <f t="shared" si="8"/>
        <v>00105</v>
      </c>
      <c r="M106" s="47" t="str">
        <f t="shared" si="9"/>
        <v>03 de marzo de 2017</v>
      </c>
      <c r="N106" s="323">
        <f t="shared" si="13"/>
        <v>3</v>
      </c>
      <c r="O106" s="25">
        <f t="shared" si="10"/>
        <v>42795</v>
      </c>
      <c r="P106" s="5" t="str">
        <f t="shared" si="11"/>
        <v>0,17</v>
      </c>
      <c r="Q106" s="4" t="e">
        <f t="shared" ca="1" si="12"/>
        <v>#NAME?</v>
      </c>
    </row>
    <row r="107" spans="1:17" ht="15.75" thickBot="1">
      <c r="A107" s="1">
        <f t="shared" si="14"/>
        <v>106</v>
      </c>
      <c r="C107" s="8" t="s">
        <v>17</v>
      </c>
      <c r="D107" s="2">
        <v>42799</v>
      </c>
      <c r="E107" s="3">
        <f>7000/100000</f>
        <v>7.0000000000000007E-2</v>
      </c>
      <c r="F107" t="s">
        <v>48</v>
      </c>
      <c r="G107" t="s">
        <v>49</v>
      </c>
      <c r="H107" t="s">
        <v>50</v>
      </c>
      <c r="I107" s="6" t="s">
        <v>317</v>
      </c>
      <c r="J107" s="61" t="s">
        <v>22</v>
      </c>
      <c r="K107" s="11" t="s">
        <v>318</v>
      </c>
      <c r="L107" s="5" t="str">
        <f t="shared" si="8"/>
        <v>00106</v>
      </c>
      <c r="M107" s="47" t="str">
        <f t="shared" si="9"/>
        <v>05 de marzo de 2017</v>
      </c>
      <c r="N107" s="323">
        <f t="shared" si="13"/>
        <v>5</v>
      </c>
      <c r="O107" s="25">
        <f t="shared" si="10"/>
        <v>42795</v>
      </c>
      <c r="P107" s="5" t="str">
        <f t="shared" si="11"/>
        <v>0,07</v>
      </c>
      <c r="Q107" s="4" t="e">
        <f t="shared" ca="1" si="12"/>
        <v>#NAME?</v>
      </c>
    </row>
    <row r="108" spans="1:17" ht="15.75" thickBot="1">
      <c r="A108" s="1">
        <f t="shared" si="14"/>
        <v>107</v>
      </c>
      <c r="C108" s="8" t="s">
        <v>17</v>
      </c>
      <c r="D108" s="2">
        <v>42799</v>
      </c>
      <c r="E108" s="3">
        <f>17000*2/100000</f>
        <v>0.34</v>
      </c>
      <c r="F108" t="s">
        <v>319</v>
      </c>
      <c r="G108" s="18" t="s">
        <v>58</v>
      </c>
      <c r="H108" t="s">
        <v>320</v>
      </c>
      <c r="I108" s="6" t="s">
        <v>222</v>
      </c>
      <c r="J108" s="61" t="s">
        <v>22</v>
      </c>
      <c r="K108" s="11" t="s">
        <v>321</v>
      </c>
      <c r="L108" s="5" t="str">
        <f t="shared" si="8"/>
        <v>00107</v>
      </c>
      <c r="M108" s="47" t="str">
        <f t="shared" si="9"/>
        <v>05 de marzo de 2017</v>
      </c>
      <c r="N108" s="323">
        <f t="shared" si="13"/>
        <v>5</v>
      </c>
      <c r="O108" s="25">
        <f t="shared" si="10"/>
        <v>42795</v>
      </c>
      <c r="P108" s="5" t="str">
        <f t="shared" si="11"/>
        <v>0,34</v>
      </c>
      <c r="Q108" s="4" t="e">
        <f t="shared" ca="1" si="12"/>
        <v>#NAME?</v>
      </c>
    </row>
    <row r="109" spans="1:17" ht="15.75" thickBot="1">
      <c r="A109" s="1">
        <f t="shared" si="14"/>
        <v>108</v>
      </c>
      <c r="C109" s="8" t="s">
        <v>17</v>
      </c>
      <c r="D109" s="2">
        <v>42799</v>
      </c>
      <c r="E109" s="3">
        <f>3000/100000</f>
        <v>0.03</v>
      </c>
      <c r="F109" t="s">
        <v>319</v>
      </c>
      <c r="G109" s="18" t="s">
        <v>58</v>
      </c>
      <c r="H109" t="s">
        <v>320</v>
      </c>
      <c r="I109" s="6" t="s">
        <v>322</v>
      </c>
      <c r="J109" s="61" t="s">
        <v>22</v>
      </c>
      <c r="K109" s="11" t="s">
        <v>323</v>
      </c>
      <c r="L109" s="5" t="str">
        <f t="shared" si="8"/>
        <v>00108</v>
      </c>
      <c r="M109" s="47" t="str">
        <f t="shared" si="9"/>
        <v>05 de marzo de 2017</v>
      </c>
      <c r="N109" s="323">
        <f t="shared" si="13"/>
        <v>5</v>
      </c>
      <c r="O109" s="25">
        <f t="shared" si="10"/>
        <v>42795</v>
      </c>
      <c r="P109" s="5" t="str">
        <f t="shared" si="11"/>
        <v>0,03</v>
      </c>
      <c r="Q109" s="4" t="e">
        <f t="shared" ca="1" si="12"/>
        <v>#NAME?</v>
      </c>
    </row>
    <row r="110" spans="1:17">
      <c r="A110" s="1">
        <f t="shared" si="14"/>
        <v>109</v>
      </c>
      <c r="C110" s="8" t="s">
        <v>17</v>
      </c>
      <c r="D110" s="2">
        <v>42800</v>
      </c>
      <c r="E110" s="3">
        <f>10500/100000+16000/100000</f>
        <v>0.26500000000000001</v>
      </c>
      <c r="F110" t="s">
        <v>324</v>
      </c>
      <c r="G110" t="s">
        <v>325</v>
      </c>
      <c r="H110" t="s">
        <v>326</v>
      </c>
      <c r="I110" s="6" t="s">
        <v>294</v>
      </c>
      <c r="J110" s="61" t="s">
        <v>22</v>
      </c>
      <c r="K110" s="11" t="s">
        <v>327</v>
      </c>
      <c r="L110" s="5" t="str">
        <f t="shared" si="8"/>
        <v>00109</v>
      </c>
      <c r="M110" s="47" t="str">
        <f t="shared" si="9"/>
        <v>06 de marzo de 2017</v>
      </c>
      <c r="N110" s="323">
        <f t="shared" si="13"/>
        <v>6</v>
      </c>
      <c r="O110" s="25">
        <f t="shared" si="10"/>
        <v>42795</v>
      </c>
      <c r="P110" s="5" t="str">
        <f t="shared" si="11"/>
        <v>0,27</v>
      </c>
      <c r="Q110" s="4" t="e">
        <f t="shared" ca="1" si="12"/>
        <v>#NAME?</v>
      </c>
    </row>
    <row r="111" spans="1:17">
      <c r="A111" s="1">
        <f t="shared" si="14"/>
        <v>110</v>
      </c>
      <c r="C111" s="8" t="s">
        <v>17</v>
      </c>
      <c r="D111" s="2">
        <v>42802</v>
      </c>
      <c r="E111" s="3">
        <f>17000/100000</f>
        <v>0.17</v>
      </c>
      <c r="F111" t="s">
        <v>24</v>
      </c>
      <c r="G111" t="s">
        <v>25</v>
      </c>
      <c r="H111" t="s">
        <v>26</v>
      </c>
      <c r="I111" s="6" t="s">
        <v>306</v>
      </c>
      <c r="J111" s="61" t="s">
        <v>22</v>
      </c>
      <c r="K111" s="11" t="s">
        <v>328</v>
      </c>
      <c r="L111" s="5" t="str">
        <f t="shared" si="8"/>
        <v>00110</v>
      </c>
      <c r="M111" s="47" t="str">
        <f t="shared" si="9"/>
        <v>08 de marzo de 2017</v>
      </c>
      <c r="N111" s="323">
        <f t="shared" si="13"/>
        <v>8</v>
      </c>
      <c r="O111" s="25">
        <f t="shared" si="10"/>
        <v>42795</v>
      </c>
      <c r="P111" s="5" t="str">
        <f t="shared" si="11"/>
        <v>0,17</v>
      </c>
      <c r="Q111" s="4" t="e">
        <f t="shared" ca="1" si="12"/>
        <v>#NAME?</v>
      </c>
    </row>
    <row r="112" spans="1:17">
      <c r="A112" s="1">
        <f t="shared" si="14"/>
        <v>111</v>
      </c>
      <c r="C112" s="8" t="s">
        <v>17</v>
      </c>
      <c r="D112" s="2">
        <v>42802</v>
      </c>
      <c r="E112" s="3">
        <f>17000/100000</f>
        <v>0.17</v>
      </c>
      <c r="F112" t="s">
        <v>36</v>
      </c>
      <c r="G112" t="s">
        <v>37</v>
      </c>
      <c r="H112" t="s">
        <v>38</v>
      </c>
      <c r="I112" s="6" t="s">
        <v>306</v>
      </c>
      <c r="J112" s="61" t="s">
        <v>22</v>
      </c>
      <c r="K112" s="11" t="s">
        <v>329</v>
      </c>
      <c r="L112" s="5" t="str">
        <f t="shared" si="8"/>
        <v>00111</v>
      </c>
      <c r="M112" s="47" t="str">
        <f t="shared" si="9"/>
        <v>08 de marzo de 2017</v>
      </c>
      <c r="N112" s="323">
        <f t="shared" si="13"/>
        <v>8</v>
      </c>
      <c r="O112" s="25">
        <f t="shared" si="10"/>
        <v>42795</v>
      </c>
      <c r="P112" s="5" t="str">
        <f t="shared" si="11"/>
        <v>0,17</v>
      </c>
      <c r="Q112" s="4" t="e">
        <f t="shared" ca="1" si="12"/>
        <v>#NAME?</v>
      </c>
    </row>
    <row r="113" spans="1:17">
      <c r="A113" s="1">
        <f t="shared" si="14"/>
        <v>112</v>
      </c>
      <c r="C113" s="8" t="s">
        <v>17</v>
      </c>
      <c r="D113" s="2">
        <v>42802</v>
      </c>
      <c r="E113" s="3">
        <f>17000/100000</f>
        <v>0.17</v>
      </c>
      <c r="F113" t="s">
        <v>197</v>
      </c>
      <c r="G113" t="s">
        <v>198</v>
      </c>
      <c r="H113" t="s">
        <v>199</v>
      </c>
      <c r="I113" s="6" t="s">
        <v>142</v>
      </c>
      <c r="J113" s="61" t="s">
        <v>22</v>
      </c>
      <c r="K113" s="11" t="s">
        <v>330</v>
      </c>
      <c r="L113" s="5" t="str">
        <f t="shared" si="8"/>
        <v>00112</v>
      </c>
      <c r="M113" s="47" t="str">
        <f t="shared" si="9"/>
        <v>08 de marzo de 2017</v>
      </c>
      <c r="N113" s="323">
        <f t="shared" si="13"/>
        <v>8</v>
      </c>
      <c r="O113" s="25">
        <f t="shared" si="10"/>
        <v>42795</v>
      </c>
      <c r="P113" s="5" t="str">
        <f t="shared" si="11"/>
        <v>0,17</v>
      </c>
      <c r="Q113" s="4" t="e">
        <f t="shared" ca="1" si="12"/>
        <v>#NAME?</v>
      </c>
    </row>
    <row r="114" spans="1:17">
      <c r="A114" s="1">
        <f t="shared" si="14"/>
        <v>113</v>
      </c>
      <c r="C114" s="8" t="s">
        <v>17</v>
      </c>
      <c r="D114" s="2">
        <v>42802</v>
      </c>
      <c r="E114" s="3">
        <f>1000/100000+17000*2/100000</f>
        <v>0.35000000000000003</v>
      </c>
      <c r="F114" t="s">
        <v>280</v>
      </c>
      <c r="G114" t="s">
        <v>281</v>
      </c>
      <c r="H114" t="s">
        <v>282</v>
      </c>
      <c r="I114" s="6" t="s">
        <v>331</v>
      </c>
      <c r="J114" s="61" t="s">
        <v>22</v>
      </c>
      <c r="K114" s="11" t="s">
        <v>332</v>
      </c>
      <c r="L114" s="5" t="str">
        <f t="shared" si="8"/>
        <v>00113</v>
      </c>
      <c r="M114" s="47" t="str">
        <f t="shared" si="9"/>
        <v>08 de marzo de 2017</v>
      </c>
      <c r="N114" s="323">
        <f t="shared" si="13"/>
        <v>8</v>
      </c>
      <c r="O114" s="25">
        <f t="shared" si="10"/>
        <v>42795</v>
      </c>
      <c r="P114" s="5" t="str">
        <f t="shared" si="11"/>
        <v>0,35</v>
      </c>
      <c r="Q114" s="4" t="e">
        <f t="shared" ca="1" si="12"/>
        <v>#NAME?</v>
      </c>
    </row>
    <row r="115" spans="1:17">
      <c r="A115" s="1">
        <f t="shared" si="14"/>
        <v>114</v>
      </c>
      <c r="C115" s="8" t="s">
        <v>17</v>
      </c>
      <c r="D115" s="2">
        <v>42802</v>
      </c>
      <c r="E115" s="3">
        <f>17000/100000</f>
        <v>0.17</v>
      </c>
      <c r="F115" t="s">
        <v>107</v>
      </c>
      <c r="G115" t="s">
        <v>108</v>
      </c>
      <c r="H115" t="s">
        <v>109</v>
      </c>
      <c r="I115" s="6" t="s">
        <v>306</v>
      </c>
      <c r="J115" s="61" t="s">
        <v>22</v>
      </c>
      <c r="K115" s="11" t="s">
        <v>333</v>
      </c>
      <c r="L115" s="5" t="str">
        <f t="shared" si="8"/>
        <v>00114</v>
      </c>
      <c r="M115" s="47" t="str">
        <f t="shared" si="9"/>
        <v>08 de marzo de 2017</v>
      </c>
      <c r="N115" s="323">
        <f t="shared" si="13"/>
        <v>8</v>
      </c>
      <c r="O115" s="25">
        <f t="shared" si="10"/>
        <v>42795</v>
      </c>
      <c r="P115" s="5" t="str">
        <f t="shared" si="11"/>
        <v>0,17</v>
      </c>
      <c r="Q115" s="4" t="e">
        <f t="shared" ca="1" si="12"/>
        <v>#NAME?</v>
      </c>
    </row>
    <row r="116" spans="1:17">
      <c r="A116" s="1">
        <f t="shared" si="14"/>
        <v>115</v>
      </c>
      <c r="C116" s="8" t="s">
        <v>17</v>
      </c>
      <c r="D116" s="2">
        <v>42802</v>
      </c>
      <c r="E116" s="3">
        <f>17000*2/100000</f>
        <v>0.34</v>
      </c>
      <c r="F116" t="s">
        <v>334</v>
      </c>
      <c r="G116" t="s">
        <v>85</v>
      </c>
      <c r="H116" t="s">
        <v>335</v>
      </c>
      <c r="I116" s="6" t="s">
        <v>222</v>
      </c>
      <c r="J116" s="61" t="s">
        <v>22</v>
      </c>
      <c r="K116" s="11" t="s">
        <v>336</v>
      </c>
      <c r="L116" s="5" t="str">
        <f t="shared" si="8"/>
        <v>00115</v>
      </c>
      <c r="M116" s="47" t="str">
        <f t="shared" si="9"/>
        <v>08 de marzo de 2017</v>
      </c>
      <c r="N116" s="323">
        <f t="shared" si="13"/>
        <v>8</v>
      </c>
      <c r="O116" s="25">
        <f t="shared" si="10"/>
        <v>42795</v>
      </c>
      <c r="P116" s="5" t="str">
        <f t="shared" si="11"/>
        <v>0,34</v>
      </c>
      <c r="Q116" s="4" t="e">
        <f t="shared" ca="1" si="12"/>
        <v>#NAME?</v>
      </c>
    </row>
    <row r="117" spans="1:17">
      <c r="A117" s="1">
        <f t="shared" si="14"/>
        <v>116</v>
      </c>
      <c r="C117" s="8" t="s">
        <v>17</v>
      </c>
      <c r="D117" s="2">
        <v>42802</v>
      </c>
      <c r="E117" s="3">
        <f>17000*2/100000</f>
        <v>0.34</v>
      </c>
      <c r="F117" t="s">
        <v>337</v>
      </c>
      <c r="G117" t="s">
        <v>338</v>
      </c>
      <c r="H117" t="s">
        <v>339</v>
      </c>
      <c r="I117" s="6" t="s">
        <v>222</v>
      </c>
      <c r="J117" s="61" t="s">
        <v>22</v>
      </c>
      <c r="K117" s="11" t="s">
        <v>340</v>
      </c>
      <c r="L117" s="5" t="str">
        <f t="shared" si="8"/>
        <v>00116</v>
      </c>
      <c r="M117" s="47" t="str">
        <f t="shared" si="9"/>
        <v>08 de marzo de 2017</v>
      </c>
      <c r="N117" s="323">
        <f t="shared" si="13"/>
        <v>8</v>
      </c>
      <c r="O117" s="25">
        <f t="shared" si="10"/>
        <v>42795</v>
      </c>
      <c r="P117" s="5" t="str">
        <f t="shared" si="11"/>
        <v>0,34</v>
      </c>
      <c r="Q117" s="4" t="e">
        <f t="shared" ca="1" si="12"/>
        <v>#NAME?</v>
      </c>
    </row>
    <row r="118" spans="1:17">
      <c r="A118" s="1">
        <f t="shared" si="14"/>
        <v>117</v>
      </c>
      <c r="C118" s="8" t="s">
        <v>17</v>
      </c>
      <c r="D118" s="2">
        <v>42804</v>
      </c>
      <c r="E118" s="3">
        <f>17000/100000</f>
        <v>0.17</v>
      </c>
      <c r="F118" t="s">
        <v>70</v>
      </c>
      <c r="G118" t="s">
        <v>71</v>
      </c>
      <c r="H118" t="s">
        <v>72</v>
      </c>
      <c r="I118" s="6" t="s">
        <v>306</v>
      </c>
      <c r="J118" s="61" t="s">
        <v>22</v>
      </c>
      <c r="K118" s="11" t="s">
        <v>341</v>
      </c>
      <c r="L118" s="5" t="str">
        <f t="shared" si="8"/>
        <v>00117</v>
      </c>
      <c r="M118" s="47" t="str">
        <f t="shared" si="9"/>
        <v>10 de marzo de 2017</v>
      </c>
      <c r="N118" s="323">
        <f t="shared" si="13"/>
        <v>10</v>
      </c>
      <c r="O118" s="25">
        <f t="shared" si="10"/>
        <v>42795</v>
      </c>
      <c r="P118" s="5" t="str">
        <f t="shared" si="11"/>
        <v>0,17</v>
      </c>
      <c r="Q118" s="4" t="e">
        <f t="shared" ca="1" si="12"/>
        <v>#NAME?</v>
      </c>
    </row>
    <row r="119" spans="1:17">
      <c r="A119" s="1">
        <f t="shared" si="14"/>
        <v>118</v>
      </c>
      <c r="C119" s="8" t="s">
        <v>17</v>
      </c>
      <c r="D119" s="2">
        <v>42804</v>
      </c>
      <c r="E119" s="3">
        <f>15000*3/100000</f>
        <v>0.45</v>
      </c>
      <c r="F119" t="s">
        <v>342</v>
      </c>
      <c r="G119" t="s">
        <v>343</v>
      </c>
      <c r="H119" t="s">
        <v>344</v>
      </c>
      <c r="I119" s="6" t="s">
        <v>315</v>
      </c>
      <c r="J119" s="61" t="s">
        <v>22</v>
      </c>
      <c r="K119" s="11" t="s">
        <v>345</v>
      </c>
      <c r="L119" s="5" t="str">
        <f t="shared" si="8"/>
        <v>00118</v>
      </c>
      <c r="M119" s="47" t="str">
        <f t="shared" si="9"/>
        <v>10 de marzo de 2017</v>
      </c>
      <c r="N119" s="323">
        <f t="shared" si="13"/>
        <v>10</v>
      </c>
      <c r="O119" s="25">
        <f t="shared" si="10"/>
        <v>42795</v>
      </c>
      <c r="P119" s="5" t="str">
        <f t="shared" si="11"/>
        <v>0,45</v>
      </c>
      <c r="Q119" s="4" t="e">
        <f t="shared" ca="1" si="12"/>
        <v>#NAME?</v>
      </c>
    </row>
    <row r="120" spans="1:17">
      <c r="A120" s="1">
        <f t="shared" si="14"/>
        <v>119</v>
      </c>
      <c r="C120" s="8" t="s">
        <v>17</v>
      </c>
      <c r="D120" s="2">
        <v>42804</v>
      </c>
      <c r="E120" s="3">
        <f>13613/100000</f>
        <v>0.13613</v>
      </c>
      <c r="F120" t="s">
        <v>32</v>
      </c>
      <c r="G120" t="s">
        <v>33</v>
      </c>
      <c r="H120" t="s">
        <v>34</v>
      </c>
      <c r="I120" s="6" t="s">
        <v>112</v>
      </c>
      <c r="J120" s="61" t="s">
        <v>22</v>
      </c>
      <c r="K120" s="11" t="s">
        <v>346</v>
      </c>
      <c r="L120" s="5" t="str">
        <f t="shared" si="8"/>
        <v>00119</v>
      </c>
      <c r="M120" s="47" t="str">
        <f t="shared" si="9"/>
        <v>10 de marzo de 2017</v>
      </c>
      <c r="N120" s="323">
        <f t="shared" si="13"/>
        <v>10</v>
      </c>
      <c r="O120" s="25">
        <f t="shared" si="10"/>
        <v>42795</v>
      </c>
      <c r="P120" s="5" t="str">
        <f t="shared" si="11"/>
        <v>0,14</v>
      </c>
      <c r="Q120" s="4" t="e">
        <f t="shared" ca="1" si="12"/>
        <v>#NAME?</v>
      </c>
    </row>
    <row r="121" spans="1:17">
      <c r="A121" s="1">
        <f t="shared" si="14"/>
        <v>120</v>
      </c>
      <c r="C121" s="8" t="s">
        <v>17</v>
      </c>
      <c r="D121" s="2">
        <v>42800</v>
      </c>
      <c r="E121" s="3">
        <f>17000/100000</f>
        <v>0.17</v>
      </c>
      <c r="F121" t="s">
        <v>259</v>
      </c>
      <c r="G121" t="s">
        <v>260</v>
      </c>
      <c r="H121" t="s">
        <v>261</v>
      </c>
      <c r="I121" s="6" t="s">
        <v>60</v>
      </c>
      <c r="J121" s="61" t="s">
        <v>22</v>
      </c>
      <c r="K121" s="11" t="s">
        <v>347</v>
      </c>
      <c r="L121" s="5" t="str">
        <f t="shared" si="8"/>
        <v>00120</v>
      </c>
      <c r="M121" s="47" t="str">
        <f t="shared" si="9"/>
        <v>06 de marzo de 2017</v>
      </c>
      <c r="N121" s="323">
        <f t="shared" si="13"/>
        <v>6</v>
      </c>
      <c r="O121" s="25">
        <f t="shared" si="10"/>
        <v>42795</v>
      </c>
      <c r="P121" s="5" t="str">
        <f t="shared" si="11"/>
        <v>0,17</v>
      </c>
      <c r="Q121" s="4" t="e">
        <f t="shared" ca="1" si="12"/>
        <v>#NAME?</v>
      </c>
    </row>
    <row r="122" spans="1:17">
      <c r="A122" s="1">
        <f t="shared" si="14"/>
        <v>121</v>
      </c>
      <c r="C122" s="8" t="s">
        <v>17</v>
      </c>
      <c r="D122" s="2">
        <v>42804</v>
      </c>
      <c r="E122" s="3">
        <f>17000/100000</f>
        <v>0.17</v>
      </c>
      <c r="F122" t="s">
        <v>243</v>
      </c>
      <c r="G122" t="s">
        <v>244</v>
      </c>
      <c r="H122" t="s">
        <v>245</v>
      </c>
      <c r="I122" s="6" t="s">
        <v>306</v>
      </c>
      <c r="J122" s="61" t="s">
        <v>22</v>
      </c>
      <c r="K122" s="11" t="s">
        <v>348</v>
      </c>
      <c r="L122" s="5" t="str">
        <f t="shared" si="8"/>
        <v>00121</v>
      </c>
      <c r="M122" s="47" t="str">
        <f t="shared" si="9"/>
        <v>10 de marzo de 2017</v>
      </c>
      <c r="N122" s="323">
        <f t="shared" si="13"/>
        <v>10</v>
      </c>
      <c r="O122" s="25">
        <f t="shared" si="10"/>
        <v>42795</v>
      </c>
      <c r="P122" s="5" t="str">
        <f t="shared" si="11"/>
        <v>0,17</v>
      </c>
      <c r="Q122" s="4" t="e">
        <f t="shared" ca="1" si="12"/>
        <v>#NAME?</v>
      </c>
    </row>
    <row r="123" spans="1:17">
      <c r="A123" s="1">
        <f t="shared" si="14"/>
        <v>122</v>
      </c>
      <c r="C123" s="8" t="s">
        <v>17</v>
      </c>
      <c r="D123" s="2">
        <v>42804</v>
      </c>
      <c r="E123" s="3">
        <f>2800/100000</f>
        <v>2.8000000000000001E-2</v>
      </c>
      <c r="F123" t="s">
        <v>100</v>
      </c>
      <c r="G123" t="s">
        <v>95</v>
      </c>
      <c r="H123" t="s">
        <v>101</v>
      </c>
      <c r="I123" s="6" t="s">
        <v>349</v>
      </c>
      <c r="J123" s="61" t="s">
        <v>22</v>
      </c>
      <c r="K123" s="11" t="s">
        <v>350</v>
      </c>
      <c r="L123" s="5" t="str">
        <f t="shared" si="8"/>
        <v>00122</v>
      </c>
      <c r="M123" s="47" t="str">
        <f t="shared" si="9"/>
        <v>10 de marzo de 2017</v>
      </c>
      <c r="N123" s="323">
        <f t="shared" si="13"/>
        <v>10</v>
      </c>
      <c r="O123" s="25">
        <f t="shared" si="10"/>
        <v>42795</v>
      </c>
      <c r="P123" s="5" t="str">
        <f t="shared" si="11"/>
        <v>0,03</v>
      </c>
      <c r="Q123" s="4" t="e">
        <f t="shared" ca="1" si="12"/>
        <v>#NAME?</v>
      </c>
    </row>
    <row r="124" spans="1:17">
      <c r="A124" s="1">
        <f t="shared" si="14"/>
        <v>123</v>
      </c>
      <c r="C124" s="8" t="s">
        <v>17</v>
      </c>
      <c r="D124" s="2">
        <v>42804</v>
      </c>
      <c r="E124" s="3">
        <f>10000/100000</f>
        <v>0.1</v>
      </c>
      <c r="F124" t="s">
        <v>84</v>
      </c>
      <c r="G124" t="s">
        <v>85</v>
      </c>
      <c r="H124" t="s">
        <v>86</v>
      </c>
      <c r="I124" s="6" t="s">
        <v>317</v>
      </c>
      <c r="J124" s="61" t="s">
        <v>22</v>
      </c>
      <c r="K124" s="11" t="s">
        <v>351</v>
      </c>
      <c r="L124" s="5" t="str">
        <f t="shared" si="8"/>
        <v>00123</v>
      </c>
      <c r="M124" s="47" t="str">
        <f t="shared" si="9"/>
        <v>10 de marzo de 2017</v>
      </c>
      <c r="N124" s="323">
        <f t="shared" si="13"/>
        <v>10</v>
      </c>
      <c r="O124" s="25">
        <f t="shared" si="10"/>
        <v>42795</v>
      </c>
      <c r="P124" s="5" t="str">
        <f t="shared" si="11"/>
        <v>0,10</v>
      </c>
      <c r="Q124" s="4" t="e">
        <f t="shared" ca="1" si="12"/>
        <v>#NAME?</v>
      </c>
    </row>
    <row r="125" spans="1:17">
      <c r="A125" s="1">
        <f t="shared" si="14"/>
        <v>124</v>
      </c>
      <c r="C125" s="8" t="s">
        <v>17</v>
      </c>
      <c r="D125" s="2">
        <v>42805</v>
      </c>
      <c r="E125" s="3">
        <f>10000/100000</f>
        <v>0.1</v>
      </c>
      <c r="F125" t="s">
        <v>181</v>
      </c>
      <c r="G125" t="s">
        <v>182</v>
      </c>
      <c r="H125" t="s">
        <v>183</v>
      </c>
      <c r="I125" s="6" t="s">
        <v>317</v>
      </c>
      <c r="J125" s="61" t="s">
        <v>22</v>
      </c>
      <c r="K125" s="11" t="s">
        <v>352</v>
      </c>
      <c r="L125" s="5" t="str">
        <f t="shared" si="8"/>
        <v>00124</v>
      </c>
      <c r="M125" s="47" t="str">
        <f t="shared" si="9"/>
        <v>11 de marzo de 2017</v>
      </c>
      <c r="N125" s="323">
        <f t="shared" si="13"/>
        <v>11</v>
      </c>
      <c r="O125" s="25">
        <f t="shared" si="10"/>
        <v>42795</v>
      </c>
      <c r="P125" s="5" t="str">
        <f t="shared" si="11"/>
        <v>0,10</v>
      </c>
      <c r="Q125" s="4" t="e">
        <f t="shared" ca="1" si="12"/>
        <v>#NAME?</v>
      </c>
    </row>
    <row r="126" spans="1:17">
      <c r="A126" s="1">
        <f t="shared" si="14"/>
        <v>125</v>
      </c>
      <c r="C126" s="8" t="s">
        <v>17</v>
      </c>
      <c r="D126" s="2">
        <v>42805</v>
      </c>
      <c r="E126" s="3">
        <f>17000/100000</f>
        <v>0.17</v>
      </c>
      <c r="F126" t="s">
        <v>353</v>
      </c>
      <c r="G126" t="s">
        <v>354</v>
      </c>
      <c r="H126" t="s">
        <v>355</v>
      </c>
      <c r="I126" s="6" t="s">
        <v>60</v>
      </c>
      <c r="J126" s="61" t="s">
        <v>22</v>
      </c>
      <c r="K126" s="11" t="s">
        <v>356</v>
      </c>
      <c r="L126" s="5" t="str">
        <f t="shared" si="8"/>
        <v>00125</v>
      </c>
      <c r="M126" s="47" t="str">
        <f t="shared" si="9"/>
        <v>11 de marzo de 2017</v>
      </c>
      <c r="N126" s="323">
        <f t="shared" si="13"/>
        <v>11</v>
      </c>
      <c r="O126" s="25">
        <f t="shared" si="10"/>
        <v>42795</v>
      </c>
      <c r="P126" s="5" t="str">
        <f t="shared" si="11"/>
        <v>0,17</v>
      </c>
      <c r="Q126" s="4" t="e">
        <f t="shared" ca="1" si="12"/>
        <v>#NAME?</v>
      </c>
    </row>
    <row r="127" spans="1:17">
      <c r="A127" s="1">
        <f t="shared" si="14"/>
        <v>126</v>
      </c>
      <c r="C127" s="8" t="s">
        <v>17</v>
      </c>
      <c r="D127" s="2">
        <v>42808</v>
      </c>
      <c r="E127" s="3">
        <f>17000/100000</f>
        <v>0.17</v>
      </c>
      <c r="F127" t="s">
        <v>248</v>
      </c>
      <c r="G127" t="s">
        <v>249</v>
      </c>
      <c r="H127" t="s">
        <v>250</v>
      </c>
      <c r="I127" s="6" t="s">
        <v>306</v>
      </c>
      <c r="J127" s="61" t="s">
        <v>22</v>
      </c>
      <c r="K127" s="11" t="s">
        <v>357</v>
      </c>
      <c r="L127" s="5" t="str">
        <f t="shared" si="8"/>
        <v>00126</v>
      </c>
      <c r="M127" s="47" t="str">
        <f t="shared" si="9"/>
        <v>14 de marzo de 2017</v>
      </c>
      <c r="N127" s="323">
        <f t="shared" si="13"/>
        <v>14</v>
      </c>
      <c r="O127" s="25">
        <f t="shared" si="10"/>
        <v>42795</v>
      </c>
      <c r="P127" s="5" t="str">
        <f t="shared" si="11"/>
        <v>0,17</v>
      </c>
      <c r="Q127" s="4" t="e">
        <f t="shared" ca="1" si="12"/>
        <v>#NAME?</v>
      </c>
    </row>
    <row r="128" spans="1:17">
      <c r="A128" s="1">
        <f t="shared" si="14"/>
        <v>127</v>
      </c>
      <c r="C128" s="8" t="s">
        <v>17</v>
      </c>
      <c r="D128" s="2">
        <v>42804</v>
      </c>
      <c r="E128" s="3">
        <f>3000/100000</f>
        <v>0.03</v>
      </c>
      <c r="F128" t="s">
        <v>94</v>
      </c>
      <c r="G128" t="s">
        <v>95</v>
      </c>
      <c r="H128" t="s">
        <v>96</v>
      </c>
      <c r="I128" s="6" t="s">
        <v>317</v>
      </c>
      <c r="J128" s="61" t="s">
        <v>22</v>
      </c>
      <c r="K128" s="11" t="s">
        <v>358</v>
      </c>
      <c r="L128" s="5" t="str">
        <f t="shared" si="8"/>
        <v>00127</v>
      </c>
      <c r="M128" s="47" t="str">
        <f t="shared" si="9"/>
        <v>10 de marzo de 2017</v>
      </c>
      <c r="N128" s="323">
        <f t="shared" si="13"/>
        <v>10</v>
      </c>
      <c r="O128" s="25">
        <f t="shared" si="10"/>
        <v>42795</v>
      </c>
      <c r="P128" s="5" t="str">
        <f t="shared" si="11"/>
        <v>0,03</v>
      </c>
      <c r="Q128" s="4" t="e">
        <f t="shared" ca="1" si="12"/>
        <v>#NAME?</v>
      </c>
    </row>
    <row r="129" spans="1:17">
      <c r="A129" s="1">
        <f t="shared" si="14"/>
        <v>128</v>
      </c>
      <c r="C129" s="8" t="s">
        <v>17</v>
      </c>
      <c r="D129" s="2">
        <v>42748</v>
      </c>
      <c r="E129" s="3">
        <f>6500/100000</f>
        <v>6.5000000000000002E-2</v>
      </c>
      <c r="F129" t="s">
        <v>62</v>
      </c>
      <c r="G129" t="s">
        <v>63</v>
      </c>
      <c r="H129" t="s">
        <v>64</v>
      </c>
      <c r="I129" s="6" t="s">
        <v>98</v>
      </c>
      <c r="J129" s="61" t="s">
        <v>22</v>
      </c>
      <c r="K129" s="11" t="s">
        <v>359</v>
      </c>
      <c r="L129" s="5" t="str">
        <f t="shared" si="8"/>
        <v>00128</v>
      </c>
      <c r="M129" s="47" t="str">
        <f t="shared" si="9"/>
        <v>13 de enero de 2017</v>
      </c>
      <c r="N129" s="323">
        <f t="shared" si="13"/>
        <v>13</v>
      </c>
      <c r="O129" s="25">
        <f t="shared" si="10"/>
        <v>42736</v>
      </c>
      <c r="P129" s="5" t="str">
        <f t="shared" si="11"/>
        <v>0,07</v>
      </c>
      <c r="Q129" s="4" t="e">
        <f t="shared" ca="1" si="12"/>
        <v>#NAME?</v>
      </c>
    </row>
    <row r="130" spans="1:17">
      <c r="A130" s="1">
        <f t="shared" si="14"/>
        <v>129</v>
      </c>
      <c r="C130" s="8" t="s">
        <v>17</v>
      </c>
      <c r="D130" s="2">
        <v>42795</v>
      </c>
      <c r="E130" s="3">
        <f>17000/100000</f>
        <v>0.17</v>
      </c>
      <c r="F130" t="s">
        <v>211</v>
      </c>
      <c r="G130" t="s">
        <v>212</v>
      </c>
      <c r="H130" t="s">
        <v>213</v>
      </c>
      <c r="I130" s="6" t="s">
        <v>142</v>
      </c>
      <c r="J130" s="61" t="s">
        <v>22</v>
      </c>
      <c r="K130" s="11" t="s">
        <v>360</v>
      </c>
      <c r="L130" s="5" t="str">
        <f t="shared" ref="L130:L193" si="16">IF(ISBLANK(A130),"",TEXT(A130,"00000"))</f>
        <v>00129</v>
      </c>
      <c r="M130" s="47" t="str">
        <f t="shared" ref="M130:M193" si="17">IF(ISBLANK(D130),"",TEXT(D130,"dd")&amp;" de "&amp;TEXT(D130,"mmmm")&amp;" de "&amp;TEXT(YEAR(D130),"0"))</f>
        <v>01 de marzo de 2017</v>
      </c>
      <c r="N130" s="323">
        <f t="shared" si="13"/>
        <v>1</v>
      </c>
      <c r="O130" s="25">
        <f t="shared" ref="O130:O193" si="18">DATE(YEAR(D130),MONTH(D130),1)</f>
        <v>42795</v>
      </c>
      <c r="P130" s="5" t="str">
        <f t="shared" ref="P130:P193" si="19">TEXT(E130,"#.##0,00")</f>
        <v>0,17</v>
      </c>
      <c r="Q130" s="4" t="e">
        <f t="shared" ref="Q130:Q193" ca="1" si="20">CONVERTIRNUM(E130)</f>
        <v>#NAME?</v>
      </c>
    </row>
    <row r="131" spans="1:17">
      <c r="A131" s="1">
        <f t="shared" si="14"/>
        <v>130</v>
      </c>
      <c r="C131" s="8" t="s">
        <v>17</v>
      </c>
      <c r="D131" s="2">
        <v>42800</v>
      </c>
      <c r="E131" s="3">
        <f>17000/100000</f>
        <v>0.17</v>
      </c>
      <c r="F131" t="s">
        <v>215</v>
      </c>
      <c r="G131" t="s">
        <v>216</v>
      </c>
      <c r="H131" t="s">
        <v>217</v>
      </c>
      <c r="I131" s="6" t="s">
        <v>142</v>
      </c>
      <c r="J131" s="61" t="s">
        <v>22</v>
      </c>
      <c r="K131" s="11" t="s">
        <v>361</v>
      </c>
      <c r="L131" s="5" t="str">
        <f t="shared" si="16"/>
        <v>00130</v>
      </c>
      <c r="M131" s="47" t="str">
        <f t="shared" si="17"/>
        <v>06 de marzo de 2017</v>
      </c>
      <c r="N131" s="323">
        <f t="shared" ref="N131:N194" si="21">DAY(D131)</f>
        <v>6</v>
      </c>
      <c r="O131" s="25">
        <f t="shared" si="18"/>
        <v>42795</v>
      </c>
      <c r="P131" s="5" t="str">
        <f t="shared" si="19"/>
        <v>0,17</v>
      </c>
      <c r="Q131" s="4" t="e">
        <f t="shared" ca="1" si="20"/>
        <v>#NAME?</v>
      </c>
    </row>
    <row r="132" spans="1:17">
      <c r="A132" s="1">
        <f t="shared" ref="A132:A195" si="22">A131+1</f>
        <v>131</v>
      </c>
      <c r="C132" s="8" t="s">
        <v>17</v>
      </c>
      <c r="D132" s="2">
        <v>42793</v>
      </c>
      <c r="E132" s="3">
        <f>17000/100000</f>
        <v>0.17</v>
      </c>
      <c r="F132" t="s">
        <v>362</v>
      </c>
      <c r="G132" t="s">
        <v>363</v>
      </c>
      <c r="H132" t="s">
        <v>364</v>
      </c>
      <c r="I132" s="6" t="s">
        <v>60</v>
      </c>
      <c r="J132" s="61" t="s">
        <v>22</v>
      </c>
      <c r="K132" s="11" t="s">
        <v>365</v>
      </c>
      <c r="L132" s="5" t="str">
        <f t="shared" si="16"/>
        <v>00131</v>
      </c>
      <c r="M132" s="47" t="str">
        <f t="shared" si="17"/>
        <v>27 de febrero de 2017</v>
      </c>
      <c r="N132" s="323">
        <f t="shared" si="21"/>
        <v>27</v>
      </c>
      <c r="O132" s="25">
        <f t="shared" si="18"/>
        <v>42767</v>
      </c>
      <c r="P132" s="5" t="str">
        <f t="shared" si="19"/>
        <v>0,17</v>
      </c>
      <c r="Q132" s="4" t="e">
        <f t="shared" ca="1" si="20"/>
        <v>#NAME?</v>
      </c>
    </row>
    <row r="133" spans="1:17">
      <c r="A133" s="1">
        <f t="shared" si="22"/>
        <v>132</v>
      </c>
      <c r="C133" s="8" t="s">
        <v>17</v>
      </c>
      <c r="D133" s="2">
        <v>42780</v>
      </c>
      <c r="E133" s="3">
        <f>17000/100000</f>
        <v>0.17</v>
      </c>
      <c r="F133" t="s">
        <v>122</v>
      </c>
      <c r="G133" t="s">
        <v>123</v>
      </c>
      <c r="H133" t="s">
        <v>124</v>
      </c>
      <c r="I133" s="6" t="s">
        <v>142</v>
      </c>
      <c r="J133" s="61" t="s">
        <v>22</v>
      </c>
      <c r="K133" s="11" t="s">
        <v>366</v>
      </c>
      <c r="L133" s="5" t="str">
        <f t="shared" si="16"/>
        <v>00132</v>
      </c>
      <c r="M133" s="47" t="str">
        <f t="shared" si="17"/>
        <v>14 de febrero de 2017</v>
      </c>
      <c r="N133" s="323">
        <f t="shared" si="21"/>
        <v>14</v>
      </c>
      <c r="O133" s="25">
        <f t="shared" si="18"/>
        <v>42767</v>
      </c>
      <c r="P133" s="5" t="str">
        <f t="shared" si="19"/>
        <v>0,17</v>
      </c>
      <c r="Q133" s="4" t="e">
        <f t="shared" ca="1" si="20"/>
        <v>#NAME?</v>
      </c>
    </row>
    <row r="134" spans="1:17">
      <c r="A134" s="1">
        <f t="shared" si="22"/>
        <v>133</v>
      </c>
      <c r="C134" s="8" t="s">
        <v>17</v>
      </c>
      <c r="D134" s="2">
        <v>42780</v>
      </c>
      <c r="E134" s="3">
        <f>6200/100000</f>
        <v>6.2E-2</v>
      </c>
      <c r="F134" t="s">
        <v>44</v>
      </c>
      <c r="G134" t="s">
        <v>45</v>
      </c>
      <c r="H134" t="s">
        <v>46</v>
      </c>
      <c r="I134" s="6" t="s">
        <v>367</v>
      </c>
      <c r="J134" s="61" t="s">
        <v>368</v>
      </c>
      <c r="K134" s="11" t="s">
        <v>369</v>
      </c>
      <c r="L134" s="5" t="str">
        <f t="shared" si="16"/>
        <v>00133</v>
      </c>
      <c r="M134" s="47" t="str">
        <f t="shared" si="17"/>
        <v>14 de febrero de 2017</v>
      </c>
      <c r="N134" s="323">
        <f t="shared" si="21"/>
        <v>14</v>
      </c>
      <c r="O134" s="25">
        <f t="shared" si="18"/>
        <v>42767</v>
      </c>
      <c r="P134" s="5" t="str">
        <f t="shared" si="19"/>
        <v>0,06</v>
      </c>
      <c r="Q134" s="4" t="e">
        <f t="shared" ca="1" si="20"/>
        <v>#NAME?</v>
      </c>
    </row>
    <row r="135" spans="1:17">
      <c r="A135" s="1">
        <f t="shared" si="22"/>
        <v>134</v>
      </c>
      <c r="C135" s="8" t="s">
        <v>17</v>
      </c>
      <c r="D135" s="2">
        <v>42746</v>
      </c>
      <c r="E135" s="3">
        <f>6500/100000</f>
        <v>6.5000000000000002E-2</v>
      </c>
      <c r="F135" t="s">
        <v>53</v>
      </c>
      <c r="G135" t="s">
        <v>54</v>
      </c>
      <c r="H135" t="s">
        <v>55</v>
      </c>
      <c r="I135" s="6" t="s">
        <v>98</v>
      </c>
      <c r="J135" s="61" t="s">
        <v>22</v>
      </c>
      <c r="K135" s="11" t="s">
        <v>370</v>
      </c>
      <c r="L135" s="5" t="str">
        <f t="shared" si="16"/>
        <v>00134</v>
      </c>
      <c r="M135" s="47" t="str">
        <f t="shared" si="17"/>
        <v>11 de enero de 2017</v>
      </c>
      <c r="N135" s="323">
        <f t="shared" si="21"/>
        <v>11</v>
      </c>
      <c r="O135" s="25">
        <f t="shared" si="18"/>
        <v>42736</v>
      </c>
      <c r="P135" s="5" t="str">
        <f t="shared" si="19"/>
        <v>0,07</v>
      </c>
      <c r="Q135" s="4" t="e">
        <f t="shared" ca="1" si="20"/>
        <v>#NAME?</v>
      </c>
    </row>
    <row r="136" spans="1:17">
      <c r="A136" s="1">
        <f t="shared" si="22"/>
        <v>135</v>
      </c>
      <c r="C136" s="8" t="s">
        <v>17</v>
      </c>
      <c r="D136" s="2">
        <v>42786</v>
      </c>
      <c r="E136" s="3">
        <f>17000*2/100000</f>
        <v>0.34</v>
      </c>
      <c r="F136" s="7" t="s">
        <v>371</v>
      </c>
      <c r="G136" t="s">
        <v>372</v>
      </c>
      <c r="H136" t="s">
        <v>373</v>
      </c>
      <c r="I136" s="6" t="s">
        <v>222</v>
      </c>
      <c r="J136" s="61" t="s">
        <v>22</v>
      </c>
      <c r="K136" s="11" t="s">
        <v>374</v>
      </c>
      <c r="L136" s="5" t="str">
        <f t="shared" si="16"/>
        <v>00135</v>
      </c>
      <c r="M136" s="47" t="str">
        <f t="shared" si="17"/>
        <v>20 de febrero de 2017</v>
      </c>
      <c r="N136" s="323">
        <f t="shared" si="21"/>
        <v>20</v>
      </c>
      <c r="O136" s="25">
        <f t="shared" si="18"/>
        <v>42767</v>
      </c>
      <c r="P136" s="5" t="str">
        <f t="shared" si="19"/>
        <v>0,34</v>
      </c>
      <c r="Q136" s="4" t="e">
        <f t="shared" ca="1" si="20"/>
        <v>#NAME?</v>
      </c>
    </row>
    <row r="137" spans="1:17" ht="15.75" thickBot="1">
      <c r="A137" s="1">
        <f t="shared" si="22"/>
        <v>136</v>
      </c>
      <c r="C137" s="8" t="s">
        <v>17</v>
      </c>
      <c r="D137" s="2">
        <v>42808</v>
      </c>
      <c r="E137" s="3">
        <f>17000/100000</f>
        <v>0.17</v>
      </c>
      <c r="F137" t="s">
        <v>122</v>
      </c>
      <c r="G137" t="s">
        <v>123</v>
      </c>
      <c r="H137" t="s">
        <v>124</v>
      </c>
      <c r="I137" s="6" t="s">
        <v>306</v>
      </c>
      <c r="J137" s="61" t="s">
        <v>22</v>
      </c>
      <c r="K137" s="11" t="s">
        <v>375</v>
      </c>
      <c r="L137" s="5" t="str">
        <f t="shared" si="16"/>
        <v>00136</v>
      </c>
      <c r="M137" s="47" t="str">
        <f t="shared" si="17"/>
        <v>14 de marzo de 2017</v>
      </c>
      <c r="N137" s="323">
        <f t="shared" si="21"/>
        <v>14</v>
      </c>
      <c r="O137" s="25">
        <f t="shared" si="18"/>
        <v>42795</v>
      </c>
      <c r="P137" s="5" t="str">
        <f t="shared" si="19"/>
        <v>0,17</v>
      </c>
      <c r="Q137" s="4" t="e">
        <f t="shared" ca="1" si="20"/>
        <v>#NAME?</v>
      </c>
    </row>
    <row r="138" spans="1:17" ht="15.75" thickBot="1">
      <c r="A138" s="1">
        <f t="shared" si="22"/>
        <v>137</v>
      </c>
      <c r="C138" s="8" t="s">
        <v>17</v>
      </c>
      <c r="D138" s="2">
        <v>42808</v>
      </c>
      <c r="E138" s="3">
        <f>5000/100000</f>
        <v>0.05</v>
      </c>
      <c r="F138" t="s">
        <v>74</v>
      </c>
      <c r="G138" s="18" t="s">
        <v>58</v>
      </c>
      <c r="H138" t="s">
        <v>75</v>
      </c>
      <c r="I138" s="6" t="s">
        <v>317</v>
      </c>
      <c r="J138" s="61" t="s">
        <v>22</v>
      </c>
      <c r="K138" s="11" t="s">
        <v>376</v>
      </c>
      <c r="L138" s="5" t="str">
        <f t="shared" si="16"/>
        <v>00137</v>
      </c>
      <c r="M138" s="47" t="str">
        <f t="shared" si="17"/>
        <v>14 de marzo de 2017</v>
      </c>
      <c r="N138" s="323">
        <f t="shared" si="21"/>
        <v>14</v>
      </c>
      <c r="O138" s="25">
        <f t="shared" si="18"/>
        <v>42795</v>
      </c>
      <c r="P138" s="5" t="str">
        <f t="shared" si="19"/>
        <v>0,05</v>
      </c>
      <c r="Q138" s="4" t="e">
        <f t="shared" ca="1" si="20"/>
        <v>#NAME?</v>
      </c>
    </row>
    <row r="139" spans="1:17">
      <c r="A139" s="1">
        <f t="shared" si="22"/>
        <v>138</v>
      </c>
      <c r="C139" s="8" t="s">
        <v>17</v>
      </c>
      <c r="D139" s="2">
        <v>42804</v>
      </c>
      <c r="E139" s="3">
        <f>22000/100000</f>
        <v>0.22</v>
      </c>
      <c r="F139" t="s">
        <v>66</v>
      </c>
      <c r="G139" t="s">
        <v>67</v>
      </c>
      <c r="H139" t="s">
        <v>68</v>
      </c>
      <c r="I139" s="6" t="s">
        <v>306</v>
      </c>
      <c r="J139" s="61" t="s">
        <v>22</v>
      </c>
      <c r="K139" s="11" t="s">
        <v>377</v>
      </c>
      <c r="L139" s="5" t="str">
        <f t="shared" si="16"/>
        <v>00138</v>
      </c>
      <c r="M139" s="47" t="str">
        <f t="shared" si="17"/>
        <v>10 de marzo de 2017</v>
      </c>
      <c r="N139" s="323">
        <f t="shared" si="21"/>
        <v>10</v>
      </c>
      <c r="O139" s="25">
        <f t="shared" si="18"/>
        <v>42795</v>
      </c>
      <c r="P139" s="5" t="str">
        <f t="shared" si="19"/>
        <v>0,22</v>
      </c>
      <c r="Q139" s="4" t="e">
        <f t="shared" ca="1" si="20"/>
        <v>#NAME?</v>
      </c>
    </row>
    <row r="140" spans="1:17">
      <c r="A140" s="1">
        <f t="shared" si="22"/>
        <v>139</v>
      </c>
      <c r="C140" s="8" t="s">
        <v>17</v>
      </c>
      <c r="D140" s="2">
        <v>42810</v>
      </c>
      <c r="E140" s="3">
        <f>17000/100000</f>
        <v>0.17</v>
      </c>
      <c r="F140" t="s">
        <v>44</v>
      </c>
      <c r="G140" t="s">
        <v>45</v>
      </c>
      <c r="H140" t="s">
        <v>46</v>
      </c>
      <c r="I140" s="6" t="s">
        <v>306</v>
      </c>
      <c r="J140" s="61" t="s">
        <v>22</v>
      </c>
      <c r="K140" s="11" t="s">
        <v>378</v>
      </c>
      <c r="L140" s="5" t="str">
        <f t="shared" si="16"/>
        <v>00139</v>
      </c>
      <c r="M140" s="47" t="str">
        <f t="shared" si="17"/>
        <v>16 de marzo de 2017</v>
      </c>
      <c r="N140" s="323">
        <f t="shared" si="21"/>
        <v>16</v>
      </c>
      <c r="O140" s="25">
        <f t="shared" si="18"/>
        <v>42795</v>
      </c>
      <c r="P140" s="5" t="str">
        <f t="shared" si="19"/>
        <v>0,17</v>
      </c>
      <c r="Q140" s="4" t="e">
        <f t="shared" ca="1" si="20"/>
        <v>#NAME?</v>
      </c>
    </row>
    <row r="141" spans="1:17">
      <c r="A141" s="1">
        <f t="shared" si="22"/>
        <v>140</v>
      </c>
      <c r="C141" s="8" t="s">
        <v>17</v>
      </c>
      <c r="D141" s="2">
        <v>42813</v>
      </c>
      <c r="E141" s="3">
        <f>17000/100000</f>
        <v>0.17</v>
      </c>
      <c r="F141" t="s">
        <v>334</v>
      </c>
      <c r="G141" t="s">
        <v>85</v>
      </c>
      <c r="H141" t="s">
        <v>335</v>
      </c>
      <c r="I141" s="6" t="s">
        <v>306</v>
      </c>
      <c r="J141" s="61" t="s">
        <v>22</v>
      </c>
      <c r="K141" s="11" t="s">
        <v>379</v>
      </c>
      <c r="L141" s="5" t="str">
        <f t="shared" si="16"/>
        <v>00140</v>
      </c>
      <c r="M141" s="47" t="str">
        <f t="shared" si="17"/>
        <v>19 de marzo de 2017</v>
      </c>
      <c r="N141" s="323">
        <f t="shared" si="21"/>
        <v>19</v>
      </c>
      <c r="O141" s="25">
        <f t="shared" si="18"/>
        <v>42795</v>
      </c>
      <c r="P141" s="5" t="str">
        <f t="shared" si="19"/>
        <v>0,17</v>
      </c>
      <c r="Q141" s="4" t="e">
        <f t="shared" ca="1" si="20"/>
        <v>#NAME?</v>
      </c>
    </row>
    <row r="142" spans="1:17">
      <c r="A142" s="1">
        <f t="shared" si="22"/>
        <v>141</v>
      </c>
      <c r="C142" s="8" t="s">
        <v>17</v>
      </c>
      <c r="D142" s="2">
        <v>42812</v>
      </c>
      <c r="E142" s="3">
        <f>10000/100000</f>
        <v>0.1</v>
      </c>
      <c r="F142" t="s">
        <v>118</v>
      </c>
      <c r="G142" t="s">
        <v>119</v>
      </c>
      <c r="H142" t="s">
        <v>120</v>
      </c>
      <c r="I142" s="6" t="s">
        <v>317</v>
      </c>
      <c r="J142" s="61" t="s">
        <v>22</v>
      </c>
      <c r="K142" s="11" t="s">
        <v>380</v>
      </c>
      <c r="L142" s="5" t="str">
        <f t="shared" si="16"/>
        <v>00141</v>
      </c>
      <c r="M142" s="47" t="str">
        <f t="shared" si="17"/>
        <v>18 de marzo de 2017</v>
      </c>
      <c r="N142" s="323">
        <f t="shared" si="21"/>
        <v>18</v>
      </c>
      <c r="O142" s="25">
        <f t="shared" si="18"/>
        <v>42795</v>
      </c>
      <c r="P142" s="5" t="str">
        <f t="shared" si="19"/>
        <v>0,10</v>
      </c>
      <c r="Q142" s="4" t="e">
        <f t="shared" ca="1" si="20"/>
        <v>#NAME?</v>
      </c>
    </row>
    <row r="143" spans="1:17">
      <c r="A143" s="1">
        <f t="shared" si="22"/>
        <v>142</v>
      </c>
      <c r="C143" s="8" t="s">
        <v>17</v>
      </c>
      <c r="D143" s="2">
        <v>42810</v>
      </c>
      <c r="E143" s="3">
        <f>18000/100000</f>
        <v>0.18</v>
      </c>
      <c r="F143" t="s">
        <v>324</v>
      </c>
      <c r="G143" t="s">
        <v>325</v>
      </c>
      <c r="H143" t="s">
        <v>326</v>
      </c>
      <c r="I143" s="6" t="s">
        <v>381</v>
      </c>
      <c r="J143" s="61" t="s">
        <v>22</v>
      </c>
      <c r="K143" s="11" t="s">
        <v>382</v>
      </c>
      <c r="L143" s="5" t="str">
        <f t="shared" si="16"/>
        <v>00142</v>
      </c>
      <c r="M143" s="47" t="str">
        <f t="shared" si="17"/>
        <v>16 de marzo de 2017</v>
      </c>
      <c r="N143" s="323">
        <f t="shared" si="21"/>
        <v>16</v>
      </c>
      <c r="O143" s="25">
        <f t="shared" si="18"/>
        <v>42795</v>
      </c>
      <c r="P143" s="5" t="str">
        <f t="shared" si="19"/>
        <v>0,18</v>
      </c>
      <c r="Q143" s="4" t="e">
        <f t="shared" ca="1" si="20"/>
        <v>#NAME?</v>
      </c>
    </row>
    <row r="144" spans="1:17">
      <c r="A144" s="1">
        <f t="shared" si="22"/>
        <v>143</v>
      </c>
      <c r="C144" s="8" t="s">
        <v>17</v>
      </c>
      <c r="D144" s="2">
        <v>42809</v>
      </c>
      <c r="E144" s="3">
        <f>17000/100000</f>
        <v>0.17</v>
      </c>
      <c r="F144" t="s">
        <v>148</v>
      </c>
      <c r="G144" t="s">
        <v>149</v>
      </c>
      <c r="H144" t="s">
        <v>150</v>
      </c>
      <c r="I144" s="6" t="s">
        <v>306</v>
      </c>
      <c r="J144" s="61" t="s">
        <v>22</v>
      </c>
      <c r="K144" s="11" t="s">
        <v>383</v>
      </c>
      <c r="L144" s="5" t="str">
        <f t="shared" si="16"/>
        <v>00143</v>
      </c>
      <c r="M144" s="47" t="str">
        <f t="shared" si="17"/>
        <v>15 de marzo de 2017</v>
      </c>
      <c r="N144" s="323">
        <f t="shared" si="21"/>
        <v>15</v>
      </c>
      <c r="O144" s="25">
        <f t="shared" si="18"/>
        <v>42795</v>
      </c>
      <c r="P144" s="5" t="str">
        <f t="shared" si="19"/>
        <v>0,17</v>
      </c>
      <c r="Q144" s="4" t="e">
        <f t="shared" ca="1" si="20"/>
        <v>#NAME?</v>
      </c>
    </row>
    <row r="145" spans="1:17">
      <c r="A145" s="1">
        <f t="shared" si="22"/>
        <v>144</v>
      </c>
      <c r="C145" s="8" t="s">
        <v>17</v>
      </c>
      <c r="D145" s="2">
        <v>42810</v>
      </c>
      <c r="E145" s="3">
        <f>17000/100000</f>
        <v>0.17</v>
      </c>
      <c r="F145" t="s">
        <v>103</v>
      </c>
      <c r="G145" t="s">
        <v>104</v>
      </c>
      <c r="H145" t="s">
        <v>105</v>
      </c>
      <c r="I145" s="6" t="s">
        <v>306</v>
      </c>
      <c r="J145" s="61" t="s">
        <v>22</v>
      </c>
      <c r="K145" s="11" t="s">
        <v>384</v>
      </c>
      <c r="L145" s="5" t="str">
        <f t="shared" si="16"/>
        <v>00144</v>
      </c>
      <c r="M145" s="47" t="str">
        <f t="shared" si="17"/>
        <v>16 de marzo de 2017</v>
      </c>
      <c r="N145" s="323">
        <f t="shared" si="21"/>
        <v>16</v>
      </c>
      <c r="O145" s="25">
        <f t="shared" si="18"/>
        <v>42795</v>
      </c>
      <c r="P145" s="5" t="str">
        <f t="shared" si="19"/>
        <v>0,17</v>
      </c>
      <c r="Q145" s="4" t="e">
        <f t="shared" ca="1" si="20"/>
        <v>#NAME?</v>
      </c>
    </row>
    <row r="146" spans="1:17">
      <c r="A146" s="1">
        <f t="shared" si="22"/>
        <v>145</v>
      </c>
      <c r="C146" s="8" t="s">
        <v>17</v>
      </c>
      <c r="D146" s="2">
        <v>42809</v>
      </c>
      <c r="E146" s="3">
        <f>17000/100000</f>
        <v>0.17</v>
      </c>
      <c r="F146" t="s">
        <v>80</v>
      </c>
      <c r="G146" t="s">
        <v>81</v>
      </c>
      <c r="H146" t="s">
        <v>82</v>
      </c>
      <c r="I146" s="6" t="s">
        <v>306</v>
      </c>
      <c r="J146" s="61" t="s">
        <v>22</v>
      </c>
      <c r="K146" s="11" t="s">
        <v>385</v>
      </c>
      <c r="L146" s="5" t="str">
        <f t="shared" si="16"/>
        <v>00145</v>
      </c>
      <c r="M146" s="47" t="str">
        <f t="shared" si="17"/>
        <v>15 de marzo de 2017</v>
      </c>
      <c r="N146" s="323">
        <f t="shared" si="21"/>
        <v>15</v>
      </c>
      <c r="O146" s="25">
        <f t="shared" si="18"/>
        <v>42795</v>
      </c>
      <c r="P146" s="5" t="str">
        <f t="shared" si="19"/>
        <v>0,17</v>
      </c>
      <c r="Q146" s="4" t="e">
        <f t="shared" ca="1" si="20"/>
        <v>#NAME?</v>
      </c>
    </row>
    <row r="147" spans="1:17">
      <c r="A147" s="1">
        <f t="shared" si="22"/>
        <v>146</v>
      </c>
      <c r="C147" s="8" t="s">
        <v>17</v>
      </c>
      <c r="D147" s="2">
        <v>42809</v>
      </c>
      <c r="E147" s="3">
        <f>10500/100000</f>
        <v>0.105</v>
      </c>
      <c r="F147" t="s">
        <v>177</v>
      </c>
      <c r="G147" t="s">
        <v>178</v>
      </c>
      <c r="H147" t="s">
        <v>179</v>
      </c>
      <c r="I147" s="6" t="s">
        <v>112</v>
      </c>
      <c r="J147" s="61" t="s">
        <v>22</v>
      </c>
      <c r="K147" s="11" t="s">
        <v>386</v>
      </c>
      <c r="L147" s="5" t="str">
        <f t="shared" si="16"/>
        <v>00146</v>
      </c>
      <c r="M147" s="47" t="str">
        <f t="shared" si="17"/>
        <v>15 de marzo de 2017</v>
      </c>
      <c r="N147" s="323">
        <f t="shared" si="21"/>
        <v>15</v>
      </c>
      <c r="O147" s="25">
        <f t="shared" si="18"/>
        <v>42795</v>
      </c>
      <c r="P147" s="5" t="str">
        <f t="shared" si="19"/>
        <v>0,11</v>
      </c>
      <c r="Q147" s="4" t="e">
        <f t="shared" ca="1" si="20"/>
        <v>#NAME?</v>
      </c>
    </row>
    <row r="148" spans="1:17">
      <c r="A148" s="1">
        <f t="shared" si="22"/>
        <v>147</v>
      </c>
      <c r="C148" s="8" t="s">
        <v>17</v>
      </c>
      <c r="D148" s="2">
        <v>42819</v>
      </c>
      <c r="E148" s="3">
        <f>6500/100000+10500/100000</f>
        <v>0.16999999999999998</v>
      </c>
      <c r="F148" t="s">
        <v>177</v>
      </c>
      <c r="G148" t="s">
        <v>178</v>
      </c>
      <c r="H148" t="s">
        <v>179</v>
      </c>
      <c r="I148" s="6" t="s">
        <v>387</v>
      </c>
      <c r="J148" s="61" t="s">
        <v>22</v>
      </c>
      <c r="K148" s="11" t="s">
        <v>388</v>
      </c>
      <c r="L148" s="5" t="str">
        <f t="shared" si="16"/>
        <v>00147</v>
      </c>
      <c r="M148" s="47" t="str">
        <f t="shared" si="17"/>
        <v>25 de marzo de 2017</v>
      </c>
      <c r="N148" s="323">
        <f t="shared" si="21"/>
        <v>25</v>
      </c>
      <c r="O148" s="25">
        <f t="shared" si="18"/>
        <v>42795</v>
      </c>
      <c r="P148" s="5" t="str">
        <f t="shared" si="19"/>
        <v>0,17</v>
      </c>
      <c r="Q148" s="4" t="e">
        <f t="shared" ca="1" si="20"/>
        <v>#NAME?</v>
      </c>
    </row>
    <row r="149" spans="1:17">
      <c r="A149" s="1">
        <f t="shared" si="22"/>
        <v>148</v>
      </c>
      <c r="C149" s="8" t="s">
        <v>17</v>
      </c>
      <c r="D149" s="2">
        <v>42815</v>
      </c>
      <c r="E149" s="3">
        <f>17000/100000</f>
        <v>0.17</v>
      </c>
      <c r="F149" t="s">
        <v>185</v>
      </c>
      <c r="G149" t="s">
        <v>186</v>
      </c>
      <c r="H149" t="s">
        <v>187</v>
      </c>
      <c r="I149" s="6" t="s">
        <v>142</v>
      </c>
      <c r="J149" s="61" t="s">
        <v>22</v>
      </c>
      <c r="K149" s="11" t="s">
        <v>389</v>
      </c>
      <c r="L149" s="5" t="str">
        <f t="shared" si="16"/>
        <v>00148</v>
      </c>
      <c r="M149" s="47" t="str">
        <f t="shared" si="17"/>
        <v>21 de marzo de 2017</v>
      </c>
      <c r="N149" s="323">
        <f t="shared" si="21"/>
        <v>21</v>
      </c>
      <c r="O149" s="25">
        <f t="shared" si="18"/>
        <v>42795</v>
      </c>
      <c r="P149" s="5" t="str">
        <f t="shared" si="19"/>
        <v>0,17</v>
      </c>
      <c r="Q149" s="4" t="e">
        <f t="shared" ca="1" si="20"/>
        <v>#NAME?</v>
      </c>
    </row>
    <row r="150" spans="1:17" ht="15.75" thickBot="1">
      <c r="A150" s="1">
        <f t="shared" si="22"/>
        <v>149</v>
      </c>
      <c r="C150" s="8" t="s">
        <v>17</v>
      </c>
      <c r="D150" s="2">
        <v>42818</v>
      </c>
      <c r="E150" s="3">
        <f>17000/100000</f>
        <v>0.17</v>
      </c>
      <c r="F150" t="s">
        <v>167</v>
      </c>
      <c r="G150" t="s">
        <v>168</v>
      </c>
      <c r="H150" t="s">
        <v>169</v>
      </c>
      <c r="I150" s="6" t="s">
        <v>306</v>
      </c>
      <c r="J150" s="61" t="s">
        <v>22</v>
      </c>
      <c r="K150" s="11" t="s">
        <v>390</v>
      </c>
      <c r="L150" s="5" t="str">
        <f t="shared" si="16"/>
        <v>00149</v>
      </c>
      <c r="M150" s="47" t="str">
        <f t="shared" si="17"/>
        <v>24 de marzo de 2017</v>
      </c>
      <c r="N150" s="323">
        <f t="shared" si="21"/>
        <v>24</v>
      </c>
      <c r="O150" s="25">
        <f t="shared" si="18"/>
        <v>42795</v>
      </c>
      <c r="P150" s="5" t="str">
        <f t="shared" si="19"/>
        <v>0,17</v>
      </c>
      <c r="Q150" s="4" t="e">
        <f t="shared" ca="1" si="20"/>
        <v>#NAME?</v>
      </c>
    </row>
    <row r="151" spans="1:17" ht="15.75" thickBot="1">
      <c r="A151" s="1">
        <f t="shared" si="22"/>
        <v>150</v>
      </c>
      <c r="C151" s="8" t="s">
        <v>17</v>
      </c>
      <c r="D151" s="2">
        <v>42820</v>
      </c>
      <c r="E151" s="3">
        <f>3000/100000</f>
        <v>0.03</v>
      </c>
      <c r="F151" t="s">
        <v>303</v>
      </c>
      <c r="G151" s="18" t="s">
        <v>58</v>
      </c>
      <c r="H151" t="s">
        <v>304</v>
      </c>
      <c r="I151" s="6" t="s">
        <v>317</v>
      </c>
      <c r="J151" s="61" t="s">
        <v>22</v>
      </c>
      <c r="K151" s="11" t="s">
        <v>391</v>
      </c>
      <c r="L151" s="5" t="str">
        <f t="shared" si="16"/>
        <v>00150</v>
      </c>
      <c r="M151" s="47" t="str">
        <f t="shared" si="17"/>
        <v>26 de marzo de 2017</v>
      </c>
      <c r="N151" s="323">
        <f t="shared" si="21"/>
        <v>26</v>
      </c>
      <c r="O151" s="25">
        <f t="shared" si="18"/>
        <v>42795</v>
      </c>
      <c r="P151" s="5" t="str">
        <f t="shared" si="19"/>
        <v>0,03</v>
      </c>
      <c r="Q151" s="4" t="e">
        <f t="shared" ca="1" si="20"/>
        <v>#NAME?</v>
      </c>
    </row>
    <row r="152" spans="1:17">
      <c r="A152" s="1">
        <f t="shared" si="22"/>
        <v>151</v>
      </c>
      <c r="C152" s="8" t="s">
        <v>17</v>
      </c>
      <c r="D152" s="2">
        <v>42821</v>
      </c>
      <c r="E152" s="3">
        <f>17000/100000</f>
        <v>0.17</v>
      </c>
      <c r="F152" t="s">
        <v>126</v>
      </c>
      <c r="G152" t="s">
        <v>127</v>
      </c>
      <c r="H152" t="s">
        <v>128</v>
      </c>
      <c r="I152" s="6" t="s">
        <v>306</v>
      </c>
      <c r="J152" s="61" t="s">
        <v>22</v>
      </c>
      <c r="K152" s="11" t="s">
        <v>392</v>
      </c>
      <c r="L152" s="5" t="str">
        <f t="shared" si="16"/>
        <v>00151</v>
      </c>
      <c r="M152" s="47" t="str">
        <f t="shared" si="17"/>
        <v>27 de marzo de 2017</v>
      </c>
      <c r="N152" s="323">
        <f t="shared" si="21"/>
        <v>27</v>
      </c>
      <c r="O152" s="25">
        <f t="shared" si="18"/>
        <v>42795</v>
      </c>
      <c r="P152" s="5" t="str">
        <f t="shared" si="19"/>
        <v>0,17</v>
      </c>
      <c r="Q152" s="4" t="e">
        <f t="shared" ca="1" si="20"/>
        <v>#NAME?</v>
      </c>
    </row>
    <row r="153" spans="1:17">
      <c r="A153" s="1">
        <f t="shared" si="22"/>
        <v>152</v>
      </c>
      <c r="C153" s="8" t="s">
        <v>17</v>
      </c>
      <c r="D153" s="2">
        <v>42824</v>
      </c>
      <c r="E153" s="3">
        <f>4000/100000</f>
        <v>0.04</v>
      </c>
      <c r="F153" t="s">
        <v>144</v>
      </c>
      <c r="G153" t="s">
        <v>145</v>
      </c>
      <c r="H153" t="s">
        <v>146</v>
      </c>
      <c r="I153" s="6" t="s">
        <v>317</v>
      </c>
      <c r="J153" s="61" t="s">
        <v>22</v>
      </c>
      <c r="K153" s="11" t="s">
        <v>393</v>
      </c>
      <c r="L153" s="5" t="str">
        <f t="shared" si="16"/>
        <v>00152</v>
      </c>
      <c r="M153" s="47" t="str">
        <f t="shared" si="17"/>
        <v>30 de marzo de 2017</v>
      </c>
      <c r="N153" s="323">
        <f t="shared" si="21"/>
        <v>30</v>
      </c>
      <c r="O153" s="25">
        <f t="shared" si="18"/>
        <v>42795</v>
      </c>
      <c r="P153" s="5" t="str">
        <f t="shared" si="19"/>
        <v>0,04</v>
      </c>
      <c r="Q153" s="4" t="e">
        <f t="shared" ca="1" si="20"/>
        <v>#NAME?</v>
      </c>
    </row>
    <row r="154" spans="1:17">
      <c r="A154" s="1">
        <f t="shared" si="22"/>
        <v>153</v>
      </c>
      <c r="C154" s="8" t="s">
        <v>17</v>
      </c>
      <c r="D154" s="2">
        <v>42824</v>
      </c>
      <c r="E154" s="3">
        <f>10000/100000</f>
        <v>0.1</v>
      </c>
      <c r="F154" t="s">
        <v>296</v>
      </c>
      <c r="G154" t="s">
        <v>297</v>
      </c>
      <c r="H154" t="s">
        <v>298</v>
      </c>
      <c r="I154" s="6" t="s">
        <v>317</v>
      </c>
      <c r="J154" s="61" t="s">
        <v>22</v>
      </c>
      <c r="K154" s="11" t="s">
        <v>394</v>
      </c>
      <c r="L154" s="5" t="str">
        <f t="shared" si="16"/>
        <v>00153</v>
      </c>
      <c r="M154" s="47" t="str">
        <f t="shared" si="17"/>
        <v>30 de marzo de 2017</v>
      </c>
      <c r="N154" s="323">
        <f t="shared" si="21"/>
        <v>30</v>
      </c>
      <c r="O154" s="25">
        <f t="shared" si="18"/>
        <v>42795</v>
      </c>
      <c r="P154" s="5" t="str">
        <f t="shared" si="19"/>
        <v>0,10</v>
      </c>
      <c r="Q154" s="4" t="e">
        <f t="shared" ca="1" si="20"/>
        <v>#NAME?</v>
      </c>
    </row>
    <row r="155" spans="1:17">
      <c r="A155" s="1">
        <f t="shared" si="22"/>
        <v>154</v>
      </c>
      <c r="C155" s="8" t="s">
        <v>17</v>
      </c>
      <c r="D155" s="2">
        <v>42829</v>
      </c>
      <c r="E155" s="3">
        <f>17000/100000</f>
        <v>0.17</v>
      </c>
      <c r="F155" t="s">
        <v>107</v>
      </c>
      <c r="G155" t="s">
        <v>108</v>
      </c>
      <c r="H155" t="s">
        <v>109</v>
      </c>
      <c r="I155" s="6" t="s">
        <v>395</v>
      </c>
      <c r="J155" s="61" t="s">
        <v>22</v>
      </c>
      <c r="L155" s="5" t="str">
        <f t="shared" si="16"/>
        <v>00154</v>
      </c>
      <c r="M155" s="47" t="str">
        <f t="shared" si="17"/>
        <v>04 de abril de 2017</v>
      </c>
      <c r="N155" s="323">
        <f t="shared" si="21"/>
        <v>4</v>
      </c>
      <c r="O155" s="25">
        <f t="shared" si="18"/>
        <v>42826</v>
      </c>
      <c r="P155" s="5" t="str">
        <f t="shared" si="19"/>
        <v>0,17</v>
      </c>
      <c r="Q155" s="4" t="e">
        <f t="shared" ca="1" si="20"/>
        <v>#NAME?</v>
      </c>
    </row>
    <row r="156" spans="1:17">
      <c r="A156" s="1">
        <f t="shared" si="22"/>
        <v>155</v>
      </c>
      <c r="C156" s="8" t="s">
        <v>17</v>
      </c>
      <c r="D156" s="2">
        <v>42829</v>
      </c>
      <c r="E156" s="3">
        <f>10500*2/100000</f>
        <v>0.21</v>
      </c>
      <c r="F156" t="s">
        <v>28</v>
      </c>
      <c r="G156" t="s">
        <v>29</v>
      </c>
      <c r="H156" t="s">
        <v>30</v>
      </c>
      <c r="I156" s="6" t="s">
        <v>396</v>
      </c>
      <c r="J156" s="61" t="s">
        <v>22</v>
      </c>
      <c r="L156" s="5" t="str">
        <f t="shared" si="16"/>
        <v>00155</v>
      </c>
      <c r="M156" s="47" t="str">
        <f t="shared" si="17"/>
        <v>04 de abril de 2017</v>
      </c>
      <c r="N156" s="323">
        <f t="shared" si="21"/>
        <v>4</v>
      </c>
      <c r="O156" s="25">
        <f t="shared" si="18"/>
        <v>42826</v>
      </c>
      <c r="P156" s="5" t="str">
        <f t="shared" si="19"/>
        <v>0,21</v>
      </c>
      <c r="Q156" s="4" t="e">
        <f t="shared" ca="1" si="20"/>
        <v>#NAME?</v>
      </c>
    </row>
    <row r="157" spans="1:17" ht="15.75" thickBot="1">
      <c r="A157" s="1">
        <f t="shared" si="22"/>
        <v>156</v>
      </c>
      <c r="C157" s="8" t="s">
        <v>17</v>
      </c>
      <c r="D157" s="2">
        <v>42821</v>
      </c>
      <c r="E157" s="3">
        <f>17000*2/100000</f>
        <v>0.34</v>
      </c>
      <c r="F157" t="s">
        <v>353</v>
      </c>
      <c r="G157" t="s">
        <v>354</v>
      </c>
      <c r="H157" t="s">
        <v>355</v>
      </c>
      <c r="I157" s="6" t="s">
        <v>195</v>
      </c>
      <c r="J157" s="61" t="s">
        <v>22</v>
      </c>
      <c r="L157" s="5" t="str">
        <f t="shared" si="16"/>
        <v>00156</v>
      </c>
      <c r="M157" s="47" t="str">
        <f t="shared" si="17"/>
        <v>27 de marzo de 2017</v>
      </c>
      <c r="N157" s="323">
        <f t="shared" si="21"/>
        <v>27</v>
      </c>
      <c r="O157" s="25">
        <f t="shared" si="18"/>
        <v>42795</v>
      </c>
      <c r="P157" s="5" t="str">
        <f t="shared" si="19"/>
        <v>0,34</v>
      </c>
      <c r="Q157" s="4" t="e">
        <f t="shared" ca="1" si="20"/>
        <v>#NAME?</v>
      </c>
    </row>
    <row r="158" spans="1:17" ht="15.75" thickBot="1">
      <c r="A158" s="1">
        <f t="shared" si="22"/>
        <v>157</v>
      </c>
      <c r="C158" s="8" t="s">
        <v>17</v>
      </c>
      <c r="D158" s="2">
        <v>42818</v>
      </c>
      <c r="E158" s="3">
        <f>4000/100000+3000/100000</f>
        <v>7.0000000000000007E-2</v>
      </c>
      <c r="F158" t="s">
        <v>397</v>
      </c>
      <c r="G158" s="18" t="s">
        <v>58</v>
      </c>
      <c r="H158" t="s">
        <v>398</v>
      </c>
      <c r="I158" s="6" t="s">
        <v>399</v>
      </c>
      <c r="J158" s="61" t="s">
        <v>22</v>
      </c>
      <c r="L158" s="5" t="str">
        <f t="shared" si="16"/>
        <v>00157</v>
      </c>
      <c r="M158" s="47" t="str">
        <f t="shared" si="17"/>
        <v>24 de marzo de 2017</v>
      </c>
      <c r="N158" s="323">
        <f t="shared" si="21"/>
        <v>24</v>
      </c>
      <c r="O158" s="25">
        <f t="shared" si="18"/>
        <v>42795</v>
      </c>
      <c r="P158" s="5" t="str">
        <f t="shared" si="19"/>
        <v>0,07</v>
      </c>
      <c r="Q158" s="4" t="e">
        <f t="shared" ca="1" si="20"/>
        <v>#NAME?</v>
      </c>
    </row>
    <row r="159" spans="1:17">
      <c r="A159" s="1">
        <f t="shared" si="22"/>
        <v>158</v>
      </c>
      <c r="C159" s="8" t="s">
        <v>17</v>
      </c>
      <c r="D159" s="2">
        <v>42820</v>
      </c>
      <c r="E159" s="3">
        <f>17000/100000</f>
        <v>0.17</v>
      </c>
      <c r="F159" t="s">
        <v>138</v>
      </c>
      <c r="G159" t="s">
        <v>139</v>
      </c>
      <c r="H159" t="s">
        <v>140</v>
      </c>
      <c r="I159" s="6" t="s">
        <v>306</v>
      </c>
      <c r="J159" s="61" t="s">
        <v>22</v>
      </c>
      <c r="L159" s="5" t="str">
        <f t="shared" si="16"/>
        <v>00158</v>
      </c>
      <c r="M159" s="47" t="str">
        <f t="shared" si="17"/>
        <v>26 de marzo de 2017</v>
      </c>
      <c r="N159" s="323">
        <f t="shared" si="21"/>
        <v>26</v>
      </c>
      <c r="O159" s="25">
        <f t="shared" si="18"/>
        <v>42795</v>
      </c>
      <c r="P159" s="5" t="str">
        <f t="shared" si="19"/>
        <v>0,17</v>
      </c>
      <c r="Q159" s="4" t="e">
        <f t="shared" ca="1" si="20"/>
        <v>#NAME?</v>
      </c>
    </row>
    <row r="160" spans="1:17">
      <c r="A160" s="1">
        <f t="shared" si="22"/>
        <v>159</v>
      </c>
      <c r="C160" s="8" t="s">
        <v>17</v>
      </c>
      <c r="D160" s="2">
        <v>42825</v>
      </c>
      <c r="E160" s="3">
        <f>17000/100000</f>
        <v>0.17</v>
      </c>
      <c r="F160" t="s">
        <v>201</v>
      </c>
      <c r="G160" t="s">
        <v>202</v>
      </c>
      <c r="H160" t="s">
        <v>203</v>
      </c>
      <c r="I160" s="6" t="s">
        <v>306</v>
      </c>
      <c r="J160" s="61" t="s">
        <v>22</v>
      </c>
      <c r="L160" s="5" t="str">
        <f t="shared" si="16"/>
        <v>00159</v>
      </c>
      <c r="M160" s="47" t="str">
        <f t="shared" si="17"/>
        <v>31 de marzo de 2017</v>
      </c>
      <c r="N160" s="323">
        <f t="shared" si="21"/>
        <v>31</v>
      </c>
      <c r="O160" s="25">
        <f t="shared" si="18"/>
        <v>42795</v>
      </c>
      <c r="P160" s="5" t="str">
        <f t="shared" si="19"/>
        <v>0,17</v>
      </c>
      <c r="Q160" s="4" t="e">
        <f t="shared" ca="1" si="20"/>
        <v>#NAME?</v>
      </c>
    </row>
    <row r="161" spans="1:17">
      <c r="A161" s="1">
        <f t="shared" si="22"/>
        <v>160</v>
      </c>
      <c r="C161" s="8" t="s">
        <v>17</v>
      </c>
      <c r="D161" s="2">
        <v>42825</v>
      </c>
      <c r="E161" s="3">
        <f>17000/100000</f>
        <v>0.17</v>
      </c>
      <c r="F161" t="s">
        <v>62</v>
      </c>
      <c r="G161" t="s">
        <v>63</v>
      </c>
      <c r="H161" t="s">
        <v>64</v>
      </c>
      <c r="I161" s="6" t="s">
        <v>306</v>
      </c>
      <c r="J161" s="61" t="s">
        <v>22</v>
      </c>
      <c r="L161" s="5" t="str">
        <f t="shared" si="16"/>
        <v>00160</v>
      </c>
      <c r="M161" s="47" t="str">
        <f t="shared" si="17"/>
        <v>31 de marzo de 2017</v>
      </c>
      <c r="N161" s="323">
        <f t="shared" si="21"/>
        <v>31</v>
      </c>
      <c r="O161" s="25">
        <f t="shared" si="18"/>
        <v>42795</v>
      </c>
      <c r="P161" s="5" t="str">
        <f t="shared" si="19"/>
        <v>0,17</v>
      </c>
      <c r="Q161" s="4" t="e">
        <f t="shared" ca="1" si="20"/>
        <v>#NAME?</v>
      </c>
    </row>
    <row r="162" spans="1:17">
      <c r="A162" s="1">
        <f t="shared" si="22"/>
        <v>161</v>
      </c>
      <c r="C162" s="8" t="s">
        <v>17</v>
      </c>
      <c r="D162" s="2">
        <v>42821</v>
      </c>
      <c r="E162" s="3">
        <f>17000*2/100000</f>
        <v>0.34</v>
      </c>
      <c r="F162" t="s">
        <v>219</v>
      </c>
      <c r="G162" t="s">
        <v>220</v>
      </c>
      <c r="H162" t="s">
        <v>221</v>
      </c>
      <c r="I162" s="6" t="s">
        <v>400</v>
      </c>
      <c r="J162" s="61" t="s">
        <v>22</v>
      </c>
      <c r="L162" s="5" t="str">
        <f t="shared" si="16"/>
        <v>00161</v>
      </c>
      <c r="M162" s="47" t="str">
        <f t="shared" si="17"/>
        <v>27 de marzo de 2017</v>
      </c>
      <c r="N162" s="323">
        <f t="shared" si="21"/>
        <v>27</v>
      </c>
      <c r="O162" s="25">
        <f t="shared" si="18"/>
        <v>42795</v>
      </c>
      <c r="P162" s="5" t="str">
        <f t="shared" si="19"/>
        <v>0,34</v>
      </c>
      <c r="Q162" s="4" t="e">
        <f t="shared" ca="1" si="20"/>
        <v>#NAME?</v>
      </c>
    </row>
    <row r="163" spans="1:17">
      <c r="A163" s="1">
        <f t="shared" si="22"/>
        <v>162</v>
      </c>
      <c r="C163" s="8" t="s">
        <v>17</v>
      </c>
      <c r="D163" s="2">
        <v>42828</v>
      </c>
      <c r="E163" s="3">
        <f>10000/100000</f>
        <v>0.1</v>
      </c>
      <c r="F163" t="s">
        <v>401</v>
      </c>
      <c r="G163" t="s">
        <v>402</v>
      </c>
      <c r="H163" t="s">
        <v>403</v>
      </c>
      <c r="I163" s="6" t="s">
        <v>404</v>
      </c>
      <c r="J163" s="61" t="s">
        <v>22</v>
      </c>
      <c r="L163" s="5" t="str">
        <f t="shared" si="16"/>
        <v>00162</v>
      </c>
      <c r="M163" s="47" t="str">
        <f t="shared" si="17"/>
        <v>03 de abril de 2017</v>
      </c>
      <c r="N163" s="323">
        <f t="shared" si="21"/>
        <v>3</v>
      </c>
      <c r="O163" s="25">
        <f t="shared" si="18"/>
        <v>42826</v>
      </c>
      <c r="P163" s="5" t="str">
        <f t="shared" si="19"/>
        <v>0,10</v>
      </c>
      <c r="Q163" s="4" t="e">
        <f t="shared" ca="1" si="20"/>
        <v>#NAME?</v>
      </c>
    </row>
    <row r="164" spans="1:17">
      <c r="A164" s="1">
        <f t="shared" si="22"/>
        <v>163</v>
      </c>
      <c r="C164" s="8" t="s">
        <v>17</v>
      </c>
      <c r="D164" s="2">
        <v>42830</v>
      </c>
      <c r="E164" s="3">
        <f>17000/100000</f>
        <v>0.17</v>
      </c>
      <c r="F164" t="s">
        <v>44</v>
      </c>
      <c r="G164" t="s">
        <v>45</v>
      </c>
      <c r="H164" t="s">
        <v>46</v>
      </c>
      <c r="I164" s="6" t="s">
        <v>395</v>
      </c>
      <c r="J164" s="61" t="s">
        <v>22</v>
      </c>
      <c r="L164" s="5" t="str">
        <f t="shared" si="16"/>
        <v>00163</v>
      </c>
      <c r="M164" s="47" t="str">
        <f t="shared" si="17"/>
        <v>05 de abril de 2017</v>
      </c>
      <c r="N164" s="323">
        <f t="shared" si="21"/>
        <v>5</v>
      </c>
      <c r="O164" s="25">
        <f t="shared" si="18"/>
        <v>42826</v>
      </c>
      <c r="P164" s="5" t="str">
        <f t="shared" si="19"/>
        <v>0,17</v>
      </c>
      <c r="Q164" s="4" t="e">
        <f t="shared" ca="1" si="20"/>
        <v>#NAME?</v>
      </c>
    </row>
    <row r="165" spans="1:17">
      <c r="A165" s="1">
        <f t="shared" si="22"/>
        <v>164</v>
      </c>
      <c r="C165" s="8" t="s">
        <v>17</v>
      </c>
      <c r="D165" s="2">
        <v>42831</v>
      </c>
      <c r="E165" s="3">
        <f>17000/100000</f>
        <v>0.17</v>
      </c>
      <c r="F165" t="s">
        <v>24</v>
      </c>
      <c r="G165" t="s">
        <v>25</v>
      </c>
      <c r="H165" t="s">
        <v>26</v>
      </c>
      <c r="I165" s="6" t="s">
        <v>395</v>
      </c>
      <c r="J165" s="61" t="s">
        <v>22</v>
      </c>
      <c r="L165" s="5" t="str">
        <f t="shared" si="16"/>
        <v>00164</v>
      </c>
      <c r="M165" s="47" t="str">
        <f t="shared" si="17"/>
        <v>06 de abril de 2017</v>
      </c>
      <c r="N165" s="323">
        <f t="shared" si="21"/>
        <v>6</v>
      </c>
      <c r="O165" s="25">
        <f t="shared" si="18"/>
        <v>42826</v>
      </c>
      <c r="P165" s="5" t="str">
        <f t="shared" si="19"/>
        <v>0,17</v>
      </c>
      <c r="Q165" s="4" t="e">
        <f t="shared" ca="1" si="20"/>
        <v>#NAME?</v>
      </c>
    </row>
    <row r="166" spans="1:17" ht="15.75" thickBot="1">
      <c r="A166" s="1">
        <f t="shared" si="22"/>
        <v>165</v>
      </c>
      <c r="C166" s="8" t="s">
        <v>17</v>
      </c>
      <c r="D166" s="2">
        <v>42831</v>
      </c>
      <c r="E166" s="3">
        <f>17000/100000</f>
        <v>0.17</v>
      </c>
      <c r="F166" t="s">
        <v>18</v>
      </c>
      <c r="G166" t="s">
        <v>19</v>
      </c>
      <c r="H166" t="s">
        <v>20</v>
      </c>
      <c r="I166" s="6" t="s">
        <v>395</v>
      </c>
      <c r="J166" s="61" t="s">
        <v>22</v>
      </c>
      <c r="L166" s="5" t="str">
        <f t="shared" si="16"/>
        <v>00165</v>
      </c>
      <c r="M166" s="47" t="str">
        <f t="shared" si="17"/>
        <v>06 de abril de 2017</v>
      </c>
      <c r="N166" s="323">
        <f t="shared" si="21"/>
        <v>6</v>
      </c>
      <c r="O166" s="25">
        <f t="shared" si="18"/>
        <v>42826</v>
      </c>
      <c r="P166" s="5" t="str">
        <f t="shared" si="19"/>
        <v>0,17</v>
      </c>
      <c r="Q166" s="4" t="e">
        <f t="shared" ca="1" si="20"/>
        <v>#NAME?</v>
      </c>
    </row>
    <row r="167" spans="1:17" ht="15.75" thickBot="1">
      <c r="A167" s="1">
        <f t="shared" si="22"/>
        <v>166</v>
      </c>
      <c r="C167" s="8" t="s">
        <v>17</v>
      </c>
      <c r="D167" s="2">
        <v>42831</v>
      </c>
      <c r="E167" s="3">
        <f>14000/100000</f>
        <v>0.14000000000000001</v>
      </c>
      <c r="F167" t="s">
        <v>319</v>
      </c>
      <c r="G167" s="18" t="s">
        <v>58</v>
      </c>
      <c r="H167" t="s">
        <v>320</v>
      </c>
      <c r="I167" s="6" t="s">
        <v>405</v>
      </c>
      <c r="J167" s="61" t="s">
        <v>22</v>
      </c>
      <c r="L167" s="5" t="str">
        <f t="shared" si="16"/>
        <v>00166</v>
      </c>
      <c r="M167" s="47" t="str">
        <f t="shared" si="17"/>
        <v>06 de abril de 2017</v>
      </c>
      <c r="N167" s="323">
        <f t="shared" si="21"/>
        <v>6</v>
      </c>
      <c r="O167" s="25">
        <f t="shared" si="18"/>
        <v>42826</v>
      </c>
      <c r="P167" s="5" t="str">
        <f t="shared" si="19"/>
        <v>0,14</v>
      </c>
      <c r="Q167" s="4" t="e">
        <f t="shared" ca="1" si="20"/>
        <v>#NAME?</v>
      </c>
    </row>
    <row r="168" spans="1:17">
      <c r="A168" s="1">
        <f t="shared" si="22"/>
        <v>167</v>
      </c>
      <c r="C168" s="8" t="s">
        <v>17</v>
      </c>
      <c r="D168" s="2">
        <v>42809</v>
      </c>
      <c r="E168" s="3">
        <f t="shared" ref="E168:E173" si="23">17000/100000</f>
        <v>0.17</v>
      </c>
      <c r="F168" t="s">
        <v>211</v>
      </c>
      <c r="G168" t="s">
        <v>212</v>
      </c>
      <c r="H168" t="s">
        <v>213</v>
      </c>
      <c r="I168" s="6" t="s">
        <v>306</v>
      </c>
      <c r="J168" s="61" t="s">
        <v>22</v>
      </c>
      <c r="L168" s="5" t="str">
        <f t="shared" si="16"/>
        <v>00167</v>
      </c>
      <c r="M168" s="47" t="str">
        <f t="shared" si="17"/>
        <v>15 de marzo de 2017</v>
      </c>
      <c r="N168" s="323">
        <f t="shared" si="21"/>
        <v>15</v>
      </c>
      <c r="O168" s="25">
        <f t="shared" si="18"/>
        <v>42795</v>
      </c>
      <c r="P168" s="5" t="str">
        <f t="shared" si="19"/>
        <v>0,17</v>
      </c>
      <c r="Q168" s="4" t="e">
        <f t="shared" ca="1" si="20"/>
        <v>#NAME?</v>
      </c>
    </row>
    <row r="169" spans="1:17">
      <c r="A169" s="1">
        <f t="shared" si="22"/>
        <v>168</v>
      </c>
      <c r="C169" s="8" t="s">
        <v>17</v>
      </c>
      <c r="D169" s="2">
        <v>42830</v>
      </c>
      <c r="E169" s="3">
        <f t="shared" si="23"/>
        <v>0.17</v>
      </c>
      <c r="F169" t="s">
        <v>230</v>
      </c>
      <c r="G169" t="s">
        <v>231</v>
      </c>
      <c r="H169" t="s">
        <v>232</v>
      </c>
      <c r="I169" s="6" t="s">
        <v>306</v>
      </c>
      <c r="J169" s="61" t="s">
        <v>22</v>
      </c>
      <c r="L169" s="5" t="str">
        <f t="shared" si="16"/>
        <v>00168</v>
      </c>
      <c r="M169" s="47" t="str">
        <f t="shared" si="17"/>
        <v>05 de abril de 2017</v>
      </c>
      <c r="N169" s="323">
        <f t="shared" si="21"/>
        <v>5</v>
      </c>
      <c r="O169" s="25">
        <f t="shared" si="18"/>
        <v>42826</v>
      </c>
      <c r="P169" s="5" t="str">
        <f t="shared" si="19"/>
        <v>0,17</v>
      </c>
      <c r="Q169" s="4" t="e">
        <f t="shared" ca="1" si="20"/>
        <v>#NAME?</v>
      </c>
    </row>
    <row r="170" spans="1:17">
      <c r="A170" s="1">
        <f t="shared" si="22"/>
        <v>169</v>
      </c>
      <c r="C170" s="8" t="s">
        <v>17</v>
      </c>
      <c r="D170" s="2">
        <v>42831</v>
      </c>
      <c r="E170" s="3">
        <f t="shared" si="23"/>
        <v>0.17</v>
      </c>
      <c r="F170" t="s">
        <v>80</v>
      </c>
      <c r="G170" t="s">
        <v>81</v>
      </c>
      <c r="H170" t="s">
        <v>82</v>
      </c>
      <c r="I170" s="6" t="s">
        <v>395</v>
      </c>
      <c r="J170" s="61" t="s">
        <v>22</v>
      </c>
      <c r="L170" s="5" t="str">
        <f t="shared" si="16"/>
        <v>00169</v>
      </c>
      <c r="M170" s="47" t="str">
        <f t="shared" si="17"/>
        <v>06 de abril de 2017</v>
      </c>
      <c r="N170" s="323">
        <f t="shared" si="21"/>
        <v>6</v>
      </c>
      <c r="O170" s="25">
        <f t="shared" si="18"/>
        <v>42826</v>
      </c>
      <c r="P170" s="5" t="str">
        <f t="shared" si="19"/>
        <v>0,17</v>
      </c>
      <c r="Q170" s="4" t="e">
        <f t="shared" ca="1" si="20"/>
        <v>#NAME?</v>
      </c>
    </row>
    <row r="171" spans="1:17">
      <c r="A171" s="1">
        <f t="shared" si="22"/>
        <v>170</v>
      </c>
      <c r="C171" s="8" t="s">
        <v>17</v>
      </c>
      <c r="D171" s="2">
        <v>42834</v>
      </c>
      <c r="E171" s="3">
        <f t="shared" si="23"/>
        <v>0.17</v>
      </c>
      <c r="F171" t="s">
        <v>36</v>
      </c>
      <c r="G171" t="s">
        <v>37</v>
      </c>
      <c r="H171" t="s">
        <v>38</v>
      </c>
      <c r="I171" s="6" t="s">
        <v>395</v>
      </c>
      <c r="J171" s="61" t="s">
        <v>22</v>
      </c>
      <c r="L171" s="5" t="str">
        <f t="shared" si="16"/>
        <v>00170</v>
      </c>
      <c r="M171" s="47" t="str">
        <f t="shared" si="17"/>
        <v>09 de abril de 2017</v>
      </c>
      <c r="N171" s="323">
        <f t="shared" si="21"/>
        <v>9</v>
      </c>
      <c r="O171" s="25">
        <f t="shared" si="18"/>
        <v>42826</v>
      </c>
      <c r="P171" s="5" t="str">
        <f t="shared" si="19"/>
        <v>0,17</v>
      </c>
      <c r="Q171" s="4" t="e">
        <f t="shared" ca="1" si="20"/>
        <v>#NAME?</v>
      </c>
    </row>
    <row r="172" spans="1:17">
      <c r="A172" s="1">
        <f t="shared" si="22"/>
        <v>171</v>
      </c>
      <c r="C172" s="8" t="s">
        <v>17</v>
      </c>
      <c r="D172" s="2">
        <v>42807</v>
      </c>
      <c r="E172" s="3">
        <f t="shared" si="23"/>
        <v>0.17</v>
      </c>
      <c r="F172" t="s">
        <v>134</v>
      </c>
      <c r="G172" t="s">
        <v>135</v>
      </c>
      <c r="H172" t="s">
        <v>136</v>
      </c>
      <c r="I172" s="6" t="s">
        <v>306</v>
      </c>
      <c r="J172" s="61" t="s">
        <v>22</v>
      </c>
      <c r="L172" s="5" t="str">
        <f t="shared" si="16"/>
        <v>00171</v>
      </c>
      <c r="M172" s="47" t="str">
        <f t="shared" si="17"/>
        <v>13 de marzo de 2017</v>
      </c>
      <c r="N172" s="323">
        <f t="shared" si="21"/>
        <v>13</v>
      </c>
      <c r="O172" s="25">
        <f t="shared" si="18"/>
        <v>42795</v>
      </c>
      <c r="P172" s="5" t="str">
        <f t="shared" si="19"/>
        <v>0,17</v>
      </c>
      <c r="Q172" s="4" t="e">
        <f t="shared" ca="1" si="20"/>
        <v>#NAME?</v>
      </c>
    </row>
    <row r="173" spans="1:17">
      <c r="A173" s="1">
        <f t="shared" si="22"/>
        <v>172</v>
      </c>
      <c r="C173" s="8" t="s">
        <v>17</v>
      </c>
      <c r="D173" s="2">
        <v>42833</v>
      </c>
      <c r="E173" s="3">
        <f t="shared" si="23"/>
        <v>0.17</v>
      </c>
      <c r="F173" t="s">
        <v>134</v>
      </c>
      <c r="G173" t="s">
        <v>135</v>
      </c>
      <c r="H173" t="s">
        <v>136</v>
      </c>
      <c r="I173" s="6" t="s">
        <v>395</v>
      </c>
      <c r="J173" s="61" t="s">
        <v>22</v>
      </c>
      <c r="L173" s="5" t="str">
        <f t="shared" si="16"/>
        <v>00172</v>
      </c>
      <c r="M173" s="47" t="str">
        <f t="shared" si="17"/>
        <v>08 de abril de 2017</v>
      </c>
      <c r="N173" s="323">
        <f t="shared" si="21"/>
        <v>8</v>
      </c>
      <c r="O173" s="25">
        <f t="shared" si="18"/>
        <v>42826</v>
      </c>
      <c r="P173" s="5" t="str">
        <f t="shared" si="19"/>
        <v>0,17</v>
      </c>
      <c r="Q173" s="4" t="e">
        <f t="shared" ca="1" si="20"/>
        <v>#NAME?</v>
      </c>
    </row>
    <row r="174" spans="1:17" ht="15.75" customHeight="1">
      <c r="A174" s="1">
        <f t="shared" si="22"/>
        <v>173</v>
      </c>
      <c r="C174" s="8" t="s">
        <v>17</v>
      </c>
      <c r="D174" s="2">
        <v>42836</v>
      </c>
      <c r="E174" s="3">
        <f>10000/100000</f>
        <v>0.1</v>
      </c>
      <c r="F174" t="s">
        <v>181</v>
      </c>
      <c r="G174" t="s">
        <v>182</v>
      </c>
      <c r="H174" t="s">
        <v>183</v>
      </c>
      <c r="I174" s="6" t="s">
        <v>404</v>
      </c>
      <c r="J174" s="61" t="s">
        <v>22</v>
      </c>
      <c r="L174" s="5" t="str">
        <f t="shared" si="16"/>
        <v>00173</v>
      </c>
      <c r="M174" s="47" t="str">
        <f t="shared" si="17"/>
        <v>11 de abril de 2017</v>
      </c>
      <c r="N174" s="323">
        <f t="shared" si="21"/>
        <v>11</v>
      </c>
      <c r="O174" s="25">
        <f t="shared" si="18"/>
        <v>42826</v>
      </c>
      <c r="P174" s="5" t="str">
        <f t="shared" si="19"/>
        <v>0,10</v>
      </c>
      <c r="Q174" s="4" t="e">
        <f t="shared" ca="1" si="20"/>
        <v>#NAME?</v>
      </c>
    </row>
    <row r="175" spans="1:17" ht="15.75" thickBot="1">
      <c r="A175" s="1">
        <f t="shared" si="22"/>
        <v>174</v>
      </c>
      <c r="C175" s="8" t="s">
        <v>17</v>
      </c>
      <c r="D175" s="2">
        <v>42837</v>
      </c>
      <c r="E175" s="3">
        <f>34000/100000</f>
        <v>0.34</v>
      </c>
      <c r="F175" t="s">
        <v>197</v>
      </c>
      <c r="G175" t="s">
        <v>198</v>
      </c>
      <c r="H175" t="s">
        <v>199</v>
      </c>
      <c r="I175" s="6" t="s">
        <v>400</v>
      </c>
      <c r="J175" s="61" t="s">
        <v>22</v>
      </c>
      <c r="L175" s="5" t="str">
        <f t="shared" si="16"/>
        <v>00174</v>
      </c>
      <c r="M175" s="47" t="str">
        <f t="shared" si="17"/>
        <v>12 de abril de 2017</v>
      </c>
      <c r="N175" s="323">
        <f t="shared" si="21"/>
        <v>12</v>
      </c>
      <c r="O175" s="25">
        <f t="shared" si="18"/>
        <v>42826</v>
      </c>
      <c r="P175" s="5" t="str">
        <f t="shared" si="19"/>
        <v>0,34</v>
      </c>
      <c r="Q175" s="4" t="e">
        <f t="shared" ca="1" si="20"/>
        <v>#NAME?</v>
      </c>
    </row>
    <row r="176" spans="1:17" ht="15.75" thickBot="1">
      <c r="A176" s="1">
        <f t="shared" si="22"/>
        <v>175</v>
      </c>
      <c r="C176" s="8" t="s">
        <v>17</v>
      </c>
      <c r="D176" s="2">
        <v>42831</v>
      </c>
      <c r="E176" s="3">
        <f>5000/100000</f>
        <v>0.05</v>
      </c>
      <c r="F176" t="s">
        <v>74</v>
      </c>
      <c r="G176" s="18" t="s">
        <v>58</v>
      </c>
      <c r="H176" t="s">
        <v>75</v>
      </c>
      <c r="I176" s="6" t="s">
        <v>404</v>
      </c>
      <c r="J176" s="61" t="s">
        <v>22</v>
      </c>
      <c r="L176" s="5" t="str">
        <f t="shared" si="16"/>
        <v>00175</v>
      </c>
      <c r="M176" s="47" t="str">
        <f t="shared" si="17"/>
        <v>06 de abril de 2017</v>
      </c>
      <c r="N176" s="323">
        <f t="shared" si="21"/>
        <v>6</v>
      </c>
      <c r="O176" s="25">
        <f t="shared" si="18"/>
        <v>42826</v>
      </c>
      <c r="P176" s="5" t="str">
        <f t="shared" si="19"/>
        <v>0,05</v>
      </c>
      <c r="Q176" s="4" t="e">
        <f t="shared" ca="1" si="20"/>
        <v>#NAME?</v>
      </c>
    </row>
    <row r="177" spans="1:17">
      <c r="A177" s="1">
        <f t="shared" si="22"/>
        <v>176</v>
      </c>
      <c r="C177" s="8" t="s">
        <v>17</v>
      </c>
      <c r="D177" s="2">
        <v>42831</v>
      </c>
      <c r="E177" s="3">
        <f>12000/100000</f>
        <v>0.12</v>
      </c>
      <c r="F177" t="s">
        <v>130</v>
      </c>
      <c r="G177" t="s">
        <v>131</v>
      </c>
      <c r="H177" t="s">
        <v>132</v>
      </c>
      <c r="I177" s="6" t="s">
        <v>158</v>
      </c>
      <c r="J177" s="61" t="s">
        <v>22</v>
      </c>
      <c r="L177" s="5" t="str">
        <f t="shared" si="16"/>
        <v>00176</v>
      </c>
      <c r="M177" s="47" t="str">
        <f t="shared" si="17"/>
        <v>06 de abril de 2017</v>
      </c>
      <c r="N177" s="323">
        <f t="shared" si="21"/>
        <v>6</v>
      </c>
      <c r="O177" s="25">
        <f t="shared" si="18"/>
        <v>42826</v>
      </c>
      <c r="P177" s="5" t="str">
        <f t="shared" si="19"/>
        <v>0,12</v>
      </c>
      <c r="Q177" s="4" t="e">
        <f t="shared" ca="1" si="20"/>
        <v>#NAME?</v>
      </c>
    </row>
    <row r="178" spans="1:17">
      <c r="A178" s="1">
        <f t="shared" si="22"/>
        <v>177</v>
      </c>
      <c r="C178" s="8" t="s">
        <v>17</v>
      </c>
      <c r="D178" s="2">
        <v>42841</v>
      </c>
      <c r="E178" s="3">
        <f>17000/100000</f>
        <v>0.17</v>
      </c>
      <c r="F178" t="s">
        <v>70</v>
      </c>
      <c r="G178" t="s">
        <v>71</v>
      </c>
      <c r="H178" t="s">
        <v>72</v>
      </c>
      <c r="I178" s="6" t="s">
        <v>395</v>
      </c>
      <c r="J178" s="61" t="s">
        <v>22</v>
      </c>
      <c r="L178" s="5" t="str">
        <f t="shared" si="16"/>
        <v>00177</v>
      </c>
      <c r="M178" s="47" t="str">
        <f t="shared" si="17"/>
        <v>16 de abril de 2017</v>
      </c>
      <c r="N178" s="323">
        <f t="shared" si="21"/>
        <v>16</v>
      </c>
      <c r="O178" s="25">
        <f t="shared" si="18"/>
        <v>42826</v>
      </c>
      <c r="P178" s="5" t="str">
        <f t="shared" si="19"/>
        <v>0,17</v>
      </c>
      <c r="Q178" s="4" t="e">
        <f t="shared" ca="1" si="20"/>
        <v>#NAME?</v>
      </c>
    </row>
    <row r="179" spans="1:17">
      <c r="A179" s="1">
        <f t="shared" si="22"/>
        <v>178</v>
      </c>
      <c r="C179" s="8" t="s">
        <v>17</v>
      </c>
      <c r="D179" s="2">
        <v>42842</v>
      </c>
      <c r="E179" s="3">
        <f>44000/100000</f>
        <v>0.44</v>
      </c>
      <c r="F179" t="s">
        <v>66</v>
      </c>
      <c r="G179" t="s">
        <v>67</v>
      </c>
      <c r="H179" t="s">
        <v>68</v>
      </c>
      <c r="I179" s="6" t="s">
        <v>406</v>
      </c>
      <c r="J179" s="61" t="s">
        <v>22</v>
      </c>
      <c r="L179" s="5" t="str">
        <f t="shared" si="16"/>
        <v>00178</v>
      </c>
      <c r="M179" s="47" t="str">
        <f t="shared" si="17"/>
        <v>17 de abril de 2017</v>
      </c>
      <c r="N179" s="323">
        <f t="shared" si="21"/>
        <v>17</v>
      </c>
      <c r="O179" s="25">
        <f t="shared" si="18"/>
        <v>42826</v>
      </c>
      <c r="P179" s="5" t="str">
        <f t="shared" si="19"/>
        <v>0,44</v>
      </c>
      <c r="Q179" s="4" t="e">
        <f t="shared" ca="1" si="20"/>
        <v>#NAME?</v>
      </c>
    </row>
    <row r="180" spans="1:17">
      <c r="A180" s="1">
        <f t="shared" si="22"/>
        <v>179</v>
      </c>
      <c r="C180" s="8" t="s">
        <v>17</v>
      </c>
      <c r="D180" s="2">
        <v>42842</v>
      </c>
      <c r="E180" s="3">
        <f>7760/100000+2240/100000</f>
        <v>0.1</v>
      </c>
      <c r="F180" t="s">
        <v>118</v>
      </c>
      <c r="G180" t="s">
        <v>119</v>
      </c>
      <c r="H180" t="s">
        <v>120</v>
      </c>
      <c r="I180" s="6" t="s">
        <v>404</v>
      </c>
      <c r="J180" s="61" t="s">
        <v>22</v>
      </c>
      <c r="L180" s="5" t="str">
        <f t="shared" si="16"/>
        <v>00179</v>
      </c>
      <c r="M180" s="47" t="str">
        <f t="shared" si="17"/>
        <v>17 de abril de 2017</v>
      </c>
      <c r="N180" s="323">
        <f t="shared" si="21"/>
        <v>17</v>
      </c>
      <c r="O180" s="25">
        <f t="shared" si="18"/>
        <v>42826</v>
      </c>
      <c r="P180" s="5" t="str">
        <f t="shared" si="19"/>
        <v>0,10</v>
      </c>
      <c r="Q180" s="4" t="e">
        <f t="shared" ca="1" si="20"/>
        <v>#NAME?</v>
      </c>
    </row>
    <row r="181" spans="1:17">
      <c r="A181" s="1">
        <f t="shared" si="22"/>
        <v>180</v>
      </c>
      <c r="C181" s="8" t="s">
        <v>17</v>
      </c>
      <c r="D181" s="2">
        <v>42842</v>
      </c>
      <c r="E181" s="3">
        <f>17000/100000</f>
        <v>0.17</v>
      </c>
      <c r="F181" t="s">
        <v>148</v>
      </c>
      <c r="G181" t="s">
        <v>149</v>
      </c>
      <c r="H181" t="s">
        <v>150</v>
      </c>
      <c r="I181" s="6" t="s">
        <v>395</v>
      </c>
      <c r="J181" s="61" t="s">
        <v>22</v>
      </c>
      <c r="L181" s="5" t="str">
        <f t="shared" si="16"/>
        <v>00180</v>
      </c>
      <c r="M181" s="47" t="str">
        <f t="shared" si="17"/>
        <v>17 de abril de 2017</v>
      </c>
      <c r="N181" s="323">
        <f t="shared" si="21"/>
        <v>17</v>
      </c>
      <c r="O181" s="25">
        <f t="shared" si="18"/>
        <v>42826</v>
      </c>
      <c r="P181" s="5" t="str">
        <f t="shared" si="19"/>
        <v>0,17</v>
      </c>
      <c r="Q181" s="4" t="e">
        <f t="shared" ca="1" si="20"/>
        <v>#NAME?</v>
      </c>
    </row>
    <row r="182" spans="1:17">
      <c r="A182" s="1">
        <f t="shared" si="22"/>
        <v>181</v>
      </c>
      <c r="C182" s="8" t="s">
        <v>17</v>
      </c>
      <c r="D182" s="2">
        <v>42841</v>
      </c>
      <c r="E182" s="3">
        <f>17000/100000</f>
        <v>0.17</v>
      </c>
      <c r="F182" t="s">
        <v>103</v>
      </c>
      <c r="G182" t="s">
        <v>104</v>
      </c>
      <c r="H182" t="s">
        <v>105</v>
      </c>
      <c r="I182" s="6" t="s">
        <v>395</v>
      </c>
      <c r="J182" s="61" t="s">
        <v>22</v>
      </c>
      <c r="L182" s="5" t="str">
        <f t="shared" si="16"/>
        <v>00181</v>
      </c>
      <c r="M182" s="47" t="str">
        <f t="shared" si="17"/>
        <v>16 de abril de 2017</v>
      </c>
      <c r="N182" s="323">
        <f t="shared" si="21"/>
        <v>16</v>
      </c>
      <c r="O182" s="25">
        <f t="shared" si="18"/>
        <v>42826</v>
      </c>
      <c r="P182" s="5" t="str">
        <f t="shared" si="19"/>
        <v>0,17</v>
      </c>
      <c r="Q182" s="4" t="e">
        <f t="shared" ca="1" si="20"/>
        <v>#NAME?</v>
      </c>
    </row>
    <row r="183" spans="1:17">
      <c r="A183" s="1">
        <f t="shared" si="22"/>
        <v>182</v>
      </c>
      <c r="C183" s="8" t="s">
        <v>17</v>
      </c>
      <c r="D183" s="2">
        <v>42842</v>
      </c>
      <c r="E183" s="3">
        <f>32000/100000</f>
        <v>0.32</v>
      </c>
      <c r="F183" t="s">
        <v>259</v>
      </c>
      <c r="G183" t="s">
        <v>260</v>
      </c>
      <c r="H183" t="s">
        <v>261</v>
      </c>
      <c r="I183" s="6" t="s">
        <v>396</v>
      </c>
      <c r="J183" s="61" t="s">
        <v>22</v>
      </c>
      <c r="L183" s="5" t="str">
        <f t="shared" si="16"/>
        <v>00182</v>
      </c>
      <c r="M183" s="47" t="str">
        <f t="shared" si="17"/>
        <v>17 de abril de 2017</v>
      </c>
      <c r="N183" s="323">
        <f t="shared" si="21"/>
        <v>17</v>
      </c>
      <c r="O183" s="25">
        <f t="shared" si="18"/>
        <v>42826</v>
      </c>
      <c r="P183" s="5" t="str">
        <f t="shared" si="19"/>
        <v>0,32</v>
      </c>
      <c r="Q183" s="4" t="e">
        <f t="shared" ca="1" si="20"/>
        <v>#NAME?</v>
      </c>
    </row>
    <row r="184" spans="1:17">
      <c r="A184" s="1">
        <f t="shared" si="22"/>
        <v>183</v>
      </c>
      <c r="C184" s="8" t="s">
        <v>17</v>
      </c>
      <c r="D184" s="2">
        <v>42843</v>
      </c>
      <c r="E184" s="3">
        <f>17000/100000</f>
        <v>0.17</v>
      </c>
      <c r="F184" t="s">
        <v>167</v>
      </c>
      <c r="G184" t="s">
        <v>168</v>
      </c>
      <c r="H184" t="s">
        <v>169</v>
      </c>
      <c r="I184" s="6" t="s">
        <v>395</v>
      </c>
      <c r="J184" s="61" t="s">
        <v>22</v>
      </c>
      <c r="L184" s="5" t="str">
        <f t="shared" si="16"/>
        <v>00183</v>
      </c>
      <c r="M184" s="47" t="str">
        <f t="shared" si="17"/>
        <v>18 de abril de 2017</v>
      </c>
      <c r="N184" s="323">
        <f t="shared" si="21"/>
        <v>18</v>
      </c>
      <c r="O184" s="25">
        <f t="shared" si="18"/>
        <v>42826</v>
      </c>
      <c r="P184" s="5" t="str">
        <f t="shared" si="19"/>
        <v>0,17</v>
      </c>
      <c r="Q184" s="4" t="e">
        <f t="shared" ca="1" si="20"/>
        <v>#NAME?</v>
      </c>
    </row>
    <row r="185" spans="1:17">
      <c r="A185" s="1">
        <f t="shared" si="22"/>
        <v>184</v>
      </c>
      <c r="C185" s="8" t="s">
        <v>17</v>
      </c>
      <c r="D185" s="2">
        <v>42842</v>
      </c>
      <c r="E185" s="3">
        <f>17000*2/100000</f>
        <v>0.34</v>
      </c>
      <c r="F185" t="s">
        <v>287</v>
      </c>
      <c r="G185" t="s">
        <v>288</v>
      </c>
      <c r="H185" t="s">
        <v>289</v>
      </c>
      <c r="I185" s="6" t="s">
        <v>400</v>
      </c>
      <c r="J185" s="61" t="s">
        <v>22</v>
      </c>
      <c r="L185" s="5" t="str">
        <f t="shared" si="16"/>
        <v>00184</v>
      </c>
      <c r="M185" s="47" t="str">
        <f t="shared" si="17"/>
        <v>17 de abril de 2017</v>
      </c>
      <c r="N185" s="323">
        <f t="shared" si="21"/>
        <v>17</v>
      </c>
      <c r="O185" s="25">
        <f t="shared" si="18"/>
        <v>42826</v>
      </c>
      <c r="P185" s="5" t="str">
        <f t="shared" si="19"/>
        <v>0,34</v>
      </c>
      <c r="Q185" s="4" t="e">
        <f t="shared" ca="1" si="20"/>
        <v>#NAME?</v>
      </c>
    </row>
    <row r="186" spans="1:17">
      <c r="A186" s="1">
        <f t="shared" si="22"/>
        <v>185</v>
      </c>
      <c r="C186" s="8" t="s">
        <v>17</v>
      </c>
      <c r="D186" s="2">
        <v>42842</v>
      </c>
      <c r="E186" s="3">
        <f>17000/100000</f>
        <v>0.17</v>
      </c>
      <c r="F186" t="s">
        <v>334</v>
      </c>
      <c r="G186" t="s">
        <v>85</v>
      </c>
      <c r="H186" t="s">
        <v>335</v>
      </c>
      <c r="I186" s="6" t="s">
        <v>395</v>
      </c>
      <c r="J186" s="61" t="s">
        <v>22</v>
      </c>
      <c r="L186" s="5" t="str">
        <f t="shared" si="16"/>
        <v>00185</v>
      </c>
      <c r="M186" s="47" t="str">
        <f t="shared" si="17"/>
        <v>17 de abril de 2017</v>
      </c>
      <c r="N186" s="323">
        <f t="shared" si="21"/>
        <v>17</v>
      </c>
      <c r="O186" s="25">
        <f t="shared" si="18"/>
        <v>42826</v>
      </c>
      <c r="P186" s="5" t="str">
        <f t="shared" si="19"/>
        <v>0,17</v>
      </c>
      <c r="Q186" s="4" t="e">
        <f t="shared" ca="1" si="20"/>
        <v>#NAME?</v>
      </c>
    </row>
    <row r="187" spans="1:17">
      <c r="A187" s="1">
        <f t="shared" si="22"/>
        <v>186</v>
      </c>
      <c r="C187" s="8" t="s">
        <v>17</v>
      </c>
      <c r="D187" s="2">
        <v>42845</v>
      </c>
      <c r="E187" s="3">
        <f>10000/100000</f>
        <v>0.1</v>
      </c>
      <c r="F187" t="s">
        <v>84</v>
      </c>
      <c r="G187" t="s">
        <v>85</v>
      </c>
      <c r="H187" t="s">
        <v>86</v>
      </c>
      <c r="I187" s="6" t="s">
        <v>404</v>
      </c>
      <c r="J187" s="61" t="s">
        <v>22</v>
      </c>
      <c r="L187" s="5" t="str">
        <f t="shared" si="16"/>
        <v>00186</v>
      </c>
      <c r="M187" s="47" t="str">
        <f t="shared" si="17"/>
        <v>20 de abril de 2017</v>
      </c>
      <c r="N187" s="323">
        <f t="shared" si="21"/>
        <v>20</v>
      </c>
      <c r="O187" s="25">
        <f t="shared" si="18"/>
        <v>42826</v>
      </c>
      <c r="P187" s="5" t="str">
        <f t="shared" si="19"/>
        <v>0,10</v>
      </c>
      <c r="Q187" s="4" t="e">
        <f t="shared" ca="1" si="20"/>
        <v>#NAME?</v>
      </c>
    </row>
    <row r="188" spans="1:17" ht="15.75" thickBot="1">
      <c r="A188" s="1">
        <f t="shared" si="22"/>
        <v>187</v>
      </c>
      <c r="C188" s="8" t="s">
        <v>17</v>
      </c>
      <c r="D188" s="2">
        <v>42831</v>
      </c>
      <c r="E188" s="3">
        <f>7000/100000</f>
        <v>7.0000000000000007E-2</v>
      </c>
      <c r="F188" t="s">
        <v>48</v>
      </c>
      <c r="G188" t="s">
        <v>49</v>
      </c>
      <c r="H188" t="s">
        <v>50</v>
      </c>
      <c r="I188" s="6" t="s">
        <v>404</v>
      </c>
      <c r="J188" s="61" t="s">
        <v>22</v>
      </c>
      <c r="L188" s="5" t="str">
        <f t="shared" si="16"/>
        <v>00187</v>
      </c>
      <c r="M188" s="47" t="str">
        <f t="shared" si="17"/>
        <v>06 de abril de 2017</v>
      </c>
      <c r="N188" s="323">
        <f t="shared" si="21"/>
        <v>6</v>
      </c>
      <c r="O188" s="25">
        <f t="shared" si="18"/>
        <v>42826</v>
      </c>
      <c r="P188" s="5" t="str">
        <f t="shared" si="19"/>
        <v>0,07</v>
      </c>
      <c r="Q188" s="4" t="e">
        <f t="shared" ca="1" si="20"/>
        <v>#NAME?</v>
      </c>
    </row>
    <row r="189" spans="1:17" ht="15.75" thickBot="1">
      <c r="A189" s="1">
        <f t="shared" si="22"/>
        <v>188</v>
      </c>
      <c r="C189" s="8" t="s">
        <v>17</v>
      </c>
      <c r="D189" s="2">
        <v>42845</v>
      </c>
      <c r="E189" s="3">
        <f>3000/100000</f>
        <v>0.03</v>
      </c>
      <c r="F189" t="s">
        <v>303</v>
      </c>
      <c r="G189" s="18" t="s">
        <v>58</v>
      </c>
      <c r="H189" t="s">
        <v>304</v>
      </c>
      <c r="I189" s="6" t="s">
        <v>404</v>
      </c>
      <c r="J189" s="61" t="s">
        <v>22</v>
      </c>
      <c r="L189" s="5" t="str">
        <f t="shared" si="16"/>
        <v>00188</v>
      </c>
      <c r="M189" s="47" t="str">
        <f t="shared" si="17"/>
        <v>20 de abril de 2017</v>
      </c>
      <c r="N189" s="323">
        <f t="shared" si="21"/>
        <v>20</v>
      </c>
      <c r="O189" s="25">
        <f t="shared" si="18"/>
        <v>42826</v>
      </c>
      <c r="P189" s="5" t="str">
        <f t="shared" si="19"/>
        <v>0,03</v>
      </c>
      <c r="Q189" s="4" t="e">
        <f t="shared" ca="1" si="20"/>
        <v>#NAME?</v>
      </c>
    </row>
    <row r="190" spans="1:17">
      <c r="A190" s="1">
        <f t="shared" si="22"/>
        <v>189</v>
      </c>
      <c r="C190" s="8" t="s">
        <v>17</v>
      </c>
      <c r="D190" s="2">
        <v>42750</v>
      </c>
      <c r="E190" s="3">
        <f>12000/100000</f>
        <v>0.12</v>
      </c>
      <c r="F190" t="s">
        <v>407</v>
      </c>
      <c r="G190" t="s">
        <v>408</v>
      </c>
      <c r="H190" t="s">
        <v>409</v>
      </c>
      <c r="I190" s="6" t="s">
        <v>51</v>
      </c>
      <c r="J190" s="61" t="s">
        <v>22</v>
      </c>
      <c r="L190" s="5" t="str">
        <f t="shared" si="16"/>
        <v>00189</v>
      </c>
      <c r="M190" s="47" t="str">
        <f t="shared" si="17"/>
        <v>15 de enero de 2017</v>
      </c>
      <c r="N190" s="323">
        <f t="shared" si="21"/>
        <v>15</v>
      </c>
      <c r="O190" s="25">
        <f t="shared" si="18"/>
        <v>42736</v>
      </c>
      <c r="P190" s="5" t="str">
        <f t="shared" si="19"/>
        <v>0,12</v>
      </c>
      <c r="Q190" s="4" t="e">
        <f t="shared" ca="1" si="20"/>
        <v>#NAME?</v>
      </c>
    </row>
    <row r="191" spans="1:17">
      <c r="A191" s="1">
        <f t="shared" si="22"/>
        <v>190</v>
      </c>
      <c r="C191" s="8" t="s">
        <v>17</v>
      </c>
      <c r="D191" s="2">
        <v>42782</v>
      </c>
      <c r="E191" s="3">
        <f>12000/100000</f>
        <v>0.12</v>
      </c>
      <c r="F191" t="s">
        <v>407</v>
      </c>
      <c r="G191" t="s">
        <v>408</v>
      </c>
      <c r="H191" t="s">
        <v>409</v>
      </c>
      <c r="I191" s="6" t="s">
        <v>158</v>
      </c>
      <c r="J191" s="61" t="s">
        <v>22</v>
      </c>
      <c r="L191" s="5" t="str">
        <f t="shared" si="16"/>
        <v>00190</v>
      </c>
      <c r="M191" s="47" t="str">
        <f t="shared" si="17"/>
        <v>16 de febrero de 2017</v>
      </c>
      <c r="N191" s="323">
        <f t="shared" si="21"/>
        <v>16</v>
      </c>
      <c r="O191" s="25">
        <f t="shared" si="18"/>
        <v>42767</v>
      </c>
      <c r="P191" s="5" t="str">
        <f t="shared" si="19"/>
        <v>0,12</v>
      </c>
      <c r="Q191" s="4" t="e">
        <f t="shared" ca="1" si="20"/>
        <v>#NAME?</v>
      </c>
    </row>
    <row r="192" spans="1:17">
      <c r="A192" s="1">
        <f t="shared" si="22"/>
        <v>191</v>
      </c>
      <c r="C192" s="8" t="s">
        <v>17</v>
      </c>
      <c r="D192" s="2">
        <v>42809</v>
      </c>
      <c r="E192" s="3">
        <f>12000/100000</f>
        <v>0.12</v>
      </c>
      <c r="F192" t="s">
        <v>407</v>
      </c>
      <c r="G192" t="s">
        <v>408</v>
      </c>
      <c r="H192" t="s">
        <v>409</v>
      </c>
      <c r="I192" s="6" t="s">
        <v>317</v>
      </c>
      <c r="J192" s="61" t="s">
        <v>22</v>
      </c>
      <c r="L192" s="5" t="str">
        <f t="shared" si="16"/>
        <v>00191</v>
      </c>
      <c r="M192" s="47" t="str">
        <f t="shared" si="17"/>
        <v>15 de marzo de 2017</v>
      </c>
      <c r="N192" s="323">
        <f t="shared" si="21"/>
        <v>15</v>
      </c>
      <c r="O192" s="25">
        <f t="shared" si="18"/>
        <v>42795</v>
      </c>
      <c r="P192" s="5" t="str">
        <f t="shared" si="19"/>
        <v>0,12</v>
      </c>
      <c r="Q192" s="4" t="e">
        <f t="shared" ca="1" si="20"/>
        <v>#NAME?</v>
      </c>
    </row>
    <row r="193" spans="1:17">
      <c r="A193" s="1">
        <f t="shared" si="22"/>
        <v>192</v>
      </c>
      <c r="C193" s="8" t="s">
        <v>17</v>
      </c>
      <c r="D193" s="2">
        <v>42846</v>
      </c>
      <c r="E193" s="3">
        <f>17000*2/100000</f>
        <v>0.34</v>
      </c>
      <c r="F193" t="s">
        <v>337</v>
      </c>
      <c r="G193" t="s">
        <v>338</v>
      </c>
      <c r="H193" t="s">
        <v>339</v>
      </c>
      <c r="I193" s="6" t="s">
        <v>400</v>
      </c>
      <c r="J193" s="61" t="s">
        <v>22</v>
      </c>
      <c r="L193" s="5" t="str">
        <f t="shared" si="16"/>
        <v>00192</v>
      </c>
      <c r="M193" s="47" t="str">
        <f t="shared" si="17"/>
        <v>21 de abril de 2017</v>
      </c>
      <c r="N193" s="323">
        <f t="shared" si="21"/>
        <v>21</v>
      </c>
      <c r="O193" s="25">
        <f t="shared" si="18"/>
        <v>42826</v>
      </c>
      <c r="P193" s="5" t="str">
        <f t="shared" si="19"/>
        <v>0,34</v>
      </c>
      <c r="Q193" s="4" t="e">
        <f t="shared" ca="1" si="20"/>
        <v>#NAME?</v>
      </c>
    </row>
    <row r="194" spans="1:17">
      <c r="A194" s="1">
        <f t="shared" si="22"/>
        <v>193</v>
      </c>
      <c r="C194" s="8" t="s">
        <v>17</v>
      </c>
      <c r="D194" s="2">
        <v>42846</v>
      </c>
      <c r="E194" s="3">
        <f>17000/100000</f>
        <v>0.17</v>
      </c>
      <c r="F194" t="s">
        <v>122</v>
      </c>
      <c r="G194" t="s">
        <v>123</v>
      </c>
      <c r="H194" t="s">
        <v>124</v>
      </c>
      <c r="I194" s="6" t="s">
        <v>395</v>
      </c>
      <c r="J194" s="61" t="s">
        <v>22</v>
      </c>
      <c r="L194" s="5" t="str">
        <f t="shared" ref="L194:L257" si="24">IF(ISBLANK(A194),"",TEXT(A194,"00000"))</f>
        <v>00193</v>
      </c>
      <c r="M194" s="47" t="str">
        <f t="shared" ref="M194:M257" si="25">IF(ISBLANK(D194),"",TEXT(D194,"dd")&amp;" de "&amp;TEXT(D194,"mmmm")&amp;" de "&amp;TEXT(YEAR(D194),"0"))</f>
        <v>21 de abril de 2017</v>
      </c>
      <c r="N194" s="323">
        <f t="shared" si="21"/>
        <v>21</v>
      </c>
      <c r="O194" s="25">
        <f t="shared" ref="O194:O257" si="26">DATE(YEAR(D194),MONTH(D194),1)</f>
        <v>42826</v>
      </c>
      <c r="P194" s="5" t="str">
        <f t="shared" ref="P194:P257" si="27">TEXT(E194,"#.##0,00")</f>
        <v>0,17</v>
      </c>
      <c r="Q194" s="4" t="e">
        <f t="shared" ref="Q194:Q257" ca="1" si="28">CONVERTIRNUM(E194)</f>
        <v>#NAME?</v>
      </c>
    </row>
    <row r="195" spans="1:17">
      <c r="A195" s="1">
        <f t="shared" si="22"/>
        <v>194</v>
      </c>
      <c r="C195" s="8" t="s">
        <v>17</v>
      </c>
      <c r="D195" s="2">
        <v>42845</v>
      </c>
      <c r="E195" s="3">
        <f>17000/100000</f>
        <v>0.17</v>
      </c>
      <c r="F195" t="s">
        <v>185</v>
      </c>
      <c r="G195" t="s">
        <v>186</v>
      </c>
      <c r="H195" t="s">
        <v>187</v>
      </c>
      <c r="I195" s="6" t="s">
        <v>306</v>
      </c>
      <c r="J195" s="61" t="s">
        <v>22</v>
      </c>
      <c r="L195" s="5" t="str">
        <f t="shared" si="24"/>
        <v>00194</v>
      </c>
      <c r="M195" s="47" t="str">
        <f t="shared" si="25"/>
        <v>20 de abril de 2017</v>
      </c>
      <c r="N195" s="323">
        <f t="shared" ref="N195:N258" si="29">DAY(D195)</f>
        <v>20</v>
      </c>
      <c r="O195" s="25">
        <f t="shared" si="26"/>
        <v>42826</v>
      </c>
      <c r="P195" s="5" t="str">
        <f t="shared" si="27"/>
        <v>0,17</v>
      </c>
      <c r="Q195" s="4" t="e">
        <f t="shared" ca="1" si="28"/>
        <v>#NAME?</v>
      </c>
    </row>
    <row r="196" spans="1:17" ht="15.75" thickBot="1">
      <c r="A196" s="1">
        <f t="shared" ref="A196:A259" si="30">A195+1</f>
        <v>195</v>
      </c>
      <c r="C196" s="8" t="s">
        <v>17</v>
      </c>
      <c r="D196" s="2">
        <v>42847</v>
      </c>
      <c r="E196" s="3">
        <f>17000/100000</f>
        <v>0.17</v>
      </c>
      <c r="F196" t="s">
        <v>40</v>
      </c>
      <c r="G196" t="s">
        <v>41</v>
      </c>
      <c r="H196" t="s">
        <v>42</v>
      </c>
      <c r="I196" s="6" t="s">
        <v>395</v>
      </c>
      <c r="J196" s="61" t="s">
        <v>22</v>
      </c>
      <c r="L196" s="5" t="str">
        <f t="shared" si="24"/>
        <v>00195</v>
      </c>
      <c r="M196" s="47" t="str">
        <f t="shared" si="25"/>
        <v>22 de abril de 2017</v>
      </c>
      <c r="N196" s="323">
        <f t="shared" si="29"/>
        <v>22</v>
      </c>
      <c r="O196" s="25">
        <f t="shared" si="26"/>
        <v>42826</v>
      </c>
      <c r="P196" s="5" t="str">
        <f t="shared" si="27"/>
        <v>0,17</v>
      </c>
      <c r="Q196" s="4" t="e">
        <f t="shared" ca="1" si="28"/>
        <v>#NAME?</v>
      </c>
    </row>
    <row r="197" spans="1:17" ht="15.75" thickBot="1">
      <c r="A197" s="1">
        <f t="shared" si="30"/>
        <v>196</v>
      </c>
      <c r="C197" s="8" t="s">
        <v>17</v>
      </c>
      <c r="D197" s="2">
        <v>42847</v>
      </c>
      <c r="E197" s="3">
        <f>17000*2/100000</f>
        <v>0.34</v>
      </c>
      <c r="F197" t="s">
        <v>410</v>
      </c>
      <c r="G197" s="18" t="s">
        <v>58</v>
      </c>
      <c r="H197" t="s">
        <v>411</v>
      </c>
      <c r="I197" s="6" t="s">
        <v>222</v>
      </c>
      <c r="J197" s="61" t="s">
        <v>22</v>
      </c>
      <c r="L197" s="5" t="str">
        <f t="shared" si="24"/>
        <v>00196</v>
      </c>
      <c r="M197" s="47" t="str">
        <f t="shared" si="25"/>
        <v>22 de abril de 2017</v>
      </c>
      <c r="N197" s="323">
        <f t="shared" si="29"/>
        <v>22</v>
      </c>
      <c r="O197" s="25">
        <f t="shared" si="26"/>
        <v>42826</v>
      </c>
      <c r="P197" s="5" t="str">
        <f t="shared" si="27"/>
        <v>0,34</v>
      </c>
      <c r="Q197" s="4" t="e">
        <f t="shared" ca="1" si="28"/>
        <v>#NAME?</v>
      </c>
    </row>
    <row r="198" spans="1:17">
      <c r="A198" s="1">
        <f t="shared" si="30"/>
        <v>197</v>
      </c>
      <c r="C198" s="8" t="s">
        <v>17</v>
      </c>
      <c r="D198" s="2">
        <v>42848</v>
      </c>
      <c r="E198" s="3">
        <f>17000*2/100000</f>
        <v>0.34</v>
      </c>
      <c r="F198" t="s">
        <v>206</v>
      </c>
      <c r="G198" t="s">
        <v>207</v>
      </c>
      <c r="H198" t="s">
        <v>208</v>
      </c>
      <c r="I198" s="6" t="s">
        <v>195</v>
      </c>
      <c r="J198" s="61" t="s">
        <v>22</v>
      </c>
      <c r="L198" s="5" t="str">
        <f t="shared" si="24"/>
        <v>00197</v>
      </c>
      <c r="M198" s="47" t="str">
        <f t="shared" si="25"/>
        <v>23 de abril de 2017</v>
      </c>
      <c r="N198" s="323">
        <f t="shared" si="29"/>
        <v>23</v>
      </c>
      <c r="O198" s="25">
        <f t="shared" si="26"/>
        <v>42826</v>
      </c>
      <c r="P198" s="5" t="str">
        <f t="shared" si="27"/>
        <v>0,34</v>
      </c>
      <c r="Q198" s="4" t="e">
        <f t="shared" ca="1" si="28"/>
        <v>#NAME?</v>
      </c>
    </row>
    <row r="199" spans="1:17">
      <c r="A199" s="1">
        <f t="shared" si="30"/>
        <v>198</v>
      </c>
      <c r="C199" s="8" t="s">
        <v>17</v>
      </c>
      <c r="D199" s="2">
        <v>42848</v>
      </c>
      <c r="E199" s="3">
        <f>30000/100000</f>
        <v>0.3</v>
      </c>
      <c r="F199" t="s">
        <v>412</v>
      </c>
      <c r="G199" t="s">
        <v>413</v>
      </c>
      <c r="H199" t="s">
        <v>414</v>
      </c>
      <c r="I199" s="6" t="s">
        <v>315</v>
      </c>
      <c r="J199" s="61" t="s">
        <v>22</v>
      </c>
      <c r="L199" s="5" t="str">
        <f t="shared" si="24"/>
        <v>00198</v>
      </c>
      <c r="M199" s="47" t="str">
        <f t="shared" si="25"/>
        <v>23 de abril de 2017</v>
      </c>
      <c r="N199" s="323">
        <f t="shared" si="29"/>
        <v>23</v>
      </c>
      <c r="O199" s="25">
        <f t="shared" si="26"/>
        <v>42826</v>
      </c>
      <c r="P199" s="5" t="str">
        <f t="shared" si="27"/>
        <v>0,30</v>
      </c>
      <c r="Q199" s="4" t="e">
        <f t="shared" ca="1" si="28"/>
        <v>#NAME?</v>
      </c>
    </row>
    <row r="200" spans="1:17">
      <c r="A200" s="1">
        <f t="shared" si="30"/>
        <v>199</v>
      </c>
      <c r="C200" s="8" t="s">
        <v>17</v>
      </c>
      <c r="D200" s="2">
        <v>42849</v>
      </c>
      <c r="E200" s="3">
        <f>17000/100000</f>
        <v>0.17</v>
      </c>
      <c r="F200" t="s">
        <v>211</v>
      </c>
      <c r="G200" t="s">
        <v>212</v>
      </c>
      <c r="H200" t="s">
        <v>213</v>
      </c>
      <c r="I200" s="6" t="s">
        <v>395</v>
      </c>
      <c r="J200" s="61" t="s">
        <v>22</v>
      </c>
      <c r="L200" s="5" t="str">
        <f t="shared" si="24"/>
        <v>00199</v>
      </c>
      <c r="M200" s="47" t="str">
        <f t="shared" si="25"/>
        <v>24 de abril de 2017</v>
      </c>
      <c r="N200" s="323">
        <f t="shared" si="29"/>
        <v>24</v>
      </c>
      <c r="O200" s="25">
        <f t="shared" si="26"/>
        <v>42826</v>
      </c>
      <c r="P200" s="5" t="str">
        <f t="shared" si="27"/>
        <v>0,17</v>
      </c>
      <c r="Q200" s="4" t="e">
        <f t="shared" ca="1" si="28"/>
        <v>#NAME?</v>
      </c>
    </row>
    <row r="201" spans="1:17">
      <c r="A201" s="1">
        <f t="shared" si="30"/>
        <v>200</v>
      </c>
      <c r="C201" s="8" t="s">
        <v>17</v>
      </c>
      <c r="D201" s="2">
        <v>42849</v>
      </c>
      <c r="E201" s="3">
        <f>3000/100000+17000*3/100000</f>
        <v>0.54</v>
      </c>
      <c r="F201" t="s">
        <v>239</v>
      </c>
      <c r="G201" t="s">
        <v>240</v>
      </c>
      <c r="H201" t="s">
        <v>241</v>
      </c>
      <c r="I201" s="6" t="s">
        <v>415</v>
      </c>
      <c r="J201" s="61" t="s">
        <v>22</v>
      </c>
      <c r="L201" s="5" t="str">
        <f t="shared" si="24"/>
        <v>00200</v>
      </c>
      <c r="M201" s="47" t="str">
        <f t="shared" si="25"/>
        <v>24 de abril de 2017</v>
      </c>
      <c r="N201" s="323">
        <f t="shared" si="29"/>
        <v>24</v>
      </c>
      <c r="O201" s="25">
        <f t="shared" si="26"/>
        <v>42826</v>
      </c>
      <c r="P201" s="5" t="str">
        <f t="shared" si="27"/>
        <v>0,54</v>
      </c>
      <c r="Q201" s="4" t="e">
        <f t="shared" ca="1" si="28"/>
        <v>#NAME?</v>
      </c>
    </row>
    <row r="202" spans="1:17">
      <c r="A202" s="1">
        <f t="shared" si="30"/>
        <v>201</v>
      </c>
      <c r="C202" s="8" t="s">
        <v>17</v>
      </c>
      <c r="D202" s="2">
        <v>42804</v>
      </c>
      <c r="E202" s="3">
        <f>17000/100000</f>
        <v>0.17</v>
      </c>
      <c r="F202" t="s">
        <v>152</v>
      </c>
      <c r="G202" t="s">
        <v>153</v>
      </c>
      <c r="H202" t="s">
        <v>154</v>
      </c>
      <c r="I202" s="6" t="s">
        <v>306</v>
      </c>
      <c r="J202" s="61" t="s">
        <v>22</v>
      </c>
      <c r="L202" s="5" t="str">
        <f t="shared" si="24"/>
        <v>00201</v>
      </c>
      <c r="M202" s="47" t="str">
        <f t="shared" si="25"/>
        <v>10 de marzo de 2017</v>
      </c>
      <c r="N202" s="323">
        <f t="shared" si="29"/>
        <v>10</v>
      </c>
      <c r="O202" s="25">
        <f t="shared" si="26"/>
        <v>42795</v>
      </c>
      <c r="P202" s="5" t="str">
        <f t="shared" si="27"/>
        <v>0,17</v>
      </c>
      <c r="Q202" s="4" t="e">
        <f t="shared" ca="1" si="28"/>
        <v>#NAME?</v>
      </c>
    </row>
    <row r="203" spans="1:17">
      <c r="A203" s="1">
        <f t="shared" si="30"/>
        <v>202</v>
      </c>
      <c r="C203" s="8" t="s">
        <v>17</v>
      </c>
      <c r="D203" s="2">
        <v>42846</v>
      </c>
      <c r="E203" s="3">
        <f>17000/100000</f>
        <v>0.17</v>
      </c>
      <c r="F203" t="s">
        <v>152</v>
      </c>
      <c r="G203" t="s">
        <v>153</v>
      </c>
      <c r="H203" t="s">
        <v>154</v>
      </c>
      <c r="I203" s="6" t="s">
        <v>395</v>
      </c>
      <c r="J203" s="61" t="s">
        <v>22</v>
      </c>
      <c r="L203" s="5" t="str">
        <f t="shared" si="24"/>
        <v>00202</v>
      </c>
      <c r="M203" s="47" t="str">
        <f t="shared" si="25"/>
        <v>21 de abril de 2017</v>
      </c>
      <c r="N203" s="323">
        <f t="shared" si="29"/>
        <v>21</v>
      </c>
      <c r="O203" s="25">
        <f t="shared" si="26"/>
        <v>42826</v>
      </c>
      <c r="P203" s="5" t="str">
        <f t="shared" si="27"/>
        <v>0,17</v>
      </c>
      <c r="Q203" s="4" t="e">
        <f t="shared" ca="1" si="28"/>
        <v>#NAME?</v>
      </c>
    </row>
    <row r="204" spans="1:17">
      <c r="A204" s="1">
        <f t="shared" si="30"/>
        <v>203</v>
      </c>
      <c r="C204" s="8" t="s">
        <v>17</v>
      </c>
      <c r="D204" s="2">
        <v>42851</v>
      </c>
      <c r="E204" s="3">
        <f>17000*2/100000</f>
        <v>0.34</v>
      </c>
      <c r="F204" t="s">
        <v>264</v>
      </c>
      <c r="G204" t="s">
        <v>265</v>
      </c>
      <c r="H204" t="s">
        <v>266</v>
      </c>
      <c r="I204" s="6" t="s">
        <v>400</v>
      </c>
      <c r="J204" s="61" t="s">
        <v>22</v>
      </c>
      <c r="L204" s="5" t="str">
        <f t="shared" si="24"/>
        <v>00203</v>
      </c>
      <c r="M204" s="47" t="str">
        <f t="shared" si="25"/>
        <v>26 de abril de 2017</v>
      </c>
      <c r="N204" s="323">
        <f t="shared" si="29"/>
        <v>26</v>
      </c>
      <c r="O204" s="25">
        <f t="shared" si="26"/>
        <v>42826</v>
      </c>
      <c r="P204" s="5" t="str">
        <f t="shared" si="27"/>
        <v>0,34</v>
      </c>
      <c r="Q204" s="4" t="e">
        <f t="shared" ca="1" si="28"/>
        <v>#NAME?</v>
      </c>
    </row>
    <row r="205" spans="1:17">
      <c r="A205" s="1">
        <f t="shared" si="30"/>
        <v>204</v>
      </c>
      <c r="C205" s="8" t="s">
        <v>17</v>
      </c>
      <c r="D205" s="2">
        <v>42852</v>
      </c>
      <c r="E205" s="3">
        <f>17000/100000</f>
        <v>0.17</v>
      </c>
      <c r="F205" t="s">
        <v>100</v>
      </c>
      <c r="G205" t="s">
        <v>95</v>
      </c>
      <c r="H205" t="s">
        <v>101</v>
      </c>
      <c r="I205" s="6" t="s">
        <v>395</v>
      </c>
      <c r="J205" s="61" t="s">
        <v>22</v>
      </c>
      <c r="L205" s="5" t="str">
        <f t="shared" si="24"/>
        <v>00204</v>
      </c>
      <c r="M205" s="47" t="str">
        <f t="shared" si="25"/>
        <v>27 de abril de 2017</v>
      </c>
      <c r="N205" s="323">
        <f t="shared" si="29"/>
        <v>27</v>
      </c>
      <c r="O205" s="25">
        <f t="shared" si="26"/>
        <v>42826</v>
      </c>
      <c r="P205" s="5" t="str">
        <f t="shared" si="27"/>
        <v>0,17</v>
      </c>
      <c r="Q205" s="4" t="e">
        <f t="shared" ca="1" si="28"/>
        <v>#NAME?</v>
      </c>
    </row>
    <row r="206" spans="1:17">
      <c r="A206" s="1">
        <f t="shared" si="30"/>
        <v>205</v>
      </c>
      <c r="C206" s="8" t="s">
        <v>17</v>
      </c>
      <c r="D206" s="2">
        <v>42852</v>
      </c>
      <c r="E206" s="3">
        <f>3000/100000</f>
        <v>0.03</v>
      </c>
      <c r="F206" t="s">
        <v>94</v>
      </c>
      <c r="G206" t="s">
        <v>95</v>
      </c>
      <c r="H206" t="s">
        <v>96</v>
      </c>
      <c r="I206" s="6" t="s">
        <v>404</v>
      </c>
      <c r="J206" s="61" t="s">
        <v>22</v>
      </c>
      <c r="L206" s="5" t="str">
        <f t="shared" si="24"/>
        <v>00205</v>
      </c>
      <c r="M206" s="47" t="str">
        <f t="shared" si="25"/>
        <v>27 de abril de 2017</v>
      </c>
      <c r="N206" s="323">
        <f t="shared" si="29"/>
        <v>27</v>
      </c>
      <c r="O206" s="25">
        <f t="shared" si="26"/>
        <v>42826</v>
      </c>
      <c r="P206" s="5" t="str">
        <f t="shared" si="27"/>
        <v>0,03</v>
      </c>
      <c r="Q206" s="4" t="e">
        <f t="shared" ca="1" si="28"/>
        <v>#NAME?</v>
      </c>
    </row>
    <row r="207" spans="1:17">
      <c r="A207" s="1">
        <f t="shared" si="30"/>
        <v>206</v>
      </c>
      <c r="C207" s="8" t="s">
        <v>17</v>
      </c>
      <c r="D207" s="2">
        <v>42852</v>
      </c>
      <c r="E207" s="3">
        <f>17000/100000</f>
        <v>0.17</v>
      </c>
      <c r="F207" t="s">
        <v>407</v>
      </c>
      <c r="G207" t="s">
        <v>408</v>
      </c>
      <c r="H207" t="s">
        <v>409</v>
      </c>
      <c r="I207" s="6" t="s">
        <v>404</v>
      </c>
      <c r="J207" s="61" t="s">
        <v>22</v>
      </c>
      <c r="L207" s="5" t="str">
        <f t="shared" si="24"/>
        <v>00206</v>
      </c>
      <c r="M207" s="47" t="str">
        <f t="shared" si="25"/>
        <v>27 de abril de 2017</v>
      </c>
      <c r="N207" s="323">
        <f t="shared" si="29"/>
        <v>27</v>
      </c>
      <c r="O207" s="25">
        <f t="shared" si="26"/>
        <v>42826</v>
      </c>
      <c r="P207" s="5" t="str">
        <f t="shared" si="27"/>
        <v>0,17</v>
      </c>
      <c r="Q207" s="4" t="e">
        <f t="shared" ca="1" si="28"/>
        <v>#NAME?</v>
      </c>
    </row>
    <row r="208" spans="1:17">
      <c r="A208" s="1">
        <f t="shared" si="30"/>
        <v>207</v>
      </c>
      <c r="C208" s="8" t="s">
        <v>17</v>
      </c>
      <c r="D208" s="2">
        <v>42821</v>
      </c>
      <c r="E208" s="3">
        <f>10500/100000</f>
        <v>0.105</v>
      </c>
      <c r="F208" t="s">
        <v>270</v>
      </c>
      <c r="G208" t="s">
        <v>271</v>
      </c>
      <c r="H208" t="s">
        <v>272</v>
      </c>
      <c r="I208" s="6" t="s">
        <v>158</v>
      </c>
      <c r="J208" s="61" t="s">
        <v>22</v>
      </c>
      <c r="L208" s="5" t="str">
        <f t="shared" si="24"/>
        <v>00207</v>
      </c>
      <c r="M208" s="47" t="str">
        <f t="shared" si="25"/>
        <v>27 de marzo de 2017</v>
      </c>
      <c r="N208" s="323">
        <f t="shared" si="29"/>
        <v>27</v>
      </c>
      <c r="O208" s="25">
        <f t="shared" si="26"/>
        <v>42795</v>
      </c>
      <c r="P208" s="5" t="str">
        <f t="shared" si="27"/>
        <v>0,11</v>
      </c>
      <c r="Q208" s="4" t="e">
        <f t="shared" ca="1" si="28"/>
        <v>#NAME?</v>
      </c>
    </row>
    <row r="209" spans="1:17">
      <c r="A209" s="1">
        <f t="shared" si="30"/>
        <v>208</v>
      </c>
      <c r="C209" s="8" t="s">
        <v>17</v>
      </c>
      <c r="D209" s="2">
        <v>42857</v>
      </c>
      <c r="E209" s="3">
        <f>10000/100000</f>
        <v>0.1</v>
      </c>
      <c r="F209" t="s">
        <v>312</v>
      </c>
      <c r="G209" t="s">
        <v>313</v>
      </c>
      <c r="H209" t="s">
        <v>314</v>
      </c>
      <c r="I209" s="6" t="s">
        <v>404</v>
      </c>
      <c r="J209" s="61" t="s">
        <v>22</v>
      </c>
      <c r="L209" s="5" t="str">
        <f t="shared" si="24"/>
        <v>00208</v>
      </c>
      <c r="M209" s="47" t="str">
        <f t="shared" si="25"/>
        <v>02 de mayo de 2017</v>
      </c>
      <c r="N209" s="323">
        <f t="shared" si="29"/>
        <v>2</v>
      </c>
      <c r="O209" s="25">
        <f t="shared" si="26"/>
        <v>42856</v>
      </c>
      <c r="P209" s="5" t="str">
        <f t="shared" si="27"/>
        <v>0,10</v>
      </c>
      <c r="Q209" s="4" t="e">
        <f t="shared" ca="1" si="28"/>
        <v>#NAME?</v>
      </c>
    </row>
    <row r="210" spans="1:17">
      <c r="A210" s="1">
        <f t="shared" si="30"/>
        <v>209</v>
      </c>
      <c r="C210" s="8" t="s">
        <v>17</v>
      </c>
      <c r="D210" s="2">
        <v>42860</v>
      </c>
      <c r="E210" s="3">
        <f>17000/100000</f>
        <v>0.17</v>
      </c>
      <c r="F210" t="s">
        <v>296</v>
      </c>
      <c r="G210" t="s">
        <v>297</v>
      </c>
      <c r="H210" t="s">
        <v>298</v>
      </c>
      <c r="I210" s="6" t="s">
        <v>395</v>
      </c>
      <c r="J210" s="61" t="s">
        <v>22</v>
      </c>
      <c r="L210" s="5" t="str">
        <f t="shared" si="24"/>
        <v>00209</v>
      </c>
      <c r="M210" s="47" t="str">
        <f t="shared" si="25"/>
        <v>05 de mayo de 2017</v>
      </c>
      <c r="N210" s="323">
        <f t="shared" si="29"/>
        <v>5</v>
      </c>
      <c r="O210" s="25">
        <f t="shared" si="26"/>
        <v>42856</v>
      </c>
      <c r="P210" s="5" t="str">
        <f t="shared" si="27"/>
        <v>0,17</v>
      </c>
      <c r="Q210" s="4" t="e">
        <f t="shared" ca="1" si="28"/>
        <v>#NAME?</v>
      </c>
    </row>
    <row r="211" spans="1:17">
      <c r="A211" s="1">
        <f t="shared" si="30"/>
        <v>210</v>
      </c>
      <c r="C211" s="8" t="s">
        <v>17</v>
      </c>
      <c r="D211" s="2">
        <v>42860</v>
      </c>
      <c r="E211" s="3">
        <f>17000/100000</f>
        <v>0.17</v>
      </c>
      <c r="F211" t="s">
        <v>167</v>
      </c>
      <c r="G211" t="s">
        <v>168</v>
      </c>
      <c r="H211" t="s">
        <v>169</v>
      </c>
      <c r="I211" s="6" t="s">
        <v>416</v>
      </c>
      <c r="J211" s="61" t="s">
        <v>22</v>
      </c>
      <c r="L211" s="5" t="str">
        <f t="shared" si="24"/>
        <v>00210</v>
      </c>
      <c r="M211" s="47" t="str">
        <f t="shared" si="25"/>
        <v>05 de mayo de 2017</v>
      </c>
      <c r="N211" s="323">
        <f t="shared" si="29"/>
        <v>5</v>
      </c>
      <c r="O211" s="25">
        <f t="shared" si="26"/>
        <v>42856</v>
      </c>
      <c r="P211" s="5" t="str">
        <f t="shared" si="27"/>
        <v>0,17</v>
      </c>
      <c r="Q211" s="4" t="e">
        <f t="shared" ca="1" si="28"/>
        <v>#NAME?</v>
      </c>
    </row>
    <row r="212" spans="1:17">
      <c r="A212" s="1">
        <f t="shared" si="30"/>
        <v>211</v>
      </c>
      <c r="C212" s="8" t="s">
        <v>17</v>
      </c>
      <c r="D212" s="2">
        <v>42860</v>
      </c>
      <c r="E212" s="3">
        <f>17000/100000</f>
        <v>0.17</v>
      </c>
      <c r="F212" t="s">
        <v>62</v>
      </c>
      <c r="G212" t="s">
        <v>63</v>
      </c>
      <c r="H212" t="s">
        <v>64</v>
      </c>
      <c r="I212" s="6" t="s">
        <v>395</v>
      </c>
      <c r="J212" s="61" t="s">
        <v>22</v>
      </c>
      <c r="L212" s="5" t="str">
        <f t="shared" si="24"/>
        <v>00211</v>
      </c>
      <c r="M212" s="47" t="str">
        <f t="shared" si="25"/>
        <v>05 de mayo de 2017</v>
      </c>
      <c r="N212" s="323">
        <f t="shared" si="29"/>
        <v>5</v>
      </c>
      <c r="O212" s="25">
        <f t="shared" si="26"/>
        <v>42856</v>
      </c>
      <c r="P212" s="5" t="str">
        <f t="shared" si="27"/>
        <v>0,17</v>
      </c>
      <c r="Q212" s="4" t="e">
        <f t="shared" ca="1" si="28"/>
        <v>#NAME?</v>
      </c>
    </row>
    <row r="213" spans="1:17">
      <c r="A213" s="1">
        <f t="shared" si="30"/>
        <v>212</v>
      </c>
      <c r="C213" s="8" t="s">
        <v>17</v>
      </c>
      <c r="D213" s="2">
        <v>42860</v>
      </c>
      <c r="E213" s="3">
        <f>17000/100000</f>
        <v>0.17</v>
      </c>
      <c r="F213" t="s">
        <v>138</v>
      </c>
      <c r="G213" t="s">
        <v>139</v>
      </c>
      <c r="H213" t="s">
        <v>140</v>
      </c>
      <c r="I213" s="6" t="s">
        <v>395</v>
      </c>
      <c r="J213" s="61" t="s">
        <v>22</v>
      </c>
      <c r="L213" s="5" t="str">
        <f t="shared" si="24"/>
        <v>00212</v>
      </c>
      <c r="M213" s="47" t="str">
        <f t="shared" si="25"/>
        <v>05 de mayo de 2017</v>
      </c>
      <c r="N213" s="323">
        <f t="shared" si="29"/>
        <v>5</v>
      </c>
      <c r="O213" s="25">
        <f t="shared" si="26"/>
        <v>42856</v>
      </c>
      <c r="P213" s="5" t="str">
        <f t="shared" si="27"/>
        <v>0,17</v>
      </c>
      <c r="Q213" s="4" t="e">
        <f t="shared" ca="1" si="28"/>
        <v>#NAME?</v>
      </c>
    </row>
    <row r="214" spans="1:17">
      <c r="A214" s="1">
        <f t="shared" si="30"/>
        <v>213</v>
      </c>
      <c r="C214" s="8" t="s">
        <v>17</v>
      </c>
      <c r="D214" s="2">
        <v>42853</v>
      </c>
      <c r="E214" s="3">
        <f>5000/100000</f>
        <v>0.05</v>
      </c>
      <c r="F214" t="s">
        <v>417</v>
      </c>
      <c r="G214" t="s">
        <v>418</v>
      </c>
      <c r="H214" t="s">
        <v>419</v>
      </c>
      <c r="I214" s="6" t="s">
        <v>404</v>
      </c>
      <c r="J214" s="61" t="s">
        <v>22</v>
      </c>
      <c r="L214" s="5" t="str">
        <f t="shared" si="24"/>
        <v>00213</v>
      </c>
      <c r="M214" s="47" t="str">
        <f t="shared" si="25"/>
        <v>28 de abril de 2017</v>
      </c>
      <c r="N214" s="323">
        <f t="shared" si="29"/>
        <v>28</v>
      </c>
      <c r="O214" s="25">
        <f t="shared" si="26"/>
        <v>42826</v>
      </c>
      <c r="P214" s="5" t="str">
        <f t="shared" si="27"/>
        <v>0,05</v>
      </c>
      <c r="Q214" s="4" t="e">
        <f t="shared" ca="1" si="28"/>
        <v>#NAME?</v>
      </c>
    </row>
    <row r="215" spans="1:17">
      <c r="A215" s="1">
        <f t="shared" si="30"/>
        <v>214</v>
      </c>
      <c r="C215" s="8" t="s">
        <v>17</v>
      </c>
      <c r="D215" s="2">
        <v>42861</v>
      </c>
      <c r="E215" s="3">
        <f>26000/100000</f>
        <v>0.26</v>
      </c>
      <c r="F215" t="s">
        <v>44</v>
      </c>
      <c r="G215" t="s">
        <v>45</v>
      </c>
      <c r="H215" t="s">
        <v>46</v>
      </c>
      <c r="I215" s="6" t="s">
        <v>420</v>
      </c>
      <c r="J215" s="61" t="s">
        <v>22</v>
      </c>
      <c r="L215" s="5" t="str">
        <f t="shared" si="24"/>
        <v>00214</v>
      </c>
      <c r="M215" s="47" t="str">
        <f t="shared" si="25"/>
        <v>06 de mayo de 2017</v>
      </c>
      <c r="N215" s="323">
        <f t="shared" si="29"/>
        <v>6</v>
      </c>
      <c r="O215" s="25">
        <f t="shared" si="26"/>
        <v>42856</v>
      </c>
      <c r="P215" s="5" t="str">
        <f t="shared" si="27"/>
        <v>0,26</v>
      </c>
      <c r="Q215" s="4" t="e">
        <f t="shared" ca="1" si="28"/>
        <v>#NAME?</v>
      </c>
    </row>
    <row r="216" spans="1:17">
      <c r="A216" s="1">
        <f t="shared" si="30"/>
        <v>215</v>
      </c>
      <c r="C216" s="8" t="s">
        <v>17</v>
      </c>
      <c r="D216" s="2">
        <v>42830</v>
      </c>
      <c r="E216" s="3">
        <f>17000/100000</f>
        <v>0.17</v>
      </c>
      <c r="F216" t="s">
        <v>90</v>
      </c>
      <c r="G216" t="s">
        <v>91</v>
      </c>
      <c r="H216" t="s">
        <v>92</v>
      </c>
      <c r="I216" s="6" t="s">
        <v>395</v>
      </c>
      <c r="J216" s="61" t="s">
        <v>22</v>
      </c>
      <c r="L216" s="5" t="str">
        <f t="shared" si="24"/>
        <v>00215</v>
      </c>
      <c r="M216" s="47" t="str">
        <f t="shared" si="25"/>
        <v>05 de abril de 2017</v>
      </c>
      <c r="N216" s="323">
        <f t="shared" si="29"/>
        <v>5</v>
      </c>
      <c r="O216" s="25">
        <f t="shared" si="26"/>
        <v>42826</v>
      </c>
      <c r="P216" s="5" t="str">
        <f t="shared" si="27"/>
        <v>0,17</v>
      </c>
      <c r="Q216" s="4" t="e">
        <f t="shared" ca="1" si="28"/>
        <v>#NAME?</v>
      </c>
    </row>
    <row r="217" spans="1:17">
      <c r="A217" s="1">
        <f t="shared" si="30"/>
        <v>216</v>
      </c>
      <c r="C217" s="8" t="s">
        <v>17</v>
      </c>
      <c r="D217" s="2">
        <v>42858</v>
      </c>
      <c r="E217" s="3">
        <f>17000/100000</f>
        <v>0.17</v>
      </c>
      <c r="F217" t="s">
        <v>90</v>
      </c>
      <c r="G217" t="s">
        <v>91</v>
      </c>
      <c r="H217" t="s">
        <v>92</v>
      </c>
      <c r="I217" s="6" t="s">
        <v>416</v>
      </c>
      <c r="J217" s="61" t="s">
        <v>22</v>
      </c>
      <c r="L217" s="5" t="str">
        <f t="shared" si="24"/>
        <v>00216</v>
      </c>
      <c r="M217" s="47" t="str">
        <f t="shared" si="25"/>
        <v>03 de mayo de 2017</v>
      </c>
      <c r="N217" s="323">
        <f t="shared" si="29"/>
        <v>3</v>
      </c>
      <c r="O217" s="25">
        <f t="shared" si="26"/>
        <v>42856</v>
      </c>
      <c r="P217" s="5" t="str">
        <f t="shared" si="27"/>
        <v>0,17</v>
      </c>
      <c r="Q217" s="4" t="e">
        <f t="shared" ca="1" si="28"/>
        <v>#NAME?</v>
      </c>
    </row>
    <row r="218" spans="1:17">
      <c r="A218" s="1">
        <f t="shared" si="30"/>
        <v>217</v>
      </c>
      <c r="C218" s="8" t="s">
        <v>17</v>
      </c>
      <c r="D218" s="2">
        <v>42862</v>
      </c>
      <c r="E218" s="3">
        <f>9000/100000</f>
        <v>0.09</v>
      </c>
      <c r="F218" t="s">
        <v>90</v>
      </c>
      <c r="G218" t="s">
        <v>91</v>
      </c>
      <c r="H218" t="s">
        <v>92</v>
      </c>
      <c r="I218" s="6" t="s">
        <v>421</v>
      </c>
      <c r="J218" s="61" t="s">
        <v>22</v>
      </c>
      <c r="L218" s="5" t="str">
        <f t="shared" si="24"/>
        <v>00217</v>
      </c>
      <c r="M218" s="47" t="str">
        <f t="shared" si="25"/>
        <v>07 de mayo de 2017</v>
      </c>
      <c r="N218" s="323">
        <f t="shared" si="29"/>
        <v>7</v>
      </c>
      <c r="O218" s="25">
        <f t="shared" si="26"/>
        <v>42856</v>
      </c>
      <c r="P218" s="5" t="str">
        <f t="shared" si="27"/>
        <v>0,09</v>
      </c>
      <c r="Q218" s="4" t="e">
        <f t="shared" ca="1" si="28"/>
        <v>#NAME?</v>
      </c>
    </row>
    <row r="219" spans="1:17">
      <c r="A219" s="1">
        <f t="shared" si="30"/>
        <v>218</v>
      </c>
      <c r="C219" s="8" t="s">
        <v>17</v>
      </c>
      <c r="D219" s="2">
        <v>42862</v>
      </c>
      <c r="E219" s="3">
        <f>26000/100000</f>
        <v>0.26</v>
      </c>
      <c r="F219" t="s">
        <v>40</v>
      </c>
      <c r="G219" t="s">
        <v>41</v>
      </c>
      <c r="H219" t="s">
        <v>42</v>
      </c>
      <c r="I219" s="6" t="s">
        <v>420</v>
      </c>
      <c r="J219" s="61" t="s">
        <v>22</v>
      </c>
      <c r="L219" s="5" t="str">
        <f t="shared" si="24"/>
        <v>00218</v>
      </c>
      <c r="M219" s="47" t="str">
        <f t="shared" si="25"/>
        <v>07 de mayo de 2017</v>
      </c>
      <c r="N219" s="323">
        <f t="shared" si="29"/>
        <v>7</v>
      </c>
      <c r="O219" s="25">
        <f t="shared" si="26"/>
        <v>42856</v>
      </c>
      <c r="P219" s="5" t="str">
        <f t="shared" si="27"/>
        <v>0,26</v>
      </c>
      <c r="Q219" s="4" t="e">
        <f t="shared" ca="1" si="28"/>
        <v>#NAME?</v>
      </c>
    </row>
    <row r="220" spans="1:17" ht="15.75" thickBot="1">
      <c r="A220" s="1">
        <f t="shared" si="30"/>
        <v>219</v>
      </c>
      <c r="C220" s="8" t="s">
        <v>17</v>
      </c>
      <c r="D220" s="2">
        <v>42862</v>
      </c>
      <c r="E220" s="3">
        <f>26000/100000</f>
        <v>0.26</v>
      </c>
      <c r="F220" t="s">
        <v>24</v>
      </c>
      <c r="G220" t="s">
        <v>25</v>
      </c>
      <c r="H220" t="s">
        <v>26</v>
      </c>
      <c r="I220" s="6" t="s">
        <v>420</v>
      </c>
      <c r="J220" s="61" t="s">
        <v>22</v>
      </c>
      <c r="L220" s="5" t="str">
        <f t="shared" si="24"/>
        <v>00219</v>
      </c>
      <c r="M220" s="47" t="str">
        <f t="shared" si="25"/>
        <v>07 de mayo de 2017</v>
      </c>
      <c r="N220" s="323">
        <f t="shared" si="29"/>
        <v>7</v>
      </c>
      <c r="O220" s="25">
        <f t="shared" si="26"/>
        <v>42856</v>
      </c>
      <c r="P220" s="5" t="str">
        <f t="shared" si="27"/>
        <v>0,26</v>
      </c>
      <c r="Q220" s="4" t="e">
        <f t="shared" ca="1" si="28"/>
        <v>#NAME?</v>
      </c>
    </row>
    <row r="221" spans="1:17" ht="15.75" thickBot="1">
      <c r="A221" s="1">
        <f t="shared" si="30"/>
        <v>220</v>
      </c>
      <c r="C221" s="8" t="s">
        <v>17</v>
      </c>
      <c r="D221" s="2">
        <v>42862</v>
      </c>
      <c r="E221" s="3">
        <f>6500/100000+10500/100000</f>
        <v>0.16999999999999998</v>
      </c>
      <c r="F221" t="s">
        <v>177</v>
      </c>
      <c r="G221" s="18" t="s">
        <v>58</v>
      </c>
      <c r="H221" t="s">
        <v>179</v>
      </c>
      <c r="I221" s="6" t="s">
        <v>395</v>
      </c>
      <c r="J221" s="61" t="s">
        <v>22</v>
      </c>
      <c r="L221" s="5" t="str">
        <f t="shared" si="24"/>
        <v>00220</v>
      </c>
      <c r="M221" s="47" t="str">
        <f t="shared" si="25"/>
        <v>07 de mayo de 2017</v>
      </c>
      <c r="N221" s="323">
        <f t="shared" si="29"/>
        <v>7</v>
      </c>
      <c r="O221" s="25">
        <f t="shared" si="26"/>
        <v>42856</v>
      </c>
      <c r="P221" s="5" t="str">
        <f t="shared" si="27"/>
        <v>0,17</v>
      </c>
      <c r="Q221" s="4" t="e">
        <f t="shared" ca="1" si="28"/>
        <v>#NAME?</v>
      </c>
    </row>
    <row r="222" spans="1:17" ht="15.75" thickBot="1">
      <c r="A222" s="1">
        <f t="shared" si="30"/>
        <v>221</v>
      </c>
      <c r="C222" s="8" t="s">
        <v>17</v>
      </c>
      <c r="D222" s="2">
        <v>42781</v>
      </c>
      <c r="E222" s="3">
        <f>20000/100000</f>
        <v>0.2</v>
      </c>
      <c r="F222" s="20" t="s">
        <v>57</v>
      </c>
      <c r="G222" s="18" t="s">
        <v>58</v>
      </c>
      <c r="H222" s="21" t="s">
        <v>59</v>
      </c>
      <c r="I222" s="6" t="s">
        <v>142</v>
      </c>
      <c r="J222" s="61" t="s">
        <v>22</v>
      </c>
      <c r="K222" s="22"/>
      <c r="L222" s="5" t="str">
        <f t="shared" si="24"/>
        <v>00221</v>
      </c>
      <c r="M222" s="47" t="str">
        <f t="shared" si="25"/>
        <v>15 de febrero de 2017</v>
      </c>
      <c r="N222" s="323">
        <f t="shared" si="29"/>
        <v>15</v>
      </c>
      <c r="O222" s="25">
        <f t="shared" si="26"/>
        <v>42767</v>
      </c>
      <c r="P222" s="5" t="str">
        <f t="shared" si="27"/>
        <v>0,20</v>
      </c>
      <c r="Q222" s="4" t="e">
        <f t="shared" ca="1" si="28"/>
        <v>#NAME?</v>
      </c>
    </row>
    <row r="223" spans="1:17" ht="15.75" thickBot="1">
      <c r="A223" s="1">
        <f t="shared" si="30"/>
        <v>222</v>
      </c>
      <c r="C223" s="8" t="s">
        <v>17</v>
      </c>
      <c r="D223" s="2">
        <v>42750</v>
      </c>
      <c r="E223" s="3">
        <f>30000/100000</f>
        <v>0.3</v>
      </c>
      <c r="F223" s="23" t="s">
        <v>422</v>
      </c>
      <c r="G223" s="18" t="s">
        <v>58</v>
      </c>
      <c r="H223" t="s">
        <v>423</v>
      </c>
      <c r="I223" s="6" t="s">
        <v>60</v>
      </c>
      <c r="J223" s="61" t="s">
        <v>22</v>
      </c>
      <c r="L223" s="5" t="str">
        <f t="shared" si="24"/>
        <v>00222</v>
      </c>
      <c r="M223" s="47" t="str">
        <f t="shared" si="25"/>
        <v>15 de enero de 2017</v>
      </c>
      <c r="N223" s="323">
        <f t="shared" si="29"/>
        <v>15</v>
      </c>
      <c r="O223" s="25">
        <f t="shared" si="26"/>
        <v>42736</v>
      </c>
      <c r="P223" s="5" t="str">
        <f t="shared" si="27"/>
        <v>0,30</v>
      </c>
      <c r="Q223" s="4" t="e">
        <f t="shared" ca="1" si="28"/>
        <v>#NAME?</v>
      </c>
    </row>
    <row r="224" spans="1:17">
      <c r="A224" s="1">
        <f t="shared" si="30"/>
        <v>223</v>
      </c>
      <c r="C224" s="8" t="s">
        <v>17</v>
      </c>
      <c r="D224" s="2">
        <v>42863</v>
      </c>
      <c r="E224" s="3">
        <f>26000/100000</f>
        <v>0.26</v>
      </c>
      <c r="F224" t="s">
        <v>70</v>
      </c>
      <c r="G224" t="s">
        <v>71</v>
      </c>
      <c r="H224" t="s">
        <v>72</v>
      </c>
      <c r="I224" s="6" t="s">
        <v>420</v>
      </c>
      <c r="J224" s="61" t="s">
        <v>22</v>
      </c>
      <c r="L224" s="5" t="str">
        <f t="shared" si="24"/>
        <v>00223</v>
      </c>
      <c r="M224" s="47" t="str">
        <f t="shared" si="25"/>
        <v>08 de mayo de 2017</v>
      </c>
      <c r="N224" s="323">
        <f t="shared" si="29"/>
        <v>8</v>
      </c>
      <c r="O224" s="25">
        <f t="shared" si="26"/>
        <v>42856</v>
      </c>
      <c r="P224" s="5" t="str">
        <f t="shared" si="27"/>
        <v>0,26</v>
      </c>
      <c r="Q224" s="4" t="e">
        <f t="shared" ca="1" si="28"/>
        <v>#NAME?</v>
      </c>
    </row>
    <row r="225" spans="1:17">
      <c r="A225" s="1">
        <f t="shared" si="30"/>
        <v>224</v>
      </c>
      <c r="C225" s="8" t="s">
        <v>17</v>
      </c>
      <c r="D225" s="2">
        <v>42863</v>
      </c>
      <c r="E225" s="3">
        <f>26000/100000</f>
        <v>0.26</v>
      </c>
      <c r="F225" t="s">
        <v>18</v>
      </c>
      <c r="G225" t="s">
        <v>19</v>
      </c>
      <c r="H225" t="s">
        <v>20</v>
      </c>
      <c r="I225" s="6" t="s">
        <v>420</v>
      </c>
      <c r="J225" s="61" t="s">
        <v>22</v>
      </c>
      <c r="L225" s="5" t="str">
        <f t="shared" si="24"/>
        <v>00224</v>
      </c>
      <c r="M225" s="47" t="str">
        <f t="shared" si="25"/>
        <v>08 de mayo de 2017</v>
      </c>
      <c r="N225" s="323">
        <f t="shared" si="29"/>
        <v>8</v>
      </c>
      <c r="O225" s="25">
        <f t="shared" si="26"/>
        <v>42856</v>
      </c>
      <c r="P225" s="5" t="str">
        <f t="shared" si="27"/>
        <v>0,26</v>
      </c>
      <c r="Q225" s="4" t="e">
        <f t="shared" ca="1" si="28"/>
        <v>#NAME?</v>
      </c>
    </row>
    <row r="226" spans="1:17">
      <c r="A226" s="1">
        <f t="shared" si="30"/>
        <v>225</v>
      </c>
      <c r="C226" s="8" t="s">
        <v>17</v>
      </c>
      <c r="D226" s="2">
        <v>42809</v>
      </c>
      <c r="E226" s="3">
        <f>17000/100000</f>
        <v>0.17</v>
      </c>
      <c r="F226" t="s">
        <v>53</v>
      </c>
      <c r="G226" t="s">
        <v>54</v>
      </c>
      <c r="H226" t="s">
        <v>55</v>
      </c>
      <c r="I226" s="6" t="s">
        <v>306</v>
      </c>
      <c r="J226" s="61" t="s">
        <v>22</v>
      </c>
      <c r="L226" s="5" t="str">
        <f t="shared" si="24"/>
        <v>00225</v>
      </c>
      <c r="M226" s="47" t="str">
        <f t="shared" si="25"/>
        <v>15 de marzo de 2017</v>
      </c>
      <c r="N226" s="323">
        <f t="shared" si="29"/>
        <v>15</v>
      </c>
      <c r="O226" s="25">
        <f t="shared" si="26"/>
        <v>42795</v>
      </c>
      <c r="P226" s="5" t="str">
        <f t="shared" si="27"/>
        <v>0,17</v>
      </c>
      <c r="Q226" s="4" t="e">
        <f t="shared" ca="1" si="28"/>
        <v>#NAME?</v>
      </c>
    </row>
    <row r="227" spans="1:17">
      <c r="A227" s="1">
        <f t="shared" si="30"/>
        <v>226</v>
      </c>
      <c r="C227" s="8" t="s">
        <v>17</v>
      </c>
      <c r="D227" s="2">
        <v>42863</v>
      </c>
      <c r="E227" s="3">
        <f>17000*2/100000</f>
        <v>0.34</v>
      </c>
      <c r="F227" t="s">
        <v>248</v>
      </c>
      <c r="G227" t="s">
        <v>249</v>
      </c>
      <c r="H227" t="s">
        <v>250</v>
      </c>
      <c r="I227" s="6" t="s">
        <v>424</v>
      </c>
      <c r="J227" s="61" t="s">
        <v>22</v>
      </c>
      <c r="L227" s="5" t="str">
        <f t="shared" si="24"/>
        <v>00226</v>
      </c>
      <c r="M227" s="47" t="str">
        <f t="shared" si="25"/>
        <v>08 de mayo de 2017</v>
      </c>
      <c r="N227" s="323">
        <f t="shared" si="29"/>
        <v>8</v>
      </c>
      <c r="O227" s="25">
        <f t="shared" si="26"/>
        <v>42856</v>
      </c>
      <c r="P227" s="5" t="str">
        <f t="shared" si="27"/>
        <v>0,34</v>
      </c>
      <c r="Q227" s="4" t="e">
        <f t="shared" ca="1" si="28"/>
        <v>#NAME?</v>
      </c>
    </row>
    <row r="228" spans="1:17">
      <c r="A228" s="1">
        <f t="shared" si="30"/>
        <v>227</v>
      </c>
      <c r="C228" s="8" t="s">
        <v>17</v>
      </c>
      <c r="D228" s="2">
        <v>42809</v>
      </c>
      <c r="E228" s="3">
        <f>17000/100000</f>
        <v>0.17</v>
      </c>
      <c r="F228" t="s">
        <v>362</v>
      </c>
      <c r="G228" t="s">
        <v>363</v>
      </c>
      <c r="H228" t="s">
        <v>364</v>
      </c>
      <c r="I228" s="6" t="s">
        <v>142</v>
      </c>
      <c r="J228" s="61" t="s">
        <v>22</v>
      </c>
      <c r="L228" s="5" t="str">
        <f t="shared" si="24"/>
        <v>00227</v>
      </c>
      <c r="M228" s="47" t="str">
        <f t="shared" si="25"/>
        <v>15 de marzo de 2017</v>
      </c>
      <c r="N228" s="323">
        <f t="shared" si="29"/>
        <v>15</v>
      </c>
      <c r="O228" s="25">
        <f t="shared" si="26"/>
        <v>42795</v>
      </c>
      <c r="P228" s="5" t="str">
        <f t="shared" si="27"/>
        <v>0,17</v>
      </c>
      <c r="Q228" s="4" t="e">
        <f t="shared" ca="1" si="28"/>
        <v>#NAME?</v>
      </c>
    </row>
    <row r="229" spans="1:17">
      <c r="A229" s="319">
        <f t="shared" si="30"/>
        <v>228</v>
      </c>
      <c r="B229" s="574"/>
      <c r="C229" s="12" t="s">
        <v>225</v>
      </c>
      <c r="D229" s="17"/>
      <c r="E229" s="13"/>
      <c r="F229" s="14" t="s">
        <v>362</v>
      </c>
      <c r="G229" s="14" t="s">
        <v>363</v>
      </c>
      <c r="H229" s="14" t="s">
        <v>364</v>
      </c>
      <c r="I229" s="15" t="s">
        <v>425</v>
      </c>
      <c r="J229" s="62" t="s">
        <v>426</v>
      </c>
      <c r="K229" s="16"/>
      <c r="L229" s="5" t="str">
        <f t="shared" si="24"/>
        <v>00228</v>
      </c>
      <c r="M229" s="47" t="str">
        <f t="shared" si="25"/>
        <v/>
      </c>
      <c r="N229" s="323">
        <f t="shared" si="29"/>
        <v>0</v>
      </c>
      <c r="O229" s="25">
        <f t="shared" si="26"/>
        <v>1</v>
      </c>
      <c r="P229" s="5" t="str">
        <f t="shared" si="27"/>
        <v>0,00</v>
      </c>
      <c r="Q229" s="4" t="e">
        <f t="shared" ca="1" si="28"/>
        <v>#NAME?</v>
      </c>
    </row>
    <row r="230" spans="1:17">
      <c r="A230" s="1">
        <f t="shared" si="30"/>
        <v>229</v>
      </c>
      <c r="C230" s="8" t="s">
        <v>17</v>
      </c>
      <c r="D230" s="2">
        <v>42860</v>
      </c>
      <c r="E230" s="3">
        <f>17000/100000</f>
        <v>0.17</v>
      </c>
      <c r="F230" t="s">
        <v>362</v>
      </c>
      <c r="G230" t="s">
        <v>363</v>
      </c>
      <c r="H230" t="s">
        <v>364</v>
      </c>
      <c r="I230" s="6" t="s">
        <v>306</v>
      </c>
      <c r="J230" s="61" t="s">
        <v>22</v>
      </c>
      <c r="L230" s="5" t="str">
        <f t="shared" si="24"/>
        <v>00229</v>
      </c>
      <c r="M230" s="47" t="str">
        <f t="shared" si="25"/>
        <v>05 de mayo de 2017</v>
      </c>
      <c r="N230" s="323">
        <f t="shared" si="29"/>
        <v>5</v>
      </c>
      <c r="O230" s="25">
        <f t="shared" si="26"/>
        <v>42856</v>
      </c>
      <c r="P230" s="5" t="str">
        <f t="shared" si="27"/>
        <v>0,17</v>
      </c>
      <c r="Q230" s="4" t="e">
        <f t="shared" ca="1" si="28"/>
        <v>#NAME?</v>
      </c>
    </row>
    <row r="231" spans="1:17">
      <c r="A231" s="1">
        <f t="shared" si="30"/>
        <v>230</v>
      </c>
      <c r="C231" s="8" t="s">
        <v>17</v>
      </c>
      <c r="D231" s="2">
        <v>42863</v>
      </c>
      <c r="E231" s="3">
        <f>17000/100000</f>
        <v>0.17</v>
      </c>
      <c r="F231" t="s">
        <v>126</v>
      </c>
      <c r="G231" t="s">
        <v>127</v>
      </c>
      <c r="H231" t="s">
        <v>128</v>
      </c>
      <c r="I231" s="6" t="s">
        <v>395</v>
      </c>
      <c r="J231" s="61" t="s">
        <v>22</v>
      </c>
      <c r="L231" s="5" t="str">
        <f t="shared" si="24"/>
        <v>00230</v>
      </c>
      <c r="M231" s="47" t="str">
        <f t="shared" si="25"/>
        <v>08 de mayo de 2017</v>
      </c>
      <c r="N231" s="323">
        <f t="shared" si="29"/>
        <v>8</v>
      </c>
      <c r="O231" s="25">
        <f t="shared" si="26"/>
        <v>42856</v>
      </c>
      <c r="P231" s="5" t="str">
        <f t="shared" si="27"/>
        <v>0,17</v>
      </c>
      <c r="Q231" s="4" t="e">
        <f t="shared" ca="1" si="28"/>
        <v>#NAME?</v>
      </c>
    </row>
    <row r="232" spans="1:17">
      <c r="A232" s="1">
        <f t="shared" si="30"/>
        <v>231</v>
      </c>
      <c r="C232" s="8" t="s">
        <v>17</v>
      </c>
      <c r="D232" s="2">
        <v>42864</v>
      </c>
      <c r="E232" s="3">
        <f>26000/100000</f>
        <v>0.26</v>
      </c>
      <c r="F232" t="s">
        <v>100</v>
      </c>
      <c r="G232" t="s">
        <v>95</v>
      </c>
      <c r="H232" t="s">
        <v>101</v>
      </c>
      <c r="I232" s="6" t="s">
        <v>420</v>
      </c>
      <c r="J232" s="61" t="s">
        <v>22</v>
      </c>
      <c r="L232" s="5" t="str">
        <f t="shared" si="24"/>
        <v>00231</v>
      </c>
      <c r="M232" s="47" t="str">
        <f t="shared" si="25"/>
        <v>09 de mayo de 2017</v>
      </c>
      <c r="N232" s="323">
        <f t="shared" si="29"/>
        <v>9</v>
      </c>
      <c r="O232" s="25">
        <f t="shared" si="26"/>
        <v>42856</v>
      </c>
      <c r="P232" s="5" t="str">
        <f t="shared" si="27"/>
        <v>0,26</v>
      </c>
      <c r="Q232" s="4" t="e">
        <f t="shared" ca="1" si="28"/>
        <v>#NAME?</v>
      </c>
    </row>
    <row r="233" spans="1:17">
      <c r="A233" s="1">
        <f t="shared" si="30"/>
        <v>232</v>
      </c>
      <c r="C233" s="8" t="s">
        <v>17</v>
      </c>
      <c r="D233" s="2">
        <v>42864</v>
      </c>
      <c r="E233" s="3">
        <f>4000/100000</f>
        <v>0.04</v>
      </c>
      <c r="F233" t="s">
        <v>94</v>
      </c>
      <c r="G233" t="s">
        <v>95</v>
      </c>
      <c r="H233" t="s">
        <v>96</v>
      </c>
      <c r="I233" s="6" t="s">
        <v>427</v>
      </c>
      <c r="J233" s="61" t="s">
        <v>22</v>
      </c>
      <c r="L233" s="5" t="str">
        <f t="shared" si="24"/>
        <v>00232</v>
      </c>
      <c r="M233" s="47" t="str">
        <f t="shared" si="25"/>
        <v>09 de mayo de 2017</v>
      </c>
      <c r="N233" s="323">
        <f t="shared" si="29"/>
        <v>9</v>
      </c>
      <c r="O233" s="25">
        <f t="shared" si="26"/>
        <v>42856</v>
      </c>
      <c r="P233" s="5" t="str">
        <f t="shared" si="27"/>
        <v>0,04</v>
      </c>
      <c r="Q233" s="4" t="e">
        <f t="shared" ca="1" si="28"/>
        <v>#NAME?</v>
      </c>
    </row>
    <row r="234" spans="1:17">
      <c r="A234" s="1">
        <f t="shared" si="30"/>
        <v>233</v>
      </c>
      <c r="C234" s="8" t="s">
        <v>17</v>
      </c>
      <c r="D234" s="2">
        <v>42855</v>
      </c>
      <c r="E234" s="3">
        <f>17000/100000</f>
        <v>0.17</v>
      </c>
      <c r="F234" t="s">
        <v>353</v>
      </c>
      <c r="G234" t="s">
        <v>354</v>
      </c>
      <c r="H234" t="s">
        <v>355</v>
      </c>
      <c r="I234" s="6" t="s">
        <v>428</v>
      </c>
      <c r="J234" s="61" t="s">
        <v>22</v>
      </c>
      <c r="L234" s="5" t="str">
        <f t="shared" si="24"/>
        <v>00233</v>
      </c>
      <c r="M234" s="47" t="str">
        <f t="shared" si="25"/>
        <v>30 de abril de 2017</v>
      </c>
      <c r="N234" s="323">
        <f t="shared" si="29"/>
        <v>30</v>
      </c>
      <c r="O234" s="25">
        <f t="shared" si="26"/>
        <v>42826</v>
      </c>
      <c r="P234" s="5" t="str">
        <f t="shared" si="27"/>
        <v>0,17</v>
      </c>
      <c r="Q234" s="4" t="e">
        <f t="shared" ca="1" si="28"/>
        <v>#NAME?</v>
      </c>
    </row>
    <row r="235" spans="1:17">
      <c r="A235" s="1">
        <f t="shared" si="30"/>
        <v>234</v>
      </c>
      <c r="C235" s="8" t="s">
        <v>17</v>
      </c>
      <c r="D235" s="2">
        <v>42864</v>
      </c>
      <c r="E235" s="3">
        <f>26000/100000+17000/100000</f>
        <v>0.43000000000000005</v>
      </c>
      <c r="F235" t="s">
        <v>219</v>
      </c>
      <c r="G235" t="s">
        <v>220</v>
      </c>
      <c r="H235" t="s">
        <v>221</v>
      </c>
      <c r="I235" s="6" t="s">
        <v>429</v>
      </c>
      <c r="J235" s="61" t="s">
        <v>22</v>
      </c>
      <c r="L235" s="5" t="str">
        <f t="shared" si="24"/>
        <v>00234</v>
      </c>
      <c r="M235" s="47" t="str">
        <f t="shared" si="25"/>
        <v>09 de mayo de 2017</v>
      </c>
      <c r="N235" s="323">
        <f t="shared" si="29"/>
        <v>9</v>
      </c>
      <c r="O235" s="25">
        <f t="shared" si="26"/>
        <v>42856</v>
      </c>
      <c r="P235" s="5" t="str">
        <f t="shared" si="27"/>
        <v>0,43</v>
      </c>
      <c r="Q235" s="4" t="e">
        <f t="shared" ca="1" si="28"/>
        <v>#NAME?</v>
      </c>
    </row>
    <row r="236" spans="1:17">
      <c r="A236" s="1">
        <f t="shared" si="30"/>
        <v>235</v>
      </c>
      <c r="C236" s="8" t="s">
        <v>17</v>
      </c>
      <c r="D236" s="2">
        <v>42864</v>
      </c>
      <c r="E236" s="3">
        <f>26000/100000</f>
        <v>0.26</v>
      </c>
      <c r="F236" t="s">
        <v>211</v>
      </c>
      <c r="G236" t="s">
        <v>212</v>
      </c>
      <c r="H236" t="s">
        <v>213</v>
      </c>
      <c r="I236" s="6" t="s">
        <v>420</v>
      </c>
      <c r="J236" s="61" t="s">
        <v>22</v>
      </c>
      <c r="L236" s="5" t="str">
        <f t="shared" si="24"/>
        <v>00235</v>
      </c>
      <c r="M236" s="47" t="str">
        <f t="shared" si="25"/>
        <v>09 de mayo de 2017</v>
      </c>
      <c r="N236" s="323">
        <f t="shared" si="29"/>
        <v>9</v>
      </c>
      <c r="O236" s="25">
        <f t="shared" si="26"/>
        <v>42856</v>
      </c>
      <c r="P236" s="5" t="str">
        <f t="shared" si="27"/>
        <v>0,26</v>
      </c>
      <c r="Q236" s="4" t="e">
        <f t="shared" ca="1" si="28"/>
        <v>#NAME?</v>
      </c>
    </row>
    <row r="237" spans="1:17">
      <c r="A237" s="1">
        <f t="shared" si="30"/>
        <v>236</v>
      </c>
      <c r="C237" s="8" t="s">
        <v>17</v>
      </c>
      <c r="D237" s="2">
        <v>42831</v>
      </c>
      <c r="E237" s="3">
        <f>14000/100000</f>
        <v>0.14000000000000001</v>
      </c>
      <c r="F237" t="s">
        <v>284</v>
      </c>
      <c r="G237" t="s">
        <v>276</v>
      </c>
      <c r="H237" t="s">
        <v>285</v>
      </c>
      <c r="I237" s="6" t="s">
        <v>317</v>
      </c>
      <c r="J237" s="61" t="s">
        <v>22</v>
      </c>
      <c r="L237" s="5" t="str">
        <f t="shared" si="24"/>
        <v>00236</v>
      </c>
      <c r="M237" s="47" t="str">
        <f t="shared" si="25"/>
        <v>06 de abril de 2017</v>
      </c>
      <c r="N237" s="323">
        <f t="shared" si="29"/>
        <v>6</v>
      </c>
      <c r="O237" s="25">
        <f t="shared" si="26"/>
        <v>42826</v>
      </c>
      <c r="P237" s="5" t="str">
        <f t="shared" si="27"/>
        <v>0,14</v>
      </c>
      <c r="Q237" s="4" t="e">
        <f t="shared" ca="1" si="28"/>
        <v>#NAME?</v>
      </c>
    </row>
    <row r="238" spans="1:17">
      <c r="A238" s="1">
        <f t="shared" si="30"/>
        <v>237</v>
      </c>
      <c r="C238" s="8" t="s">
        <v>17</v>
      </c>
      <c r="D238" s="2">
        <v>42864</v>
      </c>
      <c r="E238" s="3">
        <f>10500/100000</f>
        <v>0.105</v>
      </c>
      <c r="F238" t="s">
        <v>270</v>
      </c>
      <c r="G238" t="s">
        <v>271</v>
      </c>
      <c r="H238" t="s">
        <v>272</v>
      </c>
      <c r="I238" s="6" t="s">
        <v>317</v>
      </c>
      <c r="J238" s="61" t="s">
        <v>22</v>
      </c>
      <c r="L238" s="5" t="str">
        <f t="shared" si="24"/>
        <v>00237</v>
      </c>
      <c r="M238" s="47" t="str">
        <f t="shared" si="25"/>
        <v>09 de mayo de 2017</v>
      </c>
      <c r="N238" s="323">
        <f t="shared" si="29"/>
        <v>9</v>
      </c>
      <c r="O238" s="25">
        <f t="shared" si="26"/>
        <v>42856</v>
      </c>
      <c r="P238" s="5" t="str">
        <f t="shared" si="27"/>
        <v>0,11</v>
      </c>
      <c r="Q238" s="4" t="e">
        <f t="shared" ca="1" si="28"/>
        <v>#NAME?</v>
      </c>
    </row>
    <row r="239" spans="1:17">
      <c r="A239" s="1">
        <f t="shared" si="30"/>
        <v>238</v>
      </c>
      <c r="C239" s="8" t="s">
        <v>17</v>
      </c>
      <c r="D239" s="2">
        <v>42864</v>
      </c>
      <c r="E239" s="3">
        <f>24000/100000</f>
        <v>0.24</v>
      </c>
      <c r="F239" t="s">
        <v>130</v>
      </c>
      <c r="G239" t="s">
        <v>131</v>
      </c>
      <c r="H239" t="s">
        <v>132</v>
      </c>
      <c r="I239" s="6" t="s">
        <v>396</v>
      </c>
      <c r="J239" s="61" t="s">
        <v>22</v>
      </c>
      <c r="L239" s="5" t="str">
        <f t="shared" si="24"/>
        <v>00238</v>
      </c>
      <c r="M239" s="47" t="str">
        <f t="shared" si="25"/>
        <v>09 de mayo de 2017</v>
      </c>
      <c r="N239" s="323">
        <f t="shared" si="29"/>
        <v>9</v>
      </c>
      <c r="O239" s="25">
        <f t="shared" si="26"/>
        <v>42856</v>
      </c>
      <c r="P239" s="5" t="str">
        <f t="shared" si="27"/>
        <v>0,24</v>
      </c>
      <c r="Q239" s="4" t="e">
        <f t="shared" ca="1" si="28"/>
        <v>#NAME?</v>
      </c>
    </row>
    <row r="240" spans="1:17">
      <c r="A240" s="1">
        <f t="shared" si="30"/>
        <v>239</v>
      </c>
      <c r="C240" s="8" t="s">
        <v>17</v>
      </c>
      <c r="D240" s="2">
        <v>42864</v>
      </c>
      <c r="E240" s="3">
        <f>17000*2/100000+26000/100000</f>
        <v>0.60000000000000009</v>
      </c>
      <c r="F240" t="s">
        <v>114</v>
      </c>
      <c r="G240" t="s">
        <v>115</v>
      </c>
      <c r="H240" t="s">
        <v>116</v>
      </c>
      <c r="I240" s="6" t="s">
        <v>430</v>
      </c>
      <c r="J240" s="61" t="s">
        <v>22</v>
      </c>
      <c r="L240" s="5" t="str">
        <f t="shared" si="24"/>
        <v>00239</v>
      </c>
      <c r="M240" s="47" t="str">
        <f t="shared" si="25"/>
        <v>09 de mayo de 2017</v>
      </c>
      <c r="N240" s="323">
        <f t="shared" si="29"/>
        <v>9</v>
      </c>
      <c r="O240" s="25">
        <f t="shared" si="26"/>
        <v>42856</v>
      </c>
      <c r="P240" s="5" t="str">
        <f t="shared" si="27"/>
        <v>0,60</v>
      </c>
      <c r="Q240" s="4" t="e">
        <f t="shared" ca="1" si="28"/>
        <v>#NAME?</v>
      </c>
    </row>
    <row r="241" spans="1:17">
      <c r="A241" s="1">
        <f t="shared" si="30"/>
        <v>240</v>
      </c>
      <c r="C241" s="8" t="s">
        <v>17</v>
      </c>
      <c r="D241" s="2">
        <v>42865</v>
      </c>
      <c r="E241" s="3">
        <f>26000/100000</f>
        <v>0.26</v>
      </c>
      <c r="F241" t="s">
        <v>103</v>
      </c>
      <c r="G241" t="s">
        <v>104</v>
      </c>
      <c r="H241" t="s">
        <v>105</v>
      </c>
      <c r="I241" s="6" t="s">
        <v>420</v>
      </c>
      <c r="J241" s="61" t="s">
        <v>22</v>
      </c>
      <c r="L241" s="5" t="str">
        <f t="shared" si="24"/>
        <v>00240</v>
      </c>
      <c r="M241" s="47" t="str">
        <f t="shared" si="25"/>
        <v>10 de mayo de 2017</v>
      </c>
      <c r="N241" s="323">
        <f t="shared" si="29"/>
        <v>10</v>
      </c>
      <c r="O241" s="25">
        <f t="shared" si="26"/>
        <v>42856</v>
      </c>
      <c r="P241" s="5" t="str">
        <f t="shared" si="27"/>
        <v>0,26</v>
      </c>
      <c r="Q241" s="4" t="e">
        <f t="shared" ca="1" si="28"/>
        <v>#NAME?</v>
      </c>
    </row>
    <row r="242" spans="1:17">
      <c r="A242" s="1">
        <f t="shared" si="30"/>
        <v>241</v>
      </c>
      <c r="C242" s="8" t="s">
        <v>17</v>
      </c>
      <c r="D242" s="2">
        <v>42865</v>
      </c>
      <c r="E242" s="3">
        <f>17000/100000</f>
        <v>0.17</v>
      </c>
      <c r="F242" t="s">
        <v>284</v>
      </c>
      <c r="G242" t="s">
        <v>276</v>
      </c>
      <c r="H242" t="s">
        <v>285</v>
      </c>
      <c r="I242" s="6" t="s">
        <v>395</v>
      </c>
      <c r="J242" s="61" t="s">
        <v>22</v>
      </c>
      <c r="L242" s="5" t="str">
        <f t="shared" si="24"/>
        <v>00241</v>
      </c>
      <c r="M242" s="47" t="str">
        <f t="shared" si="25"/>
        <v>10 de mayo de 2017</v>
      </c>
      <c r="N242" s="323">
        <f t="shared" si="29"/>
        <v>10</v>
      </c>
      <c r="O242" s="25">
        <f t="shared" si="26"/>
        <v>42856</v>
      </c>
      <c r="P242" s="5" t="str">
        <f t="shared" si="27"/>
        <v>0,17</v>
      </c>
      <c r="Q242" s="4" t="e">
        <f t="shared" ca="1" si="28"/>
        <v>#NAME?</v>
      </c>
    </row>
    <row r="243" spans="1:17">
      <c r="A243" s="1">
        <f t="shared" si="30"/>
        <v>242</v>
      </c>
      <c r="C243" s="8" t="s">
        <v>17</v>
      </c>
      <c r="D243" s="2">
        <v>42865</v>
      </c>
      <c r="E243" s="3">
        <f>10000/100000</f>
        <v>0.1</v>
      </c>
      <c r="F243" t="s">
        <v>401</v>
      </c>
      <c r="G243" t="s">
        <v>402</v>
      </c>
      <c r="H243" t="s">
        <v>403</v>
      </c>
      <c r="I243" s="6" t="s">
        <v>427</v>
      </c>
      <c r="J243" s="61" t="s">
        <v>22</v>
      </c>
      <c r="L243" s="5" t="str">
        <f t="shared" si="24"/>
        <v>00242</v>
      </c>
      <c r="M243" s="47" t="str">
        <f t="shared" si="25"/>
        <v>10 de mayo de 2017</v>
      </c>
      <c r="N243" s="323">
        <f t="shared" si="29"/>
        <v>10</v>
      </c>
      <c r="O243" s="25">
        <f t="shared" si="26"/>
        <v>42856</v>
      </c>
      <c r="P243" s="5" t="str">
        <f t="shared" si="27"/>
        <v>0,10</v>
      </c>
      <c r="Q243" s="4" t="e">
        <f t="shared" ca="1" si="28"/>
        <v>#NAME?</v>
      </c>
    </row>
    <row r="244" spans="1:17">
      <c r="A244" s="1">
        <f t="shared" si="30"/>
        <v>243</v>
      </c>
      <c r="C244" s="8" t="s">
        <v>17</v>
      </c>
      <c r="D244" s="2">
        <v>42866</v>
      </c>
      <c r="E244" s="3">
        <f>26000/100000</f>
        <v>0.26</v>
      </c>
      <c r="F244" t="s">
        <v>66</v>
      </c>
      <c r="G244" t="s">
        <v>67</v>
      </c>
      <c r="H244" t="s">
        <v>68</v>
      </c>
      <c r="I244" s="6" t="s">
        <v>431</v>
      </c>
      <c r="J244" s="61" t="s">
        <v>22</v>
      </c>
      <c r="L244" s="5" t="str">
        <f t="shared" si="24"/>
        <v>00243</v>
      </c>
      <c r="M244" s="47" t="str">
        <f t="shared" si="25"/>
        <v>11 de mayo de 2017</v>
      </c>
      <c r="N244" s="323">
        <f t="shared" si="29"/>
        <v>11</v>
      </c>
      <c r="O244" s="25">
        <f t="shared" si="26"/>
        <v>42856</v>
      </c>
      <c r="P244" s="5" t="str">
        <f t="shared" si="27"/>
        <v>0,26</v>
      </c>
      <c r="Q244" s="4" t="e">
        <f t="shared" ca="1" si="28"/>
        <v>#NAME?</v>
      </c>
    </row>
    <row r="245" spans="1:17">
      <c r="A245" s="1">
        <f t="shared" si="30"/>
        <v>244</v>
      </c>
      <c r="C245" s="8" t="s">
        <v>17</v>
      </c>
      <c r="D245" s="2">
        <v>42866</v>
      </c>
      <c r="E245" s="3">
        <f>15000/100000</f>
        <v>0.15</v>
      </c>
      <c r="F245" t="s">
        <v>181</v>
      </c>
      <c r="G245" t="s">
        <v>182</v>
      </c>
      <c r="H245" t="s">
        <v>183</v>
      </c>
      <c r="I245" s="6" t="s">
        <v>427</v>
      </c>
      <c r="J245" s="61" t="s">
        <v>22</v>
      </c>
      <c r="L245" s="5" t="str">
        <f t="shared" si="24"/>
        <v>00244</v>
      </c>
      <c r="M245" s="47" t="str">
        <f t="shared" si="25"/>
        <v>11 de mayo de 2017</v>
      </c>
      <c r="N245" s="323">
        <f t="shared" si="29"/>
        <v>11</v>
      </c>
      <c r="O245" s="25">
        <f t="shared" si="26"/>
        <v>42856</v>
      </c>
      <c r="P245" s="5" t="str">
        <f t="shared" si="27"/>
        <v>0,15</v>
      </c>
      <c r="Q245" s="4" t="e">
        <f t="shared" ca="1" si="28"/>
        <v>#NAME?</v>
      </c>
    </row>
    <row r="246" spans="1:17">
      <c r="A246" s="1">
        <f t="shared" si="30"/>
        <v>245</v>
      </c>
      <c r="C246" s="8" t="s">
        <v>17</v>
      </c>
      <c r="D246" s="2">
        <v>42866</v>
      </c>
      <c r="E246" s="3">
        <f>10000/100000</f>
        <v>0.1</v>
      </c>
      <c r="F246" t="s">
        <v>252</v>
      </c>
      <c r="G246" t="s">
        <v>253</v>
      </c>
      <c r="H246" t="s">
        <v>254</v>
      </c>
      <c r="I246" s="6" t="s">
        <v>427</v>
      </c>
      <c r="J246" s="61" t="s">
        <v>22</v>
      </c>
      <c r="L246" s="5" t="str">
        <f t="shared" si="24"/>
        <v>00245</v>
      </c>
      <c r="M246" s="47" t="str">
        <f t="shared" si="25"/>
        <v>11 de mayo de 2017</v>
      </c>
      <c r="N246" s="323">
        <f t="shared" si="29"/>
        <v>11</v>
      </c>
      <c r="O246" s="25">
        <f t="shared" si="26"/>
        <v>42856</v>
      </c>
      <c r="P246" s="5" t="str">
        <f t="shared" si="27"/>
        <v>0,10</v>
      </c>
      <c r="Q246" s="4" t="e">
        <f t="shared" ca="1" si="28"/>
        <v>#NAME?</v>
      </c>
    </row>
    <row r="247" spans="1:17">
      <c r="A247" s="1">
        <f t="shared" si="30"/>
        <v>246</v>
      </c>
      <c r="C247" s="8" t="s">
        <v>17</v>
      </c>
      <c r="D247" s="2">
        <v>42868</v>
      </c>
      <c r="E247" s="3">
        <f>7000/100000</f>
        <v>7.0000000000000007E-2</v>
      </c>
      <c r="F247" t="s">
        <v>48</v>
      </c>
      <c r="G247" t="s">
        <v>49</v>
      </c>
      <c r="H247" t="s">
        <v>50</v>
      </c>
      <c r="I247" s="6" t="s">
        <v>427</v>
      </c>
      <c r="J247" s="61" t="s">
        <v>22</v>
      </c>
      <c r="L247" s="5" t="str">
        <f t="shared" si="24"/>
        <v>00246</v>
      </c>
      <c r="M247" s="47" t="str">
        <f t="shared" si="25"/>
        <v>13 de mayo de 2017</v>
      </c>
      <c r="N247" s="323">
        <f t="shared" si="29"/>
        <v>13</v>
      </c>
      <c r="O247" s="25">
        <f t="shared" si="26"/>
        <v>42856</v>
      </c>
      <c r="P247" s="5" t="str">
        <f t="shared" si="27"/>
        <v>0,07</v>
      </c>
      <c r="Q247" s="4" t="e">
        <f t="shared" ca="1" si="28"/>
        <v>#NAME?</v>
      </c>
    </row>
    <row r="248" spans="1:17">
      <c r="A248" s="1">
        <f t="shared" si="30"/>
        <v>247</v>
      </c>
      <c r="C248" s="8" t="s">
        <v>17</v>
      </c>
      <c r="D248" s="2">
        <v>42870</v>
      </c>
      <c r="E248" s="3">
        <f>26000/100000</f>
        <v>0.26</v>
      </c>
      <c r="F248" t="s">
        <v>36</v>
      </c>
      <c r="G248" t="s">
        <v>37</v>
      </c>
      <c r="H248" t="s">
        <v>38</v>
      </c>
      <c r="I248" s="6" t="s">
        <v>420</v>
      </c>
      <c r="J248" s="61" t="s">
        <v>22</v>
      </c>
      <c r="L248" s="5" t="str">
        <f t="shared" si="24"/>
        <v>00247</v>
      </c>
      <c r="M248" s="47" t="str">
        <f t="shared" si="25"/>
        <v>15 de mayo de 2017</v>
      </c>
      <c r="N248" s="323">
        <f t="shared" si="29"/>
        <v>15</v>
      </c>
      <c r="O248" s="25">
        <f t="shared" si="26"/>
        <v>42856</v>
      </c>
      <c r="P248" s="5" t="str">
        <f t="shared" si="27"/>
        <v>0,26</v>
      </c>
      <c r="Q248" s="4" t="e">
        <f t="shared" ca="1" si="28"/>
        <v>#NAME?</v>
      </c>
    </row>
    <row r="249" spans="1:17">
      <c r="A249" s="1">
        <f t="shared" si="30"/>
        <v>248</v>
      </c>
      <c r="C249" s="8" t="s">
        <v>17</v>
      </c>
      <c r="D249" s="2">
        <v>42870</v>
      </c>
      <c r="E249" s="3">
        <f>17000/100000</f>
        <v>0.17</v>
      </c>
      <c r="F249" t="s">
        <v>201</v>
      </c>
      <c r="G249" t="s">
        <v>202</v>
      </c>
      <c r="H249" t="s">
        <v>203</v>
      </c>
      <c r="I249" s="6" t="s">
        <v>395</v>
      </c>
      <c r="J249" s="61" t="s">
        <v>22</v>
      </c>
      <c r="L249" s="5" t="str">
        <f t="shared" si="24"/>
        <v>00248</v>
      </c>
      <c r="M249" s="47" t="str">
        <f t="shared" si="25"/>
        <v>15 de mayo de 2017</v>
      </c>
      <c r="N249" s="323">
        <f t="shared" si="29"/>
        <v>15</v>
      </c>
      <c r="O249" s="25">
        <f t="shared" si="26"/>
        <v>42856</v>
      </c>
      <c r="P249" s="5" t="str">
        <f t="shared" si="27"/>
        <v>0,17</v>
      </c>
      <c r="Q249" s="4" t="e">
        <f t="shared" ca="1" si="28"/>
        <v>#NAME?</v>
      </c>
    </row>
    <row r="250" spans="1:17">
      <c r="A250" s="1">
        <f t="shared" si="30"/>
        <v>249</v>
      </c>
      <c r="C250" s="8" t="s">
        <v>17</v>
      </c>
      <c r="D250" s="2">
        <v>42870</v>
      </c>
      <c r="E250" s="3">
        <f>20000/100000</f>
        <v>0.2</v>
      </c>
      <c r="F250" t="s">
        <v>28</v>
      </c>
      <c r="G250" t="s">
        <v>29</v>
      </c>
      <c r="H250" t="s">
        <v>30</v>
      </c>
      <c r="I250" s="6" t="s">
        <v>427</v>
      </c>
      <c r="J250" s="61" t="s">
        <v>22</v>
      </c>
      <c r="L250" s="5" t="str">
        <f t="shared" si="24"/>
        <v>00249</v>
      </c>
      <c r="M250" s="47" t="str">
        <f t="shared" si="25"/>
        <v>15 de mayo de 2017</v>
      </c>
      <c r="N250" s="323">
        <f t="shared" si="29"/>
        <v>15</v>
      </c>
      <c r="O250" s="25">
        <f t="shared" si="26"/>
        <v>42856</v>
      </c>
      <c r="P250" s="5" t="str">
        <f t="shared" si="27"/>
        <v>0,20</v>
      </c>
      <c r="Q250" s="4" t="e">
        <f t="shared" ca="1" si="28"/>
        <v>#NAME?</v>
      </c>
    </row>
    <row r="251" spans="1:17">
      <c r="A251" s="1">
        <f t="shared" si="30"/>
        <v>250</v>
      </c>
      <c r="C251" s="8" t="s">
        <v>17</v>
      </c>
      <c r="D251" s="2">
        <v>42870</v>
      </c>
      <c r="E251" s="3">
        <f>26000/100000</f>
        <v>0.26</v>
      </c>
      <c r="F251" t="s">
        <v>122</v>
      </c>
      <c r="G251" t="s">
        <v>123</v>
      </c>
      <c r="H251" t="s">
        <v>124</v>
      </c>
      <c r="I251" s="6" t="s">
        <v>420</v>
      </c>
      <c r="J251" s="61" t="s">
        <v>22</v>
      </c>
      <c r="L251" s="5" t="str">
        <f t="shared" si="24"/>
        <v>00250</v>
      </c>
      <c r="M251" s="47" t="str">
        <f t="shared" si="25"/>
        <v>15 de mayo de 2017</v>
      </c>
      <c r="N251" s="323">
        <f t="shared" si="29"/>
        <v>15</v>
      </c>
      <c r="O251" s="25">
        <f t="shared" si="26"/>
        <v>42856</v>
      </c>
      <c r="P251" s="5" t="str">
        <f t="shared" si="27"/>
        <v>0,26</v>
      </c>
      <c r="Q251" s="4" t="e">
        <f t="shared" ca="1" si="28"/>
        <v>#NAME?</v>
      </c>
    </row>
    <row r="252" spans="1:17" ht="15.75" thickBot="1">
      <c r="A252" s="1">
        <f t="shared" si="30"/>
        <v>251</v>
      </c>
      <c r="C252" s="8" t="s">
        <v>17</v>
      </c>
      <c r="D252" s="2">
        <v>42870</v>
      </c>
      <c r="E252" s="3">
        <f>26000/100000</f>
        <v>0.26</v>
      </c>
      <c r="F252" t="s">
        <v>152</v>
      </c>
      <c r="G252" t="s">
        <v>153</v>
      </c>
      <c r="H252" t="s">
        <v>154</v>
      </c>
      <c r="I252" s="6" t="s">
        <v>420</v>
      </c>
      <c r="J252" s="61" t="s">
        <v>22</v>
      </c>
      <c r="L252" s="5" t="str">
        <f t="shared" si="24"/>
        <v>00251</v>
      </c>
      <c r="M252" s="47" t="str">
        <f t="shared" si="25"/>
        <v>15 de mayo de 2017</v>
      </c>
      <c r="N252" s="323">
        <f t="shared" si="29"/>
        <v>15</v>
      </c>
      <c r="O252" s="25">
        <f t="shared" si="26"/>
        <v>42856</v>
      </c>
      <c r="P252" s="5" t="str">
        <f t="shared" si="27"/>
        <v>0,26</v>
      </c>
      <c r="Q252" s="4" t="e">
        <f t="shared" ca="1" si="28"/>
        <v>#NAME?</v>
      </c>
    </row>
    <row r="253" spans="1:17" ht="15.75" thickBot="1">
      <c r="A253" s="1">
        <f t="shared" si="30"/>
        <v>252</v>
      </c>
      <c r="C253" s="8" t="s">
        <v>17</v>
      </c>
      <c r="D253" s="2">
        <v>42864</v>
      </c>
      <c r="E253" s="3">
        <f>5000/100000</f>
        <v>0.05</v>
      </c>
      <c r="F253" t="s">
        <v>74</v>
      </c>
      <c r="G253" s="18" t="s">
        <v>58</v>
      </c>
      <c r="H253" t="s">
        <v>75</v>
      </c>
      <c r="I253" s="6" t="s">
        <v>427</v>
      </c>
      <c r="J253" s="61" t="s">
        <v>22</v>
      </c>
      <c r="L253" s="5" t="str">
        <f t="shared" si="24"/>
        <v>00252</v>
      </c>
      <c r="M253" s="47" t="str">
        <f t="shared" si="25"/>
        <v>09 de mayo de 2017</v>
      </c>
      <c r="N253" s="323">
        <f t="shared" si="29"/>
        <v>9</v>
      </c>
      <c r="O253" s="25">
        <f t="shared" si="26"/>
        <v>42856</v>
      </c>
      <c r="P253" s="5" t="str">
        <f t="shared" si="27"/>
        <v>0,05</v>
      </c>
      <c r="Q253" s="4" t="e">
        <f t="shared" ca="1" si="28"/>
        <v>#NAME?</v>
      </c>
    </row>
    <row r="254" spans="1:17">
      <c r="A254" s="1">
        <f t="shared" si="30"/>
        <v>253</v>
      </c>
      <c r="C254" s="8" t="s">
        <v>17</v>
      </c>
      <c r="D254" s="2">
        <v>42871</v>
      </c>
      <c r="E254" s="3">
        <f>17000/100000</f>
        <v>0.17</v>
      </c>
      <c r="F254" t="s">
        <v>334</v>
      </c>
      <c r="G254" t="s">
        <v>85</v>
      </c>
      <c r="H254" t="s">
        <v>335</v>
      </c>
      <c r="I254" s="6" t="s">
        <v>427</v>
      </c>
      <c r="J254" s="61" t="s">
        <v>22</v>
      </c>
      <c r="L254" s="5" t="str">
        <f t="shared" si="24"/>
        <v>00253</v>
      </c>
      <c r="M254" s="47" t="str">
        <f t="shared" si="25"/>
        <v>16 de mayo de 2017</v>
      </c>
      <c r="N254" s="323">
        <f t="shared" si="29"/>
        <v>16</v>
      </c>
      <c r="O254" s="25">
        <f t="shared" si="26"/>
        <v>42856</v>
      </c>
      <c r="P254" s="5" t="str">
        <f t="shared" si="27"/>
        <v>0,17</v>
      </c>
      <c r="Q254" s="4" t="e">
        <f t="shared" ca="1" si="28"/>
        <v>#NAME?</v>
      </c>
    </row>
    <row r="255" spans="1:17" ht="15.75" thickBot="1">
      <c r="A255" s="1">
        <f t="shared" si="30"/>
        <v>254</v>
      </c>
      <c r="C255" s="8" t="s">
        <v>17</v>
      </c>
      <c r="D255" s="2">
        <v>42872</v>
      </c>
      <c r="E255" s="3">
        <f>26000/100000</f>
        <v>0.26</v>
      </c>
      <c r="F255" t="s">
        <v>80</v>
      </c>
      <c r="G255" t="s">
        <v>81</v>
      </c>
      <c r="H255" t="s">
        <v>82</v>
      </c>
      <c r="I255" s="6" t="s">
        <v>420</v>
      </c>
      <c r="J255" s="61" t="s">
        <v>22</v>
      </c>
      <c r="L255" s="5" t="str">
        <f t="shared" si="24"/>
        <v>00254</v>
      </c>
      <c r="M255" s="47" t="str">
        <f t="shared" si="25"/>
        <v>17 de mayo de 2017</v>
      </c>
      <c r="N255" s="323">
        <f t="shared" si="29"/>
        <v>17</v>
      </c>
      <c r="O255" s="25">
        <f t="shared" si="26"/>
        <v>42856</v>
      </c>
      <c r="P255" s="5" t="str">
        <f t="shared" si="27"/>
        <v>0,26</v>
      </c>
      <c r="Q255" s="4" t="e">
        <f t="shared" ca="1" si="28"/>
        <v>#NAME?</v>
      </c>
    </row>
    <row r="256" spans="1:17" ht="15.75" thickBot="1">
      <c r="A256" s="1">
        <f t="shared" si="30"/>
        <v>255</v>
      </c>
      <c r="C256" s="8" t="s">
        <v>17</v>
      </c>
      <c r="D256" s="2">
        <v>42809</v>
      </c>
      <c r="E256" s="3">
        <f>20000/100000</f>
        <v>0.2</v>
      </c>
      <c r="F256" s="20" t="s">
        <v>57</v>
      </c>
      <c r="G256" s="18" t="s">
        <v>58</v>
      </c>
      <c r="H256" s="21" t="s">
        <v>59</v>
      </c>
      <c r="I256" s="6" t="s">
        <v>306</v>
      </c>
      <c r="J256" s="61" t="s">
        <v>22</v>
      </c>
      <c r="K256" s="22"/>
      <c r="L256" s="5" t="str">
        <f t="shared" si="24"/>
        <v>00255</v>
      </c>
      <c r="M256" s="47" t="str">
        <f t="shared" si="25"/>
        <v>15 de marzo de 2017</v>
      </c>
      <c r="N256" s="323">
        <f t="shared" si="29"/>
        <v>15</v>
      </c>
      <c r="O256" s="25">
        <f t="shared" si="26"/>
        <v>42795</v>
      </c>
      <c r="P256" s="5" t="str">
        <f t="shared" si="27"/>
        <v>0,20</v>
      </c>
      <c r="Q256" s="4" t="e">
        <f t="shared" ca="1" si="28"/>
        <v>#NAME?</v>
      </c>
    </row>
    <row r="257" spans="1:17" ht="15.75" thickBot="1">
      <c r="A257" s="1">
        <f t="shared" si="30"/>
        <v>256</v>
      </c>
      <c r="C257" s="8" t="s">
        <v>17</v>
      </c>
      <c r="D257" s="2">
        <v>42840</v>
      </c>
      <c r="E257" s="3">
        <f>20000/100000</f>
        <v>0.2</v>
      </c>
      <c r="F257" s="20" t="s">
        <v>57</v>
      </c>
      <c r="G257" s="18" t="s">
        <v>58</v>
      </c>
      <c r="H257" s="21" t="s">
        <v>59</v>
      </c>
      <c r="I257" s="6" t="s">
        <v>395</v>
      </c>
      <c r="J257" s="61" t="s">
        <v>22</v>
      </c>
      <c r="K257" s="22"/>
      <c r="L257" s="5" t="str">
        <f t="shared" si="24"/>
        <v>00256</v>
      </c>
      <c r="M257" s="47" t="str">
        <f t="shared" si="25"/>
        <v>15 de abril de 2017</v>
      </c>
      <c r="N257" s="323">
        <f t="shared" si="29"/>
        <v>15</v>
      </c>
      <c r="O257" s="25">
        <f t="shared" si="26"/>
        <v>42826</v>
      </c>
      <c r="P257" s="5" t="str">
        <f t="shared" si="27"/>
        <v>0,20</v>
      </c>
      <c r="Q257" s="4" t="e">
        <f t="shared" ca="1" si="28"/>
        <v>#NAME?</v>
      </c>
    </row>
    <row r="258" spans="1:17" ht="15.75" thickBot="1">
      <c r="A258" s="1">
        <f t="shared" si="30"/>
        <v>257</v>
      </c>
      <c r="C258" s="8" t="s">
        <v>17</v>
      </c>
      <c r="D258" s="2">
        <v>42781</v>
      </c>
      <c r="E258" s="3">
        <f>30000/100000</f>
        <v>0.3</v>
      </c>
      <c r="F258" s="23" t="s">
        <v>422</v>
      </c>
      <c r="G258" s="18" t="s">
        <v>58</v>
      </c>
      <c r="H258" t="s">
        <v>423</v>
      </c>
      <c r="I258" s="6" t="s">
        <v>142</v>
      </c>
      <c r="J258" s="61" t="s">
        <v>22</v>
      </c>
      <c r="L258" s="5" t="str">
        <f t="shared" ref="L258:L321" si="31">IF(ISBLANK(A258),"",TEXT(A258,"00000"))</f>
        <v>00257</v>
      </c>
      <c r="M258" s="47" t="str">
        <f t="shared" ref="M258:M321" si="32">IF(ISBLANK(D258),"",TEXT(D258,"dd")&amp;" de "&amp;TEXT(D258,"mmmm")&amp;" de "&amp;TEXT(YEAR(D258),"0"))</f>
        <v>15 de febrero de 2017</v>
      </c>
      <c r="N258" s="323">
        <f t="shared" si="29"/>
        <v>15</v>
      </c>
      <c r="O258" s="25">
        <f t="shared" ref="O258:O321" si="33">DATE(YEAR(D258),MONTH(D258),1)</f>
        <v>42767</v>
      </c>
      <c r="P258" s="5" t="str">
        <f t="shared" ref="P258:P276" si="34">TEXT(E258,"#.##0,00")</f>
        <v>0,30</v>
      </c>
      <c r="Q258" s="4" t="e">
        <f t="shared" ref="Q258:Q321" ca="1" si="35">CONVERTIRNUM(E258)</f>
        <v>#NAME?</v>
      </c>
    </row>
    <row r="259" spans="1:17" ht="15.75" thickBot="1">
      <c r="A259" s="1">
        <f t="shared" si="30"/>
        <v>258</v>
      </c>
      <c r="C259" s="8" t="s">
        <v>17</v>
      </c>
      <c r="D259" s="2">
        <v>42809</v>
      </c>
      <c r="E259" s="3">
        <f>30000/100000</f>
        <v>0.3</v>
      </c>
      <c r="F259" s="23" t="s">
        <v>422</v>
      </c>
      <c r="G259" s="18" t="s">
        <v>58</v>
      </c>
      <c r="H259" t="s">
        <v>423</v>
      </c>
      <c r="I259" s="6" t="s">
        <v>306</v>
      </c>
      <c r="J259" s="61" t="s">
        <v>22</v>
      </c>
      <c r="L259" s="5" t="str">
        <f t="shared" si="31"/>
        <v>00258</v>
      </c>
      <c r="M259" s="47" t="str">
        <f t="shared" si="32"/>
        <v>15 de marzo de 2017</v>
      </c>
      <c r="N259" s="323">
        <f t="shared" ref="N259:N322" si="36">DAY(D259)</f>
        <v>15</v>
      </c>
      <c r="O259" s="25">
        <f t="shared" si="33"/>
        <v>42795</v>
      </c>
      <c r="P259" s="5" t="str">
        <f t="shared" si="34"/>
        <v>0,30</v>
      </c>
      <c r="Q259" s="4" t="e">
        <f t="shared" ca="1" si="35"/>
        <v>#NAME?</v>
      </c>
    </row>
    <row r="260" spans="1:17" ht="15.75" thickBot="1">
      <c r="A260" s="1">
        <f t="shared" ref="A260:A323" si="37">A259+1</f>
        <v>259</v>
      </c>
      <c r="C260" s="8" t="s">
        <v>17</v>
      </c>
      <c r="D260" s="2">
        <v>42840</v>
      </c>
      <c r="E260" s="3">
        <f>30000/100000</f>
        <v>0.3</v>
      </c>
      <c r="F260" s="23" t="s">
        <v>422</v>
      </c>
      <c r="G260" s="18" t="s">
        <v>58</v>
      </c>
      <c r="H260" t="s">
        <v>423</v>
      </c>
      <c r="I260" s="6" t="s">
        <v>395</v>
      </c>
      <c r="J260" s="61" t="s">
        <v>22</v>
      </c>
      <c r="L260" s="5" t="str">
        <f t="shared" si="31"/>
        <v>00259</v>
      </c>
      <c r="M260" s="47" t="str">
        <f t="shared" si="32"/>
        <v>15 de abril de 2017</v>
      </c>
      <c r="N260" s="323">
        <f t="shared" si="36"/>
        <v>15</v>
      </c>
      <c r="O260" s="25">
        <f t="shared" si="33"/>
        <v>42826</v>
      </c>
      <c r="P260" s="5" t="str">
        <f t="shared" si="34"/>
        <v>0,30</v>
      </c>
      <c r="Q260" s="4" t="e">
        <f t="shared" ca="1" si="35"/>
        <v>#NAME?</v>
      </c>
    </row>
    <row r="261" spans="1:17" ht="15.75" thickBot="1">
      <c r="A261" s="1">
        <f t="shared" si="37"/>
        <v>260</v>
      </c>
      <c r="C261" s="8" t="s">
        <v>17</v>
      </c>
      <c r="D261" s="2">
        <v>42873</v>
      </c>
      <c r="E261" s="3">
        <f>20000/100000</f>
        <v>0.2</v>
      </c>
      <c r="F261" t="s">
        <v>118</v>
      </c>
      <c r="G261" t="s">
        <v>119</v>
      </c>
      <c r="H261" t="s">
        <v>120</v>
      </c>
      <c r="I261" s="6" t="s">
        <v>427</v>
      </c>
      <c r="J261" s="61" t="s">
        <v>22</v>
      </c>
      <c r="L261" s="5" t="str">
        <f t="shared" si="31"/>
        <v>00260</v>
      </c>
      <c r="M261" s="47" t="str">
        <f t="shared" si="32"/>
        <v>18 de mayo de 2017</v>
      </c>
      <c r="N261" s="323">
        <f t="shared" si="36"/>
        <v>18</v>
      </c>
      <c r="O261" s="25">
        <f t="shared" si="33"/>
        <v>42856</v>
      </c>
      <c r="P261" s="5" t="str">
        <f t="shared" si="34"/>
        <v>0,20</v>
      </c>
      <c r="Q261" s="4" t="e">
        <f t="shared" ca="1" si="35"/>
        <v>#NAME?</v>
      </c>
    </row>
    <row r="262" spans="1:17" ht="15.75" thickBot="1">
      <c r="A262" s="1">
        <f t="shared" si="37"/>
        <v>261</v>
      </c>
      <c r="C262" s="8" t="s">
        <v>17</v>
      </c>
      <c r="D262" s="2">
        <v>42877</v>
      </c>
      <c r="E262" s="3">
        <f>30000/100000</f>
        <v>0.3</v>
      </c>
      <c r="F262" s="20" t="s">
        <v>57</v>
      </c>
      <c r="G262" s="18" t="s">
        <v>58</v>
      </c>
      <c r="H262" s="21" t="s">
        <v>59</v>
      </c>
      <c r="I262" s="6" t="s">
        <v>420</v>
      </c>
      <c r="J262" s="61" t="s">
        <v>22</v>
      </c>
      <c r="K262" s="22"/>
      <c r="L262" s="5" t="str">
        <f t="shared" si="31"/>
        <v>00261</v>
      </c>
      <c r="M262" s="47" t="str">
        <f t="shared" si="32"/>
        <v>22 de mayo de 2017</v>
      </c>
      <c r="N262" s="323">
        <f t="shared" si="36"/>
        <v>22</v>
      </c>
      <c r="O262" s="25">
        <f t="shared" si="33"/>
        <v>42856</v>
      </c>
      <c r="P262" s="5" t="str">
        <f t="shared" si="34"/>
        <v>0,30</v>
      </c>
      <c r="Q262" s="4" t="e">
        <f t="shared" ca="1" si="35"/>
        <v>#NAME?</v>
      </c>
    </row>
    <row r="263" spans="1:17" ht="15.75" thickBot="1">
      <c r="A263" s="1">
        <f t="shared" si="37"/>
        <v>262</v>
      </c>
      <c r="C263" s="8" t="s">
        <v>17</v>
      </c>
      <c r="D263" s="2">
        <v>42877</v>
      </c>
      <c r="E263" s="3">
        <f>17000/100000+17000/100000</f>
        <v>0.34</v>
      </c>
      <c r="F263" t="s">
        <v>319</v>
      </c>
      <c r="G263" s="18" t="s">
        <v>58</v>
      </c>
      <c r="H263" t="s">
        <v>320</v>
      </c>
      <c r="I263" s="6" t="s">
        <v>432</v>
      </c>
      <c r="J263" s="61" t="s">
        <v>22</v>
      </c>
      <c r="L263" s="5" t="str">
        <f t="shared" si="31"/>
        <v>00262</v>
      </c>
      <c r="M263" s="47" t="str">
        <f t="shared" si="32"/>
        <v>22 de mayo de 2017</v>
      </c>
      <c r="N263" s="323">
        <f t="shared" si="36"/>
        <v>22</v>
      </c>
      <c r="O263" s="25">
        <f t="shared" si="33"/>
        <v>42856</v>
      </c>
      <c r="P263" s="5" t="str">
        <f t="shared" si="34"/>
        <v>0,34</v>
      </c>
      <c r="Q263" s="4" t="e">
        <f t="shared" ca="1" si="35"/>
        <v>#NAME?</v>
      </c>
    </row>
    <row r="264" spans="1:17" ht="15.75" thickBot="1">
      <c r="A264" s="1">
        <f t="shared" si="37"/>
        <v>263</v>
      </c>
      <c r="C264" s="8" t="s">
        <v>17</v>
      </c>
      <c r="D264" s="2">
        <v>42878</v>
      </c>
      <c r="E264" s="3">
        <f>40000/100000</f>
        <v>0.4</v>
      </c>
      <c r="F264" s="23" t="s">
        <v>422</v>
      </c>
      <c r="G264" s="18" t="s">
        <v>58</v>
      </c>
      <c r="H264" t="s">
        <v>423</v>
      </c>
      <c r="I264" s="6" t="s">
        <v>420</v>
      </c>
      <c r="J264" s="61" t="s">
        <v>22</v>
      </c>
      <c r="L264" s="5" t="str">
        <f t="shared" si="31"/>
        <v>00263</v>
      </c>
      <c r="M264" s="47" t="str">
        <f t="shared" si="32"/>
        <v>23 de mayo de 2017</v>
      </c>
      <c r="N264" s="323">
        <f t="shared" si="36"/>
        <v>23</v>
      </c>
      <c r="O264" s="25">
        <f t="shared" si="33"/>
        <v>42856</v>
      </c>
      <c r="P264" s="5" t="str">
        <f t="shared" si="34"/>
        <v>0,40</v>
      </c>
      <c r="Q264" s="4" t="e">
        <f t="shared" ca="1" si="35"/>
        <v>#NAME?</v>
      </c>
    </row>
    <row r="265" spans="1:17" ht="15.75" thickBot="1">
      <c r="A265" s="1">
        <f t="shared" si="37"/>
        <v>264</v>
      </c>
      <c r="C265" s="8" t="s">
        <v>17</v>
      </c>
      <c r="D265" s="2">
        <v>42879</v>
      </c>
      <c r="E265" s="3">
        <f>26000/100000</f>
        <v>0.26</v>
      </c>
      <c r="F265" t="s">
        <v>259</v>
      </c>
      <c r="G265" s="18" t="s">
        <v>58</v>
      </c>
      <c r="H265" t="s">
        <v>261</v>
      </c>
      <c r="I265" s="6" t="s">
        <v>420</v>
      </c>
      <c r="J265" s="61" t="s">
        <v>22</v>
      </c>
      <c r="L265" s="5" t="str">
        <f t="shared" si="31"/>
        <v>00264</v>
      </c>
      <c r="M265" s="47" t="str">
        <f t="shared" si="32"/>
        <v>24 de mayo de 2017</v>
      </c>
      <c r="N265" s="323">
        <f t="shared" si="36"/>
        <v>24</v>
      </c>
      <c r="O265" s="25">
        <f t="shared" si="33"/>
        <v>42856</v>
      </c>
      <c r="P265" s="5" t="str">
        <f t="shared" si="34"/>
        <v>0,26</v>
      </c>
      <c r="Q265" s="4" t="e">
        <f t="shared" ca="1" si="35"/>
        <v>#NAME?</v>
      </c>
    </row>
    <row r="266" spans="1:17">
      <c r="A266" s="1">
        <f t="shared" si="37"/>
        <v>265</v>
      </c>
      <c r="C266" s="8" t="s">
        <v>17</v>
      </c>
      <c r="D266" s="2">
        <v>42881</v>
      </c>
      <c r="E266" s="3">
        <f>22000/100000</f>
        <v>0.22</v>
      </c>
      <c r="F266" t="s">
        <v>126</v>
      </c>
      <c r="G266" t="s">
        <v>127</v>
      </c>
      <c r="H266" t="s">
        <v>128</v>
      </c>
      <c r="I266" s="6" t="s">
        <v>416</v>
      </c>
      <c r="J266" s="61" t="s">
        <v>22</v>
      </c>
      <c r="L266" s="5" t="str">
        <f t="shared" si="31"/>
        <v>00265</v>
      </c>
      <c r="M266" s="47" t="str">
        <f t="shared" si="32"/>
        <v>26 de mayo de 2017</v>
      </c>
      <c r="N266" s="323">
        <f t="shared" si="36"/>
        <v>26</v>
      </c>
      <c r="O266" s="25">
        <f t="shared" si="33"/>
        <v>42856</v>
      </c>
      <c r="P266" s="5" t="str">
        <f t="shared" si="34"/>
        <v>0,22</v>
      </c>
      <c r="Q266" s="4" t="e">
        <f t="shared" ca="1" si="35"/>
        <v>#NAME?</v>
      </c>
    </row>
    <row r="267" spans="1:17" ht="15.75" thickBot="1">
      <c r="A267" s="1">
        <f t="shared" si="37"/>
        <v>266</v>
      </c>
      <c r="C267" s="8" t="s">
        <v>17</v>
      </c>
      <c r="D267" s="2">
        <v>42879</v>
      </c>
      <c r="E267" s="3">
        <f>3000/100000</f>
        <v>0.03</v>
      </c>
      <c r="F267" t="s">
        <v>144</v>
      </c>
      <c r="G267" t="s">
        <v>145</v>
      </c>
      <c r="H267" t="s">
        <v>146</v>
      </c>
      <c r="I267" s="6" t="s">
        <v>404</v>
      </c>
      <c r="J267" s="61" t="s">
        <v>22</v>
      </c>
      <c r="L267" s="5" t="str">
        <f t="shared" si="31"/>
        <v>00266</v>
      </c>
      <c r="M267" s="47" t="str">
        <f t="shared" si="32"/>
        <v>24 de mayo de 2017</v>
      </c>
      <c r="N267" s="323">
        <f t="shared" si="36"/>
        <v>24</v>
      </c>
      <c r="O267" s="25">
        <f t="shared" si="33"/>
        <v>42856</v>
      </c>
      <c r="P267" s="5" t="str">
        <f t="shared" si="34"/>
        <v>0,03</v>
      </c>
      <c r="Q267" s="4" t="e">
        <f t="shared" ca="1" si="35"/>
        <v>#NAME?</v>
      </c>
    </row>
    <row r="268" spans="1:17" ht="15.75" thickBot="1">
      <c r="A268" s="1">
        <f t="shared" si="37"/>
        <v>267</v>
      </c>
      <c r="C268" s="8" t="s">
        <v>17</v>
      </c>
      <c r="D268" s="2">
        <v>42881</v>
      </c>
      <c r="E268" s="3">
        <f>5000/100000</f>
        <v>0.05</v>
      </c>
      <c r="F268" t="s">
        <v>303</v>
      </c>
      <c r="G268" s="18" t="s">
        <v>58</v>
      </c>
      <c r="H268" t="s">
        <v>304</v>
      </c>
      <c r="I268" s="6" t="s">
        <v>427</v>
      </c>
      <c r="J268" s="61" t="s">
        <v>22</v>
      </c>
      <c r="L268" s="5" t="str">
        <f t="shared" si="31"/>
        <v>00267</v>
      </c>
      <c r="M268" s="47" t="str">
        <f t="shared" si="32"/>
        <v>26 de mayo de 2017</v>
      </c>
      <c r="N268" s="323">
        <f t="shared" si="36"/>
        <v>26</v>
      </c>
      <c r="O268" s="25">
        <f t="shared" si="33"/>
        <v>42856</v>
      </c>
      <c r="P268" s="5" t="str">
        <f t="shared" si="34"/>
        <v>0,05</v>
      </c>
      <c r="Q268" s="4" t="e">
        <f t="shared" ca="1" si="35"/>
        <v>#NAME?</v>
      </c>
    </row>
    <row r="269" spans="1:17">
      <c r="A269" s="1">
        <f t="shared" si="37"/>
        <v>268</v>
      </c>
      <c r="C269" s="8" t="s">
        <v>17</v>
      </c>
      <c r="D269" s="2">
        <v>42882</v>
      </c>
      <c r="E269" s="3">
        <f>26000/100000</f>
        <v>0.26</v>
      </c>
      <c r="F269" t="s">
        <v>215</v>
      </c>
      <c r="G269" t="s">
        <v>216</v>
      </c>
      <c r="H269" t="s">
        <v>217</v>
      </c>
      <c r="I269" s="9" t="s">
        <v>420</v>
      </c>
      <c r="J269" s="61" t="s">
        <v>22</v>
      </c>
      <c r="L269" s="5" t="str">
        <f t="shared" si="31"/>
        <v>00268</v>
      </c>
      <c r="M269" s="47" t="str">
        <f t="shared" si="32"/>
        <v>27 de mayo de 2017</v>
      </c>
      <c r="N269" s="323">
        <f t="shared" si="36"/>
        <v>27</v>
      </c>
      <c r="O269" s="25">
        <f t="shared" si="33"/>
        <v>42856</v>
      </c>
      <c r="P269" s="5" t="str">
        <f t="shared" si="34"/>
        <v>0,26</v>
      </c>
      <c r="Q269" s="4" t="e">
        <f t="shared" ca="1" si="35"/>
        <v>#NAME?</v>
      </c>
    </row>
    <row r="270" spans="1:17" ht="15.75" thickBot="1">
      <c r="A270" s="1">
        <f t="shared" si="37"/>
        <v>269</v>
      </c>
      <c r="C270" s="8" t="s">
        <v>17</v>
      </c>
      <c r="D270" s="2">
        <v>42882</v>
      </c>
      <c r="E270" s="3">
        <f>15000/100000</f>
        <v>0.15</v>
      </c>
      <c r="F270" t="s">
        <v>433</v>
      </c>
      <c r="G270" t="s">
        <v>434</v>
      </c>
      <c r="H270" t="s">
        <v>435</v>
      </c>
      <c r="I270" s="6" t="s">
        <v>436</v>
      </c>
      <c r="J270" s="61" t="s">
        <v>22</v>
      </c>
      <c r="L270" s="5" t="str">
        <f t="shared" si="31"/>
        <v>00269</v>
      </c>
      <c r="M270" s="47" t="str">
        <f t="shared" si="32"/>
        <v>27 de mayo de 2017</v>
      </c>
      <c r="N270" s="323">
        <f t="shared" si="36"/>
        <v>27</v>
      </c>
      <c r="O270" s="25">
        <f t="shared" si="33"/>
        <v>42856</v>
      </c>
      <c r="P270" s="5" t="str">
        <f t="shared" si="34"/>
        <v>0,15</v>
      </c>
      <c r="Q270" s="4" t="e">
        <f t="shared" ca="1" si="35"/>
        <v>#NAME?</v>
      </c>
    </row>
    <row r="271" spans="1:17" ht="15.75" thickBot="1">
      <c r="A271" s="1">
        <f t="shared" si="37"/>
        <v>270</v>
      </c>
      <c r="C271" s="8" t="s">
        <v>17</v>
      </c>
      <c r="D271" s="2">
        <v>42883</v>
      </c>
      <c r="E271" s="3">
        <f>9000/100000</f>
        <v>0.09</v>
      </c>
      <c r="F271" t="s">
        <v>319</v>
      </c>
      <c r="G271" s="18" t="s">
        <v>58</v>
      </c>
      <c r="H271" t="s">
        <v>320</v>
      </c>
      <c r="I271" s="6" t="s">
        <v>421</v>
      </c>
      <c r="J271" s="61" t="s">
        <v>22</v>
      </c>
      <c r="L271" s="5" t="str">
        <f t="shared" si="31"/>
        <v>00270</v>
      </c>
      <c r="M271" s="47" t="str">
        <f t="shared" si="32"/>
        <v>28 de mayo de 2017</v>
      </c>
      <c r="N271" s="323">
        <f t="shared" si="36"/>
        <v>28</v>
      </c>
      <c r="O271" s="25">
        <f t="shared" si="33"/>
        <v>42856</v>
      </c>
      <c r="P271" s="5" t="str">
        <f t="shared" si="34"/>
        <v>0,09</v>
      </c>
      <c r="Q271" s="4" t="e">
        <f t="shared" ca="1" si="35"/>
        <v>#NAME?</v>
      </c>
    </row>
    <row r="272" spans="1:17">
      <c r="A272" s="1">
        <f t="shared" si="37"/>
        <v>271</v>
      </c>
      <c r="C272" s="8" t="s">
        <v>17</v>
      </c>
      <c r="D272" s="2">
        <v>42883</v>
      </c>
      <c r="E272" s="3">
        <f>26000/100000</f>
        <v>0.26</v>
      </c>
      <c r="F272" t="s">
        <v>138</v>
      </c>
      <c r="G272" t="s">
        <v>139</v>
      </c>
      <c r="H272" t="s">
        <v>140</v>
      </c>
      <c r="I272" s="6" t="s">
        <v>420</v>
      </c>
      <c r="J272" s="61" t="s">
        <v>22</v>
      </c>
      <c r="L272" s="5" t="str">
        <f t="shared" si="31"/>
        <v>00271</v>
      </c>
      <c r="M272" s="47" t="str">
        <f t="shared" si="32"/>
        <v>28 de mayo de 2017</v>
      </c>
      <c r="N272" s="323">
        <f t="shared" si="36"/>
        <v>28</v>
      </c>
      <c r="O272" s="25">
        <f t="shared" si="33"/>
        <v>42856</v>
      </c>
      <c r="P272" s="5" t="str">
        <f t="shared" si="34"/>
        <v>0,26</v>
      </c>
      <c r="Q272" s="4" t="e">
        <f t="shared" ca="1" si="35"/>
        <v>#NAME?</v>
      </c>
    </row>
    <row r="273" spans="1:17">
      <c r="A273" s="1">
        <f t="shared" si="37"/>
        <v>272</v>
      </c>
      <c r="C273" s="8" t="s">
        <v>17</v>
      </c>
      <c r="D273" s="2">
        <v>42884</v>
      </c>
      <c r="E273" s="3">
        <f>17000/100000+2*26000/100000</f>
        <v>0.69000000000000006</v>
      </c>
      <c r="F273" t="s">
        <v>243</v>
      </c>
      <c r="G273" t="s">
        <v>244</v>
      </c>
      <c r="H273" t="s">
        <v>245</v>
      </c>
      <c r="I273" s="6" t="s">
        <v>437</v>
      </c>
      <c r="J273" s="61" t="s">
        <v>22</v>
      </c>
      <c r="L273" s="5" t="str">
        <f t="shared" si="31"/>
        <v>00272</v>
      </c>
      <c r="M273" s="47" t="str">
        <f t="shared" si="32"/>
        <v>29 de mayo de 2017</v>
      </c>
      <c r="N273" s="323">
        <f t="shared" si="36"/>
        <v>29</v>
      </c>
      <c r="O273" s="25">
        <f t="shared" si="33"/>
        <v>42856</v>
      </c>
      <c r="P273" s="5" t="str">
        <f t="shared" si="34"/>
        <v>0,69</v>
      </c>
      <c r="Q273" s="4" t="e">
        <f t="shared" ca="1" si="35"/>
        <v>#NAME?</v>
      </c>
    </row>
    <row r="274" spans="1:17">
      <c r="A274" s="1">
        <f t="shared" si="37"/>
        <v>273</v>
      </c>
      <c r="C274" s="8" t="s">
        <v>17</v>
      </c>
      <c r="D274" s="2">
        <v>42884</v>
      </c>
      <c r="E274" s="3">
        <f>26000/100000</f>
        <v>0.26</v>
      </c>
      <c r="F274" t="s">
        <v>206</v>
      </c>
      <c r="G274" t="s">
        <v>207</v>
      </c>
      <c r="H274" t="s">
        <v>208</v>
      </c>
      <c r="I274" s="6" t="s">
        <v>420</v>
      </c>
      <c r="J274" s="61" t="s">
        <v>22</v>
      </c>
      <c r="L274" s="5" t="str">
        <f t="shared" si="31"/>
        <v>00273</v>
      </c>
      <c r="M274" s="47" t="str">
        <f t="shared" si="32"/>
        <v>29 de mayo de 2017</v>
      </c>
      <c r="N274" s="323">
        <f t="shared" si="36"/>
        <v>29</v>
      </c>
      <c r="O274" s="25">
        <f t="shared" si="33"/>
        <v>42856</v>
      </c>
      <c r="P274" s="5" t="str">
        <f t="shared" si="34"/>
        <v>0,26</v>
      </c>
      <c r="Q274" s="4" t="e">
        <f t="shared" ca="1" si="35"/>
        <v>#NAME?</v>
      </c>
    </row>
    <row r="275" spans="1:17">
      <c r="A275" s="1">
        <f t="shared" si="37"/>
        <v>274</v>
      </c>
      <c r="C275" s="8" t="s">
        <v>17</v>
      </c>
      <c r="D275" s="2">
        <v>42884</v>
      </c>
      <c r="E275" s="3">
        <f>27000/100000</f>
        <v>0.27</v>
      </c>
      <c r="F275" t="s">
        <v>134</v>
      </c>
      <c r="G275" t="s">
        <v>135</v>
      </c>
      <c r="H275" t="s">
        <v>136</v>
      </c>
      <c r="I275" s="6" t="s">
        <v>420</v>
      </c>
      <c r="J275" s="61" t="s">
        <v>22</v>
      </c>
      <c r="L275" s="5" t="str">
        <f t="shared" si="31"/>
        <v>00274</v>
      </c>
      <c r="M275" s="47" t="str">
        <f t="shared" si="32"/>
        <v>29 de mayo de 2017</v>
      </c>
      <c r="N275" s="323">
        <f t="shared" si="36"/>
        <v>29</v>
      </c>
      <c r="O275" s="25">
        <f t="shared" si="33"/>
        <v>42856</v>
      </c>
      <c r="P275" s="5" t="str">
        <f t="shared" si="34"/>
        <v>0,27</v>
      </c>
      <c r="Q275" s="4" t="e">
        <f t="shared" ca="1" si="35"/>
        <v>#NAME?</v>
      </c>
    </row>
    <row r="276" spans="1:17">
      <c r="A276" s="1">
        <f t="shared" si="37"/>
        <v>275</v>
      </c>
      <c r="C276" s="8" t="s">
        <v>17</v>
      </c>
      <c r="D276" s="2">
        <v>42887</v>
      </c>
      <c r="E276" s="3">
        <f>20000/100000</f>
        <v>0.2</v>
      </c>
      <c r="F276" t="s">
        <v>312</v>
      </c>
      <c r="G276" t="s">
        <v>313</v>
      </c>
      <c r="H276" t="s">
        <v>314</v>
      </c>
      <c r="I276" s="6" t="s">
        <v>427</v>
      </c>
      <c r="J276" s="61" t="s">
        <v>22</v>
      </c>
      <c r="L276" s="5" t="str">
        <f t="shared" si="31"/>
        <v>00275</v>
      </c>
      <c r="M276" s="47" t="str">
        <f t="shared" si="32"/>
        <v>01 de junio de 2017</v>
      </c>
      <c r="N276" s="323">
        <f t="shared" si="36"/>
        <v>1</v>
      </c>
      <c r="O276" s="25">
        <f t="shared" si="33"/>
        <v>42887</v>
      </c>
      <c r="P276" s="5" t="str">
        <f t="shared" si="34"/>
        <v>0,20</v>
      </c>
      <c r="Q276" s="4" t="e">
        <f t="shared" ca="1" si="35"/>
        <v>#NAME?</v>
      </c>
    </row>
    <row r="277" spans="1:17">
      <c r="A277" s="1">
        <f t="shared" si="37"/>
        <v>276</v>
      </c>
      <c r="C277" s="8" t="s">
        <v>17</v>
      </c>
      <c r="D277" s="2">
        <v>42887</v>
      </c>
      <c r="E277" s="3">
        <f>4000/100000</f>
        <v>0.04</v>
      </c>
      <c r="F277" t="s">
        <v>126</v>
      </c>
      <c r="G277" t="s">
        <v>127</v>
      </c>
      <c r="H277" t="s">
        <v>128</v>
      </c>
      <c r="I277" s="6" t="s">
        <v>421</v>
      </c>
      <c r="J277" s="61" t="s">
        <v>22</v>
      </c>
      <c r="L277" s="5" t="str">
        <f t="shared" si="31"/>
        <v>00276</v>
      </c>
      <c r="M277" s="47" t="str">
        <f t="shared" si="32"/>
        <v>01 de junio de 2017</v>
      </c>
      <c r="N277" s="323">
        <f t="shared" si="36"/>
        <v>1</v>
      </c>
      <c r="O277" s="25">
        <f t="shared" si="33"/>
        <v>42887</v>
      </c>
      <c r="P277" s="5" t="str">
        <f>TEXT(E277,"#.##0,00")</f>
        <v>0,04</v>
      </c>
      <c r="Q277" s="4" t="e">
        <f t="shared" ca="1" si="35"/>
        <v>#NAME?</v>
      </c>
    </row>
    <row r="278" spans="1:17">
      <c r="A278" s="1">
        <f t="shared" si="37"/>
        <v>277</v>
      </c>
      <c r="C278" s="8" t="s">
        <v>17</v>
      </c>
      <c r="D278" s="2">
        <v>42887</v>
      </c>
      <c r="E278" s="3">
        <f>4*17000/100000+2*26000/100000</f>
        <v>1.2000000000000002</v>
      </c>
      <c r="F278" t="s">
        <v>438</v>
      </c>
      <c r="G278" t="s">
        <v>439</v>
      </c>
      <c r="H278" t="s">
        <v>440</v>
      </c>
      <c r="I278" s="6" t="s">
        <v>441</v>
      </c>
      <c r="J278" s="61" t="s">
        <v>22</v>
      </c>
      <c r="L278" s="5" t="str">
        <f t="shared" si="31"/>
        <v>00277</v>
      </c>
      <c r="M278" s="47" t="str">
        <f t="shared" si="32"/>
        <v>01 de junio de 2017</v>
      </c>
      <c r="N278" s="323">
        <f t="shared" si="36"/>
        <v>1</v>
      </c>
      <c r="O278" s="25">
        <f t="shared" si="33"/>
        <v>42887</v>
      </c>
      <c r="P278" s="5" t="str">
        <f>TEXT(E278,"#.##0,00")</f>
        <v>1,20</v>
      </c>
      <c r="Q278" s="4" t="e">
        <f t="shared" ca="1" si="35"/>
        <v>#NAME?</v>
      </c>
    </row>
    <row r="279" spans="1:17">
      <c r="A279" s="1">
        <f t="shared" si="37"/>
        <v>278</v>
      </c>
      <c r="C279" s="8" t="s">
        <v>17</v>
      </c>
      <c r="D279" s="2">
        <v>42887</v>
      </c>
      <c r="E279" s="3">
        <f>26000/100000</f>
        <v>0.26</v>
      </c>
      <c r="F279" t="s">
        <v>18</v>
      </c>
      <c r="G279" t="s">
        <v>19</v>
      </c>
      <c r="H279" t="s">
        <v>20</v>
      </c>
      <c r="I279" s="6" t="s">
        <v>442</v>
      </c>
      <c r="J279" s="61" t="s">
        <v>22</v>
      </c>
      <c r="L279" s="5" t="str">
        <f t="shared" si="31"/>
        <v>00278</v>
      </c>
      <c r="M279" s="47" t="str">
        <f t="shared" si="32"/>
        <v>01 de junio de 2017</v>
      </c>
      <c r="N279" s="323">
        <f t="shared" si="36"/>
        <v>1</v>
      </c>
      <c r="O279" s="25">
        <f t="shared" si="33"/>
        <v>42887</v>
      </c>
      <c r="P279" s="5" t="str">
        <f>TEXT(E279,"#.##0,00")</f>
        <v>0,26</v>
      </c>
      <c r="Q279" s="4" t="e">
        <f t="shared" ca="1" si="35"/>
        <v>#NAME?</v>
      </c>
    </row>
    <row r="280" spans="1:17">
      <c r="A280" s="1">
        <f t="shared" si="37"/>
        <v>279</v>
      </c>
      <c r="C280" s="8" t="s">
        <v>17</v>
      </c>
      <c r="D280" s="2">
        <v>42890</v>
      </c>
      <c r="E280" s="3">
        <f>26000/100000</f>
        <v>0.26</v>
      </c>
      <c r="F280" t="s">
        <v>443</v>
      </c>
      <c r="G280" t="s">
        <v>444</v>
      </c>
      <c r="H280" t="s">
        <v>75</v>
      </c>
      <c r="I280" s="6" t="s">
        <v>445</v>
      </c>
      <c r="J280" s="61" t="s">
        <v>22</v>
      </c>
      <c r="L280" s="5" t="str">
        <f t="shared" si="31"/>
        <v>00279</v>
      </c>
      <c r="M280" s="47" t="str">
        <f t="shared" si="32"/>
        <v>04 de junio de 2017</v>
      </c>
      <c r="N280" s="323">
        <f t="shared" si="36"/>
        <v>4</v>
      </c>
      <c r="O280" s="25">
        <f t="shared" si="33"/>
        <v>42887</v>
      </c>
      <c r="P280" s="5" t="str">
        <f t="shared" ref="P280:P302" si="38">TEXT(E280,"#.##0,00")</f>
        <v>0,26</v>
      </c>
      <c r="Q280" s="4" t="e">
        <f t="shared" ca="1" si="35"/>
        <v>#NAME?</v>
      </c>
    </row>
    <row r="281" spans="1:17">
      <c r="A281" s="1">
        <f t="shared" si="37"/>
        <v>280</v>
      </c>
      <c r="C281" s="8" t="s">
        <v>17</v>
      </c>
      <c r="D281" s="2">
        <v>42890</v>
      </c>
      <c r="E281" s="3">
        <f>17000/100000</f>
        <v>0.17</v>
      </c>
      <c r="F281" t="s">
        <v>230</v>
      </c>
      <c r="G281" t="s">
        <v>231</v>
      </c>
      <c r="H281" t="s">
        <v>232</v>
      </c>
      <c r="I281" s="6" t="s">
        <v>395</v>
      </c>
      <c r="J281" s="61" t="s">
        <v>22</v>
      </c>
      <c r="L281" s="5" t="str">
        <f t="shared" si="31"/>
        <v>00280</v>
      </c>
      <c r="M281" s="47" t="str">
        <f t="shared" si="32"/>
        <v>04 de junio de 2017</v>
      </c>
      <c r="N281" s="323">
        <f t="shared" si="36"/>
        <v>4</v>
      </c>
      <c r="O281" s="25">
        <f t="shared" si="33"/>
        <v>42887</v>
      </c>
      <c r="P281" s="5" t="str">
        <f t="shared" si="38"/>
        <v>0,17</v>
      </c>
      <c r="Q281" s="4" t="e">
        <f t="shared" ca="1" si="35"/>
        <v>#NAME?</v>
      </c>
    </row>
    <row r="282" spans="1:17">
      <c r="A282" s="1">
        <f t="shared" si="37"/>
        <v>281</v>
      </c>
      <c r="C282" s="8" t="s">
        <v>17</v>
      </c>
      <c r="D282" s="2">
        <v>42891</v>
      </c>
      <c r="E282" s="3">
        <f>10000/100000</f>
        <v>0.1</v>
      </c>
      <c r="F282" t="s">
        <v>48</v>
      </c>
      <c r="G282" t="s">
        <v>49</v>
      </c>
      <c r="H282" t="s">
        <v>50</v>
      </c>
      <c r="I282" s="6" t="s">
        <v>446</v>
      </c>
      <c r="J282" s="61" t="s">
        <v>22</v>
      </c>
      <c r="L282" s="5" t="str">
        <f t="shared" si="31"/>
        <v>00281</v>
      </c>
      <c r="M282" s="47" t="str">
        <f t="shared" si="32"/>
        <v>05 de junio de 2017</v>
      </c>
      <c r="N282" s="323">
        <f t="shared" si="36"/>
        <v>5</v>
      </c>
      <c r="O282" s="25">
        <f t="shared" si="33"/>
        <v>42887</v>
      </c>
      <c r="P282" s="5" t="str">
        <f t="shared" si="38"/>
        <v>0,10</v>
      </c>
      <c r="Q282" s="4" t="e">
        <f t="shared" ca="1" si="35"/>
        <v>#NAME?</v>
      </c>
    </row>
    <row r="283" spans="1:17">
      <c r="A283" s="1">
        <f t="shared" si="37"/>
        <v>282</v>
      </c>
      <c r="C283" s="8" t="s">
        <v>17</v>
      </c>
      <c r="D283" s="2">
        <v>42891</v>
      </c>
      <c r="E283" s="3">
        <f>26000/100000</f>
        <v>0.26</v>
      </c>
      <c r="F283" t="s">
        <v>148</v>
      </c>
      <c r="G283" t="s">
        <v>149</v>
      </c>
      <c r="H283" t="s">
        <v>150</v>
      </c>
      <c r="I283" s="6" t="s">
        <v>420</v>
      </c>
      <c r="J283" s="61" t="s">
        <v>22</v>
      </c>
      <c r="L283" s="5" t="str">
        <f t="shared" si="31"/>
        <v>00282</v>
      </c>
      <c r="M283" s="47" t="str">
        <f t="shared" si="32"/>
        <v>05 de junio de 2017</v>
      </c>
      <c r="N283" s="323">
        <f t="shared" si="36"/>
        <v>5</v>
      </c>
      <c r="O283" s="25">
        <f t="shared" si="33"/>
        <v>42887</v>
      </c>
      <c r="P283" s="5" t="str">
        <f t="shared" si="38"/>
        <v>0,26</v>
      </c>
      <c r="Q283" s="4" t="e">
        <f t="shared" ca="1" si="35"/>
        <v>#NAME?</v>
      </c>
    </row>
    <row r="284" spans="1:17">
      <c r="A284" s="1">
        <f t="shared" si="37"/>
        <v>283</v>
      </c>
      <c r="C284" s="8" t="s">
        <v>17</v>
      </c>
      <c r="D284" s="2">
        <v>42892</v>
      </c>
      <c r="E284" s="3">
        <f>15000/100000</f>
        <v>0.15</v>
      </c>
      <c r="F284" t="s">
        <v>181</v>
      </c>
      <c r="G284" t="s">
        <v>182</v>
      </c>
      <c r="H284" t="s">
        <v>183</v>
      </c>
      <c r="I284" s="6" t="s">
        <v>446</v>
      </c>
      <c r="J284" s="61" t="s">
        <v>22</v>
      </c>
      <c r="L284" s="5" t="str">
        <f t="shared" si="31"/>
        <v>00283</v>
      </c>
      <c r="M284" s="47" t="str">
        <f t="shared" si="32"/>
        <v>06 de junio de 2017</v>
      </c>
      <c r="N284" s="323">
        <f t="shared" si="36"/>
        <v>6</v>
      </c>
      <c r="O284" s="25">
        <f t="shared" si="33"/>
        <v>42887</v>
      </c>
      <c r="P284" s="5" t="str">
        <f t="shared" si="38"/>
        <v>0,15</v>
      </c>
      <c r="Q284" s="4" t="e">
        <f t="shared" ca="1" si="35"/>
        <v>#NAME?</v>
      </c>
    </row>
    <row r="285" spans="1:17">
      <c r="A285" s="1">
        <f t="shared" si="37"/>
        <v>284</v>
      </c>
      <c r="C285" s="8" t="s">
        <v>17</v>
      </c>
      <c r="D285" s="2">
        <v>42892</v>
      </c>
      <c r="E285" s="3">
        <f>26000/100000</f>
        <v>0.26</v>
      </c>
      <c r="F285" t="s">
        <v>162</v>
      </c>
      <c r="G285" t="s">
        <v>163</v>
      </c>
      <c r="H285" t="s">
        <v>164</v>
      </c>
      <c r="I285" s="161" t="s">
        <v>420</v>
      </c>
      <c r="J285" s="61" t="s">
        <v>22</v>
      </c>
      <c r="L285" s="5" t="str">
        <f t="shared" si="31"/>
        <v>00284</v>
      </c>
      <c r="M285" s="47" t="str">
        <f t="shared" si="32"/>
        <v>06 de junio de 2017</v>
      </c>
      <c r="N285" s="323">
        <f t="shared" si="36"/>
        <v>6</v>
      </c>
      <c r="O285" s="25">
        <f t="shared" si="33"/>
        <v>42887</v>
      </c>
      <c r="P285" s="5" t="str">
        <f t="shared" si="38"/>
        <v>0,26</v>
      </c>
      <c r="Q285" s="4" t="e">
        <f t="shared" ca="1" si="35"/>
        <v>#NAME?</v>
      </c>
    </row>
    <row r="286" spans="1:17">
      <c r="A286" s="1">
        <f t="shared" si="37"/>
        <v>285</v>
      </c>
      <c r="C286" s="8" t="s">
        <v>17</v>
      </c>
      <c r="D286" s="2">
        <v>42893</v>
      </c>
      <c r="E286" s="3">
        <f>9000/100000+26000/100000</f>
        <v>0.35</v>
      </c>
      <c r="F286" t="s">
        <v>167</v>
      </c>
      <c r="G286" t="s">
        <v>168</v>
      </c>
      <c r="H286" t="s">
        <v>169</v>
      </c>
      <c r="I286" s="6" t="s">
        <v>447</v>
      </c>
      <c r="J286" s="61" t="s">
        <v>22</v>
      </c>
      <c r="L286" s="5" t="str">
        <f t="shared" si="31"/>
        <v>00285</v>
      </c>
      <c r="M286" s="47" t="str">
        <f t="shared" si="32"/>
        <v>07 de junio de 2017</v>
      </c>
      <c r="N286" s="323">
        <f t="shared" si="36"/>
        <v>7</v>
      </c>
      <c r="O286" s="25">
        <f t="shared" si="33"/>
        <v>42887</v>
      </c>
      <c r="P286" s="5" t="str">
        <f t="shared" si="38"/>
        <v>0,35</v>
      </c>
      <c r="Q286" s="4" t="e">
        <f t="shared" ca="1" si="35"/>
        <v>#NAME?</v>
      </c>
    </row>
    <row r="287" spans="1:17">
      <c r="A287" s="1">
        <f t="shared" si="37"/>
        <v>286</v>
      </c>
      <c r="C287" s="8" t="s">
        <v>17</v>
      </c>
      <c r="D287" s="2">
        <v>42893</v>
      </c>
      <c r="E287" s="3">
        <f>26000/100000</f>
        <v>0.26</v>
      </c>
      <c r="F287" t="s">
        <v>24</v>
      </c>
      <c r="G287" t="s">
        <v>25</v>
      </c>
      <c r="H287" t="s">
        <v>26</v>
      </c>
      <c r="I287" s="6" t="s">
        <v>445</v>
      </c>
      <c r="J287" s="61" t="s">
        <v>22</v>
      </c>
      <c r="L287" s="5" t="str">
        <f t="shared" si="31"/>
        <v>00286</v>
      </c>
      <c r="M287" s="47" t="str">
        <f t="shared" si="32"/>
        <v>07 de junio de 2017</v>
      </c>
      <c r="N287" s="323">
        <f t="shared" si="36"/>
        <v>7</v>
      </c>
      <c r="O287" s="25">
        <f t="shared" si="33"/>
        <v>42887</v>
      </c>
      <c r="P287" s="5" t="str">
        <f t="shared" si="38"/>
        <v>0,26</v>
      </c>
      <c r="Q287" s="4" t="e">
        <f t="shared" ca="1" si="35"/>
        <v>#NAME?</v>
      </c>
    </row>
    <row r="288" spans="1:17">
      <c r="A288" s="1">
        <f t="shared" si="37"/>
        <v>287</v>
      </c>
      <c r="C288" s="8" t="s">
        <v>17</v>
      </c>
      <c r="D288" s="2">
        <v>42893</v>
      </c>
      <c r="E288" s="3">
        <f>27000/100000</f>
        <v>0.27</v>
      </c>
      <c r="F288" t="s">
        <v>44</v>
      </c>
      <c r="G288" t="s">
        <v>45</v>
      </c>
      <c r="H288" t="s">
        <v>46</v>
      </c>
      <c r="I288" s="6" t="s">
        <v>445</v>
      </c>
      <c r="J288" s="61" t="s">
        <v>22</v>
      </c>
      <c r="L288" s="5" t="str">
        <f t="shared" si="31"/>
        <v>00287</v>
      </c>
      <c r="M288" s="47" t="str">
        <f t="shared" si="32"/>
        <v>07 de junio de 2017</v>
      </c>
      <c r="N288" s="323">
        <f t="shared" si="36"/>
        <v>7</v>
      </c>
      <c r="O288" s="25">
        <f t="shared" si="33"/>
        <v>42887</v>
      </c>
      <c r="P288" s="5" t="str">
        <f t="shared" si="38"/>
        <v>0,27</v>
      </c>
      <c r="Q288" s="4" t="e">
        <f t="shared" ca="1" si="35"/>
        <v>#NAME?</v>
      </c>
    </row>
    <row r="289" spans="1:17">
      <c r="A289" s="1">
        <f t="shared" si="37"/>
        <v>288</v>
      </c>
      <c r="C289" s="8" t="s">
        <v>17</v>
      </c>
      <c r="D289" s="2">
        <v>42893</v>
      </c>
      <c r="E289" s="3">
        <f t="shared" ref="E289:E296" si="39">26000/100000</f>
        <v>0.26</v>
      </c>
      <c r="F289" t="s">
        <v>107</v>
      </c>
      <c r="G289" t="s">
        <v>108</v>
      </c>
      <c r="H289" t="s">
        <v>109</v>
      </c>
      <c r="I289" s="6" t="s">
        <v>420</v>
      </c>
      <c r="J289" s="61" t="s">
        <v>22</v>
      </c>
      <c r="L289" s="5" t="str">
        <f t="shared" si="31"/>
        <v>00288</v>
      </c>
      <c r="M289" s="47" t="str">
        <f t="shared" si="32"/>
        <v>07 de junio de 2017</v>
      </c>
      <c r="N289" s="323">
        <f t="shared" si="36"/>
        <v>7</v>
      </c>
      <c r="O289" s="25">
        <f t="shared" si="33"/>
        <v>42887</v>
      </c>
      <c r="P289" s="5" t="str">
        <f t="shared" si="38"/>
        <v>0,26</v>
      </c>
      <c r="Q289" s="4" t="e">
        <f t="shared" ca="1" si="35"/>
        <v>#NAME?</v>
      </c>
    </row>
    <row r="290" spans="1:17">
      <c r="A290" s="1">
        <f t="shared" si="37"/>
        <v>289</v>
      </c>
      <c r="C290" s="8" t="s">
        <v>17</v>
      </c>
      <c r="D290" s="2">
        <v>42888</v>
      </c>
      <c r="E290" s="3">
        <f t="shared" si="39"/>
        <v>0.26</v>
      </c>
      <c r="F290" t="s">
        <v>62</v>
      </c>
      <c r="G290" t="s">
        <v>63</v>
      </c>
      <c r="H290" t="s">
        <v>64</v>
      </c>
      <c r="I290" s="6" t="s">
        <v>420</v>
      </c>
      <c r="J290" s="61" t="s">
        <v>22</v>
      </c>
      <c r="L290" s="5" t="str">
        <f t="shared" si="31"/>
        <v>00289</v>
      </c>
      <c r="M290" s="47" t="str">
        <f t="shared" si="32"/>
        <v>02 de junio de 2017</v>
      </c>
      <c r="N290" s="323">
        <f t="shared" si="36"/>
        <v>2</v>
      </c>
      <c r="O290" s="25">
        <f t="shared" si="33"/>
        <v>42887</v>
      </c>
      <c r="P290" s="5" t="str">
        <f t="shared" si="38"/>
        <v>0,26</v>
      </c>
      <c r="Q290" s="4" t="e">
        <f t="shared" ca="1" si="35"/>
        <v>#NAME?</v>
      </c>
    </row>
    <row r="291" spans="1:17">
      <c r="A291" s="1">
        <f t="shared" si="37"/>
        <v>290</v>
      </c>
      <c r="C291" s="8" t="s">
        <v>17</v>
      </c>
      <c r="D291" s="2">
        <v>42888</v>
      </c>
      <c r="E291" s="3">
        <f t="shared" si="39"/>
        <v>0.26</v>
      </c>
      <c r="F291" t="s">
        <v>353</v>
      </c>
      <c r="G291" t="s">
        <v>354</v>
      </c>
      <c r="H291" t="s">
        <v>355</v>
      </c>
      <c r="I291" s="6" t="s">
        <v>420</v>
      </c>
      <c r="J291" s="61" t="s">
        <v>22</v>
      </c>
      <c r="L291" s="5" t="str">
        <f t="shared" si="31"/>
        <v>00290</v>
      </c>
      <c r="M291" s="47" t="str">
        <f t="shared" si="32"/>
        <v>02 de junio de 2017</v>
      </c>
      <c r="N291" s="323">
        <f t="shared" si="36"/>
        <v>2</v>
      </c>
      <c r="O291" s="25">
        <f t="shared" si="33"/>
        <v>42887</v>
      </c>
      <c r="P291" s="5" t="str">
        <f t="shared" si="38"/>
        <v>0,26</v>
      </c>
      <c r="Q291" s="4" t="e">
        <f t="shared" ca="1" si="35"/>
        <v>#NAME?</v>
      </c>
    </row>
    <row r="292" spans="1:17">
      <c r="A292" s="1">
        <f t="shared" si="37"/>
        <v>291</v>
      </c>
      <c r="C292" s="8" t="s">
        <v>17</v>
      </c>
      <c r="D292" s="2">
        <v>42890</v>
      </c>
      <c r="E292" s="3">
        <f t="shared" si="39"/>
        <v>0.26</v>
      </c>
      <c r="F292" t="s">
        <v>90</v>
      </c>
      <c r="G292" t="s">
        <v>91</v>
      </c>
      <c r="H292" t="s">
        <v>92</v>
      </c>
      <c r="I292" s="6" t="s">
        <v>445</v>
      </c>
      <c r="J292" s="61" t="s">
        <v>22</v>
      </c>
      <c r="L292" s="5" t="str">
        <f t="shared" si="31"/>
        <v>00291</v>
      </c>
      <c r="M292" s="47" t="str">
        <f t="shared" si="32"/>
        <v>04 de junio de 2017</v>
      </c>
      <c r="N292" s="323">
        <f t="shared" si="36"/>
        <v>4</v>
      </c>
      <c r="O292" s="25">
        <f t="shared" si="33"/>
        <v>42887</v>
      </c>
      <c r="P292" s="5" t="str">
        <f t="shared" si="38"/>
        <v>0,26</v>
      </c>
      <c r="Q292" s="4" t="e">
        <f t="shared" ca="1" si="35"/>
        <v>#NAME?</v>
      </c>
    </row>
    <row r="293" spans="1:17">
      <c r="A293" s="1">
        <f t="shared" si="37"/>
        <v>292</v>
      </c>
      <c r="C293" s="8" t="s">
        <v>17</v>
      </c>
      <c r="D293" s="2">
        <v>42892</v>
      </c>
      <c r="E293" s="3">
        <f t="shared" si="39"/>
        <v>0.26</v>
      </c>
      <c r="F293" t="s">
        <v>80</v>
      </c>
      <c r="G293" t="s">
        <v>81</v>
      </c>
      <c r="H293" t="s">
        <v>82</v>
      </c>
      <c r="I293" s="6" t="s">
        <v>445</v>
      </c>
      <c r="J293" s="61" t="s">
        <v>22</v>
      </c>
      <c r="L293" s="5" t="str">
        <f t="shared" si="31"/>
        <v>00292</v>
      </c>
      <c r="M293" s="47" t="str">
        <f t="shared" si="32"/>
        <v>06 de junio de 2017</v>
      </c>
      <c r="N293" s="323">
        <f t="shared" si="36"/>
        <v>6</v>
      </c>
      <c r="O293" s="25">
        <f t="shared" si="33"/>
        <v>42887</v>
      </c>
      <c r="P293" s="5" t="str">
        <f t="shared" si="38"/>
        <v>0,26</v>
      </c>
      <c r="Q293" s="4" t="e">
        <f t="shared" ca="1" si="35"/>
        <v>#NAME?</v>
      </c>
    </row>
    <row r="294" spans="1:17">
      <c r="A294" s="1">
        <f t="shared" si="37"/>
        <v>293</v>
      </c>
      <c r="C294" s="8" t="s">
        <v>17</v>
      </c>
      <c r="D294" s="2">
        <v>42872</v>
      </c>
      <c r="E294" s="3">
        <f t="shared" si="39"/>
        <v>0.26</v>
      </c>
      <c r="F294" t="s">
        <v>287</v>
      </c>
      <c r="G294" t="s">
        <v>288</v>
      </c>
      <c r="H294" t="s">
        <v>289</v>
      </c>
      <c r="I294" s="6" t="s">
        <v>420</v>
      </c>
      <c r="J294" s="61" t="s">
        <v>22</v>
      </c>
      <c r="L294" s="5" t="str">
        <f t="shared" si="31"/>
        <v>00293</v>
      </c>
      <c r="M294" s="47" t="str">
        <f t="shared" si="32"/>
        <v>17 de mayo de 2017</v>
      </c>
      <c r="N294" s="323">
        <f t="shared" si="36"/>
        <v>17</v>
      </c>
      <c r="O294" s="25">
        <f t="shared" si="33"/>
        <v>42856</v>
      </c>
      <c r="P294" s="5" t="str">
        <f t="shared" si="38"/>
        <v>0,26</v>
      </c>
      <c r="Q294" s="4" t="e">
        <f t="shared" ca="1" si="35"/>
        <v>#NAME?</v>
      </c>
    </row>
    <row r="295" spans="1:17">
      <c r="A295" s="1">
        <f t="shared" si="37"/>
        <v>294</v>
      </c>
      <c r="C295" s="8" t="s">
        <v>17</v>
      </c>
      <c r="D295" s="2">
        <v>42888</v>
      </c>
      <c r="E295" s="3">
        <f t="shared" si="39"/>
        <v>0.26</v>
      </c>
      <c r="F295" t="s">
        <v>296</v>
      </c>
      <c r="G295" t="s">
        <v>297</v>
      </c>
      <c r="H295" t="s">
        <v>298</v>
      </c>
      <c r="I295" s="6" t="s">
        <v>420</v>
      </c>
      <c r="J295" s="61" t="s">
        <v>22</v>
      </c>
      <c r="L295" s="5" t="str">
        <f t="shared" si="31"/>
        <v>00294</v>
      </c>
      <c r="M295" s="47" t="str">
        <f t="shared" si="32"/>
        <v>02 de junio de 2017</v>
      </c>
      <c r="N295" s="323">
        <f t="shared" si="36"/>
        <v>2</v>
      </c>
      <c r="O295" s="25">
        <f t="shared" si="33"/>
        <v>42887</v>
      </c>
      <c r="P295" s="5" t="str">
        <f t="shared" si="38"/>
        <v>0,26</v>
      </c>
      <c r="Q295" s="4" t="e">
        <f t="shared" ca="1" si="35"/>
        <v>#NAME?</v>
      </c>
    </row>
    <row r="296" spans="1:17">
      <c r="A296" s="1">
        <f t="shared" si="37"/>
        <v>295</v>
      </c>
      <c r="C296" s="8" t="s">
        <v>17</v>
      </c>
      <c r="D296" s="2">
        <v>42895</v>
      </c>
      <c r="E296" s="3">
        <f t="shared" si="39"/>
        <v>0.26</v>
      </c>
      <c r="F296" t="s">
        <v>103</v>
      </c>
      <c r="G296" t="s">
        <v>104</v>
      </c>
      <c r="H296" t="s">
        <v>105</v>
      </c>
      <c r="I296" s="6" t="s">
        <v>445</v>
      </c>
      <c r="J296" s="61" t="s">
        <v>22</v>
      </c>
      <c r="L296" s="5" t="str">
        <f t="shared" si="31"/>
        <v>00295</v>
      </c>
      <c r="M296" s="47" t="str">
        <f t="shared" si="32"/>
        <v>09 de junio de 2017</v>
      </c>
      <c r="N296" s="323">
        <f t="shared" si="36"/>
        <v>9</v>
      </c>
      <c r="O296" s="25">
        <f t="shared" si="33"/>
        <v>42887</v>
      </c>
      <c r="P296" s="5" t="str">
        <f t="shared" si="38"/>
        <v>0,26</v>
      </c>
      <c r="Q296" s="4" t="e">
        <f t="shared" ca="1" si="35"/>
        <v>#NAME?</v>
      </c>
    </row>
    <row r="297" spans="1:17">
      <c r="A297" s="1">
        <f t="shared" si="37"/>
        <v>296</v>
      </c>
      <c r="C297" s="8" t="s">
        <v>17</v>
      </c>
      <c r="D297" s="2">
        <v>42895</v>
      </c>
      <c r="E297" s="3">
        <f>2*26000/100000</f>
        <v>0.52</v>
      </c>
      <c r="F297" t="s">
        <v>337</v>
      </c>
      <c r="G297" t="s">
        <v>338</v>
      </c>
      <c r="H297" t="s">
        <v>339</v>
      </c>
      <c r="I297" s="6" t="s">
        <v>448</v>
      </c>
      <c r="J297" s="61" t="s">
        <v>22</v>
      </c>
      <c r="L297" s="5" t="str">
        <f t="shared" si="31"/>
        <v>00296</v>
      </c>
      <c r="M297" s="47" t="str">
        <f t="shared" si="32"/>
        <v>09 de junio de 2017</v>
      </c>
      <c r="N297" s="323">
        <f t="shared" si="36"/>
        <v>9</v>
      </c>
      <c r="O297" s="25">
        <f t="shared" si="33"/>
        <v>42887</v>
      </c>
      <c r="P297" s="5" t="str">
        <f t="shared" si="38"/>
        <v>0,52</v>
      </c>
      <c r="Q297" s="4" t="e">
        <f t="shared" ca="1" si="35"/>
        <v>#NAME?</v>
      </c>
    </row>
    <row r="298" spans="1:17">
      <c r="A298" s="1">
        <f t="shared" si="37"/>
        <v>297</v>
      </c>
      <c r="C298" s="8" t="s">
        <v>17</v>
      </c>
      <c r="D298" s="2">
        <v>42887</v>
      </c>
      <c r="E298" s="3">
        <f>17000/100000</f>
        <v>0.17</v>
      </c>
      <c r="F298" t="s">
        <v>362</v>
      </c>
      <c r="G298" t="s">
        <v>363</v>
      </c>
      <c r="H298" t="s">
        <v>364</v>
      </c>
      <c r="I298" s="6" t="s">
        <v>395</v>
      </c>
      <c r="J298" s="61" t="s">
        <v>22</v>
      </c>
      <c r="L298" s="5" t="str">
        <f t="shared" si="31"/>
        <v>00297</v>
      </c>
      <c r="M298" s="47" t="str">
        <f t="shared" si="32"/>
        <v>01 de junio de 2017</v>
      </c>
      <c r="N298" s="323">
        <f t="shared" si="36"/>
        <v>1</v>
      </c>
      <c r="O298" s="25">
        <f t="shared" si="33"/>
        <v>42887</v>
      </c>
      <c r="P298" s="5" t="str">
        <f t="shared" si="38"/>
        <v>0,17</v>
      </c>
      <c r="Q298" s="4" t="e">
        <f t="shared" ca="1" si="35"/>
        <v>#NAME?</v>
      </c>
    </row>
    <row r="299" spans="1:17">
      <c r="A299" s="1">
        <f t="shared" si="37"/>
        <v>298</v>
      </c>
      <c r="C299" s="8" t="s">
        <v>17</v>
      </c>
      <c r="D299" s="2">
        <v>42902</v>
      </c>
      <c r="E299" s="3">
        <f>26000*2/100000+13000/100000-9000/100000</f>
        <v>0.56000000000000005</v>
      </c>
      <c r="F299" t="s">
        <v>100</v>
      </c>
      <c r="G299" t="s">
        <v>95</v>
      </c>
      <c r="H299" t="s">
        <v>101</v>
      </c>
      <c r="I299" s="6" t="s">
        <v>449</v>
      </c>
      <c r="J299" s="61" t="s">
        <v>22</v>
      </c>
      <c r="L299" s="5" t="str">
        <f t="shared" si="31"/>
        <v>00298</v>
      </c>
      <c r="M299" s="47" t="str">
        <f t="shared" si="32"/>
        <v>16 de junio de 2017</v>
      </c>
      <c r="N299" s="323">
        <f t="shared" si="36"/>
        <v>16</v>
      </c>
      <c r="O299" s="25">
        <f t="shared" si="33"/>
        <v>42887</v>
      </c>
      <c r="P299" s="5" t="str">
        <f t="shared" si="38"/>
        <v>0,56</v>
      </c>
      <c r="Q299" s="4" t="e">
        <f t="shared" ca="1" si="35"/>
        <v>#NAME?</v>
      </c>
    </row>
    <row r="300" spans="1:17" ht="15.75" thickBot="1">
      <c r="A300" s="1">
        <f t="shared" si="37"/>
        <v>299</v>
      </c>
      <c r="C300" s="8" t="s">
        <v>17</v>
      </c>
      <c r="D300" s="2">
        <v>42902</v>
      </c>
      <c r="E300" s="3">
        <f>4000*2/100000</f>
        <v>0.08</v>
      </c>
      <c r="F300" t="s">
        <v>94</v>
      </c>
      <c r="G300" t="s">
        <v>95</v>
      </c>
      <c r="H300" t="s">
        <v>96</v>
      </c>
      <c r="I300" s="6" t="s">
        <v>450</v>
      </c>
      <c r="J300" s="61" t="s">
        <v>22</v>
      </c>
      <c r="L300" s="5" t="str">
        <f t="shared" si="31"/>
        <v>00299</v>
      </c>
      <c r="M300" s="47" t="str">
        <f t="shared" si="32"/>
        <v>16 de junio de 2017</v>
      </c>
      <c r="N300" s="323">
        <f t="shared" si="36"/>
        <v>16</v>
      </c>
      <c r="O300" s="25">
        <f t="shared" si="33"/>
        <v>42887</v>
      </c>
      <c r="P300" s="5" t="str">
        <f t="shared" si="38"/>
        <v>0,08</v>
      </c>
      <c r="Q300" s="4" t="e">
        <f t="shared" ca="1" si="35"/>
        <v>#NAME?</v>
      </c>
    </row>
    <row r="301" spans="1:17" ht="15.75" thickBot="1">
      <c r="A301" s="1">
        <f t="shared" si="37"/>
        <v>300</v>
      </c>
      <c r="C301" s="8" t="s">
        <v>17</v>
      </c>
      <c r="D301" s="2">
        <v>42894</v>
      </c>
      <c r="E301" s="3">
        <f>20000/100000</f>
        <v>0.2</v>
      </c>
      <c r="F301" t="s">
        <v>177</v>
      </c>
      <c r="G301" s="18" t="s">
        <v>58</v>
      </c>
      <c r="H301" t="s">
        <v>179</v>
      </c>
      <c r="I301" s="6" t="s">
        <v>420</v>
      </c>
      <c r="J301" s="61" t="s">
        <v>22</v>
      </c>
      <c r="L301" s="5" t="str">
        <f t="shared" si="31"/>
        <v>00300</v>
      </c>
      <c r="M301" s="47" t="str">
        <f t="shared" si="32"/>
        <v>08 de junio de 2017</v>
      </c>
      <c r="N301" s="323">
        <f t="shared" si="36"/>
        <v>8</v>
      </c>
      <c r="O301" s="25">
        <f t="shared" si="33"/>
        <v>42887</v>
      </c>
      <c r="P301" s="5" t="str">
        <f t="shared" si="38"/>
        <v>0,20</v>
      </c>
      <c r="Q301" s="4" t="e">
        <f t="shared" ca="1" si="35"/>
        <v>#NAME?</v>
      </c>
    </row>
    <row r="302" spans="1:17">
      <c r="A302" s="1">
        <f t="shared" si="37"/>
        <v>301</v>
      </c>
      <c r="C302" s="8" t="s">
        <v>17</v>
      </c>
      <c r="D302" s="2">
        <v>42870</v>
      </c>
      <c r="E302" s="3">
        <f>17000/100000</f>
        <v>0.17</v>
      </c>
      <c r="F302" t="s">
        <v>206</v>
      </c>
      <c r="G302" t="s">
        <v>207</v>
      </c>
      <c r="H302" t="s">
        <v>208</v>
      </c>
      <c r="I302" s="6" t="s">
        <v>395</v>
      </c>
      <c r="J302" s="61" t="s">
        <v>22</v>
      </c>
      <c r="L302" s="5" t="str">
        <f t="shared" si="31"/>
        <v>00301</v>
      </c>
      <c r="M302" s="47" t="str">
        <f t="shared" si="32"/>
        <v>15 de mayo de 2017</v>
      </c>
      <c r="N302" s="323">
        <f t="shared" si="36"/>
        <v>15</v>
      </c>
      <c r="O302" s="25">
        <f t="shared" si="33"/>
        <v>42856</v>
      </c>
      <c r="P302" s="5" t="str">
        <f t="shared" si="38"/>
        <v>0,17</v>
      </c>
      <c r="Q302" s="4" t="e">
        <f t="shared" ca="1" si="35"/>
        <v>#NAME?</v>
      </c>
    </row>
    <row r="303" spans="1:17">
      <c r="A303" s="1">
        <f t="shared" si="37"/>
        <v>302</v>
      </c>
      <c r="C303" s="8" t="s">
        <v>17</v>
      </c>
      <c r="D303" s="2">
        <v>42891</v>
      </c>
      <c r="E303" s="3">
        <f>26000/100000</f>
        <v>0.26</v>
      </c>
      <c r="F303" t="s">
        <v>107</v>
      </c>
      <c r="G303" t="s">
        <v>108</v>
      </c>
      <c r="H303" t="s">
        <v>109</v>
      </c>
      <c r="I303" s="6" t="s">
        <v>445</v>
      </c>
      <c r="J303" s="61" t="s">
        <v>22</v>
      </c>
      <c r="L303" s="5" t="str">
        <f t="shared" si="31"/>
        <v>00302</v>
      </c>
      <c r="M303" s="47" t="str">
        <f t="shared" si="32"/>
        <v>05 de junio de 2017</v>
      </c>
      <c r="N303" s="323">
        <f t="shared" si="36"/>
        <v>5</v>
      </c>
      <c r="O303" s="25">
        <f t="shared" si="33"/>
        <v>42887</v>
      </c>
      <c r="P303" s="5" t="str">
        <f t="shared" ref="P303:P314" si="40">TEXT(E303,"#.##0,00")</f>
        <v>0,26</v>
      </c>
      <c r="Q303" s="4" t="e">
        <f t="shared" ca="1" si="35"/>
        <v>#NAME?</v>
      </c>
    </row>
    <row r="304" spans="1:17" ht="15.75" thickBot="1">
      <c r="A304" s="1">
        <f t="shared" si="37"/>
        <v>303</v>
      </c>
      <c r="C304" s="8" t="s">
        <v>17</v>
      </c>
      <c r="D304" s="2">
        <v>42900</v>
      </c>
      <c r="E304" s="3">
        <f>10000/100000</f>
        <v>0.1</v>
      </c>
      <c r="F304" t="s">
        <v>230</v>
      </c>
      <c r="G304" t="s">
        <v>231</v>
      </c>
      <c r="H304" t="s">
        <v>232</v>
      </c>
      <c r="I304" s="6" t="s">
        <v>451</v>
      </c>
      <c r="J304" s="61" t="s">
        <v>452</v>
      </c>
      <c r="L304" s="5" t="str">
        <f t="shared" si="31"/>
        <v>00303</v>
      </c>
      <c r="M304" s="47" t="str">
        <f t="shared" si="32"/>
        <v>14 de junio de 2017</v>
      </c>
      <c r="N304" s="323">
        <f t="shared" si="36"/>
        <v>14</v>
      </c>
      <c r="O304" s="25">
        <f t="shared" si="33"/>
        <v>42887</v>
      </c>
      <c r="P304" s="5" t="str">
        <f t="shared" si="40"/>
        <v>0,10</v>
      </c>
      <c r="Q304" s="4" t="e">
        <f t="shared" ca="1" si="35"/>
        <v>#NAME?</v>
      </c>
    </row>
    <row r="305" spans="1:17" ht="15.75" thickBot="1">
      <c r="A305" s="1">
        <f t="shared" si="37"/>
        <v>304</v>
      </c>
      <c r="C305" s="8" t="s">
        <v>17</v>
      </c>
      <c r="D305" s="2">
        <v>42900</v>
      </c>
      <c r="E305" s="3">
        <f>40000/100000</f>
        <v>0.4</v>
      </c>
      <c r="F305" s="23" t="s">
        <v>422</v>
      </c>
      <c r="G305" s="18" t="s">
        <v>58</v>
      </c>
      <c r="H305" t="s">
        <v>423</v>
      </c>
      <c r="I305" s="6" t="s">
        <v>445</v>
      </c>
      <c r="J305" s="61" t="s">
        <v>22</v>
      </c>
      <c r="L305" s="5" t="str">
        <f t="shared" si="31"/>
        <v>00304</v>
      </c>
      <c r="M305" s="47" t="str">
        <f t="shared" si="32"/>
        <v>14 de junio de 2017</v>
      </c>
      <c r="N305" s="323">
        <f t="shared" si="36"/>
        <v>14</v>
      </c>
      <c r="O305" s="25">
        <f t="shared" si="33"/>
        <v>42887</v>
      </c>
      <c r="P305" s="5" t="str">
        <f t="shared" si="40"/>
        <v>0,40</v>
      </c>
      <c r="Q305" s="4" t="e">
        <f t="shared" ca="1" si="35"/>
        <v>#NAME?</v>
      </c>
    </row>
    <row r="306" spans="1:17" ht="15.75" thickBot="1">
      <c r="A306" s="1">
        <f t="shared" si="37"/>
        <v>305</v>
      </c>
      <c r="C306" s="8" t="s">
        <v>17</v>
      </c>
      <c r="D306" s="2">
        <v>42900</v>
      </c>
      <c r="E306" s="3">
        <f>7000/100000</f>
        <v>7.0000000000000007E-2</v>
      </c>
      <c r="F306" s="23" t="s">
        <v>422</v>
      </c>
      <c r="G306" s="18" t="s">
        <v>58</v>
      </c>
      <c r="H306" t="s">
        <v>423</v>
      </c>
      <c r="I306" s="6" t="s">
        <v>451</v>
      </c>
      <c r="J306" s="61" t="s">
        <v>452</v>
      </c>
      <c r="L306" s="5" t="str">
        <f t="shared" si="31"/>
        <v>00305</v>
      </c>
      <c r="M306" s="47" t="str">
        <f t="shared" si="32"/>
        <v>14 de junio de 2017</v>
      </c>
      <c r="N306" s="323">
        <f t="shared" si="36"/>
        <v>14</v>
      </c>
      <c r="O306" s="25">
        <f t="shared" si="33"/>
        <v>42887</v>
      </c>
      <c r="P306" s="5" t="str">
        <f t="shared" si="40"/>
        <v>0,07</v>
      </c>
      <c r="Q306" s="4" t="e">
        <f t="shared" ca="1" si="35"/>
        <v>#NAME?</v>
      </c>
    </row>
    <row r="307" spans="1:17" ht="15.75" thickBot="1">
      <c r="A307" s="1">
        <f t="shared" si="37"/>
        <v>306</v>
      </c>
      <c r="C307" s="8" t="s">
        <v>17</v>
      </c>
      <c r="D307" s="2">
        <v>42900</v>
      </c>
      <c r="E307" s="3">
        <f>7000/100000</f>
        <v>7.0000000000000007E-2</v>
      </c>
      <c r="F307" t="s">
        <v>148</v>
      </c>
      <c r="G307" t="s">
        <v>149</v>
      </c>
      <c r="H307" t="s">
        <v>150</v>
      </c>
      <c r="I307" s="6" t="s">
        <v>451</v>
      </c>
      <c r="J307" s="61" t="s">
        <v>452</v>
      </c>
      <c r="L307" s="5" t="str">
        <f t="shared" si="31"/>
        <v>00306</v>
      </c>
      <c r="M307" s="47" t="str">
        <f t="shared" si="32"/>
        <v>14 de junio de 2017</v>
      </c>
      <c r="N307" s="323">
        <f t="shared" si="36"/>
        <v>14</v>
      </c>
      <c r="O307" s="25">
        <f t="shared" si="33"/>
        <v>42887</v>
      </c>
      <c r="P307" s="5" t="str">
        <f t="shared" si="40"/>
        <v>0,07</v>
      </c>
      <c r="Q307" s="4" t="e">
        <f t="shared" ca="1" si="35"/>
        <v>#NAME?</v>
      </c>
    </row>
    <row r="308" spans="1:17" ht="15.75" thickBot="1">
      <c r="A308" s="1">
        <f t="shared" si="37"/>
        <v>307</v>
      </c>
      <c r="C308" s="8" t="s">
        <v>17</v>
      </c>
      <c r="D308" s="2">
        <v>42900</v>
      </c>
      <c r="E308" s="3">
        <f>26000*2/100000</f>
        <v>0.52</v>
      </c>
      <c r="F308" t="s">
        <v>239</v>
      </c>
      <c r="G308" s="73" t="s">
        <v>240</v>
      </c>
      <c r="H308" t="s">
        <v>241</v>
      </c>
      <c r="I308" s="6" t="s">
        <v>448</v>
      </c>
      <c r="J308" s="61" t="s">
        <v>22</v>
      </c>
      <c r="L308" s="5" t="str">
        <f t="shared" si="31"/>
        <v>00307</v>
      </c>
      <c r="M308" s="47" t="str">
        <f t="shared" si="32"/>
        <v>14 de junio de 2017</v>
      </c>
      <c r="N308" s="323">
        <f t="shared" si="36"/>
        <v>14</v>
      </c>
      <c r="O308" s="25">
        <f t="shared" si="33"/>
        <v>42887</v>
      </c>
      <c r="P308" s="5" t="str">
        <f t="shared" si="40"/>
        <v>0,52</v>
      </c>
      <c r="Q308" s="4" t="e">
        <f t="shared" ca="1" si="35"/>
        <v>#NAME?</v>
      </c>
    </row>
    <row r="309" spans="1:17" ht="15.75" thickBot="1">
      <c r="A309" s="1">
        <f t="shared" si="37"/>
        <v>308</v>
      </c>
      <c r="C309" s="8" t="s">
        <v>17</v>
      </c>
      <c r="D309" s="2">
        <v>42900</v>
      </c>
      <c r="E309" s="3">
        <f>7000/100000</f>
        <v>7.0000000000000007E-2</v>
      </c>
      <c r="F309" t="s">
        <v>239</v>
      </c>
      <c r="G309" s="73" t="s">
        <v>240</v>
      </c>
      <c r="H309" t="s">
        <v>241</v>
      </c>
      <c r="I309" s="6" t="s">
        <v>451</v>
      </c>
      <c r="J309" s="61" t="s">
        <v>452</v>
      </c>
      <c r="L309" s="5" t="str">
        <f t="shared" si="31"/>
        <v>00308</v>
      </c>
      <c r="M309" s="47" t="str">
        <f t="shared" si="32"/>
        <v>14 de junio de 2017</v>
      </c>
      <c r="N309" s="323">
        <f t="shared" si="36"/>
        <v>14</v>
      </c>
      <c r="O309" s="25">
        <f t="shared" si="33"/>
        <v>42887</v>
      </c>
      <c r="P309" s="5" t="str">
        <f t="shared" si="40"/>
        <v>0,07</v>
      </c>
      <c r="Q309" s="4" t="e">
        <f t="shared" ca="1" si="35"/>
        <v>#NAME?</v>
      </c>
    </row>
    <row r="310" spans="1:17">
      <c r="A310" s="1">
        <f t="shared" si="37"/>
        <v>309</v>
      </c>
      <c r="C310" s="8" t="s">
        <v>17</v>
      </c>
      <c r="D310" s="2">
        <v>42900</v>
      </c>
      <c r="E310" s="3">
        <f>17000*2/100000</f>
        <v>0.34</v>
      </c>
      <c r="F310" t="s">
        <v>264</v>
      </c>
      <c r="G310" t="s">
        <v>265</v>
      </c>
      <c r="H310" t="s">
        <v>266</v>
      </c>
      <c r="I310" s="6" t="s">
        <v>453</v>
      </c>
      <c r="J310" s="61" t="s">
        <v>22</v>
      </c>
      <c r="L310" s="5" t="str">
        <f t="shared" si="31"/>
        <v>00309</v>
      </c>
      <c r="M310" s="47" t="str">
        <f t="shared" si="32"/>
        <v>14 de junio de 2017</v>
      </c>
      <c r="N310" s="323">
        <f t="shared" si="36"/>
        <v>14</v>
      </c>
      <c r="O310" s="25">
        <f t="shared" si="33"/>
        <v>42887</v>
      </c>
      <c r="P310" s="5" t="str">
        <f t="shared" si="40"/>
        <v>0,34</v>
      </c>
      <c r="Q310" s="4" t="e">
        <f t="shared" ca="1" si="35"/>
        <v>#NAME?</v>
      </c>
    </row>
    <row r="311" spans="1:17">
      <c r="A311" s="1">
        <f t="shared" si="37"/>
        <v>310</v>
      </c>
      <c r="C311" s="8" t="s">
        <v>17</v>
      </c>
      <c r="D311" s="2">
        <v>42900</v>
      </c>
      <c r="E311" s="3">
        <f>7000/100000</f>
        <v>7.0000000000000007E-2</v>
      </c>
      <c r="F311" t="s">
        <v>264</v>
      </c>
      <c r="G311" t="s">
        <v>265</v>
      </c>
      <c r="H311" t="s">
        <v>266</v>
      </c>
      <c r="I311" s="6" t="s">
        <v>451</v>
      </c>
      <c r="J311" s="61" t="s">
        <v>452</v>
      </c>
      <c r="L311" s="5" t="str">
        <f t="shared" si="31"/>
        <v>00310</v>
      </c>
      <c r="M311" s="47" t="str">
        <f t="shared" si="32"/>
        <v>14 de junio de 2017</v>
      </c>
      <c r="N311" s="323">
        <f t="shared" si="36"/>
        <v>14</v>
      </c>
      <c r="O311" s="25">
        <f t="shared" si="33"/>
        <v>42887</v>
      </c>
      <c r="P311" s="5" t="str">
        <f t="shared" si="40"/>
        <v>0,07</v>
      </c>
      <c r="Q311" s="4" t="e">
        <f t="shared" ca="1" si="35"/>
        <v>#NAME?</v>
      </c>
    </row>
    <row r="312" spans="1:17">
      <c r="A312" s="1">
        <f t="shared" si="37"/>
        <v>311</v>
      </c>
      <c r="C312" s="8" t="s">
        <v>17</v>
      </c>
      <c r="D312" s="2">
        <v>42900</v>
      </c>
      <c r="E312" s="3">
        <f>7000/100000</f>
        <v>7.0000000000000007E-2</v>
      </c>
      <c r="F312" t="s">
        <v>44</v>
      </c>
      <c r="G312" t="s">
        <v>45</v>
      </c>
      <c r="H312" t="s">
        <v>46</v>
      </c>
      <c r="I312" s="6" t="s">
        <v>451</v>
      </c>
      <c r="J312" s="61" t="s">
        <v>452</v>
      </c>
      <c r="L312" s="5" t="str">
        <f t="shared" si="31"/>
        <v>00311</v>
      </c>
      <c r="M312" s="47" t="str">
        <f t="shared" si="32"/>
        <v>14 de junio de 2017</v>
      </c>
      <c r="N312" s="323">
        <f t="shared" si="36"/>
        <v>14</v>
      </c>
      <c r="O312" s="25">
        <f t="shared" si="33"/>
        <v>42887</v>
      </c>
      <c r="P312" s="5" t="str">
        <f t="shared" si="40"/>
        <v>0,07</v>
      </c>
      <c r="Q312" s="4" t="e">
        <f t="shared" ca="1" si="35"/>
        <v>#NAME?</v>
      </c>
    </row>
    <row r="313" spans="1:17">
      <c r="A313" s="1">
        <f t="shared" si="37"/>
        <v>312</v>
      </c>
      <c r="C313" s="8" t="s">
        <v>17</v>
      </c>
      <c r="D313" s="2">
        <v>42900</v>
      </c>
      <c r="E313" s="3">
        <f>13000/100000</f>
        <v>0.13</v>
      </c>
      <c r="F313" t="s">
        <v>401</v>
      </c>
      <c r="G313" t="s">
        <v>402</v>
      </c>
      <c r="H313" t="s">
        <v>403</v>
      </c>
      <c r="I313" s="6" t="s">
        <v>446</v>
      </c>
      <c r="J313" s="61" t="s">
        <v>22</v>
      </c>
      <c r="L313" s="5" t="str">
        <f t="shared" si="31"/>
        <v>00312</v>
      </c>
      <c r="M313" s="47" t="str">
        <f t="shared" si="32"/>
        <v>14 de junio de 2017</v>
      </c>
      <c r="N313" s="323">
        <f t="shared" si="36"/>
        <v>14</v>
      </c>
      <c r="O313" s="25">
        <f t="shared" si="33"/>
        <v>42887</v>
      </c>
      <c r="P313" s="5" t="str">
        <f t="shared" si="40"/>
        <v>0,13</v>
      </c>
      <c r="Q313" s="4" t="e">
        <f t="shared" ca="1" si="35"/>
        <v>#NAME?</v>
      </c>
    </row>
    <row r="314" spans="1:17" ht="15.75" thickBot="1">
      <c r="A314" s="1">
        <f t="shared" si="37"/>
        <v>313</v>
      </c>
      <c r="C314" s="8" t="s">
        <v>17</v>
      </c>
      <c r="D314" s="2">
        <v>42900</v>
      </c>
      <c r="E314" s="3">
        <f>7000/100000</f>
        <v>7.0000000000000007E-2</v>
      </c>
      <c r="F314" t="s">
        <v>24</v>
      </c>
      <c r="G314" t="s">
        <v>25</v>
      </c>
      <c r="H314" t="s">
        <v>26</v>
      </c>
      <c r="I314" s="6" t="s">
        <v>451</v>
      </c>
      <c r="J314" s="61" t="s">
        <v>452</v>
      </c>
      <c r="L314" s="5" t="str">
        <f t="shared" si="31"/>
        <v>00313</v>
      </c>
      <c r="M314" s="47" t="str">
        <f t="shared" si="32"/>
        <v>14 de junio de 2017</v>
      </c>
      <c r="N314" s="323">
        <f t="shared" si="36"/>
        <v>14</v>
      </c>
      <c r="O314" s="25">
        <f t="shared" si="33"/>
        <v>42887</v>
      </c>
      <c r="P314" s="5" t="str">
        <f t="shared" si="40"/>
        <v>0,07</v>
      </c>
      <c r="Q314" s="4" t="e">
        <f t="shared" ca="1" si="35"/>
        <v>#NAME?</v>
      </c>
    </row>
    <row r="315" spans="1:17" ht="15.75" thickBot="1">
      <c r="A315" s="1">
        <f t="shared" si="37"/>
        <v>314</v>
      </c>
      <c r="C315" s="8" t="s">
        <v>17</v>
      </c>
      <c r="D315" s="2">
        <v>42900</v>
      </c>
      <c r="E315" s="3">
        <f>7000/100000</f>
        <v>7.0000000000000007E-2</v>
      </c>
      <c r="F315" t="s">
        <v>454</v>
      </c>
      <c r="G315" s="18" t="s">
        <v>58</v>
      </c>
      <c r="H315" t="s">
        <v>455</v>
      </c>
      <c r="I315" s="6" t="s">
        <v>451</v>
      </c>
      <c r="J315" s="61" t="s">
        <v>452</v>
      </c>
      <c r="L315" s="5" t="str">
        <f t="shared" si="31"/>
        <v>00314</v>
      </c>
      <c r="M315" s="47" t="str">
        <f t="shared" si="32"/>
        <v>14 de junio de 2017</v>
      </c>
      <c r="N315" s="323">
        <f t="shared" si="36"/>
        <v>14</v>
      </c>
      <c r="O315" s="25">
        <f t="shared" si="33"/>
        <v>42887</v>
      </c>
      <c r="P315" s="5" t="str">
        <f>TEXT(E315,"#.##0,00")</f>
        <v>0,07</v>
      </c>
      <c r="Q315" s="4" t="e">
        <f t="shared" ca="1" si="35"/>
        <v>#NAME?</v>
      </c>
    </row>
    <row r="316" spans="1:17" ht="15.75" thickBot="1">
      <c r="A316" s="1">
        <f t="shared" si="37"/>
        <v>315</v>
      </c>
      <c r="C316" s="8" t="s">
        <v>17</v>
      </c>
      <c r="D316" s="2">
        <v>42901</v>
      </c>
      <c r="E316" s="3">
        <f>15000/100000</f>
        <v>0.15</v>
      </c>
      <c r="F316" t="s">
        <v>397</v>
      </c>
      <c r="G316" s="48" t="s">
        <v>29</v>
      </c>
      <c r="H316" t="s">
        <v>398</v>
      </c>
      <c r="I316" s="6" t="s">
        <v>456</v>
      </c>
      <c r="J316" s="61" t="s">
        <v>22</v>
      </c>
      <c r="L316" s="5" t="str">
        <f t="shared" si="31"/>
        <v>00315</v>
      </c>
      <c r="M316" s="47" t="str">
        <f t="shared" si="32"/>
        <v>15 de junio de 2017</v>
      </c>
      <c r="N316" s="323">
        <f t="shared" si="36"/>
        <v>15</v>
      </c>
      <c r="O316" s="25">
        <f t="shared" si="33"/>
        <v>42887</v>
      </c>
      <c r="P316" s="5" t="str">
        <f>TEXT(E316,"#.##0,00")</f>
        <v>0,15</v>
      </c>
      <c r="Q316" s="4" t="e">
        <f t="shared" ca="1" si="35"/>
        <v>#NAME?</v>
      </c>
    </row>
    <row r="317" spans="1:17" ht="15.75" thickBot="1">
      <c r="A317" s="1">
        <f t="shared" si="37"/>
        <v>316</v>
      </c>
      <c r="C317" s="8" t="s">
        <v>17</v>
      </c>
      <c r="D317" s="2">
        <v>42901</v>
      </c>
      <c r="E317" s="3">
        <f>5000/100000</f>
        <v>0.05</v>
      </c>
      <c r="F317" t="s">
        <v>397</v>
      </c>
      <c r="G317" s="48" t="s">
        <v>29</v>
      </c>
      <c r="H317" t="s">
        <v>398</v>
      </c>
      <c r="I317" s="6" t="s">
        <v>457</v>
      </c>
      <c r="J317" s="61" t="s">
        <v>452</v>
      </c>
      <c r="L317" s="5" t="str">
        <f t="shared" si="31"/>
        <v>00316</v>
      </c>
      <c r="M317" s="47" t="str">
        <f t="shared" si="32"/>
        <v>15 de junio de 2017</v>
      </c>
      <c r="N317" s="323">
        <f t="shared" si="36"/>
        <v>15</v>
      </c>
      <c r="O317" s="25">
        <f t="shared" si="33"/>
        <v>42887</v>
      </c>
      <c r="P317" s="5" t="str">
        <f t="shared" ref="P317:P323" si="41">TEXT(E317,"#.##0,00")</f>
        <v>0,05</v>
      </c>
      <c r="Q317" s="4" t="e">
        <f t="shared" ca="1" si="35"/>
        <v>#NAME?</v>
      </c>
    </row>
    <row r="318" spans="1:17">
      <c r="A318" s="1">
        <f t="shared" si="37"/>
        <v>317</v>
      </c>
      <c r="C318" s="8" t="s">
        <v>17</v>
      </c>
      <c r="D318" s="2">
        <v>42901</v>
      </c>
      <c r="E318" s="3">
        <f>20000/100000</f>
        <v>0.2</v>
      </c>
      <c r="F318" t="s">
        <v>28</v>
      </c>
      <c r="G318" t="s">
        <v>29</v>
      </c>
      <c r="H318" t="s">
        <v>30</v>
      </c>
      <c r="I318" s="6" t="s">
        <v>446</v>
      </c>
      <c r="J318" s="61" t="s">
        <v>22</v>
      </c>
      <c r="L318" s="5" t="str">
        <f t="shared" si="31"/>
        <v>00317</v>
      </c>
      <c r="M318" s="47" t="str">
        <f t="shared" si="32"/>
        <v>15 de junio de 2017</v>
      </c>
      <c r="N318" s="323">
        <f t="shared" si="36"/>
        <v>15</v>
      </c>
      <c r="O318" s="25">
        <f t="shared" si="33"/>
        <v>42887</v>
      </c>
      <c r="P318" s="5" t="str">
        <f t="shared" si="41"/>
        <v>0,20</v>
      </c>
      <c r="Q318" s="4" t="e">
        <f t="shared" ca="1" si="35"/>
        <v>#NAME?</v>
      </c>
    </row>
    <row r="319" spans="1:17">
      <c r="A319" s="1">
        <f t="shared" si="37"/>
        <v>318</v>
      </c>
      <c r="C319" s="8" t="s">
        <v>17</v>
      </c>
      <c r="D319" s="2">
        <v>42901</v>
      </c>
      <c r="E319" s="3">
        <f>7000/100000</f>
        <v>7.0000000000000007E-2</v>
      </c>
      <c r="F319" t="s">
        <v>107</v>
      </c>
      <c r="G319" t="s">
        <v>108</v>
      </c>
      <c r="H319" t="s">
        <v>109</v>
      </c>
      <c r="I319" s="6" t="s">
        <v>451</v>
      </c>
      <c r="J319" s="61" t="s">
        <v>452</v>
      </c>
      <c r="L319" s="5" t="str">
        <f t="shared" si="31"/>
        <v>00318</v>
      </c>
      <c r="M319" s="47" t="str">
        <f t="shared" si="32"/>
        <v>15 de junio de 2017</v>
      </c>
      <c r="N319" s="323">
        <f t="shared" si="36"/>
        <v>15</v>
      </c>
      <c r="O319" s="25">
        <f t="shared" si="33"/>
        <v>42887</v>
      </c>
      <c r="P319" s="5" t="str">
        <f t="shared" si="41"/>
        <v>0,07</v>
      </c>
      <c r="Q319" s="4" t="e">
        <f t="shared" ca="1" si="35"/>
        <v>#NAME?</v>
      </c>
    </row>
    <row r="320" spans="1:17">
      <c r="A320" s="1">
        <f t="shared" si="37"/>
        <v>319</v>
      </c>
      <c r="C320" s="8" t="s">
        <v>17</v>
      </c>
      <c r="D320" s="2">
        <v>42901</v>
      </c>
      <c r="E320" s="3">
        <f>1500/100000</f>
        <v>1.4999999999999999E-2</v>
      </c>
      <c r="F320" t="s">
        <v>107</v>
      </c>
      <c r="G320" t="s">
        <v>108</v>
      </c>
      <c r="H320" t="s">
        <v>109</v>
      </c>
      <c r="I320" s="6" t="s">
        <v>458</v>
      </c>
      <c r="J320" s="61" t="s">
        <v>459</v>
      </c>
      <c r="L320" s="5" t="str">
        <f t="shared" si="31"/>
        <v>00319</v>
      </c>
      <c r="M320" s="47" t="str">
        <f t="shared" si="32"/>
        <v>15 de junio de 2017</v>
      </c>
      <c r="N320" s="323">
        <f t="shared" si="36"/>
        <v>15</v>
      </c>
      <c r="O320" s="25">
        <f t="shared" si="33"/>
        <v>42887</v>
      </c>
      <c r="P320" s="5" t="str">
        <f t="shared" si="41"/>
        <v>0,02</v>
      </c>
      <c r="Q320" s="4" t="e">
        <f t="shared" ca="1" si="35"/>
        <v>#NAME?</v>
      </c>
    </row>
    <row r="321" spans="1:17">
      <c r="A321" s="1">
        <f t="shared" si="37"/>
        <v>320</v>
      </c>
      <c r="C321" s="8" t="s">
        <v>17</v>
      </c>
      <c r="D321" s="2">
        <v>42901</v>
      </c>
      <c r="E321" s="3">
        <f>7000/100000</f>
        <v>7.0000000000000007E-2</v>
      </c>
      <c r="F321" t="s">
        <v>36</v>
      </c>
      <c r="G321" t="s">
        <v>37</v>
      </c>
      <c r="H321" t="s">
        <v>38</v>
      </c>
      <c r="I321" s="6" t="s">
        <v>451</v>
      </c>
      <c r="J321" s="61" t="s">
        <v>452</v>
      </c>
      <c r="L321" s="5" t="str">
        <f t="shared" si="31"/>
        <v>00320</v>
      </c>
      <c r="M321" s="47" t="str">
        <f t="shared" si="32"/>
        <v>15 de junio de 2017</v>
      </c>
      <c r="N321" s="323">
        <f t="shared" si="36"/>
        <v>15</v>
      </c>
      <c r="O321" s="25">
        <f t="shared" si="33"/>
        <v>42887</v>
      </c>
      <c r="P321" s="5" t="str">
        <f t="shared" si="41"/>
        <v>0,07</v>
      </c>
      <c r="Q321" s="4" t="e">
        <f t="shared" ca="1" si="35"/>
        <v>#NAME?</v>
      </c>
    </row>
    <row r="322" spans="1:17">
      <c r="A322" s="1">
        <f t="shared" si="37"/>
        <v>321</v>
      </c>
      <c r="C322" s="8" t="s">
        <v>17</v>
      </c>
      <c r="D322" s="2">
        <v>42902</v>
      </c>
      <c r="E322" s="3">
        <f>7000/100000</f>
        <v>7.0000000000000007E-2</v>
      </c>
      <c r="F322" t="s">
        <v>201</v>
      </c>
      <c r="G322" t="s">
        <v>202</v>
      </c>
      <c r="H322" t="s">
        <v>203</v>
      </c>
      <c r="I322" s="6" t="s">
        <v>451</v>
      </c>
      <c r="J322" s="61" t="s">
        <v>452</v>
      </c>
      <c r="L322" s="5" t="str">
        <f t="shared" ref="L322:L385" si="42">IF(ISBLANK(A322),"",TEXT(A322,"00000"))</f>
        <v>00321</v>
      </c>
      <c r="M322" s="47" t="str">
        <f t="shared" ref="M322:M385" si="43">IF(ISBLANK(D322),"",TEXT(D322,"dd")&amp;" de "&amp;TEXT(D322,"mmmm")&amp;" de "&amp;TEXT(YEAR(D322),"0"))</f>
        <v>16 de junio de 2017</v>
      </c>
      <c r="N322" s="323">
        <f t="shared" si="36"/>
        <v>16</v>
      </c>
      <c r="O322" s="25">
        <f t="shared" ref="O322:O385" si="44">DATE(YEAR(D322),MONTH(D322),1)</f>
        <v>42887</v>
      </c>
      <c r="P322" s="5" t="str">
        <f t="shared" si="41"/>
        <v>0,07</v>
      </c>
      <c r="Q322" s="4" t="e">
        <f t="shared" ref="Q322:Q366" ca="1" si="45">CONVERTIRNUM(E322)</f>
        <v>#NAME?</v>
      </c>
    </row>
    <row r="323" spans="1:17">
      <c r="A323" s="1">
        <f t="shared" si="37"/>
        <v>322</v>
      </c>
      <c r="C323" s="8" t="s">
        <v>17</v>
      </c>
      <c r="D323" s="2">
        <v>42902</v>
      </c>
      <c r="E323" s="3">
        <f>7000/100000</f>
        <v>7.0000000000000007E-2</v>
      </c>
      <c r="F323" t="s">
        <v>100</v>
      </c>
      <c r="G323" t="s">
        <v>95</v>
      </c>
      <c r="H323" t="s">
        <v>101</v>
      </c>
      <c r="I323" s="6" t="s">
        <v>451</v>
      </c>
      <c r="J323" s="61" t="s">
        <v>452</v>
      </c>
      <c r="L323" s="5" t="str">
        <f t="shared" si="42"/>
        <v>00322</v>
      </c>
      <c r="M323" s="47" t="str">
        <f t="shared" si="43"/>
        <v>16 de junio de 2017</v>
      </c>
      <c r="N323" s="323">
        <f t="shared" ref="N323:N386" si="46">DAY(D323)</f>
        <v>16</v>
      </c>
      <c r="O323" s="25">
        <f t="shared" si="44"/>
        <v>42887</v>
      </c>
      <c r="P323" s="5" t="str">
        <f t="shared" si="41"/>
        <v>0,07</v>
      </c>
      <c r="Q323" s="4" t="e">
        <f t="shared" ca="1" si="45"/>
        <v>#NAME?</v>
      </c>
    </row>
    <row r="324" spans="1:17">
      <c r="A324" s="1">
        <f t="shared" ref="A324:A387" si="47">A323+1</f>
        <v>323</v>
      </c>
      <c r="C324" s="8" t="s">
        <v>17</v>
      </c>
      <c r="D324" s="2">
        <v>42902</v>
      </c>
      <c r="E324" s="3">
        <f>27000/100000</f>
        <v>0.27</v>
      </c>
      <c r="F324" t="s">
        <v>201</v>
      </c>
      <c r="G324" t="s">
        <v>202</v>
      </c>
      <c r="H324" t="s">
        <v>203</v>
      </c>
      <c r="I324" s="6" t="s">
        <v>460</v>
      </c>
      <c r="J324" s="61" t="s">
        <v>22</v>
      </c>
      <c r="L324" s="5" t="str">
        <f t="shared" si="42"/>
        <v>00323</v>
      </c>
      <c r="M324" s="47" t="str">
        <f t="shared" si="43"/>
        <v>16 de junio de 2017</v>
      </c>
      <c r="N324" s="323">
        <f t="shared" si="46"/>
        <v>16</v>
      </c>
      <c r="O324" s="25">
        <f t="shared" si="44"/>
        <v>42887</v>
      </c>
      <c r="P324" s="5" t="str">
        <f t="shared" ref="P324:P329" si="48">TEXT(E324,"#.##0,00")</f>
        <v>0,27</v>
      </c>
      <c r="Q324" s="4" t="e">
        <f t="shared" ca="1" si="45"/>
        <v>#NAME?</v>
      </c>
    </row>
    <row r="325" spans="1:17">
      <c r="A325" s="1">
        <f t="shared" si="47"/>
        <v>324</v>
      </c>
      <c r="C325" s="8" t="s">
        <v>17</v>
      </c>
      <c r="D325" s="2">
        <v>42902</v>
      </c>
      <c r="E325" s="3">
        <f>26000/100000</f>
        <v>0.26</v>
      </c>
      <c r="F325" t="s">
        <v>353</v>
      </c>
      <c r="G325" t="s">
        <v>354</v>
      </c>
      <c r="H325" t="s">
        <v>355</v>
      </c>
      <c r="I325" s="6" t="s">
        <v>461</v>
      </c>
      <c r="J325" s="61" t="s">
        <v>22</v>
      </c>
      <c r="L325" s="5" t="str">
        <f t="shared" si="42"/>
        <v>00324</v>
      </c>
      <c r="M325" s="47" t="str">
        <f t="shared" si="43"/>
        <v>16 de junio de 2017</v>
      </c>
      <c r="N325" s="323">
        <f t="shared" si="46"/>
        <v>16</v>
      </c>
      <c r="O325" s="25">
        <f t="shared" si="44"/>
        <v>42887</v>
      </c>
      <c r="P325" s="5" t="str">
        <f t="shared" si="48"/>
        <v>0,26</v>
      </c>
      <c r="Q325" s="4" t="e">
        <f t="shared" ca="1" si="45"/>
        <v>#NAME?</v>
      </c>
    </row>
    <row r="326" spans="1:17">
      <c r="A326" s="1">
        <f t="shared" si="47"/>
        <v>325</v>
      </c>
      <c r="C326" s="8" t="s">
        <v>17</v>
      </c>
      <c r="D326" s="2">
        <v>42902</v>
      </c>
      <c r="E326" s="3">
        <f>7000/100000</f>
        <v>7.0000000000000007E-2</v>
      </c>
      <c r="F326" t="s">
        <v>48</v>
      </c>
      <c r="G326" t="s">
        <v>49</v>
      </c>
      <c r="H326" t="s">
        <v>50</v>
      </c>
      <c r="I326" s="6" t="s">
        <v>451</v>
      </c>
      <c r="J326" s="61" t="s">
        <v>452</v>
      </c>
      <c r="L326" s="5" t="str">
        <f t="shared" si="42"/>
        <v>00325</v>
      </c>
      <c r="M326" s="47" t="str">
        <f t="shared" si="43"/>
        <v>16 de junio de 2017</v>
      </c>
      <c r="N326" s="323">
        <f t="shared" si="46"/>
        <v>16</v>
      </c>
      <c r="O326" s="25">
        <f t="shared" si="44"/>
        <v>42887</v>
      </c>
      <c r="P326" s="5" t="str">
        <f t="shared" si="48"/>
        <v>0,07</v>
      </c>
      <c r="Q326" s="4" t="e">
        <f t="shared" ca="1" si="45"/>
        <v>#NAME?</v>
      </c>
    </row>
    <row r="327" spans="1:17">
      <c r="A327" s="1">
        <f t="shared" si="47"/>
        <v>326</v>
      </c>
      <c r="C327" s="8" t="s">
        <v>17</v>
      </c>
      <c r="D327" s="2">
        <v>42902</v>
      </c>
      <c r="E327" s="3">
        <f>26000/100000</f>
        <v>0.26</v>
      </c>
      <c r="F327" t="s">
        <v>36</v>
      </c>
      <c r="G327" t="s">
        <v>37</v>
      </c>
      <c r="H327" t="s">
        <v>38</v>
      </c>
      <c r="I327" s="6" t="s">
        <v>445</v>
      </c>
      <c r="J327" s="61" t="s">
        <v>22</v>
      </c>
      <c r="L327" s="5" t="str">
        <f t="shared" si="42"/>
        <v>00326</v>
      </c>
      <c r="M327" s="47" t="str">
        <f t="shared" si="43"/>
        <v>16 de junio de 2017</v>
      </c>
      <c r="N327" s="323">
        <f t="shared" si="46"/>
        <v>16</v>
      </c>
      <c r="O327" s="25">
        <f t="shared" si="44"/>
        <v>42887</v>
      </c>
      <c r="P327" s="5" t="str">
        <f t="shared" si="48"/>
        <v>0,26</v>
      </c>
      <c r="Q327" s="4" t="e">
        <f t="shared" ca="1" si="45"/>
        <v>#NAME?</v>
      </c>
    </row>
    <row r="328" spans="1:17">
      <c r="A328" s="1">
        <f t="shared" si="47"/>
        <v>327</v>
      </c>
      <c r="C328" s="8" t="s">
        <v>17</v>
      </c>
      <c r="D328" s="2">
        <v>42903</v>
      </c>
      <c r="E328" s="3">
        <f>26000/100000</f>
        <v>0.26</v>
      </c>
      <c r="F328" t="s">
        <v>197</v>
      </c>
      <c r="G328" t="s">
        <v>198</v>
      </c>
      <c r="H328" t="s">
        <v>199</v>
      </c>
      <c r="I328" s="6" t="s">
        <v>420</v>
      </c>
      <c r="J328" s="61" t="s">
        <v>22</v>
      </c>
      <c r="L328" s="5" t="str">
        <f t="shared" si="42"/>
        <v>00327</v>
      </c>
      <c r="M328" s="47" t="str">
        <f t="shared" si="43"/>
        <v>17 de junio de 2017</v>
      </c>
      <c r="N328" s="323">
        <f t="shared" si="46"/>
        <v>17</v>
      </c>
      <c r="O328" s="25">
        <f t="shared" si="44"/>
        <v>42887</v>
      </c>
      <c r="P328" s="5" t="str">
        <f t="shared" si="48"/>
        <v>0,26</v>
      </c>
      <c r="Q328" s="4" t="e">
        <f t="shared" ca="1" si="45"/>
        <v>#NAME?</v>
      </c>
    </row>
    <row r="329" spans="1:17">
      <c r="A329" s="1">
        <f t="shared" si="47"/>
        <v>328</v>
      </c>
      <c r="C329" s="8" t="s">
        <v>17</v>
      </c>
      <c r="D329" s="2">
        <v>42905</v>
      </c>
      <c r="E329" s="3">
        <f>56000/100000</f>
        <v>0.56000000000000005</v>
      </c>
      <c r="F329" t="s">
        <v>185</v>
      </c>
      <c r="G329" t="s">
        <v>186</v>
      </c>
      <c r="H329" t="s">
        <v>187</v>
      </c>
      <c r="I329" s="6" t="s">
        <v>462</v>
      </c>
      <c r="J329" s="61" t="s">
        <v>22</v>
      </c>
      <c r="L329" s="5" t="str">
        <f t="shared" si="42"/>
        <v>00328</v>
      </c>
      <c r="M329" s="47" t="str">
        <f t="shared" si="43"/>
        <v>19 de junio de 2017</v>
      </c>
      <c r="N329" s="323">
        <f t="shared" si="46"/>
        <v>19</v>
      </c>
      <c r="O329" s="25">
        <f t="shared" si="44"/>
        <v>42887</v>
      </c>
      <c r="P329" s="5" t="str">
        <f t="shared" si="48"/>
        <v>0,56</v>
      </c>
      <c r="Q329" s="4" t="e">
        <f t="shared" ca="1" si="45"/>
        <v>#NAME?</v>
      </c>
    </row>
    <row r="330" spans="1:17">
      <c r="A330" s="1">
        <f t="shared" si="47"/>
        <v>329</v>
      </c>
      <c r="C330" s="8" t="s">
        <v>17</v>
      </c>
      <c r="D330" s="2">
        <v>42905</v>
      </c>
      <c r="E330" s="3">
        <f>7000/100000</f>
        <v>7.0000000000000007E-2</v>
      </c>
      <c r="F330" t="s">
        <v>90</v>
      </c>
      <c r="G330" t="s">
        <v>91</v>
      </c>
      <c r="H330" t="s">
        <v>92</v>
      </c>
      <c r="I330" s="6" t="s">
        <v>451</v>
      </c>
      <c r="J330" s="61" t="s">
        <v>452</v>
      </c>
      <c r="L330" s="5" t="str">
        <f t="shared" si="42"/>
        <v>00329</v>
      </c>
      <c r="M330" s="47" t="str">
        <f t="shared" si="43"/>
        <v>19 de junio de 2017</v>
      </c>
      <c r="N330" s="323">
        <f t="shared" si="46"/>
        <v>19</v>
      </c>
      <c r="O330" s="25">
        <f t="shared" si="44"/>
        <v>42887</v>
      </c>
      <c r="P330" s="5" t="str">
        <f>TEXT(E330,"#.##0,00")</f>
        <v>0,07</v>
      </c>
      <c r="Q330" s="4" t="e">
        <f t="shared" ca="1" si="45"/>
        <v>#NAME?</v>
      </c>
    </row>
    <row r="331" spans="1:17">
      <c r="A331" s="1">
        <f t="shared" si="47"/>
        <v>330</v>
      </c>
      <c r="C331" s="8" t="s">
        <v>17</v>
      </c>
      <c r="D331" s="2">
        <v>42906</v>
      </c>
      <c r="E331" s="3">
        <f>7000/100000</f>
        <v>7.0000000000000007E-2</v>
      </c>
      <c r="F331" t="s">
        <v>296</v>
      </c>
      <c r="G331" t="s">
        <v>297</v>
      </c>
      <c r="H331" t="s">
        <v>298</v>
      </c>
      <c r="I331" s="6" t="s">
        <v>451</v>
      </c>
      <c r="J331" s="61" t="s">
        <v>452</v>
      </c>
      <c r="L331" s="5" t="str">
        <f t="shared" si="42"/>
        <v>00330</v>
      </c>
      <c r="M331" s="47" t="str">
        <f t="shared" si="43"/>
        <v>20 de junio de 2017</v>
      </c>
      <c r="N331" s="323">
        <f t="shared" si="46"/>
        <v>20</v>
      </c>
      <c r="O331" s="25">
        <f t="shared" si="44"/>
        <v>42887</v>
      </c>
      <c r="P331" s="5" t="str">
        <f>TEXT(E331,"#.##0,00")</f>
        <v>0,07</v>
      </c>
      <c r="Q331" s="4" t="e">
        <f t="shared" ca="1" si="45"/>
        <v>#NAME?</v>
      </c>
    </row>
    <row r="332" spans="1:17" ht="15.75" customHeight="1">
      <c r="A332" s="1">
        <f t="shared" si="47"/>
        <v>331</v>
      </c>
      <c r="C332" s="8" t="s">
        <v>17</v>
      </c>
      <c r="D332" s="2">
        <v>42906</v>
      </c>
      <c r="E332" s="3">
        <f>7000/100000</f>
        <v>7.0000000000000007E-2</v>
      </c>
      <c r="F332" t="s">
        <v>181</v>
      </c>
      <c r="G332" t="s">
        <v>182</v>
      </c>
      <c r="H332" t="s">
        <v>183</v>
      </c>
      <c r="I332" s="6" t="s">
        <v>451</v>
      </c>
      <c r="J332" s="61" t="s">
        <v>452</v>
      </c>
      <c r="L332" s="5" t="str">
        <f t="shared" si="42"/>
        <v>00331</v>
      </c>
      <c r="M332" s="47" t="str">
        <f t="shared" si="43"/>
        <v>20 de junio de 2017</v>
      </c>
      <c r="N332" s="323">
        <f t="shared" si="46"/>
        <v>20</v>
      </c>
      <c r="O332" s="25">
        <f t="shared" si="44"/>
        <v>42887</v>
      </c>
      <c r="P332" s="5" t="str">
        <f>TEXT(E332,"#.##0,00")</f>
        <v>0,07</v>
      </c>
      <c r="Q332" s="4" t="e">
        <f t="shared" ca="1" si="45"/>
        <v>#NAME?</v>
      </c>
    </row>
    <row r="333" spans="1:17">
      <c r="A333" s="1">
        <f t="shared" si="47"/>
        <v>332</v>
      </c>
      <c r="C333" s="8" t="s">
        <v>17</v>
      </c>
      <c r="D333" s="2">
        <v>42907</v>
      </c>
      <c r="E333" s="3">
        <f>13000/100000</f>
        <v>0.13</v>
      </c>
      <c r="F333" t="s">
        <v>185</v>
      </c>
      <c r="G333" t="s">
        <v>186</v>
      </c>
      <c r="H333" t="s">
        <v>187</v>
      </c>
      <c r="I333" s="6" t="s">
        <v>463</v>
      </c>
      <c r="J333" s="61" t="s">
        <v>22</v>
      </c>
      <c r="L333" s="5" t="str">
        <f t="shared" si="42"/>
        <v>00332</v>
      </c>
      <c r="M333" s="47" t="str">
        <f t="shared" si="43"/>
        <v>21 de junio de 2017</v>
      </c>
      <c r="N333" s="323">
        <f t="shared" si="46"/>
        <v>21</v>
      </c>
      <c r="O333" s="25">
        <f t="shared" si="44"/>
        <v>42887</v>
      </c>
      <c r="P333" s="5" t="str">
        <f>TEXT(E333,"#.##0,00")</f>
        <v>0,13</v>
      </c>
      <c r="Q333" s="4" t="e">
        <f t="shared" ca="1" si="45"/>
        <v>#NAME?</v>
      </c>
    </row>
    <row r="334" spans="1:17">
      <c r="A334" s="1">
        <f t="shared" si="47"/>
        <v>333</v>
      </c>
      <c r="C334" s="8" t="s">
        <v>17</v>
      </c>
      <c r="D334" s="2">
        <v>42907</v>
      </c>
      <c r="E334" s="3">
        <f>7000/100000</f>
        <v>7.0000000000000007E-2</v>
      </c>
      <c r="F334" t="s">
        <v>185</v>
      </c>
      <c r="G334" t="s">
        <v>186</v>
      </c>
      <c r="H334" t="s">
        <v>187</v>
      </c>
      <c r="I334" s="6" t="s">
        <v>451</v>
      </c>
      <c r="J334" s="61" t="s">
        <v>452</v>
      </c>
      <c r="L334" s="5" t="str">
        <f t="shared" si="42"/>
        <v>00333</v>
      </c>
      <c r="M334" s="47" t="str">
        <f t="shared" si="43"/>
        <v>21 de junio de 2017</v>
      </c>
      <c r="N334" s="323">
        <f t="shared" si="46"/>
        <v>21</v>
      </c>
      <c r="O334" s="25">
        <f t="shared" si="44"/>
        <v>42887</v>
      </c>
      <c r="P334" s="5" t="str">
        <f>TEXT(E334,"#.##0,00")</f>
        <v>0,07</v>
      </c>
      <c r="Q334" s="4" t="e">
        <f t="shared" ca="1" si="45"/>
        <v>#NAME?</v>
      </c>
    </row>
    <row r="335" spans="1:17" ht="15.75" thickBot="1">
      <c r="A335" s="1">
        <f t="shared" si="47"/>
        <v>334</v>
      </c>
      <c r="C335" s="8" t="s">
        <v>17</v>
      </c>
      <c r="D335" s="2">
        <v>42907</v>
      </c>
      <c r="E335" s="3">
        <f>7500/100000</f>
        <v>7.4999999999999997E-2</v>
      </c>
      <c r="F335" t="s">
        <v>464</v>
      </c>
      <c r="G335" t="s">
        <v>465</v>
      </c>
      <c r="H335" t="s">
        <v>466</v>
      </c>
      <c r="I335" s="6" t="s">
        <v>451</v>
      </c>
      <c r="J335" s="61" t="s">
        <v>452</v>
      </c>
      <c r="L335" s="5" t="str">
        <f t="shared" si="42"/>
        <v>00334</v>
      </c>
      <c r="M335" s="47" t="str">
        <f t="shared" si="43"/>
        <v>21 de junio de 2017</v>
      </c>
      <c r="N335" s="323">
        <f t="shared" si="46"/>
        <v>21</v>
      </c>
      <c r="O335" s="25">
        <f t="shared" si="44"/>
        <v>42887</v>
      </c>
      <c r="P335" s="5" t="str">
        <f t="shared" ref="P335:P350" si="49">TEXT(E335,"#.##0,00")</f>
        <v>0,08</v>
      </c>
      <c r="Q335" s="4" t="e">
        <f t="shared" ca="1" si="45"/>
        <v>#NAME?</v>
      </c>
    </row>
    <row r="336" spans="1:17" ht="15.75" thickBot="1">
      <c r="A336" s="1">
        <f t="shared" si="47"/>
        <v>335</v>
      </c>
      <c r="C336" s="8" t="s">
        <v>17</v>
      </c>
      <c r="D336" s="2">
        <v>42907</v>
      </c>
      <c r="E336" s="3">
        <f>7000/100000</f>
        <v>7.0000000000000007E-2</v>
      </c>
      <c r="F336" t="s">
        <v>319</v>
      </c>
      <c r="G336" s="18" t="s">
        <v>58</v>
      </c>
      <c r="H336" t="s">
        <v>320</v>
      </c>
      <c r="I336" s="6" t="s">
        <v>451</v>
      </c>
      <c r="J336" s="61" t="s">
        <v>452</v>
      </c>
      <c r="L336" s="5" t="str">
        <f t="shared" si="42"/>
        <v>00335</v>
      </c>
      <c r="M336" s="47" t="str">
        <f t="shared" si="43"/>
        <v>21 de junio de 2017</v>
      </c>
      <c r="N336" s="323">
        <f t="shared" si="46"/>
        <v>21</v>
      </c>
      <c r="O336" s="25">
        <f t="shared" si="44"/>
        <v>42887</v>
      </c>
      <c r="P336" s="5" t="str">
        <f t="shared" si="49"/>
        <v>0,07</v>
      </c>
      <c r="Q336" s="4" t="e">
        <f t="shared" ca="1" si="45"/>
        <v>#NAME?</v>
      </c>
    </row>
    <row r="337" spans="1:17" ht="15.75" thickBot="1">
      <c r="A337" s="1">
        <f t="shared" si="47"/>
        <v>336</v>
      </c>
      <c r="C337" s="8" t="s">
        <v>17</v>
      </c>
      <c r="D337" s="2">
        <v>42907</v>
      </c>
      <c r="E337" s="3">
        <f>30000/100000</f>
        <v>0.3</v>
      </c>
      <c r="F337" s="20" t="s">
        <v>57</v>
      </c>
      <c r="G337" s="18" t="s">
        <v>58</v>
      </c>
      <c r="H337" s="21" t="s">
        <v>59</v>
      </c>
      <c r="I337" s="6" t="s">
        <v>445</v>
      </c>
      <c r="J337" s="61" t="s">
        <v>22</v>
      </c>
      <c r="K337" s="22"/>
      <c r="L337" s="5" t="str">
        <f t="shared" si="42"/>
        <v>00336</v>
      </c>
      <c r="M337" s="47" t="str">
        <f t="shared" si="43"/>
        <v>21 de junio de 2017</v>
      </c>
      <c r="N337" s="323">
        <f t="shared" si="46"/>
        <v>21</v>
      </c>
      <c r="O337" s="25">
        <f t="shared" si="44"/>
        <v>42887</v>
      </c>
      <c r="P337" s="5" t="str">
        <f t="shared" si="49"/>
        <v>0,30</v>
      </c>
      <c r="Q337" s="4" t="e">
        <f t="shared" ca="1" si="45"/>
        <v>#NAME?</v>
      </c>
    </row>
    <row r="338" spans="1:17" ht="15.75" thickBot="1">
      <c r="A338" s="1">
        <f t="shared" si="47"/>
        <v>337</v>
      </c>
      <c r="C338" s="8" t="s">
        <v>17</v>
      </c>
      <c r="D338" s="2">
        <v>42907</v>
      </c>
      <c r="E338" s="3">
        <f>7000/100000</f>
        <v>7.0000000000000007E-2</v>
      </c>
      <c r="F338" s="20" t="s">
        <v>57</v>
      </c>
      <c r="G338" s="18" t="s">
        <v>58</v>
      </c>
      <c r="H338" s="21" t="s">
        <v>59</v>
      </c>
      <c r="I338" s="6" t="s">
        <v>451</v>
      </c>
      <c r="J338" s="61" t="s">
        <v>452</v>
      </c>
      <c r="K338" s="22"/>
      <c r="L338" s="5" t="str">
        <f t="shared" si="42"/>
        <v>00337</v>
      </c>
      <c r="M338" s="47" t="str">
        <f t="shared" si="43"/>
        <v>21 de junio de 2017</v>
      </c>
      <c r="N338" s="323">
        <f t="shared" si="46"/>
        <v>21</v>
      </c>
      <c r="O338" s="25">
        <f t="shared" si="44"/>
        <v>42887</v>
      </c>
      <c r="P338" s="5" t="str">
        <f t="shared" si="49"/>
        <v>0,07</v>
      </c>
      <c r="Q338" s="4" t="e">
        <f t="shared" ca="1" si="45"/>
        <v>#NAME?</v>
      </c>
    </row>
    <row r="339" spans="1:17" ht="15.75" thickBot="1">
      <c r="A339" s="1">
        <f t="shared" si="47"/>
        <v>338</v>
      </c>
      <c r="C339" s="8" t="s">
        <v>17</v>
      </c>
      <c r="D339" s="2">
        <v>42907</v>
      </c>
      <c r="E339" s="3">
        <f>5000/100000</f>
        <v>0.05</v>
      </c>
      <c r="F339" t="s">
        <v>177</v>
      </c>
      <c r="G339" s="48" t="s">
        <v>178</v>
      </c>
      <c r="H339" t="s">
        <v>179</v>
      </c>
      <c r="I339" s="6" t="s">
        <v>467</v>
      </c>
      <c r="J339" s="61" t="s">
        <v>452</v>
      </c>
      <c r="L339" s="5" t="str">
        <f t="shared" si="42"/>
        <v>00338</v>
      </c>
      <c r="M339" s="47" t="str">
        <f t="shared" si="43"/>
        <v>21 de junio de 2017</v>
      </c>
      <c r="N339" s="323">
        <f t="shared" si="46"/>
        <v>21</v>
      </c>
      <c r="O339" s="25">
        <f t="shared" si="44"/>
        <v>42887</v>
      </c>
      <c r="P339" s="5" t="str">
        <f t="shared" si="49"/>
        <v>0,05</v>
      </c>
      <c r="Q339" s="4" t="e">
        <f t="shared" ca="1" si="45"/>
        <v>#NAME?</v>
      </c>
    </row>
    <row r="340" spans="1:17">
      <c r="A340" s="1">
        <f t="shared" si="47"/>
        <v>339</v>
      </c>
      <c r="C340" s="8" t="s">
        <v>17</v>
      </c>
      <c r="D340" s="2">
        <v>42907</v>
      </c>
      <c r="E340" s="3">
        <f>9000/100000</f>
        <v>0.09</v>
      </c>
      <c r="F340" t="s">
        <v>219</v>
      </c>
      <c r="G340" t="s">
        <v>220</v>
      </c>
      <c r="H340" t="s">
        <v>221</v>
      </c>
      <c r="I340" s="6" t="s">
        <v>463</v>
      </c>
      <c r="J340" s="61" t="s">
        <v>22</v>
      </c>
      <c r="L340" s="5" t="str">
        <f t="shared" si="42"/>
        <v>00339</v>
      </c>
      <c r="M340" s="47" t="str">
        <f t="shared" si="43"/>
        <v>21 de junio de 2017</v>
      </c>
      <c r="N340" s="323">
        <f t="shared" si="46"/>
        <v>21</v>
      </c>
      <c r="O340" s="25">
        <f t="shared" si="44"/>
        <v>42887</v>
      </c>
      <c r="P340" s="5" t="str">
        <f t="shared" si="49"/>
        <v>0,09</v>
      </c>
      <c r="Q340" s="4" t="e">
        <f t="shared" ca="1" si="45"/>
        <v>#NAME?</v>
      </c>
    </row>
    <row r="341" spans="1:17">
      <c r="A341" s="1">
        <f t="shared" si="47"/>
        <v>340</v>
      </c>
      <c r="C341" s="8" t="s">
        <v>17</v>
      </c>
      <c r="D341" s="2">
        <v>42907</v>
      </c>
      <c r="E341" s="3">
        <f>7000/100000</f>
        <v>7.0000000000000007E-2</v>
      </c>
      <c r="F341" t="s">
        <v>219</v>
      </c>
      <c r="G341" t="s">
        <v>220</v>
      </c>
      <c r="H341" t="s">
        <v>221</v>
      </c>
      <c r="I341" s="6" t="s">
        <v>451</v>
      </c>
      <c r="J341" s="61" t="s">
        <v>452</v>
      </c>
      <c r="L341" s="5" t="str">
        <f t="shared" si="42"/>
        <v>00340</v>
      </c>
      <c r="M341" s="47" t="str">
        <f t="shared" si="43"/>
        <v>21 de junio de 2017</v>
      </c>
      <c r="N341" s="323">
        <f t="shared" si="46"/>
        <v>21</v>
      </c>
      <c r="O341" s="25">
        <f t="shared" si="44"/>
        <v>42887</v>
      </c>
      <c r="P341" s="5" t="str">
        <f t="shared" si="49"/>
        <v>0,07</v>
      </c>
      <c r="Q341" s="4" t="e">
        <f t="shared" ca="1" si="45"/>
        <v>#NAME?</v>
      </c>
    </row>
    <row r="342" spans="1:17">
      <c r="A342" s="1">
        <f t="shared" si="47"/>
        <v>341</v>
      </c>
      <c r="C342" s="8" t="s">
        <v>17</v>
      </c>
      <c r="D342" s="2">
        <v>42907</v>
      </c>
      <c r="E342" s="3">
        <f>7000/100000</f>
        <v>7.0000000000000007E-2</v>
      </c>
      <c r="F342" t="s">
        <v>162</v>
      </c>
      <c r="G342" t="s">
        <v>163</v>
      </c>
      <c r="H342" t="s">
        <v>164</v>
      </c>
      <c r="I342" s="6" t="s">
        <v>451</v>
      </c>
      <c r="J342" s="61" t="s">
        <v>452</v>
      </c>
      <c r="L342" s="5" t="str">
        <f t="shared" si="42"/>
        <v>00341</v>
      </c>
      <c r="M342" s="47" t="str">
        <f t="shared" si="43"/>
        <v>21 de junio de 2017</v>
      </c>
      <c r="N342" s="323">
        <f t="shared" si="46"/>
        <v>21</v>
      </c>
      <c r="O342" s="25">
        <f t="shared" si="44"/>
        <v>42887</v>
      </c>
      <c r="P342" s="5" t="str">
        <f t="shared" si="49"/>
        <v>0,07</v>
      </c>
      <c r="Q342" s="4" t="e">
        <f t="shared" ca="1" si="45"/>
        <v>#NAME?</v>
      </c>
    </row>
    <row r="343" spans="1:17">
      <c r="A343" s="1">
        <f t="shared" si="47"/>
        <v>342</v>
      </c>
      <c r="C343" s="8" t="s">
        <v>17</v>
      </c>
      <c r="D343" s="2">
        <v>42907</v>
      </c>
      <c r="E343" s="3">
        <f>7000/100000</f>
        <v>7.0000000000000007E-2</v>
      </c>
      <c r="F343" t="s">
        <v>66</v>
      </c>
      <c r="G343" t="s">
        <v>67</v>
      </c>
      <c r="H343" t="s">
        <v>68</v>
      </c>
      <c r="I343" s="6" t="s">
        <v>451</v>
      </c>
      <c r="J343" s="61" t="s">
        <v>452</v>
      </c>
      <c r="L343" s="5" t="str">
        <f t="shared" si="42"/>
        <v>00342</v>
      </c>
      <c r="M343" s="47" t="str">
        <f t="shared" si="43"/>
        <v>21 de junio de 2017</v>
      </c>
      <c r="N343" s="323">
        <f t="shared" si="46"/>
        <v>21</v>
      </c>
      <c r="O343" s="25">
        <f t="shared" si="44"/>
        <v>42887</v>
      </c>
      <c r="P343" s="5" t="str">
        <f t="shared" si="49"/>
        <v>0,07</v>
      </c>
      <c r="Q343" s="4" t="e">
        <f t="shared" ca="1" si="45"/>
        <v>#NAME?</v>
      </c>
    </row>
    <row r="344" spans="1:17">
      <c r="A344" s="1">
        <f t="shared" si="47"/>
        <v>343</v>
      </c>
      <c r="C344" s="8" t="s">
        <v>17</v>
      </c>
      <c r="D344" s="2">
        <v>42907</v>
      </c>
      <c r="E344" s="3">
        <f>26000/100000</f>
        <v>0.26</v>
      </c>
      <c r="F344" t="s">
        <v>152</v>
      </c>
      <c r="G344" t="s">
        <v>153</v>
      </c>
      <c r="H344" t="s">
        <v>154</v>
      </c>
      <c r="I344" s="6" t="s">
        <v>445</v>
      </c>
      <c r="J344" s="61" t="s">
        <v>22</v>
      </c>
      <c r="L344" s="5" t="str">
        <f t="shared" si="42"/>
        <v>00343</v>
      </c>
      <c r="M344" s="47" t="str">
        <f t="shared" si="43"/>
        <v>21 de junio de 2017</v>
      </c>
      <c r="N344" s="323">
        <f t="shared" si="46"/>
        <v>21</v>
      </c>
      <c r="O344" s="25">
        <f t="shared" si="44"/>
        <v>42887</v>
      </c>
      <c r="P344" s="5" t="str">
        <f t="shared" si="49"/>
        <v>0,26</v>
      </c>
      <c r="Q344" s="4" t="e">
        <f t="shared" ca="1" si="45"/>
        <v>#NAME?</v>
      </c>
    </row>
    <row r="345" spans="1:17">
      <c r="A345" s="1">
        <f t="shared" si="47"/>
        <v>344</v>
      </c>
      <c r="C345" s="8" t="s">
        <v>17</v>
      </c>
      <c r="D345" s="2">
        <v>42907</v>
      </c>
      <c r="E345" s="3">
        <f>7000/100000</f>
        <v>7.0000000000000007E-2</v>
      </c>
      <c r="F345" t="s">
        <v>152</v>
      </c>
      <c r="G345" t="s">
        <v>153</v>
      </c>
      <c r="H345" t="s">
        <v>154</v>
      </c>
      <c r="I345" s="6" t="s">
        <v>451</v>
      </c>
      <c r="J345" s="61" t="s">
        <v>452</v>
      </c>
      <c r="L345" s="5" t="str">
        <f t="shared" si="42"/>
        <v>00344</v>
      </c>
      <c r="M345" s="47" t="str">
        <f t="shared" si="43"/>
        <v>21 de junio de 2017</v>
      </c>
      <c r="N345" s="323">
        <f t="shared" si="46"/>
        <v>21</v>
      </c>
      <c r="O345" s="25">
        <f t="shared" si="44"/>
        <v>42887</v>
      </c>
      <c r="P345" s="5" t="str">
        <f t="shared" si="49"/>
        <v>0,07</v>
      </c>
      <c r="Q345" s="4" t="e">
        <f t="shared" ca="1" si="45"/>
        <v>#NAME?</v>
      </c>
    </row>
    <row r="346" spans="1:17">
      <c r="A346" s="1">
        <f t="shared" si="47"/>
        <v>345</v>
      </c>
      <c r="C346" s="8" t="s">
        <v>17</v>
      </c>
      <c r="D346" s="2">
        <v>42908</v>
      </c>
      <c r="E346" s="3">
        <f>7000/100000</f>
        <v>7.0000000000000007E-2</v>
      </c>
      <c r="F346" t="s">
        <v>103</v>
      </c>
      <c r="G346" t="s">
        <v>104</v>
      </c>
      <c r="H346" t="s">
        <v>105</v>
      </c>
      <c r="I346" s="6" t="s">
        <v>451</v>
      </c>
      <c r="J346" s="61" t="s">
        <v>452</v>
      </c>
      <c r="L346" s="5" t="str">
        <f t="shared" si="42"/>
        <v>00345</v>
      </c>
      <c r="M346" s="47" t="str">
        <f t="shared" si="43"/>
        <v>22 de junio de 2017</v>
      </c>
      <c r="N346" s="323">
        <f t="shared" si="46"/>
        <v>22</v>
      </c>
      <c r="O346" s="25">
        <f t="shared" si="44"/>
        <v>42887</v>
      </c>
      <c r="P346" s="5" t="str">
        <f t="shared" si="49"/>
        <v>0,07</v>
      </c>
      <c r="Q346" s="4" t="e">
        <f t="shared" ca="1" si="45"/>
        <v>#NAME?</v>
      </c>
    </row>
    <row r="347" spans="1:17" ht="15.75" thickBot="1">
      <c r="A347" s="1">
        <f t="shared" si="47"/>
        <v>346</v>
      </c>
      <c r="C347" s="8" t="s">
        <v>17</v>
      </c>
      <c r="D347" s="2">
        <v>42908</v>
      </c>
      <c r="E347" s="3">
        <f>3000/100000</f>
        <v>0.03</v>
      </c>
      <c r="F347" t="s">
        <v>324</v>
      </c>
      <c r="G347" t="s">
        <v>325</v>
      </c>
      <c r="H347" t="s">
        <v>326</v>
      </c>
      <c r="I347" s="6" t="s">
        <v>457</v>
      </c>
      <c r="J347" s="61" t="s">
        <v>452</v>
      </c>
      <c r="L347" s="5" t="str">
        <f t="shared" si="42"/>
        <v>00346</v>
      </c>
      <c r="M347" s="47" t="str">
        <f t="shared" si="43"/>
        <v>22 de junio de 2017</v>
      </c>
      <c r="N347" s="323">
        <f t="shared" si="46"/>
        <v>22</v>
      </c>
      <c r="O347" s="25">
        <f t="shared" si="44"/>
        <v>42887</v>
      </c>
      <c r="P347" s="5" t="str">
        <f t="shared" si="49"/>
        <v>0,03</v>
      </c>
      <c r="Q347" s="4" t="e">
        <f t="shared" ca="1" si="45"/>
        <v>#NAME?</v>
      </c>
    </row>
    <row r="348" spans="1:17" ht="15.75" thickBot="1">
      <c r="A348" s="1">
        <f t="shared" si="47"/>
        <v>347</v>
      </c>
      <c r="C348" s="8" t="s">
        <v>17</v>
      </c>
      <c r="D348" s="2">
        <v>42908</v>
      </c>
      <c r="E348" s="3">
        <f>7000/100000</f>
        <v>7.0000000000000007E-2</v>
      </c>
      <c r="F348" t="s">
        <v>259</v>
      </c>
      <c r="G348" s="18" t="s">
        <v>58</v>
      </c>
      <c r="H348" t="s">
        <v>261</v>
      </c>
      <c r="I348" s="6" t="s">
        <v>451</v>
      </c>
      <c r="J348" s="61" t="s">
        <v>452</v>
      </c>
      <c r="L348" s="5" t="str">
        <f t="shared" si="42"/>
        <v>00347</v>
      </c>
      <c r="M348" s="47" t="str">
        <f t="shared" si="43"/>
        <v>22 de junio de 2017</v>
      </c>
      <c r="N348" s="323">
        <f t="shared" si="46"/>
        <v>22</v>
      </c>
      <c r="O348" s="25">
        <f t="shared" si="44"/>
        <v>42887</v>
      </c>
      <c r="P348" s="5" t="str">
        <f t="shared" si="49"/>
        <v>0,07</v>
      </c>
      <c r="Q348" s="4" t="e">
        <f t="shared" ca="1" si="45"/>
        <v>#NAME?</v>
      </c>
    </row>
    <row r="349" spans="1:17">
      <c r="A349" s="1">
        <f t="shared" si="47"/>
        <v>348</v>
      </c>
      <c r="C349" s="8" t="s">
        <v>17</v>
      </c>
      <c r="D349" s="2">
        <v>42908</v>
      </c>
      <c r="E349" s="3">
        <f>4320/100000</f>
        <v>4.3200000000000002E-2</v>
      </c>
      <c r="F349" t="s">
        <v>28</v>
      </c>
      <c r="G349" t="s">
        <v>29</v>
      </c>
      <c r="H349" t="s">
        <v>30</v>
      </c>
      <c r="I349" s="6" t="s">
        <v>457</v>
      </c>
      <c r="J349" s="61" t="s">
        <v>452</v>
      </c>
      <c r="L349" s="5" t="str">
        <f t="shared" si="42"/>
        <v>00348</v>
      </c>
      <c r="M349" s="47" t="str">
        <f t="shared" si="43"/>
        <v>22 de junio de 2017</v>
      </c>
      <c r="N349" s="323">
        <f t="shared" si="46"/>
        <v>22</v>
      </c>
      <c r="O349" s="25">
        <f t="shared" si="44"/>
        <v>42887</v>
      </c>
      <c r="P349" s="5" t="str">
        <f t="shared" si="49"/>
        <v>0,04</v>
      </c>
      <c r="Q349" s="4" t="e">
        <f t="shared" ca="1" si="45"/>
        <v>#NAME?</v>
      </c>
    </row>
    <row r="350" spans="1:17">
      <c r="A350" s="1">
        <f t="shared" si="47"/>
        <v>349</v>
      </c>
      <c r="C350" s="8" t="s">
        <v>17</v>
      </c>
      <c r="D350" s="2">
        <v>42908</v>
      </c>
      <c r="E350" s="3">
        <f>26000/100000</f>
        <v>0.26</v>
      </c>
      <c r="F350" t="s">
        <v>211</v>
      </c>
      <c r="G350" t="s">
        <v>212</v>
      </c>
      <c r="H350" t="s">
        <v>213</v>
      </c>
      <c r="I350" s="6" t="s">
        <v>445</v>
      </c>
      <c r="J350" s="61" t="s">
        <v>22</v>
      </c>
      <c r="L350" s="5" t="str">
        <f t="shared" si="42"/>
        <v>00349</v>
      </c>
      <c r="M350" s="47" t="str">
        <f t="shared" si="43"/>
        <v>22 de junio de 2017</v>
      </c>
      <c r="N350" s="323">
        <f t="shared" si="46"/>
        <v>22</v>
      </c>
      <c r="O350" s="25">
        <f t="shared" si="44"/>
        <v>42887</v>
      </c>
      <c r="P350" s="5" t="str">
        <f t="shared" si="49"/>
        <v>0,26</v>
      </c>
      <c r="Q350" s="4" t="e">
        <f t="shared" ca="1" si="45"/>
        <v>#NAME?</v>
      </c>
    </row>
    <row r="351" spans="1:17">
      <c r="A351" s="1">
        <f t="shared" si="47"/>
        <v>350</v>
      </c>
      <c r="C351" s="8" t="s">
        <v>17</v>
      </c>
      <c r="D351" s="2">
        <v>42908</v>
      </c>
      <c r="E351" s="3">
        <f>7000/100000</f>
        <v>7.0000000000000007E-2</v>
      </c>
      <c r="F351" t="s">
        <v>211</v>
      </c>
      <c r="G351" t="s">
        <v>212</v>
      </c>
      <c r="H351" t="s">
        <v>213</v>
      </c>
      <c r="I351" s="6" t="s">
        <v>451</v>
      </c>
      <c r="J351" s="61" t="s">
        <v>452</v>
      </c>
      <c r="L351" s="5" t="str">
        <f t="shared" si="42"/>
        <v>00350</v>
      </c>
      <c r="M351" s="47" t="str">
        <f t="shared" si="43"/>
        <v>22 de junio de 2017</v>
      </c>
      <c r="N351" s="323">
        <f t="shared" si="46"/>
        <v>22</v>
      </c>
      <c r="O351" s="25">
        <f t="shared" si="44"/>
        <v>42887</v>
      </c>
      <c r="P351" s="5" t="str">
        <f t="shared" ref="P351:P366" si="50">TEXT(E351,"#.##0,00")</f>
        <v>0,07</v>
      </c>
      <c r="Q351" s="4" t="e">
        <f t="shared" ca="1" si="45"/>
        <v>#NAME?</v>
      </c>
    </row>
    <row r="352" spans="1:17">
      <c r="A352" s="1">
        <f t="shared" si="47"/>
        <v>351</v>
      </c>
      <c r="C352" s="8" t="s">
        <v>17</v>
      </c>
      <c r="D352" s="2">
        <v>42908</v>
      </c>
      <c r="E352" s="3">
        <f>26000/100000</f>
        <v>0.26</v>
      </c>
      <c r="F352" t="s">
        <v>230</v>
      </c>
      <c r="G352" t="s">
        <v>231</v>
      </c>
      <c r="H352" t="s">
        <v>232</v>
      </c>
      <c r="I352" s="6" t="s">
        <v>420</v>
      </c>
      <c r="J352" s="61" t="s">
        <v>22</v>
      </c>
      <c r="L352" s="5" t="str">
        <f t="shared" si="42"/>
        <v>00351</v>
      </c>
      <c r="M352" s="47" t="str">
        <f t="shared" si="43"/>
        <v>22 de junio de 2017</v>
      </c>
      <c r="N352" s="323">
        <f t="shared" si="46"/>
        <v>22</v>
      </c>
      <c r="O352" s="25">
        <f t="shared" si="44"/>
        <v>42887</v>
      </c>
      <c r="P352" s="5" t="str">
        <f t="shared" si="50"/>
        <v>0,26</v>
      </c>
      <c r="Q352" s="4" t="e">
        <f t="shared" ca="1" si="45"/>
        <v>#NAME?</v>
      </c>
    </row>
    <row r="353" spans="1:17">
      <c r="A353" s="1">
        <f t="shared" si="47"/>
        <v>352</v>
      </c>
      <c r="C353" s="8" t="s">
        <v>17</v>
      </c>
      <c r="D353" s="2">
        <v>42908</v>
      </c>
      <c r="E353" s="3">
        <f>7000/100000</f>
        <v>7.0000000000000007E-2</v>
      </c>
      <c r="F353" t="s">
        <v>138</v>
      </c>
      <c r="G353" t="s">
        <v>139</v>
      </c>
      <c r="H353" t="s">
        <v>140</v>
      </c>
      <c r="I353" s="6" t="s">
        <v>451</v>
      </c>
      <c r="J353" s="61" t="s">
        <v>452</v>
      </c>
      <c r="L353" s="5" t="str">
        <f t="shared" si="42"/>
        <v>00352</v>
      </c>
      <c r="M353" s="47" t="str">
        <f t="shared" si="43"/>
        <v>22 de junio de 2017</v>
      </c>
      <c r="N353" s="323">
        <f t="shared" si="46"/>
        <v>22</v>
      </c>
      <c r="O353" s="25">
        <f t="shared" si="44"/>
        <v>42887</v>
      </c>
      <c r="P353" s="5" t="str">
        <f t="shared" si="50"/>
        <v>0,07</v>
      </c>
      <c r="Q353" s="4" t="e">
        <f t="shared" ca="1" si="45"/>
        <v>#NAME?</v>
      </c>
    </row>
    <row r="354" spans="1:17">
      <c r="A354" s="1">
        <f t="shared" si="47"/>
        <v>353</v>
      </c>
      <c r="C354" s="8" t="s">
        <v>17</v>
      </c>
      <c r="D354" s="2">
        <v>42909</v>
      </c>
      <c r="E354" s="3">
        <f>7000/100000</f>
        <v>7.0000000000000007E-2</v>
      </c>
      <c r="F354" t="s">
        <v>312</v>
      </c>
      <c r="G354" t="s">
        <v>313</v>
      </c>
      <c r="H354" t="s">
        <v>314</v>
      </c>
      <c r="I354" s="6" t="s">
        <v>451</v>
      </c>
      <c r="J354" s="61" t="s">
        <v>452</v>
      </c>
      <c r="L354" s="5" t="str">
        <f t="shared" si="42"/>
        <v>00353</v>
      </c>
      <c r="M354" s="47" t="str">
        <f t="shared" si="43"/>
        <v>23 de junio de 2017</v>
      </c>
      <c r="N354" s="323">
        <f t="shared" si="46"/>
        <v>23</v>
      </c>
      <c r="O354" s="25">
        <f t="shared" si="44"/>
        <v>42887</v>
      </c>
      <c r="P354" s="5" t="str">
        <f t="shared" si="50"/>
        <v>0,07</v>
      </c>
      <c r="Q354" s="4" t="e">
        <f t="shared" ca="1" si="45"/>
        <v>#NAME?</v>
      </c>
    </row>
    <row r="355" spans="1:17">
      <c r="A355" s="1">
        <f t="shared" si="47"/>
        <v>354</v>
      </c>
      <c r="C355" s="8" t="s">
        <v>17</v>
      </c>
      <c r="D355" s="2">
        <v>42910</v>
      </c>
      <c r="E355" s="3">
        <f>30000/100000</f>
        <v>0.3</v>
      </c>
      <c r="F355" t="s">
        <v>412</v>
      </c>
      <c r="G355" t="s">
        <v>413</v>
      </c>
      <c r="H355" t="s">
        <v>414</v>
      </c>
      <c r="I355" s="6" t="s">
        <v>468</v>
      </c>
      <c r="J355" s="61" t="s">
        <v>22</v>
      </c>
      <c r="L355" s="5" t="str">
        <f t="shared" si="42"/>
        <v>00354</v>
      </c>
      <c r="M355" s="47" t="str">
        <f t="shared" si="43"/>
        <v>24 de junio de 2017</v>
      </c>
      <c r="N355" s="323">
        <f t="shared" si="46"/>
        <v>24</v>
      </c>
      <c r="O355" s="25">
        <f t="shared" si="44"/>
        <v>42887</v>
      </c>
      <c r="P355" s="5" t="str">
        <f t="shared" si="50"/>
        <v>0,30</v>
      </c>
      <c r="Q355" s="4" t="e">
        <f t="shared" ca="1" si="45"/>
        <v>#NAME?</v>
      </c>
    </row>
    <row r="356" spans="1:17">
      <c r="A356" s="1">
        <f t="shared" si="47"/>
        <v>355</v>
      </c>
      <c r="C356" s="8" t="s">
        <v>17</v>
      </c>
      <c r="D356" s="2">
        <v>42910</v>
      </c>
      <c r="E356" s="3">
        <f>20000/100000</f>
        <v>0.2</v>
      </c>
      <c r="F356" t="s">
        <v>118</v>
      </c>
      <c r="G356" t="s">
        <v>119</v>
      </c>
      <c r="H356" t="s">
        <v>120</v>
      </c>
      <c r="I356" s="6" t="s">
        <v>446</v>
      </c>
      <c r="J356" s="61" t="s">
        <v>22</v>
      </c>
      <c r="L356" s="5" t="str">
        <f t="shared" si="42"/>
        <v>00355</v>
      </c>
      <c r="M356" s="47" t="str">
        <f t="shared" si="43"/>
        <v>24 de junio de 2017</v>
      </c>
      <c r="N356" s="323">
        <f t="shared" si="46"/>
        <v>24</v>
      </c>
      <c r="O356" s="25">
        <f t="shared" si="44"/>
        <v>42887</v>
      </c>
      <c r="P356" s="5" t="str">
        <f t="shared" si="50"/>
        <v>0,20</v>
      </c>
      <c r="Q356" s="4" t="e">
        <f t="shared" ca="1" si="45"/>
        <v>#NAME?</v>
      </c>
    </row>
    <row r="357" spans="1:17">
      <c r="A357" s="1">
        <f t="shared" si="47"/>
        <v>356</v>
      </c>
      <c r="C357" s="8" t="s">
        <v>17</v>
      </c>
      <c r="D357" s="2">
        <v>42912</v>
      </c>
      <c r="E357" s="3">
        <f>7000/100000</f>
        <v>7.0000000000000007E-2</v>
      </c>
      <c r="F357" t="s">
        <v>80</v>
      </c>
      <c r="G357" t="s">
        <v>81</v>
      </c>
      <c r="H357" t="s">
        <v>82</v>
      </c>
      <c r="I357" s="6" t="s">
        <v>451</v>
      </c>
      <c r="J357" s="61" t="s">
        <v>452</v>
      </c>
      <c r="L357" s="5" t="str">
        <f t="shared" si="42"/>
        <v>00356</v>
      </c>
      <c r="M357" s="47" t="str">
        <f t="shared" si="43"/>
        <v>26 de junio de 2017</v>
      </c>
      <c r="N357" s="323">
        <f t="shared" si="46"/>
        <v>26</v>
      </c>
      <c r="O357" s="25">
        <f t="shared" si="44"/>
        <v>42887</v>
      </c>
      <c r="P357" s="5" t="str">
        <f t="shared" si="50"/>
        <v>0,07</v>
      </c>
      <c r="Q357" s="4" t="e">
        <f t="shared" ca="1" si="45"/>
        <v>#NAME?</v>
      </c>
    </row>
    <row r="358" spans="1:17">
      <c r="A358" s="1">
        <f t="shared" si="47"/>
        <v>357</v>
      </c>
      <c r="C358" s="8" t="s">
        <v>17</v>
      </c>
      <c r="D358" s="2">
        <v>42912</v>
      </c>
      <c r="E358" s="3">
        <f>26000/100000</f>
        <v>0.26</v>
      </c>
      <c r="F358" t="s">
        <v>126</v>
      </c>
      <c r="G358" t="s">
        <v>127</v>
      </c>
      <c r="H358" t="s">
        <v>128</v>
      </c>
      <c r="I358" s="6" t="s">
        <v>445</v>
      </c>
      <c r="J358" s="61" t="s">
        <v>22</v>
      </c>
      <c r="L358" s="5" t="str">
        <f t="shared" si="42"/>
        <v>00357</v>
      </c>
      <c r="M358" s="47" t="str">
        <f t="shared" si="43"/>
        <v>26 de junio de 2017</v>
      </c>
      <c r="N358" s="323">
        <f t="shared" si="46"/>
        <v>26</v>
      </c>
      <c r="O358" s="25">
        <f t="shared" si="44"/>
        <v>42887</v>
      </c>
      <c r="P358" s="5" t="str">
        <f t="shared" si="50"/>
        <v>0,26</v>
      </c>
      <c r="Q358" s="4" t="e">
        <f t="shared" ca="1" si="45"/>
        <v>#NAME?</v>
      </c>
    </row>
    <row r="359" spans="1:17">
      <c r="A359" s="1">
        <f t="shared" si="47"/>
        <v>358</v>
      </c>
      <c r="C359" s="8" t="s">
        <v>17</v>
      </c>
      <c r="D359" s="2">
        <v>42912</v>
      </c>
      <c r="E359" s="3">
        <f>26000/100000</f>
        <v>0.26</v>
      </c>
      <c r="F359" t="s">
        <v>362</v>
      </c>
      <c r="G359" t="s">
        <v>363</v>
      </c>
      <c r="H359" t="s">
        <v>364</v>
      </c>
      <c r="I359" s="6" t="s">
        <v>420</v>
      </c>
      <c r="J359" s="61" t="s">
        <v>22</v>
      </c>
      <c r="L359" s="5" t="str">
        <f t="shared" si="42"/>
        <v>00358</v>
      </c>
      <c r="M359" s="47" t="str">
        <f t="shared" si="43"/>
        <v>26 de junio de 2017</v>
      </c>
      <c r="N359" s="323">
        <f t="shared" si="46"/>
        <v>26</v>
      </c>
      <c r="O359" s="25">
        <f t="shared" si="44"/>
        <v>42887</v>
      </c>
      <c r="P359" s="5" t="str">
        <f t="shared" si="50"/>
        <v>0,26</v>
      </c>
      <c r="Q359" s="4" t="e">
        <f t="shared" ca="1" si="45"/>
        <v>#NAME?</v>
      </c>
    </row>
    <row r="360" spans="1:17" ht="15.75" thickBot="1">
      <c r="A360" s="1">
        <f t="shared" si="47"/>
        <v>359</v>
      </c>
      <c r="C360" s="8" t="s">
        <v>17</v>
      </c>
      <c r="D360" s="2">
        <v>42912</v>
      </c>
      <c r="E360" s="3">
        <f>7000/100000</f>
        <v>7.0000000000000007E-2</v>
      </c>
      <c r="F360" t="s">
        <v>362</v>
      </c>
      <c r="G360" t="s">
        <v>363</v>
      </c>
      <c r="H360" t="s">
        <v>364</v>
      </c>
      <c r="I360" s="6" t="s">
        <v>451</v>
      </c>
      <c r="J360" s="61" t="s">
        <v>452</v>
      </c>
      <c r="L360" s="5" t="str">
        <f t="shared" si="42"/>
        <v>00359</v>
      </c>
      <c r="M360" s="47" t="str">
        <f t="shared" si="43"/>
        <v>26 de junio de 2017</v>
      </c>
      <c r="N360" s="323">
        <f t="shared" si="46"/>
        <v>26</v>
      </c>
      <c r="O360" s="25">
        <f t="shared" si="44"/>
        <v>42887</v>
      </c>
      <c r="P360" s="5" t="str">
        <f t="shared" si="50"/>
        <v>0,07</v>
      </c>
      <c r="Q360" s="4" t="e">
        <f t="shared" ca="1" si="45"/>
        <v>#NAME?</v>
      </c>
    </row>
    <row r="361" spans="1:17" ht="15.75" thickBot="1">
      <c r="A361" s="1">
        <f t="shared" si="47"/>
        <v>360</v>
      </c>
      <c r="C361" s="8" t="s">
        <v>17</v>
      </c>
      <c r="D361" s="2">
        <v>42912</v>
      </c>
      <c r="E361" s="3">
        <f>7000/100000</f>
        <v>7.0000000000000007E-2</v>
      </c>
      <c r="F361" t="s">
        <v>303</v>
      </c>
      <c r="G361" s="18" t="s">
        <v>58</v>
      </c>
      <c r="H361" t="s">
        <v>304</v>
      </c>
      <c r="I361" s="6" t="s">
        <v>451</v>
      </c>
      <c r="J361" s="61" t="s">
        <v>452</v>
      </c>
      <c r="L361" s="5" t="str">
        <f t="shared" si="42"/>
        <v>00360</v>
      </c>
      <c r="M361" s="47" t="str">
        <f t="shared" si="43"/>
        <v>26 de junio de 2017</v>
      </c>
      <c r="N361" s="323">
        <f t="shared" si="46"/>
        <v>26</v>
      </c>
      <c r="O361" s="25">
        <f t="shared" si="44"/>
        <v>42887</v>
      </c>
      <c r="P361" s="5" t="str">
        <f t="shared" si="50"/>
        <v>0,07</v>
      </c>
      <c r="Q361" s="4" t="e">
        <f t="shared" ca="1" si="45"/>
        <v>#NAME?</v>
      </c>
    </row>
    <row r="362" spans="1:17">
      <c r="A362" s="1">
        <f t="shared" si="47"/>
        <v>361</v>
      </c>
      <c r="C362" s="8" t="s">
        <v>17</v>
      </c>
      <c r="D362" s="2">
        <v>42913</v>
      </c>
      <c r="E362" s="3">
        <f>7000/100000</f>
        <v>7.0000000000000007E-2</v>
      </c>
      <c r="F362" t="s">
        <v>443</v>
      </c>
      <c r="G362" t="s">
        <v>444</v>
      </c>
      <c r="H362" t="s">
        <v>75</v>
      </c>
      <c r="I362" s="6" t="s">
        <v>451</v>
      </c>
      <c r="J362" s="61" t="s">
        <v>452</v>
      </c>
      <c r="L362" s="5" t="str">
        <f t="shared" si="42"/>
        <v>00361</v>
      </c>
      <c r="M362" s="47" t="str">
        <f t="shared" si="43"/>
        <v>27 de junio de 2017</v>
      </c>
      <c r="N362" s="323">
        <f t="shared" si="46"/>
        <v>27</v>
      </c>
      <c r="O362" s="25">
        <f t="shared" si="44"/>
        <v>42887</v>
      </c>
      <c r="P362" s="5" t="str">
        <f t="shared" si="50"/>
        <v>0,07</v>
      </c>
      <c r="Q362" s="4" t="e">
        <f t="shared" ca="1" si="45"/>
        <v>#NAME?</v>
      </c>
    </row>
    <row r="363" spans="1:17">
      <c r="A363" s="1">
        <f t="shared" si="47"/>
        <v>362</v>
      </c>
      <c r="C363" s="8" t="s">
        <v>17</v>
      </c>
      <c r="D363" s="2">
        <v>42914</v>
      </c>
      <c r="E363" s="3">
        <f>3000/100000</f>
        <v>0.03</v>
      </c>
      <c r="F363" t="s">
        <v>144</v>
      </c>
      <c r="G363" t="s">
        <v>145</v>
      </c>
      <c r="H363" t="s">
        <v>146</v>
      </c>
      <c r="I363" s="6" t="s">
        <v>427</v>
      </c>
      <c r="J363" s="61" t="s">
        <v>22</v>
      </c>
      <c r="L363" s="5" t="str">
        <f t="shared" si="42"/>
        <v>00362</v>
      </c>
      <c r="M363" s="47" t="str">
        <f t="shared" si="43"/>
        <v>28 de junio de 2017</v>
      </c>
      <c r="N363" s="323">
        <f t="shared" si="46"/>
        <v>28</v>
      </c>
      <c r="O363" s="25">
        <f t="shared" si="44"/>
        <v>42887</v>
      </c>
      <c r="P363" s="5" t="str">
        <f t="shared" si="50"/>
        <v>0,03</v>
      </c>
      <c r="Q363" s="4" t="e">
        <f t="shared" ca="1" si="45"/>
        <v>#NAME?</v>
      </c>
    </row>
    <row r="364" spans="1:17">
      <c r="A364" s="1">
        <f t="shared" si="47"/>
        <v>363</v>
      </c>
      <c r="C364" s="8" t="s">
        <v>17</v>
      </c>
      <c r="D364" s="2">
        <v>42906</v>
      </c>
      <c r="E364" s="3">
        <f>26000/100000</f>
        <v>0.26</v>
      </c>
      <c r="F364" t="s">
        <v>122</v>
      </c>
      <c r="G364" t="s">
        <v>123</v>
      </c>
      <c r="H364" t="s">
        <v>124</v>
      </c>
      <c r="I364" s="6" t="s">
        <v>445</v>
      </c>
      <c r="J364" s="61" t="s">
        <v>22</v>
      </c>
      <c r="L364" s="5" t="str">
        <f t="shared" si="42"/>
        <v>00363</v>
      </c>
      <c r="M364" s="47" t="str">
        <f t="shared" si="43"/>
        <v>20 de junio de 2017</v>
      </c>
      <c r="N364" s="323">
        <f t="shared" si="46"/>
        <v>20</v>
      </c>
      <c r="O364" s="25">
        <f t="shared" si="44"/>
        <v>42887</v>
      </c>
      <c r="P364" s="5" t="str">
        <f t="shared" si="50"/>
        <v>0,26</v>
      </c>
      <c r="Q364" s="4" t="e">
        <f t="shared" ca="1" si="45"/>
        <v>#NAME?</v>
      </c>
    </row>
    <row r="365" spans="1:17">
      <c r="A365" s="319">
        <f t="shared" si="47"/>
        <v>364</v>
      </c>
      <c r="B365" s="574"/>
      <c r="C365" s="12" t="s">
        <v>225</v>
      </c>
      <c r="D365" s="17">
        <v>42914</v>
      </c>
      <c r="E365" s="13">
        <f>7000/100000</f>
        <v>7.0000000000000007E-2</v>
      </c>
      <c r="F365" s="14" t="s">
        <v>103</v>
      </c>
      <c r="G365" s="14" t="s">
        <v>104</v>
      </c>
      <c r="H365" s="14" t="s">
        <v>105</v>
      </c>
      <c r="I365" s="15" t="s">
        <v>469</v>
      </c>
      <c r="J365" s="62" t="s">
        <v>426</v>
      </c>
      <c r="K365" s="16"/>
      <c r="L365" s="5" t="str">
        <f t="shared" si="42"/>
        <v>00364</v>
      </c>
      <c r="M365" s="47" t="str">
        <f t="shared" si="43"/>
        <v>28 de junio de 2017</v>
      </c>
      <c r="N365" s="323">
        <f t="shared" si="46"/>
        <v>28</v>
      </c>
      <c r="O365" s="25">
        <f t="shared" si="44"/>
        <v>42887</v>
      </c>
      <c r="P365" s="5" t="str">
        <f t="shared" si="50"/>
        <v>0,07</v>
      </c>
      <c r="Q365" s="4" t="e">
        <f t="shared" ca="1" si="45"/>
        <v>#NAME?</v>
      </c>
    </row>
    <row r="366" spans="1:17">
      <c r="A366" s="1">
        <f t="shared" si="47"/>
        <v>365</v>
      </c>
      <c r="C366" s="8" t="s">
        <v>17</v>
      </c>
      <c r="D366" s="2">
        <v>42914</v>
      </c>
      <c r="E366" s="3">
        <f>17000/100000</f>
        <v>0.17</v>
      </c>
      <c r="F366" t="s">
        <v>53</v>
      </c>
      <c r="G366" t="s">
        <v>54</v>
      </c>
      <c r="H366" t="s">
        <v>55</v>
      </c>
      <c r="I366" s="6" t="s">
        <v>395</v>
      </c>
      <c r="J366" s="61" t="s">
        <v>22</v>
      </c>
      <c r="L366" s="5" t="str">
        <f t="shared" si="42"/>
        <v>00365</v>
      </c>
      <c r="M366" s="47" t="str">
        <f t="shared" si="43"/>
        <v>28 de junio de 2017</v>
      </c>
      <c r="N366" s="323">
        <f t="shared" si="46"/>
        <v>28</v>
      </c>
      <c r="O366" s="25">
        <f t="shared" si="44"/>
        <v>42887</v>
      </c>
      <c r="P366" s="5" t="str">
        <f t="shared" si="50"/>
        <v>0,17</v>
      </c>
      <c r="Q366" s="4" t="e">
        <f t="shared" ca="1" si="45"/>
        <v>#NAME?</v>
      </c>
    </row>
    <row r="367" spans="1:17">
      <c r="A367" s="1">
        <f t="shared" si="47"/>
        <v>366</v>
      </c>
      <c r="C367" s="8" t="s">
        <v>17</v>
      </c>
      <c r="D367" s="2">
        <v>42914</v>
      </c>
      <c r="E367" s="3">
        <f>26000*2/100000</f>
        <v>0.52</v>
      </c>
      <c r="F367" t="s">
        <v>53</v>
      </c>
      <c r="G367" t="s">
        <v>54</v>
      </c>
      <c r="H367" t="s">
        <v>55</v>
      </c>
      <c r="I367" s="6" t="s">
        <v>448</v>
      </c>
      <c r="J367" s="61" t="s">
        <v>22</v>
      </c>
      <c r="L367" s="5" t="str">
        <f t="shared" si="42"/>
        <v>00366</v>
      </c>
      <c r="M367" s="47" t="str">
        <f t="shared" si="43"/>
        <v>28 de junio de 2017</v>
      </c>
      <c r="N367" s="323">
        <f t="shared" si="46"/>
        <v>28</v>
      </c>
      <c r="O367" s="25">
        <f t="shared" si="44"/>
        <v>42887</v>
      </c>
      <c r="P367" s="5" t="str">
        <f>TEXT(E367,"#.##0,00")</f>
        <v>0,52</v>
      </c>
      <c r="Q367" s="4" t="e">
        <f ca="1">CONVERTIRNUM(E367)</f>
        <v>#NAME?</v>
      </c>
    </row>
    <row r="368" spans="1:17" ht="15.75" thickBot="1">
      <c r="A368" s="1">
        <f t="shared" si="47"/>
        <v>367</v>
      </c>
      <c r="C368" s="8" t="s">
        <v>17</v>
      </c>
      <c r="D368" s="2">
        <v>42915</v>
      </c>
      <c r="E368" s="3">
        <f>7000/100000</f>
        <v>7.0000000000000007E-2</v>
      </c>
      <c r="F368" t="s">
        <v>353</v>
      </c>
      <c r="G368" t="s">
        <v>354</v>
      </c>
      <c r="H368" t="s">
        <v>355</v>
      </c>
      <c r="I368" s="6" t="s">
        <v>451</v>
      </c>
      <c r="J368" s="61" t="s">
        <v>452</v>
      </c>
      <c r="L368" s="5" t="str">
        <f t="shared" si="42"/>
        <v>00367</v>
      </c>
      <c r="M368" s="47" t="str">
        <f t="shared" si="43"/>
        <v>29 de junio de 2017</v>
      </c>
      <c r="N368" s="323">
        <f t="shared" si="46"/>
        <v>29</v>
      </c>
      <c r="O368" s="25">
        <f t="shared" si="44"/>
        <v>42887</v>
      </c>
      <c r="P368" s="5" t="str">
        <f>TEXT(E368,"#.##0,00")</f>
        <v>0,07</v>
      </c>
      <c r="Q368" s="4" t="e">
        <f ca="1">CONVERTIRNUM(E368)</f>
        <v>#NAME?</v>
      </c>
    </row>
    <row r="369" spans="1:17" ht="15.75" thickBot="1">
      <c r="A369" s="1">
        <f t="shared" si="47"/>
        <v>368</v>
      </c>
      <c r="C369" s="8" t="s">
        <v>17</v>
      </c>
      <c r="D369" s="2">
        <v>42916</v>
      </c>
      <c r="E369" s="3">
        <f>2000/100000</f>
        <v>0.02</v>
      </c>
      <c r="F369" t="s">
        <v>177</v>
      </c>
      <c r="G369" s="48" t="s">
        <v>178</v>
      </c>
      <c r="H369" t="s">
        <v>179</v>
      </c>
      <c r="I369" s="6" t="s">
        <v>470</v>
      </c>
      <c r="J369" s="61" t="s">
        <v>452</v>
      </c>
      <c r="L369" s="5" t="str">
        <f t="shared" si="42"/>
        <v>00368</v>
      </c>
      <c r="M369" s="47" t="str">
        <f t="shared" si="43"/>
        <v>30 de junio de 2017</v>
      </c>
      <c r="N369" s="323">
        <f t="shared" si="46"/>
        <v>30</v>
      </c>
      <c r="O369" s="25">
        <f t="shared" si="44"/>
        <v>42887</v>
      </c>
      <c r="P369" s="5" t="str">
        <f>TEXT(E369,"#.##0,00")</f>
        <v>0,02</v>
      </c>
      <c r="Q369" s="4" t="e">
        <f ca="1">CONVERTIRNUM(E369)</f>
        <v>#NAME?</v>
      </c>
    </row>
    <row r="370" spans="1:17" ht="15.75" thickBot="1">
      <c r="A370" s="1">
        <f t="shared" si="47"/>
        <v>369</v>
      </c>
      <c r="C370" s="8" t="s">
        <v>17</v>
      </c>
      <c r="D370" s="2">
        <v>42916</v>
      </c>
      <c r="E370" s="3">
        <f>7000/100000</f>
        <v>7.0000000000000007E-2</v>
      </c>
      <c r="F370" t="s">
        <v>417</v>
      </c>
      <c r="G370" t="s">
        <v>418</v>
      </c>
      <c r="H370" t="s">
        <v>419</v>
      </c>
      <c r="I370" s="6" t="s">
        <v>451</v>
      </c>
      <c r="J370" s="61" t="s">
        <v>452</v>
      </c>
      <c r="L370" s="5" t="str">
        <f t="shared" si="42"/>
        <v>00369</v>
      </c>
      <c r="M370" s="47" t="str">
        <f t="shared" si="43"/>
        <v>30 de junio de 2017</v>
      </c>
      <c r="N370" s="323">
        <f t="shared" si="46"/>
        <v>30</v>
      </c>
      <c r="O370" s="25">
        <f t="shared" si="44"/>
        <v>42887</v>
      </c>
      <c r="P370" s="5" t="str">
        <f>TEXT(E370,"#.##0,00")</f>
        <v>0,07</v>
      </c>
      <c r="Q370" s="4" t="e">
        <f ca="1">CONVERTIRNUM(E370)</f>
        <v>#NAME?</v>
      </c>
    </row>
    <row r="371" spans="1:17" ht="15.75" thickBot="1">
      <c r="A371" s="1">
        <f t="shared" si="47"/>
        <v>370</v>
      </c>
      <c r="C371" s="8" t="s">
        <v>17</v>
      </c>
      <c r="D371" s="2">
        <v>42916</v>
      </c>
      <c r="E371" s="3">
        <f>5000/100000</f>
        <v>0.05</v>
      </c>
      <c r="F371" t="s">
        <v>471</v>
      </c>
      <c r="G371" s="18" t="s">
        <v>58</v>
      </c>
      <c r="H371" t="s">
        <v>472</v>
      </c>
      <c r="I371" s="6" t="s">
        <v>457</v>
      </c>
      <c r="J371" s="61" t="s">
        <v>452</v>
      </c>
      <c r="L371" s="5" t="str">
        <f t="shared" si="42"/>
        <v>00370</v>
      </c>
      <c r="M371" s="47" t="str">
        <f t="shared" si="43"/>
        <v>30 de junio de 2017</v>
      </c>
      <c r="N371" s="323">
        <f t="shared" si="46"/>
        <v>30</v>
      </c>
      <c r="O371" s="25">
        <f t="shared" si="44"/>
        <v>42887</v>
      </c>
      <c r="P371" s="5" t="str">
        <f t="shared" ref="P371:P384" si="51">TEXT(E371,"#.##0,00")</f>
        <v>0,05</v>
      </c>
      <c r="Q371" s="4" t="e">
        <f t="shared" ref="Q371:Q384" ca="1" si="52">CONVERTIRNUM(E371)</f>
        <v>#NAME?</v>
      </c>
    </row>
    <row r="372" spans="1:17">
      <c r="A372" s="1">
        <f t="shared" si="47"/>
        <v>371</v>
      </c>
      <c r="C372" s="8" t="s">
        <v>17</v>
      </c>
      <c r="D372" s="2">
        <v>42916</v>
      </c>
      <c r="E372" s="3">
        <f>27000/100000</f>
        <v>0.27</v>
      </c>
      <c r="F372" t="s">
        <v>44</v>
      </c>
      <c r="G372" t="s">
        <v>45</v>
      </c>
      <c r="H372" t="s">
        <v>46</v>
      </c>
      <c r="I372" s="6" t="s">
        <v>473</v>
      </c>
      <c r="J372" s="61" t="s">
        <v>22</v>
      </c>
      <c r="L372" s="5" t="str">
        <f t="shared" si="42"/>
        <v>00371</v>
      </c>
      <c r="M372" s="47" t="str">
        <f t="shared" si="43"/>
        <v>30 de junio de 2017</v>
      </c>
      <c r="N372" s="323">
        <f t="shared" si="46"/>
        <v>30</v>
      </c>
      <c r="O372" s="25">
        <f t="shared" si="44"/>
        <v>42887</v>
      </c>
      <c r="P372" s="5" t="str">
        <f t="shared" si="51"/>
        <v>0,27</v>
      </c>
      <c r="Q372" s="4" t="e">
        <f t="shared" ca="1" si="52"/>
        <v>#NAME?</v>
      </c>
    </row>
    <row r="373" spans="1:17">
      <c r="A373" s="1">
        <f t="shared" si="47"/>
        <v>372</v>
      </c>
      <c r="C373" s="8" t="s">
        <v>17</v>
      </c>
      <c r="D373" s="2">
        <v>42918</v>
      </c>
      <c r="E373" s="3">
        <f>5000/100000</f>
        <v>0.05</v>
      </c>
      <c r="F373" t="s">
        <v>118</v>
      </c>
      <c r="G373" t="s">
        <v>119</v>
      </c>
      <c r="H373" t="s">
        <v>120</v>
      </c>
      <c r="I373" s="6" t="s">
        <v>457</v>
      </c>
      <c r="J373" s="61" t="s">
        <v>452</v>
      </c>
      <c r="L373" s="5" t="str">
        <f t="shared" si="42"/>
        <v>00372</v>
      </c>
      <c r="M373" s="47" t="str">
        <f t="shared" si="43"/>
        <v>02 de julio de 2017</v>
      </c>
      <c r="N373" s="323">
        <f t="shared" si="46"/>
        <v>2</v>
      </c>
      <c r="O373" s="25">
        <f t="shared" si="44"/>
        <v>42917</v>
      </c>
      <c r="P373" s="5" t="str">
        <f t="shared" si="51"/>
        <v>0,05</v>
      </c>
      <c r="Q373" s="4" t="e">
        <f t="shared" ca="1" si="52"/>
        <v>#NAME?</v>
      </c>
    </row>
    <row r="374" spans="1:17">
      <c r="A374" s="1">
        <f t="shared" si="47"/>
        <v>373</v>
      </c>
      <c r="C374" s="8" t="s">
        <v>17</v>
      </c>
      <c r="D374" s="2">
        <v>42918</v>
      </c>
      <c r="E374" s="3">
        <f>17000*2/100000</f>
        <v>0.34</v>
      </c>
      <c r="F374" t="s">
        <v>334</v>
      </c>
      <c r="G374" t="s">
        <v>85</v>
      </c>
      <c r="H374" t="s">
        <v>335</v>
      </c>
      <c r="I374" s="6" t="s">
        <v>474</v>
      </c>
      <c r="J374" s="61" t="s">
        <v>22</v>
      </c>
      <c r="L374" s="5" t="str">
        <f t="shared" si="42"/>
        <v>00373</v>
      </c>
      <c r="M374" s="47" t="str">
        <f t="shared" si="43"/>
        <v>02 de julio de 2017</v>
      </c>
      <c r="N374" s="323">
        <f t="shared" si="46"/>
        <v>2</v>
      </c>
      <c r="O374" s="25">
        <f t="shared" si="44"/>
        <v>42917</v>
      </c>
      <c r="P374" s="5" t="str">
        <f t="shared" si="51"/>
        <v>0,34</v>
      </c>
      <c r="Q374" s="4" t="e">
        <f t="shared" ca="1" si="52"/>
        <v>#NAME?</v>
      </c>
    </row>
    <row r="375" spans="1:17">
      <c r="A375" s="1">
        <f t="shared" si="47"/>
        <v>374</v>
      </c>
      <c r="C375" s="8" t="s">
        <v>17</v>
      </c>
      <c r="D375" s="2">
        <v>42918</v>
      </c>
      <c r="E375" s="3">
        <f>7000/100000</f>
        <v>7.0000000000000007E-2</v>
      </c>
      <c r="F375" t="s">
        <v>334</v>
      </c>
      <c r="G375" t="s">
        <v>85</v>
      </c>
      <c r="H375" t="s">
        <v>335</v>
      </c>
      <c r="I375" s="6" t="s">
        <v>451</v>
      </c>
      <c r="J375" s="61" t="s">
        <v>452</v>
      </c>
      <c r="L375" s="5" t="str">
        <f t="shared" si="42"/>
        <v>00374</v>
      </c>
      <c r="M375" s="47" t="str">
        <f t="shared" si="43"/>
        <v>02 de julio de 2017</v>
      </c>
      <c r="N375" s="323">
        <f t="shared" si="46"/>
        <v>2</v>
      </c>
      <c r="O375" s="25">
        <f t="shared" si="44"/>
        <v>42917</v>
      </c>
      <c r="P375" s="5" t="str">
        <f t="shared" si="51"/>
        <v>0,07</v>
      </c>
      <c r="Q375" s="4" t="e">
        <f t="shared" ca="1" si="52"/>
        <v>#NAME?</v>
      </c>
    </row>
    <row r="376" spans="1:17">
      <c r="A376" s="1">
        <f t="shared" si="47"/>
        <v>375</v>
      </c>
      <c r="C376" s="8" t="s">
        <v>17</v>
      </c>
      <c r="D376" s="2">
        <v>42917</v>
      </c>
      <c r="E376" s="3">
        <f>26000/100000</f>
        <v>0.26</v>
      </c>
      <c r="F376" t="s">
        <v>18</v>
      </c>
      <c r="G376" t="s">
        <v>19</v>
      </c>
      <c r="H376" t="s">
        <v>20</v>
      </c>
      <c r="I376" s="6" t="s">
        <v>475</v>
      </c>
      <c r="J376" s="61" t="s">
        <v>22</v>
      </c>
      <c r="L376" s="5" t="str">
        <f t="shared" si="42"/>
        <v>00375</v>
      </c>
      <c r="M376" s="47" t="str">
        <f t="shared" si="43"/>
        <v>01 de julio de 2017</v>
      </c>
      <c r="N376" s="323">
        <f t="shared" si="46"/>
        <v>1</v>
      </c>
      <c r="O376" s="25">
        <f t="shared" si="44"/>
        <v>42917</v>
      </c>
      <c r="P376" s="5" t="str">
        <f t="shared" si="51"/>
        <v>0,26</v>
      </c>
      <c r="Q376" s="4" t="e">
        <f t="shared" ca="1" si="52"/>
        <v>#NAME?</v>
      </c>
    </row>
    <row r="377" spans="1:17">
      <c r="A377" s="178">
        <f t="shared" si="47"/>
        <v>376</v>
      </c>
      <c r="C377" s="8" t="s">
        <v>17</v>
      </c>
      <c r="D377" s="2">
        <v>42917</v>
      </c>
      <c r="E377" s="3">
        <f>26000/100000</f>
        <v>0.26</v>
      </c>
      <c r="F377" t="s">
        <v>438</v>
      </c>
      <c r="G377" t="s">
        <v>439</v>
      </c>
      <c r="H377" t="s">
        <v>440</v>
      </c>
      <c r="I377" s="6" t="s">
        <v>476</v>
      </c>
      <c r="J377" s="61" t="s">
        <v>22</v>
      </c>
      <c r="L377" s="5" t="str">
        <f t="shared" si="42"/>
        <v>00376</v>
      </c>
      <c r="M377" s="47" t="str">
        <f t="shared" si="43"/>
        <v>01 de julio de 2017</v>
      </c>
      <c r="N377" s="323">
        <f t="shared" si="46"/>
        <v>1</v>
      </c>
      <c r="O377" s="25">
        <f t="shared" si="44"/>
        <v>42917</v>
      </c>
      <c r="P377" s="5" t="str">
        <f t="shared" si="51"/>
        <v>0,26</v>
      </c>
      <c r="Q377" s="4" t="e">
        <f t="shared" ca="1" si="52"/>
        <v>#NAME?</v>
      </c>
    </row>
    <row r="378" spans="1:17">
      <c r="A378" s="1">
        <f t="shared" si="47"/>
        <v>377</v>
      </c>
      <c r="C378" s="8" t="s">
        <v>17</v>
      </c>
      <c r="D378" s="2">
        <v>42918</v>
      </c>
      <c r="E378" s="3">
        <f>7000/100000</f>
        <v>7.0000000000000007E-2</v>
      </c>
      <c r="F378" t="s">
        <v>126</v>
      </c>
      <c r="G378" t="s">
        <v>127</v>
      </c>
      <c r="H378" t="s">
        <v>128</v>
      </c>
      <c r="I378" s="6" t="s">
        <v>451</v>
      </c>
      <c r="J378" s="61" t="s">
        <v>452</v>
      </c>
      <c r="L378" s="5" t="str">
        <f t="shared" si="42"/>
        <v>00377</v>
      </c>
      <c r="M378" s="47" t="str">
        <f t="shared" si="43"/>
        <v>02 de julio de 2017</v>
      </c>
      <c r="N378" s="323">
        <f t="shared" si="46"/>
        <v>2</v>
      </c>
      <c r="O378" s="25">
        <f t="shared" si="44"/>
        <v>42917</v>
      </c>
      <c r="P378" s="5" t="str">
        <f t="shared" si="51"/>
        <v>0,07</v>
      </c>
      <c r="Q378" s="4" t="e">
        <f t="shared" ca="1" si="52"/>
        <v>#NAME?</v>
      </c>
    </row>
    <row r="379" spans="1:17">
      <c r="A379" s="1">
        <f t="shared" si="47"/>
        <v>378</v>
      </c>
      <c r="C379" s="8" t="s">
        <v>17</v>
      </c>
      <c r="D379" s="2">
        <v>42919</v>
      </c>
      <c r="E379" s="3">
        <f>26000/100000</f>
        <v>0.26</v>
      </c>
      <c r="F379" t="s">
        <v>40</v>
      </c>
      <c r="G379" t="s">
        <v>41</v>
      </c>
      <c r="H379" t="s">
        <v>42</v>
      </c>
      <c r="I379" s="6" t="s">
        <v>473</v>
      </c>
      <c r="J379" s="61" t="s">
        <v>22</v>
      </c>
      <c r="L379" s="5" t="str">
        <f t="shared" si="42"/>
        <v>00378</v>
      </c>
      <c r="M379" s="47" t="str">
        <f t="shared" si="43"/>
        <v>03 de julio de 2017</v>
      </c>
      <c r="N379" s="323">
        <f t="shared" si="46"/>
        <v>3</v>
      </c>
      <c r="O379" s="25">
        <f t="shared" si="44"/>
        <v>42917</v>
      </c>
      <c r="P379" s="5" t="str">
        <f t="shared" si="51"/>
        <v>0,26</v>
      </c>
      <c r="Q379" s="4" t="e">
        <f t="shared" ca="1" si="52"/>
        <v>#NAME?</v>
      </c>
    </row>
    <row r="380" spans="1:17">
      <c r="A380" s="1">
        <f t="shared" si="47"/>
        <v>379</v>
      </c>
      <c r="C380" s="8" t="s">
        <v>17</v>
      </c>
      <c r="D380" s="2">
        <v>42919</v>
      </c>
      <c r="E380" s="3">
        <f>7000/100000</f>
        <v>7.0000000000000007E-2</v>
      </c>
      <c r="F380" t="s">
        <v>40</v>
      </c>
      <c r="G380" t="s">
        <v>41</v>
      </c>
      <c r="H380" t="s">
        <v>42</v>
      </c>
      <c r="I380" s="6" t="s">
        <v>451</v>
      </c>
      <c r="J380" s="61" t="s">
        <v>452</v>
      </c>
      <c r="L380" s="5" t="str">
        <f t="shared" si="42"/>
        <v>00379</v>
      </c>
      <c r="M380" s="47" t="str">
        <f t="shared" si="43"/>
        <v>03 de julio de 2017</v>
      </c>
      <c r="N380" s="323">
        <f t="shared" si="46"/>
        <v>3</v>
      </c>
      <c r="O380" s="25">
        <f t="shared" si="44"/>
        <v>42917</v>
      </c>
      <c r="P380" s="5" t="str">
        <f t="shared" si="51"/>
        <v>0,07</v>
      </c>
      <c r="Q380" s="4" t="e">
        <f t="shared" ca="1" si="52"/>
        <v>#NAME?</v>
      </c>
    </row>
    <row r="381" spans="1:17">
      <c r="A381" s="1">
        <f t="shared" si="47"/>
        <v>380</v>
      </c>
      <c r="C381" s="8" t="s">
        <v>17</v>
      </c>
      <c r="D381" s="2">
        <v>42919</v>
      </c>
      <c r="E381" s="3">
        <f>25000/100000</f>
        <v>0.25</v>
      </c>
      <c r="F381" t="s">
        <v>36</v>
      </c>
      <c r="G381" t="s">
        <v>37</v>
      </c>
      <c r="H381" t="s">
        <v>38</v>
      </c>
      <c r="I381" s="6" t="s">
        <v>473</v>
      </c>
      <c r="J381" s="61" t="s">
        <v>22</v>
      </c>
      <c r="L381" s="5" t="str">
        <f t="shared" si="42"/>
        <v>00380</v>
      </c>
      <c r="M381" s="47" t="str">
        <f t="shared" si="43"/>
        <v>03 de julio de 2017</v>
      </c>
      <c r="N381" s="323">
        <f t="shared" si="46"/>
        <v>3</v>
      </c>
      <c r="O381" s="25">
        <f t="shared" si="44"/>
        <v>42917</v>
      </c>
      <c r="P381" s="5" t="str">
        <f t="shared" si="51"/>
        <v>0,25</v>
      </c>
      <c r="Q381" s="4" t="e">
        <f t="shared" ca="1" si="52"/>
        <v>#NAME?</v>
      </c>
    </row>
    <row r="382" spans="1:17">
      <c r="A382" s="1">
        <f t="shared" si="47"/>
        <v>381</v>
      </c>
      <c r="C382" s="8" t="s">
        <v>17</v>
      </c>
      <c r="D382" s="2">
        <v>42919</v>
      </c>
      <c r="E382" s="3">
        <f>3387/100000+17000/100000+17000/100000+26000/100000+26000/100000</f>
        <v>0.89387000000000005</v>
      </c>
      <c r="F382" t="s">
        <v>32</v>
      </c>
      <c r="G382" t="s">
        <v>33</v>
      </c>
      <c r="H382" t="s">
        <v>34</v>
      </c>
      <c r="I382" s="6" t="s">
        <v>477</v>
      </c>
      <c r="J382" s="61" t="s">
        <v>22</v>
      </c>
      <c r="L382" s="5" t="str">
        <f t="shared" si="42"/>
        <v>00381</v>
      </c>
      <c r="M382" s="47" t="str">
        <f t="shared" si="43"/>
        <v>03 de julio de 2017</v>
      </c>
      <c r="N382" s="323">
        <f t="shared" si="46"/>
        <v>3</v>
      </c>
      <c r="O382" s="25">
        <f t="shared" si="44"/>
        <v>42917</v>
      </c>
      <c r="P382" s="5" t="str">
        <f t="shared" si="51"/>
        <v>0,89</v>
      </c>
      <c r="Q382" s="4" t="e">
        <f t="shared" ca="1" si="52"/>
        <v>#NAME?</v>
      </c>
    </row>
    <row r="383" spans="1:17">
      <c r="A383" s="1">
        <f t="shared" si="47"/>
        <v>382</v>
      </c>
      <c r="C383" s="8" t="s">
        <v>17</v>
      </c>
      <c r="D383" s="2">
        <v>42919</v>
      </c>
      <c r="E383" s="3">
        <f>15000/100000</f>
        <v>0.15</v>
      </c>
      <c r="F383" t="s">
        <v>84</v>
      </c>
      <c r="G383" t="s">
        <v>85</v>
      </c>
      <c r="H383" t="s">
        <v>86</v>
      </c>
      <c r="I383" s="9" t="s">
        <v>478</v>
      </c>
      <c r="J383" s="61" t="s">
        <v>22</v>
      </c>
      <c r="L383" s="5" t="str">
        <f t="shared" si="42"/>
        <v>00382</v>
      </c>
      <c r="M383" s="47" t="str">
        <f t="shared" si="43"/>
        <v>03 de julio de 2017</v>
      </c>
      <c r="N383" s="323">
        <f t="shared" si="46"/>
        <v>3</v>
      </c>
      <c r="O383" s="25">
        <f t="shared" si="44"/>
        <v>42917</v>
      </c>
      <c r="P383" s="5" t="str">
        <f t="shared" si="51"/>
        <v>0,15</v>
      </c>
      <c r="Q383" s="4" t="e">
        <f t="shared" ca="1" si="52"/>
        <v>#NAME?</v>
      </c>
    </row>
    <row r="384" spans="1:17">
      <c r="A384" s="1">
        <f t="shared" si="47"/>
        <v>383</v>
      </c>
      <c r="C384" s="8" t="s">
        <v>17</v>
      </c>
      <c r="D384" s="2">
        <v>42919</v>
      </c>
      <c r="E384" s="3">
        <f>7000/100000</f>
        <v>7.0000000000000007E-2</v>
      </c>
      <c r="F384" t="s">
        <v>84</v>
      </c>
      <c r="G384" t="s">
        <v>85</v>
      </c>
      <c r="H384" t="s">
        <v>86</v>
      </c>
      <c r="I384" s="6" t="s">
        <v>451</v>
      </c>
      <c r="J384" s="61" t="s">
        <v>452</v>
      </c>
      <c r="L384" s="5" t="str">
        <f t="shared" si="42"/>
        <v>00383</v>
      </c>
      <c r="M384" s="47" t="str">
        <f t="shared" si="43"/>
        <v>03 de julio de 2017</v>
      </c>
      <c r="N384" s="323">
        <f t="shared" si="46"/>
        <v>3</v>
      </c>
      <c r="O384" s="25">
        <f t="shared" si="44"/>
        <v>42917</v>
      </c>
      <c r="P384" s="5" t="str">
        <f t="shared" si="51"/>
        <v>0,07</v>
      </c>
      <c r="Q384" s="4" t="e">
        <f t="shared" ca="1" si="52"/>
        <v>#NAME?</v>
      </c>
    </row>
    <row r="385" spans="1:17">
      <c r="A385" s="1">
        <f t="shared" si="47"/>
        <v>384</v>
      </c>
      <c r="C385" s="8" t="s">
        <v>17</v>
      </c>
      <c r="D385" s="2">
        <v>42920</v>
      </c>
      <c r="E385" s="3">
        <f>94000/100000</f>
        <v>0.94</v>
      </c>
      <c r="F385" t="s">
        <v>479</v>
      </c>
      <c r="G385" t="s">
        <v>480</v>
      </c>
      <c r="H385" t="s">
        <v>481</v>
      </c>
      <c r="I385" s="6" t="s">
        <v>482</v>
      </c>
      <c r="J385" s="61" t="s">
        <v>22</v>
      </c>
      <c r="L385" s="5" t="str">
        <f t="shared" si="42"/>
        <v>00384</v>
      </c>
      <c r="M385" s="47" t="str">
        <f t="shared" si="43"/>
        <v>04 de julio de 2017</v>
      </c>
      <c r="N385" s="323">
        <f t="shared" si="46"/>
        <v>4</v>
      </c>
      <c r="O385" s="25">
        <f t="shared" si="44"/>
        <v>42917</v>
      </c>
      <c r="P385" s="5" t="str">
        <f t="shared" ref="P385:P402" si="53">TEXT(E385,"#.##0,00")</f>
        <v>0,94</v>
      </c>
      <c r="Q385" s="4" t="e">
        <f t="shared" ref="Q385:Q402" ca="1" si="54">CONVERTIRNUM(E385)</f>
        <v>#NAME?</v>
      </c>
    </row>
    <row r="386" spans="1:17">
      <c r="A386" s="1">
        <f t="shared" si="47"/>
        <v>385</v>
      </c>
      <c r="C386" s="8" t="s">
        <v>17</v>
      </c>
      <c r="D386" s="2">
        <v>42920</v>
      </c>
      <c r="E386" s="3">
        <f>7000/100000</f>
        <v>7.0000000000000007E-2</v>
      </c>
      <c r="F386" t="s">
        <v>243</v>
      </c>
      <c r="G386" t="s">
        <v>244</v>
      </c>
      <c r="H386" t="s">
        <v>245</v>
      </c>
      <c r="I386" s="6" t="s">
        <v>451</v>
      </c>
      <c r="J386" s="61" t="s">
        <v>452</v>
      </c>
      <c r="L386" s="5" t="str">
        <f t="shared" ref="L386:L449" si="55">IF(ISBLANK(A386),"",TEXT(A386,"00000"))</f>
        <v>00385</v>
      </c>
      <c r="M386" s="47" t="str">
        <f t="shared" ref="M386:M449" si="56">IF(ISBLANK(D386),"",TEXT(D386,"dd")&amp;" de "&amp;TEXT(D386,"mmmm")&amp;" de "&amp;TEXT(YEAR(D386),"0"))</f>
        <v>04 de julio de 2017</v>
      </c>
      <c r="N386" s="323">
        <f t="shared" si="46"/>
        <v>4</v>
      </c>
      <c r="O386" s="25">
        <f t="shared" ref="O386:O449" si="57">DATE(YEAR(D386),MONTH(D386),1)</f>
        <v>42917</v>
      </c>
      <c r="P386" s="5" t="str">
        <f t="shared" si="53"/>
        <v>0,07</v>
      </c>
      <c r="Q386" s="4" t="e">
        <f t="shared" ca="1" si="54"/>
        <v>#NAME?</v>
      </c>
    </row>
    <row r="387" spans="1:17">
      <c r="A387" s="1">
        <f t="shared" si="47"/>
        <v>386</v>
      </c>
      <c r="C387" s="8" t="s">
        <v>17</v>
      </c>
      <c r="D387" s="2">
        <v>42921</v>
      </c>
      <c r="E387" s="3">
        <f>10000/100000</f>
        <v>0.1</v>
      </c>
      <c r="F387" t="s">
        <v>48</v>
      </c>
      <c r="G387" t="s">
        <v>49</v>
      </c>
      <c r="H387" t="s">
        <v>50</v>
      </c>
      <c r="I387" s="6" t="s">
        <v>478</v>
      </c>
      <c r="J387" s="61" t="s">
        <v>22</v>
      </c>
      <c r="L387" s="5" t="str">
        <f t="shared" si="55"/>
        <v>00386</v>
      </c>
      <c r="M387" s="47" t="str">
        <f t="shared" si="56"/>
        <v>05 de julio de 2017</v>
      </c>
      <c r="N387" s="323">
        <f t="shared" ref="N387:N450" si="58">DAY(D387)</f>
        <v>5</v>
      </c>
      <c r="O387" s="25">
        <f t="shared" si="57"/>
        <v>42917</v>
      </c>
      <c r="P387" s="5" t="str">
        <f t="shared" si="53"/>
        <v>0,10</v>
      </c>
      <c r="Q387" s="4" t="e">
        <f t="shared" ca="1" si="54"/>
        <v>#NAME?</v>
      </c>
    </row>
    <row r="388" spans="1:17">
      <c r="A388" s="1">
        <f t="shared" ref="A388:A451" si="59">A387+1</f>
        <v>387</v>
      </c>
      <c r="C388" s="8" t="s">
        <v>17</v>
      </c>
      <c r="D388" s="2">
        <v>42922</v>
      </c>
      <c r="E388" s="3">
        <f>20000/100000</f>
        <v>0.2</v>
      </c>
      <c r="F388" t="s">
        <v>312</v>
      </c>
      <c r="G388" t="s">
        <v>313</v>
      </c>
      <c r="H388" t="s">
        <v>314</v>
      </c>
      <c r="I388" s="6" t="s">
        <v>446</v>
      </c>
      <c r="J388" s="61" t="s">
        <v>22</v>
      </c>
      <c r="L388" s="5" t="str">
        <f t="shared" si="55"/>
        <v>00387</v>
      </c>
      <c r="M388" s="47" t="str">
        <f t="shared" si="56"/>
        <v>06 de julio de 2017</v>
      </c>
      <c r="N388" s="323">
        <f t="shared" si="58"/>
        <v>6</v>
      </c>
      <c r="O388" s="25">
        <f t="shared" si="57"/>
        <v>42917</v>
      </c>
      <c r="P388" s="5" t="str">
        <f t="shared" si="53"/>
        <v>0,20</v>
      </c>
      <c r="Q388" s="4" t="e">
        <f t="shared" ca="1" si="54"/>
        <v>#NAME?</v>
      </c>
    </row>
    <row r="389" spans="1:17">
      <c r="A389" s="1">
        <f t="shared" si="59"/>
        <v>388</v>
      </c>
      <c r="C389" s="8" t="s">
        <v>17</v>
      </c>
      <c r="D389" s="2">
        <v>42922</v>
      </c>
      <c r="E389" s="3">
        <f>26000/100000</f>
        <v>0.26</v>
      </c>
      <c r="F389" t="s">
        <v>483</v>
      </c>
      <c r="G389" t="s">
        <v>484</v>
      </c>
      <c r="H389" t="s">
        <v>485</v>
      </c>
      <c r="I389" s="6" t="s">
        <v>445</v>
      </c>
      <c r="J389" s="61" t="s">
        <v>22</v>
      </c>
      <c r="L389" s="5" t="str">
        <f t="shared" si="55"/>
        <v>00388</v>
      </c>
      <c r="M389" s="47" t="str">
        <f t="shared" si="56"/>
        <v>06 de julio de 2017</v>
      </c>
      <c r="N389" s="323">
        <f t="shared" si="58"/>
        <v>6</v>
      </c>
      <c r="O389" s="25">
        <f t="shared" si="57"/>
        <v>42917</v>
      </c>
      <c r="P389" s="5" t="str">
        <f t="shared" si="53"/>
        <v>0,26</v>
      </c>
      <c r="Q389" s="4" t="e">
        <f t="shared" ca="1" si="54"/>
        <v>#NAME?</v>
      </c>
    </row>
    <row r="390" spans="1:17">
      <c r="A390" s="1">
        <f t="shared" si="59"/>
        <v>389</v>
      </c>
      <c r="C390" s="8" t="s">
        <v>17</v>
      </c>
      <c r="D390" s="2">
        <v>42922</v>
      </c>
      <c r="E390" s="3">
        <f>4000/100000</f>
        <v>0.04</v>
      </c>
      <c r="F390" t="s">
        <v>483</v>
      </c>
      <c r="G390" t="s">
        <v>484</v>
      </c>
      <c r="H390" t="s">
        <v>485</v>
      </c>
      <c r="I390" s="6" t="s">
        <v>457</v>
      </c>
      <c r="J390" s="61" t="s">
        <v>452</v>
      </c>
      <c r="L390" s="5" t="str">
        <f t="shared" si="55"/>
        <v>00389</v>
      </c>
      <c r="M390" s="47" t="str">
        <f t="shared" si="56"/>
        <v>06 de julio de 2017</v>
      </c>
      <c r="N390" s="323">
        <f t="shared" si="58"/>
        <v>6</v>
      </c>
      <c r="O390" s="25">
        <f t="shared" si="57"/>
        <v>42917</v>
      </c>
      <c r="P390" s="5" t="str">
        <f t="shared" si="53"/>
        <v>0,04</v>
      </c>
      <c r="Q390" s="4" t="e">
        <f t="shared" ca="1" si="54"/>
        <v>#NAME?</v>
      </c>
    </row>
    <row r="391" spans="1:17">
      <c r="A391" s="1">
        <f t="shared" si="59"/>
        <v>390</v>
      </c>
      <c r="C391" s="8" t="s">
        <v>17</v>
      </c>
      <c r="D391" s="2">
        <v>42922</v>
      </c>
      <c r="E391" s="3">
        <f>26000/100000</f>
        <v>0.26</v>
      </c>
      <c r="F391" t="s">
        <v>90</v>
      </c>
      <c r="G391" t="s">
        <v>91</v>
      </c>
      <c r="H391" t="s">
        <v>92</v>
      </c>
      <c r="I391" s="6" t="s">
        <v>473</v>
      </c>
      <c r="J391" s="61" t="s">
        <v>22</v>
      </c>
      <c r="L391" s="5" t="str">
        <f t="shared" si="55"/>
        <v>00390</v>
      </c>
      <c r="M391" s="47" t="str">
        <f t="shared" si="56"/>
        <v>06 de julio de 2017</v>
      </c>
      <c r="N391" s="323">
        <f t="shared" si="58"/>
        <v>6</v>
      </c>
      <c r="O391" s="25">
        <f t="shared" si="57"/>
        <v>42917</v>
      </c>
      <c r="P391" s="5" t="str">
        <f t="shared" si="53"/>
        <v>0,26</v>
      </c>
      <c r="Q391" s="4" t="e">
        <f t="shared" ca="1" si="54"/>
        <v>#NAME?</v>
      </c>
    </row>
    <row r="392" spans="1:17">
      <c r="A392" s="1">
        <f t="shared" si="59"/>
        <v>391</v>
      </c>
      <c r="C392" s="8" t="s">
        <v>17</v>
      </c>
      <c r="D392" s="2">
        <v>42923</v>
      </c>
      <c r="E392" s="3">
        <f>2*26000/100000</f>
        <v>0.52</v>
      </c>
      <c r="F392" t="s">
        <v>114</v>
      </c>
      <c r="G392" t="s">
        <v>115</v>
      </c>
      <c r="H392" t="s">
        <v>116</v>
      </c>
      <c r="I392" s="6" t="s">
        <v>486</v>
      </c>
      <c r="J392" s="61" t="s">
        <v>22</v>
      </c>
      <c r="L392" s="5" t="str">
        <f t="shared" si="55"/>
        <v>00391</v>
      </c>
      <c r="M392" s="47" t="str">
        <f t="shared" si="56"/>
        <v>07 de julio de 2017</v>
      </c>
      <c r="N392" s="323">
        <f t="shared" si="58"/>
        <v>7</v>
      </c>
      <c r="O392" s="25">
        <f t="shared" si="57"/>
        <v>42917</v>
      </c>
      <c r="P392" s="5" t="str">
        <f t="shared" si="53"/>
        <v>0,52</v>
      </c>
      <c r="Q392" s="4" t="e">
        <f t="shared" ca="1" si="54"/>
        <v>#NAME?</v>
      </c>
    </row>
    <row r="393" spans="1:17" ht="15.75" thickBot="1">
      <c r="A393" s="1">
        <f t="shared" si="59"/>
        <v>392</v>
      </c>
      <c r="C393" s="8" t="s">
        <v>17</v>
      </c>
      <c r="D393" s="2">
        <v>42923</v>
      </c>
      <c r="E393" s="3">
        <f>7000/100000</f>
        <v>7.0000000000000007E-2</v>
      </c>
      <c r="F393" t="s">
        <v>114</v>
      </c>
      <c r="G393" t="s">
        <v>115</v>
      </c>
      <c r="H393" t="s">
        <v>116</v>
      </c>
      <c r="I393" s="6" t="s">
        <v>451</v>
      </c>
      <c r="J393" s="61" t="s">
        <v>452</v>
      </c>
      <c r="L393" s="5" t="str">
        <f t="shared" si="55"/>
        <v>00392</v>
      </c>
      <c r="M393" s="47" t="str">
        <f t="shared" si="56"/>
        <v>07 de julio de 2017</v>
      </c>
      <c r="N393" s="323">
        <f t="shared" si="58"/>
        <v>7</v>
      </c>
      <c r="O393" s="25">
        <f t="shared" si="57"/>
        <v>42917</v>
      </c>
      <c r="P393" s="5" t="str">
        <f t="shared" si="53"/>
        <v>0,07</v>
      </c>
      <c r="Q393" s="4" t="e">
        <f t="shared" ca="1" si="54"/>
        <v>#NAME?</v>
      </c>
    </row>
    <row r="394" spans="1:17" ht="15.75" thickBot="1">
      <c r="A394" s="1">
        <f t="shared" si="59"/>
        <v>393</v>
      </c>
      <c r="C394" s="8" t="s">
        <v>17</v>
      </c>
      <c r="D394" s="2">
        <v>42892</v>
      </c>
      <c r="E394" s="3">
        <f>26000/100000</f>
        <v>0.26</v>
      </c>
      <c r="F394" t="s">
        <v>319</v>
      </c>
      <c r="G394" s="18" t="s">
        <v>58</v>
      </c>
      <c r="H394" t="s">
        <v>320</v>
      </c>
      <c r="I394" s="6" t="s">
        <v>445</v>
      </c>
      <c r="J394" s="61" t="s">
        <v>22</v>
      </c>
      <c r="L394" s="5" t="str">
        <f t="shared" si="55"/>
        <v>00393</v>
      </c>
      <c r="M394" s="47" t="str">
        <f t="shared" si="56"/>
        <v>06 de junio de 2017</v>
      </c>
      <c r="N394" s="323">
        <f t="shared" si="58"/>
        <v>6</v>
      </c>
      <c r="O394" s="25">
        <f t="shared" si="57"/>
        <v>42887</v>
      </c>
      <c r="P394" s="5" t="str">
        <f t="shared" si="53"/>
        <v>0,26</v>
      </c>
      <c r="Q394" s="4" t="e">
        <f t="shared" ca="1" si="54"/>
        <v>#NAME?</v>
      </c>
    </row>
    <row r="395" spans="1:17">
      <c r="A395" s="1">
        <f t="shared" si="59"/>
        <v>394</v>
      </c>
      <c r="C395" s="8" t="s">
        <v>17</v>
      </c>
      <c r="D395" s="2">
        <v>42925</v>
      </c>
      <c r="E395" s="3">
        <f>26000/100000</f>
        <v>0.26</v>
      </c>
      <c r="F395" t="s">
        <v>24</v>
      </c>
      <c r="G395" t="s">
        <v>25</v>
      </c>
      <c r="H395" t="s">
        <v>26</v>
      </c>
      <c r="I395" s="6" t="s">
        <v>473</v>
      </c>
      <c r="J395" s="61" t="s">
        <v>22</v>
      </c>
      <c r="L395" s="5" t="str">
        <f t="shared" si="55"/>
        <v>00394</v>
      </c>
      <c r="M395" s="47" t="str">
        <f t="shared" si="56"/>
        <v>09 de julio de 2017</v>
      </c>
      <c r="N395" s="323">
        <f t="shared" si="58"/>
        <v>9</v>
      </c>
      <c r="O395" s="25">
        <f t="shared" si="57"/>
        <v>42917</v>
      </c>
      <c r="P395" s="5" t="str">
        <f t="shared" si="53"/>
        <v>0,26</v>
      </c>
      <c r="Q395" s="4" t="e">
        <f t="shared" ca="1" si="54"/>
        <v>#NAME?</v>
      </c>
    </row>
    <row r="396" spans="1:17">
      <c r="A396" s="1">
        <f t="shared" si="59"/>
        <v>395</v>
      </c>
      <c r="C396" s="8" t="s">
        <v>17</v>
      </c>
      <c r="D396" s="2">
        <v>42926</v>
      </c>
      <c r="E396" s="3">
        <f>7000/100000</f>
        <v>7.0000000000000007E-2</v>
      </c>
      <c r="F396" t="s">
        <v>122</v>
      </c>
      <c r="G396" t="s">
        <v>123</v>
      </c>
      <c r="H396" t="s">
        <v>124</v>
      </c>
      <c r="I396" s="6" t="s">
        <v>451</v>
      </c>
      <c r="J396" s="61" t="s">
        <v>452</v>
      </c>
      <c r="L396" s="5" t="str">
        <f t="shared" si="55"/>
        <v>00395</v>
      </c>
      <c r="M396" s="47" t="str">
        <f t="shared" si="56"/>
        <v>10 de julio de 2017</v>
      </c>
      <c r="N396" s="323">
        <f t="shared" si="58"/>
        <v>10</v>
      </c>
      <c r="O396" s="25">
        <f t="shared" si="57"/>
        <v>42917</v>
      </c>
      <c r="P396" s="5" t="str">
        <f t="shared" si="53"/>
        <v>0,07</v>
      </c>
      <c r="Q396" s="4" t="e">
        <f t="shared" ca="1" si="54"/>
        <v>#NAME?</v>
      </c>
    </row>
    <row r="397" spans="1:17">
      <c r="A397" s="1">
        <f t="shared" si="59"/>
        <v>396</v>
      </c>
      <c r="C397" s="8" t="s">
        <v>17</v>
      </c>
      <c r="D397" s="2">
        <v>42926</v>
      </c>
      <c r="E397" s="3">
        <f>26000/100000</f>
        <v>0.26</v>
      </c>
      <c r="F397" t="s">
        <v>206</v>
      </c>
      <c r="G397" t="s">
        <v>207</v>
      </c>
      <c r="H397" t="s">
        <v>208</v>
      </c>
      <c r="I397" s="6" t="s">
        <v>445</v>
      </c>
      <c r="J397" s="61" t="s">
        <v>22</v>
      </c>
      <c r="L397" s="5" t="str">
        <f t="shared" si="55"/>
        <v>00396</v>
      </c>
      <c r="M397" s="47" t="str">
        <f t="shared" si="56"/>
        <v>10 de julio de 2017</v>
      </c>
      <c r="N397" s="323">
        <f t="shared" si="58"/>
        <v>10</v>
      </c>
      <c r="O397" s="25">
        <f t="shared" si="57"/>
        <v>42917</v>
      </c>
      <c r="P397" s="5" t="str">
        <f t="shared" si="53"/>
        <v>0,26</v>
      </c>
      <c r="Q397" s="4" t="e">
        <f t="shared" ca="1" si="54"/>
        <v>#NAME?</v>
      </c>
    </row>
    <row r="398" spans="1:17">
      <c r="A398" s="1">
        <f t="shared" si="59"/>
        <v>397</v>
      </c>
      <c r="C398" s="8" t="s">
        <v>17</v>
      </c>
      <c r="D398" s="2">
        <v>42888</v>
      </c>
      <c r="E398" s="3">
        <f>26000/100000</f>
        <v>0.26</v>
      </c>
      <c r="F398" t="s">
        <v>40</v>
      </c>
      <c r="G398" t="s">
        <v>41</v>
      </c>
      <c r="H398" t="s">
        <v>42</v>
      </c>
      <c r="I398" s="6" t="s">
        <v>445</v>
      </c>
      <c r="J398" s="61" t="s">
        <v>22</v>
      </c>
      <c r="L398" s="5" t="str">
        <f t="shared" si="55"/>
        <v>00397</v>
      </c>
      <c r="M398" s="47" t="str">
        <f t="shared" si="56"/>
        <v>02 de junio de 2017</v>
      </c>
      <c r="N398" s="323">
        <f t="shared" si="58"/>
        <v>2</v>
      </c>
      <c r="O398" s="25">
        <f t="shared" si="57"/>
        <v>42887</v>
      </c>
      <c r="P398" s="5" t="str">
        <f t="shared" si="53"/>
        <v>0,26</v>
      </c>
      <c r="Q398" s="4" t="e">
        <f t="shared" ca="1" si="54"/>
        <v>#NAME?</v>
      </c>
    </row>
    <row r="399" spans="1:17">
      <c r="A399" s="1">
        <f t="shared" si="59"/>
        <v>398</v>
      </c>
      <c r="C399" s="8" t="s">
        <v>17</v>
      </c>
      <c r="D399" s="2">
        <v>42927</v>
      </c>
      <c r="E399" s="3">
        <f>26000/100000</f>
        <v>0.26</v>
      </c>
      <c r="F399" t="s">
        <v>148</v>
      </c>
      <c r="G399" t="s">
        <v>149</v>
      </c>
      <c r="H399" t="s">
        <v>150</v>
      </c>
      <c r="I399" s="6" t="s">
        <v>445</v>
      </c>
      <c r="J399" s="61" t="s">
        <v>22</v>
      </c>
      <c r="L399" s="5" t="str">
        <f t="shared" si="55"/>
        <v>00398</v>
      </c>
      <c r="M399" s="47" t="str">
        <f t="shared" si="56"/>
        <v>11 de julio de 2017</v>
      </c>
      <c r="N399" s="323">
        <f t="shared" si="58"/>
        <v>11</v>
      </c>
      <c r="O399" s="25">
        <f t="shared" si="57"/>
        <v>42917</v>
      </c>
      <c r="P399" s="5" t="str">
        <f t="shared" si="53"/>
        <v>0,26</v>
      </c>
      <c r="Q399" s="4" t="e">
        <f t="shared" ca="1" si="54"/>
        <v>#NAME?</v>
      </c>
    </row>
    <row r="400" spans="1:17">
      <c r="A400" s="1">
        <f t="shared" si="59"/>
        <v>399</v>
      </c>
      <c r="C400" s="8" t="s">
        <v>17</v>
      </c>
      <c r="D400" s="2">
        <v>42900</v>
      </c>
      <c r="E400" s="3">
        <f>26000/100000</f>
        <v>0.26</v>
      </c>
      <c r="F400" t="s">
        <v>70</v>
      </c>
      <c r="G400" t="s">
        <v>71</v>
      </c>
      <c r="H400" t="s">
        <v>72</v>
      </c>
      <c r="I400" s="6" t="s">
        <v>445</v>
      </c>
      <c r="J400" s="61" t="s">
        <v>22</v>
      </c>
      <c r="L400" s="5" t="str">
        <f t="shared" si="55"/>
        <v>00399</v>
      </c>
      <c r="M400" s="47" t="str">
        <f t="shared" si="56"/>
        <v>14 de junio de 2017</v>
      </c>
      <c r="N400" s="323">
        <f t="shared" si="58"/>
        <v>14</v>
      </c>
      <c r="O400" s="25">
        <f t="shared" si="57"/>
        <v>42887</v>
      </c>
      <c r="P400" s="5" t="str">
        <f t="shared" si="53"/>
        <v>0,26</v>
      </c>
      <c r="Q400" s="4" t="e">
        <f t="shared" ca="1" si="54"/>
        <v>#NAME?</v>
      </c>
    </row>
    <row r="401" spans="1:17">
      <c r="A401" s="1">
        <f t="shared" si="59"/>
        <v>400</v>
      </c>
      <c r="C401" s="8" t="s">
        <v>17</v>
      </c>
      <c r="D401" s="2">
        <v>42900</v>
      </c>
      <c r="E401" s="3">
        <f>7000/100000</f>
        <v>7.0000000000000007E-2</v>
      </c>
      <c r="F401" t="s">
        <v>70</v>
      </c>
      <c r="G401" t="s">
        <v>71</v>
      </c>
      <c r="H401" t="s">
        <v>72</v>
      </c>
      <c r="I401" s="6" t="s">
        <v>451</v>
      </c>
      <c r="J401" s="61" t="s">
        <v>452</v>
      </c>
      <c r="L401" s="5" t="str">
        <f t="shared" si="55"/>
        <v>00400</v>
      </c>
      <c r="M401" s="47" t="str">
        <f t="shared" si="56"/>
        <v>14 de junio de 2017</v>
      </c>
      <c r="N401" s="323">
        <f t="shared" si="58"/>
        <v>14</v>
      </c>
      <c r="O401" s="25">
        <f t="shared" si="57"/>
        <v>42887</v>
      </c>
      <c r="P401" s="5" t="str">
        <f t="shared" si="53"/>
        <v>0,07</v>
      </c>
      <c r="Q401" s="4" t="e">
        <f t="shared" ca="1" si="54"/>
        <v>#NAME?</v>
      </c>
    </row>
    <row r="402" spans="1:17">
      <c r="A402" s="1">
        <f t="shared" si="59"/>
        <v>401</v>
      </c>
      <c r="C402" s="8" t="s">
        <v>17</v>
      </c>
      <c r="D402" s="2">
        <v>42927</v>
      </c>
      <c r="E402" s="3">
        <f>26000/100000</f>
        <v>0.26</v>
      </c>
      <c r="F402" t="s">
        <v>443</v>
      </c>
      <c r="G402" t="s">
        <v>444</v>
      </c>
      <c r="H402" t="s">
        <v>75</v>
      </c>
      <c r="I402" s="6" t="s">
        <v>473</v>
      </c>
      <c r="J402" s="61" t="s">
        <v>22</v>
      </c>
      <c r="L402" s="5" t="str">
        <f t="shared" si="55"/>
        <v>00401</v>
      </c>
      <c r="M402" s="47" t="str">
        <f t="shared" si="56"/>
        <v>11 de julio de 2017</v>
      </c>
      <c r="N402" s="323">
        <f t="shared" si="58"/>
        <v>11</v>
      </c>
      <c r="O402" s="25">
        <f t="shared" si="57"/>
        <v>42917</v>
      </c>
      <c r="P402" s="5" t="str">
        <f t="shared" si="53"/>
        <v>0,26</v>
      </c>
      <c r="Q402" s="4" t="e">
        <f t="shared" ca="1" si="54"/>
        <v>#NAME?</v>
      </c>
    </row>
    <row r="403" spans="1:17">
      <c r="A403" s="1">
        <f t="shared" si="59"/>
        <v>402</v>
      </c>
      <c r="C403" s="8" t="s">
        <v>17</v>
      </c>
      <c r="D403" s="2">
        <v>42927</v>
      </c>
      <c r="E403" s="3">
        <f>26000/100000</f>
        <v>0.26</v>
      </c>
      <c r="F403" t="s">
        <v>70</v>
      </c>
      <c r="G403" t="s">
        <v>71</v>
      </c>
      <c r="H403" t="s">
        <v>72</v>
      </c>
      <c r="I403" s="6" t="s">
        <v>473</v>
      </c>
      <c r="J403" s="61" t="s">
        <v>22</v>
      </c>
      <c r="L403" s="5" t="str">
        <f t="shared" si="55"/>
        <v>00402</v>
      </c>
      <c r="M403" s="47" t="str">
        <f t="shared" si="56"/>
        <v>11 de julio de 2017</v>
      </c>
      <c r="N403" s="323">
        <f t="shared" si="58"/>
        <v>11</v>
      </c>
      <c r="O403" s="25">
        <f t="shared" si="57"/>
        <v>42917</v>
      </c>
      <c r="P403" s="5" t="str">
        <f>TEXT(E403,"#.##0,00")</f>
        <v>0,26</v>
      </c>
      <c r="Q403" s="4" t="e">
        <f ca="1">CONVERTIRNUM(E403)</f>
        <v>#NAME?</v>
      </c>
    </row>
    <row r="404" spans="1:17">
      <c r="A404" s="1">
        <f t="shared" si="59"/>
        <v>403</v>
      </c>
      <c r="C404" s="8" t="s">
        <v>17</v>
      </c>
      <c r="D404" s="2">
        <v>42927</v>
      </c>
      <c r="E404" s="3">
        <f>5000/100000</f>
        <v>0.05</v>
      </c>
      <c r="F404" t="s">
        <v>291</v>
      </c>
      <c r="G404" t="s">
        <v>292</v>
      </c>
      <c r="H404" t="s">
        <v>293</v>
      </c>
      <c r="I404" s="6" t="s">
        <v>457</v>
      </c>
      <c r="J404" s="61" t="s">
        <v>452</v>
      </c>
      <c r="L404" s="5" t="str">
        <f t="shared" si="55"/>
        <v>00403</v>
      </c>
      <c r="M404" s="47" t="str">
        <f t="shared" si="56"/>
        <v>11 de julio de 2017</v>
      </c>
      <c r="N404" s="323">
        <f t="shared" si="58"/>
        <v>11</v>
      </c>
      <c r="O404" s="25">
        <f t="shared" si="57"/>
        <v>42917</v>
      </c>
      <c r="P404" s="5" t="str">
        <f>TEXT(E404,"#.##0,00")</f>
        <v>0,05</v>
      </c>
      <c r="Q404" s="4" t="e">
        <f ca="1">CONVERTIRNUM(E404)</f>
        <v>#NAME?</v>
      </c>
    </row>
    <row r="405" spans="1:17">
      <c r="A405" s="1">
        <f t="shared" si="59"/>
        <v>404</v>
      </c>
      <c r="C405" s="8" t="s">
        <v>225</v>
      </c>
      <c r="D405" s="2">
        <v>42927</v>
      </c>
      <c r="F405" t="s">
        <v>291</v>
      </c>
      <c r="G405" t="s">
        <v>292</v>
      </c>
      <c r="H405" t="s">
        <v>293</v>
      </c>
      <c r="I405" s="6" t="s">
        <v>487</v>
      </c>
      <c r="J405" s="61" t="s">
        <v>488</v>
      </c>
      <c r="L405" s="5" t="str">
        <f t="shared" si="55"/>
        <v>00404</v>
      </c>
      <c r="M405" s="5" t="str">
        <f t="shared" si="56"/>
        <v>11 de julio de 2017</v>
      </c>
      <c r="N405" s="323">
        <f t="shared" si="58"/>
        <v>11</v>
      </c>
      <c r="O405" s="25">
        <f t="shared" si="57"/>
        <v>42917</v>
      </c>
      <c r="P405" s="49" t="s">
        <v>489</v>
      </c>
      <c r="Q405" s="50" t="s">
        <v>490</v>
      </c>
    </row>
    <row r="406" spans="1:17">
      <c r="A406" s="1">
        <f t="shared" si="59"/>
        <v>405</v>
      </c>
      <c r="C406" s="8" t="s">
        <v>17</v>
      </c>
      <c r="D406" s="2">
        <v>42928</v>
      </c>
      <c r="E406" s="3">
        <f>66000/100000</f>
        <v>0.66</v>
      </c>
      <c r="F406" t="s">
        <v>342</v>
      </c>
      <c r="G406" t="s">
        <v>343</v>
      </c>
      <c r="H406" t="s">
        <v>344</v>
      </c>
      <c r="I406" s="6" t="s">
        <v>491</v>
      </c>
      <c r="J406" s="61" t="s">
        <v>22</v>
      </c>
      <c r="L406" s="5" t="str">
        <f t="shared" si="55"/>
        <v>00405</v>
      </c>
      <c r="M406" s="47" t="str">
        <f t="shared" si="56"/>
        <v>12 de julio de 2017</v>
      </c>
      <c r="N406" s="323">
        <f t="shared" si="58"/>
        <v>12</v>
      </c>
      <c r="O406" s="25">
        <f t="shared" si="57"/>
        <v>42917</v>
      </c>
      <c r="P406" s="5" t="str">
        <f>TEXT(E406,"#.##0,00")</f>
        <v>0,66</v>
      </c>
      <c r="Q406" s="4" t="e">
        <f ca="1">CONVERTIRNUM(E406)</f>
        <v>#NAME?</v>
      </c>
    </row>
    <row r="407" spans="1:17">
      <c r="A407" s="1">
        <f t="shared" si="59"/>
        <v>406</v>
      </c>
      <c r="C407" s="8" t="s">
        <v>17</v>
      </c>
      <c r="D407" s="2">
        <v>42928</v>
      </c>
      <c r="E407" s="3">
        <f>26000/100000</f>
        <v>0.26</v>
      </c>
      <c r="F407" t="s">
        <v>243</v>
      </c>
      <c r="G407" t="s">
        <v>244</v>
      </c>
      <c r="H407" t="s">
        <v>245</v>
      </c>
      <c r="I407" s="6" t="s">
        <v>473</v>
      </c>
      <c r="J407" s="61" t="s">
        <v>22</v>
      </c>
      <c r="L407" s="5" t="str">
        <f t="shared" si="55"/>
        <v>00406</v>
      </c>
      <c r="M407" s="47" t="str">
        <f t="shared" si="56"/>
        <v>12 de julio de 2017</v>
      </c>
      <c r="N407" s="323">
        <f t="shared" si="58"/>
        <v>12</v>
      </c>
      <c r="O407" s="25">
        <f t="shared" si="57"/>
        <v>42917</v>
      </c>
      <c r="P407" s="5" t="str">
        <f>TEXT(E407,"#.##0,00")</f>
        <v>0,26</v>
      </c>
      <c r="Q407" s="4" t="e">
        <f ca="1">CONVERTIRNUM(E407)</f>
        <v>#NAME?</v>
      </c>
    </row>
    <row r="408" spans="1:17">
      <c r="A408" s="1">
        <f t="shared" si="59"/>
        <v>407</v>
      </c>
      <c r="C408" s="8" t="s">
        <v>17</v>
      </c>
      <c r="D408" s="2">
        <v>42928</v>
      </c>
      <c r="E408" s="3">
        <f>26000/100000</f>
        <v>0.26</v>
      </c>
      <c r="F408" t="s">
        <v>407</v>
      </c>
      <c r="G408" t="s">
        <v>408</v>
      </c>
      <c r="H408" t="s">
        <v>409</v>
      </c>
      <c r="I408" s="6" t="s">
        <v>486</v>
      </c>
      <c r="J408" s="61" t="s">
        <v>22</v>
      </c>
      <c r="L408" s="5" t="str">
        <f t="shared" si="55"/>
        <v>00407</v>
      </c>
      <c r="M408" s="47" t="str">
        <f t="shared" si="56"/>
        <v>12 de julio de 2017</v>
      </c>
      <c r="N408" s="323">
        <f t="shared" si="58"/>
        <v>12</v>
      </c>
      <c r="O408" s="25">
        <f t="shared" si="57"/>
        <v>42917</v>
      </c>
      <c r="P408" s="5" t="str">
        <f>TEXT(E408,"#.##0,00")</f>
        <v>0,26</v>
      </c>
      <c r="Q408" s="4" t="e">
        <f ca="1">CONVERTIRNUM(E408)</f>
        <v>#NAME?</v>
      </c>
    </row>
    <row r="409" spans="1:17">
      <c r="A409" s="1">
        <f t="shared" si="59"/>
        <v>408</v>
      </c>
      <c r="C409" s="8" t="s">
        <v>17</v>
      </c>
      <c r="D409" s="2">
        <v>42928</v>
      </c>
      <c r="E409" s="3">
        <f>7000/100000</f>
        <v>7.0000000000000007E-2</v>
      </c>
      <c r="F409" t="s">
        <v>407</v>
      </c>
      <c r="G409" t="s">
        <v>408</v>
      </c>
      <c r="H409" t="s">
        <v>409</v>
      </c>
      <c r="I409" s="6" t="s">
        <v>451</v>
      </c>
      <c r="J409" s="61" t="s">
        <v>452</v>
      </c>
      <c r="L409" s="5" t="str">
        <f t="shared" si="55"/>
        <v>00408</v>
      </c>
      <c r="M409" s="47" t="str">
        <f t="shared" si="56"/>
        <v>12 de julio de 2017</v>
      </c>
      <c r="N409" s="323">
        <f t="shared" si="58"/>
        <v>12</v>
      </c>
      <c r="O409" s="25">
        <f t="shared" si="57"/>
        <v>42917</v>
      </c>
      <c r="P409" s="5" t="str">
        <f t="shared" ref="P409:P425" si="60">TEXT(E409,"#.##0,00")</f>
        <v>0,07</v>
      </c>
      <c r="Q409" s="4" t="e">
        <f t="shared" ref="Q409:Q425" ca="1" si="61">CONVERTIRNUM(E409)</f>
        <v>#NAME?</v>
      </c>
    </row>
    <row r="410" spans="1:17" ht="15.75" thickBot="1">
      <c r="A410" s="1">
        <f t="shared" si="59"/>
        <v>409</v>
      </c>
      <c r="C410" s="8" t="s">
        <v>17</v>
      </c>
      <c r="D410" s="2">
        <v>42928</v>
      </c>
      <c r="E410" s="3">
        <f>26000/100000</f>
        <v>0.26</v>
      </c>
      <c r="F410" t="s">
        <v>107</v>
      </c>
      <c r="G410" t="s">
        <v>108</v>
      </c>
      <c r="H410" t="s">
        <v>109</v>
      </c>
      <c r="I410" s="6" t="s">
        <v>473</v>
      </c>
      <c r="J410" s="61" t="s">
        <v>22</v>
      </c>
      <c r="L410" s="5" t="str">
        <f t="shared" si="55"/>
        <v>00409</v>
      </c>
      <c r="M410" s="47" t="str">
        <f t="shared" si="56"/>
        <v>12 de julio de 2017</v>
      </c>
      <c r="N410" s="323">
        <f t="shared" si="58"/>
        <v>12</v>
      </c>
      <c r="O410" s="25">
        <f t="shared" si="57"/>
        <v>42917</v>
      </c>
      <c r="P410" s="5" t="str">
        <f t="shared" si="60"/>
        <v>0,26</v>
      </c>
      <c r="Q410" s="4" t="e">
        <f t="shared" ca="1" si="61"/>
        <v>#NAME?</v>
      </c>
    </row>
    <row r="411" spans="1:17" ht="15.75" thickBot="1">
      <c r="A411" s="1">
        <f t="shared" si="59"/>
        <v>410</v>
      </c>
      <c r="C411" s="85" t="s">
        <v>17</v>
      </c>
      <c r="D411" s="2">
        <v>42928</v>
      </c>
      <c r="E411" s="3">
        <f>10000/100000</f>
        <v>0.1</v>
      </c>
      <c r="F411" t="s">
        <v>492</v>
      </c>
      <c r="G411" s="18" t="s">
        <v>58</v>
      </c>
      <c r="H411" t="s">
        <v>493</v>
      </c>
      <c r="I411" s="6" t="s">
        <v>494</v>
      </c>
      <c r="J411" s="61" t="s">
        <v>22</v>
      </c>
      <c r="L411" s="5" t="str">
        <f t="shared" si="55"/>
        <v>00410</v>
      </c>
      <c r="M411" s="47" t="str">
        <f t="shared" si="56"/>
        <v>12 de julio de 2017</v>
      </c>
      <c r="N411" s="323">
        <f t="shared" si="58"/>
        <v>12</v>
      </c>
      <c r="O411" s="25">
        <f t="shared" si="57"/>
        <v>42917</v>
      </c>
      <c r="P411" s="5" t="str">
        <f t="shared" si="60"/>
        <v>0,10</v>
      </c>
      <c r="Q411" s="4" t="e">
        <f t="shared" ca="1" si="61"/>
        <v>#NAME?</v>
      </c>
    </row>
    <row r="412" spans="1:17">
      <c r="A412" s="1">
        <f t="shared" si="59"/>
        <v>411</v>
      </c>
      <c r="C412" s="8" t="s">
        <v>17</v>
      </c>
      <c r="D412" s="2">
        <v>42920</v>
      </c>
      <c r="E412" s="3">
        <f>18000/100000</f>
        <v>0.18</v>
      </c>
      <c r="F412" t="s">
        <v>264</v>
      </c>
      <c r="G412" t="s">
        <v>265</v>
      </c>
      <c r="H412" t="s">
        <v>266</v>
      </c>
      <c r="I412" s="6" t="s">
        <v>495</v>
      </c>
      <c r="J412" s="61" t="s">
        <v>22</v>
      </c>
      <c r="L412" s="5" t="str">
        <f t="shared" si="55"/>
        <v>00411</v>
      </c>
      <c r="M412" s="47" t="str">
        <f t="shared" si="56"/>
        <v>04 de julio de 2017</v>
      </c>
      <c r="N412" s="323">
        <f t="shared" si="58"/>
        <v>4</v>
      </c>
      <c r="O412" s="25">
        <f t="shared" si="57"/>
        <v>42917</v>
      </c>
      <c r="P412" s="5" t="str">
        <f t="shared" si="60"/>
        <v>0,18</v>
      </c>
      <c r="Q412" s="4" t="e">
        <f t="shared" ca="1" si="61"/>
        <v>#NAME?</v>
      </c>
    </row>
    <row r="413" spans="1:17">
      <c r="A413" s="1">
        <f t="shared" si="59"/>
        <v>412</v>
      </c>
      <c r="C413" s="8" t="s">
        <v>17</v>
      </c>
      <c r="D413" s="2">
        <v>42928</v>
      </c>
      <c r="E413" s="3">
        <f>26000/100000</f>
        <v>0.26</v>
      </c>
      <c r="F413" t="s">
        <v>138</v>
      </c>
      <c r="G413" t="s">
        <v>139</v>
      </c>
      <c r="H413" t="s">
        <v>140</v>
      </c>
      <c r="I413" s="6" t="s">
        <v>445</v>
      </c>
      <c r="J413" s="61" t="s">
        <v>22</v>
      </c>
      <c r="L413" s="5" t="str">
        <f t="shared" si="55"/>
        <v>00412</v>
      </c>
      <c r="M413" s="47" t="str">
        <f t="shared" si="56"/>
        <v>12 de julio de 2017</v>
      </c>
      <c r="N413" s="323">
        <f t="shared" si="58"/>
        <v>12</v>
      </c>
      <c r="O413" s="25">
        <f t="shared" si="57"/>
        <v>42917</v>
      </c>
      <c r="P413" s="5" t="str">
        <f t="shared" si="60"/>
        <v>0,26</v>
      </c>
      <c r="Q413" s="4" t="e">
        <f t="shared" ca="1" si="61"/>
        <v>#NAME?</v>
      </c>
    </row>
    <row r="414" spans="1:17" ht="15.75" thickBot="1">
      <c r="A414" s="1">
        <f t="shared" si="59"/>
        <v>413</v>
      </c>
      <c r="C414" s="8" t="s">
        <v>17</v>
      </c>
      <c r="D414" s="2">
        <v>42929</v>
      </c>
      <c r="E414" s="3">
        <f>26000/100000</f>
        <v>0.26</v>
      </c>
      <c r="F414" t="s">
        <v>162</v>
      </c>
      <c r="G414" t="s">
        <v>163</v>
      </c>
      <c r="H414" t="s">
        <v>164</v>
      </c>
      <c r="I414" s="6" t="s">
        <v>445</v>
      </c>
      <c r="J414" s="61" t="s">
        <v>22</v>
      </c>
      <c r="L414" s="5" t="str">
        <f t="shared" si="55"/>
        <v>00413</v>
      </c>
      <c r="M414" s="47" t="str">
        <f t="shared" si="56"/>
        <v>13 de julio de 2017</v>
      </c>
      <c r="N414" s="323">
        <f t="shared" si="58"/>
        <v>13</v>
      </c>
      <c r="O414" s="25">
        <f t="shared" si="57"/>
        <v>42917</v>
      </c>
      <c r="P414" s="5" t="str">
        <f t="shared" si="60"/>
        <v>0,26</v>
      </c>
      <c r="Q414" s="4" t="e">
        <f t="shared" ca="1" si="61"/>
        <v>#NAME?</v>
      </c>
    </row>
    <row r="415" spans="1:17" ht="15.75" thickBot="1">
      <c r="A415" s="1">
        <f t="shared" si="59"/>
        <v>414</v>
      </c>
      <c r="C415" s="8" t="s">
        <v>17</v>
      </c>
      <c r="D415" s="2">
        <v>42930</v>
      </c>
      <c r="E415" s="3">
        <f>17000*2/100000</f>
        <v>0.34</v>
      </c>
      <c r="F415" t="s">
        <v>410</v>
      </c>
      <c r="G415" s="18" t="s">
        <v>58</v>
      </c>
      <c r="H415" t="s">
        <v>411</v>
      </c>
      <c r="I415" s="6" t="s">
        <v>496</v>
      </c>
      <c r="J415" s="61" t="s">
        <v>22</v>
      </c>
      <c r="L415" s="5" t="str">
        <f t="shared" si="55"/>
        <v>00414</v>
      </c>
      <c r="M415" s="47" t="str">
        <f t="shared" si="56"/>
        <v>14 de julio de 2017</v>
      </c>
      <c r="N415" s="323">
        <f t="shared" si="58"/>
        <v>14</v>
      </c>
      <c r="O415" s="25">
        <f t="shared" si="57"/>
        <v>42917</v>
      </c>
      <c r="P415" s="5" t="str">
        <f t="shared" si="60"/>
        <v>0,34</v>
      </c>
      <c r="Q415" s="4" t="e">
        <f t="shared" ca="1" si="61"/>
        <v>#NAME?</v>
      </c>
    </row>
    <row r="416" spans="1:17">
      <c r="A416" s="1">
        <f t="shared" si="59"/>
        <v>415</v>
      </c>
      <c r="C416" s="8" t="s">
        <v>17</v>
      </c>
      <c r="D416" s="2">
        <v>42930</v>
      </c>
      <c r="E416" s="3">
        <f>27000/100000</f>
        <v>0.27</v>
      </c>
      <c r="F416" t="s">
        <v>201</v>
      </c>
      <c r="G416" t="s">
        <v>202</v>
      </c>
      <c r="H416" t="s">
        <v>203</v>
      </c>
      <c r="I416" s="6" t="s">
        <v>497</v>
      </c>
      <c r="J416" s="61" t="s">
        <v>22</v>
      </c>
      <c r="L416" s="5" t="str">
        <f t="shared" si="55"/>
        <v>00415</v>
      </c>
      <c r="M416" s="47" t="str">
        <f t="shared" si="56"/>
        <v>14 de julio de 2017</v>
      </c>
      <c r="N416" s="323">
        <f t="shared" si="58"/>
        <v>14</v>
      </c>
      <c r="O416" s="25">
        <f t="shared" si="57"/>
        <v>42917</v>
      </c>
      <c r="P416" s="5" t="str">
        <f t="shared" si="60"/>
        <v>0,27</v>
      </c>
      <c r="Q416" s="4" t="e">
        <f t="shared" ca="1" si="61"/>
        <v>#NAME?</v>
      </c>
    </row>
    <row r="417" spans="1:17">
      <c r="A417" s="1">
        <f t="shared" si="59"/>
        <v>416</v>
      </c>
      <c r="C417" s="8" t="s">
        <v>17</v>
      </c>
      <c r="D417" s="2">
        <v>42920</v>
      </c>
      <c r="E417" s="3">
        <f>12000/100000</f>
        <v>0.12</v>
      </c>
      <c r="F417" t="s">
        <v>130</v>
      </c>
      <c r="G417" t="s">
        <v>131</v>
      </c>
      <c r="H417" t="s">
        <v>132</v>
      </c>
      <c r="I417" s="6" t="s">
        <v>427</v>
      </c>
      <c r="J417" s="61" t="s">
        <v>22</v>
      </c>
      <c r="L417" s="5" t="str">
        <f t="shared" si="55"/>
        <v>00416</v>
      </c>
      <c r="M417" s="47" t="str">
        <f t="shared" si="56"/>
        <v>04 de julio de 2017</v>
      </c>
      <c r="N417" s="323">
        <f t="shared" si="58"/>
        <v>4</v>
      </c>
      <c r="O417" s="25">
        <f t="shared" si="57"/>
        <v>42917</v>
      </c>
      <c r="P417" s="5" t="str">
        <f t="shared" si="60"/>
        <v>0,12</v>
      </c>
      <c r="Q417" s="4" t="e">
        <f t="shared" ca="1" si="61"/>
        <v>#NAME?</v>
      </c>
    </row>
    <row r="418" spans="1:17">
      <c r="A418" s="1">
        <f t="shared" si="59"/>
        <v>417</v>
      </c>
      <c r="C418" s="8" t="s">
        <v>17</v>
      </c>
      <c r="D418" s="2">
        <v>42930</v>
      </c>
      <c r="E418" s="3">
        <f>26000/100000</f>
        <v>0.26</v>
      </c>
      <c r="F418" t="s">
        <v>80</v>
      </c>
      <c r="G418" t="s">
        <v>81</v>
      </c>
      <c r="H418" t="s">
        <v>82</v>
      </c>
      <c r="I418" s="6" t="s">
        <v>473</v>
      </c>
      <c r="J418" s="61" t="s">
        <v>22</v>
      </c>
      <c r="L418" s="5" t="str">
        <f t="shared" si="55"/>
        <v>00417</v>
      </c>
      <c r="M418" s="47" t="str">
        <f t="shared" si="56"/>
        <v>14 de julio de 2017</v>
      </c>
      <c r="N418" s="323">
        <f t="shared" si="58"/>
        <v>14</v>
      </c>
      <c r="O418" s="25">
        <f t="shared" si="57"/>
        <v>42917</v>
      </c>
      <c r="P418" s="5" t="str">
        <f t="shared" si="60"/>
        <v>0,26</v>
      </c>
      <c r="Q418" s="4" t="e">
        <f t="shared" ca="1" si="61"/>
        <v>#NAME?</v>
      </c>
    </row>
    <row r="419" spans="1:17">
      <c r="A419" s="1">
        <f t="shared" si="59"/>
        <v>418</v>
      </c>
      <c r="C419" s="8" t="s">
        <v>17</v>
      </c>
      <c r="D419" s="2">
        <v>42930</v>
      </c>
      <c r="E419" s="3">
        <f>20000/100000</f>
        <v>0.2</v>
      </c>
      <c r="F419" t="s">
        <v>181</v>
      </c>
      <c r="G419" t="s">
        <v>182</v>
      </c>
      <c r="H419" t="s">
        <v>183</v>
      </c>
      <c r="I419" s="6" t="s">
        <v>478</v>
      </c>
      <c r="J419" s="61" t="s">
        <v>22</v>
      </c>
      <c r="L419" s="5" t="str">
        <f t="shared" si="55"/>
        <v>00418</v>
      </c>
      <c r="M419" s="47" t="str">
        <f t="shared" si="56"/>
        <v>14 de julio de 2017</v>
      </c>
      <c r="N419" s="323">
        <f t="shared" si="58"/>
        <v>14</v>
      </c>
      <c r="O419" s="25">
        <f t="shared" si="57"/>
        <v>42917</v>
      </c>
      <c r="P419" s="5" t="str">
        <f t="shared" si="60"/>
        <v>0,20</v>
      </c>
      <c r="Q419" s="4" t="e">
        <f t="shared" ca="1" si="61"/>
        <v>#NAME?</v>
      </c>
    </row>
    <row r="420" spans="1:17">
      <c r="A420" s="1">
        <f t="shared" si="59"/>
        <v>419</v>
      </c>
      <c r="C420" s="8" t="s">
        <v>17</v>
      </c>
      <c r="D420" s="2">
        <v>42916</v>
      </c>
      <c r="E420" s="3">
        <f>26000/100000</f>
        <v>0.26</v>
      </c>
      <c r="F420" t="s">
        <v>62</v>
      </c>
      <c r="G420" t="s">
        <v>63</v>
      </c>
      <c r="H420" t="s">
        <v>64</v>
      </c>
      <c r="I420" s="6" t="s">
        <v>445</v>
      </c>
      <c r="J420" s="61" t="s">
        <v>22</v>
      </c>
      <c r="L420" s="5" t="str">
        <f t="shared" si="55"/>
        <v>00419</v>
      </c>
      <c r="M420" s="47" t="str">
        <f t="shared" si="56"/>
        <v>30 de junio de 2017</v>
      </c>
      <c r="N420" s="323">
        <f t="shared" si="58"/>
        <v>30</v>
      </c>
      <c r="O420" s="25">
        <f t="shared" si="57"/>
        <v>42887</v>
      </c>
      <c r="P420" s="5" t="str">
        <f t="shared" si="60"/>
        <v>0,26</v>
      </c>
      <c r="Q420" s="4" t="e">
        <f t="shared" ca="1" si="61"/>
        <v>#NAME?</v>
      </c>
    </row>
    <row r="421" spans="1:17">
      <c r="A421" s="1">
        <f t="shared" si="59"/>
        <v>420</v>
      </c>
      <c r="C421" s="8" t="s">
        <v>17</v>
      </c>
      <c r="D421" s="2">
        <v>42931</v>
      </c>
      <c r="E421" s="3">
        <f>15000/100000</f>
        <v>0.15</v>
      </c>
      <c r="F421" t="s">
        <v>401</v>
      </c>
      <c r="G421" t="s">
        <v>402</v>
      </c>
      <c r="H421" t="s">
        <v>403</v>
      </c>
      <c r="I421" s="6" t="s">
        <v>478</v>
      </c>
      <c r="J421" s="61" t="s">
        <v>22</v>
      </c>
      <c r="L421" s="5" t="str">
        <f t="shared" si="55"/>
        <v>00420</v>
      </c>
      <c r="M421" s="47" t="str">
        <f t="shared" si="56"/>
        <v>15 de julio de 2017</v>
      </c>
      <c r="N421" s="323">
        <f t="shared" si="58"/>
        <v>15</v>
      </c>
      <c r="O421" s="25">
        <f t="shared" si="57"/>
        <v>42917</v>
      </c>
      <c r="P421" s="5" t="str">
        <f t="shared" si="60"/>
        <v>0,15</v>
      </c>
      <c r="Q421" s="4" t="e">
        <f t="shared" ca="1" si="61"/>
        <v>#NAME?</v>
      </c>
    </row>
    <row r="422" spans="1:17" ht="15.75" thickBot="1">
      <c r="A422" s="1">
        <f t="shared" si="59"/>
        <v>421</v>
      </c>
      <c r="C422" s="8" t="s">
        <v>17</v>
      </c>
      <c r="D422" s="2">
        <v>42933</v>
      </c>
      <c r="E422" s="3">
        <f>26000/100000</f>
        <v>0.26</v>
      </c>
      <c r="F422" t="s">
        <v>362</v>
      </c>
      <c r="G422" t="s">
        <v>363</v>
      </c>
      <c r="H422" t="s">
        <v>364</v>
      </c>
      <c r="I422" s="6" t="s">
        <v>445</v>
      </c>
      <c r="J422" s="61" t="s">
        <v>22</v>
      </c>
      <c r="L422" s="5" t="str">
        <f t="shared" si="55"/>
        <v>00421</v>
      </c>
      <c r="M422" s="47" t="str">
        <f t="shared" si="56"/>
        <v>17 de julio de 2017</v>
      </c>
      <c r="N422" s="323">
        <f t="shared" si="58"/>
        <v>17</v>
      </c>
      <c r="O422" s="25">
        <f t="shared" si="57"/>
        <v>42917</v>
      </c>
      <c r="P422" s="5" t="str">
        <f t="shared" si="60"/>
        <v>0,26</v>
      </c>
      <c r="Q422" s="4" t="e">
        <f t="shared" ca="1" si="61"/>
        <v>#NAME?</v>
      </c>
    </row>
    <row r="423" spans="1:17" ht="15.75" thickBot="1">
      <c r="A423" s="1">
        <f t="shared" si="59"/>
        <v>422</v>
      </c>
      <c r="C423" s="8" t="s">
        <v>17</v>
      </c>
      <c r="D423" s="2">
        <v>42933</v>
      </c>
      <c r="E423" s="3">
        <f>30000/100000</f>
        <v>0.3</v>
      </c>
      <c r="F423" s="20" t="s">
        <v>57</v>
      </c>
      <c r="G423" s="18" t="s">
        <v>58</v>
      </c>
      <c r="H423" s="21" t="s">
        <v>59</v>
      </c>
      <c r="I423" s="6" t="s">
        <v>473</v>
      </c>
      <c r="J423" s="61" t="s">
        <v>22</v>
      </c>
      <c r="K423" s="22"/>
      <c r="L423" s="5" t="str">
        <f t="shared" si="55"/>
        <v>00422</v>
      </c>
      <c r="M423" s="47" t="str">
        <f t="shared" si="56"/>
        <v>17 de julio de 2017</v>
      </c>
      <c r="N423" s="323">
        <f t="shared" si="58"/>
        <v>17</v>
      </c>
      <c r="O423" s="25">
        <f t="shared" si="57"/>
        <v>42917</v>
      </c>
      <c r="P423" s="5" t="str">
        <f t="shared" si="60"/>
        <v>0,30</v>
      </c>
      <c r="Q423" s="4" t="e">
        <f t="shared" ca="1" si="61"/>
        <v>#NAME?</v>
      </c>
    </row>
    <row r="424" spans="1:17" ht="15.75" thickBot="1">
      <c r="A424" s="1">
        <f t="shared" si="59"/>
        <v>423</v>
      </c>
      <c r="C424" s="8" t="s">
        <v>17</v>
      </c>
      <c r="D424" s="2">
        <v>42933</v>
      </c>
      <c r="E424" s="3">
        <f>6000/100000</f>
        <v>0.06</v>
      </c>
      <c r="F424" t="s">
        <v>177</v>
      </c>
      <c r="G424" s="18" t="s">
        <v>58</v>
      </c>
      <c r="H424" t="s">
        <v>179</v>
      </c>
      <c r="I424" s="6" t="s">
        <v>498</v>
      </c>
      <c r="J424" s="61" t="s">
        <v>22</v>
      </c>
      <c r="L424" s="5" t="str">
        <f t="shared" si="55"/>
        <v>00423</v>
      </c>
      <c r="M424" s="47" t="str">
        <f t="shared" si="56"/>
        <v>17 de julio de 2017</v>
      </c>
      <c r="N424" s="323">
        <f t="shared" si="58"/>
        <v>17</v>
      </c>
      <c r="O424" s="25">
        <f t="shared" si="57"/>
        <v>42917</v>
      </c>
      <c r="P424" s="5" t="str">
        <f t="shared" si="60"/>
        <v>0,06</v>
      </c>
      <c r="Q424" s="4" t="e">
        <f t="shared" ca="1" si="61"/>
        <v>#NAME?</v>
      </c>
    </row>
    <row r="425" spans="1:17" ht="15.75" thickBot="1">
      <c r="A425" s="1">
        <f t="shared" si="59"/>
        <v>424</v>
      </c>
      <c r="C425" s="8" t="s">
        <v>17</v>
      </c>
      <c r="D425" s="2">
        <v>42934</v>
      </c>
      <c r="E425" s="3">
        <f>9000/100000</f>
        <v>0.09</v>
      </c>
      <c r="F425" t="s">
        <v>70</v>
      </c>
      <c r="G425" t="s">
        <v>71</v>
      </c>
      <c r="H425" t="s">
        <v>72</v>
      </c>
      <c r="I425" s="6" t="s">
        <v>499</v>
      </c>
      <c r="J425" s="61" t="s">
        <v>22</v>
      </c>
      <c r="L425" s="5" t="str">
        <f t="shared" si="55"/>
        <v>00424</v>
      </c>
      <c r="M425" s="47" t="str">
        <f t="shared" si="56"/>
        <v>18 de julio de 2017</v>
      </c>
      <c r="N425" s="323">
        <f t="shared" si="58"/>
        <v>18</v>
      </c>
      <c r="O425" s="25">
        <f t="shared" si="57"/>
        <v>42917</v>
      </c>
      <c r="P425" s="5" t="str">
        <f t="shared" si="60"/>
        <v>0,09</v>
      </c>
      <c r="Q425" s="4" t="e">
        <f t="shared" ca="1" si="61"/>
        <v>#NAME?</v>
      </c>
    </row>
    <row r="426" spans="1:17" ht="15.75" thickBot="1">
      <c r="A426" s="1">
        <f t="shared" si="59"/>
        <v>425</v>
      </c>
      <c r="C426" s="8" t="s">
        <v>17</v>
      </c>
      <c r="D426" s="2">
        <v>42934</v>
      </c>
      <c r="E426" s="3">
        <f>10000/100000</f>
        <v>0.1</v>
      </c>
      <c r="F426" s="20" t="s">
        <v>57</v>
      </c>
      <c r="G426" s="18" t="s">
        <v>58</v>
      </c>
      <c r="H426" s="21" t="s">
        <v>59</v>
      </c>
      <c r="I426" s="6" t="s">
        <v>499</v>
      </c>
      <c r="J426" s="61" t="s">
        <v>22</v>
      </c>
      <c r="K426" s="22"/>
      <c r="L426" s="5" t="str">
        <f t="shared" si="55"/>
        <v>00425</v>
      </c>
      <c r="M426" s="47" t="str">
        <f t="shared" si="56"/>
        <v>18 de julio de 2017</v>
      </c>
      <c r="N426" s="323">
        <f t="shared" si="58"/>
        <v>18</v>
      </c>
      <c r="O426" s="25">
        <f t="shared" si="57"/>
        <v>42917</v>
      </c>
      <c r="P426" s="5" t="str">
        <f t="shared" ref="P426:P443" si="62">TEXT(E426,"#.##0,00")</f>
        <v>0,10</v>
      </c>
      <c r="Q426" s="4" t="e">
        <f t="shared" ref="Q426:Q443" ca="1" si="63">CONVERTIRNUM(E426)</f>
        <v>#NAME?</v>
      </c>
    </row>
    <row r="427" spans="1:17" ht="15.75" thickBot="1">
      <c r="A427" s="1">
        <f t="shared" si="59"/>
        <v>426</v>
      </c>
      <c r="C427" s="8" t="s">
        <v>17</v>
      </c>
      <c r="D427" s="2">
        <v>42934</v>
      </c>
      <c r="E427" s="3">
        <f>26000/100000</f>
        <v>0.26</v>
      </c>
      <c r="F427" t="s">
        <v>177</v>
      </c>
      <c r="G427" s="18" t="s">
        <v>58</v>
      </c>
      <c r="H427" t="s">
        <v>179</v>
      </c>
      <c r="I427" s="6" t="s">
        <v>445</v>
      </c>
      <c r="J427" s="61" t="s">
        <v>22</v>
      </c>
      <c r="L427" s="5" t="str">
        <f t="shared" si="55"/>
        <v>00426</v>
      </c>
      <c r="M427" s="47" t="str">
        <f t="shared" si="56"/>
        <v>18 de julio de 2017</v>
      </c>
      <c r="N427" s="323">
        <f t="shared" si="58"/>
        <v>18</v>
      </c>
      <c r="O427" s="25">
        <f t="shared" si="57"/>
        <v>42917</v>
      </c>
      <c r="P427" s="5" t="str">
        <f t="shared" si="62"/>
        <v>0,26</v>
      </c>
      <c r="Q427" s="4" t="e">
        <f t="shared" ca="1" si="63"/>
        <v>#NAME?</v>
      </c>
    </row>
    <row r="428" spans="1:17">
      <c r="A428" s="1">
        <f t="shared" si="59"/>
        <v>427</v>
      </c>
      <c r="C428" s="8" t="s">
        <v>17</v>
      </c>
      <c r="D428" s="2">
        <v>42934</v>
      </c>
      <c r="E428" s="3">
        <f>35000/100000</f>
        <v>0.35</v>
      </c>
      <c r="F428" t="s">
        <v>483</v>
      </c>
      <c r="G428" t="s">
        <v>484</v>
      </c>
      <c r="H428" t="s">
        <v>485</v>
      </c>
      <c r="I428" s="6" t="s">
        <v>500</v>
      </c>
      <c r="J428" s="61" t="s">
        <v>22</v>
      </c>
      <c r="L428" s="5" t="str">
        <f t="shared" si="55"/>
        <v>00427</v>
      </c>
      <c r="M428" s="47" t="str">
        <f t="shared" si="56"/>
        <v>18 de julio de 2017</v>
      </c>
      <c r="N428" s="323">
        <f t="shared" si="58"/>
        <v>18</v>
      </c>
      <c r="O428" s="25">
        <f t="shared" si="57"/>
        <v>42917</v>
      </c>
      <c r="P428" s="5" t="str">
        <f t="shared" si="62"/>
        <v>0,35</v>
      </c>
      <c r="Q428" s="4" t="e">
        <f t="shared" ca="1" si="63"/>
        <v>#NAME?</v>
      </c>
    </row>
    <row r="429" spans="1:17">
      <c r="A429" s="1">
        <f t="shared" si="59"/>
        <v>428</v>
      </c>
      <c r="C429" s="8" t="s">
        <v>17</v>
      </c>
      <c r="D429" s="2">
        <v>42934</v>
      </c>
      <c r="E429" s="3">
        <f>35000/100000</f>
        <v>0.35</v>
      </c>
      <c r="F429" t="s">
        <v>152</v>
      </c>
      <c r="G429" t="s">
        <v>153</v>
      </c>
      <c r="H429" t="s">
        <v>154</v>
      </c>
      <c r="I429" s="6" t="s">
        <v>500</v>
      </c>
      <c r="J429" s="61" t="s">
        <v>22</v>
      </c>
      <c r="L429" s="5" t="str">
        <f t="shared" si="55"/>
        <v>00428</v>
      </c>
      <c r="M429" s="47" t="str">
        <f t="shared" si="56"/>
        <v>18 de julio de 2017</v>
      </c>
      <c r="N429" s="323">
        <f t="shared" si="58"/>
        <v>18</v>
      </c>
      <c r="O429" s="25">
        <f t="shared" si="57"/>
        <v>42917</v>
      </c>
      <c r="P429" s="5" t="str">
        <f t="shared" si="62"/>
        <v>0,35</v>
      </c>
      <c r="Q429" s="4" t="e">
        <f t="shared" ca="1" si="63"/>
        <v>#NAME?</v>
      </c>
    </row>
    <row r="430" spans="1:17">
      <c r="A430" s="1">
        <f t="shared" si="59"/>
        <v>429</v>
      </c>
      <c r="C430" s="8" t="s">
        <v>17</v>
      </c>
      <c r="D430" s="2">
        <v>42934</v>
      </c>
      <c r="E430" s="3">
        <f>36000/100000</f>
        <v>0.36</v>
      </c>
      <c r="F430" t="s">
        <v>324</v>
      </c>
      <c r="G430" t="s">
        <v>325</v>
      </c>
      <c r="H430" t="s">
        <v>326</v>
      </c>
      <c r="I430" s="6" t="s">
        <v>501</v>
      </c>
      <c r="J430" s="61" t="s">
        <v>22</v>
      </c>
      <c r="L430" s="5" t="str">
        <f t="shared" si="55"/>
        <v>00429</v>
      </c>
      <c r="M430" s="47" t="str">
        <f t="shared" si="56"/>
        <v>18 de julio de 2017</v>
      </c>
      <c r="N430" s="323">
        <f t="shared" si="58"/>
        <v>18</v>
      </c>
      <c r="O430" s="25">
        <f t="shared" si="57"/>
        <v>42917</v>
      </c>
      <c r="P430" s="5" t="str">
        <f t="shared" si="62"/>
        <v>0,36</v>
      </c>
      <c r="Q430" s="4" t="e">
        <f t="shared" ca="1" si="63"/>
        <v>#NAME?</v>
      </c>
    </row>
    <row r="431" spans="1:17">
      <c r="A431" s="1">
        <f t="shared" si="59"/>
        <v>430</v>
      </c>
      <c r="C431" s="8" t="s">
        <v>17</v>
      </c>
      <c r="D431" s="2">
        <v>42929</v>
      </c>
      <c r="E431" s="3">
        <f>20000/100000</f>
        <v>0.2</v>
      </c>
      <c r="F431" t="s">
        <v>284</v>
      </c>
      <c r="G431" t="s">
        <v>276</v>
      </c>
      <c r="H431" t="s">
        <v>285</v>
      </c>
      <c r="I431" s="6" t="s">
        <v>502</v>
      </c>
      <c r="J431" s="61" t="s">
        <v>22</v>
      </c>
      <c r="L431" s="5" t="str">
        <f t="shared" si="55"/>
        <v>00430</v>
      </c>
      <c r="M431" s="47" t="str">
        <f t="shared" si="56"/>
        <v>13 de julio de 2017</v>
      </c>
      <c r="N431" s="323">
        <f t="shared" si="58"/>
        <v>13</v>
      </c>
      <c r="O431" s="25">
        <f t="shared" si="57"/>
        <v>42917</v>
      </c>
      <c r="P431" s="5" t="str">
        <f t="shared" si="62"/>
        <v>0,20</v>
      </c>
      <c r="Q431" s="4" t="e">
        <f t="shared" ca="1" si="63"/>
        <v>#NAME?</v>
      </c>
    </row>
    <row r="432" spans="1:17">
      <c r="A432" s="1">
        <f t="shared" si="59"/>
        <v>431</v>
      </c>
      <c r="C432" s="8" t="s">
        <v>17</v>
      </c>
      <c r="D432" s="2">
        <v>42934</v>
      </c>
      <c r="E432" s="3">
        <f>9000/100000</f>
        <v>0.09</v>
      </c>
      <c r="F432" t="s">
        <v>18</v>
      </c>
      <c r="G432" t="s">
        <v>19</v>
      </c>
      <c r="H432" t="s">
        <v>20</v>
      </c>
      <c r="I432" s="6" t="s">
        <v>503</v>
      </c>
      <c r="J432" s="61" t="s">
        <v>22</v>
      </c>
      <c r="L432" s="5" t="str">
        <f t="shared" si="55"/>
        <v>00431</v>
      </c>
      <c r="M432" s="47" t="str">
        <f t="shared" si="56"/>
        <v>18 de julio de 2017</v>
      </c>
      <c r="N432" s="323">
        <f t="shared" si="58"/>
        <v>18</v>
      </c>
      <c r="O432" s="25">
        <f t="shared" si="57"/>
        <v>42917</v>
      </c>
      <c r="P432" s="5" t="str">
        <f t="shared" si="62"/>
        <v>0,09</v>
      </c>
      <c r="Q432" s="4" t="e">
        <f t="shared" ca="1" si="63"/>
        <v>#NAME?</v>
      </c>
    </row>
    <row r="433" spans="1:17">
      <c r="A433" s="178">
        <f t="shared" si="59"/>
        <v>432</v>
      </c>
      <c r="C433" s="8" t="s">
        <v>17</v>
      </c>
      <c r="D433" s="2">
        <v>42934</v>
      </c>
      <c r="E433" s="3">
        <f>9000/100000</f>
        <v>0.09</v>
      </c>
      <c r="F433" t="s">
        <v>438</v>
      </c>
      <c r="G433" t="s">
        <v>439</v>
      </c>
      <c r="H433" t="s">
        <v>440</v>
      </c>
      <c r="I433" s="6" t="s">
        <v>504</v>
      </c>
      <c r="J433" s="61" t="s">
        <v>22</v>
      </c>
      <c r="L433" s="5" t="str">
        <f t="shared" si="55"/>
        <v>00432</v>
      </c>
      <c r="M433" s="47" t="str">
        <f t="shared" si="56"/>
        <v>18 de julio de 2017</v>
      </c>
      <c r="N433" s="323">
        <f t="shared" si="58"/>
        <v>18</v>
      </c>
      <c r="O433" s="25">
        <f t="shared" si="57"/>
        <v>42917</v>
      </c>
      <c r="P433" s="5" t="str">
        <f t="shared" si="62"/>
        <v>0,09</v>
      </c>
      <c r="Q433" s="4" t="e">
        <f t="shared" ca="1" si="63"/>
        <v>#NAME?</v>
      </c>
    </row>
    <row r="434" spans="1:17">
      <c r="A434" s="1">
        <f t="shared" si="59"/>
        <v>433</v>
      </c>
      <c r="C434" s="8" t="s">
        <v>17</v>
      </c>
      <c r="D434" s="2">
        <v>42934</v>
      </c>
      <c r="E434" s="3">
        <f>9000/100000</f>
        <v>0.09</v>
      </c>
      <c r="F434" t="s">
        <v>100</v>
      </c>
      <c r="G434" t="s">
        <v>95</v>
      </c>
      <c r="H434" t="s">
        <v>101</v>
      </c>
      <c r="I434" s="6" t="s">
        <v>499</v>
      </c>
      <c r="J434" s="61" t="s">
        <v>22</v>
      </c>
      <c r="L434" s="5" t="str">
        <f t="shared" si="55"/>
        <v>00433</v>
      </c>
      <c r="M434" s="47" t="str">
        <f t="shared" si="56"/>
        <v>18 de julio de 2017</v>
      </c>
      <c r="N434" s="323">
        <f t="shared" si="58"/>
        <v>18</v>
      </c>
      <c r="O434" s="25">
        <f t="shared" si="57"/>
        <v>42917</v>
      </c>
      <c r="P434" s="5" t="str">
        <f t="shared" si="62"/>
        <v>0,09</v>
      </c>
      <c r="Q434" s="4" t="e">
        <f t="shared" ca="1" si="63"/>
        <v>#NAME?</v>
      </c>
    </row>
    <row r="435" spans="1:17">
      <c r="A435" s="1">
        <f t="shared" si="59"/>
        <v>434</v>
      </c>
      <c r="C435" s="8" t="s">
        <v>17</v>
      </c>
      <c r="D435" s="2">
        <v>42934</v>
      </c>
      <c r="E435" s="3">
        <f>9000/100000</f>
        <v>0.09</v>
      </c>
      <c r="F435" t="s">
        <v>80</v>
      </c>
      <c r="G435" t="s">
        <v>81</v>
      </c>
      <c r="H435" t="s">
        <v>82</v>
      </c>
      <c r="I435" s="6" t="s">
        <v>499</v>
      </c>
      <c r="J435" s="61" t="s">
        <v>22</v>
      </c>
      <c r="L435" s="5" t="str">
        <f t="shared" si="55"/>
        <v>00434</v>
      </c>
      <c r="M435" s="47" t="str">
        <f t="shared" si="56"/>
        <v>18 de julio de 2017</v>
      </c>
      <c r="N435" s="323">
        <f t="shared" si="58"/>
        <v>18</v>
      </c>
      <c r="O435" s="25">
        <f t="shared" si="57"/>
        <v>42917</v>
      </c>
      <c r="P435" s="5" t="str">
        <f t="shared" si="62"/>
        <v>0,09</v>
      </c>
      <c r="Q435" s="4" t="e">
        <f t="shared" ca="1" si="63"/>
        <v>#NAME?</v>
      </c>
    </row>
    <row r="436" spans="1:17">
      <c r="A436" s="1">
        <f t="shared" si="59"/>
        <v>435</v>
      </c>
      <c r="C436" s="8" t="s">
        <v>17</v>
      </c>
      <c r="D436" s="2">
        <v>42935</v>
      </c>
      <c r="E436" s="3">
        <f>10000/100000</f>
        <v>0.1</v>
      </c>
      <c r="F436" t="s">
        <v>36</v>
      </c>
      <c r="G436" t="s">
        <v>37</v>
      </c>
      <c r="H436" t="s">
        <v>38</v>
      </c>
      <c r="I436" s="6" t="s">
        <v>499</v>
      </c>
      <c r="J436" s="61" t="s">
        <v>22</v>
      </c>
      <c r="L436" s="5" t="str">
        <f t="shared" si="55"/>
        <v>00435</v>
      </c>
      <c r="M436" s="47" t="str">
        <f t="shared" si="56"/>
        <v>19 de julio de 2017</v>
      </c>
      <c r="N436" s="323">
        <f t="shared" si="58"/>
        <v>19</v>
      </c>
      <c r="O436" s="25">
        <f t="shared" si="57"/>
        <v>42917</v>
      </c>
      <c r="P436" s="5" t="str">
        <f t="shared" si="62"/>
        <v>0,10</v>
      </c>
      <c r="Q436" s="4" t="e">
        <f t="shared" ca="1" si="63"/>
        <v>#NAME?</v>
      </c>
    </row>
    <row r="437" spans="1:17">
      <c r="A437" s="1">
        <f t="shared" si="59"/>
        <v>436</v>
      </c>
      <c r="C437" s="8" t="s">
        <v>17</v>
      </c>
      <c r="D437" s="2">
        <v>42935</v>
      </c>
      <c r="E437" s="3">
        <f>25000/100000</f>
        <v>0.25</v>
      </c>
      <c r="F437" t="s">
        <v>28</v>
      </c>
      <c r="G437" t="s">
        <v>29</v>
      </c>
      <c r="H437" t="s">
        <v>30</v>
      </c>
      <c r="I437" s="6" t="s">
        <v>478</v>
      </c>
      <c r="J437" s="61" t="s">
        <v>22</v>
      </c>
      <c r="L437" s="5" t="str">
        <f t="shared" si="55"/>
        <v>00436</v>
      </c>
      <c r="M437" s="47" t="str">
        <f t="shared" si="56"/>
        <v>19 de julio de 2017</v>
      </c>
      <c r="N437" s="323">
        <f t="shared" si="58"/>
        <v>19</v>
      </c>
      <c r="O437" s="25">
        <f t="shared" si="57"/>
        <v>42917</v>
      </c>
      <c r="P437" s="5" t="str">
        <f t="shared" si="62"/>
        <v>0,25</v>
      </c>
      <c r="Q437" s="4" t="e">
        <f t="shared" ca="1" si="63"/>
        <v>#NAME?</v>
      </c>
    </row>
    <row r="438" spans="1:17">
      <c r="A438" s="1">
        <f t="shared" si="59"/>
        <v>437</v>
      </c>
      <c r="C438" s="8" t="s">
        <v>17</v>
      </c>
      <c r="D438" s="2">
        <v>42935</v>
      </c>
      <c r="E438" s="3">
        <f>9000/100000</f>
        <v>0.09</v>
      </c>
      <c r="F438" t="s">
        <v>44</v>
      </c>
      <c r="G438" t="s">
        <v>45</v>
      </c>
      <c r="H438" t="s">
        <v>46</v>
      </c>
      <c r="I438" s="6" t="s">
        <v>499</v>
      </c>
      <c r="J438" s="61" t="s">
        <v>22</v>
      </c>
      <c r="L438" s="5" t="str">
        <f t="shared" si="55"/>
        <v>00437</v>
      </c>
      <c r="M438" s="47" t="str">
        <f t="shared" si="56"/>
        <v>19 de julio de 2017</v>
      </c>
      <c r="N438" s="323">
        <f t="shared" si="58"/>
        <v>19</v>
      </c>
      <c r="O438" s="25">
        <f t="shared" si="57"/>
        <v>42917</v>
      </c>
      <c r="P438" s="5" t="str">
        <f t="shared" si="62"/>
        <v>0,09</v>
      </c>
      <c r="Q438" s="4" t="e">
        <f t="shared" ca="1" si="63"/>
        <v>#NAME?</v>
      </c>
    </row>
    <row r="439" spans="1:17">
      <c r="A439" s="1">
        <f t="shared" si="59"/>
        <v>438</v>
      </c>
      <c r="C439" s="8" t="s">
        <v>17</v>
      </c>
      <c r="D439" s="2">
        <v>42935</v>
      </c>
      <c r="E439" s="3">
        <f>30000/100000</f>
        <v>0.3</v>
      </c>
      <c r="F439" t="s">
        <v>353</v>
      </c>
      <c r="G439" t="s">
        <v>354</v>
      </c>
      <c r="H439" t="s">
        <v>355</v>
      </c>
      <c r="I439" s="6" t="s">
        <v>478</v>
      </c>
      <c r="J439" s="61" t="s">
        <v>22</v>
      </c>
      <c r="L439" s="5" t="str">
        <f t="shared" si="55"/>
        <v>00438</v>
      </c>
      <c r="M439" s="47" t="str">
        <f t="shared" si="56"/>
        <v>19 de julio de 2017</v>
      </c>
      <c r="N439" s="323">
        <f t="shared" si="58"/>
        <v>19</v>
      </c>
      <c r="O439" s="25">
        <f t="shared" si="57"/>
        <v>42917</v>
      </c>
      <c r="P439" s="5" t="str">
        <f t="shared" si="62"/>
        <v>0,30</v>
      </c>
      <c r="Q439" s="4" t="e">
        <f t="shared" ca="1" si="63"/>
        <v>#NAME?</v>
      </c>
    </row>
    <row r="440" spans="1:17">
      <c r="A440" s="1">
        <f t="shared" si="59"/>
        <v>439</v>
      </c>
      <c r="C440" s="8" t="s">
        <v>17</v>
      </c>
      <c r="D440" s="2">
        <v>42934</v>
      </c>
      <c r="E440" s="3">
        <f>52000/100000</f>
        <v>0.52</v>
      </c>
      <c r="F440" t="s">
        <v>215</v>
      </c>
      <c r="G440" t="s">
        <v>216</v>
      </c>
      <c r="H440" t="s">
        <v>217</v>
      </c>
      <c r="I440" s="6" t="s">
        <v>505</v>
      </c>
      <c r="J440" s="61" t="s">
        <v>22</v>
      </c>
      <c r="L440" s="5" t="str">
        <f t="shared" si="55"/>
        <v>00439</v>
      </c>
      <c r="M440" s="47" t="str">
        <f t="shared" si="56"/>
        <v>18 de julio de 2017</v>
      </c>
      <c r="N440" s="323">
        <f t="shared" si="58"/>
        <v>18</v>
      </c>
      <c r="O440" s="25">
        <f t="shared" si="57"/>
        <v>42917</v>
      </c>
      <c r="P440" s="5" t="str">
        <f t="shared" si="62"/>
        <v>0,52</v>
      </c>
      <c r="Q440" s="4" t="e">
        <f t="shared" ca="1" si="63"/>
        <v>#NAME?</v>
      </c>
    </row>
    <row r="441" spans="1:17">
      <c r="A441" s="1">
        <f t="shared" si="59"/>
        <v>440</v>
      </c>
      <c r="C441" s="8" t="s">
        <v>17</v>
      </c>
      <c r="D441" s="2">
        <v>42935</v>
      </c>
      <c r="E441" s="3">
        <f>9000/100000</f>
        <v>0.09</v>
      </c>
      <c r="F441" t="s">
        <v>107</v>
      </c>
      <c r="G441" t="s">
        <v>108</v>
      </c>
      <c r="H441" t="s">
        <v>109</v>
      </c>
      <c r="I441" s="6" t="s">
        <v>499</v>
      </c>
      <c r="J441" s="61" t="s">
        <v>22</v>
      </c>
      <c r="L441" s="5" t="str">
        <f t="shared" si="55"/>
        <v>00440</v>
      </c>
      <c r="M441" s="47" t="str">
        <f t="shared" si="56"/>
        <v>19 de julio de 2017</v>
      </c>
      <c r="N441" s="323">
        <f t="shared" si="58"/>
        <v>19</v>
      </c>
      <c r="O441" s="25">
        <f t="shared" si="57"/>
        <v>42917</v>
      </c>
      <c r="P441" s="5" t="str">
        <f t="shared" si="62"/>
        <v>0,09</v>
      </c>
      <c r="Q441" s="4" t="e">
        <f t="shared" ca="1" si="63"/>
        <v>#NAME?</v>
      </c>
    </row>
    <row r="442" spans="1:17">
      <c r="A442" s="1">
        <f t="shared" si="59"/>
        <v>441</v>
      </c>
      <c r="C442" s="8" t="s">
        <v>17</v>
      </c>
      <c r="D442" s="2">
        <v>42935</v>
      </c>
      <c r="E442" s="3">
        <f>9000/100000</f>
        <v>0.09</v>
      </c>
      <c r="F442" t="s">
        <v>90</v>
      </c>
      <c r="G442" t="s">
        <v>91</v>
      </c>
      <c r="H442" t="s">
        <v>92</v>
      </c>
      <c r="I442" s="6" t="s">
        <v>499</v>
      </c>
      <c r="J442" s="61" t="s">
        <v>22</v>
      </c>
      <c r="L442" s="5" t="str">
        <f t="shared" si="55"/>
        <v>00441</v>
      </c>
      <c r="M442" s="47" t="str">
        <f t="shared" si="56"/>
        <v>19 de julio de 2017</v>
      </c>
      <c r="N442" s="323">
        <f t="shared" si="58"/>
        <v>19</v>
      </c>
      <c r="O442" s="25">
        <f t="shared" si="57"/>
        <v>42917</v>
      </c>
      <c r="P442" s="5" t="str">
        <f t="shared" si="62"/>
        <v>0,09</v>
      </c>
      <c r="Q442" s="4" t="e">
        <f t="shared" ca="1" si="63"/>
        <v>#NAME?</v>
      </c>
    </row>
    <row r="443" spans="1:17">
      <c r="A443" s="1">
        <f t="shared" si="59"/>
        <v>442</v>
      </c>
      <c r="C443" s="8" t="s">
        <v>17</v>
      </c>
      <c r="D443" s="2">
        <v>42933</v>
      </c>
      <c r="E443" s="3">
        <f>15000/100000</f>
        <v>0.15</v>
      </c>
      <c r="F443" t="s">
        <v>130</v>
      </c>
      <c r="G443" t="s">
        <v>131</v>
      </c>
      <c r="H443" t="s">
        <v>132</v>
      </c>
      <c r="I443" s="6" t="s">
        <v>446</v>
      </c>
      <c r="J443" s="61" t="s">
        <v>22</v>
      </c>
      <c r="L443" s="5" t="str">
        <f t="shared" si="55"/>
        <v>00442</v>
      </c>
      <c r="M443" s="47" t="str">
        <f t="shared" si="56"/>
        <v>17 de julio de 2017</v>
      </c>
      <c r="N443" s="323">
        <f t="shared" si="58"/>
        <v>17</v>
      </c>
      <c r="O443" s="25">
        <f t="shared" si="57"/>
        <v>42917</v>
      </c>
      <c r="P443" s="5" t="str">
        <f t="shared" si="62"/>
        <v>0,15</v>
      </c>
      <c r="Q443" s="4" t="e">
        <f t="shared" ca="1" si="63"/>
        <v>#NAME?</v>
      </c>
    </row>
    <row r="444" spans="1:17">
      <c r="A444" s="1">
        <f t="shared" si="59"/>
        <v>443</v>
      </c>
      <c r="C444" s="8" t="s">
        <v>17</v>
      </c>
      <c r="D444" s="2">
        <v>42936</v>
      </c>
      <c r="E444" s="3">
        <f>5100/100000</f>
        <v>5.0999999999999997E-2</v>
      </c>
      <c r="F444" t="s">
        <v>324</v>
      </c>
      <c r="G444" t="s">
        <v>325</v>
      </c>
      <c r="H444" t="s">
        <v>326</v>
      </c>
      <c r="I444" s="6" t="s">
        <v>506</v>
      </c>
      <c r="J444" s="61" t="s">
        <v>22</v>
      </c>
      <c r="L444" s="5" t="str">
        <f t="shared" si="55"/>
        <v>00443</v>
      </c>
      <c r="M444" s="47" t="str">
        <f t="shared" si="56"/>
        <v>20 de julio de 2017</v>
      </c>
      <c r="N444" s="323">
        <f t="shared" si="58"/>
        <v>20</v>
      </c>
      <c r="O444" s="25">
        <f t="shared" si="57"/>
        <v>42917</v>
      </c>
      <c r="P444" s="5" t="str">
        <f t="shared" ref="P444:P459" si="64">TEXT(E444,"#.##0,00")</f>
        <v>0,05</v>
      </c>
      <c r="Q444" s="4" t="e">
        <f t="shared" ref="Q444:Q459" ca="1" si="65">CONVERTIRNUM(E444)</f>
        <v>#NAME?</v>
      </c>
    </row>
    <row r="445" spans="1:17">
      <c r="A445" s="1">
        <f t="shared" si="59"/>
        <v>444</v>
      </c>
      <c r="C445" s="8" t="s">
        <v>17</v>
      </c>
      <c r="D445" s="2">
        <v>42936</v>
      </c>
      <c r="E445" s="3">
        <f>35000/100000</f>
        <v>0.35</v>
      </c>
      <c r="F445" t="s">
        <v>103</v>
      </c>
      <c r="G445" t="s">
        <v>104</v>
      </c>
      <c r="H445" t="s">
        <v>105</v>
      </c>
      <c r="I445" s="6" t="s">
        <v>500</v>
      </c>
      <c r="J445" s="61" t="s">
        <v>22</v>
      </c>
      <c r="L445" s="5" t="str">
        <f t="shared" si="55"/>
        <v>00444</v>
      </c>
      <c r="M445" s="47" t="str">
        <f t="shared" si="56"/>
        <v>20 de julio de 2017</v>
      </c>
      <c r="N445" s="323">
        <f t="shared" si="58"/>
        <v>20</v>
      </c>
      <c r="O445" s="25">
        <f t="shared" si="57"/>
        <v>42917</v>
      </c>
      <c r="P445" s="5" t="str">
        <f t="shared" si="64"/>
        <v>0,35</v>
      </c>
      <c r="Q445" s="4" t="e">
        <f t="shared" ca="1" si="65"/>
        <v>#NAME?</v>
      </c>
    </row>
    <row r="446" spans="1:17">
      <c r="A446" s="1">
        <f t="shared" si="59"/>
        <v>445</v>
      </c>
      <c r="C446" s="8" t="s">
        <v>17</v>
      </c>
      <c r="D446" s="2">
        <v>42936</v>
      </c>
      <c r="E446" s="3">
        <f>25000/100000</f>
        <v>0.25</v>
      </c>
      <c r="F446" t="s">
        <v>134</v>
      </c>
      <c r="G446" t="s">
        <v>135</v>
      </c>
      <c r="H446" t="s">
        <v>136</v>
      </c>
      <c r="I446" s="6" t="s">
        <v>445</v>
      </c>
      <c r="J446" s="61" t="s">
        <v>22</v>
      </c>
      <c r="L446" s="5" t="str">
        <f t="shared" si="55"/>
        <v>00445</v>
      </c>
      <c r="M446" s="47" t="str">
        <f t="shared" si="56"/>
        <v>20 de julio de 2017</v>
      </c>
      <c r="N446" s="323">
        <f t="shared" si="58"/>
        <v>20</v>
      </c>
      <c r="O446" s="25">
        <f t="shared" si="57"/>
        <v>42917</v>
      </c>
      <c r="P446" s="5" t="str">
        <f t="shared" si="64"/>
        <v>0,25</v>
      </c>
      <c r="Q446" s="4" t="e">
        <f t="shared" ca="1" si="65"/>
        <v>#NAME?</v>
      </c>
    </row>
    <row r="447" spans="1:17">
      <c r="A447" s="1">
        <f t="shared" si="59"/>
        <v>446</v>
      </c>
      <c r="C447" s="8" t="s">
        <v>17</v>
      </c>
      <c r="D447" s="2">
        <v>42937</v>
      </c>
      <c r="E447" s="3">
        <f>5000/100000</f>
        <v>0.05</v>
      </c>
      <c r="F447" t="s">
        <v>144</v>
      </c>
      <c r="G447" t="s">
        <v>145</v>
      </c>
      <c r="H447" t="s">
        <v>146</v>
      </c>
      <c r="I447" s="6" t="s">
        <v>478</v>
      </c>
      <c r="J447" s="61" t="s">
        <v>22</v>
      </c>
      <c r="L447" s="5" t="str">
        <f t="shared" si="55"/>
        <v>00446</v>
      </c>
      <c r="M447" s="47" t="str">
        <f t="shared" si="56"/>
        <v>21 de julio de 2017</v>
      </c>
      <c r="N447" s="323">
        <f t="shared" si="58"/>
        <v>21</v>
      </c>
      <c r="O447" s="25">
        <f t="shared" si="57"/>
        <v>42917</v>
      </c>
      <c r="P447" s="5" t="str">
        <f t="shared" si="64"/>
        <v>0,05</v>
      </c>
      <c r="Q447" s="4" t="e">
        <f t="shared" ca="1" si="65"/>
        <v>#NAME?</v>
      </c>
    </row>
    <row r="448" spans="1:17">
      <c r="A448" s="1">
        <f t="shared" si="59"/>
        <v>447</v>
      </c>
      <c r="C448" s="8" t="s">
        <v>17</v>
      </c>
      <c r="D448" s="2">
        <v>42939</v>
      </c>
      <c r="E448" s="3">
        <f>9000/100000</f>
        <v>0.09</v>
      </c>
      <c r="F448" t="s">
        <v>24</v>
      </c>
      <c r="G448" t="s">
        <v>25</v>
      </c>
      <c r="H448" t="s">
        <v>26</v>
      </c>
      <c r="I448" s="6" t="s">
        <v>499</v>
      </c>
      <c r="J448" s="61" t="s">
        <v>22</v>
      </c>
      <c r="L448" s="5" t="str">
        <f t="shared" si="55"/>
        <v>00447</v>
      </c>
      <c r="M448" s="47" t="str">
        <f t="shared" si="56"/>
        <v>23 de julio de 2017</v>
      </c>
      <c r="N448" s="323">
        <f t="shared" si="58"/>
        <v>23</v>
      </c>
      <c r="O448" s="25">
        <f t="shared" si="57"/>
        <v>42917</v>
      </c>
      <c r="P448" s="5" t="str">
        <f t="shared" si="64"/>
        <v>0,09</v>
      </c>
      <c r="Q448" s="4" t="e">
        <f t="shared" ca="1" si="65"/>
        <v>#NAME?</v>
      </c>
    </row>
    <row r="449" spans="1:17">
      <c r="A449" s="1">
        <f t="shared" si="59"/>
        <v>448</v>
      </c>
      <c r="C449" s="8" t="s">
        <v>17</v>
      </c>
      <c r="D449" s="2">
        <v>42893</v>
      </c>
      <c r="E449" s="3">
        <f>26000/100000</f>
        <v>0.26</v>
      </c>
      <c r="F449" t="s">
        <v>66</v>
      </c>
      <c r="G449" t="s">
        <v>67</v>
      </c>
      <c r="H449" t="s">
        <v>68</v>
      </c>
      <c r="I449" s="6" t="s">
        <v>473</v>
      </c>
      <c r="J449" s="61" t="s">
        <v>22</v>
      </c>
      <c r="L449" s="5" t="str">
        <f t="shared" si="55"/>
        <v>00448</v>
      </c>
      <c r="M449" s="47" t="str">
        <f t="shared" si="56"/>
        <v>07 de junio de 2017</v>
      </c>
      <c r="N449" s="323">
        <f t="shared" si="58"/>
        <v>7</v>
      </c>
      <c r="O449" s="25">
        <f t="shared" si="57"/>
        <v>42887</v>
      </c>
      <c r="P449" s="5" t="str">
        <f t="shared" si="64"/>
        <v>0,26</v>
      </c>
      <c r="Q449" s="4" t="e">
        <f t="shared" ca="1" si="65"/>
        <v>#NAME?</v>
      </c>
    </row>
    <row r="450" spans="1:17" ht="15.75" thickBot="1">
      <c r="A450" s="1">
        <f t="shared" si="59"/>
        <v>449</v>
      </c>
      <c r="C450" s="8" t="s">
        <v>17</v>
      </c>
      <c r="D450" s="2">
        <v>42939</v>
      </c>
      <c r="E450" s="3">
        <f>44000/100000</f>
        <v>0.44</v>
      </c>
      <c r="F450" t="s">
        <v>66</v>
      </c>
      <c r="G450" t="s">
        <v>67</v>
      </c>
      <c r="H450" t="s">
        <v>68</v>
      </c>
      <c r="I450" s="6" t="s">
        <v>507</v>
      </c>
      <c r="J450" s="61" t="s">
        <v>22</v>
      </c>
      <c r="L450" s="5" t="str">
        <f t="shared" ref="L450:L513" si="66">IF(ISBLANK(A450),"",TEXT(A450,"00000"))</f>
        <v>00449</v>
      </c>
      <c r="M450" s="47" t="str">
        <f t="shared" ref="M450:M513" si="67">IF(ISBLANK(D450),"",TEXT(D450,"dd")&amp;" de "&amp;TEXT(D450,"mmmm")&amp;" de "&amp;TEXT(YEAR(D450),"0"))</f>
        <v>23 de julio de 2017</v>
      </c>
      <c r="N450" s="323">
        <f t="shared" si="58"/>
        <v>23</v>
      </c>
      <c r="O450" s="25">
        <f t="shared" ref="O450:O513" si="68">DATE(YEAR(D450),MONTH(D450),1)</f>
        <v>42917</v>
      </c>
      <c r="P450" s="5" t="str">
        <f t="shared" si="64"/>
        <v>0,44</v>
      </c>
      <c r="Q450" s="4" t="e">
        <f t="shared" ca="1" si="65"/>
        <v>#NAME?</v>
      </c>
    </row>
    <row r="451" spans="1:17" ht="15.75" thickBot="1">
      <c r="A451" s="1">
        <f t="shared" si="59"/>
        <v>450</v>
      </c>
      <c r="C451" s="8" t="s">
        <v>17</v>
      </c>
      <c r="D451" s="2">
        <v>42940</v>
      </c>
      <c r="E451" s="3">
        <f>2*54000/100000</f>
        <v>1.08</v>
      </c>
      <c r="F451" s="23" t="s">
        <v>422</v>
      </c>
      <c r="G451" s="18" t="s">
        <v>58</v>
      </c>
      <c r="H451" t="s">
        <v>423</v>
      </c>
      <c r="I451" s="6" t="s">
        <v>508</v>
      </c>
      <c r="J451" s="61" t="s">
        <v>22</v>
      </c>
      <c r="L451" s="5" t="str">
        <f t="shared" si="66"/>
        <v>00450</v>
      </c>
      <c r="M451" s="47" t="str">
        <f t="shared" si="67"/>
        <v>24 de julio de 2017</v>
      </c>
      <c r="N451" s="323">
        <f t="shared" ref="N451:N514" si="69">DAY(D451)</f>
        <v>24</v>
      </c>
      <c r="O451" s="25">
        <f t="shared" si="68"/>
        <v>42917</v>
      </c>
      <c r="P451" s="5" t="str">
        <f t="shared" si="64"/>
        <v>1,08</v>
      </c>
      <c r="Q451" s="4" t="e">
        <f t="shared" ca="1" si="65"/>
        <v>#NAME?</v>
      </c>
    </row>
    <row r="452" spans="1:17">
      <c r="A452" s="319">
        <f t="shared" ref="A452:A515" si="70">A451+1</f>
        <v>451</v>
      </c>
      <c r="B452" s="574"/>
      <c r="C452" s="12" t="s">
        <v>225</v>
      </c>
      <c r="D452" s="17">
        <v>42831</v>
      </c>
      <c r="E452" s="13">
        <f>14000/100000</f>
        <v>0.14000000000000001</v>
      </c>
      <c r="F452" s="14" t="s">
        <v>275</v>
      </c>
      <c r="G452" s="14" t="s">
        <v>276</v>
      </c>
      <c r="H452" s="14" t="s">
        <v>277</v>
      </c>
      <c r="I452" s="15" t="s">
        <v>509</v>
      </c>
      <c r="J452" s="62" t="s">
        <v>426</v>
      </c>
      <c r="K452" s="16"/>
      <c r="L452" s="5" t="str">
        <f t="shared" si="66"/>
        <v>00451</v>
      </c>
      <c r="M452" s="47" t="str">
        <f t="shared" si="67"/>
        <v>06 de abril de 2017</v>
      </c>
      <c r="N452" s="323">
        <f t="shared" si="69"/>
        <v>6</v>
      </c>
      <c r="O452" s="25">
        <f t="shared" si="68"/>
        <v>42826</v>
      </c>
      <c r="P452" s="5" t="str">
        <f t="shared" si="64"/>
        <v>0,14</v>
      </c>
      <c r="Q452" s="4" t="e">
        <f t="shared" ca="1" si="65"/>
        <v>#NAME?</v>
      </c>
    </row>
    <row r="453" spans="1:17">
      <c r="A453" s="319">
        <f t="shared" si="70"/>
        <v>452</v>
      </c>
      <c r="B453" s="574"/>
      <c r="C453" s="12" t="s">
        <v>225</v>
      </c>
      <c r="D453" s="17">
        <v>42865</v>
      </c>
      <c r="E453" s="13">
        <f>17000/100000</f>
        <v>0.17</v>
      </c>
      <c r="F453" s="14" t="s">
        <v>275</v>
      </c>
      <c r="G453" s="14" t="s">
        <v>276</v>
      </c>
      <c r="H453" s="14" t="s">
        <v>277</v>
      </c>
      <c r="I453" s="15" t="s">
        <v>510</v>
      </c>
      <c r="J453" s="62" t="s">
        <v>426</v>
      </c>
      <c r="K453" s="16"/>
      <c r="L453" s="5" t="str">
        <f t="shared" si="66"/>
        <v>00452</v>
      </c>
      <c r="M453" s="47" t="str">
        <f t="shared" si="67"/>
        <v>10 de mayo de 2017</v>
      </c>
      <c r="N453" s="323">
        <f t="shared" si="69"/>
        <v>10</v>
      </c>
      <c r="O453" s="25">
        <f t="shared" si="68"/>
        <v>42856</v>
      </c>
      <c r="P453" s="5" t="str">
        <f t="shared" si="64"/>
        <v>0,17</v>
      </c>
      <c r="Q453" s="4" t="e">
        <f t="shared" ca="1" si="65"/>
        <v>#NAME?</v>
      </c>
    </row>
    <row r="454" spans="1:17">
      <c r="A454" s="319">
        <f t="shared" si="70"/>
        <v>453</v>
      </c>
      <c r="B454" s="574"/>
      <c r="C454" s="12" t="s">
        <v>225</v>
      </c>
      <c r="D454" s="17">
        <v>42929</v>
      </c>
      <c r="E454" s="13">
        <f>20000/100000</f>
        <v>0.2</v>
      </c>
      <c r="F454" s="14" t="s">
        <v>275</v>
      </c>
      <c r="G454" s="14" t="s">
        <v>276</v>
      </c>
      <c r="H454" s="14" t="s">
        <v>277</v>
      </c>
      <c r="I454" s="15" t="s">
        <v>511</v>
      </c>
      <c r="J454" s="62" t="s">
        <v>426</v>
      </c>
      <c r="K454" s="16"/>
      <c r="L454" s="5" t="str">
        <f t="shared" si="66"/>
        <v>00453</v>
      </c>
      <c r="M454" s="47" t="str">
        <f t="shared" si="67"/>
        <v>13 de julio de 2017</v>
      </c>
      <c r="N454" s="323">
        <f t="shared" si="69"/>
        <v>13</v>
      </c>
      <c r="O454" s="25">
        <f t="shared" si="68"/>
        <v>42917</v>
      </c>
      <c r="P454" s="5" t="str">
        <f t="shared" si="64"/>
        <v>0,20</v>
      </c>
      <c r="Q454" s="4" t="e">
        <f t="shared" ca="1" si="65"/>
        <v>#NAME?</v>
      </c>
    </row>
    <row r="455" spans="1:17">
      <c r="A455" s="1">
        <f t="shared" si="70"/>
        <v>454</v>
      </c>
      <c r="C455" s="8" t="s">
        <v>17</v>
      </c>
      <c r="D455" s="2">
        <v>42944</v>
      </c>
      <c r="E455" s="3">
        <f>20000/100000</f>
        <v>0.2</v>
      </c>
      <c r="F455" t="s">
        <v>118</v>
      </c>
      <c r="G455" t="s">
        <v>119</v>
      </c>
      <c r="H455" t="s">
        <v>120</v>
      </c>
      <c r="I455" s="6" t="s">
        <v>478</v>
      </c>
      <c r="J455" s="61" t="s">
        <v>22</v>
      </c>
      <c r="L455" s="5" t="str">
        <f t="shared" si="66"/>
        <v>00454</v>
      </c>
      <c r="M455" s="47" t="str">
        <f t="shared" si="67"/>
        <v>28 de julio de 2017</v>
      </c>
      <c r="N455" s="323">
        <f t="shared" si="69"/>
        <v>28</v>
      </c>
      <c r="O455" s="25">
        <f t="shared" si="68"/>
        <v>42917</v>
      </c>
      <c r="P455" s="5" t="str">
        <f t="shared" si="64"/>
        <v>0,20</v>
      </c>
      <c r="Q455" s="4" t="e">
        <f t="shared" ca="1" si="65"/>
        <v>#NAME?</v>
      </c>
    </row>
    <row r="456" spans="1:17">
      <c r="A456" s="1">
        <f t="shared" si="70"/>
        <v>455</v>
      </c>
      <c r="C456" s="8" t="s">
        <v>17</v>
      </c>
      <c r="D456" s="2">
        <v>42945</v>
      </c>
      <c r="E456" s="3">
        <f>35000/100000</f>
        <v>0.35</v>
      </c>
      <c r="F456" t="s">
        <v>126</v>
      </c>
      <c r="G456" t="s">
        <v>127</v>
      </c>
      <c r="H456" t="s">
        <v>128</v>
      </c>
      <c r="I456" s="6" t="s">
        <v>500</v>
      </c>
      <c r="J456" s="61" t="s">
        <v>22</v>
      </c>
      <c r="L456" s="5" t="str">
        <f t="shared" si="66"/>
        <v>00455</v>
      </c>
      <c r="M456" s="47" t="str">
        <f t="shared" si="67"/>
        <v>29 de julio de 2017</v>
      </c>
      <c r="N456" s="323">
        <f t="shared" si="69"/>
        <v>29</v>
      </c>
      <c r="O456" s="25">
        <f t="shared" si="68"/>
        <v>42917</v>
      </c>
      <c r="P456" s="5" t="str">
        <f t="shared" si="64"/>
        <v>0,35</v>
      </c>
      <c r="Q456" s="4" t="e">
        <f t="shared" ca="1" si="65"/>
        <v>#NAME?</v>
      </c>
    </row>
    <row r="457" spans="1:17">
      <c r="A457" s="1">
        <f t="shared" si="70"/>
        <v>456</v>
      </c>
      <c r="C457" s="8" t="s">
        <v>17</v>
      </c>
      <c r="D457" s="2">
        <v>42936</v>
      </c>
      <c r="E457" s="3">
        <f>35000/100000</f>
        <v>0.35</v>
      </c>
      <c r="F457" t="s">
        <v>185</v>
      </c>
      <c r="G457" t="s">
        <v>186</v>
      </c>
      <c r="H457" t="s">
        <v>187</v>
      </c>
      <c r="I457" s="6" t="s">
        <v>500</v>
      </c>
      <c r="J457" s="61" t="s">
        <v>22</v>
      </c>
      <c r="L457" s="5" t="str">
        <f t="shared" si="66"/>
        <v>00456</v>
      </c>
      <c r="M457" s="47" t="str">
        <f t="shared" si="67"/>
        <v>20 de julio de 2017</v>
      </c>
      <c r="N457" s="323">
        <f t="shared" si="69"/>
        <v>20</v>
      </c>
      <c r="O457" s="25">
        <f t="shared" si="68"/>
        <v>42917</v>
      </c>
      <c r="P457" s="5" t="str">
        <f t="shared" si="64"/>
        <v>0,35</v>
      </c>
      <c r="Q457" s="4" t="e">
        <f t="shared" ca="1" si="65"/>
        <v>#NAME?</v>
      </c>
    </row>
    <row r="458" spans="1:17">
      <c r="A458" s="178">
        <f t="shared" si="70"/>
        <v>457</v>
      </c>
      <c r="C458" s="8" t="s">
        <v>17</v>
      </c>
      <c r="D458" s="2">
        <v>42945</v>
      </c>
      <c r="E458" s="3">
        <f>7000/100000</f>
        <v>7.0000000000000007E-2</v>
      </c>
      <c r="F458" t="s">
        <v>438</v>
      </c>
      <c r="G458" t="s">
        <v>439</v>
      </c>
      <c r="H458" t="s">
        <v>440</v>
      </c>
      <c r="I458" s="6" t="s">
        <v>512</v>
      </c>
      <c r="J458" s="61" t="s">
        <v>452</v>
      </c>
      <c r="L458" s="5" t="str">
        <f t="shared" si="66"/>
        <v>00457</v>
      </c>
      <c r="M458" s="47" t="str">
        <f t="shared" si="67"/>
        <v>29 de julio de 2017</v>
      </c>
      <c r="N458" s="323">
        <f t="shared" si="69"/>
        <v>29</v>
      </c>
      <c r="O458" s="25">
        <f t="shared" si="68"/>
        <v>42917</v>
      </c>
      <c r="P458" s="5" t="str">
        <f t="shared" si="64"/>
        <v>0,07</v>
      </c>
      <c r="Q458" s="4" t="e">
        <f t="shared" ca="1" si="65"/>
        <v>#NAME?</v>
      </c>
    </row>
    <row r="459" spans="1:17">
      <c r="A459" s="1">
        <f t="shared" si="70"/>
        <v>458</v>
      </c>
      <c r="C459" s="8" t="s">
        <v>17</v>
      </c>
      <c r="D459" s="2">
        <v>42948</v>
      </c>
      <c r="E459" s="3">
        <f>15000/100000</f>
        <v>0.15</v>
      </c>
      <c r="F459" t="s">
        <v>84</v>
      </c>
      <c r="G459" t="s">
        <v>85</v>
      </c>
      <c r="H459" t="s">
        <v>86</v>
      </c>
      <c r="I459" s="6" t="s">
        <v>513</v>
      </c>
      <c r="J459" s="61" t="s">
        <v>22</v>
      </c>
      <c r="L459" s="5" t="str">
        <f t="shared" si="66"/>
        <v>00458</v>
      </c>
      <c r="M459" s="47" t="str">
        <f t="shared" si="67"/>
        <v>01 de agosto de 2017</v>
      </c>
      <c r="N459" s="323">
        <f t="shared" si="69"/>
        <v>1</v>
      </c>
      <c r="O459" s="25">
        <f t="shared" si="68"/>
        <v>42948</v>
      </c>
      <c r="P459" s="5" t="str">
        <f t="shared" si="64"/>
        <v>0,15</v>
      </c>
      <c r="Q459" s="4" t="e">
        <f t="shared" ca="1" si="65"/>
        <v>#NAME?</v>
      </c>
    </row>
    <row r="460" spans="1:17">
      <c r="A460" s="1">
        <f t="shared" si="70"/>
        <v>459</v>
      </c>
      <c r="C460" s="8" t="s">
        <v>17</v>
      </c>
      <c r="D460" s="2">
        <v>42949</v>
      </c>
      <c r="E460" s="3">
        <f>35000/100000</f>
        <v>0.35</v>
      </c>
      <c r="F460" t="s">
        <v>134</v>
      </c>
      <c r="G460" t="s">
        <v>135</v>
      </c>
      <c r="H460" t="s">
        <v>136</v>
      </c>
      <c r="I460" s="6" t="s">
        <v>500</v>
      </c>
      <c r="J460" s="61" t="s">
        <v>22</v>
      </c>
      <c r="L460" s="5" t="str">
        <f t="shared" si="66"/>
        <v>00459</v>
      </c>
      <c r="M460" s="47" t="str">
        <f t="shared" si="67"/>
        <v>02 de agosto de 2017</v>
      </c>
      <c r="N460" s="323">
        <f t="shared" si="69"/>
        <v>2</v>
      </c>
      <c r="O460" s="25">
        <f t="shared" si="68"/>
        <v>42948</v>
      </c>
      <c r="P460" s="5" t="str">
        <f t="shared" ref="P460:P498" si="71">TEXT(E460,"#.##0,00")</f>
        <v>0,35</v>
      </c>
      <c r="Q460" s="4" t="e">
        <f t="shared" ref="Q460:Q498" ca="1" si="72">CONVERTIRNUM(E460)</f>
        <v>#NAME?</v>
      </c>
    </row>
    <row r="461" spans="1:17">
      <c r="A461" s="1">
        <f t="shared" si="70"/>
        <v>460</v>
      </c>
      <c r="C461" s="8" t="s">
        <v>17</v>
      </c>
      <c r="D461" s="2">
        <v>42949</v>
      </c>
      <c r="E461" s="3">
        <f>35000/100000</f>
        <v>0.35</v>
      </c>
      <c r="F461" t="s">
        <v>230</v>
      </c>
      <c r="G461" t="s">
        <v>231</v>
      </c>
      <c r="H461" t="s">
        <v>232</v>
      </c>
      <c r="I461" s="6" t="s">
        <v>500</v>
      </c>
      <c r="J461" s="61" t="s">
        <v>22</v>
      </c>
      <c r="L461" s="5" t="str">
        <f t="shared" si="66"/>
        <v>00460</v>
      </c>
      <c r="M461" s="47" t="str">
        <f t="shared" si="67"/>
        <v>02 de agosto de 2017</v>
      </c>
      <c r="N461" s="323">
        <f t="shared" si="69"/>
        <v>2</v>
      </c>
      <c r="O461" s="25">
        <f t="shared" si="68"/>
        <v>42948</v>
      </c>
      <c r="P461" s="5" t="str">
        <f t="shared" si="71"/>
        <v>0,35</v>
      </c>
      <c r="Q461" s="4" t="e">
        <f t="shared" ca="1" si="72"/>
        <v>#NAME?</v>
      </c>
    </row>
    <row r="462" spans="1:17">
      <c r="A462" s="1">
        <f t="shared" si="70"/>
        <v>461</v>
      </c>
      <c r="C462" s="8" t="s">
        <v>17</v>
      </c>
      <c r="D462" s="2">
        <v>42949</v>
      </c>
      <c r="E462" s="3">
        <f>35000/100000</f>
        <v>0.35</v>
      </c>
      <c r="F462" t="s">
        <v>44</v>
      </c>
      <c r="G462" t="s">
        <v>45</v>
      </c>
      <c r="H462" t="s">
        <v>46</v>
      </c>
      <c r="I462" s="6" t="s">
        <v>514</v>
      </c>
      <c r="J462" s="61" t="s">
        <v>22</v>
      </c>
      <c r="L462" s="5" t="str">
        <f t="shared" si="66"/>
        <v>00461</v>
      </c>
      <c r="M462" s="47" t="str">
        <f t="shared" si="67"/>
        <v>02 de agosto de 2017</v>
      </c>
      <c r="N462" s="323">
        <f t="shared" si="69"/>
        <v>2</v>
      </c>
      <c r="O462" s="25">
        <f t="shared" si="68"/>
        <v>42948</v>
      </c>
      <c r="P462" s="5" t="str">
        <f t="shared" si="71"/>
        <v>0,35</v>
      </c>
      <c r="Q462" s="4" t="e">
        <f t="shared" ca="1" si="72"/>
        <v>#NAME?</v>
      </c>
    </row>
    <row r="463" spans="1:17" ht="15.75" thickBot="1">
      <c r="A463" s="1">
        <f t="shared" si="70"/>
        <v>462</v>
      </c>
      <c r="C463" s="8" t="s">
        <v>17</v>
      </c>
      <c r="D463" s="2">
        <v>42927</v>
      </c>
      <c r="E463" s="3">
        <f>26000/100000</f>
        <v>0.26</v>
      </c>
      <c r="F463" t="s">
        <v>122</v>
      </c>
      <c r="G463" t="s">
        <v>123</v>
      </c>
      <c r="H463" t="s">
        <v>124</v>
      </c>
      <c r="I463" s="6" t="s">
        <v>473</v>
      </c>
      <c r="J463" s="61" t="s">
        <v>22</v>
      </c>
      <c r="L463" s="5" t="str">
        <f t="shared" si="66"/>
        <v>00462</v>
      </c>
      <c r="M463" s="47" t="str">
        <f t="shared" si="67"/>
        <v>11 de julio de 2017</v>
      </c>
      <c r="N463" s="323">
        <f t="shared" si="69"/>
        <v>11</v>
      </c>
      <c r="O463" s="25">
        <f t="shared" si="68"/>
        <v>42917</v>
      </c>
      <c r="P463" s="5" t="str">
        <f t="shared" si="71"/>
        <v>0,26</v>
      </c>
      <c r="Q463" s="4" t="e">
        <f t="shared" ca="1" si="72"/>
        <v>#NAME?</v>
      </c>
    </row>
    <row r="464" spans="1:17" ht="15.75" thickBot="1">
      <c r="A464" s="1">
        <f t="shared" si="70"/>
        <v>463</v>
      </c>
      <c r="C464" s="8" t="s">
        <v>17</v>
      </c>
      <c r="D464" s="51">
        <v>42949</v>
      </c>
      <c r="E464" s="3">
        <f>26000/100000</f>
        <v>0.26</v>
      </c>
      <c r="F464" t="s">
        <v>259</v>
      </c>
      <c r="G464" s="18" t="s">
        <v>58</v>
      </c>
      <c r="H464" t="s">
        <v>261</v>
      </c>
      <c r="I464" s="6" t="s">
        <v>445</v>
      </c>
      <c r="J464" s="61" t="s">
        <v>22</v>
      </c>
      <c r="L464" s="5" t="str">
        <f t="shared" si="66"/>
        <v>00463</v>
      </c>
      <c r="M464" s="47" t="str">
        <f t="shared" si="67"/>
        <v>02 de agosto de 2017</v>
      </c>
      <c r="N464" s="323">
        <f t="shared" si="69"/>
        <v>2</v>
      </c>
      <c r="O464" s="25">
        <f t="shared" si="68"/>
        <v>42948</v>
      </c>
      <c r="P464" s="5" t="str">
        <f t="shared" si="71"/>
        <v>0,26</v>
      </c>
      <c r="Q464" s="4" t="e">
        <f t="shared" ca="1" si="72"/>
        <v>#NAME?</v>
      </c>
    </row>
    <row r="465" spans="1:17" ht="15.75" thickBot="1">
      <c r="A465" s="1">
        <f t="shared" si="70"/>
        <v>464</v>
      </c>
      <c r="C465" s="8" t="s">
        <v>17</v>
      </c>
      <c r="D465" s="2">
        <v>42949</v>
      </c>
      <c r="E465" s="3">
        <f>10000/100000</f>
        <v>0.1</v>
      </c>
      <c r="F465" t="s">
        <v>303</v>
      </c>
      <c r="G465" s="18" t="s">
        <v>58</v>
      </c>
      <c r="H465" t="s">
        <v>304</v>
      </c>
      <c r="I465" s="6" t="s">
        <v>474</v>
      </c>
      <c r="J465" s="61" t="s">
        <v>22</v>
      </c>
      <c r="L465" s="5" t="str">
        <f t="shared" si="66"/>
        <v>00464</v>
      </c>
      <c r="M465" s="47" t="str">
        <f t="shared" si="67"/>
        <v>02 de agosto de 2017</v>
      </c>
      <c r="N465" s="323">
        <f t="shared" si="69"/>
        <v>2</v>
      </c>
      <c r="O465" s="25">
        <f t="shared" si="68"/>
        <v>42948</v>
      </c>
      <c r="P465" s="5" t="str">
        <f t="shared" si="71"/>
        <v>0,10</v>
      </c>
      <c r="Q465" s="4" t="e">
        <f t="shared" ca="1" si="72"/>
        <v>#NAME?</v>
      </c>
    </row>
    <row r="466" spans="1:17">
      <c r="A466" s="1">
        <f t="shared" si="70"/>
        <v>465</v>
      </c>
      <c r="C466" s="8" t="s">
        <v>17</v>
      </c>
      <c r="D466" s="2">
        <v>42949</v>
      </c>
      <c r="E466" s="3">
        <f>33000/100000</f>
        <v>0.33</v>
      </c>
      <c r="F466" t="s">
        <v>201</v>
      </c>
      <c r="G466" t="s">
        <v>202</v>
      </c>
      <c r="H466" t="s">
        <v>203</v>
      </c>
      <c r="I466" s="6" t="s">
        <v>499</v>
      </c>
      <c r="J466" s="61" t="s">
        <v>22</v>
      </c>
      <c r="L466" s="5" t="str">
        <f t="shared" si="66"/>
        <v>00465</v>
      </c>
      <c r="M466" s="47" t="str">
        <f t="shared" si="67"/>
        <v>02 de agosto de 2017</v>
      </c>
      <c r="N466" s="323">
        <f t="shared" si="69"/>
        <v>2</v>
      </c>
      <c r="O466" s="25">
        <f t="shared" si="68"/>
        <v>42948</v>
      </c>
      <c r="P466" s="5" t="str">
        <f t="shared" si="71"/>
        <v>0,33</v>
      </c>
      <c r="Q466" s="4" t="e">
        <f t="shared" ca="1" si="72"/>
        <v>#NAME?</v>
      </c>
    </row>
    <row r="467" spans="1:17" ht="15.75" thickBot="1">
      <c r="A467" s="1">
        <f t="shared" si="70"/>
        <v>466</v>
      </c>
      <c r="C467" s="8" t="s">
        <v>17</v>
      </c>
      <c r="D467" s="2">
        <v>42950</v>
      </c>
      <c r="E467" s="3">
        <f>35000/100000</f>
        <v>0.35</v>
      </c>
      <c r="F467" t="s">
        <v>40</v>
      </c>
      <c r="G467" t="s">
        <v>41</v>
      </c>
      <c r="H467" t="s">
        <v>42</v>
      </c>
      <c r="I467" s="6" t="s">
        <v>514</v>
      </c>
      <c r="J467" s="61" t="s">
        <v>22</v>
      </c>
      <c r="L467" s="5" t="str">
        <f t="shared" si="66"/>
        <v>00466</v>
      </c>
      <c r="M467" s="47" t="str">
        <f t="shared" si="67"/>
        <v>03 de agosto de 2017</v>
      </c>
      <c r="N467" s="323">
        <f t="shared" si="69"/>
        <v>3</v>
      </c>
      <c r="O467" s="25">
        <f t="shared" si="68"/>
        <v>42948</v>
      </c>
      <c r="P467" s="5" t="str">
        <f t="shared" si="71"/>
        <v>0,35</v>
      </c>
      <c r="Q467" s="4" t="e">
        <f t="shared" ca="1" si="72"/>
        <v>#NAME?</v>
      </c>
    </row>
    <row r="468" spans="1:17" ht="15.75" thickBot="1">
      <c r="A468" s="1">
        <f t="shared" si="70"/>
        <v>467</v>
      </c>
      <c r="C468" s="8" t="s">
        <v>17</v>
      </c>
      <c r="D468" s="2">
        <v>42950</v>
      </c>
      <c r="E468" s="3">
        <f>20000/100000</f>
        <v>0.2</v>
      </c>
      <c r="F468" t="s">
        <v>177</v>
      </c>
      <c r="G468" s="18" t="s">
        <v>58</v>
      </c>
      <c r="H468" t="s">
        <v>179</v>
      </c>
      <c r="I468" s="6" t="s">
        <v>473</v>
      </c>
      <c r="J468" s="61" t="s">
        <v>22</v>
      </c>
      <c r="L468" s="5" t="str">
        <f t="shared" si="66"/>
        <v>00467</v>
      </c>
      <c r="M468" s="47" t="str">
        <f t="shared" si="67"/>
        <v>03 de agosto de 2017</v>
      </c>
      <c r="N468" s="323">
        <f t="shared" si="69"/>
        <v>3</v>
      </c>
      <c r="O468" s="25">
        <f t="shared" si="68"/>
        <v>42948</v>
      </c>
      <c r="P468" s="5" t="str">
        <f t="shared" si="71"/>
        <v>0,20</v>
      </c>
      <c r="Q468" s="4" t="e">
        <f t="shared" ca="1" si="72"/>
        <v>#NAME?</v>
      </c>
    </row>
    <row r="469" spans="1:17">
      <c r="A469" s="1">
        <f t="shared" si="70"/>
        <v>468</v>
      </c>
      <c r="C469" s="8" t="s">
        <v>17</v>
      </c>
      <c r="D469" s="2">
        <v>42950</v>
      </c>
      <c r="E469" s="3">
        <f>20000/100000</f>
        <v>0.2</v>
      </c>
      <c r="F469" t="s">
        <v>334</v>
      </c>
      <c r="G469" t="s">
        <v>85</v>
      </c>
      <c r="H469" t="s">
        <v>335</v>
      </c>
      <c r="I469" s="6" t="s">
        <v>513</v>
      </c>
      <c r="J469" s="61" t="s">
        <v>22</v>
      </c>
      <c r="L469" s="5" t="str">
        <f t="shared" si="66"/>
        <v>00468</v>
      </c>
      <c r="M469" s="47" t="str">
        <f t="shared" si="67"/>
        <v>03 de agosto de 2017</v>
      </c>
      <c r="N469" s="323">
        <f t="shared" si="69"/>
        <v>3</v>
      </c>
      <c r="O469" s="25">
        <f t="shared" si="68"/>
        <v>42948</v>
      </c>
      <c r="P469" s="5" t="str">
        <f t="shared" si="71"/>
        <v>0,20</v>
      </c>
      <c r="Q469" s="4" t="e">
        <f t="shared" ca="1" si="72"/>
        <v>#NAME?</v>
      </c>
    </row>
    <row r="470" spans="1:17">
      <c r="A470" s="1">
        <f t="shared" si="70"/>
        <v>469</v>
      </c>
      <c r="C470" s="8" t="s">
        <v>17</v>
      </c>
      <c r="D470" s="2">
        <v>42950</v>
      </c>
      <c r="E470" s="3">
        <f>18000/100000</f>
        <v>0.18</v>
      </c>
      <c r="F470" t="s">
        <v>167</v>
      </c>
      <c r="G470" t="s">
        <v>168</v>
      </c>
      <c r="H470" t="s">
        <v>169</v>
      </c>
      <c r="I470" s="6" t="s">
        <v>478</v>
      </c>
      <c r="J470" s="61" t="s">
        <v>22</v>
      </c>
      <c r="L470" s="5" t="str">
        <f t="shared" si="66"/>
        <v>00469</v>
      </c>
      <c r="M470" s="47" t="str">
        <f t="shared" si="67"/>
        <v>03 de agosto de 2017</v>
      </c>
      <c r="N470" s="323">
        <f t="shared" si="69"/>
        <v>3</v>
      </c>
      <c r="O470" s="25">
        <f t="shared" si="68"/>
        <v>42948</v>
      </c>
      <c r="P470" s="5" t="str">
        <f t="shared" si="71"/>
        <v>0,18</v>
      </c>
      <c r="Q470" s="4" t="e">
        <f t="shared" ca="1" si="72"/>
        <v>#NAME?</v>
      </c>
    </row>
    <row r="471" spans="1:17">
      <c r="A471" s="1">
        <f t="shared" si="70"/>
        <v>470</v>
      </c>
      <c r="C471" s="8" t="s">
        <v>17</v>
      </c>
      <c r="D471" s="2">
        <v>42951</v>
      </c>
      <c r="E471" s="3">
        <f>35000/100000</f>
        <v>0.35</v>
      </c>
      <c r="F471" t="s">
        <v>32</v>
      </c>
      <c r="G471" t="s">
        <v>33</v>
      </c>
      <c r="H471" t="s">
        <v>34</v>
      </c>
      <c r="I471" s="6" t="s">
        <v>515</v>
      </c>
      <c r="J471" s="61" t="s">
        <v>22</v>
      </c>
      <c r="L471" s="5" t="str">
        <f t="shared" si="66"/>
        <v>00470</v>
      </c>
      <c r="M471" s="47" t="str">
        <f t="shared" si="67"/>
        <v>04 de agosto de 2017</v>
      </c>
      <c r="N471" s="323">
        <f t="shared" si="69"/>
        <v>4</v>
      </c>
      <c r="O471" s="25">
        <f t="shared" si="68"/>
        <v>42948</v>
      </c>
      <c r="P471" s="5" t="str">
        <f t="shared" si="71"/>
        <v>0,35</v>
      </c>
      <c r="Q471" s="4" t="e">
        <f t="shared" ca="1" si="72"/>
        <v>#NAME?</v>
      </c>
    </row>
    <row r="472" spans="1:17">
      <c r="A472" s="1">
        <f t="shared" si="70"/>
        <v>471</v>
      </c>
      <c r="C472" s="8" t="s">
        <v>17</v>
      </c>
      <c r="D472" s="2">
        <v>42951</v>
      </c>
      <c r="E472" s="3">
        <f>15000/100000</f>
        <v>0.15</v>
      </c>
      <c r="F472" t="s">
        <v>48</v>
      </c>
      <c r="G472" t="s">
        <v>49</v>
      </c>
      <c r="H472" t="s">
        <v>50</v>
      </c>
      <c r="I472" s="6" t="s">
        <v>513</v>
      </c>
      <c r="J472" s="61" t="s">
        <v>22</v>
      </c>
      <c r="L472" s="5" t="str">
        <f t="shared" si="66"/>
        <v>00471</v>
      </c>
      <c r="M472" s="47" t="str">
        <f t="shared" si="67"/>
        <v>04 de agosto de 2017</v>
      </c>
      <c r="N472" s="323">
        <f t="shared" si="69"/>
        <v>4</v>
      </c>
      <c r="O472" s="25">
        <f t="shared" si="68"/>
        <v>42948</v>
      </c>
      <c r="P472" s="5" t="str">
        <f t="shared" si="71"/>
        <v>0,15</v>
      </c>
      <c r="Q472" s="4" t="e">
        <f t="shared" ca="1" si="72"/>
        <v>#NAME?</v>
      </c>
    </row>
    <row r="473" spans="1:17">
      <c r="A473" s="1">
        <f t="shared" si="70"/>
        <v>472</v>
      </c>
      <c r="C473" s="8" t="s">
        <v>17</v>
      </c>
      <c r="D473" s="2">
        <v>42953</v>
      </c>
      <c r="E473" s="3">
        <f>35000/100000</f>
        <v>0.35</v>
      </c>
      <c r="F473" t="s">
        <v>162</v>
      </c>
      <c r="G473" t="s">
        <v>163</v>
      </c>
      <c r="H473" t="s">
        <v>164</v>
      </c>
      <c r="I473" s="6" t="s">
        <v>500</v>
      </c>
      <c r="J473" s="61" t="s">
        <v>22</v>
      </c>
      <c r="L473" s="5" t="str">
        <f t="shared" si="66"/>
        <v>00472</v>
      </c>
      <c r="M473" s="47" t="str">
        <f t="shared" si="67"/>
        <v>06 de agosto de 2017</v>
      </c>
      <c r="N473" s="323">
        <f t="shared" si="69"/>
        <v>6</v>
      </c>
      <c r="O473" s="25">
        <f t="shared" si="68"/>
        <v>42948</v>
      </c>
      <c r="P473" s="5" t="str">
        <f t="shared" si="71"/>
        <v>0,35</v>
      </c>
      <c r="Q473" s="4" t="e">
        <f t="shared" ca="1" si="72"/>
        <v>#NAME?</v>
      </c>
    </row>
    <row r="474" spans="1:17">
      <c r="A474" s="1">
        <f t="shared" si="70"/>
        <v>473</v>
      </c>
      <c r="C474" s="8" t="s">
        <v>17</v>
      </c>
      <c r="D474" s="2">
        <v>42953</v>
      </c>
      <c r="E474" s="3">
        <f>35000/100000</f>
        <v>0.35</v>
      </c>
      <c r="F474" t="s">
        <v>18</v>
      </c>
      <c r="G474" t="s">
        <v>19</v>
      </c>
      <c r="H474" t="s">
        <v>20</v>
      </c>
      <c r="I474" s="6" t="s">
        <v>516</v>
      </c>
      <c r="J474" s="61" t="s">
        <v>22</v>
      </c>
      <c r="L474" s="5" t="str">
        <f t="shared" si="66"/>
        <v>00473</v>
      </c>
      <c r="M474" s="47" t="str">
        <f t="shared" si="67"/>
        <v>06 de agosto de 2017</v>
      </c>
      <c r="N474" s="323">
        <f t="shared" si="69"/>
        <v>6</v>
      </c>
      <c r="O474" s="25">
        <f t="shared" si="68"/>
        <v>42948</v>
      </c>
      <c r="P474" s="5" t="str">
        <f t="shared" si="71"/>
        <v>0,35</v>
      </c>
      <c r="Q474" s="4" t="e">
        <f t="shared" ca="1" si="72"/>
        <v>#NAME?</v>
      </c>
    </row>
    <row r="475" spans="1:17">
      <c r="A475" s="178">
        <f t="shared" si="70"/>
        <v>474</v>
      </c>
      <c r="C475" s="8" t="s">
        <v>17</v>
      </c>
      <c r="D475" s="2">
        <v>42953</v>
      </c>
      <c r="E475" s="3">
        <f>35000/100000</f>
        <v>0.35</v>
      </c>
      <c r="F475" t="s">
        <v>438</v>
      </c>
      <c r="G475" t="s">
        <v>439</v>
      </c>
      <c r="H475" t="s">
        <v>440</v>
      </c>
      <c r="I475" s="6" t="s">
        <v>517</v>
      </c>
      <c r="J475" s="61" t="s">
        <v>22</v>
      </c>
      <c r="L475" s="5" t="str">
        <f t="shared" si="66"/>
        <v>00474</v>
      </c>
      <c r="M475" s="47" t="str">
        <f t="shared" si="67"/>
        <v>06 de agosto de 2017</v>
      </c>
      <c r="N475" s="323">
        <f t="shared" si="69"/>
        <v>6</v>
      </c>
      <c r="O475" s="25">
        <f t="shared" si="68"/>
        <v>42948</v>
      </c>
      <c r="P475" s="5" t="str">
        <f t="shared" si="71"/>
        <v>0,35</v>
      </c>
      <c r="Q475" s="4" t="e">
        <f t="shared" ca="1" si="72"/>
        <v>#NAME?</v>
      </c>
    </row>
    <row r="476" spans="1:17">
      <c r="A476" s="1">
        <f t="shared" si="70"/>
        <v>475</v>
      </c>
      <c r="C476" s="8" t="s">
        <v>17</v>
      </c>
      <c r="D476" s="2">
        <v>42954</v>
      </c>
      <c r="E476" s="3">
        <f>30000/100000</f>
        <v>0.3</v>
      </c>
      <c r="F476" t="s">
        <v>312</v>
      </c>
      <c r="G476" t="s">
        <v>313</v>
      </c>
      <c r="H476" t="s">
        <v>314</v>
      </c>
      <c r="I476" s="6" t="s">
        <v>478</v>
      </c>
      <c r="J476" s="61" t="s">
        <v>22</v>
      </c>
      <c r="L476" s="5" t="str">
        <f t="shared" si="66"/>
        <v>00475</v>
      </c>
      <c r="M476" s="47" t="str">
        <f t="shared" si="67"/>
        <v>07 de agosto de 2017</v>
      </c>
      <c r="N476" s="323">
        <f t="shared" si="69"/>
        <v>7</v>
      </c>
      <c r="O476" s="25">
        <f t="shared" si="68"/>
        <v>42948</v>
      </c>
      <c r="P476" s="5" t="str">
        <f t="shared" si="71"/>
        <v>0,30</v>
      </c>
      <c r="Q476" s="4" t="e">
        <f t="shared" ca="1" si="72"/>
        <v>#NAME?</v>
      </c>
    </row>
    <row r="477" spans="1:17">
      <c r="A477" s="1">
        <f t="shared" si="70"/>
        <v>476</v>
      </c>
      <c r="C477" s="8" t="s">
        <v>17</v>
      </c>
      <c r="D477" s="2">
        <v>42954</v>
      </c>
      <c r="E477" s="3">
        <f>35000/100000</f>
        <v>0.35</v>
      </c>
      <c r="F477" t="s">
        <v>211</v>
      </c>
      <c r="G477" t="s">
        <v>212</v>
      </c>
      <c r="H477" t="s">
        <v>213</v>
      </c>
      <c r="I477" s="6" t="s">
        <v>500</v>
      </c>
      <c r="J477" s="61" t="s">
        <v>22</v>
      </c>
      <c r="L477" s="5" t="str">
        <f t="shared" si="66"/>
        <v>00476</v>
      </c>
      <c r="M477" s="47" t="str">
        <f t="shared" si="67"/>
        <v>07 de agosto de 2017</v>
      </c>
      <c r="N477" s="323">
        <f t="shared" si="69"/>
        <v>7</v>
      </c>
      <c r="O477" s="25">
        <f t="shared" si="68"/>
        <v>42948</v>
      </c>
      <c r="P477" s="5" t="str">
        <f t="shared" si="71"/>
        <v>0,35</v>
      </c>
      <c r="Q477" s="4" t="e">
        <f t="shared" ca="1" si="72"/>
        <v>#NAME?</v>
      </c>
    </row>
    <row r="478" spans="1:17">
      <c r="A478" s="1">
        <f t="shared" si="70"/>
        <v>477</v>
      </c>
      <c r="C478" s="8" t="s">
        <v>17</v>
      </c>
      <c r="D478" s="2">
        <v>42955</v>
      </c>
      <c r="E478" s="3">
        <f>35000/100000</f>
        <v>0.35</v>
      </c>
      <c r="F478" t="s">
        <v>24</v>
      </c>
      <c r="G478" t="s">
        <v>25</v>
      </c>
      <c r="H478" t="s">
        <v>26</v>
      </c>
      <c r="I478" s="6" t="s">
        <v>514</v>
      </c>
      <c r="J478" s="61" t="s">
        <v>22</v>
      </c>
      <c r="L478" s="5" t="str">
        <f t="shared" si="66"/>
        <v>00477</v>
      </c>
      <c r="M478" s="47" t="str">
        <f t="shared" si="67"/>
        <v>08 de agosto de 2017</v>
      </c>
      <c r="N478" s="323">
        <f t="shared" si="69"/>
        <v>8</v>
      </c>
      <c r="O478" s="25">
        <f t="shared" si="68"/>
        <v>42948</v>
      </c>
      <c r="P478" s="5" t="str">
        <f t="shared" si="71"/>
        <v>0,35</v>
      </c>
      <c r="Q478" s="4" t="e">
        <f t="shared" ca="1" si="72"/>
        <v>#NAME?</v>
      </c>
    </row>
    <row r="479" spans="1:17">
      <c r="A479" s="1">
        <f t="shared" si="70"/>
        <v>478</v>
      </c>
      <c r="C479" s="8" t="s">
        <v>17</v>
      </c>
      <c r="D479" s="2">
        <v>42956</v>
      </c>
      <c r="E479" s="3">
        <f>4000/100000</f>
        <v>0.04</v>
      </c>
      <c r="F479" t="s">
        <v>94</v>
      </c>
      <c r="G479" t="s">
        <v>95</v>
      </c>
      <c r="H479" t="s">
        <v>96</v>
      </c>
      <c r="I479" s="6" t="s">
        <v>513</v>
      </c>
      <c r="J479" s="61" t="s">
        <v>22</v>
      </c>
      <c r="L479" s="5" t="str">
        <f t="shared" si="66"/>
        <v>00478</v>
      </c>
      <c r="M479" s="47" t="str">
        <f t="shared" si="67"/>
        <v>09 de agosto de 2017</v>
      </c>
      <c r="N479" s="323">
        <f t="shared" si="69"/>
        <v>9</v>
      </c>
      <c r="O479" s="25">
        <f t="shared" si="68"/>
        <v>42948</v>
      </c>
      <c r="P479" s="5" t="str">
        <f t="shared" si="71"/>
        <v>0,04</v>
      </c>
      <c r="Q479" s="4" t="e">
        <f t="shared" ca="1" si="72"/>
        <v>#NAME?</v>
      </c>
    </row>
    <row r="480" spans="1:17">
      <c r="A480" s="1">
        <f t="shared" si="70"/>
        <v>479</v>
      </c>
      <c r="C480" s="8" t="s">
        <v>17</v>
      </c>
      <c r="D480" s="2">
        <v>42956</v>
      </c>
      <c r="E480" s="3">
        <f>31000/100000</f>
        <v>0.31</v>
      </c>
      <c r="F480" t="s">
        <v>100</v>
      </c>
      <c r="G480" t="s">
        <v>95</v>
      </c>
      <c r="H480" t="s">
        <v>101</v>
      </c>
      <c r="I480" s="6" t="s">
        <v>518</v>
      </c>
      <c r="J480" s="61" t="s">
        <v>22</v>
      </c>
      <c r="L480" s="5" t="str">
        <f t="shared" si="66"/>
        <v>00479</v>
      </c>
      <c r="M480" s="47" t="str">
        <f t="shared" si="67"/>
        <v>09 de agosto de 2017</v>
      </c>
      <c r="N480" s="323">
        <f t="shared" si="69"/>
        <v>9</v>
      </c>
      <c r="O480" s="25">
        <f t="shared" si="68"/>
        <v>42948</v>
      </c>
      <c r="P480" s="5" t="str">
        <f t="shared" si="71"/>
        <v>0,31</v>
      </c>
      <c r="Q480" s="4" t="e">
        <f t="shared" ca="1" si="72"/>
        <v>#NAME?</v>
      </c>
    </row>
    <row r="481" spans="1:17">
      <c r="A481" s="1">
        <f t="shared" si="70"/>
        <v>480</v>
      </c>
      <c r="C481" s="8" t="s">
        <v>17</v>
      </c>
      <c r="D481" s="2">
        <v>42956</v>
      </c>
      <c r="E481" s="3">
        <f>26000/100000</f>
        <v>0.26</v>
      </c>
      <c r="F481" t="s">
        <v>324</v>
      </c>
      <c r="G481" t="s">
        <v>325</v>
      </c>
      <c r="H481" t="s">
        <v>326</v>
      </c>
      <c r="I481" s="6" t="s">
        <v>519</v>
      </c>
      <c r="J481" s="61" t="s">
        <v>22</v>
      </c>
      <c r="L481" s="5" t="str">
        <f t="shared" si="66"/>
        <v>00480</v>
      </c>
      <c r="M481" s="47" t="str">
        <f t="shared" si="67"/>
        <v>09 de agosto de 2017</v>
      </c>
      <c r="N481" s="323">
        <f t="shared" si="69"/>
        <v>9</v>
      </c>
      <c r="O481" s="25">
        <f t="shared" si="68"/>
        <v>42948</v>
      </c>
      <c r="P481" s="5" t="str">
        <f t="shared" si="71"/>
        <v>0,26</v>
      </c>
      <c r="Q481" s="4" t="e">
        <f t="shared" ca="1" si="72"/>
        <v>#NAME?</v>
      </c>
    </row>
    <row r="482" spans="1:17">
      <c r="A482" s="1">
        <f t="shared" si="70"/>
        <v>481</v>
      </c>
      <c r="C482" s="8" t="s">
        <v>17</v>
      </c>
      <c r="D482" s="2">
        <v>42956</v>
      </c>
      <c r="E482" s="3">
        <f>35000/100000</f>
        <v>0.35</v>
      </c>
      <c r="F482" t="s">
        <v>407</v>
      </c>
      <c r="G482" t="s">
        <v>408</v>
      </c>
      <c r="H482" t="s">
        <v>409</v>
      </c>
      <c r="I482" s="6" t="s">
        <v>500</v>
      </c>
      <c r="J482" s="61" t="s">
        <v>22</v>
      </c>
      <c r="L482" s="5" t="str">
        <f t="shared" si="66"/>
        <v>00481</v>
      </c>
      <c r="M482" s="47" t="str">
        <f t="shared" si="67"/>
        <v>09 de agosto de 2017</v>
      </c>
      <c r="N482" s="323">
        <f t="shared" si="69"/>
        <v>9</v>
      </c>
      <c r="O482" s="25">
        <f t="shared" si="68"/>
        <v>42948</v>
      </c>
      <c r="P482" s="5" t="str">
        <f t="shared" si="71"/>
        <v>0,35</v>
      </c>
      <c r="Q482" s="4" t="e">
        <f t="shared" ca="1" si="72"/>
        <v>#NAME?</v>
      </c>
    </row>
    <row r="483" spans="1:17">
      <c r="A483" s="1">
        <f t="shared" si="70"/>
        <v>482</v>
      </c>
      <c r="C483" s="8" t="s">
        <v>17</v>
      </c>
      <c r="D483" s="2">
        <v>42957</v>
      </c>
      <c r="E483" s="3">
        <f>35000/100000</f>
        <v>0.35</v>
      </c>
      <c r="F483" t="s">
        <v>70</v>
      </c>
      <c r="G483" t="s">
        <v>71</v>
      </c>
      <c r="H483" t="s">
        <v>72</v>
      </c>
      <c r="I483" s="6" t="s">
        <v>514</v>
      </c>
      <c r="J483" s="61" t="s">
        <v>22</v>
      </c>
      <c r="L483" s="5" t="str">
        <f t="shared" si="66"/>
        <v>00482</v>
      </c>
      <c r="M483" s="47" t="str">
        <f t="shared" si="67"/>
        <v>10 de agosto de 2017</v>
      </c>
      <c r="N483" s="323">
        <f t="shared" si="69"/>
        <v>10</v>
      </c>
      <c r="O483" s="25">
        <f t="shared" si="68"/>
        <v>42948</v>
      </c>
      <c r="P483" s="5" t="str">
        <f t="shared" si="71"/>
        <v>0,35</v>
      </c>
      <c r="Q483" s="4" t="e">
        <f t="shared" ca="1" si="72"/>
        <v>#NAME?</v>
      </c>
    </row>
    <row r="484" spans="1:17">
      <c r="A484" s="1">
        <f t="shared" si="70"/>
        <v>483</v>
      </c>
      <c r="C484" s="8" t="s">
        <v>17</v>
      </c>
      <c r="D484" s="2">
        <v>42957</v>
      </c>
      <c r="E484" s="3">
        <f>35000/100000</f>
        <v>0.35</v>
      </c>
      <c r="F484" t="s">
        <v>103</v>
      </c>
      <c r="G484" t="s">
        <v>104</v>
      </c>
      <c r="H484" t="s">
        <v>105</v>
      </c>
      <c r="I484" s="6" t="s">
        <v>514</v>
      </c>
      <c r="J484" s="61" t="s">
        <v>22</v>
      </c>
      <c r="L484" s="5" t="str">
        <f t="shared" si="66"/>
        <v>00483</v>
      </c>
      <c r="M484" s="47" t="str">
        <f t="shared" si="67"/>
        <v>10 de agosto de 2017</v>
      </c>
      <c r="N484" s="323">
        <f t="shared" si="69"/>
        <v>10</v>
      </c>
      <c r="O484" s="25">
        <f t="shared" si="68"/>
        <v>42948</v>
      </c>
      <c r="P484" s="5" t="str">
        <f t="shared" si="71"/>
        <v>0,35</v>
      </c>
      <c r="Q484" s="4" t="e">
        <f t="shared" ca="1" si="72"/>
        <v>#NAME?</v>
      </c>
    </row>
    <row r="485" spans="1:17">
      <c r="A485" s="1">
        <f t="shared" si="70"/>
        <v>484</v>
      </c>
      <c r="C485" s="8" t="s">
        <v>17</v>
      </c>
      <c r="D485" s="2">
        <v>42957</v>
      </c>
      <c r="E485" s="3">
        <f>26000/100000</f>
        <v>0.26</v>
      </c>
      <c r="F485" t="s">
        <v>264</v>
      </c>
      <c r="G485" t="s">
        <v>265</v>
      </c>
      <c r="H485" t="s">
        <v>266</v>
      </c>
      <c r="I485" s="6" t="s">
        <v>473</v>
      </c>
      <c r="J485" s="61" t="s">
        <v>22</v>
      </c>
      <c r="L485" s="5" t="str">
        <f t="shared" si="66"/>
        <v>00484</v>
      </c>
      <c r="M485" s="47" t="str">
        <f t="shared" si="67"/>
        <v>10 de agosto de 2017</v>
      </c>
      <c r="N485" s="323">
        <f t="shared" si="69"/>
        <v>10</v>
      </c>
      <c r="O485" s="25">
        <f t="shared" si="68"/>
        <v>42948</v>
      </c>
      <c r="P485" s="5" t="str">
        <f t="shared" si="71"/>
        <v>0,26</v>
      </c>
      <c r="Q485" s="4" t="e">
        <f t="shared" ca="1" si="72"/>
        <v>#NAME?</v>
      </c>
    </row>
    <row r="486" spans="1:17">
      <c r="A486" s="1">
        <f t="shared" si="70"/>
        <v>485</v>
      </c>
      <c r="C486" s="8" t="s">
        <v>17</v>
      </c>
      <c r="D486" s="2">
        <v>42957</v>
      </c>
      <c r="E486" s="3">
        <f>35000/100000</f>
        <v>0.35</v>
      </c>
      <c r="F486" t="s">
        <v>36</v>
      </c>
      <c r="G486" t="s">
        <v>37</v>
      </c>
      <c r="H486" t="s">
        <v>38</v>
      </c>
      <c r="I486" s="6" t="s">
        <v>520</v>
      </c>
      <c r="J486" s="61" t="s">
        <v>22</v>
      </c>
      <c r="L486" s="5" t="str">
        <f t="shared" si="66"/>
        <v>00485</v>
      </c>
      <c r="M486" s="47" t="str">
        <f t="shared" si="67"/>
        <v>10 de agosto de 2017</v>
      </c>
      <c r="N486" s="323">
        <f t="shared" si="69"/>
        <v>10</v>
      </c>
      <c r="O486" s="25">
        <f t="shared" si="68"/>
        <v>42948</v>
      </c>
      <c r="P486" s="5" t="str">
        <f t="shared" si="71"/>
        <v>0,35</v>
      </c>
      <c r="Q486" s="4" t="e">
        <f t="shared" ca="1" si="72"/>
        <v>#NAME?</v>
      </c>
    </row>
    <row r="487" spans="1:17">
      <c r="A487" s="1">
        <f t="shared" si="70"/>
        <v>486</v>
      </c>
      <c r="C487" s="8" t="s">
        <v>17</v>
      </c>
      <c r="D487" s="2">
        <v>42957</v>
      </c>
      <c r="E487" s="3">
        <f>13000/100000</f>
        <v>0.13</v>
      </c>
      <c r="F487" t="s">
        <v>337</v>
      </c>
      <c r="G487" t="s">
        <v>338</v>
      </c>
      <c r="H487" t="s">
        <v>339</v>
      </c>
      <c r="I487" s="6" t="s">
        <v>473</v>
      </c>
      <c r="J487" s="61" t="s">
        <v>22</v>
      </c>
      <c r="L487" s="5" t="str">
        <f t="shared" si="66"/>
        <v>00486</v>
      </c>
      <c r="M487" s="47" t="str">
        <f t="shared" si="67"/>
        <v>10 de agosto de 2017</v>
      </c>
      <c r="N487" s="323">
        <f t="shared" si="69"/>
        <v>10</v>
      </c>
      <c r="O487" s="25">
        <f t="shared" si="68"/>
        <v>42948</v>
      </c>
      <c r="P487" s="5" t="str">
        <f t="shared" si="71"/>
        <v>0,13</v>
      </c>
      <c r="Q487" s="4" t="e">
        <f t="shared" ca="1" si="72"/>
        <v>#NAME?</v>
      </c>
    </row>
    <row r="488" spans="1:17">
      <c r="A488" s="1">
        <f t="shared" si="70"/>
        <v>487</v>
      </c>
      <c r="C488" s="8" t="s">
        <v>17</v>
      </c>
      <c r="D488" s="2">
        <v>42957</v>
      </c>
      <c r="E488" s="3">
        <f>7000/100000</f>
        <v>7.0000000000000007E-2</v>
      </c>
      <c r="F488" t="s">
        <v>337</v>
      </c>
      <c r="G488" t="s">
        <v>338</v>
      </c>
      <c r="H488" t="s">
        <v>339</v>
      </c>
      <c r="I488" s="6" t="s">
        <v>451</v>
      </c>
      <c r="J488" s="61" t="s">
        <v>452</v>
      </c>
      <c r="L488" s="5" t="str">
        <f t="shared" si="66"/>
        <v>00487</v>
      </c>
      <c r="M488" s="47" t="str">
        <f t="shared" si="67"/>
        <v>10 de agosto de 2017</v>
      </c>
      <c r="N488" s="323">
        <f t="shared" si="69"/>
        <v>10</v>
      </c>
      <c r="O488" s="25">
        <f t="shared" si="68"/>
        <v>42948</v>
      </c>
      <c r="P488" s="5" t="str">
        <f t="shared" si="71"/>
        <v>0,07</v>
      </c>
      <c r="Q488" s="4" t="e">
        <f t="shared" ca="1" si="72"/>
        <v>#NAME?</v>
      </c>
    </row>
    <row r="489" spans="1:17">
      <c r="A489" s="1">
        <f t="shared" si="70"/>
        <v>488</v>
      </c>
      <c r="C489" s="8" t="s">
        <v>17</v>
      </c>
      <c r="D489" s="2">
        <v>42957</v>
      </c>
      <c r="E489" s="3">
        <f>35000/100000</f>
        <v>0.35</v>
      </c>
      <c r="F489" t="s">
        <v>443</v>
      </c>
      <c r="G489" t="s">
        <v>444</v>
      </c>
      <c r="H489" t="s">
        <v>75</v>
      </c>
      <c r="I489" s="6" t="s">
        <v>514</v>
      </c>
      <c r="J489" s="61" t="s">
        <v>22</v>
      </c>
      <c r="L489" s="5" t="str">
        <f t="shared" si="66"/>
        <v>00488</v>
      </c>
      <c r="M489" s="47" t="str">
        <f t="shared" si="67"/>
        <v>10 de agosto de 2017</v>
      </c>
      <c r="N489" s="323">
        <f t="shared" si="69"/>
        <v>10</v>
      </c>
      <c r="O489" s="25">
        <f t="shared" si="68"/>
        <v>42948</v>
      </c>
      <c r="P489" s="5" t="str">
        <f t="shared" si="71"/>
        <v>0,35</v>
      </c>
      <c r="Q489" s="4" t="e">
        <f t="shared" ca="1" si="72"/>
        <v>#NAME?</v>
      </c>
    </row>
    <row r="490" spans="1:17">
      <c r="A490" s="1">
        <f t="shared" si="70"/>
        <v>489</v>
      </c>
      <c r="C490" s="8" t="s">
        <v>17</v>
      </c>
      <c r="D490" s="2">
        <v>42960</v>
      </c>
      <c r="E490" s="3">
        <f>26000/100000</f>
        <v>0.26</v>
      </c>
      <c r="F490" t="s">
        <v>287</v>
      </c>
      <c r="G490" t="s">
        <v>288</v>
      </c>
      <c r="H490" t="s">
        <v>289</v>
      </c>
      <c r="I490" s="6" t="s">
        <v>445</v>
      </c>
      <c r="J490" s="61" t="s">
        <v>22</v>
      </c>
      <c r="L490" s="5" t="str">
        <f t="shared" si="66"/>
        <v>00489</v>
      </c>
      <c r="M490" s="47" t="str">
        <f t="shared" si="67"/>
        <v>13 de agosto de 2017</v>
      </c>
      <c r="N490" s="323">
        <f t="shared" si="69"/>
        <v>13</v>
      </c>
      <c r="O490" s="25">
        <f t="shared" si="68"/>
        <v>42948</v>
      </c>
      <c r="P490" s="5" t="str">
        <f t="shared" si="71"/>
        <v>0,26</v>
      </c>
      <c r="Q490" s="4" t="e">
        <f t="shared" ca="1" si="72"/>
        <v>#NAME?</v>
      </c>
    </row>
    <row r="491" spans="1:17">
      <c r="A491" s="1">
        <f t="shared" si="70"/>
        <v>490</v>
      </c>
      <c r="C491" s="8" t="s">
        <v>17</v>
      </c>
      <c r="D491" s="2">
        <v>42960</v>
      </c>
      <c r="E491" s="3">
        <f>7000/100000</f>
        <v>7.0000000000000007E-2</v>
      </c>
      <c r="F491" t="s">
        <v>287</v>
      </c>
      <c r="G491" t="s">
        <v>288</v>
      </c>
      <c r="H491" t="s">
        <v>289</v>
      </c>
      <c r="I491" s="6" t="s">
        <v>451</v>
      </c>
      <c r="J491" s="61" t="s">
        <v>452</v>
      </c>
      <c r="L491" s="5" t="str">
        <f t="shared" si="66"/>
        <v>00490</v>
      </c>
      <c r="M491" s="47" t="str">
        <f t="shared" si="67"/>
        <v>13 de agosto de 2017</v>
      </c>
      <c r="N491" s="323">
        <f t="shared" si="69"/>
        <v>13</v>
      </c>
      <c r="O491" s="25">
        <f t="shared" si="68"/>
        <v>42948</v>
      </c>
      <c r="P491" s="5" t="str">
        <f t="shared" si="71"/>
        <v>0,07</v>
      </c>
      <c r="Q491" s="4" t="e">
        <f t="shared" ca="1" si="72"/>
        <v>#NAME?</v>
      </c>
    </row>
    <row r="492" spans="1:17">
      <c r="A492" s="1">
        <f t="shared" si="70"/>
        <v>491</v>
      </c>
      <c r="C492" s="8" t="s">
        <v>17</v>
      </c>
      <c r="D492" s="2">
        <v>42961</v>
      </c>
      <c r="E492" s="3">
        <f>35000/100000</f>
        <v>0.35</v>
      </c>
      <c r="F492" t="s">
        <v>90</v>
      </c>
      <c r="G492" t="s">
        <v>91</v>
      </c>
      <c r="H492" t="s">
        <v>92</v>
      </c>
      <c r="I492" s="6" t="s">
        <v>514</v>
      </c>
      <c r="J492" s="61" t="s">
        <v>22</v>
      </c>
      <c r="L492" s="5" t="str">
        <f t="shared" si="66"/>
        <v>00491</v>
      </c>
      <c r="M492" s="47" t="str">
        <f t="shared" si="67"/>
        <v>14 de agosto de 2017</v>
      </c>
      <c r="N492" s="323">
        <f t="shared" si="69"/>
        <v>14</v>
      </c>
      <c r="O492" s="25">
        <f t="shared" si="68"/>
        <v>42948</v>
      </c>
      <c r="P492" s="5" t="str">
        <f t="shared" si="71"/>
        <v>0,35</v>
      </c>
      <c r="Q492" s="4" t="e">
        <f t="shared" ca="1" si="72"/>
        <v>#NAME?</v>
      </c>
    </row>
    <row r="493" spans="1:17">
      <c r="A493" s="1">
        <f t="shared" si="70"/>
        <v>492</v>
      </c>
      <c r="C493" s="8" t="s">
        <v>17</v>
      </c>
      <c r="D493" s="2">
        <v>42961</v>
      </c>
      <c r="E493" s="3">
        <f>9000/100000</f>
        <v>0.09</v>
      </c>
      <c r="F493" t="s">
        <v>264</v>
      </c>
      <c r="G493" t="s">
        <v>265</v>
      </c>
      <c r="H493" t="s">
        <v>266</v>
      </c>
      <c r="I493" s="6" t="s">
        <v>499</v>
      </c>
      <c r="J493" s="61" t="s">
        <v>22</v>
      </c>
      <c r="L493" s="5" t="str">
        <f t="shared" si="66"/>
        <v>00492</v>
      </c>
      <c r="M493" s="47" t="str">
        <f t="shared" si="67"/>
        <v>14 de agosto de 2017</v>
      </c>
      <c r="N493" s="323">
        <f t="shared" si="69"/>
        <v>14</v>
      </c>
      <c r="O493" s="25">
        <f t="shared" si="68"/>
        <v>42948</v>
      </c>
      <c r="P493" s="5" t="str">
        <f t="shared" si="71"/>
        <v>0,09</v>
      </c>
      <c r="Q493" s="4" t="e">
        <f t="shared" ca="1" si="72"/>
        <v>#NAME?</v>
      </c>
    </row>
    <row r="494" spans="1:17">
      <c r="A494" s="1">
        <f t="shared" si="70"/>
        <v>493</v>
      </c>
      <c r="C494" s="8" t="s">
        <v>17</v>
      </c>
      <c r="D494" s="2">
        <v>42961</v>
      </c>
      <c r="E494" s="3">
        <f>18000/100000</f>
        <v>0.18</v>
      </c>
      <c r="F494" t="s">
        <v>264</v>
      </c>
      <c r="G494" t="s">
        <v>265</v>
      </c>
      <c r="H494" t="s">
        <v>266</v>
      </c>
      <c r="I494" s="6" t="s">
        <v>521</v>
      </c>
      <c r="J494" s="61" t="s">
        <v>368</v>
      </c>
      <c r="L494" s="5" t="str">
        <f t="shared" si="66"/>
        <v>00493</v>
      </c>
      <c r="M494" s="47" t="str">
        <f t="shared" si="67"/>
        <v>14 de agosto de 2017</v>
      </c>
      <c r="N494" s="323">
        <f t="shared" si="69"/>
        <v>14</v>
      </c>
      <c r="O494" s="25">
        <f t="shared" si="68"/>
        <v>42948</v>
      </c>
      <c r="P494" s="5" t="str">
        <f t="shared" si="71"/>
        <v>0,18</v>
      </c>
      <c r="Q494" s="4" t="e">
        <f t="shared" ca="1" si="72"/>
        <v>#NAME?</v>
      </c>
    </row>
    <row r="495" spans="1:17">
      <c r="A495" s="1">
        <f t="shared" si="70"/>
        <v>494</v>
      </c>
      <c r="C495" s="8" t="s">
        <v>17</v>
      </c>
      <c r="D495" s="2">
        <v>42962</v>
      </c>
      <c r="E495" s="3">
        <f>15000/100000</f>
        <v>0.15</v>
      </c>
      <c r="F495" t="s">
        <v>401</v>
      </c>
      <c r="G495" t="s">
        <v>402</v>
      </c>
      <c r="H495" t="s">
        <v>403</v>
      </c>
      <c r="I495" s="6" t="s">
        <v>513</v>
      </c>
      <c r="J495" s="61" t="s">
        <v>22</v>
      </c>
      <c r="L495" s="5" t="str">
        <f t="shared" si="66"/>
        <v>00494</v>
      </c>
      <c r="M495" s="47" t="str">
        <f t="shared" si="67"/>
        <v>15 de agosto de 2017</v>
      </c>
      <c r="N495" s="323">
        <f t="shared" si="69"/>
        <v>15</v>
      </c>
      <c r="O495" s="25">
        <f t="shared" si="68"/>
        <v>42948</v>
      </c>
      <c r="P495" s="5" t="str">
        <f t="shared" si="71"/>
        <v>0,15</v>
      </c>
      <c r="Q495" s="4" t="e">
        <f t="shared" ca="1" si="72"/>
        <v>#NAME?</v>
      </c>
    </row>
    <row r="496" spans="1:17">
      <c r="A496" s="1">
        <f t="shared" si="70"/>
        <v>495</v>
      </c>
      <c r="C496" s="8" t="s">
        <v>17</v>
      </c>
      <c r="D496" s="2">
        <v>42962</v>
      </c>
      <c r="E496" s="3">
        <f>20000/100000</f>
        <v>0.2</v>
      </c>
      <c r="F496" t="s">
        <v>181</v>
      </c>
      <c r="G496" t="s">
        <v>182</v>
      </c>
      <c r="H496" t="s">
        <v>183</v>
      </c>
      <c r="I496" s="6" t="s">
        <v>513</v>
      </c>
      <c r="J496" s="61" t="s">
        <v>22</v>
      </c>
      <c r="L496" s="5" t="str">
        <f t="shared" si="66"/>
        <v>00495</v>
      </c>
      <c r="M496" s="47" t="str">
        <f t="shared" si="67"/>
        <v>15 de agosto de 2017</v>
      </c>
      <c r="N496" s="323">
        <f t="shared" si="69"/>
        <v>15</v>
      </c>
      <c r="O496" s="25">
        <f t="shared" si="68"/>
        <v>42948</v>
      </c>
      <c r="P496" s="5" t="str">
        <f t="shared" si="71"/>
        <v>0,20</v>
      </c>
      <c r="Q496" s="4" t="e">
        <f t="shared" ca="1" si="72"/>
        <v>#NAME?</v>
      </c>
    </row>
    <row r="497" spans="1:17">
      <c r="A497" s="1">
        <f t="shared" si="70"/>
        <v>496</v>
      </c>
      <c r="C497" s="8" t="s">
        <v>17</v>
      </c>
      <c r="D497" s="2">
        <v>42962</v>
      </c>
      <c r="E497" s="3">
        <f>35000/100000</f>
        <v>0.35</v>
      </c>
      <c r="F497" t="s">
        <v>152</v>
      </c>
      <c r="G497" t="s">
        <v>153</v>
      </c>
      <c r="H497" t="s">
        <v>154</v>
      </c>
      <c r="I497" s="6" t="s">
        <v>514</v>
      </c>
      <c r="J497" s="61" t="s">
        <v>22</v>
      </c>
      <c r="L497" s="5" t="str">
        <f t="shared" si="66"/>
        <v>00496</v>
      </c>
      <c r="M497" s="47" t="str">
        <f t="shared" si="67"/>
        <v>15 de agosto de 2017</v>
      </c>
      <c r="N497" s="323">
        <f t="shared" si="69"/>
        <v>15</v>
      </c>
      <c r="O497" s="25">
        <f t="shared" si="68"/>
        <v>42948</v>
      </c>
      <c r="P497" s="5" t="str">
        <f t="shared" si="71"/>
        <v>0,35</v>
      </c>
      <c r="Q497" s="4" t="e">
        <f t="shared" ca="1" si="72"/>
        <v>#NAME?</v>
      </c>
    </row>
    <row r="498" spans="1:17">
      <c r="A498" s="1">
        <f t="shared" si="70"/>
        <v>497</v>
      </c>
      <c r="C498" s="8" t="s">
        <v>17</v>
      </c>
      <c r="D498" s="2">
        <v>42911</v>
      </c>
      <c r="E498" s="3">
        <f>26000/100000</f>
        <v>0.26</v>
      </c>
      <c r="F498" t="s">
        <v>296</v>
      </c>
      <c r="G498" t="s">
        <v>297</v>
      </c>
      <c r="H498" t="s">
        <v>298</v>
      </c>
      <c r="I498" s="6" t="s">
        <v>445</v>
      </c>
      <c r="J498" s="61" t="s">
        <v>22</v>
      </c>
      <c r="L498" s="5" t="str">
        <f t="shared" si="66"/>
        <v>00497</v>
      </c>
      <c r="M498" s="47" t="str">
        <f t="shared" si="67"/>
        <v>25 de junio de 2017</v>
      </c>
      <c r="N498" s="323">
        <f t="shared" si="69"/>
        <v>25</v>
      </c>
      <c r="O498" s="25">
        <f t="shared" si="68"/>
        <v>42887</v>
      </c>
      <c r="P498" s="5" t="str">
        <f t="shared" si="71"/>
        <v>0,26</v>
      </c>
      <c r="Q498" s="4" t="e">
        <f t="shared" ca="1" si="72"/>
        <v>#NAME?</v>
      </c>
    </row>
    <row r="499" spans="1:17">
      <c r="A499" s="1">
        <f t="shared" si="70"/>
        <v>498</v>
      </c>
      <c r="C499" s="8" t="s">
        <v>17</v>
      </c>
      <c r="D499" s="2">
        <v>42963</v>
      </c>
      <c r="E499" s="3">
        <f>9000/100000</f>
        <v>0.09</v>
      </c>
      <c r="F499" t="s">
        <v>122</v>
      </c>
      <c r="G499" t="s">
        <v>123</v>
      </c>
      <c r="H499" t="s">
        <v>124</v>
      </c>
      <c r="I499" s="6" t="s">
        <v>499</v>
      </c>
      <c r="J499" s="61" t="s">
        <v>22</v>
      </c>
      <c r="L499" s="5" t="str">
        <f t="shared" si="66"/>
        <v>00498</v>
      </c>
      <c r="M499" s="47" t="str">
        <f t="shared" si="67"/>
        <v>16 de agosto de 2017</v>
      </c>
      <c r="N499" s="323">
        <f t="shared" si="69"/>
        <v>16</v>
      </c>
      <c r="O499" s="25">
        <f t="shared" si="68"/>
        <v>42948</v>
      </c>
      <c r="P499" s="5" t="str">
        <f t="shared" ref="P499:P519" si="73">TEXT(E499,"#.##0,00")</f>
        <v>0,09</v>
      </c>
      <c r="Q499" s="4" t="e">
        <f t="shared" ref="Q499:Q519" ca="1" si="74">CONVERTIRNUM(E499)</f>
        <v>#NAME?</v>
      </c>
    </row>
    <row r="500" spans="1:17">
      <c r="A500" s="1">
        <f t="shared" si="70"/>
        <v>499</v>
      </c>
      <c r="C500" s="8" t="s">
        <v>17</v>
      </c>
      <c r="D500" s="2">
        <v>42963</v>
      </c>
      <c r="E500" s="3">
        <f>35000/100000</f>
        <v>0.35</v>
      </c>
      <c r="F500" t="s">
        <v>122</v>
      </c>
      <c r="G500" t="s">
        <v>123</v>
      </c>
      <c r="H500" t="s">
        <v>124</v>
      </c>
      <c r="I500" s="6" t="s">
        <v>514</v>
      </c>
      <c r="J500" s="61" t="s">
        <v>22</v>
      </c>
      <c r="L500" s="5" t="str">
        <f t="shared" si="66"/>
        <v>00499</v>
      </c>
      <c r="M500" s="47" t="str">
        <f t="shared" si="67"/>
        <v>16 de agosto de 2017</v>
      </c>
      <c r="N500" s="323">
        <f t="shared" si="69"/>
        <v>16</v>
      </c>
      <c r="O500" s="25">
        <f t="shared" si="68"/>
        <v>42948</v>
      </c>
      <c r="P500" s="5" t="str">
        <f t="shared" si="73"/>
        <v>0,35</v>
      </c>
      <c r="Q500" s="4" t="e">
        <f t="shared" ca="1" si="74"/>
        <v>#NAME?</v>
      </c>
    </row>
    <row r="501" spans="1:17">
      <c r="A501" s="1">
        <f t="shared" si="70"/>
        <v>500</v>
      </c>
      <c r="C501" s="8" t="s">
        <v>17</v>
      </c>
      <c r="D501" s="2">
        <v>42944</v>
      </c>
      <c r="E501" s="3">
        <f>35000/100000</f>
        <v>0.35</v>
      </c>
      <c r="F501" t="s">
        <v>62</v>
      </c>
      <c r="G501" t="s">
        <v>63</v>
      </c>
      <c r="H501" t="s">
        <v>64</v>
      </c>
      <c r="I501" s="6" t="s">
        <v>500</v>
      </c>
      <c r="J501" s="61" t="s">
        <v>22</v>
      </c>
      <c r="L501" s="5" t="str">
        <f t="shared" si="66"/>
        <v>00500</v>
      </c>
      <c r="M501" s="47" t="str">
        <f t="shared" si="67"/>
        <v>28 de julio de 2017</v>
      </c>
      <c r="N501" s="323">
        <f t="shared" si="69"/>
        <v>28</v>
      </c>
      <c r="O501" s="25">
        <f t="shared" si="68"/>
        <v>42917</v>
      </c>
      <c r="P501" s="5" t="str">
        <f t="shared" si="73"/>
        <v>0,35</v>
      </c>
      <c r="Q501" s="4" t="e">
        <f t="shared" ca="1" si="74"/>
        <v>#NAME?</v>
      </c>
    </row>
    <row r="502" spans="1:17" ht="15.75" thickBot="1">
      <c r="A502" s="1">
        <f t="shared" si="70"/>
        <v>501</v>
      </c>
      <c r="C502" s="8" t="s">
        <v>17</v>
      </c>
      <c r="D502" s="2">
        <v>42941</v>
      </c>
      <c r="E502" s="3">
        <f>35000/100000</f>
        <v>0.35</v>
      </c>
      <c r="F502" t="s">
        <v>296</v>
      </c>
      <c r="G502" t="s">
        <v>297</v>
      </c>
      <c r="H502" t="s">
        <v>298</v>
      </c>
      <c r="I502" s="6" t="s">
        <v>500</v>
      </c>
      <c r="J502" s="61" t="s">
        <v>22</v>
      </c>
      <c r="L502" s="5" t="str">
        <f t="shared" si="66"/>
        <v>00501</v>
      </c>
      <c r="M502" s="47" t="str">
        <f t="shared" si="67"/>
        <v>25 de julio de 2017</v>
      </c>
      <c r="N502" s="323">
        <f t="shared" si="69"/>
        <v>25</v>
      </c>
      <c r="O502" s="25">
        <f t="shared" si="68"/>
        <v>42917</v>
      </c>
      <c r="P502" s="5" t="str">
        <f t="shared" si="73"/>
        <v>0,35</v>
      </c>
      <c r="Q502" s="4" t="e">
        <f t="shared" ca="1" si="74"/>
        <v>#NAME?</v>
      </c>
    </row>
    <row r="503" spans="1:17" ht="15.75" thickBot="1">
      <c r="A503" s="1">
        <f t="shared" si="70"/>
        <v>502</v>
      </c>
      <c r="C503" s="8" t="s">
        <v>17</v>
      </c>
      <c r="D503" s="2">
        <v>42964</v>
      </c>
      <c r="E503" s="3">
        <f>40000/100000</f>
        <v>0.4</v>
      </c>
      <c r="F503" s="20" t="s">
        <v>57</v>
      </c>
      <c r="G503" s="18" t="s">
        <v>58</v>
      </c>
      <c r="H503" s="21" t="s">
        <v>59</v>
      </c>
      <c r="I503" s="6" t="s">
        <v>514</v>
      </c>
      <c r="J503" s="61" t="s">
        <v>22</v>
      </c>
      <c r="K503" s="22"/>
      <c r="L503" s="5" t="str">
        <f t="shared" si="66"/>
        <v>00502</v>
      </c>
      <c r="M503" s="47" t="str">
        <f t="shared" si="67"/>
        <v>17 de agosto de 2017</v>
      </c>
      <c r="N503" s="323">
        <f t="shared" si="69"/>
        <v>17</v>
      </c>
      <c r="O503" s="25">
        <f t="shared" si="68"/>
        <v>42948</v>
      </c>
      <c r="P503" s="5" t="str">
        <f t="shared" si="73"/>
        <v>0,40</v>
      </c>
      <c r="Q503" s="4" t="e">
        <f t="shared" ca="1" si="74"/>
        <v>#NAME?</v>
      </c>
    </row>
    <row r="504" spans="1:17" ht="15.75" thickBot="1">
      <c r="A504" s="1">
        <f t="shared" si="70"/>
        <v>503</v>
      </c>
      <c r="C504" s="8" t="s">
        <v>17</v>
      </c>
      <c r="D504" s="2">
        <v>42946</v>
      </c>
      <c r="E504" s="3">
        <f>62000/100000</f>
        <v>0.62</v>
      </c>
      <c r="F504" t="s">
        <v>197</v>
      </c>
      <c r="G504" t="s">
        <v>198</v>
      </c>
      <c r="H504" t="s">
        <v>199</v>
      </c>
      <c r="I504" s="6" t="s">
        <v>522</v>
      </c>
      <c r="J504" s="61" t="s">
        <v>22</v>
      </c>
      <c r="L504" s="5" t="str">
        <f t="shared" si="66"/>
        <v>00503</v>
      </c>
      <c r="M504" s="47" t="str">
        <f t="shared" si="67"/>
        <v>30 de julio de 2017</v>
      </c>
      <c r="N504" s="323">
        <f t="shared" si="69"/>
        <v>30</v>
      </c>
      <c r="O504" s="25">
        <f t="shared" si="68"/>
        <v>42917</v>
      </c>
      <c r="P504" s="5" t="str">
        <f t="shared" si="73"/>
        <v>0,62</v>
      </c>
      <c r="Q504" s="4" t="e">
        <f t="shared" ca="1" si="74"/>
        <v>#NAME?</v>
      </c>
    </row>
    <row r="505" spans="1:17" ht="15.75" thickBot="1">
      <c r="A505" s="1">
        <f t="shared" si="70"/>
        <v>504</v>
      </c>
      <c r="C505" s="8" t="s">
        <v>17</v>
      </c>
      <c r="D505" s="2">
        <v>42964</v>
      </c>
      <c r="E505" s="3">
        <f>15000/100000</f>
        <v>0.15</v>
      </c>
      <c r="F505" t="s">
        <v>177</v>
      </c>
      <c r="G505" s="18" t="s">
        <v>58</v>
      </c>
      <c r="H505" t="s">
        <v>179</v>
      </c>
      <c r="I505" s="6" t="s">
        <v>499</v>
      </c>
      <c r="J505" s="61" t="s">
        <v>22</v>
      </c>
      <c r="L505" s="5" t="str">
        <f t="shared" si="66"/>
        <v>00504</v>
      </c>
      <c r="M505" s="47" t="str">
        <f t="shared" si="67"/>
        <v>17 de agosto de 2017</v>
      </c>
      <c r="N505" s="323">
        <f t="shared" si="69"/>
        <v>17</v>
      </c>
      <c r="O505" s="25">
        <f t="shared" si="68"/>
        <v>42948</v>
      </c>
      <c r="P505" s="5" t="str">
        <f t="shared" si="73"/>
        <v>0,15</v>
      </c>
      <c r="Q505" s="4" t="e">
        <f t="shared" ca="1" si="74"/>
        <v>#NAME?</v>
      </c>
    </row>
    <row r="506" spans="1:17">
      <c r="A506" s="1">
        <f t="shared" si="70"/>
        <v>505</v>
      </c>
      <c r="C506" s="8" t="s">
        <v>17</v>
      </c>
      <c r="D506" s="2">
        <v>42964</v>
      </c>
      <c r="E506" s="3">
        <f>5000/100000</f>
        <v>0.05</v>
      </c>
      <c r="F506" t="s">
        <v>144</v>
      </c>
      <c r="G506" t="s">
        <v>145</v>
      </c>
      <c r="H506" t="s">
        <v>146</v>
      </c>
      <c r="I506" s="6" t="s">
        <v>513</v>
      </c>
      <c r="J506" s="61" t="s">
        <v>22</v>
      </c>
      <c r="L506" s="5" t="str">
        <f t="shared" si="66"/>
        <v>00505</v>
      </c>
      <c r="M506" s="47" t="str">
        <f t="shared" si="67"/>
        <v>17 de agosto de 2017</v>
      </c>
      <c r="N506" s="323">
        <f t="shared" si="69"/>
        <v>17</v>
      </c>
      <c r="O506" s="25">
        <f t="shared" si="68"/>
        <v>42948</v>
      </c>
      <c r="P506" s="5" t="str">
        <f t="shared" si="73"/>
        <v>0,05</v>
      </c>
      <c r="Q506" s="4" t="e">
        <f t="shared" ca="1" si="74"/>
        <v>#NAME?</v>
      </c>
    </row>
    <row r="507" spans="1:17">
      <c r="A507" s="1">
        <f t="shared" si="70"/>
        <v>506</v>
      </c>
      <c r="C507" s="8" t="s">
        <v>17</v>
      </c>
      <c r="D507" s="2">
        <v>42964</v>
      </c>
      <c r="E507" s="3">
        <f>35000/100000</f>
        <v>0.35</v>
      </c>
      <c r="F507" t="s">
        <v>107</v>
      </c>
      <c r="G507" t="s">
        <v>108</v>
      </c>
      <c r="H507" t="s">
        <v>109</v>
      </c>
      <c r="I507" s="6" t="s">
        <v>514</v>
      </c>
      <c r="J507" s="61" t="s">
        <v>22</v>
      </c>
      <c r="L507" s="5" t="str">
        <f t="shared" si="66"/>
        <v>00506</v>
      </c>
      <c r="M507" s="47" t="str">
        <f t="shared" si="67"/>
        <v>17 de agosto de 2017</v>
      </c>
      <c r="N507" s="323">
        <f t="shared" si="69"/>
        <v>17</v>
      </c>
      <c r="O507" s="25">
        <f t="shared" si="68"/>
        <v>42948</v>
      </c>
      <c r="P507" s="5" t="str">
        <f t="shared" si="73"/>
        <v>0,35</v>
      </c>
      <c r="Q507" s="4" t="e">
        <f t="shared" ca="1" si="74"/>
        <v>#NAME?</v>
      </c>
    </row>
    <row r="508" spans="1:17">
      <c r="A508" s="1">
        <f t="shared" si="70"/>
        <v>507</v>
      </c>
      <c r="C508" s="8" t="s">
        <v>17</v>
      </c>
      <c r="D508" s="2">
        <v>42934</v>
      </c>
      <c r="E508" s="3">
        <f>20000/100000</f>
        <v>0.2</v>
      </c>
      <c r="F508" t="s">
        <v>118</v>
      </c>
      <c r="G508" t="s">
        <v>119</v>
      </c>
      <c r="H508" t="s">
        <v>120</v>
      </c>
      <c r="I508" s="6" t="s">
        <v>513</v>
      </c>
      <c r="J508" s="61" t="s">
        <v>22</v>
      </c>
      <c r="L508" s="5" t="str">
        <f t="shared" si="66"/>
        <v>00507</v>
      </c>
      <c r="M508" s="47" t="str">
        <f t="shared" si="67"/>
        <v>18 de julio de 2017</v>
      </c>
      <c r="N508" s="323">
        <f t="shared" si="69"/>
        <v>18</v>
      </c>
      <c r="O508" s="25">
        <f t="shared" si="68"/>
        <v>42917</v>
      </c>
      <c r="P508" s="5" t="str">
        <f t="shared" si="73"/>
        <v>0,20</v>
      </c>
      <c r="Q508" s="4" t="e">
        <f t="shared" ca="1" si="74"/>
        <v>#NAME?</v>
      </c>
    </row>
    <row r="509" spans="1:17" ht="15.75" thickBot="1">
      <c r="A509" s="1">
        <f t="shared" si="70"/>
        <v>508</v>
      </c>
      <c r="C509" s="8" t="s">
        <v>17</v>
      </c>
      <c r="D509" s="2">
        <v>42965</v>
      </c>
      <c r="E509" s="3">
        <f>20000/100000</f>
        <v>0.2</v>
      </c>
      <c r="F509" t="s">
        <v>28</v>
      </c>
      <c r="G509" t="s">
        <v>29</v>
      </c>
      <c r="H509" t="s">
        <v>30</v>
      </c>
      <c r="I509" s="6" t="s">
        <v>513</v>
      </c>
      <c r="J509" s="61" t="s">
        <v>22</v>
      </c>
      <c r="L509" s="5" t="str">
        <f t="shared" si="66"/>
        <v>00508</v>
      </c>
      <c r="M509" s="47" t="str">
        <f t="shared" si="67"/>
        <v>18 de agosto de 2017</v>
      </c>
      <c r="N509" s="323">
        <f t="shared" si="69"/>
        <v>18</v>
      </c>
      <c r="O509" s="25">
        <f t="shared" si="68"/>
        <v>42948</v>
      </c>
      <c r="P509" s="5" t="str">
        <f t="shared" si="73"/>
        <v>0,20</v>
      </c>
      <c r="Q509" s="4" t="e">
        <f t="shared" ca="1" si="74"/>
        <v>#NAME?</v>
      </c>
    </row>
    <row r="510" spans="1:17" ht="15.75" thickBot="1">
      <c r="A510" s="1">
        <f t="shared" si="70"/>
        <v>509</v>
      </c>
      <c r="C510" s="8" t="s">
        <v>17</v>
      </c>
      <c r="D510" s="2">
        <v>42965</v>
      </c>
      <c r="E510" s="3">
        <f>6000/100000+6500/100000</f>
        <v>0.125</v>
      </c>
      <c r="F510" t="s">
        <v>397</v>
      </c>
      <c r="G510" s="48" t="s">
        <v>29</v>
      </c>
      <c r="H510" t="s">
        <v>398</v>
      </c>
      <c r="I510" s="6" t="s">
        <v>523</v>
      </c>
      <c r="J510" s="61" t="s">
        <v>22</v>
      </c>
      <c r="L510" s="5" t="str">
        <f t="shared" si="66"/>
        <v>00509</v>
      </c>
      <c r="M510" s="47" t="str">
        <f t="shared" si="67"/>
        <v>18 de agosto de 2017</v>
      </c>
      <c r="N510" s="323">
        <f t="shared" si="69"/>
        <v>18</v>
      </c>
      <c r="O510" s="25">
        <f t="shared" si="68"/>
        <v>42948</v>
      </c>
      <c r="P510" s="5" t="str">
        <f t="shared" si="73"/>
        <v>0,13</v>
      </c>
      <c r="Q510" s="4" t="e">
        <f t="shared" ca="1" si="74"/>
        <v>#NAME?</v>
      </c>
    </row>
    <row r="511" spans="1:17">
      <c r="A511" s="1">
        <f t="shared" si="70"/>
        <v>510</v>
      </c>
      <c r="C511" s="8" t="s">
        <v>17</v>
      </c>
      <c r="D511" s="2">
        <v>42965</v>
      </c>
      <c r="E511" s="3">
        <f>17000/100000+26000/100000+26000/100000+35000/100000+35000/100000</f>
        <v>1.3900000000000001</v>
      </c>
      <c r="F511" t="s">
        <v>280</v>
      </c>
      <c r="G511" t="s">
        <v>281</v>
      </c>
      <c r="H511" t="s">
        <v>282</v>
      </c>
      <c r="I511" s="6" t="s">
        <v>524</v>
      </c>
      <c r="J511" s="61" t="s">
        <v>22</v>
      </c>
      <c r="L511" s="5" t="str">
        <f t="shared" si="66"/>
        <v>00510</v>
      </c>
      <c r="M511" s="47" t="str">
        <f t="shared" si="67"/>
        <v>18 de agosto de 2017</v>
      </c>
      <c r="N511" s="323">
        <f t="shared" si="69"/>
        <v>18</v>
      </c>
      <c r="O511" s="25">
        <f t="shared" si="68"/>
        <v>42948</v>
      </c>
      <c r="P511" s="5" t="str">
        <f t="shared" si="73"/>
        <v>1,39</v>
      </c>
      <c r="Q511" s="4" t="e">
        <f t="shared" ca="1" si="74"/>
        <v>#NAME?</v>
      </c>
    </row>
    <row r="512" spans="1:17">
      <c r="A512" s="1">
        <f t="shared" si="70"/>
        <v>511</v>
      </c>
      <c r="C512" s="8" t="s">
        <v>17</v>
      </c>
      <c r="D512" s="2">
        <v>42966</v>
      </c>
      <c r="E512" s="3">
        <f>35000/100000+35000/100000</f>
        <v>0.7</v>
      </c>
      <c r="F512" t="s">
        <v>138</v>
      </c>
      <c r="G512" t="s">
        <v>139</v>
      </c>
      <c r="H512" t="s">
        <v>140</v>
      </c>
      <c r="I512" s="6" t="s">
        <v>508</v>
      </c>
      <c r="J512" s="61" t="s">
        <v>22</v>
      </c>
      <c r="L512" s="5" t="str">
        <f t="shared" si="66"/>
        <v>00511</v>
      </c>
      <c r="M512" s="47" t="str">
        <f t="shared" si="67"/>
        <v>19 de agosto de 2017</v>
      </c>
      <c r="N512" s="323">
        <f t="shared" si="69"/>
        <v>19</v>
      </c>
      <c r="O512" s="25">
        <f t="shared" si="68"/>
        <v>42948</v>
      </c>
      <c r="P512" s="5" t="str">
        <f t="shared" si="73"/>
        <v>0,70</v>
      </c>
      <c r="Q512" s="4" t="e">
        <f t="shared" ca="1" si="74"/>
        <v>#NAME?</v>
      </c>
    </row>
    <row r="513" spans="1:17">
      <c r="A513" s="1">
        <f t="shared" si="70"/>
        <v>512</v>
      </c>
      <c r="C513" s="8" t="s">
        <v>17</v>
      </c>
      <c r="D513" s="2">
        <v>42966</v>
      </c>
      <c r="E513" s="3">
        <f>30000/100000</f>
        <v>0.3</v>
      </c>
      <c r="F513" t="s">
        <v>353</v>
      </c>
      <c r="G513" t="s">
        <v>354</v>
      </c>
      <c r="H513" t="s">
        <v>355</v>
      </c>
      <c r="I513" s="6" t="s">
        <v>513</v>
      </c>
      <c r="J513" s="61" t="s">
        <v>22</v>
      </c>
      <c r="L513" s="5" t="str">
        <f t="shared" si="66"/>
        <v>00512</v>
      </c>
      <c r="M513" s="47" t="str">
        <f t="shared" si="67"/>
        <v>19 de agosto de 2017</v>
      </c>
      <c r="N513" s="323">
        <f t="shared" si="69"/>
        <v>19</v>
      </c>
      <c r="O513" s="25">
        <f t="shared" si="68"/>
        <v>42948</v>
      </c>
      <c r="P513" s="5" t="str">
        <f t="shared" si="73"/>
        <v>0,30</v>
      </c>
      <c r="Q513" s="4" t="e">
        <f t="shared" ca="1" si="74"/>
        <v>#NAME?</v>
      </c>
    </row>
    <row r="514" spans="1:17">
      <c r="A514" s="1">
        <f t="shared" si="70"/>
        <v>513</v>
      </c>
      <c r="C514" s="8" t="s">
        <v>17</v>
      </c>
      <c r="D514" s="2">
        <v>42966</v>
      </c>
      <c r="E514" s="3">
        <f>35000/100000</f>
        <v>0.35</v>
      </c>
      <c r="F514" t="s">
        <v>362</v>
      </c>
      <c r="G514" t="s">
        <v>363</v>
      </c>
      <c r="H514" t="s">
        <v>364</v>
      </c>
      <c r="I514" s="6" t="s">
        <v>500</v>
      </c>
      <c r="J514" s="61" t="s">
        <v>22</v>
      </c>
      <c r="L514" s="5" t="str">
        <f t="shared" ref="L514:L577" si="75">IF(ISBLANK(A514),"",TEXT(A514,"00000"))</f>
        <v>00513</v>
      </c>
      <c r="M514" s="47" t="str">
        <f t="shared" ref="M514:M577" si="76">IF(ISBLANK(D514),"",TEXT(D514,"dd")&amp;" de "&amp;TEXT(D514,"mmmm")&amp;" de "&amp;TEXT(YEAR(D514),"0"))</f>
        <v>19 de agosto de 2017</v>
      </c>
      <c r="N514" s="323">
        <f t="shared" si="69"/>
        <v>19</v>
      </c>
      <c r="O514" s="25">
        <f t="shared" ref="O514:O577" si="77">DATE(YEAR(D514),MONTH(D514),1)</f>
        <v>42948</v>
      </c>
      <c r="P514" s="5" t="str">
        <f t="shared" si="73"/>
        <v>0,35</v>
      </c>
      <c r="Q514" s="4" t="e">
        <f t="shared" ca="1" si="74"/>
        <v>#NAME?</v>
      </c>
    </row>
    <row r="515" spans="1:17">
      <c r="A515" s="1">
        <f t="shared" si="70"/>
        <v>514</v>
      </c>
      <c r="C515" s="8" t="s">
        <v>17</v>
      </c>
      <c r="D515" s="2">
        <v>42966</v>
      </c>
      <c r="E515" s="3">
        <f>35000/100000</f>
        <v>0.35</v>
      </c>
      <c r="F515" t="s">
        <v>483</v>
      </c>
      <c r="G515" t="s">
        <v>484</v>
      </c>
      <c r="H515" t="s">
        <v>485</v>
      </c>
      <c r="I515" s="6" t="s">
        <v>514</v>
      </c>
      <c r="J515" s="61" t="s">
        <v>22</v>
      </c>
      <c r="L515" s="5" t="str">
        <f t="shared" si="75"/>
        <v>00514</v>
      </c>
      <c r="M515" s="47" t="str">
        <f t="shared" si="76"/>
        <v>19 de agosto de 2017</v>
      </c>
      <c r="N515" s="323">
        <f t="shared" ref="N515:N578" si="78">DAY(D515)</f>
        <v>19</v>
      </c>
      <c r="O515" s="25">
        <f t="shared" si="77"/>
        <v>42948</v>
      </c>
      <c r="P515" s="5" t="str">
        <f t="shared" si="73"/>
        <v>0,35</v>
      </c>
      <c r="Q515" s="4" t="e">
        <f t="shared" ca="1" si="74"/>
        <v>#NAME?</v>
      </c>
    </row>
    <row r="516" spans="1:17">
      <c r="A516" s="1">
        <f t="shared" ref="A516:A579" si="79">A515+1</f>
        <v>515</v>
      </c>
      <c r="C516" s="8" t="s">
        <v>17</v>
      </c>
      <c r="D516" s="2">
        <v>42967</v>
      </c>
      <c r="E516" s="3">
        <f>35000/100000</f>
        <v>0.35</v>
      </c>
      <c r="F516" t="s">
        <v>80</v>
      </c>
      <c r="G516" t="s">
        <v>81</v>
      </c>
      <c r="H516" t="s">
        <v>82</v>
      </c>
      <c r="I516" s="6" t="s">
        <v>514</v>
      </c>
      <c r="J516" s="61" t="s">
        <v>22</v>
      </c>
      <c r="L516" s="5" t="str">
        <f t="shared" si="75"/>
        <v>00515</v>
      </c>
      <c r="M516" s="47" t="str">
        <f t="shared" si="76"/>
        <v>20 de agosto de 2017</v>
      </c>
      <c r="N516" s="323">
        <f t="shared" si="78"/>
        <v>20</v>
      </c>
      <c r="O516" s="25">
        <f t="shared" si="77"/>
        <v>42948</v>
      </c>
      <c r="P516" s="5" t="str">
        <f t="shared" si="73"/>
        <v>0,35</v>
      </c>
      <c r="Q516" s="4" t="e">
        <f t="shared" ca="1" si="74"/>
        <v>#NAME?</v>
      </c>
    </row>
    <row r="517" spans="1:17">
      <c r="A517" s="1">
        <f t="shared" si="79"/>
        <v>516</v>
      </c>
      <c r="C517" s="8" t="s">
        <v>17</v>
      </c>
      <c r="D517" s="2">
        <v>42963</v>
      </c>
      <c r="E517" s="3">
        <f>26000/100000+35000/100000</f>
        <v>0.61</v>
      </c>
      <c r="F517" t="s">
        <v>248</v>
      </c>
      <c r="G517" t="s">
        <v>249</v>
      </c>
      <c r="H517" t="s">
        <v>250</v>
      </c>
      <c r="I517" s="6" t="s">
        <v>525</v>
      </c>
      <c r="J517" s="61" t="s">
        <v>22</v>
      </c>
      <c r="L517" s="5" t="str">
        <f t="shared" si="75"/>
        <v>00516</v>
      </c>
      <c r="M517" s="47" t="str">
        <f t="shared" si="76"/>
        <v>16 de agosto de 2017</v>
      </c>
      <c r="N517" s="323">
        <f t="shared" si="78"/>
        <v>16</v>
      </c>
      <c r="O517" s="25">
        <f t="shared" si="77"/>
        <v>42948</v>
      </c>
      <c r="P517" s="5" t="str">
        <f t="shared" si="73"/>
        <v>0,61</v>
      </c>
      <c r="Q517" s="4" t="e">
        <f t="shared" ca="1" si="74"/>
        <v>#NAME?</v>
      </c>
    </row>
    <row r="518" spans="1:17">
      <c r="A518" s="1">
        <f t="shared" si="79"/>
        <v>517</v>
      </c>
      <c r="C518" s="8" t="s">
        <v>17</v>
      </c>
      <c r="D518" s="2">
        <v>42967</v>
      </c>
      <c r="E518" s="3">
        <f>15000/100000</f>
        <v>0.15</v>
      </c>
      <c r="F518" t="s">
        <v>130</v>
      </c>
      <c r="G518" t="s">
        <v>131</v>
      </c>
      <c r="H518" t="s">
        <v>132</v>
      </c>
      <c r="I518" s="6" t="s">
        <v>478</v>
      </c>
      <c r="J518" s="61" t="s">
        <v>22</v>
      </c>
      <c r="L518" s="5" t="str">
        <f t="shared" si="75"/>
        <v>00517</v>
      </c>
      <c r="M518" s="47" t="str">
        <f t="shared" si="76"/>
        <v>20 de agosto de 2017</v>
      </c>
      <c r="N518" s="323">
        <f t="shared" si="78"/>
        <v>20</v>
      </c>
      <c r="O518" s="25">
        <f t="shared" si="77"/>
        <v>42948</v>
      </c>
      <c r="P518" s="5" t="str">
        <f t="shared" si="73"/>
        <v>0,15</v>
      </c>
      <c r="Q518" s="4" t="e">
        <f t="shared" ca="1" si="74"/>
        <v>#NAME?</v>
      </c>
    </row>
    <row r="519" spans="1:17">
      <c r="A519" s="1">
        <f t="shared" si="79"/>
        <v>518</v>
      </c>
      <c r="C519" s="8" t="s">
        <v>17</v>
      </c>
      <c r="D519" s="2">
        <v>42968</v>
      </c>
      <c r="E519" s="3">
        <f>9000/100000+35000/100000</f>
        <v>0.43999999999999995</v>
      </c>
      <c r="F519" t="s">
        <v>243</v>
      </c>
      <c r="G519" t="s">
        <v>244</v>
      </c>
      <c r="H519" t="s">
        <v>245</v>
      </c>
      <c r="I519" s="6" t="s">
        <v>526</v>
      </c>
      <c r="J519" s="61" t="s">
        <v>22</v>
      </c>
      <c r="L519" s="5" t="str">
        <f t="shared" si="75"/>
        <v>00518</v>
      </c>
      <c r="M519" s="47" t="str">
        <f t="shared" si="76"/>
        <v>21 de agosto de 2017</v>
      </c>
      <c r="N519" s="323">
        <f t="shared" si="78"/>
        <v>21</v>
      </c>
      <c r="O519" s="25">
        <f t="shared" si="77"/>
        <v>42948</v>
      </c>
      <c r="P519" s="5" t="str">
        <f t="shared" si="73"/>
        <v>0,44</v>
      </c>
      <c r="Q519" s="4" t="e">
        <f t="shared" ca="1" si="74"/>
        <v>#NAME?</v>
      </c>
    </row>
    <row r="520" spans="1:17">
      <c r="A520" s="1">
        <f t="shared" si="79"/>
        <v>519</v>
      </c>
      <c r="C520" s="8" t="s">
        <v>17</v>
      </c>
      <c r="D520" s="2">
        <v>42970</v>
      </c>
      <c r="E520" s="3">
        <f>35000/100000</f>
        <v>0.35</v>
      </c>
      <c r="F520" t="s">
        <v>248</v>
      </c>
      <c r="G520" t="s">
        <v>249</v>
      </c>
      <c r="H520" t="s">
        <v>250</v>
      </c>
      <c r="I520" s="6" t="s">
        <v>514</v>
      </c>
      <c r="J520" s="61" t="s">
        <v>22</v>
      </c>
      <c r="L520" s="5" t="str">
        <f t="shared" si="75"/>
        <v>00519</v>
      </c>
      <c r="M520" s="47" t="str">
        <f t="shared" si="76"/>
        <v>23 de agosto de 2017</v>
      </c>
      <c r="N520" s="323">
        <f t="shared" si="78"/>
        <v>23</v>
      </c>
      <c r="O520" s="25">
        <f t="shared" si="77"/>
        <v>42948</v>
      </c>
      <c r="P520" s="5" t="str">
        <f t="shared" ref="P520:P552" si="80">TEXT(E520,"#.##0,00")</f>
        <v>0,35</v>
      </c>
      <c r="Q520" s="4" t="e">
        <f t="shared" ref="Q520:Q552" ca="1" si="81">CONVERTIRNUM(E520)</f>
        <v>#NAME?</v>
      </c>
    </row>
    <row r="521" spans="1:17">
      <c r="A521" s="1">
        <f t="shared" si="79"/>
        <v>520</v>
      </c>
      <c r="C521" s="8" t="s">
        <v>17</v>
      </c>
      <c r="D521" s="2">
        <v>42972</v>
      </c>
      <c r="E521" s="3">
        <f>18000/100000</f>
        <v>0.18</v>
      </c>
      <c r="F521" t="s">
        <v>130</v>
      </c>
      <c r="G521" t="s">
        <v>131</v>
      </c>
      <c r="H521" t="s">
        <v>132</v>
      </c>
      <c r="I521" s="6" t="s">
        <v>513</v>
      </c>
      <c r="J521" s="61" t="s">
        <v>22</v>
      </c>
      <c r="L521" s="5" t="str">
        <f t="shared" si="75"/>
        <v>00520</v>
      </c>
      <c r="M521" s="47" t="str">
        <f t="shared" si="76"/>
        <v>25 de agosto de 2017</v>
      </c>
      <c r="N521" s="323">
        <f t="shared" si="78"/>
        <v>25</v>
      </c>
      <c r="O521" s="25">
        <f t="shared" si="77"/>
        <v>42948</v>
      </c>
      <c r="P521" s="5" t="str">
        <f t="shared" si="80"/>
        <v>0,18</v>
      </c>
      <c r="Q521" s="4" t="e">
        <f t="shared" ca="1" si="81"/>
        <v>#NAME?</v>
      </c>
    </row>
    <row r="522" spans="1:17">
      <c r="A522" s="1">
        <f t="shared" si="79"/>
        <v>521</v>
      </c>
      <c r="C522" s="8" t="s">
        <v>17</v>
      </c>
      <c r="D522" s="2">
        <v>42975</v>
      </c>
      <c r="E522" s="3">
        <f>35000*2/100000</f>
        <v>0.7</v>
      </c>
      <c r="F522" t="s">
        <v>53</v>
      </c>
      <c r="G522" t="s">
        <v>54</v>
      </c>
      <c r="H522" t="s">
        <v>55</v>
      </c>
      <c r="I522" s="6" t="s">
        <v>508</v>
      </c>
      <c r="J522" s="61" t="s">
        <v>22</v>
      </c>
      <c r="L522" s="5" t="str">
        <f t="shared" si="75"/>
        <v>00521</v>
      </c>
      <c r="M522" s="47" t="str">
        <f t="shared" si="76"/>
        <v>28 de agosto de 2017</v>
      </c>
      <c r="N522" s="323">
        <f t="shared" si="78"/>
        <v>28</v>
      </c>
      <c r="O522" s="25">
        <f t="shared" si="77"/>
        <v>42948</v>
      </c>
      <c r="P522" s="5" t="str">
        <f t="shared" si="80"/>
        <v>0,70</v>
      </c>
      <c r="Q522" s="4" t="e">
        <f t="shared" ca="1" si="81"/>
        <v>#NAME?</v>
      </c>
    </row>
    <row r="523" spans="1:17">
      <c r="A523" s="1">
        <f t="shared" si="79"/>
        <v>522</v>
      </c>
      <c r="C523" s="8" t="s">
        <v>17</v>
      </c>
      <c r="D523" s="2">
        <v>42971</v>
      </c>
      <c r="E523" s="3">
        <f>36000/100000</f>
        <v>0.36</v>
      </c>
      <c r="F523" t="s">
        <v>148</v>
      </c>
      <c r="G523" t="s">
        <v>149</v>
      </c>
      <c r="H523" t="s">
        <v>150</v>
      </c>
      <c r="I523" s="6" t="s">
        <v>527</v>
      </c>
      <c r="J523" s="61" t="s">
        <v>22</v>
      </c>
      <c r="L523" s="5" t="str">
        <f t="shared" si="75"/>
        <v>00522</v>
      </c>
      <c r="M523" s="47" t="str">
        <f t="shared" si="76"/>
        <v>24 de agosto de 2017</v>
      </c>
      <c r="N523" s="323">
        <f t="shared" si="78"/>
        <v>24</v>
      </c>
      <c r="O523" s="25">
        <f t="shared" si="77"/>
        <v>42948</v>
      </c>
      <c r="P523" s="5" t="str">
        <f t="shared" si="80"/>
        <v>0,36</v>
      </c>
      <c r="Q523" s="4" t="e">
        <f t="shared" ca="1" si="81"/>
        <v>#NAME?</v>
      </c>
    </row>
    <row r="524" spans="1:17">
      <c r="A524" s="1">
        <f t="shared" si="79"/>
        <v>523</v>
      </c>
      <c r="C524" s="8" t="s">
        <v>17</v>
      </c>
      <c r="D524" s="2">
        <v>42977</v>
      </c>
      <c r="E524" s="3">
        <f>35000/100000</f>
        <v>0.35</v>
      </c>
      <c r="F524" t="s">
        <v>44</v>
      </c>
      <c r="G524" t="s">
        <v>45</v>
      </c>
      <c r="H524" t="s">
        <v>46</v>
      </c>
      <c r="I524" s="6" t="s">
        <v>528</v>
      </c>
      <c r="J524" s="61" t="s">
        <v>22</v>
      </c>
      <c r="L524" s="5" t="str">
        <f t="shared" si="75"/>
        <v>00523</v>
      </c>
      <c r="M524" s="47" t="str">
        <f t="shared" si="76"/>
        <v>30 de agosto de 2017</v>
      </c>
      <c r="N524" s="323">
        <f t="shared" si="78"/>
        <v>30</v>
      </c>
      <c r="O524" s="25">
        <f t="shared" si="77"/>
        <v>42948</v>
      </c>
      <c r="P524" s="5" t="str">
        <f t="shared" si="80"/>
        <v>0,35</v>
      </c>
      <c r="Q524" s="4" t="e">
        <f t="shared" ca="1" si="81"/>
        <v>#NAME?</v>
      </c>
    </row>
    <row r="525" spans="1:17">
      <c r="A525" s="1">
        <f t="shared" si="79"/>
        <v>524</v>
      </c>
      <c r="C525" s="8" t="s">
        <v>17</v>
      </c>
      <c r="D525" s="2">
        <v>42978</v>
      </c>
      <c r="E525" s="3">
        <f>70000/100000</f>
        <v>0.7</v>
      </c>
      <c r="F525" t="s">
        <v>296</v>
      </c>
      <c r="G525" t="s">
        <v>297</v>
      </c>
      <c r="H525" t="s">
        <v>298</v>
      </c>
      <c r="I525" s="6" t="s">
        <v>529</v>
      </c>
      <c r="J525" s="61" t="s">
        <v>22</v>
      </c>
      <c r="L525" s="5" t="str">
        <f t="shared" si="75"/>
        <v>00524</v>
      </c>
      <c r="M525" s="47" t="str">
        <f t="shared" si="76"/>
        <v>31 de agosto de 2017</v>
      </c>
      <c r="N525" s="323">
        <f t="shared" si="78"/>
        <v>31</v>
      </c>
      <c r="O525" s="25">
        <f t="shared" si="77"/>
        <v>42948</v>
      </c>
      <c r="P525" s="5" t="str">
        <f t="shared" si="80"/>
        <v>0,70</v>
      </c>
      <c r="Q525" s="4" t="e">
        <f t="shared" ca="1" si="81"/>
        <v>#NAME?</v>
      </c>
    </row>
    <row r="526" spans="1:17" ht="15.75" thickBot="1">
      <c r="A526" s="1">
        <f t="shared" si="79"/>
        <v>525</v>
      </c>
      <c r="C526" s="8" t="s">
        <v>17</v>
      </c>
      <c r="D526" s="2">
        <v>42977</v>
      </c>
      <c r="E526" s="3">
        <f>10000/100000</f>
        <v>0.1</v>
      </c>
      <c r="F526" t="s">
        <v>417</v>
      </c>
      <c r="G526" t="s">
        <v>418</v>
      </c>
      <c r="H526" t="s">
        <v>419</v>
      </c>
      <c r="I526" s="6" t="s">
        <v>513</v>
      </c>
      <c r="J526" s="61" t="s">
        <v>22</v>
      </c>
      <c r="L526" s="5" t="str">
        <f t="shared" si="75"/>
        <v>00525</v>
      </c>
      <c r="M526" s="47" t="str">
        <f t="shared" si="76"/>
        <v>30 de agosto de 2017</v>
      </c>
      <c r="N526" s="323">
        <f t="shared" si="78"/>
        <v>30</v>
      </c>
      <c r="O526" s="25">
        <f t="shared" si="77"/>
        <v>42948</v>
      </c>
      <c r="P526" s="5" t="str">
        <f t="shared" si="80"/>
        <v>0,10</v>
      </c>
      <c r="Q526" s="4" t="e">
        <f t="shared" ca="1" si="81"/>
        <v>#NAME?</v>
      </c>
    </row>
    <row r="527" spans="1:17" ht="15.75" thickBot="1">
      <c r="A527" s="1">
        <f t="shared" si="79"/>
        <v>526</v>
      </c>
      <c r="C527" s="8" t="s">
        <v>17</v>
      </c>
      <c r="D527" s="2">
        <v>42978</v>
      </c>
      <c r="E527" s="3">
        <f>72000/100000</f>
        <v>0.72</v>
      </c>
      <c r="F527" t="s">
        <v>259</v>
      </c>
      <c r="G527" s="18" t="s">
        <v>58</v>
      </c>
      <c r="H527" t="s">
        <v>261</v>
      </c>
      <c r="I527" s="6" t="s">
        <v>530</v>
      </c>
      <c r="J527" s="61" t="s">
        <v>22</v>
      </c>
      <c r="L527" s="5" t="str">
        <f t="shared" si="75"/>
        <v>00526</v>
      </c>
      <c r="M527" s="47" t="str">
        <f t="shared" si="76"/>
        <v>31 de agosto de 2017</v>
      </c>
      <c r="N527" s="323">
        <f t="shared" si="78"/>
        <v>31</v>
      </c>
      <c r="O527" s="25">
        <f t="shared" si="77"/>
        <v>42948</v>
      </c>
      <c r="P527" s="5" t="str">
        <f t="shared" si="80"/>
        <v>0,72</v>
      </c>
      <c r="Q527" s="4" t="e">
        <f t="shared" ca="1" si="81"/>
        <v>#NAME?</v>
      </c>
    </row>
    <row r="528" spans="1:17">
      <c r="A528" s="1">
        <f t="shared" si="79"/>
        <v>527</v>
      </c>
      <c r="C528" s="8" t="s">
        <v>17</v>
      </c>
      <c r="D528" s="2">
        <v>42978</v>
      </c>
      <c r="E528" s="3">
        <f>35000/100000</f>
        <v>0.35</v>
      </c>
      <c r="F528" t="s">
        <v>80</v>
      </c>
      <c r="G528" t="s">
        <v>81</v>
      </c>
      <c r="H528" t="s">
        <v>82</v>
      </c>
      <c r="I528" s="6" t="s">
        <v>528</v>
      </c>
      <c r="J528" s="61" t="s">
        <v>22</v>
      </c>
      <c r="L528" s="5" t="str">
        <f t="shared" si="75"/>
        <v>00527</v>
      </c>
      <c r="M528" s="47" t="str">
        <f t="shared" si="76"/>
        <v>31 de agosto de 2017</v>
      </c>
      <c r="N528" s="323">
        <f t="shared" si="78"/>
        <v>31</v>
      </c>
      <c r="O528" s="25">
        <f t="shared" si="77"/>
        <v>42948</v>
      </c>
      <c r="P528" s="5" t="str">
        <f t="shared" si="80"/>
        <v>0,35</v>
      </c>
      <c r="Q528" s="4" t="e">
        <f t="shared" ca="1" si="81"/>
        <v>#NAME?</v>
      </c>
    </row>
    <row r="529" spans="1:17">
      <c r="A529" s="1">
        <f t="shared" si="79"/>
        <v>528</v>
      </c>
      <c r="C529" s="8" t="s">
        <v>17</v>
      </c>
      <c r="D529" s="2">
        <v>42947</v>
      </c>
      <c r="E529" s="3">
        <f>35000/100000</f>
        <v>0.35</v>
      </c>
      <c r="F529" t="s">
        <v>126</v>
      </c>
      <c r="G529" t="s">
        <v>127</v>
      </c>
      <c r="H529" t="s">
        <v>128</v>
      </c>
      <c r="I529" s="6" t="s">
        <v>514</v>
      </c>
      <c r="J529" s="61" t="s">
        <v>22</v>
      </c>
      <c r="L529" s="5" t="str">
        <f t="shared" si="75"/>
        <v>00528</v>
      </c>
      <c r="M529" s="47" t="str">
        <f t="shared" si="76"/>
        <v>31 de julio de 2017</v>
      </c>
      <c r="N529" s="323">
        <f t="shared" si="78"/>
        <v>31</v>
      </c>
      <c r="O529" s="25">
        <f t="shared" si="77"/>
        <v>42917</v>
      </c>
      <c r="P529" s="5" t="str">
        <f t="shared" si="80"/>
        <v>0,35</v>
      </c>
      <c r="Q529" s="4" t="e">
        <f t="shared" ca="1" si="81"/>
        <v>#NAME?</v>
      </c>
    </row>
    <row r="530" spans="1:17">
      <c r="A530" s="1">
        <f t="shared" si="79"/>
        <v>529</v>
      </c>
      <c r="C530" s="8" t="s">
        <v>17</v>
      </c>
      <c r="D530" s="2">
        <v>42979</v>
      </c>
      <c r="E530" s="3">
        <f>100000/100000</f>
        <v>1</v>
      </c>
      <c r="F530" t="s">
        <v>252</v>
      </c>
      <c r="G530" t="s">
        <v>253</v>
      </c>
      <c r="H530" t="s">
        <v>254</v>
      </c>
      <c r="I530" s="6" t="s">
        <v>531</v>
      </c>
      <c r="J530" s="61" t="s">
        <v>22</v>
      </c>
      <c r="L530" s="5" t="str">
        <f t="shared" si="75"/>
        <v>00529</v>
      </c>
      <c r="M530" s="47" t="str">
        <f t="shared" si="76"/>
        <v>01 de septiembre de 2017</v>
      </c>
      <c r="N530" s="323">
        <f t="shared" si="78"/>
        <v>1</v>
      </c>
      <c r="O530" s="25">
        <f t="shared" si="77"/>
        <v>42979</v>
      </c>
      <c r="P530" s="5" t="str">
        <f t="shared" si="80"/>
        <v>1,00</v>
      </c>
      <c r="Q530" s="4" t="e">
        <f t="shared" ca="1" si="81"/>
        <v>#NAME?</v>
      </c>
    </row>
    <row r="531" spans="1:17" ht="15.75" thickBot="1">
      <c r="A531" s="1">
        <f t="shared" si="79"/>
        <v>530</v>
      </c>
      <c r="C531" s="8" t="s">
        <v>17</v>
      </c>
      <c r="D531" s="2">
        <v>42979</v>
      </c>
      <c r="E531" s="3">
        <f t="shared" ref="E531:E536" si="82">35000/100000</f>
        <v>0.35</v>
      </c>
      <c r="F531" t="s">
        <v>24</v>
      </c>
      <c r="G531" t="s">
        <v>25</v>
      </c>
      <c r="H531" t="s">
        <v>26</v>
      </c>
      <c r="I531" s="6" t="s">
        <v>528</v>
      </c>
      <c r="J531" s="61" t="s">
        <v>22</v>
      </c>
      <c r="L531" s="5" t="str">
        <f t="shared" si="75"/>
        <v>00530</v>
      </c>
      <c r="M531" s="47" t="str">
        <f t="shared" si="76"/>
        <v>01 de septiembre de 2017</v>
      </c>
      <c r="N531" s="323">
        <f t="shared" si="78"/>
        <v>1</v>
      </c>
      <c r="O531" s="25">
        <f t="shared" si="77"/>
        <v>42979</v>
      </c>
      <c r="P531" s="5" t="str">
        <f t="shared" si="80"/>
        <v>0,35</v>
      </c>
      <c r="Q531" s="4" t="e">
        <f t="shared" ca="1" si="81"/>
        <v>#NAME?</v>
      </c>
    </row>
    <row r="532" spans="1:17" ht="15.75" thickBot="1">
      <c r="A532" s="1">
        <f t="shared" si="79"/>
        <v>531</v>
      </c>
      <c r="C532" s="8" t="s">
        <v>17</v>
      </c>
      <c r="D532" s="2">
        <v>42979</v>
      </c>
      <c r="E532" s="3">
        <f t="shared" si="82"/>
        <v>0.35</v>
      </c>
      <c r="F532" t="s">
        <v>319</v>
      </c>
      <c r="G532" s="18" t="s">
        <v>58</v>
      </c>
      <c r="H532" t="s">
        <v>320</v>
      </c>
      <c r="I532" s="6" t="s">
        <v>500</v>
      </c>
      <c r="J532" s="61" t="s">
        <v>22</v>
      </c>
      <c r="L532" s="5" t="str">
        <f t="shared" si="75"/>
        <v>00531</v>
      </c>
      <c r="M532" s="47" t="str">
        <f t="shared" si="76"/>
        <v>01 de septiembre de 2017</v>
      </c>
      <c r="N532" s="323">
        <f t="shared" si="78"/>
        <v>1</v>
      </c>
      <c r="O532" s="25">
        <f t="shared" si="77"/>
        <v>42979</v>
      </c>
      <c r="P532" s="5" t="str">
        <f t="shared" si="80"/>
        <v>0,35</v>
      </c>
      <c r="Q532" s="4" t="e">
        <f t="shared" ca="1" si="81"/>
        <v>#NAME?</v>
      </c>
    </row>
    <row r="533" spans="1:17" ht="15.75" thickBot="1">
      <c r="A533" s="1">
        <f t="shared" si="79"/>
        <v>532</v>
      </c>
      <c r="C533" s="8" t="s">
        <v>17</v>
      </c>
      <c r="D533" s="2">
        <v>42979</v>
      </c>
      <c r="E533" s="3">
        <f t="shared" si="82"/>
        <v>0.35</v>
      </c>
      <c r="F533" t="s">
        <v>319</v>
      </c>
      <c r="G533" s="18" t="s">
        <v>58</v>
      </c>
      <c r="H533" t="s">
        <v>320</v>
      </c>
      <c r="I533" s="6" t="s">
        <v>514</v>
      </c>
      <c r="J533" s="61" t="s">
        <v>22</v>
      </c>
      <c r="L533" s="5" t="str">
        <f t="shared" si="75"/>
        <v>00532</v>
      </c>
      <c r="M533" s="47" t="str">
        <f t="shared" si="76"/>
        <v>01 de septiembre de 2017</v>
      </c>
      <c r="N533" s="323">
        <f t="shared" si="78"/>
        <v>1</v>
      </c>
      <c r="O533" s="25">
        <f t="shared" si="77"/>
        <v>42979</v>
      </c>
      <c r="P533" s="5" t="str">
        <f t="shared" si="80"/>
        <v>0,35</v>
      </c>
      <c r="Q533" s="4" t="e">
        <f t="shared" ca="1" si="81"/>
        <v>#NAME?</v>
      </c>
    </row>
    <row r="534" spans="1:17">
      <c r="A534" s="1">
        <f t="shared" si="79"/>
        <v>533</v>
      </c>
      <c r="C534" s="8" t="s">
        <v>17</v>
      </c>
      <c r="D534" s="2">
        <v>42979</v>
      </c>
      <c r="E534" s="3">
        <f t="shared" si="82"/>
        <v>0.35</v>
      </c>
      <c r="F534" t="s">
        <v>62</v>
      </c>
      <c r="G534" t="s">
        <v>63</v>
      </c>
      <c r="H534" t="s">
        <v>64</v>
      </c>
      <c r="I534" s="6" t="s">
        <v>514</v>
      </c>
      <c r="J534" s="61" t="s">
        <v>22</v>
      </c>
      <c r="L534" s="5" t="str">
        <f t="shared" si="75"/>
        <v>00533</v>
      </c>
      <c r="M534" s="47" t="str">
        <f t="shared" si="76"/>
        <v>01 de septiembre de 2017</v>
      </c>
      <c r="N534" s="323">
        <f t="shared" si="78"/>
        <v>1</v>
      </c>
      <c r="O534" s="25">
        <f t="shared" si="77"/>
        <v>42979</v>
      </c>
      <c r="P534" s="5" t="str">
        <f t="shared" si="80"/>
        <v>0,35</v>
      </c>
      <c r="Q534" s="4" t="e">
        <f t="shared" ca="1" si="81"/>
        <v>#NAME?</v>
      </c>
    </row>
    <row r="535" spans="1:17">
      <c r="A535" s="178">
        <f t="shared" si="79"/>
        <v>534</v>
      </c>
      <c r="C535" s="8" t="s">
        <v>17</v>
      </c>
      <c r="D535" s="2">
        <v>42979</v>
      </c>
      <c r="E535" s="3">
        <f t="shared" si="82"/>
        <v>0.35</v>
      </c>
      <c r="F535" t="s">
        <v>438</v>
      </c>
      <c r="G535" t="s">
        <v>439</v>
      </c>
      <c r="H535" t="s">
        <v>440</v>
      </c>
      <c r="I535" s="6" t="s">
        <v>532</v>
      </c>
      <c r="J535" s="61" t="s">
        <v>22</v>
      </c>
      <c r="L535" s="5" t="str">
        <f t="shared" si="75"/>
        <v>00534</v>
      </c>
      <c r="M535" s="47" t="str">
        <f t="shared" si="76"/>
        <v>01 de septiembre de 2017</v>
      </c>
      <c r="N535" s="323">
        <f t="shared" si="78"/>
        <v>1</v>
      </c>
      <c r="O535" s="25">
        <f t="shared" si="77"/>
        <v>42979</v>
      </c>
      <c r="P535" s="5" t="str">
        <f t="shared" si="80"/>
        <v>0,35</v>
      </c>
      <c r="Q535" s="4" t="e">
        <f t="shared" ca="1" si="81"/>
        <v>#NAME?</v>
      </c>
    </row>
    <row r="536" spans="1:17">
      <c r="A536" s="1">
        <f t="shared" si="79"/>
        <v>535</v>
      </c>
      <c r="C536" s="8" t="s">
        <v>17</v>
      </c>
      <c r="D536" s="2">
        <v>42979</v>
      </c>
      <c r="E536" s="3">
        <f t="shared" si="82"/>
        <v>0.35</v>
      </c>
      <c r="F536" t="s">
        <v>18</v>
      </c>
      <c r="G536" t="s">
        <v>19</v>
      </c>
      <c r="H536" t="s">
        <v>20</v>
      </c>
      <c r="I536" s="6" t="s">
        <v>533</v>
      </c>
      <c r="J536" s="61" t="s">
        <v>22</v>
      </c>
      <c r="L536" s="5" t="str">
        <f t="shared" si="75"/>
        <v>00535</v>
      </c>
      <c r="M536" s="47" t="str">
        <f t="shared" si="76"/>
        <v>01 de septiembre de 2017</v>
      </c>
      <c r="N536" s="323">
        <f t="shared" si="78"/>
        <v>1</v>
      </c>
      <c r="O536" s="25">
        <f t="shared" si="77"/>
        <v>42979</v>
      </c>
      <c r="P536" s="5" t="str">
        <f t="shared" si="80"/>
        <v>0,35</v>
      </c>
      <c r="Q536" s="4" t="e">
        <f t="shared" ca="1" si="81"/>
        <v>#NAME?</v>
      </c>
    </row>
    <row r="537" spans="1:17" ht="15.75" thickBot="1">
      <c r="A537" s="1">
        <f t="shared" si="79"/>
        <v>536</v>
      </c>
      <c r="C537" s="8" t="s">
        <v>17</v>
      </c>
      <c r="D537" s="2">
        <v>42979</v>
      </c>
      <c r="E537" s="3">
        <f>20000/100000</f>
        <v>0.2</v>
      </c>
      <c r="F537" t="s">
        <v>84</v>
      </c>
      <c r="G537" t="s">
        <v>85</v>
      </c>
      <c r="H537" t="s">
        <v>86</v>
      </c>
      <c r="I537" s="6" t="s">
        <v>534</v>
      </c>
      <c r="J537" s="61" t="s">
        <v>22</v>
      </c>
      <c r="L537" s="5" t="str">
        <f t="shared" si="75"/>
        <v>00536</v>
      </c>
      <c r="M537" s="47" t="str">
        <f t="shared" si="76"/>
        <v>01 de septiembre de 2017</v>
      </c>
      <c r="N537" s="323">
        <f t="shared" si="78"/>
        <v>1</v>
      </c>
      <c r="O537" s="25">
        <f t="shared" si="77"/>
        <v>42979</v>
      </c>
      <c r="P537" s="5" t="str">
        <f t="shared" si="80"/>
        <v>0,20</v>
      </c>
      <c r="Q537" s="4" t="e">
        <f t="shared" ca="1" si="81"/>
        <v>#NAME?</v>
      </c>
    </row>
    <row r="538" spans="1:17" ht="15.75" thickBot="1">
      <c r="A538" s="1">
        <f t="shared" si="79"/>
        <v>537</v>
      </c>
      <c r="C538" s="8" t="s">
        <v>17</v>
      </c>
      <c r="D538" s="2">
        <v>42979</v>
      </c>
      <c r="E538" s="3">
        <f>35000/100000</f>
        <v>0.35</v>
      </c>
      <c r="F538" t="s">
        <v>239</v>
      </c>
      <c r="G538" s="73" t="s">
        <v>240</v>
      </c>
      <c r="H538" t="s">
        <v>241</v>
      </c>
      <c r="I538" s="6" t="s">
        <v>500</v>
      </c>
      <c r="J538" s="61" t="s">
        <v>22</v>
      </c>
      <c r="L538" s="5" t="str">
        <f t="shared" si="75"/>
        <v>00537</v>
      </c>
      <c r="M538" s="47" t="str">
        <f t="shared" si="76"/>
        <v>01 de septiembre de 2017</v>
      </c>
      <c r="N538" s="323">
        <f t="shared" si="78"/>
        <v>1</v>
      </c>
      <c r="O538" s="25">
        <f t="shared" si="77"/>
        <v>42979</v>
      </c>
      <c r="P538" s="5" t="str">
        <f t="shared" si="80"/>
        <v>0,35</v>
      </c>
      <c r="Q538" s="4" t="e">
        <f t="shared" ca="1" si="81"/>
        <v>#NAME?</v>
      </c>
    </row>
    <row r="539" spans="1:17">
      <c r="A539" s="1">
        <f t="shared" si="79"/>
        <v>538</v>
      </c>
      <c r="C539" s="8" t="s">
        <v>17</v>
      </c>
      <c r="D539" s="2">
        <v>42981</v>
      </c>
      <c r="E539" s="3">
        <f>70000/100000</f>
        <v>0.7</v>
      </c>
      <c r="F539" t="s">
        <v>66</v>
      </c>
      <c r="G539" t="s">
        <v>67</v>
      </c>
      <c r="H539" t="s">
        <v>68</v>
      </c>
      <c r="I539" s="6" t="s">
        <v>535</v>
      </c>
      <c r="J539" s="61" t="s">
        <v>22</v>
      </c>
      <c r="L539" s="5" t="str">
        <f t="shared" si="75"/>
        <v>00538</v>
      </c>
      <c r="M539" s="47" t="str">
        <f t="shared" si="76"/>
        <v>03 de septiembre de 2017</v>
      </c>
      <c r="N539" s="323">
        <f t="shared" si="78"/>
        <v>3</v>
      </c>
      <c r="O539" s="25">
        <f t="shared" si="77"/>
        <v>42979</v>
      </c>
      <c r="P539" s="5" t="str">
        <f t="shared" si="80"/>
        <v>0,70</v>
      </c>
      <c r="Q539" s="4" t="e">
        <f t="shared" ca="1" si="81"/>
        <v>#NAME?</v>
      </c>
    </row>
    <row r="540" spans="1:17">
      <c r="A540" s="1">
        <f t="shared" si="79"/>
        <v>539</v>
      </c>
      <c r="C540" s="8" t="s">
        <v>17</v>
      </c>
      <c r="D540" s="2">
        <v>42982</v>
      </c>
      <c r="E540" s="3">
        <f>70000/100000</f>
        <v>0.7</v>
      </c>
      <c r="F540" t="s">
        <v>114</v>
      </c>
      <c r="G540" t="s">
        <v>115</v>
      </c>
      <c r="H540" t="s">
        <v>116</v>
      </c>
      <c r="I540" s="6" t="s">
        <v>529</v>
      </c>
      <c r="J540" s="61" t="s">
        <v>22</v>
      </c>
      <c r="L540" s="5" t="str">
        <f t="shared" si="75"/>
        <v>00539</v>
      </c>
      <c r="M540" s="47" t="str">
        <f t="shared" si="76"/>
        <v>04 de septiembre de 2017</v>
      </c>
      <c r="N540" s="323">
        <f t="shared" si="78"/>
        <v>4</v>
      </c>
      <c r="O540" s="25">
        <f t="shared" si="77"/>
        <v>42979</v>
      </c>
      <c r="P540" s="5" t="str">
        <f t="shared" si="80"/>
        <v>0,70</v>
      </c>
      <c r="Q540" s="4" t="e">
        <f t="shared" ca="1" si="81"/>
        <v>#NAME?</v>
      </c>
    </row>
    <row r="541" spans="1:17">
      <c r="A541" s="1">
        <f t="shared" si="79"/>
        <v>540</v>
      </c>
      <c r="C541" s="8" t="s">
        <v>17</v>
      </c>
      <c r="D541" s="2">
        <v>42982</v>
      </c>
      <c r="E541" s="3">
        <f>35000/100000</f>
        <v>0.35</v>
      </c>
      <c r="F541" t="s">
        <v>211</v>
      </c>
      <c r="G541" t="s">
        <v>212</v>
      </c>
      <c r="H541" t="s">
        <v>213</v>
      </c>
      <c r="I541" s="6" t="s">
        <v>514</v>
      </c>
      <c r="J541" s="61" t="s">
        <v>22</v>
      </c>
      <c r="L541" s="5" t="str">
        <f t="shared" si="75"/>
        <v>00540</v>
      </c>
      <c r="M541" s="47" t="str">
        <f t="shared" si="76"/>
        <v>04 de septiembre de 2017</v>
      </c>
      <c r="N541" s="323">
        <f t="shared" si="78"/>
        <v>4</v>
      </c>
      <c r="O541" s="25">
        <f t="shared" si="77"/>
        <v>42979</v>
      </c>
      <c r="P541" s="5" t="str">
        <f t="shared" si="80"/>
        <v>0,35</v>
      </c>
      <c r="Q541" s="4" t="e">
        <f t="shared" ca="1" si="81"/>
        <v>#NAME?</v>
      </c>
    </row>
    <row r="542" spans="1:17">
      <c r="A542" s="1">
        <f t="shared" si="79"/>
        <v>541</v>
      </c>
      <c r="C542" s="8" t="s">
        <v>17</v>
      </c>
      <c r="D542" s="2">
        <v>42983</v>
      </c>
      <c r="E542" s="3">
        <f>35000/100000</f>
        <v>0.35</v>
      </c>
      <c r="F542" t="s">
        <v>407</v>
      </c>
      <c r="G542" t="s">
        <v>408</v>
      </c>
      <c r="H542" t="s">
        <v>409</v>
      </c>
      <c r="I542" s="6" t="s">
        <v>514</v>
      </c>
      <c r="J542" s="61" t="s">
        <v>22</v>
      </c>
      <c r="L542" s="5" t="str">
        <f t="shared" si="75"/>
        <v>00541</v>
      </c>
      <c r="M542" s="47" t="str">
        <f t="shared" si="76"/>
        <v>05 de septiembre de 2017</v>
      </c>
      <c r="N542" s="323">
        <f t="shared" si="78"/>
        <v>5</v>
      </c>
      <c r="O542" s="25">
        <f t="shared" si="77"/>
        <v>42979</v>
      </c>
      <c r="P542" s="5" t="str">
        <f t="shared" si="80"/>
        <v>0,35</v>
      </c>
      <c r="Q542" s="4" t="e">
        <f t="shared" ca="1" si="81"/>
        <v>#NAME?</v>
      </c>
    </row>
    <row r="543" spans="1:17">
      <c r="A543" s="1">
        <f t="shared" si="79"/>
        <v>542</v>
      </c>
      <c r="C543" s="8" t="s">
        <v>17</v>
      </c>
      <c r="D543" s="2">
        <v>42983</v>
      </c>
      <c r="E543" s="3">
        <f>35000/100000</f>
        <v>0.35</v>
      </c>
      <c r="F543" t="s">
        <v>70</v>
      </c>
      <c r="G543" t="s">
        <v>71</v>
      </c>
      <c r="H543" t="s">
        <v>72</v>
      </c>
      <c r="I543" s="6" t="s">
        <v>528</v>
      </c>
      <c r="J543" s="61" t="s">
        <v>22</v>
      </c>
      <c r="L543" s="5" t="str">
        <f t="shared" si="75"/>
        <v>00542</v>
      </c>
      <c r="M543" s="47" t="str">
        <f t="shared" si="76"/>
        <v>05 de septiembre de 2017</v>
      </c>
      <c r="N543" s="323">
        <f t="shared" si="78"/>
        <v>5</v>
      </c>
      <c r="O543" s="25">
        <f t="shared" si="77"/>
        <v>42979</v>
      </c>
      <c r="P543" s="5" t="str">
        <f t="shared" si="80"/>
        <v>0,35</v>
      </c>
      <c r="Q543" s="4" t="e">
        <f t="shared" ca="1" si="81"/>
        <v>#NAME?</v>
      </c>
    </row>
    <row r="544" spans="1:17">
      <c r="A544" s="1">
        <f t="shared" si="79"/>
        <v>543</v>
      </c>
      <c r="C544" s="8" t="s">
        <v>17</v>
      </c>
      <c r="D544" s="2">
        <v>42983</v>
      </c>
      <c r="E544" s="3">
        <f>3*35000/100000</f>
        <v>1.05</v>
      </c>
      <c r="F544" t="s">
        <v>219</v>
      </c>
      <c r="G544" t="s">
        <v>220</v>
      </c>
      <c r="H544" t="s">
        <v>221</v>
      </c>
      <c r="I544" s="6" t="s">
        <v>536</v>
      </c>
      <c r="J544" s="61" t="s">
        <v>22</v>
      </c>
      <c r="L544" s="5" t="str">
        <f t="shared" si="75"/>
        <v>00543</v>
      </c>
      <c r="M544" s="47" t="str">
        <f t="shared" si="76"/>
        <v>05 de septiembre de 2017</v>
      </c>
      <c r="N544" s="323">
        <f t="shared" si="78"/>
        <v>5</v>
      </c>
      <c r="O544" s="25">
        <f t="shared" si="77"/>
        <v>42979</v>
      </c>
      <c r="P544" s="5" t="str">
        <f t="shared" si="80"/>
        <v>1,05</v>
      </c>
      <c r="Q544" s="4" t="e">
        <f t="shared" ca="1" si="81"/>
        <v>#NAME?</v>
      </c>
    </row>
    <row r="545" spans="1:17" ht="15.75" thickBot="1">
      <c r="A545" s="1">
        <f t="shared" si="79"/>
        <v>544</v>
      </c>
      <c r="C545" s="8" t="s">
        <v>17</v>
      </c>
      <c r="D545" s="2">
        <v>42984</v>
      </c>
      <c r="E545" s="3">
        <f>35000/100000</f>
        <v>0.35</v>
      </c>
      <c r="F545" t="s">
        <v>90</v>
      </c>
      <c r="G545" t="s">
        <v>91</v>
      </c>
      <c r="H545" t="s">
        <v>92</v>
      </c>
      <c r="I545" s="6" t="s">
        <v>528</v>
      </c>
      <c r="J545" s="61" t="s">
        <v>22</v>
      </c>
      <c r="L545" s="5" t="str">
        <f t="shared" si="75"/>
        <v>00544</v>
      </c>
      <c r="M545" s="47" t="str">
        <f t="shared" si="76"/>
        <v>06 de septiembre de 2017</v>
      </c>
      <c r="N545" s="323">
        <f t="shared" si="78"/>
        <v>6</v>
      </c>
      <c r="O545" s="25">
        <f t="shared" si="77"/>
        <v>42979</v>
      </c>
      <c r="P545" s="5" t="str">
        <f t="shared" si="80"/>
        <v>0,35</v>
      </c>
      <c r="Q545" s="4" t="e">
        <f t="shared" ca="1" si="81"/>
        <v>#NAME?</v>
      </c>
    </row>
    <row r="546" spans="1:17" ht="15.75" thickBot="1">
      <c r="A546" s="1">
        <f t="shared" si="79"/>
        <v>545</v>
      </c>
      <c r="C546" s="8" t="s">
        <v>17</v>
      </c>
      <c r="D546" s="2">
        <v>42984</v>
      </c>
      <c r="E546" s="3">
        <f>54000/100000</f>
        <v>0.54</v>
      </c>
      <c r="F546" s="23" t="s">
        <v>422</v>
      </c>
      <c r="G546" s="18" t="s">
        <v>58</v>
      </c>
      <c r="H546" t="s">
        <v>423</v>
      </c>
      <c r="I546" s="6" t="s">
        <v>528</v>
      </c>
      <c r="J546" s="61" t="s">
        <v>22</v>
      </c>
      <c r="L546" s="5" t="str">
        <f t="shared" si="75"/>
        <v>00545</v>
      </c>
      <c r="M546" s="47" t="str">
        <f t="shared" si="76"/>
        <v>06 de septiembre de 2017</v>
      </c>
      <c r="N546" s="323">
        <f t="shared" si="78"/>
        <v>6</v>
      </c>
      <c r="O546" s="25">
        <f t="shared" si="77"/>
        <v>42979</v>
      </c>
      <c r="P546" s="5" t="str">
        <f t="shared" si="80"/>
        <v>0,54</v>
      </c>
      <c r="Q546" s="4" t="e">
        <f t="shared" ca="1" si="81"/>
        <v>#NAME?</v>
      </c>
    </row>
    <row r="547" spans="1:17">
      <c r="A547" s="1">
        <f t="shared" si="79"/>
        <v>546</v>
      </c>
      <c r="C547" s="8" t="s">
        <v>17</v>
      </c>
      <c r="D547" s="2">
        <v>42984</v>
      </c>
      <c r="E547" s="3">
        <f>15000/100000</f>
        <v>0.15</v>
      </c>
      <c r="F547" t="s">
        <v>48</v>
      </c>
      <c r="G547" t="s">
        <v>49</v>
      </c>
      <c r="H547" t="s">
        <v>50</v>
      </c>
      <c r="I547" s="6" t="s">
        <v>534</v>
      </c>
      <c r="J547" s="61" t="s">
        <v>22</v>
      </c>
      <c r="L547" s="5" t="str">
        <f t="shared" si="75"/>
        <v>00546</v>
      </c>
      <c r="M547" s="47" t="str">
        <f t="shared" si="76"/>
        <v>06 de septiembre de 2017</v>
      </c>
      <c r="N547" s="323">
        <f t="shared" si="78"/>
        <v>6</v>
      </c>
      <c r="O547" s="25">
        <f t="shared" si="77"/>
        <v>42979</v>
      </c>
      <c r="P547" s="5" t="str">
        <f t="shared" si="80"/>
        <v>0,15</v>
      </c>
      <c r="Q547" s="4" t="e">
        <f t="shared" ca="1" si="81"/>
        <v>#NAME?</v>
      </c>
    </row>
    <row r="548" spans="1:17">
      <c r="A548" s="1">
        <f t="shared" si="79"/>
        <v>547</v>
      </c>
      <c r="C548" s="8" t="s">
        <v>17</v>
      </c>
      <c r="D548" s="2">
        <v>42970</v>
      </c>
      <c r="E548" s="3">
        <f>35000/100000</f>
        <v>0.35</v>
      </c>
      <c r="F548" t="s">
        <v>185</v>
      </c>
      <c r="G548" t="s">
        <v>186</v>
      </c>
      <c r="H548" t="s">
        <v>187</v>
      </c>
      <c r="I548" s="6" t="s">
        <v>514</v>
      </c>
      <c r="J548" s="61" t="s">
        <v>22</v>
      </c>
      <c r="L548" s="5" t="str">
        <f t="shared" si="75"/>
        <v>00547</v>
      </c>
      <c r="M548" s="47" t="str">
        <f t="shared" si="76"/>
        <v>23 de agosto de 2017</v>
      </c>
      <c r="N548" s="323">
        <f t="shared" si="78"/>
        <v>23</v>
      </c>
      <c r="O548" s="25">
        <f t="shared" si="77"/>
        <v>42948</v>
      </c>
      <c r="P548" s="5" t="str">
        <f t="shared" si="80"/>
        <v>0,35</v>
      </c>
      <c r="Q548" s="4" t="e">
        <f t="shared" ca="1" si="81"/>
        <v>#NAME?</v>
      </c>
    </row>
    <row r="549" spans="1:17">
      <c r="A549" s="1">
        <f t="shared" si="79"/>
        <v>548</v>
      </c>
      <c r="C549" s="8" t="s">
        <v>17</v>
      </c>
      <c r="D549" s="2">
        <v>42971</v>
      </c>
      <c r="E549" s="3">
        <f>35000/100000</f>
        <v>0.35</v>
      </c>
      <c r="F549" t="s">
        <v>134</v>
      </c>
      <c r="G549" t="s">
        <v>135</v>
      </c>
      <c r="H549" t="s">
        <v>136</v>
      </c>
      <c r="I549" s="6" t="s">
        <v>514</v>
      </c>
      <c r="J549" s="61" t="s">
        <v>22</v>
      </c>
      <c r="L549" s="5" t="str">
        <f t="shared" si="75"/>
        <v>00548</v>
      </c>
      <c r="M549" s="47" t="str">
        <f t="shared" si="76"/>
        <v>24 de agosto de 2017</v>
      </c>
      <c r="N549" s="323">
        <f t="shared" si="78"/>
        <v>24</v>
      </c>
      <c r="O549" s="25">
        <f t="shared" si="77"/>
        <v>42948</v>
      </c>
      <c r="P549" s="5" t="str">
        <f t="shared" si="80"/>
        <v>0,35</v>
      </c>
      <c r="Q549" s="4" t="e">
        <f t="shared" ca="1" si="81"/>
        <v>#NAME?</v>
      </c>
    </row>
    <row r="550" spans="1:17">
      <c r="A550" s="1">
        <f t="shared" si="79"/>
        <v>549</v>
      </c>
      <c r="C550" s="8" t="s">
        <v>17</v>
      </c>
      <c r="D550" s="2">
        <v>42985</v>
      </c>
      <c r="E550" s="3">
        <f>35000/100000</f>
        <v>0.35</v>
      </c>
      <c r="F550" t="s">
        <v>206</v>
      </c>
      <c r="G550" t="s">
        <v>207</v>
      </c>
      <c r="H550" t="s">
        <v>208</v>
      </c>
      <c r="I550" s="6" t="s">
        <v>500</v>
      </c>
      <c r="J550" s="61" t="s">
        <v>22</v>
      </c>
      <c r="L550" s="5" t="str">
        <f t="shared" si="75"/>
        <v>00549</v>
      </c>
      <c r="M550" s="47" t="str">
        <f t="shared" si="76"/>
        <v>07 de septiembre de 2017</v>
      </c>
      <c r="N550" s="323">
        <f t="shared" si="78"/>
        <v>7</v>
      </c>
      <c r="O550" s="25">
        <f t="shared" si="77"/>
        <v>42979</v>
      </c>
      <c r="P550" s="5" t="str">
        <f t="shared" si="80"/>
        <v>0,35</v>
      </c>
      <c r="Q550" s="4" t="e">
        <f t="shared" ca="1" si="81"/>
        <v>#NAME?</v>
      </c>
    </row>
    <row r="551" spans="1:17">
      <c r="A551" s="1">
        <f t="shared" si="79"/>
        <v>550</v>
      </c>
      <c r="C551" s="8" t="s">
        <v>17</v>
      </c>
      <c r="D551" s="2">
        <v>42988</v>
      </c>
      <c r="E551" s="3">
        <f>15000/100000</f>
        <v>0.15</v>
      </c>
      <c r="F551" t="s">
        <v>167</v>
      </c>
      <c r="G551" t="s">
        <v>168</v>
      </c>
      <c r="H551" t="s">
        <v>169</v>
      </c>
      <c r="I551" s="6" t="s">
        <v>513</v>
      </c>
      <c r="J551" s="61" t="s">
        <v>22</v>
      </c>
      <c r="L551" s="5" t="str">
        <f t="shared" si="75"/>
        <v>00550</v>
      </c>
      <c r="M551" s="47" t="str">
        <f t="shared" si="76"/>
        <v>10 de septiembre de 2017</v>
      </c>
      <c r="N551" s="323">
        <f t="shared" si="78"/>
        <v>10</v>
      </c>
      <c r="O551" s="25">
        <f t="shared" si="77"/>
        <v>42979</v>
      </c>
      <c r="P551" s="5" t="str">
        <f t="shared" si="80"/>
        <v>0,15</v>
      </c>
      <c r="Q551" s="4" t="e">
        <f t="shared" ca="1" si="81"/>
        <v>#NAME?</v>
      </c>
    </row>
    <row r="552" spans="1:17">
      <c r="A552" s="1">
        <f t="shared" si="79"/>
        <v>551</v>
      </c>
      <c r="C552" s="8" t="s">
        <v>17</v>
      </c>
      <c r="D552" s="2">
        <v>42989</v>
      </c>
      <c r="E552" s="3">
        <f>60000/100000</f>
        <v>0.6</v>
      </c>
      <c r="F552" t="s">
        <v>324</v>
      </c>
      <c r="G552" t="s">
        <v>325</v>
      </c>
      <c r="H552" t="s">
        <v>326</v>
      </c>
      <c r="I552" s="6" t="s">
        <v>523</v>
      </c>
      <c r="J552" s="61" t="s">
        <v>22</v>
      </c>
      <c r="L552" s="5" t="str">
        <f t="shared" si="75"/>
        <v>00551</v>
      </c>
      <c r="M552" s="47" t="str">
        <f t="shared" si="76"/>
        <v>11 de septiembre de 2017</v>
      </c>
      <c r="N552" s="323">
        <f t="shared" si="78"/>
        <v>11</v>
      </c>
      <c r="O552" s="25">
        <f t="shared" si="77"/>
        <v>42979</v>
      </c>
      <c r="P552" s="5" t="str">
        <f t="shared" si="80"/>
        <v>0,60</v>
      </c>
      <c r="Q552" s="4" t="e">
        <f t="shared" ca="1" si="81"/>
        <v>#NAME?</v>
      </c>
    </row>
    <row r="553" spans="1:17">
      <c r="A553" s="1">
        <f t="shared" si="79"/>
        <v>552</v>
      </c>
      <c r="C553" s="8" t="s">
        <v>17</v>
      </c>
      <c r="D553" s="2">
        <v>42990</v>
      </c>
      <c r="E553" s="3">
        <f>35000/100000</f>
        <v>0.35</v>
      </c>
      <c r="F553" t="s">
        <v>324</v>
      </c>
      <c r="G553" t="s">
        <v>325</v>
      </c>
      <c r="H553" t="s">
        <v>326</v>
      </c>
      <c r="I553" s="6" t="s">
        <v>528</v>
      </c>
      <c r="J553" s="61" t="s">
        <v>22</v>
      </c>
      <c r="L553" s="5" t="str">
        <f t="shared" si="75"/>
        <v>00552</v>
      </c>
      <c r="M553" s="47" t="str">
        <f t="shared" si="76"/>
        <v>12 de septiembre de 2017</v>
      </c>
      <c r="N553" s="323">
        <f t="shared" si="78"/>
        <v>12</v>
      </c>
      <c r="O553" s="25">
        <f t="shared" si="77"/>
        <v>42979</v>
      </c>
      <c r="P553" s="5" t="str">
        <f>TEXT(E553,"#.##0,00")</f>
        <v>0,35</v>
      </c>
      <c r="Q553" s="4" t="e">
        <f ca="1">CONVERTIRNUM(E553)</f>
        <v>#NAME?</v>
      </c>
    </row>
    <row r="554" spans="1:17">
      <c r="A554" s="1">
        <f t="shared" si="79"/>
        <v>553</v>
      </c>
      <c r="C554" s="8" t="s">
        <v>17</v>
      </c>
      <c r="D554" s="2">
        <v>42991</v>
      </c>
      <c r="E554" s="3">
        <f>9000/100000</f>
        <v>0.09</v>
      </c>
      <c r="F554" t="s">
        <v>114</v>
      </c>
      <c r="G554" t="s">
        <v>115</v>
      </c>
      <c r="H554" t="s">
        <v>116</v>
      </c>
      <c r="I554" s="6" t="s">
        <v>499</v>
      </c>
      <c r="J554" s="61" t="s">
        <v>22</v>
      </c>
      <c r="L554" s="5" t="str">
        <f t="shared" si="75"/>
        <v>00553</v>
      </c>
      <c r="M554" s="47" t="str">
        <f t="shared" si="76"/>
        <v>13 de septiembre de 2017</v>
      </c>
      <c r="N554" s="323">
        <f t="shared" si="78"/>
        <v>13</v>
      </c>
      <c r="O554" s="25">
        <f t="shared" si="77"/>
        <v>42979</v>
      </c>
      <c r="P554" s="5" t="str">
        <f>TEXT(E554,"#.##0,00")</f>
        <v>0,09</v>
      </c>
      <c r="Q554" s="4" t="e">
        <f ca="1">CONVERTIRNUM(E554)</f>
        <v>#NAME?</v>
      </c>
    </row>
    <row r="555" spans="1:17">
      <c r="A555" s="1">
        <f t="shared" si="79"/>
        <v>554</v>
      </c>
      <c r="C555" s="8" t="s">
        <v>17</v>
      </c>
      <c r="D555" s="2">
        <v>42991</v>
      </c>
      <c r="E555" s="3">
        <f>35000/100000</f>
        <v>0.35</v>
      </c>
      <c r="F555" t="s">
        <v>100</v>
      </c>
      <c r="G555" t="s">
        <v>95</v>
      </c>
      <c r="H555" t="s">
        <v>101</v>
      </c>
      <c r="I555" s="6" t="s">
        <v>528</v>
      </c>
      <c r="J555" s="61" t="s">
        <v>22</v>
      </c>
      <c r="L555" s="5" t="str">
        <f t="shared" si="75"/>
        <v>00554</v>
      </c>
      <c r="M555" s="47" t="str">
        <f t="shared" si="76"/>
        <v>13 de septiembre de 2017</v>
      </c>
      <c r="N555" s="323">
        <f t="shared" si="78"/>
        <v>13</v>
      </c>
      <c r="O555" s="25">
        <f t="shared" si="77"/>
        <v>42979</v>
      </c>
      <c r="P555" s="5" t="str">
        <f>TEXT(E555,"#.##0,00")</f>
        <v>0,35</v>
      </c>
      <c r="Q555" s="4" t="e">
        <f ca="1">CONVERTIRNUM(E555)</f>
        <v>#NAME?</v>
      </c>
    </row>
    <row r="556" spans="1:17">
      <c r="A556" s="1">
        <f t="shared" si="79"/>
        <v>555</v>
      </c>
      <c r="C556" s="8" t="s">
        <v>17</v>
      </c>
      <c r="D556" s="2">
        <v>42991</v>
      </c>
      <c r="E556" s="3">
        <f>3000/100000</f>
        <v>0.03</v>
      </c>
      <c r="F556" t="s">
        <v>94</v>
      </c>
      <c r="G556" t="s">
        <v>95</v>
      </c>
      <c r="H556" t="s">
        <v>96</v>
      </c>
      <c r="I556" s="6" t="s">
        <v>534</v>
      </c>
      <c r="J556" s="61" t="s">
        <v>22</v>
      </c>
      <c r="L556" s="5" t="str">
        <f t="shared" si="75"/>
        <v>00555</v>
      </c>
      <c r="M556" s="47" t="str">
        <f t="shared" si="76"/>
        <v>13 de septiembre de 2017</v>
      </c>
      <c r="N556" s="323">
        <f t="shared" si="78"/>
        <v>13</v>
      </c>
      <c r="O556" s="25">
        <f t="shared" si="77"/>
        <v>42979</v>
      </c>
      <c r="P556" s="5" t="str">
        <f>TEXT(E556,"#.##0,00")</f>
        <v>0,03</v>
      </c>
      <c r="Q556" s="4" t="e">
        <f ca="1">CONVERTIRNUM(E556)</f>
        <v>#NAME?</v>
      </c>
    </row>
    <row r="557" spans="1:17" ht="15.75" thickBot="1">
      <c r="A557" s="1">
        <f t="shared" si="79"/>
        <v>556</v>
      </c>
      <c r="C557" s="8" t="s">
        <v>17</v>
      </c>
      <c r="D557" s="2">
        <v>42991</v>
      </c>
      <c r="E557" s="3">
        <f>3*35000/100000</f>
        <v>1.05</v>
      </c>
      <c r="F557" t="s">
        <v>537</v>
      </c>
      <c r="G557" t="s">
        <v>538</v>
      </c>
      <c r="H557" t="s">
        <v>539</v>
      </c>
      <c r="I557" s="6" t="s">
        <v>536</v>
      </c>
      <c r="J557" s="61" t="s">
        <v>22</v>
      </c>
      <c r="L557" s="5" t="str">
        <f t="shared" si="75"/>
        <v>00556</v>
      </c>
      <c r="M557" s="47" t="str">
        <f t="shared" si="76"/>
        <v>13 de septiembre de 2017</v>
      </c>
      <c r="N557" s="323">
        <f t="shared" si="78"/>
        <v>13</v>
      </c>
      <c r="O557" s="25">
        <f t="shared" si="77"/>
        <v>42979</v>
      </c>
      <c r="P557" s="5" t="str">
        <f t="shared" ref="P557:P578" si="83">TEXT(E557,"#.##0,00")</f>
        <v>1,05</v>
      </c>
      <c r="Q557" s="4" t="e">
        <f t="shared" ref="Q557:Q578" ca="1" si="84">CONVERTIRNUM(E557)</f>
        <v>#NAME?</v>
      </c>
    </row>
    <row r="558" spans="1:17" ht="15.75" thickBot="1">
      <c r="A558" s="1">
        <f t="shared" si="79"/>
        <v>557</v>
      </c>
      <c r="C558" s="8" t="s">
        <v>17</v>
      </c>
      <c r="D558" s="2">
        <v>42992</v>
      </c>
      <c r="E558" s="3">
        <f>14900/100000</f>
        <v>0.14899999999999999</v>
      </c>
      <c r="F558" t="s">
        <v>397</v>
      </c>
      <c r="G558" s="48" t="s">
        <v>29</v>
      </c>
      <c r="H558" t="s">
        <v>398</v>
      </c>
      <c r="I558" s="6" t="s">
        <v>534</v>
      </c>
      <c r="J558" s="61" t="s">
        <v>22</v>
      </c>
      <c r="L558" s="5" t="str">
        <f t="shared" si="75"/>
        <v>00557</v>
      </c>
      <c r="M558" s="47" t="str">
        <f t="shared" si="76"/>
        <v>14 de septiembre de 2017</v>
      </c>
      <c r="N558" s="323">
        <f t="shared" si="78"/>
        <v>14</v>
      </c>
      <c r="O558" s="25">
        <f t="shared" si="77"/>
        <v>42979</v>
      </c>
      <c r="P558" s="5" t="str">
        <f t="shared" si="83"/>
        <v>0,15</v>
      </c>
      <c r="Q558" s="4" t="e">
        <f t="shared" ca="1" si="84"/>
        <v>#NAME?</v>
      </c>
    </row>
    <row r="559" spans="1:17">
      <c r="A559" s="1">
        <f t="shared" si="79"/>
        <v>558</v>
      </c>
      <c r="C559" s="8" t="s">
        <v>17</v>
      </c>
      <c r="D559" s="2">
        <v>42992</v>
      </c>
      <c r="E559" s="3">
        <f>20000/100000</f>
        <v>0.2</v>
      </c>
      <c r="F559" t="s">
        <v>28</v>
      </c>
      <c r="G559" t="s">
        <v>29</v>
      </c>
      <c r="H559" t="s">
        <v>30</v>
      </c>
      <c r="I559" s="6" t="s">
        <v>534</v>
      </c>
      <c r="J559" s="61" t="s">
        <v>22</v>
      </c>
      <c r="L559" s="5" t="str">
        <f t="shared" si="75"/>
        <v>00558</v>
      </c>
      <c r="M559" s="47" t="str">
        <f t="shared" si="76"/>
        <v>14 de septiembre de 2017</v>
      </c>
      <c r="N559" s="323">
        <f t="shared" si="78"/>
        <v>14</v>
      </c>
      <c r="O559" s="25">
        <f t="shared" si="77"/>
        <v>42979</v>
      </c>
      <c r="P559" s="5" t="str">
        <f t="shared" si="83"/>
        <v>0,20</v>
      </c>
      <c r="Q559" s="4" t="e">
        <f t="shared" ca="1" si="84"/>
        <v>#NAME?</v>
      </c>
    </row>
    <row r="560" spans="1:17">
      <c r="A560" s="1">
        <f t="shared" si="79"/>
        <v>559</v>
      </c>
      <c r="C560" s="8" t="s">
        <v>17</v>
      </c>
      <c r="D560" s="2">
        <v>42993</v>
      </c>
      <c r="E560" s="3">
        <f>35000/100000</f>
        <v>0.35</v>
      </c>
      <c r="F560" t="s">
        <v>103</v>
      </c>
      <c r="G560" t="s">
        <v>104</v>
      </c>
      <c r="H560" t="s">
        <v>105</v>
      </c>
      <c r="I560" s="6" t="s">
        <v>528</v>
      </c>
      <c r="J560" s="61" t="s">
        <v>22</v>
      </c>
      <c r="L560" s="5" t="str">
        <f t="shared" si="75"/>
        <v>00559</v>
      </c>
      <c r="M560" s="47" t="str">
        <f t="shared" si="76"/>
        <v>15 de septiembre de 2017</v>
      </c>
      <c r="N560" s="323">
        <f t="shared" si="78"/>
        <v>15</v>
      </c>
      <c r="O560" s="25">
        <f t="shared" si="77"/>
        <v>42979</v>
      </c>
      <c r="P560" s="5" t="str">
        <f t="shared" si="83"/>
        <v>0,35</v>
      </c>
      <c r="Q560" s="4" t="e">
        <f t="shared" ca="1" si="84"/>
        <v>#NAME?</v>
      </c>
    </row>
    <row r="561" spans="1:17">
      <c r="A561" s="1">
        <f t="shared" si="79"/>
        <v>560</v>
      </c>
      <c r="C561" s="8" t="s">
        <v>17</v>
      </c>
      <c r="D561" s="2">
        <v>42993</v>
      </c>
      <c r="E561" s="3">
        <f>35000/100000</f>
        <v>0.35</v>
      </c>
      <c r="F561" t="s">
        <v>122</v>
      </c>
      <c r="G561" t="s">
        <v>123</v>
      </c>
      <c r="H561" t="s">
        <v>124</v>
      </c>
      <c r="I561" s="6" t="s">
        <v>528</v>
      </c>
      <c r="J561" s="61" t="s">
        <v>22</v>
      </c>
      <c r="L561" s="5" t="str">
        <f t="shared" si="75"/>
        <v>00560</v>
      </c>
      <c r="M561" s="47" t="str">
        <f t="shared" si="76"/>
        <v>15 de septiembre de 2017</v>
      </c>
      <c r="N561" s="323">
        <f t="shared" si="78"/>
        <v>15</v>
      </c>
      <c r="O561" s="25">
        <f t="shared" si="77"/>
        <v>42979</v>
      </c>
      <c r="P561" s="5" t="str">
        <f t="shared" si="83"/>
        <v>0,35</v>
      </c>
      <c r="Q561" s="4" t="e">
        <f t="shared" ca="1" si="84"/>
        <v>#NAME?</v>
      </c>
    </row>
    <row r="562" spans="1:17">
      <c r="A562" s="1">
        <f t="shared" si="79"/>
        <v>561</v>
      </c>
      <c r="C562" s="8" t="s">
        <v>17</v>
      </c>
      <c r="D562" s="2">
        <v>42993</v>
      </c>
      <c r="E562" s="3">
        <f>17000/100000</f>
        <v>0.17</v>
      </c>
      <c r="F562" t="s">
        <v>401</v>
      </c>
      <c r="G562" t="s">
        <v>402</v>
      </c>
      <c r="H562" t="s">
        <v>403</v>
      </c>
      <c r="I562" s="6" t="s">
        <v>534</v>
      </c>
      <c r="J562" s="61" t="s">
        <v>22</v>
      </c>
      <c r="L562" s="5" t="str">
        <f t="shared" si="75"/>
        <v>00561</v>
      </c>
      <c r="M562" s="47" t="str">
        <f t="shared" si="76"/>
        <v>15 de septiembre de 2017</v>
      </c>
      <c r="N562" s="323">
        <f t="shared" si="78"/>
        <v>15</v>
      </c>
      <c r="O562" s="25">
        <f t="shared" si="77"/>
        <v>42979</v>
      </c>
      <c r="P562" s="5" t="str">
        <f t="shared" si="83"/>
        <v>0,17</v>
      </c>
      <c r="Q562" s="4" t="e">
        <f t="shared" ca="1" si="84"/>
        <v>#NAME?</v>
      </c>
    </row>
    <row r="563" spans="1:17">
      <c r="A563" s="1">
        <f t="shared" si="79"/>
        <v>562</v>
      </c>
      <c r="C563" s="8" t="s">
        <v>17</v>
      </c>
      <c r="D563" s="2">
        <v>42993</v>
      </c>
      <c r="E563" s="3">
        <f>35000/100000</f>
        <v>0.35</v>
      </c>
      <c r="F563" t="s">
        <v>152</v>
      </c>
      <c r="G563" t="s">
        <v>153</v>
      </c>
      <c r="H563" t="s">
        <v>154</v>
      </c>
      <c r="I563" s="6" t="s">
        <v>528</v>
      </c>
      <c r="J563" s="61" t="s">
        <v>22</v>
      </c>
      <c r="L563" s="5" t="str">
        <f t="shared" si="75"/>
        <v>00562</v>
      </c>
      <c r="M563" s="47" t="str">
        <f t="shared" si="76"/>
        <v>15 de septiembre de 2017</v>
      </c>
      <c r="N563" s="323">
        <f t="shared" si="78"/>
        <v>15</v>
      </c>
      <c r="O563" s="25">
        <f t="shared" si="77"/>
        <v>42979</v>
      </c>
      <c r="P563" s="5" t="str">
        <f t="shared" si="83"/>
        <v>0,35</v>
      </c>
      <c r="Q563" s="4" t="e">
        <f t="shared" ca="1" si="84"/>
        <v>#NAME?</v>
      </c>
    </row>
    <row r="564" spans="1:17">
      <c r="A564" s="1">
        <f t="shared" si="79"/>
        <v>563</v>
      </c>
      <c r="C564" s="8" t="s">
        <v>17</v>
      </c>
      <c r="D564" s="2">
        <v>42994</v>
      </c>
      <c r="E564" s="3">
        <f>20000/100000</f>
        <v>0.2</v>
      </c>
      <c r="F564" t="s">
        <v>181</v>
      </c>
      <c r="G564" t="s">
        <v>182</v>
      </c>
      <c r="H564" t="s">
        <v>183</v>
      </c>
      <c r="I564" s="6" t="s">
        <v>534</v>
      </c>
      <c r="J564" s="61" t="s">
        <v>22</v>
      </c>
      <c r="L564" s="5" t="str">
        <f t="shared" si="75"/>
        <v>00563</v>
      </c>
      <c r="M564" s="47" t="str">
        <f t="shared" si="76"/>
        <v>16 de septiembre de 2017</v>
      </c>
      <c r="N564" s="323">
        <f t="shared" si="78"/>
        <v>16</v>
      </c>
      <c r="O564" s="25">
        <f t="shared" si="77"/>
        <v>42979</v>
      </c>
      <c r="P564" s="5" t="str">
        <f t="shared" si="83"/>
        <v>0,20</v>
      </c>
      <c r="Q564" s="4" t="e">
        <f t="shared" ca="1" si="84"/>
        <v>#NAME?</v>
      </c>
    </row>
    <row r="565" spans="1:17">
      <c r="A565" s="1">
        <f t="shared" si="79"/>
        <v>564</v>
      </c>
      <c r="C565" s="8" t="s">
        <v>17</v>
      </c>
      <c r="D565" s="2">
        <v>42996</v>
      </c>
      <c r="E565" s="3">
        <f>35000/100000</f>
        <v>0.35</v>
      </c>
      <c r="F565" t="s">
        <v>201</v>
      </c>
      <c r="G565" t="s">
        <v>202</v>
      </c>
      <c r="H565" t="s">
        <v>203</v>
      </c>
      <c r="I565" s="6" t="s">
        <v>514</v>
      </c>
      <c r="J565" s="61" t="s">
        <v>22</v>
      </c>
      <c r="L565" s="5" t="str">
        <f t="shared" si="75"/>
        <v>00564</v>
      </c>
      <c r="M565" s="47" t="str">
        <f t="shared" si="76"/>
        <v>18 de septiembre de 2017</v>
      </c>
      <c r="N565" s="323">
        <f t="shared" si="78"/>
        <v>18</v>
      </c>
      <c r="O565" s="25">
        <f t="shared" si="77"/>
        <v>42979</v>
      </c>
      <c r="P565" s="5" t="str">
        <f t="shared" si="83"/>
        <v>0,35</v>
      </c>
      <c r="Q565" s="4" t="e">
        <f t="shared" ca="1" si="84"/>
        <v>#NAME?</v>
      </c>
    </row>
    <row r="566" spans="1:17">
      <c r="A566" s="1">
        <f t="shared" si="79"/>
        <v>565</v>
      </c>
      <c r="C566" s="8" t="s">
        <v>17</v>
      </c>
      <c r="D566" s="2">
        <v>42996</v>
      </c>
      <c r="E566" s="3">
        <f>35000/100000</f>
        <v>0.35</v>
      </c>
      <c r="F566" t="s">
        <v>107</v>
      </c>
      <c r="G566" t="s">
        <v>108</v>
      </c>
      <c r="H566" t="s">
        <v>109</v>
      </c>
      <c r="I566" s="6" t="s">
        <v>528</v>
      </c>
      <c r="J566" s="61" t="s">
        <v>22</v>
      </c>
      <c r="L566" s="5" t="str">
        <f t="shared" si="75"/>
        <v>00565</v>
      </c>
      <c r="M566" s="47" t="str">
        <f t="shared" si="76"/>
        <v>18 de septiembre de 2017</v>
      </c>
      <c r="N566" s="323">
        <f t="shared" si="78"/>
        <v>18</v>
      </c>
      <c r="O566" s="25">
        <f t="shared" si="77"/>
        <v>42979</v>
      </c>
      <c r="P566" s="5" t="str">
        <f t="shared" si="83"/>
        <v>0,35</v>
      </c>
      <c r="Q566" s="4" t="e">
        <f t="shared" ca="1" si="84"/>
        <v>#NAME?</v>
      </c>
    </row>
    <row r="567" spans="1:17">
      <c r="A567" s="1">
        <f t="shared" si="79"/>
        <v>566</v>
      </c>
      <c r="C567" s="8" t="s">
        <v>17</v>
      </c>
      <c r="D567" s="2">
        <v>42996</v>
      </c>
      <c r="E567" s="3">
        <f>20000/100000</f>
        <v>0.2</v>
      </c>
      <c r="F567" t="s">
        <v>284</v>
      </c>
      <c r="G567" t="s">
        <v>276</v>
      </c>
      <c r="H567" t="s">
        <v>285</v>
      </c>
      <c r="I567" s="6" t="s">
        <v>523</v>
      </c>
      <c r="J567" s="61" t="s">
        <v>22</v>
      </c>
      <c r="L567" s="5" t="str">
        <f t="shared" si="75"/>
        <v>00566</v>
      </c>
      <c r="M567" s="47" t="str">
        <f t="shared" si="76"/>
        <v>18 de septiembre de 2017</v>
      </c>
      <c r="N567" s="323">
        <f t="shared" si="78"/>
        <v>18</v>
      </c>
      <c r="O567" s="25">
        <f t="shared" si="77"/>
        <v>42979</v>
      </c>
      <c r="P567" s="5" t="str">
        <f t="shared" si="83"/>
        <v>0,20</v>
      </c>
      <c r="Q567" s="4" t="e">
        <f t="shared" ca="1" si="84"/>
        <v>#NAME?</v>
      </c>
    </row>
    <row r="568" spans="1:17">
      <c r="A568" s="1">
        <f t="shared" si="79"/>
        <v>567</v>
      </c>
      <c r="C568" s="8" t="s">
        <v>17</v>
      </c>
      <c r="D568" s="2">
        <v>42996</v>
      </c>
      <c r="E568" s="3">
        <f>35000/100000</f>
        <v>0.35</v>
      </c>
      <c r="F568" t="s">
        <v>36</v>
      </c>
      <c r="G568" t="s">
        <v>37</v>
      </c>
      <c r="H568" t="s">
        <v>38</v>
      </c>
      <c r="I568" s="6" t="s">
        <v>540</v>
      </c>
      <c r="J568" s="61" t="s">
        <v>22</v>
      </c>
      <c r="L568" s="5" t="str">
        <f t="shared" si="75"/>
        <v>00567</v>
      </c>
      <c r="M568" s="47" t="str">
        <f t="shared" si="76"/>
        <v>18 de septiembre de 2017</v>
      </c>
      <c r="N568" s="323">
        <f t="shared" si="78"/>
        <v>18</v>
      </c>
      <c r="O568" s="25">
        <f t="shared" si="77"/>
        <v>42979</v>
      </c>
      <c r="P568" s="5" t="str">
        <f t="shared" si="83"/>
        <v>0,35</v>
      </c>
      <c r="Q568" s="4" t="e">
        <f t="shared" ca="1" si="84"/>
        <v>#NAME?</v>
      </c>
    </row>
    <row r="569" spans="1:17">
      <c r="A569" s="1">
        <f t="shared" si="79"/>
        <v>568</v>
      </c>
      <c r="C569" s="8" t="s">
        <v>17</v>
      </c>
      <c r="D569" s="2">
        <v>42997</v>
      </c>
      <c r="E569" s="3">
        <f>35000/100000</f>
        <v>0.35</v>
      </c>
      <c r="F569" t="s">
        <v>40</v>
      </c>
      <c r="G569" t="s">
        <v>41</v>
      </c>
      <c r="H569" t="s">
        <v>42</v>
      </c>
      <c r="I569" s="6" t="s">
        <v>528</v>
      </c>
      <c r="J569" s="61" t="s">
        <v>22</v>
      </c>
      <c r="L569" s="5" t="str">
        <f t="shared" si="75"/>
        <v>00568</v>
      </c>
      <c r="M569" s="47" t="str">
        <f t="shared" si="76"/>
        <v>19 de septiembre de 2017</v>
      </c>
      <c r="N569" s="323">
        <f t="shared" si="78"/>
        <v>19</v>
      </c>
      <c r="O569" s="25">
        <f t="shared" si="77"/>
        <v>42979</v>
      </c>
      <c r="P569" s="5" t="str">
        <f t="shared" si="83"/>
        <v>0,35</v>
      </c>
      <c r="Q569" s="4" t="e">
        <f t="shared" ca="1" si="84"/>
        <v>#NAME?</v>
      </c>
    </row>
    <row r="570" spans="1:17">
      <c r="A570" s="1">
        <f t="shared" si="79"/>
        <v>569</v>
      </c>
      <c r="C570" s="8" t="s">
        <v>17</v>
      </c>
      <c r="D570" s="2">
        <v>42997</v>
      </c>
      <c r="E570" s="3">
        <f>35000/100000</f>
        <v>0.35</v>
      </c>
      <c r="F570" t="s">
        <v>211</v>
      </c>
      <c r="G570" t="s">
        <v>212</v>
      </c>
      <c r="H570" t="s">
        <v>213</v>
      </c>
      <c r="I570" s="6" t="s">
        <v>528</v>
      </c>
      <c r="J570" s="61" t="s">
        <v>22</v>
      </c>
      <c r="L570" s="5" t="str">
        <f t="shared" si="75"/>
        <v>00569</v>
      </c>
      <c r="M570" s="47" t="str">
        <f t="shared" si="76"/>
        <v>19 de septiembre de 2017</v>
      </c>
      <c r="N570" s="323">
        <f t="shared" si="78"/>
        <v>19</v>
      </c>
      <c r="O570" s="25">
        <f t="shared" si="77"/>
        <v>42979</v>
      </c>
      <c r="P570" s="5" t="str">
        <f t="shared" si="83"/>
        <v>0,35</v>
      </c>
      <c r="Q570" s="4" t="e">
        <f t="shared" ca="1" si="84"/>
        <v>#NAME?</v>
      </c>
    </row>
    <row r="571" spans="1:17">
      <c r="A571" s="1">
        <f t="shared" si="79"/>
        <v>570</v>
      </c>
      <c r="C571" s="8" t="s">
        <v>17</v>
      </c>
      <c r="D571" s="2">
        <v>42997</v>
      </c>
      <c r="E571" s="3">
        <f>2*35000/100000</f>
        <v>0.7</v>
      </c>
      <c r="F571" t="s">
        <v>287</v>
      </c>
      <c r="G571" t="s">
        <v>288</v>
      </c>
      <c r="H571" t="s">
        <v>289</v>
      </c>
      <c r="I571" s="6" t="s">
        <v>508</v>
      </c>
      <c r="J571" s="61" t="s">
        <v>22</v>
      </c>
      <c r="L571" s="5" t="str">
        <f t="shared" si="75"/>
        <v>00570</v>
      </c>
      <c r="M571" s="47" t="str">
        <f t="shared" si="76"/>
        <v>19 de septiembre de 2017</v>
      </c>
      <c r="N571" s="323">
        <f t="shared" si="78"/>
        <v>19</v>
      </c>
      <c r="O571" s="25">
        <f t="shared" si="77"/>
        <v>42979</v>
      </c>
      <c r="P571" s="5" t="str">
        <f t="shared" si="83"/>
        <v>0,70</v>
      </c>
      <c r="Q571" s="4" t="e">
        <f t="shared" ca="1" si="84"/>
        <v>#NAME?</v>
      </c>
    </row>
    <row r="572" spans="1:17">
      <c r="A572" s="1">
        <f t="shared" si="79"/>
        <v>571</v>
      </c>
      <c r="C572" s="8" t="s">
        <v>17</v>
      </c>
      <c r="D572" s="2">
        <v>42998</v>
      </c>
      <c r="E572" s="3">
        <f>35000/100000</f>
        <v>0.35</v>
      </c>
      <c r="F572" t="s">
        <v>134</v>
      </c>
      <c r="G572" t="s">
        <v>135</v>
      </c>
      <c r="H572" t="s">
        <v>136</v>
      </c>
      <c r="I572" s="6" t="s">
        <v>528</v>
      </c>
      <c r="J572" s="61" t="s">
        <v>22</v>
      </c>
      <c r="L572" s="5" t="str">
        <f t="shared" si="75"/>
        <v>00571</v>
      </c>
      <c r="M572" s="47" t="str">
        <f t="shared" si="76"/>
        <v>20 de septiembre de 2017</v>
      </c>
      <c r="N572" s="323">
        <f t="shared" si="78"/>
        <v>20</v>
      </c>
      <c r="O572" s="25">
        <f t="shared" si="77"/>
        <v>42979</v>
      </c>
      <c r="P572" s="5" t="str">
        <f t="shared" si="83"/>
        <v>0,35</v>
      </c>
      <c r="Q572" s="4" t="e">
        <f t="shared" ca="1" si="84"/>
        <v>#NAME?</v>
      </c>
    </row>
    <row r="573" spans="1:17">
      <c r="A573" s="1">
        <f t="shared" si="79"/>
        <v>572</v>
      </c>
      <c r="C573" s="8" t="s">
        <v>17</v>
      </c>
      <c r="D573" s="2">
        <v>42998</v>
      </c>
      <c r="E573" s="3">
        <f>35000/100000</f>
        <v>0.35</v>
      </c>
      <c r="F573" t="s">
        <v>443</v>
      </c>
      <c r="G573" t="s">
        <v>444</v>
      </c>
      <c r="H573" t="s">
        <v>75</v>
      </c>
      <c r="I573" s="6" t="s">
        <v>528</v>
      </c>
      <c r="J573" s="61" t="s">
        <v>22</v>
      </c>
      <c r="L573" s="5" t="str">
        <f t="shared" si="75"/>
        <v>00572</v>
      </c>
      <c r="M573" s="47" t="str">
        <f t="shared" si="76"/>
        <v>20 de septiembre de 2017</v>
      </c>
      <c r="N573" s="323">
        <f t="shared" si="78"/>
        <v>20</v>
      </c>
      <c r="O573" s="25">
        <f t="shared" si="77"/>
        <v>42979</v>
      </c>
      <c r="P573" s="5" t="str">
        <f t="shared" si="83"/>
        <v>0,35</v>
      </c>
      <c r="Q573" s="4" t="e">
        <f t="shared" ca="1" si="84"/>
        <v>#NAME?</v>
      </c>
    </row>
    <row r="574" spans="1:17">
      <c r="A574" s="1">
        <f t="shared" si="79"/>
        <v>573</v>
      </c>
      <c r="C574" s="8" t="s">
        <v>17</v>
      </c>
      <c r="D574" s="2">
        <v>42998</v>
      </c>
      <c r="E574" s="3">
        <f>35000/100000</f>
        <v>0.35</v>
      </c>
      <c r="F574" t="s">
        <v>230</v>
      </c>
      <c r="G574" t="s">
        <v>231</v>
      </c>
      <c r="H574" t="s">
        <v>232</v>
      </c>
      <c r="I574" s="6" t="s">
        <v>514</v>
      </c>
      <c r="J574" s="61" t="s">
        <v>22</v>
      </c>
      <c r="L574" s="5" t="str">
        <f t="shared" si="75"/>
        <v>00573</v>
      </c>
      <c r="M574" s="47" t="str">
        <f t="shared" si="76"/>
        <v>20 de septiembre de 2017</v>
      </c>
      <c r="N574" s="323">
        <f t="shared" si="78"/>
        <v>20</v>
      </c>
      <c r="O574" s="25">
        <f t="shared" si="77"/>
        <v>42979</v>
      </c>
      <c r="P574" s="5" t="str">
        <f t="shared" si="83"/>
        <v>0,35</v>
      </c>
      <c r="Q574" s="4" t="e">
        <f t="shared" ca="1" si="84"/>
        <v>#NAME?</v>
      </c>
    </row>
    <row r="575" spans="1:17" ht="15.75" thickBot="1">
      <c r="A575" s="1">
        <f t="shared" si="79"/>
        <v>574</v>
      </c>
      <c r="C575" s="8" t="s">
        <v>17</v>
      </c>
      <c r="D575" s="2">
        <v>42999</v>
      </c>
      <c r="E575" s="3">
        <f>35000/100000</f>
        <v>0.35</v>
      </c>
      <c r="F575" t="s">
        <v>18</v>
      </c>
      <c r="G575" t="s">
        <v>19</v>
      </c>
      <c r="H575" t="s">
        <v>20</v>
      </c>
      <c r="I575" s="6" t="s">
        <v>541</v>
      </c>
      <c r="J575" s="61" t="s">
        <v>227</v>
      </c>
      <c r="L575" s="5" t="str">
        <f t="shared" si="75"/>
        <v>00574</v>
      </c>
      <c r="M575" s="47" t="str">
        <f t="shared" si="76"/>
        <v>21 de septiembre de 2017</v>
      </c>
      <c r="N575" s="323">
        <f t="shared" si="78"/>
        <v>21</v>
      </c>
      <c r="O575" s="25">
        <f t="shared" si="77"/>
        <v>42979</v>
      </c>
      <c r="P575" s="5" t="str">
        <f t="shared" si="83"/>
        <v>0,35</v>
      </c>
      <c r="Q575" s="4" t="e">
        <f t="shared" ca="1" si="84"/>
        <v>#NAME?</v>
      </c>
    </row>
    <row r="576" spans="1:17" ht="15.75" thickBot="1">
      <c r="A576" s="1">
        <f t="shared" si="79"/>
        <v>575</v>
      </c>
      <c r="C576" s="8" t="s">
        <v>17</v>
      </c>
      <c r="D576" s="2">
        <v>42999</v>
      </c>
      <c r="E576" s="3">
        <f>10000/100000</f>
        <v>0.1</v>
      </c>
      <c r="F576" t="s">
        <v>303</v>
      </c>
      <c r="G576" s="18" t="s">
        <v>58</v>
      </c>
      <c r="H576" t="s">
        <v>304</v>
      </c>
      <c r="I576" s="6" t="s">
        <v>513</v>
      </c>
      <c r="J576" s="61" t="s">
        <v>22</v>
      </c>
      <c r="L576" s="5" t="str">
        <f t="shared" si="75"/>
        <v>00575</v>
      </c>
      <c r="M576" s="47" t="str">
        <f t="shared" si="76"/>
        <v>21 de septiembre de 2017</v>
      </c>
      <c r="N576" s="323">
        <f t="shared" si="78"/>
        <v>21</v>
      </c>
      <c r="O576" s="25">
        <f t="shared" si="77"/>
        <v>42979</v>
      </c>
      <c r="P576" s="5" t="str">
        <f t="shared" si="83"/>
        <v>0,10</v>
      </c>
      <c r="Q576" s="4" t="e">
        <f t="shared" ca="1" si="84"/>
        <v>#NAME?</v>
      </c>
    </row>
    <row r="577" spans="1:17">
      <c r="A577" s="1">
        <f t="shared" si="79"/>
        <v>576</v>
      </c>
      <c r="C577" s="8" t="s">
        <v>17</v>
      </c>
      <c r="D577" s="2">
        <v>42999</v>
      </c>
      <c r="E577" s="3">
        <f>35000/100000</f>
        <v>0.35</v>
      </c>
      <c r="F577" t="s">
        <v>197</v>
      </c>
      <c r="G577" t="s">
        <v>198</v>
      </c>
      <c r="H577" t="s">
        <v>199</v>
      </c>
      <c r="I577" s="6" t="s">
        <v>542</v>
      </c>
      <c r="J577" s="61" t="s">
        <v>22</v>
      </c>
      <c r="L577" s="5" t="str">
        <f t="shared" si="75"/>
        <v>00576</v>
      </c>
      <c r="M577" s="47" t="str">
        <f t="shared" si="76"/>
        <v>21 de septiembre de 2017</v>
      </c>
      <c r="N577" s="323">
        <f t="shared" si="78"/>
        <v>21</v>
      </c>
      <c r="O577" s="25">
        <f t="shared" si="77"/>
        <v>42979</v>
      </c>
      <c r="P577" s="5" t="str">
        <f t="shared" si="83"/>
        <v>0,35</v>
      </c>
      <c r="Q577" s="4" t="e">
        <f t="shared" ca="1" si="84"/>
        <v>#NAME?</v>
      </c>
    </row>
    <row r="578" spans="1:17">
      <c r="A578" s="1">
        <f t="shared" si="79"/>
        <v>577</v>
      </c>
      <c r="C578" s="8" t="s">
        <v>17</v>
      </c>
      <c r="D578" s="2">
        <v>42999</v>
      </c>
      <c r="E578" s="3">
        <f>25000/100000</f>
        <v>0.25</v>
      </c>
      <c r="F578" t="s">
        <v>342</v>
      </c>
      <c r="G578" t="s">
        <v>343</v>
      </c>
      <c r="H578" t="s">
        <v>344</v>
      </c>
      <c r="I578" s="6" t="s">
        <v>478</v>
      </c>
      <c r="J578" s="61" t="s">
        <v>22</v>
      </c>
      <c r="L578" s="5" t="str">
        <f t="shared" ref="L578:L641" si="85">IF(ISBLANK(A578),"",TEXT(A578,"00000"))</f>
        <v>00577</v>
      </c>
      <c r="M578" s="47" t="str">
        <f t="shared" ref="M578:M641" si="86">IF(ISBLANK(D578),"",TEXT(D578,"dd")&amp;" de "&amp;TEXT(D578,"mmmm")&amp;" de "&amp;TEXT(YEAR(D578),"0"))</f>
        <v>21 de septiembre de 2017</v>
      </c>
      <c r="N578" s="323">
        <f t="shared" si="78"/>
        <v>21</v>
      </c>
      <c r="O578" s="25">
        <f t="shared" ref="O578:O641" si="87">DATE(YEAR(D578),MONTH(D578),1)</f>
        <v>42979</v>
      </c>
      <c r="P578" s="5" t="str">
        <f t="shared" si="83"/>
        <v>0,25</v>
      </c>
      <c r="Q578" s="4" t="e">
        <f t="shared" ca="1" si="84"/>
        <v>#NAME?</v>
      </c>
    </row>
    <row r="579" spans="1:17" ht="15.75" thickBot="1">
      <c r="A579" s="1">
        <f t="shared" si="79"/>
        <v>578</v>
      </c>
      <c r="C579" s="8" t="s">
        <v>17</v>
      </c>
      <c r="D579" s="2">
        <v>42999</v>
      </c>
      <c r="E579" s="3">
        <f>30000/100000</f>
        <v>0.3</v>
      </c>
      <c r="F579" t="s">
        <v>342</v>
      </c>
      <c r="G579" t="s">
        <v>343</v>
      </c>
      <c r="H579" t="s">
        <v>344</v>
      </c>
      <c r="I579" s="6" t="s">
        <v>513</v>
      </c>
      <c r="J579" s="61" t="s">
        <v>22</v>
      </c>
      <c r="L579" s="5" t="str">
        <f t="shared" si="85"/>
        <v>00578</v>
      </c>
      <c r="M579" s="47" t="str">
        <f t="shared" si="86"/>
        <v>21 de septiembre de 2017</v>
      </c>
      <c r="N579" s="323">
        <f t="shared" ref="N579:N642" si="88">DAY(D579)</f>
        <v>21</v>
      </c>
      <c r="O579" s="25">
        <f t="shared" si="87"/>
        <v>42979</v>
      </c>
      <c r="P579" s="5" t="str">
        <f t="shared" ref="P579:P590" si="89">TEXT(E579,"#.##0,00")</f>
        <v>0,30</v>
      </c>
      <c r="Q579" s="4" t="e">
        <f t="shared" ref="Q579:Q590" ca="1" si="90">CONVERTIRNUM(E579)</f>
        <v>#NAME?</v>
      </c>
    </row>
    <row r="580" spans="1:17" ht="15.75" thickBot="1">
      <c r="A580" s="1">
        <f t="shared" ref="A580:A643" si="91">A579+1</f>
        <v>579</v>
      </c>
      <c r="C580" s="8" t="s">
        <v>17</v>
      </c>
      <c r="D580" s="2">
        <v>43000</v>
      </c>
      <c r="E580" s="3">
        <f>35000/100000</f>
        <v>0.35</v>
      </c>
      <c r="F580" t="s">
        <v>319</v>
      </c>
      <c r="G580" s="18" t="s">
        <v>58</v>
      </c>
      <c r="H580" t="s">
        <v>320</v>
      </c>
      <c r="I580" s="6" t="s">
        <v>528</v>
      </c>
      <c r="J580" s="61" t="s">
        <v>22</v>
      </c>
      <c r="L580" s="5" t="str">
        <f t="shared" si="85"/>
        <v>00579</v>
      </c>
      <c r="M580" s="47" t="str">
        <f t="shared" si="86"/>
        <v>22 de septiembre de 2017</v>
      </c>
      <c r="N580" s="323">
        <f t="shared" si="88"/>
        <v>22</v>
      </c>
      <c r="O580" s="25">
        <f t="shared" si="87"/>
        <v>42979</v>
      </c>
      <c r="P580" s="5" t="str">
        <f t="shared" si="89"/>
        <v>0,35</v>
      </c>
      <c r="Q580" s="4" t="e">
        <f t="shared" ca="1" si="90"/>
        <v>#NAME?</v>
      </c>
    </row>
    <row r="581" spans="1:17" ht="15.75" thickBot="1">
      <c r="A581" s="1">
        <f t="shared" si="91"/>
        <v>580</v>
      </c>
      <c r="C581" s="8" t="s">
        <v>17</v>
      </c>
      <c r="D581" s="2">
        <v>43001</v>
      </c>
      <c r="E581" s="3">
        <f>7*3000/100000</f>
        <v>0.21</v>
      </c>
      <c r="F581" t="s">
        <v>433</v>
      </c>
      <c r="G581" t="s">
        <v>434</v>
      </c>
      <c r="H581" t="s">
        <v>435</v>
      </c>
      <c r="I581" s="6" t="s">
        <v>543</v>
      </c>
      <c r="J581" s="61" t="s">
        <v>22</v>
      </c>
      <c r="L581" s="5" t="str">
        <f t="shared" si="85"/>
        <v>00580</v>
      </c>
      <c r="M581" s="47" t="str">
        <f t="shared" si="86"/>
        <v>23 de septiembre de 2017</v>
      </c>
      <c r="N581" s="323">
        <f t="shared" si="88"/>
        <v>23</v>
      </c>
      <c r="O581" s="25">
        <f t="shared" si="87"/>
        <v>42979</v>
      </c>
      <c r="P581" s="5" t="str">
        <f t="shared" si="89"/>
        <v>0,21</v>
      </c>
      <c r="Q581" s="4" t="e">
        <f t="shared" ca="1" si="90"/>
        <v>#NAME?</v>
      </c>
    </row>
    <row r="582" spans="1:17" ht="15.75" thickBot="1">
      <c r="A582" s="1">
        <f t="shared" si="91"/>
        <v>581</v>
      </c>
      <c r="C582" s="8" t="s">
        <v>17</v>
      </c>
      <c r="D582" s="2">
        <v>43003</v>
      </c>
      <c r="E582" s="3">
        <f>40000/100000</f>
        <v>0.4</v>
      </c>
      <c r="F582" s="20" t="s">
        <v>57</v>
      </c>
      <c r="G582" s="18" t="s">
        <v>58</v>
      </c>
      <c r="H582" s="21" t="s">
        <v>59</v>
      </c>
      <c r="I582" s="6" t="s">
        <v>528</v>
      </c>
      <c r="J582" s="61" t="s">
        <v>22</v>
      </c>
      <c r="K582" s="22"/>
      <c r="L582" s="5" t="str">
        <f t="shared" si="85"/>
        <v>00581</v>
      </c>
      <c r="M582" s="47" t="str">
        <f t="shared" si="86"/>
        <v>25 de septiembre de 2017</v>
      </c>
      <c r="N582" s="323">
        <f t="shared" si="88"/>
        <v>25</v>
      </c>
      <c r="O582" s="25">
        <f t="shared" si="87"/>
        <v>42979</v>
      </c>
      <c r="P582" s="5" t="str">
        <f t="shared" si="89"/>
        <v>0,40</v>
      </c>
      <c r="Q582" s="4" t="e">
        <f t="shared" ca="1" si="90"/>
        <v>#NAME?</v>
      </c>
    </row>
    <row r="583" spans="1:17" ht="15.75" thickBot="1">
      <c r="A583" s="1">
        <f t="shared" si="91"/>
        <v>582</v>
      </c>
      <c r="C583" s="8" t="s">
        <v>17</v>
      </c>
      <c r="D583" s="2">
        <v>43003</v>
      </c>
      <c r="E583" s="3">
        <f t="shared" ref="E583:E589" si="92">35000/100000</f>
        <v>0.35</v>
      </c>
      <c r="F583" t="s">
        <v>177</v>
      </c>
      <c r="G583" s="18" t="s">
        <v>58</v>
      </c>
      <c r="H583" t="s">
        <v>179</v>
      </c>
      <c r="I583" s="6" t="s">
        <v>514</v>
      </c>
      <c r="J583" s="61" t="s">
        <v>22</v>
      </c>
      <c r="L583" s="5" t="str">
        <f t="shared" si="85"/>
        <v>00582</v>
      </c>
      <c r="M583" s="47" t="str">
        <f t="shared" si="86"/>
        <v>25 de septiembre de 2017</v>
      </c>
      <c r="N583" s="323">
        <f t="shared" si="88"/>
        <v>25</v>
      </c>
      <c r="O583" s="25">
        <f t="shared" si="87"/>
        <v>42979</v>
      </c>
      <c r="P583" s="5" t="str">
        <f t="shared" si="89"/>
        <v>0,35</v>
      </c>
      <c r="Q583" s="4" t="e">
        <f t="shared" ca="1" si="90"/>
        <v>#NAME?</v>
      </c>
    </row>
    <row r="584" spans="1:17">
      <c r="A584" s="1">
        <f t="shared" si="91"/>
        <v>583</v>
      </c>
      <c r="C584" s="8" t="s">
        <v>17</v>
      </c>
      <c r="D584" s="2">
        <v>43003</v>
      </c>
      <c r="E584" s="3">
        <f t="shared" si="92"/>
        <v>0.35</v>
      </c>
      <c r="F584" t="s">
        <v>362</v>
      </c>
      <c r="G584" t="s">
        <v>363</v>
      </c>
      <c r="H584" t="s">
        <v>364</v>
      </c>
      <c r="I584" s="6" t="s">
        <v>514</v>
      </c>
      <c r="J584" s="61" t="s">
        <v>22</v>
      </c>
      <c r="L584" s="5" t="str">
        <f t="shared" si="85"/>
        <v>00583</v>
      </c>
      <c r="M584" s="47" t="str">
        <f t="shared" si="86"/>
        <v>25 de septiembre de 2017</v>
      </c>
      <c r="N584" s="323">
        <f t="shared" si="88"/>
        <v>25</v>
      </c>
      <c r="O584" s="25">
        <f t="shared" si="87"/>
        <v>42979</v>
      </c>
      <c r="P584" s="5" t="str">
        <f t="shared" si="89"/>
        <v>0,35</v>
      </c>
      <c r="Q584" s="4" t="e">
        <f t="shared" ca="1" si="90"/>
        <v>#NAME?</v>
      </c>
    </row>
    <row r="585" spans="1:17">
      <c r="A585" s="1">
        <f t="shared" si="91"/>
        <v>584</v>
      </c>
      <c r="C585" s="8" t="s">
        <v>17</v>
      </c>
      <c r="D585" s="2">
        <v>43004</v>
      </c>
      <c r="E585" s="3">
        <f t="shared" si="92"/>
        <v>0.35</v>
      </c>
      <c r="F585" t="s">
        <v>280</v>
      </c>
      <c r="G585" t="s">
        <v>281</v>
      </c>
      <c r="H585" t="s">
        <v>282</v>
      </c>
      <c r="I585" s="6" t="s">
        <v>528</v>
      </c>
      <c r="J585" s="61" t="s">
        <v>22</v>
      </c>
      <c r="L585" s="5" t="str">
        <f t="shared" si="85"/>
        <v>00584</v>
      </c>
      <c r="M585" s="47" t="str">
        <f t="shared" si="86"/>
        <v>26 de septiembre de 2017</v>
      </c>
      <c r="N585" s="323">
        <f t="shared" si="88"/>
        <v>26</v>
      </c>
      <c r="O585" s="25">
        <f t="shared" si="87"/>
        <v>42979</v>
      </c>
      <c r="P585" s="5" t="str">
        <f t="shared" si="89"/>
        <v>0,35</v>
      </c>
      <c r="Q585" s="4" t="e">
        <f t="shared" ca="1" si="90"/>
        <v>#NAME?</v>
      </c>
    </row>
    <row r="586" spans="1:17">
      <c r="A586" s="1">
        <f t="shared" si="91"/>
        <v>585</v>
      </c>
      <c r="C586" s="8" t="s">
        <v>17</v>
      </c>
      <c r="D586" s="2">
        <v>43007</v>
      </c>
      <c r="E586" s="3">
        <f t="shared" si="92"/>
        <v>0.35</v>
      </c>
      <c r="F586" t="s">
        <v>62</v>
      </c>
      <c r="G586" t="s">
        <v>63</v>
      </c>
      <c r="H586" t="s">
        <v>64</v>
      </c>
      <c r="I586" s="6" t="s">
        <v>528</v>
      </c>
      <c r="J586" s="61" t="s">
        <v>22</v>
      </c>
      <c r="L586" s="5" t="str">
        <f t="shared" si="85"/>
        <v>00585</v>
      </c>
      <c r="M586" s="47" t="str">
        <f t="shared" si="86"/>
        <v>29 de septiembre de 2017</v>
      </c>
      <c r="N586" s="323">
        <f t="shared" si="88"/>
        <v>29</v>
      </c>
      <c r="O586" s="25">
        <f t="shared" si="87"/>
        <v>42979</v>
      </c>
      <c r="P586" s="5" t="str">
        <f t="shared" si="89"/>
        <v>0,35</v>
      </c>
      <c r="Q586" s="4" t="e">
        <f t="shared" ca="1" si="90"/>
        <v>#NAME?</v>
      </c>
    </row>
    <row r="587" spans="1:17">
      <c r="A587" s="1">
        <f t="shared" si="91"/>
        <v>586</v>
      </c>
      <c r="C587" s="8" t="s">
        <v>17</v>
      </c>
      <c r="D587" s="2">
        <v>43010</v>
      </c>
      <c r="E587" s="3">
        <f t="shared" si="92"/>
        <v>0.35</v>
      </c>
      <c r="F587" t="s">
        <v>407</v>
      </c>
      <c r="G587" t="s">
        <v>408</v>
      </c>
      <c r="H587" t="s">
        <v>409</v>
      </c>
      <c r="I587" s="6" t="s">
        <v>528</v>
      </c>
      <c r="J587" s="61" t="s">
        <v>22</v>
      </c>
      <c r="L587" s="5" t="str">
        <f t="shared" si="85"/>
        <v>00586</v>
      </c>
      <c r="M587" s="47" t="str">
        <f t="shared" si="86"/>
        <v>02 de octubre de 2017</v>
      </c>
      <c r="N587" s="323">
        <f t="shared" si="88"/>
        <v>2</v>
      </c>
      <c r="O587" s="25">
        <f t="shared" si="87"/>
        <v>43009</v>
      </c>
      <c r="P587" s="5" t="str">
        <f t="shared" si="89"/>
        <v>0,35</v>
      </c>
      <c r="Q587" s="4" t="e">
        <f t="shared" ca="1" si="90"/>
        <v>#NAME?</v>
      </c>
    </row>
    <row r="588" spans="1:17">
      <c r="A588" s="1">
        <f t="shared" si="91"/>
        <v>587</v>
      </c>
      <c r="C588" s="8" t="s">
        <v>17</v>
      </c>
      <c r="D588" s="2">
        <v>43010</v>
      </c>
      <c r="E588" s="3">
        <f t="shared" si="92"/>
        <v>0.35</v>
      </c>
      <c r="F588" t="s">
        <v>148</v>
      </c>
      <c r="G588" t="s">
        <v>149</v>
      </c>
      <c r="H588" t="s">
        <v>150</v>
      </c>
      <c r="I588" s="6" t="s">
        <v>544</v>
      </c>
      <c r="J588" s="61" t="s">
        <v>22</v>
      </c>
      <c r="L588" s="5" t="str">
        <f t="shared" si="85"/>
        <v>00587</v>
      </c>
      <c r="M588" s="47" t="str">
        <f t="shared" si="86"/>
        <v>02 de octubre de 2017</v>
      </c>
      <c r="N588" s="323">
        <f t="shared" si="88"/>
        <v>2</v>
      </c>
      <c r="O588" s="25">
        <f t="shared" si="87"/>
        <v>43009</v>
      </c>
      <c r="P588" s="5" t="str">
        <f t="shared" si="89"/>
        <v>0,35</v>
      </c>
      <c r="Q588" s="4" t="e">
        <f t="shared" ca="1" si="90"/>
        <v>#NAME?</v>
      </c>
    </row>
    <row r="589" spans="1:17">
      <c r="A589" s="1">
        <f t="shared" si="91"/>
        <v>588</v>
      </c>
      <c r="C589" s="8" t="s">
        <v>17</v>
      </c>
      <c r="D589" s="2">
        <v>43011</v>
      </c>
      <c r="E589" s="3">
        <f t="shared" si="92"/>
        <v>0.35</v>
      </c>
      <c r="F589" t="s">
        <v>44</v>
      </c>
      <c r="G589" t="s">
        <v>45</v>
      </c>
      <c r="H589" t="s">
        <v>46</v>
      </c>
      <c r="I589" s="6" t="s">
        <v>545</v>
      </c>
      <c r="J589" s="61" t="s">
        <v>22</v>
      </c>
      <c r="L589" s="5" t="str">
        <f t="shared" si="85"/>
        <v>00588</v>
      </c>
      <c r="M589" s="47" t="str">
        <f t="shared" si="86"/>
        <v>03 de octubre de 2017</v>
      </c>
      <c r="N589" s="323">
        <f t="shared" si="88"/>
        <v>3</v>
      </c>
      <c r="O589" s="25">
        <f t="shared" si="87"/>
        <v>43009</v>
      </c>
      <c r="P589" s="5" t="str">
        <f t="shared" si="89"/>
        <v>0,35</v>
      </c>
      <c r="Q589" s="4" t="e">
        <f t="shared" ca="1" si="90"/>
        <v>#NAME?</v>
      </c>
    </row>
    <row r="590" spans="1:17">
      <c r="A590" s="1">
        <f t="shared" si="91"/>
        <v>589</v>
      </c>
      <c r="C590" s="8" t="s">
        <v>17</v>
      </c>
      <c r="D590" s="2">
        <v>43011</v>
      </c>
      <c r="E590" s="3">
        <f>22000/100000</f>
        <v>0.22</v>
      </c>
      <c r="F590" t="s">
        <v>337</v>
      </c>
      <c r="G590" t="s">
        <v>338</v>
      </c>
      <c r="H590" t="s">
        <v>339</v>
      </c>
      <c r="I590" s="6" t="s">
        <v>499</v>
      </c>
      <c r="J590" s="61" t="s">
        <v>22</v>
      </c>
      <c r="L590" s="5" t="str">
        <f t="shared" si="85"/>
        <v>00589</v>
      </c>
      <c r="M590" s="47" t="str">
        <f t="shared" si="86"/>
        <v>03 de octubre de 2017</v>
      </c>
      <c r="N590" s="323">
        <f t="shared" si="88"/>
        <v>3</v>
      </c>
      <c r="O590" s="25">
        <f t="shared" si="87"/>
        <v>43009</v>
      </c>
      <c r="P590" s="5" t="str">
        <f t="shared" si="89"/>
        <v>0,22</v>
      </c>
      <c r="Q590" s="4" t="e">
        <f t="shared" ca="1" si="90"/>
        <v>#NAME?</v>
      </c>
    </row>
    <row r="591" spans="1:17">
      <c r="A591" s="1">
        <f t="shared" si="91"/>
        <v>590</v>
      </c>
      <c r="C591" s="8" t="s">
        <v>17</v>
      </c>
      <c r="D591" s="2">
        <v>43011</v>
      </c>
      <c r="E591" s="3">
        <f>35000/100000</f>
        <v>0.35</v>
      </c>
      <c r="F591" t="s">
        <v>337</v>
      </c>
      <c r="G591" t="s">
        <v>338</v>
      </c>
      <c r="H591" t="s">
        <v>339</v>
      </c>
      <c r="I591" s="6" t="s">
        <v>514</v>
      </c>
      <c r="J591" s="61" t="s">
        <v>22</v>
      </c>
      <c r="L591" s="5" t="str">
        <f t="shared" si="85"/>
        <v>00590</v>
      </c>
      <c r="M591" s="47" t="str">
        <f t="shared" si="86"/>
        <v>03 de octubre de 2017</v>
      </c>
      <c r="N591" s="323">
        <f t="shared" si="88"/>
        <v>3</v>
      </c>
      <c r="O591" s="25">
        <f t="shared" si="87"/>
        <v>43009</v>
      </c>
      <c r="P591" s="5" t="str">
        <f t="shared" ref="P591:P601" si="93">TEXT(E591,"#.##0,00")</f>
        <v>0,35</v>
      </c>
      <c r="Q591" s="4" t="e">
        <f t="shared" ref="Q591:Q601" ca="1" si="94">CONVERTIRNUM(E591)</f>
        <v>#NAME?</v>
      </c>
    </row>
    <row r="592" spans="1:17">
      <c r="A592" s="1">
        <f t="shared" si="91"/>
        <v>591</v>
      </c>
      <c r="C592" s="8" t="s">
        <v>17</v>
      </c>
      <c r="D592" s="2">
        <v>43011</v>
      </c>
      <c r="E592" s="3">
        <f>20000/100000</f>
        <v>0.2</v>
      </c>
      <c r="F592" t="s">
        <v>118</v>
      </c>
      <c r="G592" t="s">
        <v>119</v>
      </c>
      <c r="H592" t="s">
        <v>120</v>
      </c>
      <c r="I592" s="6" t="s">
        <v>534</v>
      </c>
      <c r="J592" s="61" t="s">
        <v>22</v>
      </c>
      <c r="L592" s="5" t="str">
        <f t="shared" si="85"/>
        <v>00591</v>
      </c>
      <c r="M592" s="47" t="str">
        <f t="shared" si="86"/>
        <v>03 de octubre de 2017</v>
      </c>
      <c r="N592" s="323">
        <f t="shared" si="88"/>
        <v>3</v>
      </c>
      <c r="O592" s="25">
        <f t="shared" si="87"/>
        <v>43009</v>
      </c>
      <c r="P592" s="5" t="str">
        <f t="shared" si="93"/>
        <v>0,20</v>
      </c>
      <c r="Q592" s="4" t="e">
        <f t="shared" ca="1" si="94"/>
        <v>#NAME?</v>
      </c>
    </row>
    <row r="593" spans="1:17">
      <c r="A593" s="1">
        <f t="shared" si="91"/>
        <v>592</v>
      </c>
      <c r="C593" s="8" t="s">
        <v>17</v>
      </c>
      <c r="D593" s="2">
        <v>43011</v>
      </c>
      <c r="E593" s="3">
        <f>70000/100000</f>
        <v>0.7</v>
      </c>
      <c r="F593" t="s">
        <v>248</v>
      </c>
      <c r="G593" t="s">
        <v>249</v>
      </c>
      <c r="H593" t="s">
        <v>250</v>
      </c>
      <c r="I593" s="6" t="s">
        <v>535</v>
      </c>
      <c r="J593" s="61" t="s">
        <v>22</v>
      </c>
      <c r="L593" s="5" t="str">
        <f t="shared" si="85"/>
        <v>00592</v>
      </c>
      <c r="M593" s="47" t="str">
        <f t="shared" si="86"/>
        <v>03 de octubre de 2017</v>
      </c>
      <c r="N593" s="323">
        <f t="shared" si="88"/>
        <v>3</v>
      </c>
      <c r="O593" s="25">
        <f t="shared" si="87"/>
        <v>43009</v>
      </c>
      <c r="P593" s="5" t="str">
        <f t="shared" si="93"/>
        <v>0,70</v>
      </c>
      <c r="Q593" s="4" t="e">
        <f t="shared" ca="1" si="94"/>
        <v>#NAME?</v>
      </c>
    </row>
    <row r="594" spans="1:17">
      <c r="A594" s="1">
        <f t="shared" si="91"/>
        <v>593</v>
      </c>
      <c r="C594" s="8" t="s">
        <v>17</v>
      </c>
      <c r="D594" s="2">
        <v>43012</v>
      </c>
      <c r="E594" s="3">
        <f>15000/100000</f>
        <v>0.15</v>
      </c>
      <c r="F594" t="s">
        <v>48</v>
      </c>
      <c r="G594" t="s">
        <v>49</v>
      </c>
      <c r="H594" t="s">
        <v>50</v>
      </c>
      <c r="I594" s="6" t="s">
        <v>546</v>
      </c>
      <c r="J594" s="61" t="s">
        <v>22</v>
      </c>
      <c r="L594" s="5" t="str">
        <f t="shared" si="85"/>
        <v>00593</v>
      </c>
      <c r="M594" s="47" t="str">
        <f t="shared" si="86"/>
        <v>04 de octubre de 2017</v>
      </c>
      <c r="N594" s="323">
        <f t="shared" si="88"/>
        <v>4</v>
      </c>
      <c r="O594" s="25">
        <f t="shared" si="87"/>
        <v>43009</v>
      </c>
      <c r="P594" s="5" t="str">
        <f t="shared" si="93"/>
        <v>0,15</v>
      </c>
      <c r="Q594" s="4" t="e">
        <f t="shared" ca="1" si="94"/>
        <v>#NAME?</v>
      </c>
    </row>
    <row r="595" spans="1:17">
      <c r="A595" s="1">
        <f t="shared" si="91"/>
        <v>594</v>
      </c>
      <c r="C595" s="8" t="s">
        <v>17</v>
      </c>
      <c r="D595" s="2">
        <v>43012</v>
      </c>
      <c r="E595" s="3">
        <f>35000/100000</f>
        <v>0.35</v>
      </c>
      <c r="F595" t="s">
        <v>80</v>
      </c>
      <c r="G595" t="s">
        <v>81</v>
      </c>
      <c r="H595" t="s">
        <v>82</v>
      </c>
      <c r="I595" s="6" t="s">
        <v>545</v>
      </c>
      <c r="J595" s="61" t="s">
        <v>22</v>
      </c>
      <c r="L595" s="5" t="str">
        <f t="shared" si="85"/>
        <v>00594</v>
      </c>
      <c r="M595" s="47" t="str">
        <f t="shared" si="86"/>
        <v>04 de octubre de 2017</v>
      </c>
      <c r="N595" s="323">
        <f t="shared" si="88"/>
        <v>4</v>
      </c>
      <c r="O595" s="25">
        <f t="shared" si="87"/>
        <v>43009</v>
      </c>
      <c r="P595" s="5" t="str">
        <f t="shared" si="93"/>
        <v>0,35</v>
      </c>
      <c r="Q595" s="4" t="e">
        <f t="shared" ca="1" si="94"/>
        <v>#NAME?</v>
      </c>
    </row>
    <row r="596" spans="1:17">
      <c r="A596" s="1">
        <f t="shared" si="91"/>
        <v>595</v>
      </c>
      <c r="C596" s="8" t="s">
        <v>17</v>
      </c>
      <c r="D596" s="2">
        <v>43012</v>
      </c>
      <c r="E596" s="3">
        <f>70000/100000</f>
        <v>0.7</v>
      </c>
      <c r="F596" t="s">
        <v>264</v>
      </c>
      <c r="G596" t="s">
        <v>265</v>
      </c>
      <c r="H596" t="s">
        <v>266</v>
      </c>
      <c r="I596" s="6" t="s">
        <v>529</v>
      </c>
      <c r="J596" s="61" t="s">
        <v>22</v>
      </c>
      <c r="L596" s="5" t="str">
        <f t="shared" si="85"/>
        <v>00595</v>
      </c>
      <c r="M596" s="47" t="str">
        <f t="shared" si="86"/>
        <v>04 de octubre de 2017</v>
      </c>
      <c r="N596" s="323">
        <f t="shared" si="88"/>
        <v>4</v>
      </c>
      <c r="O596" s="25">
        <f t="shared" si="87"/>
        <v>43009</v>
      </c>
      <c r="P596" s="5" t="str">
        <f t="shared" si="93"/>
        <v>0,70</v>
      </c>
      <c r="Q596" s="4" t="e">
        <f t="shared" ca="1" si="94"/>
        <v>#NAME?</v>
      </c>
    </row>
    <row r="597" spans="1:17">
      <c r="A597" s="1">
        <f t="shared" si="91"/>
        <v>596</v>
      </c>
      <c r="C597" s="8" t="s">
        <v>17</v>
      </c>
      <c r="D597" s="2">
        <v>43012</v>
      </c>
      <c r="E597" s="3">
        <f>35000/100000</f>
        <v>0.35</v>
      </c>
      <c r="F597" t="s">
        <v>70</v>
      </c>
      <c r="G597" t="s">
        <v>71</v>
      </c>
      <c r="H597" t="s">
        <v>72</v>
      </c>
      <c r="I597" s="6" t="s">
        <v>545</v>
      </c>
      <c r="J597" s="61" t="s">
        <v>22</v>
      </c>
      <c r="L597" s="5" t="str">
        <f t="shared" si="85"/>
        <v>00596</v>
      </c>
      <c r="M597" s="47" t="str">
        <f t="shared" si="86"/>
        <v>04 de octubre de 2017</v>
      </c>
      <c r="N597" s="323">
        <f t="shared" si="88"/>
        <v>4</v>
      </c>
      <c r="O597" s="25">
        <f t="shared" si="87"/>
        <v>43009</v>
      </c>
      <c r="P597" s="5" t="str">
        <f t="shared" si="93"/>
        <v>0,35</v>
      </c>
      <c r="Q597" s="4" t="e">
        <f t="shared" ca="1" si="94"/>
        <v>#NAME?</v>
      </c>
    </row>
    <row r="598" spans="1:17">
      <c r="A598" s="1">
        <f t="shared" si="91"/>
        <v>597</v>
      </c>
      <c r="C598" s="8" t="s">
        <v>17</v>
      </c>
      <c r="D598" s="2">
        <v>43012</v>
      </c>
      <c r="E598" s="3">
        <f>25000/100000</f>
        <v>0.25</v>
      </c>
      <c r="F598" t="s">
        <v>84</v>
      </c>
      <c r="G598" t="s">
        <v>85</v>
      </c>
      <c r="H598" t="s">
        <v>86</v>
      </c>
      <c r="I598" s="6" t="s">
        <v>546</v>
      </c>
      <c r="J598" s="61" t="s">
        <v>22</v>
      </c>
      <c r="L598" s="5" t="str">
        <f t="shared" si="85"/>
        <v>00597</v>
      </c>
      <c r="M598" s="47" t="str">
        <f t="shared" si="86"/>
        <v>04 de octubre de 2017</v>
      </c>
      <c r="N598" s="323">
        <f t="shared" si="88"/>
        <v>4</v>
      </c>
      <c r="O598" s="25">
        <f t="shared" si="87"/>
        <v>43009</v>
      </c>
      <c r="P598" s="5" t="str">
        <f t="shared" si="93"/>
        <v>0,25</v>
      </c>
      <c r="Q598" s="4" t="e">
        <f t="shared" ca="1" si="94"/>
        <v>#NAME?</v>
      </c>
    </row>
    <row r="599" spans="1:17">
      <c r="A599" s="1">
        <f t="shared" si="91"/>
        <v>598</v>
      </c>
      <c r="C599" s="8" t="s">
        <v>17</v>
      </c>
      <c r="D599" s="2">
        <v>43013</v>
      </c>
      <c r="E599" s="3">
        <f>35000/100000</f>
        <v>0.35</v>
      </c>
      <c r="F599" t="s">
        <v>18</v>
      </c>
      <c r="G599" t="s">
        <v>19</v>
      </c>
      <c r="H599" t="s">
        <v>20</v>
      </c>
      <c r="I599" s="6" t="s">
        <v>547</v>
      </c>
      <c r="J599" s="61" t="s">
        <v>22</v>
      </c>
      <c r="L599" s="5" t="str">
        <f t="shared" si="85"/>
        <v>00598</v>
      </c>
      <c r="M599" s="47" t="str">
        <f t="shared" si="86"/>
        <v>05 de octubre de 2017</v>
      </c>
      <c r="N599" s="323">
        <f t="shared" si="88"/>
        <v>5</v>
      </c>
      <c r="O599" s="25">
        <f t="shared" si="87"/>
        <v>43009</v>
      </c>
      <c r="P599" s="5" t="str">
        <f t="shared" si="93"/>
        <v>0,35</v>
      </c>
      <c r="Q599" s="4" t="e">
        <f t="shared" ca="1" si="94"/>
        <v>#NAME?</v>
      </c>
    </row>
    <row r="600" spans="1:17">
      <c r="A600" s="178">
        <f t="shared" si="91"/>
        <v>599</v>
      </c>
      <c r="C600" s="8" t="s">
        <v>17</v>
      </c>
      <c r="D600" s="2">
        <v>43013</v>
      </c>
      <c r="E600" s="3">
        <f>35000/100000</f>
        <v>0.35</v>
      </c>
      <c r="F600" t="s">
        <v>438</v>
      </c>
      <c r="G600" t="s">
        <v>439</v>
      </c>
      <c r="H600" t="s">
        <v>440</v>
      </c>
      <c r="I600" s="6" t="s">
        <v>548</v>
      </c>
      <c r="J600" s="61" t="s">
        <v>22</v>
      </c>
      <c r="L600" s="5" t="str">
        <f t="shared" si="85"/>
        <v>00599</v>
      </c>
      <c r="M600" s="47" t="str">
        <f t="shared" si="86"/>
        <v>05 de octubre de 2017</v>
      </c>
      <c r="N600" s="323">
        <f t="shared" si="88"/>
        <v>5</v>
      </c>
      <c r="O600" s="25">
        <f t="shared" si="87"/>
        <v>43009</v>
      </c>
      <c r="P600" s="5" t="str">
        <f t="shared" si="93"/>
        <v>0,35</v>
      </c>
      <c r="Q600" s="4" t="e">
        <f t="shared" ca="1" si="94"/>
        <v>#NAME?</v>
      </c>
    </row>
    <row r="601" spans="1:17">
      <c r="A601" s="1">
        <f t="shared" si="91"/>
        <v>600</v>
      </c>
      <c r="C601" s="8" t="s">
        <v>17</v>
      </c>
      <c r="D601" s="2">
        <v>42998</v>
      </c>
      <c r="E601" s="3">
        <f>10000/100000</f>
        <v>0.1</v>
      </c>
      <c r="F601" t="s">
        <v>144</v>
      </c>
      <c r="G601" t="s">
        <v>145</v>
      </c>
      <c r="H601" t="s">
        <v>146</v>
      </c>
      <c r="I601" s="6" t="s">
        <v>534</v>
      </c>
      <c r="J601" s="61" t="s">
        <v>22</v>
      </c>
      <c r="L601" s="5" t="str">
        <f t="shared" si="85"/>
        <v>00600</v>
      </c>
      <c r="M601" s="47" t="str">
        <f t="shared" si="86"/>
        <v>20 de septiembre de 2017</v>
      </c>
      <c r="N601" s="323">
        <f t="shared" si="88"/>
        <v>20</v>
      </c>
      <c r="O601" s="25">
        <f t="shared" si="87"/>
        <v>42979</v>
      </c>
      <c r="P601" s="5" t="str">
        <f t="shared" si="93"/>
        <v>0,10</v>
      </c>
      <c r="Q601" s="4" t="e">
        <f t="shared" ca="1" si="94"/>
        <v>#NAME?</v>
      </c>
    </row>
    <row r="602" spans="1:17">
      <c r="A602" s="1">
        <f t="shared" si="91"/>
        <v>601</v>
      </c>
      <c r="C602" s="8" t="s">
        <v>17</v>
      </c>
      <c r="D602" s="2">
        <v>43013</v>
      </c>
      <c r="E602" s="3">
        <f>10000/100000</f>
        <v>0.1</v>
      </c>
      <c r="F602" t="s">
        <v>144</v>
      </c>
      <c r="G602" t="s">
        <v>145</v>
      </c>
      <c r="H602" t="s">
        <v>146</v>
      </c>
      <c r="I602" s="6" t="s">
        <v>546</v>
      </c>
      <c r="J602" s="61" t="s">
        <v>22</v>
      </c>
      <c r="L602" s="5" t="str">
        <f t="shared" si="85"/>
        <v>00601</v>
      </c>
      <c r="M602" s="47" t="str">
        <f t="shared" si="86"/>
        <v>05 de octubre de 2017</v>
      </c>
      <c r="N602" s="323">
        <f t="shared" si="88"/>
        <v>5</v>
      </c>
      <c r="O602" s="25">
        <f t="shared" si="87"/>
        <v>43009</v>
      </c>
      <c r="P602" s="5" t="str">
        <f t="shared" ref="P602:P619" si="95">TEXT(E602,"#.##0,00")</f>
        <v>0,10</v>
      </c>
      <c r="Q602" s="4" t="e">
        <f t="shared" ref="Q602:Q619" ca="1" si="96">CONVERTIRNUM(E602)</f>
        <v>#NAME?</v>
      </c>
    </row>
    <row r="603" spans="1:17">
      <c r="A603" s="1">
        <f t="shared" si="91"/>
        <v>602</v>
      </c>
      <c r="C603" s="8" t="s">
        <v>17</v>
      </c>
      <c r="D603" s="2">
        <v>43014</v>
      </c>
      <c r="E603" s="3">
        <f>10000/100000</f>
        <v>0.1</v>
      </c>
      <c r="F603" t="s">
        <v>417</v>
      </c>
      <c r="G603" t="s">
        <v>418</v>
      </c>
      <c r="H603" t="s">
        <v>419</v>
      </c>
      <c r="I603" s="6" t="s">
        <v>534</v>
      </c>
      <c r="J603" s="61" t="s">
        <v>22</v>
      </c>
      <c r="L603" s="5" t="str">
        <f t="shared" si="85"/>
        <v>00602</v>
      </c>
      <c r="M603" s="47" t="str">
        <f t="shared" si="86"/>
        <v>06 de octubre de 2017</v>
      </c>
      <c r="N603" s="323">
        <f t="shared" si="88"/>
        <v>6</v>
      </c>
      <c r="O603" s="25">
        <f t="shared" si="87"/>
        <v>43009</v>
      </c>
      <c r="P603" s="5" t="str">
        <f t="shared" si="95"/>
        <v>0,10</v>
      </c>
      <c r="Q603" s="4" t="e">
        <f t="shared" ca="1" si="96"/>
        <v>#NAME?</v>
      </c>
    </row>
    <row r="604" spans="1:17" ht="15.75" thickBot="1">
      <c r="A604" s="1">
        <f t="shared" si="91"/>
        <v>603</v>
      </c>
      <c r="C604" s="8" t="s">
        <v>17</v>
      </c>
      <c r="D604" s="2">
        <v>43014</v>
      </c>
      <c r="E604" s="3">
        <f>35000/100000</f>
        <v>0.35</v>
      </c>
      <c r="F604" t="s">
        <v>126</v>
      </c>
      <c r="G604" t="s">
        <v>127</v>
      </c>
      <c r="H604" t="s">
        <v>128</v>
      </c>
      <c r="I604" s="6" t="s">
        <v>528</v>
      </c>
      <c r="J604" s="61" t="s">
        <v>22</v>
      </c>
      <c r="L604" s="5" t="str">
        <f t="shared" si="85"/>
        <v>00603</v>
      </c>
      <c r="M604" s="47" t="str">
        <f t="shared" si="86"/>
        <v>06 de octubre de 2017</v>
      </c>
      <c r="N604" s="323">
        <f t="shared" si="88"/>
        <v>6</v>
      </c>
      <c r="O604" s="25">
        <f t="shared" si="87"/>
        <v>43009</v>
      </c>
      <c r="P604" s="5" t="str">
        <f t="shared" si="95"/>
        <v>0,35</v>
      </c>
      <c r="Q604" s="4" t="e">
        <f t="shared" ca="1" si="96"/>
        <v>#NAME?</v>
      </c>
    </row>
    <row r="605" spans="1:17" ht="15.75" thickBot="1">
      <c r="A605" s="1">
        <f t="shared" si="91"/>
        <v>604</v>
      </c>
      <c r="C605" s="8" t="s">
        <v>17</v>
      </c>
      <c r="D605" s="2">
        <v>43014</v>
      </c>
      <c r="E605" s="3">
        <f>54000/100000</f>
        <v>0.54</v>
      </c>
      <c r="F605" s="23" t="s">
        <v>422</v>
      </c>
      <c r="G605" s="18" t="s">
        <v>58</v>
      </c>
      <c r="H605" t="s">
        <v>423</v>
      </c>
      <c r="I605" s="6" t="s">
        <v>545</v>
      </c>
      <c r="J605" s="61" t="s">
        <v>22</v>
      </c>
      <c r="L605" s="5" t="str">
        <f t="shared" si="85"/>
        <v>00604</v>
      </c>
      <c r="M605" s="47" t="str">
        <f t="shared" si="86"/>
        <v>06 de octubre de 2017</v>
      </c>
      <c r="N605" s="323">
        <f t="shared" si="88"/>
        <v>6</v>
      </c>
      <c r="O605" s="25">
        <f t="shared" si="87"/>
        <v>43009</v>
      </c>
      <c r="P605" s="5" t="str">
        <f t="shared" si="95"/>
        <v>0,54</v>
      </c>
      <c r="Q605" s="4" t="e">
        <f t="shared" ca="1" si="96"/>
        <v>#NAME?</v>
      </c>
    </row>
    <row r="606" spans="1:17">
      <c r="A606" s="178">
        <f t="shared" si="91"/>
        <v>605</v>
      </c>
      <c r="C606" s="8" t="s">
        <v>225</v>
      </c>
      <c r="D606" s="2">
        <v>43017</v>
      </c>
      <c r="E606" s="3">
        <f>156000/100000</f>
        <v>1.56</v>
      </c>
      <c r="F606" t="s">
        <v>438</v>
      </c>
      <c r="G606" t="s">
        <v>439</v>
      </c>
      <c r="H606" t="s">
        <v>440</v>
      </c>
      <c r="I606" s="6" t="s">
        <v>549</v>
      </c>
      <c r="J606" s="61" t="s">
        <v>227</v>
      </c>
      <c r="L606" s="5" t="str">
        <f t="shared" si="85"/>
        <v>00605</v>
      </c>
      <c r="M606" s="47" t="str">
        <f t="shared" si="86"/>
        <v>09 de octubre de 2017</v>
      </c>
      <c r="N606" s="323">
        <f t="shared" si="88"/>
        <v>9</v>
      </c>
      <c r="O606" s="25">
        <f t="shared" si="87"/>
        <v>43009</v>
      </c>
      <c r="P606" s="5" t="str">
        <f t="shared" si="95"/>
        <v>1,56</v>
      </c>
      <c r="Q606" s="4" t="e">
        <f t="shared" ca="1" si="96"/>
        <v>#NAME?</v>
      </c>
    </row>
    <row r="607" spans="1:17">
      <c r="A607" s="1">
        <f t="shared" si="91"/>
        <v>606</v>
      </c>
      <c r="C607" s="8" t="s">
        <v>17</v>
      </c>
      <c r="D607" s="2">
        <v>43018</v>
      </c>
      <c r="E607" s="3">
        <f>35000/100000</f>
        <v>0.35</v>
      </c>
      <c r="F607" t="s">
        <v>24</v>
      </c>
      <c r="G607" t="s">
        <v>25</v>
      </c>
      <c r="H607" t="s">
        <v>26</v>
      </c>
      <c r="I607" s="6" t="s">
        <v>545</v>
      </c>
      <c r="J607" s="61" t="s">
        <v>22</v>
      </c>
      <c r="L607" s="5" t="str">
        <f t="shared" si="85"/>
        <v>00606</v>
      </c>
      <c r="M607" s="47" t="str">
        <f t="shared" si="86"/>
        <v>10 de octubre de 2017</v>
      </c>
      <c r="N607" s="323">
        <f t="shared" si="88"/>
        <v>10</v>
      </c>
      <c r="O607" s="25">
        <f t="shared" si="87"/>
        <v>43009</v>
      </c>
      <c r="P607" s="5" t="str">
        <f t="shared" si="95"/>
        <v>0,35</v>
      </c>
      <c r="Q607" s="4" t="e">
        <f t="shared" ca="1" si="96"/>
        <v>#NAME?</v>
      </c>
    </row>
    <row r="608" spans="1:17">
      <c r="A608" s="1">
        <f t="shared" si="91"/>
        <v>607</v>
      </c>
      <c r="C608" s="8" t="s">
        <v>17</v>
      </c>
      <c r="D608" s="2">
        <v>43019</v>
      </c>
      <c r="E608" s="3">
        <f>35000/100000</f>
        <v>0.35</v>
      </c>
      <c r="F608" t="s">
        <v>100</v>
      </c>
      <c r="G608" t="s">
        <v>95</v>
      </c>
      <c r="H608" t="s">
        <v>101</v>
      </c>
      <c r="I608" s="6" t="s">
        <v>545</v>
      </c>
      <c r="J608" s="61" t="s">
        <v>22</v>
      </c>
      <c r="L608" s="5" t="str">
        <f t="shared" si="85"/>
        <v>00607</v>
      </c>
      <c r="M608" s="47" t="str">
        <f t="shared" si="86"/>
        <v>11 de octubre de 2017</v>
      </c>
      <c r="N608" s="323">
        <f t="shared" si="88"/>
        <v>11</v>
      </c>
      <c r="O608" s="25">
        <f t="shared" si="87"/>
        <v>43009</v>
      </c>
      <c r="P608" s="5" t="str">
        <f t="shared" si="95"/>
        <v>0,35</v>
      </c>
      <c r="Q608" s="4" t="e">
        <f t="shared" ca="1" si="96"/>
        <v>#NAME?</v>
      </c>
    </row>
    <row r="609" spans="1:17">
      <c r="A609" s="1">
        <f t="shared" si="91"/>
        <v>608</v>
      </c>
      <c r="C609" s="8" t="s">
        <v>17</v>
      </c>
      <c r="D609" s="2">
        <v>43019</v>
      </c>
      <c r="E609" s="3">
        <f>5000/100000</f>
        <v>0.05</v>
      </c>
      <c r="F609" t="s">
        <v>94</v>
      </c>
      <c r="G609" t="s">
        <v>95</v>
      </c>
      <c r="H609" t="s">
        <v>96</v>
      </c>
      <c r="I609" s="6" t="s">
        <v>546</v>
      </c>
      <c r="J609" s="61" t="s">
        <v>22</v>
      </c>
      <c r="L609" s="5" t="str">
        <f t="shared" si="85"/>
        <v>00608</v>
      </c>
      <c r="M609" s="47" t="str">
        <f t="shared" si="86"/>
        <v>11 de octubre de 2017</v>
      </c>
      <c r="N609" s="323">
        <f t="shared" si="88"/>
        <v>11</v>
      </c>
      <c r="O609" s="25">
        <f t="shared" si="87"/>
        <v>43009</v>
      </c>
      <c r="P609" s="5" t="str">
        <f t="shared" si="95"/>
        <v>0,05</v>
      </c>
      <c r="Q609" s="4" t="e">
        <f t="shared" ca="1" si="96"/>
        <v>#NAME?</v>
      </c>
    </row>
    <row r="610" spans="1:17">
      <c r="A610" s="1">
        <f t="shared" si="91"/>
        <v>609</v>
      </c>
      <c r="C610" s="8" t="s">
        <v>17</v>
      </c>
      <c r="D610" s="2">
        <v>43019</v>
      </c>
      <c r="E610" s="3">
        <f>35000/100000</f>
        <v>0.35</v>
      </c>
      <c r="F610" t="s">
        <v>103</v>
      </c>
      <c r="G610" t="s">
        <v>104</v>
      </c>
      <c r="H610" t="s">
        <v>105</v>
      </c>
      <c r="I610" s="6" t="s">
        <v>545</v>
      </c>
      <c r="J610" s="61" t="s">
        <v>22</v>
      </c>
      <c r="L610" s="5" t="str">
        <f t="shared" si="85"/>
        <v>00609</v>
      </c>
      <c r="M610" s="47" t="str">
        <f t="shared" si="86"/>
        <v>11 de octubre de 2017</v>
      </c>
      <c r="N610" s="323">
        <f t="shared" si="88"/>
        <v>11</v>
      </c>
      <c r="O610" s="25">
        <f t="shared" si="87"/>
        <v>43009</v>
      </c>
      <c r="P610" s="5" t="str">
        <f t="shared" si="95"/>
        <v>0,35</v>
      </c>
      <c r="Q610" s="4" t="e">
        <f t="shared" ca="1" si="96"/>
        <v>#NAME?</v>
      </c>
    </row>
    <row r="611" spans="1:17">
      <c r="A611" s="1">
        <f t="shared" si="91"/>
        <v>610</v>
      </c>
      <c r="C611" s="8" t="s">
        <v>17</v>
      </c>
      <c r="D611" s="2">
        <v>43019</v>
      </c>
      <c r="E611" s="3">
        <f>35000/100000</f>
        <v>0.35</v>
      </c>
      <c r="F611" t="s">
        <v>148</v>
      </c>
      <c r="G611" t="s">
        <v>149</v>
      </c>
      <c r="H611" t="s">
        <v>150</v>
      </c>
      <c r="I611" s="6" t="s">
        <v>550</v>
      </c>
      <c r="J611" s="61" t="s">
        <v>22</v>
      </c>
      <c r="L611" s="5" t="str">
        <f t="shared" si="85"/>
        <v>00610</v>
      </c>
      <c r="M611" s="47" t="str">
        <f t="shared" si="86"/>
        <v>11 de octubre de 2017</v>
      </c>
      <c r="N611" s="323">
        <f t="shared" si="88"/>
        <v>11</v>
      </c>
      <c r="O611" s="25">
        <f t="shared" si="87"/>
        <v>43009</v>
      </c>
      <c r="P611" s="5" t="str">
        <f t="shared" si="95"/>
        <v>0,35</v>
      </c>
      <c r="Q611" s="4" t="e">
        <f t="shared" ca="1" si="96"/>
        <v>#NAME?</v>
      </c>
    </row>
    <row r="612" spans="1:17">
      <c r="A612" s="1">
        <f t="shared" si="91"/>
        <v>611</v>
      </c>
      <c r="C612" s="8" t="s">
        <v>17</v>
      </c>
      <c r="D612" s="2">
        <v>43020</v>
      </c>
      <c r="E612" s="3">
        <f>35000/100000+35000/100000</f>
        <v>0.7</v>
      </c>
      <c r="F612" t="s">
        <v>138</v>
      </c>
      <c r="G612" t="s">
        <v>139</v>
      </c>
      <c r="H612" t="s">
        <v>140</v>
      </c>
      <c r="I612" s="6" t="s">
        <v>535</v>
      </c>
      <c r="J612" s="61" t="s">
        <v>22</v>
      </c>
      <c r="L612" s="5" t="str">
        <f t="shared" si="85"/>
        <v>00611</v>
      </c>
      <c r="M612" s="47" t="str">
        <f t="shared" si="86"/>
        <v>12 de octubre de 2017</v>
      </c>
      <c r="N612" s="323">
        <f t="shared" si="88"/>
        <v>12</v>
      </c>
      <c r="O612" s="25">
        <f t="shared" si="87"/>
        <v>43009</v>
      </c>
      <c r="P612" s="5" t="str">
        <f t="shared" si="95"/>
        <v>0,70</v>
      </c>
      <c r="Q612" s="4" t="e">
        <f t="shared" ca="1" si="96"/>
        <v>#NAME?</v>
      </c>
    </row>
    <row r="613" spans="1:17">
      <c r="A613" s="1">
        <f t="shared" si="91"/>
        <v>612</v>
      </c>
      <c r="C613" s="8" t="s">
        <v>17</v>
      </c>
      <c r="D613" s="2">
        <v>43023</v>
      </c>
      <c r="E613" s="3">
        <f>35000/100000</f>
        <v>0.35</v>
      </c>
      <c r="F613" t="s">
        <v>211</v>
      </c>
      <c r="G613" t="s">
        <v>212</v>
      </c>
      <c r="H613" t="s">
        <v>213</v>
      </c>
      <c r="I613" s="6" t="s">
        <v>545</v>
      </c>
      <c r="J613" s="61" t="s">
        <v>22</v>
      </c>
      <c r="L613" s="5" t="str">
        <f t="shared" si="85"/>
        <v>00612</v>
      </c>
      <c r="M613" s="47" t="str">
        <f t="shared" si="86"/>
        <v>15 de octubre de 2017</v>
      </c>
      <c r="N613" s="323">
        <f t="shared" si="88"/>
        <v>15</v>
      </c>
      <c r="O613" s="25">
        <f t="shared" si="87"/>
        <v>43009</v>
      </c>
      <c r="P613" s="5" t="str">
        <f t="shared" si="95"/>
        <v>0,35</v>
      </c>
      <c r="Q613" s="4" t="e">
        <f t="shared" ca="1" si="96"/>
        <v>#NAME?</v>
      </c>
    </row>
    <row r="614" spans="1:17">
      <c r="A614" s="1">
        <f t="shared" si="91"/>
        <v>613</v>
      </c>
      <c r="C614" s="8" t="s">
        <v>17</v>
      </c>
      <c r="D614" s="2">
        <v>43023</v>
      </c>
      <c r="E614" s="3">
        <f>35000/100000</f>
        <v>0.35</v>
      </c>
      <c r="F614" t="s">
        <v>443</v>
      </c>
      <c r="G614" t="s">
        <v>444</v>
      </c>
      <c r="H614" t="s">
        <v>75</v>
      </c>
      <c r="I614" s="6" t="s">
        <v>545</v>
      </c>
      <c r="J614" s="61" t="s">
        <v>22</v>
      </c>
      <c r="L614" s="5" t="str">
        <f t="shared" si="85"/>
        <v>00613</v>
      </c>
      <c r="M614" s="47" t="str">
        <f t="shared" si="86"/>
        <v>15 de octubre de 2017</v>
      </c>
      <c r="N614" s="323">
        <f t="shared" si="88"/>
        <v>15</v>
      </c>
      <c r="O614" s="25">
        <f t="shared" si="87"/>
        <v>43009</v>
      </c>
      <c r="P614" s="5" t="str">
        <f t="shared" si="95"/>
        <v>0,35</v>
      </c>
      <c r="Q614" s="4" t="e">
        <f t="shared" ca="1" si="96"/>
        <v>#NAME?</v>
      </c>
    </row>
    <row r="615" spans="1:17">
      <c r="A615" s="1">
        <f t="shared" si="91"/>
        <v>614</v>
      </c>
      <c r="C615" s="8" t="s">
        <v>17</v>
      </c>
      <c r="D615" s="2">
        <v>43022</v>
      </c>
      <c r="E615" s="3">
        <f>35000/100000</f>
        <v>0.35</v>
      </c>
      <c r="F615" t="s">
        <v>36</v>
      </c>
      <c r="G615" t="s">
        <v>37</v>
      </c>
      <c r="H615" t="s">
        <v>38</v>
      </c>
      <c r="I615" s="6" t="s">
        <v>551</v>
      </c>
      <c r="J615" s="61" t="s">
        <v>22</v>
      </c>
      <c r="L615" s="5" t="str">
        <f t="shared" si="85"/>
        <v>00614</v>
      </c>
      <c r="M615" s="47" t="str">
        <f t="shared" si="86"/>
        <v>14 de octubre de 2017</v>
      </c>
      <c r="N615" s="323">
        <f t="shared" si="88"/>
        <v>14</v>
      </c>
      <c r="O615" s="25">
        <f t="shared" si="87"/>
        <v>43009</v>
      </c>
      <c r="P615" s="5" t="str">
        <f t="shared" si="95"/>
        <v>0,35</v>
      </c>
      <c r="Q615" s="4" t="e">
        <f t="shared" ca="1" si="96"/>
        <v>#NAME?</v>
      </c>
    </row>
    <row r="616" spans="1:17">
      <c r="A616" s="1">
        <f t="shared" si="91"/>
        <v>615</v>
      </c>
      <c r="C616" s="8" t="s">
        <v>17</v>
      </c>
      <c r="D616" s="2">
        <v>43024</v>
      </c>
      <c r="E616" s="3">
        <f>35000/100000</f>
        <v>0.35</v>
      </c>
      <c r="F616" t="s">
        <v>152</v>
      </c>
      <c r="G616" t="s">
        <v>153</v>
      </c>
      <c r="H616" t="s">
        <v>154</v>
      </c>
      <c r="I616" s="6" t="s">
        <v>552</v>
      </c>
      <c r="J616" s="61" t="s">
        <v>22</v>
      </c>
      <c r="L616" s="5" t="str">
        <f t="shared" si="85"/>
        <v>00615</v>
      </c>
      <c r="M616" s="47" t="str">
        <f t="shared" si="86"/>
        <v>16 de octubre de 2017</v>
      </c>
      <c r="N616" s="323">
        <f t="shared" si="88"/>
        <v>16</v>
      </c>
      <c r="O616" s="25">
        <f t="shared" si="87"/>
        <v>43009</v>
      </c>
      <c r="P616" s="5" t="str">
        <f t="shared" si="95"/>
        <v>0,35</v>
      </c>
      <c r="Q616" s="4" t="e">
        <f t="shared" ca="1" si="96"/>
        <v>#NAME?</v>
      </c>
    </row>
    <row r="617" spans="1:17">
      <c r="A617" s="1">
        <f t="shared" si="91"/>
        <v>616</v>
      </c>
      <c r="C617" s="8" t="s">
        <v>17</v>
      </c>
      <c r="D617" s="2">
        <v>43024</v>
      </c>
      <c r="E617" s="3">
        <f>35000/100000</f>
        <v>0.35</v>
      </c>
      <c r="F617" t="s">
        <v>483</v>
      </c>
      <c r="G617" t="s">
        <v>484</v>
      </c>
      <c r="H617" t="s">
        <v>485</v>
      </c>
      <c r="I617" s="6" t="s">
        <v>528</v>
      </c>
      <c r="J617" s="61" t="s">
        <v>22</v>
      </c>
      <c r="L617" s="5" t="str">
        <f t="shared" si="85"/>
        <v>00616</v>
      </c>
      <c r="M617" s="47" t="str">
        <f t="shared" si="86"/>
        <v>16 de octubre de 2017</v>
      </c>
      <c r="N617" s="323">
        <f t="shared" si="88"/>
        <v>16</v>
      </c>
      <c r="O617" s="25">
        <f t="shared" si="87"/>
        <v>43009</v>
      </c>
      <c r="P617" s="5" t="str">
        <f t="shared" si="95"/>
        <v>0,35</v>
      </c>
      <c r="Q617" s="4" t="e">
        <f t="shared" ca="1" si="96"/>
        <v>#NAME?</v>
      </c>
    </row>
    <row r="618" spans="1:17">
      <c r="A618" s="1">
        <f t="shared" si="91"/>
        <v>617</v>
      </c>
      <c r="C618" s="8" t="s">
        <v>17</v>
      </c>
      <c r="D618" s="2">
        <v>43024</v>
      </c>
      <c r="E618" s="3">
        <f>15000/100000</f>
        <v>0.15</v>
      </c>
      <c r="F618" t="s">
        <v>401</v>
      </c>
      <c r="G618" t="s">
        <v>402</v>
      </c>
      <c r="H618" t="s">
        <v>403</v>
      </c>
      <c r="I618" s="6" t="s">
        <v>546</v>
      </c>
      <c r="J618" s="61" t="s">
        <v>22</v>
      </c>
      <c r="L618" s="5" t="str">
        <f t="shared" si="85"/>
        <v>00617</v>
      </c>
      <c r="M618" s="47" t="str">
        <f t="shared" si="86"/>
        <v>16 de octubre de 2017</v>
      </c>
      <c r="N618" s="323">
        <f t="shared" si="88"/>
        <v>16</v>
      </c>
      <c r="O618" s="25">
        <f t="shared" si="87"/>
        <v>43009</v>
      </c>
      <c r="P618" s="5" t="str">
        <f t="shared" si="95"/>
        <v>0,15</v>
      </c>
      <c r="Q618" s="4" t="e">
        <f t="shared" ca="1" si="96"/>
        <v>#NAME?</v>
      </c>
    </row>
    <row r="619" spans="1:17">
      <c r="A619" s="1">
        <f t="shared" si="91"/>
        <v>618</v>
      </c>
      <c r="C619" s="8" t="s">
        <v>17</v>
      </c>
      <c r="D619" s="2">
        <v>43024</v>
      </c>
      <c r="E619" s="3">
        <f>20000/100000</f>
        <v>0.2</v>
      </c>
      <c r="F619" t="s">
        <v>130</v>
      </c>
      <c r="G619" t="s">
        <v>131</v>
      </c>
      <c r="H619" t="s">
        <v>132</v>
      </c>
      <c r="I619" s="6" t="s">
        <v>546</v>
      </c>
      <c r="J619" s="61" t="s">
        <v>22</v>
      </c>
      <c r="L619" s="5" t="str">
        <f t="shared" si="85"/>
        <v>00618</v>
      </c>
      <c r="M619" s="47" t="str">
        <f t="shared" si="86"/>
        <v>16 de octubre de 2017</v>
      </c>
      <c r="N619" s="323">
        <f t="shared" si="88"/>
        <v>16</v>
      </c>
      <c r="O619" s="25">
        <f t="shared" si="87"/>
        <v>43009</v>
      </c>
      <c r="P619" s="5" t="str">
        <f t="shared" si="95"/>
        <v>0,20</v>
      </c>
      <c r="Q619" s="4" t="e">
        <f t="shared" ca="1" si="96"/>
        <v>#NAME?</v>
      </c>
    </row>
    <row r="620" spans="1:17">
      <c r="A620" s="1">
        <f t="shared" si="91"/>
        <v>619</v>
      </c>
      <c r="C620" s="8" t="s">
        <v>17</v>
      </c>
      <c r="D620" s="2">
        <v>43026</v>
      </c>
      <c r="E620" s="3">
        <f>20000/100000</f>
        <v>0.2</v>
      </c>
      <c r="F620" t="s">
        <v>130</v>
      </c>
      <c r="G620" t="s">
        <v>131</v>
      </c>
      <c r="H620" t="s">
        <v>132</v>
      </c>
      <c r="I620" s="6" t="s">
        <v>534</v>
      </c>
      <c r="J620" s="61" t="s">
        <v>22</v>
      </c>
      <c r="L620" s="5" t="str">
        <f t="shared" si="85"/>
        <v>00619</v>
      </c>
      <c r="M620" s="47" t="str">
        <f t="shared" si="86"/>
        <v>18 de octubre de 2017</v>
      </c>
      <c r="N620" s="323">
        <f t="shared" si="88"/>
        <v>18</v>
      </c>
      <c r="O620" s="25">
        <f t="shared" si="87"/>
        <v>43009</v>
      </c>
      <c r="P620" s="5" t="str">
        <f t="shared" ref="P620:P646" si="97">TEXT(E620,"#.##0,00")</f>
        <v>0,20</v>
      </c>
      <c r="Q620" s="4" t="e">
        <f t="shared" ref="Q620:Q646" ca="1" si="98">CONVERTIRNUM(E620)</f>
        <v>#NAME?</v>
      </c>
    </row>
    <row r="621" spans="1:17">
      <c r="A621" s="1">
        <f t="shared" si="91"/>
        <v>620</v>
      </c>
      <c r="C621" s="8" t="s">
        <v>17</v>
      </c>
      <c r="D621" s="2">
        <v>43026</v>
      </c>
      <c r="E621" s="3">
        <f>35000/100000</f>
        <v>0.35</v>
      </c>
      <c r="F621" t="s">
        <v>185</v>
      </c>
      <c r="G621" t="s">
        <v>186</v>
      </c>
      <c r="H621" t="s">
        <v>187</v>
      </c>
      <c r="I621" s="6" t="s">
        <v>528</v>
      </c>
      <c r="J621" s="61" t="s">
        <v>22</v>
      </c>
      <c r="L621" s="5" t="str">
        <f t="shared" si="85"/>
        <v>00620</v>
      </c>
      <c r="M621" s="47" t="str">
        <f t="shared" si="86"/>
        <v>18 de octubre de 2017</v>
      </c>
      <c r="N621" s="323">
        <f t="shared" si="88"/>
        <v>18</v>
      </c>
      <c r="O621" s="25">
        <f t="shared" si="87"/>
        <v>43009</v>
      </c>
      <c r="P621" s="5" t="str">
        <f t="shared" si="97"/>
        <v>0,35</v>
      </c>
      <c r="Q621" s="4" t="e">
        <f t="shared" ca="1" si="98"/>
        <v>#NAME?</v>
      </c>
    </row>
    <row r="622" spans="1:17" ht="15.75" thickBot="1">
      <c r="A622" s="1">
        <f t="shared" si="91"/>
        <v>621</v>
      </c>
      <c r="C622" s="8" t="s">
        <v>17</v>
      </c>
      <c r="D622" s="2">
        <v>43027</v>
      </c>
      <c r="E622" s="3">
        <f>35000/100000</f>
        <v>0.35</v>
      </c>
      <c r="F622" t="s">
        <v>122</v>
      </c>
      <c r="G622" t="s">
        <v>123</v>
      </c>
      <c r="H622" t="s">
        <v>124</v>
      </c>
      <c r="I622" s="6" t="s">
        <v>545</v>
      </c>
      <c r="J622" s="61" t="s">
        <v>22</v>
      </c>
      <c r="L622" s="5" t="str">
        <f t="shared" si="85"/>
        <v>00621</v>
      </c>
      <c r="M622" s="47" t="str">
        <f t="shared" si="86"/>
        <v>19 de octubre de 2017</v>
      </c>
      <c r="N622" s="323">
        <f t="shared" si="88"/>
        <v>19</v>
      </c>
      <c r="O622" s="25">
        <f t="shared" si="87"/>
        <v>43009</v>
      </c>
      <c r="P622" s="5" t="str">
        <f t="shared" si="97"/>
        <v>0,35</v>
      </c>
      <c r="Q622" s="4" t="e">
        <f t="shared" ca="1" si="98"/>
        <v>#NAME?</v>
      </c>
    </row>
    <row r="623" spans="1:17" ht="15.75" thickBot="1">
      <c r="A623" s="1">
        <f t="shared" si="91"/>
        <v>622</v>
      </c>
      <c r="C623" s="8" t="s">
        <v>17</v>
      </c>
      <c r="D623" s="2">
        <v>43028</v>
      </c>
      <c r="E623" s="3">
        <f>40000/100000</f>
        <v>0.4</v>
      </c>
      <c r="F623" s="20" t="s">
        <v>57</v>
      </c>
      <c r="G623" s="18" t="s">
        <v>58</v>
      </c>
      <c r="H623" s="21" t="s">
        <v>59</v>
      </c>
      <c r="I623" s="6" t="s">
        <v>545</v>
      </c>
      <c r="J623" s="61" t="s">
        <v>22</v>
      </c>
      <c r="K623" s="22"/>
      <c r="L623" s="5" t="str">
        <f t="shared" si="85"/>
        <v>00622</v>
      </c>
      <c r="M623" s="47" t="str">
        <f t="shared" si="86"/>
        <v>20 de octubre de 2017</v>
      </c>
      <c r="N623" s="323">
        <f t="shared" si="88"/>
        <v>20</v>
      </c>
      <c r="O623" s="25">
        <f t="shared" si="87"/>
        <v>43009</v>
      </c>
      <c r="P623" s="5" t="str">
        <f t="shared" si="97"/>
        <v>0,40</v>
      </c>
      <c r="Q623" s="4" t="e">
        <f t="shared" ca="1" si="98"/>
        <v>#NAME?</v>
      </c>
    </row>
    <row r="624" spans="1:17">
      <c r="A624" s="1">
        <f t="shared" si="91"/>
        <v>623</v>
      </c>
      <c r="C624" s="8" t="s">
        <v>17</v>
      </c>
      <c r="D624" s="2">
        <v>43029</v>
      </c>
      <c r="E624" s="3">
        <f>35000*2/100000</f>
        <v>0.7</v>
      </c>
      <c r="F624" t="s">
        <v>53</v>
      </c>
      <c r="G624" t="s">
        <v>54</v>
      </c>
      <c r="H624" t="s">
        <v>55</v>
      </c>
      <c r="I624" s="6" t="s">
        <v>535</v>
      </c>
      <c r="J624" s="61" t="s">
        <v>22</v>
      </c>
      <c r="L624" s="5" t="str">
        <f t="shared" si="85"/>
        <v>00623</v>
      </c>
      <c r="M624" s="47" t="str">
        <f t="shared" si="86"/>
        <v>21 de octubre de 2017</v>
      </c>
      <c r="N624" s="323">
        <f t="shared" si="88"/>
        <v>21</v>
      </c>
      <c r="O624" s="25">
        <f t="shared" si="87"/>
        <v>43009</v>
      </c>
      <c r="P624" s="5" t="str">
        <f t="shared" si="97"/>
        <v>0,70</v>
      </c>
      <c r="Q624" s="4" t="e">
        <f t="shared" ca="1" si="98"/>
        <v>#NAME?</v>
      </c>
    </row>
    <row r="625" spans="1:17">
      <c r="A625" s="1">
        <f t="shared" si="91"/>
        <v>624</v>
      </c>
      <c r="C625" s="8" t="s">
        <v>17</v>
      </c>
      <c r="D625" s="2">
        <v>43029</v>
      </c>
      <c r="E625" s="3">
        <f>35000/100000</f>
        <v>0.35</v>
      </c>
      <c r="F625" t="s">
        <v>201</v>
      </c>
      <c r="G625" t="s">
        <v>202</v>
      </c>
      <c r="H625" t="s">
        <v>203</v>
      </c>
      <c r="I625" s="6" t="s">
        <v>528</v>
      </c>
      <c r="J625" s="61" t="s">
        <v>22</v>
      </c>
      <c r="L625" s="5" t="str">
        <f t="shared" si="85"/>
        <v>00624</v>
      </c>
      <c r="M625" s="47" t="str">
        <f t="shared" si="86"/>
        <v>21 de octubre de 2017</v>
      </c>
      <c r="N625" s="323">
        <f t="shared" si="88"/>
        <v>21</v>
      </c>
      <c r="O625" s="25">
        <f t="shared" si="87"/>
        <v>43009</v>
      </c>
      <c r="P625" s="5" t="str">
        <f t="shared" si="97"/>
        <v>0,35</v>
      </c>
      <c r="Q625" s="4" t="e">
        <f t="shared" ca="1" si="98"/>
        <v>#NAME?</v>
      </c>
    </row>
    <row r="626" spans="1:17">
      <c r="A626" s="1">
        <f t="shared" si="91"/>
        <v>625</v>
      </c>
      <c r="C626" s="8" t="s">
        <v>17</v>
      </c>
      <c r="D626" s="2">
        <v>43029</v>
      </c>
      <c r="E626" s="3">
        <f>35000/100000</f>
        <v>0.35</v>
      </c>
      <c r="F626" t="s">
        <v>230</v>
      </c>
      <c r="G626" t="s">
        <v>231</v>
      </c>
      <c r="H626" t="s">
        <v>232</v>
      </c>
      <c r="I626" s="6" t="s">
        <v>528</v>
      </c>
      <c r="J626" s="61" t="s">
        <v>22</v>
      </c>
      <c r="L626" s="5" t="str">
        <f t="shared" si="85"/>
        <v>00625</v>
      </c>
      <c r="M626" s="47" t="str">
        <f t="shared" si="86"/>
        <v>21 de octubre de 2017</v>
      </c>
      <c r="N626" s="323">
        <f t="shared" si="88"/>
        <v>21</v>
      </c>
      <c r="O626" s="25">
        <f t="shared" si="87"/>
        <v>43009</v>
      </c>
      <c r="P626" s="5" t="str">
        <f t="shared" si="97"/>
        <v>0,35</v>
      </c>
      <c r="Q626" s="4" t="e">
        <f t="shared" ca="1" si="98"/>
        <v>#NAME?</v>
      </c>
    </row>
    <row r="627" spans="1:17">
      <c r="A627" s="1">
        <f t="shared" si="91"/>
        <v>626</v>
      </c>
      <c r="C627" s="8" t="s">
        <v>17</v>
      </c>
      <c r="D627" s="2">
        <v>43031</v>
      </c>
      <c r="E627" s="3">
        <f>35000/100000</f>
        <v>0.35</v>
      </c>
      <c r="F627" t="s">
        <v>134</v>
      </c>
      <c r="G627" t="s">
        <v>135</v>
      </c>
      <c r="H627" t="s">
        <v>136</v>
      </c>
      <c r="I627" s="6" t="s">
        <v>545</v>
      </c>
      <c r="J627" s="61" t="s">
        <v>22</v>
      </c>
      <c r="L627" s="5" t="str">
        <f t="shared" si="85"/>
        <v>00626</v>
      </c>
      <c r="M627" s="47" t="str">
        <f t="shared" si="86"/>
        <v>23 de octubre de 2017</v>
      </c>
      <c r="N627" s="323">
        <f t="shared" si="88"/>
        <v>23</v>
      </c>
      <c r="O627" s="25">
        <f t="shared" si="87"/>
        <v>43009</v>
      </c>
      <c r="P627" s="5" t="str">
        <f t="shared" si="97"/>
        <v>0,35</v>
      </c>
      <c r="Q627" s="4" t="e">
        <f t="shared" ca="1" si="98"/>
        <v>#NAME?</v>
      </c>
    </row>
    <row r="628" spans="1:17">
      <c r="A628" s="1">
        <f t="shared" si="91"/>
        <v>627</v>
      </c>
      <c r="C628" s="8" t="s">
        <v>17</v>
      </c>
      <c r="D628" s="2">
        <v>43031</v>
      </c>
      <c r="E628" s="3">
        <f>35000/100000</f>
        <v>0.35</v>
      </c>
      <c r="F628" t="s">
        <v>107</v>
      </c>
      <c r="G628" t="s">
        <v>108</v>
      </c>
      <c r="H628" t="s">
        <v>109</v>
      </c>
      <c r="I628" s="6" t="s">
        <v>545</v>
      </c>
      <c r="J628" s="61" t="s">
        <v>22</v>
      </c>
      <c r="L628" s="5" t="str">
        <f t="shared" si="85"/>
        <v>00627</v>
      </c>
      <c r="M628" s="47" t="str">
        <f t="shared" si="86"/>
        <v>23 de octubre de 2017</v>
      </c>
      <c r="N628" s="323">
        <f t="shared" si="88"/>
        <v>23</v>
      </c>
      <c r="O628" s="25">
        <f t="shared" si="87"/>
        <v>43009</v>
      </c>
      <c r="P628" s="5" t="str">
        <f t="shared" si="97"/>
        <v>0,35</v>
      </c>
      <c r="Q628" s="4" t="e">
        <f t="shared" ca="1" si="98"/>
        <v>#NAME?</v>
      </c>
    </row>
    <row r="629" spans="1:17">
      <c r="A629" s="1">
        <f t="shared" si="91"/>
        <v>628</v>
      </c>
      <c r="C629" s="8" t="s">
        <v>17</v>
      </c>
      <c r="D629" s="2">
        <v>43031</v>
      </c>
      <c r="E629" s="3">
        <f>35000/100000</f>
        <v>0.35</v>
      </c>
      <c r="F629" t="s">
        <v>40</v>
      </c>
      <c r="G629" t="s">
        <v>41</v>
      </c>
      <c r="H629" t="s">
        <v>42</v>
      </c>
      <c r="I629" s="6" t="s">
        <v>545</v>
      </c>
      <c r="J629" s="61" t="s">
        <v>22</v>
      </c>
      <c r="L629" s="5" t="str">
        <f t="shared" si="85"/>
        <v>00628</v>
      </c>
      <c r="M629" s="47" t="str">
        <f t="shared" si="86"/>
        <v>23 de octubre de 2017</v>
      </c>
      <c r="N629" s="323">
        <f t="shared" si="88"/>
        <v>23</v>
      </c>
      <c r="O629" s="25">
        <f t="shared" si="87"/>
        <v>43009</v>
      </c>
      <c r="P629" s="5" t="str">
        <f t="shared" si="97"/>
        <v>0,35</v>
      </c>
      <c r="Q629" s="4" t="e">
        <f t="shared" ca="1" si="98"/>
        <v>#NAME?</v>
      </c>
    </row>
    <row r="630" spans="1:17" ht="15.75" thickBot="1">
      <c r="A630" s="1">
        <f t="shared" si="91"/>
        <v>629</v>
      </c>
      <c r="C630" s="8" t="s">
        <v>17</v>
      </c>
      <c r="D630" s="2">
        <v>43031</v>
      </c>
      <c r="E630" s="3">
        <f>70000/100000</f>
        <v>0.7</v>
      </c>
      <c r="F630" t="s">
        <v>362</v>
      </c>
      <c r="G630" t="s">
        <v>363</v>
      </c>
      <c r="H630" t="s">
        <v>364</v>
      </c>
      <c r="I630" s="6" t="s">
        <v>535</v>
      </c>
      <c r="J630" s="61" t="s">
        <v>22</v>
      </c>
      <c r="L630" s="5" t="str">
        <f t="shared" si="85"/>
        <v>00629</v>
      </c>
      <c r="M630" s="47" t="str">
        <f t="shared" si="86"/>
        <v>23 de octubre de 2017</v>
      </c>
      <c r="N630" s="323">
        <f t="shared" si="88"/>
        <v>23</v>
      </c>
      <c r="O630" s="25">
        <f t="shared" si="87"/>
        <v>43009</v>
      </c>
      <c r="P630" s="5" t="str">
        <f t="shared" si="97"/>
        <v>0,70</v>
      </c>
      <c r="Q630" s="4" t="e">
        <f t="shared" ca="1" si="98"/>
        <v>#NAME?</v>
      </c>
    </row>
    <row r="631" spans="1:17" ht="15.75" thickBot="1">
      <c r="A631" s="1">
        <f t="shared" si="91"/>
        <v>630</v>
      </c>
      <c r="C631" s="8" t="s">
        <v>17</v>
      </c>
      <c r="D631" s="2">
        <v>43031</v>
      </c>
      <c r="E631" s="3">
        <f>70000/100000</f>
        <v>0.7</v>
      </c>
      <c r="F631" t="s">
        <v>239</v>
      </c>
      <c r="G631" s="73" t="s">
        <v>240</v>
      </c>
      <c r="H631" t="s">
        <v>241</v>
      </c>
      <c r="I631" s="6" t="s">
        <v>529</v>
      </c>
      <c r="J631" s="61" t="s">
        <v>22</v>
      </c>
      <c r="L631" s="5" t="str">
        <f t="shared" si="85"/>
        <v>00630</v>
      </c>
      <c r="M631" s="47" t="str">
        <f t="shared" si="86"/>
        <v>23 de octubre de 2017</v>
      </c>
      <c r="N631" s="323">
        <f t="shared" si="88"/>
        <v>23</v>
      </c>
      <c r="O631" s="25">
        <f t="shared" si="87"/>
        <v>43009</v>
      </c>
      <c r="P631" s="5" t="str">
        <f t="shared" si="97"/>
        <v>0,70</v>
      </c>
      <c r="Q631" s="4" t="e">
        <f t="shared" ca="1" si="98"/>
        <v>#NAME?</v>
      </c>
    </row>
    <row r="632" spans="1:17">
      <c r="A632" s="1">
        <f t="shared" si="91"/>
        <v>631</v>
      </c>
      <c r="C632" s="8" t="s">
        <v>17</v>
      </c>
      <c r="D632" s="2">
        <v>43033</v>
      </c>
      <c r="E632" s="3">
        <f>30000/100000</f>
        <v>0.3</v>
      </c>
      <c r="F632" t="s">
        <v>342</v>
      </c>
      <c r="G632" t="s">
        <v>343</v>
      </c>
      <c r="H632" t="s">
        <v>344</v>
      </c>
      <c r="I632" s="6" t="s">
        <v>534</v>
      </c>
      <c r="J632" s="61" t="s">
        <v>22</v>
      </c>
      <c r="L632" s="5" t="str">
        <f t="shared" si="85"/>
        <v>00631</v>
      </c>
      <c r="M632" s="47" t="str">
        <f t="shared" si="86"/>
        <v>25 de octubre de 2017</v>
      </c>
      <c r="N632" s="323">
        <f t="shared" si="88"/>
        <v>25</v>
      </c>
      <c r="O632" s="25">
        <f t="shared" si="87"/>
        <v>43009</v>
      </c>
      <c r="P632" s="5" t="str">
        <f t="shared" si="97"/>
        <v>0,30</v>
      </c>
      <c r="Q632" s="4" t="e">
        <f t="shared" ca="1" si="98"/>
        <v>#NAME?</v>
      </c>
    </row>
    <row r="633" spans="1:17">
      <c r="A633" s="1">
        <f t="shared" si="91"/>
        <v>632</v>
      </c>
      <c r="C633" s="8" t="s">
        <v>17</v>
      </c>
      <c r="D633" s="2">
        <v>43034</v>
      </c>
      <c r="E633" s="3">
        <f>15000/100000</f>
        <v>0.15</v>
      </c>
      <c r="F633" t="s">
        <v>167</v>
      </c>
      <c r="G633" t="s">
        <v>168</v>
      </c>
      <c r="H633" t="s">
        <v>169</v>
      </c>
      <c r="I633" s="6" t="s">
        <v>534</v>
      </c>
      <c r="J633" s="61" t="s">
        <v>22</v>
      </c>
      <c r="L633" s="5" t="str">
        <f t="shared" si="85"/>
        <v>00632</v>
      </c>
      <c r="M633" s="47" t="str">
        <f t="shared" si="86"/>
        <v>26 de octubre de 2017</v>
      </c>
      <c r="N633" s="323">
        <f t="shared" si="88"/>
        <v>26</v>
      </c>
      <c r="O633" s="25">
        <f t="shared" si="87"/>
        <v>43009</v>
      </c>
      <c r="P633" s="5" t="str">
        <f t="shared" si="97"/>
        <v>0,15</v>
      </c>
      <c r="Q633" s="4" t="e">
        <f t="shared" ca="1" si="98"/>
        <v>#NAME?</v>
      </c>
    </row>
    <row r="634" spans="1:17">
      <c r="A634" s="1">
        <f t="shared" si="91"/>
        <v>633</v>
      </c>
      <c r="C634" s="8" t="s">
        <v>17</v>
      </c>
      <c r="D634" s="2">
        <v>43035</v>
      </c>
      <c r="E634" s="3">
        <f>35000/100000</f>
        <v>0.35</v>
      </c>
      <c r="F634" t="s">
        <v>126</v>
      </c>
      <c r="G634" t="s">
        <v>127</v>
      </c>
      <c r="H634" t="s">
        <v>128</v>
      </c>
      <c r="I634" s="6" t="s">
        <v>545</v>
      </c>
      <c r="J634" s="61" t="s">
        <v>22</v>
      </c>
      <c r="L634" s="5" t="str">
        <f t="shared" si="85"/>
        <v>00633</v>
      </c>
      <c r="M634" s="47" t="str">
        <f t="shared" si="86"/>
        <v>27 de octubre de 2017</v>
      </c>
      <c r="N634" s="323">
        <f t="shared" si="88"/>
        <v>27</v>
      </c>
      <c r="O634" s="25">
        <f t="shared" si="87"/>
        <v>43009</v>
      </c>
      <c r="P634" s="5" t="str">
        <f t="shared" si="97"/>
        <v>0,35</v>
      </c>
      <c r="Q634" s="4" t="e">
        <f t="shared" ca="1" si="98"/>
        <v>#NAME?</v>
      </c>
    </row>
    <row r="635" spans="1:17">
      <c r="A635" s="1">
        <f t="shared" si="91"/>
        <v>634</v>
      </c>
      <c r="C635" s="8" t="s">
        <v>17</v>
      </c>
      <c r="D635" s="2">
        <v>43035</v>
      </c>
      <c r="E635" s="3">
        <f>35000*3/100000</f>
        <v>1.05</v>
      </c>
      <c r="F635" t="s">
        <v>243</v>
      </c>
      <c r="G635" t="s">
        <v>244</v>
      </c>
      <c r="H635" t="s">
        <v>245</v>
      </c>
      <c r="I635" s="6" t="s">
        <v>553</v>
      </c>
      <c r="J635" s="61" t="s">
        <v>22</v>
      </c>
      <c r="L635" s="5" t="str">
        <f t="shared" si="85"/>
        <v>00634</v>
      </c>
      <c r="M635" s="47" t="str">
        <f t="shared" si="86"/>
        <v>27 de octubre de 2017</v>
      </c>
      <c r="N635" s="323">
        <f t="shared" si="88"/>
        <v>27</v>
      </c>
      <c r="O635" s="25">
        <f t="shared" si="87"/>
        <v>43009</v>
      </c>
      <c r="P635" s="5" t="str">
        <f t="shared" si="97"/>
        <v>1,05</v>
      </c>
      <c r="Q635" s="4" t="e">
        <f t="shared" ca="1" si="98"/>
        <v>#NAME?</v>
      </c>
    </row>
    <row r="636" spans="1:17">
      <c r="A636" s="1">
        <f t="shared" si="91"/>
        <v>635</v>
      </c>
      <c r="C636" s="8" t="s">
        <v>17</v>
      </c>
      <c r="D636" s="2">
        <v>43035</v>
      </c>
      <c r="E636" s="3">
        <f>70000/100000</f>
        <v>0.7</v>
      </c>
      <c r="F636" t="s">
        <v>197</v>
      </c>
      <c r="G636" t="s">
        <v>198</v>
      </c>
      <c r="H636" t="s">
        <v>199</v>
      </c>
      <c r="I636" s="6" t="s">
        <v>554</v>
      </c>
      <c r="J636" s="61" t="s">
        <v>22</v>
      </c>
      <c r="L636" s="5" t="str">
        <f t="shared" si="85"/>
        <v>00635</v>
      </c>
      <c r="M636" s="47" t="str">
        <f t="shared" si="86"/>
        <v>27 de octubre de 2017</v>
      </c>
      <c r="N636" s="323">
        <f t="shared" si="88"/>
        <v>27</v>
      </c>
      <c r="O636" s="25">
        <f t="shared" si="87"/>
        <v>43009</v>
      </c>
      <c r="P636" s="5" t="str">
        <f t="shared" si="97"/>
        <v>0,70</v>
      </c>
      <c r="Q636" s="4" t="e">
        <f t="shared" ca="1" si="98"/>
        <v>#NAME?</v>
      </c>
    </row>
    <row r="637" spans="1:17" ht="15.75" thickBot="1">
      <c r="A637" s="1">
        <f t="shared" si="91"/>
        <v>636</v>
      </c>
      <c r="C637" s="8" t="s">
        <v>17</v>
      </c>
      <c r="D637" s="2">
        <v>43037</v>
      </c>
      <c r="E637" s="3">
        <f>60000/100000</f>
        <v>0.6</v>
      </c>
      <c r="F637" t="s">
        <v>412</v>
      </c>
      <c r="G637" t="s">
        <v>413</v>
      </c>
      <c r="H637" t="s">
        <v>414</v>
      </c>
      <c r="I637" s="6" t="s">
        <v>531</v>
      </c>
      <c r="J637" s="61" t="s">
        <v>22</v>
      </c>
      <c r="L637" s="5" t="str">
        <f t="shared" si="85"/>
        <v>00636</v>
      </c>
      <c r="M637" s="47" t="str">
        <f t="shared" si="86"/>
        <v>29 de octubre de 2017</v>
      </c>
      <c r="N637" s="323">
        <f t="shared" si="88"/>
        <v>29</v>
      </c>
      <c r="O637" s="25">
        <f t="shared" si="87"/>
        <v>43009</v>
      </c>
      <c r="P637" s="5" t="str">
        <f t="shared" si="97"/>
        <v>0,60</v>
      </c>
      <c r="Q637" s="4" t="e">
        <f t="shared" ca="1" si="98"/>
        <v>#NAME?</v>
      </c>
    </row>
    <row r="638" spans="1:17" ht="15.75" thickBot="1">
      <c r="A638" s="1">
        <f t="shared" si="91"/>
        <v>637</v>
      </c>
      <c r="C638" s="8" t="s">
        <v>17</v>
      </c>
      <c r="D638" s="2">
        <v>43038</v>
      </c>
      <c r="E638" s="3">
        <f>20000/100000</f>
        <v>0.2</v>
      </c>
      <c r="F638" t="s">
        <v>397</v>
      </c>
      <c r="G638" s="48" t="s">
        <v>29</v>
      </c>
      <c r="H638" t="s">
        <v>398</v>
      </c>
      <c r="I638" s="6" t="s">
        <v>546</v>
      </c>
      <c r="J638" s="61" t="s">
        <v>22</v>
      </c>
      <c r="L638" s="5" t="str">
        <f t="shared" si="85"/>
        <v>00637</v>
      </c>
      <c r="M638" s="47" t="str">
        <f t="shared" si="86"/>
        <v>30 de octubre de 2017</v>
      </c>
      <c r="N638" s="323">
        <f t="shared" si="88"/>
        <v>30</v>
      </c>
      <c r="O638" s="25">
        <f t="shared" si="87"/>
        <v>43009</v>
      </c>
      <c r="P638" s="5" t="str">
        <f t="shared" si="97"/>
        <v>0,20</v>
      </c>
      <c r="Q638" s="4" t="e">
        <f t="shared" ca="1" si="98"/>
        <v>#NAME?</v>
      </c>
    </row>
    <row r="639" spans="1:17">
      <c r="A639" s="1">
        <f t="shared" si="91"/>
        <v>638</v>
      </c>
      <c r="C639" s="8" t="s">
        <v>17</v>
      </c>
      <c r="D639" s="2">
        <v>43038</v>
      </c>
      <c r="E639" s="3">
        <f>20000/100000</f>
        <v>0.2</v>
      </c>
      <c r="F639" t="s">
        <v>28</v>
      </c>
      <c r="G639" t="s">
        <v>29</v>
      </c>
      <c r="H639" t="s">
        <v>30</v>
      </c>
      <c r="I639" s="6" t="s">
        <v>546</v>
      </c>
      <c r="J639" s="61" t="s">
        <v>22</v>
      </c>
      <c r="L639" s="5" t="str">
        <f t="shared" si="85"/>
        <v>00638</v>
      </c>
      <c r="M639" s="47" t="str">
        <f t="shared" si="86"/>
        <v>30 de octubre de 2017</v>
      </c>
      <c r="N639" s="323">
        <f t="shared" si="88"/>
        <v>30</v>
      </c>
      <c r="O639" s="25">
        <f t="shared" si="87"/>
        <v>43009</v>
      </c>
      <c r="P639" s="5" t="str">
        <f t="shared" si="97"/>
        <v>0,20</v>
      </c>
      <c r="Q639" s="4" t="e">
        <f t="shared" ca="1" si="98"/>
        <v>#NAME?</v>
      </c>
    </row>
    <row r="640" spans="1:17">
      <c r="A640" s="1">
        <f t="shared" si="91"/>
        <v>639</v>
      </c>
      <c r="C640" s="8" t="s">
        <v>17</v>
      </c>
      <c r="D640" s="2">
        <v>43039</v>
      </c>
      <c r="E640" s="3">
        <f>35000/100000</f>
        <v>0.35</v>
      </c>
      <c r="F640" t="s">
        <v>296</v>
      </c>
      <c r="G640" t="s">
        <v>297</v>
      </c>
      <c r="H640" t="s">
        <v>298</v>
      </c>
      <c r="I640" s="6" t="s">
        <v>545</v>
      </c>
      <c r="J640" s="61" t="s">
        <v>22</v>
      </c>
      <c r="L640" s="5" t="str">
        <f t="shared" si="85"/>
        <v>00639</v>
      </c>
      <c r="M640" s="47" t="str">
        <f t="shared" si="86"/>
        <v>31 de octubre de 2017</v>
      </c>
      <c r="N640" s="323">
        <f t="shared" si="88"/>
        <v>31</v>
      </c>
      <c r="O640" s="25">
        <f t="shared" si="87"/>
        <v>43009</v>
      </c>
      <c r="P640" s="5" t="str">
        <f t="shared" si="97"/>
        <v>0,35</v>
      </c>
      <c r="Q640" s="4" t="e">
        <f t="shared" ca="1" si="98"/>
        <v>#NAME?</v>
      </c>
    </row>
    <row r="641" spans="1:17">
      <c r="A641" s="1">
        <f t="shared" si="91"/>
        <v>640</v>
      </c>
      <c r="C641" s="8" t="s">
        <v>17</v>
      </c>
      <c r="D641" s="2">
        <v>43027</v>
      </c>
      <c r="E641" s="3">
        <f>20000/100000</f>
        <v>0.2</v>
      </c>
      <c r="F641" t="s">
        <v>181</v>
      </c>
      <c r="G641" t="s">
        <v>182</v>
      </c>
      <c r="H641" t="s">
        <v>183</v>
      </c>
      <c r="I641" s="6" t="s">
        <v>546</v>
      </c>
      <c r="J641" s="61" t="s">
        <v>22</v>
      </c>
      <c r="L641" s="5" t="str">
        <f t="shared" si="85"/>
        <v>00640</v>
      </c>
      <c r="M641" s="47" t="str">
        <f t="shared" si="86"/>
        <v>19 de octubre de 2017</v>
      </c>
      <c r="N641" s="323">
        <f t="shared" si="88"/>
        <v>19</v>
      </c>
      <c r="O641" s="25">
        <f t="shared" si="87"/>
        <v>43009</v>
      </c>
      <c r="P641" s="5" t="str">
        <f t="shared" si="97"/>
        <v>0,20</v>
      </c>
      <c r="Q641" s="4" t="e">
        <f t="shared" ca="1" si="98"/>
        <v>#NAME?</v>
      </c>
    </row>
    <row r="642" spans="1:17">
      <c r="A642" s="1">
        <f t="shared" si="91"/>
        <v>641</v>
      </c>
      <c r="C642" s="8" t="s">
        <v>17</v>
      </c>
      <c r="D642" s="2">
        <v>43040</v>
      </c>
      <c r="E642" s="3">
        <f>35000/100000</f>
        <v>0.35</v>
      </c>
      <c r="F642" t="s">
        <v>62</v>
      </c>
      <c r="G642" t="s">
        <v>63</v>
      </c>
      <c r="H642" t="s">
        <v>64</v>
      </c>
      <c r="I642" s="6" t="s">
        <v>545</v>
      </c>
      <c r="J642" s="61" t="s">
        <v>22</v>
      </c>
      <c r="L642" s="5" t="str">
        <f t="shared" ref="L642:L705" si="99">IF(ISBLANK(A642),"",TEXT(A642,"00000"))</f>
        <v>00641</v>
      </c>
      <c r="M642" s="47" t="str">
        <f t="shared" ref="M642:M705" si="100">IF(ISBLANK(D642),"",TEXT(D642,"dd")&amp;" de "&amp;TEXT(D642,"mmmm")&amp;" de "&amp;TEXT(YEAR(D642),"0"))</f>
        <v>01 de noviembre de 2017</v>
      </c>
      <c r="N642" s="323">
        <f t="shared" si="88"/>
        <v>1</v>
      </c>
      <c r="O642" s="25">
        <f t="shared" ref="O642:O705" si="101">DATE(YEAR(D642),MONTH(D642),1)</f>
        <v>43040</v>
      </c>
      <c r="P642" s="5" t="str">
        <f t="shared" si="97"/>
        <v>0,35</v>
      </c>
      <c r="Q642" s="4" t="e">
        <f t="shared" ca="1" si="98"/>
        <v>#NAME?</v>
      </c>
    </row>
    <row r="643" spans="1:17">
      <c r="A643" s="1">
        <f t="shared" si="91"/>
        <v>642</v>
      </c>
      <c r="C643" s="8" t="s">
        <v>17</v>
      </c>
      <c r="D643" s="2">
        <v>43040</v>
      </c>
      <c r="E643" s="3">
        <f>35000/100000</f>
        <v>0.35</v>
      </c>
      <c r="F643" t="s">
        <v>80</v>
      </c>
      <c r="G643" t="s">
        <v>81</v>
      </c>
      <c r="H643" t="s">
        <v>82</v>
      </c>
      <c r="I643" s="6" t="s">
        <v>555</v>
      </c>
      <c r="J643" s="61" t="s">
        <v>22</v>
      </c>
      <c r="L643" s="5" t="str">
        <f t="shared" si="99"/>
        <v>00642</v>
      </c>
      <c r="M643" s="47" t="str">
        <f t="shared" si="100"/>
        <v>01 de noviembre de 2017</v>
      </c>
      <c r="N643" s="323">
        <f t="shared" ref="N643:N706" si="102">DAY(D643)</f>
        <v>1</v>
      </c>
      <c r="O643" s="25">
        <f t="shared" si="101"/>
        <v>43040</v>
      </c>
      <c r="P643" s="5" t="str">
        <f t="shared" si="97"/>
        <v>0,35</v>
      </c>
      <c r="Q643" s="4" t="e">
        <f t="shared" ca="1" si="98"/>
        <v>#NAME?</v>
      </c>
    </row>
    <row r="644" spans="1:17" ht="15.75" thickBot="1">
      <c r="A644" s="1">
        <f t="shared" ref="A644:A707" si="103">A643+1</f>
        <v>643</v>
      </c>
      <c r="C644" s="8" t="s">
        <v>17</v>
      </c>
      <c r="D644" s="2">
        <v>43041</v>
      </c>
      <c r="E644" s="3">
        <f>35000/100000</f>
        <v>0.35</v>
      </c>
      <c r="F644" t="s">
        <v>44</v>
      </c>
      <c r="G644" t="s">
        <v>45</v>
      </c>
      <c r="H644" t="s">
        <v>46</v>
      </c>
      <c r="I644" s="6" t="s">
        <v>555</v>
      </c>
      <c r="J644" s="61" t="s">
        <v>22</v>
      </c>
      <c r="L644" s="5" t="str">
        <f t="shared" si="99"/>
        <v>00643</v>
      </c>
      <c r="M644" s="47" t="str">
        <f t="shared" si="100"/>
        <v>02 de noviembre de 2017</v>
      </c>
      <c r="N644" s="323">
        <f t="shared" si="102"/>
        <v>2</v>
      </c>
      <c r="O644" s="25">
        <f t="shared" si="101"/>
        <v>43040</v>
      </c>
      <c r="P644" s="5" t="str">
        <f t="shared" si="97"/>
        <v>0,35</v>
      </c>
      <c r="Q644" s="4" t="e">
        <f t="shared" ca="1" si="98"/>
        <v>#NAME?</v>
      </c>
    </row>
    <row r="645" spans="1:17" ht="15.75" thickBot="1">
      <c r="A645" s="1">
        <f t="shared" si="103"/>
        <v>644</v>
      </c>
      <c r="C645" s="8" t="s">
        <v>17</v>
      </c>
      <c r="D645" s="2">
        <v>43040</v>
      </c>
      <c r="E645" s="3">
        <f>33000/100000+35000/100000</f>
        <v>0.67999999999999994</v>
      </c>
      <c r="F645" t="s">
        <v>259</v>
      </c>
      <c r="G645" s="18" t="s">
        <v>58</v>
      </c>
      <c r="H645" t="s">
        <v>261</v>
      </c>
      <c r="I645" s="6" t="s">
        <v>556</v>
      </c>
      <c r="J645" s="61" t="s">
        <v>22</v>
      </c>
      <c r="L645" s="5" t="str">
        <f t="shared" si="99"/>
        <v>00644</v>
      </c>
      <c r="M645" s="47" t="str">
        <f t="shared" si="100"/>
        <v>01 de noviembre de 2017</v>
      </c>
      <c r="N645" s="323">
        <f t="shared" si="102"/>
        <v>1</v>
      </c>
      <c r="O645" s="25">
        <f t="shared" si="101"/>
        <v>43040</v>
      </c>
      <c r="P645" s="5" t="str">
        <f t="shared" si="97"/>
        <v>0,68</v>
      </c>
      <c r="Q645" s="4" t="e">
        <f t="shared" ca="1" si="98"/>
        <v>#NAME?</v>
      </c>
    </row>
    <row r="646" spans="1:17">
      <c r="A646" s="1">
        <f t="shared" si="103"/>
        <v>645</v>
      </c>
      <c r="C646" s="8" t="s">
        <v>17</v>
      </c>
      <c r="D646" s="2">
        <v>43041</v>
      </c>
      <c r="E646" s="3">
        <f>70000/100000</f>
        <v>0.7</v>
      </c>
      <c r="F646" t="s">
        <v>162</v>
      </c>
      <c r="G646" t="s">
        <v>163</v>
      </c>
      <c r="H646" t="s">
        <v>164</v>
      </c>
      <c r="I646" s="6" t="s">
        <v>529</v>
      </c>
      <c r="J646" s="61" t="s">
        <v>22</v>
      </c>
      <c r="L646" s="5" t="str">
        <f t="shared" si="99"/>
        <v>00645</v>
      </c>
      <c r="M646" s="47" t="str">
        <f t="shared" si="100"/>
        <v>02 de noviembre de 2017</v>
      </c>
      <c r="N646" s="323">
        <f t="shared" si="102"/>
        <v>2</v>
      </c>
      <c r="O646" s="25">
        <f t="shared" si="101"/>
        <v>43040</v>
      </c>
      <c r="P646" s="5" t="str">
        <f t="shared" si="97"/>
        <v>0,70</v>
      </c>
      <c r="Q646" s="4" t="e">
        <f t="shared" ca="1" si="98"/>
        <v>#NAME?</v>
      </c>
    </row>
    <row r="647" spans="1:17">
      <c r="A647" s="1">
        <f t="shared" si="103"/>
        <v>646</v>
      </c>
      <c r="C647" s="8" t="s">
        <v>17</v>
      </c>
      <c r="D647" s="2">
        <v>43041</v>
      </c>
      <c r="E647" s="3">
        <f>35000/100000</f>
        <v>0.35</v>
      </c>
      <c r="F647" t="s">
        <v>40</v>
      </c>
      <c r="G647" t="s">
        <v>41</v>
      </c>
      <c r="H647" t="s">
        <v>42</v>
      </c>
      <c r="I647" s="6" t="s">
        <v>555</v>
      </c>
      <c r="J647" s="61" t="s">
        <v>22</v>
      </c>
      <c r="L647" s="5" t="str">
        <f t="shared" si="99"/>
        <v>00646</v>
      </c>
      <c r="M647" s="47" t="str">
        <f t="shared" si="100"/>
        <v>02 de noviembre de 2017</v>
      </c>
      <c r="N647" s="323">
        <f t="shared" si="102"/>
        <v>2</v>
      </c>
      <c r="O647" s="25">
        <f t="shared" si="101"/>
        <v>43040</v>
      </c>
      <c r="P647" s="5" t="str">
        <f>TEXT(E647,"#.##0,00")</f>
        <v>0,35</v>
      </c>
      <c r="Q647" s="4" t="e">
        <f ca="1">CONVERTIRNUM(E647)</f>
        <v>#NAME?</v>
      </c>
    </row>
    <row r="648" spans="1:17">
      <c r="A648" s="1">
        <f t="shared" si="103"/>
        <v>647</v>
      </c>
      <c r="C648" s="8" t="s">
        <v>17</v>
      </c>
      <c r="D648" s="2">
        <v>43041</v>
      </c>
      <c r="E648" s="3">
        <f>70000/100000</f>
        <v>0.7</v>
      </c>
      <c r="F648" t="s">
        <v>280</v>
      </c>
      <c r="G648" t="s">
        <v>281</v>
      </c>
      <c r="H648" t="s">
        <v>282</v>
      </c>
      <c r="I648" s="6" t="s">
        <v>557</v>
      </c>
      <c r="J648" s="61" t="s">
        <v>22</v>
      </c>
      <c r="L648" s="5" t="str">
        <f t="shared" si="99"/>
        <v>00647</v>
      </c>
      <c r="M648" s="47" t="str">
        <f t="shared" si="100"/>
        <v>02 de noviembre de 2017</v>
      </c>
      <c r="N648" s="323">
        <f t="shared" si="102"/>
        <v>2</v>
      </c>
      <c r="O648" s="25">
        <f t="shared" si="101"/>
        <v>43040</v>
      </c>
      <c r="P648" s="5" t="str">
        <f>TEXT(E648,"#.##0,00")</f>
        <v>0,70</v>
      </c>
      <c r="Q648" s="4" t="e">
        <f ca="1">CONVERTIRNUM(E648)</f>
        <v>#NAME?</v>
      </c>
    </row>
    <row r="649" spans="1:17">
      <c r="A649" s="1">
        <f t="shared" si="103"/>
        <v>648</v>
      </c>
      <c r="C649" s="8" t="s">
        <v>17</v>
      </c>
      <c r="D649" s="2">
        <v>43041</v>
      </c>
      <c r="E649" s="3">
        <f>50000/100000</f>
        <v>0.5</v>
      </c>
      <c r="F649" t="s">
        <v>558</v>
      </c>
      <c r="G649" t="s">
        <v>559</v>
      </c>
      <c r="H649" t="s">
        <v>560</v>
      </c>
      <c r="I649" s="6" t="s">
        <v>561</v>
      </c>
      <c r="J649" s="61" t="s">
        <v>22</v>
      </c>
      <c r="L649" s="5" t="str">
        <f t="shared" si="99"/>
        <v>00648</v>
      </c>
      <c r="M649" s="47" t="str">
        <f t="shared" si="100"/>
        <v>02 de noviembre de 2017</v>
      </c>
      <c r="N649" s="323">
        <f t="shared" si="102"/>
        <v>2</v>
      </c>
      <c r="O649" s="25">
        <f t="shared" si="101"/>
        <v>43040</v>
      </c>
      <c r="P649" s="5" t="str">
        <f t="shared" ref="P649:P685" si="104">TEXT(E649,"#.##0,00")</f>
        <v>0,50</v>
      </c>
      <c r="Q649" s="4" t="e">
        <f t="shared" ref="Q649:Q685" ca="1" si="105">CONVERTIRNUM(E649)</f>
        <v>#NAME?</v>
      </c>
    </row>
    <row r="650" spans="1:17">
      <c r="A650" s="1">
        <f t="shared" si="103"/>
        <v>649</v>
      </c>
      <c r="C650" s="8" t="s">
        <v>17</v>
      </c>
      <c r="D650" s="2">
        <v>43042</v>
      </c>
      <c r="E650" s="3">
        <f>50000/100000</f>
        <v>0.5</v>
      </c>
      <c r="F650" t="s">
        <v>24</v>
      </c>
      <c r="G650" t="s">
        <v>25</v>
      </c>
      <c r="H650" t="s">
        <v>26</v>
      </c>
      <c r="I650" s="6" t="s">
        <v>561</v>
      </c>
      <c r="J650" s="61" t="s">
        <v>22</v>
      </c>
      <c r="L650" s="5" t="str">
        <f t="shared" si="99"/>
        <v>00649</v>
      </c>
      <c r="M650" s="47" t="str">
        <f t="shared" si="100"/>
        <v>03 de noviembre de 2017</v>
      </c>
      <c r="N650" s="323">
        <f t="shared" si="102"/>
        <v>3</v>
      </c>
      <c r="O650" s="25">
        <f t="shared" si="101"/>
        <v>43040</v>
      </c>
      <c r="P650" s="5" t="str">
        <f t="shared" si="104"/>
        <v>0,50</v>
      </c>
      <c r="Q650" s="4" t="e">
        <f t="shared" ca="1" si="105"/>
        <v>#NAME?</v>
      </c>
    </row>
    <row r="651" spans="1:17">
      <c r="A651" s="1">
        <f t="shared" si="103"/>
        <v>650</v>
      </c>
      <c r="C651" s="8" t="s">
        <v>17</v>
      </c>
      <c r="D651" s="2">
        <v>43043</v>
      </c>
      <c r="E651" s="3">
        <f>35000*3/100000</f>
        <v>1.05</v>
      </c>
      <c r="F651" t="s">
        <v>312</v>
      </c>
      <c r="G651" t="s">
        <v>313</v>
      </c>
      <c r="H651" t="s">
        <v>314</v>
      </c>
      <c r="I651" s="6" t="s">
        <v>562</v>
      </c>
      <c r="J651" s="61" t="s">
        <v>22</v>
      </c>
      <c r="L651" s="5" t="str">
        <f t="shared" si="99"/>
        <v>00650</v>
      </c>
      <c r="M651" s="47" t="str">
        <f t="shared" si="100"/>
        <v>04 de noviembre de 2017</v>
      </c>
      <c r="N651" s="323">
        <f t="shared" si="102"/>
        <v>4</v>
      </c>
      <c r="O651" s="25">
        <f t="shared" si="101"/>
        <v>43040</v>
      </c>
      <c r="P651" s="5" t="str">
        <f t="shared" si="104"/>
        <v>1,05</v>
      </c>
      <c r="Q651" s="4" t="e">
        <f t="shared" ca="1" si="105"/>
        <v>#NAME?</v>
      </c>
    </row>
    <row r="652" spans="1:17">
      <c r="A652" s="1">
        <f t="shared" si="103"/>
        <v>651</v>
      </c>
      <c r="C652" s="8" t="s">
        <v>17</v>
      </c>
      <c r="D652" s="2">
        <v>43047</v>
      </c>
      <c r="E652" s="3">
        <f>36000/100000+4850/100000-5850/100000</f>
        <v>0.35</v>
      </c>
      <c r="F652" t="s">
        <v>324</v>
      </c>
      <c r="G652" t="s">
        <v>325</v>
      </c>
      <c r="H652" t="s">
        <v>326</v>
      </c>
      <c r="I652" s="6" t="s">
        <v>563</v>
      </c>
      <c r="J652" s="61" t="s">
        <v>22</v>
      </c>
      <c r="L652" s="5" t="str">
        <f t="shared" si="99"/>
        <v>00651</v>
      </c>
      <c r="M652" s="47" t="str">
        <f t="shared" si="100"/>
        <v>08 de noviembre de 2017</v>
      </c>
      <c r="N652" s="323">
        <f t="shared" si="102"/>
        <v>8</v>
      </c>
      <c r="O652" s="25">
        <f t="shared" si="101"/>
        <v>43040</v>
      </c>
      <c r="P652" s="5" t="str">
        <f t="shared" si="104"/>
        <v>0,35</v>
      </c>
      <c r="Q652" s="4" t="e">
        <f t="shared" ca="1" si="105"/>
        <v>#NAME?</v>
      </c>
    </row>
    <row r="653" spans="1:17">
      <c r="A653" s="1">
        <f t="shared" si="103"/>
        <v>652</v>
      </c>
      <c r="C653" s="8" t="s">
        <v>17</v>
      </c>
      <c r="D653" s="2">
        <v>43046</v>
      </c>
      <c r="E653" s="3">
        <f>50000/100000</f>
        <v>0.5</v>
      </c>
      <c r="F653" t="s">
        <v>18</v>
      </c>
      <c r="G653" t="s">
        <v>19</v>
      </c>
      <c r="H653" t="s">
        <v>20</v>
      </c>
      <c r="I653" s="6" t="s">
        <v>564</v>
      </c>
      <c r="J653" s="61" t="s">
        <v>22</v>
      </c>
      <c r="L653" s="5" t="str">
        <f t="shared" si="99"/>
        <v>00652</v>
      </c>
      <c r="M653" s="47" t="str">
        <f t="shared" si="100"/>
        <v>07 de noviembre de 2017</v>
      </c>
      <c r="N653" s="323">
        <f t="shared" si="102"/>
        <v>7</v>
      </c>
      <c r="O653" s="25">
        <f t="shared" si="101"/>
        <v>43040</v>
      </c>
      <c r="P653" s="5" t="str">
        <f t="shared" si="104"/>
        <v>0,50</v>
      </c>
      <c r="Q653" s="4" t="e">
        <f t="shared" ca="1" si="105"/>
        <v>#NAME?</v>
      </c>
    </row>
    <row r="654" spans="1:17">
      <c r="A654" s="178">
        <f t="shared" si="103"/>
        <v>653</v>
      </c>
      <c r="C654" s="8" t="s">
        <v>17</v>
      </c>
      <c r="D654" s="2">
        <v>43046</v>
      </c>
      <c r="E654" s="3">
        <f>50000/100000</f>
        <v>0.5</v>
      </c>
      <c r="F654" t="s">
        <v>438</v>
      </c>
      <c r="G654" t="s">
        <v>439</v>
      </c>
      <c r="H654" t="s">
        <v>440</v>
      </c>
      <c r="I654" s="6" t="s">
        <v>565</v>
      </c>
      <c r="J654" s="61" t="s">
        <v>22</v>
      </c>
      <c r="L654" s="5" t="str">
        <f t="shared" si="99"/>
        <v>00653</v>
      </c>
      <c r="M654" s="47" t="str">
        <f t="shared" si="100"/>
        <v>07 de noviembre de 2017</v>
      </c>
      <c r="N654" s="323">
        <f t="shared" si="102"/>
        <v>7</v>
      </c>
      <c r="O654" s="25">
        <f t="shared" si="101"/>
        <v>43040</v>
      </c>
      <c r="P654" s="5" t="str">
        <f t="shared" si="104"/>
        <v>0,50</v>
      </c>
      <c r="Q654" s="4" t="e">
        <f t="shared" ca="1" si="105"/>
        <v>#NAME?</v>
      </c>
    </row>
    <row r="655" spans="1:17">
      <c r="A655" s="1">
        <f t="shared" si="103"/>
        <v>654</v>
      </c>
      <c r="C655" s="8" t="s">
        <v>17</v>
      </c>
      <c r="D655" s="2">
        <v>43047</v>
      </c>
      <c r="E655" s="3">
        <f>50000/100000</f>
        <v>0.5</v>
      </c>
      <c r="F655" t="s">
        <v>70</v>
      </c>
      <c r="G655" t="s">
        <v>71</v>
      </c>
      <c r="H655" t="s">
        <v>72</v>
      </c>
      <c r="I655" s="6" t="s">
        <v>561</v>
      </c>
      <c r="J655" s="61" t="s">
        <v>22</v>
      </c>
      <c r="L655" s="5" t="str">
        <f t="shared" si="99"/>
        <v>00654</v>
      </c>
      <c r="M655" s="47" t="str">
        <f t="shared" si="100"/>
        <v>08 de noviembre de 2017</v>
      </c>
      <c r="N655" s="323">
        <f t="shared" si="102"/>
        <v>8</v>
      </c>
      <c r="O655" s="25">
        <f t="shared" si="101"/>
        <v>43040</v>
      </c>
      <c r="P655" s="5" t="str">
        <f t="shared" si="104"/>
        <v>0,50</v>
      </c>
      <c r="Q655" s="4" t="e">
        <f t="shared" ca="1" si="105"/>
        <v>#NAME?</v>
      </c>
    </row>
    <row r="656" spans="1:17">
      <c r="A656" s="1">
        <f t="shared" si="103"/>
        <v>655</v>
      </c>
      <c r="C656" s="8" t="s">
        <v>17</v>
      </c>
      <c r="D656" s="2">
        <v>43049</v>
      </c>
      <c r="E656" s="3">
        <f>30000/100000</f>
        <v>0.3</v>
      </c>
      <c r="F656" t="s">
        <v>84</v>
      </c>
      <c r="G656" t="s">
        <v>85</v>
      </c>
      <c r="H656" t="s">
        <v>86</v>
      </c>
      <c r="I656" s="6" t="s">
        <v>566</v>
      </c>
      <c r="J656" s="61" t="s">
        <v>22</v>
      </c>
      <c r="L656" s="5" t="str">
        <f t="shared" si="99"/>
        <v>00655</v>
      </c>
      <c r="M656" s="47" t="str">
        <f t="shared" si="100"/>
        <v>10 de noviembre de 2017</v>
      </c>
      <c r="N656" s="323">
        <f t="shared" si="102"/>
        <v>10</v>
      </c>
      <c r="O656" s="25">
        <f t="shared" si="101"/>
        <v>43040</v>
      </c>
      <c r="P656" s="5" t="str">
        <f t="shared" si="104"/>
        <v>0,30</v>
      </c>
      <c r="Q656" s="4" t="e">
        <f t="shared" ca="1" si="105"/>
        <v>#NAME?</v>
      </c>
    </row>
    <row r="657" spans="1:17">
      <c r="A657" s="1">
        <f t="shared" si="103"/>
        <v>656</v>
      </c>
      <c r="C657" s="8" t="s">
        <v>17</v>
      </c>
      <c r="D657" s="2">
        <v>43048</v>
      </c>
      <c r="E657" s="3">
        <f>50000/100000</f>
        <v>0.5</v>
      </c>
      <c r="F657" t="s">
        <v>185</v>
      </c>
      <c r="G657" t="s">
        <v>186</v>
      </c>
      <c r="H657" t="s">
        <v>187</v>
      </c>
      <c r="I657" s="6" t="s">
        <v>561</v>
      </c>
      <c r="J657" s="61" t="s">
        <v>22</v>
      </c>
      <c r="L657" s="5" t="str">
        <f t="shared" si="99"/>
        <v>00656</v>
      </c>
      <c r="M657" s="47" t="str">
        <f t="shared" si="100"/>
        <v>09 de noviembre de 2017</v>
      </c>
      <c r="N657" s="323">
        <f t="shared" si="102"/>
        <v>9</v>
      </c>
      <c r="O657" s="25">
        <f t="shared" si="101"/>
        <v>43040</v>
      </c>
      <c r="P657" s="5" t="str">
        <f t="shared" si="104"/>
        <v>0,50</v>
      </c>
      <c r="Q657" s="4" t="e">
        <f t="shared" ca="1" si="105"/>
        <v>#NAME?</v>
      </c>
    </row>
    <row r="658" spans="1:17">
      <c r="A658" s="1">
        <f t="shared" si="103"/>
        <v>657</v>
      </c>
      <c r="C658" s="8" t="s">
        <v>17</v>
      </c>
      <c r="D658" s="2">
        <v>43048</v>
      </c>
      <c r="E658" s="3">
        <f>35000/100000+50000/100000</f>
        <v>0.85</v>
      </c>
      <c r="F658" t="s">
        <v>162</v>
      </c>
      <c r="G658" t="s">
        <v>163</v>
      </c>
      <c r="H658" t="s">
        <v>164</v>
      </c>
      <c r="I658" s="6" t="s">
        <v>567</v>
      </c>
      <c r="J658" s="61" t="s">
        <v>22</v>
      </c>
      <c r="L658" s="5" t="str">
        <f t="shared" si="99"/>
        <v>00657</v>
      </c>
      <c r="M658" s="47" t="str">
        <f t="shared" si="100"/>
        <v>09 de noviembre de 2017</v>
      </c>
      <c r="N658" s="323">
        <f t="shared" si="102"/>
        <v>9</v>
      </c>
      <c r="O658" s="25">
        <f t="shared" si="101"/>
        <v>43040</v>
      </c>
      <c r="P658" s="5" t="str">
        <f t="shared" si="104"/>
        <v>0,85</v>
      </c>
      <c r="Q658" s="4" t="e">
        <f t="shared" ca="1" si="105"/>
        <v>#NAME?</v>
      </c>
    </row>
    <row r="659" spans="1:17">
      <c r="A659" s="1">
        <f t="shared" si="103"/>
        <v>658</v>
      </c>
      <c r="C659" s="8" t="s">
        <v>17</v>
      </c>
      <c r="D659" s="2">
        <v>43049</v>
      </c>
      <c r="E659" s="3">
        <f>35000/100000+50000/100000+50000/100000</f>
        <v>1.35</v>
      </c>
      <c r="F659" t="s">
        <v>90</v>
      </c>
      <c r="G659" t="s">
        <v>91</v>
      </c>
      <c r="H659" t="s">
        <v>92</v>
      </c>
      <c r="I659" s="6" t="s">
        <v>568</v>
      </c>
      <c r="J659" s="61" t="s">
        <v>22</v>
      </c>
      <c r="L659" s="5" t="str">
        <f t="shared" si="99"/>
        <v>00658</v>
      </c>
      <c r="M659" s="47" t="str">
        <f t="shared" si="100"/>
        <v>10 de noviembre de 2017</v>
      </c>
      <c r="N659" s="323">
        <f t="shared" si="102"/>
        <v>10</v>
      </c>
      <c r="O659" s="25">
        <f t="shared" si="101"/>
        <v>43040</v>
      </c>
      <c r="P659" s="5" t="str">
        <f t="shared" si="104"/>
        <v>1,35</v>
      </c>
      <c r="Q659" s="4" t="e">
        <f t="shared" ca="1" si="105"/>
        <v>#NAME?</v>
      </c>
    </row>
    <row r="660" spans="1:17">
      <c r="A660" s="1">
        <f t="shared" si="103"/>
        <v>659</v>
      </c>
      <c r="C660" s="8" t="s">
        <v>17</v>
      </c>
      <c r="D660" s="2">
        <v>43049</v>
      </c>
      <c r="E660" s="3">
        <f>35000/100000</f>
        <v>0.35</v>
      </c>
      <c r="F660" t="s">
        <v>48</v>
      </c>
      <c r="G660" t="s">
        <v>49</v>
      </c>
      <c r="H660" t="s">
        <v>50</v>
      </c>
      <c r="I660" s="6" t="s">
        <v>566</v>
      </c>
      <c r="J660" s="61" t="s">
        <v>22</v>
      </c>
      <c r="L660" s="5" t="str">
        <f t="shared" si="99"/>
        <v>00659</v>
      </c>
      <c r="M660" s="47" t="str">
        <f t="shared" si="100"/>
        <v>10 de noviembre de 2017</v>
      </c>
      <c r="N660" s="323">
        <f t="shared" si="102"/>
        <v>10</v>
      </c>
      <c r="O660" s="25">
        <f t="shared" si="101"/>
        <v>43040</v>
      </c>
      <c r="P660" s="5" t="str">
        <f t="shared" si="104"/>
        <v>0,35</v>
      </c>
      <c r="Q660" s="4" t="e">
        <f t="shared" ca="1" si="105"/>
        <v>#NAME?</v>
      </c>
    </row>
    <row r="661" spans="1:17">
      <c r="A661" s="1">
        <f t="shared" si="103"/>
        <v>660</v>
      </c>
      <c r="C661" s="8" t="s">
        <v>17</v>
      </c>
      <c r="D661" s="2">
        <v>43050</v>
      </c>
      <c r="E661" s="3">
        <f>2*35000/100000+50000/100000</f>
        <v>1.2</v>
      </c>
      <c r="F661" t="s">
        <v>287</v>
      </c>
      <c r="G661" t="s">
        <v>288</v>
      </c>
      <c r="H661" t="s">
        <v>289</v>
      </c>
      <c r="I661" s="6" t="s">
        <v>569</v>
      </c>
      <c r="J661" s="61" t="s">
        <v>22</v>
      </c>
      <c r="L661" s="5" t="str">
        <f t="shared" si="99"/>
        <v>00660</v>
      </c>
      <c r="M661" s="47" t="str">
        <f t="shared" si="100"/>
        <v>11 de noviembre de 2017</v>
      </c>
      <c r="N661" s="323">
        <f t="shared" si="102"/>
        <v>11</v>
      </c>
      <c r="O661" s="25">
        <f t="shared" si="101"/>
        <v>43040</v>
      </c>
      <c r="P661" s="5" t="str">
        <f t="shared" si="104"/>
        <v>1,20</v>
      </c>
      <c r="Q661" s="4" t="e">
        <f t="shared" ca="1" si="105"/>
        <v>#NAME?</v>
      </c>
    </row>
    <row r="662" spans="1:17">
      <c r="A662" s="1">
        <f t="shared" si="103"/>
        <v>661</v>
      </c>
      <c r="C662" s="8" t="s">
        <v>17</v>
      </c>
      <c r="D662" s="2">
        <v>43050</v>
      </c>
      <c r="E662" s="3">
        <f>50000/100000</f>
        <v>0.5</v>
      </c>
      <c r="F662" t="s">
        <v>36</v>
      </c>
      <c r="G662" t="s">
        <v>37</v>
      </c>
      <c r="H662" t="s">
        <v>38</v>
      </c>
      <c r="I662" s="6" t="s">
        <v>561</v>
      </c>
      <c r="J662" s="61" t="s">
        <v>22</v>
      </c>
      <c r="L662" s="5" t="str">
        <f t="shared" si="99"/>
        <v>00661</v>
      </c>
      <c r="M662" s="47" t="str">
        <f t="shared" si="100"/>
        <v>11 de noviembre de 2017</v>
      </c>
      <c r="N662" s="323">
        <f t="shared" si="102"/>
        <v>11</v>
      </c>
      <c r="O662" s="25">
        <f t="shared" si="101"/>
        <v>43040</v>
      </c>
      <c r="P662" s="5" t="str">
        <f t="shared" si="104"/>
        <v>0,50</v>
      </c>
      <c r="Q662" s="4" t="e">
        <f t="shared" ca="1" si="105"/>
        <v>#NAME?</v>
      </c>
    </row>
    <row r="663" spans="1:17">
      <c r="A663" s="1">
        <f t="shared" si="103"/>
        <v>662</v>
      </c>
      <c r="C663" s="8" t="s">
        <v>17</v>
      </c>
      <c r="D663" s="2">
        <v>43051</v>
      </c>
      <c r="E663" s="3">
        <f>35000/100000+50000/100000</f>
        <v>0.85</v>
      </c>
      <c r="F663" t="s">
        <v>219</v>
      </c>
      <c r="G663" t="s">
        <v>220</v>
      </c>
      <c r="H663" t="s">
        <v>221</v>
      </c>
      <c r="I663" s="6" t="s">
        <v>567</v>
      </c>
      <c r="J663" s="61" t="s">
        <v>22</v>
      </c>
      <c r="L663" s="5" t="str">
        <f t="shared" si="99"/>
        <v>00662</v>
      </c>
      <c r="M663" s="47" t="str">
        <f t="shared" si="100"/>
        <v>12 de noviembre de 2017</v>
      </c>
      <c r="N663" s="323">
        <f t="shared" si="102"/>
        <v>12</v>
      </c>
      <c r="O663" s="25">
        <f t="shared" si="101"/>
        <v>43040</v>
      </c>
      <c r="P663" s="5" t="str">
        <f t="shared" si="104"/>
        <v>0,85</v>
      </c>
      <c r="Q663" s="4" t="e">
        <f t="shared" ca="1" si="105"/>
        <v>#NAME?</v>
      </c>
    </row>
    <row r="664" spans="1:17">
      <c r="A664" s="1">
        <f t="shared" si="103"/>
        <v>663</v>
      </c>
      <c r="C664" s="8" t="s">
        <v>17</v>
      </c>
      <c r="D664" s="2">
        <v>43051</v>
      </c>
      <c r="E664" s="3">
        <f>10000/100000</f>
        <v>0.1</v>
      </c>
      <c r="F664" t="s">
        <v>144</v>
      </c>
      <c r="G664" t="s">
        <v>145</v>
      </c>
      <c r="H664" t="s">
        <v>146</v>
      </c>
      <c r="I664" s="6" t="s">
        <v>566</v>
      </c>
      <c r="J664" s="61" t="s">
        <v>22</v>
      </c>
      <c r="L664" s="5" t="str">
        <f t="shared" si="99"/>
        <v>00663</v>
      </c>
      <c r="M664" s="47" t="str">
        <f t="shared" si="100"/>
        <v>12 de noviembre de 2017</v>
      </c>
      <c r="N664" s="323">
        <f t="shared" si="102"/>
        <v>12</v>
      </c>
      <c r="O664" s="25">
        <f t="shared" si="101"/>
        <v>43040</v>
      </c>
      <c r="P664" s="5" t="str">
        <f t="shared" si="104"/>
        <v>0,10</v>
      </c>
      <c r="Q664" s="4" t="e">
        <f t="shared" ca="1" si="105"/>
        <v>#NAME?</v>
      </c>
    </row>
    <row r="665" spans="1:17">
      <c r="A665" s="1">
        <f t="shared" si="103"/>
        <v>664</v>
      </c>
      <c r="C665" s="8" t="s">
        <v>17</v>
      </c>
      <c r="D665" s="2">
        <v>43053</v>
      </c>
      <c r="E665" s="3">
        <f>50000/100000</f>
        <v>0.5</v>
      </c>
      <c r="F665" t="s">
        <v>107</v>
      </c>
      <c r="G665" t="s">
        <v>108</v>
      </c>
      <c r="H665" t="s">
        <v>109</v>
      </c>
      <c r="I665" s="6" t="s">
        <v>561</v>
      </c>
      <c r="J665" s="61" t="s">
        <v>22</v>
      </c>
      <c r="L665" s="5" t="str">
        <f t="shared" si="99"/>
        <v>00664</v>
      </c>
      <c r="M665" s="47" t="str">
        <f t="shared" si="100"/>
        <v>14 de noviembre de 2017</v>
      </c>
      <c r="N665" s="323">
        <f t="shared" si="102"/>
        <v>14</v>
      </c>
      <c r="O665" s="25">
        <f t="shared" si="101"/>
        <v>43040</v>
      </c>
      <c r="P665" s="5" t="str">
        <f t="shared" si="104"/>
        <v>0,50</v>
      </c>
      <c r="Q665" s="4" t="e">
        <f t="shared" ca="1" si="105"/>
        <v>#NAME?</v>
      </c>
    </row>
    <row r="666" spans="1:17" ht="15.75" thickBot="1">
      <c r="A666" s="1">
        <f t="shared" si="103"/>
        <v>665</v>
      </c>
      <c r="C666" s="8" t="s">
        <v>17</v>
      </c>
      <c r="D666" s="2">
        <v>43052</v>
      </c>
      <c r="E666" s="3">
        <f>20000/100000</f>
        <v>0.2</v>
      </c>
      <c r="F666" t="s">
        <v>118</v>
      </c>
      <c r="G666" t="s">
        <v>119</v>
      </c>
      <c r="H666" t="s">
        <v>120</v>
      </c>
      <c r="I666" s="6" t="s">
        <v>546</v>
      </c>
      <c r="J666" s="61" t="s">
        <v>22</v>
      </c>
      <c r="L666" s="5" t="str">
        <f t="shared" si="99"/>
        <v>00665</v>
      </c>
      <c r="M666" s="47" t="str">
        <f t="shared" si="100"/>
        <v>13 de noviembre de 2017</v>
      </c>
      <c r="N666" s="323">
        <f t="shared" si="102"/>
        <v>13</v>
      </c>
      <c r="O666" s="25">
        <f t="shared" si="101"/>
        <v>43040</v>
      </c>
      <c r="P666" s="5" t="str">
        <f t="shared" si="104"/>
        <v>0,20</v>
      </c>
      <c r="Q666" s="4" t="e">
        <f t="shared" ca="1" si="105"/>
        <v>#NAME?</v>
      </c>
    </row>
    <row r="667" spans="1:17" ht="15.75" thickBot="1">
      <c r="A667" s="1">
        <f t="shared" si="103"/>
        <v>666</v>
      </c>
      <c r="C667" s="8" t="s">
        <v>17</v>
      </c>
      <c r="D667" s="2">
        <v>43048</v>
      </c>
      <c r="E667" s="3">
        <f>35000/100000</f>
        <v>0.35</v>
      </c>
      <c r="F667" t="s">
        <v>319</v>
      </c>
      <c r="G667" s="18" t="s">
        <v>58</v>
      </c>
      <c r="H667" t="s">
        <v>320</v>
      </c>
      <c r="I667" s="6" t="s">
        <v>545</v>
      </c>
      <c r="J667" s="61" t="s">
        <v>22</v>
      </c>
      <c r="L667" s="5" t="str">
        <f t="shared" si="99"/>
        <v>00666</v>
      </c>
      <c r="M667" s="47" t="str">
        <f t="shared" si="100"/>
        <v>09 de noviembre de 2017</v>
      </c>
      <c r="N667" s="323">
        <f t="shared" si="102"/>
        <v>9</v>
      </c>
      <c r="O667" s="25">
        <f t="shared" si="101"/>
        <v>43040</v>
      </c>
      <c r="P667" s="5" t="str">
        <f t="shared" si="104"/>
        <v>0,35</v>
      </c>
      <c r="Q667" s="4" t="e">
        <f t="shared" ca="1" si="105"/>
        <v>#NAME?</v>
      </c>
    </row>
    <row r="668" spans="1:17">
      <c r="A668" s="1">
        <f t="shared" si="103"/>
        <v>667</v>
      </c>
      <c r="C668" s="8" t="s">
        <v>17</v>
      </c>
      <c r="D668" s="2">
        <v>43053</v>
      </c>
      <c r="E668" s="3">
        <f>35000/100000+50000/100000</f>
        <v>0.85</v>
      </c>
      <c r="F668" t="s">
        <v>264</v>
      </c>
      <c r="G668" t="s">
        <v>265</v>
      </c>
      <c r="H668" t="s">
        <v>266</v>
      </c>
      <c r="I668" s="6" t="s">
        <v>567</v>
      </c>
      <c r="J668" s="61" t="s">
        <v>22</v>
      </c>
      <c r="L668" s="5" t="str">
        <f t="shared" si="99"/>
        <v>00667</v>
      </c>
      <c r="M668" s="47" t="str">
        <f t="shared" si="100"/>
        <v>14 de noviembre de 2017</v>
      </c>
      <c r="N668" s="323">
        <f t="shared" si="102"/>
        <v>14</v>
      </c>
      <c r="O668" s="25">
        <f t="shared" si="101"/>
        <v>43040</v>
      </c>
      <c r="P668" s="5" t="str">
        <f t="shared" si="104"/>
        <v>0,85</v>
      </c>
      <c r="Q668" s="4" t="e">
        <f t="shared" ca="1" si="105"/>
        <v>#NAME?</v>
      </c>
    </row>
    <row r="669" spans="1:17">
      <c r="A669" s="1">
        <f t="shared" si="103"/>
        <v>668</v>
      </c>
      <c r="C669" s="8" t="s">
        <v>17</v>
      </c>
      <c r="D669" s="2">
        <v>43053</v>
      </c>
      <c r="E669" s="3">
        <f>35000/100000</f>
        <v>0.35</v>
      </c>
      <c r="F669" t="s">
        <v>201</v>
      </c>
      <c r="G669" t="s">
        <v>202</v>
      </c>
      <c r="H669" t="s">
        <v>203</v>
      </c>
      <c r="I669" s="6" t="s">
        <v>545</v>
      </c>
      <c r="J669" s="61" t="s">
        <v>22</v>
      </c>
      <c r="L669" s="5" t="str">
        <f t="shared" si="99"/>
        <v>00668</v>
      </c>
      <c r="M669" s="47" t="str">
        <f t="shared" si="100"/>
        <v>14 de noviembre de 2017</v>
      </c>
      <c r="N669" s="323">
        <f t="shared" si="102"/>
        <v>14</v>
      </c>
      <c r="O669" s="25">
        <f t="shared" si="101"/>
        <v>43040</v>
      </c>
      <c r="P669" s="5" t="str">
        <f t="shared" si="104"/>
        <v>0,35</v>
      </c>
      <c r="Q669" s="4" t="e">
        <f t="shared" ca="1" si="105"/>
        <v>#NAME?</v>
      </c>
    </row>
    <row r="670" spans="1:17">
      <c r="A670" s="1">
        <f t="shared" si="103"/>
        <v>669</v>
      </c>
      <c r="C670" s="8" t="s">
        <v>17</v>
      </c>
      <c r="D670" s="2">
        <v>43053</v>
      </c>
      <c r="E670" s="3">
        <f>2*50000/100000</f>
        <v>1</v>
      </c>
      <c r="F670" t="s">
        <v>66</v>
      </c>
      <c r="G670" t="s">
        <v>67</v>
      </c>
      <c r="H670" t="s">
        <v>68</v>
      </c>
      <c r="I670" s="6" t="s">
        <v>570</v>
      </c>
      <c r="J670" s="61" t="s">
        <v>22</v>
      </c>
      <c r="L670" s="5" t="str">
        <f t="shared" si="99"/>
        <v>00669</v>
      </c>
      <c r="M670" s="47" t="str">
        <f t="shared" si="100"/>
        <v>14 de noviembre de 2017</v>
      </c>
      <c r="N670" s="323">
        <f t="shared" si="102"/>
        <v>14</v>
      </c>
      <c r="O670" s="25">
        <f t="shared" si="101"/>
        <v>43040</v>
      </c>
      <c r="P670" s="5" t="str">
        <f t="shared" si="104"/>
        <v>1,00</v>
      </c>
      <c r="Q670" s="4" t="e">
        <f t="shared" ca="1" si="105"/>
        <v>#NAME?</v>
      </c>
    </row>
    <row r="671" spans="1:17">
      <c r="A671" s="1">
        <f t="shared" si="103"/>
        <v>670</v>
      </c>
      <c r="C671" s="8" t="s">
        <v>17</v>
      </c>
      <c r="D671" s="2">
        <v>43054</v>
      </c>
      <c r="E671" s="3">
        <f>15000/100000</f>
        <v>0.15</v>
      </c>
      <c r="F671" t="s">
        <v>80</v>
      </c>
      <c r="G671" t="s">
        <v>81</v>
      </c>
      <c r="H671" t="s">
        <v>82</v>
      </c>
      <c r="I671" s="6" t="s">
        <v>571</v>
      </c>
      <c r="J671" s="61" t="s">
        <v>22</v>
      </c>
      <c r="L671" s="5" t="str">
        <f t="shared" si="99"/>
        <v>00670</v>
      </c>
      <c r="M671" s="47" t="str">
        <f t="shared" si="100"/>
        <v>15 de noviembre de 2017</v>
      </c>
      <c r="N671" s="323">
        <f t="shared" si="102"/>
        <v>15</v>
      </c>
      <c r="O671" s="25">
        <f t="shared" si="101"/>
        <v>43040</v>
      </c>
      <c r="P671" s="5" t="str">
        <f t="shared" si="104"/>
        <v>0,15</v>
      </c>
      <c r="Q671" s="4" t="e">
        <f t="shared" ca="1" si="105"/>
        <v>#NAME?</v>
      </c>
    </row>
    <row r="672" spans="1:17">
      <c r="A672" s="1">
        <f t="shared" si="103"/>
        <v>671</v>
      </c>
      <c r="C672" s="8" t="s">
        <v>17</v>
      </c>
      <c r="D672" s="2">
        <v>43054</v>
      </c>
      <c r="E672" s="3">
        <f>35000/100000+50000/100000+50000/100000+50000/100000</f>
        <v>1.85</v>
      </c>
      <c r="F672" t="s">
        <v>407</v>
      </c>
      <c r="G672" t="s">
        <v>408</v>
      </c>
      <c r="H672" t="s">
        <v>409</v>
      </c>
      <c r="I672" s="6" t="s">
        <v>572</v>
      </c>
      <c r="J672" s="61" t="s">
        <v>22</v>
      </c>
      <c r="L672" s="5" t="str">
        <f t="shared" si="99"/>
        <v>00671</v>
      </c>
      <c r="M672" s="47" t="str">
        <f t="shared" si="100"/>
        <v>15 de noviembre de 2017</v>
      </c>
      <c r="N672" s="323">
        <f t="shared" si="102"/>
        <v>15</v>
      </c>
      <c r="O672" s="25">
        <f t="shared" si="101"/>
        <v>43040</v>
      </c>
      <c r="P672" s="5" t="str">
        <f t="shared" si="104"/>
        <v>1,85</v>
      </c>
      <c r="Q672" s="4" t="e">
        <f t="shared" ca="1" si="105"/>
        <v>#NAME?</v>
      </c>
    </row>
    <row r="673" spans="1:17">
      <c r="A673" s="1">
        <f t="shared" si="103"/>
        <v>672</v>
      </c>
      <c r="C673" s="8" t="s">
        <v>17</v>
      </c>
      <c r="D673" s="2">
        <v>43054</v>
      </c>
      <c r="E673" s="3">
        <f>15000/100000</f>
        <v>0.15</v>
      </c>
      <c r="F673" t="s">
        <v>401</v>
      </c>
      <c r="G673" t="s">
        <v>402</v>
      </c>
      <c r="H673" t="s">
        <v>403</v>
      </c>
      <c r="I673" s="6" t="s">
        <v>566</v>
      </c>
      <c r="J673" s="61" t="s">
        <v>22</v>
      </c>
      <c r="L673" s="5" t="str">
        <f t="shared" si="99"/>
        <v>00672</v>
      </c>
      <c r="M673" s="47" t="str">
        <f t="shared" si="100"/>
        <v>15 de noviembre de 2017</v>
      </c>
      <c r="N673" s="323">
        <f t="shared" si="102"/>
        <v>15</v>
      </c>
      <c r="O673" s="25">
        <f t="shared" si="101"/>
        <v>43040</v>
      </c>
      <c r="P673" s="5" t="str">
        <f t="shared" si="104"/>
        <v>0,15</v>
      </c>
      <c r="Q673" s="4" t="e">
        <f t="shared" ca="1" si="105"/>
        <v>#NAME?</v>
      </c>
    </row>
    <row r="674" spans="1:17">
      <c r="A674" s="1">
        <f t="shared" si="103"/>
        <v>673</v>
      </c>
      <c r="C674" s="8" t="s">
        <v>17</v>
      </c>
      <c r="D674" s="2">
        <v>43049</v>
      </c>
      <c r="E674" s="3">
        <f>15000/100000</f>
        <v>0.15</v>
      </c>
      <c r="F674" t="s">
        <v>44</v>
      </c>
      <c r="G674" t="s">
        <v>45</v>
      </c>
      <c r="H674" t="s">
        <v>46</v>
      </c>
      <c r="I674" s="6" t="s">
        <v>571</v>
      </c>
      <c r="J674" s="61" t="s">
        <v>22</v>
      </c>
      <c r="L674" s="5" t="str">
        <f t="shared" si="99"/>
        <v>00673</v>
      </c>
      <c r="M674" s="47" t="str">
        <f t="shared" si="100"/>
        <v>10 de noviembre de 2017</v>
      </c>
      <c r="N674" s="323">
        <f t="shared" si="102"/>
        <v>10</v>
      </c>
      <c r="O674" s="25">
        <f t="shared" si="101"/>
        <v>43040</v>
      </c>
      <c r="P674" s="5" t="str">
        <f t="shared" si="104"/>
        <v>0,15</v>
      </c>
      <c r="Q674" s="4" t="e">
        <f t="shared" ca="1" si="105"/>
        <v>#NAME?</v>
      </c>
    </row>
    <row r="675" spans="1:17" ht="15.75" thickBot="1">
      <c r="A675" s="1">
        <f t="shared" si="103"/>
        <v>674</v>
      </c>
      <c r="C675" s="8" t="s">
        <v>17</v>
      </c>
      <c r="D675" s="2">
        <v>43054</v>
      </c>
      <c r="E675" s="3">
        <f>35000/100000+50000/100000</f>
        <v>0.85</v>
      </c>
      <c r="F675" t="s">
        <v>483</v>
      </c>
      <c r="G675" t="s">
        <v>484</v>
      </c>
      <c r="H675" t="s">
        <v>485</v>
      </c>
      <c r="I675" s="6" t="s">
        <v>567</v>
      </c>
      <c r="J675" s="61" t="s">
        <v>22</v>
      </c>
      <c r="L675" s="5" t="str">
        <f t="shared" si="99"/>
        <v>00674</v>
      </c>
      <c r="M675" s="47" t="str">
        <f t="shared" si="100"/>
        <v>15 de noviembre de 2017</v>
      </c>
      <c r="N675" s="323">
        <f t="shared" si="102"/>
        <v>15</v>
      </c>
      <c r="O675" s="25">
        <f t="shared" si="101"/>
        <v>43040</v>
      </c>
      <c r="P675" s="5" t="str">
        <f t="shared" si="104"/>
        <v>0,85</v>
      </c>
      <c r="Q675" s="4" t="e">
        <f t="shared" ca="1" si="105"/>
        <v>#NAME?</v>
      </c>
    </row>
    <row r="676" spans="1:17" ht="15.75" thickBot="1">
      <c r="A676" s="1">
        <f t="shared" si="103"/>
        <v>675</v>
      </c>
      <c r="C676" s="8" t="s">
        <v>17</v>
      </c>
      <c r="D676" s="2">
        <v>43054</v>
      </c>
      <c r="E676" s="3">
        <f>35000/100000+50000/100000</f>
        <v>0.85</v>
      </c>
      <c r="F676" t="s">
        <v>239</v>
      </c>
      <c r="G676" s="73" t="s">
        <v>240</v>
      </c>
      <c r="H676" t="s">
        <v>241</v>
      </c>
      <c r="I676" s="6" t="s">
        <v>567</v>
      </c>
      <c r="J676" s="61" t="s">
        <v>22</v>
      </c>
      <c r="L676" s="5" t="str">
        <f t="shared" si="99"/>
        <v>00675</v>
      </c>
      <c r="M676" s="47" t="str">
        <f t="shared" si="100"/>
        <v>15 de noviembre de 2017</v>
      </c>
      <c r="N676" s="323">
        <f t="shared" si="102"/>
        <v>15</v>
      </c>
      <c r="O676" s="25">
        <f t="shared" si="101"/>
        <v>43040</v>
      </c>
      <c r="P676" s="5" t="str">
        <f t="shared" si="104"/>
        <v>0,85</v>
      </c>
      <c r="Q676" s="4" t="e">
        <f t="shared" ca="1" si="105"/>
        <v>#NAME?</v>
      </c>
    </row>
    <row r="677" spans="1:17" ht="15.75" thickBot="1">
      <c r="A677" s="1">
        <f t="shared" si="103"/>
        <v>676</v>
      </c>
      <c r="C677" s="8" t="s">
        <v>17</v>
      </c>
      <c r="D677" s="2">
        <v>43054</v>
      </c>
      <c r="E677" s="3">
        <f>50000/100000</f>
        <v>0.5</v>
      </c>
      <c r="F677" t="s">
        <v>100</v>
      </c>
      <c r="G677" t="s">
        <v>95</v>
      </c>
      <c r="H677" t="s">
        <v>101</v>
      </c>
      <c r="I677" s="6" t="s">
        <v>561</v>
      </c>
      <c r="J677" s="61" t="s">
        <v>22</v>
      </c>
      <c r="L677" s="5" t="str">
        <f t="shared" si="99"/>
        <v>00676</v>
      </c>
      <c r="M677" s="47" t="str">
        <f t="shared" si="100"/>
        <v>15 de noviembre de 2017</v>
      </c>
      <c r="N677" s="323">
        <f t="shared" si="102"/>
        <v>15</v>
      </c>
      <c r="O677" s="25">
        <f t="shared" si="101"/>
        <v>43040</v>
      </c>
      <c r="P677" s="5" t="str">
        <f t="shared" si="104"/>
        <v>0,50</v>
      </c>
      <c r="Q677" s="4" t="e">
        <f t="shared" ca="1" si="105"/>
        <v>#NAME?</v>
      </c>
    </row>
    <row r="678" spans="1:17" ht="15.75" thickBot="1">
      <c r="A678" s="1">
        <f t="shared" si="103"/>
        <v>677</v>
      </c>
      <c r="C678" s="8" t="s">
        <v>17</v>
      </c>
      <c r="D678" s="2">
        <v>43055</v>
      </c>
      <c r="E678" s="3">
        <f>54000/100000</f>
        <v>0.54</v>
      </c>
      <c r="F678" s="20" t="s">
        <v>57</v>
      </c>
      <c r="G678" s="18" t="s">
        <v>58</v>
      </c>
      <c r="H678" s="21" t="s">
        <v>59</v>
      </c>
      <c r="I678" s="6" t="s">
        <v>561</v>
      </c>
      <c r="J678" s="61" t="s">
        <v>22</v>
      </c>
      <c r="K678" s="22"/>
      <c r="L678" s="5" t="str">
        <f t="shared" si="99"/>
        <v>00677</v>
      </c>
      <c r="M678" s="47" t="str">
        <f t="shared" si="100"/>
        <v>16 de noviembre de 2017</v>
      </c>
      <c r="N678" s="323">
        <f t="shared" si="102"/>
        <v>16</v>
      </c>
      <c r="O678" s="25">
        <f t="shared" si="101"/>
        <v>43040</v>
      </c>
      <c r="P678" s="5" t="str">
        <f t="shared" si="104"/>
        <v>0,54</v>
      </c>
      <c r="Q678" s="4" t="e">
        <f t="shared" ca="1" si="105"/>
        <v>#NAME?</v>
      </c>
    </row>
    <row r="679" spans="1:17">
      <c r="A679" s="1">
        <f t="shared" si="103"/>
        <v>678</v>
      </c>
      <c r="C679" s="8" t="s">
        <v>17</v>
      </c>
      <c r="D679" s="2">
        <v>43055</v>
      </c>
      <c r="E679" s="3">
        <f>35000/100000</f>
        <v>0.35</v>
      </c>
      <c r="F679" t="s">
        <v>537</v>
      </c>
      <c r="G679" t="s">
        <v>538</v>
      </c>
      <c r="H679" t="s">
        <v>539</v>
      </c>
      <c r="I679" s="6" t="s">
        <v>545</v>
      </c>
      <c r="J679" s="61" t="s">
        <v>22</v>
      </c>
      <c r="L679" s="5" t="str">
        <f t="shared" si="99"/>
        <v>00678</v>
      </c>
      <c r="M679" s="47" t="str">
        <f t="shared" si="100"/>
        <v>16 de noviembre de 2017</v>
      </c>
      <c r="N679" s="323">
        <f t="shared" si="102"/>
        <v>16</v>
      </c>
      <c r="O679" s="25">
        <f t="shared" si="101"/>
        <v>43040</v>
      </c>
      <c r="P679" s="5" t="str">
        <f t="shared" si="104"/>
        <v>0,35</v>
      </c>
      <c r="Q679" s="4" t="e">
        <f t="shared" ca="1" si="105"/>
        <v>#NAME?</v>
      </c>
    </row>
    <row r="680" spans="1:17">
      <c r="A680" s="1">
        <f t="shared" si="103"/>
        <v>679</v>
      </c>
      <c r="C680" s="8" t="s">
        <v>17</v>
      </c>
      <c r="D680" s="2">
        <v>43056</v>
      </c>
      <c r="E680" s="3">
        <f>50000/100000</f>
        <v>0.5</v>
      </c>
      <c r="F680" t="s">
        <v>122</v>
      </c>
      <c r="G680" t="s">
        <v>123</v>
      </c>
      <c r="H680" t="s">
        <v>124</v>
      </c>
      <c r="I680" s="6" t="s">
        <v>561</v>
      </c>
      <c r="J680" s="61" t="s">
        <v>22</v>
      </c>
      <c r="L680" s="5" t="str">
        <f t="shared" si="99"/>
        <v>00679</v>
      </c>
      <c r="M680" s="47" t="str">
        <f t="shared" si="100"/>
        <v>17 de noviembre de 2017</v>
      </c>
      <c r="N680" s="323">
        <f t="shared" si="102"/>
        <v>17</v>
      </c>
      <c r="O680" s="25">
        <f t="shared" si="101"/>
        <v>43040</v>
      </c>
      <c r="P680" s="5" t="str">
        <f t="shared" si="104"/>
        <v>0,50</v>
      </c>
      <c r="Q680" s="4" t="e">
        <f t="shared" ca="1" si="105"/>
        <v>#NAME?</v>
      </c>
    </row>
    <row r="681" spans="1:17">
      <c r="A681" s="1">
        <f t="shared" si="103"/>
        <v>680</v>
      </c>
      <c r="C681" s="8" t="s">
        <v>17</v>
      </c>
      <c r="D681" s="2">
        <v>43056</v>
      </c>
      <c r="E681" s="3">
        <f>35600/100000+14400/100000</f>
        <v>0.5</v>
      </c>
      <c r="F681" t="s">
        <v>152</v>
      </c>
      <c r="G681" t="s">
        <v>153</v>
      </c>
      <c r="H681" t="s">
        <v>154</v>
      </c>
      <c r="I681" s="6" t="s">
        <v>573</v>
      </c>
      <c r="J681" s="61" t="s">
        <v>22</v>
      </c>
      <c r="L681" s="5" t="str">
        <f t="shared" si="99"/>
        <v>00680</v>
      </c>
      <c r="M681" s="47" t="str">
        <f t="shared" si="100"/>
        <v>17 de noviembre de 2017</v>
      </c>
      <c r="N681" s="323">
        <f t="shared" si="102"/>
        <v>17</v>
      </c>
      <c r="O681" s="25">
        <f t="shared" si="101"/>
        <v>43040</v>
      </c>
      <c r="P681" s="5" t="str">
        <f t="shared" si="104"/>
        <v>0,50</v>
      </c>
      <c r="Q681" s="4" t="e">
        <f t="shared" ca="1" si="105"/>
        <v>#NAME?</v>
      </c>
    </row>
    <row r="682" spans="1:17" ht="15.75" thickBot="1">
      <c r="A682" s="1">
        <f t="shared" si="103"/>
        <v>681</v>
      </c>
      <c r="C682" s="8" t="s">
        <v>17</v>
      </c>
      <c r="D682" s="2">
        <v>43056</v>
      </c>
      <c r="E682" s="3">
        <f>50000/100000</f>
        <v>0.5</v>
      </c>
      <c r="F682" t="s">
        <v>134</v>
      </c>
      <c r="G682" t="s">
        <v>135</v>
      </c>
      <c r="H682" t="s">
        <v>136</v>
      </c>
      <c r="I682" s="6" t="s">
        <v>561</v>
      </c>
      <c r="J682" s="61" t="s">
        <v>22</v>
      </c>
      <c r="L682" s="5" t="str">
        <f t="shared" si="99"/>
        <v>00681</v>
      </c>
      <c r="M682" s="47" t="str">
        <f t="shared" si="100"/>
        <v>17 de noviembre de 2017</v>
      </c>
      <c r="N682" s="323">
        <f t="shared" si="102"/>
        <v>17</v>
      </c>
      <c r="O682" s="25">
        <f t="shared" si="101"/>
        <v>43040</v>
      </c>
      <c r="P682" s="5" t="str">
        <f t="shared" si="104"/>
        <v>0,50</v>
      </c>
      <c r="Q682" s="4" t="e">
        <f t="shared" ca="1" si="105"/>
        <v>#NAME?</v>
      </c>
    </row>
    <row r="683" spans="1:17" ht="15.75" thickBot="1">
      <c r="A683" s="1">
        <f t="shared" si="103"/>
        <v>682</v>
      </c>
      <c r="C683" s="8" t="s">
        <v>17</v>
      </c>
      <c r="D683" s="2">
        <v>43056</v>
      </c>
      <c r="E683" s="3">
        <f>100000/100000</f>
        <v>1</v>
      </c>
      <c r="F683" t="s">
        <v>177</v>
      </c>
      <c r="G683" s="18" t="s">
        <v>58</v>
      </c>
      <c r="H683" t="s">
        <v>179</v>
      </c>
      <c r="I683" s="6" t="s">
        <v>574</v>
      </c>
      <c r="J683" s="61" t="s">
        <v>22</v>
      </c>
      <c r="L683" s="5" t="str">
        <f t="shared" si="99"/>
        <v>00682</v>
      </c>
      <c r="M683" s="47" t="str">
        <f t="shared" si="100"/>
        <v>17 de noviembre de 2017</v>
      </c>
      <c r="N683" s="323">
        <f t="shared" si="102"/>
        <v>17</v>
      </c>
      <c r="O683" s="25">
        <f t="shared" si="101"/>
        <v>43040</v>
      </c>
      <c r="P683" s="5" t="str">
        <f t="shared" si="104"/>
        <v>1,00</v>
      </c>
      <c r="Q683" s="4" t="e">
        <f t="shared" ca="1" si="105"/>
        <v>#NAME?</v>
      </c>
    </row>
    <row r="684" spans="1:17">
      <c r="A684" s="1">
        <f t="shared" si="103"/>
        <v>683</v>
      </c>
      <c r="C684" s="8" t="s">
        <v>17</v>
      </c>
      <c r="D684" s="2">
        <v>43056</v>
      </c>
      <c r="E684" s="3">
        <f>40000/100000</f>
        <v>0.4</v>
      </c>
      <c r="F684" t="s">
        <v>181</v>
      </c>
      <c r="G684" t="s">
        <v>182</v>
      </c>
      <c r="H684" t="s">
        <v>183</v>
      </c>
      <c r="I684" s="6" t="s">
        <v>566</v>
      </c>
      <c r="J684" s="61" t="s">
        <v>22</v>
      </c>
      <c r="L684" s="5" t="str">
        <f t="shared" si="99"/>
        <v>00683</v>
      </c>
      <c r="M684" s="47" t="str">
        <f t="shared" si="100"/>
        <v>17 de noviembre de 2017</v>
      </c>
      <c r="N684" s="323">
        <f t="shared" si="102"/>
        <v>17</v>
      </c>
      <c r="O684" s="25">
        <f t="shared" si="101"/>
        <v>43040</v>
      </c>
      <c r="P684" s="5" t="str">
        <f t="shared" si="104"/>
        <v>0,40</v>
      </c>
      <c r="Q684" s="4" t="e">
        <f t="shared" ca="1" si="105"/>
        <v>#NAME?</v>
      </c>
    </row>
    <row r="685" spans="1:17" ht="15.75" thickBot="1">
      <c r="A685" s="1">
        <f t="shared" si="103"/>
        <v>684</v>
      </c>
      <c r="C685" s="8" t="s">
        <v>17</v>
      </c>
      <c r="D685" s="2">
        <v>43058</v>
      </c>
      <c r="E685" s="3">
        <f>35000/100000</f>
        <v>0.35</v>
      </c>
      <c r="F685" t="s">
        <v>230</v>
      </c>
      <c r="G685" t="s">
        <v>231</v>
      </c>
      <c r="H685" t="s">
        <v>232</v>
      </c>
      <c r="I685" s="6" t="s">
        <v>545</v>
      </c>
      <c r="J685" s="61" t="s">
        <v>22</v>
      </c>
      <c r="L685" s="5" t="str">
        <f t="shared" si="99"/>
        <v>00684</v>
      </c>
      <c r="M685" s="47" t="str">
        <f t="shared" si="100"/>
        <v>19 de noviembre de 2017</v>
      </c>
      <c r="N685" s="323">
        <f t="shared" si="102"/>
        <v>19</v>
      </c>
      <c r="O685" s="25">
        <f t="shared" si="101"/>
        <v>43040</v>
      </c>
      <c r="P685" s="5" t="str">
        <f t="shared" si="104"/>
        <v>0,35</v>
      </c>
      <c r="Q685" s="4" t="e">
        <f t="shared" ca="1" si="105"/>
        <v>#NAME?</v>
      </c>
    </row>
    <row r="686" spans="1:17" ht="15.75" thickBot="1">
      <c r="A686" s="1">
        <f t="shared" si="103"/>
        <v>685</v>
      </c>
      <c r="C686" s="8" t="s">
        <v>17</v>
      </c>
      <c r="D686" s="2">
        <v>43058</v>
      </c>
      <c r="E686" s="3">
        <f>50000/100000</f>
        <v>0.5</v>
      </c>
      <c r="F686" t="s">
        <v>319</v>
      </c>
      <c r="G686" s="18" t="s">
        <v>58</v>
      </c>
      <c r="H686" t="s">
        <v>320</v>
      </c>
      <c r="I686" s="6" t="s">
        <v>561</v>
      </c>
      <c r="J686" s="61" t="s">
        <v>22</v>
      </c>
      <c r="L686" s="5" t="str">
        <f t="shared" si="99"/>
        <v>00685</v>
      </c>
      <c r="M686" s="47" t="str">
        <f t="shared" si="100"/>
        <v>19 de noviembre de 2017</v>
      </c>
      <c r="N686" s="323">
        <f t="shared" si="102"/>
        <v>19</v>
      </c>
      <c r="O686" s="25">
        <f t="shared" si="101"/>
        <v>43040</v>
      </c>
      <c r="P686" s="5" t="str">
        <f>TEXT(E686,"#.##0,00")</f>
        <v>0,50</v>
      </c>
      <c r="Q686" s="4" t="e">
        <f ca="1">CONVERTIRNUM(E686)</f>
        <v>#NAME?</v>
      </c>
    </row>
    <row r="687" spans="1:17" ht="15.75" thickBot="1">
      <c r="A687" s="1">
        <f t="shared" si="103"/>
        <v>686</v>
      </c>
      <c r="C687" s="8" t="s">
        <v>17</v>
      </c>
      <c r="D687" s="2">
        <v>43059</v>
      </c>
      <c r="E687" s="3">
        <f>50000/100000</f>
        <v>0.5</v>
      </c>
      <c r="F687" t="s">
        <v>558</v>
      </c>
      <c r="G687" t="s">
        <v>559</v>
      </c>
      <c r="H687" t="s">
        <v>560</v>
      </c>
      <c r="I687" s="6" t="s">
        <v>575</v>
      </c>
      <c r="J687" s="61" t="s">
        <v>22</v>
      </c>
      <c r="L687" s="5" t="str">
        <f t="shared" si="99"/>
        <v>00686</v>
      </c>
      <c r="M687" s="47" t="str">
        <f t="shared" si="100"/>
        <v>20 de noviembre de 2017</v>
      </c>
      <c r="N687" s="323">
        <f t="shared" si="102"/>
        <v>20</v>
      </c>
      <c r="O687" s="25">
        <f t="shared" si="101"/>
        <v>43040</v>
      </c>
      <c r="P687" s="5" t="str">
        <f>TEXT(E687,"#.##0,00")</f>
        <v>0,50</v>
      </c>
      <c r="Q687" s="4" t="e">
        <f ca="1">CONVERTIRNUM(E687)</f>
        <v>#NAME?</v>
      </c>
    </row>
    <row r="688" spans="1:17" ht="15.75" thickBot="1">
      <c r="A688" s="1">
        <f t="shared" si="103"/>
        <v>687</v>
      </c>
      <c r="C688" s="8" t="s">
        <v>17</v>
      </c>
      <c r="D688" s="2">
        <v>43059</v>
      </c>
      <c r="E688" s="3">
        <f>20000*2/100000</f>
        <v>0.4</v>
      </c>
      <c r="F688" t="s">
        <v>303</v>
      </c>
      <c r="G688" s="18" t="s">
        <v>58</v>
      </c>
      <c r="H688" t="s">
        <v>304</v>
      </c>
      <c r="I688" s="6" t="s">
        <v>576</v>
      </c>
      <c r="J688" s="61" t="s">
        <v>22</v>
      </c>
      <c r="L688" s="5" t="str">
        <f t="shared" si="99"/>
        <v>00687</v>
      </c>
      <c r="M688" s="47" t="str">
        <f t="shared" si="100"/>
        <v>20 de noviembre de 2017</v>
      </c>
      <c r="N688" s="323">
        <f t="shared" si="102"/>
        <v>20</v>
      </c>
      <c r="O688" s="25">
        <f t="shared" si="101"/>
        <v>43040</v>
      </c>
      <c r="P688" s="5" t="str">
        <f>TEXT(E688,"#.##0,00")</f>
        <v>0,40</v>
      </c>
      <c r="Q688" s="4" t="e">
        <f ca="1">CONVERTIRNUM(E688)</f>
        <v>#NAME?</v>
      </c>
    </row>
    <row r="689" spans="1:17">
      <c r="A689" s="1">
        <f t="shared" si="103"/>
        <v>688</v>
      </c>
      <c r="C689" s="8" t="s">
        <v>17</v>
      </c>
      <c r="D689" s="2">
        <v>43060</v>
      </c>
      <c r="E689" s="3">
        <f>35000*2/100000+50000*2/100000</f>
        <v>1.7</v>
      </c>
      <c r="F689" t="s">
        <v>353</v>
      </c>
      <c r="G689" t="s">
        <v>354</v>
      </c>
      <c r="H689" t="s">
        <v>355</v>
      </c>
      <c r="I689" s="6" t="s">
        <v>577</v>
      </c>
      <c r="J689" s="61" t="s">
        <v>22</v>
      </c>
      <c r="L689" s="5" t="str">
        <f t="shared" si="99"/>
        <v>00688</v>
      </c>
      <c r="M689" s="47" t="str">
        <f t="shared" si="100"/>
        <v>21 de noviembre de 2017</v>
      </c>
      <c r="N689" s="323">
        <f t="shared" si="102"/>
        <v>21</v>
      </c>
      <c r="O689" s="25">
        <f t="shared" si="101"/>
        <v>43040</v>
      </c>
      <c r="P689" s="5" t="str">
        <f>TEXT(E689,"#.##0,00")</f>
        <v>1,70</v>
      </c>
      <c r="Q689" s="4" t="e">
        <f ca="1">CONVERTIRNUM(E689)</f>
        <v>#NAME?</v>
      </c>
    </row>
    <row r="690" spans="1:17">
      <c r="A690" s="1">
        <f t="shared" si="103"/>
        <v>689</v>
      </c>
      <c r="C690" s="8" t="s">
        <v>17</v>
      </c>
      <c r="D690" s="2">
        <v>43061</v>
      </c>
      <c r="E690" s="3">
        <f>30000/100000</f>
        <v>0.3</v>
      </c>
      <c r="F690" t="s">
        <v>578</v>
      </c>
      <c r="G690" t="s">
        <v>579</v>
      </c>
      <c r="H690" t="s">
        <v>580</v>
      </c>
      <c r="I690" s="6" t="s">
        <v>566</v>
      </c>
      <c r="J690" s="61" t="s">
        <v>22</v>
      </c>
      <c r="L690" s="5" t="str">
        <f t="shared" si="99"/>
        <v>00689</v>
      </c>
      <c r="M690" s="47" t="str">
        <f t="shared" si="100"/>
        <v>22 de noviembre de 2017</v>
      </c>
      <c r="N690" s="323">
        <f t="shared" si="102"/>
        <v>22</v>
      </c>
      <c r="O690" s="25">
        <f t="shared" si="101"/>
        <v>43040</v>
      </c>
      <c r="P690" s="5" t="str">
        <f t="shared" ref="P690:P698" si="106">TEXT(E690,"#.##0,00")</f>
        <v>0,30</v>
      </c>
      <c r="Q690" s="4" t="e">
        <f t="shared" ref="Q690:Q698" ca="1" si="107">CONVERTIRNUM(E690)</f>
        <v>#NAME?</v>
      </c>
    </row>
    <row r="691" spans="1:17">
      <c r="A691" s="1">
        <f t="shared" si="103"/>
        <v>690</v>
      </c>
      <c r="C691" s="8" t="s">
        <v>17</v>
      </c>
      <c r="D691" s="2">
        <v>43061</v>
      </c>
      <c r="E691" s="3">
        <f>50000/100000</f>
        <v>0.5</v>
      </c>
      <c r="F691" t="s">
        <v>103</v>
      </c>
      <c r="G691" t="s">
        <v>104</v>
      </c>
      <c r="H691" t="s">
        <v>105</v>
      </c>
      <c r="I691" s="6" t="s">
        <v>561</v>
      </c>
      <c r="J691" s="61" t="s">
        <v>22</v>
      </c>
      <c r="L691" s="5" t="str">
        <f t="shared" si="99"/>
        <v>00690</v>
      </c>
      <c r="M691" s="47" t="str">
        <f t="shared" si="100"/>
        <v>22 de noviembre de 2017</v>
      </c>
      <c r="N691" s="323">
        <f t="shared" si="102"/>
        <v>22</v>
      </c>
      <c r="O691" s="25">
        <f t="shared" si="101"/>
        <v>43040</v>
      </c>
      <c r="P691" s="5" t="str">
        <f t="shared" si="106"/>
        <v>0,50</v>
      </c>
      <c r="Q691" s="4" t="e">
        <f t="shared" ca="1" si="107"/>
        <v>#NAME?</v>
      </c>
    </row>
    <row r="692" spans="1:17">
      <c r="A692" s="1">
        <f t="shared" si="103"/>
        <v>691</v>
      </c>
      <c r="C692" s="8" t="s">
        <v>17</v>
      </c>
      <c r="D692" s="2">
        <v>43062</v>
      </c>
      <c r="E692" s="3">
        <f>50000/100000</f>
        <v>0.5</v>
      </c>
      <c r="F692" t="s">
        <v>443</v>
      </c>
      <c r="G692" t="s">
        <v>444</v>
      </c>
      <c r="H692" t="s">
        <v>75</v>
      </c>
      <c r="I692" s="6" t="s">
        <v>561</v>
      </c>
      <c r="J692" s="61" t="s">
        <v>22</v>
      </c>
      <c r="L692" s="5" t="str">
        <f t="shared" si="99"/>
        <v>00691</v>
      </c>
      <c r="M692" s="47" t="str">
        <f t="shared" si="100"/>
        <v>23 de noviembre de 2017</v>
      </c>
      <c r="N692" s="323">
        <f t="shared" si="102"/>
        <v>23</v>
      </c>
      <c r="O692" s="25">
        <f t="shared" si="101"/>
        <v>43040</v>
      </c>
      <c r="P692" s="5" t="str">
        <f t="shared" si="106"/>
        <v>0,50</v>
      </c>
      <c r="Q692" s="4" t="e">
        <f t="shared" ca="1" si="107"/>
        <v>#NAME?</v>
      </c>
    </row>
    <row r="693" spans="1:17">
      <c r="A693" s="1">
        <f t="shared" si="103"/>
        <v>692</v>
      </c>
      <c r="C693" s="8" t="s">
        <v>17</v>
      </c>
      <c r="D693" s="2">
        <v>43067</v>
      </c>
      <c r="E693" s="3">
        <f>15000/100000+50000/100000</f>
        <v>0.65</v>
      </c>
      <c r="F693" t="s">
        <v>243</v>
      </c>
      <c r="G693" t="s">
        <v>244</v>
      </c>
      <c r="H693" t="s">
        <v>245</v>
      </c>
      <c r="I693" s="6" t="s">
        <v>581</v>
      </c>
      <c r="J693" s="61" t="s">
        <v>22</v>
      </c>
      <c r="L693" s="5" t="str">
        <f t="shared" si="99"/>
        <v>00692</v>
      </c>
      <c r="M693" s="47" t="str">
        <f t="shared" si="100"/>
        <v>28 de noviembre de 2017</v>
      </c>
      <c r="N693" s="323">
        <f t="shared" si="102"/>
        <v>28</v>
      </c>
      <c r="O693" s="25">
        <f t="shared" si="101"/>
        <v>43040</v>
      </c>
      <c r="P693" s="5" t="str">
        <f t="shared" si="106"/>
        <v>0,65</v>
      </c>
      <c r="Q693" s="4" t="e">
        <f t="shared" ca="1" si="107"/>
        <v>#NAME?</v>
      </c>
    </row>
    <row r="694" spans="1:17">
      <c r="A694" s="1">
        <f t="shared" si="103"/>
        <v>693</v>
      </c>
      <c r="C694" s="8" t="s">
        <v>17</v>
      </c>
      <c r="D694" s="2">
        <v>43067</v>
      </c>
      <c r="E694" s="3">
        <f>2*50000/100000</f>
        <v>1</v>
      </c>
      <c r="F694" t="s">
        <v>296</v>
      </c>
      <c r="G694" t="s">
        <v>297</v>
      </c>
      <c r="H694" t="s">
        <v>298</v>
      </c>
      <c r="I694" s="6" t="s">
        <v>570</v>
      </c>
      <c r="J694" s="61" t="s">
        <v>22</v>
      </c>
      <c r="L694" s="5" t="str">
        <f t="shared" si="99"/>
        <v>00693</v>
      </c>
      <c r="M694" s="47" t="str">
        <f t="shared" si="100"/>
        <v>28 de noviembre de 2017</v>
      </c>
      <c r="N694" s="323">
        <f t="shared" si="102"/>
        <v>28</v>
      </c>
      <c r="O694" s="25">
        <f t="shared" si="101"/>
        <v>43040</v>
      </c>
      <c r="P694" s="5" t="str">
        <f t="shared" si="106"/>
        <v>1,00</v>
      </c>
      <c r="Q694" s="4" t="e">
        <f t="shared" ca="1" si="107"/>
        <v>#NAME?</v>
      </c>
    </row>
    <row r="695" spans="1:17">
      <c r="A695" s="1">
        <f t="shared" si="103"/>
        <v>694</v>
      </c>
      <c r="C695" s="8" t="s">
        <v>17</v>
      </c>
      <c r="D695" s="2">
        <v>43067</v>
      </c>
      <c r="E695" s="3">
        <f>2*50000/100000</f>
        <v>1</v>
      </c>
      <c r="F695" t="s">
        <v>324</v>
      </c>
      <c r="G695" t="s">
        <v>325</v>
      </c>
      <c r="H695" t="s">
        <v>326</v>
      </c>
      <c r="I695" s="6" t="s">
        <v>582</v>
      </c>
      <c r="J695" s="61" t="s">
        <v>22</v>
      </c>
      <c r="L695" s="5" t="str">
        <f t="shared" si="99"/>
        <v>00694</v>
      </c>
      <c r="M695" s="47" t="str">
        <f t="shared" si="100"/>
        <v>28 de noviembre de 2017</v>
      </c>
      <c r="N695" s="323">
        <f t="shared" si="102"/>
        <v>28</v>
      </c>
      <c r="O695" s="25">
        <f t="shared" si="101"/>
        <v>43040</v>
      </c>
      <c r="P695" s="5" t="str">
        <f t="shared" si="106"/>
        <v>1,00</v>
      </c>
      <c r="Q695" s="4" t="e">
        <f t="shared" ca="1" si="107"/>
        <v>#NAME?</v>
      </c>
    </row>
    <row r="696" spans="1:17">
      <c r="A696" s="1">
        <f t="shared" si="103"/>
        <v>695</v>
      </c>
      <c r="C696" s="8" t="s">
        <v>17</v>
      </c>
      <c r="D696" s="2">
        <v>43068</v>
      </c>
      <c r="E696" s="3">
        <f>50000/100000</f>
        <v>0.5</v>
      </c>
      <c r="F696" t="s">
        <v>362</v>
      </c>
      <c r="G696" t="s">
        <v>363</v>
      </c>
      <c r="H696" t="s">
        <v>364</v>
      </c>
      <c r="I696" s="6" t="s">
        <v>561</v>
      </c>
      <c r="J696" s="61" t="s">
        <v>22</v>
      </c>
      <c r="L696" s="5" t="str">
        <f t="shared" si="99"/>
        <v>00695</v>
      </c>
      <c r="M696" s="47" t="str">
        <f t="shared" si="100"/>
        <v>29 de noviembre de 2017</v>
      </c>
      <c r="N696" s="323">
        <f t="shared" si="102"/>
        <v>29</v>
      </c>
      <c r="O696" s="25">
        <f t="shared" si="101"/>
        <v>43040</v>
      </c>
      <c r="P696" s="5" t="str">
        <f t="shared" si="106"/>
        <v>0,50</v>
      </c>
      <c r="Q696" s="4" t="e">
        <f t="shared" ca="1" si="107"/>
        <v>#NAME?</v>
      </c>
    </row>
    <row r="697" spans="1:17" ht="15.75" thickBot="1">
      <c r="A697" s="1">
        <f t="shared" si="103"/>
        <v>696</v>
      </c>
      <c r="C697" s="8" t="s">
        <v>17</v>
      </c>
      <c r="D697" s="2">
        <v>43072</v>
      </c>
      <c r="E697" s="3">
        <f>2*50000/100000</f>
        <v>1</v>
      </c>
      <c r="F697" t="s">
        <v>80</v>
      </c>
      <c r="G697" t="s">
        <v>81</v>
      </c>
      <c r="H697" t="s">
        <v>82</v>
      </c>
      <c r="I697" s="6" t="s">
        <v>583</v>
      </c>
      <c r="J697" s="61" t="s">
        <v>22</v>
      </c>
      <c r="L697" s="5" t="str">
        <f t="shared" si="99"/>
        <v>00696</v>
      </c>
      <c r="M697" s="47" t="str">
        <f t="shared" si="100"/>
        <v>03 de diciembre de 2017</v>
      </c>
      <c r="N697" s="323">
        <f t="shared" si="102"/>
        <v>3</v>
      </c>
      <c r="O697" s="25">
        <f t="shared" si="101"/>
        <v>43070</v>
      </c>
      <c r="P697" s="5" t="str">
        <f t="shared" si="106"/>
        <v>1,00</v>
      </c>
      <c r="Q697" s="4" t="e">
        <f t="shared" ca="1" si="107"/>
        <v>#NAME?</v>
      </c>
    </row>
    <row r="698" spans="1:17" ht="15.75" thickBot="1">
      <c r="A698" s="1">
        <f t="shared" si="103"/>
        <v>697</v>
      </c>
      <c r="C698" s="8" t="s">
        <v>17</v>
      </c>
      <c r="D698" s="2">
        <v>43060</v>
      </c>
      <c r="E698" s="3">
        <f>71000/100000</f>
        <v>0.71</v>
      </c>
      <c r="F698" s="23" t="s">
        <v>422</v>
      </c>
      <c r="G698" s="18" t="s">
        <v>58</v>
      </c>
      <c r="H698" t="s">
        <v>423</v>
      </c>
      <c r="I698" s="6" t="s">
        <v>561</v>
      </c>
      <c r="J698" s="61" t="s">
        <v>22</v>
      </c>
      <c r="L698" s="5" t="str">
        <f t="shared" si="99"/>
        <v>00697</v>
      </c>
      <c r="M698" s="47" t="str">
        <f t="shared" si="100"/>
        <v>21 de noviembre de 2017</v>
      </c>
      <c r="N698" s="323">
        <f t="shared" si="102"/>
        <v>21</v>
      </c>
      <c r="O698" s="25">
        <f t="shared" si="101"/>
        <v>43040</v>
      </c>
      <c r="P698" s="5" t="str">
        <f t="shared" si="106"/>
        <v>0,71</v>
      </c>
      <c r="Q698" s="4" t="e">
        <f t="shared" ca="1" si="107"/>
        <v>#NAME?</v>
      </c>
    </row>
    <row r="699" spans="1:17">
      <c r="A699" s="1">
        <f t="shared" si="103"/>
        <v>698</v>
      </c>
      <c r="C699" s="8" t="s">
        <v>17</v>
      </c>
      <c r="D699" s="2">
        <v>43073</v>
      </c>
      <c r="E699" s="3">
        <f>50000/100000</f>
        <v>0.5</v>
      </c>
      <c r="F699" t="s">
        <v>126</v>
      </c>
      <c r="G699" t="s">
        <v>127</v>
      </c>
      <c r="H699" t="s">
        <v>128</v>
      </c>
      <c r="I699" s="6" t="s">
        <v>561</v>
      </c>
      <c r="J699" s="61" t="s">
        <v>22</v>
      </c>
      <c r="L699" s="5" t="str">
        <f t="shared" si="99"/>
        <v>00698</v>
      </c>
      <c r="M699" s="47" t="str">
        <f t="shared" si="100"/>
        <v>04 de diciembre de 2017</v>
      </c>
      <c r="N699" s="323">
        <f t="shared" si="102"/>
        <v>4</v>
      </c>
      <c r="O699" s="25">
        <f t="shared" si="101"/>
        <v>43070</v>
      </c>
      <c r="P699" s="5" t="str">
        <f t="shared" ref="P699:P724" si="108">TEXT(E699,"#.##0,00")</f>
        <v>0,50</v>
      </c>
      <c r="Q699" s="4" t="e">
        <f t="shared" ref="Q699:Q724" ca="1" si="109">CONVERTIRNUM(E699)</f>
        <v>#NAME?</v>
      </c>
    </row>
    <row r="700" spans="1:17" ht="15.75" thickBot="1">
      <c r="A700" s="1">
        <f t="shared" si="103"/>
        <v>699</v>
      </c>
      <c r="C700" s="8" t="s">
        <v>17</v>
      </c>
      <c r="D700" s="2">
        <v>43073</v>
      </c>
      <c r="E700" s="3">
        <f>32000/100000</f>
        <v>0.32</v>
      </c>
      <c r="F700" t="s">
        <v>28</v>
      </c>
      <c r="G700" t="s">
        <v>29</v>
      </c>
      <c r="H700" t="s">
        <v>30</v>
      </c>
      <c r="I700" s="6" t="s">
        <v>566</v>
      </c>
      <c r="J700" s="61" t="s">
        <v>22</v>
      </c>
      <c r="L700" s="5" t="str">
        <f t="shared" si="99"/>
        <v>00699</v>
      </c>
      <c r="M700" s="47" t="str">
        <f t="shared" si="100"/>
        <v>04 de diciembre de 2017</v>
      </c>
      <c r="N700" s="323">
        <f t="shared" si="102"/>
        <v>4</v>
      </c>
      <c r="O700" s="25">
        <f t="shared" si="101"/>
        <v>43070</v>
      </c>
      <c r="P700" s="5" t="str">
        <f t="shared" si="108"/>
        <v>0,32</v>
      </c>
      <c r="Q700" s="4" t="e">
        <f t="shared" ca="1" si="109"/>
        <v>#NAME?</v>
      </c>
    </row>
    <row r="701" spans="1:17" ht="15.75" thickBot="1">
      <c r="A701" s="1">
        <f t="shared" si="103"/>
        <v>700</v>
      </c>
      <c r="C701" s="8" t="s">
        <v>17</v>
      </c>
      <c r="D701" s="2">
        <v>43073</v>
      </c>
      <c r="E701" s="3">
        <f>18000/100000</f>
        <v>0.18</v>
      </c>
      <c r="F701" t="s">
        <v>397</v>
      </c>
      <c r="G701" s="48" t="s">
        <v>29</v>
      </c>
      <c r="H701" t="s">
        <v>398</v>
      </c>
      <c r="I701" s="6" t="s">
        <v>566</v>
      </c>
      <c r="J701" s="61" t="s">
        <v>22</v>
      </c>
      <c r="L701" s="5" t="str">
        <f t="shared" si="99"/>
        <v>00700</v>
      </c>
      <c r="M701" s="47" t="str">
        <f t="shared" si="100"/>
        <v>04 de diciembre de 2017</v>
      </c>
      <c r="N701" s="323">
        <f t="shared" si="102"/>
        <v>4</v>
      </c>
      <c r="O701" s="25">
        <f t="shared" si="101"/>
        <v>43070</v>
      </c>
      <c r="P701" s="5" t="str">
        <f t="shared" si="108"/>
        <v>0,18</v>
      </c>
      <c r="Q701" s="4" t="e">
        <f t="shared" ca="1" si="109"/>
        <v>#NAME?</v>
      </c>
    </row>
    <row r="702" spans="1:17">
      <c r="A702" s="1">
        <f t="shared" si="103"/>
        <v>701</v>
      </c>
      <c r="C702" s="8" t="s">
        <v>17</v>
      </c>
      <c r="D702" s="2">
        <v>43073</v>
      </c>
      <c r="E702" s="3">
        <f>25000/100000</f>
        <v>0.25</v>
      </c>
      <c r="F702" t="s">
        <v>167</v>
      </c>
      <c r="G702" t="s">
        <v>168</v>
      </c>
      <c r="H702" t="s">
        <v>169</v>
      </c>
      <c r="I702" s="6" t="s">
        <v>546</v>
      </c>
      <c r="J702" s="61" t="s">
        <v>22</v>
      </c>
      <c r="L702" s="5" t="str">
        <f t="shared" si="99"/>
        <v>00701</v>
      </c>
      <c r="M702" s="47" t="str">
        <f t="shared" si="100"/>
        <v>04 de diciembre de 2017</v>
      </c>
      <c r="N702" s="323">
        <f t="shared" si="102"/>
        <v>4</v>
      </c>
      <c r="O702" s="25">
        <f t="shared" si="101"/>
        <v>43070</v>
      </c>
      <c r="P702" s="5" t="str">
        <f t="shared" si="108"/>
        <v>0,25</v>
      </c>
      <c r="Q702" s="4" t="e">
        <f t="shared" ca="1" si="109"/>
        <v>#NAME?</v>
      </c>
    </row>
    <row r="703" spans="1:17">
      <c r="A703" s="1">
        <f t="shared" si="103"/>
        <v>702</v>
      </c>
      <c r="C703" s="8" t="s">
        <v>17</v>
      </c>
      <c r="D703" s="2">
        <v>43073</v>
      </c>
      <c r="E703" s="3">
        <f>100000/100000</f>
        <v>1</v>
      </c>
      <c r="F703" t="s">
        <v>53</v>
      </c>
      <c r="G703" t="s">
        <v>54</v>
      </c>
      <c r="H703" t="s">
        <v>55</v>
      </c>
      <c r="I703" s="6" t="s">
        <v>570</v>
      </c>
      <c r="J703" s="61" t="s">
        <v>22</v>
      </c>
      <c r="L703" s="5" t="str">
        <f t="shared" si="99"/>
        <v>00702</v>
      </c>
      <c r="M703" s="47" t="str">
        <f t="shared" si="100"/>
        <v>04 de diciembre de 2017</v>
      </c>
      <c r="N703" s="323">
        <f t="shared" si="102"/>
        <v>4</v>
      </c>
      <c r="O703" s="25">
        <f t="shared" si="101"/>
        <v>43070</v>
      </c>
      <c r="P703" s="5" t="str">
        <f t="shared" si="108"/>
        <v>1,00</v>
      </c>
      <c r="Q703" s="4" t="e">
        <f t="shared" ca="1" si="109"/>
        <v>#NAME?</v>
      </c>
    </row>
    <row r="704" spans="1:17">
      <c r="A704" s="1">
        <f t="shared" si="103"/>
        <v>703</v>
      </c>
      <c r="C704" s="8" t="s">
        <v>17</v>
      </c>
      <c r="D704" s="2">
        <v>43073</v>
      </c>
      <c r="E704" s="3">
        <f>40000/100000</f>
        <v>0.4</v>
      </c>
      <c r="F704" t="s">
        <v>280</v>
      </c>
      <c r="G704" t="s">
        <v>281</v>
      </c>
      <c r="H704" t="s">
        <v>282</v>
      </c>
      <c r="I704" s="6" t="s">
        <v>584</v>
      </c>
      <c r="J704" s="61" t="s">
        <v>22</v>
      </c>
      <c r="L704" s="5" t="str">
        <f t="shared" si="99"/>
        <v>00703</v>
      </c>
      <c r="M704" s="47" t="str">
        <f t="shared" si="100"/>
        <v>04 de diciembre de 2017</v>
      </c>
      <c r="N704" s="323">
        <f t="shared" si="102"/>
        <v>4</v>
      </c>
      <c r="O704" s="25">
        <f t="shared" si="101"/>
        <v>43070</v>
      </c>
      <c r="P704" s="5" t="str">
        <f t="shared" si="108"/>
        <v>0,40</v>
      </c>
      <c r="Q704" s="4" t="e">
        <f t="shared" ca="1" si="109"/>
        <v>#NAME?</v>
      </c>
    </row>
    <row r="705" spans="1:17">
      <c r="A705" s="1">
        <f t="shared" si="103"/>
        <v>704</v>
      </c>
      <c r="C705" s="8" t="s">
        <v>17</v>
      </c>
      <c r="D705" s="2">
        <v>43073</v>
      </c>
      <c r="E705" s="3">
        <f>50000/100000</f>
        <v>0.5</v>
      </c>
      <c r="F705" t="s">
        <v>211</v>
      </c>
      <c r="G705" t="s">
        <v>212</v>
      </c>
      <c r="H705" t="s">
        <v>213</v>
      </c>
      <c r="I705" s="6" t="s">
        <v>561</v>
      </c>
      <c r="J705" s="61" t="s">
        <v>22</v>
      </c>
      <c r="L705" s="5" t="str">
        <f t="shared" si="99"/>
        <v>00704</v>
      </c>
      <c r="M705" s="47" t="str">
        <f t="shared" si="100"/>
        <v>04 de diciembre de 2017</v>
      </c>
      <c r="N705" s="323">
        <f t="shared" si="102"/>
        <v>4</v>
      </c>
      <c r="O705" s="25">
        <f t="shared" si="101"/>
        <v>43070</v>
      </c>
      <c r="P705" s="5" t="str">
        <f t="shared" si="108"/>
        <v>0,50</v>
      </c>
      <c r="Q705" s="4" t="e">
        <f t="shared" ca="1" si="109"/>
        <v>#NAME?</v>
      </c>
    </row>
    <row r="706" spans="1:17">
      <c r="A706" s="1">
        <f t="shared" si="103"/>
        <v>705</v>
      </c>
      <c r="C706" s="8" t="s">
        <v>17</v>
      </c>
      <c r="D706" s="2">
        <v>43074</v>
      </c>
      <c r="E706" s="3">
        <f>50000/100000</f>
        <v>0.5</v>
      </c>
      <c r="F706" t="s">
        <v>483</v>
      </c>
      <c r="G706" t="s">
        <v>484</v>
      </c>
      <c r="H706" t="s">
        <v>485</v>
      </c>
      <c r="I706" s="6" t="s">
        <v>575</v>
      </c>
      <c r="J706" s="61" t="s">
        <v>22</v>
      </c>
      <c r="L706" s="5" t="str">
        <f t="shared" ref="L706:L769" si="110">IF(ISBLANK(A706),"",TEXT(A706,"00000"))</f>
        <v>00705</v>
      </c>
      <c r="M706" s="47" t="str">
        <f t="shared" ref="M706:M769" si="111">IF(ISBLANK(D706),"",TEXT(D706,"dd")&amp;" de "&amp;TEXT(D706,"mmmm")&amp;" de "&amp;TEXT(YEAR(D706),"0"))</f>
        <v>05 de diciembre de 2017</v>
      </c>
      <c r="N706" s="323">
        <f t="shared" si="102"/>
        <v>5</v>
      </c>
      <c r="O706" s="25">
        <f t="shared" ref="O706:O769" si="112">DATE(YEAR(D706),MONTH(D706),1)</f>
        <v>43070</v>
      </c>
      <c r="P706" s="5" t="str">
        <f t="shared" si="108"/>
        <v>0,50</v>
      </c>
      <c r="Q706" s="4" t="e">
        <f t="shared" ca="1" si="109"/>
        <v>#NAME?</v>
      </c>
    </row>
    <row r="707" spans="1:17">
      <c r="A707" s="1">
        <f t="shared" si="103"/>
        <v>706</v>
      </c>
      <c r="C707" s="8" t="s">
        <v>17</v>
      </c>
      <c r="D707" s="2">
        <v>43074</v>
      </c>
      <c r="E707" s="3">
        <f>50000/100000</f>
        <v>0.5</v>
      </c>
      <c r="F707" t="s">
        <v>18</v>
      </c>
      <c r="G707" t="s">
        <v>19</v>
      </c>
      <c r="H707" t="s">
        <v>20</v>
      </c>
      <c r="I707" s="6" t="s">
        <v>585</v>
      </c>
      <c r="J707" s="61" t="s">
        <v>22</v>
      </c>
      <c r="L707" s="5" t="str">
        <f t="shared" si="110"/>
        <v>00706</v>
      </c>
      <c r="M707" s="47" t="str">
        <f t="shared" si="111"/>
        <v>05 de diciembre de 2017</v>
      </c>
      <c r="N707" s="323">
        <f t="shared" ref="N707:N770" si="113">DAY(D707)</f>
        <v>5</v>
      </c>
      <c r="O707" s="25">
        <f t="shared" si="112"/>
        <v>43070</v>
      </c>
      <c r="P707" s="5" t="str">
        <f t="shared" si="108"/>
        <v>0,50</v>
      </c>
      <c r="Q707" s="4" t="e">
        <f t="shared" ca="1" si="109"/>
        <v>#NAME?</v>
      </c>
    </row>
    <row r="708" spans="1:17">
      <c r="A708" s="178">
        <f t="shared" ref="A708:A771" si="114">A707+1</f>
        <v>707</v>
      </c>
      <c r="C708" s="8" t="s">
        <v>17</v>
      </c>
      <c r="D708" s="2">
        <v>43074</v>
      </c>
      <c r="E708" s="3">
        <f>50000/100000</f>
        <v>0.5</v>
      </c>
      <c r="F708" t="s">
        <v>438</v>
      </c>
      <c r="G708" t="s">
        <v>439</v>
      </c>
      <c r="H708" t="s">
        <v>440</v>
      </c>
      <c r="I708" s="6" t="s">
        <v>586</v>
      </c>
      <c r="J708" s="61" t="s">
        <v>22</v>
      </c>
      <c r="L708" s="5" t="str">
        <f t="shared" si="110"/>
        <v>00707</v>
      </c>
      <c r="M708" s="47" t="str">
        <f t="shared" si="111"/>
        <v>05 de diciembre de 2017</v>
      </c>
      <c r="N708" s="323">
        <f t="shared" si="113"/>
        <v>5</v>
      </c>
      <c r="O708" s="25">
        <f t="shared" si="112"/>
        <v>43070</v>
      </c>
      <c r="P708" s="5" t="str">
        <f t="shared" si="108"/>
        <v>0,50</v>
      </c>
      <c r="Q708" s="4" t="e">
        <f t="shared" ca="1" si="109"/>
        <v>#NAME?</v>
      </c>
    </row>
    <row r="709" spans="1:17">
      <c r="A709" s="1">
        <f t="shared" si="114"/>
        <v>708</v>
      </c>
      <c r="C709" s="8" t="s">
        <v>17</v>
      </c>
      <c r="D709" s="2">
        <v>43074</v>
      </c>
      <c r="E709" s="3">
        <f>35000/100000</f>
        <v>0.35</v>
      </c>
      <c r="F709" t="s">
        <v>48</v>
      </c>
      <c r="G709" t="s">
        <v>49</v>
      </c>
      <c r="H709" t="s">
        <v>50</v>
      </c>
      <c r="I709" s="6" t="s">
        <v>587</v>
      </c>
      <c r="J709" s="61" t="s">
        <v>22</v>
      </c>
      <c r="L709" s="5" t="str">
        <f t="shared" si="110"/>
        <v>00708</v>
      </c>
      <c r="M709" s="47" t="str">
        <f t="shared" si="111"/>
        <v>05 de diciembre de 2017</v>
      </c>
      <c r="N709" s="323">
        <f t="shared" si="113"/>
        <v>5</v>
      </c>
      <c r="O709" s="25">
        <f t="shared" si="112"/>
        <v>43070</v>
      </c>
      <c r="P709" s="5" t="str">
        <f t="shared" si="108"/>
        <v>0,35</v>
      </c>
      <c r="Q709" s="4" t="e">
        <f t="shared" ca="1" si="109"/>
        <v>#NAME?</v>
      </c>
    </row>
    <row r="710" spans="1:17">
      <c r="A710" s="1">
        <f t="shared" si="114"/>
        <v>709</v>
      </c>
      <c r="C710" s="8" t="s">
        <v>17</v>
      </c>
      <c r="D710" s="2">
        <v>43074</v>
      </c>
      <c r="E710" s="3">
        <f>50000/100000</f>
        <v>0.5</v>
      </c>
      <c r="F710" t="s">
        <v>70</v>
      </c>
      <c r="G710" t="s">
        <v>71</v>
      </c>
      <c r="H710" t="s">
        <v>72</v>
      </c>
      <c r="I710" s="6" t="s">
        <v>575</v>
      </c>
      <c r="J710" s="61" t="s">
        <v>22</v>
      </c>
      <c r="L710" s="5" t="str">
        <f t="shared" si="110"/>
        <v>00709</v>
      </c>
      <c r="M710" s="47" t="str">
        <f t="shared" si="111"/>
        <v>05 de diciembre de 2017</v>
      </c>
      <c r="N710" s="323">
        <f t="shared" si="113"/>
        <v>5</v>
      </c>
      <c r="O710" s="25">
        <f t="shared" si="112"/>
        <v>43070</v>
      </c>
      <c r="P710" s="5" t="str">
        <f t="shared" si="108"/>
        <v>0,50</v>
      </c>
      <c r="Q710" s="4" t="e">
        <f t="shared" ca="1" si="109"/>
        <v>#NAME?</v>
      </c>
    </row>
    <row r="711" spans="1:17">
      <c r="A711" s="1">
        <f t="shared" si="114"/>
        <v>710</v>
      </c>
      <c r="C711" s="8" t="s">
        <v>17</v>
      </c>
      <c r="D711" s="2">
        <v>43074</v>
      </c>
      <c r="E711" s="3">
        <f>50000/100000</f>
        <v>0.5</v>
      </c>
      <c r="F711" t="s">
        <v>44</v>
      </c>
      <c r="G711" t="s">
        <v>45</v>
      </c>
      <c r="H711" t="s">
        <v>46</v>
      </c>
      <c r="I711" s="6" t="s">
        <v>575</v>
      </c>
      <c r="J711" s="61" t="s">
        <v>22</v>
      </c>
      <c r="L711" s="5" t="str">
        <f t="shared" si="110"/>
        <v>00710</v>
      </c>
      <c r="M711" s="47" t="str">
        <f t="shared" si="111"/>
        <v>05 de diciembre de 2017</v>
      </c>
      <c r="N711" s="323">
        <f t="shared" si="113"/>
        <v>5</v>
      </c>
      <c r="O711" s="25">
        <f t="shared" si="112"/>
        <v>43070</v>
      </c>
      <c r="P711" s="5" t="str">
        <f t="shared" si="108"/>
        <v>0,50</v>
      </c>
      <c r="Q711" s="4" t="e">
        <f t="shared" ca="1" si="109"/>
        <v>#NAME?</v>
      </c>
    </row>
    <row r="712" spans="1:17">
      <c r="A712" s="1">
        <f t="shared" si="114"/>
        <v>711</v>
      </c>
      <c r="C712" s="8" t="s">
        <v>17</v>
      </c>
      <c r="D712" s="2">
        <v>43074</v>
      </c>
      <c r="E712" s="3">
        <f>30000/100000</f>
        <v>0.3</v>
      </c>
      <c r="F712" t="s">
        <v>84</v>
      </c>
      <c r="G712" t="s">
        <v>85</v>
      </c>
      <c r="H712" t="s">
        <v>86</v>
      </c>
      <c r="I712" s="6" t="s">
        <v>587</v>
      </c>
      <c r="J712" s="61" t="s">
        <v>22</v>
      </c>
      <c r="L712" s="5" t="str">
        <f t="shared" si="110"/>
        <v>00711</v>
      </c>
      <c r="M712" s="47" t="str">
        <f t="shared" si="111"/>
        <v>05 de diciembre de 2017</v>
      </c>
      <c r="N712" s="323">
        <f t="shared" si="113"/>
        <v>5</v>
      </c>
      <c r="O712" s="25">
        <f t="shared" si="112"/>
        <v>43070</v>
      </c>
      <c r="P712" s="5" t="str">
        <f t="shared" si="108"/>
        <v>0,30</v>
      </c>
      <c r="Q712" s="4" t="e">
        <f t="shared" ca="1" si="109"/>
        <v>#NAME?</v>
      </c>
    </row>
    <row r="713" spans="1:17">
      <c r="A713" s="1">
        <f t="shared" si="114"/>
        <v>712</v>
      </c>
      <c r="C713" s="8" t="s">
        <v>17</v>
      </c>
      <c r="D713" s="2">
        <v>43074</v>
      </c>
      <c r="E713" s="3">
        <f>34000/100000+50000/100000</f>
        <v>0.84000000000000008</v>
      </c>
      <c r="F713" t="s">
        <v>148</v>
      </c>
      <c r="G713" t="s">
        <v>149</v>
      </c>
      <c r="H713" t="s">
        <v>150</v>
      </c>
      <c r="I713" s="6" t="s">
        <v>588</v>
      </c>
      <c r="J713" s="61" t="s">
        <v>22</v>
      </c>
      <c r="L713" s="5" t="str">
        <f t="shared" si="110"/>
        <v>00712</v>
      </c>
      <c r="M713" s="47" t="str">
        <f t="shared" si="111"/>
        <v>05 de diciembre de 2017</v>
      </c>
      <c r="N713" s="323">
        <f t="shared" si="113"/>
        <v>5</v>
      </c>
      <c r="O713" s="25">
        <f t="shared" si="112"/>
        <v>43070</v>
      </c>
      <c r="P713" s="5" t="str">
        <f t="shared" si="108"/>
        <v>0,84</v>
      </c>
      <c r="Q713" s="4" t="e">
        <f t="shared" ca="1" si="109"/>
        <v>#NAME?</v>
      </c>
    </row>
    <row r="714" spans="1:17">
      <c r="A714" s="1">
        <f t="shared" si="114"/>
        <v>713</v>
      </c>
      <c r="C714" s="8" t="s">
        <v>17</v>
      </c>
      <c r="D714" s="2">
        <v>43075</v>
      </c>
      <c r="E714" s="3">
        <f>2*50000/100000</f>
        <v>1</v>
      </c>
      <c r="F714" t="s">
        <v>138</v>
      </c>
      <c r="G714" t="s">
        <v>139</v>
      </c>
      <c r="H714" t="s">
        <v>140</v>
      </c>
      <c r="I714" s="6" t="s">
        <v>570</v>
      </c>
      <c r="J714" s="61" t="s">
        <v>22</v>
      </c>
      <c r="L714" s="5" t="str">
        <f t="shared" si="110"/>
        <v>00713</v>
      </c>
      <c r="M714" s="47" t="str">
        <f t="shared" si="111"/>
        <v>06 de diciembre de 2017</v>
      </c>
      <c r="N714" s="323">
        <f t="shared" si="113"/>
        <v>6</v>
      </c>
      <c r="O714" s="25">
        <f t="shared" si="112"/>
        <v>43070</v>
      </c>
      <c r="P714" s="5" t="str">
        <f t="shared" si="108"/>
        <v>1,00</v>
      </c>
      <c r="Q714" s="4" t="e">
        <f t="shared" ca="1" si="109"/>
        <v>#NAME?</v>
      </c>
    </row>
    <row r="715" spans="1:17">
      <c r="A715" s="1">
        <f t="shared" si="114"/>
        <v>714</v>
      </c>
      <c r="C715" s="8" t="s">
        <v>17</v>
      </c>
      <c r="D715" s="2">
        <v>43075</v>
      </c>
      <c r="E715" s="3">
        <f>34800/100000+15200/100000</f>
        <v>0.5</v>
      </c>
      <c r="F715" t="s">
        <v>152</v>
      </c>
      <c r="G715" t="s">
        <v>153</v>
      </c>
      <c r="H715" t="s">
        <v>154</v>
      </c>
      <c r="I715" s="6" t="s">
        <v>589</v>
      </c>
      <c r="J715" s="61" t="s">
        <v>22</v>
      </c>
      <c r="L715" s="5" t="str">
        <f t="shared" si="110"/>
        <v>00714</v>
      </c>
      <c r="M715" s="47" t="str">
        <f t="shared" si="111"/>
        <v>06 de diciembre de 2017</v>
      </c>
      <c r="N715" s="323">
        <f t="shared" si="113"/>
        <v>6</v>
      </c>
      <c r="O715" s="25">
        <f t="shared" si="112"/>
        <v>43070</v>
      </c>
      <c r="P715" s="5" t="str">
        <f t="shared" si="108"/>
        <v>0,50</v>
      </c>
      <c r="Q715" s="4" t="e">
        <f t="shared" ca="1" si="109"/>
        <v>#NAME?</v>
      </c>
    </row>
    <row r="716" spans="1:17">
      <c r="A716" s="1">
        <f t="shared" si="114"/>
        <v>715</v>
      </c>
      <c r="C716" s="8" t="s">
        <v>17</v>
      </c>
      <c r="D716" s="2">
        <v>43075</v>
      </c>
      <c r="E716" s="3">
        <f>30000/100000</f>
        <v>0.3</v>
      </c>
      <c r="F716" t="s">
        <v>130</v>
      </c>
      <c r="G716" t="s">
        <v>131</v>
      </c>
      <c r="H716" t="s">
        <v>132</v>
      </c>
      <c r="I716" s="6" t="s">
        <v>566</v>
      </c>
      <c r="J716" s="61" t="s">
        <v>22</v>
      </c>
      <c r="L716" s="5" t="str">
        <f t="shared" si="110"/>
        <v>00715</v>
      </c>
      <c r="M716" s="47" t="str">
        <f t="shared" si="111"/>
        <v>06 de diciembre de 2017</v>
      </c>
      <c r="N716" s="323">
        <f t="shared" si="113"/>
        <v>6</v>
      </c>
      <c r="O716" s="25">
        <f t="shared" si="112"/>
        <v>43070</v>
      </c>
      <c r="P716" s="5" t="str">
        <f t="shared" si="108"/>
        <v>0,30</v>
      </c>
      <c r="Q716" s="4" t="e">
        <f t="shared" ca="1" si="109"/>
        <v>#NAME?</v>
      </c>
    </row>
    <row r="717" spans="1:17">
      <c r="A717" s="1">
        <f t="shared" si="114"/>
        <v>716</v>
      </c>
      <c r="C717" s="8" t="s">
        <v>17</v>
      </c>
      <c r="D717" s="2">
        <v>43076</v>
      </c>
      <c r="E717" s="3">
        <f>35000/100000</f>
        <v>0.35</v>
      </c>
      <c r="F717" t="s">
        <v>32</v>
      </c>
      <c r="G717" t="s">
        <v>33</v>
      </c>
      <c r="H717" t="s">
        <v>34</v>
      </c>
      <c r="I717" s="6" t="s">
        <v>514</v>
      </c>
      <c r="J717" s="61" t="s">
        <v>22</v>
      </c>
      <c r="L717" s="5" t="str">
        <f t="shared" si="110"/>
        <v>00716</v>
      </c>
      <c r="M717" s="47" t="str">
        <f t="shared" si="111"/>
        <v>07 de diciembre de 2017</v>
      </c>
      <c r="N717" s="323">
        <f t="shared" si="113"/>
        <v>7</v>
      </c>
      <c r="O717" s="25">
        <f t="shared" si="112"/>
        <v>43070</v>
      </c>
      <c r="P717" s="5" t="str">
        <f t="shared" si="108"/>
        <v>0,35</v>
      </c>
      <c r="Q717" s="4" t="e">
        <f t="shared" ca="1" si="109"/>
        <v>#NAME?</v>
      </c>
    </row>
    <row r="718" spans="1:17">
      <c r="A718" s="1">
        <f t="shared" si="114"/>
        <v>717</v>
      </c>
      <c r="C718" s="8" t="s">
        <v>17</v>
      </c>
      <c r="D718" s="2">
        <v>43075</v>
      </c>
      <c r="E718" s="3">
        <f>3*40000/100000</f>
        <v>1.2</v>
      </c>
      <c r="F718" t="s">
        <v>252</v>
      </c>
      <c r="G718" t="s">
        <v>253</v>
      </c>
      <c r="H718" t="s">
        <v>254</v>
      </c>
      <c r="I718" s="6" t="s">
        <v>590</v>
      </c>
      <c r="J718" s="61" t="s">
        <v>22</v>
      </c>
      <c r="L718" s="5" t="str">
        <f t="shared" si="110"/>
        <v>00717</v>
      </c>
      <c r="M718" s="47" t="str">
        <f t="shared" si="111"/>
        <v>06 de diciembre de 2017</v>
      </c>
      <c r="N718" s="323">
        <f t="shared" si="113"/>
        <v>6</v>
      </c>
      <c r="O718" s="25">
        <f t="shared" si="112"/>
        <v>43070</v>
      </c>
      <c r="P718" s="5" t="str">
        <f t="shared" si="108"/>
        <v>1,20</v>
      </c>
      <c r="Q718" s="4" t="e">
        <f t="shared" ca="1" si="109"/>
        <v>#NAME?</v>
      </c>
    </row>
    <row r="719" spans="1:17">
      <c r="A719" s="1">
        <f t="shared" si="114"/>
        <v>718</v>
      </c>
      <c r="C719" s="8" t="s">
        <v>17</v>
      </c>
      <c r="D719" s="2">
        <v>43075</v>
      </c>
      <c r="E719" s="3">
        <f>4*25000/100000</f>
        <v>1</v>
      </c>
      <c r="F719" t="s">
        <v>334</v>
      </c>
      <c r="G719" t="s">
        <v>85</v>
      </c>
      <c r="H719" t="s">
        <v>335</v>
      </c>
      <c r="I719" s="6" t="s">
        <v>591</v>
      </c>
      <c r="J719" s="61" t="s">
        <v>22</v>
      </c>
      <c r="L719" s="5" t="str">
        <f t="shared" si="110"/>
        <v>00718</v>
      </c>
      <c r="M719" s="47" t="str">
        <f t="shared" si="111"/>
        <v>06 de diciembre de 2017</v>
      </c>
      <c r="N719" s="323">
        <f t="shared" si="113"/>
        <v>6</v>
      </c>
      <c r="O719" s="25">
        <f t="shared" si="112"/>
        <v>43070</v>
      </c>
      <c r="P719" s="5" t="str">
        <f t="shared" si="108"/>
        <v>1,00</v>
      </c>
      <c r="Q719" s="4" t="e">
        <f t="shared" ca="1" si="109"/>
        <v>#NAME?</v>
      </c>
    </row>
    <row r="720" spans="1:17">
      <c r="A720" s="1">
        <f t="shared" si="114"/>
        <v>719</v>
      </c>
      <c r="C720" s="8" t="s">
        <v>17</v>
      </c>
      <c r="D720" s="2">
        <v>43076</v>
      </c>
      <c r="E720" s="3">
        <f>15000/100000+2*50000/100000</f>
        <v>1.1499999999999999</v>
      </c>
      <c r="F720" t="s">
        <v>40</v>
      </c>
      <c r="G720" t="s">
        <v>41</v>
      </c>
      <c r="H720" t="s">
        <v>42</v>
      </c>
      <c r="I720" s="6" t="s">
        <v>592</v>
      </c>
      <c r="J720" s="61" t="s">
        <v>22</v>
      </c>
      <c r="L720" s="5" t="str">
        <f t="shared" si="110"/>
        <v>00719</v>
      </c>
      <c r="M720" s="47" t="str">
        <f t="shared" si="111"/>
        <v>07 de diciembre de 2017</v>
      </c>
      <c r="N720" s="323">
        <f t="shared" si="113"/>
        <v>7</v>
      </c>
      <c r="O720" s="25">
        <f t="shared" si="112"/>
        <v>43070</v>
      </c>
      <c r="P720" s="5" t="str">
        <f t="shared" si="108"/>
        <v>1,15</v>
      </c>
      <c r="Q720" s="4" t="e">
        <f t="shared" ca="1" si="109"/>
        <v>#NAME?</v>
      </c>
    </row>
    <row r="721" spans="1:17">
      <c r="A721" s="1">
        <f t="shared" si="114"/>
        <v>720</v>
      </c>
      <c r="C721" s="8" t="s">
        <v>17</v>
      </c>
      <c r="D721" s="2">
        <v>43076</v>
      </c>
      <c r="E721" s="3">
        <f>50000/100000</f>
        <v>0.5</v>
      </c>
      <c r="F721" t="s">
        <v>62</v>
      </c>
      <c r="G721" t="s">
        <v>63</v>
      </c>
      <c r="H721" t="s">
        <v>64</v>
      </c>
      <c r="I721" s="6" t="s">
        <v>561</v>
      </c>
      <c r="J721" s="61" t="s">
        <v>22</v>
      </c>
      <c r="L721" s="5" t="str">
        <f t="shared" si="110"/>
        <v>00720</v>
      </c>
      <c r="M721" s="47" t="str">
        <f t="shared" si="111"/>
        <v>07 de diciembre de 2017</v>
      </c>
      <c r="N721" s="323">
        <f t="shared" si="113"/>
        <v>7</v>
      </c>
      <c r="O721" s="25">
        <f t="shared" si="112"/>
        <v>43070</v>
      </c>
      <c r="P721" s="5" t="str">
        <f t="shared" si="108"/>
        <v>0,50</v>
      </c>
      <c r="Q721" s="4" t="e">
        <f t="shared" ca="1" si="109"/>
        <v>#NAME?</v>
      </c>
    </row>
    <row r="722" spans="1:17" ht="15.75" thickBot="1">
      <c r="A722" s="1">
        <f t="shared" si="114"/>
        <v>721</v>
      </c>
      <c r="C722" s="8" t="s">
        <v>17</v>
      </c>
      <c r="D722" s="2">
        <v>43076</v>
      </c>
      <c r="E722" s="3">
        <f>50000/100000</f>
        <v>0.5</v>
      </c>
      <c r="F722" t="s">
        <v>24</v>
      </c>
      <c r="G722" t="s">
        <v>25</v>
      </c>
      <c r="H722" t="s">
        <v>26</v>
      </c>
      <c r="I722" s="6" t="s">
        <v>575</v>
      </c>
      <c r="J722" s="61" t="s">
        <v>22</v>
      </c>
      <c r="L722" s="5" t="str">
        <f t="shared" si="110"/>
        <v>00721</v>
      </c>
      <c r="M722" s="47" t="str">
        <f t="shared" si="111"/>
        <v>07 de diciembre de 2017</v>
      </c>
      <c r="N722" s="323">
        <f t="shared" si="113"/>
        <v>7</v>
      </c>
      <c r="O722" s="25">
        <f t="shared" si="112"/>
        <v>43070</v>
      </c>
      <c r="P722" s="5" t="str">
        <f t="shared" si="108"/>
        <v>0,50</v>
      </c>
      <c r="Q722" s="4" t="e">
        <f t="shared" ca="1" si="109"/>
        <v>#NAME?</v>
      </c>
    </row>
    <row r="723" spans="1:17" ht="15.75" thickBot="1">
      <c r="A723" s="1">
        <f t="shared" si="114"/>
        <v>722</v>
      </c>
      <c r="C723" s="8" t="s">
        <v>17</v>
      </c>
      <c r="D723" s="2">
        <v>43077</v>
      </c>
      <c r="E723" s="3">
        <f>54000/100000</f>
        <v>0.54</v>
      </c>
      <c r="F723" s="20" t="s">
        <v>57</v>
      </c>
      <c r="G723" s="18" t="s">
        <v>58</v>
      </c>
      <c r="H723" s="21" t="s">
        <v>59</v>
      </c>
      <c r="I723" s="6" t="s">
        <v>575</v>
      </c>
      <c r="J723" s="61" t="s">
        <v>22</v>
      </c>
      <c r="K723" s="22"/>
      <c r="L723" s="5" t="str">
        <f t="shared" si="110"/>
        <v>00722</v>
      </c>
      <c r="M723" s="47" t="str">
        <f t="shared" si="111"/>
        <v>08 de diciembre de 2017</v>
      </c>
      <c r="N723" s="323">
        <f t="shared" si="113"/>
        <v>8</v>
      </c>
      <c r="O723" s="25">
        <f t="shared" si="112"/>
        <v>43070</v>
      </c>
      <c r="P723" s="5" t="str">
        <f t="shared" si="108"/>
        <v>0,54</v>
      </c>
      <c r="Q723" s="4" t="e">
        <f t="shared" ca="1" si="109"/>
        <v>#NAME?</v>
      </c>
    </row>
    <row r="724" spans="1:17" ht="15.75" thickBot="1">
      <c r="A724" s="1">
        <f t="shared" si="114"/>
        <v>723</v>
      </c>
      <c r="C724" s="8" t="s">
        <v>17</v>
      </c>
      <c r="D724" s="2">
        <v>43077</v>
      </c>
      <c r="E724" s="3">
        <f>50000/100000</f>
        <v>0.5</v>
      </c>
      <c r="F724" t="s">
        <v>107</v>
      </c>
      <c r="G724" t="s">
        <v>108</v>
      </c>
      <c r="H724" t="s">
        <v>109</v>
      </c>
      <c r="I724" s="6" t="s">
        <v>575</v>
      </c>
      <c r="J724" s="61" t="s">
        <v>22</v>
      </c>
      <c r="L724" s="5" t="str">
        <f t="shared" si="110"/>
        <v>00723</v>
      </c>
      <c r="M724" s="47" t="str">
        <f t="shared" si="111"/>
        <v>08 de diciembre de 2017</v>
      </c>
      <c r="N724" s="323">
        <f t="shared" si="113"/>
        <v>8</v>
      </c>
      <c r="O724" s="25">
        <f t="shared" si="112"/>
        <v>43070</v>
      </c>
      <c r="P724" s="5" t="str">
        <f t="shared" si="108"/>
        <v>0,50</v>
      </c>
      <c r="Q724" s="4" t="e">
        <f t="shared" ca="1" si="109"/>
        <v>#NAME?</v>
      </c>
    </row>
    <row r="725" spans="1:17" ht="15.75" thickBot="1">
      <c r="A725" s="1">
        <f t="shared" si="114"/>
        <v>724</v>
      </c>
      <c r="C725" s="8" t="s">
        <v>17</v>
      </c>
      <c r="D725" s="2">
        <v>43077</v>
      </c>
      <c r="E725" s="3">
        <f>20000/100000</f>
        <v>0.2</v>
      </c>
      <c r="F725" t="s">
        <v>397</v>
      </c>
      <c r="G725" s="48" t="s">
        <v>29</v>
      </c>
      <c r="H725" t="s">
        <v>398</v>
      </c>
      <c r="I725" s="6" t="s">
        <v>587</v>
      </c>
      <c r="J725" s="61" t="s">
        <v>22</v>
      </c>
      <c r="L725" s="5" t="str">
        <f t="shared" si="110"/>
        <v>00724</v>
      </c>
      <c r="M725" s="47" t="str">
        <f t="shared" si="111"/>
        <v>08 de diciembre de 2017</v>
      </c>
      <c r="N725" s="323">
        <f t="shared" si="113"/>
        <v>8</v>
      </c>
      <c r="O725" s="25">
        <f t="shared" si="112"/>
        <v>43070</v>
      </c>
      <c r="P725" s="5" t="str">
        <f t="shared" ref="P725:P730" si="115">TEXT(E725,"#.##0,00")</f>
        <v>0,20</v>
      </c>
      <c r="Q725" s="4" t="e">
        <f t="shared" ref="Q725:Q730" ca="1" si="116">CONVERTIRNUM(E725)</f>
        <v>#NAME?</v>
      </c>
    </row>
    <row r="726" spans="1:17" ht="15.75" thickBot="1">
      <c r="A726" s="1">
        <f t="shared" si="114"/>
        <v>725</v>
      </c>
      <c r="C726" s="8" t="s">
        <v>17</v>
      </c>
      <c r="D726" s="2">
        <v>43081</v>
      </c>
      <c r="E726" s="3">
        <f>71000/100000</f>
        <v>0.71</v>
      </c>
      <c r="F726" s="23" t="s">
        <v>422</v>
      </c>
      <c r="G726" s="18" t="s">
        <v>58</v>
      </c>
      <c r="H726" t="s">
        <v>423</v>
      </c>
      <c r="I726" s="6" t="s">
        <v>575</v>
      </c>
      <c r="J726" s="61" t="s">
        <v>22</v>
      </c>
      <c r="L726" s="5" t="str">
        <f t="shared" si="110"/>
        <v>00725</v>
      </c>
      <c r="M726" s="47" t="str">
        <f t="shared" si="111"/>
        <v>12 de diciembre de 2017</v>
      </c>
      <c r="N726" s="323">
        <f t="shared" si="113"/>
        <v>12</v>
      </c>
      <c r="O726" s="25">
        <f t="shared" si="112"/>
        <v>43070</v>
      </c>
      <c r="P726" s="5" t="str">
        <f t="shared" si="115"/>
        <v>0,71</v>
      </c>
      <c r="Q726" s="4" t="e">
        <f t="shared" ca="1" si="116"/>
        <v>#NAME?</v>
      </c>
    </row>
    <row r="727" spans="1:17">
      <c r="A727" s="1">
        <f t="shared" si="114"/>
        <v>726</v>
      </c>
      <c r="C727" s="8" t="s">
        <v>17</v>
      </c>
      <c r="D727" s="2">
        <v>43081</v>
      </c>
      <c r="E727" s="3">
        <f>50000/100000</f>
        <v>0.5</v>
      </c>
      <c r="F727" t="s">
        <v>100</v>
      </c>
      <c r="G727" t="s">
        <v>95</v>
      </c>
      <c r="H727" t="s">
        <v>101</v>
      </c>
      <c r="I727" s="6" t="s">
        <v>575</v>
      </c>
      <c r="J727" s="61" t="s">
        <v>22</v>
      </c>
      <c r="L727" s="5" t="str">
        <f t="shared" si="110"/>
        <v>00726</v>
      </c>
      <c r="M727" s="47" t="str">
        <f t="shared" si="111"/>
        <v>12 de diciembre de 2017</v>
      </c>
      <c r="N727" s="323">
        <f t="shared" si="113"/>
        <v>12</v>
      </c>
      <c r="O727" s="25">
        <f t="shared" si="112"/>
        <v>43070</v>
      </c>
      <c r="P727" s="5" t="str">
        <f t="shared" si="115"/>
        <v>0,50</v>
      </c>
      <c r="Q727" s="4" t="e">
        <f t="shared" ca="1" si="116"/>
        <v>#NAME?</v>
      </c>
    </row>
    <row r="728" spans="1:17">
      <c r="A728" s="1">
        <f t="shared" si="114"/>
        <v>727</v>
      </c>
      <c r="C728" s="8" t="s">
        <v>17</v>
      </c>
      <c r="D728" s="2">
        <v>43081</v>
      </c>
      <c r="E728" s="3">
        <f>40000/100000</f>
        <v>0.4</v>
      </c>
      <c r="F728" t="s">
        <v>181</v>
      </c>
      <c r="G728" t="s">
        <v>182</v>
      </c>
      <c r="H728" t="s">
        <v>183</v>
      </c>
      <c r="I728" s="6" t="s">
        <v>587</v>
      </c>
      <c r="J728" s="61" t="s">
        <v>22</v>
      </c>
      <c r="L728" s="5" t="str">
        <f t="shared" si="110"/>
        <v>00727</v>
      </c>
      <c r="M728" s="47" t="str">
        <f t="shared" si="111"/>
        <v>12 de diciembre de 2017</v>
      </c>
      <c r="N728" s="323">
        <f t="shared" si="113"/>
        <v>12</v>
      </c>
      <c r="O728" s="25">
        <f t="shared" si="112"/>
        <v>43070</v>
      </c>
      <c r="P728" s="5" t="str">
        <f t="shared" si="115"/>
        <v>0,40</v>
      </c>
      <c r="Q728" s="4" t="e">
        <f t="shared" ca="1" si="116"/>
        <v>#NAME?</v>
      </c>
    </row>
    <row r="729" spans="1:17">
      <c r="A729" s="1">
        <f t="shared" si="114"/>
        <v>728</v>
      </c>
      <c r="C729" s="8" t="s">
        <v>17</v>
      </c>
      <c r="D729" s="2">
        <v>43082</v>
      </c>
      <c r="E729" s="3">
        <f>50000/100000</f>
        <v>0.5</v>
      </c>
      <c r="F729" t="s">
        <v>36</v>
      </c>
      <c r="G729" t="s">
        <v>37</v>
      </c>
      <c r="H729" t="s">
        <v>38</v>
      </c>
      <c r="I729" s="6" t="s">
        <v>575</v>
      </c>
      <c r="J729" s="61" t="s">
        <v>22</v>
      </c>
      <c r="L729" s="5" t="str">
        <f t="shared" si="110"/>
        <v>00728</v>
      </c>
      <c r="M729" s="47" t="str">
        <f t="shared" si="111"/>
        <v>13 de diciembre de 2017</v>
      </c>
      <c r="N729" s="323">
        <f t="shared" si="113"/>
        <v>13</v>
      </c>
      <c r="O729" s="25">
        <f t="shared" si="112"/>
        <v>43070</v>
      </c>
      <c r="P729" s="5" t="str">
        <f t="shared" si="115"/>
        <v>0,50</v>
      </c>
      <c r="Q729" s="4" t="e">
        <f t="shared" ca="1" si="116"/>
        <v>#NAME?</v>
      </c>
    </row>
    <row r="730" spans="1:17">
      <c r="A730" s="1">
        <f t="shared" si="114"/>
        <v>729</v>
      </c>
      <c r="C730" s="8" t="s">
        <v>17</v>
      </c>
      <c r="D730" s="2">
        <v>43080</v>
      </c>
      <c r="E730" s="3">
        <f>30000/100000</f>
        <v>0.3</v>
      </c>
      <c r="F730" t="s">
        <v>342</v>
      </c>
      <c r="G730" t="s">
        <v>343</v>
      </c>
      <c r="H730" t="s">
        <v>344</v>
      </c>
      <c r="I730" s="6" t="s">
        <v>546</v>
      </c>
      <c r="J730" s="61" t="s">
        <v>22</v>
      </c>
      <c r="L730" s="5" t="str">
        <f t="shared" si="110"/>
        <v>00729</v>
      </c>
      <c r="M730" s="47" t="str">
        <f t="shared" si="111"/>
        <v>11 de diciembre de 2017</v>
      </c>
      <c r="N730" s="323">
        <f t="shared" si="113"/>
        <v>11</v>
      </c>
      <c r="O730" s="25">
        <f t="shared" si="112"/>
        <v>43070</v>
      </c>
      <c r="P730" s="5" t="str">
        <f t="shared" si="115"/>
        <v>0,30</v>
      </c>
      <c r="Q730" s="4" t="e">
        <f t="shared" ca="1" si="116"/>
        <v>#NAME?</v>
      </c>
    </row>
    <row r="731" spans="1:17">
      <c r="A731" s="1">
        <f t="shared" si="114"/>
        <v>730</v>
      </c>
      <c r="C731" s="8" t="s">
        <v>17</v>
      </c>
      <c r="D731" s="2">
        <v>43080</v>
      </c>
      <c r="E731" s="3">
        <f>40000/100000</f>
        <v>0.4</v>
      </c>
      <c r="F731" t="s">
        <v>342</v>
      </c>
      <c r="G731" t="s">
        <v>343</v>
      </c>
      <c r="H731" t="s">
        <v>344</v>
      </c>
      <c r="I731" s="6" t="s">
        <v>566</v>
      </c>
      <c r="J731" s="61" t="s">
        <v>22</v>
      </c>
      <c r="L731" s="5" t="str">
        <f t="shared" si="110"/>
        <v>00730</v>
      </c>
      <c r="M731" s="47" t="str">
        <f t="shared" si="111"/>
        <v>11 de diciembre de 2017</v>
      </c>
      <c r="N731" s="323">
        <f t="shared" si="113"/>
        <v>11</v>
      </c>
      <c r="O731" s="25">
        <f t="shared" si="112"/>
        <v>43070</v>
      </c>
      <c r="P731" s="5" t="str">
        <f t="shared" ref="P731:P737" si="117">TEXT(E731,"#.##0,00")</f>
        <v>0,40</v>
      </c>
      <c r="Q731" s="4" t="e">
        <f t="shared" ref="Q731:Q737" ca="1" si="118">CONVERTIRNUM(E731)</f>
        <v>#NAME?</v>
      </c>
    </row>
    <row r="732" spans="1:17">
      <c r="A732" s="1">
        <f t="shared" si="114"/>
        <v>731</v>
      </c>
      <c r="C732" s="8" t="s">
        <v>17</v>
      </c>
      <c r="D732" s="2">
        <v>43079</v>
      </c>
      <c r="E732" s="3">
        <f>35000/100000+50000/100000</f>
        <v>0.85</v>
      </c>
      <c r="F732" t="s">
        <v>185</v>
      </c>
      <c r="G732" t="s">
        <v>186</v>
      </c>
      <c r="H732" t="s">
        <v>187</v>
      </c>
      <c r="I732" s="6" t="s">
        <v>593</v>
      </c>
      <c r="J732" s="61" t="s">
        <v>22</v>
      </c>
      <c r="L732" s="5" t="str">
        <f t="shared" si="110"/>
        <v>00731</v>
      </c>
      <c r="M732" s="47" t="str">
        <f t="shared" si="111"/>
        <v>10 de diciembre de 2017</v>
      </c>
      <c r="N732" s="323">
        <f t="shared" si="113"/>
        <v>10</v>
      </c>
      <c r="O732" s="25">
        <f t="shared" si="112"/>
        <v>43070</v>
      </c>
      <c r="P732" s="5" t="str">
        <f t="shared" si="117"/>
        <v>0,85</v>
      </c>
      <c r="Q732" s="4" t="e">
        <f t="shared" ca="1" si="118"/>
        <v>#NAME?</v>
      </c>
    </row>
    <row r="733" spans="1:17">
      <c r="A733" s="1">
        <f t="shared" si="114"/>
        <v>732</v>
      </c>
      <c r="C733" s="8" t="s">
        <v>17</v>
      </c>
      <c r="D733" s="2">
        <v>43082</v>
      </c>
      <c r="E733" s="3">
        <f>50000/100000</f>
        <v>0.5</v>
      </c>
      <c r="F733" t="s">
        <v>126</v>
      </c>
      <c r="G733" t="s">
        <v>127</v>
      </c>
      <c r="H733" t="s">
        <v>128</v>
      </c>
      <c r="I733" s="6" t="s">
        <v>575</v>
      </c>
      <c r="J733" s="61" t="s">
        <v>22</v>
      </c>
      <c r="L733" s="5" t="str">
        <f t="shared" si="110"/>
        <v>00732</v>
      </c>
      <c r="M733" s="47" t="str">
        <f t="shared" si="111"/>
        <v>13 de diciembre de 2017</v>
      </c>
      <c r="N733" s="323">
        <f t="shared" si="113"/>
        <v>13</v>
      </c>
      <c r="O733" s="25">
        <f t="shared" si="112"/>
        <v>43070</v>
      </c>
      <c r="P733" s="5" t="str">
        <f t="shared" si="117"/>
        <v>0,50</v>
      </c>
      <c r="Q733" s="4" t="e">
        <f t="shared" ca="1" si="118"/>
        <v>#NAME?</v>
      </c>
    </row>
    <row r="734" spans="1:17">
      <c r="A734" s="1">
        <f t="shared" si="114"/>
        <v>733</v>
      </c>
      <c r="C734" s="8" t="s">
        <v>17</v>
      </c>
      <c r="D734" s="2">
        <v>43084</v>
      </c>
      <c r="E734" s="3">
        <f>2*50000/100000</f>
        <v>1</v>
      </c>
      <c r="F734" t="s">
        <v>201</v>
      </c>
      <c r="G734" t="s">
        <v>202</v>
      </c>
      <c r="H734" t="s">
        <v>203</v>
      </c>
      <c r="I734" s="6" t="s">
        <v>570</v>
      </c>
      <c r="J734" s="61" t="s">
        <v>22</v>
      </c>
      <c r="L734" s="5" t="str">
        <f t="shared" si="110"/>
        <v>00733</v>
      </c>
      <c r="M734" s="47" t="str">
        <f t="shared" si="111"/>
        <v>15 de diciembre de 2017</v>
      </c>
      <c r="N734" s="323">
        <f t="shared" si="113"/>
        <v>15</v>
      </c>
      <c r="O734" s="25">
        <f t="shared" si="112"/>
        <v>43070</v>
      </c>
      <c r="P734" s="5" t="str">
        <f t="shared" si="117"/>
        <v>1,00</v>
      </c>
      <c r="Q734" s="4" t="e">
        <f t="shared" ca="1" si="118"/>
        <v>#NAME?</v>
      </c>
    </row>
    <row r="735" spans="1:17">
      <c r="A735" s="1">
        <f t="shared" si="114"/>
        <v>734</v>
      </c>
      <c r="C735" s="8" t="s">
        <v>17</v>
      </c>
      <c r="D735" s="2">
        <v>43019</v>
      </c>
      <c r="E735" s="3">
        <f>35000/100000</f>
        <v>0.35</v>
      </c>
      <c r="F735" t="s">
        <v>206</v>
      </c>
      <c r="G735" t="s">
        <v>207</v>
      </c>
      <c r="H735" t="s">
        <v>208</v>
      </c>
      <c r="I735" s="6" t="s">
        <v>514</v>
      </c>
      <c r="J735" s="61" t="s">
        <v>22</v>
      </c>
      <c r="L735" s="5" t="str">
        <f t="shared" si="110"/>
        <v>00734</v>
      </c>
      <c r="M735" s="47" t="str">
        <f t="shared" si="111"/>
        <v>11 de octubre de 2017</v>
      </c>
      <c r="N735" s="323">
        <f t="shared" si="113"/>
        <v>11</v>
      </c>
      <c r="O735" s="25">
        <f t="shared" si="112"/>
        <v>43009</v>
      </c>
      <c r="P735" s="5" t="str">
        <f t="shared" si="117"/>
        <v>0,35</v>
      </c>
      <c r="Q735" s="4" t="e">
        <f t="shared" ca="1" si="118"/>
        <v>#NAME?</v>
      </c>
    </row>
    <row r="736" spans="1:17">
      <c r="A736" s="1">
        <f t="shared" si="114"/>
        <v>735</v>
      </c>
      <c r="C736" s="8" t="s">
        <v>17</v>
      </c>
      <c r="D736" s="2">
        <v>42923</v>
      </c>
      <c r="E736" s="3">
        <f>3000/100000</f>
        <v>0.03</v>
      </c>
      <c r="F736" t="s">
        <v>144</v>
      </c>
      <c r="G736" t="s">
        <v>145</v>
      </c>
      <c r="H736" t="s">
        <v>146</v>
      </c>
      <c r="I736" s="6" t="s">
        <v>446</v>
      </c>
      <c r="J736" s="61" t="s">
        <v>22</v>
      </c>
      <c r="L736" s="5" t="str">
        <f t="shared" si="110"/>
        <v>00735</v>
      </c>
      <c r="M736" s="47" t="str">
        <f t="shared" si="111"/>
        <v>07 de julio de 2017</v>
      </c>
      <c r="N736" s="323">
        <f t="shared" si="113"/>
        <v>7</v>
      </c>
      <c r="O736" s="25">
        <f t="shared" si="112"/>
        <v>42917</v>
      </c>
      <c r="P736" s="5" t="str">
        <f t="shared" si="117"/>
        <v>0,03</v>
      </c>
      <c r="Q736" s="4" t="e">
        <f t="shared" ca="1" si="118"/>
        <v>#NAME?</v>
      </c>
    </row>
    <row r="737" spans="1:17">
      <c r="A737" s="1">
        <f t="shared" si="114"/>
        <v>736</v>
      </c>
      <c r="C737" s="8" t="s">
        <v>17</v>
      </c>
      <c r="D737" s="2">
        <v>43086</v>
      </c>
      <c r="E737" s="3">
        <f>50000/100000</f>
        <v>0.5</v>
      </c>
      <c r="F737" t="s">
        <v>122</v>
      </c>
      <c r="G737" t="s">
        <v>123</v>
      </c>
      <c r="H737" t="s">
        <v>124</v>
      </c>
      <c r="I737" s="6" t="s">
        <v>575</v>
      </c>
      <c r="J737" s="61" t="s">
        <v>22</v>
      </c>
      <c r="L737" s="5" t="str">
        <f t="shared" si="110"/>
        <v>00736</v>
      </c>
      <c r="M737" s="47" t="str">
        <f t="shared" si="111"/>
        <v>17 de diciembre de 2017</v>
      </c>
      <c r="N737" s="323">
        <f t="shared" si="113"/>
        <v>17</v>
      </c>
      <c r="O737" s="25">
        <f t="shared" si="112"/>
        <v>43070</v>
      </c>
      <c r="P737" s="5" t="str">
        <f t="shared" si="117"/>
        <v>0,50</v>
      </c>
      <c r="Q737" s="4" t="e">
        <f t="shared" ca="1" si="118"/>
        <v>#NAME?</v>
      </c>
    </row>
    <row r="738" spans="1:17">
      <c r="A738" s="1">
        <f t="shared" si="114"/>
        <v>737</v>
      </c>
      <c r="C738" s="8" t="s">
        <v>17</v>
      </c>
      <c r="D738" s="2">
        <v>43087</v>
      </c>
      <c r="E738" s="3">
        <f>50000/100000</f>
        <v>0.5</v>
      </c>
      <c r="F738" t="s">
        <v>594</v>
      </c>
      <c r="G738" t="s">
        <v>595</v>
      </c>
      <c r="H738" t="s">
        <v>596</v>
      </c>
      <c r="I738" s="6" t="s">
        <v>575</v>
      </c>
      <c r="J738" s="61" t="s">
        <v>22</v>
      </c>
      <c r="L738" s="5" t="str">
        <f t="shared" si="110"/>
        <v>00737</v>
      </c>
      <c r="M738" s="47" t="str">
        <f t="shared" si="111"/>
        <v>18 de diciembre de 2017</v>
      </c>
      <c r="N738" s="323">
        <f t="shared" si="113"/>
        <v>18</v>
      </c>
      <c r="O738" s="25">
        <f t="shared" si="112"/>
        <v>43070</v>
      </c>
      <c r="P738" s="5" t="str">
        <f t="shared" ref="P738:P754" si="119">TEXT(E738,"#.##0,00")</f>
        <v>0,50</v>
      </c>
      <c r="Q738" s="4" t="e">
        <f t="shared" ref="Q738:Q754" ca="1" si="120">CONVERTIRNUM(E738)</f>
        <v>#NAME?</v>
      </c>
    </row>
    <row r="739" spans="1:17">
      <c r="A739" s="1">
        <f t="shared" si="114"/>
        <v>738</v>
      </c>
      <c r="C739" s="8" t="s">
        <v>17</v>
      </c>
      <c r="D739" s="2">
        <v>43088</v>
      </c>
      <c r="E739" s="3">
        <f>60000/100000</f>
        <v>0.6</v>
      </c>
      <c r="F739" t="s">
        <v>412</v>
      </c>
      <c r="G739" t="s">
        <v>413</v>
      </c>
      <c r="H739" t="s">
        <v>414</v>
      </c>
      <c r="I739" s="6" t="s">
        <v>590</v>
      </c>
      <c r="J739" s="61" t="s">
        <v>22</v>
      </c>
      <c r="L739" s="5" t="str">
        <f t="shared" si="110"/>
        <v>00738</v>
      </c>
      <c r="M739" s="47" t="str">
        <f t="shared" si="111"/>
        <v>19 de diciembre de 2017</v>
      </c>
      <c r="N739" s="323">
        <f t="shared" si="113"/>
        <v>19</v>
      </c>
      <c r="O739" s="25">
        <f t="shared" si="112"/>
        <v>43070</v>
      </c>
      <c r="P739" s="5" t="str">
        <f t="shared" si="119"/>
        <v>0,60</v>
      </c>
      <c r="Q739" s="4" t="e">
        <f t="shared" ca="1" si="120"/>
        <v>#NAME?</v>
      </c>
    </row>
    <row r="740" spans="1:17">
      <c r="A740" s="1">
        <f t="shared" si="114"/>
        <v>739</v>
      </c>
      <c r="C740" s="8" t="s">
        <v>17</v>
      </c>
      <c r="D740" s="2">
        <v>43089</v>
      </c>
      <c r="E740" s="3">
        <f>35000/100000+50000*2/100000</f>
        <v>1.35</v>
      </c>
      <c r="F740" t="s">
        <v>114</v>
      </c>
      <c r="G740" t="s">
        <v>115</v>
      </c>
      <c r="H740" t="s">
        <v>116</v>
      </c>
      <c r="I740" s="6" t="s">
        <v>568</v>
      </c>
      <c r="J740" s="61" t="s">
        <v>22</v>
      </c>
      <c r="L740" s="5" t="str">
        <f t="shared" si="110"/>
        <v>00739</v>
      </c>
      <c r="M740" s="47" t="str">
        <f t="shared" si="111"/>
        <v>20 de diciembre de 2017</v>
      </c>
      <c r="N740" s="323">
        <f t="shared" si="113"/>
        <v>20</v>
      </c>
      <c r="O740" s="25">
        <f t="shared" si="112"/>
        <v>43070</v>
      </c>
      <c r="P740" s="5" t="str">
        <f t="shared" si="119"/>
        <v>1,35</v>
      </c>
      <c r="Q740" s="4" t="e">
        <f t="shared" ca="1" si="120"/>
        <v>#NAME?</v>
      </c>
    </row>
    <row r="741" spans="1:17">
      <c r="A741" s="1">
        <f t="shared" si="114"/>
        <v>740</v>
      </c>
      <c r="C741" s="8" t="s">
        <v>17</v>
      </c>
      <c r="D741" s="2">
        <v>43089</v>
      </c>
      <c r="E741" s="3">
        <f>40000/100000</f>
        <v>0.4</v>
      </c>
      <c r="F741" t="s">
        <v>342</v>
      </c>
      <c r="G741" t="s">
        <v>343</v>
      </c>
      <c r="H741" t="s">
        <v>344</v>
      </c>
      <c r="I741" s="6" t="s">
        <v>587</v>
      </c>
      <c r="J741" s="61" t="s">
        <v>22</v>
      </c>
      <c r="L741" s="5" t="str">
        <f t="shared" si="110"/>
        <v>00740</v>
      </c>
      <c r="M741" s="47" t="str">
        <f t="shared" si="111"/>
        <v>20 de diciembre de 2017</v>
      </c>
      <c r="N741" s="323">
        <f t="shared" si="113"/>
        <v>20</v>
      </c>
      <c r="O741" s="25">
        <f t="shared" si="112"/>
        <v>43070</v>
      </c>
      <c r="P741" s="5" t="str">
        <f t="shared" si="119"/>
        <v>0,40</v>
      </c>
      <c r="Q741" s="4" t="e">
        <f t="shared" ca="1" si="120"/>
        <v>#NAME?</v>
      </c>
    </row>
    <row r="742" spans="1:17">
      <c r="A742" s="1">
        <f t="shared" si="114"/>
        <v>741</v>
      </c>
      <c r="C742" s="8" t="s">
        <v>17</v>
      </c>
      <c r="D742" s="2">
        <v>43089</v>
      </c>
      <c r="E742" s="3">
        <f>25000/100000</f>
        <v>0.25</v>
      </c>
      <c r="F742" t="s">
        <v>280</v>
      </c>
      <c r="G742" t="s">
        <v>281</v>
      </c>
      <c r="H742" t="s">
        <v>282</v>
      </c>
      <c r="I742" s="6" t="s">
        <v>597</v>
      </c>
      <c r="J742" s="61" t="s">
        <v>22</v>
      </c>
      <c r="L742" s="5" t="str">
        <f t="shared" si="110"/>
        <v>00741</v>
      </c>
      <c r="M742" s="47" t="str">
        <f t="shared" si="111"/>
        <v>20 de diciembre de 2017</v>
      </c>
      <c r="N742" s="323">
        <f t="shared" si="113"/>
        <v>20</v>
      </c>
      <c r="O742" s="25">
        <f t="shared" si="112"/>
        <v>43070</v>
      </c>
      <c r="P742" s="5" t="str">
        <f t="shared" si="119"/>
        <v>0,25</v>
      </c>
      <c r="Q742" s="4" t="e">
        <f t="shared" ca="1" si="120"/>
        <v>#NAME?</v>
      </c>
    </row>
    <row r="743" spans="1:17">
      <c r="A743" s="1">
        <f t="shared" si="114"/>
        <v>742</v>
      </c>
      <c r="C743" s="8" t="s">
        <v>17</v>
      </c>
      <c r="D743" s="2">
        <v>43091</v>
      </c>
      <c r="E743" s="3">
        <f>17000/100000</f>
        <v>0.17</v>
      </c>
      <c r="F743" t="s">
        <v>401</v>
      </c>
      <c r="G743" t="s">
        <v>402</v>
      </c>
      <c r="H743" t="s">
        <v>403</v>
      </c>
      <c r="I743" s="6" t="s">
        <v>587</v>
      </c>
      <c r="J743" s="61" t="s">
        <v>22</v>
      </c>
      <c r="L743" s="5" t="str">
        <f t="shared" si="110"/>
        <v>00742</v>
      </c>
      <c r="M743" s="47" t="str">
        <f t="shared" si="111"/>
        <v>22 de diciembre de 2017</v>
      </c>
      <c r="N743" s="323">
        <f t="shared" si="113"/>
        <v>22</v>
      </c>
      <c r="O743" s="25">
        <f t="shared" si="112"/>
        <v>43070</v>
      </c>
      <c r="P743" s="5" t="str">
        <f t="shared" si="119"/>
        <v>0,17</v>
      </c>
      <c r="Q743" s="4" t="e">
        <f t="shared" ca="1" si="120"/>
        <v>#NAME?</v>
      </c>
    </row>
    <row r="744" spans="1:17">
      <c r="A744" s="1">
        <f t="shared" si="114"/>
        <v>743</v>
      </c>
      <c r="C744" s="8" t="s">
        <v>17</v>
      </c>
      <c r="D744" s="2">
        <v>43091</v>
      </c>
      <c r="E744" s="3">
        <f>15000/100000</f>
        <v>0.15</v>
      </c>
      <c r="F744" t="s">
        <v>118</v>
      </c>
      <c r="G744" t="s">
        <v>119</v>
      </c>
      <c r="H744" t="s">
        <v>120</v>
      </c>
      <c r="I744" s="6" t="s">
        <v>566</v>
      </c>
      <c r="J744" s="61" t="s">
        <v>22</v>
      </c>
      <c r="L744" s="5" t="str">
        <f t="shared" si="110"/>
        <v>00743</v>
      </c>
      <c r="M744" s="47" t="str">
        <f t="shared" si="111"/>
        <v>22 de diciembre de 2017</v>
      </c>
      <c r="N744" s="323">
        <f t="shared" si="113"/>
        <v>22</v>
      </c>
      <c r="O744" s="25">
        <f t="shared" si="112"/>
        <v>43070</v>
      </c>
      <c r="P744" s="5" t="str">
        <f t="shared" si="119"/>
        <v>0,15</v>
      </c>
      <c r="Q744" s="4" t="e">
        <f t="shared" ca="1" si="120"/>
        <v>#NAME?</v>
      </c>
    </row>
    <row r="745" spans="1:17" ht="15.75" thickBot="1">
      <c r="A745" s="1">
        <f t="shared" si="114"/>
        <v>744</v>
      </c>
      <c r="C745" s="8" t="s">
        <v>17</v>
      </c>
      <c r="D745" s="2">
        <v>43092</v>
      </c>
      <c r="E745" s="3">
        <f>100000/100000</f>
        <v>1</v>
      </c>
      <c r="F745" t="s">
        <v>287</v>
      </c>
      <c r="G745" t="s">
        <v>288</v>
      </c>
      <c r="H745" t="s">
        <v>289</v>
      </c>
      <c r="I745" s="6" t="s">
        <v>583</v>
      </c>
      <c r="J745" s="61" t="s">
        <v>22</v>
      </c>
      <c r="L745" s="5" t="str">
        <f t="shared" si="110"/>
        <v>00744</v>
      </c>
      <c r="M745" s="47" t="str">
        <f t="shared" si="111"/>
        <v>23 de diciembre de 2017</v>
      </c>
      <c r="N745" s="323">
        <f t="shared" si="113"/>
        <v>23</v>
      </c>
      <c r="O745" s="25">
        <f t="shared" si="112"/>
        <v>43070</v>
      </c>
      <c r="P745" s="5" t="str">
        <f t="shared" si="119"/>
        <v>1,00</v>
      </c>
      <c r="Q745" s="4" t="e">
        <f t="shared" ca="1" si="120"/>
        <v>#NAME?</v>
      </c>
    </row>
    <row r="746" spans="1:17" ht="15.75" thickBot="1">
      <c r="A746" s="1">
        <f t="shared" si="114"/>
        <v>745</v>
      </c>
      <c r="C746" s="8" t="s">
        <v>17</v>
      </c>
      <c r="D746" s="2">
        <v>43095</v>
      </c>
      <c r="E746" s="3">
        <f>100000/100000</f>
        <v>1</v>
      </c>
      <c r="F746" t="s">
        <v>177</v>
      </c>
      <c r="G746" s="18" t="s">
        <v>58</v>
      </c>
      <c r="H746" t="s">
        <v>179</v>
      </c>
      <c r="I746" s="6" t="s">
        <v>598</v>
      </c>
      <c r="J746" s="61" t="s">
        <v>22</v>
      </c>
      <c r="L746" s="5" t="str">
        <f t="shared" si="110"/>
        <v>00745</v>
      </c>
      <c r="M746" s="47" t="str">
        <f t="shared" si="111"/>
        <v>26 de diciembre de 2017</v>
      </c>
      <c r="N746" s="323">
        <f t="shared" si="113"/>
        <v>26</v>
      </c>
      <c r="O746" s="25">
        <f t="shared" si="112"/>
        <v>43070</v>
      </c>
      <c r="P746" s="5" t="str">
        <f t="shared" si="119"/>
        <v>1,00</v>
      </c>
      <c r="Q746" s="4" t="e">
        <f t="shared" ca="1" si="120"/>
        <v>#NAME?</v>
      </c>
    </row>
    <row r="747" spans="1:17">
      <c r="A747" s="1">
        <f t="shared" si="114"/>
        <v>746</v>
      </c>
      <c r="C747" s="8" t="s">
        <v>17</v>
      </c>
      <c r="D747" s="2">
        <v>43095</v>
      </c>
      <c r="E747" s="3">
        <f>50000/100000</f>
        <v>0.5</v>
      </c>
      <c r="F747" t="s">
        <v>103</v>
      </c>
      <c r="G747" t="s">
        <v>104</v>
      </c>
      <c r="H747" t="s">
        <v>105</v>
      </c>
      <c r="I747" s="6" t="s">
        <v>575</v>
      </c>
      <c r="J747" s="61" t="s">
        <v>22</v>
      </c>
      <c r="L747" s="5" t="str">
        <f t="shared" si="110"/>
        <v>00746</v>
      </c>
      <c r="M747" s="47" t="str">
        <f t="shared" si="111"/>
        <v>26 de diciembre de 2017</v>
      </c>
      <c r="N747" s="323">
        <f t="shared" si="113"/>
        <v>26</v>
      </c>
      <c r="O747" s="25">
        <f t="shared" si="112"/>
        <v>43070</v>
      </c>
      <c r="P747" s="5" t="str">
        <f t="shared" si="119"/>
        <v>0,50</v>
      </c>
      <c r="Q747" s="4" t="e">
        <f t="shared" ca="1" si="120"/>
        <v>#NAME?</v>
      </c>
    </row>
    <row r="748" spans="1:17">
      <c r="A748" s="1">
        <f t="shared" si="114"/>
        <v>747</v>
      </c>
      <c r="C748" s="8" t="s">
        <v>17</v>
      </c>
      <c r="D748" s="2">
        <v>43092</v>
      </c>
      <c r="E748" s="3">
        <f>50000/100000</f>
        <v>0.5</v>
      </c>
      <c r="F748" t="s">
        <v>211</v>
      </c>
      <c r="G748" t="s">
        <v>212</v>
      </c>
      <c r="H748" t="s">
        <v>213</v>
      </c>
      <c r="I748" s="6" t="s">
        <v>575</v>
      </c>
      <c r="J748" s="61" t="s">
        <v>22</v>
      </c>
      <c r="L748" s="5" t="str">
        <f t="shared" si="110"/>
        <v>00747</v>
      </c>
      <c r="M748" s="47" t="str">
        <f t="shared" si="111"/>
        <v>23 de diciembre de 2017</v>
      </c>
      <c r="N748" s="323">
        <f t="shared" si="113"/>
        <v>23</v>
      </c>
      <c r="O748" s="25">
        <f t="shared" si="112"/>
        <v>43070</v>
      </c>
      <c r="P748" s="5" t="str">
        <f t="shared" si="119"/>
        <v>0,50</v>
      </c>
      <c r="Q748" s="4" t="e">
        <f t="shared" ca="1" si="120"/>
        <v>#NAME?</v>
      </c>
    </row>
    <row r="749" spans="1:17">
      <c r="A749" s="1">
        <f t="shared" si="114"/>
        <v>748</v>
      </c>
      <c r="C749" s="8" t="s">
        <v>17</v>
      </c>
      <c r="D749" s="2">
        <v>43095</v>
      </c>
      <c r="E749" s="3">
        <f>20000/100000</f>
        <v>0.2</v>
      </c>
      <c r="F749" t="s">
        <v>433</v>
      </c>
      <c r="G749" t="s">
        <v>434</v>
      </c>
      <c r="H749" t="s">
        <v>435</v>
      </c>
      <c r="I749" s="6" t="s">
        <v>599</v>
      </c>
      <c r="J749" s="61" t="s">
        <v>22</v>
      </c>
      <c r="L749" s="5" t="str">
        <f t="shared" si="110"/>
        <v>00748</v>
      </c>
      <c r="M749" s="47" t="str">
        <f t="shared" si="111"/>
        <v>26 de diciembre de 2017</v>
      </c>
      <c r="N749" s="323">
        <f t="shared" si="113"/>
        <v>26</v>
      </c>
      <c r="O749" s="25">
        <f t="shared" si="112"/>
        <v>43070</v>
      </c>
      <c r="P749" s="5" t="str">
        <f t="shared" si="119"/>
        <v>0,20</v>
      </c>
      <c r="Q749" s="4" t="e">
        <f t="shared" ca="1" si="120"/>
        <v>#NAME?</v>
      </c>
    </row>
    <row r="750" spans="1:17" ht="15.75" thickBot="1">
      <c r="A750" s="1">
        <f t="shared" si="114"/>
        <v>749</v>
      </c>
      <c r="C750" s="8" t="s">
        <v>17</v>
      </c>
      <c r="D750" s="2">
        <v>43095</v>
      </c>
      <c r="E750" s="3">
        <f>50000/100000</f>
        <v>0.5</v>
      </c>
      <c r="F750" t="s">
        <v>558</v>
      </c>
      <c r="G750" t="s">
        <v>559</v>
      </c>
      <c r="H750" t="s">
        <v>560</v>
      </c>
      <c r="I750" s="6" t="s">
        <v>600</v>
      </c>
      <c r="J750" s="61" t="s">
        <v>22</v>
      </c>
      <c r="L750" s="5" t="str">
        <f t="shared" si="110"/>
        <v>00749</v>
      </c>
      <c r="M750" s="47" t="str">
        <f t="shared" si="111"/>
        <v>26 de diciembre de 2017</v>
      </c>
      <c r="N750" s="323">
        <f t="shared" si="113"/>
        <v>26</v>
      </c>
      <c r="O750" s="25">
        <f t="shared" si="112"/>
        <v>43070</v>
      </c>
      <c r="P750" s="5" t="str">
        <f t="shared" si="119"/>
        <v>0,50</v>
      </c>
      <c r="Q750" s="4" t="e">
        <f t="shared" ca="1" si="120"/>
        <v>#NAME?</v>
      </c>
    </row>
    <row r="751" spans="1:17" ht="15.75" thickBot="1">
      <c r="A751" s="1">
        <f t="shared" si="114"/>
        <v>750</v>
      </c>
      <c r="C751" s="8" t="s">
        <v>17</v>
      </c>
      <c r="D751" s="2">
        <v>43096</v>
      </c>
      <c r="E751" s="3">
        <f>25000/100000</f>
        <v>0.25</v>
      </c>
      <c r="F751" t="s">
        <v>303</v>
      </c>
      <c r="G751" s="18" t="s">
        <v>58</v>
      </c>
      <c r="H751" t="s">
        <v>304</v>
      </c>
      <c r="I751" s="6" t="s">
        <v>566</v>
      </c>
      <c r="J751" s="61" t="s">
        <v>22</v>
      </c>
      <c r="L751" s="5" t="str">
        <f t="shared" si="110"/>
        <v>00750</v>
      </c>
      <c r="M751" s="47" t="str">
        <f t="shared" si="111"/>
        <v>27 de diciembre de 2017</v>
      </c>
      <c r="N751" s="323">
        <f t="shared" si="113"/>
        <v>27</v>
      </c>
      <c r="O751" s="25">
        <f t="shared" si="112"/>
        <v>43070</v>
      </c>
      <c r="P751" s="5" t="str">
        <f t="shared" si="119"/>
        <v>0,25</v>
      </c>
      <c r="Q751" s="4" t="e">
        <f t="shared" ca="1" si="120"/>
        <v>#NAME?</v>
      </c>
    </row>
    <row r="752" spans="1:17">
      <c r="A752" s="1">
        <f t="shared" si="114"/>
        <v>751</v>
      </c>
      <c r="C752" s="8" t="s">
        <v>17</v>
      </c>
      <c r="D752" s="2">
        <v>43098</v>
      </c>
      <c r="E752" s="3">
        <f>100000/100000</f>
        <v>1</v>
      </c>
      <c r="F752" t="s">
        <v>248</v>
      </c>
      <c r="G752" t="s">
        <v>249</v>
      </c>
      <c r="H752" t="s">
        <v>250</v>
      </c>
      <c r="I752" s="6" t="s">
        <v>570</v>
      </c>
      <c r="J752" s="61" t="s">
        <v>22</v>
      </c>
      <c r="L752" s="5" t="str">
        <f t="shared" si="110"/>
        <v>00751</v>
      </c>
      <c r="M752" s="47" t="str">
        <f t="shared" si="111"/>
        <v>29 de diciembre de 2017</v>
      </c>
      <c r="N752" s="323">
        <f t="shared" si="113"/>
        <v>29</v>
      </c>
      <c r="O752" s="25">
        <f t="shared" si="112"/>
        <v>43070</v>
      </c>
      <c r="P752" s="5" t="str">
        <f t="shared" si="119"/>
        <v>1,00</v>
      </c>
      <c r="Q752" s="4" t="e">
        <f t="shared" ca="1" si="120"/>
        <v>#NAME?</v>
      </c>
    </row>
    <row r="753" spans="1:17">
      <c r="A753" s="1">
        <f t="shared" si="114"/>
        <v>752</v>
      </c>
      <c r="C753" s="8" t="s">
        <v>17</v>
      </c>
      <c r="D753" s="2">
        <v>43102</v>
      </c>
      <c r="E753" s="3">
        <f>30000/100000</f>
        <v>0.3</v>
      </c>
      <c r="F753" t="s">
        <v>84</v>
      </c>
      <c r="G753" t="s">
        <v>85</v>
      </c>
      <c r="H753" t="s">
        <v>86</v>
      </c>
      <c r="I753" s="6" t="s">
        <v>601</v>
      </c>
      <c r="J753" s="61" t="s">
        <v>22</v>
      </c>
      <c r="L753" s="5" t="str">
        <f t="shared" si="110"/>
        <v>00752</v>
      </c>
      <c r="M753" s="47" t="str">
        <f t="shared" si="111"/>
        <v>02 de enero de 2018</v>
      </c>
      <c r="N753" s="323">
        <f t="shared" si="113"/>
        <v>2</v>
      </c>
      <c r="O753" s="25">
        <f t="shared" si="112"/>
        <v>43101</v>
      </c>
      <c r="P753" s="5" t="str">
        <f t="shared" si="119"/>
        <v>0,30</v>
      </c>
      <c r="Q753" s="4" t="e">
        <f t="shared" ca="1" si="120"/>
        <v>#NAME?</v>
      </c>
    </row>
    <row r="754" spans="1:17">
      <c r="A754" s="1">
        <f t="shared" si="114"/>
        <v>753</v>
      </c>
      <c r="C754" s="8" t="s">
        <v>17</v>
      </c>
      <c r="D754" s="2">
        <v>43102</v>
      </c>
      <c r="E754" s="3">
        <f>30000/100000</f>
        <v>0.3</v>
      </c>
      <c r="F754" t="s">
        <v>28</v>
      </c>
      <c r="G754" t="s">
        <v>29</v>
      </c>
      <c r="H754" t="s">
        <v>30</v>
      </c>
      <c r="I754" s="6" t="s">
        <v>587</v>
      </c>
      <c r="J754" s="61" t="s">
        <v>22</v>
      </c>
      <c r="L754" s="5" t="str">
        <f t="shared" si="110"/>
        <v>00753</v>
      </c>
      <c r="M754" s="47" t="str">
        <f t="shared" si="111"/>
        <v>02 de enero de 2018</v>
      </c>
      <c r="N754" s="323">
        <f t="shared" si="113"/>
        <v>2</v>
      </c>
      <c r="O754" s="25">
        <f t="shared" si="112"/>
        <v>43101</v>
      </c>
      <c r="P754" s="5" t="str">
        <f t="shared" si="119"/>
        <v>0,30</v>
      </c>
      <c r="Q754" s="4" t="e">
        <f t="shared" ca="1" si="120"/>
        <v>#NAME?</v>
      </c>
    </row>
    <row r="755" spans="1:17">
      <c r="A755" s="1">
        <f t="shared" si="114"/>
        <v>754</v>
      </c>
      <c r="C755" s="8" t="s">
        <v>17</v>
      </c>
      <c r="D755" s="2">
        <v>43104</v>
      </c>
      <c r="E755" s="3">
        <f>45000/100000</f>
        <v>0.45</v>
      </c>
      <c r="F755" t="s">
        <v>118</v>
      </c>
      <c r="G755" t="s">
        <v>119</v>
      </c>
      <c r="H755" t="s">
        <v>120</v>
      </c>
      <c r="I755" s="6" t="s">
        <v>587</v>
      </c>
      <c r="J755" s="61" t="s">
        <v>22</v>
      </c>
      <c r="L755" s="5" t="str">
        <f t="shared" si="110"/>
        <v>00754</v>
      </c>
      <c r="M755" s="47" t="str">
        <f t="shared" si="111"/>
        <v>04 de enero de 2018</v>
      </c>
      <c r="N755" s="323">
        <f t="shared" si="113"/>
        <v>4</v>
      </c>
      <c r="O755" s="25">
        <f t="shared" si="112"/>
        <v>43101</v>
      </c>
      <c r="P755" s="5" t="str">
        <f>TEXT(E755,"#.##0,00")</f>
        <v>0,45</v>
      </c>
      <c r="Q755" s="4" t="e">
        <f ca="1">CONVERTIRNUM(E755)</f>
        <v>#NAME?</v>
      </c>
    </row>
    <row r="756" spans="1:17">
      <c r="A756" s="1">
        <f t="shared" si="114"/>
        <v>755</v>
      </c>
      <c r="C756" s="8" t="s">
        <v>17</v>
      </c>
      <c r="D756" s="2">
        <v>43098</v>
      </c>
      <c r="E756" s="3">
        <f>50000/100000</f>
        <v>0.5</v>
      </c>
      <c r="F756" t="s">
        <v>44</v>
      </c>
      <c r="G756" t="s">
        <v>45</v>
      </c>
      <c r="H756" t="s">
        <v>46</v>
      </c>
      <c r="I756" s="6" t="s">
        <v>602</v>
      </c>
      <c r="J756" s="61" t="s">
        <v>22</v>
      </c>
      <c r="L756" s="5" t="str">
        <f t="shared" si="110"/>
        <v>00755</v>
      </c>
      <c r="M756" s="47" t="str">
        <f t="shared" si="111"/>
        <v>29 de diciembre de 2017</v>
      </c>
      <c r="N756" s="323">
        <f t="shared" si="113"/>
        <v>29</v>
      </c>
      <c r="O756" s="25">
        <f t="shared" si="112"/>
        <v>43070</v>
      </c>
      <c r="P756" s="5" t="str">
        <f>TEXT(E756,"#.##0,00")</f>
        <v>0,50</v>
      </c>
      <c r="Q756" s="4" t="e">
        <f ca="1">CONVERTIRNUM(E756)</f>
        <v>#NAME?</v>
      </c>
    </row>
    <row r="757" spans="1:17">
      <c r="A757" s="1">
        <f t="shared" si="114"/>
        <v>756</v>
      </c>
      <c r="C757" s="8" t="s">
        <v>17</v>
      </c>
      <c r="D757" s="2">
        <v>43107</v>
      </c>
      <c r="E757" s="3">
        <f>50000/100000</f>
        <v>0.5</v>
      </c>
      <c r="F757" t="s">
        <v>70</v>
      </c>
      <c r="G757" t="s">
        <v>71</v>
      </c>
      <c r="H757" t="s">
        <v>72</v>
      </c>
      <c r="I757" s="6" t="s">
        <v>602</v>
      </c>
      <c r="J757" s="61" t="s">
        <v>22</v>
      </c>
      <c r="L757" s="5" t="str">
        <f t="shared" si="110"/>
        <v>00756</v>
      </c>
      <c r="M757" s="47" t="str">
        <f t="shared" si="111"/>
        <v>07 de enero de 2018</v>
      </c>
      <c r="N757" s="323">
        <f t="shared" si="113"/>
        <v>7</v>
      </c>
      <c r="O757" s="25">
        <f t="shared" si="112"/>
        <v>43101</v>
      </c>
      <c r="P757" s="5" t="str">
        <f>TEXT(E757,"#.##0,00")</f>
        <v>0,50</v>
      </c>
      <c r="Q757" s="4" t="e">
        <f ca="1">CONVERTIRNUM(E757)</f>
        <v>#NAME?</v>
      </c>
    </row>
    <row r="758" spans="1:17">
      <c r="A758" s="1">
        <f t="shared" si="114"/>
        <v>757</v>
      </c>
      <c r="C758" s="8" t="s">
        <v>17</v>
      </c>
      <c r="D758" s="2">
        <v>43110</v>
      </c>
      <c r="E758" s="3">
        <f>50000/100000</f>
        <v>0.5</v>
      </c>
      <c r="F758" t="s">
        <v>219</v>
      </c>
      <c r="G758" t="s">
        <v>220</v>
      </c>
      <c r="H758" t="s">
        <v>221</v>
      </c>
      <c r="I758" s="6" t="s">
        <v>575</v>
      </c>
      <c r="J758" s="61" t="s">
        <v>22</v>
      </c>
      <c r="L758" s="5" t="str">
        <f t="shared" si="110"/>
        <v>00757</v>
      </c>
      <c r="M758" s="47" t="str">
        <f t="shared" si="111"/>
        <v>10 de enero de 2018</v>
      </c>
      <c r="N758" s="323">
        <f t="shared" si="113"/>
        <v>10</v>
      </c>
      <c r="O758" s="25">
        <f t="shared" si="112"/>
        <v>43101</v>
      </c>
      <c r="P758" s="5" t="str">
        <f>TEXT(E758,"#.##0,00")</f>
        <v>0,50</v>
      </c>
      <c r="Q758" s="4" t="e">
        <f ca="1">CONVERTIRNUM(E758)</f>
        <v>#NAME?</v>
      </c>
    </row>
    <row r="759" spans="1:17">
      <c r="A759" s="1">
        <f t="shared" si="114"/>
        <v>758</v>
      </c>
      <c r="C759" s="8" t="s">
        <v>17</v>
      </c>
      <c r="D759" s="2">
        <v>43110</v>
      </c>
      <c r="E759" s="3">
        <f>30000/100000</f>
        <v>0.3</v>
      </c>
      <c r="F759" t="s">
        <v>70</v>
      </c>
      <c r="G759" t="s">
        <v>71</v>
      </c>
      <c r="H759" t="s">
        <v>72</v>
      </c>
      <c r="I759" s="6" t="s">
        <v>603</v>
      </c>
      <c r="J759" s="61" t="s">
        <v>22</v>
      </c>
      <c r="L759" s="5" t="str">
        <f t="shared" si="110"/>
        <v>00758</v>
      </c>
      <c r="M759" s="47" t="str">
        <f t="shared" si="111"/>
        <v>10 de enero de 2018</v>
      </c>
      <c r="N759" s="323">
        <f t="shared" si="113"/>
        <v>10</v>
      </c>
      <c r="O759" s="25">
        <f t="shared" si="112"/>
        <v>43101</v>
      </c>
      <c r="P759" s="5" t="str">
        <f t="shared" ref="P759:P769" si="121">TEXT(E759,"#.##0,00")</f>
        <v>0,30</v>
      </c>
      <c r="Q759" s="4" t="e">
        <f t="shared" ref="Q759:Q769" ca="1" si="122">CONVERTIRNUM(E759)</f>
        <v>#NAME?</v>
      </c>
    </row>
    <row r="760" spans="1:17">
      <c r="A760" s="1">
        <f t="shared" si="114"/>
        <v>759</v>
      </c>
      <c r="C760" s="8" t="s">
        <v>17</v>
      </c>
      <c r="D760" s="2">
        <v>43110</v>
      </c>
      <c r="E760" s="3">
        <f>30000/100000</f>
        <v>0.3</v>
      </c>
      <c r="F760" t="s">
        <v>558</v>
      </c>
      <c r="G760" t="s">
        <v>559</v>
      </c>
      <c r="H760" t="s">
        <v>560</v>
      </c>
      <c r="I760" s="6" t="s">
        <v>603</v>
      </c>
      <c r="J760" s="61" t="s">
        <v>22</v>
      </c>
      <c r="L760" s="5" t="str">
        <f t="shared" si="110"/>
        <v>00759</v>
      </c>
      <c r="M760" s="47" t="str">
        <f t="shared" si="111"/>
        <v>10 de enero de 2018</v>
      </c>
      <c r="N760" s="323">
        <f t="shared" si="113"/>
        <v>10</v>
      </c>
      <c r="O760" s="25">
        <f t="shared" si="112"/>
        <v>43101</v>
      </c>
      <c r="P760" s="5" t="str">
        <f t="shared" si="121"/>
        <v>0,30</v>
      </c>
      <c r="Q760" s="4" t="e">
        <f t="shared" ca="1" si="122"/>
        <v>#NAME?</v>
      </c>
    </row>
    <row r="761" spans="1:17">
      <c r="A761" s="1">
        <f t="shared" si="114"/>
        <v>760</v>
      </c>
      <c r="C761" s="8" t="s">
        <v>17</v>
      </c>
      <c r="D761" s="2">
        <v>43110</v>
      </c>
      <c r="E761" s="3">
        <f>80000/100000</f>
        <v>0.8</v>
      </c>
      <c r="F761" t="s">
        <v>18</v>
      </c>
      <c r="G761" t="s">
        <v>19</v>
      </c>
      <c r="H761" t="s">
        <v>20</v>
      </c>
      <c r="I761" s="6" t="s">
        <v>604</v>
      </c>
      <c r="J761" s="61" t="s">
        <v>22</v>
      </c>
      <c r="L761" s="5" t="str">
        <f t="shared" si="110"/>
        <v>00760</v>
      </c>
      <c r="M761" s="47" t="str">
        <f t="shared" si="111"/>
        <v>10 de enero de 2018</v>
      </c>
      <c r="N761" s="323">
        <f t="shared" si="113"/>
        <v>10</v>
      </c>
      <c r="O761" s="25">
        <f t="shared" si="112"/>
        <v>43101</v>
      </c>
      <c r="P761" s="5" t="str">
        <f t="shared" si="121"/>
        <v>0,80</v>
      </c>
      <c r="Q761" s="4" t="e">
        <f t="shared" ca="1" si="122"/>
        <v>#NAME?</v>
      </c>
    </row>
    <row r="762" spans="1:17">
      <c r="A762" s="1">
        <f t="shared" si="114"/>
        <v>761</v>
      </c>
      <c r="C762" s="8" t="s">
        <v>17</v>
      </c>
      <c r="D762" s="2">
        <v>43110</v>
      </c>
      <c r="E762" s="3">
        <f>50000/100000</f>
        <v>0.5</v>
      </c>
      <c r="F762" t="s">
        <v>362</v>
      </c>
      <c r="G762" t="s">
        <v>363</v>
      </c>
      <c r="H762" t="s">
        <v>364</v>
      </c>
      <c r="I762" s="6" t="s">
        <v>575</v>
      </c>
      <c r="J762" s="61" t="s">
        <v>22</v>
      </c>
      <c r="L762" s="5" t="str">
        <f t="shared" si="110"/>
        <v>00761</v>
      </c>
      <c r="M762" s="47" t="str">
        <f t="shared" si="111"/>
        <v>10 de enero de 2018</v>
      </c>
      <c r="N762" s="323">
        <f t="shared" si="113"/>
        <v>10</v>
      </c>
      <c r="O762" s="25">
        <f t="shared" si="112"/>
        <v>43101</v>
      </c>
      <c r="P762" s="5" t="str">
        <f t="shared" si="121"/>
        <v>0,50</v>
      </c>
      <c r="Q762" s="4" t="e">
        <f t="shared" ca="1" si="122"/>
        <v>#NAME?</v>
      </c>
    </row>
    <row r="763" spans="1:17">
      <c r="A763" s="1">
        <f t="shared" si="114"/>
        <v>762</v>
      </c>
      <c r="C763" s="8" t="s">
        <v>17</v>
      </c>
      <c r="D763" s="2">
        <v>43110</v>
      </c>
      <c r="E763" s="3">
        <f>130000/100000</f>
        <v>1.3</v>
      </c>
      <c r="F763" t="s">
        <v>148</v>
      </c>
      <c r="G763" t="s">
        <v>149</v>
      </c>
      <c r="H763" t="s">
        <v>150</v>
      </c>
      <c r="I763" s="6" t="s">
        <v>583</v>
      </c>
      <c r="J763" s="61" t="s">
        <v>22</v>
      </c>
      <c r="L763" s="5" t="str">
        <f t="shared" si="110"/>
        <v>00762</v>
      </c>
      <c r="M763" s="47" t="str">
        <f t="shared" si="111"/>
        <v>10 de enero de 2018</v>
      </c>
      <c r="N763" s="323">
        <f t="shared" si="113"/>
        <v>10</v>
      </c>
      <c r="O763" s="25">
        <f t="shared" si="112"/>
        <v>43101</v>
      </c>
      <c r="P763" s="5" t="str">
        <f t="shared" si="121"/>
        <v>1,30</v>
      </c>
      <c r="Q763" s="4" t="e">
        <f t="shared" ca="1" si="122"/>
        <v>#NAME?</v>
      </c>
    </row>
    <row r="764" spans="1:17">
      <c r="A764" s="1">
        <f t="shared" si="114"/>
        <v>763</v>
      </c>
      <c r="C764" s="8" t="s">
        <v>17</v>
      </c>
      <c r="D764" s="2">
        <v>43110</v>
      </c>
      <c r="E764" s="3">
        <f>80000/100000</f>
        <v>0.8</v>
      </c>
      <c r="F764" t="s">
        <v>107</v>
      </c>
      <c r="G764" t="s">
        <v>108</v>
      </c>
      <c r="H764" t="s">
        <v>109</v>
      </c>
      <c r="I764" s="6" t="s">
        <v>600</v>
      </c>
      <c r="J764" s="61" t="s">
        <v>22</v>
      </c>
      <c r="L764" s="5" t="str">
        <f t="shared" si="110"/>
        <v>00763</v>
      </c>
      <c r="M764" s="47" t="str">
        <f t="shared" si="111"/>
        <v>10 de enero de 2018</v>
      </c>
      <c r="N764" s="323">
        <f t="shared" si="113"/>
        <v>10</v>
      </c>
      <c r="O764" s="25">
        <f t="shared" si="112"/>
        <v>43101</v>
      </c>
      <c r="P764" s="5" t="str">
        <f t="shared" si="121"/>
        <v>0,80</v>
      </c>
      <c r="Q764" s="4" t="e">
        <f t="shared" ca="1" si="122"/>
        <v>#NAME?</v>
      </c>
    </row>
    <row r="765" spans="1:17">
      <c r="A765" s="1">
        <f t="shared" si="114"/>
        <v>764</v>
      </c>
      <c r="C765" s="8" t="s">
        <v>17</v>
      </c>
      <c r="D765" s="2">
        <v>43110</v>
      </c>
      <c r="E765" s="3">
        <f>70000/100000</f>
        <v>0.7</v>
      </c>
      <c r="F765" t="s">
        <v>197</v>
      </c>
      <c r="G765" t="s">
        <v>198</v>
      </c>
      <c r="H765" t="s">
        <v>199</v>
      </c>
      <c r="I765" s="6" t="s">
        <v>605</v>
      </c>
      <c r="J765" s="61" t="s">
        <v>22</v>
      </c>
      <c r="L765" s="5" t="str">
        <f t="shared" si="110"/>
        <v>00764</v>
      </c>
      <c r="M765" s="47" t="str">
        <f t="shared" si="111"/>
        <v>10 de enero de 2018</v>
      </c>
      <c r="N765" s="323">
        <f t="shared" si="113"/>
        <v>10</v>
      </c>
      <c r="O765" s="25">
        <f t="shared" si="112"/>
        <v>43101</v>
      </c>
      <c r="P765" s="5" t="str">
        <f t="shared" si="121"/>
        <v>0,70</v>
      </c>
      <c r="Q765" s="4" t="e">
        <f t="shared" ca="1" si="122"/>
        <v>#NAME?</v>
      </c>
    </row>
    <row r="766" spans="1:17">
      <c r="A766" s="1">
        <f t="shared" si="114"/>
        <v>765</v>
      </c>
      <c r="C766" s="8" t="s">
        <v>17</v>
      </c>
      <c r="D766" s="2">
        <v>43111</v>
      </c>
      <c r="E766" s="3">
        <f>160000/100000</f>
        <v>1.6</v>
      </c>
      <c r="F766" t="s">
        <v>324</v>
      </c>
      <c r="G766" t="s">
        <v>325</v>
      </c>
      <c r="H766" t="s">
        <v>326</v>
      </c>
      <c r="I766" s="6" t="s">
        <v>606</v>
      </c>
      <c r="J766" s="61" t="s">
        <v>22</v>
      </c>
      <c r="L766" s="5" t="str">
        <f t="shared" si="110"/>
        <v>00765</v>
      </c>
      <c r="M766" s="47" t="str">
        <f t="shared" si="111"/>
        <v>11 de enero de 2018</v>
      </c>
      <c r="N766" s="323">
        <f t="shared" si="113"/>
        <v>11</v>
      </c>
      <c r="O766" s="25">
        <f t="shared" si="112"/>
        <v>43101</v>
      </c>
      <c r="P766" s="5" t="str">
        <f t="shared" si="121"/>
        <v>1,60</v>
      </c>
      <c r="Q766" s="4" t="e">
        <f t="shared" ca="1" si="122"/>
        <v>#NAME?</v>
      </c>
    </row>
    <row r="767" spans="1:17">
      <c r="A767" s="1">
        <f t="shared" si="114"/>
        <v>766</v>
      </c>
      <c r="C767" s="8" t="s">
        <v>17</v>
      </c>
      <c r="D767" s="2">
        <v>43111</v>
      </c>
      <c r="E767" s="3">
        <f>80000/100000</f>
        <v>0.8</v>
      </c>
      <c r="F767" t="s">
        <v>152</v>
      </c>
      <c r="G767" t="s">
        <v>153</v>
      </c>
      <c r="H767" t="s">
        <v>154</v>
      </c>
      <c r="I767" s="6" t="s">
        <v>600</v>
      </c>
      <c r="J767" s="61" t="s">
        <v>22</v>
      </c>
      <c r="L767" s="5" t="str">
        <f t="shared" si="110"/>
        <v>00766</v>
      </c>
      <c r="M767" s="47" t="str">
        <f t="shared" si="111"/>
        <v>11 de enero de 2018</v>
      </c>
      <c r="N767" s="323">
        <f t="shared" si="113"/>
        <v>11</v>
      </c>
      <c r="O767" s="25">
        <f t="shared" si="112"/>
        <v>43101</v>
      </c>
      <c r="P767" s="5" t="str">
        <f t="shared" si="121"/>
        <v>0,80</v>
      </c>
      <c r="Q767" s="4" t="e">
        <f t="shared" ca="1" si="122"/>
        <v>#NAME?</v>
      </c>
    </row>
    <row r="768" spans="1:17">
      <c r="A768" s="1">
        <f t="shared" si="114"/>
        <v>767</v>
      </c>
      <c r="C768" s="8" t="s">
        <v>17</v>
      </c>
      <c r="D768" s="2">
        <v>43111</v>
      </c>
      <c r="E768" s="3">
        <f>80000/100000</f>
        <v>0.8</v>
      </c>
      <c r="F768" t="s">
        <v>94</v>
      </c>
      <c r="G768" t="s">
        <v>607</v>
      </c>
      <c r="H768" t="s">
        <v>96</v>
      </c>
      <c r="I768" s="6" t="s">
        <v>600</v>
      </c>
      <c r="J768" s="61" t="s">
        <v>22</v>
      </c>
      <c r="L768" s="5" t="str">
        <f t="shared" si="110"/>
        <v>00767</v>
      </c>
      <c r="M768" s="47" t="str">
        <f t="shared" si="111"/>
        <v>11 de enero de 2018</v>
      </c>
      <c r="N768" s="323">
        <f t="shared" si="113"/>
        <v>11</v>
      </c>
      <c r="O768" s="25">
        <f t="shared" si="112"/>
        <v>43101</v>
      </c>
      <c r="P768" s="5" t="str">
        <f t="shared" si="121"/>
        <v>0,80</v>
      </c>
      <c r="Q768" s="4" t="e">
        <f t="shared" ca="1" si="122"/>
        <v>#NAME?</v>
      </c>
    </row>
    <row r="769" spans="1:17">
      <c r="A769" s="1">
        <f t="shared" si="114"/>
        <v>768</v>
      </c>
      <c r="C769" s="8" t="s">
        <v>17</v>
      </c>
      <c r="D769" s="2">
        <v>43111</v>
      </c>
      <c r="E769" s="3">
        <f>50000*2/100000</f>
        <v>1</v>
      </c>
      <c r="F769" t="s">
        <v>230</v>
      </c>
      <c r="G769" t="s">
        <v>231</v>
      </c>
      <c r="H769" t="s">
        <v>232</v>
      </c>
      <c r="I769" s="6" t="s">
        <v>570</v>
      </c>
      <c r="J769" s="61" t="s">
        <v>22</v>
      </c>
      <c r="L769" s="5" t="str">
        <f t="shared" si="110"/>
        <v>00768</v>
      </c>
      <c r="M769" s="47" t="str">
        <f t="shared" si="111"/>
        <v>11 de enero de 2018</v>
      </c>
      <c r="N769" s="323">
        <f t="shared" si="113"/>
        <v>11</v>
      </c>
      <c r="O769" s="25">
        <f t="shared" si="112"/>
        <v>43101</v>
      </c>
      <c r="P769" s="5" t="str">
        <f t="shared" si="121"/>
        <v>1,00</v>
      </c>
      <c r="Q769" s="4" t="e">
        <f t="shared" ca="1" si="122"/>
        <v>#NAME?</v>
      </c>
    </row>
    <row r="770" spans="1:17">
      <c r="A770" s="1">
        <f t="shared" si="114"/>
        <v>769</v>
      </c>
      <c r="C770" s="8" t="s">
        <v>17</v>
      </c>
      <c r="D770" s="2">
        <v>43111</v>
      </c>
      <c r="E770" s="3">
        <f>80000/100000</f>
        <v>0.8</v>
      </c>
      <c r="F770" t="s">
        <v>362</v>
      </c>
      <c r="G770" t="s">
        <v>363</v>
      </c>
      <c r="H770" t="s">
        <v>364</v>
      </c>
      <c r="I770" s="6" t="s">
        <v>600</v>
      </c>
      <c r="J770" s="61" t="s">
        <v>22</v>
      </c>
      <c r="L770" s="5" t="str">
        <f t="shared" ref="L770:L833" si="123">IF(ISBLANK(A770),"",TEXT(A770,"00000"))</f>
        <v>00769</v>
      </c>
      <c r="M770" s="47" t="str">
        <f t="shared" ref="M770:M833" si="124">IF(ISBLANK(D770),"",TEXT(D770,"dd")&amp;" de "&amp;TEXT(D770,"mmmm")&amp;" de "&amp;TEXT(YEAR(D770),"0"))</f>
        <v>11 de enero de 2018</v>
      </c>
      <c r="N770" s="323">
        <f t="shared" si="113"/>
        <v>11</v>
      </c>
      <c r="O770" s="25">
        <f t="shared" ref="O770:O833" si="125">DATE(YEAR(D770),MONTH(D770),1)</f>
        <v>43101</v>
      </c>
      <c r="P770" s="5" t="str">
        <f t="shared" ref="P770:P787" si="126">TEXT(E770,"#.##0,00")</f>
        <v>0,80</v>
      </c>
      <c r="Q770" s="4" t="e">
        <f t="shared" ref="Q770:Q787" ca="1" si="127">CONVERTIRNUM(E770)</f>
        <v>#NAME?</v>
      </c>
    </row>
    <row r="771" spans="1:17">
      <c r="A771" s="1">
        <f t="shared" si="114"/>
        <v>770</v>
      </c>
      <c r="C771" s="8" t="s">
        <v>17</v>
      </c>
      <c r="D771" s="2">
        <v>43111</v>
      </c>
      <c r="E771" s="3">
        <f>80000/100000</f>
        <v>0.8</v>
      </c>
      <c r="F771" t="s">
        <v>243</v>
      </c>
      <c r="G771" t="s">
        <v>244</v>
      </c>
      <c r="H771" t="s">
        <v>245</v>
      </c>
      <c r="I771" s="6" t="s">
        <v>600</v>
      </c>
      <c r="J771" s="61" t="s">
        <v>22</v>
      </c>
      <c r="L771" s="5" t="str">
        <f t="shared" si="123"/>
        <v>00770</v>
      </c>
      <c r="M771" s="47" t="str">
        <f t="shared" si="124"/>
        <v>11 de enero de 2018</v>
      </c>
      <c r="N771" s="323">
        <f t="shared" ref="N771:N834" si="128">DAY(D771)</f>
        <v>11</v>
      </c>
      <c r="O771" s="25">
        <f t="shared" si="125"/>
        <v>43101</v>
      </c>
      <c r="P771" s="5" t="str">
        <f t="shared" si="126"/>
        <v>0,80</v>
      </c>
      <c r="Q771" s="4" t="e">
        <f t="shared" ca="1" si="127"/>
        <v>#NAME?</v>
      </c>
    </row>
    <row r="772" spans="1:17">
      <c r="A772" s="1">
        <f t="shared" ref="A772:A835" si="129">A771+1</f>
        <v>771</v>
      </c>
      <c r="C772" s="8" t="s">
        <v>17</v>
      </c>
      <c r="D772" s="2">
        <v>43111</v>
      </c>
      <c r="E772" s="3">
        <f>80000/100000</f>
        <v>0.8</v>
      </c>
      <c r="F772" t="s">
        <v>24</v>
      </c>
      <c r="G772" t="s">
        <v>25</v>
      </c>
      <c r="H772" t="s">
        <v>26</v>
      </c>
      <c r="I772" s="6" t="s">
        <v>600</v>
      </c>
      <c r="J772" s="61" t="s">
        <v>22</v>
      </c>
      <c r="L772" s="5" t="str">
        <f t="shared" si="123"/>
        <v>00771</v>
      </c>
      <c r="M772" s="47" t="str">
        <f t="shared" si="124"/>
        <v>11 de enero de 2018</v>
      </c>
      <c r="N772" s="323">
        <f t="shared" si="128"/>
        <v>11</v>
      </c>
      <c r="O772" s="25">
        <f t="shared" si="125"/>
        <v>43101</v>
      </c>
      <c r="P772" s="5" t="str">
        <f t="shared" si="126"/>
        <v>0,80</v>
      </c>
      <c r="Q772" s="4" t="e">
        <f t="shared" ca="1" si="127"/>
        <v>#NAME?</v>
      </c>
    </row>
    <row r="773" spans="1:17">
      <c r="A773" s="1">
        <f t="shared" si="129"/>
        <v>772</v>
      </c>
      <c r="C773" s="8" t="s">
        <v>17</v>
      </c>
      <c r="D773" s="2">
        <v>43112</v>
      </c>
      <c r="E773" s="3">
        <f>160000/100000</f>
        <v>1.6</v>
      </c>
      <c r="F773" t="s">
        <v>66</v>
      </c>
      <c r="G773" t="s">
        <v>67</v>
      </c>
      <c r="H773" t="s">
        <v>68</v>
      </c>
      <c r="I773" s="6" t="s">
        <v>608</v>
      </c>
      <c r="J773" s="61" t="s">
        <v>22</v>
      </c>
      <c r="L773" s="5" t="str">
        <f t="shared" si="123"/>
        <v>00772</v>
      </c>
      <c r="M773" s="47" t="str">
        <f t="shared" si="124"/>
        <v>12 de enero de 2018</v>
      </c>
      <c r="N773" s="323">
        <f t="shared" si="128"/>
        <v>12</v>
      </c>
      <c r="O773" s="25">
        <f t="shared" si="125"/>
        <v>43101</v>
      </c>
      <c r="P773" s="5" t="str">
        <f t="shared" si="126"/>
        <v>1,60</v>
      </c>
      <c r="Q773" s="4" t="e">
        <f t="shared" ca="1" si="127"/>
        <v>#NAME?</v>
      </c>
    </row>
    <row r="774" spans="1:17">
      <c r="A774" s="1">
        <f t="shared" si="129"/>
        <v>773</v>
      </c>
      <c r="C774" s="8" t="s">
        <v>17</v>
      </c>
      <c r="D774" s="2">
        <v>43113</v>
      </c>
      <c r="E774" s="3">
        <f>80000/100000</f>
        <v>0.8</v>
      </c>
      <c r="F774" t="s">
        <v>103</v>
      </c>
      <c r="G774" t="s">
        <v>104</v>
      </c>
      <c r="H774" t="s">
        <v>105</v>
      </c>
      <c r="I774" s="6" t="s">
        <v>600</v>
      </c>
      <c r="J774" s="61" t="s">
        <v>22</v>
      </c>
      <c r="L774" s="5" t="str">
        <f t="shared" si="123"/>
        <v>00773</v>
      </c>
      <c r="M774" s="47" t="str">
        <f t="shared" si="124"/>
        <v>13 de enero de 2018</v>
      </c>
      <c r="N774" s="323">
        <f t="shared" si="128"/>
        <v>13</v>
      </c>
      <c r="O774" s="25">
        <f t="shared" si="125"/>
        <v>43101</v>
      </c>
      <c r="P774" s="5" t="str">
        <f t="shared" si="126"/>
        <v>0,80</v>
      </c>
      <c r="Q774" s="4" t="e">
        <f t="shared" ca="1" si="127"/>
        <v>#NAME?</v>
      </c>
    </row>
    <row r="775" spans="1:17">
      <c r="A775" s="1">
        <f t="shared" si="129"/>
        <v>774</v>
      </c>
      <c r="C775" s="8" t="s">
        <v>17</v>
      </c>
      <c r="D775" s="2">
        <v>43114</v>
      </c>
      <c r="E775" s="3">
        <f>100000/100000</f>
        <v>1</v>
      </c>
      <c r="F775" t="s">
        <v>594</v>
      </c>
      <c r="G775" t="s">
        <v>595</v>
      </c>
      <c r="H775" t="s">
        <v>596</v>
      </c>
      <c r="I775" s="6" t="s">
        <v>609</v>
      </c>
      <c r="J775" s="61" t="s">
        <v>22</v>
      </c>
      <c r="L775" s="5" t="str">
        <f t="shared" si="123"/>
        <v>00774</v>
      </c>
      <c r="M775" s="47" t="str">
        <f t="shared" si="124"/>
        <v>14 de enero de 2018</v>
      </c>
      <c r="N775" s="323">
        <f t="shared" si="128"/>
        <v>14</v>
      </c>
      <c r="O775" s="25">
        <f t="shared" si="125"/>
        <v>43101</v>
      </c>
      <c r="P775" s="5" t="str">
        <f t="shared" si="126"/>
        <v>1,00</v>
      </c>
      <c r="Q775" s="4" t="e">
        <f t="shared" ca="1" si="127"/>
        <v>#NAME?</v>
      </c>
    </row>
    <row r="776" spans="1:17">
      <c r="A776" s="1">
        <f t="shared" si="129"/>
        <v>775</v>
      </c>
      <c r="C776" s="8" t="s">
        <v>17</v>
      </c>
      <c r="D776" s="2">
        <v>43116</v>
      </c>
      <c r="E776" s="3">
        <f>40000/100000</f>
        <v>0.4</v>
      </c>
      <c r="F776" t="s">
        <v>130</v>
      </c>
      <c r="G776" t="s">
        <v>131</v>
      </c>
      <c r="H776" t="s">
        <v>132</v>
      </c>
      <c r="I776" s="6" t="s">
        <v>601</v>
      </c>
      <c r="J776" s="61" t="s">
        <v>22</v>
      </c>
      <c r="L776" s="5" t="str">
        <f t="shared" si="123"/>
        <v>00775</v>
      </c>
      <c r="M776" s="47" t="str">
        <f t="shared" si="124"/>
        <v>16 de enero de 2018</v>
      </c>
      <c r="N776" s="323">
        <f t="shared" si="128"/>
        <v>16</v>
      </c>
      <c r="O776" s="25">
        <f t="shared" si="125"/>
        <v>43101</v>
      </c>
      <c r="P776" s="5" t="str">
        <f t="shared" si="126"/>
        <v>0,40</v>
      </c>
      <c r="Q776" s="4" t="e">
        <f t="shared" ca="1" si="127"/>
        <v>#NAME?</v>
      </c>
    </row>
    <row r="777" spans="1:17">
      <c r="A777" s="1">
        <f t="shared" si="129"/>
        <v>776</v>
      </c>
      <c r="C777" s="8" t="s">
        <v>17</v>
      </c>
      <c r="D777" s="2">
        <v>43117</v>
      </c>
      <c r="E777" s="3">
        <f>80000/100000</f>
        <v>0.8</v>
      </c>
      <c r="F777" t="s">
        <v>122</v>
      </c>
      <c r="G777" t="s">
        <v>123</v>
      </c>
      <c r="H777" t="s">
        <v>124</v>
      </c>
      <c r="I777" s="6" t="s">
        <v>600</v>
      </c>
      <c r="J777" s="61" t="s">
        <v>22</v>
      </c>
      <c r="L777" s="5" t="str">
        <f t="shared" si="123"/>
        <v>00776</v>
      </c>
      <c r="M777" s="47" t="str">
        <f t="shared" si="124"/>
        <v>17 de enero de 2018</v>
      </c>
      <c r="N777" s="323">
        <f t="shared" si="128"/>
        <v>17</v>
      </c>
      <c r="O777" s="25">
        <f t="shared" si="125"/>
        <v>43101</v>
      </c>
      <c r="P777" s="5" t="str">
        <f t="shared" si="126"/>
        <v>0,80</v>
      </c>
      <c r="Q777" s="4" t="e">
        <f t="shared" ca="1" si="127"/>
        <v>#NAME?</v>
      </c>
    </row>
    <row r="778" spans="1:17">
      <c r="A778" s="1">
        <f t="shared" si="129"/>
        <v>777</v>
      </c>
      <c r="C778" s="8" t="s">
        <v>17</v>
      </c>
      <c r="D778" s="2">
        <v>43118</v>
      </c>
      <c r="E778" s="3">
        <f>80000/100000</f>
        <v>0.8</v>
      </c>
      <c r="F778" t="s">
        <v>219</v>
      </c>
      <c r="G778" t="s">
        <v>220</v>
      </c>
      <c r="H778" t="s">
        <v>221</v>
      </c>
      <c r="I778" s="6" t="s">
        <v>600</v>
      </c>
      <c r="J778" s="61" t="s">
        <v>22</v>
      </c>
      <c r="L778" s="5" t="str">
        <f t="shared" si="123"/>
        <v>00777</v>
      </c>
      <c r="M778" s="47" t="str">
        <f t="shared" si="124"/>
        <v>18 de enero de 2018</v>
      </c>
      <c r="N778" s="323">
        <f t="shared" si="128"/>
        <v>18</v>
      </c>
      <c r="O778" s="25">
        <f t="shared" si="125"/>
        <v>43101</v>
      </c>
      <c r="P778" s="5" t="str">
        <f t="shared" si="126"/>
        <v>0,80</v>
      </c>
      <c r="Q778" s="4" t="e">
        <f t="shared" ca="1" si="127"/>
        <v>#NAME?</v>
      </c>
    </row>
    <row r="779" spans="1:17">
      <c r="A779" s="1">
        <f t="shared" si="129"/>
        <v>778</v>
      </c>
      <c r="C779" s="8" t="s">
        <v>17</v>
      </c>
      <c r="D779" s="2">
        <v>43118</v>
      </c>
      <c r="E779" s="3">
        <f>40000/100000</f>
        <v>0.4</v>
      </c>
      <c r="F779" t="s">
        <v>401</v>
      </c>
      <c r="G779" t="s">
        <v>402</v>
      </c>
      <c r="H779" t="s">
        <v>403</v>
      </c>
      <c r="I779" s="6" t="s">
        <v>601</v>
      </c>
      <c r="J779" s="61" t="s">
        <v>22</v>
      </c>
      <c r="L779" s="5" t="str">
        <f t="shared" si="123"/>
        <v>00778</v>
      </c>
      <c r="M779" s="47" t="str">
        <f t="shared" si="124"/>
        <v>18 de enero de 2018</v>
      </c>
      <c r="N779" s="323">
        <f t="shared" si="128"/>
        <v>18</v>
      </c>
      <c r="O779" s="25">
        <f t="shared" si="125"/>
        <v>43101</v>
      </c>
      <c r="P779" s="5" t="str">
        <f t="shared" si="126"/>
        <v>0,40</v>
      </c>
      <c r="Q779" s="4" t="e">
        <f t="shared" ca="1" si="127"/>
        <v>#NAME?</v>
      </c>
    </row>
    <row r="780" spans="1:17" ht="15.75" thickBot="1">
      <c r="A780" s="1">
        <f t="shared" si="129"/>
        <v>779</v>
      </c>
      <c r="C780" s="8" t="s">
        <v>17</v>
      </c>
      <c r="D780" s="2">
        <v>43118</v>
      </c>
      <c r="E780" s="3">
        <f>80000/100000</f>
        <v>0.8</v>
      </c>
      <c r="F780" t="s">
        <v>36</v>
      </c>
      <c r="G780" t="s">
        <v>37</v>
      </c>
      <c r="H780" t="s">
        <v>38</v>
      </c>
      <c r="I780" s="6" t="s">
        <v>600</v>
      </c>
      <c r="J780" s="61" t="s">
        <v>22</v>
      </c>
      <c r="L780" s="5" t="str">
        <f t="shared" si="123"/>
        <v>00779</v>
      </c>
      <c r="M780" s="47" t="str">
        <f t="shared" si="124"/>
        <v>18 de enero de 2018</v>
      </c>
      <c r="N780" s="323">
        <f t="shared" si="128"/>
        <v>18</v>
      </c>
      <c r="O780" s="25">
        <f t="shared" si="125"/>
        <v>43101</v>
      </c>
      <c r="P780" s="5" t="str">
        <f t="shared" si="126"/>
        <v>0,80</v>
      </c>
      <c r="Q780" s="4" t="e">
        <f t="shared" ca="1" si="127"/>
        <v>#NAME?</v>
      </c>
    </row>
    <row r="781" spans="1:17" ht="15.75" thickBot="1">
      <c r="A781" s="1">
        <f t="shared" si="129"/>
        <v>780</v>
      </c>
      <c r="C781" s="8" t="s">
        <v>17</v>
      </c>
      <c r="D781" s="2">
        <v>43118</v>
      </c>
      <c r="E781" s="3">
        <f>80000/100000+20000/100000</f>
        <v>1</v>
      </c>
      <c r="F781" t="s">
        <v>280</v>
      </c>
      <c r="G781" s="18" t="s">
        <v>58</v>
      </c>
      <c r="H781" t="s">
        <v>282</v>
      </c>
      <c r="I781" s="6" t="s">
        <v>610</v>
      </c>
      <c r="J781" s="61" t="s">
        <v>22</v>
      </c>
      <c r="L781" s="5" t="str">
        <f t="shared" si="123"/>
        <v>00780</v>
      </c>
      <c r="M781" s="47" t="str">
        <f t="shared" si="124"/>
        <v>18 de enero de 2018</v>
      </c>
      <c r="N781" s="323">
        <f t="shared" si="128"/>
        <v>18</v>
      </c>
      <c r="O781" s="25">
        <f t="shared" si="125"/>
        <v>43101</v>
      </c>
      <c r="P781" s="5" t="str">
        <f t="shared" si="126"/>
        <v>1,00</v>
      </c>
      <c r="Q781" s="4" t="e">
        <f t="shared" ca="1" si="127"/>
        <v>#NAME?</v>
      </c>
    </row>
    <row r="782" spans="1:17">
      <c r="A782" s="1">
        <f t="shared" si="129"/>
        <v>781</v>
      </c>
      <c r="C782" s="8" t="s">
        <v>17</v>
      </c>
      <c r="D782" s="2">
        <v>43118</v>
      </c>
      <c r="E782" s="3">
        <f>80000/100000</f>
        <v>0.8</v>
      </c>
      <c r="F782" t="s">
        <v>181</v>
      </c>
      <c r="G782" t="s">
        <v>182</v>
      </c>
      <c r="H782" t="s">
        <v>183</v>
      </c>
      <c r="I782" s="6" t="s">
        <v>600</v>
      </c>
      <c r="J782" s="61" t="s">
        <v>22</v>
      </c>
      <c r="L782" s="5" t="str">
        <f t="shared" si="123"/>
        <v>00781</v>
      </c>
      <c r="M782" s="47" t="str">
        <f t="shared" si="124"/>
        <v>18 de enero de 2018</v>
      </c>
      <c r="N782" s="323">
        <f t="shared" si="128"/>
        <v>18</v>
      </c>
      <c r="O782" s="25">
        <f t="shared" si="125"/>
        <v>43101</v>
      </c>
      <c r="P782" s="5" t="str">
        <f t="shared" si="126"/>
        <v>0,80</v>
      </c>
      <c r="Q782" s="4" t="e">
        <f t="shared" ca="1" si="127"/>
        <v>#NAME?</v>
      </c>
    </row>
    <row r="783" spans="1:17">
      <c r="A783" s="178">
        <f t="shared" si="129"/>
        <v>782</v>
      </c>
      <c r="C783" s="8" t="s">
        <v>17</v>
      </c>
      <c r="D783" s="2">
        <v>43118</v>
      </c>
      <c r="E783" s="3">
        <f>80000/100000</f>
        <v>0.8</v>
      </c>
      <c r="F783" t="s">
        <v>438</v>
      </c>
      <c r="G783" t="s">
        <v>439</v>
      </c>
      <c r="H783" t="s">
        <v>440</v>
      </c>
      <c r="I783" s="6" t="s">
        <v>611</v>
      </c>
      <c r="J783" s="61" t="s">
        <v>22</v>
      </c>
      <c r="L783" s="5" t="str">
        <f t="shared" si="123"/>
        <v>00782</v>
      </c>
      <c r="M783" s="47" t="str">
        <f t="shared" si="124"/>
        <v>18 de enero de 2018</v>
      </c>
      <c r="N783" s="323">
        <f t="shared" si="128"/>
        <v>18</v>
      </c>
      <c r="O783" s="25">
        <f t="shared" si="125"/>
        <v>43101</v>
      </c>
      <c r="P783" s="5" t="str">
        <f t="shared" si="126"/>
        <v>0,80</v>
      </c>
      <c r="Q783" s="4" t="e">
        <f t="shared" ca="1" si="127"/>
        <v>#NAME?</v>
      </c>
    </row>
    <row r="784" spans="1:17">
      <c r="A784" s="1">
        <f t="shared" si="129"/>
        <v>783</v>
      </c>
      <c r="C784" s="8" t="s">
        <v>17</v>
      </c>
      <c r="D784" s="2">
        <v>43118</v>
      </c>
      <c r="E784" s="3">
        <f>35000/100000</f>
        <v>0.35</v>
      </c>
      <c r="F784" t="s">
        <v>48</v>
      </c>
      <c r="G784" t="s">
        <v>49</v>
      </c>
      <c r="H784" t="s">
        <v>50</v>
      </c>
      <c r="I784" s="6" t="s">
        <v>601</v>
      </c>
      <c r="J784" s="61" t="s">
        <v>22</v>
      </c>
      <c r="L784" s="5" t="str">
        <f t="shared" si="123"/>
        <v>00783</v>
      </c>
      <c r="M784" s="47" t="str">
        <f t="shared" si="124"/>
        <v>18 de enero de 2018</v>
      </c>
      <c r="N784" s="323">
        <f t="shared" si="128"/>
        <v>18</v>
      </c>
      <c r="O784" s="25">
        <f t="shared" si="125"/>
        <v>43101</v>
      </c>
      <c r="P784" s="5" t="str">
        <f t="shared" si="126"/>
        <v>0,35</v>
      </c>
      <c r="Q784" s="4" t="e">
        <f t="shared" ca="1" si="127"/>
        <v>#NAME?</v>
      </c>
    </row>
    <row r="785" spans="1:17">
      <c r="A785" s="1">
        <f t="shared" si="129"/>
        <v>784</v>
      </c>
      <c r="C785" s="8" t="s">
        <v>17</v>
      </c>
      <c r="D785" s="2">
        <v>43118</v>
      </c>
      <c r="E785" s="3">
        <f>80000/100000</f>
        <v>0.8</v>
      </c>
      <c r="F785" t="s">
        <v>201</v>
      </c>
      <c r="G785" t="s">
        <v>202</v>
      </c>
      <c r="H785" t="s">
        <v>203</v>
      </c>
      <c r="I785" s="6" t="s">
        <v>600</v>
      </c>
      <c r="J785" s="61" t="s">
        <v>22</v>
      </c>
      <c r="L785" s="5" t="str">
        <f t="shared" si="123"/>
        <v>00784</v>
      </c>
      <c r="M785" s="47" t="str">
        <f t="shared" si="124"/>
        <v>18 de enero de 2018</v>
      </c>
      <c r="N785" s="323">
        <f t="shared" si="128"/>
        <v>18</v>
      </c>
      <c r="O785" s="25">
        <f t="shared" si="125"/>
        <v>43101</v>
      </c>
      <c r="P785" s="5" t="str">
        <f t="shared" si="126"/>
        <v>0,80</v>
      </c>
      <c r="Q785" s="4" t="e">
        <f t="shared" ca="1" si="127"/>
        <v>#NAME?</v>
      </c>
    </row>
    <row r="786" spans="1:17">
      <c r="A786" s="1">
        <f t="shared" si="129"/>
        <v>785</v>
      </c>
      <c r="C786" s="8" t="s">
        <v>17</v>
      </c>
      <c r="D786" s="2">
        <v>43118</v>
      </c>
      <c r="E786" s="3">
        <f>80000/100000</f>
        <v>0.8</v>
      </c>
      <c r="F786" t="s">
        <v>90</v>
      </c>
      <c r="G786" t="s">
        <v>91</v>
      </c>
      <c r="H786" t="s">
        <v>92</v>
      </c>
      <c r="I786" s="6" t="s">
        <v>600</v>
      </c>
      <c r="J786" s="61" t="s">
        <v>22</v>
      </c>
      <c r="L786" s="5" t="str">
        <f t="shared" si="123"/>
        <v>00785</v>
      </c>
      <c r="M786" s="47" t="str">
        <f t="shared" si="124"/>
        <v>18 de enero de 2018</v>
      </c>
      <c r="N786" s="323">
        <f t="shared" si="128"/>
        <v>18</v>
      </c>
      <c r="O786" s="25">
        <f t="shared" si="125"/>
        <v>43101</v>
      </c>
      <c r="P786" s="5" t="str">
        <f t="shared" si="126"/>
        <v>0,80</v>
      </c>
      <c r="Q786" s="4" t="e">
        <f t="shared" ca="1" si="127"/>
        <v>#NAME?</v>
      </c>
    </row>
    <row r="787" spans="1:17">
      <c r="A787" s="1">
        <f t="shared" si="129"/>
        <v>786</v>
      </c>
      <c r="C787" s="8" t="s">
        <v>17</v>
      </c>
      <c r="D787" s="2">
        <v>43119</v>
      </c>
      <c r="E787" s="3">
        <f>80000/100000</f>
        <v>0.8</v>
      </c>
      <c r="F787" t="s">
        <v>230</v>
      </c>
      <c r="G787" t="s">
        <v>231</v>
      </c>
      <c r="H787" t="s">
        <v>232</v>
      </c>
      <c r="I787" s="6" t="s">
        <v>600</v>
      </c>
      <c r="J787" s="61" t="s">
        <v>22</v>
      </c>
      <c r="L787" s="5" t="str">
        <f t="shared" si="123"/>
        <v>00786</v>
      </c>
      <c r="M787" s="47" t="str">
        <f t="shared" si="124"/>
        <v>19 de enero de 2018</v>
      </c>
      <c r="N787" s="323">
        <f t="shared" si="128"/>
        <v>19</v>
      </c>
      <c r="O787" s="25">
        <f t="shared" si="125"/>
        <v>43101</v>
      </c>
      <c r="P787" s="5" t="str">
        <f t="shared" si="126"/>
        <v>0,80</v>
      </c>
      <c r="Q787" s="4" t="e">
        <f t="shared" ca="1" si="127"/>
        <v>#NAME?</v>
      </c>
    </row>
    <row r="788" spans="1:17">
      <c r="A788" s="1">
        <f t="shared" si="129"/>
        <v>787</v>
      </c>
      <c r="C788" s="8" t="s">
        <v>17</v>
      </c>
      <c r="D788" s="2">
        <v>43119</v>
      </c>
      <c r="E788" s="3">
        <f>280000/100000</f>
        <v>2.8</v>
      </c>
      <c r="F788" t="s">
        <v>612</v>
      </c>
      <c r="G788" t="s">
        <v>613</v>
      </c>
      <c r="H788" t="s">
        <v>614</v>
      </c>
      <c r="I788" s="6" t="s">
        <v>615</v>
      </c>
      <c r="J788" s="61" t="s">
        <v>22</v>
      </c>
      <c r="L788" s="5" t="str">
        <f t="shared" si="123"/>
        <v>00787</v>
      </c>
      <c r="M788" s="47" t="str">
        <f t="shared" si="124"/>
        <v>19 de enero de 2018</v>
      </c>
      <c r="N788" s="323">
        <f t="shared" si="128"/>
        <v>19</v>
      </c>
      <c r="O788" s="25">
        <f t="shared" si="125"/>
        <v>43101</v>
      </c>
      <c r="P788" s="5" t="str">
        <f t="shared" ref="P788:P793" si="130">TEXT(E788,"#.##0,00")</f>
        <v>2,80</v>
      </c>
      <c r="Q788" s="4" t="e">
        <f t="shared" ref="Q788:Q793" ca="1" si="131">CONVERTIRNUM(E788)</f>
        <v>#NAME?</v>
      </c>
    </row>
    <row r="789" spans="1:17">
      <c r="A789" s="1">
        <f t="shared" si="129"/>
        <v>788</v>
      </c>
      <c r="C789" s="8" t="s">
        <v>17</v>
      </c>
      <c r="D789" s="2">
        <v>43119</v>
      </c>
      <c r="E789" s="3">
        <f>40000/100000</f>
        <v>0.4</v>
      </c>
      <c r="F789" t="s">
        <v>167</v>
      </c>
      <c r="G789" t="s">
        <v>168</v>
      </c>
      <c r="H789" t="s">
        <v>169</v>
      </c>
      <c r="I789" s="6" t="s">
        <v>601</v>
      </c>
      <c r="J789" s="61" t="s">
        <v>22</v>
      </c>
      <c r="L789" s="5" t="str">
        <f t="shared" si="123"/>
        <v>00788</v>
      </c>
      <c r="M789" s="47" t="str">
        <f t="shared" si="124"/>
        <v>19 de enero de 2018</v>
      </c>
      <c r="N789" s="323">
        <f t="shared" si="128"/>
        <v>19</v>
      </c>
      <c r="O789" s="25">
        <f t="shared" si="125"/>
        <v>43101</v>
      </c>
      <c r="P789" s="5" t="str">
        <f t="shared" si="130"/>
        <v>0,40</v>
      </c>
      <c r="Q789" s="4" t="e">
        <f t="shared" ca="1" si="131"/>
        <v>#NAME?</v>
      </c>
    </row>
    <row r="790" spans="1:17" ht="15.75" thickBot="1">
      <c r="A790" s="1">
        <f t="shared" si="129"/>
        <v>789</v>
      </c>
      <c r="C790" s="8" t="s">
        <v>17</v>
      </c>
      <c r="D790" s="2">
        <v>43122</v>
      </c>
      <c r="E790" s="3">
        <f>80000/100000</f>
        <v>0.8</v>
      </c>
      <c r="F790" t="s">
        <v>558</v>
      </c>
      <c r="G790" t="s">
        <v>559</v>
      </c>
      <c r="H790" t="s">
        <v>560</v>
      </c>
      <c r="I790" s="6" t="s">
        <v>616</v>
      </c>
      <c r="J790" s="61" t="s">
        <v>22</v>
      </c>
      <c r="L790" s="5" t="str">
        <f t="shared" si="123"/>
        <v>00789</v>
      </c>
      <c r="M790" s="47" t="str">
        <f t="shared" si="124"/>
        <v>22 de enero de 2018</v>
      </c>
      <c r="N790" s="323">
        <f t="shared" si="128"/>
        <v>22</v>
      </c>
      <c r="O790" s="25">
        <f t="shared" si="125"/>
        <v>43101</v>
      </c>
      <c r="P790" s="5" t="str">
        <f t="shared" si="130"/>
        <v>0,80</v>
      </c>
      <c r="Q790" s="4" t="e">
        <f t="shared" ca="1" si="131"/>
        <v>#NAME?</v>
      </c>
    </row>
    <row r="791" spans="1:17" ht="15.75" thickBot="1">
      <c r="A791" s="1">
        <f t="shared" si="129"/>
        <v>790</v>
      </c>
      <c r="C791" s="8" t="s">
        <v>17</v>
      </c>
      <c r="D791" s="2">
        <v>43122</v>
      </c>
      <c r="E791" s="3">
        <f>80000/100000</f>
        <v>0.8</v>
      </c>
      <c r="F791" t="s">
        <v>319</v>
      </c>
      <c r="G791" s="18" t="s">
        <v>58</v>
      </c>
      <c r="H791" t="s">
        <v>320</v>
      </c>
      <c r="I791" s="6" t="s">
        <v>600</v>
      </c>
      <c r="J791" s="61" t="s">
        <v>22</v>
      </c>
      <c r="L791" s="5" t="str">
        <f t="shared" si="123"/>
        <v>00790</v>
      </c>
      <c r="M791" s="47" t="str">
        <f t="shared" si="124"/>
        <v>22 de enero de 2018</v>
      </c>
      <c r="N791" s="323">
        <f t="shared" si="128"/>
        <v>22</v>
      </c>
      <c r="O791" s="25">
        <f t="shared" si="125"/>
        <v>43101</v>
      </c>
      <c r="P791" s="5" t="str">
        <f t="shared" si="130"/>
        <v>0,80</v>
      </c>
      <c r="Q791" s="4" t="e">
        <f t="shared" ca="1" si="131"/>
        <v>#NAME?</v>
      </c>
    </row>
    <row r="792" spans="1:17">
      <c r="A792" s="1">
        <f t="shared" si="129"/>
        <v>791</v>
      </c>
      <c r="C792" s="8" t="s">
        <v>17</v>
      </c>
      <c r="D792" s="2">
        <v>43122</v>
      </c>
      <c r="E792" s="3">
        <f>80000/100000</f>
        <v>0.8</v>
      </c>
      <c r="F792" t="s">
        <v>483</v>
      </c>
      <c r="G792" t="s">
        <v>484</v>
      </c>
      <c r="H792" t="s">
        <v>485</v>
      </c>
      <c r="I792" s="6" t="s">
        <v>600</v>
      </c>
      <c r="J792" s="61" t="s">
        <v>22</v>
      </c>
      <c r="L792" s="5" t="str">
        <f t="shared" si="123"/>
        <v>00791</v>
      </c>
      <c r="M792" s="47" t="str">
        <f t="shared" si="124"/>
        <v>22 de enero de 2018</v>
      </c>
      <c r="N792" s="323">
        <f t="shared" si="128"/>
        <v>22</v>
      </c>
      <c r="O792" s="25">
        <f t="shared" si="125"/>
        <v>43101</v>
      </c>
      <c r="P792" s="5" t="str">
        <f t="shared" si="130"/>
        <v>0,80</v>
      </c>
      <c r="Q792" s="4" t="e">
        <f t="shared" ca="1" si="131"/>
        <v>#NAME?</v>
      </c>
    </row>
    <row r="793" spans="1:17" ht="15.75" thickBot="1">
      <c r="A793" s="1">
        <f t="shared" si="129"/>
        <v>792</v>
      </c>
      <c r="C793" s="8" t="s">
        <v>17</v>
      </c>
      <c r="D793" s="2">
        <v>43122</v>
      </c>
      <c r="E793" s="3">
        <f>150000/100000</f>
        <v>1.5</v>
      </c>
      <c r="F793" t="s">
        <v>44</v>
      </c>
      <c r="G793" t="s">
        <v>45</v>
      </c>
      <c r="H793" t="s">
        <v>46</v>
      </c>
      <c r="I793" s="6" t="s">
        <v>617</v>
      </c>
      <c r="J793" s="61" t="s">
        <v>22</v>
      </c>
      <c r="L793" s="5" t="str">
        <f t="shared" si="123"/>
        <v>00792</v>
      </c>
      <c r="M793" s="47" t="str">
        <f t="shared" si="124"/>
        <v>22 de enero de 2018</v>
      </c>
      <c r="N793" s="323">
        <f t="shared" si="128"/>
        <v>22</v>
      </c>
      <c r="O793" s="25">
        <f t="shared" si="125"/>
        <v>43101</v>
      </c>
      <c r="P793" s="5" t="str">
        <f t="shared" si="130"/>
        <v>1,50</v>
      </c>
      <c r="Q793" s="4" t="e">
        <f t="shared" ca="1" si="131"/>
        <v>#NAME?</v>
      </c>
    </row>
    <row r="794" spans="1:17" ht="15.75" thickBot="1">
      <c r="A794" s="1">
        <f t="shared" si="129"/>
        <v>793</v>
      </c>
      <c r="C794" s="8" t="s">
        <v>17</v>
      </c>
      <c r="D794" s="2">
        <v>43115</v>
      </c>
      <c r="E794" s="3">
        <f>50000/100000</f>
        <v>0.5</v>
      </c>
      <c r="F794" t="s">
        <v>319</v>
      </c>
      <c r="G794" s="18" t="s">
        <v>58</v>
      </c>
      <c r="H794" t="s">
        <v>320</v>
      </c>
      <c r="I794" s="6" t="s">
        <v>575</v>
      </c>
      <c r="J794" s="61" t="s">
        <v>22</v>
      </c>
      <c r="L794" s="5" t="str">
        <f t="shared" si="123"/>
        <v>00793</v>
      </c>
      <c r="M794" s="47" t="str">
        <f t="shared" si="124"/>
        <v>15 de enero de 2018</v>
      </c>
      <c r="N794" s="323">
        <f t="shared" si="128"/>
        <v>15</v>
      </c>
      <c r="O794" s="25">
        <f t="shared" si="125"/>
        <v>43101</v>
      </c>
      <c r="P794" s="5" t="str">
        <f t="shared" ref="P794:P812" si="132">TEXT(E794,"#.##0,00")</f>
        <v>0,50</v>
      </c>
      <c r="Q794" s="4" t="e">
        <f t="shared" ref="Q794:Q812" ca="1" si="133">CONVERTIRNUM(E794)</f>
        <v>#NAME?</v>
      </c>
    </row>
    <row r="795" spans="1:17" ht="15.75" thickBot="1">
      <c r="A795" s="1">
        <f t="shared" si="129"/>
        <v>794</v>
      </c>
      <c r="C795" s="8" t="s">
        <v>17</v>
      </c>
      <c r="D795" s="2">
        <v>43123</v>
      </c>
      <c r="E795" s="3">
        <f>86400/100000</f>
        <v>0.86399999999999999</v>
      </c>
      <c r="F795" s="20" t="s">
        <v>57</v>
      </c>
      <c r="G795" s="18" t="s">
        <v>58</v>
      </c>
      <c r="H795" s="21" t="s">
        <v>59</v>
      </c>
      <c r="I795" s="6" t="s">
        <v>600</v>
      </c>
      <c r="J795" s="61" t="s">
        <v>22</v>
      </c>
      <c r="K795" s="22"/>
      <c r="L795" s="5" t="str">
        <f t="shared" si="123"/>
        <v>00794</v>
      </c>
      <c r="M795" s="47" t="str">
        <f t="shared" si="124"/>
        <v>23 de enero de 2018</v>
      </c>
      <c r="N795" s="323">
        <f t="shared" si="128"/>
        <v>23</v>
      </c>
      <c r="O795" s="25">
        <f t="shared" si="125"/>
        <v>43101</v>
      </c>
      <c r="P795" s="5" t="str">
        <f t="shared" si="132"/>
        <v>0,86</v>
      </c>
      <c r="Q795" s="4" t="e">
        <f t="shared" ca="1" si="133"/>
        <v>#NAME?</v>
      </c>
    </row>
    <row r="796" spans="1:17">
      <c r="A796" s="1">
        <f t="shared" si="129"/>
        <v>795</v>
      </c>
      <c r="C796" s="8" t="s">
        <v>17</v>
      </c>
      <c r="D796" s="2">
        <v>43123</v>
      </c>
      <c r="E796" s="3">
        <f>80000/100000</f>
        <v>0.8</v>
      </c>
      <c r="F796" t="s">
        <v>126</v>
      </c>
      <c r="G796" t="s">
        <v>127</v>
      </c>
      <c r="H796" t="s">
        <v>128</v>
      </c>
      <c r="I796" s="6" t="s">
        <v>600</v>
      </c>
      <c r="J796" s="61" t="s">
        <v>22</v>
      </c>
      <c r="L796" s="5" t="str">
        <f t="shared" si="123"/>
        <v>00795</v>
      </c>
      <c r="M796" s="47" t="str">
        <f t="shared" si="124"/>
        <v>23 de enero de 2018</v>
      </c>
      <c r="N796" s="323">
        <f t="shared" si="128"/>
        <v>23</v>
      </c>
      <c r="O796" s="25">
        <f t="shared" si="125"/>
        <v>43101</v>
      </c>
      <c r="P796" s="5" t="str">
        <f t="shared" si="132"/>
        <v>0,80</v>
      </c>
      <c r="Q796" s="4" t="e">
        <f t="shared" ca="1" si="133"/>
        <v>#NAME?</v>
      </c>
    </row>
    <row r="797" spans="1:17">
      <c r="A797" s="1">
        <f t="shared" si="129"/>
        <v>796</v>
      </c>
      <c r="C797" s="8" t="s">
        <v>17</v>
      </c>
      <c r="D797" s="2">
        <v>43124</v>
      </c>
      <c r="E797" s="3">
        <f>50000/100000</f>
        <v>0.5</v>
      </c>
      <c r="F797" t="s">
        <v>62</v>
      </c>
      <c r="G797" t="s">
        <v>63</v>
      </c>
      <c r="H797" t="s">
        <v>64</v>
      </c>
      <c r="I797" s="6" t="s">
        <v>575</v>
      </c>
      <c r="J797" s="61" t="s">
        <v>22</v>
      </c>
      <c r="L797" s="5" t="str">
        <f t="shared" si="123"/>
        <v>00796</v>
      </c>
      <c r="M797" s="47" t="str">
        <f t="shared" si="124"/>
        <v>24 de enero de 2018</v>
      </c>
      <c r="N797" s="323">
        <f t="shared" si="128"/>
        <v>24</v>
      </c>
      <c r="O797" s="25">
        <f t="shared" si="125"/>
        <v>43101</v>
      </c>
      <c r="P797" s="5" t="str">
        <f t="shared" si="132"/>
        <v>0,50</v>
      </c>
      <c r="Q797" s="4" t="e">
        <f t="shared" ca="1" si="133"/>
        <v>#NAME?</v>
      </c>
    </row>
    <row r="798" spans="1:17">
      <c r="A798" s="1">
        <f t="shared" si="129"/>
        <v>797</v>
      </c>
      <c r="C798" s="8" t="s">
        <v>17</v>
      </c>
      <c r="D798" s="2">
        <v>43083</v>
      </c>
      <c r="E798" s="3">
        <f>50000/100000</f>
        <v>0.5</v>
      </c>
      <c r="F798" t="s">
        <v>264</v>
      </c>
      <c r="G798" t="s">
        <v>265</v>
      </c>
      <c r="H798" t="s">
        <v>266</v>
      </c>
      <c r="I798" s="6" t="s">
        <v>575</v>
      </c>
      <c r="J798" s="61" t="s">
        <v>22</v>
      </c>
      <c r="L798" s="5" t="str">
        <f t="shared" si="123"/>
        <v>00797</v>
      </c>
      <c r="M798" s="47" t="str">
        <f t="shared" si="124"/>
        <v>14 de diciembre de 2017</v>
      </c>
      <c r="N798" s="323">
        <f t="shared" si="128"/>
        <v>14</v>
      </c>
      <c r="O798" s="25">
        <f t="shared" si="125"/>
        <v>43070</v>
      </c>
      <c r="P798" s="5" t="str">
        <f t="shared" si="132"/>
        <v>0,50</v>
      </c>
      <c r="Q798" s="4" t="e">
        <f t="shared" ca="1" si="133"/>
        <v>#NAME?</v>
      </c>
    </row>
    <row r="799" spans="1:17">
      <c r="A799" s="1">
        <f t="shared" si="129"/>
        <v>798</v>
      </c>
      <c r="C799" s="8" t="s">
        <v>17</v>
      </c>
      <c r="D799" s="2">
        <v>43123</v>
      </c>
      <c r="E799" s="3">
        <f>80000/100000</f>
        <v>0.8</v>
      </c>
      <c r="F799" t="s">
        <v>264</v>
      </c>
      <c r="G799" t="s">
        <v>265</v>
      </c>
      <c r="H799" t="s">
        <v>266</v>
      </c>
      <c r="I799" s="6" t="s">
        <v>600</v>
      </c>
      <c r="J799" s="61" t="s">
        <v>22</v>
      </c>
      <c r="L799" s="5" t="str">
        <f t="shared" si="123"/>
        <v>00798</v>
      </c>
      <c r="M799" s="47" t="str">
        <f t="shared" si="124"/>
        <v>23 de enero de 2018</v>
      </c>
      <c r="N799" s="323">
        <f t="shared" si="128"/>
        <v>23</v>
      </c>
      <c r="O799" s="25">
        <f t="shared" si="125"/>
        <v>43101</v>
      </c>
      <c r="P799" s="5" t="str">
        <f t="shared" si="132"/>
        <v>0,80</v>
      </c>
      <c r="Q799" s="4" t="e">
        <f t="shared" ca="1" si="133"/>
        <v>#NAME?</v>
      </c>
    </row>
    <row r="800" spans="1:17" ht="15.75" thickBot="1">
      <c r="A800" s="1">
        <f t="shared" si="129"/>
        <v>799</v>
      </c>
      <c r="C800" s="8" t="s">
        <v>17</v>
      </c>
      <c r="D800" s="2">
        <v>43124</v>
      </c>
      <c r="E800" s="3">
        <f>50000/100000+80000/100000</f>
        <v>1.3</v>
      </c>
      <c r="F800" t="s">
        <v>443</v>
      </c>
      <c r="G800" t="s">
        <v>444</v>
      </c>
      <c r="H800" t="s">
        <v>75</v>
      </c>
      <c r="I800" s="6" t="s">
        <v>583</v>
      </c>
      <c r="J800" s="61" t="s">
        <v>22</v>
      </c>
      <c r="L800" s="5" t="str">
        <f t="shared" si="123"/>
        <v>00799</v>
      </c>
      <c r="M800" s="47" t="str">
        <f t="shared" si="124"/>
        <v>24 de enero de 2018</v>
      </c>
      <c r="N800" s="323">
        <f t="shared" si="128"/>
        <v>24</v>
      </c>
      <c r="O800" s="25">
        <f t="shared" si="125"/>
        <v>43101</v>
      </c>
      <c r="P800" s="5" t="str">
        <f t="shared" si="132"/>
        <v>1,30</v>
      </c>
      <c r="Q800" s="4" t="e">
        <f t="shared" ca="1" si="133"/>
        <v>#NAME?</v>
      </c>
    </row>
    <row r="801" spans="1:17" ht="15.75" thickBot="1">
      <c r="A801" s="1">
        <f t="shared" si="129"/>
        <v>800</v>
      </c>
      <c r="C801" s="8" t="s">
        <v>17</v>
      </c>
      <c r="D801" s="2">
        <v>43124</v>
      </c>
      <c r="E801" s="3">
        <f>113600/100000</f>
        <v>1.1359999999999999</v>
      </c>
      <c r="F801" s="23" t="s">
        <v>422</v>
      </c>
      <c r="G801" s="18" t="s">
        <v>58</v>
      </c>
      <c r="H801" t="s">
        <v>423</v>
      </c>
      <c r="I801" s="6" t="s">
        <v>600</v>
      </c>
      <c r="J801" s="61" t="s">
        <v>22</v>
      </c>
      <c r="L801" s="5" t="str">
        <f t="shared" si="123"/>
        <v>00800</v>
      </c>
      <c r="M801" s="47" t="str">
        <f t="shared" si="124"/>
        <v>24 de enero de 2018</v>
      </c>
      <c r="N801" s="323">
        <f t="shared" si="128"/>
        <v>24</v>
      </c>
      <c r="O801" s="25">
        <f t="shared" si="125"/>
        <v>43101</v>
      </c>
      <c r="P801" s="5" t="str">
        <f t="shared" si="132"/>
        <v>1,14</v>
      </c>
      <c r="Q801" s="4" t="e">
        <f t="shared" ca="1" si="133"/>
        <v>#NAME?</v>
      </c>
    </row>
    <row r="802" spans="1:17" ht="15.75" thickBot="1">
      <c r="A802" s="1">
        <f t="shared" si="129"/>
        <v>801</v>
      </c>
      <c r="C802" s="8" t="s">
        <v>17</v>
      </c>
      <c r="D802" s="2">
        <v>43124</v>
      </c>
      <c r="E802" s="3">
        <f>60000/100000+100000/100000</f>
        <v>1.6</v>
      </c>
      <c r="F802" t="s">
        <v>100</v>
      </c>
      <c r="G802" t="s">
        <v>95</v>
      </c>
      <c r="H802" t="s">
        <v>101</v>
      </c>
      <c r="I802" s="6" t="s">
        <v>608</v>
      </c>
      <c r="J802" s="61" t="s">
        <v>22</v>
      </c>
      <c r="L802" s="5" t="str">
        <f t="shared" si="123"/>
        <v>00801</v>
      </c>
      <c r="M802" s="47" t="str">
        <f t="shared" si="124"/>
        <v>24 de enero de 2018</v>
      </c>
      <c r="N802" s="323">
        <f t="shared" si="128"/>
        <v>24</v>
      </c>
      <c r="O802" s="25">
        <f t="shared" si="125"/>
        <v>43101</v>
      </c>
      <c r="P802" s="5" t="str">
        <f t="shared" si="132"/>
        <v>1,60</v>
      </c>
      <c r="Q802" s="4" t="e">
        <f t="shared" ca="1" si="133"/>
        <v>#NAME?</v>
      </c>
    </row>
    <row r="803" spans="1:17" ht="15.75" thickBot="1">
      <c r="A803" s="1">
        <f t="shared" si="129"/>
        <v>802</v>
      </c>
      <c r="C803" s="8" t="s">
        <v>17</v>
      </c>
      <c r="D803" s="2">
        <v>43124</v>
      </c>
      <c r="E803" s="3">
        <f>100000/100000</f>
        <v>1</v>
      </c>
      <c r="F803" t="s">
        <v>259</v>
      </c>
      <c r="G803" s="18" t="s">
        <v>58</v>
      </c>
      <c r="H803" t="s">
        <v>261</v>
      </c>
      <c r="I803" s="6" t="s">
        <v>570</v>
      </c>
      <c r="J803" s="61" t="s">
        <v>22</v>
      </c>
      <c r="L803" s="5" t="str">
        <f t="shared" si="123"/>
        <v>00802</v>
      </c>
      <c r="M803" s="47" t="str">
        <f t="shared" si="124"/>
        <v>24 de enero de 2018</v>
      </c>
      <c r="N803" s="323">
        <f t="shared" si="128"/>
        <v>24</v>
      </c>
      <c r="O803" s="25">
        <f t="shared" si="125"/>
        <v>43101</v>
      </c>
      <c r="P803" s="5" t="str">
        <f t="shared" si="132"/>
        <v>1,00</v>
      </c>
      <c r="Q803" s="4" t="e">
        <f t="shared" ca="1" si="133"/>
        <v>#NAME?</v>
      </c>
    </row>
    <row r="804" spans="1:17" ht="15.75" thickBot="1">
      <c r="A804" s="1">
        <f t="shared" si="129"/>
        <v>803</v>
      </c>
      <c r="C804" s="8" t="s">
        <v>17</v>
      </c>
      <c r="D804" s="2">
        <v>43124</v>
      </c>
      <c r="E804" s="3">
        <f>20000/100000</f>
        <v>0.2</v>
      </c>
      <c r="F804" t="s">
        <v>397</v>
      </c>
      <c r="G804" s="48" t="s">
        <v>29</v>
      </c>
      <c r="H804" t="s">
        <v>398</v>
      </c>
      <c r="I804" s="6" t="s">
        <v>601</v>
      </c>
      <c r="J804" s="61" t="s">
        <v>22</v>
      </c>
      <c r="L804" s="5" t="str">
        <f t="shared" si="123"/>
        <v>00803</v>
      </c>
      <c r="M804" s="47" t="str">
        <f t="shared" si="124"/>
        <v>24 de enero de 2018</v>
      </c>
      <c r="N804" s="323">
        <f t="shared" si="128"/>
        <v>24</v>
      </c>
      <c r="O804" s="25">
        <f t="shared" si="125"/>
        <v>43101</v>
      </c>
      <c r="P804" s="5" t="str">
        <f t="shared" si="132"/>
        <v>0,20</v>
      </c>
      <c r="Q804" s="4" t="e">
        <f t="shared" ca="1" si="133"/>
        <v>#NAME?</v>
      </c>
    </row>
    <row r="805" spans="1:17">
      <c r="A805" s="1">
        <f t="shared" si="129"/>
        <v>804</v>
      </c>
      <c r="C805" s="8" t="s">
        <v>17</v>
      </c>
      <c r="D805" s="2">
        <v>43124</v>
      </c>
      <c r="E805" s="3">
        <f>50000/100000</f>
        <v>0.5</v>
      </c>
      <c r="F805" t="s">
        <v>28</v>
      </c>
      <c r="G805" t="s">
        <v>29</v>
      </c>
      <c r="H805" t="s">
        <v>30</v>
      </c>
      <c r="I805" s="6" t="s">
        <v>601</v>
      </c>
      <c r="J805" s="61" t="s">
        <v>22</v>
      </c>
      <c r="L805" s="5" t="str">
        <f t="shared" si="123"/>
        <v>00804</v>
      </c>
      <c r="M805" s="47" t="str">
        <f t="shared" si="124"/>
        <v>24 de enero de 2018</v>
      </c>
      <c r="N805" s="323">
        <f t="shared" si="128"/>
        <v>24</v>
      </c>
      <c r="O805" s="25">
        <f t="shared" si="125"/>
        <v>43101</v>
      </c>
      <c r="P805" s="5" t="str">
        <f t="shared" si="132"/>
        <v>0,50</v>
      </c>
      <c r="Q805" s="4" t="e">
        <f t="shared" ca="1" si="133"/>
        <v>#NAME?</v>
      </c>
    </row>
    <row r="806" spans="1:17" ht="15.75" thickBot="1">
      <c r="A806" s="1">
        <f t="shared" si="129"/>
        <v>805</v>
      </c>
      <c r="C806" s="8" t="s">
        <v>17</v>
      </c>
      <c r="D806" s="2">
        <v>43123</v>
      </c>
      <c r="E806" s="3">
        <f>30000/100000</f>
        <v>0.3</v>
      </c>
      <c r="F806" t="s">
        <v>80</v>
      </c>
      <c r="G806" t="s">
        <v>81</v>
      </c>
      <c r="H806" t="s">
        <v>82</v>
      </c>
      <c r="I806" s="6" t="s">
        <v>603</v>
      </c>
      <c r="J806" s="61" t="s">
        <v>22</v>
      </c>
      <c r="L806" s="5" t="str">
        <f t="shared" si="123"/>
        <v>00805</v>
      </c>
      <c r="M806" s="47" t="str">
        <f t="shared" si="124"/>
        <v>23 de enero de 2018</v>
      </c>
      <c r="N806" s="323">
        <f t="shared" si="128"/>
        <v>23</v>
      </c>
      <c r="O806" s="25">
        <f t="shared" si="125"/>
        <v>43101</v>
      </c>
      <c r="P806" s="5" t="str">
        <f t="shared" si="132"/>
        <v>0,30</v>
      </c>
      <c r="Q806" s="4" t="e">
        <f t="shared" ca="1" si="133"/>
        <v>#NAME?</v>
      </c>
    </row>
    <row r="807" spans="1:17" ht="15.75" thickBot="1">
      <c r="A807" s="1">
        <f t="shared" si="129"/>
        <v>806</v>
      </c>
      <c r="C807" s="8" t="s">
        <v>17</v>
      </c>
      <c r="D807" s="2">
        <v>43126</v>
      </c>
      <c r="E807" s="3">
        <f>100000/100000</f>
        <v>1</v>
      </c>
      <c r="F807" t="s">
        <v>177</v>
      </c>
      <c r="G807" s="18" t="s">
        <v>58</v>
      </c>
      <c r="H807" t="s">
        <v>179</v>
      </c>
      <c r="I807" s="6" t="s">
        <v>618</v>
      </c>
      <c r="J807" s="61" t="s">
        <v>22</v>
      </c>
      <c r="L807" s="5" t="str">
        <f t="shared" si="123"/>
        <v>00806</v>
      </c>
      <c r="M807" s="47" t="str">
        <f t="shared" si="124"/>
        <v>26 de enero de 2018</v>
      </c>
      <c r="N807" s="323">
        <f t="shared" si="128"/>
        <v>26</v>
      </c>
      <c r="O807" s="25">
        <f t="shared" si="125"/>
        <v>43101</v>
      </c>
      <c r="P807" s="5" t="str">
        <f t="shared" si="132"/>
        <v>1,00</v>
      </c>
      <c r="Q807" s="4" t="e">
        <f t="shared" ca="1" si="133"/>
        <v>#NAME?</v>
      </c>
    </row>
    <row r="808" spans="1:17">
      <c r="A808" s="1">
        <f t="shared" si="129"/>
        <v>807</v>
      </c>
      <c r="C808" s="8" t="s">
        <v>17</v>
      </c>
      <c r="D808" s="2">
        <v>43127</v>
      </c>
      <c r="E808" s="3">
        <f>80000/100000</f>
        <v>0.8</v>
      </c>
      <c r="F808" t="s">
        <v>134</v>
      </c>
      <c r="G808" t="s">
        <v>135</v>
      </c>
      <c r="H808" t="s">
        <v>136</v>
      </c>
      <c r="I808" s="6" t="s">
        <v>600</v>
      </c>
      <c r="J808" s="61" t="s">
        <v>22</v>
      </c>
      <c r="L808" s="5" t="str">
        <f t="shared" si="123"/>
        <v>00807</v>
      </c>
      <c r="M808" s="47" t="str">
        <f t="shared" si="124"/>
        <v>27 de enero de 2018</v>
      </c>
      <c r="N808" s="323">
        <f t="shared" si="128"/>
        <v>27</v>
      </c>
      <c r="O808" s="25">
        <f t="shared" si="125"/>
        <v>43101</v>
      </c>
      <c r="P808" s="5" t="str">
        <f t="shared" si="132"/>
        <v>0,80</v>
      </c>
      <c r="Q808" s="4" t="e">
        <f t="shared" ca="1" si="133"/>
        <v>#NAME?</v>
      </c>
    </row>
    <row r="809" spans="1:17">
      <c r="A809" s="1">
        <f t="shared" si="129"/>
        <v>808</v>
      </c>
      <c r="C809" s="8" t="s">
        <v>17</v>
      </c>
      <c r="D809" s="2">
        <v>43129</v>
      </c>
      <c r="E809" s="3">
        <f>110000/100000</f>
        <v>1.1000000000000001</v>
      </c>
      <c r="F809" t="s">
        <v>40</v>
      </c>
      <c r="G809" t="s">
        <v>41</v>
      </c>
      <c r="H809" t="s">
        <v>42</v>
      </c>
      <c r="I809" s="6" t="s">
        <v>619</v>
      </c>
      <c r="J809" s="61" t="s">
        <v>22</v>
      </c>
      <c r="L809" s="5" t="str">
        <f t="shared" si="123"/>
        <v>00808</v>
      </c>
      <c r="M809" s="47" t="str">
        <f t="shared" si="124"/>
        <v>29 de enero de 2018</v>
      </c>
      <c r="N809" s="323">
        <f t="shared" si="128"/>
        <v>29</v>
      </c>
      <c r="O809" s="25">
        <f t="shared" si="125"/>
        <v>43101</v>
      </c>
      <c r="P809" s="5" t="str">
        <f t="shared" si="132"/>
        <v>1,10</v>
      </c>
      <c r="Q809" s="4" t="e">
        <f t="shared" ca="1" si="133"/>
        <v>#NAME?</v>
      </c>
    </row>
    <row r="810" spans="1:17">
      <c r="A810" s="1">
        <f t="shared" si="129"/>
        <v>809</v>
      </c>
      <c r="C810" s="8" t="s">
        <v>17</v>
      </c>
      <c r="D810" s="2">
        <v>43129</v>
      </c>
      <c r="E810" s="3">
        <f>80000/100000</f>
        <v>0.8</v>
      </c>
      <c r="F810" t="s">
        <v>211</v>
      </c>
      <c r="G810" t="s">
        <v>212</v>
      </c>
      <c r="H810" t="s">
        <v>213</v>
      </c>
      <c r="I810" s="6" t="s">
        <v>600</v>
      </c>
      <c r="J810" s="61" t="s">
        <v>22</v>
      </c>
      <c r="L810" s="5" t="str">
        <f t="shared" si="123"/>
        <v>00809</v>
      </c>
      <c r="M810" s="47" t="str">
        <f t="shared" si="124"/>
        <v>29 de enero de 2018</v>
      </c>
      <c r="N810" s="323">
        <f t="shared" si="128"/>
        <v>29</v>
      </c>
      <c r="O810" s="25">
        <f t="shared" si="125"/>
        <v>43101</v>
      </c>
      <c r="P810" s="5" t="str">
        <f t="shared" si="132"/>
        <v>0,80</v>
      </c>
      <c r="Q810" s="4" t="e">
        <f t="shared" ca="1" si="133"/>
        <v>#NAME?</v>
      </c>
    </row>
    <row r="811" spans="1:17">
      <c r="A811" s="1">
        <f t="shared" si="129"/>
        <v>810</v>
      </c>
      <c r="C811" s="8" t="s">
        <v>17</v>
      </c>
      <c r="D811" s="2">
        <v>43130</v>
      </c>
      <c r="E811" s="3">
        <f>20000/100000</f>
        <v>0.2</v>
      </c>
      <c r="F811" t="s">
        <v>433</v>
      </c>
      <c r="G811" t="s">
        <v>434</v>
      </c>
      <c r="H811" t="s">
        <v>435</v>
      </c>
      <c r="I811" s="6" t="s">
        <v>609</v>
      </c>
      <c r="J811" s="61" t="s">
        <v>22</v>
      </c>
      <c r="L811" s="5" t="str">
        <f t="shared" si="123"/>
        <v>00810</v>
      </c>
      <c r="M811" s="47" t="str">
        <f t="shared" si="124"/>
        <v>30 de enero de 2018</v>
      </c>
      <c r="N811" s="323">
        <f t="shared" si="128"/>
        <v>30</v>
      </c>
      <c r="O811" s="25">
        <f t="shared" si="125"/>
        <v>43101</v>
      </c>
      <c r="P811" s="5" t="str">
        <f t="shared" si="132"/>
        <v>0,20</v>
      </c>
      <c r="Q811" s="4" t="e">
        <f t="shared" ca="1" si="133"/>
        <v>#NAME?</v>
      </c>
    </row>
    <row r="812" spans="1:17">
      <c r="A812" s="1">
        <f t="shared" si="129"/>
        <v>811</v>
      </c>
      <c r="C812" s="8" t="s">
        <v>17</v>
      </c>
      <c r="D812" s="2">
        <v>43128</v>
      </c>
      <c r="E812" s="3">
        <f>40000/100000</f>
        <v>0.4</v>
      </c>
      <c r="F812" t="s">
        <v>130</v>
      </c>
      <c r="G812" t="s">
        <v>131</v>
      </c>
      <c r="H812" t="s">
        <v>132</v>
      </c>
      <c r="I812" s="6" t="s">
        <v>587</v>
      </c>
      <c r="J812" s="61" t="s">
        <v>22</v>
      </c>
      <c r="L812" s="5" t="str">
        <f t="shared" si="123"/>
        <v>00811</v>
      </c>
      <c r="M812" s="47" t="str">
        <f t="shared" si="124"/>
        <v>28 de enero de 2018</v>
      </c>
      <c r="N812" s="323">
        <f t="shared" si="128"/>
        <v>28</v>
      </c>
      <c r="O812" s="25">
        <f t="shared" si="125"/>
        <v>43101</v>
      </c>
      <c r="P812" s="5" t="str">
        <f t="shared" si="132"/>
        <v>0,40</v>
      </c>
      <c r="Q812" s="4" t="e">
        <f t="shared" ca="1" si="133"/>
        <v>#NAME?</v>
      </c>
    </row>
    <row r="813" spans="1:17" ht="15.75" thickBot="1">
      <c r="A813" s="1">
        <f t="shared" si="129"/>
        <v>812</v>
      </c>
      <c r="C813" s="8" t="s">
        <v>17</v>
      </c>
      <c r="D813" s="2">
        <v>43132</v>
      </c>
      <c r="E813" s="3">
        <f>50000/100000+2*80000/100000</f>
        <v>2.1</v>
      </c>
      <c r="F813" t="s">
        <v>197</v>
      </c>
      <c r="G813" t="s">
        <v>198</v>
      </c>
      <c r="H813" t="s">
        <v>199</v>
      </c>
      <c r="I813" s="6" t="s">
        <v>620</v>
      </c>
      <c r="J813" s="61" t="s">
        <v>22</v>
      </c>
      <c r="L813" s="5" t="str">
        <f t="shared" si="123"/>
        <v>00812</v>
      </c>
      <c r="M813" s="47" t="str">
        <f t="shared" si="124"/>
        <v>01 de febrero de 2018</v>
      </c>
      <c r="N813" s="323">
        <f t="shared" si="128"/>
        <v>1</v>
      </c>
      <c r="O813" s="25">
        <f t="shared" si="125"/>
        <v>43132</v>
      </c>
      <c r="P813" s="5" t="str">
        <f t="shared" ref="P813:P840" si="134">TEXT(E813,"#.##0,00")</f>
        <v>2,10</v>
      </c>
      <c r="Q813" s="4" t="e">
        <f t="shared" ref="Q813:Q840" ca="1" si="135">CONVERTIRNUM(E813)</f>
        <v>#NAME?</v>
      </c>
    </row>
    <row r="814" spans="1:17" ht="15.75" thickBot="1">
      <c r="A814" s="1">
        <f t="shared" si="129"/>
        <v>813</v>
      </c>
      <c r="C814" s="8" t="s">
        <v>17</v>
      </c>
      <c r="D814" s="2">
        <v>43132</v>
      </c>
      <c r="E814" s="3">
        <f>30000/100000</f>
        <v>0.3</v>
      </c>
      <c r="F814" t="s">
        <v>303</v>
      </c>
      <c r="G814" s="18" t="s">
        <v>58</v>
      </c>
      <c r="H814" t="s">
        <v>304</v>
      </c>
      <c r="I814" s="6" t="s">
        <v>587</v>
      </c>
      <c r="J814" s="61" t="s">
        <v>22</v>
      </c>
      <c r="L814" s="5" t="str">
        <f t="shared" si="123"/>
        <v>00813</v>
      </c>
      <c r="M814" s="47" t="str">
        <f t="shared" si="124"/>
        <v>01 de febrero de 2018</v>
      </c>
      <c r="N814" s="323">
        <f t="shared" si="128"/>
        <v>1</v>
      </c>
      <c r="O814" s="25">
        <f t="shared" si="125"/>
        <v>43132</v>
      </c>
      <c r="P814" s="5" t="str">
        <f t="shared" si="134"/>
        <v>0,30</v>
      </c>
      <c r="Q814" s="4" t="e">
        <f t="shared" ca="1" si="135"/>
        <v>#NAME?</v>
      </c>
    </row>
    <row r="815" spans="1:17">
      <c r="A815" s="1">
        <f t="shared" si="129"/>
        <v>814</v>
      </c>
      <c r="C815" s="8" t="s">
        <v>17</v>
      </c>
      <c r="D815" s="2">
        <v>43132</v>
      </c>
      <c r="E815" s="3">
        <f>30000/100000+3*80000/100000</f>
        <v>2.6999999999999997</v>
      </c>
      <c r="F815" t="s">
        <v>407</v>
      </c>
      <c r="G815" t="s">
        <v>408</v>
      </c>
      <c r="H815" t="s">
        <v>409</v>
      </c>
      <c r="I815" s="6" t="s">
        <v>621</v>
      </c>
      <c r="J815" s="61" t="s">
        <v>22</v>
      </c>
      <c r="L815" s="5" t="str">
        <f t="shared" si="123"/>
        <v>00814</v>
      </c>
      <c r="M815" s="47" t="str">
        <f t="shared" si="124"/>
        <v>01 de febrero de 2018</v>
      </c>
      <c r="N815" s="323">
        <f t="shared" si="128"/>
        <v>1</v>
      </c>
      <c r="O815" s="25">
        <f t="shared" si="125"/>
        <v>43132</v>
      </c>
      <c r="P815" s="5" t="str">
        <f t="shared" si="134"/>
        <v>2,70</v>
      </c>
      <c r="Q815" s="4" t="e">
        <f t="shared" ca="1" si="135"/>
        <v>#NAME?</v>
      </c>
    </row>
    <row r="816" spans="1:17">
      <c r="A816" s="1">
        <f t="shared" si="129"/>
        <v>815</v>
      </c>
      <c r="C816" s="8" t="s">
        <v>17</v>
      </c>
      <c r="D816" s="2">
        <v>43132</v>
      </c>
      <c r="E816" s="3">
        <f>4*80000/100000</f>
        <v>3.2</v>
      </c>
      <c r="F816" t="s">
        <v>353</v>
      </c>
      <c r="G816" t="s">
        <v>354</v>
      </c>
      <c r="H816" t="s">
        <v>355</v>
      </c>
      <c r="I816" s="6" t="s">
        <v>622</v>
      </c>
      <c r="J816" s="61" t="s">
        <v>22</v>
      </c>
      <c r="L816" s="5" t="str">
        <f t="shared" si="123"/>
        <v>00815</v>
      </c>
      <c r="M816" s="47" t="str">
        <f t="shared" si="124"/>
        <v>01 de febrero de 2018</v>
      </c>
      <c r="N816" s="323">
        <f t="shared" si="128"/>
        <v>1</v>
      </c>
      <c r="O816" s="25">
        <f t="shared" si="125"/>
        <v>43132</v>
      </c>
      <c r="P816" s="5" t="str">
        <f t="shared" si="134"/>
        <v>3,20</v>
      </c>
      <c r="Q816" s="4" t="e">
        <f t="shared" ca="1" si="135"/>
        <v>#NAME?</v>
      </c>
    </row>
    <row r="817" spans="1:17">
      <c r="A817" s="1">
        <f t="shared" si="129"/>
        <v>816</v>
      </c>
      <c r="C817" s="8" t="s">
        <v>17</v>
      </c>
      <c r="D817" s="2">
        <v>43132</v>
      </c>
      <c r="E817" s="3">
        <f>50000/100000</f>
        <v>0.5</v>
      </c>
      <c r="F817" t="s">
        <v>118</v>
      </c>
      <c r="G817" t="s">
        <v>119</v>
      </c>
      <c r="H817" t="s">
        <v>120</v>
      </c>
      <c r="I817" s="6" t="s">
        <v>601</v>
      </c>
      <c r="J817" s="61" t="s">
        <v>22</v>
      </c>
      <c r="L817" s="5" t="str">
        <f t="shared" si="123"/>
        <v>00816</v>
      </c>
      <c r="M817" s="47" t="str">
        <f t="shared" si="124"/>
        <v>01 de febrero de 2018</v>
      </c>
      <c r="N817" s="323">
        <f t="shared" si="128"/>
        <v>1</v>
      </c>
      <c r="O817" s="25">
        <f t="shared" si="125"/>
        <v>43132</v>
      </c>
      <c r="P817" s="5" t="str">
        <f t="shared" si="134"/>
        <v>0,50</v>
      </c>
      <c r="Q817" s="4" t="e">
        <f t="shared" ca="1" si="135"/>
        <v>#NAME?</v>
      </c>
    </row>
    <row r="818" spans="1:17">
      <c r="A818" s="1">
        <f t="shared" si="129"/>
        <v>817</v>
      </c>
      <c r="C818" s="8" t="s">
        <v>17</v>
      </c>
      <c r="D818" s="2">
        <v>43133</v>
      </c>
      <c r="E818" s="3">
        <f>2*80000/100000</f>
        <v>1.6</v>
      </c>
      <c r="F818" t="s">
        <v>53</v>
      </c>
      <c r="G818" t="s">
        <v>54</v>
      </c>
      <c r="H818" t="s">
        <v>55</v>
      </c>
      <c r="I818" s="6" t="s">
        <v>608</v>
      </c>
      <c r="J818" s="61" t="s">
        <v>22</v>
      </c>
      <c r="L818" s="5" t="str">
        <f t="shared" si="123"/>
        <v>00817</v>
      </c>
      <c r="M818" s="47" t="str">
        <f t="shared" si="124"/>
        <v>02 de febrero de 2018</v>
      </c>
      <c r="N818" s="323">
        <f t="shared" si="128"/>
        <v>2</v>
      </c>
      <c r="O818" s="25">
        <f t="shared" si="125"/>
        <v>43132</v>
      </c>
      <c r="P818" s="5" t="str">
        <f t="shared" si="134"/>
        <v>1,60</v>
      </c>
      <c r="Q818" s="4" t="e">
        <f t="shared" ca="1" si="135"/>
        <v>#NAME?</v>
      </c>
    </row>
    <row r="819" spans="1:17">
      <c r="A819" s="1">
        <f t="shared" si="129"/>
        <v>818</v>
      </c>
      <c r="C819" s="8" t="s">
        <v>17</v>
      </c>
      <c r="D819" s="2">
        <v>43133</v>
      </c>
      <c r="E819" s="3">
        <f>2*80000/100000</f>
        <v>1.6</v>
      </c>
      <c r="F819" t="s">
        <v>248</v>
      </c>
      <c r="G819" t="s">
        <v>249</v>
      </c>
      <c r="H819" t="s">
        <v>250</v>
      </c>
      <c r="I819" s="6" t="s">
        <v>608</v>
      </c>
      <c r="J819" s="61" t="s">
        <v>22</v>
      </c>
      <c r="L819" s="5" t="str">
        <f t="shared" si="123"/>
        <v>00818</v>
      </c>
      <c r="M819" s="47" t="str">
        <f t="shared" si="124"/>
        <v>02 de febrero de 2018</v>
      </c>
      <c r="N819" s="323">
        <f t="shared" si="128"/>
        <v>2</v>
      </c>
      <c r="O819" s="25">
        <f t="shared" si="125"/>
        <v>43132</v>
      </c>
      <c r="P819" s="5" t="str">
        <f t="shared" si="134"/>
        <v>1,60</v>
      </c>
      <c r="Q819" s="4" t="e">
        <f t="shared" ca="1" si="135"/>
        <v>#NAME?</v>
      </c>
    </row>
    <row r="820" spans="1:17">
      <c r="A820" s="1">
        <f t="shared" si="129"/>
        <v>819</v>
      </c>
      <c r="C820" s="8" t="s">
        <v>17</v>
      </c>
      <c r="D820" s="2">
        <v>43136</v>
      </c>
      <c r="E820" s="3">
        <f>80000/100000</f>
        <v>0.8</v>
      </c>
      <c r="F820" t="s">
        <v>80</v>
      </c>
      <c r="G820" t="s">
        <v>81</v>
      </c>
      <c r="H820" t="s">
        <v>82</v>
      </c>
      <c r="I820" s="6" t="s">
        <v>616</v>
      </c>
      <c r="J820" s="61" t="s">
        <v>22</v>
      </c>
      <c r="L820" s="5" t="str">
        <f t="shared" si="123"/>
        <v>00819</v>
      </c>
      <c r="M820" s="47" t="str">
        <f t="shared" si="124"/>
        <v>05 de febrero de 2018</v>
      </c>
      <c r="N820" s="323">
        <f t="shared" si="128"/>
        <v>5</v>
      </c>
      <c r="O820" s="25">
        <f t="shared" si="125"/>
        <v>43132</v>
      </c>
      <c r="P820" s="5" t="str">
        <f t="shared" si="134"/>
        <v>0,80</v>
      </c>
      <c r="Q820" s="4" t="e">
        <f t="shared" ca="1" si="135"/>
        <v>#NAME?</v>
      </c>
    </row>
    <row r="821" spans="1:17">
      <c r="A821" s="1">
        <f t="shared" si="129"/>
        <v>820</v>
      </c>
      <c r="C821" s="8" t="s">
        <v>17</v>
      </c>
      <c r="D821" s="2">
        <v>43136</v>
      </c>
      <c r="E821" s="3">
        <f>80000/100000</f>
        <v>0.8</v>
      </c>
      <c r="F821" t="s">
        <v>24</v>
      </c>
      <c r="G821" t="s">
        <v>25</v>
      </c>
      <c r="H821" t="s">
        <v>26</v>
      </c>
      <c r="I821" s="6" t="s">
        <v>616</v>
      </c>
      <c r="J821" s="61" t="s">
        <v>22</v>
      </c>
      <c r="L821" s="5" t="str">
        <f t="shared" si="123"/>
        <v>00820</v>
      </c>
      <c r="M821" s="47" t="str">
        <f t="shared" si="124"/>
        <v>05 de febrero de 2018</v>
      </c>
      <c r="N821" s="323">
        <f t="shared" si="128"/>
        <v>5</v>
      </c>
      <c r="O821" s="25">
        <f t="shared" si="125"/>
        <v>43132</v>
      </c>
      <c r="P821" s="5" t="str">
        <f t="shared" si="134"/>
        <v>0,80</v>
      </c>
      <c r="Q821" s="4" t="e">
        <f t="shared" ca="1" si="135"/>
        <v>#NAME?</v>
      </c>
    </row>
    <row r="822" spans="1:17">
      <c r="A822" s="1">
        <f t="shared" si="129"/>
        <v>821</v>
      </c>
      <c r="C822" s="8" t="s">
        <v>17</v>
      </c>
      <c r="D822" s="2">
        <v>43136</v>
      </c>
      <c r="E822" s="3">
        <f>80000/100000</f>
        <v>0.8</v>
      </c>
      <c r="F822" t="s">
        <v>18</v>
      </c>
      <c r="G822" t="s">
        <v>19</v>
      </c>
      <c r="H822" t="s">
        <v>20</v>
      </c>
      <c r="I822" s="6" t="s">
        <v>623</v>
      </c>
      <c r="J822" s="61" t="s">
        <v>22</v>
      </c>
      <c r="L822" s="5" t="str">
        <f t="shared" si="123"/>
        <v>00821</v>
      </c>
      <c r="M822" s="47" t="str">
        <f t="shared" si="124"/>
        <v>05 de febrero de 2018</v>
      </c>
      <c r="N822" s="323">
        <f t="shared" si="128"/>
        <v>5</v>
      </c>
      <c r="O822" s="25">
        <f t="shared" si="125"/>
        <v>43132</v>
      </c>
      <c r="P822" s="5" t="str">
        <f t="shared" si="134"/>
        <v>0,80</v>
      </c>
      <c r="Q822" s="4" t="e">
        <f t="shared" ca="1" si="135"/>
        <v>#NAME?</v>
      </c>
    </row>
    <row r="823" spans="1:17">
      <c r="A823" s="178">
        <f t="shared" si="129"/>
        <v>822</v>
      </c>
      <c r="C823" s="8" t="s">
        <v>17</v>
      </c>
      <c r="D823" s="2">
        <v>43136</v>
      </c>
      <c r="E823" s="3">
        <f>80000/100000</f>
        <v>0.8</v>
      </c>
      <c r="F823" t="s">
        <v>438</v>
      </c>
      <c r="G823" t="s">
        <v>439</v>
      </c>
      <c r="H823" t="s">
        <v>440</v>
      </c>
      <c r="I823" s="6" t="s">
        <v>624</v>
      </c>
      <c r="J823" s="61" t="s">
        <v>22</v>
      </c>
      <c r="L823" s="5" t="str">
        <f t="shared" si="123"/>
        <v>00822</v>
      </c>
      <c r="M823" s="47" t="str">
        <f t="shared" si="124"/>
        <v>05 de febrero de 2018</v>
      </c>
      <c r="N823" s="323">
        <f t="shared" si="128"/>
        <v>5</v>
      </c>
      <c r="O823" s="25">
        <f t="shared" si="125"/>
        <v>43132</v>
      </c>
      <c r="P823" s="5" t="str">
        <f t="shared" si="134"/>
        <v>0,80</v>
      </c>
      <c r="Q823" s="4" t="e">
        <f t="shared" ca="1" si="135"/>
        <v>#NAME?</v>
      </c>
    </row>
    <row r="824" spans="1:17" ht="15.75" thickBot="1">
      <c r="A824" s="1">
        <f t="shared" si="129"/>
        <v>823</v>
      </c>
      <c r="C824" s="8" t="s">
        <v>17</v>
      </c>
      <c r="D824" s="2">
        <v>43137</v>
      </c>
      <c r="E824" s="3">
        <f>80000/100000</f>
        <v>0.8</v>
      </c>
      <c r="F824" t="s">
        <v>36</v>
      </c>
      <c r="G824" t="s">
        <v>37</v>
      </c>
      <c r="H824" t="s">
        <v>38</v>
      </c>
      <c r="I824" s="6" t="s">
        <v>616</v>
      </c>
      <c r="J824" s="61" t="s">
        <v>22</v>
      </c>
      <c r="L824" s="5" t="str">
        <f t="shared" si="123"/>
        <v>00823</v>
      </c>
      <c r="M824" s="47" t="str">
        <f t="shared" si="124"/>
        <v>06 de febrero de 2018</v>
      </c>
      <c r="N824" s="323">
        <f t="shared" si="128"/>
        <v>6</v>
      </c>
      <c r="O824" s="25">
        <f t="shared" si="125"/>
        <v>43132</v>
      </c>
      <c r="P824" s="5" t="str">
        <f t="shared" si="134"/>
        <v>0,80</v>
      </c>
      <c r="Q824" s="4" t="e">
        <f t="shared" ca="1" si="135"/>
        <v>#NAME?</v>
      </c>
    </row>
    <row r="825" spans="1:17" ht="15.75" thickBot="1">
      <c r="A825" s="1">
        <f t="shared" si="129"/>
        <v>824</v>
      </c>
      <c r="C825" s="8" t="s">
        <v>17</v>
      </c>
      <c r="D825" s="2">
        <v>43137</v>
      </c>
      <c r="E825" s="3">
        <f>160000/100000</f>
        <v>1.6</v>
      </c>
      <c r="F825" t="s">
        <v>280</v>
      </c>
      <c r="G825" s="18" t="s">
        <v>58</v>
      </c>
      <c r="H825" t="s">
        <v>282</v>
      </c>
      <c r="I825" s="6" t="s">
        <v>625</v>
      </c>
      <c r="J825" s="61" t="s">
        <v>22</v>
      </c>
      <c r="L825" s="5" t="str">
        <f t="shared" si="123"/>
        <v>00824</v>
      </c>
      <c r="M825" s="47" t="str">
        <f t="shared" si="124"/>
        <v>06 de febrero de 2018</v>
      </c>
      <c r="N825" s="323">
        <f t="shared" si="128"/>
        <v>6</v>
      </c>
      <c r="O825" s="25">
        <f t="shared" si="125"/>
        <v>43132</v>
      </c>
      <c r="P825" s="5" t="str">
        <f t="shared" si="134"/>
        <v>1,60</v>
      </c>
      <c r="Q825" s="4" t="e">
        <f t="shared" ca="1" si="135"/>
        <v>#NAME?</v>
      </c>
    </row>
    <row r="826" spans="1:17">
      <c r="A826" s="1">
        <f t="shared" si="129"/>
        <v>825</v>
      </c>
      <c r="C826" s="8" t="s">
        <v>17</v>
      </c>
      <c r="D826" s="2">
        <v>43139</v>
      </c>
      <c r="E826" s="3">
        <f>80000/100000</f>
        <v>0.8</v>
      </c>
      <c r="F826" t="s">
        <v>443</v>
      </c>
      <c r="G826" t="s">
        <v>444</v>
      </c>
      <c r="H826" t="s">
        <v>75</v>
      </c>
      <c r="I826" s="6" t="s">
        <v>616</v>
      </c>
      <c r="J826" s="61" t="s">
        <v>22</v>
      </c>
      <c r="L826" s="5" t="str">
        <f t="shared" si="123"/>
        <v>00825</v>
      </c>
      <c r="M826" s="47" t="str">
        <f t="shared" si="124"/>
        <v>08 de febrero de 2018</v>
      </c>
      <c r="N826" s="323">
        <f t="shared" si="128"/>
        <v>8</v>
      </c>
      <c r="O826" s="25">
        <f t="shared" si="125"/>
        <v>43132</v>
      </c>
      <c r="P826" s="5" t="str">
        <f t="shared" si="134"/>
        <v>0,80</v>
      </c>
      <c r="Q826" s="4" t="e">
        <f t="shared" ca="1" si="135"/>
        <v>#NAME?</v>
      </c>
    </row>
    <row r="827" spans="1:17">
      <c r="A827" s="1">
        <f t="shared" si="129"/>
        <v>826</v>
      </c>
      <c r="C827" s="8" t="s">
        <v>17</v>
      </c>
      <c r="D827" s="2">
        <v>43140</v>
      </c>
      <c r="E827" s="3">
        <f>40000/100000</f>
        <v>0.4</v>
      </c>
      <c r="F827" t="s">
        <v>167</v>
      </c>
      <c r="G827" t="s">
        <v>168</v>
      </c>
      <c r="H827" t="s">
        <v>169</v>
      </c>
      <c r="I827" s="6" t="s">
        <v>626</v>
      </c>
      <c r="J827" s="61" t="s">
        <v>22</v>
      </c>
      <c r="L827" s="5" t="str">
        <f t="shared" si="123"/>
        <v>00826</v>
      </c>
      <c r="M827" s="47" t="str">
        <f t="shared" si="124"/>
        <v>09 de febrero de 2018</v>
      </c>
      <c r="N827" s="323">
        <f t="shared" si="128"/>
        <v>9</v>
      </c>
      <c r="O827" s="25">
        <f t="shared" si="125"/>
        <v>43132</v>
      </c>
      <c r="P827" s="5" t="str">
        <f t="shared" si="134"/>
        <v>0,40</v>
      </c>
      <c r="Q827" s="4" t="e">
        <f t="shared" ca="1" si="135"/>
        <v>#NAME?</v>
      </c>
    </row>
    <row r="828" spans="1:17">
      <c r="A828" s="1">
        <f t="shared" si="129"/>
        <v>827</v>
      </c>
      <c r="C828" s="8" t="s">
        <v>17</v>
      </c>
      <c r="D828" s="2">
        <v>43130</v>
      </c>
      <c r="E828" s="3">
        <f>80000/100000</f>
        <v>0.8</v>
      </c>
      <c r="F828" t="s">
        <v>185</v>
      </c>
      <c r="G828" t="s">
        <v>186</v>
      </c>
      <c r="H828" t="s">
        <v>187</v>
      </c>
      <c r="I828" s="6" t="s">
        <v>600</v>
      </c>
      <c r="J828" s="61" t="s">
        <v>22</v>
      </c>
      <c r="L828" s="5" t="str">
        <f t="shared" si="123"/>
        <v>00827</v>
      </c>
      <c r="M828" s="47" t="str">
        <f t="shared" si="124"/>
        <v>30 de enero de 2018</v>
      </c>
      <c r="N828" s="323">
        <f t="shared" si="128"/>
        <v>30</v>
      </c>
      <c r="O828" s="25">
        <f t="shared" si="125"/>
        <v>43101</v>
      </c>
      <c r="P828" s="5" t="str">
        <f t="shared" si="134"/>
        <v>0,80</v>
      </c>
      <c r="Q828" s="4" t="e">
        <f t="shared" ca="1" si="135"/>
        <v>#NAME?</v>
      </c>
    </row>
    <row r="829" spans="1:17">
      <c r="A829" s="1">
        <f t="shared" si="129"/>
        <v>828</v>
      </c>
      <c r="C829" s="8" t="s">
        <v>17</v>
      </c>
      <c r="D829" s="2">
        <v>43129</v>
      </c>
      <c r="E829" s="3">
        <f>80000/100000</f>
        <v>0.8</v>
      </c>
      <c r="F829" t="s">
        <v>296</v>
      </c>
      <c r="G829" t="s">
        <v>297</v>
      </c>
      <c r="H829" t="s">
        <v>298</v>
      </c>
      <c r="I829" s="6" t="s">
        <v>600</v>
      </c>
      <c r="J829" s="61" t="s">
        <v>22</v>
      </c>
      <c r="L829" s="5" t="str">
        <f t="shared" si="123"/>
        <v>00828</v>
      </c>
      <c r="M829" s="47" t="str">
        <f t="shared" si="124"/>
        <v>29 de enero de 2018</v>
      </c>
      <c r="N829" s="323">
        <f t="shared" si="128"/>
        <v>29</v>
      </c>
      <c r="O829" s="25">
        <f t="shared" si="125"/>
        <v>43101</v>
      </c>
      <c r="P829" s="5" t="str">
        <f t="shared" si="134"/>
        <v>0,80</v>
      </c>
      <c r="Q829" s="4" t="e">
        <f t="shared" ca="1" si="135"/>
        <v>#NAME?</v>
      </c>
    </row>
    <row r="830" spans="1:17">
      <c r="A830" s="1">
        <f t="shared" si="129"/>
        <v>829</v>
      </c>
      <c r="C830" s="8" t="s">
        <v>17</v>
      </c>
      <c r="D830" s="2">
        <v>43139</v>
      </c>
      <c r="E830" s="3">
        <f>30000/100000+50000/100000</f>
        <v>0.8</v>
      </c>
      <c r="F830" t="s">
        <v>70</v>
      </c>
      <c r="G830" t="s">
        <v>71</v>
      </c>
      <c r="H830" t="s">
        <v>72</v>
      </c>
      <c r="I830" s="6" t="s">
        <v>627</v>
      </c>
      <c r="J830" s="61" t="s">
        <v>22</v>
      </c>
      <c r="L830" s="5" t="str">
        <f t="shared" si="123"/>
        <v>00829</v>
      </c>
      <c r="M830" s="47" t="str">
        <f t="shared" si="124"/>
        <v>08 de febrero de 2018</v>
      </c>
      <c r="N830" s="323">
        <f t="shared" si="128"/>
        <v>8</v>
      </c>
      <c r="O830" s="25">
        <f t="shared" si="125"/>
        <v>43132</v>
      </c>
      <c r="P830" s="5" t="str">
        <f t="shared" si="134"/>
        <v>0,80</v>
      </c>
      <c r="Q830" s="4" t="e">
        <f t="shared" ca="1" si="135"/>
        <v>#NAME?</v>
      </c>
    </row>
    <row r="831" spans="1:17">
      <c r="A831" s="1">
        <f t="shared" si="129"/>
        <v>830</v>
      </c>
      <c r="C831" s="8" t="s">
        <v>17</v>
      </c>
      <c r="D831" s="2">
        <v>43140</v>
      </c>
      <c r="E831" s="3">
        <f>80000/100000</f>
        <v>0.8</v>
      </c>
      <c r="F831" t="s">
        <v>107</v>
      </c>
      <c r="G831" t="s">
        <v>108</v>
      </c>
      <c r="H831" t="s">
        <v>109</v>
      </c>
      <c r="I831" s="6" t="s">
        <v>616</v>
      </c>
      <c r="J831" s="61" t="s">
        <v>22</v>
      </c>
      <c r="L831" s="5" t="str">
        <f t="shared" si="123"/>
        <v>00830</v>
      </c>
      <c r="M831" s="47" t="str">
        <f t="shared" si="124"/>
        <v>09 de febrero de 2018</v>
      </c>
      <c r="N831" s="323">
        <f t="shared" si="128"/>
        <v>9</v>
      </c>
      <c r="O831" s="25">
        <f t="shared" si="125"/>
        <v>43132</v>
      </c>
      <c r="P831" s="5" t="str">
        <f t="shared" si="134"/>
        <v>0,80</v>
      </c>
      <c r="Q831" s="4" t="e">
        <f t="shared" ca="1" si="135"/>
        <v>#NAME?</v>
      </c>
    </row>
    <row r="832" spans="1:17">
      <c r="A832" s="1">
        <f t="shared" si="129"/>
        <v>831</v>
      </c>
      <c r="C832" s="8" t="s">
        <v>17</v>
      </c>
      <c r="D832" s="2">
        <v>43140</v>
      </c>
      <c r="E832" s="3">
        <f>280000/100000</f>
        <v>2.8</v>
      </c>
      <c r="F832" t="s">
        <v>342</v>
      </c>
      <c r="G832" t="s">
        <v>343</v>
      </c>
      <c r="H832" t="s">
        <v>344</v>
      </c>
      <c r="I832" s="6" t="s">
        <v>628</v>
      </c>
      <c r="J832" s="61" t="s">
        <v>22</v>
      </c>
      <c r="L832" s="5" t="str">
        <f t="shared" si="123"/>
        <v>00831</v>
      </c>
      <c r="M832" s="47" t="str">
        <f t="shared" si="124"/>
        <v>09 de febrero de 2018</v>
      </c>
      <c r="N832" s="323">
        <f t="shared" si="128"/>
        <v>9</v>
      </c>
      <c r="O832" s="25">
        <f t="shared" si="125"/>
        <v>43132</v>
      </c>
      <c r="P832" s="5" t="str">
        <f t="shared" si="134"/>
        <v>2,80</v>
      </c>
      <c r="Q832" s="4" t="e">
        <f t="shared" ca="1" si="135"/>
        <v>#NAME?</v>
      </c>
    </row>
    <row r="833" spans="1:17">
      <c r="A833" s="1">
        <f t="shared" si="129"/>
        <v>832</v>
      </c>
      <c r="C833" s="8" t="s">
        <v>17</v>
      </c>
      <c r="D833" s="2">
        <v>43141</v>
      </c>
      <c r="E833" s="3">
        <f>2*80000/100000</f>
        <v>1.6</v>
      </c>
      <c r="F833" t="s">
        <v>138</v>
      </c>
      <c r="G833" t="s">
        <v>139</v>
      </c>
      <c r="H833" t="s">
        <v>140</v>
      </c>
      <c r="I833" s="6" t="s">
        <v>608</v>
      </c>
      <c r="J833" s="61" t="s">
        <v>22</v>
      </c>
      <c r="L833" s="5" t="str">
        <f t="shared" si="123"/>
        <v>00832</v>
      </c>
      <c r="M833" s="47" t="str">
        <f t="shared" si="124"/>
        <v>10 de febrero de 2018</v>
      </c>
      <c r="N833" s="323">
        <f t="shared" si="128"/>
        <v>10</v>
      </c>
      <c r="O833" s="25">
        <f t="shared" si="125"/>
        <v>43132</v>
      </c>
      <c r="P833" s="5" t="str">
        <f t="shared" si="134"/>
        <v>1,60</v>
      </c>
      <c r="Q833" s="4" t="e">
        <f t="shared" ca="1" si="135"/>
        <v>#NAME?</v>
      </c>
    </row>
    <row r="834" spans="1:17">
      <c r="A834" s="1">
        <f t="shared" si="129"/>
        <v>833</v>
      </c>
      <c r="C834" s="8" t="s">
        <v>17</v>
      </c>
      <c r="D834" s="2">
        <v>43112</v>
      </c>
      <c r="E834" s="3">
        <f>2*50000/100000</f>
        <v>1</v>
      </c>
      <c r="F834" t="s">
        <v>412</v>
      </c>
      <c r="G834" t="s">
        <v>413</v>
      </c>
      <c r="H834" t="s">
        <v>414</v>
      </c>
      <c r="I834" s="6" t="s">
        <v>609</v>
      </c>
      <c r="J834" s="61" t="s">
        <v>22</v>
      </c>
      <c r="L834" s="5" t="str">
        <f t="shared" ref="L834:L897" si="136">IF(ISBLANK(A834),"",TEXT(A834,"00000"))</f>
        <v>00833</v>
      </c>
      <c r="M834" s="47" t="str">
        <f t="shared" ref="M834:M897" si="137">IF(ISBLANK(D834),"",TEXT(D834,"dd")&amp;" de "&amp;TEXT(D834,"mmmm")&amp;" de "&amp;TEXT(YEAR(D834),"0"))</f>
        <v>12 de enero de 2018</v>
      </c>
      <c r="N834" s="323">
        <f t="shared" si="128"/>
        <v>12</v>
      </c>
      <c r="O834" s="25">
        <f t="shared" ref="O834:O897" si="138">DATE(YEAR(D834),MONTH(D834),1)</f>
        <v>43101</v>
      </c>
      <c r="P834" s="5" t="str">
        <f t="shared" si="134"/>
        <v>1,00</v>
      </c>
      <c r="Q834" s="4" t="e">
        <f t="shared" ca="1" si="135"/>
        <v>#NAME?</v>
      </c>
    </row>
    <row r="835" spans="1:17" ht="15.75" thickBot="1">
      <c r="A835" s="1">
        <f t="shared" si="129"/>
        <v>834</v>
      </c>
      <c r="C835" s="8" t="s">
        <v>17</v>
      </c>
      <c r="D835" s="2">
        <v>43114</v>
      </c>
      <c r="E835" s="3">
        <f>80000/100000</f>
        <v>0.8</v>
      </c>
      <c r="F835" t="s">
        <v>201</v>
      </c>
      <c r="G835" t="s">
        <v>202</v>
      </c>
      <c r="H835" t="s">
        <v>203</v>
      </c>
      <c r="I835" s="6" t="s">
        <v>616</v>
      </c>
      <c r="J835" s="61" t="s">
        <v>22</v>
      </c>
      <c r="L835" s="5" t="str">
        <f t="shared" si="136"/>
        <v>00834</v>
      </c>
      <c r="M835" s="47" t="str">
        <f t="shared" si="137"/>
        <v>14 de enero de 2018</v>
      </c>
      <c r="N835" s="323">
        <f t="shared" ref="N835:N898" si="139">DAY(D835)</f>
        <v>14</v>
      </c>
      <c r="O835" s="25">
        <f t="shared" si="138"/>
        <v>43101</v>
      </c>
      <c r="P835" s="5" t="str">
        <f t="shared" si="134"/>
        <v>0,80</v>
      </c>
      <c r="Q835" s="4" t="e">
        <f t="shared" ca="1" si="135"/>
        <v>#NAME?</v>
      </c>
    </row>
    <row r="836" spans="1:17" ht="15.75" thickBot="1">
      <c r="A836" s="1">
        <f t="shared" ref="A836:A890" si="140">A835+1</f>
        <v>835</v>
      </c>
      <c r="C836" s="8" t="s">
        <v>17</v>
      </c>
      <c r="D836" s="2">
        <v>43114</v>
      </c>
      <c r="E836" s="3">
        <f>86400/100000</f>
        <v>0.86399999999999999</v>
      </c>
      <c r="F836" s="20" t="s">
        <v>57</v>
      </c>
      <c r="G836" s="18" t="s">
        <v>58</v>
      </c>
      <c r="H836" s="21" t="s">
        <v>59</v>
      </c>
      <c r="I836" s="6" t="s">
        <v>616</v>
      </c>
      <c r="J836" s="61" t="s">
        <v>22</v>
      </c>
      <c r="K836" s="22"/>
      <c r="L836" s="5" t="str">
        <f t="shared" si="136"/>
        <v>00835</v>
      </c>
      <c r="M836" s="47" t="str">
        <f t="shared" si="137"/>
        <v>14 de enero de 2018</v>
      </c>
      <c r="N836" s="323">
        <f t="shared" si="139"/>
        <v>14</v>
      </c>
      <c r="O836" s="25">
        <f t="shared" si="138"/>
        <v>43101</v>
      </c>
      <c r="P836" s="5" t="str">
        <f t="shared" si="134"/>
        <v>0,86</v>
      </c>
      <c r="Q836" s="4" t="e">
        <f t="shared" ca="1" si="135"/>
        <v>#NAME?</v>
      </c>
    </row>
    <row r="837" spans="1:17" ht="15.75" thickBot="1">
      <c r="A837" s="1">
        <f t="shared" si="140"/>
        <v>836</v>
      </c>
      <c r="C837" s="8" t="s">
        <v>17</v>
      </c>
      <c r="D837" s="2">
        <v>43146</v>
      </c>
      <c r="E837" s="3">
        <f>113600/100000</f>
        <v>1.1359999999999999</v>
      </c>
      <c r="F837" s="23" t="s">
        <v>422</v>
      </c>
      <c r="G837" s="18" t="s">
        <v>58</v>
      </c>
      <c r="H837" t="s">
        <v>423</v>
      </c>
      <c r="I837" s="6" t="s">
        <v>616</v>
      </c>
      <c r="J837" s="61" t="s">
        <v>22</v>
      </c>
      <c r="L837" s="5" t="str">
        <f t="shared" si="136"/>
        <v>00836</v>
      </c>
      <c r="M837" s="47" t="str">
        <f t="shared" si="137"/>
        <v>15 de febrero de 2018</v>
      </c>
      <c r="N837" s="323">
        <f t="shared" si="139"/>
        <v>15</v>
      </c>
      <c r="O837" s="25">
        <f t="shared" si="138"/>
        <v>43132</v>
      </c>
      <c r="P837" s="5" t="str">
        <f t="shared" si="134"/>
        <v>1,14</v>
      </c>
      <c r="Q837" s="4" t="e">
        <f t="shared" ca="1" si="135"/>
        <v>#NAME?</v>
      </c>
    </row>
    <row r="838" spans="1:17">
      <c r="A838" s="1">
        <f t="shared" si="140"/>
        <v>837</v>
      </c>
      <c r="C838" s="8" t="s">
        <v>17</v>
      </c>
      <c r="D838" s="2">
        <v>43146</v>
      </c>
      <c r="E838" s="3">
        <f>80000/100000</f>
        <v>0.8</v>
      </c>
      <c r="F838" t="s">
        <v>243</v>
      </c>
      <c r="G838" t="s">
        <v>244</v>
      </c>
      <c r="H838" t="s">
        <v>245</v>
      </c>
      <c r="I838" s="6" t="s">
        <v>616</v>
      </c>
      <c r="J838" s="61" t="s">
        <v>22</v>
      </c>
      <c r="L838" s="5" t="str">
        <f t="shared" si="136"/>
        <v>00837</v>
      </c>
      <c r="M838" s="47" t="str">
        <f t="shared" si="137"/>
        <v>15 de febrero de 2018</v>
      </c>
      <c r="N838" s="323">
        <f t="shared" si="139"/>
        <v>15</v>
      </c>
      <c r="O838" s="25">
        <f t="shared" si="138"/>
        <v>43132</v>
      </c>
      <c r="P838" s="5" t="str">
        <f t="shared" si="134"/>
        <v>0,80</v>
      </c>
      <c r="Q838" s="4" t="e">
        <f t="shared" ca="1" si="135"/>
        <v>#NAME?</v>
      </c>
    </row>
    <row r="839" spans="1:17">
      <c r="A839" s="1">
        <f t="shared" si="140"/>
        <v>838</v>
      </c>
      <c r="C839" s="8" t="s">
        <v>17</v>
      </c>
      <c r="D839" s="2">
        <v>43146</v>
      </c>
      <c r="E839" s="3">
        <f>80000/100000</f>
        <v>0.8</v>
      </c>
      <c r="F839" t="s">
        <v>152</v>
      </c>
      <c r="G839" t="s">
        <v>153</v>
      </c>
      <c r="H839" t="s">
        <v>154</v>
      </c>
      <c r="I839" s="6" t="s">
        <v>616</v>
      </c>
      <c r="J839" s="61" t="s">
        <v>22</v>
      </c>
      <c r="L839" s="5" t="str">
        <f t="shared" si="136"/>
        <v>00838</v>
      </c>
      <c r="M839" s="47" t="str">
        <f t="shared" si="137"/>
        <v>15 de febrero de 2018</v>
      </c>
      <c r="N839" s="323">
        <f t="shared" si="139"/>
        <v>15</v>
      </c>
      <c r="O839" s="25">
        <f t="shared" si="138"/>
        <v>43132</v>
      </c>
      <c r="P839" s="5" t="str">
        <f t="shared" si="134"/>
        <v>0,80</v>
      </c>
      <c r="Q839" s="4" t="e">
        <f t="shared" ca="1" si="135"/>
        <v>#NAME?</v>
      </c>
    </row>
    <row r="840" spans="1:17">
      <c r="A840" s="1">
        <f t="shared" si="140"/>
        <v>839</v>
      </c>
      <c r="C840" s="8" t="s">
        <v>17</v>
      </c>
      <c r="D840" s="2">
        <v>43147</v>
      </c>
      <c r="E840" s="3">
        <f>80000/100000</f>
        <v>0.8</v>
      </c>
      <c r="F840" t="s">
        <v>103</v>
      </c>
      <c r="G840" t="s">
        <v>104</v>
      </c>
      <c r="H840" t="s">
        <v>105</v>
      </c>
      <c r="I840" s="6" t="s">
        <v>616</v>
      </c>
      <c r="J840" s="61" t="s">
        <v>22</v>
      </c>
      <c r="L840" s="5" t="str">
        <f t="shared" si="136"/>
        <v>00839</v>
      </c>
      <c r="M840" s="47" t="str">
        <f t="shared" si="137"/>
        <v>16 de febrero de 2018</v>
      </c>
      <c r="N840" s="323">
        <f t="shared" si="139"/>
        <v>16</v>
      </c>
      <c r="O840" s="25">
        <f t="shared" si="138"/>
        <v>43132</v>
      </c>
      <c r="P840" s="5" t="str">
        <f t="shared" si="134"/>
        <v>0,80</v>
      </c>
      <c r="Q840" s="4" t="e">
        <f t="shared" ca="1" si="135"/>
        <v>#NAME?</v>
      </c>
    </row>
    <row r="841" spans="1:17">
      <c r="A841" s="1">
        <f t="shared" si="140"/>
        <v>840</v>
      </c>
      <c r="C841" s="8" t="s">
        <v>17</v>
      </c>
      <c r="D841" s="2">
        <v>43150</v>
      </c>
      <c r="E841" s="3">
        <f>80000/100000</f>
        <v>0.8</v>
      </c>
      <c r="F841" t="s">
        <v>185</v>
      </c>
      <c r="G841" t="s">
        <v>186</v>
      </c>
      <c r="H841" t="s">
        <v>187</v>
      </c>
      <c r="I841" s="6" t="s">
        <v>616</v>
      </c>
      <c r="J841" s="61" t="s">
        <v>22</v>
      </c>
      <c r="L841" s="5" t="str">
        <f t="shared" si="136"/>
        <v>00840</v>
      </c>
      <c r="M841" s="47" t="str">
        <f t="shared" si="137"/>
        <v>19 de febrero de 2018</v>
      </c>
      <c r="N841" s="323">
        <f t="shared" si="139"/>
        <v>19</v>
      </c>
      <c r="O841" s="25">
        <f t="shared" si="138"/>
        <v>43132</v>
      </c>
      <c r="P841" s="5" t="str">
        <f t="shared" ref="P841:P857" si="141">TEXT(E841,"#.##0,00")</f>
        <v>0,80</v>
      </c>
      <c r="Q841" s="4" t="e">
        <f t="shared" ref="Q841:Q857" ca="1" si="142">CONVERTIRNUM(E841)</f>
        <v>#NAME?</v>
      </c>
    </row>
    <row r="842" spans="1:17">
      <c r="A842" s="1">
        <f t="shared" si="140"/>
        <v>841</v>
      </c>
      <c r="C842" s="8" t="s">
        <v>17</v>
      </c>
      <c r="D842" s="2">
        <v>43151</v>
      </c>
      <c r="E842" s="3">
        <f>40000/100000</f>
        <v>0.4</v>
      </c>
      <c r="F842" t="s">
        <v>401</v>
      </c>
      <c r="G842" t="s">
        <v>402</v>
      </c>
      <c r="H842" t="s">
        <v>403</v>
      </c>
      <c r="I842" s="6" t="s">
        <v>626</v>
      </c>
      <c r="J842" s="61" t="s">
        <v>22</v>
      </c>
      <c r="L842" s="5" t="str">
        <f t="shared" si="136"/>
        <v>00841</v>
      </c>
      <c r="M842" s="47" t="str">
        <f t="shared" si="137"/>
        <v>20 de febrero de 2018</v>
      </c>
      <c r="N842" s="323">
        <f t="shared" si="139"/>
        <v>20</v>
      </c>
      <c r="O842" s="25">
        <f t="shared" si="138"/>
        <v>43132</v>
      </c>
      <c r="P842" s="5" t="str">
        <f t="shared" si="141"/>
        <v>0,40</v>
      </c>
      <c r="Q842" s="4" t="e">
        <f t="shared" ca="1" si="142"/>
        <v>#NAME?</v>
      </c>
    </row>
    <row r="843" spans="1:17">
      <c r="A843" s="1">
        <f t="shared" si="140"/>
        <v>842</v>
      </c>
      <c r="C843" s="8" t="s">
        <v>17</v>
      </c>
      <c r="D843" s="2">
        <v>43151</v>
      </c>
      <c r="E843" s="3">
        <f>80000/100000</f>
        <v>0.8</v>
      </c>
      <c r="F843" t="s">
        <v>122</v>
      </c>
      <c r="G843" t="s">
        <v>123</v>
      </c>
      <c r="H843" t="s">
        <v>124</v>
      </c>
      <c r="I843" s="6" t="s">
        <v>616</v>
      </c>
      <c r="J843" s="61" t="s">
        <v>22</v>
      </c>
      <c r="L843" s="5" t="str">
        <f t="shared" si="136"/>
        <v>00842</v>
      </c>
      <c r="M843" s="47" t="str">
        <f t="shared" si="137"/>
        <v>20 de febrero de 2018</v>
      </c>
      <c r="N843" s="323">
        <f t="shared" si="139"/>
        <v>20</v>
      </c>
      <c r="O843" s="25">
        <f t="shared" si="138"/>
        <v>43132</v>
      </c>
      <c r="P843" s="5" t="str">
        <f t="shared" si="141"/>
        <v>0,80</v>
      </c>
      <c r="Q843" s="4" t="e">
        <f t="shared" ca="1" si="142"/>
        <v>#NAME?</v>
      </c>
    </row>
    <row r="844" spans="1:17">
      <c r="A844" s="1">
        <f t="shared" si="140"/>
        <v>843</v>
      </c>
      <c r="C844" s="8" t="s">
        <v>17</v>
      </c>
      <c r="D844" s="2">
        <v>43151</v>
      </c>
      <c r="E844" s="3">
        <f>80000/100000</f>
        <v>0.8</v>
      </c>
      <c r="F844" t="s">
        <v>126</v>
      </c>
      <c r="G844" t="s">
        <v>127</v>
      </c>
      <c r="H844" t="s">
        <v>128</v>
      </c>
      <c r="I844" s="6" t="s">
        <v>616</v>
      </c>
      <c r="J844" s="61" t="s">
        <v>22</v>
      </c>
      <c r="L844" s="5" t="str">
        <f t="shared" si="136"/>
        <v>00843</v>
      </c>
      <c r="M844" s="47" t="str">
        <f t="shared" si="137"/>
        <v>20 de febrero de 2018</v>
      </c>
      <c r="N844" s="323">
        <f t="shared" si="139"/>
        <v>20</v>
      </c>
      <c r="O844" s="25">
        <f t="shared" si="138"/>
        <v>43132</v>
      </c>
      <c r="P844" s="5" t="str">
        <f t="shared" si="141"/>
        <v>0,80</v>
      </c>
      <c r="Q844" s="4" t="e">
        <f t="shared" ca="1" si="142"/>
        <v>#NAME?</v>
      </c>
    </row>
    <row r="845" spans="1:17" ht="15.75" thickBot="1">
      <c r="A845" s="1">
        <f t="shared" si="140"/>
        <v>844</v>
      </c>
      <c r="C845" s="8" t="s">
        <v>17</v>
      </c>
      <c r="D845" s="2">
        <v>43151</v>
      </c>
      <c r="E845" s="3">
        <f>50000/100000</f>
        <v>0.5</v>
      </c>
      <c r="F845" t="s">
        <v>28</v>
      </c>
      <c r="G845" t="s">
        <v>29</v>
      </c>
      <c r="H845" t="s">
        <v>30</v>
      </c>
      <c r="I845" s="6" t="s">
        <v>626</v>
      </c>
      <c r="J845" s="61" t="s">
        <v>22</v>
      </c>
      <c r="L845" s="5" t="str">
        <f t="shared" si="136"/>
        <v>00844</v>
      </c>
      <c r="M845" s="47" t="str">
        <f t="shared" si="137"/>
        <v>20 de febrero de 2018</v>
      </c>
      <c r="N845" s="323">
        <f t="shared" si="139"/>
        <v>20</v>
      </c>
      <c r="O845" s="25">
        <f t="shared" si="138"/>
        <v>43132</v>
      </c>
      <c r="P845" s="5" t="str">
        <f t="shared" si="141"/>
        <v>0,50</v>
      </c>
      <c r="Q845" s="4" t="e">
        <f t="shared" ca="1" si="142"/>
        <v>#NAME?</v>
      </c>
    </row>
    <row r="846" spans="1:17" ht="15.75" thickBot="1">
      <c r="A846" s="1">
        <f t="shared" si="140"/>
        <v>845</v>
      </c>
      <c r="C846" s="8" t="s">
        <v>17</v>
      </c>
      <c r="D846" s="2">
        <v>43151</v>
      </c>
      <c r="E846" s="3">
        <f>20000/100000</f>
        <v>0.2</v>
      </c>
      <c r="F846" t="s">
        <v>397</v>
      </c>
      <c r="G846" s="48" t="s">
        <v>29</v>
      </c>
      <c r="H846" t="s">
        <v>398</v>
      </c>
      <c r="I846" s="6" t="s">
        <v>626</v>
      </c>
      <c r="J846" s="61" t="s">
        <v>22</v>
      </c>
      <c r="L846" s="5" t="str">
        <f t="shared" si="136"/>
        <v>00845</v>
      </c>
      <c r="M846" s="47" t="str">
        <f t="shared" si="137"/>
        <v>20 de febrero de 2018</v>
      </c>
      <c r="N846" s="323">
        <f t="shared" si="139"/>
        <v>20</v>
      </c>
      <c r="O846" s="25">
        <f t="shared" si="138"/>
        <v>43132</v>
      </c>
      <c r="P846" s="5" t="str">
        <f t="shared" si="141"/>
        <v>0,20</v>
      </c>
      <c r="Q846" s="4" t="e">
        <f t="shared" ca="1" si="142"/>
        <v>#NAME?</v>
      </c>
    </row>
    <row r="847" spans="1:17">
      <c r="A847" s="1">
        <f t="shared" si="140"/>
        <v>846</v>
      </c>
      <c r="C847" s="8" t="s">
        <v>17</v>
      </c>
      <c r="D847" s="2">
        <v>43152</v>
      </c>
      <c r="E847" s="3">
        <f>80000/100000</f>
        <v>0.8</v>
      </c>
      <c r="F847" t="s">
        <v>130</v>
      </c>
      <c r="G847" t="s">
        <v>131</v>
      </c>
      <c r="H847" t="s">
        <v>132</v>
      </c>
      <c r="I847" s="6" t="s">
        <v>616</v>
      </c>
      <c r="J847" s="61" t="s">
        <v>22</v>
      </c>
      <c r="L847" s="5" t="str">
        <f t="shared" si="136"/>
        <v>00846</v>
      </c>
      <c r="M847" s="47" t="str">
        <f t="shared" si="137"/>
        <v>21 de febrero de 2018</v>
      </c>
      <c r="N847" s="323">
        <f t="shared" si="139"/>
        <v>21</v>
      </c>
      <c r="O847" s="25">
        <f t="shared" si="138"/>
        <v>43132</v>
      </c>
      <c r="P847" s="5" t="str">
        <f t="shared" si="141"/>
        <v>0,80</v>
      </c>
      <c r="Q847" s="4" t="e">
        <f t="shared" ca="1" si="142"/>
        <v>#NAME?</v>
      </c>
    </row>
    <row r="848" spans="1:17">
      <c r="A848" s="1">
        <f t="shared" si="140"/>
        <v>847</v>
      </c>
      <c r="C848" s="8" t="s">
        <v>17</v>
      </c>
      <c r="D848" s="2">
        <v>43153</v>
      </c>
      <c r="E848" s="3">
        <f>150000/100000</f>
        <v>1.5</v>
      </c>
      <c r="F848" t="s">
        <v>32</v>
      </c>
      <c r="G848" t="s">
        <v>33</v>
      </c>
      <c r="H848" t="s">
        <v>34</v>
      </c>
      <c r="I848" s="6" t="s">
        <v>609</v>
      </c>
      <c r="J848" s="61" t="s">
        <v>22</v>
      </c>
      <c r="L848" s="5" t="str">
        <f t="shared" si="136"/>
        <v>00847</v>
      </c>
      <c r="M848" s="47" t="str">
        <f t="shared" si="137"/>
        <v>22 de febrero de 2018</v>
      </c>
      <c r="N848" s="323">
        <f t="shared" si="139"/>
        <v>22</v>
      </c>
      <c r="O848" s="25">
        <f t="shared" si="138"/>
        <v>43132</v>
      </c>
      <c r="P848" s="5" t="str">
        <f t="shared" si="141"/>
        <v>1,50</v>
      </c>
      <c r="Q848" s="4" t="e">
        <f t="shared" ca="1" si="142"/>
        <v>#NAME?</v>
      </c>
    </row>
    <row r="849" spans="1:17">
      <c r="A849" s="1">
        <f t="shared" si="140"/>
        <v>848</v>
      </c>
      <c r="C849" s="8" t="s">
        <v>17</v>
      </c>
      <c r="D849" s="2">
        <v>43154</v>
      </c>
      <c r="E849" s="3">
        <f>115000/100000</f>
        <v>1.1499999999999999</v>
      </c>
      <c r="F849" t="s">
        <v>148</v>
      </c>
      <c r="G849" t="s">
        <v>149</v>
      </c>
      <c r="H849" t="s">
        <v>150</v>
      </c>
      <c r="I849" s="6" t="s">
        <v>616</v>
      </c>
      <c r="J849" s="61" t="s">
        <v>22</v>
      </c>
      <c r="L849" s="5" t="str">
        <f t="shared" si="136"/>
        <v>00848</v>
      </c>
      <c r="M849" s="47" t="str">
        <f t="shared" si="137"/>
        <v>23 de febrero de 2018</v>
      </c>
      <c r="N849" s="323">
        <f t="shared" si="139"/>
        <v>23</v>
      </c>
      <c r="O849" s="25">
        <f t="shared" si="138"/>
        <v>43132</v>
      </c>
      <c r="P849" s="5" t="str">
        <f t="shared" si="141"/>
        <v>1,15</v>
      </c>
      <c r="Q849" s="4" t="e">
        <f t="shared" ca="1" si="142"/>
        <v>#NAME?</v>
      </c>
    </row>
    <row r="850" spans="1:17">
      <c r="A850" s="1">
        <f t="shared" si="140"/>
        <v>849</v>
      </c>
      <c r="C850" s="8" t="s">
        <v>17</v>
      </c>
      <c r="D850" s="2">
        <v>43155</v>
      </c>
      <c r="E850" s="3">
        <f>80000*3/100000</f>
        <v>2.4</v>
      </c>
      <c r="F850" t="s">
        <v>324</v>
      </c>
      <c r="G850" t="s">
        <v>325</v>
      </c>
      <c r="H850" t="s">
        <v>326</v>
      </c>
      <c r="I850" s="6" t="s">
        <v>629</v>
      </c>
      <c r="J850" s="61" t="s">
        <v>22</v>
      </c>
      <c r="L850" s="5" t="str">
        <f t="shared" si="136"/>
        <v>00849</v>
      </c>
      <c r="M850" s="47" t="str">
        <f t="shared" si="137"/>
        <v>24 de febrero de 2018</v>
      </c>
      <c r="N850" s="323">
        <f t="shared" si="139"/>
        <v>24</v>
      </c>
      <c r="O850" s="25">
        <f t="shared" si="138"/>
        <v>43132</v>
      </c>
      <c r="P850" s="5" t="str">
        <f t="shared" si="141"/>
        <v>2,40</v>
      </c>
      <c r="Q850" s="4" t="e">
        <f t="shared" ca="1" si="142"/>
        <v>#NAME?</v>
      </c>
    </row>
    <row r="851" spans="1:17">
      <c r="A851" s="1">
        <f t="shared" si="140"/>
        <v>850</v>
      </c>
      <c r="C851" s="8" t="s">
        <v>17</v>
      </c>
      <c r="D851" s="2">
        <v>43155</v>
      </c>
      <c r="E851" s="3">
        <f>80000/100000</f>
        <v>0.8</v>
      </c>
      <c r="F851" t="s">
        <v>219</v>
      </c>
      <c r="G851" t="s">
        <v>220</v>
      </c>
      <c r="H851" t="s">
        <v>221</v>
      </c>
      <c r="I851" s="6" t="s">
        <v>616</v>
      </c>
      <c r="J851" s="61" t="s">
        <v>22</v>
      </c>
      <c r="L851" s="5" t="str">
        <f t="shared" si="136"/>
        <v>00850</v>
      </c>
      <c r="M851" s="47" t="str">
        <f t="shared" si="137"/>
        <v>24 de febrero de 2018</v>
      </c>
      <c r="N851" s="323">
        <f t="shared" si="139"/>
        <v>24</v>
      </c>
      <c r="O851" s="25">
        <f t="shared" si="138"/>
        <v>43132</v>
      </c>
      <c r="P851" s="5" t="str">
        <f t="shared" si="141"/>
        <v>0,80</v>
      </c>
      <c r="Q851" s="4" t="e">
        <f t="shared" ca="1" si="142"/>
        <v>#NAME?</v>
      </c>
    </row>
    <row r="852" spans="1:17">
      <c r="A852" s="1">
        <f t="shared" si="140"/>
        <v>851</v>
      </c>
      <c r="C852" s="8" t="s">
        <v>17</v>
      </c>
      <c r="D852" s="2">
        <v>43156</v>
      </c>
      <c r="E852" s="3">
        <f>80000/100000</f>
        <v>0.8</v>
      </c>
      <c r="F852" t="s">
        <v>230</v>
      </c>
      <c r="G852" t="s">
        <v>231</v>
      </c>
      <c r="H852" t="s">
        <v>232</v>
      </c>
      <c r="I852" s="6" t="s">
        <v>616</v>
      </c>
      <c r="J852" s="61" t="s">
        <v>22</v>
      </c>
      <c r="L852" s="5" t="str">
        <f t="shared" si="136"/>
        <v>00851</v>
      </c>
      <c r="M852" s="47" t="str">
        <f t="shared" si="137"/>
        <v>25 de febrero de 2018</v>
      </c>
      <c r="N852" s="323">
        <f t="shared" si="139"/>
        <v>25</v>
      </c>
      <c r="O852" s="25">
        <f t="shared" si="138"/>
        <v>43132</v>
      </c>
      <c r="P852" s="5" t="str">
        <f t="shared" si="141"/>
        <v>0,80</v>
      </c>
      <c r="Q852" s="4" t="e">
        <f t="shared" ca="1" si="142"/>
        <v>#NAME?</v>
      </c>
    </row>
    <row r="853" spans="1:17">
      <c r="A853" s="1">
        <f t="shared" si="140"/>
        <v>852</v>
      </c>
      <c r="C853" s="8" t="s">
        <v>17</v>
      </c>
      <c r="D853" s="2">
        <v>43156</v>
      </c>
      <c r="E853" s="3">
        <f>80000/100000</f>
        <v>0.8</v>
      </c>
      <c r="F853" t="s">
        <v>100</v>
      </c>
      <c r="G853" t="s">
        <v>95</v>
      </c>
      <c r="H853" t="s">
        <v>101</v>
      </c>
      <c r="I853" s="6" t="s">
        <v>630</v>
      </c>
      <c r="J853" s="61" t="s">
        <v>22</v>
      </c>
      <c r="L853" s="5" t="str">
        <f t="shared" si="136"/>
        <v>00852</v>
      </c>
      <c r="M853" s="47" t="str">
        <f t="shared" si="137"/>
        <v>25 de febrero de 2018</v>
      </c>
      <c r="N853" s="323">
        <f t="shared" si="139"/>
        <v>25</v>
      </c>
      <c r="O853" s="25">
        <f t="shared" si="138"/>
        <v>43132</v>
      </c>
      <c r="P853" s="5" t="str">
        <f t="shared" si="141"/>
        <v>0,80</v>
      </c>
      <c r="Q853" s="4" t="e">
        <f t="shared" ca="1" si="142"/>
        <v>#NAME?</v>
      </c>
    </row>
    <row r="854" spans="1:17">
      <c r="A854" s="1">
        <f t="shared" si="140"/>
        <v>853</v>
      </c>
      <c r="C854" s="8" t="s">
        <v>17</v>
      </c>
      <c r="D854" s="2">
        <v>43157</v>
      </c>
      <c r="E854" s="3">
        <f>80000/100000</f>
        <v>0.8</v>
      </c>
      <c r="F854" t="s">
        <v>62</v>
      </c>
      <c r="G854" t="s">
        <v>63</v>
      </c>
      <c r="H854" t="s">
        <v>64</v>
      </c>
      <c r="I854" s="6" t="s">
        <v>600</v>
      </c>
      <c r="J854" s="61" t="s">
        <v>22</v>
      </c>
      <c r="L854" s="5" t="str">
        <f t="shared" si="136"/>
        <v>00853</v>
      </c>
      <c r="M854" s="47" t="str">
        <f t="shared" si="137"/>
        <v>26 de febrero de 2018</v>
      </c>
      <c r="N854" s="323">
        <f t="shared" si="139"/>
        <v>26</v>
      </c>
      <c r="O854" s="25">
        <f t="shared" si="138"/>
        <v>43132</v>
      </c>
      <c r="P854" s="5" t="str">
        <f t="shared" si="141"/>
        <v>0,80</v>
      </c>
      <c r="Q854" s="4" t="e">
        <f t="shared" ca="1" si="142"/>
        <v>#NAME?</v>
      </c>
    </row>
    <row r="855" spans="1:17">
      <c r="A855" s="1">
        <f t="shared" si="140"/>
        <v>854</v>
      </c>
      <c r="C855" s="8" t="s">
        <v>17</v>
      </c>
      <c r="D855" s="2">
        <v>43157</v>
      </c>
      <c r="E855" s="3">
        <f>80000/100000</f>
        <v>0.8</v>
      </c>
      <c r="F855" t="s">
        <v>181</v>
      </c>
      <c r="G855" t="s">
        <v>182</v>
      </c>
      <c r="H855" t="s">
        <v>183</v>
      </c>
      <c r="I855" s="6" t="s">
        <v>616</v>
      </c>
      <c r="J855" s="61" t="s">
        <v>22</v>
      </c>
      <c r="L855" s="5" t="str">
        <f t="shared" si="136"/>
        <v>00854</v>
      </c>
      <c r="M855" s="47" t="str">
        <f t="shared" si="137"/>
        <v>26 de febrero de 2018</v>
      </c>
      <c r="N855" s="323">
        <f t="shared" si="139"/>
        <v>26</v>
      </c>
      <c r="O855" s="25">
        <f t="shared" si="138"/>
        <v>43132</v>
      </c>
      <c r="P855" s="5" t="str">
        <f t="shared" si="141"/>
        <v>0,80</v>
      </c>
      <c r="Q855" s="4" t="e">
        <f t="shared" ca="1" si="142"/>
        <v>#NAME?</v>
      </c>
    </row>
    <row r="856" spans="1:17">
      <c r="A856" s="1">
        <f t="shared" si="140"/>
        <v>855</v>
      </c>
      <c r="C856" s="8" t="s">
        <v>17</v>
      </c>
      <c r="D856" s="2">
        <v>43157</v>
      </c>
      <c r="E856" s="3">
        <f>50000/100000+80000*2/100000+50000/100000</f>
        <v>2.6</v>
      </c>
      <c r="F856" t="s">
        <v>162</v>
      </c>
      <c r="G856" t="s">
        <v>163</v>
      </c>
      <c r="H856" t="s">
        <v>164</v>
      </c>
      <c r="I856" s="6" t="s">
        <v>631</v>
      </c>
      <c r="J856" s="61" t="s">
        <v>22</v>
      </c>
      <c r="L856" s="5" t="str">
        <f t="shared" si="136"/>
        <v>00855</v>
      </c>
      <c r="M856" s="47" t="str">
        <f t="shared" si="137"/>
        <v>26 de febrero de 2018</v>
      </c>
      <c r="N856" s="323">
        <f t="shared" si="139"/>
        <v>26</v>
      </c>
      <c r="O856" s="25">
        <f t="shared" si="138"/>
        <v>43132</v>
      </c>
      <c r="P856" s="5" t="str">
        <f t="shared" si="141"/>
        <v>2,60</v>
      </c>
      <c r="Q856" s="4" t="e">
        <f t="shared" ca="1" si="142"/>
        <v>#NAME?</v>
      </c>
    </row>
    <row r="857" spans="1:17">
      <c r="A857" s="1">
        <f t="shared" si="140"/>
        <v>856</v>
      </c>
      <c r="C857" s="8" t="s">
        <v>17</v>
      </c>
      <c r="D857" s="2">
        <v>43155</v>
      </c>
      <c r="E857" s="3">
        <f>50000/100000</f>
        <v>0.5</v>
      </c>
      <c r="F857" t="s">
        <v>594</v>
      </c>
      <c r="G857" t="s">
        <v>595</v>
      </c>
      <c r="H857" t="s">
        <v>596</v>
      </c>
      <c r="I857" s="6" t="s">
        <v>632</v>
      </c>
      <c r="J857" s="61" t="s">
        <v>22</v>
      </c>
      <c r="L857" s="5" t="str">
        <f t="shared" si="136"/>
        <v>00856</v>
      </c>
      <c r="M857" s="47" t="str">
        <f t="shared" si="137"/>
        <v>24 de febrero de 2018</v>
      </c>
      <c r="N857" s="323">
        <f t="shared" si="139"/>
        <v>24</v>
      </c>
      <c r="O857" s="25">
        <f t="shared" si="138"/>
        <v>43132</v>
      </c>
      <c r="P857" s="5" t="str">
        <f t="shared" si="141"/>
        <v>0,50</v>
      </c>
      <c r="Q857" s="4" t="e">
        <f t="shared" ca="1" si="142"/>
        <v>#NAME?</v>
      </c>
    </row>
    <row r="858" spans="1:17">
      <c r="A858" s="1">
        <f t="shared" si="140"/>
        <v>857</v>
      </c>
      <c r="C858" s="8" t="s">
        <v>17</v>
      </c>
      <c r="D858" s="2">
        <v>43156</v>
      </c>
      <c r="E858" s="3">
        <f>80000/100000</f>
        <v>0.8</v>
      </c>
      <c r="F858" t="s">
        <v>633</v>
      </c>
      <c r="G858" t="s">
        <v>634</v>
      </c>
      <c r="H858" t="s">
        <v>635</v>
      </c>
      <c r="I858" s="6" t="s">
        <v>616</v>
      </c>
      <c r="J858" s="61" t="s">
        <v>22</v>
      </c>
      <c r="L858" s="5" t="str">
        <f t="shared" si="136"/>
        <v>00857</v>
      </c>
      <c r="M858" s="47" t="str">
        <f t="shared" si="137"/>
        <v>25 de febrero de 2018</v>
      </c>
      <c r="N858" s="323">
        <f t="shared" si="139"/>
        <v>25</v>
      </c>
      <c r="O858" s="25">
        <f t="shared" si="138"/>
        <v>43132</v>
      </c>
      <c r="P858" s="5" t="str">
        <f>TEXT(E858,"#.##0,00")</f>
        <v>0,80</v>
      </c>
      <c r="Q858" s="4" t="e">
        <f ca="1">CONVERTIRNUM(E858)</f>
        <v>#NAME?</v>
      </c>
    </row>
    <row r="859" spans="1:17">
      <c r="A859" s="1">
        <f t="shared" si="140"/>
        <v>858</v>
      </c>
      <c r="C859" s="8" t="s">
        <v>17</v>
      </c>
      <c r="D859" s="2">
        <v>43157</v>
      </c>
      <c r="E859" s="3">
        <f>100000/100000</f>
        <v>1</v>
      </c>
      <c r="F859" t="s">
        <v>90</v>
      </c>
      <c r="G859" t="s">
        <v>91</v>
      </c>
      <c r="H859" t="s">
        <v>92</v>
      </c>
      <c r="I859" s="6" t="s">
        <v>616</v>
      </c>
      <c r="J859" s="61" t="s">
        <v>22</v>
      </c>
      <c r="L859" s="5" t="str">
        <f t="shared" si="136"/>
        <v>00858</v>
      </c>
      <c r="M859" s="47" t="str">
        <f t="shared" si="137"/>
        <v>26 de febrero de 2018</v>
      </c>
      <c r="N859" s="323">
        <f t="shared" si="139"/>
        <v>26</v>
      </c>
      <c r="O859" s="25">
        <f t="shared" si="138"/>
        <v>43132</v>
      </c>
      <c r="P859" s="5" t="str">
        <f>TEXT(E859,"#.##0,00")</f>
        <v>1,00</v>
      </c>
      <c r="Q859" s="4" t="e">
        <f ca="1">CONVERTIRNUM(E859)</f>
        <v>#NAME?</v>
      </c>
    </row>
    <row r="860" spans="1:17">
      <c r="A860" s="1">
        <f t="shared" si="140"/>
        <v>859</v>
      </c>
      <c r="C860" s="8" t="s">
        <v>17</v>
      </c>
      <c r="D860" s="2">
        <v>43122</v>
      </c>
      <c r="E860" s="3">
        <f>12450/100000</f>
        <v>0.1245</v>
      </c>
      <c r="F860" t="s">
        <v>287</v>
      </c>
      <c r="G860" t="s">
        <v>288</v>
      </c>
      <c r="H860" t="s">
        <v>289</v>
      </c>
      <c r="I860" s="6" t="s">
        <v>636</v>
      </c>
      <c r="J860" s="61" t="s">
        <v>22</v>
      </c>
      <c r="L860" s="5" t="str">
        <f t="shared" si="136"/>
        <v>00859</v>
      </c>
      <c r="M860" s="47" t="str">
        <f t="shared" si="137"/>
        <v>22 de enero de 2018</v>
      </c>
      <c r="N860" s="323">
        <f t="shared" si="139"/>
        <v>22</v>
      </c>
      <c r="O860" s="25">
        <f t="shared" si="138"/>
        <v>43101</v>
      </c>
      <c r="P860" s="5" t="str">
        <f>TEXT(E860,"#.##0,00")</f>
        <v>0,12</v>
      </c>
      <c r="Q860" s="4" t="e">
        <f ca="1">CONVERTIRNUM(E860)</f>
        <v>#NAME?</v>
      </c>
    </row>
    <row r="861" spans="1:17" ht="15.75" thickBot="1">
      <c r="A861" s="1">
        <f t="shared" si="140"/>
        <v>860</v>
      </c>
      <c r="C861" s="8" t="s">
        <v>17</v>
      </c>
      <c r="D861" s="2">
        <v>43157</v>
      </c>
      <c r="E861" s="3">
        <f>100000/100000</f>
        <v>1</v>
      </c>
      <c r="F861" t="s">
        <v>287</v>
      </c>
      <c r="G861" t="s">
        <v>288</v>
      </c>
      <c r="H861" t="s">
        <v>289</v>
      </c>
      <c r="I861" s="6" t="s">
        <v>637</v>
      </c>
      <c r="J861" s="61" t="s">
        <v>22</v>
      </c>
      <c r="L861" s="5" t="str">
        <f t="shared" si="136"/>
        <v>00860</v>
      </c>
      <c r="M861" s="47" t="str">
        <f t="shared" si="137"/>
        <v>26 de febrero de 2018</v>
      </c>
      <c r="N861" s="323">
        <f t="shared" si="139"/>
        <v>26</v>
      </c>
      <c r="O861" s="25">
        <f t="shared" si="138"/>
        <v>43132</v>
      </c>
      <c r="P861" s="5" t="str">
        <f t="shared" ref="P861:P871" si="143">TEXT(E861,"#.##0,00")</f>
        <v>1,00</v>
      </c>
      <c r="Q861" s="4" t="e">
        <f t="shared" ref="Q861:Q871" ca="1" si="144">CONVERTIRNUM(E861)</f>
        <v>#NAME?</v>
      </c>
    </row>
    <row r="862" spans="1:17" ht="15.75" thickBot="1">
      <c r="A862" s="1">
        <f t="shared" si="140"/>
        <v>861</v>
      </c>
      <c r="C862" s="8" t="s">
        <v>17</v>
      </c>
      <c r="D862" s="2">
        <v>43158</v>
      </c>
      <c r="E862" s="3">
        <f>160000/100000</f>
        <v>1.6</v>
      </c>
      <c r="F862" t="s">
        <v>479</v>
      </c>
      <c r="G862" s="18" t="s">
        <v>58</v>
      </c>
      <c r="H862" t="s">
        <v>481</v>
      </c>
      <c r="I862" s="6" t="s">
        <v>608</v>
      </c>
      <c r="J862" s="61" t="s">
        <v>22</v>
      </c>
      <c r="L862" s="5" t="str">
        <f t="shared" si="136"/>
        <v>00861</v>
      </c>
      <c r="M862" s="47" t="str">
        <f t="shared" si="137"/>
        <v>27 de febrero de 2018</v>
      </c>
      <c r="N862" s="323">
        <f t="shared" si="139"/>
        <v>27</v>
      </c>
      <c r="O862" s="25">
        <f t="shared" si="138"/>
        <v>43132</v>
      </c>
      <c r="P862" s="5" t="str">
        <f t="shared" si="143"/>
        <v>1,60</v>
      </c>
      <c r="Q862" s="4" t="e">
        <f t="shared" ca="1" si="144"/>
        <v>#NAME?</v>
      </c>
    </row>
    <row r="863" spans="1:17">
      <c r="A863" s="1">
        <f t="shared" si="140"/>
        <v>862</v>
      </c>
      <c r="C863" s="8" t="s">
        <v>17</v>
      </c>
      <c r="D863" s="2">
        <v>43158</v>
      </c>
      <c r="E863" s="3">
        <f>30000/100000</f>
        <v>0.3</v>
      </c>
      <c r="F863" t="s">
        <v>144</v>
      </c>
      <c r="G863" t="s">
        <v>145</v>
      </c>
      <c r="H863" t="s">
        <v>146</v>
      </c>
      <c r="I863" s="6" t="s">
        <v>638</v>
      </c>
      <c r="J863" s="61" t="s">
        <v>22</v>
      </c>
      <c r="L863" s="5" t="str">
        <f t="shared" si="136"/>
        <v>00862</v>
      </c>
      <c r="M863" s="47" t="str">
        <f t="shared" si="137"/>
        <v>27 de febrero de 2018</v>
      </c>
      <c r="N863" s="323">
        <f t="shared" si="139"/>
        <v>27</v>
      </c>
      <c r="O863" s="25">
        <f t="shared" si="138"/>
        <v>43132</v>
      </c>
      <c r="P863" s="5" t="str">
        <f t="shared" si="143"/>
        <v>0,30</v>
      </c>
      <c r="Q863" s="4" t="e">
        <f t="shared" ca="1" si="144"/>
        <v>#NAME?</v>
      </c>
    </row>
    <row r="864" spans="1:17">
      <c r="A864" s="1">
        <f t="shared" si="140"/>
        <v>863</v>
      </c>
      <c r="C864" s="8" t="s">
        <v>17</v>
      </c>
      <c r="D864" s="2">
        <v>43158</v>
      </c>
      <c r="E864" s="3">
        <f>80000/100000</f>
        <v>0.8</v>
      </c>
      <c r="F864" t="s">
        <v>211</v>
      </c>
      <c r="G864" t="s">
        <v>212</v>
      </c>
      <c r="H864" t="s">
        <v>213</v>
      </c>
      <c r="I864" s="6" t="s">
        <v>616</v>
      </c>
      <c r="J864" s="61" t="s">
        <v>22</v>
      </c>
      <c r="L864" s="5" t="str">
        <f t="shared" si="136"/>
        <v>00863</v>
      </c>
      <c r="M864" s="47" t="str">
        <f t="shared" si="137"/>
        <v>27 de febrero de 2018</v>
      </c>
      <c r="N864" s="323">
        <f t="shared" si="139"/>
        <v>27</v>
      </c>
      <c r="O864" s="25">
        <f t="shared" si="138"/>
        <v>43132</v>
      </c>
      <c r="P864" s="5" t="str">
        <f t="shared" si="143"/>
        <v>0,80</v>
      </c>
      <c r="Q864" s="4" t="e">
        <f t="shared" ca="1" si="144"/>
        <v>#NAME?</v>
      </c>
    </row>
    <row r="865" spans="1:17">
      <c r="A865" s="1">
        <f t="shared" si="140"/>
        <v>864</v>
      </c>
      <c r="C865" s="8" t="s">
        <v>17</v>
      </c>
      <c r="D865" s="2">
        <v>43158</v>
      </c>
      <c r="E865" s="3">
        <f>80000/100000</f>
        <v>0.8</v>
      </c>
      <c r="F865" t="s">
        <v>296</v>
      </c>
      <c r="G865" t="s">
        <v>297</v>
      </c>
      <c r="H865" t="s">
        <v>298</v>
      </c>
      <c r="I865" s="6" t="s">
        <v>616</v>
      </c>
      <c r="J865" s="61" t="s">
        <v>22</v>
      </c>
      <c r="L865" s="5" t="str">
        <f t="shared" si="136"/>
        <v>00864</v>
      </c>
      <c r="M865" s="47" t="str">
        <f t="shared" si="137"/>
        <v>27 de febrero de 2018</v>
      </c>
      <c r="N865" s="323">
        <f t="shared" si="139"/>
        <v>27</v>
      </c>
      <c r="O865" s="25">
        <f t="shared" si="138"/>
        <v>43132</v>
      </c>
      <c r="P865" s="5" t="str">
        <f t="shared" si="143"/>
        <v>0,80</v>
      </c>
      <c r="Q865" s="4" t="e">
        <f t="shared" ca="1" si="144"/>
        <v>#NAME?</v>
      </c>
    </row>
    <row r="866" spans="1:17">
      <c r="A866" s="1">
        <f t="shared" si="140"/>
        <v>865</v>
      </c>
      <c r="C866" s="8" t="s">
        <v>17</v>
      </c>
      <c r="D866" s="2">
        <v>43159</v>
      </c>
      <c r="E866" s="3">
        <f>200000/100000</f>
        <v>2</v>
      </c>
      <c r="F866" t="s">
        <v>44</v>
      </c>
      <c r="G866" t="s">
        <v>45</v>
      </c>
      <c r="H866" t="s">
        <v>46</v>
      </c>
      <c r="I866" s="6" t="s">
        <v>639</v>
      </c>
      <c r="J866" s="61" t="s">
        <v>22</v>
      </c>
      <c r="L866" s="5" t="str">
        <f t="shared" si="136"/>
        <v>00865</v>
      </c>
      <c r="M866" s="47" t="str">
        <f t="shared" si="137"/>
        <v>28 de febrero de 2018</v>
      </c>
      <c r="N866" s="323">
        <f t="shared" si="139"/>
        <v>28</v>
      </c>
      <c r="O866" s="25">
        <f t="shared" si="138"/>
        <v>43132</v>
      </c>
      <c r="P866" s="5" t="str">
        <f t="shared" si="143"/>
        <v>2,00</v>
      </c>
      <c r="Q866" s="4" t="e">
        <f t="shared" ca="1" si="144"/>
        <v>#NAME?</v>
      </c>
    </row>
    <row r="867" spans="1:17" ht="15.75" thickBot="1">
      <c r="A867" s="1">
        <f t="shared" si="140"/>
        <v>866</v>
      </c>
      <c r="C867" s="8" t="s">
        <v>17</v>
      </c>
      <c r="D867" s="2">
        <v>43159</v>
      </c>
      <c r="E867" s="3">
        <f>80000/100000</f>
        <v>0.8</v>
      </c>
      <c r="F867" t="s">
        <v>134</v>
      </c>
      <c r="G867" t="s">
        <v>135</v>
      </c>
      <c r="H867" t="s">
        <v>136</v>
      </c>
      <c r="I867" s="6" t="s">
        <v>616</v>
      </c>
      <c r="J867" s="61" t="s">
        <v>22</v>
      </c>
      <c r="L867" s="5" t="str">
        <f t="shared" si="136"/>
        <v>00866</v>
      </c>
      <c r="M867" s="47" t="str">
        <f t="shared" si="137"/>
        <v>28 de febrero de 2018</v>
      </c>
      <c r="N867" s="323">
        <f t="shared" si="139"/>
        <v>28</v>
      </c>
      <c r="O867" s="25">
        <f t="shared" si="138"/>
        <v>43132</v>
      </c>
      <c r="P867" s="5" t="str">
        <f t="shared" si="143"/>
        <v>0,80</v>
      </c>
      <c r="Q867" s="4" t="e">
        <f t="shared" ca="1" si="144"/>
        <v>#NAME?</v>
      </c>
    </row>
    <row r="868" spans="1:17" ht="15.75" thickBot="1">
      <c r="A868" s="1">
        <f t="shared" si="140"/>
        <v>867</v>
      </c>
      <c r="C868" s="8" t="s">
        <v>17</v>
      </c>
      <c r="D868" s="2">
        <v>43159</v>
      </c>
      <c r="E868" s="3">
        <f>180000/100000</f>
        <v>1.8</v>
      </c>
      <c r="F868" t="s">
        <v>239</v>
      </c>
      <c r="G868" s="73" t="s">
        <v>240</v>
      </c>
      <c r="H868" t="s">
        <v>241</v>
      </c>
      <c r="I868" s="6" t="s">
        <v>608</v>
      </c>
      <c r="J868" s="61" t="s">
        <v>22</v>
      </c>
      <c r="L868" s="5" t="str">
        <f t="shared" si="136"/>
        <v>00867</v>
      </c>
      <c r="M868" s="47" t="str">
        <f t="shared" si="137"/>
        <v>28 de febrero de 2018</v>
      </c>
      <c r="N868" s="323">
        <f t="shared" si="139"/>
        <v>28</v>
      </c>
      <c r="O868" s="25">
        <f t="shared" si="138"/>
        <v>43132</v>
      </c>
      <c r="P868" s="5" t="str">
        <f t="shared" si="143"/>
        <v>1,80</v>
      </c>
      <c r="Q868" s="4" t="e">
        <f t="shared" ca="1" si="144"/>
        <v>#NAME?</v>
      </c>
    </row>
    <row r="869" spans="1:17">
      <c r="A869" s="1">
        <f t="shared" si="140"/>
        <v>868</v>
      </c>
      <c r="C869" s="8" t="s">
        <v>17</v>
      </c>
      <c r="D869" s="2">
        <v>43159</v>
      </c>
      <c r="E869" s="3">
        <f>160000/100000</f>
        <v>1.6</v>
      </c>
      <c r="F869" t="s">
        <v>483</v>
      </c>
      <c r="G869" t="s">
        <v>484</v>
      </c>
      <c r="H869" t="s">
        <v>485</v>
      </c>
      <c r="I869" s="6" t="s">
        <v>640</v>
      </c>
      <c r="J869" s="61" t="s">
        <v>22</v>
      </c>
      <c r="L869" s="5" t="str">
        <f t="shared" si="136"/>
        <v>00868</v>
      </c>
      <c r="M869" s="47" t="str">
        <f t="shared" si="137"/>
        <v>28 de febrero de 2018</v>
      </c>
      <c r="N869" s="323">
        <f t="shared" si="139"/>
        <v>28</v>
      </c>
      <c r="O869" s="25">
        <f t="shared" si="138"/>
        <v>43132</v>
      </c>
      <c r="P869" s="5" t="str">
        <f t="shared" si="143"/>
        <v>1,60</v>
      </c>
      <c r="Q869" s="4" t="e">
        <f t="shared" ca="1" si="144"/>
        <v>#NAME?</v>
      </c>
    </row>
    <row r="870" spans="1:17">
      <c r="A870" s="1">
        <f t="shared" si="140"/>
        <v>869</v>
      </c>
      <c r="C870" s="8" t="s">
        <v>17</v>
      </c>
      <c r="D870" s="2">
        <v>43160</v>
      </c>
      <c r="E870" s="3">
        <f>130000/100000</f>
        <v>1.3</v>
      </c>
      <c r="F870" t="s">
        <v>107</v>
      </c>
      <c r="G870" t="s">
        <v>108</v>
      </c>
      <c r="H870" t="s">
        <v>109</v>
      </c>
      <c r="I870" s="6" t="s">
        <v>641</v>
      </c>
      <c r="J870" s="61" t="s">
        <v>22</v>
      </c>
      <c r="L870" s="5" t="str">
        <f t="shared" si="136"/>
        <v>00869</v>
      </c>
      <c r="M870" s="47" t="str">
        <f t="shared" si="137"/>
        <v>01 de marzo de 2018</v>
      </c>
      <c r="N870" s="323">
        <f t="shared" si="139"/>
        <v>1</v>
      </c>
      <c r="O870" s="25">
        <f t="shared" si="138"/>
        <v>43160</v>
      </c>
      <c r="P870" s="5" t="str">
        <f t="shared" si="143"/>
        <v>1,30</v>
      </c>
      <c r="Q870" s="4" t="e">
        <f t="shared" ca="1" si="144"/>
        <v>#NAME?</v>
      </c>
    </row>
    <row r="871" spans="1:17">
      <c r="A871" s="1">
        <f t="shared" si="140"/>
        <v>870</v>
      </c>
      <c r="C871" s="8" t="s">
        <v>17</v>
      </c>
      <c r="D871" s="2">
        <v>43160</v>
      </c>
      <c r="E871" s="3">
        <f>140000/100000</f>
        <v>1.4</v>
      </c>
      <c r="F871" t="s">
        <v>558</v>
      </c>
      <c r="G871" t="s">
        <v>559</v>
      </c>
      <c r="H871" t="s">
        <v>560</v>
      </c>
      <c r="I871" s="6" t="s">
        <v>630</v>
      </c>
      <c r="J871" s="61" t="s">
        <v>22</v>
      </c>
      <c r="L871" s="5" t="str">
        <f t="shared" si="136"/>
        <v>00870</v>
      </c>
      <c r="M871" s="47" t="str">
        <f t="shared" si="137"/>
        <v>01 de marzo de 2018</v>
      </c>
      <c r="N871" s="323">
        <f t="shared" si="139"/>
        <v>1</v>
      </c>
      <c r="O871" s="25">
        <f t="shared" si="138"/>
        <v>43160</v>
      </c>
      <c r="P871" s="5" t="str">
        <f t="shared" si="143"/>
        <v>1,40</v>
      </c>
      <c r="Q871" s="4" t="e">
        <f t="shared" ca="1" si="144"/>
        <v>#NAME?</v>
      </c>
    </row>
    <row r="872" spans="1:17">
      <c r="A872" s="1">
        <f t="shared" si="140"/>
        <v>871</v>
      </c>
      <c r="C872" s="8" t="s">
        <v>17</v>
      </c>
      <c r="D872" s="2">
        <v>43161</v>
      </c>
      <c r="E872" s="3">
        <f>10000/100000</f>
        <v>0.1</v>
      </c>
      <c r="F872" t="s">
        <v>107</v>
      </c>
      <c r="G872" t="s">
        <v>108</v>
      </c>
      <c r="H872" t="s">
        <v>109</v>
      </c>
      <c r="I872" s="6" t="s">
        <v>642</v>
      </c>
      <c r="J872" s="61" t="s">
        <v>22</v>
      </c>
      <c r="L872" s="5" t="str">
        <f t="shared" si="136"/>
        <v>00871</v>
      </c>
      <c r="M872" s="47" t="str">
        <f t="shared" si="137"/>
        <v>02 de marzo de 2018</v>
      </c>
      <c r="N872" s="323">
        <f t="shared" si="139"/>
        <v>2</v>
      </c>
      <c r="O872" s="25">
        <f t="shared" si="138"/>
        <v>43160</v>
      </c>
      <c r="P872" s="5" t="str">
        <f t="shared" ref="P872:P906" si="145">TEXT(E872,"#.##0,00")</f>
        <v>0,10</v>
      </c>
      <c r="Q872" s="4" t="e">
        <f t="shared" ref="Q872:Q906" ca="1" si="146">CONVERTIRNUM(E872)</f>
        <v>#NAME?</v>
      </c>
    </row>
    <row r="873" spans="1:17" ht="15.75" thickBot="1">
      <c r="A873" s="1">
        <f t="shared" si="140"/>
        <v>872</v>
      </c>
      <c r="C873" s="8" t="s">
        <v>17</v>
      </c>
      <c r="D873" s="2">
        <v>43161</v>
      </c>
      <c r="E873" s="3">
        <f>140000/100000</f>
        <v>1.4</v>
      </c>
      <c r="F873" t="s">
        <v>80</v>
      </c>
      <c r="G873" t="s">
        <v>81</v>
      </c>
      <c r="H873" t="s">
        <v>82</v>
      </c>
      <c r="I873" s="6" t="s">
        <v>630</v>
      </c>
      <c r="J873" s="61" t="s">
        <v>22</v>
      </c>
      <c r="L873" s="5" t="str">
        <f t="shared" si="136"/>
        <v>00872</v>
      </c>
      <c r="M873" s="47" t="str">
        <f t="shared" si="137"/>
        <v>02 de marzo de 2018</v>
      </c>
      <c r="N873" s="323">
        <f t="shared" si="139"/>
        <v>2</v>
      </c>
      <c r="O873" s="25">
        <f t="shared" si="138"/>
        <v>43160</v>
      </c>
      <c r="P873" s="5" t="str">
        <f t="shared" si="145"/>
        <v>1,40</v>
      </c>
      <c r="Q873" s="4" t="e">
        <f t="shared" ca="1" si="146"/>
        <v>#NAME?</v>
      </c>
    </row>
    <row r="874" spans="1:17" ht="15.75" thickBot="1">
      <c r="A874" s="1">
        <f t="shared" si="140"/>
        <v>873</v>
      </c>
      <c r="C874" s="8" t="s">
        <v>17</v>
      </c>
      <c r="D874" s="2">
        <v>43161</v>
      </c>
      <c r="E874" s="3">
        <f>60000/100000+120000/100000</f>
        <v>1.7999999999999998</v>
      </c>
      <c r="F874" t="s">
        <v>280</v>
      </c>
      <c r="G874" s="18" t="s">
        <v>58</v>
      </c>
      <c r="H874" t="s">
        <v>282</v>
      </c>
      <c r="I874" s="6" t="s">
        <v>643</v>
      </c>
      <c r="J874" s="61" t="s">
        <v>22</v>
      </c>
      <c r="L874" s="5" t="str">
        <f t="shared" si="136"/>
        <v>00873</v>
      </c>
      <c r="M874" s="47" t="str">
        <f t="shared" si="137"/>
        <v>02 de marzo de 2018</v>
      </c>
      <c r="N874" s="323">
        <f t="shared" si="139"/>
        <v>2</v>
      </c>
      <c r="O874" s="25">
        <f t="shared" si="138"/>
        <v>43160</v>
      </c>
      <c r="P874" s="5" t="str">
        <f t="shared" si="145"/>
        <v>1,80</v>
      </c>
      <c r="Q874" s="4" t="e">
        <f t="shared" ca="1" si="146"/>
        <v>#NAME?</v>
      </c>
    </row>
    <row r="875" spans="1:17" ht="15.75" thickBot="1">
      <c r="A875" s="1">
        <f t="shared" si="140"/>
        <v>874</v>
      </c>
      <c r="C875" s="8" t="s">
        <v>17</v>
      </c>
      <c r="D875" s="2">
        <v>43161</v>
      </c>
      <c r="E875" s="3">
        <f>170000/100000</f>
        <v>1.7</v>
      </c>
      <c r="F875" t="s">
        <v>177</v>
      </c>
      <c r="G875" s="18" t="s">
        <v>58</v>
      </c>
      <c r="H875" t="s">
        <v>179</v>
      </c>
      <c r="I875" s="6" t="s">
        <v>644</v>
      </c>
      <c r="J875" s="61" t="s">
        <v>22</v>
      </c>
      <c r="L875" s="5" t="str">
        <f t="shared" si="136"/>
        <v>00874</v>
      </c>
      <c r="M875" s="47" t="str">
        <f t="shared" si="137"/>
        <v>02 de marzo de 2018</v>
      </c>
      <c r="N875" s="323">
        <f t="shared" si="139"/>
        <v>2</v>
      </c>
      <c r="O875" s="25">
        <f t="shared" si="138"/>
        <v>43160</v>
      </c>
      <c r="P875" s="5" t="str">
        <f t="shared" si="145"/>
        <v>1,70</v>
      </c>
      <c r="Q875" s="4" t="e">
        <f t="shared" ca="1" si="146"/>
        <v>#NAME?</v>
      </c>
    </row>
    <row r="876" spans="1:17">
      <c r="A876" s="1">
        <f t="shared" si="140"/>
        <v>875</v>
      </c>
      <c r="C876" s="8" t="s">
        <v>17</v>
      </c>
      <c r="D876" s="2">
        <v>43161</v>
      </c>
      <c r="E876" s="3">
        <f>80000/100000</f>
        <v>0.8</v>
      </c>
      <c r="F876" t="s">
        <v>362</v>
      </c>
      <c r="G876" t="s">
        <v>363</v>
      </c>
      <c r="H876" t="s">
        <v>364</v>
      </c>
      <c r="I876" s="6" t="s">
        <v>616</v>
      </c>
      <c r="J876" s="61" t="s">
        <v>22</v>
      </c>
      <c r="L876" s="5" t="str">
        <f t="shared" si="136"/>
        <v>00875</v>
      </c>
      <c r="M876" s="47" t="str">
        <f t="shared" si="137"/>
        <v>02 de marzo de 2018</v>
      </c>
      <c r="N876" s="323">
        <f t="shared" si="139"/>
        <v>2</v>
      </c>
      <c r="O876" s="25">
        <f t="shared" si="138"/>
        <v>43160</v>
      </c>
      <c r="P876" s="5" t="str">
        <f t="shared" si="145"/>
        <v>0,80</v>
      </c>
      <c r="Q876" s="4" t="e">
        <f t="shared" ca="1" si="146"/>
        <v>#NAME?</v>
      </c>
    </row>
    <row r="877" spans="1:17">
      <c r="A877" s="1">
        <f t="shared" si="140"/>
        <v>876</v>
      </c>
      <c r="C877" s="8" t="s">
        <v>17</v>
      </c>
      <c r="D877" s="2">
        <v>43161</v>
      </c>
      <c r="E877" s="3">
        <f>100000/100000</f>
        <v>1</v>
      </c>
      <c r="F877" t="s">
        <v>84</v>
      </c>
      <c r="G877" t="s">
        <v>85</v>
      </c>
      <c r="H877" t="s">
        <v>86</v>
      </c>
      <c r="I877" s="6" t="s">
        <v>645</v>
      </c>
      <c r="J877" s="61" t="s">
        <v>22</v>
      </c>
      <c r="L877" s="5" t="str">
        <f t="shared" si="136"/>
        <v>00876</v>
      </c>
      <c r="M877" s="47" t="str">
        <f t="shared" si="137"/>
        <v>02 de marzo de 2018</v>
      </c>
      <c r="N877" s="323">
        <f t="shared" si="139"/>
        <v>2</v>
      </c>
      <c r="O877" s="25">
        <f t="shared" si="138"/>
        <v>43160</v>
      </c>
      <c r="P877" s="5" t="str">
        <f t="shared" si="145"/>
        <v>1,00</v>
      </c>
      <c r="Q877" s="4" t="e">
        <f t="shared" ca="1" si="146"/>
        <v>#NAME?</v>
      </c>
    </row>
    <row r="878" spans="1:17">
      <c r="A878" s="1">
        <f t="shared" si="140"/>
        <v>877</v>
      </c>
      <c r="C878" s="8" t="s">
        <v>17</v>
      </c>
      <c r="D878" s="2">
        <v>43161</v>
      </c>
      <c r="E878" s="3">
        <f>140000/100000</f>
        <v>1.4</v>
      </c>
      <c r="F878" t="s">
        <v>18</v>
      </c>
      <c r="G878" t="s">
        <v>19</v>
      </c>
      <c r="H878" t="s">
        <v>20</v>
      </c>
      <c r="I878" s="6" t="s">
        <v>646</v>
      </c>
      <c r="J878" s="61" t="s">
        <v>22</v>
      </c>
      <c r="L878" s="5" t="str">
        <f t="shared" si="136"/>
        <v>00877</v>
      </c>
      <c r="M878" s="47" t="str">
        <f t="shared" si="137"/>
        <v>02 de marzo de 2018</v>
      </c>
      <c r="N878" s="323">
        <f t="shared" si="139"/>
        <v>2</v>
      </c>
      <c r="O878" s="25">
        <f t="shared" si="138"/>
        <v>43160</v>
      </c>
      <c r="P878" s="5" t="str">
        <f t="shared" si="145"/>
        <v>1,40</v>
      </c>
      <c r="Q878" s="4" t="e">
        <f t="shared" ca="1" si="146"/>
        <v>#NAME?</v>
      </c>
    </row>
    <row r="879" spans="1:17" ht="15.75" thickBot="1">
      <c r="A879" s="1">
        <f t="shared" si="140"/>
        <v>878</v>
      </c>
      <c r="C879" s="8" t="s">
        <v>17</v>
      </c>
      <c r="D879" s="2">
        <v>43164</v>
      </c>
      <c r="E879" s="3">
        <f>200000/100000</f>
        <v>2</v>
      </c>
      <c r="F879" t="s">
        <v>48</v>
      </c>
      <c r="G879" t="s">
        <v>49</v>
      </c>
      <c r="H879" t="s">
        <v>50</v>
      </c>
      <c r="I879" s="6" t="s">
        <v>647</v>
      </c>
      <c r="J879" s="61" t="s">
        <v>22</v>
      </c>
      <c r="L879" s="5" t="str">
        <f t="shared" si="136"/>
        <v>00878</v>
      </c>
      <c r="M879" s="47" t="str">
        <f t="shared" si="137"/>
        <v>05 de marzo de 2018</v>
      </c>
      <c r="N879" s="323">
        <f t="shared" si="139"/>
        <v>5</v>
      </c>
      <c r="O879" s="25">
        <f t="shared" si="138"/>
        <v>43160</v>
      </c>
      <c r="P879" s="5" t="str">
        <f t="shared" si="145"/>
        <v>2,00</v>
      </c>
      <c r="Q879" s="4" t="e">
        <f t="shared" ca="1" si="146"/>
        <v>#NAME?</v>
      </c>
    </row>
    <row r="880" spans="1:17" ht="15.75" thickBot="1">
      <c r="A880" s="1">
        <f t="shared" si="140"/>
        <v>879</v>
      </c>
      <c r="C880" s="8" t="s">
        <v>17</v>
      </c>
      <c r="D880" s="2">
        <v>43122</v>
      </c>
      <c r="E880" s="3">
        <f>80000/100000</f>
        <v>0.8</v>
      </c>
      <c r="F880" t="s">
        <v>319</v>
      </c>
      <c r="G880" s="18" t="s">
        <v>58</v>
      </c>
      <c r="H880" t="s">
        <v>320</v>
      </c>
      <c r="I880" s="6" t="s">
        <v>616</v>
      </c>
      <c r="J880" s="61" t="s">
        <v>22</v>
      </c>
      <c r="L880" s="5" t="str">
        <f t="shared" si="136"/>
        <v>00879</v>
      </c>
      <c r="M880" s="47" t="str">
        <f t="shared" si="137"/>
        <v>22 de enero de 2018</v>
      </c>
      <c r="N880" s="323">
        <f t="shared" si="139"/>
        <v>22</v>
      </c>
      <c r="O880" s="25">
        <f t="shared" si="138"/>
        <v>43101</v>
      </c>
      <c r="P880" s="5" t="str">
        <f t="shared" si="145"/>
        <v>0,80</v>
      </c>
      <c r="Q880" s="4" t="e">
        <f t="shared" ca="1" si="146"/>
        <v>#NAME?</v>
      </c>
    </row>
    <row r="881" spans="1:17" ht="15.75" thickBot="1">
      <c r="A881" s="1">
        <f t="shared" si="140"/>
        <v>880</v>
      </c>
      <c r="C881" s="8" t="s">
        <v>17</v>
      </c>
      <c r="D881" s="2">
        <v>43166</v>
      </c>
      <c r="E881" s="3">
        <f>140000/100000</f>
        <v>1.4</v>
      </c>
      <c r="F881" t="s">
        <v>70</v>
      </c>
      <c r="G881" t="s">
        <v>71</v>
      </c>
      <c r="H881" t="s">
        <v>72</v>
      </c>
      <c r="I881" s="6" t="s">
        <v>648</v>
      </c>
      <c r="J881" s="61" t="s">
        <v>22</v>
      </c>
      <c r="L881" s="5" t="str">
        <f t="shared" si="136"/>
        <v>00880</v>
      </c>
      <c r="M881" s="47" t="str">
        <f t="shared" si="137"/>
        <v>07 de marzo de 2018</v>
      </c>
      <c r="N881" s="323">
        <f t="shared" si="139"/>
        <v>7</v>
      </c>
      <c r="O881" s="25">
        <f t="shared" si="138"/>
        <v>43160</v>
      </c>
      <c r="P881" s="5" t="str">
        <f t="shared" si="145"/>
        <v>1,40</v>
      </c>
      <c r="Q881" s="4" t="e">
        <f t="shared" ca="1" si="146"/>
        <v>#NAME?</v>
      </c>
    </row>
    <row r="882" spans="1:17" ht="15.75" thickBot="1">
      <c r="A882" s="1">
        <f t="shared" si="140"/>
        <v>881</v>
      </c>
      <c r="C882" s="8" t="s">
        <v>17</v>
      </c>
      <c r="D882" s="2">
        <v>43166</v>
      </c>
      <c r="E882" s="3">
        <f>80000*2/100000</f>
        <v>1.6</v>
      </c>
      <c r="F882" t="s">
        <v>259</v>
      </c>
      <c r="G882" s="18" t="s">
        <v>58</v>
      </c>
      <c r="H882" t="s">
        <v>261</v>
      </c>
      <c r="I882" s="6" t="s">
        <v>608</v>
      </c>
      <c r="J882" s="61" t="s">
        <v>22</v>
      </c>
      <c r="L882" s="5" t="str">
        <f t="shared" si="136"/>
        <v>00881</v>
      </c>
      <c r="M882" s="47" t="str">
        <f t="shared" si="137"/>
        <v>07 de marzo de 2018</v>
      </c>
      <c r="N882" s="323">
        <f t="shared" si="139"/>
        <v>7</v>
      </c>
      <c r="O882" s="25">
        <f t="shared" si="138"/>
        <v>43160</v>
      </c>
      <c r="P882" s="5" t="str">
        <f t="shared" si="145"/>
        <v>1,60</v>
      </c>
      <c r="Q882" s="4" t="e">
        <f t="shared" ca="1" si="146"/>
        <v>#NAME?</v>
      </c>
    </row>
    <row r="883" spans="1:17">
      <c r="A883" s="1">
        <f t="shared" si="140"/>
        <v>882</v>
      </c>
      <c r="C883" s="8" t="s">
        <v>17</v>
      </c>
      <c r="D883" s="2">
        <v>43166</v>
      </c>
      <c r="E883" s="3">
        <f>140000/100000</f>
        <v>1.4</v>
      </c>
      <c r="F883" t="s">
        <v>24</v>
      </c>
      <c r="G883" t="s">
        <v>25</v>
      </c>
      <c r="H883" t="s">
        <v>26</v>
      </c>
      <c r="I883" s="6" t="s">
        <v>630</v>
      </c>
      <c r="J883" s="61" t="s">
        <v>22</v>
      </c>
      <c r="L883" s="5" t="str">
        <f t="shared" si="136"/>
        <v>00882</v>
      </c>
      <c r="M883" s="47" t="str">
        <f t="shared" si="137"/>
        <v>07 de marzo de 2018</v>
      </c>
      <c r="N883" s="323">
        <f t="shared" si="139"/>
        <v>7</v>
      </c>
      <c r="O883" s="25">
        <f t="shared" si="138"/>
        <v>43160</v>
      </c>
      <c r="P883" s="5" t="str">
        <f t="shared" si="145"/>
        <v>1,40</v>
      </c>
      <c r="Q883" s="4" t="e">
        <f t="shared" ca="1" si="146"/>
        <v>#NAME?</v>
      </c>
    </row>
    <row r="884" spans="1:17">
      <c r="A884" s="1">
        <f t="shared" si="140"/>
        <v>883</v>
      </c>
      <c r="C884" s="8" t="s">
        <v>17</v>
      </c>
      <c r="D884" s="2">
        <v>43168</v>
      </c>
      <c r="E884" s="3">
        <f>140000/100000</f>
        <v>1.4</v>
      </c>
      <c r="F884" t="s">
        <v>40</v>
      </c>
      <c r="G884" t="s">
        <v>41</v>
      </c>
      <c r="H884" t="s">
        <v>42</v>
      </c>
      <c r="I884" s="6" t="s">
        <v>630</v>
      </c>
      <c r="J884" s="61" t="s">
        <v>22</v>
      </c>
      <c r="L884" s="5" t="str">
        <f t="shared" si="136"/>
        <v>00883</v>
      </c>
      <c r="M884" s="47" t="str">
        <f t="shared" si="137"/>
        <v>09 de marzo de 2018</v>
      </c>
      <c r="N884" s="323">
        <f t="shared" si="139"/>
        <v>9</v>
      </c>
      <c r="O884" s="25">
        <f t="shared" si="138"/>
        <v>43160</v>
      </c>
      <c r="P884" s="5" t="str">
        <f t="shared" si="145"/>
        <v>1,40</v>
      </c>
      <c r="Q884" s="4" t="e">
        <f t="shared" ca="1" si="146"/>
        <v>#NAME?</v>
      </c>
    </row>
    <row r="885" spans="1:17">
      <c r="A885" s="178">
        <f t="shared" si="140"/>
        <v>884</v>
      </c>
      <c r="C885" s="8" t="s">
        <v>17</v>
      </c>
      <c r="D885" s="2">
        <v>43168</v>
      </c>
      <c r="E885" s="3">
        <f>140000/100000</f>
        <v>1.4</v>
      </c>
      <c r="F885" t="s">
        <v>438</v>
      </c>
      <c r="G885" t="s">
        <v>439</v>
      </c>
      <c r="H885" t="s">
        <v>440</v>
      </c>
      <c r="I885" s="6" t="s">
        <v>649</v>
      </c>
      <c r="J885" s="61" t="s">
        <v>22</v>
      </c>
      <c r="L885" s="5" t="str">
        <f t="shared" si="136"/>
        <v>00884</v>
      </c>
      <c r="M885" s="47" t="str">
        <f t="shared" si="137"/>
        <v>09 de marzo de 2018</v>
      </c>
      <c r="N885" s="323">
        <f t="shared" si="139"/>
        <v>9</v>
      </c>
      <c r="O885" s="25">
        <f t="shared" si="138"/>
        <v>43160</v>
      </c>
      <c r="P885" s="5" t="str">
        <f t="shared" si="145"/>
        <v>1,40</v>
      </c>
      <c r="Q885" s="4" t="e">
        <f t="shared" ca="1" si="146"/>
        <v>#NAME?</v>
      </c>
    </row>
    <row r="886" spans="1:17">
      <c r="A886" s="1">
        <f t="shared" si="140"/>
        <v>885</v>
      </c>
      <c r="C886" s="8" t="s">
        <v>17</v>
      </c>
      <c r="D886" s="2">
        <v>43171</v>
      </c>
      <c r="E886" s="3">
        <f>140000/100000</f>
        <v>1.4</v>
      </c>
      <c r="F886" t="s">
        <v>181</v>
      </c>
      <c r="G886" t="s">
        <v>182</v>
      </c>
      <c r="H886" t="s">
        <v>183</v>
      </c>
      <c r="I886" s="6" t="s">
        <v>630</v>
      </c>
      <c r="J886" s="61" t="s">
        <v>22</v>
      </c>
      <c r="L886" s="5" t="str">
        <f t="shared" si="136"/>
        <v>00885</v>
      </c>
      <c r="M886" s="47" t="str">
        <f t="shared" si="137"/>
        <v>12 de marzo de 2018</v>
      </c>
      <c r="N886" s="323">
        <f t="shared" si="139"/>
        <v>12</v>
      </c>
      <c r="O886" s="25">
        <f t="shared" si="138"/>
        <v>43160</v>
      </c>
      <c r="P886" s="5" t="str">
        <f t="shared" si="145"/>
        <v>1,40</v>
      </c>
      <c r="Q886" s="4" t="e">
        <f t="shared" ca="1" si="146"/>
        <v>#NAME?</v>
      </c>
    </row>
    <row r="887" spans="1:17">
      <c r="A887" s="1">
        <f t="shared" si="140"/>
        <v>886</v>
      </c>
      <c r="C887" s="8" t="s">
        <v>17</v>
      </c>
      <c r="D887" s="2">
        <v>43171</v>
      </c>
      <c r="E887" s="3">
        <f>80000/100000</f>
        <v>0.8</v>
      </c>
      <c r="F887" t="s">
        <v>118</v>
      </c>
      <c r="G887" t="s">
        <v>119</v>
      </c>
      <c r="H887" t="s">
        <v>120</v>
      </c>
      <c r="I887" s="6" t="s">
        <v>616</v>
      </c>
      <c r="J887" s="61" t="s">
        <v>22</v>
      </c>
      <c r="L887" s="5" t="str">
        <f t="shared" si="136"/>
        <v>00886</v>
      </c>
      <c r="M887" s="47" t="str">
        <f t="shared" si="137"/>
        <v>12 de marzo de 2018</v>
      </c>
      <c r="N887" s="323">
        <f t="shared" si="139"/>
        <v>12</v>
      </c>
      <c r="O887" s="25">
        <f t="shared" si="138"/>
        <v>43160</v>
      </c>
      <c r="P887" s="5" t="str">
        <f t="shared" si="145"/>
        <v>0,80</v>
      </c>
      <c r="Q887" s="4" t="e">
        <f t="shared" ca="1" si="146"/>
        <v>#NAME?</v>
      </c>
    </row>
    <row r="888" spans="1:17" ht="15.75" thickBot="1">
      <c r="A888" s="1">
        <f t="shared" si="140"/>
        <v>887</v>
      </c>
      <c r="C888" s="8" t="s">
        <v>17</v>
      </c>
      <c r="D888" s="2">
        <v>43171</v>
      </c>
      <c r="E888" s="3">
        <f>80000/100000+140000/100000</f>
        <v>2.2000000000000002</v>
      </c>
      <c r="F888" t="s">
        <v>264</v>
      </c>
      <c r="G888" t="s">
        <v>265</v>
      </c>
      <c r="H888" t="s">
        <v>266</v>
      </c>
      <c r="I888" s="6" t="s">
        <v>640</v>
      </c>
      <c r="J888" s="61" t="s">
        <v>22</v>
      </c>
      <c r="L888" s="5" t="str">
        <f t="shared" si="136"/>
        <v>00887</v>
      </c>
      <c r="M888" s="47" t="str">
        <f t="shared" si="137"/>
        <v>12 de marzo de 2018</v>
      </c>
      <c r="N888" s="323">
        <f t="shared" si="139"/>
        <v>12</v>
      </c>
      <c r="O888" s="25">
        <f t="shared" si="138"/>
        <v>43160</v>
      </c>
      <c r="P888" s="5" t="str">
        <f t="shared" si="145"/>
        <v>2,20</v>
      </c>
      <c r="Q888" s="4" t="e">
        <f t="shared" ca="1" si="146"/>
        <v>#NAME?</v>
      </c>
    </row>
    <row r="889" spans="1:17" ht="15.75" thickBot="1">
      <c r="A889" s="1">
        <f t="shared" si="140"/>
        <v>888</v>
      </c>
      <c r="C889" s="8" t="s">
        <v>17</v>
      </c>
      <c r="D889" s="2">
        <v>43153</v>
      </c>
      <c r="E889" s="3">
        <f>30000/100000</f>
        <v>0.3</v>
      </c>
      <c r="F889" t="s">
        <v>303</v>
      </c>
      <c r="G889" s="18" t="s">
        <v>58</v>
      </c>
      <c r="H889" t="s">
        <v>304</v>
      </c>
      <c r="I889" s="6" t="s">
        <v>601</v>
      </c>
      <c r="J889" s="61" t="s">
        <v>22</v>
      </c>
      <c r="L889" s="5" t="str">
        <f t="shared" si="136"/>
        <v>00888</v>
      </c>
      <c r="M889" s="47" t="str">
        <f t="shared" si="137"/>
        <v>22 de febrero de 2018</v>
      </c>
      <c r="N889" s="323">
        <f t="shared" si="139"/>
        <v>22</v>
      </c>
      <c r="O889" s="25">
        <f t="shared" si="138"/>
        <v>43132</v>
      </c>
      <c r="P889" s="5" t="str">
        <f t="shared" si="145"/>
        <v>0,30</v>
      </c>
      <c r="Q889" s="4" t="e">
        <f t="shared" ca="1" si="146"/>
        <v>#NAME?</v>
      </c>
    </row>
    <row r="890" spans="1:17">
      <c r="A890" s="1">
        <f t="shared" si="140"/>
        <v>889</v>
      </c>
      <c r="C890" s="8" t="s">
        <v>17</v>
      </c>
      <c r="D890" s="2">
        <v>43161</v>
      </c>
      <c r="E890" s="3">
        <f>140000/100000</f>
        <v>1.4</v>
      </c>
      <c r="F890" t="s">
        <v>103</v>
      </c>
      <c r="G890" t="s">
        <v>104</v>
      </c>
      <c r="H890" t="s">
        <v>105</v>
      </c>
      <c r="I890" s="6" t="s">
        <v>630</v>
      </c>
      <c r="J890" s="61" t="s">
        <v>22</v>
      </c>
      <c r="L890" s="5" t="str">
        <f t="shared" si="136"/>
        <v>00889</v>
      </c>
      <c r="M890" s="47" t="str">
        <f t="shared" si="137"/>
        <v>02 de marzo de 2018</v>
      </c>
      <c r="N890" s="323">
        <f t="shared" si="139"/>
        <v>2</v>
      </c>
      <c r="O890" s="25">
        <f t="shared" si="138"/>
        <v>43160</v>
      </c>
      <c r="P890" s="5" t="str">
        <f t="shared" si="145"/>
        <v>1,40</v>
      </c>
      <c r="Q890" s="4" t="e">
        <f t="shared" ca="1" si="146"/>
        <v>#NAME?</v>
      </c>
    </row>
    <row r="891" spans="1:17">
      <c r="A891" s="1">
        <f>A890+1</f>
        <v>890</v>
      </c>
      <c r="C891" s="8" t="s">
        <v>17</v>
      </c>
      <c r="D891" s="2">
        <v>43172</v>
      </c>
      <c r="E891" s="3">
        <f>450000/100000</f>
        <v>4.5</v>
      </c>
      <c r="F891" t="s">
        <v>334</v>
      </c>
      <c r="G891" t="s">
        <v>85</v>
      </c>
      <c r="H891" t="s">
        <v>335</v>
      </c>
      <c r="I891" s="6" t="s">
        <v>650</v>
      </c>
      <c r="J891" s="61" t="s">
        <v>22</v>
      </c>
      <c r="L891" s="5" t="str">
        <f t="shared" si="136"/>
        <v>00890</v>
      </c>
      <c r="M891" s="47" t="str">
        <f t="shared" si="137"/>
        <v>13 de marzo de 2018</v>
      </c>
      <c r="N891" s="323">
        <f t="shared" si="139"/>
        <v>13</v>
      </c>
      <c r="O891" s="25">
        <f t="shared" si="138"/>
        <v>43160</v>
      </c>
      <c r="P891" s="5" t="str">
        <f t="shared" si="145"/>
        <v>4,50</v>
      </c>
      <c r="Q891" s="4" t="e">
        <f t="shared" ca="1" si="146"/>
        <v>#NAME?</v>
      </c>
    </row>
    <row r="892" spans="1:17">
      <c r="A892" s="1">
        <f t="shared" ref="A892:A936" si="147">A891+1</f>
        <v>891</v>
      </c>
      <c r="C892" s="8" t="s">
        <v>17</v>
      </c>
      <c r="D892" s="2">
        <v>43173</v>
      </c>
      <c r="E892" s="3">
        <f>140000/100000</f>
        <v>1.4</v>
      </c>
      <c r="F892" t="s">
        <v>201</v>
      </c>
      <c r="G892" t="s">
        <v>202</v>
      </c>
      <c r="H892" t="s">
        <v>203</v>
      </c>
      <c r="I892" s="6" t="s">
        <v>630</v>
      </c>
      <c r="J892" s="61" t="s">
        <v>22</v>
      </c>
      <c r="L892" s="5" t="str">
        <f t="shared" si="136"/>
        <v>00891</v>
      </c>
      <c r="M892" s="47" t="str">
        <f t="shared" si="137"/>
        <v>14 de marzo de 2018</v>
      </c>
      <c r="N892" s="323">
        <f t="shared" si="139"/>
        <v>14</v>
      </c>
      <c r="O892" s="25">
        <f t="shared" si="138"/>
        <v>43160</v>
      </c>
      <c r="P892" s="5" t="str">
        <f t="shared" si="145"/>
        <v>1,40</v>
      </c>
      <c r="Q892" s="4" t="e">
        <f t="shared" ca="1" si="146"/>
        <v>#NAME?</v>
      </c>
    </row>
    <row r="893" spans="1:17">
      <c r="A893" s="1">
        <f t="shared" si="147"/>
        <v>892</v>
      </c>
      <c r="C893" s="8" t="s">
        <v>17</v>
      </c>
      <c r="D893" s="2">
        <v>43173</v>
      </c>
      <c r="E893" s="3">
        <f>140000/100000</f>
        <v>1.4</v>
      </c>
      <c r="F893" t="s">
        <v>126</v>
      </c>
      <c r="G893" t="s">
        <v>127</v>
      </c>
      <c r="H893" t="s">
        <v>128</v>
      </c>
      <c r="I893" s="6" t="s">
        <v>630</v>
      </c>
      <c r="J893" s="61" t="s">
        <v>22</v>
      </c>
      <c r="L893" s="5" t="str">
        <f t="shared" si="136"/>
        <v>00892</v>
      </c>
      <c r="M893" s="47" t="str">
        <f t="shared" si="137"/>
        <v>14 de marzo de 2018</v>
      </c>
      <c r="N893" s="323">
        <f t="shared" si="139"/>
        <v>14</v>
      </c>
      <c r="O893" s="25">
        <f t="shared" si="138"/>
        <v>43160</v>
      </c>
      <c r="P893" s="5" t="str">
        <f t="shared" si="145"/>
        <v>1,40</v>
      </c>
      <c r="Q893" s="4" t="e">
        <f t="shared" ca="1" si="146"/>
        <v>#NAME?</v>
      </c>
    </row>
    <row r="894" spans="1:17">
      <c r="A894" s="1">
        <f t="shared" si="147"/>
        <v>893</v>
      </c>
      <c r="C894" s="8" t="s">
        <v>17</v>
      </c>
      <c r="D894" s="2">
        <v>43173</v>
      </c>
      <c r="E894" s="3">
        <f>300000/100000</f>
        <v>3</v>
      </c>
      <c r="F894" t="s">
        <v>126</v>
      </c>
      <c r="G894" t="s">
        <v>127</v>
      </c>
      <c r="H894" t="s">
        <v>128</v>
      </c>
      <c r="I894" s="6" t="s">
        <v>651</v>
      </c>
      <c r="J894" s="61" t="s">
        <v>652</v>
      </c>
      <c r="L894" s="5" t="str">
        <f t="shared" si="136"/>
        <v>00893</v>
      </c>
      <c r="M894" s="47" t="str">
        <f t="shared" si="137"/>
        <v>14 de marzo de 2018</v>
      </c>
      <c r="N894" s="323">
        <f t="shared" si="139"/>
        <v>14</v>
      </c>
      <c r="O894" s="25">
        <f t="shared" si="138"/>
        <v>43160</v>
      </c>
      <c r="P894" s="5" t="str">
        <f t="shared" si="145"/>
        <v>3,00</v>
      </c>
      <c r="Q894" s="4" t="e">
        <f t="shared" ca="1" si="146"/>
        <v>#NAME?</v>
      </c>
    </row>
    <row r="895" spans="1:17">
      <c r="A895" s="1">
        <f t="shared" si="147"/>
        <v>894</v>
      </c>
      <c r="C895" s="8" t="s">
        <v>17</v>
      </c>
      <c r="D895" s="2">
        <v>43173</v>
      </c>
      <c r="E895" s="3">
        <f>140000/100000</f>
        <v>1.4</v>
      </c>
      <c r="F895" t="s">
        <v>152</v>
      </c>
      <c r="G895" t="s">
        <v>153</v>
      </c>
      <c r="H895" t="s">
        <v>154</v>
      </c>
      <c r="I895" s="6" t="s">
        <v>630</v>
      </c>
      <c r="J895" s="61" t="s">
        <v>22</v>
      </c>
      <c r="L895" s="5" t="str">
        <f t="shared" si="136"/>
        <v>00894</v>
      </c>
      <c r="M895" s="47" t="str">
        <f t="shared" si="137"/>
        <v>14 de marzo de 2018</v>
      </c>
      <c r="N895" s="323">
        <f t="shared" si="139"/>
        <v>14</v>
      </c>
      <c r="O895" s="25">
        <f t="shared" si="138"/>
        <v>43160</v>
      </c>
      <c r="P895" s="5" t="str">
        <f t="shared" si="145"/>
        <v>1,40</v>
      </c>
      <c r="Q895" s="4" t="e">
        <f t="shared" ca="1" si="146"/>
        <v>#NAME?</v>
      </c>
    </row>
    <row r="896" spans="1:17">
      <c r="A896" s="1">
        <f t="shared" si="147"/>
        <v>895</v>
      </c>
      <c r="C896" s="8" t="s">
        <v>17</v>
      </c>
      <c r="D896" s="2">
        <v>43173</v>
      </c>
      <c r="E896" s="3">
        <f>40000/100000</f>
        <v>0.4</v>
      </c>
      <c r="F896" t="s">
        <v>324</v>
      </c>
      <c r="G896" t="s">
        <v>325</v>
      </c>
      <c r="H896" t="s">
        <v>326</v>
      </c>
      <c r="I896" s="6" t="s">
        <v>653</v>
      </c>
      <c r="J896" s="61" t="s">
        <v>22</v>
      </c>
      <c r="L896" s="5" t="str">
        <f t="shared" si="136"/>
        <v>00895</v>
      </c>
      <c r="M896" s="47" t="str">
        <f t="shared" si="137"/>
        <v>14 de marzo de 2018</v>
      </c>
      <c r="N896" s="323">
        <f t="shared" si="139"/>
        <v>14</v>
      </c>
      <c r="O896" s="25">
        <f t="shared" si="138"/>
        <v>43160</v>
      </c>
      <c r="P896" s="5" t="str">
        <f t="shared" si="145"/>
        <v>0,40</v>
      </c>
      <c r="Q896" s="4" t="e">
        <f t="shared" ca="1" si="146"/>
        <v>#NAME?</v>
      </c>
    </row>
    <row r="897" spans="1:17" ht="15.75" thickBot="1">
      <c r="A897" s="1">
        <f t="shared" si="147"/>
        <v>896</v>
      </c>
      <c r="C897" s="8" t="s">
        <v>17</v>
      </c>
      <c r="D897" s="2">
        <v>43175</v>
      </c>
      <c r="E897" s="3">
        <f>140000/100000</f>
        <v>1.4</v>
      </c>
      <c r="F897" t="s">
        <v>36</v>
      </c>
      <c r="G897" t="s">
        <v>37</v>
      </c>
      <c r="H897" t="s">
        <v>38</v>
      </c>
      <c r="I897" s="6" t="s">
        <v>630</v>
      </c>
      <c r="J897" s="61" t="s">
        <v>22</v>
      </c>
      <c r="L897" s="5" t="str">
        <f t="shared" si="136"/>
        <v>00896</v>
      </c>
      <c r="M897" s="47" t="str">
        <f t="shared" si="137"/>
        <v>16 de marzo de 2018</v>
      </c>
      <c r="N897" s="323">
        <f t="shared" si="139"/>
        <v>16</v>
      </c>
      <c r="O897" s="25">
        <f t="shared" si="138"/>
        <v>43160</v>
      </c>
      <c r="P897" s="5" t="str">
        <f t="shared" si="145"/>
        <v>1,40</v>
      </c>
      <c r="Q897" s="4" t="e">
        <f t="shared" ca="1" si="146"/>
        <v>#NAME?</v>
      </c>
    </row>
    <row r="898" spans="1:17" ht="15.75" thickBot="1">
      <c r="A898" s="1">
        <f t="shared" si="147"/>
        <v>897</v>
      </c>
      <c r="C898" s="8" t="s">
        <v>17</v>
      </c>
      <c r="D898" s="2">
        <v>43175</v>
      </c>
      <c r="E898" s="3">
        <f>155000/100000</f>
        <v>1.55</v>
      </c>
      <c r="F898" s="20" t="s">
        <v>57</v>
      </c>
      <c r="G898" s="18" t="s">
        <v>58</v>
      </c>
      <c r="H898" s="21" t="s">
        <v>59</v>
      </c>
      <c r="I898" s="6" t="s">
        <v>630</v>
      </c>
      <c r="J898" s="61" t="s">
        <v>22</v>
      </c>
      <c r="K898" s="22"/>
      <c r="L898" s="5" t="str">
        <f t="shared" ref="L898:L961" si="148">IF(ISBLANK(A898),"",TEXT(A898,"00000"))</f>
        <v>00897</v>
      </c>
      <c r="M898" s="47" t="str">
        <f t="shared" ref="M898:M961" si="149">IF(ISBLANK(D898),"",TEXT(D898,"dd")&amp;" de "&amp;TEXT(D898,"mmmm")&amp;" de "&amp;TEXT(YEAR(D898),"0"))</f>
        <v>16 de marzo de 2018</v>
      </c>
      <c r="N898" s="323">
        <f t="shared" si="139"/>
        <v>16</v>
      </c>
      <c r="O898" s="25">
        <f t="shared" ref="O898:O961" si="150">DATE(YEAR(D898),MONTH(D898),1)</f>
        <v>43160</v>
      </c>
      <c r="P898" s="5" t="str">
        <f t="shared" si="145"/>
        <v>1,55</v>
      </c>
      <c r="Q898" s="4" t="e">
        <f t="shared" ca="1" si="146"/>
        <v>#NAME?</v>
      </c>
    </row>
    <row r="899" spans="1:17">
      <c r="A899" s="1">
        <f t="shared" si="147"/>
        <v>898</v>
      </c>
      <c r="C899" s="8" t="s">
        <v>17</v>
      </c>
      <c r="D899" s="2">
        <v>43178</v>
      </c>
      <c r="E899" s="3">
        <f>80000/100000</f>
        <v>0.8</v>
      </c>
      <c r="F899" t="s">
        <v>401</v>
      </c>
      <c r="G899" t="s">
        <v>402</v>
      </c>
      <c r="H899" t="s">
        <v>403</v>
      </c>
      <c r="I899" s="6" t="s">
        <v>632</v>
      </c>
      <c r="J899" s="61" t="s">
        <v>22</v>
      </c>
      <c r="L899" s="5" t="str">
        <f t="shared" si="148"/>
        <v>00898</v>
      </c>
      <c r="M899" s="47" t="str">
        <f t="shared" si="149"/>
        <v>19 de marzo de 2018</v>
      </c>
      <c r="N899" s="323">
        <f t="shared" ref="N899:N962" si="151">DAY(D899)</f>
        <v>19</v>
      </c>
      <c r="O899" s="25">
        <f t="shared" si="150"/>
        <v>43160</v>
      </c>
      <c r="P899" s="5" t="str">
        <f t="shared" si="145"/>
        <v>0,80</v>
      </c>
      <c r="Q899" s="4" t="e">
        <f t="shared" ca="1" si="146"/>
        <v>#NAME?</v>
      </c>
    </row>
    <row r="900" spans="1:17">
      <c r="A900" s="1">
        <f t="shared" si="147"/>
        <v>899</v>
      </c>
      <c r="C900" s="8" t="s">
        <v>17</v>
      </c>
      <c r="D900" s="2">
        <v>43179</v>
      </c>
      <c r="E900" s="3">
        <f>470000/100000</f>
        <v>4.7</v>
      </c>
      <c r="F900" t="s">
        <v>337</v>
      </c>
      <c r="G900" t="s">
        <v>338</v>
      </c>
      <c r="H900" t="s">
        <v>339</v>
      </c>
      <c r="I900" s="6" t="s">
        <v>654</v>
      </c>
      <c r="J900" s="61" t="s">
        <v>22</v>
      </c>
      <c r="L900" s="5" t="str">
        <f t="shared" si="148"/>
        <v>00899</v>
      </c>
      <c r="M900" s="47" t="str">
        <f t="shared" si="149"/>
        <v>20 de marzo de 2018</v>
      </c>
      <c r="N900" s="323">
        <f t="shared" si="151"/>
        <v>20</v>
      </c>
      <c r="O900" s="25">
        <f t="shared" si="150"/>
        <v>43160</v>
      </c>
      <c r="P900" s="5" t="str">
        <f t="shared" si="145"/>
        <v>4,70</v>
      </c>
      <c r="Q900" s="4" t="e">
        <f t="shared" ca="1" si="146"/>
        <v>#NAME?</v>
      </c>
    </row>
    <row r="901" spans="1:17">
      <c r="A901" s="1">
        <f t="shared" si="147"/>
        <v>900</v>
      </c>
      <c r="C901" s="8" t="s">
        <v>17</v>
      </c>
      <c r="D901" s="2">
        <v>43179</v>
      </c>
      <c r="E901" s="3">
        <f>140000/100000</f>
        <v>1.4</v>
      </c>
      <c r="F901" t="s">
        <v>243</v>
      </c>
      <c r="G901" t="s">
        <v>244</v>
      </c>
      <c r="H901" t="s">
        <v>245</v>
      </c>
      <c r="I901" s="6" t="s">
        <v>630</v>
      </c>
      <c r="J901" s="61" t="s">
        <v>22</v>
      </c>
      <c r="L901" s="5" t="str">
        <f t="shared" si="148"/>
        <v>00900</v>
      </c>
      <c r="M901" s="47" t="str">
        <f t="shared" si="149"/>
        <v>20 de marzo de 2018</v>
      </c>
      <c r="N901" s="323">
        <f t="shared" si="151"/>
        <v>20</v>
      </c>
      <c r="O901" s="25">
        <f t="shared" si="150"/>
        <v>43160</v>
      </c>
      <c r="P901" s="5" t="str">
        <f t="shared" si="145"/>
        <v>1,40</v>
      </c>
      <c r="Q901" s="4" t="e">
        <f t="shared" ca="1" si="146"/>
        <v>#NAME?</v>
      </c>
    </row>
    <row r="902" spans="1:17" ht="15.75" thickBot="1">
      <c r="A902" s="1">
        <f t="shared" si="147"/>
        <v>901</v>
      </c>
      <c r="C902" s="8" t="s">
        <v>17</v>
      </c>
      <c r="D902" s="2">
        <v>43159</v>
      </c>
      <c r="E902" s="3">
        <f>80000/100000</f>
        <v>0.8</v>
      </c>
      <c r="F902" t="s">
        <v>62</v>
      </c>
      <c r="G902" t="s">
        <v>63</v>
      </c>
      <c r="H902" t="s">
        <v>64</v>
      </c>
      <c r="I902" s="6" t="s">
        <v>616</v>
      </c>
      <c r="J902" s="61" t="s">
        <v>22</v>
      </c>
      <c r="L902" s="5" t="str">
        <f t="shared" si="148"/>
        <v>00901</v>
      </c>
      <c r="M902" s="47" t="str">
        <f t="shared" si="149"/>
        <v>28 de febrero de 2018</v>
      </c>
      <c r="N902" s="323">
        <f t="shared" si="151"/>
        <v>28</v>
      </c>
      <c r="O902" s="25">
        <f t="shared" si="150"/>
        <v>43132</v>
      </c>
      <c r="P902" s="5" t="str">
        <f t="shared" si="145"/>
        <v>0,80</v>
      </c>
      <c r="Q902" s="4" t="e">
        <f t="shared" ca="1" si="146"/>
        <v>#NAME?</v>
      </c>
    </row>
    <row r="903" spans="1:17" ht="15.75" thickBot="1">
      <c r="A903" s="1">
        <f t="shared" si="147"/>
        <v>902</v>
      </c>
      <c r="C903" s="8" t="s">
        <v>17</v>
      </c>
      <c r="D903" s="2">
        <v>43180</v>
      </c>
      <c r="E903" s="3">
        <f>200000/100000</f>
        <v>2</v>
      </c>
      <c r="F903" s="23" t="s">
        <v>422</v>
      </c>
      <c r="G903" s="18" t="s">
        <v>58</v>
      </c>
      <c r="H903" t="s">
        <v>423</v>
      </c>
      <c r="I903" s="6" t="s">
        <v>630</v>
      </c>
      <c r="J903" s="61" t="s">
        <v>22</v>
      </c>
      <c r="L903" s="5" t="str">
        <f t="shared" si="148"/>
        <v>00902</v>
      </c>
      <c r="M903" s="47" t="str">
        <f t="shared" si="149"/>
        <v>21 de marzo de 2018</v>
      </c>
      <c r="N903" s="323">
        <f t="shared" si="151"/>
        <v>21</v>
      </c>
      <c r="O903" s="25">
        <f t="shared" si="150"/>
        <v>43160</v>
      </c>
      <c r="P903" s="5" t="str">
        <f t="shared" si="145"/>
        <v>2,00</v>
      </c>
      <c r="Q903" s="4" t="e">
        <f t="shared" ca="1" si="146"/>
        <v>#NAME?</v>
      </c>
    </row>
    <row r="904" spans="1:17">
      <c r="A904" s="1">
        <f t="shared" si="147"/>
        <v>903</v>
      </c>
      <c r="C904" s="8" t="s">
        <v>17</v>
      </c>
      <c r="D904" s="2">
        <v>43180</v>
      </c>
      <c r="E904" s="3">
        <f>300000/100000</f>
        <v>3</v>
      </c>
      <c r="F904" t="s">
        <v>114</v>
      </c>
      <c r="G904" t="s">
        <v>115</v>
      </c>
      <c r="H904" t="s">
        <v>116</v>
      </c>
      <c r="I904" s="6" t="s">
        <v>655</v>
      </c>
      <c r="J904" s="61" t="s">
        <v>22</v>
      </c>
      <c r="L904" s="5" t="str">
        <f t="shared" si="148"/>
        <v>00903</v>
      </c>
      <c r="M904" s="47" t="str">
        <f t="shared" si="149"/>
        <v>21 de marzo de 2018</v>
      </c>
      <c r="N904" s="323">
        <f t="shared" si="151"/>
        <v>21</v>
      </c>
      <c r="O904" s="25">
        <f t="shared" si="150"/>
        <v>43160</v>
      </c>
      <c r="P904" s="5" t="str">
        <f t="shared" si="145"/>
        <v>3,00</v>
      </c>
      <c r="Q904" s="4" t="e">
        <f t="shared" ca="1" si="146"/>
        <v>#NAME?</v>
      </c>
    </row>
    <row r="905" spans="1:17">
      <c r="A905" s="1">
        <f t="shared" si="147"/>
        <v>904</v>
      </c>
      <c r="C905" s="8" t="s">
        <v>17</v>
      </c>
      <c r="D905" s="2">
        <v>43180</v>
      </c>
      <c r="E905" s="3">
        <f>220000/100000</f>
        <v>2.2000000000000002</v>
      </c>
      <c r="F905" t="s">
        <v>94</v>
      </c>
      <c r="G905" t="s">
        <v>607</v>
      </c>
      <c r="H905" t="s">
        <v>96</v>
      </c>
      <c r="I905" s="6" t="s">
        <v>640</v>
      </c>
      <c r="J905" s="61" t="s">
        <v>22</v>
      </c>
      <c r="L905" s="5" t="str">
        <f t="shared" si="148"/>
        <v>00904</v>
      </c>
      <c r="M905" s="47" t="str">
        <f t="shared" si="149"/>
        <v>21 de marzo de 2018</v>
      </c>
      <c r="N905" s="323">
        <f t="shared" si="151"/>
        <v>21</v>
      </c>
      <c r="O905" s="25">
        <f t="shared" si="150"/>
        <v>43160</v>
      </c>
      <c r="P905" s="5" t="str">
        <f t="shared" si="145"/>
        <v>2,20</v>
      </c>
      <c r="Q905" s="4" t="e">
        <f t="shared" ca="1" si="146"/>
        <v>#NAME?</v>
      </c>
    </row>
    <row r="906" spans="1:17" ht="15.75" thickBot="1">
      <c r="A906" s="1">
        <f t="shared" si="147"/>
        <v>905</v>
      </c>
      <c r="C906" s="8" t="s">
        <v>17</v>
      </c>
      <c r="D906" s="2">
        <v>43180</v>
      </c>
      <c r="E906" s="3">
        <f>250000/100000</f>
        <v>2.5</v>
      </c>
      <c r="F906" t="s">
        <v>162</v>
      </c>
      <c r="G906" t="s">
        <v>163</v>
      </c>
      <c r="H906" t="s">
        <v>164</v>
      </c>
      <c r="I906" s="6" t="s">
        <v>656</v>
      </c>
      <c r="J906" s="61" t="s">
        <v>22</v>
      </c>
      <c r="L906" s="5" t="str">
        <f t="shared" si="148"/>
        <v>00905</v>
      </c>
      <c r="M906" s="47" t="str">
        <f t="shared" si="149"/>
        <v>21 de marzo de 2018</v>
      </c>
      <c r="N906" s="323">
        <f t="shared" si="151"/>
        <v>21</v>
      </c>
      <c r="O906" s="25">
        <f t="shared" si="150"/>
        <v>43160</v>
      </c>
      <c r="P906" s="5" t="str">
        <f t="shared" si="145"/>
        <v>2,50</v>
      </c>
      <c r="Q906" s="4" t="e">
        <f t="shared" ca="1" si="146"/>
        <v>#NAME?</v>
      </c>
    </row>
    <row r="907" spans="1:17" ht="15.75" thickBot="1">
      <c r="A907" s="1">
        <f t="shared" si="147"/>
        <v>906</v>
      </c>
      <c r="C907" s="8" t="s">
        <v>17</v>
      </c>
      <c r="D907" s="2">
        <v>43182</v>
      </c>
      <c r="E907" s="3">
        <f>180000/100000</f>
        <v>1.8</v>
      </c>
      <c r="F907" t="s">
        <v>319</v>
      </c>
      <c r="G907" s="18" t="s">
        <v>58</v>
      </c>
      <c r="H907" t="s">
        <v>320</v>
      </c>
      <c r="I907" s="6" t="s">
        <v>657</v>
      </c>
      <c r="J907" s="61" t="s">
        <v>22</v>
      </c>
      <c r="L907" s="5" t="str">
        <f t="shared" si="148"/>
        <v>00906</v>
      </c>
      <c r="M907" s="47" t="str">
        <f t="shared" si="149"/>
        <v>23 de marzo de 2018</v>
      </c>
      <c r="N907" s="323">
        <f t="shared" si="151"/>
        <v>23</v>
      </c>
      <c r="O907" s="25">
        <f t="shared" si="150"/>
        <v>43160</v>
      </c>
      <c r="P907" s="5" t="str">
        <f t="shared" ref="P907:P921" si="152">TEXT(E907,"#.##0,00")</f>
        <v>1,80</v>
      </c>
      <c r="Q907" s="4" t="e">
        <f t="shared" ref="Q907:Q921" ca="1" si="153">CONVERTIRNUM(E907)</f>
        <v>#NAME?</v>
      </c>
    </row>
    <row r="908" spans="1:17">
      <c r="A908" s="1">
        <f t="shared" si="147"/>
        <v>907</v>
      </c>
      <c r="C908" s="8" t="s">
        <v>17</v>
      </c>
      <c r="D908" s="2">
        <v>43182</v>
      </c>
      <c r="E908" s="3">
        <f>140000/100000</f>
        <v>1.4</v>
      </c>
      <c r="F908" t="s">
        <v>122</v>
      </c>
      <c r="G908" t="s">
        <v>123</v>
      </c>
      <c r="H908" t="s">
        <v>124</v>
      </c>
      <c r="I908" s="6" t="s">
        <v>630</v>
      </c>
      <c r="J908" s="61" t="s">
        <v>22</v>
      </c>
      <c r="L908" s="5" t="str">
        <f t="shared" si="148"/>
        <v>00907</v>
      </c>
      <c r="M908" s="47" t="str">
        <f t="shared" si="149"/>
        <v>23 de marzo de 2018</v>
      </c>
      <c r="N908" s="323">
        <f t="shared" si="151"/>
        <v>23</v>
      </c>
      <c r="O908" s="25">
        <f t="shared" si="150"/>
        <v>43160</v>
      </c>
      <c r="P908" s="5" t="str">
        <f t="shared" si="152"/>
        <v>1,40</v>
      </c>
      <c r="Q908" s="4" t="e">
        <f t="shared" ca="1" si="153"/>
        <v>#NAME?</v>
      </c>
    </row>
    <row r="909" spans="1:17">
      <c r="A909" s="1">
        <f t="shared" si="147"/>
        <v>908</v>
      </c>
      <c r="C909" s="8" t="s">
        <v>17</v>
      </c>
      <c r="D909" s="2">
        <v>43185</v>
      </c>
      <c r="E909" s="3">
        <f>120000/100000</f>
        <v>1.2</v>
      </c>
      <c r="F909" t="s">
        <v>407</v>
      </c>
      <c r="G909" t="s">
        <v>408</v>
      </c>
      <c r="H909" t="s">
        <v>409</v>
      </c>
      <c r="I909" s="6" t="s">
        <v>658</v>
      </c>
      <c r="J909" s="61" t="s">
        <v>22</v>
      </c>
      <c r="L909" s="5" t="str">
        <f t="shared" si="148"/>
        <v>00908</v>
      </c>
      <c r="M909" s="47" t="str">
        <f t="shared" si="149"/>
        <v>26 de marzo de 2018</v>
      </c>
      <c r="N909" s="323">
        <f t="shared" si="151"/>
        <v>26</v>
      </c>
      <c r="O909" s="25">
        <f t="shared" si="150"/>
        <v>43160</v>
      </c>
      <c r="P909" s="5" t="str">
        <f t="shared" si="152"/>
        <v>1,20</v>
      </c>
      <c r="Q909" s="4" t="e">
        <f t="shared" ca="1" si="153"/>
        <v>#NAME?</v>
      </c>
    </row>
    <row r="910" spans="1:17">
      <c r="A910" s="1">
        <f t="shared" si="147"/>
        <v>909</v>
      </c>
      <c r="C910" s="8" t="s">
        <v>17</v>
      </c>
      <c r="D910" s="2">
        <v>43185</v>
      </c>
      <c r="E910" s="3">
        <f>140000/100000</f>
        <v>1.4</v>
      </c>
      <c r="F910" t="s">
        <v>134</v>
      </c>
      <c r="G910" t="s">
        <v>135</v>
      </c>
      <c r="H910" t="s">
        <v>136</v>
      </c>
      <c r="I910" s="6" t="s">
        <v>630</v>
      </c>
      <c r="J910" s="61" t="s">
        <v>22</v>
      </c>
      <c r="L910" s="5" t="str">
        <f t="shared" si="148"/>
        <v>00909</v>
      </c>
      <c r="M910" s="47" t="str">
        <f t="shared" si="149"/>
        <v>26 de marzo de 2018</v>
      </c>
      <c r="N910" s="323">
        <f t="shared" si="151"/>
        <v>26</v>
      </c>
      <c r="O910" s="25">
        <f t="shared" si="150"/>
        <v>43160</v>
      </c>
      <c r="P910" s="5" t="str">
        <f t="shared" si="152"/>
        <v>1,40</v>
      </c>
      <c r="Q910" s="4" t="e">
        <f t="shared" ca="1" si="153"/>
        <v>#NAME?</v>
      </c>
    </row>
    <row r="911" spans="1:17">
      <c r="A911" s="1">
        <f t="shared" si="147"/>
        <v>910</v>
      </c>
      <c r="C911" s="8" t="s">
        <v>17</v>
      </c>
      <c r="D911" s="2">
        <v>43185</v>
      </c>
      <c r="E911" s="3">
        <f>300000/100000</f>
        <v>3</v>
      </c>
      <c r="F911" t="s">
        <v>252</v>
      </c>
      <c r="G911" t="s">
        <v>253</v>
      </c>
      <c r="H911" t="s">
        <v>254</v>
      </c>
      <c r="I911" s="6" t="s">
        <v>659</v>
      </c>
      <c r="J911" s="61" t="s">
        <v>22</v>
      </c>
      <c r="L911" s="5" t="str">
        <f t="shared" si="148"/>
        <v>00910</v>
      </c>
      <c r="M911" s="47" t="str">
        <f t="shared" si="149"/>
        <v>26 de marzo de 2018</v>
      </c>
      <c r="N911" s="323">
        <f t="shared" si="151"/>
        <v>26</v>
      </c>
      <c r="O911" s="25">
        <f t="shared" si="150"/>
        <v>43160</v>
      </c>
      <c r="P911" s="5" t="str">
        <f t="shared" si="152"/>
        <v>3,00</v>
      </c>
      <c r="Q911" s="4" t="e">
        <f t="shared" ca="1" si="153"/>
        <v>#NAME?</v>
      </c>
    </row>
    <row r="912" spans="1:17">
      <c r="A912" s="1">
        <f t="shared" si="147"/>
        <v>911</v>
      </c>
      <c r="C912" s="8" t="s">
        <v>17</v>
      </c>
      <c r="D912" s="2">
        <v>43185</v>
      </c>
      <c r="E912" s="3">
        <f>280000/100000</f>
        <v>2.8</v>
      </c>
      <c r="F912" t="s">
        <v>138</v>
      </c>
      <c r="G912" t="s">
        <v>139</v>
      </c>
      <c r="H912" t="s">
        <v>140</v>
      </c>
      <c r="I912" s="6" t="s">
        <v>660</v>
      </c>
      <c r="J912" s="61" t="s">
        <v>22</v>
      </c>
      <c r="L912" s="5" t="str">
        <f t="shared" si="148"/>
        <v>00911</v>
      </c>
      <c r="M912" s="47" t="str">
        <f t="shared" si="149"/>
        <v>26 de marzo de 2018</v>
      </c>
      <c r="N912" s="323">
        <f t="shared" si="151"/>
        <v>26</v>
      </c>
      <c r="O912" s="25">
        <f t="shared" si="150"/>
        <v>43160</v>
      </c>
      <c r="P912" s="5" t="str">
        <f t="shared" si="152"/>
        <v>2,80</v>
      </c>
      <c r="Q912" s="4" t="e">
        <f t="shared" ca="1" si="153"/>
        <v>#NAME?</v>
      </c>
    </row>
    <row r="913" spans="1:17">
      <c r="A913" s="1">
        <f t="shared" si="147"/>
        <v>912</v>
      </c>
      <c r="C913" s="8" t="s">
        <v>17</v>
      </c>
      <c r="D913" s="2">
        <v>43185</v>
      </c>
      <c r="E913" s="3">
        <f>300000/100000</f>
        <v>3</v>
      </c>
      <c r="F913" t="s">
        <v>144</v>
      </c>
      <c r="G913" t="s">
        <v>661</v>
      </c>
      <c r="H913" t="s">
        <v>146</v>
      </c>
      <c r="I913" s="6" t="s">
        <v>662</v>
      </c>
      <c r="J913" s="61" t="s">
        <v>22</v>
      </c>
      <c r="L913" s="5" t="str">
        <f t="shared" si="148"/>
        <v>00912</v>
      </c>
      <c r="M913" s="47" t="str">
        <f t="shared" si="149"/>
        <v>26 de marzo de 2018</v>
      </c>
      <c r="N913" s="323">
        <f t="shared" si="151"/>
        <v>26</v>
      </c>
      <c r="O913" s="25">
        <f t="shared" si="150"/>
        <v>43160</v>
      </c>
      <c r="P913" s="5" t="str">
        <f t="shared" si="152"/>
        <v>3,00</v>
      </c>
      <c r="Q913" s="4" t="e">
        <f t="shared" ca="1" si="153"/>
        <v>#NAME?</v>
      </c>
    </row>
    <row r="914" spans="1:17">
      <c r="A914" s="1">
        <f t="shared" si="147"/>
        <v>913</v>
      </c>
      <c r="C914" s="8" t="s">
        <v>17</v>
      </c>
      <c r="D914" s="2">
        <v>43185</v>
      </c>
      <c r="E914" s="3">
        <f>140000/100000</f>
        <v>1.4</v>
      </c>
      <c r="F914" t="s">
        <v>185</v>
      </c>
      <c r="G914" t="s">
        <v>186</v>
      </c>
      <c r="H914" t="s">
        <v>187</v>
      </c>
      <c r="I914" s="6" t="s">
        <v>630</v>
      </c>
      <c r="J914" s="61" t="s">
        <v>22</v>
      </c>
      <c r="L914" s="5" t="str">
        <f t="shared" si="148"/>
        <v>00913</v>
      </c>
      <c r="M914" s="47" t="str">
        <f t="shared" si="149"/>
        <v>26 de marzo de 2018</v>
      </c>
      <c r="N914" s="323">
        <f t="shared" si="151"/>
        <v>26</v>
      </c>
      <c r="O914" s="25">
        <f t="shared" si="150"/>
        <v>43160</v>
      </c>
      <c r="P914" s="5" t="str">
        <f t="shared" si="152"/>
        <v>1,40</v>
      </c>
      <c r="Q914" s="4" t="e">
        <f t="shared" ca="1" si="153"/>
        <v>#NAME?</v>
      </c>
    </row>
    <row r="915" spans="1:17">
      <c r="A915" s="1">
        <f t="shared" si="147"/>
        <v>914</v>
      </c>
      <c r="C915" s="8" t="s">
        <v>17</v>
      </c>
      <c r="D915" s="2">
        <v>43187</v>
      </c>
      <c r="E915" s="3">
        <f>140000/100000</f>
        <v>1.4</v>
      </c>
      <c r="F915" t="s">
        <v>230</v>
      </c>
      <c r="G915" t="s">
        <v>231</v>
      </c>
      <c r="H915" t="s">
        <v>232</v>
      </c>
      <c r="I915" s="6" t="s">
        <v>630</v>
      </c>
      <c r="J915" s="61" t="s">
        <v>22</v>
      </c>
      <c r="L915" s="5" t="str">
        <f t="shared" si="148"/>
        <v>00914</v>
      </c>
      <c r="M915" s="47" t="str">
        <f t="shared" si="149"/>
        <v>28 de marzo de 2018</v>
      </c>
      <c r="N915" s="323">
        <f t="shared" si="151"/>
        <v>28</v>
      </c>
      <c r="O915" s="25">
        <f t="shared" si="150"/>
        <v>43160</v>
      </c>
      <c r="P915" s="5" t="str">
        <f t="shared" si="152"/>
        <v>1,40</v>
      </c>
      <c r="Q915" s="4" t="e">
        <f t="shared" ca="1" si="153"/>
        <v>#NAME?</v>
      </c>
    </row>
    <row r="916" spans="1:17">
      <c r="A916" s="1">
        <f t="shared" si="147"/>
        <v>915</v>
      </c>
      <c r="C916" s="8" t="s">
        <v>17</v>
      </c>
      <c r="D916" s="2">
        <v>43187</v>
      </c>
      <c r="E916" s="3">
        <f>400000/100000</f>
        <v>4</v>
      </c>
      <c r="F916" t="s">
        <v>537</v>
      </c>
      <c r="G916" t="s">
        <v>538</v>
      </c>
      <c r="H916" t="s">
        <v>539</v>
      </c>
      <c r="I916" s="6" t="s">
        <v>663</v>
      </c>
      <c r="J916" s="61" t="s">
        <v>22</v>
      </c>
      <c r="L916" s="5" t="str">
        <f t="shared" si="148"/>
        <v>00915</v>
      </c>
      <c r="M916" s="47" t="str">
        <f t="shared" si="149"/>
        <v>28 de marzo de 2018</v>
      </c>
      <c r="N916" s="323">
        <f t="shared" si="151"/>
        <v>28</v>
      </c>
      <c r="O916" s="25">
        <f t="shared" si="150"/>
        <v>43160</v>
      </c>
      <c r="P916" s="5" t="str">
        <f t="shared" si="152"/>
        <v>4,00</v>
      </c>
      <c r="Q916" s="4" t="e">
        <f t="shared" ca="1" si="153"/>
        <v>#NAME?</v>
      </c>
    </row>
    <row r="917" spans="1:17">
      <c r="A917" s="1">
        <f t="shared" si="147"/>
        <v>916</v>
      </c>
      <c r="C917" s="8" t="s">
        <v>17</v>
      </c>
      <c r="D917" s="2">
        <v>43187</v>
      </c>
      <c r="E917" s="3">
        <f>180000/100000+97550/100000</f>
        <v>2.7755000000000001</v>
      </c>
      <c r="F917" t="s">
        <v>287</v>
      </c>
      <c r="G917" t="s">
        <v>288</v>
      </c>
      <c r="H917" t="s">
        <v>289</v>
      </c>
      <c r="I917" s="6" t="s">
        <v>664</v>
      </c>
      <c r="J917" s="61" t="s">
        <v>22</v>
      </c>
      <c r="L917" s="5" t="str">
        <f t="shared" si="148"/>
        <v>00916</v>
      </c>
      <c r="M917" s="47" t="str">
        <f t="shared" si="149"/>
        <v>28 de marzo de 2018</v>
      </c>
      <c r="N917" s="323">
        <f t="shared" si="151"/>
        <v>28</v>
      </c>
      <c r="O917" s="25">
        <f t="shared" si="150"/>
        <v>43160</v>
      </c>
      <c r="P917" s="5" t="str">
        <f t="shared" si="152"/>
        <v>2,78</v>
      </c>
      <c r="Q917" s="4" t="e">
        <f t="shared" ca="1" si="153"/>
        <v>#NAME?</v>
      </c>
    </row>
    <row r="918" spans="1:17">
      <c r="A918" s="1">
        <f t="shared" si="147"/>
        <v>917</v>
      </c>
      <c r="C918" s="8" t="s">
        <v>17</v>
      </c>
      <c r="D918" s="2">
        <v>43187</v>
      </c>
      <c r="E918" s="3">
        <f>140000/100000</f>
        <v>1.4</v>
      </c>
      <c r="F918" t="s">
        <v>296</v>
      </c>
      <c r="G918" t="s">
        <v>297</v>
      </c>
      <c r="H918" t="s">
        <v>298</v>
      </c>
      <c r="I918" s="6" t="s">
        <v>630</v>
      </c>
      <c r="J918" s="61" t="s">
        <v>22</v>
      </c>
      <c r="L918" s="5" t="str">
        <f t="shared" si="148"/>
        <v>00917</v>
      </c>
      <c r="M918" s="47" t="str">
        <f t="shared" si="149"/>
        <v>28 de marzo de 2018</v>
      </c>
      <c r="N918" s="323">
        <f t="shared" si="151"/>
        <v>28</v>
      </c>
      <c r="O918" s="25">
        <f t="shared" si="150"/>
        <v>43160</v>
      </c>
      <c r="P918" s="5" t="str">
        <f t="shared" si="152"/>
        <v>1,40</v>
      </c>
      <c r="Q918" s="4" t="e">
        <f t="shared" ca="1" si="153"/>
        <v>#NAME?</v>
      </c>
    </row>
    <row r="919" spans="1:17">
      <c r="A919" s="1">
        <f t="shared" si="147"/>
        <v>918</v>
      </c>
      <c r="C919" s="8" t="s">
        <v>17</v>
      </c>
      <c r="D919" s="2">
        <v>43189</v>
      </c>
      <c r="E919" s="3">
        <f>140000/100000</f>
        <v>1.4</v>
      </c>
      <c r="F919" t="s">
        <v>219</v>
      </c>
      <c r="G919" t="s">
        <v>220</v>
      </c>
      <c r="H919" t="s">
        <v>221</v>
      </c>
      <c r="I919" s="6" t="s">
        <v>665</v>
      </c>
      <c r="J919" s="61" t="s">
        <v>22</v>
      </c>
      <c r="L919" s="5" t="str">
        <f t="shared" si="148"/>
        <v>00918</v>
      </c>
      <c r="M919" s="47" t="str">
        <f t="shared" si="149"/>
        <v>30 de marzo de 2018</v>
      </c>
      <c r="N919" s="323">
        <f t="shared" si="151"/>
        <v>30</v>
      </c>
      <c r="O919" s="25">
        <f t="shared" si="150"/>
        <v>43160</v>
      </c>
      <c r="P919" s="5" t="str">
        <f t="shared" si="152"/>
        <v>1,40</v>
      </c>
      <c r="Q919" s="4" t="e">
        <f t="shared" ca="1" si="153"/>
        <v>#NAME?</v>
      </c>
    </row>
    <row r="920" spans="1:17">
      <c r="A920" s="1">
        <f t="shared" si="147"/>
        <v>919</v>
      </c>
      <c r="C920" s="8" t="s">
        <v>17</v>
      </c>
      <c r="D920" s="2">
        <v>43189</v>
      </c>
      <c r="E920" s="3">
        <f>50000/100000</f>
        <v>0.5</v>
      </c>
      <c r="F920" t="s">
        <v>28</v>
      </c>
      <c r="G920" t="s">
        <v>29</v>
      </c>
      <c r="H920" t="s">
        <v>30</v>
      </c>
      <c r="I920" s="6" t="s">
        <v>632</v>
      </c>
      <c r="J920" s="61" t="s">
        <v>22</v>
      </c>
      <c r="L920" s="5" t="str">
        <f t="shared" si="148"/>
        <v>00919</v>
      </c>
      <c r="M920" s="47" t="str">
        <f t="shared" si="149"/>
        <v>30 de marzo de 2018</v>
      </c>
      <c r="N920" s="323">
        <f t="shared" si="151"/>
        <v>30</v>
      </c>
      <c r="O920" s="25">
        <f t="shared" si="150"/>
        <v>43160</v>
      </c>
      <c r="P920" s="5" t="str">
        <f t="shared" si="152"/>
        <v>0,50</v>
      </c>
      <c r="Q920" s="4" t="e">
        <f t="shared" ca="1" si="153"/>
        <v>#NAME?</v>
      </c>
    </row>
    <row r="921" spans="1:17">
      <c r="A921" s="1">
        <f t="shared" si="147"/>
        <v>920</v>
      </c>
      <c r="C921" s="8" t="s">
        <v>17</v>
      </c>
      <c r="D921" s="2">
        <v>43189</v>
      </c>
      <c r="E921" s="3">
        <f>420000/100000</f>
        <v>4.2</v>
      </c>
      <c r="F921" t="s">
        <v>66</v>
      </c>
      <c r="G921" t="s">
        <v>67</v>
      </c>
      <c r="H921" t="s">
        <v>68</v>
      </c>
      <c r="I921" s="6" t="s">
        <v>629</v>
      </c>
      <c r="J921" s="61" t="s">
        <v>22</v>
      </c>
      <c r="L921" s="5" t="str">
        <f t="shared" si="148"/>
        <v>00920</v>
      </c>
      <c r="M921" s="47" t="str">
        <f t="shared" si="149"/>
        <v>30 de marzo de 2018</v>
      </c>
      <c r="N921" s="323">
        <f t="shared" si="151"/>
        <v>30</v>
      </c>
      <c r="O921" s="25">
        <f t="shared" si="150"/>
        <v>43160</v>
      </c>
      <c r="P921" s="5" t="str">
        <f t="shared" si="152"/>
        <v>4,20</v>
      </c>
      <c r="Q921" s="4" t="e">
        <f t="shared" ca="1" si="153"/>
        <v>#NAME?</v>
      </c>
    </row>
    <row r="922" spans="1:17">
      <c r="A922" s="1">
        <f t="shared" si="147"/>
        <v>921</v>
      </c>
      <c r="C922" s="8" t="s">
        <v>17</v>
      </c>
      <c r="D922" s="2">
        <v>43192</v>
      </c>
      <c r="E922" s="3">
        <f>50000/100000</f>
        <v>0.5</v>
      </c>
      <c r="F922" t="s">
        <v>28</v>
      </c>
      <c r="G922" t="s">
        <v>29</v>
      </c>
      <c r="H922" t="s">
        <v>30</v>
      </c>
      <c r="I922" s="6" t="s">
        <v>666</v>
      </c>
      <c r="J922" s="61" t="s">
        <v>22</v>
      </c>
      <c r="L922" s="5" t="str">
        <f t="shared" si="148"/>
        <v>00921</v>
      </c>
      <c r="M922" s="47" t="str">
        <f t="shared" si="149"/>
        <v>02 de abril de 2018</v>
      </c>
      <c r="N922" s="323">
        <f t="shared" si="151"/>
        <v>2</v>
      </c>
      <c r="O922" s="25">
        <f t="shared" si="150"/>
        <v>43191</v>
      </c>
      <c r="P922" s="5" t="str">
        <f t="shared" ref="P922:P931" si="154">TEXT(E922,"#.##0,00")</f>
        <v>0,50</v>
      </c>
      <c r="Q922" s="4" t="e">
        <f t="shared" ref="Q922:Q931" ca="1" si="155">CONVERTIRNUM(E922)</f>
        <v>#NAME?</v>
      </c>
    </row>
    <row r="923" spans="1:17">
      <c r="A923" s="1">
        <f t="shared" si="147"/>
        <v>922</v>
      </c>
      <c r="C923" s="8" t="s">
        <v>17</v>
      </c>
      <c r="D923" s="2">
        <v>43194</v>
      </c>
      <c r="E923" s="3">
        <f>60000/100000+140000/100000</f>
        <v>2</v>
      </c>
      <c r="F923" t="s">
        <v>100</v>
      </c>
      <c r="G923" t="s">
        <v>95</v>
      </c>
      <c r="H923" t="s">
        <v>101</v>
      </c>
      <c r="I923" s="6" t="s">
        <v>667</v>
      </c>
      <c r="J923" s="61" t="s">
        <v>22</v>
      </c>
      <c r="L923" s="5" t="str">
        <f t="shared" si="148"/>
        <v>00922</v>
      </c>
      <c r="M923" s="47" t="str">
        <f t="shared" si="149"/>
        <v>04 de abril de 2018</v>
      </c>
      <c r="N923" s="323">
        <f t="shared" si="151"/>
        <v>4</v>
      </c>
      <c r="O923" s="25">
        <f t="shared" si="150"/>
        <v>43191</v>
      </c>
      <c r="P923" s="5" t="str">
        <f t="shared" si="154"/>
        <v>2,00</v>
      </c>
      <c r="Q923" s="4" t="e">
        <f t="shared" ca="1" si="155"/>
        <v>#NAME?</v>
      </c>
    </row>
    <row r="924" spans="1:17">
      <c r="A924" s="1">
        <f t="shared" si="147"/>
        <v>923</v>
      </c>
      <c r="C924" s="8" t="s">
        <v>17</v>
      </c>
      <c r="D924" s="2">
        <v>43193</v>
      </c>
      <c r="E924" s="3">
        <f>280000/100000</f>
        <v>2.8</v>
      </c>
      <c r="F924" t="s">
        <v>443</v>
      </c>
      <c r="G924" t="s">
        <v>444</v>
      </c>
      <c r="H924" t="s">
        <v>75</v>
      </c>
      <c r="I924" s="6" t="s">
        <v>660</v>
      </c>
      <c r="J924" s="61" t="s">
        <v>22</v>
      </c>
      <c r="L924" s="5" t="str">
        <f t="shared" si="148"/>
        <v>00923</v>
      </c>
      <c r="M924" s="47" t="str">
        <f t="shared" si="149"/>
        <v>03 de abril de 2018</v>
      </c>
      <c r="N924" s="323">
        <f t="shared" si="151"/>
        <v>3</v>
      </c>
      <c r="O924" s="25">
        <f t="shared" si="150"/>
        <v>43191</v>
      </c>
      <c r="P924" s="5" t="str">
        <f t="shared" si="154"/>
        <v>2,80</v>
      </c>
      <c r="Q924" s="4" t="e">
        <f t="shared" ca="1" si="155"/>
        <v>#NAME?</v>
      </c>
    </row>
    <row r="925" spans="1:17">
      <c r="A925" s="1">
        <f t="shared" si="147"/>
        <v>924</v>
      </c>
      <c r="C925" s="8" t="s">
        <v>17</v>
      </c>
      <c r="D925" s="2">
        <v>43194</v>
      </c>
      <c r="E925" s="3">
        <f>140000/100000</f>
        <v>1.4</v>
      </c>
      <c r="F925" t="s">
        <v>24</v>
      </c>
      <c r="G925" t="s">
        <v>25</v>
      </c>
      <c r="H925" t="s">
        <v>26</v>
      </c>
      <c r="I925" s="6" t="s">
        <v>668</v>
      </c>
      <c r="J925" s="61" t="s">
        <v>22</v>
      </c>
      <c r="L925" s="5" t="str">
        <f t="shared" si="148"/>
        <v>00924</v>
      </c>
      <c r="M925" s="47" t="str">
        <f t="shared" si="149"/>
        <v>04 de abril de 2018</v>
      </c>
      <c r="N925" s="323">
        <f t="shared" si="151"/>
        <v>4</v>
      </c>
      <c r="O925" s="25">
        <f t="shared" si="150"/>
        <v>43191</v>
      </c>
      <c r="P925" s="5" t="str">
        <f t="shared" si="154"/>
        <v>1,40</v>
      </c>
      <c r="Q925" s="4" t="e">
        <f t="shared" ca="1" si="155"/>
        <v>#NAME?</v>
      </c>
    </row>
    <row r="926" spans="1:17">
      <c r="A926" s="1">
        <f t="shared" si="147"/>
        <v>925</v>
      </c>
      <c r="C926" s="8" t="s">
        <v>17</v>
      </c>
      <c r="D926" s="2">
        <v>43194</v>
      </c>
      <c r="E926" s="3">
        <f>50000/100000</f>
        <v>0.5</v>
      </c>
      <c r="F926" t="s">
        <v>594</v>
      </c>
      <c r="G926" t="s">
        <v>595</v>
      </c>
      <c r="H926" t="s">
        <v>596</v>
      </c>
      <c r="I926" s="6" t="s">
        <v>669</v>
      </c>
      <c r="J926" s="61" t="s">
        <v>22</v>
      </c>
      <c r="L926" s="5" t="str">
        <f t="shared" si="148"/>
        <v>00925</v>
      </c>
      <c r="M926" s="47" t="str">
        <f t="shared" si="149"/>
        <v>04 de abril de 2018</v>
      </c>
      <c r="N926" s="323">
        <f t="shared" si="151"/>
        <v>4</v>
      </c>
      <c r="O926" s="25">
        <f t="shared" si="150"/>
        <v>43191</v>
      </c>
      <c r="P926" s="5" t="str">
        <f t="shared" si="154"/>
        <v>0,50</v>
      </c>
      <c r="Q926" s="4" t="e">
        <f t="shared" ca="1" si="155"/>
        <v>#NAME?</v>
      </c>
    </row>
    <row r="927" spans="1:17">
      <c r="A927" s="1">
        <f t="shared" si="147"/>
        <v>926</v>
      </c>
      <c r="C927" s="8" t="s">
        <v>17</v>
      </c>
      <c r="D927" s="2">
        <v>43194</v>
      </c>
      <c r="E927" s="3">
        <f>140000/100000</f>
        <v>1.4</v>
      </c>
      <c r="F927" t="s">
        <v>107</v>
      </c>
      <c r="G927" t="s">
        <v>108</v>
      </c>
      <c r="H927" t="s">
        <v>109</v>
      </c>
      <c r="I927" s="6" t="s">
        <v>668</v>
      </c>
      <c r="J927" s="61" t="s">
        <v>22</v>
      </c>
      <c r="L927" s="5" t="str">
        <f t="shared" si="148"/>
        <v>00926</v>
      </c>
      <c r="M927" s="47" t="str">
        <f t="shared" si="149"/>
        <v>04 de abril de 2018</v>
      </c>
      <c r="N927" s="323">
        <f t="shared" si="151"/>
        <v>4</v>
      </c>
      <c r="O927" s="25">
        <f t="shared" si="150"/>
        <v>43191</v>
      </c>
      <c r="P927" s="5" t="str">
        <f t="shared" si="154"/>
        <v>1,40</v>
      </c>
      <c r="Q927" s="4" t="e">
        <f t="shared" ca="1" si="155"/>
        <v>#NAME?</v>
      </c>
    </row>
    <row r="928" spans="1:17">
      <c r="A928" s="1">
        <f t="shared" si="147"/>
        <v>927</v>
      </c>
      <c r="C928" s="8" t="s">
        <v>17</v>
      </c>
      <c r="D928" s="2">
        <v>43194</v>
      </c>
      <c r="E928" s="3">
        <f>60000/100000</f>
        <v>0.6</v>
      </c>
      <c r="F928" t="s">
        <v>107</v>
      </c>
      <c r="G928" t="s">
        <v>108</v>
      </c>
      <c r="H928" t="s">
        <v>109</v>
      </c>
      <c r="I928" s="6" t="s">
        <v>670</v>
      </c>
      <c r="J928" s="61" t="s">
        <v>22</v>
      </c>
      <c r="L928" s="5" t="str">
        <f t="shared" si="148"/>
        <v>00927</v>
      </c>
      <c r="M928" s="47" t="str">
        <f t="shared" si="149"/>
        <v>04 de abril de 2018</v>
      </c>
      <c r="N928" s="323">
        <f t="shared" si="151"/>
        <v>4</v>
      </c>
      <c r="O928" s="25">
        <f t="shared" si="150"/>
        <v>43191</v>
      </c>
      <c r="P928" s="5" t="str">
        <f t="shared" si="154"/>
        <v>0,60</v>
      </c>
      <c r="Q928" s="4" t="e">
        <f t="shared" ca="1" si="155"/>
        <v>#NAME?</v>
      </c>
    </row>
    <row r="929" spans="1:17">
      <c r="A929" s="1">
        <f t="shared" si="147"/>
        <v>928</v>
      </c>
      <c r="C929" s="8" t="s">
        <v>17</v>
      </c>
      <c r="D929" s="2">
        <v>43194</v>
      </c>
      <c r="E929" s="3">
        <f>250000/100000</f>
        <v>2.5</v>
      </c>
      <c r="F929" t="s">
        <v>44</v>
      </c>
      <c r="G929" t="s">
        <v>45</v>
      </c>
      <c r="H929" t="s">
        <v>46</v>
      </c>
      <c r="I929" s="6" t="s">
        <v>671</v>
      </c>
      <c r="J929" s="61" t="s">
        <v>22</v>
      </c>
      <c r="L929" s="5" t="str">
        <f t="shared" si="148"/>
        <v>00928</v>
      </c>
      <c r="M929" s="47" t="str">
        <f t="shared" si="149"/>
        <v>04 de abril de 2018</v>
      </c>
      <c r="N929" s="323">
        <f t="shared" si="151"/>
        <v>4</v>
      </c>
      <c r="O929" s="25">
        <f t="shared" si="150"/>
        <v>43191</v>
      </c>
      <c r="P929" s="5" t="str">
        <f t="shared" si="154"/>
        <v>2,50</v>
      </c>
      <c r="Q929" s="4" t="e">
        <f t="shared" ca="1" si="155"/>
        <v>#NAME?</v>
      </c>
    </row>
    <row r="930" spans="1:17">
      <c r="A930" s="1">
        <f t="shared" si="147"/>
        <v>929</v>
      </c>
      <c r="C930" s="8" t="s">
        <v>17</v>
      </c>
      <c r="D930" s="2">
        <v>43194</v>
      </c>
      <c r="E930" s="3">
        <f>140000/100000</f>
        <v>1.4</v>
      </c>
      <c r="F930" t="s">
        <v>558</v>
      </c>
      <c r="G930" t="s">
        <v>559</v>
      </c>
      <c r="H930" t="s">
        <v>560</v>
      </c>
      <c r="I930" s="6" t="s">
        <v>668</v>
      </c>
      <c r="J930" s="61" t="s">
        <v>22</v>
      </c>
      <c r="L930" s="5" t="str">
        <f t="shared" si="148"/>
        <v>00929</v>
      </c>
      <c r="M930" s="47" t="str">
        <f t="shared" si="149"/>
        <v>04 de abril de 2018</v>
      </c>
      <c r="N930" s="323">
        <f t="shared" si="151"/>
        <v>4</v>
      </c>
      <c r="O930" s="25">
        <f t="shared" si="150"/>
        <v>43191</v>
      </c>
      <c r="P930" s="5" t="str">
        <f t="shared" si="154"/>
        <v>1,40</v>
      </c>
      <c r="Q930" s="4" t="e">
        <f t="shared" ca="1" si="155"/>
        <v>#NAME?</v>
      </c>
    </row>
    <row r="931" spans="1:17">
      <c r="A931" s="1">
        <f t="shared" si="147"/>
        <v>930</v>
      </c>
      <c r="C931" s="8" t="s">
        <v>17</v>
      </c>
      <c r="D931" s="2">
        <v>43194</v>
      </c>
      <c r="E931" s="3">
        <f>280000/100000</f>
        <v>2.8</v>
      </c>
      <c r="F931" t="s">
        <v>90</v>
      </c>
      <c r="G931" t="s">
        <v>91</v>
      </c>
      <c r="H931" t="s">
        <v>92</v>
      </c>
      <c r="I931" s="6" t="s">
        <v>660</v>
      </c>
      <c r="J931" s="61" t="s">
        <v>22</v>
      </c>
      <c r="L931" s="5" t="str">
        <f t="shared" si="148"/>
        <v>00930</v>
      </c>
      <c r="M931" s="47" t="str">
        <f t="shared" si="149"/>
        <v>04 de abril de 2018</v>
      </c>
      <c r="N931" s="323">
        <f t="shared" si="151"/>
        <v>4</v>
      </c>
      <c r="O931" s="25">
        <f t="shared" si="150"/>
        <v>43191</v>
      </c>
      <c r="P931" s="5" t="str">
        <f t="shared" si="154"/>
        <v>2,80</v>
      </c>
      <c r="Q931" s="4" t="e">
        <f t="shared" ca="1" si="155"/>
        <v>#NAME?</v>
      </c>
    </row>
    <row r="932" spans="1:17">
      <c r="A932" s="1">
        <f t="shared" si="147"/>
        <v>931</v>
      </c>
      <c r="C932" s="8" t="s">
        <v>17</v>
      </c>
      <c r="D932" s="2">
        <v>43194</v>
      </c>
      <c r="E932" s="3">
        <f>120000/100000</f>
        <v>1.2</v>
      </c>
      <c r="F932" t="s">
        <v>90</v>
      </c>
      <c r="G932" t="s">
        <v>91</v>
      </c>
      <c r="H932" t="s">
        <v>92</v>
      </c>
      <c r="I932" s="6" t="s">
        <v>672</v>
      </c>
      <c r="J932" s="61" t="s">
        <v>673</v>
      </c>
      <c r="L932" s="5" t="str">
        <f t="shared" si="148"/>
        <v>00931</v>
      </c>
      <c r="M932" s="47" t="str">
        <f t="shared" si="149"/>
        <v>04 de abril de 2018</v>
      </c>
      <c r="N932" s="323">
        <f t="shared" si="151"/>
        <v>4</v>
      </c>
      <c r="O932" s="25">
        <f t="shared" si="150"/>
        <v>43191</v>
      </c>
      <c r="P932" s="5" t="str">
        <f t="shared" ref="P932:P959" si="156">TEXT(E932,"#.##0,00")</f>
        <v>1,20</v>
      </c>
      <c r="Q932" s="4" t="e">
        <f t="shared" ref="Q932:Q959" ca="1" si="157">CONVERTIRNUM(E932)</f>
        <v>#NAME?</v>
      </c>
    </row>
    <row r="933" spans="1:17">
      <c r="A933" s="1">
        <f t="shared" si="147"/>
        <v>932</v>
      </c>
      <c r="C933" s="8" t="s">
        <v>17</v>
      </c>
      <c r="D933" s="2">
        <v>43195</v>
      </c>
      <c r="E933" s="3">
        <f>140000/100000</f>
        <v>1.4</v>
      </c>
      <c r="F933" t="s">
        <v>18</v>
      </c>
      <c r="G933" t="s">
        <v>19</v>
      </c>
      <c r="H933" t="s">
        <v>20</v>
      </c>
      <c r="I933" s="6" t="s">
        <v>674</v>
      </c>
      <c r="J933" s="61" t="s">
        <v>22</v>
      </c>
      <c r="L933" s="5" t="str">
        <f t="shared" si="148"/>
        <v>00932</v>
      </c>
      <c r="M933" s="47" t="str">
        <f t="shared" si="149"/>
        <v>05 de abril de 2018</v>
      </c>
      <c r="N933" s="323">
        <f t="shared" si="151"/>
        <v>5</v>
      </c>
      <c r="O933" s="25">
        <f t="shared" si="150"/>
        <v>43191</v>
      </c>
      <c r="P933" s="5" t="str">
        <f t="shared" si="156"/>
        <v>1,40</v>
      </c>
      <c r="Q933" s="4" t="e">
        <f t="shared" ca="1" si="157"/>
        <v>#NAME?</v>
      </c>
    </row>
    <row r="934" spans="1:17">
      <c r="A934" s="178">
        <f t="shared" si="147"/>
        <v>933</v>
      </c>
      <c r="C934" s="8" t="s">
        <v>17</v>
      </c>
      <c r="D934" s="2">
        <v>43195</v>
      </c>
      <c r="E934" s="3">
        <f>140000/100000</f>
        <v>1.4</v>
      </c>
      <c r="F934" t="s">
        <v>438</v>
      </c>
      <c r="G934" t="s">
        <v>439</v>
      </c>
      <c r="H934" t="s">
        <v>440</v>
      </c>
      <c r="I934" s="6" t="s">
        <v>675</v>
      </c>
      <c r="J934" s="61" t="s">
        <v>22</v>
      </c>
      <c r="L934" s="5" t="str">
        <f t="shared" si="148"/>
        <v>00933</v>
      </c>
      <c r="M934" s="47" t="str">
        <f t="shared" si="149"/>
        <v>05 de abril de 2018</v>
      </c>
      <c r="N934" s="323">
        <f t="shared" si="151"/>
        <v>5</v>
      </c>
      <c r="O934" s="25">
        <f t="shared" si="150"/>
        <v>43191</v>
      </c>
      <c r="P934" s="5" t="str">
        <f t="shared" si="156"/>
        <v>1,40</v>
      </c>
      <c r="Q934" s="4" t="e">
        <f t="shared" ca="1" si="157"/>
        <v>#NAME?</v>
      </c>
    </row>
    <row r="935" spans="1:17">
      <c r="A935" s="1">
        <f t="shared" si="147"/>
        <v>934</v>
      </c>
      <c r="C935" s="8" t="s">
        <v>17</v>
      </c>
      <c r="D935" s="2">
        <v>43195</v>
      </c>
      <c r="E935" s="3">
        <f>140000/100000</f>
        <v>1.4</v>
      </c>
      <c r="F935" t="s">
        <v>219</v>
      </c>
      <c r="G935" t="s">
        <v>220</v>
      </c>
      <c r="H935" t="s">
        <v>221</v>
      </c>
      <c r="I935" s="6" t="s">
        <v>676</v>
      </c>
      <c r="J935" s="61" t="s">
        <v>22</v>
      </c>
      <c r="L935" s="5" t="str">
        <f t="shared" si="148"/>
        <v>00934</v>
      </c>
      <c r="M935" s="47" t="str">
        <f t="shared" si="149"/>
        <v>05 de abril de 2018</v>
      </c>
      <c r="N935" s="323">
        <f t="shared" si="151"/>
        <v>5</v>
      </c>
      <c r="O935" s="25">
        <f t="shared" si="150"/>
        <v>43191</v>
      </c>
      <c r="P935" s="5" t="str">
        <f t="shared" si="156"/>
        <v>1,40</v>
      </c>
      <c r="Q935" s="4" t="e">
        <f t="shared" ca="1" si="157"/>
        <v>#NAME?</v>
      </c>
    </row>
    <row r="936" spans="1:17">
      <c r="A936" s="1">
        <f t="shared" si="147"/>
        <v>935</v>
      </c>
      <c r="C936" s="8" t="s">
        <v>17</v>
      </c>
      <c r="D936" s="2">
        <v>43195</v>
      </c>
      <c r="E936" s="3">
        <f>300000/100000</f>
        <v>3</v>
      </c>
      <c r="F936" t="s">
        <v>53</v>
      </c>
      <c r="G936" t="s">
        <v>677</v>
      </c>
      <c r="H936" t="s">
        <v>55</v>
      </c>
      <c r="I936" s="6" t="s">
        <v>678</v>
      </c>
      <c r="J936" s="61" t="s">
        <v>22</v>
      </c>
      <c r="L936" s="5" t="str">
        <f t="shared" si="148"/>
        <v>00935</v>
      </c>
      <c r="M936" s="47" t="str">
        <f t="shared" si="149"/>
        <v>05 de abril de 2018</v>
      </c>
      <c r="N936" s="323">
        <f t="shared" si="151"/>
        <v>5</v>
      </c>
      <c r="O936" s="25">
        <f t="shared" si="150"/>
        <v>43191</v>
      </c>
      <c r="P936" s="5" t="str">
        <f t="shared" si="156"/>
        <v>3,00</v>
      </c>
      <c r="Q936" s="4" t="e">
        <f t="shared" ca="1" si="157"/>
        <v>#NAME?</v>
      </c>
    </row>
    <row r="937" spans="1:17" ht="15.75" thickBot="1">
      <c r="A937" s="1">
        <f>A936+1</f>
        <v>936</v>
      </c>
      <c r="C937" s="8" t="s">
        <v>17</v>
      </c>
      <c r="D937" s="2">
        <v>43195</v>
      </c>
      <c r="E937" s="3">
        <f>140000/100000</f>
        <v>1.4</v>
      </c>
      <c r="F937" t="s">
        <v>70</v>
      </c>
      <c r="G937" t="s">
        <v>71</v>
      </c>
      <c r="H937" t="s">
        <v>72</v>
      </c>
      <c r="I937" s="6" t="s">
        <v>668</v>
      </c>
      <c r="J937" s="61" t="s">
        <v>22</v>
      </c>
      <c r="L937" s="5" t="str">
        <f t="shared" si="148"/>
        <v>00936</v>
      </c>
      <c r="M937" s="47" t="str">
        <f t="shared" si="149"/>
        <v>05 de abril de 2018</v>
      </c>
      <c r="N937" s="323">
        <f t="shared" si="151"/>
        <v>5</v>
      </c>
      <c r="O937" s="25">
        <f t="shared" si="150"/>
        <v>43191</v>
      </c>
      <c r="P937" s="5" t="str">
        <f t="shared" si="156"/>
        <v>1,40</v>
      </c>
      <c r="Q937" s="4" t="e">
        <f t="shared" ca="1" si="157"/>
        <v>#NAME?</v>
      </c>
    </row>
    <row r="938" spans="1:17" ht="15.75" thickBot="1">
      <c r="A938" s="1">
        <f t="shared" ref="A938:A1001" si="158">A937+1</f>
        <v>937</v>
      </c>
      <c r="C938" s="8" t="s">
        <v>17</v>
      </c>
      <c r="D938" s="2">
        <v>43195</v>
      </c>
      <c r="E938" s="3">
        <f>140000/100000</f>
        <v>1.4</v>
      </c>
      <c r="F938" t="s">
        <v>239</v>
      </c>
      <c r="G938" s="73" t="s">
        <v>240</v>
      </c>
      <c r="H938" t="s">
        <v>241</v>
      </c>
      <c r="I938" s="6" t="s">
        <v>632</v>
      </c>
      <c r="J938" s="61" t="s">
        <v>22</v>
      </c>
      <c r="L938" s="5" t="str">
        <f t="shared" si="148"/>
        <v>00937</v>
      </c>
      <c r="M938" s="47" t="str">
        <f t="shared" si="149"/>
        <v>05 de abril de 2018</v>
      </c>
      <c r="N938" s="323">
        <f t="shared" si="151"/>
        <v>5</v>
      </c>
      <c r="O938" s="25">
        <f t="shared" si="150"/>
        <v>43191</v>
      </c>
      <c r="P938" s="5" t="str">
        <f t="shared" si="156"/>
        <v>1,40</v>
      </c>
      <c r="Q938" s="4" t="e">
        <f t="shared" ca="1" si="157"/>
        <v>#NAME?</v>
      </c>
    </row>
    <row r="939" spans="1:17">
      <c r="A939" s="1">
        <f t="shared" si="158"/>
        <v>938</v>
      </c>
      <c r="C939" s="8" t="s">
        <v>17</v>
      </c>
      <c r="D939" s="2">
        <v>43195</v>
      </c>
      <c r="E939" s="3">
        <f>280000/100000</f>
        <v>2.8</v>
      </c>
      <c r="F939" t="s">
        <v>633</v>
      </c>
      <c r="G939" t="s">
        <v>634</v>
      </c>
      <c r="H939" t="s">
        <v>635</v>
      </c>
      <c r="I939" s="6" t="s">
        <v>660</v>
      </c>
      <c r="J939" s="61" t="s">
        <v>22</v>
      </c>
      <c r="L939" s="5" t="str">
        <f t="shared" si="148"/>
        <v>00938</v>
      </c>
      <c r="M939" s="47" t="str">
        <f t="shared" si="149"/>
        <v>05 de abril de 2018</v>
      </c>
      <c r="N939" s="323">
        <f t="shared" si="151"/>
        <v>5</v>
      </c>
      <c r="O939" s="25">
        <f t="shared" si="150"/>
        <v>43191</v>
      </c>
      <c r="P939" s="5" t="str">
        <f t="shared" si="156"/>
        <v>2,80</v>
      </c>
      <c r="Q939" s="4" t="e">
        <f t="shared" ca="1" si="157"/>
        <v>#NAME?</v>
      </c>
    </row>
    <row r="940" spans="1:17">
      <c r="A940" s="1">
        <f t="shared" si="158"/>
        <v>939</v>
      </c>
      <c r="C940" s="8" t="s">
        <v>17</v>
      </c>
      <c r="D940" s="2">
        <v>43195</v>
      </c>
      <c r="E940" s="3">
        <f>80000/100000</f>
        <v>0.8</v>
      </c>
      <c r="F940" t="s">
        <v>84</v>
      </c>
      <c r="G940" t="s">
        <v>85</v>
      </c>
      <c r="H940" t="s">
        <v>86</v>
      </c>
      <c r="I940" s="6" t="s">
        <v>669</v>
      </c>
      <c r="J940" s="61" t="s">
        <v>22</v>
      </c>
      <c r="L940" s="5" t="str">
        <f t="shared" si="148"/>
        <v>00939</v>
      </c>
      <c r="M940" s="47" t="str">
        <f t="shared" si="149"/>
        <v>05 de abril de 2018</v>
      </c>
      <c r="N940" s="323">
        <f t="shared" si="151"/>
        <v>5</v>
      </c>
      <c r="O940" s="25">
        <f t="shared" si="150"/>
        <v>43191</v>
      </c>
      <c r="P940" s="5" t="str">
        <f t="shared" si="156"/>
        <v>0,80</v>
      </c>
      <c r="Q940" s="4" t="e">
        <f t="shared" ca="1" si="157"/>
        <v>#NAME?</v>
      </c>
    </row>
    <row r="941" spans="1:17">
      <c r="A941" s="1">
        <f t="shared" si="158"/>
        <v>940</v>
      </c>
      <c r="C941" s="8" t="s">
        <v>17</v>
      </c>
      <c r="D941" s="2">
        <v>43195</v>
      </c>
      <c r="E941" s="3">
        <f>140000/100000</f>
        <v>1.4</v>
      </c>
      <c r="F941" t="s">
        <v>40</v>
      </c>
      <c r="G941" t="s">
        <v>41</v>
      </c>
      <c r="H941" t="s">
        <v>42</v>
      </c>
      <c r="I941" s="6" t="s">
        <v>668</v>
      </c>
      <c r="J941" s="61" t="s">
        <v>22</v>
      </c>
      <c r="L941" s="5" t="str">
        <f t="shared" si="148"/>
        <v>00940</v>
      </c>
      <c r="M941" s="47" t="str">
        <f t="shared" si="149"/>
        <v>05 de abril de 2018</v>
      </c>
      <c r="N941" s="323">
        <f t="shared" si="151"/>
        <v>5</v>
      </c>
      <c r="O941" s="25">
        <f t="shared" si="150"/>
        <v>43191</v>
      </c>
      <c r="P941" s="5" t="str">
        <f t="shared" si="156"/>
        <v>1,40</v>
      </c>
      <c r="Q941" s="4" t="e">
        <f t="shared" ca="1" si="157"/>
        <v>#NAME?</v>
      </c>
    </row>
    <row r="942" spans="1:17">
      <c r="A942" s="1">
        <f t="shared" si="158"/>
        <v>941</v>
      </c>
      <c r="C942" s="8" t="s">
        <v>17</v>
      </c>
      <c r="D942" s="2">
        <v>43195</v>
      </c>
      <c r="E942" s="3">
        <f>60000/100000</f>
        <v>0.6</v>
      </c>
      <c r="F942" t="s">
        <v>40</v>
      </c>
      <c r="G942" t="s">
        <v>41</v>
      </c>
      <c r="H942" t="s">
        <v>42</v>
      </c>
      <c r="I942" s="6" t="s">
        <v>672</v>
      </c>
      <c r="J942" s="61" t="s">
        <v>673</v>
      </c>
      <c r="L942" s="5" t="str">
        <f t="shared" si="148"/>
        <v>00941</v>
      </c>
      <c r="M942" s="47" t="str">
        <f t="shared" si="149"/>
        <v>05 de abril de 2018</v>
      </c>
      <c r="N942" s="323">
        <f t="shared" si="151"/>
        <v>5</v>
      </c>
      <c r="O942" s="25">
        <f t="shared" si="150"/>
        <v>43191</v>
      </c>
      <c r="P942" s="5" t="str">
        <f t="shared" si="156"/>
        <v>0,60</v>
      </c>
      <c r="Q942" s="4" t="e">
        <f t="shared" ca="1" si="157"/>
        <v>#NAME?</v>
      </c>
    </row>
    <row r="943" spans="1:17">
      <c r="A943" s="1">
        <f t="shared" si="158"/>
        <v>942</v>
      </c>
      <c r="C943" s="8" t="s">
        <v>17</v>
      </c>
      <c r="D943" s="2">
        <v>43078</v>
      </c>
      <c r="E943" s="3">
        <f>50000/100000</f>
        <v>0.5</v>
      </c>
      <c r="F943" t="s">
        <v>134</v>
      </c>
      <c r="G943" t="s">
        <v>135</v>
      </c>
      <c r="H943" t="s">
        <v>136</v>
      </c>
      <c r="I943" s="6" t="s">
        <v>575</v>
      </c>
      <c r="J943" s="61" t="s">
        <v>22</v>
      </c>
      <c r="L943" s="5" t="str">
        <f t="shared" si="148"/>
        <v>00942</v>
      </c>
      <c r="M943" s="47" t="str">
        <f t="shared" si="149"/>
        <v>09 de diciembre de 2017</v>
      </c>
      <c r="N943" s="323">
        <f t="shared" si="151"/>
        <v>9</v>
      </c>
      <c r="O943" s="25">
        <f t="shared" si="150"/>
        <v>43070</v>
      </c>
      <c r="P943" s="5" t="str">
        <f t="shared" si="156"/>
        <v>0,50</v>
      </c>
      <c r="Q943" s="4" t="e">
        <f t="shared" ca="1" si="157"/>
        <v>#NAME?</v>
      </c>
    </row>
    <row r="944" spans="1:17">
      <c r="A944" s="1">
        <f t="shared" si="158"/>
        <v>943</v>
      </c>
      <c r="C944" s="8" t="s">
        <v>17</v>
      </c>
      <c r="D944" s="2">
        <v>43196</v>
      </c>
      <c r="E944" s="3">
        <f>140000/100000</f>
        <v>1.4</v>
      </c>
      <c r="F944" t="s">
        <v>62</v>
      </c>
      <c r="G944" t="s">
        <v>63</v>
      </c>
      <c r="H944" t="s">
        <v>64</v>
      </c>
      <c r="I944" s="6" t="s">
        <v>630</v>
      </c>
      <c r="J944" s="61" t="s">
        <v>22</v>
      </c>
      <c r="L944" s="5" t="str">
        <f t="shared" si="148"/>
        <v>00943</v>
      </c>
      <c r="M944" s="47" t="str">
        <f t="shared" si="149"/>
        <v>06 de abril de 2018</v>
      </c>
      <c r="N944" s="323">
        <f t="shared" si="151"/>
        <v>6</v>
      </c>
      <c r="O944" s="25">
        <f t="shared" si="150"/>
        <v>43191</v>
      </c>
      <c r="P944" s="5" t="str">
        <f t="shared" si="156"/>
        <v>1,40</v>
      </c>
      <c r="Q944" s="4" t="e">
        <f t="shared" ca="1" si="157"/>
        <v>#NAME?</v>
      </c>
    </row>
    <row r="945" spans="1:17">
      <c r="A945" s="1">
        <f t="shared" si="158"/>
        <v>944</v>
      </c>
      <c r="C945" s="8" t="s">
        <v>17</v>
      </c>
      <c r="D945" s="2">
        <v>43196</v>
      </c>
      <c r="E945" s="3">
        <f>260000/100000</f>
        <v>2.6</v>
      </c>
      <c r="F945" t="s">
        <v>197</v>
      </c>
      <c r="G945" t="s">
        <v>198</v>
      </c>
      <c r="H945" t="s">
        <v>199</v>
      </c>
      <c r="I945" s="6" t="s">
        <v>660</v>
      </c>
      <c r="J945" s="61" t="s">
        <v>22</v>
      </c>
      <c r="L945" s="5" t="str">
        <f t="shared" si="148"/>
        <v>00944</v>
      </c>
      <c r="M945" s="47" t="str">
        <f t="shared" si="149"/>
        <v>06 de abril de 2018</v>
      </c>
      <c r="N945" s="323">
        <f t="shared" si="151"/>
        <v>6</v>
      </c>
      <c r="O945" s="25">
        <f t="shared" si="150"/>
        <v>43191</v>
      </c>
      <c r="P945" s="5" t="str">
        <f t="shared" si="156"/>
        <v>2,60</v>
      </c>
      <c r="Q945" s="4" t="e">
        <f t="shared" ca="1" si="157"/>
        <v>#NAME?</v>
      </c>
    </row>
    <row r="946" spans="1:17">
      <c r="A946" s="1">
        <f t="shared" si="158"/>
        <v>945</v>
      </c>
      <c r="C946" s="8" t="s">
        <v>17</v>
      </c>
      <c r="D946" s="2">
        <v>43197</v>
      </c>
      <c r="E946" s="3">
        <f>80000/100000</f>
        <v>0.8</v>
      </c>
      <c r="F946" t="s">
        <v>48</v>
      </c>
      <c r="G946" t="s">
        <v>49</v>
      </c>
      <c r="H946" t="s">
        <v>50</v>
      </c>
      <c r="I946" s="6" t="s">
        <v>679</v>
      </c>
      <c r="J946" s="61" t="s">
        <v>22</v>
      </c>
      <c r="L946" s="5" t="str">
        <f t="shared" si="148"/>
        <v>00945</v>
      </c>
      <c r="M946" s="47" t="str">
        <f t="shared" si="149"/>
        <v>07 de abril de 2018</v>
      </c>
      <c r="N946" s="323">
        <f t="shared" si="151"/>
        <v>7</v>
      </c>
      <c r="O946" s="25">
        <f t="shared" si="150"/>
        <v>43191</v>
      </c>
      <c r="P946" s="5" t="str">
        <f t="shared" si="156"/>
        <v>0,80</v>
      </c>
      <c r="Q946" s="4" t="e">
        <f t="shared" ca="1" si="157"/>
        <v>#NAME?</v>
      </c>
    </row>
    <row r="947" spans="1:17" ht="15.75" thickBot="1">
      <c r="A947" s="1">
        <f t="shared" si="158"/>
        <v>946</v>
      </c>
      <c r="C947" s="8" t="s">
        <v>17</v>
      </c>
      <c r="D947" s="2">
        <v>43198</v>
      </c>
      <c r="E947" s="3">
        <f>200000/100000</f>
        <v>2</v>
      </c>
      <c r="F947" t="s">
        <v>118</v>
      </c>
      <c r="G947" t="s">
        <v>119</v>
      </c>
      <c r="H947" t="s">
        <v>120</v>
      </c>
      <c r="I947" s="6" t="s">
        <v>680</v>
      </c>
      <c r="J947" s="61" t="s">
        <v>22</v>
      </c>
      <c r="L947" s="5" t="str">
        <f t="shared" si="148"/>
        <v>00946</v>
      </c>
      <c r="M947" s="47" t="str">
        <f t="shared" si="149"/>
        <v>08 de abril de 2018</v>
      </c>
      <c r="N947" s="323">
        <f t="shared" si="151"/>
        <v>8</v>
      </c>
      <c r="O947" s="25">
        <f t="shared" si="150"/>
        <v>43191</v>
      </c>
      <c r="P947" s="5" t="str">
        <f t="shared" si="156"/>
        <v>2,00</v>
      </c>
      <c r="Q947" s="4" t="e">
        <f t="shared" ca="1" si="157"/>
        <v>#NAME?</v>
      </c>
    </row>
    <row r="948" spans="1:17" ht="15.75" thickBot="1">
      <c r="A948" s="1">
        <f t="shared" si="158"/>
        <v>947</v>
      </c>
      <c r="C948" s="8" t="s">
        <v>17</v>
      </c>
      <c r="D948" s="2">
        <v>43198</v>
      </c>
      <c r="E948" s="3">
        <f>140000/100000</f>
        <v>1.4</v>
      </c>
      <c r="F948" t="s">
        <v>177</v>
      </c>
      <c r="G948" s="18" t="s">
        <v>58</v>
      </c>
      <c r="H948" t="s">
        <v>179</v>
      </c>
      <c r="I948" s="6" t="s">
        <v>668</v>
      </c>
      <c r="J948" s="61" t="s">
        <v>22</v>
      </c>
      <c r="L948" s="5" t="str">
        <f t="shared" si="148"/>
        <v>00947</v>
      </c>
      <c r="M948" s="47" t="str">
        <f t="shared" si="149"/>
        <v>08 de abril de 2018</v>
      </c>
      <c r="N948" s="323">
        <f t="shared" si="151"/>
        <v>8</v>
      </c>
      <c r="O948" s="25">
        <f t="shared" si="150"/>
        <v>43191</v>
      </c>
      <c r="P948" s="5" t="str">
        <f t="shared" si="156"/>
        <v>1,40</v>
      </c>
      <c r="Q948" s="4" t="e">
        <f t="shared" ca="1" si="157"/>
        <v>#NAME?</v>
      </c>
    </row>
    <row r="949" spans="1:17">
      <c r="A949" s="1">
        <f t="shared" si="158"/>
        <v>948</v>
      </c>
      <c r="C949" s="8" t="s">
        <v>17</v>
      </c>
      <c r="D949" s="2">
        <v>43200</v>
      </c>
      <c r="E949" s="3">
        <f>280000/100000</f>
        <v>2.8</v>
      </c>
      <c r="F949" t="s">
        <v>362</v>
      </c>
      <c r="G949" t="s">
        <v>363</v>
      </c>
      <c r="H949" t="s">
        <v>364</v>
      </c>
      <c r="I949" s="6" t="s">
        <v>660</v>
      </c>
      <c r="J949" s="61" t="s">
        <v>22</v>
      </c>
      <c r="L949" s="5" t="str">
        <f t="shared" si="148"/>
        <v>00948</v>
      </c>
      <c r="M949" s="47" t="str">
        <f t="shared" si="149"/>
        <v>10 de abril de 2018</v>
      </c>
      <c r="N949" s="323">
        <f t="shared" si="151"/>
        <v>10</v>
      </c>
      <c r="O949" s="25">
        <f t="shared" si="150"/>
        <v>43191</v>
      </c>
      <c r="P949" s="5" t="str">
        <f t="shared" si="156"/>
        <v>2,80</v>
      </c>
      <c r="Q949" s="4" t="e">
        <f t="shared" ca="1" si="157"/>
        <v>#NAME?</v>
      </c>
    </row>
    <row r="950" spans="1:17" ht="15.75" thickBot="1">
      <c r="A950" s="1">
        <f t="shared" si="158"/>
        <v>949</v>
      </c>
      <c r="C950" s="8" t="s">
        <v>17</v>
      </c>
      <c r="D950" s="2">
        <v>43200</v>
      </c>
      <c r="E950" s="3">
        <f>200000/100000</f>
        <v>2</v>
      </c>
      <c r="F950" t="s">
        <v>483</v>
      </c>
      <c r="G950" t="s">
        <v>484</v>
      </c>
      <c r="H950" t="s">
        <v>485</v>
      </c>
      <c r="I950" s="6" t="s">
        <v>681</v>
      </c>
      <c r="J950" s="61" t="s">
        <v>22</v>
      </c>
      <c r="L950" s="5" t="str">
        <f t="shared" si="148"/>
        <v>00949</v>
      </c>
      <c r="M950" s="47" t="str">
        <f t="shared" si="149"/>
        <v>10 de abril de 2018</v>
      </c>
      <c r="N950" s="323">
        <f t="shared" si="151"/>
        <v>10</v>
      </c>
      <c r="O950" s="25">
        <f t="shared" si="150"/>
        <v>43191</v>
      </c>
      <c r="P950" s="5" t="str">
        <f t="shared" si="156"/>
        <v>2,00</v>
      </c>
      <c r="Q950" s="4" t="e">
        <f t="shared" ca="1" si="157"/>
        <v>#NAME?</v>
      </c>
    </row>
    <row r="951" spans="1:17" ht="15.75" thickBot="1">
      <c r="A951" s="1">
        <f t="shared" si="158"/>
        <v>950</v>
      </c>
      <c r="C951" s="8" t="s">
        <v>17</v>
      </c>
      <c r="D951" s="2">
        <v>43201</v>
      </c>
      <c r="E951" s="3">
        <f>200000/100000</f>
        <v>2</v>
      </c>
      <c r="F951" s="23" t="s">
        <v>422</v>
      </c>
      <c r="G951" s="18" t="s">
        <v>58</v>
      </c>
      <c r="H951" t="s">
        <v>423</v>
      </c>
      <c r="I951" s="6" t="s">
        <v>668</v>
      </c>
      <c r="J951" s="61" t="s">
        <v>22</v>
      </c>
      <c r="L951" s="5" t="str">
        <f t="shared" si="148"/>
        <v>00950</v>
      </c>
      <c r="M951" s="47" t="str">
        <f t="shared" si="149"/>
        <v>11 de abril de 2018</v>
      </c>
      <c r="N951" s="323">
        <f t="shared" si="151"/>
        <v>11</v>
      </c>
      <c r="O951" s="25">
        <f t="shared" si="150"/>
        <v>43191</v>
      </c>
      <c r="P951" s="5" t="str">
        <f t="shared" si="156"/>
        <v>2,00</v>
      </c>
      <c r="Q951" s="4" t="e">
        <f t="shared" ca="1" si="157"/>
        <v>#NAME?</v>
      </c>
    </row>
    <row r="952" spans="1:17">
      <c r="A952" s="1">
        <f t="shared" si="158"/>
        <v>951</v>
      </c>
      <c r="C952" s="8" t="s">
        <v>17</v>
      </c>
      <c r="D952" s="2">
        <v>43201</v>
      </c>
      <c r="E952" s="3">
        <f>140000/100000</f>
        <v>1.4</v>
      </c>
      <c r="F952" t="s">
        <v>152</v>
      </c>
      <c r="G952" t="s">
        <v>153</v>
      </c>
      <c r="H952" t="s">
        <v>154</v>
      </c>
      <c r="I952" s="6" t="s">
        <v>668</v>
      </c>
      <c r="J952" s="61" t="s">
        <v>22</v>
      </c>
      <c r="L952" s="5" t="str">
        <f t="shared" si="148"/>
        <v>00951</v>
      </c>
      <c r="M952" s="47" t="str">
        <f t="shared" si="149"/>
        <v>11 de abril de 2018</v>
      </c>
      <c r="N952" s="323">
        <f t="shared" si="151"/>
        <v>11</v>
      </c>
      <c r="O952" s="25">
        <f t="shared" si="150"/>
        <v>43191</v>
      </c>
      <c r="P952" s="5" t="str">
        <f t="shared" si="156"/>
        <v>1,40</v>
      </c>
      <c r="Q952" s="4" t="e">
        <f t="shared" ca="1" si="157"/>
        <v>#NAME?</v>
      </c>
    </row>
    <row r="953" spans="1:17">
      <c r="A953" s="1">
        <f t="shared" si="158"/>
        <v>952</v>
      </c>
      <c r="C953" s="8" t="s">
        <v>17</v>
      </c>
      <c r="D953" s="2">
        <v>43201</v>
      </c>
      <c r="E953" s="3">
        <f>140000/100000</f>
        <v>1.4</v>
      </c>
      <c r="F953" t="s">
        <v>107</v>
      </c>
      <c r="G953" t="s">
        <v>108</v>
      </c>
      <c r="H953" t="s">
        <v>109</v>
      </c>
      <c r="I953" s="6" t="s">
        <v>670</v>
      </c>
      <c r="J953" s="61" t="s">
        <v>22</v>
      </c>
      <c r="L953" s="5" t="str">
        <f t="shared" si="148"/>
        <v>00952</v>
      </c>
      <c r="M953" s="47" t="str">
        <f t="shared" si="149"/>
        <v>11 de abril de 2018</v>
      </c>
      <c r="N953" s="323">
        <f t="shared" si="151"/>
        <v>11</v>
      </c>
      <c r="O953" s="25">
        <f t="shared" si="150"/>
        <v>43191</v>
      </c>
      <c r="P953" s="5" t="str">
        <f t="shared" si="156"/>
        <v>1,40</v>
      </c>
      <c r="Q953" s="4" t="e">
        <f t="shared" ca="1" si="157"/>
        <v>#NAME?</v>
      </c>
    </row>
    <row r="954" spans="1:17">
      <c r="A954" s="1">
        <f t="shared" si="158"/>
        <v>953</v>
      </c>
      <c r="C954" s="8" t="s">
        <v>17</v>
      </c>
      <c r="D954" s="2">
        <v>43203</v>
      </c>
      <c r="E954" s="3">
        <f>140000/100000</f>
        <v>1.4</v>
      </c>
      <c r="F954" t="s">
        <v>201</v>
      </c>
      <c r="G954" t="s">
        <v>202</v>
      </c>
      <c r="H954" t="s">
        <v>203</v>
      </c>
      <c r="I954" s="6" t="s">
        <v>668</v>
      </c>
      <c r="J954" s="61" t="s">
        <v>22</v>
      </c>
      <c r="L954" s="5" t="str">
        <f t="shared" si="148"/>
        <v>00953</v>
      </c>
      <c r="M954" s="47" t="str">
        <f t="shared" si="149"/>
        <v>13 de abril de 2018</v>
      </c>
      <c r="N954" s="323">
        <f t="shared" si="151"/>
        <v>13</v>
      </c>
      <c r="O954" s="25">
        <f t="shared" si="150"/>
        <v>43191</v>
      </c>
      <c r="P954" s="5" t="str">
        <f t="shared" si="156"/>
        <v>1,40</v>
      </c>
      <c r="Q954" s="4" t="e">
        <f t="shared" ca="1" si="157"/>
        <v>#NAME?</v>
      </c>
    </row>
    <row r="955" spans="1:17">
      <c r="A955" s="1">
        <f t="shared" si="158"/>
        <v>954</v>
      </c>
      <c r="C955" s="8" t="s">
        <v>17</v>
      </c>
      <c r="D955" s="2">
        <v>43203</v>
      </c>
      <c r="E955" s="3">
        <f>60000/100000</f>
        <v>0.6</v>
      </c>
      <c r="F955" t="s">
        <v>201</v>
      </c>
      <c r="G955" t="s">
        <v>202</v>
      </c>
      <c r="H955" t="s">
        <v>203</v>
      </c>
      <c r="I955" s="6" t="s">
        <v>672</v>
      </c>
      <c r="J955" s="61" t="s">
        <v>673</v>
      </c>
      <c r="L955" s="5" t="str">
        <f t="shared" si="148"/>
        <v>00954</v>
      </c>
      <c r="M955" s="47" t="str">
        <f t="shared" si="149"/>
        <v>13 de abril de 2018</v>
      </c>
      <c r="N955" s="323">
        <f t="shared" si="151"/>
        <v>13</v>
      </c>
      <c r="O955" s="25">
        <f t="shared" si="150"/>
        <v>43191</v>
      </c>
      <c r="P955" s="5" t="str">
        <f t="shared" si="156"/>
        <v>0,60</v>
      </c>
      <c r="Q955" s="4" t="e">
        <f t="shared" ca="1" si="157"/>
        <v>#NAME?</v>
      </c>
    </row>
    <row r="956" spans="1:17">
      <c r="A956" s="1">
        <f t="shared" si="158"/>
        <v>955</v>
      </c>
      <c r="C956" s="8" t="s">
        <v>17</v>
      </c>
      <c r="D956" s="2">
        <v>43203</v>
      </c>
      <c r="E956" s="3">
        <f>140000/100000</f>
        <v>1.4</v>
      </c>
      <c r="F956" t="s">
        <v>243</v>
      </c>
      <c r="G956" t="s">
        <v>244</v>
      </c>
      <c r="H956" t="s">
        <v>245</v>
      </c>
      <c r="I956" s="6" t="s">
        <v>668</v>
      </c>
      <c r="J956" s="61" t="s">
        <v>22</v>
      </c>
      <c r="L956" s="5" t="str">
        <f t="shared" si="148"/>
        <v>00955</v>
      </c>
      <c r="M956" s="47" t="str">
        <f t="shared" si="149"/>
        <v>13 de abril de 2018</v>
      </c>
      <c r="N956" s="323">
        <f t="shared" si="151"/>
        <v>13</v>
      </c>
      <c r="O956" s="25">
        <f t="shared" si="150"/>
        <v>43191</v>
      </c>
      <c r="P956" s="5" t="str">
        <f t="shared" si="156"/>
        <v>1,40</v>
      </c>
      <c r="Q956" s="4" t="e">
        <f t="shared" ca="1" si="157"/>
        <v>#NAME?</v>
      </c>
    </row>
    <row r="957" spans="1:17">
      <c r="A957" s="1">
        <f t="shared" si="158"/>
        <v>956</v>
      </c>
      <c r="C957" s="8" t="s">
        <v>17</v>
      </c>
      <c r="D957" s="2">
        <v>43203</v>
      </c>
      <c r="E957" s="3">
        <f>60000/100000</f>
        <v>0.6</v>
      </c>
      <c r="F957" t="s">
        <v>243</v>
      </c>
      <c r="G957" t="s">
        <v>244</v>
      </c>
      <c r="H957" t="s">
        <v>245</v>
      </c>
      <c r="I957" s="6" t="s">
        <v>672</v>
      </c>
      <c r="J957" s="61" t="s">
        <v>673</v>
      </c>
      <c r="L957" s="5" t="str">
        <f t="shared" si="148"/>
        <v>00956</v>
      </c>
      <c r="M957" s="47" t="str">
        <f t="shared" si="149"/>
        <v>13 de abril de 2018</v>
      </c>
      <c r="N957" s="323">
        <f t="shared" si="151"/>
        <v>13</v>
      </c>
      <c r="O957" s="25">
        <f t="shared" si="150"/>
        <v>43191</v>
      </c>
      <c r="P957" s="5" t="str">
        <f t="shared" si="156"/>
        <v>0,60</v>
      </c>
      <c r="Q957" s="4" t="e">
        <f t="shared" ca="1" si="157"/>
        <v>#NAME?</v>
      </c>
    </row>
    <row r="958" spans="1:17">
      <c r="A958" s="1">
        <f t="shared" si="158"/>
        <v>957</v>
      </c>
      <c r="C958" s="8" t="s">
        <v>17</v>
      </c>
      <c r="D958" s="2">
        <v>43203</v>
      </c>
      <c r="E958" s="3">
        <f>140000/100000</f>
        <v>1.4</v>
      </c>
      <c r="F958" t="s">
        <v>211</v>
      </c>
      <c r="G958" t="s">
        <v>212</v>
      </c>
      <c r="H958" t="s">
        <v>213</v>
      </c>
      <c r="I958" s="6" t="s">
        <v>630</v>
      </c>
      <c r="J958" s="61" t="s">
        <v>22</v>
      </c>
      <c r="L958" s="5" t="str">
        <f t="shared" si="148"/>
        <v>00957</v>
      </c>
      <c r="M958" s="47" t="str">
        <f t="shared" si="149"/>
        <v>13 de abril de 2018</v>
      </c>
      <c r="N958" s="323">
        <f t="shared" si="151"/>
        <v>13</v>
      </c>
      <c r="O958" s="25">
        <f t="shared" si="150"/>
        <v>43191</v>
      </c>
      <c r="P958" s="5" t="str">
        <f t="shared" si="156"/>
        <v>1,40</v>
      </c>
      <c r="Q958" s="4" t="e">
        <f t="shared" ca="1" si="157"/>
        <v>#NAME?</v>
      </c>
    </row>
    <row r="959" spans="1:17">
      <c r="A959" s="1">
        <f t="shared" si="158"/>
        <v>958</v>
      </c>
      <c r="C959" s="8" t="s">
        <v>17</v>
      </c>
      <c r="D959" s="2">
        <v>43203</v>
      </c>
      <c r="E959" s="3">
        <f>140000/100000</f>
        <v>1.4</v>
      </c>
      <c r="F959" t="s">
        <v>181</v>
      </c>
      <c r="G959" t="s">
        <v>182</v>
      </c>
      <c r="H959" t="s">
        <v>183</v>
      </c>
      <c r="I959" s="6" t="s">
        <v>668</v>
      </c>
      <c r="J959" s="61" t="s">
        <v>22</v>
      </c>
      <c r="L959" s="5" t="str">
        <f t="shared" si="148"/>
        <v>00958</v>
      </c>
      <c r="M959" s="47" t="str">
        <f t="shared" si="149"/>
        <v>13 de abril de 2018</v>
      </c>
      <c r="N959" s="323">
        <f t="shared" si="151"/>
        <v>13</v>
      </c>
      <c r="O959" s="25">
        <f t="shared" si="150"/>
        <v>43191</v>
      </c>
      <c r="P959" s="5" t="str">
        <f t="shared" si="156"/>
        <v>1,40</v>
      </c>
      <c r="Q959" s="4" t="e">
        <f t="shared" ca="1" si="157"/>
        <v>#NAME?</v>
      </c>
    </row>
    <row r="960" spans="1:17">
      <c r="A960" s="1">
        <f t="shared" si="158"/>
        <v>959</v>
      </c>
      <c r="C960" s="8" t="s">
        <v>17</v>
      </c>
      <c r="D960" s="2">
        <v>43206</v>
      </c>
      <c r="E960" s="3">
        <f>140000/100000</f>
        <v>1.4</v>
      </c>
      <c r="F960" t="s">
        <v>134</v>
      </c>
      <c r="G960" t="s">
        <v>135</v>
      </c>
      <c r="H960" t="s">
        <v>136</v>
      </c>
      <c r="I960" s="6" t="s">
        <v>668</v>
      </c>
      <c r="J960" s="61" t="s">
        <v>22</v>
      </c>
      <c r="L960" s="5" t="str">
        <f t="shared" si="148"/>
        <v>00959</v>
      </c>
      <c r="M960" s="47" t="str">
        <f t="shared" si="149"/>
        <v>16 de abril de 2018</v>
      </c>
      <c r="N960" s="323">
        <f t="shared" si="151"/>
        <v>16</v>
      </c>
      <c r="O960" s="25">
        <f t="shared" si="150"/>
        <v>43191</v>
      </c>
      <c r="P960" s="5" t="str">
        <f t="shared" ref="P960:P984" si="159">TEXT(E960,"#.##0,00")</f>
        <v>1,40</v>
      </c>
      <c r="Q960" s="4" t="e">
        <f t="shared" ref="Q960:Q984" ca="1" si="160">CONVERTIRNUM(E960)</f>
        <v>#NAME?</v>
      </c>
    </row>
    <row r="961" spans="1:17">
      <c r="A961" s="1">
        <f t="shared" si="158"/>
        <v>960</v>
      </c>
      <c r="C961" s="8" t="s">
        <v>17</v>
      </c>
      <c r="D961" s="2">
        <v>43207</v>
      </c>
      <c r="E961" s="3">
        <f>80000/100000</f>
        <v>0.8</v>
      </c>
      <c r="F961" t="s">
        <v>401</v>
      </c>
      <c r="G961" t="s">
        <v>402</v>
      </c>
      <c r="H961" t="s">
        <v>403</v>
      </c>
      <c r="I961" s="6" t="s">
        <v>669</v>
      </c>
      <c r="J961" s="61" t="s">
        <v>22</v>
      </c>
      <c r="L961" s="5" t="str">
        <f t="shared" si="148"/>
        <v>00960</v>
      </c>
      <c r="M961" s="47" t="str">
        <f t="shared" si="149"/>
        <v>17 de abril de 2018</v>
      </c>
      <c r="N961" s="323">
        <f t="shared" si="151"/>
        <v>17</v>
      </c>
      <c r="O961" s="25">
        <f t="shared" si="150"/>
        <v>43191</v>
      </c>
      <c r="P961" s="5" t="str">
        <f t="shared" si="159"/>
        <v>0,80</v>
      </c>
      <c r="Q961" s="4" t="e">
        <f t="shared" ca="1" si="160"/>
        <v>#NAME?</v>
      </c>
    </row>
    <row r="962" spans="1:17">
      <c r="A962" s="1">
        <f t="shared" si="158"/>
        <v>961</v>
      </c>
      <c r="C962" s="8" t="s">
        <v>17</v>
      </c>
      <c r="D962" s="2">
        <v>43207</v>
      </c>
      <c r="E962" s="3">
        <f>140000/100000</f>
        <v>1.4</v>
      </c>
      <c r="F962" t="s">
        <v>103</v>
      </c>
      <c r="G962" t="s">
        <v>104</v>
      </c>
      <c r="H962" t="s">
        <v>105</v>
      </c>
      <c r="I962" s="6" t="s">
        <v>668</v>
      </c>
      <c r="J962" s="61" t="s">
        <v>22</v>
      </c>
      <c r="L962" s="5" t="str">
        <f t="shared" ref="L962:L1025" si="161">IF(ISBLANK(A962),"",TEXT(A962,"00000"))</f>
        <v>00961</v>
      </c>
      <c r="M962" s="47" t="str">
        <f t="shared" ref="M962:M1025" si="162">IF(ISBLANK(D962),"",TEXT(D962,"dd")&amp;" de "&amp;TEXT(D962,"mmmm")&amp;" de "&amp;TEXT(YEAR(D962),"0"))</f>
        <v>17 de abril de 2018</v>
      </c>
      <c r="N962" s="323">
        <f t="shared" si="151"/>
        <v>17</v>
      </c>
      <c r="O962" s="25">
        <f t="shared" ref="O962:O1025" si="163">DATE(YEAR(D962),MONTH(D962),1)</f>
        <v>43191</v>
      </c>
      <c r="P962" s="5" t="str">
        <f t="shared" si="159"/>
        <v>1,40</v>
      </c>
      <c r="Q962" s="4" t="e">
        <f t="shared" ca="1" si="160"/>
        <v>#NAME?</v>
      </c>
    </row>
    <row r="963" spans="1:17">
      <c r="A963" s="1">
        <f t="shared" si="158"/>
        <v>962</v>
      </c>
      <c r="C963" s="8" t="s">
        <v>17</v>
      </c>
      <c r="D963" s="2">
        <v>43209</v>
      </c>
      <c r="E963" s="3">
        <f>140000/100000</f>
        <v>1.4</v>
      </c>
      <c r="F963" t="s">
        <v>122</v>
      </c>
      <c r="G963" t="s">
        <v>123</v>
      </c>
      <c r="H963" t="s">
        <v>124</v>
      </c>
      <c r="I963" s="6" t="s">
        <v>668</v>
      </c>
      <c r="J963" s="61" t="s">
        <v>22</v>
      </c>
      <c r="L963" s="5" t="str">
        <f t="shared" si="161"/>
        <v>00962</v>
      </c>
      <c r="M963" s="47" t="str">
        <f t="shared" si="162"/>
        <v>19 de abril de 2018</v>
      </c>
      <c r="N963" s="323">
        <f t="shared" ref="N963:N1026" si="164">DAY(D963)</f>
        <v>19</v>
      </c>
      <c r="O963" s="25">
        <f t="shared" si="163"/>
        <v>43191</v>
      </c>
      <c r="P963" s="5" t="str">
        <f t="shared" si="159"/>
        <v>1,40</v>
      </c>
      <c r="Q963" s="4" t="e">
        <f t="shared" ca="1" si="160"/>
        <v>#NAME?</v>
      </c>
    </row>
    <row r="964" spans="1:17">
      <c r="A964" s="1">
        <f t="shared" si="158"/>
        <v>963</v>
      </c>
      <c r="C964" s="8" t="s">
        <v>17</v>
      </c>
      <c r="D964" s="2">
        <v>43206</v>
      </c>
      <c r="E964" s="3">
        <f>140000/100000</f>
        <v>1.4</v>
      </c>
      <c r="F964" t="s">
        <v>36</v>
      </c>
      <c r="G964" t="s">
        <v>37</v>
      </c>
      <c r="H964" t="s">
        <v>38</v>
      </c>
      <c r="I964" s="6" t="s">
        <v>668</v>
      </c>
      <c r="J964" s="61" t="s">
        <v>22</v>
      </c>
      <c r="L964" s="5" t="str">
        <f t="shared" si="161"/>
        <v>00963</v>
      </c>
      <c r="M964" s="47" t="str">
        <f t="shared" si="162"/>
        <v>16 de abril de 2018</v>
      </c>
      <c r="N964" s="323">
        <f t="shared" si="164"/>
        <v>16</v>
      </c>
      <c r="O964" s="25">
        <f t="shared" si="163"/>
        <v>43191</v>
      </c>
      <c r="P964" s="5" t="str">
        <f t="shared" si="159"/>
        <v>1,40</v>
      </c>
      <c r="Q964" s="4" t="e">
        <f t="shared" ca="1" si="160"/>
        <v>#NAME?</v>
      </c>
    </row>
    <row r="965" spans="1:17">
      <c r="A965" s="1">
        <f t="shared" si="158"/>
        <v>964</v>
      </c>
      <c r="C965" s="8" t="s">
        <v>17</v>
      </c>
      <c r="D965" s="2">
        <v>43210</v>
      </c>
      <c r="E965" s="3">
        <f>280000/100000</f>
        <v>2.8</v>
      </c>
      <c r="F965" t="s">
        <v>397</v>
      </c>
      <c r="G965" t="s">
        <v>682</v>
      </c>
      <c r="H965" t="s">
        <v>398</v>
      </c>
      <c r="I965" s="6" t="s">
        <v>660</v>
      </c>
      <c r="J965" s="61" t="s">
        <v>22</v>
      </c>
      <c r="L965" s="5" t="str">
        <f t="shared" si="161"/>
        <v>00964</v>
      </c>
      <c r="M965" s="47" t="str">
        <f t="shared" si="162"/>
        <v>20 de abril de 2018</v>
      </c>
      <c r="N965" s="323">
        <f t="shared" si="164"/>
        <v>20</v>
      </c>
      <c r="O965" s="25">
        <f t="shared" si="163"/>
        <v>43191</v>
      </c>
      <c r="P965" s="5" t="str">
        <f t="shared" si="159"/>
        <v>2,80</v>
      </c>
      <c r="Q965" s="4" t="e">
        <f t="shared" ca="1" si="160"/>
        <v>#NAME?</v>
      </c>
    </row>
    <row r="966" spans="1:17">
      <c r="A966" s="1">
        <f t="shared" si="158"/>
        <v>965</v>
      </c>
      <c r="C966" s="8" t="s">
        <v>17</v>
      </c>
      <c r="D966" s="2">
        <v>43210</v>
      </c>
      <c r="E966" s="3">
        <f>500000/100000</f>
        <v>5</v>
      </c>
      <c r="F966" t="s">
        <v>324</v>
      </c>
      <c r="G966" t="s">
        <v>325</v>
      </c>
      <c r="H966" t="s">
        <v>326</v>
      </c>
      <c r="I966" s="6" t="s">
        <v>672</v>
      </c>
      <c r="J966" s="61" t="s">
        <v>673</v>
      </c>
      <c r="L966" s="5" t="str">
        <f t="shared" si="161"/>
        <v>00965</v>
      </c>
      <c r="M966" s="47" t="str">
        <f t="shared" si="162"/>
        <v>20 de abril de 2018</v>
      </c>
      <c r="N966" s="323">
        <f t="shared" si="164"/>
        <v>20</v>
      </c>
      <c r="O966" s="25">
        <f t="shared" si="163"/>
        <v>43191</v>
      </c>
      <c r="P966" s="5" t="str">
        <f t="shared" si="159"/>
        <v>5,00</v>
      </c>
      <c r="Q966" s="4" t="e">
        <f t="shared" ca="1" si="160"/>
        <v>#NAME?</v>
      </c>
    </row>
    <row r="967" spans="1:17" ht="15.75" thickBot="1">
      <c r="A967" s="1">
        <f t="shared" si="158"/>
        <v>966</v>
      </c>
      <c r="C967" s="8" t="s">
        <v>17</v>
      </c>
      <c r="D967" s="2">
        <v>43211</v>
      </c>
      <c r="E967" s="3">
        <f>200000/100000</f>
        <v>2</v>
      </c>
      <c r="F967" t="s">
        <v>412</v>
      </c>
      <c r="G967" t="s">
        <v>413</v>
      </c>
      <c r="H967" t="s">
        <v>414</v>
      </c>
      <c r="I967" s="6" t="s">
        <v>680</v>
      </c>
      <c r="J967" s="61" t="s">
        <v>22</v>
      </c>
      <c r="L967" s="5" t="str">
        <f t="shared" si="161"/>
        <v>00966</v>
      </c>
      <c r="M967" s="47" t="str">
        <f t="shared" si="162"/>
        <v>21 de abril de 2018</v>
      </c>
      <c r="N967" s="323">
        <f t="shared" si="164"/>
        <v>21</v>
      </c>
      <c r="O967" s="25">
        <f t="shared" si="163"/>
        <v>43191</v>
      </c>
      <c r="P967" s="5" t="str">
        <f t="shared" si="159"/>
        <v>2,00</v>
      </c>
      <c r="Q967" s="4" t="e">
        <f t="shared" ca="1" si="160"/>
        <v>#NAME?</v>
      </c>
    </row>
    <row r="968" spans="1:17" ht="15.75" thickBot="1">
      <c r="A968" s="1">
        <f t="shared" si="158"/>
        <v>967</v>
      </c>
      <c r="C968" s="8" t="s">
        <v>17</v>
      </c>
      <c r="D968" s="2">
        <v>43211</v>
      </c>
      <c r="E968" s="3">
        <f>100000/100000</f>
        <v>1</v>
      </c>
      <c r="F968" t="s">
        <v>319</v>
      </c>
      <c r="G968" s="18" t="s">
        <v>58</v>
      </c>
      <c r="H968" t="s">
        <v>320</v>
      </c>
      <c r="I968" s="6" t="s">
        <v>683</v>
      </c>
      <c r="J968" s="61" t="s">
        <v>22</v>
      </c>
      <c r="L968" s="5" t="str">
        <f t="shared" si="161"/>
        <v>00967</v>
      </c>
      <c r="M968" s="47" t="str">
        <f t="shared" si="162"/>
        <v>21 de abril de 2018</v>
      </c>
      <c r="N968" s="323">
        <f t="shared" si="164"/>
        <v>21</v>
      </c>
      <c r="O968" s="25">
        <f t="shared" si="163"/>
        <v>43191</v>
      </c>
      <c r="P968" s="5" t="str">
        <f t="shared" si="159"/>
        <v>1,00</v>
      </c>
      <c r="Q968" s="4" t="e">
        <f t="shared" ca="1" si="160"/>
        <v>#NAME?</v>
      </c>
    </row>
    <row r="969" spans="1:17">
      <c r="A969" s="1">
        <f t="shared" si="158"/>
        <v>968</v>
      </c>
      <c r="C969" s="8" t="s">
        <v>17</v>
      </c>
      <c r="D969" s="2">
        <v>43212</v>
      </c>
      <c r="E969" s="3">
        <f>140000/100000</f>
        <v>1.4</v>
      </c>
      <c r="F969" t="s">
        <v>126</v>
      </c>
      <c r="G969" t="s">
        <v>127</v>
      </c>
      <c r="H969" t="s">
        <v>128</v>
      </c>
      <c r="I969" s="6" t="s">
        <v>668</v>
      </c>
      <c r="J969" s="61" t="s">
        <v>22</v>
      </c>
      <c r="L969" s="5" t="str">
        <f t="shared" si="161"/>
        <v>00968</v>
      </c>
      <c r="M969" s="47" t="str">
        <f t="shared" si="162"/>
        <v>22 de abril de 2018</v>
      </c>
      <c r="N969" s="323">
        <f t="shared" si="164"/>
        <v>22</v>
      </c>
      <c r="O969" s="25">
        <f t="shared" si="163"/>
        <v>43191</v>
      </c>
      <c r="P969" s="5" t="str">
        <f t="shared" si="159"/>
        <v>1,40</v>
      </c>
      <c r="Q969" s="4" t="e">
        <f t="shared" ca="1" si="160"/>
        <v>#NAME?</v>
      </c>
    </row>
    <row r="970" spans="1:17">
      <c r="A970" s="1">
        <f t="shared" si="158"/>
        <v>969</v>
      </c>
      <c r="C970" s="8" t="s">
        <v>17</v>
      </c>
      <c r="D970" s="2">
        <v>43212</v>
      </c>
      <c r="E970" s="3">
        <f>100000/100000</f>
        <v>1</v>
      </c>
      <c r="F970" t="s">
        <v>126</v>
      </c>
      <c r="G970" t="s">
        <v>127</v>
      </c>
      <c r="H970" t="s">
        <v>128</v>
      </c>
      <c r="I970" s="6" t="s">
        <v>672</v>
      </c>
      <c r="J970" s="61" t="s">
        <v>673</v>
      </c>
      <c r="L970" s="5" t="str">
        <f t="shared" si="161"/>
        <v>00969</v>
      </c>
      <c r="M970" s="47" t="str">
        <f t="shared" si="162"/>
        <v>22 de abril de 2018</v>
      </c>
      <c r="N970" s="323">
        <f t="shared" si="164"/>
        <v>22</v>
      </c>
      <c r="O970" s="25">
        <f t="shared" si="163"/>
        <v>43191</v>
      </c>
      <c r="P970" s="5" t="str">
        <f t="shared" si="159"/>
        <v>1,00</v>
      </c>
      <c r="Q970" s="4" t="e">
        <f t="shared" ca="1" si="160"/>
        <v>#NAME?</v>
      </c>
    </row>
    <row r="971" spans="1:17">
      <c r="A971" s="1">
        <f t="shared" si="158"/>
        <v>970</v>
      </c>
      <c r="C971" s="8" t="s">
        <v>17</v>
      </c>
      <c r="D971" s="2">
        <v>43213</v>
      </c>
      <c r="E971" s="3">
        <f>140000/100000</f>
        <v>1.4</v>
      </c>
      <c r="F971" t="s">
        <v>558</v>
      </c>
      <c r="G971" t="s">
        <v>559</v>
      </c>
      <c r="H971" t="s">
        <v>560</v>
      </c>
      <c r="I971" s="6" t="s">
        <v>684</v>
      </c>
      <c r="J971" s="61" t="s">
        <v>22</v>
      </c>
      <c r="L971" s="5" t="str">
        <f t="shared" si="161"/>
        <v>00970</v>
      </c>
      <c r="M971" s="47" t="str">
        <f t="shared" si="162"/>
        <v>23 de abril de 2018</v>
      </c>
      <c r="N971" s="323">
        <f t="shared" si="164"/>
        <v>23</v>
      </c>
      <c r="O971" s="25">
        <f t="shared" si="163"/>
        <v>43191</v>
      </c>
      <c r="P971" s="5" t="str">
        <f t="shared" si="159"/>
        <v>1,40</v>
      </c>
      <c r="Q971" s="4" t="e">
        <f t="shared" ca="1" si="160"/>
        <v>#NAME?</v>
      </c>
    </row>
    <row r="972" spans="1:17">
      <c r="A972" s="1">
        <f t="shared" si="158"/>
        <v>971</v>
      </c>
      <c r="C972" s="8" t="s">
        <v>17</v>
      </c>
      <c r="D972" s="2">
        <v>43213</v>
      </c>
      <c r="E972" s="3">
        <f>60000/100000</f>
        <v>0.6</v>
      </c>
      <c r="F972" t="s">
        <v>558</v>
      </c>
      <c r="G972" t="s">
        <v>559</v>
      </c>
      <c r="H972" t="s">
        <v>560</v>
      </c>
      <c r="I972" s="6" t="s">
        <v>672</v>
      </c>
      <c r="J972" s="61" t="s">
        <v>673</v>
      </c>
      <c r="L972" s="5" t="str">
        <f t="shared" si="161"/>
        <v>00971</v>
      </c>
      <c r="M972" s="47" t="str">
        <f t="shared" si="162"/>
        <v>23 de abril de 2018</v>
      </c>
      <c r="N972" s="323">
        <f t="shared" si="164"/>
        <v>23</v>
      </c>
      <c r="O972" s="25">
        <f t="shared" si="163"/>
        <v>43191</v>
      </c>
      <c r="P972" s="5" t="str">
        <f t="shared" si="159"/>
        <v>0,60</v>
      </c>
      <c r="Q972" s="4" t="e">
        <f t="shared" ca="1" si="160"/>
        <v>#NAME?</v>
      </c>
    </row>
    <row r="973" spans="1:17">
      <c r="A973" s="1">
        <f t="shared" si="158"/>
        <v>972</v>
      </c>
      <c r="C973" s="8" t="s">
        <v>17</v>
      </c>
      <c r="D973" s="2">
        <v>43214</v>
      </c>
      <c r="E973" s="3">
        <f>60000/100000</f>
        <v>0.6</v>
      </c>
      <c r="F973" t="s">
        <v>433</v>
      </c>
      <c r="G973" t="s">
        <v>434</v>
      </c>
      <c r="H973" t="s">
        <v>435</v>
      </c>
      <c r="I973" s="6" t="s">
        <v>680</v>
      </c>
      <c r="J973" s="61" t="s">
        <v>22</v>
      </c>
      <c r="L973" s="5" t="str">
        <f t="shared" si="161"/>
        <v>00972</v>
      </c>
      <c r="M973" s="47" t="str">
        <f t="shared" si="162"/>
        <v>24 de abril de 2018</v>
      </c>
      <c r="N973" s="323">
        <f t="shared" si="164"/>
        <v>24</v>
      </c>
      <c r="O973" s="25">
        <f t="shared" si="163"/>
        <v>43191</v>
      </c>
      <c r="P973" s="5" t="str">
        <f t="shared" si="159"/>
        <v>0,60</v>
      </c>
      <c r="Q973" s="4" t="e">
        <f t="shared" ca="1" si="160"/>
        <v>#NAME?</v>
      </c>
    </row>
    <row r="974" spans="1:17">
      <c r="A974" s="1">
        <f t="shared" si="158"/>
        <v>973</v>
      </c>
      <c r="C974" s="8" t="s">
        <v>17</v>
      </c>
      <c r="D974" s="2">
        <v>43215</v>
      </c>
      <c r="E974" s="3">
        <f>140000/100000</f>
        <v>1.4</v>
      </c>
      <c r="F974" t="s">
        <v>185</v>
      </c>
      <c r="G974" t="s">
        <v>186</v>
      </c>
      <c r="H974" t="s">
        <v>187</v>
      </c>
      <c r="I974" s="6" t="s">
        <v>668</v>
      </c>
      <c r="J974" s="61" t="s">
        <v>22</v>
      </c>
      <c r="L974" s="5" t="str">
        <f t="shared" si="161"/>
        <v>00973</v>
      </c>
      <c r="M974" s="47" t="str">
        <f t="shared" si="162"/>
        <v>25 de abril de 2018</v>
      </c>
      <c r="N974" s="323">
        <f t="shared" si="164"/>
        <v>25</v>
      </c>
      <c r="O974" s="25">
        <f t="shared" si="163"/>
        <v>43191</v>
      </c>
      <c r="P974" s="5" t="str">
        <f t="shared" si="159"/>
        <v>1,40</v>
      </c>
      <c r="Q974" s="4" t="e">
        <f t="shared" ca="1" si="160"/>
        <v>#NAME?</v>
      </c>
    </row>
    <row r="975" spans="1:17">
      <c r="A975" s="1">
        <f t="shared" si="158"/>
        <v>974</v>
      </c>
      <c r="C975" s="8" t="s">
        <v>17</v>
      </c>
      <c r="D975" s="2">
        <v>43216</v>
      </c>
      <c r="E975" s="3">
        <f>300000/100000</f>
        <v>3</v>
      </c>
      <c r="F975" t="s">
        <v>44</v>
      </c>
      <c r="G975" t="s">
        <v>45</v>
      </c>
      <c r="H975" t="s">
        <v>46</v>
      </c>
      <c r="I975" s="6" t="s">
        <v>685</v>
      </c>
      <c r="J975" s="61" t="s">
        <v>22</v>
      </c>
      <c r="L975" s="5" t="str">
        <f t="shared" si="161"/>
        <v>00974</v>
      </c>
      <c r="M975" s="47" t="str">
        <f t="shared" si="162"/>
        <v>26 de abril de 2018</v>
      </c>
      <c r="N975" s="323">
        <f t="shared" si="164"/>
        <v>26</v>
      </c>
      <c r="O975" s="25">
        <f t="shared" si="163"/>
        <v>43191</v>
      </c>
      <c r="P975" s="5" t="str">
        <f t="shared" si="159"/>
        <v>3,00</v>
      </c>
      <c r="Q975" s="4" t="e">
        <f t="shared" ca="1" si="160"/>
        <v>#NAME?</v>
      </c>
    </row>
    <row r="976" spans="1:17">
      <c r="A976" s="1">
        <f t="shared" si="158"/>
        <v>975</v>
      </c>
      <c r="C976" s="8" t="s">
        <v>17</v>
      </c>
      <c r="D976" s="2">
        <v>43216</v>
      </c>
      <c r="E976" s="3">
        <f>300000/100000</f>
        <v>3</v>
      </c>
      <c r="F976" t="s">
        <v>44</v>
      </c>
      <c r="G976" t="s">
        <v>45</v>
      </c>
      <c r="H976" t="s">
        <v>46</v>
      </c>
      <c r="I976" s="6" t="s">
        <v>670</v>
      </c>
      <c r="J976" s="61" t="s">
        <v>22</v>
      </c>
      <c r="L976" s="5" t="str">
        <f t="shared" si="161"/>
        <v>00975</v>
      </c>
      <c r="M976" s="47" t="str">
        <f t="shared" si="162"/>
        <v>26 de abril de 2018</v>
      </c>
      <c r="N976" s="323">
        <f t="shared" si="164"/>
        <v>26</v>
      </c>
      <c r="O976" s="25">
        <f t="shared" si="163"/>
        <v>43191</v>
      </c>
      <c r="P976" s="5" t="str">
        <f t="shared" si="159"/>
        <v>3,00</v>
      </c>
      <c r="Q976" s="4" t="e">
        <f t="shared" ca="1" si="160"/>
        <v>#NAME?</v>
      </c>
    </row>
    <row r="977" spans="1:17">
      <c r="A977" s="1">
        <f t="shared" si="158"/>
        <v>976</v>
      </c>
      <c r="C977" s="8" t="s">
        <v>17</v>
      </c>
      <c r="D977" s="2">
        <v>43216</v>
      </c>
      <c r="E977" s="3">
        <f>250000/100000</f>
        <v>2.5</v>
      </c>
      <c r="F977" t="s">
        <v>100</v>
      </c>
      <c r="G977" t="s">
        <v>95</v>
      </c>
      <c r="H977" t="s">
        <v>101</v>
      </c>
      <c r="I977" s="6" t="s">
        <v>684</v>
      </c>
      <c r="J977" s="61" t="s">
        <v>22</v>
      </c>
      <c r="L977" s="5" t="str">
        <f t="shared" si="161"/>
        <v>00976</v>
      </c>
      <c r="M977" s="47" t="str">
        <f t="shared" si="162"/>
        <v>26 de abril de 2018</v>
      </c>
      <c r="N977" s="323">
        <f t="shared" si="164"/>
        <v>26</v>
      </c>
      <c r="O977" s="25">
        <f t="shared" si="163"/>
        <v>43191</v>
      </c>
      <c r="P977" s="5" t="str">
        <f t="shared" si="159"/>
        <v>2,50</v>
      </c>
      <c r="Q977" s="4" t="e">
        <f t="shared" ca="1" si="160"/>
        <v>#NAME?</v>
      </c>
    </row>
    <row r="978" spans="1:17">
      <c r="A978" s="1">
        <f t="shared" si="158"/>
        <v>977</v>
      </c>
      <c r="C978" s="8" t="s">
        <v>17</v>
      </c>
      <c r="D978" s="2">
        <v>43216</v>
      </c>
      <c r="E978" s="3">
        <f>250000/100000</f>
        <v>2.5</v>
      </c>
      <c r="F978" t="s">
        <v>100</v>
      </c>
      <c r="G978" t="s">
        <v>95</v>
      </c>
      <c r="H978" t="s">
        <v>101</v>
      </c>
      <c r="I978" s="6" t="s">
        <v>672</v>
      </c>
      <c r="J978" s="61" t="s">
        <v>673</v>
      </c>
      <c r="L978" s="5" t="str">
        <f t="shared" si="161"/>
        <v>00977</v>
      </c>
      <c r="M978" s="47" t="str">
        <f t="shared" si="162"/>
        <v>26 de abril de 2018</v>
      </c>
      <c r="N978" s="323">
        <f t="shared" si="164"/>
        <v>26</v>
      </c>
      <c r="O978" s="25">
        <f t="shared" si="163"/>
        <v>43191</v>
      </c>
      <c r="P978" s="5" t="str">
        <f t="shared" si="159"/>
        <v>2,50</v>
      </c>
      <c r="Q978" s="4" t="e">
        <f t="shared" ca="1" si="160"/>
        <v>#NAME?</v>
      </c>
    </row>
    <row r="979" spans="1:17">
      <c r="A979" s="1">
        <f t="shared" si="158"/>
        <v>978</v>
      </c>
      <c r="C979" s="8" t="s">
        <v>17</v>
      </c>
      <c r="D979" s="2">
        <v>43216</v>
      </c>
      <c r="E979" s="3">
        <f>300000/100000</f>
        <v>3</v>
      </c>
      <c r="F979" t="s">
        <v>230</v>
      </c>
      <c r="G979" t="s">
        <v>231</v>
      </c>
      <c r="H979" t="s">
        <v>232</v>
      </c>
      <c r="I979" s="6" t="s">
        <v>668</v>
      </c>
      <c r="J979" s="61" t="s">
        <v>22</v>
      </c>
      <c r="L979" s="5" t="str">
        <f t="shared" si="161"/>
        <v>00978</v>
      </c>
      <c r="M979" s="47" t="str">
        <f t="shared" si="162"/>
        <v>26 de abril de 2018</v>
      </c>
      <c r="N979" s="323">
        <f t="shared" si="164"/>
        <v>26</v>
      </c>
      <c r="O979" s="25">
        <f t="shared" si="163"/>
        <v>43191</v>
      </c>
      <c r="P979" s="5" t="str">
        <f t="shared" si="159"/>
        <v>3,00</v>
      </c>
      <c r="Q979" s="4" t="e">
        <f t="shared" ca="1" si="160"/>
        <v>#NAME?</v>
      </c>
    </row>
    <row r="980" spans="1:17">
      <c r="A980" s="319">
        <f t="shared" si="158"/>
        <v>979</v>
      </c>
      <c r="B980" s="574"/>
      <c r="C980" s="12" t="s">
        <v>225</v>
      </c>
      <c r="D980" s="17">
        <v>43216</v>
      </c>
      <c r="E980" s="13">
        <f>160000/100000</f>
        <v>1.6</v>
      </c>
      <c r="F980" s="14" t="s">
        <v>230</v>
      </c>
      <c r="G980" s="14" t="s">
        <v>231</v>
      </c>
      <c r="H980" s="14" t="s">
        <v>232</v>
      </c>
      <c r="I980" s="15" t="s">
        <v>686</v>
      </c>
      <c r="J980" s="62" t="s">
        <v>426</v>
      </c>
      <c r="K980" s="16"/>
      <c r="L980" s="5" t="str">
        <f t="shared" si="161"/>
        <v>00979</v>
      </c>
      <c r="M980" s="47" t="str">
        <f t="shared" si="162"/>
        <v>26 de abril de 2018</v>
      </c>
      <c r="N980" s="323">
        <f t="shared" si="164"/>
        <v>26</v>
      </c>
      <c r="O980" s="25">
        <f t="shared" si="163"/>
        <v>43191</v>
      </c>
      <c r="P980" s="5" t="str">
        <f t="shared" si="159"/>
        <v>1,60</v>
      </c>
      <c r="Q980" s="4" t="e">
        <f t="shared" ca="1" si="160"/>
        <v>#NAME?</v>
      </c>
    </row>
    <row r="981" spans="1:17">
      <c r="A981" s="1">
        <f t="shared" si="158"/>
        <v>980</v>
      </c>
      <c r="C981" s="8" t="s">
        <v>17</v>
      </c>
      <c r="D981" s="2">
        <v>43216</v>
      </c>
      <c r="E981" s="3">
        <f>140000*2/100000</f>
        <v>2.8</v>
      </c>
      <c r="F981" t="s">
        <v>248</v>
      </c>
      <c r="G981" t="s">
        <v>249</v>
      </c>
      <c r="H981" t="s">
        <v>250</v>
      </c>
      <c r="I981" s="6" t="s">
        <v>660</v>
      </c>
      <c r="J981" s="61" t="s">
        <v>22</v>
      </c>
      <c r="L981" s="5" t="str">
        <f t="shared" si="161"/>
        <v>00980</v>
      </c>
      <c r="M981" s="47" t="str">
        <f t="shared" si="162"/>
        <v>26 de abril de 2018</v>
      </c>
      <c r="N981" s="323">
        <f t="shared" si="164"/>
        <v>26</v>
      </c>
      <c r="O981" s="25">
        <f t="shared" si="163"/>
        <v>43191</v>
      </c>
      <c r="P981" s="5" t="str">
        <f t="shared" si="159"/>
        <v>2,80</v>
      </c>
      <c r="Q981" s="4" t="e">
        <f t="shared" ca="1" si="160"/>
        <v>#NAME?</v>
      </c>
    </row>
    <row r="982" spans="1:17">
      <c r="A982" s="1">
        <f t="shared" si="158"/>
        <v>981</v>
      </c>
      <c r="C982" s="8" t="s">
        <v>17</v>
      </c>
      <c r="D982" s="2">
        <v>43216</v>
      </c>
      <c r="E982" s="3">
        <f>280000/100000</f>
        <v>2.8</v>
      </c>
      <c r="F982" t="s">
        <v>612</v>
      </c>
      <c r="G982" t="s">
        <v>613</v>
      </c>
      <c r="H982" t="s">
        <v>614</v>
      </c>
      <c r="I982" s="6" t="s">
        <v>660</v>
      </c>
      <c r="J982" s="61" t="s">
        <v>22</v>
      </c>
      <c r="L982" s="5" t="str">
        <f t="shared" si="161"/>
        <v>00981</v>
      </c>
      <c r="M982" s="47" t="str">
        <f t="shared" si="162"/>
        <v>26 de abril de 2018</v>
      </c>
      <c r="N982" s="323">
        <f t="shared" si="164"/>
        <v>26</v>
      </c>
      <c r="O982" s="25">
        <f t="shared" si="163"/>
        <v>43191</v>
      </c>
      <c r="P982" s="5" t="str">
        <f t="shared" si="159"/>
        <v>2,80</v>
      </c>
      <c r="Q982" s="4" t="e">
        <f t="shared" ca="1" si="160"/>
        <v>#NAME?</v>
      </c>
    </row>
    <row r="983" spans="1:17">
      <c r="A983" s="1">
        <f t="shared" si="158"/>
        <v>982</v>
      </c>
      <c r="C983" s="8" t="s">
        <v>17</v>
      </c>
      <c r="D983" s="2">
        <v>43220</v>
      </c>
      <c r="E983" s="3">
        <f>140000/100000</f>
        <v>1.4</v>
      </c>
      <c r="F983" t="s">
        <v>211</v>
      </c>
      <c r="G983" t="s">
        <v>212</v>
      </c>
      <c r="H983" t="s">
        <v>213</v>
      </c>
      <c r="I983" s="6" t="s">
        <v>668</v>
      </c>
      <c r="J983" s="61" t="s">
        <v>22</v>
      </c>
      <c r="L983" s="5" t="str">
        <f t="shared" si="161"/>
        <v>00982</v>
      </c>
      <c r="M983" s="47" t="str">
        <f t="shared" si="162"/>
        <v>30 de abril de 2018</v>
      </c>
      <c r="N983" s="323">
        <f t="shared" si="164"/>
        <v>30</v>
      </c>
      <c r="O983" s="25">
        <f t="shared" si="163"/>
        <v>43191</v>
      </c>
      <c r="P983" s="5" t="str">
        <f t="shared" si="159"/>
        <v>1,40</v>
      </c>
      <c r="Q983" s="4" t="e">
        <f t="shared" ca="1" si="160"/>
        <v>#NAME?</v>
      </c>
    </row>
    <row r="984" spans="1:17">
      <c r="A984" s="1">
        <f t="shared" si="158"/>
        <v>983</v>
      </c>
      <c r="C984" s="8" t="s">
        <v>17</v>
      </c>
      <c r="D984" s="2">
        <v>43223</v>
      </c>
      <c r="E984" s="3">
        <f>500000/100000</f>
        <v>5</v>
      </c>
      <c r="F984" t="s">
        <v>284</v>
      </c>
      <c r="G984" t="s">
        <v>687</v>
      </c>
      <c r="H984" t="s">
        <v>285</v>
      </c>
      <c r="I984" s="6" t="s">
        <v>688</v>
      </c>
      <c r="J984" s="61" t="s">
        <v>22</v>
      </c>
      <c r="L984" s="5" t="str">
        <f t="shared" si="161"/>
        <v>00983</v>
      </c>
      <c r="M984" s="47" t="str">
        <f t="shared" si="162"/>
        <v>03 de mayo de 2018</v>
      </c>
      <c r="N984" s="323">
        <f t="shared" si="164"/>
        <v>3</v>
      </c>
      <c r="O984" s="25">
        <f t="shared" si="163"/>
        <v>43221</v>
      </c>
      <c r="P984" s="5" t="str">
        <f t="shared" si="159"/>
        <v>5,00</v>
      </c>
      <c r="Q984" s="4" t="e">
        <f t="shared" ca="1" si="160"/>
        <v>#NAME?</v>
      </c>
    </row>
    <row r="985" spans="1:17" ht="15.75" thickBot="1">
      <c r="A985" s="1">
        <f t="shared" si="158"/>
        <v>984</v>
      </c>
      <c r="C985" s="8" t="s">
        <v>17</v>
      </c>
      <c r="D985" s="2">
        <v>43223</v>
      </c>
      <c r="E985" s="3">
        <f>400000/100000</f>
        <v>4</v>
      </c>
      <c r="F985" t="s">
        <v>36</v>
      </c>
      <c r="G985" t="s">
        <v>37</v>
      </c>
      <c r="H985" t="s">
        <v>38</v>
      </c>
      <c r="I985" s="6" t="s">
        <v>689</v>
      </c>
      <c r="J985" s="61" t="s">
        <v>22</v>
      </c>
      <c r="L985" s="5" t="str">
        <f t="shared" si="161"/>
        <v>00984</v>
      </c>
      <c r="M985" s="47" t="str">
        <f t="shared" si="162"/>
        <v>03 de mayo de 2018</v>
      </c>
      <c r="N985" s="323">
        <f t="shared" si="164"/>
        <v>3</v>
      </c>
      <c r="O985" s="25">
        <f t="shared" si="163"/>
        <v>43221</v>
      </c>
      <c r="P985" s="5" t="str">
        <f t="shared" ref="P985:P1002" si="165">TEXT(E985,"#.##0,00")</f>
        <v>4,00</v>
      </c>
      <c r="Q985" s="4" t="e">
        <f t="shared" ref="Q985:Q1002" ca="1" si="166">CONVERTIRNUM(E985)</f>
        <v>#NAME?</v>
      </c>
    </row>
    <row r="986" spans="1:17" ht="15.75" thickBot="1">
      <c r="A986" s="1">
        <f t="shared" si="158"/>
        <v>985</v>
      </c>
      <c r="C986" s="8" t="s">
        <v>17</v>
      </c>
      <c r="D986" s="2">
        <v>43223</v>
      </c>
      <c r="E986" s="3">
        <f>400000/100000</f>
        <v>4</v>
      </c>
      <c r="F986" t="s">
        <v>280</v>
      </c>
      <c r="G986" s="18" t="s">
        <v>58</v>
      </c>
      <c r="H986" t="s">
        <v>282</v>
      </c>
      <c r="I986" s="6" t="s">
        <v>690</v>
      </c>
      <c r="J986" s="61" t="s">
        <v>22</v>
      </c>
      <c r="L986" s="5" t="str">
        <f t="shared" si="161"/>
        <v>00985</v>
      </c>
      <c r="M986" s="47" t="str">
        <f t="shared" si="162"/>
        <v>03 de mayo de 2018</v>
      </c>
      <c r="N986" s="323">
        <f t="shared" si="164"/>
        <v>3</v>
      </c>
      <c r="O986" s="25">
        <f t="shared" si="163"/>
        <v>43221</v>
      </c>
      <c r="P986" s="5" t="str">
        <f t="shared" si="165"/>
        <v>4,00</v>
      </c>
      <c r="Q986" s="4" t="e">
        <f t="shared" ca="1" si="166"/>
        <v>#NAME?</v>
      </c>
    </row>
    <row r="987" spans="1:17">
      <c r="A987" s="178">
        <f t="shared" si="158"/>
        <v>986</v>
      </c>
      <c r="C987" s="8" t="s">
        <v>17</v>
      </c>
      <c r="D987" s="2">
        <v>43223</v>
      </c>
      <c r="E987" s="3">
        <f>400000/100000</f>
        <v>4</v>
      </c>
      <c r="F987" t="s">
        <v>438</v>
      </c>
      <c r="G987" t="s">
        <v>439</v>
      </c>
      <c r="H987" t="s">
        <v>440</v>
      </c>
      <c r="I987" s="6" t="s">
        <v>691</v>
      </c>
      <c r="J987" s="61" t="s">
        <v>22</v>
      </c>
      <c r="L987" s="5" t="str">
        <f t="shared" si="161"/>
        <v>00986</v>
      </c>
      <c r="M987" s="47" t="str">
        <f t="shared" si="162"/>
        <v>03 de mayo de 2018</v>
      </c>
      <c r="N987" s="323">
        <f t="shared" si="164"/>
        <v>3</v>
      </c>
      <c r="O987" s="25">
        <f t="shared" si="163"/>
        <v>43221</v>
      </c>
      <c r="P987" s="5" t="str">
        <f t="shared" si="165"/>
        <v>4,00</v>
      </c>
      <c r="Q987" s="4" t="e">
        <f t="shared" ca="1" si="166"/>
        <v>#NAME?</v>
      </c>
    </row>
    <row r="988" spans="1:17">
      <c r="A988" s="1">
        <f t="shared" si="158"/>
        <v>987</v>
      </c>
      <c r="C988" s="8" t="s">
        <v>17</v>
      </c>
      <c r="D988" s="2">
        <v>43223</v>
      </c>
      <c r="E988" s="3">
        <f>400000/100000</f>
        <v>4</v>
      </c>
      <c r="F988" t="s">
        <v>18</v>
      </c>
      <c r="G988" t="s">
        <v>19</v>
      </c>
      <c r="H988" t="s">
        <v>20</v>
      </c>
      <c r="I988" s="6" t="s">
        <v>692</v>
      </c>
      <c r="J988" s="61" t="s">
        <v>22</v>
      </c>
      <c r="L988" s="5" t="str">
        <f t="shared" si="161"/>
        <v>00987</v>
      </c>
      <c r="M988" s="47" t="str">
        <f t="shared" si="162"/>
        <v>03 de mayo de 2018</v>
      </c>
      <c r="N988" s="323">
        <f t="shared" si="164"/>
        <v>3</v>
      </c>
      <c r="O988" s="25">
        <f t="shared" si="163"/>
        <v>43221</v>
      </c>
      <c r="P988" s="5" t="str">
        <f t="shared" si="165"/>
        <v>4,00</v>
      </c>
      <c r="Q988" s="4" t="e">
        <f t="shared" ca="1" si="166"/>
        <v>#NAME?</v>
      </c>
    </row>
    <row r="989" spans="1:17" ht="15.75" thickBot="1">
      <c r="A989" s="1">
        <f t="shared" si="158"/>
        <v>988</v>
      </c>
      <c r="C989" s="8" t="s">
        <v>17</v>
      </c>
      <c r="D989" s="2">
        <v>43223</v>
      </c>
      <c r="E989" s="3">
        <f>400000/100000</f>
        <v>4</v>
      </c>
      <c r="F989" t="s">
        <v>219</v>
      </c>
      <c r="G989" t="s">
        <v>220</v>
      </c>
      <c r="H989" t="s">
        <v>221</v>
      </c>
      <c r="I989" s="6" t="s">
        <v>693</v>
      </c>
      <c r="J989" s="61" t="s">
        <v>22</v>
      </c>
      <c r="L989" s="5" t="str">
        <f t="shared" si="161"/>
        <v>00988</v>
      </c>
      <c r="M989" s="47" t="str">
        <f t="shared" si="162"/>
        <v>03 de mayo de 2018</v>
      </c>
      <c r="N989" s="323">
        <f t="shared" si="164"/>
        <v>3</v>
      </c>
      <c r="O989" s="25">
        <f t="shared" si="163"/>
        <v>43221</v>
      </c>
      <c r="P989" s="5" t="str">
        <f t="shared" si="165"/>
        <v>4,00</v>
      </c>
      <c r="Q989" s="4" t="e">
        <f t="shared" ca="1" si="166"/>
        <v>#NAME?</v>
      </c>
    </row>
    <row r="990" spans="1:17" ht="15.75" thickBot="1">
      <c r="A990" s="1">
        <f t="shared" si="158"/>
        <v>989</v>
      </c>
      <c r="C990" s="85" t="s">
        <v>17</v>
      </c>
      <c r="D990" s="2">
        <v>43223</v>
      </c>
      <c r="E990" s="3">
        <f>140000/100000</f>
        <v>1.4</v>
      </c>
      <c r="F990" t="s">
        <v>492</v>
      </c>
      <c r="G990" s="18" t="s">
        <v>58</v>
      </c>
      <c r="H990" t="s">
        <v>493</v>
      </c>
      <c r="I990" s="6" t="s">
        <v>668</v>
      </c>
      <c r="J990" s="61" t="s">
        <v>22</v>
      </c>
      <c r="L990" s="5" t="str">
        <f t="shared" si="161"/>
        <v>00989</v>
      </c>
      <c r="M990" s="47" t="str">
        <f t="shared" si="162"/>
        <v>03 de mayo de 2018</v>
      </c>
      <c r="N990" s="323">
        <f t="shared" si="164"/>
        <v>3</v>
      </c>
      <c r="O990" s="25">
        <f t="shared" si="163"/>
        <v>43221</v>
      </c>
      <c r="P990" s="5" t="str">
        <f t="shared" si="165"/>
        <v>1,40</v>
      </c>
      <c r="Q990" s="4" t="e">
        <f t="shared" ca="1" si="166"/>
        <v>#NAME?</v>
      </c>
    </row>
    <row r="991" spans="1:17">
      <c r="A991" s="1">
        <f t="shared" si="158"/>
        <v>990</v>
      </c>
      <c r="C991" s="8" t="s">
        <v>17</v>
      </c>
      <c r="D991" s="2">
        <v>43223</v>
      </c>
      <c r="E991" s="3">
        <f>520000/100000</f>
        <v>5.2</v>
      </c>
      <c r="F991" t="s">
        <v>353</v>
      </c>
      <c r="G991" t="s">
        <v>354</v>
      </c>
      <c r="H991" t="s">
        <v>355</v>
      </c>
      <c r="I991" s="6" t="s">
        <v>694</v>
      </c>
      <c r="J991" s="61" t="s">
        <v>22</v>
      </c>
      <c r="L991" s="5" t="str">
        <f t="shared" si="161"/>
        <v>00990</v>
      </c>
      <c r="M991" s="47" t="str">
        <f t="shared" si="162"/>
        <v>03 de mayo de 2018</v>
      </c>
      <c r="N991" s="323">
        <f t="shared" si="164"/>
        <v>3</v>
      </c>
      <c r="O991" s="25">
        <f t="shared" si="163"/>
        <v>43221</v>
      </c>
      <c r="P991" s="5" t="str">
        <f t="shared" si="165"/>
        <v>5,20</v>
      </c>
      <c r="Q991" s="4" t="e">
        <f t="shared" ca="1" si="166"/>
        <v>#NAME?</v>
      </c>
    </row>
    <row r="992" spans="1:17">
      <c r="A992" s="1">
        <f t="shared" si="158"/>
        <v>991</v>
      </c>
      <c r="C992" s="8" t="s">
        <v>17</v>
      </c>
      <c r="D992" s="2">
        <v>43223</v>
      </c>
      <c r="E992" s="3">
        <f>400000/100000</f>
        <v>4</v>
      </c>
      <c r="F992" t="s">
        <v>483</v>
      </c>
      <c r="G992" t="s">
        <v>484</v>
      </c>
      <c r="H992" t="s">
        <v>485</v>
      </c>
      <c r="I992" s="6" t="s">
        <v>684</v>
      </c>
      <c r="J992" s="61" t="s">
        <v>22</v>
      </c>
      <c r="L992" s="5" t="str">
        <f t="shared" si="161"/>
        <v>00991</v>
      </c>
      <c r="M992" s="47" t="str">
        <f t="shared" si="162"/>
        <v>03 de mayo de 2018</v>
      </c>
      <c r="N992" s="323">
        <f t="shared" si="164"/>
        <v>3</v>
      </c>
      <c r="O992" s="25">
        <f t="shared" si="163"/>
        <v>43221</v>
      </c>
      <c r="P992" s="5" t="str">
        <f t="shared" si="165"/>
        <v>4,00</v>
      </c>
      <c r="Q992" s="4" t="e">
        <f t="shared" ca="1" si="166"/>
        <v>#NAME?</v>
      </c>
    </row>
    <row r="993" spans="1:17">
      <c r="A993" s="1">
        <f t="shared" si="158"/>
        <v>992</v>
      </c>
      <c r="C993" s="8" t="s">
        <v>17</v>
      </c>
      <c r="D993" s="2">
        <v>43224</v>
      </c>
      <c r="E993" s="3">
        <f>400000/100000</f>
        <v>4</v>
      </c>
      <c r="F993" t="s">
        <v>107</v>
      </c>
      <c r="G993" t="s">
        <v>108</v>
      </c>
      <c r="H993" t="s">
        <v>109</v>
      </c>
      <c r="I993" s="6" t="s">
        <v>684</v>
      </c>
      <c r="J993" s="61" t="s">
        <v>22</v>
      </c>
      <c r="L993" s="5" t="str">
        <f t="shared" si="161"/>
        <v>00992</v>
      </c>
      <c r="M993" s="47" t="str">
        <f t="shared" si="162"/>
        <v>04 de mayo de 2018</v>
      </c>
      <c r="N993" s="323">
        <f t="shared" si="164"/>
        <v>4</v>
      </c>
      <c r="O993" s="25">
        <f t="shared" si="163"/>
        <v>43221</v>
      </c>
      <c r="P993" s="5" t="str">
        <f t="shared" si="165"/>
        <v>4,00</v>
      </c>
      <c r="Q993" s="4" t="e">
        <f t="shared" ca="1" si="166"/>
        <v>#NAME?</v>
      </c>
    </row>
    <row r="994" spans="1:17">
      <c r="A994" s="1">
        <f t="shared" si="158"/>
        <v>993</v>
      </c>
      <c r="C994" s="8" t="s">
        <v>17</v>
      </c>
      <c r="D994" s="2">
        <v>43224</v>
      </c>
      <c r="E994" s="3">
        <f>550000/100000</f>
        <v>5.5</v>
      </c>
      <c r="F994" t="s">
        <v>114</v>
      </c>
      <c r="G994" t="s">
        <v>115</v>
      </c>
      <c r="H994" t="s">
        <v>116</v>
      </c>
      <c r="I994" s="6" t="s">
        <v>695</v>
      </c>
      <c r="J994" s="61" t="s">
        <v>22</v>
      </c>
      <c r="L994" s="5" t="str">
        <f t="shared" si="161"/>
        <v>00993</v>
      </c>
      <c r="M994" s="47" t="str">
        <f t="shared" si="162"/>
        <v>04 de mayo de 2018</v>
      </c>
      <c r="N994" s="323">
        <f t="shared" si="164"/>
        <v>4</v>
      </c>
      <c r="O994" s="25">
        <f t="shared" si="163"/>
        <v>43221</v>
      </c>
      <c r="P994" s="5" t="str">
        <f t="shared" si="165"/>
        <v>5,50</v>
      </c>
      <c r="Q994" s="4" t="e">
        <f t="shared" ca="1" si="166"/>
        <v>#NAME?</v>
      </c>
    </row>
    <row r="995" spans="1:17">
      <c r="A995" s="1">
        <f>A994+1</f>
        <v>994</v>
      </c>
      <c r="C995" s="8" t="s">
        <v>17</v>
      </c>
      <c r="D995" s="2">
        <v>43224</v>
      </c>
      <c r="E995" s="3">
        <f>400000/100000</f>
        <v>4</v>
      </c>
      <c r="F995" t="s">
        <v>70</v>
      </c>
      <c r="G995" t="s">
        <v>71</v>
      </c>
      <c r="H995" t="s">
        <v>72</v>
      </c>
      <c r="I995" s="6" t="s">
        <v>684</v>
      </c>
      <c r="J995" s="61" t="s">
        <v>22</v>
      </c>
      <c r="L995" s="5" t="str">
        <f t="shared" si="161"/>
        <v>00994</v>
      </c>
      <c r="M995" s="47" t="str">
        <f t="shared" si="162"/>
        <v>04 de mayo de 2018</v>
      </c>
      <c r="N995" s="323">
        <f t="shared" si="164"/>
        <v>4</v>
      </c>
      <c r="O995" s="25">
        <f t="shared" si="163"/>
        <v>43221</v>
      </c>
      <c r="P995" s="5" t="str">
        <f t="shared" si="165"/>
        <v>4,00</v>
      </c>
      <c r="Q995" s="4" t="e">
        <f t="shared" ca="1" si="166"/>
        <v>#NAME?</v>
      </c>
    </row>
    <row r="996" spans="1:17">
      <c r="A996" s="1">
        <f t="shared" si="158"/>
        <v>995</v>
      </c>
      <c r="C996" s="8" t="s">
        <v>17</v>
      </c>
      <c r="D996" s="2">
        <v>43224</v>
      </c>
      <c r="E996" s="3">
        <f>400000/100000</f>
        <v>4</v>
      </c>
      <c r="F996" t="s">
        <v>40</v>
      </c>
      <c r="G996" t="s">
        <v>41</v>
      </c>
      <c r="H996" t="s">
        <v>42</v>
      </c>
      <c r="I996" s="6" t="s">
        <v>684</v>
      </c>
      <c r="J996" s="61" t="s">
        <v>22</v>
      </c>
      <c r="L996" s="5" t="str">
        <f t="shared" si="161"/>
        <v>00995</v>
      </c>
      <c r="M996" s="47" t="str">
        <f t="shared" si="162"/>
        <v>04 de mayo de 2018</v>
      </c>
      <c r="N996" s="323">
        <f t="shared" si="164"/>
        <v>4</v>
      </c>
      <c r="O996" s="25">
        <f t="shared" si="163"/>
        <v>43221</v>
      </c>
      <c r="P996" s="5" t="str">
        <f t="shared" si="165"/>
        <v>4,00</v>
      </c>
      <c r="Q996" s="4" t="e">
        <f t="shared" ca="1" si="166"/>
        <v>#NAME?</v>
      </c>
    </row>
    <row r="997" spans="1:17">
      <c r="A997" s="1">
        <f t="shared" si="158"/>
        <v>996</v>
      </c>
      <c r="C997" s="8" t="s">
        <v>17</v>
      </c>
      <c r="D997" s="2">
        <v>43224</v>
      </c>
      <c r="E997" s="3">
        <f>400000/100000</f>
        <v>4</v>
      </c>
      <c r="F997" t="s">
        <v>44</v>
      </c>
      <c r="G997" t="s">
        <v>45</v>
      </c>
      <c r="H997" t="s">
        <v>46</v>
      </c>
      <c r="I997" s="6" t="s">
        <v>696</v>
      </c>
      <c r="J997" s="61" t="s">
        <v>22</v>
      </c>
      <c r="L997" s="5" t="str">
        <f t="shared" si="161"/>
        <v>00996</v>
      </c>
      <c r="M997" s="47" t="str">
        <f t="shared" si="162"/>
        <v>04 de mayo de 2018</v>
      </c>
      <c r="N997" s="323">
        <f t="shared" si="164"/>
        <v>4</v>
      </c>
      <c r="O997" s="25">
        <f t="shared" si="163"/>
        <v>43221</v>
      </c>
      <c r="P997" s="5" t="str">
        <f t="shared" si="165"/>
        <v>4,00</v>
      </c>
      <c r="Q997" s="4" t="e">
        <f t="shared" ca="1" si="166"/>
        <v>#NAME?</v>
      </c>
    </row>
    <row r="998" spans="1:17">
      <c r="A998" s="1">
        <f t="shared" si="158"/>
        <v>997</v>
      </c>
      <c r="C998" s="8" t="s">
        <v>17</v>
      </c>
      <c r="D998" s="2">
        <v>43226</v>
      </c>
      <c r="E998" s="3">
        <f>260000/100000</f>
        <v>2.6</v>
      </c>
      <c r="F998" t="s">
        <v>558</v>
      </c>
      <c r="G998" t="s">
        <v>559</v>
      </c>
      <c r="H998" t="s">
        <v>560</v>
      </c>
      <c r="I998" s="6" t="s">
        <v>697</v>
      </c>
      <c r="J998" s="61" t="s">
        <v>22</v>
      </c>
      <c r="L998" s="5" t="str">
        <f t="shared" si="161"/>
        <v>00997</v>
      </c>
      <c r="M998" s="47" t="str">
        <f t="shared" si="162"/>
        <v>06 de mayo de 2018</v>
      </c>
      <c r="N998" s="323">
        <f t="shared" si="164"/>
        <v>6</v>
      </c>
      <c r="O998" s="25">
        <f t="shared" si="163"/>
        <v>43221</v>
      </c>
      <c r="P998" s="5" t="str">
        <f t="shared" si="165"/>
        <v>2,60</v>
      </c>
      <c r="Q998" s="4" t="e">
        <f t="shared" ca="1" si="166"/>
        <v>#NAME?</v>
      </c>
    </row>
    <row r="999" spans="1:17">
      <c r="A999" s="1">
        <f t="shared" si="158"/>
        <v>998</v>
      </c>
      <c r="C999" s="8" t="s">
        <v>17</v>
      </c>
      <c r="D999" s="2">
        <v>43227</v>
      </c>
      <c r="E999" s="3">
        <f>400000/100000</f>
        <v>4</v>
      </c>
      <c r="F999" t="s">
        <v>90</v>
      </c>
      <c r="G999" t="s">
        <v>91</v>
      </c>
      <c r="H999" t="s">
        <v>92</v>
      </c>
      <c r="I999" s="6" t="s">
        <v>684</v>
      </c>
      <c r="J999" s="61" t="s">
        <v>22</v>
      </c>
      <c r="L999" s="5" t="str">
        <f t="shared" si="161"/>
        <v>00998</v>
      </c>
      <c r="M999" s="47" t="str">
        <f t="shared" si="162"/>
        <v>07 de mayo de 2018</v>
      </c>
      <c r="N999" s="323">
        <f t="shared" si="164"/>
        <v>7</v>
      </c>
      <c r="O999" s="25">
        <f t="shared" si="163"/>
        <v>43221</v>
      </c>
      <c r="P999" s="5" t="str">
        <f t="shared" si="165"/>
        <v>4,00</v>
      </c>
      <c r="Q999" s="4" t="e">
        <f t="shared" ca="1" si="166"/>
        <v>#NAME?</v>
      </c>
    </row>
    <row r="1000" spans="1:17">
      <c r="A1000" s="1">
        <f t="shared" si="158"/>
        <v>999</v>
      </c>
      <c r="C1000" s="8" t="s">
        <v>17</v>
      </c>
      <c r="D1000" s="2">
        <v>43227</v>
      </c>
      <c r="E1000" s="3">
        <f>100000/100000</f>
        <v>1</v>
      </c>
      <c r="F1000" t="s">
        <v>90</v>
      </c>
      <c r="G1000" t="s">
        <v>91</v>
      </c>
      <c r="H1000" t="s">
        <v>92</v>
      </c>
      <c r="I1000" s="6" t="s">
        <v>672</v>
      </c>
      <c r="J1000" s="61" t="s">
        <v>673</v>
      </c>
      <c r="L1000" s="5" t="str">
        <f t="shared" si="161"/>
        <v>00999</v>
      </c>
      <c r="M1000" s="47" t="str">
        <f t="shared" si="162"/>
        <v>07 de mayo de 2018</v>
      </c>
      <c r="N1000" s="323">
        <f t="shared" si="164"/>
        <v>7</v>
      </c>
      <c r="O1000" s="25">
        <f t="shared" si="163"/>
        <v>43221</v>
      </c>
      <c r="P1000" s="5" t="str">
        <f t="shared" si="165"/>
        <v>1,00</v>
      </c>
      <c r="Q1000" s="4" t="e">
        <f t="shared" ca="1" si="166"/>
        <v>#NAME?</v>
      </c>
    </row>
    <row r="1001" spans="1:17">
      <c r="A1001" s="1">
        <f t="shared" si="158"/>
        <v>1000</v>
      </c>
      <c r="C1001" s="8" t="s">
        <v>17</v>
      </c>
      <c r="D1001" s="2">
        <v>43227</v>
      </c>
      <c r="E1001" s="3">
        <f>400000/100000</f>
        <v>4</v>
      </c>
      <c r="F1001" t="s">
        <v>24</v>
      </c>
      <c r="G1001" t="s">
        <v>25</v>
      </c>
      <c r="H1001" t="s">
        <v>26</v>
      </c>
      <c r="I1001" s="6" t="s">
        <v>684</v>
      </c>
      <c r="J1001" s="61" t="s">
        <v>22</v>
      </c>
      <c r="L1001" s="5" t="str">
        <f t="shared" si="161"/>
        <v>01000</v>
      </c>
      <c r="M1001" s="47" t="str">
        <f t="shared" si="162"/>
        <v>07 de mayo de 2018</v>
      </c>
      <c r="N1001" s="323">
        <f t="shared" si="164"/>
        <v>7</v>
      </c>
      <c r="O1001" s="25">
        <f t="shared" si="163"/>
        <v>43221</v>
      </c>
      <c r="P1001" s="5" t="str">
        <f t="shared" si="165"/>
        <v>4,00</v>
      </c>
      <c r="Q1001" s="4" t="e">
        <f t="shared" ca="1" si="166"/>
        <v>#NAME?</v>
      </c>
    </row>
    <row r="1002" spans="1:17">
      <c r="A1002" s="1">
        <f t="shared" ref="A1002:A1036" si="167">A1001+1</f>
        <v>1001</v>
      </c>
      <c r="C1002" s="8" t="s">
        <v>17</v>
      </c>
      <c r="D1002" s="2">
        <v>43196</v>
      </c>
      <c r="E1002" s="3">
        <f>140000/100000</f>
        <v>1.4</v>
      </c>
      <c r="F1002" t="s">
        <v>80</v>
      </c>
      <c r="G1002" t="s">
        <v>81</v>
      </c>
      <c r="H1002" t="s">
        <v>82</v>
      </c>
      <c r="I1002" s="6" t="s">
        <v>668</v>
      </c>
      <c r="J1002" s="61" t="s">
        <v>22</v>
      </c>
      <c r="L1002" s="5" t="str">
        <f t="shared" si="161"/>
        <v>01001</v>
      </c>
      <c r="M1002" s="47" t="str">
        <f t="shared" si="162"/>
        <v>06 de abril de 2018</v>
      </c>
      <c r="N1002" s="323">
        <f t="shared" si="164"/>
        <v>6</v>
      </c>
      <c r="O1002" s="25">
        <f t="shared" si="163"/>
        <v>43191</v>
      </c>
      <c r="P1002" s="5" t="str">
        <f t="shared" si="165"/>
        <v>1,40</v>
      </c>
      <c r="Q1002" s="4" t="e">
        <f t="shared" ca="1" si="166"/>
        <v>#NAME?</v>
      </c>
    </row>
    <row r="1003" spans="1:17">
      <c r="A1003" s="1">
        <f t="shared" si="167"/>
        <v>1002</v>
      </c>
      <c r="C1003" s="8" t="s">
        <v>17</v>
      </c>
      <c r="D1003" s="2">
        <v>43196</v>
      </c>
      <c r="E1003" s="3">
        <f>60000/100000</f>
        <v>0.6</v>
      </c>
      <c r="F1003" t="s">
        <v>80</v>
      </c>
      <c r="G1003" t="s">
        <v>81</v>
      </c>
      <c r="H1003" t="s">
        <v>82</v>
      </c>
      <c r="I1003" s="6" t="s">
        <v>672</v>
      </c>
      <c r="J1003" s="61" t="s">
        <v>673</v>
      </c>
      <c r="L1003" s="5" t="str">
        <f t="shared" si="161"/>
        <v>01002</v>
      </c>
      <c r="M1003" s="47" t="str">
        <f t="shared" si="162"/>
        <v>06 de abril de 2018</v>
      </c>
      <c r="N1003" s="323">
        <f t="shared" si="164"/>
        <v>6</v>
      </c>
      <c r="O1003" s="25">
        <f t="shared" si="163"/>
        <v>43191</v>
      </c>
      <c r="P1003" s="5" t="str">
        <f t="shared" ref="P1003:P1009" si="168">TEXT(E1003,"#.##0,00")</f>
        <v>0,60</v>
      </c>
      <c r="Q1003" s="4" t="e">
        <f t="shared" ref="Q1003:Q1009" ca="1" si="169">CONVERTIRNUM(E1003)</f>
        <v>#NAME?</v>
      </c>
    </row>
    <row r="1004" spans="1:17">
      <c r="A1004" s="1">
        <f t="shared" si="167"/>
        <v>1003</v>
      </c>
      <c r="C1004" s="8" t="s">
        <v>17</v>
      </c>
      <c r="D1004" s="2">
        <v>43227</v>
      </c>
      <c r="E1004" s="3">
        <f>400000/100000</f>
        <v>4</v>
      </c>
      <c r="F1004" t="s">
        <v>80</v>
      </c>
      <c r="G1004" t="s">
        <v>81</v>
      </c>
      <c r="H1004" t="s">
        <v>82</v>
      </c>
      <c r="I1004" s="6" t="s">
        <v>684</v>
      </c>
      <c r="J1004" s="61" t="s">
        <v>22</v>
      </c>
      <c r="L1004" s="5" t="str">
        <f t="shared" si="161"/>
        <v>01003</v>
      </c>
      <c r="M1004" s="47" t="str">
        <f t="shared" si="162"/>
        <v>07 de mayo de 2018</v>
      </c>
      <c r="N1004" s="323">
        <f t="shared" si="164"/>
        <v>7</v>
      </c>
      <c r="O1004" s="25">
        <f t="shared" si="163"/>
        <v>43221</v>
      </c>
      <c r="P1004" s="5" t="str">
        <f t="shared" si="168"/>
        <v>4,00</v>
      </c>
      <c r="Q1004" s="4" t="e">
        <f t="shared" ca="1" si="169"/>
        <v>#NAME?</v>
      </c>
    </row>
    <row r="1005" spans="1:17">
      <c r="A1005" s="1">
        <f t="shared" si="167"/>
        <v>1004</v>
      </c>
      <c r="C1005" s="8" t="s">
        <v>17</v>
      </c>
      <c r="D1005" s="2">
        <v>43227</v>
      </c>
      <c r="E1005" s="3">
        <f>540000/100000</f>
        <v>5.4</v>
      </c>
      <c r="F1005" t="s">
        <v>94</v>
      </c>
      <c r="G1005" t="s">
        <v>607</v>
      </c>
      <c r="H1005" t="s">
        <v>96</v>
      </c>
      <c r="I1005" s="6" t="s">
        <v>695</v>
      </c>
      <c r="J1005" s="61" t="s">
        <v>22</v>
      </c>
      <c r="L1005" s="5" t="str">
        <f t="shared" si="161"/>
        <v>01004</v>
      </c>
      <c r="M1005" s="47" t="str">
        <f t="shared" si="162"/>
        <v>07 de mayo de 2018</v>
      </c>
      <c r="N1005" s="323">
        <f t="shared" si="164"/>
        <v>7</v>
      </c>
      <c r="O1005" s="25">
        <f t="shared" si="163"/>
        <v>43221</v>
      </c>
      <c r="P1005" s="5" t="str">
        <f t="shared" si="168"/>
        <v>5,40</v>
      </c>
      <c r="Q1005" s="4" t="e">
        <f t="shared" ca="1" si="169"/>
        <v>#NAME?</v>
      </c>
    </row>
    <row r="1006" spans="1:17">
      <c r="A1006" s="1">
        <f t="shared" si="167"/>
        <v>1005</v>
      </c>
      <c r="C1006" s="8" t="s">
        <v>17</v>
      </c>
      <c r="D1006" s="2">
        <v>43224</v>
      </c>
      <c r="E1006" s="3">
        <f>140000/100000</f>
        <v>1.4</v>
      </c>
      <c r="F1006" t="s">
        <v>296</v>
      </c>
      <c r="G1006" t="s">
        <v>297</v>
      </c>
      <c r="H1006" t="s">
        <v>298</v>
      </c>
      <c r="I1006" s="6" t="s">
        <v>668</v>
      </c>
      <c r="J1006" s="61" t="s">
        <v>22</v>
      </c>
      <c r="L1006" s="5" t="str">
        <f t="shared" si="161"/>
        <v>01005</v>
      </c>
      <c r="M1006" s="47" t="str">
        <f t="shared" si="162"/>
        <v>04 de mayo de 2018</v>
      </c>
      <c r="N1006" s="323">
        <f t="shared" si="164"/>
        <v>4</v>
      </c>
      <c r="O1006" s="25">
        <f t="shared" si="163"/>
        <v>43221</v>
      </c>
      <c r="P1006" s="5" t="str">
        <f t="shared" si="168"/>
        <v>1,40</v>
      </c>
      <c r="Q1006" s="4" t="e">
        <f t="shared" ca="1" si="169"/>
        <v>#NAME?</v>
      </c>
    </row>
    <row r="1007" spans="1:17">
      <c r="A1007" s="1">
        <f t="shared" si="167"/>
        <v>1006</v>
      </c>
      <c r="C1007" s="8" t="s">
        <v>17</v>
      </c>
      <c r="D1007" s="2">
        <v>43227</v>
      </c>
      <c r="E1007" s="3">
        <f>440000/100000</f>
        <v>4.4000000000000004</v>
      </c>
      <c r="F1007" t="s">
        <v>206</v>
      </c>
      <c r="G1007" t="s">
        <v>207</v>
      </c>
      <c r="H1007" t="s">
        <v>208</v>
      </c>
      <c r="I1007" s="6" t="s">
        <v>622</v>
      </c>
      <c r="J1007" s="61" t="s">
        <v>22</v>
      </c>
      <c r="L1007" s="5" t="str">
        <f t="shared" si="161"/>
        <v>01006</v>
      </c>
      <c r="M1007" s="47" t="str">
        <f t="shared" si="162"/>
        <v>07 de mayo de 2018</v>
      </c>
      <c r="N1007" s="323">
        <f t="shared" si="164"/>
        <v>7</v>
      </c>
      <c r="O1007" s="25">
        <f t="shared" si="163"/>
        <v>43221</v>
      </c>
      <c r="P1007" s="5" t="str">
        <f t="shared" si="168"/>
        <v>4,40</v>
      </c>
      <c r="Q1007" s="4" t="e">
        <f t="shared" ca="1" si="169"/>
        <v>#NAME?</v>
      </c>
    </row>
    <row r="1008" spans="1:17" ht="15.75" thickBot="1">
      <c r="A1008" s="1">
        <f t="shared" si="167"/>
        <v>1007</v>
      </c>
      <c r="C1008" s="8" t="s">
        <v>17</v>
      </c>
      <c r="D1008" s="2">
        <v>43228</v>
      </c>
      <c r="E1008" s="3">
        <f>100000/100000</f>
        <v>1</v>
      </c>
      <c r="F1008" t="s">
        <v>28</v>
      </c>
      <c r="G1008" t="s">
        <v>29</v>
      </c>
      <c r="H1008" t="s">
        <v>30</v>
      </c>
      <c r="I1008" s="6" t="s">
        <v>669</v>
      </c>
      <c r="J1008" s="61" t="s">
        <v>22</v>
      </c>
      <c r="L1008" s="5" t="str">
        <f t="shared" si="161"/>
        <v>01007</v>
      </c>
      <c r="M1008" s="47" t="str">
        <f t="shared" si="162"/>
        <v>08 de mayo de 2018</v>
      </c>
      <c r="N1008" s="323">
        <f t="shared" si="164"/>
        <v>8</v>
      </c>
      <c r="O1008" s="25">
        <f t="shared" si="163"/>
        <v>43221</v>
      </c>
      <c r="P1008" s="5" t="str">
        <f t="shared" si="168"/>
        <v>1,00</v>
      </c>
      <c r="Q1008" s="4" t="e">
        <f t="shared" ca="1" si="169"/>
        <v>#NAME?</v>
      </c>
    </row>
    <row r="1009" spans="1:17" ht="15.75" thickBot="1">
      <c r="A1009" s="1">
        <f t="shared" si="167"/>
        <v>1008</v>
      </c>
      <c r="C1009" s="8" t="s">
        <v>17</v>
      </c>
      <c r="D1009" s="2">
        <v>43228</v>
      </c>
      <c r="E1009" s="3">
        <f>140000*2/100000+400000/100000</f>
        <v>6.8</v>
      </c>
      <c r="F1009" t="s">
        <v>259</v>
      </c>
      <c r="G1009" s="18" t="s">
        <v>58</v>
      </c>
      <c r="H1009" t="s">
        <v>261</v>
      </c>
      <c r="I1009" s="6" t="s">
        <v>629</v>
      </c>
      <c r="J1009" s="61" t="s">
        <v>22</v>
      </c>
      <c r="L1009" s="5" t="str">
        <f t="shared" si="161"/>
        <v>01008</v>
      </c>
      <c r="M1009" s="47" t="str">
        <f t="shared" si="162"/>
        <v>08 de mayo de 2018</v>
      </c>
      <c r="N1009" s="323">
        <f t="shared" si="164"/>
        <v>8</v>
      </c>
      <c r="O1009" s="25">
        <f t="shared" si="163"/>
        <v>43221</v>
      </c>
      <c r="P1009" s="5" t="str">
        <f t="shared" si="168"/>
        <v>6,80</v>
      </c>
      <c r="Q1009" s="4" t="e">
        <f t="shared" ca="1" si="169"/>
        <v>#NAME?</v>
      </c>
    </row>
    <row r="1010" spans="1:17">
      <c r="A1010" s="1">
        <f t="shared" si="167"/>
        <v>1009</v>
      </c>
      <c r="C1010" s="8" t="s">
        <v>17</v>
      </c>
      <c r="D1010" s="2">
        <v>43228</v>
      </c>
      <c r="E1010" s="3">
        <f>140000/100000</f>
        <v>1.4</v>
      </c>
      <c r="F1010" t="s">
        <v>264</v>
      </c>
      <c r="G1010" t="s">
        <v>265</v>
      </c>
      <c r="H1010" t="s">
        <v>266</v>
      </c>
      <c r="I1010" s="6" t="s">
        <v>669</v>
      </c>
      <c r="J1010" s="61" t="s">
        <v>22</v>
      </c>
      <c r="L1010" s="5" t="str">
        <f t="shared" si="161"/>
        <v>01009</v>
      </c>
      <c r="M1010" s="47" t="str">
        <f t="shared" si="162"/>
        <v>08 de mayo de 2018</v>
      </c>
      <c r="N1010" s="323">
        <f t="shared" si="164"/>
        <v>8</v>
      </c>
      <c r="O1010" s="25">
        <f t="shared" si="163"/>
        <v>43221</v>
      </c>
      <c r="P1010" s="5" t="str">
        <f t="shared" ref="P1010:P1040" si="170">TEXT(E1010,"#.##0,00")</f>
        <v>1,40</v>
      </c>
      <c r="Q1010" s="4" t="e">
        <f t="shared" ref="Q1010:Q1040" ca="1" si="171">CONVERTIRNUM(E1010)</f>
        <v>#NAME?</v>
      </c>
    </row>
    <row r="1011" spans="1:17" ht="15.75" thickBot="1">
      <c r="A1011" s="1">
        <f t="shared" si="167"/>
        <v>1010</v>
      </c>
      <c r="C1011" s="8" t="s">
        <v>17</v>
      </c>
      <c r="D1011" s="2">
        <v>43228</v>
      </c>
      <c r="E1011" s="3">
        <f>400000/100000</f>
        <v>4</v>
      </c>
      <c r="F1011" t="s">
        <v>698</v>
      </c>
      <c r="G1011" t="s">
        <v>699</v>
      </c>
      <c r="H1011" t="s">
        <v>150</v>
      </c>
      <c r="I1011" s="6" t="s">
        <v>684</v>
      </c>
      <c r="J1011" s="61" t="s">
        <v>22</v>
      </c>
      <c r="L1011" s="5" t="str">
        <f t="shared" si="161"/>
        <v>01010</v>
      </c>
      <c r="M1011" s="47" t="str">
        <f t="shared" si="162"/>
        <v>08 de mayo de 2018</v>
      </c>
      <c r="N1011" s="323">
        <f t="shared" si="164"/>
        <v>8</v>
      </c>
      <c r="O1011" s="25">
        <f t="shared" si="163"/>
        <v>43221</v>
      </c>
      <c r="P1011" s="5" t="str">
        <f t="shared" si="170"/>
        <v>4,00</v>
      </c>
      <c r="Q1011" s="4" t="e">
        <f t="shared" ca="1" si="171"/>
        <v>#NAME?</v>
      </c>
    </row>
    <row r="1012" spans="1:17" ht="15.75" thickBot="1">
      <c r="A1012" s="1">
        <f t="shared" si="167"/>
        <v>1011</v>
      </c>
      <c r="C1012" s="8" t="s">
        <v>17</v>
      </c>
      <c r="D1012" s="2">
        <v>43228</v>
      </c>
      <c r="E1012" s="3">
        <f>155000/100000+400000/100000</f>
        <v>5.55</v>
      </c>
      <c r="F1012" s="20" t="s">
        <v>57</v>
      </c>
      <c r="G1012" s="18" t="s">
        <v>58</v>
      </c>
      <c r="H1012" s="21" t="s">
        <v>59</v>
      </c>
      <c r="I1012" s="6" t="s">
        <v>695</v>
      </c>
      <c r="J1012" s="61" t="s">
        <v>22</v>
      </c>
      <c r="K1012" s="22"/>
      <c r="L1012" s="5" t="str">
        <f t="shared" si="161"/>
        <v>01011</v>
      </c>
      <c r="M1012" s="47" t="str">
        <f t="shared" si="162"/>
        <v>08 de mayo de 2018</v>
      </c>
      <c r="N1012" s="323">
        <f t="shared" si="164"/>
        <v>8</v>
      </c>
      <c r="O1012" s="25">
        <f t="shared" si="163"/>
        <v>43221</v>
      </c>
      <c r="P1012" s="5" t="str">
        <f t="shared" si="170"/>
        <v>5,55</v>
      </c>
      <c r="Q1012" s="4" t="e">
        <f t="shared" ca="1" si="171"/>
        <v>#NAME?</v>
      </c>
    </row>
    <row r="1013" spans="1:17">
      <c r="A1013" s="1">
        <f t="shared" si="167"/>
        <v>1012</v>
      </c>
      <c r="C1013" s="8" t="s">
        <v>17</v>
      </c>
      <c r="D1013" s="2">
        <v>43229</v>
      </c>
      <c r="E1013" s="3">
        <f>400000/100000</f>
        <v>4</v>
      </c>
      <c r="F1013" t="s">
        <v>633</v>
      </c>
      <c r="G1013" t="s">
        <v>634</v>
      </c>
      <c r="H1013" t="s">
        <v>635</v>
      </c>
      <c r="I1013" s="6" t="s">
        <v>684</v>
      </c>
      <c r="J1013" s="61" t="s">
        <v>22</v>
      </c>
      <c r="L1013" s="5" t="str">
        <f t="shared" si="161"/>
        <v>01012</v>
      </c>
      <c r="M1013" s="47" t="str">
        <f t="shared" si="162"/>
        <v>09 de mayo de 2018</v>
      </c>
      <c r="N1013" s="323">
        <f t="shared" si="164"/>
        <v>9</v>
      </c>
      <c r="O1013" s="25">
        <f t="shared" si="163"/>
        <v>43221</v>
      </c>
      <c r="P1013" s="5" t="str">
        <f t="shared" si="170"/>
        <v>4,00</v>
      </c>
      <c r="Q1013" s="4" t="e">
        <f t="shared" ca="1" si="171"/>
        <v>#NAME?</v>
      </c>
    </row>
    <row r="1014" spans="1:17">
      <c r="A1014" s="1">
        <f t="shared" si="167"/>
        <v>1013</v>
      </c>
      <c r="C1014" s="8" t="s">
        <v>17</v>
      </c>
      <c r="D1014" s="2">
        <v>43230</v>
      </c>
      <c r="E1014" s="3">
        <f>2000000/100000</f>
        <v>20</v>
      </c>
      <c r="F1014" t="s">
        <v>162</v>
      </c>
      <c r="G1014" t="s">
        <v>163</v>
      </c>
      <c r="H1014" t="s">
        <v>164</v>
      </c>
      <c r="I1014" s="6" t="s">
        <v>700</v>
      </c>
      <c r="J1014" s="61" t="s">
        <v>22</v>
      </c>
      <c r="L1014" s="5" t="str">
        <f t="shared" si="161"/>
        <v>01013</v>
      </c>
      <c r="M1014" s="47" t="str">
        <f t="shared" si="162"/>
        <v>10 de mayo de 2018</v>
      </c>
      <c r="N1014" s="323">
        <f t="shared" si="164"/>
        <v>10</v>
      </c>
      <c r="O1014" s="25">
        <f t="shared" si="163"/>
        <v>43221</v>
      </c>
      <c r="P1014" s="5" t="str">
        <f t="shared" si="170"/>
        <v>20,00</v>
      </c>
      <c r="Q1014" s="4" t="e">
        <f t="shared" ca="1" si="171"/>
        <v>#NAME?</v>
      </c>
    </row>
    <row r="1015" spans="1:17">
      <c r="A1015" s="1">
        <f t="shared" si="167"/>
        <v>1014</v>
      </c>
      <c r="C1015" s="8" t="s">
        <v>17</v>
      </c>
      <c r="D1015" s="2">
        <v>43230</v>
      </c>
      <c r="E1015" s="3">
        <f>400000/100000</f>
        <v>4</v>
      </c>
      <c r="F1015" t="s">
        <v>126</v>
      </c>
      <c r="G1015" t="s">
        <v>127</v>
      </c>
      <c r="H1015" t="s">
        <v>128</v>
      </c>
      <c r="I1015" s="6" t="s">
        <v>684</v>
      </c>
      <c r="J1015" s="61" t="s">
        <v>22</v>
      </c>
      <c r="L1015" s="5" t="str">
        <f t="shared" si="161"/>
        <v>01014</v>
      </c>
      <c r="M1015" s="47" t="str">
        <f t="shared" si="162"/>
        <v>10 de mayo de 2018</v>
      </c>
      <c r="N1015" s="323">
        <f t="shared" si="164"/>
        <v>10</v>
      </c>
      <c r="O1015" s="25">
        <f t="shared" si="163"/>
        <v>43221</v>
      </c>
      <c r="P1015" s="5" t="str">
        <f t="shared" si="170"/>
        <v>4,00</v>
      </c>
      <c r="Q1015" s="4" t="e">
        <f t="shared" ca="1" si="171"/>
        <v>#NAME?</v>
      </c>
    </row>
    <row r="1016" spans="1:17">
      <c r="A1016" s="1">
        <f t="shared" si="167"/>
        <v>1015</v>
      </c>
      <c r="C1016" s="8" t="s">
        <v>17</v>
      </c>
      <c r="D1016" s="2">
        <v>43231</v>
      </c>
      <c r="E1016" s="3">
        <f>400000/100000</f>
        <v>4</v>
      </c>
      <c r="F1016" t="s">
        <v>362</v>
      </c>
      <c r="G1016" t="s">
        <v>363</v>
      </c>
      <c r="H1016" t="s">
        <v>364</v>
      </c>
      <c r="I1016" s="6" t="s">
        <v>684</v>
      </c>
      <c r="J1016" s="61" t="s">
        <v>22</v>
      </c>
      <c r="L1016" s="5" t="str">
        <f t="shared" si="161"/>
        <v>01015</v>
      </c>
      <c r="M1016" s="47" t="str">
        <f t="shared" si="162"/>
        <v>11 de mayo de 2018</v>
      </c>
      <c r="N1016" s="323">
        <f t="shared" si="164"/>
        <v>11</v>
      </c>
      <c r="O1016" s="25">
        <f t="shared" si="163"/>
        <v>43221</v>
      </c>
      <c r="P1016" s="5" t="str">
        <f t="shared" si="170"/>
        <v>4,00</v>
      </c>
      <c r="Q1016" s="4" t="e">
        <f t="shared" ca="1" si="171"/>
        <v>#NAME?</v>
      </c>
    </row>
    <row r="1017" spans="1:17">
      <c r="A1017" s="1">
        <f t="shared" si="167"/>
        <v>1016</v>
      </c>
      <c r="C1017" s="8" t="s">
        <v>17</v>
      </c>
      <c r="D1017" s="2">
        <v>43231</v>
      </c>
      <c r="E1017" s="3">
        <f>280000/100000</f>
        <v>2.8</v>
      </c>
      <c r="F1017" t="s">
        <v>337</v>
      </c>
      <c r="G1017" t="s">
        <v>338</v>
      </c>
      <c r="H1017" t="s">
        <v>339</v>
      </c>
      <c r="I1017" s="6" t="s">
        <v>701</v>
      </c>
      <c r="J1017" s="61" t="s">
        <v>22</v>
      </c>
      <c r="L1017" s="5" t="str">
        <f t="shared" si="161"/>
        <v>01016</v>
      </c>
      <c r="M1017" s="47" t="str">
        <f t="shared" si="162"/>
        <v>11 de mayo de 2018</v>
      </c>
      <c r="N1017" s="323">
        <f t="shared" si="164"/>
        <v>11</v>
      </c>
      <c r="O1017" s="25">
        <f t="shared" si="163"/>
        <v>43221</v>
      </c>
      <c r="P1017" s="5" t="str">
        <f t="shared" si="170"/>
        <v>2,80</v>
      </c>
      <c r="Q1017" s="4" t="e">
        <f t="shared" ca="1" si="171"/>
        <v>#NAME?</v>
      </c>
    </row>
    <row r="1018" spans="1:17" ht="15.75" thickBot="1">
      <c r="A1018" s="1">
        <f t="shared" si="167"/>
        <v>1017</v>
      </c>
      <c r="C1018" s="8" t="s">
        <v>17</v>
      </c>
      <c r="D1018" s="2">
        <v>43233</v>
      </c>
      <c r="E1018" s="3">
        <f>100000/100000</f>
        <v>1</v>
      </c>
      <c r="F1018" t="s">
        <v>167</v>
      </c>
      <c r="G1018" t="s">
        <v>168</v>
      </c>
      <c r="H1018" t="s">
        <v>169</v>
      </c>
      <c r="I1018" s="6" t="s">
        <v>680</v>
      </c>
      <c r="J1018" s="61" t="s">
        <v>22</v>
      </c>
      <c r="L1018" s="5" t="str">
        <f t="shared" si="161"/>
        <v>01017</v>
      </c>
      <c r="M1018" s="47" t="str">
        <f t="shared" si="162"/>
        <v>13 de mayo de 2018</v>
      </c>
      <c r="N1018" s="323">
        <f t="shared" si="164"/>
        <v>13</v>
      </c>
      <c r="O1018" s="25">
        <f t="shared" si="163"/>
        <v>43221</v>
      </c>
      <c r="P1018" s="5" t="str">
        <f t="shared" si="170"/>
        <v>1,00</v>
      </c>
      <c r="Q1018" s="4" t="e">
        <f t="shared" ca="1" si="171"/>
        <v>#NAME?</v>
      </c>
    </row>
    <row r="1019" spans="1:17" ht="15.75" thickBot="1">
      <c r="A1019" s="1">
        <f t="shared" si="167"/>
        <v>1018</v>
      </c>
      <c r="C1019" s="8" t="s">
        <v>17</v>
      </c>
      <c r="D1019" s="2">
        <v>43233</v>
      </c>
      <c r="E1019" s="3">
        <f>580000/100000</f>
        <v>5.8</v>
      </c>
      <c r="F1019" s="23" t="s">
        <v>422</v>
      </c>
      <c r="G1019" s="18" t="s">
        <v>58</v>
      </c>
      <c r="H1019" t="s">
        <v>423</v>
      </c>
      <c r="I1019" s="6" t="s">
        <v>684</v>
      </c>
      <c r="J1019" s="61" t="s">
        <v>22</v>
      </c>
      <c r="L1019" s="5" t="str">
        <f t="shared" si="161"/>
        <v>01018</v>
      </c>
      <c r="M1019" s="47" t="str">
        <f t="shared" si="162"/>
        <v>13 de mayo de 2018</v>
      </c>
      <c r="N1019" s="323">
        <f t="shared" si="164"/>
        <v>13</v>
      </c>
      <c r="O1019" s="25">
        <f t="shared" si="163"/>
        <v>43221</v>
      </c>
      <c r="P1019" s="5" t="str">
        <f t="shared" si="170"/>
        <v>5,80</v>
      </c>
      <c r="Q1019" s="4" t="e">
        <f t="shared" ca="1" si="171"/>
        <v>#NAME?</v>
      </c>
    </row>
    <row r="1020" spans="1:17">
      <c r="A1020" s="1">
        <f t="shared" si="167"/>
        <v>1019</v>
      </c>
      <c r="C1020" s="8" t="s">
        <v>17</v>
      </c>
      <c r="D1020" s="2">
        <v>43234</v>
      </c>
      <c r="E1020" s="3">
        <f>300000/100000</f>
        <v>3</v>
      </c>
      <c r="F1020" t="s">
        <v>32</v>
      </c>
      <c r="G1020" t="s">
        <v>33</v>
      </c>
      <c r="H1020" t="s">
        <v>34</v>
      </c>
      <c r="I1020" s="6" t="s">
        <v>662</v>
      </c>
      <c r="J1020" s="61" t="s">
        <v>22</v>
      </c>
      <c r="L1020" s="5" t="str">
        <f t="shared" si="161"/>
        <v>01019</v>
      </c>
      <c r="M1020" s="47" t="str">
        <f t="shared" si="162"/>
        <v>14 de mayo de 2018</v>
      </c>
      <c r="N1020" s="323">
        <f t="shared" si="164"/>
        <v>14</v>
      </c>
      <c r="O1020" s="25">
        <f t="shared" si="163"/>
        <v>43221</v>
      </c>
      <c r="P1020" s="5" t="str">
        <f t="shared" si="170"/>
        <v>3,00</v>
      </c>
      <c r="Q1020" s="4" t="e">
        <f t="shared" ca="1" si="171"/>
        <v>#NAME?</v>
      </c>
    </row>
    <row r="1021" spans="1:17" ht="15.75" thickBot="1">
      <c r="A1021" s="1">
        <f t="shared" si="167"/>
        <v>1020</v>
      </c>
      <c r="C1021" s="8" t="s">
        <v>17</v>
      </c>
      <c r="D1021" s="2">
        <v>43235</v>
      </c>
      <c r="E1021" s="3">
        <f>400000/100000</f>
        <v>4</v>
      </c>
      <c r="F1021" t="s">
        <v>201</v>
      </c>
      <c r="G1021" t="s">
        <v>202</v>
      </c>
      <c r="H1021" t="s">
        <v>203</v>
      </c>
      <c r="I1021" s="6" t="s">
        <v>684</v>
      </c>
      <c r="J1021" s="61" t="s">
        <v>22</v>
      </c>
      <c r="L1021" s="5" t="str">
        <f t="shared" si="161"/>
        <v>01020</v>
      </c>
      <c r="M1021" s="47" t="str">
        <f t="shared" si="162"/>
        <v>15 de mayo de 2018</v>
      </c>
      <c r="N1021" s="323">
        <f t="shared" si="164"/>
        <v>15</v>
      </c>
      <c r="O1021" s="25">
        <f t="shared" si="163"/>
        <v>43221</v>
      </c>
      <c r="P1021" s="5" t="str">
        <f t="shared" si="170"/>
        <v>4,00</v>
      </c>
      <c r="Q1021" s="4" t="e">
        <f t="shared" ca="1" si="171"/>
        <v>#NAME?</v>
      </c>
    </row>
    <row r="1022" spans="1:17" ht="15.75" thickBot="1">
      <c r="A1022" s="1">
        <f t="shared" si="167"/>
        <v>1021</v>
      </c>
      <c r="C1022" s="8" t="s">
        <v>17</v>
      </c>
      <c r="D1022" s="2">
        <v>43235</v>
      </c>
      <c r="E1022" s="3">
        <f>400000/100000</f>
        <v>4</v>
      </c>
      <c r="F1022" t="s">
        <v>177</v>
      </c>
      <c r="G1022" s="18" t="s">
        <v>58</v>
      </c>
      <c r="H1022" t="s">
        <v>179</v>
      </c>
      <c r="I1022" s="6" t="s">
        <v>684</v>
      </c>
      <c r="J1022" s="61" t="s">
        <v>22</v>
      </c>
      <c r="L1022" s="5" t="str">
        <f t="shared" si="161"/>
        <v>01021</v>
      </c>
      <c r="M1022" s="47" t="str">
        <f t="shared" si="162"/>
        <v>15 de mayo de 2018</v>
      </c>
      <c r="N1022" s="323">
        <f t="shared" si="164"/>
        <v>15</v>
      </c>
      <c r="O1022" s="25">
        <f t="shared" si="163"/>
        <v>43221</v>
      </c>
      <c r="P1022" s="5" t="str">
        <f t="shared" si="170"/>
        <v>4,00</v>
      </c>
      <c r="Q1022" s="4" t="e">
        <f t="shared" ca="1" si="171"/>
        <v>#NAME?</v>
      </c>
    </row>
    <row r="1023" spans="1:17">
      <c r="A1023" s="1">
        <f t="shared" si="167"/>
        <v>1022</v>
      </c>
      <c r="C1023" s="8" t="s">
        <v>17</v>
      </c>
      <c r="D1023" s="2">
        <v>43235</v>
      </c>
      <c r="E1023" s="3">
        <f>400000/100000</f>
        <v>4</v>
      </c>
      <c r="F1023" t="s">
        <v>181</v>
      </c>
      <c r="G1023" t="s">
        <v>182</v>
      </c>
      <c r="H1023" t="s">
        <v>183</v>
      </c>
      <c r="I1023" s="6" t="s">
        <v>684</v>
      </c>
      <c r="J1023" s="61" t="s">
        <v>22</v>
      </c>
      <c r="L1023" s="5" t="str">
        <f t="shared" si="161"/>
        <v>01022</v>
      </c>
      <c r="M1023" s="47" t="str">
        <f t="shared" si="162"/>
        <v>15 de mayo de 2018</v>
      </c>
      <c r="N1023" s="323">
        <f t="shared" si="164"/>
        <v>15</v>
      </c>
      <c r="O1023" s="25">
        <f t="shared" si="163"/>
        <v>43221</v>
      </c>
      <c r="P1023" s="5" t="str">
        <f t="shared" si="170"/>
        <v>4,00</v>
      </c>
      <c r="Q1023" s="4" t="e">
        <f t="shared" ca="1" si="171"/>
        <v>#NAME?</v>
      </c>
    </row>
    <row r="1024" spans="1:17">
      <c r="A1024" s="1">
        <f t="shared" si="167"/>
        <v>1023</v>
      </c>
      <c r="C1024" s="8" t="s">
        <v>17</v>
      </c>
      <c r="D1024" s="2">
        <v>43235</v>
      </c>
      <c r="E1024" s="3">
        <f>200000/100000</f>
        <v>2</v>
      </c>
      <c r="F1024" t="s">
        <v>401</v>
      </c>
      <c r="G1024" t="s">
        <v>402</v>
      </c>
      <c r="H1024" t="s">
        <v>403</v>
      </c>
      <c r="I1024" s="6" t="s">
        <v>702</v>
      </c>
      <c r="J1024" s="61" t="s">
        <v>22</v>
      </c>
      <c r="L1024" s="5" t="str">
        <f t="shared" si="161"/>
        <v>01023</v>
      </c>
      <c r="M1024" s="47" t="str">
        <f t="shared" si="162"/>
        <v>15 de mayo de 2018</v>
      </c>
      <c r="N1024" s="323">
        <f t="shared" si="164"/>
        <v>15</v>
      </c>
      <c r="O1024" s="25">
        <f t="shared" si="163"/>
        <v>43221</v>
      </c>
      <c r="P1024" s="5" t="str">
        <f t="shared" si="170"/>
        <v>2,00</v>
      </c>
      <c r="Q1024" s="4" t="e">
        <f t="shared" ca="1" si="171"/>
        <v>#NAME?</v>
      </c>
    </row>
    <row r="1025" spans="1:17">
      <c r="A1025" s="1">
        <f t="shared" si="167"/>
        <v>1024</v>
      </c>
      <c r="C1025" s="8" t="s">
        <v>17</v>
      </c>
      <c r="D1025" s="2">
        <v>43235</v>
      </c>
      <c r="E1025" s="3">
        <f>300000/100000</f>
        <v>3</v>
      </c>
      <c r="F1025" t="s">
        <v>312</v>
      </c>
      <c r="G1025" t="s">
        <v>313</v>
      </c>
      <c r="H1025" t="s">
        <v>314</v>
      </c>
      <c r="I1025" s="6" t="s">
        <v>703</v>
      </c>
      <c r="J1025" s="61" t="s">
        <v>22</v>
      </c>
      <c r="L1025" s="5" t="str">
        <f t="shared" si="161"/>
        <v>01024</v>
      </c>
      <c r="M1025" s="47" t="str">
        <f t="shared" si="162"/>
        <v>15 de mayo de 2018</v>
      </c>
      <c r="N1025" s="323">
        <f t="shared" si="164"/>
        <v>15</v>
      </c>
      <c r="O1025" s="25">
        <f t="shared" si="163"/>
        <v>43221</v>
      </c>
      <c r="P1025" s="5" t="str">
        <f t="shared" si="170"/>
        <v>3,00</v>
      </c>
      <c r="Q1025" s="4" t="e">
        <f t="shared" ca="1" si="171"/>
        <v>#NAME?</v>
      </c>
    </row>
    <row r="1026" spans="1:17">
      <c r="A1026" s="1">
        <f t="shared" si="167"/>
        <v>1025</v>
      </c>
      <c r="C1026" s="8" t="s">
        <v>17</v>
      </c>
      <c r="D1026" s="2">
        <v>43237</v>
      </c>
      <c r="E1026" s="3">
        <f>400000/100000</f>
        <v>4</v>
      </c>
      <c r="F1026" t="s">
        <v>103</v>
      </c>
      <c r="G1026" t="s">
        <v>104</v>
      </c>
      <c r="H1026" t="s">
        <v>105</v>
      </c>
      <c r="I1026" s="6" t="s">
        <v>684</v>
      </c>
      <c r="J1026" s="61" t="s">
        <v>22</v>
      </c>
      <c r="L1026" s="5" t="str">
        <f t="shared" ref="L1026:L1089" si="172">IF(ISBLANK(A1026),"",TEXT(A1026,"00000"))</f>
        <v>01025</v>
      </c>
      <c r="M1026" s="47" t="str">
        <f t="shared" ref="M1026:M1089" si="173">IF(ISBLANK(D1026),"",TEXT(D1026,"dd")&amp;" de "&amp;TEXT(D1026,"mmmm")&amp;" de "&amp;TEXT(YEAR(D1026),"0"))</f>
        <v>17 de mayo de 2018</v>
      </c>
      <c r="N1026" s="323">
        <f t="shared" si="164"/>
        <v>17</v>
      </c>
      <c r="O1026" s="25">
        <f t="shared" ref="O1026:O1089" si="174">DATE(YEAR(D1026),MONTH(D1026),1)</f>
        <v>43221</v>
      </c>
      <c r="P1026" s="5" t="str">
        <f t="shared" si="170"/>
        <v>4,00</v>
      </c>
      <c r="Q1026" s="4" t="e">
        <f t="shared" ca="1" si="171"/>
        <v>#NAME?</v>
      </c>
    </row>
    <row r="1027" spans="1:17">
      <c r="A1027" s="1">
        <f t="shared" si="167"/>
        <v>1026</v>
      </c>
      <c r="C1027" s="8" t="s">
        <v>17</v>
      </c>
      <c r="D1027" s="2">
        <v>43238</v>
      </c>
      <c r="E1027" s="3">
        <f>1600000/100000</f>
        <v>16</v>
      </c>
      <c r="F1027" t="s">
        <v>342</v>
      </c>
      <c r="G1027" t="s">
        <v>343</v>
      </c>
      <c r="H1027" t="s">
        <v>344</v>
      </c>
      <c r="I1027" s="6" t="s">
        <v>704</v>
      </c>
      <c r="J1027" s="61" t="s">
        <v>22</v>
      </c>
      <c r="L1027" s="5" t="str">
        <f t="shared" si="172"/>
        <v>01026</v>
      </c>
      <c r="M1027" s="47" t="str">
        <f t="shared" si="173"/>
        <v>18 de mayo de 2018</v>
      </c>
      <c r="N1027" s="323">
        <f t="shared" ref="N1027:N1090" si="175">DAY(D1027)</f>
        <v>18</v>
      </c>
      <c r="O1027" s="25">
        <f t="shared" si="174"/>
        <v>43221</v>
      </c>
      <c r="P1027" s="5" t="str">
        <f t="shared" si="170"/>
        <v>16,00</v>
      </c>
      <c r="Q1027" s="4" t="e">
        <f t="shared" ca="1" si="171"/>
        <v>#NAME?</v>
      </c>
    </row>
    <row r="1028" spans="1:17">
      <c r="A1028" s="1">
        <f t="shared" si="167"/>
        <v>1027</v>
      </c>
      <c r="C1028" s="8" t="s">
        <v>17</v>
      </c>
      <c r="D1028" s="2">
        <v>43238</v>
      </c>
      <c r="E1028" s="3">
        <f>250000/100000</f>
        <v>2.5</v>
      </c>
      <c r="F1028" t="s">
        <v>118</v>
      </c>
      <c r="G1028" t="s">
        <v>119</v>
      </c>
      <c r="H1028" t="s">
        <v>120</v>
      </c>
      <c r="I1028" s="6" t="s">
        <v>702</v>
      </c>
      <c r="J1028" s="61" t="s">
        <v>22</v>
      </c>
      <c r="L1028" s="5" t="str">
        <f t="shared" si="172"/>
        <v>01027</v>
      </c>
      <c r="M1028" s="47" t="str">
        <f t="shared" si="173"/>
        <v>18 de mayo de 2018</v>
      </c>
      <c r="N1028" s="323">
        <f t="shared" si="175"/>
        <v>18</v>
      </c>
      <c r="O1028" s="25">
        <f t="shared" si="174"/>
        <v>43221</v>
      </c>
      <c r="P1028" s="5" t="str">
        <f t="shared" si="170"/>
        <v>2,50</v>
      </c>
      <c r="Q1028" s="4" t="e">
        <f t="shared" ca="1" si="171"/>
        <v>#NAME?</v>
      </c>
    </row>
    <row r="1029" spans="1:17">
      <c r="A1029" s="1">
        <f t="shared" si="167"/>
        <v>1028</v>
      </c>
      <c r="C1029" s="8" t="s">
        <v>17</v>
      </c>
      <c r="D1029" s="2">
        <v>43238</v>
      </c>
      <c r="E1029" s="3">
        <f>140000/100000</f>
        <v>1.4</v>
      </c>
      <c r="F1029" t="s">
        <v>62</v>
      </c>
      <c r="G1029" t="s">
        <v>63</v>
      </c>
      <c r="H1029" t="s">
        <v>64</v>
      </c>
      <c r="I1029" s="6" t="s">
        <v>668</v>
      </c>
      <c r="J1029" s="61" t="s">
        <v>22</v>
      </c>
      <c r="L1029" s="5" t="str">
        <f t="shared" si="172"/>
        <v>01028</v>
      </c>
      <c r="M1029" s="47" t="str">
        <f t="shared" si="173"/>
        <v>18 de mayo de 2018</v>
      </c>
      <c r="N1029" s="323">
        <f t="shared" si="175"/>
        <v>18</v>
      </c>
      <c r="O1029" s="25">
        <f t="shared" si="174"/>
        <v>43221</v>
      </c>
      <c r="P1029" s="5" t="str">
        <f t="shared" si="170"/>
        <v>1,40</v>
      </c>
      <c r="Q1029" s="4" t="e">
        <f t="shared" ca="1" si="171"/>
        <v>#NAME?</v>
      </c>
    </row>
    <row r="1030" spans="1:17">
      <c r="A1030" s="1">
        <f t="shared" si="167"/>
        <v>1029</v>
      </c>
      <c r="C1030" s="8" t="s">
        <v>17</v>
      </c>
      <c r="D1030" s="2">
        <v>43238</v>
      </c>
      <c r="E1030" s="3">
        <f>400000/100000</f>
        <v>4</v>
      </c>
      <c r="F1030" t="s">
        <v>211</v>
      </c>
      <c r="G1030" t="s">
        <v>212</v>
      </c>
      <c r="H1030" t="s">
        <v>213</v>
      </c>
      <c r="I1030" s="6" t="s">
        <v>684</v>
      </c>
      <c r="J1030" s="61" t="s">
        <v>22</v>
      </c>
      <c r="L1030" s="5" t="str">
        <f t="shared" si="172"/>
        <v>01029</v>
      </c>
      <c r="M1030" s="47" t="str">
        <f t="shared" si="173"/>
        <v>18 de mayo de 2018</v>
      </c>
      <c r="N1030" s="323">
        <f t="shared" si="175"/>
        <v>18</v>
      </c>
      <c r="O1030" s="25">
        <f t="shared" si="174"/>
        <v>43221</v>
      </c>
      <c r="P1030" s="5" t="str">
        <f t="shared" si="170"/>
        <v>4,00</v>
      </c>
      <c r="Q1030" s="4" t="e">
        <f t="shared" ca="1" si="171"/>
        <v>#NAME?</v>
      </c>
    </row>
    <row r="1031" spans="1:17" ht="15.75" thickBot="1">
      <c r="A1031" s="1">
        <f t="shared" si="167"/>
        <v>1030</v>
      </c>
      <c r="C1031" s="8" t="s">
        <v>17</v>
      </c>
      <c r="D1031" s="2">
        <v>43239</v>
      </c>
      <c r="E1031" s="3">
        <f>400000/100000</f>
        <v>4</v>
      </c>
      <c r="F1031" t="s">
        <v>134</v>
      </c>
      <c r="G1031" t="s">
        <v>135</v>
      </c>
      <c r="H1031" t="s">
        <v>136</v>
      </c>
      <c r="I1031" s="6" t="s">
        <v>684</v>
      </c>
      <c r="J1031" s="61" t="s">
        <v>22</v>
      </c>
      <c r="L1031" s="5" t="str">
        <f t="shared" si="172"/>
        <v>01030</v>
      </c>
      <c r="M1031" s="47" t="str">
        <f t="shared" si="173"/>
        <v>19 de mayo de 2018</v>
      </c>
      <c r="N1031" s="323">
        <f t="shared" si="175"/>
        <v>19</v>
      </c>
      <c r="O1031" s="25">
        <f t="shared" si="174"/>
        <v>43221</v>
      </c>
      <c r="P1031" s="5" t="str">
        <f t="shared" si="170"/>
        <v>4,00</v>
      </c>
      <c r="Q1031" s="4" t="e">
        <f t="shared" ca="1" si="171"/>
        <v>#NAME?</v>
      </c>
    </row>
    <row r="1032" spans="1:17" ht="15.75" thickBot="1">
      <c r="A1032" s="1">
        <f t="shared" si="167"/>
        <v>1031</v>
      </c>
      <c r="C1032" s="8" t="s">
        <v>17</v>
      </c>
      <c r="D1032" s="2">
        <v>43240</v>
      </c>
      <c r="E1032" s="3">
        <f>120000/100000</f>
        <v>1.2</v>
      </c>
      <c r="F1032" t="s">
        <v>303</v>
      </c>
      <c r="G1032" s="18" t="s">
        <v>58</v>
      </c>
      <c r="H1032" t="s">
        <v>304</v>
      </c>
      <c r="I1032" s="6" t="s">
        <v>705</v>
      </c>
      <c r="J1032" s="61" t="s">
        <v>22</v>
      </c>
      <c r="L1032" s="5" t="str">
        <f t="shared" si="172"/>
        <v>01031</v>
      </c>
      <c r="M1032" s="47" t="str">
        <f t="shared" si="173"/>
        <v>20 de mayo de 2018</v>
      </c>
      <c r="N1032" s="323">
        <f t="shared" si="175"/>
        <v>20</v>
      </c>
      <c r="O1032" s="25">
        <f t="shared" si="174"/>
        <v>43221</v>
      </c>
      <c r="P1032" s="5" t="str">
        <f t="shared" si="170"/>
        <v>1,20</v>
      </c>
      <c r="Q1032" s="4" t="e">
        <f t="shared" ca="1" si="171"/>
        <v>#NAME?</v>
      </c>
    </row>
    <row r="1033" spans="1:17">
      <c r="A1033" s="1">
        <f t="shared" si="167"/>
        <v>1032</v>
      </c>
      <c r="C1033" s="8" t="s">
        <v>17</v>
      </c>
      <c r="D1033" s="2">
        <v>43240</v>
      </c>
      <c r="E1033" s="3">
        <f>540000/100000</f>
        <v>5.4</v>
      </c>
      <c r="F1033" t="s">
        <v>537</v>
      </c>
      <c r="G1033" t="s">
        <v>538</v>
      </c>
      <c r="H1033" t="s">
        <v>539</v>
      </c>
      <c r="I1033" s="6" t="s">
        <v>695</v>
      </c>
      <c r="J1033" s="61" t="s">
        <v>22</v>
      </c>
      <c r="L1033" s="5" t="str">
        <f t="shared" si="172"/>
        <v>01032</v>
      </c>
      <c r="M1033" s="47" t="str">
        <f t="shared" si="173"/>
        <v>20 de mayo de 2018</v>
      </c>
      <c r="N1033" s="323">
        <f t="shared" si="175"/>
        <v>20</v>
      </c>
      <c r="O1033" s="25">
        <f t="shared" si="174"/>
        <v>43221</v>
      </c>
      <c r="P1033" s="5" t="str">
        <f t="shared" si="170"/>
        <v>5,40</v>
      </c>
      <c r="Q1033" s="4" t="e">
        <f t="shared" ca="1" si="171"/>
        <v>#NAME?</v>
      </c>
    </row>
    <row r="1034" spans="1:17">
      <c r="A1034" s="1">
        <f t="shared" si="167"/>
        <v>1033</v>
      </c>
      <c r="C1034" s="8" t="s">
        <v>17</v>
      </c>
      <c r="D1034" s="2">
        <v>43224</v>
      </c>
      <c r="E1034" s="3">
        <f>200000/100000</f>
        <v>2</v>
      </c>
      <c r="F1034" t="s">
        <v>48</v>
      </c>
      <c r="G1034" t="s">
        <v>49</v>
      </c>
      <c r="H1034" t="s">
        <v>50</v>
      </c>
      <c r="I1034" s="6" t="s">
        <v>702</v>
      </c>
      <c r="J1034" s="61" t="s">
        <v>22</v>
      </c>
      <c r="L1034" s="5" t="str">
        <f t="shared" si="172"/>
        <v>01033</v>
      </c>
      <c r="M1034" s="47" t="str">
        <f t="shared" si="173"/>
        <v>04 de mayo de 2018</v>
      </c>
      <c r="N1034" s="323">
        <f t="shared" si="175"/>
        <v>4</v>
      </c>
      <c r="O1034" s="25">
        <f t="shared" si="174"/>
        <v>43221</v>
      </c>
      <c r="P1034" s="5" t="str">
        <f t="shared" si="170"/>
        <v>2,00</v>
      </c>
      <c r="Q1034" s="4" t="e">
        <f t="shared" ca="1" si="171"/>
        <v>#NAME?</v>
      </c>
    </row>
    <row r="1035" spans="1:17">
      <c r="A1035" s="1">
        <f t="shared" si="167"/>
        <v>1034</v>
      </c>
      <c r="C1035" s="8" t="s">
        <v>17</v>
      </c>
      <c r="D1035" s="2">
        <v>43241</v>
      </c>
      <c r="E1035" s="3">
        <f>400000/100000</f>
        <v>4</v>
      </c>
      <c r="F1035" t="s">
        <v>443</v>
      </c>
      <c r="G1035" t="s">
        <v>444</v>
      </c>
      <c r="H1035" t="s">
        <v>75</v>
      </c>
      <c r="I1035" s="6" t="s">
        <v>684</v>
      </c>
      <c r="J1035" s="61" t="s">
        <v>22</v>
      </c>
      <c r="L1035" s="5" t="str">
        <f t="shared" si="172"/>
        <v>01034</v>
      </c>
      <c r="M1035" s="47" t="str">
        <f t="shared" si="173"/>
        <v>21 de mayo de 2018</v>
      </c>
      <c r="N1035" s="323">
        <f t="shared" si="175"/>
        <v>21</v>
      </c>
      <c r="O1035" s="25">
        <f t="shared" si="174"/>
        <v>43221</v>
      </c>
      <c r="P1035" s="5" t="str">
        <f t="shared" si="170"/>
        <v>4,00</v>
      </c>
      <c r="Q1035" s="4" t="e">
        <f t="shared" ca="1" si="171"/>
        <v>#NAME?</v>
      </c>
    </row>
    <row r="1036" spans="1:17">
      <c r="A1036" s="1">
        <f t="shared" si="167"/>
        <v>1035</v>
      </c>
      <c r="C1036" s="8" t="s">
        <v>17</v>
      </c>
      <c r="D1036" s="2">
        <v>43241</v>
      </c>
      <c r="E1036" s="3">
        <f>200000/100000</f>
        <v>2</v>
      </c>
      <c r="F1036" t="s">
        <v>84</v>
      </c>
      <c r="G1036" t="s">
        <v>85</v>
      </c>
      <c r="H1036" t="s">
        <v>86</v>
      </c>
      <c r="I1036" s="6" t="s">
        <v>702</v>
      </c>
      <c r="J1036" s="61" t="s">
        <v>22</v>
      </c>
      <c r="L1036" s="5" t="str">
        <f t="shared" si="172"/>
        <v>01035</v>
      </c>
      <c r="M1036" s="47" t="str">
        <f t="shared" si="173"/>
        <v>21 de mayo de 2018</v>
      </c>
      <c r="N1036" s="323">
        <f t="shared" si="175"/>
        <v>21</v>
      </c>
      <c r="O1036" s="25">
        <f t="shared" si="174"/>
        <v>43221</v>
      </c>
      <c r="P1036" s="5" t="str">
        <f t="shared" si="170"/>
        <v>2,00</v>
      </c>
      <c r="Q1036" s="4" t="e">
        <f t="shared" ca="1" si="171"/>
        <v>#NAME?</v>
      </c>
    </row>
    <row r="1037" spans="1:17">
      <c r="A1037" s="1">
        <f>A1036+1</f>
        <v>1036</v>
      </c>
      <c r="C1037" s="8" t="s">
        <v>17</v>
      </c>
      <c r="D1037" s="2">
        <v>43241</v>
      </c>
      <c r="E1037" s="3">
        <f>190000/100000</f>
        <v>1.9</v>
      </c>
      <c r="F1037" t="s">
        <v>334</v>
      </c>
      <c r="G1037" t="s">
        <v>85</v>
      </c>
      <c r="H1037" t="s">
        <v>335</v>
      </c>
      <c r="I1037" s="6" t="s">
        <v>706</v>
      </c>
      <c r="J1037" s="61" t="s">
        <v>22</v>
      </c>
      <c r="L1037" s="5" t="str">
        <f t="shared" si="172"/>
        <v>01036</v>
      </c>
      <c r="M1037" s="47" t="str">
        <f t="shared" si="173"/>
        <v>21 de mayo de 2018</v>
      </c>
      <c r="N1037" s="323">
        <f t="shared" si="175"/>
        <v>21</v>
      </c>
      <c r="O1037" s="25">
        <f t="shared" si="174"/>
        <v>43221</v>
      </c>
      <c r="P1037" s="5" t="str">
        <f t="shared" si="170"/>
        <v>1,90</v>
      </c>
      <c r="Q1037" s="4" t="e">
        <f t="shared" ca="1" si="171"/>
        <v>#NAME?</v>
      </c>
    </row>
    <row r="1038" spans="1:17">
      <c r="A1038" s="1">
        <f t="shared" ref="A1038:A1054" si="176">A1037+1</f>
        <v>1037</v>
      </c>
      <c r="C1038" s="8" t="s">
        <v>17</v>
      </c>
      <c r="D1038" s="2">
        <v>43241</v>
      </c>
      <c r="E1038" s="3">
        <f>400000/100000</f>
        <v>4</v>
      </c>
      <c r="F1038" t="s">
        <v>243</v>
      </c>
      <c r="G1038" t="s">
        <v>244</v>
      </c>
      <c r="H1038" t="s">
        <v>245</v>
      </c>
      <c r="I1038" s="6" t="s">
        <v>684</v>
      </c>
      <c r="J1038" s="61" t="s">
        <v>22</v>
      </c>
      <c r="L1038" s="5" t="str">
        <f t="shared" si="172"/>
        <v>01037</v>
      </c>
      <c r="M1038" s="47" t="str">
        <f t="shared" si="173"/>
        <v>21 de mayo de 2018</v>
      </c>
      <c r="N1038" s="323">
        <f t="shared" si="175"/>
        <v>21</v>
      </c>
      <c r="O1038" s="25">
        <f t="shared" si="174"/>
        <v>43221</v>
      </c>
      <c r="P1038" s="5" t="str">
        <f t="shared" si="170"/>
        <v>4,00</v>
      </c>
      <c r="Q1038" s="4" t="e">
        <f t="shared" ca="1" si="171"/>
        <v>#NAME?</v>
      </c>
    </row>
    <row r="1039" spans="1:17">
      <c r="A1039" s="1">
        <f t="shared" si="176"/>
        <v>1038</v>
      </c>
      <c r="C1039" s="8" t="s">
        <v>17</v>
      </c>
      <c r="D1039" s="2">
        <v>43241</v>
      </c>
      <c r="E1039" s="3">
        <f>100000/100000</f>
        <v>1</v>
      </c>
      <c r="F1039" t="s">
        <v>243</v>
      </c>
      <c r="G1039" t="s">
        <v>244</v>
      </c>
      <c r="H1039" t="s">
        <v>245</v>
      </c>
      <c r="I1039" s="6" t="s">
        <v>672</v>
      </c>
      <c r="J1039" s="61" t="s">
        <v>673</v>
      </c>
      <c r="L1039" s="5" t="str">
        <f t="shared" si="172"/>
        <v>01038</v>
      </c>
      <c r="M1039" s="47" t="str">
        <f t="shared" si="173"/>
        <v>21 de mayo de 2018</v>
      </c>
      <c r="N1039" s="323">
        <f t="shared" si="175"/>
        <v>21</v>
      </c>
      <c r="O1039" s="25">
        <f t="shared" si="174"/>
        <v>43221</v>
      </c>
      <c r="P1039" s="5" t="str">
        <f t="shared" si="170"/>
        <v>1,00</v>
      </c>
      <c r="Q1039" s="4" t="e">
        <f t="shared" ca="1" si="171"/>
        <v>#NAME?</v>
      </c>
    </row>
    <row r="1040" spans="1:17">
      <c r="A1040" s="1">
        <f t="shared" si="176"/>
        <v>1039</v>
      </c>
      <c r="C1040" s="8" t="s">
        <v>17</v>
      </c>
      <c r="D1040" s="2">
        <v>43241</v>
      </c>
      <c r="E1040" s="3">
        <f>400000/100000</f>
        <v>4</v>
      </c>
      <c r="F1040" t="s">
        <v>122</v>
      </c>
      <c r="G1040" t="s">
        <v>123</v>
      </c>
      <c r="H1040" t="s">
        <v>124</v>
      </c>
      <c r="I1040" s="6" t="s">
        <v>684</v>
      </c>
      <c r="J1040" s="61" t="s">
        <v>22</v>
      </c>
      <c r="L1040" s="5" t="str">
        <f t="shared" si="172"/>
        <v>01039</v>
      </c>
      <c r="M1040" s="47" t="str">
        <f t="shared" si="173"/>
        <v>21 de mayo de 2018</v>
      </c>
      <c r="N1040" s="323">
        <f t="shared" si="175"/>
        <v>21</v>
      </c>
      <c r="O1040" s="25">
        <f t="shared" si="174"/>
        <v>43221</v>
      </c>
      <c r="P1040" s="5" t="str">
        <f t="shared" si="170"/>
        <v>4,00</v>
      </c>
      <c r="Q1040" s="4" t="e">
        <f t="shared" ca="1" si="171"/>
        <v>#NAME?</v>
      </c>
    </row>
    <row r="1041" spans="1:17">
      <c r="A1041" s="1">
        <f t="shared" si="176"/>
        <v>1040</v>
      </c>
      <c r="C1041" s="8" t="s">
        <v>17</v>
      </c>
      <c r="D1041" s="2">
        <v>43241</v>
      </c>
      <c r="E1041" s="3">
        <f>400000/100000</f>
        <v>4</v>
      </c>
      <c r="F1041" t="s">
        <v>264</v>
      </c>
      <c r="G1041" t="s">
        <v>265</v>
      </c>
      <c r="H1041" t="s">
        <v>266</v>
      </c>
      <c r="I1041" s="6" t="s">
        <v>684</v>
      </c>
      <c r="J1041" s="61" t="s">
        <v>22</v>
      </c>
      <c r="L1041" s="5" t="str">
        <f t="shared" si="172"/>
        <v>01040</v>
      </c>
      <c r="M1041" s="47" t="str">
        <f t="shared" si="173"/>
        <v>21 de mayo de 2018</v>
      </c>
      <c r="N1041" s="323">
        <f t="shared" si="175"/>
        <v>21</v>
      </c>
      <c r="O1041" s="25">
        <f t="shared" si="174"/>
        <v>43221</v>
      </c>
      <c r="P1041" s="5" t="str">
        <f t="shared" ref="P1041:P1065" si="177">TEXT(E1041,"#.##0,00")</f>
        <v>4,00</v>
      </c>
      <c r="Q1041" s="4" t="e">
        <f t="shared" ref="Q1041:Q1046" ca="1" si="178">CONVERTIRNUM(E1041)</f>
        <v>#NAME?</v>
      </c>
    </row>
    <row r="1042" spans="1:17">
      <c r="A1042" s="1">
        <f t="shared" si="176"/>
        <v>1041</v>
      </c>
      <c r="C1042" s="8" t="s">
        <v>17</v>
      </c>
      <c r="D1042" s="2">
        <v>43241</v>
      </c>
      <c r="E1042" s="3">
        <f>400000/100000</f>
        <v>4</v>
      </c>
      <c r="F1042" t="s">
        <v>287</v>
      </c>
      <c r="G1042" t="s">
        <v>288</v>
      </c>
      <c r="H1042" t="s">
        <v>289</v>
      </c>
      <c r="I1042" s="6" t="s">
        <v>684</v>
      </c>
      <c r="J1042" s="61" t="s">
        <v>22</v>
      </c>
      <c r="L1042" s="5" t="str">
        <f t="shared" si="172"/>
        <v>01041</v>
      </c>
      <c r="M1042" s="47" t="str">
        <f t="shared" si="173"/>
        <v>21 de mayo de 2018</v>
      </c>
      <c r="N1042" s="323">
        <f t="shared" si="175"/>
        <v>21</v>
      </c>
      <c r="O1042" s="25">
        <f t="shared" si="174"/>
        <v>43221</v>
      </c>
      <c r="P1042" s="5" t="str">
        <f t="shared" si="177"/>
        <v>4,00</v>
      </c>
      <c r="Q1042" s="4" t="e">
        <f t="shared" ca="1" si="178"/>
        <v>#NAME?</v>
      </c>
    </row>
    <row r="1043" spans="1:17">
      <c r="A1043" s="1">
        <f t="shared" si="176"/>
        <v>1042</v>
      </c>
      <c r="C1043" s="8" t="s">
        <v>17</v>
      </c>
      <c r="D1043" s="2">
        <v>43241</v>
      </c>
      <c r="E1043" s="3">
        <f>350000/100000</f>
        <v>3.5</v>
      </c>
      <c r="F1043" t="s">
        <v>287</v>
      </c>
      <c r="G1043" t="s">
        <v>288</v>
      </c>
      <c r="H1043" t="s">
        <v>289</v>
      </c>
      <c r="I1043" s="6" t="s">
        <v>672</v>
      </c>
      <c r="J1043" s="61" t="s">
        <v>673</v>
      </c>
      <c r="L1043" s="5" t="str">
        <f t="shared" si="172"/>
        <v>01042</v>
      </c>
      <c r="M1043" s="47" t="str">
        <f t="shared" si="173"/>
        <v>21 de mayo de 2018</v>
      </c>
      <c r="N1043" s="323">
        <f t="shared" si="175"/>
        <v>21</v>
      </c>
      <c r="O1043" s="25">
        <f t="shared" si="174"/>
        <v>43221</v>
      </c>
      <c r="P1043" s="5" t="str">
        <f t="shared" si="177"/>
        <v>3,50</v>
      </c>
      <c r="Q1043" s="4" t="e">
        <f t="shared" ca="1" si="178"/>
        <v>#NAME?</v>
      </c>
    </row>
    <row r="1044" spans="1:17">
      <c r="A1044" s="1">
        <f t="shared" si="176"/>
        <v>1043</v>
      </c>
      <c r="C1044" s="8" t="s">
        <v>17</v>
      </c>
      <c r="D1044" s="2">
        <v>43241</v>
      </c>
      <c r="E1044" s="3">
        <f>400000/100000</f>
        <v>4</v>
      </c>
      <c r="F1044" t="s">
        <v>324</v>
      </c>
      <c r="G1044" t="s">
        <v>325</v>
      </c>
      <c r="H1044" t="s">
        <v>326</v>
      </c>
      <c r="I1044" s="6" t="s">
        <v>684</v>
      </c>
      <c r="J1044" s="61" t="s">
        <v>22</v>
      </c>
      <c r="L1044" s="5" t="str">
        <f t="shared" si="172"/>
        <v>01043</v>
      </c>
      <c r="M1044" s="47" t="str">
        <f t="shared" si="173"/>
        <v>21 de mayo de 2018</v>
      </c>
      <c r="N1044" s="323">
        <f t="shared" si="175"/>
        <v>21</v>
      </c>
      <c r="O1044" s="25">
        <f t="shared" si="174"/>
        <v>43221</v>
      </c>
      <c r="P1044" s="5" t="str">
        <f t="shared" si="177"/>
        <v>4,00</v>
      </c>
      <c r="Q1044" s="4" t="e">
        <f t="shared" ca="1" si="178"/>
        <v>#NAME?</v>
      </c>
    </row>
    <row r="1045" spans="1:17">
      <c r="A1045" s="1">
        <f t="shared" si="176"/>
        <v>1044</v>
      </c>
      <c r="C1045" s="8" t="s">
        <v>17</v>
      </c>
      <c r="D1045" s="2">
        <v>43241</v>
      </c>
      <c r="E1045" s="3">
        <f>400000/100000</f>
        <v>4</v>
      </c>
      <c r="F1045" t="s">
        <v>594</v>
      </c>
      <c r="G1045" t="s">
        <v>595</v>
      </c>
      <c r="H1045" t="s">
        <v>596</v>
      </c>
      <c r="I1045" s="6" t="s">
        <v>684</v>
      </c>
      <c r="J1045" s="61" t="s">
        <v>22</v>
      </c>
      <c r="L1045" s="5" t="str">
        <f t="shared" si="172"/>
        <v>01044</v>
      </c>
      <c r="M1045" s="47" t="str">
        <f t="shared" si="173"/>
        <v>21 de mayo de 2018</v>
      </c>
      <c r="N1045" s="323">
        <f t="shared" si="175"/>
        <v>21</v>
      </c>
      <c r="O1045" s="25">
        <f t="shared" si="174"/>
        <v>43221</v>
      </c>
      <c r="P1045" s="5" t="str">
        <f t="shared" si="177"/>
        <v>4,00</v>
      </c>
      <c r="Q1045" s="4" t="e">
        <f t="shared" ca="1" si="178"/>
        <v>#NAME?</v>
      </c>
    </row>
    <row r="1046" spans="1:17">
      <c r="A1046" s="1">
        <f t="shared" si="176"/>
        <v>1045</v>
      </c>
      <c r="C1046" s="8" t="s">
        <v>17</v>
      </c>
      <c r="D1046" s="2">
        <v>43242</v>
      </c>
      <c r="E1046" s="3">
        <f>350000/100000</f>
        <v>3.5</v>
      </c>
      <c r="F1046" t="s">
        <v>24</v>
      </c>
      <c r="G1046" t="s">
        <v>25</v>
      </c>
      <c r="H1046" t="s">
        <v>26</v>
      </c>
      <c r="I1046" s="6" t="s">
        <v>672</v>
      </c>
      <c r="J1046" s="61" t="s">
        <v>673</v>
      </c>
      <c r="L1046" s="5" t="str">
        <f t="shared" si="172"/>
        <v>01045</v>
      </c>
      <c r="M1046" s="47" t="str">
        <f t="shared" si="173"/>
        <v>22 de mayo de 2018</v>
      </c>
      <c r="N1046" s="323">
        <f t="shared" si="175"/>
        <v>22</v>
      </c>
      <c r="O1046" s="25">
        <f t="shared" si="174"/>
        <v>43221</v>
      </c>
      <c r="P1046" s="5" t="str">
        <f t="shared" si="177"/>
        <v>3,50</v>
      </c>
      <c r="Q1046" s="4" t="e">
        <f t="shared" ca="1" si="178"/>
        <v>#NAME?</v>
      </c>
    </row>
    <row r="1047" spans="1:17">
      <c r="A1047" s="1">
        <f t="shared" si="176"/>
        <v>1046</v>
      </c>
      <c r="C1047" s="8" t="s">
        <v>17</v>
      </c>
      <c r="D1047" s="2">
        <v>43242</v>
      </c>
      <c r="E1047" s="3">
        <f>350000/100000</f>
        <v>3.5</v>
      </c>
      <c r="F1047" t="s">
        <v>558</v>
      </c>
      <c r="G1047" t="s">
        <v>559</v>
      </c>
      <c r="H1047" t="s">
        <v>560</v>
      </c>
      <c r="I1047" s="6" t="s">
        <v>672</v>
      </c>
      <c r="J1047" s="61" t="s">
        <v>673</v>
      </c>
      <c r="L1047" s="5" t="str">
        <f t="shared" si="172"/>
        <v>01046</v>
      </c>
      <c r="M1047" s="47" t="str">
        <f t="shared" si="173"/>
        <v>22 de mayo de 2018</v>
      </c>
      <c r="N1047" s="323">
        <f t="shared" si="175"/>
        <v>22</v>
      </c>
      <c r="O1047" s="25">
        <f t="shared" si="174"/>
        <v>43221</v>
      </c>
      <c r="P1047" s="5" t="str">
        <f t="shared" si="177"/>
        <v>3,50</v>
      </c>
      <c r="Q1047" s="4" t="e">
        <f ca="1">CONVERTIRNUM(E1047)</f>
        <v>#NAME?</v>
      </c>
    </row>
    <row r="1048" spans="1:17">
      <c r="A1048" s="1">
        <f t="shared" si="176"/>
        <v>1047</v>
      </c>
      <c r="C1048" s="8" t="s">
        <v>17</v>
      </c>
      <c r="D1048" s="2">
        <v>43242</v>
      </c>
      <c r="E1048" s="3">
        <f>400000/100000</f>
        <v>4</v>
      </c>
      <c r="F1048" t="s">
        <v>407</v>
      </c>
      <c r="G1048" t="s">
        <v>408</v>
      </c>
      <c r="H1048" t="s">
        <v>409</v>
      </c>
      <c r="I1048" s="6" t="s">
        <v>684</v>
      </c>
      <c r="J1048" s="61" t="s">
        <v>22</v>
      </c>
      <c r="L1048" s="5" t="str">
        <f t="shared" si="172"/>
        <v>01047</v>
      </c>
      <c r="M1048" s="47" t="str">
        <f t="shared" si="173"/>
        <v>22 de mayo de 2018</v>
      </c>
      <c r="N1048" s="323">
        <f t="shared" si="175"/>
        <v>22</v>
      </c>
      <c r="O1048" s="25">
        <f t="shared" si="174"/>
        <v>43221</v>
      </c>
      <c r="P1048" s="5" t="str">
        <f t="shared" si="177"/>
        <v>4,00</v>
      </c>
      <c r="Q1048" s="4" t="e">
        <f ca="1">CONVERTIRNUM(E1048)</f>
        <v>#NAME?</v>
      </c>
    </row>
    <row r="1049" spans="1:17">
      <c r="A1049" s="1">
        <f t="shared" si="176"/>
        <v>1048</v>
      </c>
      <c r="C1049" s="8" t="s">
        <v>17</v>
      </c>
      <c r="D1049" s="2">
        <v>43242</v>
      </c>
      <c r="E1049" s="3">
        <f>350000/100000</f>
        <v>3.5</v>
      </c>
      <c r="F1049" t="s">
        <v>48</v>
      </c>
      <c r="G1049" t="s">
        <v>49</v>
      </c>
      <c r="H1049" t="s">
        <v>50</v>
      </c>
      <c r="I1049" s="6" t="s">
        <v>672</v>
      </c>
      <c r="J1049" s="61" t="s">
        <v>673</v>
      </c>
      <c r="L1049" s="5" t="str">
        <f t="shared" si="172"/>
        <v>01048</v>
      </c>
      <c r="M1049" s="47" t="str">
        <f t="shared" si="173"/>
        <v>22 de mayo de 2018</v>
      </c>
      <c r="N1049" s="323">
        <f t="shared" si="175"/>
        <v>22</v>
      </c>
      <c r="O1049" s="25">
        <f t="shared" si="174"/>
        <v>43221</v>
      </c>
      <c r="P1049" s="5" t="str">
        <f t="shared" si="177"/>
        <v>3,50</v>
      </c>
      <c r="Q1049" s="4" t="e">
        <f ca="1">CONVERTIRNUM(E1049)</f>
        <v>#NAME?</v>
      </c>
    </row>
    <row r="1050" spans="1:17">
      <c r="A1050" s="1">
        <f t="shared" si="176"/>
        <v>1049</v>
      </c>
      <c r="C1050" s="8" t="s">
        <v>17</v>
      </c>
      <c r="D1050" s="2">
        <v>43242</v>
      </c>
      <c r="E1050" s="3">
        <f>190000/100000</f>
        <v>1.9</v>
      </c>
      <c r="F1050" t="s">
        <v>243</v>
      </c>
      <c r="G1050" t="s">
        <v>244</v>
      </c>
      <c r="H1050" t="s">
        <v>245</v>
      </c>
      <c r="I1050" s="6" t="s">
        <v>672</v>
      </c>
      <c r="J1050" s="61" t="s">
        <v>673</v>
      </c>
      <c r="L1050" s="5" t="str">
        <f t="shared" si="172"/>
        <v>01049</v>
      </c>
      <c r="M1050" s="47" t="str">
        <f t="shared" si="173"/>
        <v>22 de mayo de 2018</v>
      </c>
      <c r="N1050" s="323">
        <f t="shared" si="175"/>
        <v>22</v>
      </c>
      <c r="O1050" s="25">
        <f t="shared" si="174"/>
        <v>43221</v>
      </c>
      <c r="P1050" s="5" t="str">
        <f t="shared" si="177"/>
        <v>1,90</v>
      </c>
      <c r="Q1050" s="4" t="e">
        <f ca="1">CONVERTIRNUM(E1050)</f>
        <v>#NAME?</v>
      </c>
    </row>
    <row r="1051" spans="1:17">
      <c r="A1051" s="1">
        <f t="shared" si="176"/>
        <v>1050</v>
      </c>
      <c r="C1051" s="8" t="s">
        <v>17</v>
      </c>
      <c r="D1051" s="2">
        <v>43242</v>
      </c>
      <c r="E1051" s="3">
        <f>400000/100000</f>
        <v>4</v>
      </c>
      <c r="F1051" t="s">
        <v>558</v>
      </c>
      <c r="G1051" t="s">
        <v>559</v>
      </c>
      <c r="H1051" t="s">
        <v>560</v>
      </c>
      <c r="I1051" s="6" t="s">
        <v>707</v>
      </c>
      <c r="J1051" s="61" t="s">
        <v>22</v>
      </c>
      <c r="L1051" s="5" t="str">
        <f t="shared" si="172"/>
        <v>01050</v>
      </c>
      <c r="M1051" s="47" t="str">
        <f t="shared" si="173"/>
        <v>22 de mayo de 2018</v>
      </c>
      <c r="N1051" s="323">
        <f t="shared" si="175"/>
        <v>22</v>
      </c>
      <c r="O1051" s="25">
        <f t="shared" si="174"/>
        <v>43221</v>
      </c>
      <c r="P1051" s="5" t="str">
        <f t="shared" si="177"/>
        <v>4,00</v>
      </c>
      <c r="Q1051" s="4" t="e">
        <f t="shared" ref="Q1051:Q1065" ca="1" si="179">CONVERTIRNUM(E1051)</f>
        <v>#NAME?</v>
      </c>
    </row>
    <row r="1052" spans="1:17">
      <c r="A1052" s="1">
        <f t="shared" si="176"/>
        <v>1051</v>
      </c>
      <c r="C1052" s="8" t="s">
        <v>17</v>
      </c>
      <c r="D1052" s="2">
        <v>43242</v>
      </c>
      <c r="E1052" s="3">
        <f>350000/100000</f>
        <v>3.5</v>
      </c>
      <c r="F1052" t="s">
        <v>36</v>
      </c>
      <c r="G1052" t="s">
        <v>37</v>
      </c>
      <c r="H1052" t="s">
        <v>38</v>
      </c>
      <c r="I1052" s="6" t="s">
        <v>672</v>
      </c>
      <c r="J1052" s="61" t="s">
        <v>673</v>
      </c>
      <c r="L1052" s="5" t="str">
        <f t="shared" si="172"/>
        <v>01051</v>
      </c>
      <c r="M1052" s="47" t="str">
        <f t="shared" si="173"/>
        <v>22 de mayo de 2018</v>
      </c>
      <c r="N1052" s="323">
        <f t="shared" si="175"/>
        <v>22</v>
      </c>
      <c r="O1052" s="25">
        <f t="shared" si="174"/>
        <v>43221</v>
      </c>
      <c r="P1052" s="5" t="str">
        <f t="shared" si="177"/>
        <v>3,50</v>
      </c>
      <c r="Q1052" s="4" t="e">
        <f t="shared" ca="1" si="179"/>
        <v>#NAME?</v>
      </c>
    </row>
    <row r="1053" spans="1:17">
      <c r="A1053" s="1">
        <f t="shared" si="176"/>
        <v>1052</v>
      </c>
      <c r="C1053" s="8" t="s">
        <v>17</v>
      </c>
      <c r="D1053" s="2">
        <v>43242</v>
      </c>
      <c r="E1053" s="3">
        <f>350000/100000</f>
        <v>3.5</v>
      </c>
      <c r="F1053" t="s">
        <v>114</v>
      </c>
      <c r="G1053" t="s">
        <v>115</v>
      </c>
      <c r="H1053" t="s">
        <v>116</v>
      </c>
      <c r="I1053" s="6" t="s">
        <v>672</v>
      </c>
      <c r="J1053" s="61" t="s">
        <v>673</v>
      </c>
      <c r="L1053" s="5" t="str">
        <f t="shared" si="172"/>
        <v>01052</v>
      </c>
      <c r="M1053" s="47" t="str">
        <f t="shared" si="173"/>
        <v>22 de mayo de 2018</v>
      </c>
      <c r="N1053" s="323">
        <f t="shared" si="175"/>
        <v>22</v>
      </c>
      <c r="O1053" s="25">
        <f t="shared" si="174"/>
        <v>43221</v>
      </c>
      <c r="P1053" s="5" t="str">
        <f t="shared" si="177"/>
        <v>3,50</v>
      </c>
      <c r="Q1053" s="4" t="e">
        <f t="shared" ca="1" si="179"/>
        <v>#NAME?</v>
      </c>
    </row>
    <row r="1054" spans="1:17">
      <c r="A1054" s="1">
        <f t="shared" si="176"/>
        <v>1053</v>
      </c>
      <c r="C1054" s="8" t="s">
        <v>17</v>
      </c>
      <c r="D1054" s="2">
        <v>43242</v>
      </c>
      <c r="E1054" s="3">
        <f>800000/100000</f>
        <v>8</v>
      </c>
      <c r="F1054" t="s">
        <v>138</v>
      </c>
      <c r="G1054" t="s">
        <v>139</v>
      </c>
      <c r="H1054" t="s">
        <v>140</v>
      </c>
      <c r="I1054" s="6" t="s">
        <v>708</v>
      </c>
      <c r="J1054" s="61" t="s">
        <v>22</v>
      </c>
      <c r="L1054" s="5" t="str">
        <f t="shared" si="172"/>
        <v>01053</v>
      </c>
      <c r="M1054" s="47" t="str">
        <f t="shared" si="173"/>
        <v>22 de mayo de 2018</v>
      </c>
      <c r="N1054" s="323">
        <f t="shared" si="175"/>
        <v>22</v>
      </c>
      <c r="O1054" s="25">
        <f t="shared" si="174"/>
        <v>43221</v>
      </c>
      <c r="P1054" s="5" t="str">
        <f t="shared" si="177"/>
        <v>8,00</v>
      </c>
      <c r="Q1054" s="4" t="e">
        <f t="shared" ca="1" si="179"/>
        <v>#NAME?</v>
      </c>
    </row>
    <row r="1055" spans="1:17">
      <c r="A1055" s="1">
        <f>A1054+1</f>
        <v>1054</v>
      </c>
      <c r="C1055" s="8" t="s">
        <v>17</v>
      </c>
      <c r="D1055" s="2">
        <v>43242</v>
      </c>
      <c r="E1055" s="3">
        <f>350000/100000</f>
        <v>3.5</v>
      </c>
      <c r="F1055" t="s">
        <v>70</v>
      </c>
      <c r="G1055" t="s">
        <v>71</v>
      </c>
      <c r="H1055" t="s">
        <v>72</v>
      </c>
      <c r="I1055" s="6" t="s">
        <v>672</v>
      </c>
      <c r="J1055" s="61" t="s">
        <v>673</v>
      </c>
      <c r="L1055" s="5" t="str">
        <f t="shared" si="172"/>
        <v>01054</v>
      </c>
      <c r="M1055" s="47" t="str">
        <f t="shared" si="173"/>
        <v>22 de mayo de 2018</v>
      </c>
      <c r="N1055" s="323">
        <f t="shared" si="175"/>
        <v>22</v>
      </c>
      <c r="O1055" s="25">
        <f t="shared" si="174"/>
        <v>43221</v>
      </c>
      <c r="P1055" s="5" t="str">
        <f t="shared" si="177"/>
        <v>3,50</v>
      </c>
      <c r="Q1055" s="4" t="e">
        <f t="shared" ca="1" si="179"/>
        <v>#NAME?</v>
      </c>
    </row>
    <row r="1056" spans="1:17">
      <c r="A1056" s="1">
        <f t="shared" ref="A1056:A1091" si="180">A1055+1</f>
        <v>1055</v>
      </c>
      <c r="C1056" s="8" t="s">
        <v>17</v>
      </c>
      <c r="D1056" s="2">
        <v>43242</v>
      </c>
      <c r="E1056" s="3">
        <f>400000/100000</f>
        <v>4</v>
      </c>
      <c r="F1056" t="s">
        <v>53</v>
      </c>
      <c r="G1056" t="s">
        <v>677</v>
      </c>
      <c r="H1056" t="s">
        <v>55</v>
      </c>
      <c r="I1056" s="6" t="s">
        <v>684</v>
      </c>
      <c r="J1056" s="61" t="s">
        <v>22</v>
      </c>
      <c r="L1056" s="5" t="str">
        <f t="shared" si="172"/>
        <v>01055</v>
      </c>
      <c r="M1056" s="47" t="str">
        <f t="shared" si="173"/>
        <v>22 de mayo de 2018</v>
      </c>
      <c r="N1056" s="323">
        <f t="shared" si="175"/>
        <v>22</v>
      </c>
      <c r="O1056" s="25">
        <f t="shared" si="174"/>
        <v>43221</v>
      </c>
      <c r="P1056" s="5" t="str">
        <f t="shared" si="177"/>
        <v>4,00</v>
      </c>
      <c r="Q1056" s="4" t="e">
        <f t="shared" ca="1" si="179"/>
        <v>#NAME?</v>
      </c>
    </row>
    <row r="1057" spans="1:17">
      <c r="A1057" s="1">
        <f t="shared" si="180"/>
        <v>1056</v>
      </c>
      <c r="C1057" s="8" t="s">
        <v>17</v>
      </c>
      <c r="D1057" s="2">
        <v>43242</v>
      </c>
      <c r="E1057" s="3">
        <f>350000/100000</f>
        <v>3.5</v>
      </c>
      <c r="F1057" t="s">
        <v>53</v>
      </c>
      <c r="G1057" t="s">
        <v>677</v>
      </c>
      <c r="H1057" t="s">
        <v>55</v>
      </c>
      <c r="I1057" s="6" t="s">
        <v>672</v>
      </c>
      <c r="J1057" s="61" t="s">
        <v>673</v>
      </c>
      <c r="L1057" s="5" t="str">
        <f t="shared" si="172"/>
        <v>01056</v>
      </c>
      <c r="M1057" s="47" t="str">
        <f t="shared" si="173"/>
        <v>22 de mayo de 2018</v>
      </c>
      <c r="N1057" s="323">
        <f t="shared" si="175"/>
        <v>22</v>
      </c>
      <c r="O1057" s="25">
        <f t="shared" si="174"/>
        <v>43221</v>
      </c>
      <c r="P1057" s="5" t="str">
        <f t="shared" si="177"/>
        <v>3,50</v>
      </c>
      <c r="Q1057" s="4" t="e">
        <f t="shared" ca="1" si="179"/>
        <v>#NAME?</v>
      </c>
    </row>
    <row r="1058" spans="1:17">
      <c r="A1058" s="1">
        <f t="shared" si="180"/>
        <v>1057</v>
      </c>
      <c r="C1058" s="8" t="s">
        <v>17</v>
      </c>
      <c r="D1058" s="2">
        <v>43242</v>
      </c>
      <c r="E1058" s="3">
        <f>350000/100000</f>
        <v>3.5</v>
      </c>
      <c r="F1058" t="s">
        <v>90</v>
      </c>
      <c r="G1058" t="s">
        <v>91</v>
      </c>
      <c r="H1058" t="s">
        <v>92</v>
      </c>
      <c r="I1058" s="6" t="s">
        <v>672</v>
      </c>
      <c r="J1058" s="61" t="s">
        <v>673</v>
      </c>
      <c r="L1058" s="5" t="str">
        <f t="shared" si="172"/>
        <v>01057</v>
      </c>
      <c r="M1058" s="47" t="str">
        <f t="shared" si="173"/>
        <v>22 de mayo de 2018</v>
      </c>
      <c r="N1058" s="323">
        <f t="shared" si="175"/>
        <v>22</v>
      </c>
      <c r="O1058" s="25">
        <f t="shared" si="174"/>
        <v>43221</v>
      </c>
      <c r="P1058" s="5" t="str">
        <f t="shared" si="177"/>
        <v>3,50</v>
      </c>
      <c r="Q1058" s="4" t="e">
        <f t="shared" ca="1" si="179"/>
        <v>#NAME?</v>
      </c>
    </row>
    <row r="1059" spans="1:17">
      <c r="A1059" s="319">
        <f t="shared" si="180"/>
        <v>1058</v>
      </c>
      <c r="B1059" s="574"/>
      <c r="C1059" s="12" t="s">
        <v>225</v>
      </c>
      <c r="D1059" s="17">
        <v>43242</v>
      </c>
      <c r="E1059" s="13">
        <f>150000/100000</f>
        <v>1.5</v>
      </c>
      <c r="F1059" s="14" t="s">
        <v>107</v>
      </c>
      <c r="G1059" s="14" t="s">
        <v>108</v>
      </c>
      <c r="H1059" s="14" t="s">
        <v>109</v>
      </c>
      <c r="I1059" s="15" t="s">
        <v>709</v>
      </c>
      <c r="J1059" s="62" t="s">
        <v>426</v>
      </c>
      <c r="K1059" s="16"/>
      <c r="L1059" s="5" t="str">
        <f t="shared" si="172"/>
        <v>01058</v>
      </c>
      <c r="M1059" s="47" t="str">
        <f t="shared" si="173"/>
        <v>22 de mayo de 2018</v>
      </c>
      <c r="N1059" s="323">
        <f t="shared" si="175"/>
        <v>22</v>
      </c>
      <c r="O1059" s="25">
        <f t="shared" si="174"/>
        <v>43221</v>
      </c>
      <c r="P1059" s="5" t="str">
        <f t="shared" si="177"/>
        <v>1,50</v>
      </c>
      <c r="Q1059" s="4" t="e">
        <f t="shared" ca="1" si="179"/>
        <v>#NAME?</v>
      </c>
    </row>
    <row r="1060" spans="1:17">
      <c r="A1060" s="1">
        <f t="shared" si="180"/>
        <v>1059</v>
      </c>
      <c r="C1060" s="8" t="s">
        <v>17</v>
      </c>
      <c r="D1060" s="2">
        <v>43242</v>
      </c>
      <c r="E1060" s="3">
        <f>350000/100000</f>
        <v>3.5</v>
      </c>
      <c r="F1060" t="s">
        <v>44</v>
      </c>
      <c r="G1060" t="s">
        <v>45</v>
      </c>
      <c r="H1060" t="s">
        <v>46</v>
      </c>
      <c r="I1060" s="6" t="s">
        <v>672</v>
      </c>
      <c r="J1060" s="61" t="s">
        <v>673</v>
      </c>
      <c r="L1060" s="5" t="str">
        <f t="shared" si="172"/>
        <v>01059</v>
      </c>
      <c r="M1060" s="47" t="str">
        <f t="shared" si="173"/>
        <v>22 de mayo de 2018</v>
      </c>
      <c r="N1060" s="323">
        <f t="shared" si="175"/>
        <v>22</v>
      </c>
      <c r="O1060" s="25">
        <f t="shared" si="174"/>
        <v>43221</v>
      </c>
      <c r="P1060" s="5" t="str">
        <f t="shared" si="177"/>
        <v>3,50</v>
      </c>
      <c r="Q1060" s="4" t="e">
        <f t="shared" ca="1" si="179"/>
        <v>#NAME?</v>
      </c>
    </row>
    <row r="1061" spans="1:17">
      <c r="A1061" s="1">
        <f t="shared" si="180"/>
        <v>1060</v>
      </c>
      <c r="C1061" s="8" t="s">
        <v>17</v>
      </c>
      <c r="D1061" s="2">
        <v>43242</v>
      </c>
      <c r="E1061" s="3">
        <f>350000/100000</f>
        <v>3.5</v>
      </c>
      <c r="F1061" t="s">
        <v>66</v>
      </c>
      <c r="G1061" t="s">
        <v>67</v>
      </c>
      <c r="H1061" t="s">
        <v>68</v>
      </c>
      <c r="I1061" s="6" t="s">
        <v>672</v>
      </c>
      <c r="J1061" s="61" t="s">
        <v>673</v>
      </c>
      <c r="L1061" s="5" t="str">
        <f t="shared" si="172"/>
        <v>01060</v>
      </c>
      <c r="M1061" s="47" t="str">
        <f t="shared" si="173"/>
        <v>22 de mayo de 2018</v>
      </c>
      <c r="N1061" s="323">
        <f t="shared" si="175"/>
        <v>22</v>
      </c>
      <c r="O1061" s="25">
        <f t="shared" si="174"/>
        <v>43221</v>
      </c>
      <c r="P1061" s="5" t="str">
        <f t="shared" si="177"/>
        <v>3,50</v>
      </c>
      <c r="Q1061" s="4" t="e">
        <f t="shared" ca="1" si="179"/>
        <v>#NAME?</v>
      </c>
    </row>
    <row r="1062" spans="1:17">
      <c r="A1062" s="1">
        <f t="shared" si="180"/>
        <v>1061</v>
      </c>
      <c r="C1062" s="8" t="s">
        <v>17</v>
      </c>
      <c r="D1062" s="2">
        <v>43242</v>
      </c>
      <c r="E1062" s="3">
        <f>400000/100000</f>
        <v>4</v>
      </c>
      <c r="F1062" t="s">
        <v>230</v>
      </c>
      <c r="G1062" t="s">
        <v>231</v>
      </c>
      <c r="H1062" t="s">
        <v>232</v>
      </c>
      <c r="I1062" s="6" t="s">
        <v>684</v>
      </c>
      <c r="J1062" s="61" t="s">
        <v>22</v>
      </c>
      <c r="L1062" s="5" t="str">
        <f t="shared" si="172"/>
        <v>01061</v>
      </c>
      <c r="M1062" s="47" t="str">
        <f t="shared" si="173"/>
        <v>22 de mayo de 2018</v>
      </c>
      <c r="N1062" s="323">
        <f t="shared" si="175"/>
        <v>22</v>
      </c>
      <c r="O1062" s="25">
        <f t="shared" si="174"/>
        <v>43221</v>
      </c>
      <c r="P1062" s="5" t="str">
        <f t="shared" si="177"/>
        <v>4,00</v>
      </c>
      <c r="Q1062" s="4" t="e">
        <f t="shared" ca="1" si="179"/>
        <v>#NAME?</v>
      </c>
    </row>
    <row r="1063" spans="1:17" ht="15.75" thickBot="1">
      <c r="A1063" s="1">
        <f t="shared" si="180"/>
        <v>1062</v>
      </c>
      <c r="C1063" s="8" t="s">
        <v>17</v>
      </c>
      <c r="D1063" s="2">
        <v>43242</v>
      </c>
      <c r="E1063" s="3">
        <f>350000/100000</f>
        <v>3.5</v>
      </c>
      <c r="F1063" t="s">
        <v>230</v>
      </c>
      <c r="G1063" t="s">
        <v>231</v>
      </c>
      <c r="H1063" t="s">
        <v>232</v>
      </c>
      <c r="I1063" s="6" t="s">
        <v>672</v>
      </c>
      <c r="J1063" s="61" t="s">
        <v>673</v>
      </c>
      <c r="L1063" s="5" t="str">
        <f t="shared" si="172"/>
        <v>01062</v>
      </c>
      <c r="M1063" s="47" t="str">
        <f t="shared" si="173"/>
        <v>22 de mayo de 2018</v>
      </c>
      <c r="N1063" s="323">
        <f t="shared" si="175"/>
        <v>22</v>
      </c>
      <c r="O1063" s="25">
        <f t="shared" si="174"/>
        <v>43221</v>
      </c>
      <c r="P1063" s="5" t="str">
        <f t="shared" si="177"/>
        <v>3,50</v>
      </c>
      <c r="Q1063" s="4" t="e">
        <f t="shared" ca="1" si="179"/>
        <v>#NAME?</v>
      </c>
    </row>
    <row r="1064" spans="1:17" ht="15.75" thickBot="1">
      <c r="A1064" s="1">
        <f t="shared" si="180"/>
        <v>1063</v>
      </c>
      <c r="C1064" s="8" t="s">
        <v>17</v>
      </c>
      <c r="D1064" s="2">
        <v>43242</v>
      </c>
      <c r="E1064" s="3">
        <f>350000/100000</f>
        <v>3.5</v>
      </c>
      <c r="F1064" t="s">
        <v>280</v>
      </c>
      <c r="G1064" s="18" t="s">
        <v>58</v>
      </c>
      <c r="H1064" t="s">
        <v>282</v>
      </c>
      <c r="I1064" s="6" t="s">
        <v>710</v>
      </c>
      <c r="J1064" s="61" t="s">
        <v>673</v>
      </c>
      <c r="L1064" s="5" t="str">
        <f t="shared" si="172"/>
        <v>01063</v>
      </c>
      <c r="M1064" s="47" t="str">
        <f t="shared" si="173"/>
        <v>22 de mayo de 2018</v>
      </c>
      <c r="N1064" s="323">
        <f t="shared" si="175"/>
        <v>22</v>
      </c>
      <c r="O1064" s="25">
        <f t="shared" si="174"/>
        <v>43221</v>
      </c>
      <c r="P1064" s="5" t="str">
        <f t="shared" si="177"/>
        <v>3,50</v>
      </c>
      <c r="Q1064" s="4" t="e">
        <f t="shared" ca="1" si="179"/>
        <v>#NAME?</v>
      </c>
    </row>
    <row r="1065" spans="1:17" ht="15.75" thickBot="1">
      <c r="A1065" s="1">
        <f t="shared" si="180"/>
        <v>1064</v>
      </c>
      <c r="C1065" s="8" t="s">
        <v>17</v>
      </c>
      <c r="D1065" s="2">
        <v>43242</v>
      </c>
      <c r="E1065" s="3">
        <f>350000/100000</f>
        <v>3.5</v>
      </c>
      <c r="F1065" s="20" t="s">
        <v>57</v>
      </c>
      <c r="G1065" s="18" t="s">
        <v>58</v>
      </c>
      <c r="H1065" s="21" t="s">
        <v>59</v>
      </c>
      <c r="I1065" s="6" t="s">
        <v>672</v>
      </c>
      <c r="J1065" s="61" t="s">
        <v>673</v>
      </c>
      <c r="K1065" s="22"/>
      <c r="L1065" s="5" t="str">
        <f t="shared" si="172"/>
        <v>01064</v>
      </c>
      <c r="M1065" s="47" t="str">
        <f t="shared" si="173"/>
        <v>22 de mayo de 2018</v>
      </c>
      <c r="N1065" s="323">
        <f t="shared" si="175"/>
        <v>22</v>
      </c>
      <c r="O1065" s="25">
        <f t="shared" si="174"/>
        <v>43221</v>
      </c>
      <c r="P1065" s="5" t="str">
        <f t="shared" si="177"/>
        <v>3,50</v>
      </c>
      <c r="Q1065" s="4" t="e">
        <f t="shared" ca="1" si="179"/>
        <v>#NAME?</v>
      </c>
    </row>
    <row r="1066" spans="1:17">
      <c r="A1066" s="1">
        <f t="shared" si="180"/>
        <v>1065</v>
      </c>
      <c r="C1066" s="8" t="s">
        <v>17</v>
      </c>
      <c r="D1066" s="2">
        <v>43242</v>
      </c>
      <c r="E1066" s="3">
        <f>660000/100000</f>
        <v>6.6</v>
      </c>
      <c r="F1066" t="s">
        <v>66</v>
      </c>
      <c r="G1066" t="s">
        <v>67</v>
      </c>
      <c r="H1066" t="s">
        <v>68</v>
      </c>
      <c r="I1066" s="6" t="s">
        <v>711</v>
      </c>
      <c r="J1066" s="61" t="s">
        <v>22</v>
      </c>
      <c r="L1066" s="5" t="str">
        <f t="shared" si="172"/>
        <v>01065</v>
      </c>
      <c r="M1066" s="47" t="str">
        <f t="shared" si="173"/>
        <v>22 de mayo de 2018</v>
      </c>
      <c r="N1066" s="323">
        <f t="shared" si="175"/>
        <v>22</v>
      </c>
      <c r="O1066" s="25">
        <f t="shared" si="174"/>
        <v>43221</v>
      </c>
      <c r="P1066" s="5" t="str">
        <f t="shared" ref="P1066:P1078" si="181">TEXT(E1066,"#.##0,00")</f>
        <v>6,60</v>
      </c>
      <c r="Q1066" s="4" t="e">
        <f t="shared" ref="Q1066:Q1078" ca="1" si="182">CONVERTIRNUM(E1066)</f>
        <v>#NAME?</v>
      </c>
    </row>
    <row r="1067" spans="1:17">
      <c r="A1067" s="1">
        <f t="shared" si="180"/>
        <v>1066</v>
      </c>
      <c r="C1067" s="8" t="s">
        <v>17</v>
      </c>
      <c r="D1067" s="2">
        <v>43243</v>
      </c>
      <c r="E1067" s="3">
        <f>350000/100000</f>
        <v>3.5</v>
      </c>
      <c r="F1067" t="s">
        <v>342</v>
      </c>
      <c r="G1067" t="s">
        <v>343</v>
      </c>
      <c r="H1067" t="s">
        <v>344</v>
      </c>
      <c r="I1067" s="6" t="s">
        <v>672</v>
      </c>
      <c r="J1067" s="61" t="s">
        <v>673</v>
      </c>
      <c r="L1067" s="5" t="str">
        <f t="shared" si="172"/>
        <v>01066</v>
      </c>
      <c r="M1067" s="47" t="str">
        <f t="shared" si="173"/>
        <v>23 de mayo de 2018</v>
      </c>
      <c r="N1067" s="323">
        <f t="shared" si="175"/>
        <v>23</v>
      </c>
      <c r="O1067" s="25">
        <f t="shared" si="174"/>
        <v>43221</v>
      </c>
      <c r="P1067" s="5" t="str">
        <f t="shared" si="181"/>
        <v>3,50</v>
      </c>
      <c r="Q1067" s="4" t="e">
        <f t="shared" ca="1" si="182"/>
        <v>#NAME?</v>
      </c>
    </row>
    <row r="1068" spans="1:17">
      <c r="A1068" s="1">
        <f t="shared" si="180"/>
        <v>1067</v>
      </c>
      <c r="C1068" s="8" t="s">
        <v>17</v>
      </c>
      <c r="D1068" s="2">
        <v>43243</v>
      </c>
      <c r="E1068" s="3">
        <f>400000/100000</f>
        <v>4</v>
      </c>
      <c r="F1068" t="s">
        <v>248</v>
      </c>
      <c r="G1068" t="s">
        <v>249</v>
      </c>
      <c r="H1068" t="s">
        <v>250</v>
      </c>
      <c r="I1068" s="6" t="s">
        <v>684</v>
      </c>
      <c r="J1068" s="61" t="s">
        <v>22</v>
      </c>
      <c r="L1068" s="5" t="str">
        <f t="shared" si="172"/>
        <v>01067</v>
      </c>
      <c r="M1068" s="47" t="str">
        <f t="shared" si="173"/>
        <v>23 de mayo de 2018</v>
      </c>
      <c r="N1068" s="323">
        <f t="shared" si="175"/>
        <v>23</v>
      </c>
      <c r="O1068" s="25">
        <f t="shared" si="174"/>
        <v>43221</v>
      </c>
      <c r="P1068" s="5" t="str">
        <f t="shared" si="181"/>
        <v>4,00</v>
      </c>
      <c r="Q1068" s="4" t="e">
        <f t="shared" ca="1" si="182"/>
        <v>#NAME?</v>
      </c>
    </row>
    <row r="1069" spans="1:17">
      <c r="A1069" s="1">
        <f t="shared" si="180"/>
        <v>1068</v>
      </c>
      <c r="C1069" s="8" t="s">
        <v>17</v>
      </c>
      <c r="D1069" s="2">
        <v>43243</v>
      </c>
      <c r="E1069" s="3">
        <f>350000/100000</f>
        <v>3.5</v>
      </c>
      <c r="F1069" t="s">
        <v>362</v>
      </c>
      <c r="G1069" t="s">
        <v>363</v>
      </c>
      <c r="H1069" t="s">
        <v>364</v>
      </c>
      <c r="I1069" s="6" t="s">
        <v>672</v>
      </c>
      <c r="J1069" s="61" t="s">
        <v>673</v>
      </c>
      <c r="L1069" s="5" t="str">
        <f t="shared" si="172"/>
        <v>01068</v>
      </c>
      <c r="M1069" s="47" t="str">
        <f t="shared" si="173"/>
        <v>23 de mayo de 2018</v>
      </c>
      <c r="N1069" s="323">
        <f t="shared" si="175"/>
        <v>23</v>
      </c>
      <c r="O1069" s="25">
        <f t="shared" si="174"/>
        <v>43221</v>
      </c>
      <c r="P1069" s="5" t="str">
        <f t="shared" si="181"/>
        <v>3,50</v>
      </c>
      <c r="Q1069" s="4" t="e">
        <f t="shared" ca="1" si="182"/>
        <v>#NAME?</v>
      </c>
    </row>
    <row r="1070" spans="1:17">
      <c r="A1070" s="1">
        <f t="shared" si="180"/>
        <v>1069</v>
      </c>
      <c r="C1070" s="8" t="s">
        <v>17</v>
      </c>
      <c r="D1070" s="2">
        <v>43243</v>
      </c>
      <c r="E1070" s="3">
        <f>350000/100000</f>
        <v>3.5</v>
      </c>
      <c r="F1070" t="s">
        <v>84</v>
      </c>
      <c r="G1070" t="s">
        <v>85</v>
      </c>
      <c r="H1070" t="s">
        <v>86</v>
      </c>
      <c r="I1070" s="6" t="s">
        <v>672</v>
      </c>
      <c r="J1070" s="61" t="s">
        <v>673</v>
      </c>
      <c r="L1070" s="5" t="str">
        <f t="shared" si="172"/>
        <v>01069</v>
      </c>
      <c r="M1070" s="47" t="str">
        <f t="shared" si="173"/>
        <v>23 de mayo de 2018</v>
      </c>
      <c r="N1070" s="323">
        <f t="shared" si="175"/>
        <v>23</v>
      </c>
      <c r="O1070" s="25">
        <f t="shared" si="174"/>
        <v>43221</v>
      </c>
      <c r="P1070" s="5" t="str">
        <f t="shared" si="181"/>
        <v>3,50</v>
      </c>
      <c r="Q1070" s="4" t="e">
        <f t="shared" ca="1" si="182"/>
        <v>#NAME?</v>
      </c>
    </row>
    <row r="1071" spans="1:17">
      <c r="A1071" s="1">
        <f t="shared" si="180"/>
        <v>1070</v>
      </c>
      <c r="C1071" s="8" t="s">
        <v>17</v>
      </c>
      <c r="D1071" s="2">
        <v>43243</v>
      </c>
      <c r="E1071" s="3">
        <f>350000/100000</f>
        <v>3.5</v>
      </c>
      <c r="F1071" t="s">
        <v>698</v>
      </c>
      <c r="G1071" t="s">
        <v>699</v>
      </c>
      <c r="H1071" t="s">
        <v>150</v>
      </c>
      <c r="I1071" s="6" t="s">
        <v>672</v>
      </c>
      <c r="J1071" s="61" t="s">
        <v>673</v>
      </c>
      <c r="L1071" s="5" t="str">
        <f t="shared" si="172"/>
        <v>01070</v>
      </c>
      <c r="M1071" s="47" t="str">
        <f t="shared" si="173"/>
        <v>23 de mayo de 2018</v>
      </c>
      <c r="N1071" s="323">
        <f t="shared" si="175"/>
        <v>23</v>
      </c>
      <c r="O1071" s="25">
        <f t="shared" si="174"/>
        <v>43221</v>
      </c>
      <c r="P1071" s="5" t="str">
        <f t="shared" si="181"/>
        <v>3,50</v>
      </c>
      <c r="Q1071" s="4" t="e">
        <f t="shared" ca="1" si="182"/>
        <v>#NAME?</v>
      </c>
    </row>
    <row r="1072" spans="1:17">
      <c r="A1072" s="1">
        <f t="shared" si="180"/>
        <v>1071</v>
      </c>
      <c r="C1072" s="8" t="s">
        <v>17</v>
      </c>
      <c r="D1072" s="2">
        <v>43243</v>
      </c>
      <c r="E1072" s="3">
        <f>350000/100000</f>
        <v>3.5</v>
      </c>
      <c r="F1072" t="s">
        <v>107</v>
      </c>
      <c r="G1072" t="s">
        <v>108</v>
      </c>
      <c r="H1072" t="s">
        <v>109</v>
      </c>
      <c r="I1072" s="6" t="s">
        <v>712</v>
      </c>
      <c r="J1072" s="61" t="s">
        <v>673</v>
      </c>
      <c r="L1072" s="5" t="str">
        <f t="shared" si="172"/>
        <v>01071</v>
      </c>
      <c r="M1072" s="47" t="str">
        <f t="shared" si="173"/>
        <v>23 de mayo de 2018</v>
      </c>
      <c r="N1072" s="323">
        <f t="shared" si="175"/>
        <v>23</v>
      </c>
      <c r="O1072" s="25">
        <f t="shared" si="174"/>
        <v>43221</v>
      </c>
      <c r="P1072" s="5" t="str">
        <f t="shared" si="181"/>
        <v>3,50</v>
      </c>
      <c r="Q1072" s="4" t="e">
        <f t="shared" ca="1" si="182"/>
        <v>#NAME?</v>
      </c>
    </row>
    <row r="1073" spans="1:17">
      <c r="A1073" s="1">
        <f t="shared" si="180"/>
        <v>1072</v>
      </c>
      <c r="C1073" s="8" t="s">
        <v>17</v>
      </c>
      <c r="D1073" s="2">
        <v>43243</v>
      </c>
      <c r="E1073" s="3">
        <f>150000/100000</f>
        <v>1.5</v>
      </c>
      <c r="F1073" t="s">
        <v>100</v>
      </c>
      <c r="G1073" t="s">
        <v>95</v>
      </c>
      <c r="H1073" t="s">
        <v>101</v>
      </c>
      <c r="I1073" s="6" t="s">
        <v>697</v>
      </c>
      <c r="J1073" s="61" t="s">
        <v>22</v>
      </c>
      <c r="L1073" s="5" t="str">
        <f t="shared" si="172"/>
        <v>01072</v>
      </c>
      <c r="M1073" s="47" t="str">
        <f t="shared" si="173"/>
        <v>23 de mayo de 2018</v>
      </c>
      <c r="N1073" s="323">
        <f t="shared" si="175"/>
        <v>23</v>
      </c>
      <c r="O1073" s="25">
        <f t="shared" si="174"/>
        <v>43221</v>
      </c>
      <c r="P1073" s="5" t="str">
        <f t="shared" si="181"/>
        <v>1,50</v>
      </c>
      <c r="Q1073" s="4" t="e">
        <f t="shared" ca="1" si="182"/>
        <v>#NAME?</v>
      </c>
    </row>
    <row r="1074" spans="1:17">
      <c r="A1074" s="1">
        <f t="shared" si="180"/>
        <v>1073</v>
      </c>
      <c r="C1074" s="8" t="s">
        <v>17</v>
      </c>
      <c r="D1074" s="2">
        <v>43243</v>
      </c>
      <c r="E1074" s="3">
        <f>100000/100000</f>
        <v>1</v>
      </c>
      <c r="F1074" t="s">
        <v>100</v>
      </c>
      <c r="G1074" t="s">
        <v>95</v>
      </c>
      <c r="H1074" t="s">
        <v>101</v>
      </c>
      <c r="I1074" s="6" t="s">
        <v>672</v>
      </c>
      <c r="J1074" s="61" t="s">
        <v>673</v>
      </c>
      <c r="L1074" s="5" t="str">
        <f t="shared" si="172"/>
        <v>01073</v>
      </c>
      <c r="M1074" s="47" t="str">
        <f t="shared" si="173"/>
        <v>23 de mayo de 2018</v>
      </c>
      <c r="N1074" s="323">
        <f t="shared" si="175"/>
        <v>23</v>
      </c>
      <c r="O1074" s="25">
        <f t="shared" si="174"/>
        <v>43221</v>
      </c>
      <c r="P1074" s="5" t="str">
        <f t="shared" si="181"/>
        <v>1,00</v>
      </c>
      <c r="Q1074" s="4" t="e">
        <f t="shared" ca="1" si="182"/>
        <v>#NAME?</v>
      </c>
    </row>
    <row r="1075" spans="1:17">
      <c r="A1075" s="1">
        <f t="shared" si="180"/>
        <v>1074</v>
      </c>
      <c r="C1075" s="8" t="s">
        <v>17</v>
      </c>
      <c r="D1075" s="2">
        <v>43243</v>
      </c>
      <c r="E1075" s="3">
        <f>350000/100000</f>
        <v>3.5</v>
      </c>
      <c r="F1075" t="s">
        <v>181</v>
      </c>
      <c r="G1075" t="s">
        <v>182</v>
      </c>
      <c r="H1075" t="s">
        <v>183</v>
      </c>
      <c r="I1075" s="6" t="s">
        <v>672</v>
      </c>
      <c r="J1075" s="61" t="s">
        <v>673</v>
      </c>
      <c r="L1075" s="5" t="str">
        <f t="shared" si="172"/>
        <v>01074</v>
      </c>
      <c r="M1075" s="47" t="str">
        <f t="shared" si="173"/>
        <v>23 de mayo de 2018</v>
      </c>
      <c r="N1075" s="323">
        <f t="shared" si="175"/>
        <v>23</v>
      </c>
      <c r="O1075" s="25">
        <f t="shared" si="174"/>
        <v>43221</v>
      </c>
      <c r="P1075" s="5" t="str">
        <f t="shared" si="181"/>
        <v>3,50</v>
      </c>
      <c r="Q1075" s="4" t="e">
        <f t="shared" ca="1" si="182"/>
        <v>#NAME?</v>
      </c>
    </row>
    <row r="1076" spans="1:17">
      <c r="A1076" s="1">
        <f t="shared" si="180"/>
        <v>1075</v>
      </c>
      <c r="C1076" s="8" t="s">
        <v>17</v>
      </c>
      <c r="D1076" s="2">
        <v>43243</v>
      </c>
      <c r="E1076" s="3">
        <f>350000/100000</f>
        <v>3.5</v>
      </c>
      <c r="F1076" t="s">
        <v>201</v>
      </c>
      <c r="G1076" t="s">
        <v>202</v>
      </c>
      <c r="H1076" t="s">
        <v>203</v>
      </c>
      <c r="I1076" s="6" t="s">
        <v>672</v>
      </c>
      <c r="J1076" s="61" t="s">
        <v>673</v>
      </c>
      <c r="L1076" s="5" t="str">
        <f t="shared" si="172"/>
        <v>01075</v>
      </c>
      <c r="M1076" s="47" t="str">
        <f t="shared" si="173"/>
        <v>23 de mayo de 2018</v>
      </c>
      <c r="N1076" s="323">
        <f t="shared" si="175"/>
        <v>23</v>
      </c>
      <c r="O1076" s="25">
        <f t="shared" si="174"/>
        <v>43221</v>
      </c>
      <c r="P1076" s="5" t="str">
        <f t="shared" si="181"/>
        <v>3,50</v>
      </c>
      <c r="Q1076" s="4" t="e">
        <f t="shared" ca="1" si="182"/>
        <v>#NAME?</v>
      </c>
    </row>
    <row r="1077" spans="1:17" ht="15.75" thickBot="1">
      <c r="A1077" s="1">
        <f t="shared" si="180"/>
        <v>1076</v>
      </c>
      <c r="C1077" s="8" t="s">
        <v>17</v>
      </c>
      <c r="D1077" s="2">
        <v>43243</v>
      </c>
      <c r="E1077" s="3">
        <f>350000/100000</f>
        <v>3.5</v>
      </c>
      <c r="F1077" t="s">
        <v>162</v>
      </c>
      <c r="G1077" t="s">
        <v>163</v>
      </c>
      <c r="H1077" t="s">
        <v>164</v>
      </c>
      <c r="I1077" s="6" t="s">
        <v>672</v>
      </c>
      <c r="J1077" s="61" t="s">
        <v>673</v>
      </c>
      <c r="L1077" s="5" t="str">
        <f t="shared" si="172"/>
        <v>01076</v>
      </c>
      <c r="M1077" s="47" t="str">
        <f t="shared" si="173"/>
        <v>23 de mayo de 2018</v>
      </c>
      <c r="N1077" s="323">
        <f t="shared" si="175"/>
        <v>23</v>
      </c>
      <c r="O1077" s="25">
        <f t="shared" si="174"/>
        <v>43221</v>
      </c>
      <c r="P1077" s="5" t="str">
        <f t="shared" si="181"/>
        <v>3,50</v>
      </c>
      <c r="Q1077" s="4" t="e">
        <f t="shared" ca="1" si="182"/>
        <v>#NAME?</v>
      </c>
    </row>
    <row r="1078" spans="1:17" ht="15.75" thickBot="1">
      <c r="A1078" s="1">
        <f t="shared" si="180"/>
        <v>1077</v>
      </c>
      <c r="C1078" s="8" t="s">
        <v>17</v>
      </c>
      <c r="D1078" s="2">
        <v>43243</v>
      </c>
      <c r="E1078" s="3">
        <f>800000/100000</f>
        <v>8</v>
      </c>
      <c r="F1078" t="s">
        <v>410</v>
      </c>
      <c r="G1078" s="18" t="s">
        <v>58</v>
      </c>
      <c r="H1078" t="s">
        <v>411</v>
      </c>
      <c r="I1078" s="6" t="s">
        <v>708</v>
      </c>
      <c r="J1078" s="61" t="s">
        <v>22</v>
      </c>
      <c r="L1078" s="5" t="str">
        <f t="shared" si="172"/>
        <v>01077</v>
      </c>
      <c r="M1078" s="47" t="str">
        <f t="shared" si="173"/>
        <v>23 de mayo de 2018</v>
      </c>
      <c r="N1078" s="323">
        <f t="shared" si="175"/>
        <v>23</v>
      </c>
      <c r="O1078" s="25">
        <f t="shared" si="174"/>
        <v>43221</v>
      </c>
      <c r="P1078" s="5" t="str">
        <f t="shared" si="181"/>
        <v>8,00</v>
      </c>
      <c r="Q1078" s="4" t="e">
        <f t="shared" ca="1" si="182"/>
        <v>#NAME?</v>
      </c>
    </row>
    <row r="1079" spans="1:17">
      <c r="A1079" s="1">
        <f t="shared" si="180"/>
        <v>1078</v>
      </c>
      <c r="C1079" s="8" t="s">
        <v>17</v>
      </c>
      <c r="D1079" s="2">
        <v>43244</v>
      </c>
      <c r="E1079" s="3">
        <f>400000/100000</f>
        <v>4</v>
      </c>
      <c r="F1079" t="s">
        <v>713</v>
      </c>
      <c r="G1079" t="s">
        <v>714</v>
      </c>
      <c r="H1079" t="s">
        <v>154</v>
      </c>
      <c r="I1079" s="6" t="s">
        <v>684</v>
      </c>
      <c r="J1079" s="61" t="s">
        <v>22</v>
      </c>
      <c r="L1079" s="5" t="str">
        <f t="shared" si="172"/>
        <v>01078</v>
      </c>
      <c r="M1079" s="47" t="str">
        <f t="shared" si="173"/>
        <v>24 de mayo de 2018</v>
      </c>
      <c r="N1079" s="323">
        <f t="shared" si="175"/>
        <v>24</v>
      </c>
      <c r="O1079" s="25">
        <f t="shared" si="174"/>
        <v>43221</v>
      </c>
      <c r="P1079" s="5" t="str">
        <f>TEXT(E1079,"#.##0,00")</f>
        <v>4,00</v>
      </c>
      <c r="Q1079" s="4" t="e">
        <f ca="1">CONVERTIRNUM(E1079)</f>
        <v>#NAME?</v>
      </c>
    </row>
    <row r="1080" spans="1:17">
      <c r="A1080" s="1">
        <f t="shared" si="180"/>
        <v>1079</v>
      </c>
      <c r="C1080" s="8" t="s">
        <v>17</v>
      </c>
      <c r="D1080" s="2">
        <v>43244</v>
      </c>
      <c r="E1080" s="3">
        <f>350000/100000</f>
        <v>3.5</v>
      </c>
      <c r="F1080" t="s">
        <v>713</v>
      </c>
      <c r="G1080" t="s">
        <v>714</v>
      </c>
      <c r="H1080" t="s">
        <v>154</v>
      </c>
      <c r="I1080" s="6" t="s">
        <v>672</v>
      </c>
      <c r="J1080" s="61" t="s">
        <v>673</v>
      </c>
      <c r="L1080" s="5" t="str">
        <f t="shared" si="172"/>
        <v>01079</v>
      </c>
      <c r="M1080" s="47" t="str">
        <f t="shared" si="173"/>
        <v>24 de mayo de 2018</v>
      </c>
      <c r="N1080" s="323">
        <f t="shared" si="175"/>
        <v>24</v>
      </c>
      <c r="O1080" s="25">
        <f t="shared" si="174"/>
        <v>43221</v>
      </c>
      <c r="P1080" s="5" t="str">
        <f>TEXT(E1080,"#.##0,00")</f>
        <v>3,50</v>
      </c>
      <c r="Q1080" s="4" t="e">
        <f ca="1">CONVERTIRNUM(E1080)</f>
        <v>#NAME?</v>
      </c>
    </row>
    <row r="1081" spans="1:17">
      <c r="A1081" s="1">
        <f t="shared" si="180"/>
        <v>1080</v>
      </c>
      <c r="C1081" s="8" t="s">
        <v>17</v>
      </c>
      <c r="D1081" s="2">
        <v>43244</v>
      </c>
      <c r="E1081" s="3">
        <f>350000/100000</f>
        <v>3.5</v>
      </c>
      <c r="F1081" t="s">
        <v>80</v>
      </c>
      <c r="G1081" t="s">
        <v>81</v>
      </c>
      <c r="H1081" t="s">
        <v>82</v>
      </c>
      <c r="I1081" s="6" t="s">
        <v>672</v>
      </c>
      <c r="J1081" s="61" t="s">
        <v>673</v>
      </c>
      <c r="L1081" s="5" t="str">
        <f t="shared" si="172"/>
        <v>01080</v>
      </c>
      <c r="M1081" s="47" t="str">
        <f t="shared" si="173"/>
        <v>24 de mayo de 2018</v>
      </c>
      <c r="N1081" s="323">
        <f t="shared" si="175"/>
        <v>24</v>
      </c>
      <c r="O1081" s="25">
        <f t="shared" si="174"/>
        <v>43221</v>
      </c>
      <c r="P1081" s="5" t="str">
        <f t="shared" ref="P1081:P1098" si="183">TEXT(E1081,"#.##0,00")</f>
        <v>3,50</v>
      </c>
      <c r="Q1081" s="4" t="e">
        <f t="shared" ref="Q1081:Q1095" ca="1" si="184">CONVERTIRNUM(E1081)</f>
        <v>#NAME?</v>
      </c>
    </row>
    <row r="1082" spans="1:17">
      <c r="A1082" s="1">
        <f t="shared" si="180"/>
        <v>1081</v>
      </c>
      <c r="C1082" s="8" t="s">
        <v>17</v>
      </c>
      <c r="D1082" s="2">
        <v>43245</v>
      </c>
      <c r="E1082" s="3">
        <f>350000/100000</f>
        <v>3.5</v>
      </c>
      <c r="F1082" t="s">
        <v>103</v>
      </c>
      <c r="G1082" t="s">
        <v>104</v>
      </c>
      <c r="H1082" t="s">
        <v>105</v>
      </c>
      <c r="I1082" s="6" t="s">
        <v>672</v>
      </c>
      <c r="J1082" s="61" t="s">
        <v>673</v>
      </c>
      <c r="L1082" s="5" t="str">
        <f t="shared" si="172"/>
        <v>01081</v>
      </c>
      <c r="M1082" s="47" t="str">
        <f t="shared" si="173"/>
        <v>25 de mayo de 2018</v>
      </c>
      <c r="N1082" s="323">
        <f t="shared" si="175"/>
        <v>25</v>
      </c>
      <c r="O1082" s="25">
        <f t="shared" si="174"/>
        <v>43221</v>
      </c>
      <c r="P1082" s="5" t="str">
        <f t="shared" si="183"/>
        <v>3,50</v>
      </c>
      <c r="Q1082" s="4" t="e">
        <f t="shared" ca="1" si="184"/>
        <v>#NAME?</v>
      </c>
    </row>
    <row r="1083" spans="1:17">
      <c r="A1083" s="1">
        <f t="shared" si="180"/>
        <v>1082</v>
      </c>
      <c r="C1083" s="8" t="s">
        <v>17</v>
      </c>
      <c r="D1083" s="2">
        <v>43245</v>
      </c>
      <c r="E1083" s="3">
        <f>350000/100000</f>
        <v>3.5</v>
      </c>
      <c r="F1083" t="s">
        <v>443</v>
      </c>
      <c r="G1083" t="s">
        <v>444</v>
      </c>
      <c r="H1083" t="s">
        <v>75</v>
      </c>
      <c r="I1083" s="6" t="s">
        <v>672</v>
      </c>
      <c r="J1083" s="61" t="s">
        <v>673</v>
      </c>
      <c r="L1083" s="5" t="str">
        <f t="shared" si="172"/>
        <v>01082</v>
      </c>
      <c r="M1083" s="47" t="str">
        <f t="shared" si="173"/>
        <v>25 de mayo de 2018</v>
      </c>
      <c r="N1083" s="323">
        <f t="shared" si="175"/>
        <v>25</v>
      </c>
      <c r="O1083" s="25">
        <f t="shared" si="174"/>
        <v>43221</v>
      </c>
      <c r="P1083" s="5" t="str">
        <f t="shared" si="183"/>
        <v>3,50</v>
      </c>
      <c r="Q1083" s="4" t="e">
        <f t="shared" ca="1" si="184"/>
        <v>#NAME?</v>
      </c>
    </row>
    <row r="1084" spans="1:17">
      <c r="A1084" s="1">
        <f t="shared" si="180"/>
        <v>1083</v>
      </c>
      <c r="C1084" s="8" t="s">
        <v>17</v>
      </c>
      <c r="D1084" s="2">
        <v>43245</v>
      </c>
      <c r="E1084" s="3">
        <f>350000/100000</f>
        <v>3.5</v>
      </c>
      <c r="F1084" t="s">
        <v>633</v>
      </c>
      <c r="G1084" t="s">
        <v>634</v>
      </c>
      <c r="H1084" t="s">
        <v>635</v>
      </c>
      <c r="I1084" s="6" t="s">
        <v>672</v>
      </c>
      <c r="J1084" s="61" t="s">
        <v>673</v>
      </c>
      <c r="L1084" s="5" t="str">
        <f t="shared" si="172"/>
        <v>01083</v>
      </c>
      <c r="M1084" s="47" t="str">
        <f t="shared" si="173"/>
        <v>25 de mayo de 2018</v>
      </c>
      <c r="N1084" s="323">
        <f t="shared" si="175"/>
        <v>25</v>
      </c>
      <c r="O1084" s="25">
        <f t="shared" si="174"/>
        <v>43221</v>
      </c>
      <c r="P1084" s="5" t="str">
        <f t="shared" si="183"/>
        <v>3,50</v>
      </c>
      <c r="Q1084" s="4" t="e">
        <f t="shared" ca="1" si="184"/>
        <v>#NAME?</v>
      </c>
    </row>
    <row r="1085" spans="1:17">
      <c r="A1085" s="1">
        <f t="shared" si="180"/>
        <v>1084</v>
      </c>
      <c r="C1085" s="8" t="s">
        <v>17</v>
      </c>
      <c r="D1085" s="2">
        <v>43246</v>
      </c>
      <c r="E1085" s="3">
        <f>100000/100000</f>
        <v>1</v>
      </c>
      <c r="F1085" t="s">
        <v>433</v>
      </c>
      <c r="G1085" t="s">
        <v>434</v>
      </c>
      <c r="H1085" t="s">
        <v>435</v>
      </c>
      <c r="I1085" s="6" t="s">
        <v>672</v>
      </c>
      <c r="J1085" s="61" t="s">
        <v>673</v>
      </c>
      <c r="L1085" s="5" t="str">
        <f t="shared" si="172"/>
        <v>01084</v>
      </c>
      <c r="M1085" s="47" t="str">
        <f t="shared" si="173"/>
        <v>26 de mayo de 2018</v>
      </c>
      <c r="N1085" s="323">
        <f t="shared" si="175"/>
        <v>26</v>
      </c>
      <c r="O1085" s="25">
        <f t="shared" si="174"/>
        <v>43221</v>
      </c>
      <c r="P1085" s="5" t="str">
        <f t="shared" si="183"/>
        <v>1,00</v>
      </c>
      <c r="Q1085" s="4" t="e">
        <f t="shared" ca="1" si="184"/>
        <v>#NAME?</v>
      </c>
    </row>
    <row r="1086" spans="1:17">
      <c r="A1086" s="1">
        <f t="shared" si="180"/>
        <v>1085</v>
      </c>
      <c r="C1086" s="8" t="s">
        <v>17</v>
      </c>
      <c r="D1086" s="2">
        <v>43247</v>
      </c>
      <c r="E1086" s="3">
        <f>400000/100000</f>
        <v>4</v>
      </c>
      <c r="F1086" t="s">
        <v>296</v>
      </c>
      <c r="G1086" t="s">
        <v>297</v>
      </c>
      <c r="H1086" t="s">
        <v>298</v>
      </c>
      <c r="I1086" s="6" t="s">
        <v>684</v>
      </c>
      <c r="J1086" s="61" t="s">
        <v>22</v>
      </c>
      <c r="L1086" s="5" t="str">
        <f t="shared" si="172"/>
        <v>01085</v>
      </c>
      <c r="M1086" s="47" t="str">
        <f t="shared" si="173"/>
        <v>27 de mayo de 2018</v>
      </c>
      <c r="N1086" s="323">
        <f t="shared" si="175"/>
        <v>27</v>
      </c>
      <c r="O1086" s="25">
        <f t="shared" si="174"/>
        <v>43221</v>
      </c>
      <c r="P1086" s="5" t="str">
        <f t="shared" si="183"/>
        <v>4,00</v>
      </c>
      <c r="Q1086" s="4" t="e">
        <f t="shared" ca="1" si="184"/>
        <v>#NAME?</v>
      </c>
    </row>
    <row r="1087" spans="1:17">
      <c r="A1087" s="1">
        <f t="shared" si="180"/>
        <v>1086</v>
      </c>
      <c r="C1087" s="8" t="s">
        <v>17</v>
      </c>
      <c r="D1087" s="2">
        <v>43247</v>
      </c>
      <c r="E1087" s="3">
        <f>350000/100000</f>
        <v>3.5</v>
      </c>
      <c r="F1087" t="s">
        <v>296</v>
      </c>
      <c r="G1087" t="s">
        <v>297</v>
      </c>
      <c r="H1087" t="s">
        <v>298</v>
      </c>
      <c r="I1087" s="6" t="s">
        <v>672</v>
      </c>
      <c r="J1087" s="61" t="s">
        <v>673</v>
      </c>
      <c r="L1087" s="5" t="str">
        <f t="shared" si="172"/>
        <v>01086</v>
      </c>
      <c r="M1087" s="47" t="str">
        <f t="shared" si="173"/>
        <v>27 de mayo de 2018</v>
      </c>
      <c r="N1087" s="323">
        <f t="shared" si="175"/>
        <v>27</v>
      </c>
      <c r="O1087" s="25">
        <f t="shared" si="174"/>
        <v>43221</v>
      </c>
      <c r="P1087" s="5" t="str">
        <f t="shared" si="183"/>
        <v>3,50</v>
      </c>
      <c r="Q1087" s="4" t="e">
        <f t="shared" ca="1" si="184"/>
        <v>#NAME?</v>
      </c>
    </row>
    <row r="1088" spans="1:17">
      <c r="A1088" s="1">
        <f t="shared" si="180"/>
        <v>1087</v>
      </c>
      <c r="C1088" s="8" t="s">
        <v>17</v>
      </c>
      <c r="D1088" s="2">
        <v>43248</v>
      </c>
      <c r="E1088" s="3">
        <f>400000/100000</f>
        <v>4</v>
      </c>
      <c r="F1088" t="s">
        <v>144</v>
      </c>
      <c r="G1088" t="s">
        <v>661</v>
      </c>
      <c r="H1088" t="s">
        <v>146</v>
      </c>
      <c r="I1088" s="6" t="s">
        <v>715</v>
      </c>
      <c r="J1088" s="61" t="s">
        <v>22</v>
      </c>
      <c r="L1088" s="5" t="str">
        <f t="shared" si="172"/>
        <v>01087</v>
      </c>
      <c r="M1088" s="47" t="str">
        <f t="shared" si="173"/>
        <v>28 de mayo de 2018</v>
      </c>
      <c r="N1088" s="323">
        <f t="shared" si="175"/>
        <v>28</v>
      </c>
      <c r="O1088" s="25">
        <f t="shared" si="174"/>
        <v>43221</v>
      </c>
      <c r="P1088" s="5" t="str">
        <f t="shared" si="183"/>
        <v>4,00</v>
      </c>
      <c r="Q1088" s="4" t="e">
        <f t="shared" ca="1" si="184"/>
        <v>#NAME?</v>
      </c>
    </row>
    <row r="1089" spans="1:17">
      <c r="A1089" s="1">
        <f t="shared" si="180"/>
        <v>1088</v>
      </c>
      <c r="C1089" s="8" t="s">
        <v>17</v>
      </c>
      <c r="D1089" s="2">
        <v>43248</v>
      </c>
      <c r="E1089" s="3">
        <f>350000/100000</f>
        <v>3.5</v>
      </c>
      <c r="F1089" t="s">
        <v>144</v>
      </c>
      <c r="G1089" t="s">
        <v>661</v>
      </c>
      <c r="H1089" t="s">
        <v>146</v>
      </c>
      <c r="I1089" s="6" t="s">
        <v>672</v>
      </c>
      <c r="J1089" s="61" t="s">
        <v>673</v>
      </c>
      <c r="L1089" s="5" t="str">
        <f t="shared" si="172"/>
        <v>01088</v>
      </c>
      <c r="M1089" s="47" t="str">
        <f t="shared" si="173"/>
        <v>28 de mayo de 2018</v>
      </c>
      <c r="N1089" s="323">
        <f t="shared" si="175"/>
        <v>28</v>
      </c>
      <c r="O1089" s="25">
        <f t="shared" si="174"/>
        <v>43221</v>
      </c>
      <c r="P1089" s="5" t="str">
        <f t="shared" si="183"/>
        <v>3,50</v>
      </c>
      <c r="Q1089" s="4" t="e">
        <f t="shared" ca="1" si="184"/>
        <v>#NAME?</v>
      </c>
    </row>
    <row r="1090" spans="1:17">
      <c r="A1090" s="1">
        <f t="shared" si="180"/>
        <v>1089</v>
      </c>
      <c r="C1090" s="8" t="s">
        <v>17</v>
      </c>
      <c r="D1090" s="2">
        <v>43248</v>
      </c>
      <c r="E1090" s="3">
        <f>350000/100000</f>
        <v>3.5</v>
      </c>
      <c r="F1090" t="s">
        <v>138</v>
      </c>
      <c r="G1090" t="s">
        <v>139</v>
      </c>
      <c r="H1090" t="s">
        <v>140</v>
      </c>
      <c r="I1090" s="6" t="s">
        <v>672</v>
      </c>
      <c r="J1090" s="61" t="s">
        <v>673</v>
      </c>
      <c r="L1090" s="5" t="str">
        <f t="shared" ref="L1090:L1106" si="185">IF(ISBLANK(A1090),"",TEXT(A1090,"00000"))</f>
        <v>01089</v>
      </c>
      <c r="M1090" s="47" t="str">
        <f t="shared" ref="M1090:M1100" si="186">IF(ISBLANK(D1090),"",TEXT(D1090,"dd")&amp;" de "&amp;TEXT(D1090,"mmmm")&amp;" de "&amp;TEXT(YEAR(D1090),"0"))</f>
        <v>28 de mayo de 2018</v>
      </c>
      <c r="N1090" s="323">
        <f t="shared" si="175"/>
        <v>28</v>
      </c>
      <c r="O1090" s="25">
        <f t="shared" ref="O1090:O1106" si="187">DATE(YEAR(D1090),MONTH(D1090),1)</f>
        <v>43221</v>
      </c>
      <c r="P1090" s="5" t="str">
        <f t="shared" si="183"/>
        <v>3,50</v>
      </c>
      <c r="Q1090" s="4" t="e">
        <f t="shared" ca="1" si="184"/>
        <v>#NAME?</v>
      </c>
    </row>
    <row r="1091" spans="1:17">
      <c r="A1091" s="1">
        <f t="shared" si="180"/>
        <v>1090</v>
      </c>
      <c r="C1091" s="8" t="s">
        <v>17</v>
      </c>
      <c r="D1091" s="2">
        <v>43248</v>
      </c>
      <c r="E1091" s="3">
        <f>350000/100000</f>
        <v>3.5</v>
      </c>
      <c r="F1091" t="s">
        <v>264</v>
      </c>
      <c r="G1091" t="s">
        <v>265</v>
      </c>
      <c r="H1091" t="s">
        <v>266</v>
      </c>
      <c r="I1091" s="6" t="s">
        <v>672</v>
      </c>
      <c r="J1091" s="61" t="s">
        <v>673</v>
      </c>
      <c r="L1091" s="5" t="str">
        <f t="shared" si="185"/>
        <v>01090</v>
      </c>
      <c r="M1091" s="47" t="str">
        <f t="shared" si="186"/>
        <v>28 de mayo de 2018</v>
      </c>
      <c r="N1091" s="323">
        <f t="shared" ref="N1091:N1154" si="188">DAY(D1091)</f>
        <v>28</v>
      </c>
      <c r="O1091" s="25">
        <f t="shared" si="187"/>
        <v>43221</v>
      </c>
      <c r="P1091" s="5" t="str">
        <f t="shared" si="183"/>
        <v>3,50</v>
      </c>
      <c r="Q1091" s="4" t="e">
        <f t="shared" ca="1" si="184"/>
        <v>#NAME?</v>
      </c>
    </row>
    <row r="1092" spans="1:17">
      <c r="A1092" s="1">
        <f>A1091+1</f>
        <v>1091</v>
      </c>
      <c r="C1092" s="8" t="s">
        <v>17</v>
      </c>
      <c r="D1092" s="2">
        <v>43248</v>
      </c>
      <c r="E1092" s="3">
        <f>350000/100000</f>
        <v>3.5</v>
      </c>
      <c r="F1092" t="s">
        <v>334</v>
      </c>
      <c r="G1092" t="s">
        <v>85</v>
      </c>
      <c r="H1092" t="s">
        <v>335</v>
      </c>
      <c r="I1092" s="6" t="s">
        <v>672</v>
      </c>
      <c r="J1092" s="61" t="s">
        <v>673</v>
      </c>
      <c r="L1092" s="5" t="str">
        <f t="shared" si="185"/>
        <v>01091</v>
      </c>
      <c r="M1092" s="47" t="str">
        <f t="shared" si="186"/>
        <v>28 de mayo de 2018</v>
      </c>
      <c r="N1092" s="323">
        <f t="shared" si="188"/>
        <v>28</v>
      </c>
      <c r="O1092" s="25">
        <f t="shared" si="187"/>
        <v>43221</v>
      </c>
      <c r="P1092" s="5" t="str">
        <f t="shared" si="183"/>
        <v>3,50</v>
      </c>
      <c r="Q1092" s="4" t="e">
        <f t="shared" ca="1" si="184"/>
        <v>#NAME?</v>
      </c>
    </row>
    <row r="1093" spans="1:17">
      <c r="A1093" s="1">
        <f t="shared" ref="A1093:A1122" si="189">A1092+1</f>
        <v>1092</v>
      </c>
      <c r="C1093" s="8" t="s">
        <v>17</v>
      </c>
      <c r="D1093" s="2">
        <v>43249</v>
      </c>
      <c r="E1093" s="3">
        <f>200000/100000</f>
        <v>2</v>
      </c>
      <c r="F1093" t="s">
        <v>28</v>
      </c>
      <c r="G1093" t="s">
        <v>716</v>
      </c>
      <c r="H1093" t="s">
        <v>30</v>
      </c>
      <c r="I1093" s="6" t="s">
        <v>702</v>
      </c>
      <c r="J1093" s="61" t="s">
        <v>22</v>
      </c>
      <c r="L1093" s="5" t="str">
        <f t="shared" si="185"/>
        <v>01092</v>
      </c>
      <c r="M1093" s="47" t="str">
        <f t="shared" si="186"/>
        <v>29 de mayo de 2018</v>
      </c>
      <c r="N1093" s="323">
        <f t="shared" si="188"/>
        <v>29</v>
      </c>
      <c r="O1093" s="25">
        <f t="shared" si="187"/>
        <v>43221</v>
      </c>
      <c r="P1093" s="5" t="str">
        <f t="shared" si="183"/>
        <v>2,00</v>
      </c>
      <c r="Q1093" s="4" t="e">
        <f t="shared" ca="1" si="184"/>
        <v>#NAME?</v>
      </c>
    </row>
    <row r="1094" spans="1:17">
      <c r="A1094" s="1">
        <f t="shared" si="189"/>
        <v>1093</v>
      </c>
      <c r="C1094" s="8" t="s">
        <v>17</v>
      </c>
      <c r="D1094" s="2">
        <v>43249</v>
      </c>
      <c r="E1094" s="3">
        <f>350000/100000</f>
        <v>3.5</v>
      </c>
      <c r="F1094" t="s">
        <v>28</v>
      </c>
      <c r="G1094" t="s">
        <v>716</v>
      </c>
      <c r="H1094" t="s">
        <v>30</v>
      </c>
      <c r="I1094" s="6" t="s">
        <v>672</v>
      </c>
      <c r="J1094" s="61" t="s">
        <v>673</v>
      </c>
      <c r="L1094" s="5" t="str">
        <f t="shared" si="185"/>
        <v>01093</v>
      </c>
      <c r="M1094" s="47" t="str">
        <f t="shared" si="186"/>
        <v>29 de mayo de 2018</v>
      </c>
      <c r="N1094" s="323">
        <f t="shared" si="188"/>
        <v>29</v>
      </c>
      <c r="O1094" s="25">
        <f t="shared" si="187"/>
        <v>43221</v>
      </c>
      <c r="P1094" s="5" t="str">
        <f t="shared" si="183"/>
        <v>3,50</v>
      </c>
      <c r="Q1094" s="4" t="e">
        <f t="shared" ca="1" si="184"/>
        <v>#NAME?</v>
      </c>
    </row>
    <row r="1095" spans="1:17" ht="15.75" thickBot="1">
      <c r="A1095" s="1">
        <f t="shared" si="189"/>
        <v>1094</v>
      </c>
      <c r="C1095" s="8" t="s">
        <v>17</v>
      </c>
      <c r="D1095" s="2">
        <v>43249</v>
      </c>
      <c r="E1095" s="3">
        <f>350000/100000</f>
        <v>3.5</v>
      </c>
      <c r="F1095" t="s">
        <v>122</v>
      </c>
      <c r="G1095" t="s">
        <v>123</v>
      </c>
      <c r="H1095" t="s">
        <v>124</v>
      </c>
      <c r="I1095" s="6" t="s">
        <v>672</v>
      </c>
      <c r="J1095" s="61" t="s">
        <v>673</v>
      </c>
      <c r="L1095" s="5" t="str">
        <f t="shared" si="185"/>
        <v>01094</v>
      </c>
      <c r="M1095" s="47" t="str">
        <f t="shared" si="186"/>
        <v>29 de mayo de 2018</v>
      </c>
      <c r="N1095" s="323">
        <f t="shared" si="188"/>
        <v>29</v>
      </c>
      <c r="O1095" s="25">
        <f t="shared" si="187"/>
        <v>43221</v>
      </c>
      <c r="P1095" s="5" t="str">
        <f t="shared" si="183"/>
        <v>3,50</v>
      </c>
      <c r="Q1095" s="4" t="e">
        <f t="shared" ca="1" si="184"/>
        <v>#NAME?</v>
      </c>
    </row>
    <row r="1096" spans="1:17" ht="15.75" thickBot="1">
      <c r="A1096" s="1">
        <f t="shared" si="189"/>
        <v>1095</v>
      </c>
      <c r="C1096" s="8" t="s">
        <v>17</v>
      </c>
      <c r="D1096" s="2">
        <v>43249</v>
      </c>
      <c r="E1096" s="3">
        <f>350000/100000</f>
        <v>3.5</v>
      </c>
      <c r="F1096" s="23" t="s">
        <v>422</v>
      </c>
      <c r="G1096" s="18" t="s">
        <v>58</v>
      </c>
      <c r="H1096" t="s">
        <v>423</v>
      </c>
      <c r="I1096" s="6" t="s">
        <v>672</v>
      </c>
      <c r="J1096" s="61" t="s">
        <v>673</v>
      </c>
      <c r="L1096" s="5" t="str">
        <f t="shared" si="185"/>
        <v>01095</v>
      </c>
      <c r="M1096" s="47" t="str">
        <f t="shared" si="186"/>
        <v>29 de mayo de 2018</v>
      </c>
      <c r="N1096" s="323">
        <f t="shared" si="188"/>
        <v>29</v>
      </c>
      <c r="O1096" s="25">
        <f t="shared" si="187"/>
        <v>43221</v>
      </c>
      <c r="P1096" s="5" t="str">
        <f t="shared" si="183"/>
        <v>3,50</v>
      </c>
      <c r="Q1096" s="4" t="e">
        <f ca="1">CONVERTIRNUM(E1096)</f>
        <v>#NAME?</v>
      </c>
    </row>
    <row r="1097" spans="1:17" ht="15.75" thickBot="1">
      <c r="A1097" s="1">
        <f t="shared" si="189"/>
        <v>1096</v>
      </c>
      <c r="C1097" s="8" t="s">
        <v>17</v>
      </c>
      <c r="D1097" s="2">
        <v>43250</v>
      </c>
      <c r="E1097" s="3">
        <f>240000/100000</f>
        <v>2.4</v>
      </c>
      <c r="F1097" t="s">
        <v>312</v>
      </c>
      <c r="G1097" t="s">
        <v>313</v>
      </c>
      <c r="H1097" t="s">
        <v>314</v>
      </c>
      <c r="I1097" s="6" t="s">
        <v>664</v>
      </c>
      <c r="J1097" s="61" t="s">
        <v>22</v>
      </c>
      <c r="L1097" s="5" t="str">
        <f t="shared" si="185"/>
        <v>01096</v>
      </c>
      <c r="M1097" s="47" t="str">
        <f t="shared" si="186"/>
        <v>30 de mayo de 2018</v>
      </c>
      <c r="N1097" s="323">
        <f t="shared" si="188"/>
        <v>30</v>
      </c>
      <c r="O1097" s="25">
        <f t="shared" si="187"/>
        <v>43221</v>
      </c>
      <c r="P1097" s="5" t="str">
        <f t="shared" si="183"/>
        <v>2,40</v>
      </c>
      <c r="Q1097" s="4" t="e">
        <f ca="1">CONVERTIRNUM(E1097)</f>
        <v>#NAME?</v>
      </c>
    </row>
    <row r="1098" spans="1:17" ht="15.75" thickBot="1">
      <c r="A1098" s="1">
        <f t="shared" si="189"/>
        <v>1097</v>
      </c>
      <c r="C1098" s="8" t="s">
        <v>17</v>
      </c>
      <c r="D1098" s="2">
        <v>43243</v>
      </c>
      <c r="E1098" s="3">
        <f>400000/100000</f>
        <v>4</v>
      </c>
      <c r="F1098" t="s">
        <v>319</v>
      </c>
      <c r="G1098" s="18" t="s">
        <v>58</v>
      </c>
      <c r="H1098" t="s">
        <v>320</v>
      </c>
      <c r="I1098" s="6" t="s">
        <v>684</v>
      </c>
      <c r="J1098" s="61" t="s">
        <v>22</v>
      </c>
      <c r="L1098" s="5" t="str">
        <f t="shared" si="185"/>
        <v>01097</v>
      </c>
      <c r="M1098" s="47" t="str">
        <f t="shared" si="186"/>
        <v>23 de mayo de 2018</v>
      </c>
      <c r="N1098" s="323">
        <f t="shared" si="188"/>
        <v>23</v>
      </c>
      <c r="O1098" s="25">
        <f t="shared" si="187"/>
        <v>43221</v>
      </c>
      <c r="P1098" s="5" t="str">
        <f t="shared" si="183"/>
        <v>4,00</v>
      </c>
      <c r="Q1098" s="4" t="e">
        <f ca="1">CONVERTIRNUM(E1098)</f>
        <v>#NAME?</v>
      </c>
    </row>
    <row r="1099" spans="1:17">
      <c r="A1099" s="1">
        <f t="shared" si="189"/>
        <v>1098</v>
      </c>
      <c r="C1099" s="8" t="s">
        <v>17</v>
      </c>
      <c r="D1099" s="2">
        <v>43250</v>
      </c>
      <c r="E1099" s="3">
        <f>140000/100000+400000/100000+400000/100000</f>
        <v>9.4</v>
      </c>
      <c r="F1099" t="s">
        <v>717</v>
      </c>
      <c r="G1099" t="s">
        <v>718</v>
      </c>
      <c r="H1099" t="s">
        <v>719</v>
      </c>
      <c r="I1099" s="6" t="s">
        <v>720</v>
      </c>
      <c r="J1099" s="61" t="s">
        <v>22</v>
      </c>
      <c r="L1099" s="5" t="str">
        <f t="shared" si="185"/>
        <v>01098</v>
      </c>
      <c r="M1099" s="47" t="str">
        <f t="shared" si="186"/>
        <v>30 de mayo de 2018</v>
      </c>
      <c r="N1099" s="323">
        <f t="shared" si="188"/>
        <v>30</v>
      </c>
      <c r="O1099" s="25">
        <f t="shared" si="187"/>
        <v>43221</v>
      </c>
      <c r="P1099" s="5" t="str">
        <f t="shared" ref="P1099:P1106" si="190">TEXT(E1099,"#.##0,00")</f>
        <v>9,40</v>
      </c>
      <c r="Q1099" s="4" t="e">
        <f t="shared" ref="Q1099:Q1106" ca="1" si="191">CONVERTIRNUM(E1099)</f>
        <v>#NAME?</v>
      </c>
    </row>
    <row r="1100" spans="1:17">
      <c r="A1100" s="1">
        <f t="shared" si="189"/>
        <v>1099</v>
      </c>
      <c r="C1100" s="8" t="s">
        <v>17</v>
      </c>
      <c r="D1100" s="2">
        <v>43250</v>
      </c>
      <c r="E1100" s="3">
        <f>350000/100000</f>
        <v>3.5</v>
      </c>
      <c r="F1100" t="s">
        <v>717</v>
      </c>
      <c r="G1100" t="s">
        <v>718</v>
      </c>
      <c r="H1100" t="s">
        <v>719</v>
      </c>
      <c r="I1100" s="6" t="s">
        <v>672</v>
      </c>
      <c r="J1100" s="61" t="s">
        <v>673</v>
      </c>
      <c r="L1100" s="5" t="str">
        <f t="shared" si="185"/>
        <v>01099</v>
      </c>
      <c r="M1100" s="47" t="str">
        <f t="shared" si="186"/>
        <v>30 de mayo de 2018</v>
      </c>
      <c r="N1100" s="323">
        <f t="shared" si="188"/>
        <v>30</v>
      </c>
      <c r="O1100" s="25">
        <f t="shared" si="187"/>
        <v>43221</v>
      </c>
      <c r="P1100" s="5" t="str">
        <f t="shared" si="190"/>
        <v>3,50</v>
      </c>
      <c r="Q1100" s="4" t="e">
        <f t="shared" ca="1" si="191"/>
        <v>#NAME?</v>
      </c>
    </row>
    <row r="1101" spans="1:17">
      <c r="A1101" s="1">
        <f t="shared" si="189"/>
        <v>1100</v>
      </c>
      <c r="C1101" s="8" t="s">
        <v>17</v>
      </c>
      <c r="D1101" s="2">
        <v>43250</v>
      </c>
      <c r="E1101" s="3">
        <f>250000/100000</f>
        <v>2.5</v>
      </c>
      <c r="F1101" t="s">
        <v>126</v>
      </c>
      <c r="G1101" t="s">
        <v>127</v>
      </c>
      <c r="H1101" t="s">
        <v>128</v>
      </c>
      <c r="I1101" s="6" t="s">
        <v>672</v>
      </c>
      <c r="J1101" s="61" t="s">
        <v>673</v>
      </c>
      <c r="L1101" s="5" t="str">
        <f t="shared" si="185"/>
        <v>01100</v>
      </c>
      <c r="M1101" s="47" t="str">
        <f t="shared" ref="M1101:M1106" si="192">IF(ISBLANK(D1101),"",TEXT(D1101,"dd")&amp;" de "&amp;TEXT(D1101,"mmmm")&amp;" de "&amp;TEXT(YEAR(D1101),"0"))</f>
        <v>30 de mayo de 2018</v>
      </c>
      <c r="N1101" s="323">
        <f t="shared" si="188"/>
        <v>30</v>
      </c>
      <c r="O1101" s="25">
        <f t="shared" si="187"/>
        <v>43221</v>
      </c>
      <c r="P1101" s="5" t="str">
        <f t="shared" si="190"/>
        <v>2,50</v>
      </c>
      <c r="Q1101" s="4" t="e">
        <f t="shared" ca="1" si="191"/>
        <v>#NAME?</v>
      </c>
    </row>
    <row r="1102" spans="1:17">
      <c r="A1102" s="1">
        <f t="shared" si="189"/>
        <v>1101</v>
      </c>
      <c r="C1102" s="8" t="s">
        <v>17</v>
      </c>
      <c r="D1102" s="2">
        <v>43250</v>
      </c>
      <c r="E1102" s="3">
        <f>400000/100000</f>
        <v>4</v>
      </c>
      <c r="F1102" t="s">
        <v>185</v>
      </c>
      <c r="G1102" t="s">
        <v>186</v>
      </c>
      <c r="H1102" t="s">
        <v>187</v>
      </c>
      <c r="I1102" s="6" t="s">
        <v>684</v>
      </c>
      <c r="J1102" s="61" t="s">
        <v>22</v>
      </c>
      <c r="L1102" s="5" t="str">
        <f t="shared" si="185"/>
        <v>01101</v>
      </c>
      <c r="M1102" s="47" t="str">
        <f t="shared" si="192"/>
        <v>30 de mayo de 2018</v>
      </c>
      <c r="N1102" s="323">
        <f t="shared" si="188"/>
        <v>30</v>
      </c>
      <c r="O1102" s="25">
        <f t="shared" si="187"/>
        <v>43221</v>
      </c>
      <c r="P1102" s="5" t="str">
        <f t="shared" si="190"/>
        <v>4,00</v>
      </c>
      <c r="Q1102" s="4" t="e">
        <f t="shared" ca="1" si="191"/>
        <v>#NAME?</v>
      </c>
    </row>
    <row r="1103" spans="1:17" ht="15.75" thickBot="1">
      <c r="A1103" s="1">
        <f t="shared" si="189"/>
        <v>1102</v>
      </c>
      <c r="C1103" s="8" t="s">
        <v>17</v>
      </c>
      <c r="D1103" s="2">
        <v>43250</v>
      </c>
      <c r="E1103" s="3">
        <f>350000/100000</f>
        <v>3.5</v>
      </c>
      <c r="F1103" t="s">
        <v>185</v>
      </c>
      <c r="G1103" t="s">
        <v>186</v>
      </c>
      <c r="H1103" t="s">
        <v>187</v>
      </c>
      <c r="I1103" s="6" t="s">
        <v>672</v>
      </c>
      <c r="J1103" s="61" t="s">
        <v>673</v>
      </c>
      <c r="L1103" s="5" t="str">
        <f t="shared" si="185"/>
        <v>01102</v>
      </c>
      <c r="M1103" s="47" t="str">
        <f t="shared" si="192"/>
        <v>30 de mayo de 2018</v>
      </c>
      <c r="N1103" s="323">
        <f t="shared" si="188"/>
        <v>30</v>
      </c>
      <c r="O1103" s="25">
        <f t="shared" si="187"/>
        <v>43221</v>
      </c>
      <c r="P1103" s="5" t="str">
        <f t="shared" si="190"/>
        <v>3,50</v>
      </c>
      <c r="Q1103" s="4" t="e">
        <f t="shared" ca="1" si="191"/>
        <v>#NAME?</v>
      </c>
    </row>
    <row r="1104" spans="1:17" ht="15.75" thickBot="1">
      <c r="A1104" s="1">
        <f t="shared" si="189"/>
        <v>1103</v>
      </c>
      <c r="C1104" s="8" t="s">
        <v>17</v>
      </c>
      <c r="D1104" s="2">
        <v>43251</v>
      </c>
      <c r="E1104" s="3">
        <f>140000/100000+400000/100000</f>
        <v>5.4</v>
      </c>
      <c r="F1104" t="s">
        <v>239</v>
      </c>
      <c r="G1104" s="73" t="s">
        <v>240</v>
      </c>
      <c r="H1104" t="s">
        <v>241</v>
      </c>
      <c r="I1104" s="6" t="s">
        <v>695</v>
      </c>
      <c r="J1104" s="61" t="s">
        <v>22</v>
      </c>
      <c r="L1104" s="5" t="str">
        <f t="shared" si="185"/>
        <v>01103</v>
      </c>
      <c r="M1104" s="47" t="str">
        <f t="shared" si="192"/>
        <v>31 de mayo de 2018</v>
      </c>
      <c r="N1104" s="323">
        <f t="shared" si="188"/>
        <v>31</v>
      </c>
      <c r="O1104" s="25">
        <f t="shared" si="187"/>
        <v>43221</v>
      </c>
      <c r="P1104" s="5" t="str">
        <f t="shared" si="190"/>
        <v>5,40</v>
      </c>
      <c r="Q1104" s="4" t="e">
        <f t="shared" ca="1" si="191"/>
        <v>#NAME?</v>
      </c>
    </row>
    <row r="1105" spans="1:17">
      <c r="A1105" s="1">
        <f t="shared" si="189"/>
        <v>1104</v>
      </c>
      <c r="C1105" s="8" t="s">
        <v>17</v>
      </c>
      <c r="D1105" s="2">
        <v>43251</v>
      </c>
      <c r="E1105" s="3">
        <f>660000/100000</f>
        <v>6.6</v>
      </c>
      <c r="F1105" t="s">
        <v>337</v>
      </c>
      <c r="G1105" t="s">
        <v>338</v>
      </c>
      <c r="H1105" t="s">
        <v>339</v>
      </c>
      <c r="I1105" s="6" t="s">
        <v>721</v>
      </c>
      <c r="J1105" s="61" t="s">
        <v>22</v>
      </c>
      <c r="L1105" s="5" t="str">
        <f t="shared" si="185"/>
        <v>01104</v>
      </c>
      <c r="M1105" s="47" t="str">
        <f t="shared" si="192"/>
        <v>31 de mayo de 2018</v>
      </c>
      <c r="N1105" s="323">
        <f t="shared" si="188"/>
        <v>31</v>
      </c>
      <c r="O1105" s="25">
        <f t="shared" si="187"/>
        <v>43221</v>
      </c>
      <c r="P1105" s="5" t="str">
        <f t="shared" si="190"/>
        <v>6,60</v>
      </c>
      <c r="Q1105" s="4" t="e">
        <f t="shared" ca="1" si="191"/>
        <v>#NAME?</v>
      </c>
    </row>
    <row r="1106" spans="1:17">
      <c r="A1106" s="1">
        <f t="shared" si="189"/>
        <v>1105</v>
      </c>
      <c r="C1106" s="8" t="s">
        <v>17</v>
      </c>
      <c r="D1106" s="2">
        <v>43253</v>
      </c>
      <c r="E1106" s="3">
        <f>800000/100000</f>
        <v>8</v>
      </c>
      <c r="F1106" t="s">
        <v>197</v>
      </c>
      <c r="G1106" t="s">
        <v>198</v>
      </c>
      <c r="H1106" t="s">
        <v>199</v>
      </c>
      <c r="I1106" s="6" t="s">
        <v>708</v>
      </c>
      <c r="J1106" s="61" t="s">
        <v>22</v>
      </c>
      <c r="L1106" s="5" t="str">
        <f t="shared" si="185"/>
        <v>01105</v>
      </c>
      <c r="M1106" s="47" t="str">
        <f t="shared" si="192"/>
        <v>02 de junio de 2018</v>
      </c>
      <c r="N1106" s="323">
        <f t="shared" si="188"/>
        <v>2</v>
      </c>
      <c r="O1106" s="25">
        <f t="shared" si="187"/>
        <v>43252</v>
      </c>
      <c r="P1106" s="5" t="str">
        <f t="shared" si="190"/>
        <v>8,00</v>
      </c>
      <c r="Q1106" s="4" t="e">
        <f t="shared" ca="1" si="191"/>
        <v>#NAME?</v>
      </c>
    </row>
    <row r="1107" spans="1:17">
      <c r="A1107" s="1">
        <f t="shared" si="189"/>
        <v>1106</v>
      </c>
      <c r="C1107" s="8" t="s">
        <v>17</v>
      </c>
      <c r="D1107" s="2">
        <v>43253</v>
      </c>
      <c r="E1107" s="3">
        <f>350000/100000</f>
        <v>3.5</v>
      </c>
      <c r="F1107" t="s">
        <v>197</v>
      </c>
      <c r="G1107" t="s">
        <v>198</v>
      </c>
      <c r="H1107" t="s">
        <v>199</v>
      </c>
      <c r="I1107" s="6" t="s">
        <v>672</v>
      </c>
      <c r="J1107" s="61" t="s">
        <v>673</v>
      </c>
      <c r="L1107" s="5" t="str">
        <f t="shared" ref="L1107:L1130" si="193">IF(ISBLANK(A1107),"",TEXT(A1107,"00000"))</f>
        <v>01106</v>
      </c>
      <c r="M1107" s="47" t="str">
        <f t="shared" ref="M1107:M1130" si="194">IF(ISBLANK(D1107),"",TEXT(D1107,"dd")&amp;" de "&amp;TEXT(D1107,"mmmm")&amp;" de "&amp;TEXT(YEAR(D1107),"0"))</f>
        <v>02 de junio de 2018</v>
      </c>
      <c r="N1107" s="323">
        <f t="shared" si="188"/>
        <v>2</v>
      </c>
      <c r="O1107" s="25">
        <f t="shared" ref="O1107:O1130" si="195">DATE(YEAR(D1107),MONTH(D1107),1)</f>
        <v>43252</v>
      </c>
      <c r="P1107" s="5" t="str">
        <f t="shared" ref="P1107:P1118" si="196">TEXT(E1107,"#.##0,00")</f>
        <v>3,50</v>
      </c>
      <c r="Q1107" s="4" t="e">
        <f t="shared" ref="Q1107:Q1118" ca="1" si="197">CONVERTIRNUM(E1107)</f>
        <v>#NAME?</v>
      </c>
    </row>
    <row r="1108" spans="1:17">
      <c r="A1108" s="178">
        <f t="shared" si="189"/>
        <v>1107</v>
      </c>
      <c r="C1108" s="8" t="s">
        <v>17</v>
      </c>
      <c r="D1108" s="2">
        <v>43253</v>
      </c>
      <c r="E1108" s="3">
        <f>350000/100000</f>
        <v>3.5</v>
      </c>
      <c r="F1108" t="s">
        <v>438</v>
      </c>
      <c r="G1108" t="s">
        <v>439</v>
      </c>
      <c r="H1108" t="s">
        <v>440</v>
      </c>
      <c r="I1108" s="6" t="s">
        <v>672</v>
      </c>
      <c r="J1108" s="61" t="s">
        <v>673</v>
      </c>
      <c r="L1108" s="5" t="str">
        <f t="shared" si="193"/>
        <v>01107</v>
      </c>
      <c r="M1108" s="47" t="str">
        <f t="shared" si="194"/>
        <v>02 de junio de 2018</v>
      </c>
      <c r="N1108" s="323">
        <f t="shared" si="188"/>
        <v>2</v>
      </c>
      <c r="O1108" s="25">
        <f t="shared" si="195"/>
        <v>43252</v>
      </c>
      <c r="P1108" s="5" t="str">
        <f t="shared" si="196"/>
        <v>3,50</v>
      </c>
      <c r="Q1108" s="4" t="e">
        <f t="shared" ca="1" si="197"/>
        <v>#NAME?</v>
      </c>
    </row>
    <row r="1109" spans="1:17">
      <c r="A1109" s="1">
        <f t="shared" si="189"/>
        <v>1108</v>
      </c>
      <c r="C1109" s="8" t="s">
        <v>17</v>
      </c>
      <c r="D1109" s="2">
        <v>43255</v>
      </c>
      <c r="E1109" s="3">
        <f>400000/100000</f>
        <v>4</v>
      </c>
      <c r="F1109" t="s">
        <v>698</v>
      </c>
      <c r="G1109" t="s">
        <v>699</v>
      </c>
      <c r="H1109" t="s">
        <v>150</v>
      </c>
      <c r="I1109" s="6" t="s">
        <v>707</v>
      </c>
      <c r="J1109" s="61" t="s">
        <v>22</v>
      </c>
      <c r="L1109" s="5" t="str">
        <f t="shared" si="193"/>
        <v>01108</v>
      </c>
      <c r="M1109" s="47" t="str">
        <f t="shared" si="194"/>
        <v>04 de junio de 2018</v>
      </c>
      <c r="N1109" s="323">
        <f t="shared" si="188"/>
        <v>4</v>
      </c>
      <c r="O1109" s="25">
        <f t="shared" si="195"/>
        <v>43252</v>
      </c>
      <c r="P1109" s="5" t="str">
        <f t="shared" si="196"/>
        <v>4,00</v>
      </c>
      <c r="Q1109" s="4" t="e">
        <f t="shared" ca="1" si="197"/>
        <v>#NAME?</v>
      </c>
    </row>
    <row r="1110" spans="1:17">
      <c r="A1110" s="1">
        <f t="shared" si="189"/>
        <v>1109</v>
      </c>
      <c r="C1110" s="8" t="s">
        <v>17</v>
      </c>
      <c r="D1110" s="2">
        <v>43255</v>
      </c>
      <c r="E1110" s="3">
        <f>400000/100000</f>
        <v>4</v>
      </c>
      <c r="F1110" t="s">
        <v>48</v>
      </c>
      <c r="G1110" t="s">
        <v>49</v>
      </c>
      <c r="H1110" t="s">
        <v>50</v>
      </c>
      <c r="I1110" s="6" t="s">
        <v>707</v>
      </c>
      <c r="J1110" s="61" t="s">
        <v>22</v>
      </c>
      <c r="L1110" s="5" t="str">
        <f t="shared" si="193"/>
        <v>01109</v>
      </c>
      <c r="M1110" s="47" t="str">
        <f t="shared" si="194"/>
        <v>04 de junio de 2018</v>
      </c>
      <c r="N1110" s="323">
        <f t="shared" si="188"/>
        <v>4</v>
      </c>
      <c r="O1110" s="25">
        <f t="shared" si="195"/>
        <v>43252</v>
      </c>
      <c r="P1110" s="5" t="str">
        <f t="shared" si="196"/>
        <v>4,00</v>
      </c>
      <c r="Q1110" s="4" t="e">
        <f t="shared" ca="1" si="197"/>
        <v>#NAME?</v>
      </c>
    </row>
    <row r="1111" spans="1:17">
      <c r="A1111" s="1">
        <f t="shared" si="189"/>
        <v>1110</v>
      </c>
      <c r="C1111" s="8" t="s">
        <v>17</v>
      </c>
      <c r="D1111" s="2">
        <v>43255</v>
      </c>
      <c r="E1111" s="3">
        <f>400000/100000</f>
        <v>4</v>
      </c>
      <c r="F1111" t="s">
        <v>62</v>
      </c>
      <c r="G1111" t="s">
        <v>63</v>
      </c>
      <c r="H1111" t="s">
        <v>64</v>
      </c>
      <c r="I1111" s="6" t="s">
        <v>684</v>
      </c>
      <c r="J1111" s="61" t="s">
        <v>22</v>
      </c>
      <c r="L1111" s="5" t="str">
        <f t="shared" si="193"/>
        <v>01110</v>
      </c>
      <c r="M1111" s="47" t="str">
        <f t="shared" si="194"/>
        <v>04 de junio de 2018</v>
      </c>
      <c r="N1111" s="323">
        <f t="shared" si="188"/>
        <v>4</v>
      </c>
      <c r="O1111" s="25">
        <f t="shared" si="195"/>
        <v>43252</v>
      </c>
      <c r="P1111" s="5" t="str">
        <f t="shared" si="196"/>
        <v>4,00</v>
      </c>
      <c r="Q1111" s="4" t="e">
        <f t="shared" ca="1" si="197"/>
        <v>#NAME?</v>
      </c>
    </row>
    <row r="1112" spans="1:17">
      <c r="A1112" s="1">
        <f t="shared" si="189"/>
        <v>1111</v>
      </c>
      <c r="C1112" s="8" t="s">
        <v>17</v>
      </c>
      <c r="D1112" s="2">
        <v>43255</v>
      </c>
      <c r="E1112" s="3">
        <f>100000/100000</f>
        <v>1</v>
      </c>
      <c r="F1112" t="s">
        <v>167</v>
      </c>
      <c r="G1112" t="s">
        <v>168</v>
      </c>
      <c r="H1112" t="s">
        <v>169</v>
      </c>
      <c r="I1112" s="6" t="s">
        <v>702</v>
      </c>
      <c r="J1112" s="61" t="s">
        <v>22</v>
      </c>
      <c r="L1112" s="5" t="str">
        <f t="shared" si="193"/>
        <v>01111</v>
      </c>
      <c r="M1112" s="47" t="str">
        <f t="shared" si="194"/>
        <v>04 de junio de 2018</v>
      </c>
      <c r="N1112" s="323">
        <f t="shared" si="188"/>
        <v>4</v>
      </c>
      <c r="O1112" s="25">
        <f t="shared" si="195"/>
        <v>43252</v>
      </c>
      <c r="P1112" s="5" t="str">
        <f t="shared" si="196"/>
        <v>1,00</v>
      </c>
      <c r="Q1112" s="4" t="e">
        <f t="shared" ca="1" si="197"/>
        <v>#NAME?</v>
      </c>
    </row>
    <row r="1113" spans="1:17">
      <c r="A1113" s="1">
        <f t="shared" si="189"/>
        <v>1112</v>
      </c>
      <c r="C1113" s="8" t="s">
        <v>17</v>
      </c>
      <c r="D1113" s="2">
        <v>43255</v>
      </c>
      <c r="E1113" s="3">
        <f>400000/100000</f>
        <v>4</v>
      </c>
      <c r="F1113" t="s">
        <v>80</v>
      </c>
      <c r="G1113" t="s">
        <v>81</v>
      </c>
      <c r="H1113" t="s">
        <v>82</v>
      </c>
      <c r="I1113" s="6" t="s">
        <v>707</v>
      </c>
      <c r="J1113" s="61" t="s">
        <v>22</v>
      </c>
      <c r="L1113" s="5" t="str">
        <f t="shared" si="193"/>
        <v>01112</v>
      </c>
      <c r="M1113" s="47" t="str">
        <f t="shared" si="194"/>
        <v>04 de junio de 2018</v>
      </c>
      <c r="N1113" s="323">
        <f t="shared" si="188"/>
        <v>4</v>
      </c>
      <c r="O1113" s="25">
        <f t="shared" si="195"/>
        <v>43252</v>
      </c>
      <c r="P1113" s="5" t="str">
        <f t="shared" si="196"/>
        <v>4,00</v>
      </c>
      <c r="Q1113" s="4" t="e">
        <f t="shared" ca="1" si="197"/>
        <v>#NAME?</v>
      </c>
    </row>
    <row r="1114" spans="1:17">
      <c r="A1114" s="1">
        <f t="shared" si="189"/>
        <v>1113</v>
      </c>
      <c r="C1114" s="8" t="s">
        <v>17</v>
      </c>
      <c r="D1114" s="2">
        <v>43255</v>
      </c>
      <c r="E1114" s="3">
        <f>120000/100000+140000/100000+200000/100000</f>
        <v>4.5999999999999996</v>
      </c>
      <c r="F1114" t="s">
        <v>130</v>
      </c>
      <c r="G1114" t="s">
        <v>131</v>
      </c>
      <c r="H1114" t="s">
        <v>132</v>
      </c>
      <c r="I1114" s="6" t="s">
        <v>662</v>
      </c>
      <c r="J1114" s="61" t="s">
        <v>22</v>
      </c>
      <c r="L1114" s="5" t="str">
        <f t="shared" si="193"/>
        <v>01113</v>
      </c>
      <c r="M1114" s="47" t="str">
        <f t="shared" si="194"/>
        <v>04 de junio de 2018</v>
      </c>
      <c r="N1114" s="323">
        <f t="shared" si="188"/>
        <v>4</v>
      </c>
      <c r="O1114" s="25">
        <f t="shared" si="195"/>
        <v>43252</v>
      </c>
      <c r="P1114" s="5" t="str">
        <f t="shared" si="196"/>
        <v>4,60</v>
      </c>
      <c r="Q1114" s="4" t="e">
        <f t="shared" ca="1" si="197"/>
        <v>#NAME?</v>
      </c>
    </row>
    <row r="1115" spans="1:17">
      <c r="A1115" s="1">
        <f t="shared" si="189"/>
        <v>1114</v>
      </c>
      <c r="C1115" s="8" t="s">
        <v>17</v>
      </c>
      <c r="D1115" s="2">
        <v>43255</v>
      </c>
      <c r="E1115" s="3">
        <f>200000/100000</f>
        <v>2</v>
      </c>
      <c r="F1115" t="s">
        <v>412</v>
      </c>
      <c r="G1115" t="s">
        <v>413</v>
      </c>
      <c r="H1115" t="s">
        <v>414</v>
      </c>
      <c r="I1115" s="6" t="s">
        <v>702</v>
      </c>
      <c r="J1115" s="61" t="s">
        <v>22</v>
      </c>
      <c r="L1115" s="5" t="str">
        <f t="shared" si="193"/>
        <v>01114</v>
      </c>
      <c r="M1115" s="47" t="str">
        <f t="shared" si="194"/>
        <v>04 de junio de 2018</v>
      </c>
      <c r="N1115" s="323">
        <f t="shared" si="188"/>
        <v>4</v>
      </c>
      <c r="O1115" s="25">
        <f t="shared" si="195"/>
        <v>43252</v>
      </c>
      <c r="P1115" s="5" t="str">
        <f t="shared" si="196"/>
        <v>2,00</v>
      </c>
      <c r="Q1115" s="4" t="e">
        <f t="shared" ca="1" si="197"/>
        <v>#NAME?</v>
      </c>
    </row>
    <row r="1116" spans="1:17" ht="15.75" thickBot="1">
      <c r="A1116" s="1">
        <f t="shared" si="189"/>
        <v>1115</v>
      </c>
      <c r="C1116" s="8" t="s">
        <v>17</v>
      </c>
      <c r="D1116" s="2">
        <v>43255</v>
      </c>
      <c r="E1116" s="3">
        <f>300000/100000</f>
        <v>3</v>
      </c>
      <c r="F1116" t="s">
        <v>412</v>
      </c>
      <c r="G1116" t="s">
        <v>413</v>
      </c>
      <c r="H1116" t="s">
        <v>414</v>
      </c>
      <c r="I1116" s="6" t="s">
        <v>672</v>
      </c>
      <c r="J1116" s="61" t="s">
        <v>673</v>
      </c>
      <c r="L1116" s="5" t="str">
        <f t="shared" si="193"/>
        <v>01115</v>
      </c>
      <c r="M1116" s="47" t="str">
        <f t="shared" si="194"/>
        <v>04 de junio de 2018</v>
      </c>
      <c r="N1116" s="323">
        <f t="shared" si="188"/>
        <v>4</v>
      </c>
      <c r="O1116" s="25">
        <f t="shared" si="195"/>
        <v>43252</v>
      </c>
      <c r="P1116" s="5" t="str">
        <f t="shared" si="196"/>
        <v>3,00</v>
      </c>
      <c r="Q1116" s="4" t="e">
        <f t="shared" ca="1" si="197"/>
        <v>#NAME?</v>
      </c>
    </row>
    <row r="1117" spans="1:17" ht="15.75" thickBot="1">
      <c r="A1117" s="1">
        <f t="shared" si="189"/>
        <v>1116</v>
      </c>
      <c r="C1117" s="8" t="s">
        <v>17</v>
      </c>
      <c r="D1117" s="2">
        <v>43257</v>
      </c>
      <c r="E1117" s="3">
        <f>400000*2/100000</f>
        <v>8</v>
      </c>
      <c r="F1117" t="s">
        <v>40</v>
      </c>
      <c r="G1117" s="18" t="s">
        <v>58</v>
      </c>
      <c r="H1117" t="s">
        <v>42</v>
      </c>
      <c r="I1117" s="6" t="s">
        <v>722</v>
      </c>
      <c r="J1117" s="61" t="s">
        <v>22</v>
      </c>
      <c r="L1117" s="5" t="str">
        <f t="shared" si="193"/>
        <v>01116</v>
      </c>
      <c r="M1117" s="47" t="str">
        <f t="shared" si="194"/>
        <v>06 de junio de 2018</v>
      </c>
      <c r="N1117" s="323">
        <f t="shared" si="188"/>
        <v>6</v>
      </c>
      <c r="O1117" s="25">
        <f t="shared" si="195"/>
        <v>43252</v>
      </c>
      <c r="P1117" s="5" t="str">
        <f t="shared" si="196"/>
        <v>8,00</v>
      </c>
      <c r="Q1117" s="4" t="e">
        <f t="shared" ca="1" si="197"/>
        <v>#NAME?</v>
      </c>
    </row>
    <row r="1118" spans="1:17" ht="15.75" thickBot="1">
      <c r="A1118" s="1">
        <f t="shared" si="189"/>
        <v>1117</v>
      </c>
      <c r="C1118" s="8" t="s">
        <v>17</v>
      </c>
      <c r="D1118" s="2">
        <v>43257</v>
      </c>
      <c r="E1118" s="3">
        <f>300000/100000</f>
        <v>3</v>
      </c>
      <c r="F1118" t="s">
        <v>40</v>
      </c>
      <c r="G1118" s="18" t="s">
        <v>58</v>
      </c>
      <c r="H1118" t="s">
        <v>42</v>
      </c>
      <c r="I1118" s="6" t="s">
        <v>672</v>
      </c>
      <c r="J1118" s="61" t="s">
        <v>673</v>
      </c>
      <c r="L1118" s="5" t="str">
        <f t="shared" si="193"/>
        <v>01117</v>
      </c>
      <c r="M1118" s="47" t="str">
        <f t="shared" si="194"/>
        <v>06 de junio de 2018</v>
      </c>
      <c r="N1118" s="323">
        <f t="shared" si="188"/>
        <v>6</v>
      </c>
      <c r="O1118" s="25">
        <f t="shared" si="195"/>
        <v>43252</v>
      </c>
      <c r="P1118" s="5" t="str">
        <f t="shared" si="196"/>
        <v>3,00</v>
      </c>
      <c r="Q1118" s="4" t="e">
        <f t="shared" ca="1" si="197"/>
        <v>#NAME?</v>
      </c>
    </row>
    <row r="1119" spans="1:17">
      <c r="A1119" s="1">
        <f t="shared" si="189"/>
        <v>1118</v>
      </c>
      <c r="C1119" s="8" t="s">
        <v>17</v>
      </c>
      <c r="D1119" s="2">
        <v>43257</v>
      </c>
      <c r="E1119" s="3">
        <f t="shared" ref="E1119:E1127" si="198">400000/100000</f>
        <v>4</v>
      </c>
      <c r="F1119" t="s">
        <v>713</v>
      </c>
      <c r="G1119" t="s">
        <v>714</v>
      </c>
      <c r="H1119" t="s">
        <v>154</v>
      </c>
      <c r="I1119" s="6" t="s">
        <v>707</v>
      </c>
      <c r="J1119" s="61" t="s">
        <v>22</v>
      </c>
      <c r="L1119" s="5" t="str">
        <f t="shared" si="193"/>
        <v>01118</v>
      </c>
      <c r="M1119" s="47" t="str">
        <f t="shared" si="194"/>
        <v>06 de junio de 2018</v>
      </c>
      <c r="N1119" s="323">
        <f t="shared" si="188"/>
        <v>6</v>
      </c>
      <c r="O1119" s="25">
        <f t="shared" si="195"/>
        <v>43252</v>
      </c>
      <c r="P1119" s="5" t="str">
        <f>TEXT(E1119,"#.##0,00")</f>
        <v>4,00</v>
      </c>
      <c r="Q1119" s="4" t="e">
        <f ca="1">CONVERTIRNUM(E1119)</f>
        <v>#NAME?</v>
      </c>
    </row>
    <row r="1120" spans="1:17">
      <c r="A1120" s="1">
        <f t="shared" si="189"/>
        <v>1119</v>
      </c>
      <c r="C1120" s="8" t="s">
        <v>17</v>
      </c>
      <c r="D1120" s="2">
        <v>43257</v>
      </c>
      <c r="E1120" s="3">
        <f t="shared" si="198"/>
        <v>4</v>
      </c>
      <c r="F1120" t="s">
        <v>483</v>
      </c>
      <c r="G1120" t="s">
        <v>484</v>
      </c>
      <c r="H1120" t="s">
        <v>485</v>
      </c>
      <c r="I1120" s="6" t="s">
        <v>707</v>
      </c>
      <c r="J1120" s="61" t="s">
        <v>22</v>
      </c>
      <c r="L1120" s="5" t="str">
        <f t="shared" si="193"/>
        <v>01119</v>
      </c>
      <c r="M1120" s="47" t="str">
        <f t="shared" si="194"/>
        <v>06 de junio de 2018</v>
      </c>
      <c r="N1120" s="323">
        <f t="shared" si="188"/>
        <v>6</v>
      </c>
      <c r="O1120" s="25">
        <f t="shared" si="195"/>
        <v>43252</v>
      </c>
      <c r="P1120" s="5" t="str">
        <f t="shared" ref="P1120:P1152" si="199">TEXT(E1120,"#.##0,00")</f>
        <v>4,00</v>
      </c>
      <c r="Q1120" s="4" t="e">
        <f t="shared" ref="Q1120:Q1152" ca="1" si="200">CONVERTIRNUM(E1120)</f>
        <v>#NAME?</v>
      </c>
    </row>
    <row r="1121" spans="1:17">
      <c r="A1121" s="1">
        <f t="shared" si="189"/>
        <v>1120</v>
      </c>
      <c r="C1121" s="8" t="s">
        <v>17</v>
      </c>
      <c r="D1121" s="2">
        <v>43257</v>
      </c>
      <c r="E1121" s="3">
        <f t="shared" si="198"/>
        <v>4</v>
      </c>
      <c r="F1121" t="s">
        <v>18</v>
      </c>
      <c r="G1121" t="s">
        <v>19</v>
      </c>
      <c r="H1121" t="s">
        <v>20</v>
      </c>
      <c r="I1121" s="6" t="s">
        <v>723</v>
      </c>
      <c r="J1121" s="61" t="s">
        <v>22</v>
      </c>
      <c r="L1121" s="5" t="str">
        <f t="shared" si="193"/>
        <v>01120</v>
      </c>
      <c r="M1121" s="47" t="str">
        <f t="shared" si="194"/>
        <v>06 de junio de 2018</v>
      </c>
      <c r="N1121" s="323">
        <f t="shared" si="188"/>
        <v>6</v>
      </c>
      <c r="O1121" s="25">
        <f t="shared" si="195"/>
        <v>43252</v>
      </c>
      <c r="P1121" s="5" t="str">
        <f t="shared" si="199"/>
        <v>4,00</v>
      </c>
      <c r="Q1121" s="4" t="e">
        <f t="shared" ca="1" si="200"/>
        <v>#NAME?</v>
      </c>
    </row>
    <row r="1122" spans="1:17">
      <c r="A1122" s="178">
        <f t="shared" si="189"/>
        <v>1121</v>
      </c>
      <c r="C1122" s="8" t="s">
        <v>17</v>
      </c>
      <c r="D1122" s="2">
        <v>43257</v>
      </c>
      <c r="E1122" s="3">
        <f t="shared" si="198"/>
        <v>4</v>
      </c>
      <c r="F1122" t="s">
        <v>438</v>
      </c>
      <c r="G1122" t="s">
        <v>439</v>
      </c>
      <c r="H1122" t="s">
        <v>440</v>
      </c>
      <c r="I1122" s="6" t="s">
        <v>724</v>
      </c>
      <c r="J1122" s="61" t="s">
        <v>22</v>
      </c>
      <c r="L1122" s="5" t="str">
        <f t="shared" si="193"/>
        <v>01121</v>
      </c>
      <c r="M1122" s="47" t="str">
        <f t="shared" si="194"/>
        <v>06 de junio de 2018</v>
      </c>
      <c r="N1122" s="323">
        <f t="shared" si="188"/>
        <v>6</v>
      </c>
      <c r="O1122" s="25">
        <f t="shared" si="195"/>
        <v>43252</v>
      </c>
      <c r="P1122" s="5" t="str">
        <f t="shared" si="199"/>
        <v>4,00</v>
      </c>
      <c r="Q1122" s="4" t="e">
        <f t="shared" ca="1" si="200"/>
        <v>#NAME?</v>
      </c>
    </row>
    <row r="1123" spans="1:17" ht="15.75" thickBot="1">
      <c r="A1123" s="1">
        <f>A1122+1</f>
        <v>1122</v>
      </c>
      <c r="C1123" s="8" t="s">
        <v>17</v>
      </c>
      <c r="D1123" s="2">
        <v>43257</v>
      </c>
      <c r="E1123" s="3">
        <f t="shared" si="198"/>
        <v>4</v>
      </c>
      <c r="F1123" t="s">
        <v>70</v>
      </c>
      <c r="G1123" t="s">
        <v>71</v>
      </c>
      <c r="H1123" t="s">
        <v>72</v>
      </c>
      <c r="I1123" s="6" t="s">
        <v>707</v>
      </c>
      <c r="J1123" s="61" t="s">
        <v>22</v>
      </c>
      <c r="L1123" s="5" t="str">
        <f t="shared" si="193"/>
        <v>01122</v>
      </c>
      <c r="M1123" s="47" t="str">
        <f t="shared" si="194"/>
        <v>06 de junio de 2018</v>
      </c>
      <c r="N1123" s="323">
        <f t="shared" si="188"/>
        <v>6</v>
      </c>
      <c r="O1123" s="25">
        <f t="shared" si="195"/>
        <v>43252</v>
      </c>
      <c r="P1123" s="5" t="str">
        <f t="shared" si="199"/>
        <v>4,00</v>
      </c>
      <c r="Q1123" s="4" t="e">
        <f t="shared" ca="1" si="200"/>
        <v>#NAME?</v>
      </c>
    </row>
    <row r="1124" spans="1:17" ht="15.75" thickBot="1">
      <c r="A1124" s="1">
        <f t="shared" ref="A1124:A1165" si="201">A1123+1</f>
        <v>1123</v>
      </c>
      <c r="C1124" s="8" t="s">
        <v>17</v>
      </c>
      <c r="D1124" s="2">
        <v>43257</v>
      </c>
      <c r="E1124" s="3">
        <f t="shared" si="198"/>
        <v>4</v>
      </c>
      <c r="F1124" t="s">
        <v>280</v>
      </c>
      <c r="G1124" s="18" t="s">
        <v>58</v>
      </c>
      <c r="H1124" t="s">
        <v>282</v>
      </c>
      <c r="I1124" s="6" t="s">
        <v>725</v>
      </c>
      <c r="J1124" s="61" t="s">
        <v>22</v>
      </c>
      <c r="L1124" s="5" t="str">
        <f t="shared" si="193"/>
        <v>01123</v>
      </c>
      <c r="M1124" s="47" t="str">
        <f t="shared" si="194"/>
        <v>06 de junio de 2018</v>
      </c>
      <c r="N1124" s="323">
        <f t="shared" si="188"/>
        <v>6</v>
      </c>
      <c r="O1124" s="25">
        <f t="shared" si="195"/>
        <v>43252</v>
      </c>
      <c r="P1124" s="5" t="str">
        <f t="shared" si="199"/>
        <v>4,00</v>
      </c>
      <c r="Q1124" s="4" t="e">
        <f t="shared" ca="1" si="200"/>
        <v>#NAME?</v>
      </c>
    </row>
    <row r="1125" spans="1:17">
      <c r="A1125" s="1">
        <f t="shared" si="201"/>
        <v>1124</v>
      </c>
      <c r="C1125" s="8" t="s">
        <v>17</v>
      </c>
      <c r="D1125" s="2">
        <v>43257</v>
      </c>
      <c r="E1125" s="3">
        <f t="shared" si="198"/>
        <v>4</v>
      </c>
      <c r="F1125" t="s">
        <v>36</v>
      </c>
      <c r="G1125" t="s">
        <v>37</v>
      </c>
      <c r="H1125" t="s">
        <v>38</v>
      </c>
      <c r="I1125" s="6" t="s">
        <v>726</v>
      </c>
      <c r="J1125" s="61" t="s">
        <v>22</v>
      </c>
      <c r="L1125" s="5" t="str">
        <f t="shared" si="193"/>
        <v>01124</v>
      </c>
      <c r="M1125" s="47" t="str">
        <f t="shared" si="194"/>
        <v>06 de junio de 2018</v>
      </c>
      <c r="N1125" s="323">
        <f t="shared" si="188"/>
        <v>6</v>
      </c>
      <c r="O1125" s="25">
        <f t="shared" si="195"/>
        <v>43252</v>
      </c>
      <c r="P1125" s="5" t="str">
        <f t="shared" si="199"/>
        <v>4,00</v>
      </c>
      <c r="Q1125" s="4" t="e">
        <f t="shared" ca="1" si="200"/>
        <v>#NAME?</v>
      </c>
    </row>
    <row r="1126" spans="1:17">
      <c r="A1126" s="1">
        <f t="shared" si="201"/>
        <v>1125</v>
      </c>
      <c r="C1126" s="8" t="s">
        <v>17</v>
      </c>
      <c r="D1126" s="2">
        <v>43258</v>
      </c>
      <c r="E1126" s="3">
        <f t="shared" si="198"/>
        <v>4</v>
      </c>
      <c r="F1126" t="s">
        <v>100</v>
      </c>
      <c r="G1126" t="s">
        <v>95</v>
      </c>
      <c r="H1126" t="s">
        <v>101</v>
      </c>
      <c r="I1126" s="6" t="s">
        <v>707</v>
      </c>
      <c r="J1126" s="61" t="s">
        <v>22</v>
      </c>
      <c r="L1126" s="5" t="str">
        <f t="shared" si="193"/>
        <v>01125</v>
      </c>
      <c r="M1126" s="47" t="str">
        <f t="shared" si="194"/>
        <v>07 de junio de 2018</v>
      </c>
      <c r="N1126" s="323">
        <f t="shared" si="188"/>
        <v>7</v>
      </c>
      <c r="O1126" s="25">
        <f t="shared" si="195"/>
        <v>43252</v>
      </c>
      <c r="P1126" s="5" t="str">
        <f t="shared" si="199"/>
        <v>4,00</v>
      </c>
      <c r="Q1126" s="4" t="e">
        <f t="shared" ca="1" si="200"/>
        <v>#NAME?</v>
      </c>
    </row>
    <row r="1127" spans="1:17">
      <c r="A1127" s="1">
        <f t="shared" si="201"/>
        <v>1126</v>
      </c>
      <c r="C1127" s="8" t="s">
        <v>17</v>
      </c>
      <c r="D1127" s="2">
        <v>43258</v>
      </c>
      <c r="E1127" s="3">
        <f t="shared" si="198"/>
        <v>4</v>
      </c>
      <c r="F1127" t="s">
        <v>24</v>
      </c>
      <c r="G1127" t="s">
        <v>25</v>
      </c>
      <c r="H1127" t="s">
        <v>26</v>
      </c>
      <c r="I1127" s="6" t="s">
        <v>707</v>
      </c>
      <c r="J1127" s="61" t="s">
        <v>22</v>
      </c>
      <c r="L1127" s="5" t="str">
        <f t="shared" si="193"/>
        <v>01126</v>
      </c>
      <c r="M1127" s="47" t="str">
        <f t="shared" si="194"/>
        <v>07 de junio de 2018</v>
      </c>
      <c r="N1127" s="323">
        <f t="shared" si="188"/>
        <v>7</v>
      </c>
      <c r="O1127" s="25">
        <f t="shared" si="195"/>
        <v>43252</v>
      </c>
      <c r="P1127" s="5" t="str">
        <f t="shared" si="199"/>
        <v>4,00</v>
      </c>
      <c r="Q1127" s="4" t="e">
        <f t="shared" ca="1" si="200"/>
        <v>#NAME?</v>
      </c>
    </row>
    <row r="1128" spans="1:17" ht="15.75" thickBot="1">
      <c r="A1128" s="1">
        <f t="shared" si="201"/>
        <v>1127</v>
      </c>
      <c r="C1128" s="8" t="s">
        <v>17</v>
      </c>
      <c r="D1128" s="2">
        <v>43258</v>
      </c>
      <c r="E1128" s="3">
        <f>400/100000+399600/100000</f>
        <v>4</v>
      </c>
      <c r="F1128" t="s">
        <v>201</v>
      </c>
      <c r="G1128" t="s">
        <v>202</v>
      </c>
      <c r="H1128" t="s">
        <v>203</v>
      </c>
      <c r="I1128" s="6" t="s">
        <v>707</v>
      </c>
      <c r="J1128" s="61" t="s">
        <v>22</v>
      </c>
      <c r="L1128" s="5" t="str">
        <f t="shared" si="193"/>
        <v>01127</v>
      </c>
      <c r="M1128" s="47" t="str">
        <f t="shared" si="194"/>
        <v>07 de junio de 2018</v>
      </c>
      <c r="N1128" s="323">
        <f t="shared" si="188"/>
        <v>7</v>
      </c>
      <c r="O1128" s="25">
        <f t="shared" si="195"/>
        <v>43252</v>
      </c>
      <c r="P1128" s="5" t="str">
        <f t="shared" si="199"/>
        <v>4,00</v>
      </c>
      <c r="Q1128" s="4" t="e">
        <f t="shared" ca="1" si="200"/>
        <v>#NAME?</v>
      </c>
    </row>
    <row r="1129" spans="1:17" ht="15.75" thickBot="1">
      <c r="A1129" s="1">
        <f t="shared" si="201"/>
        <v>1128</v>
      </c>
      <c r="C1129" s="85" t="s">
        <v>17</v>
      </c>
      <c r="D1129" s="2">
        <v>43259</v>
      </c>
      <c r="E1129" s="3">
        <f>100000/100000</f>
        <v>1</v>
      </c>
      <c r="F1129" t="s">
        <v>492</v>
      </c>
      <c r="G1129" s="18" t="s">
        <v>58</v>
      </c>
      <c r="H1129" t="s">
        <v>493</v>
      </c>
      <c r="I1129" s="6" t="s">
        <v>702</v>
      </c>
      <c r="J1129" s="61" t="s">
        <v>22</v>
      </c>
      <c r="L1129" s="5" t="str">
        <f t="shared" si="193"/>
        <v>01128</v>
      </c>
      <c r="M1129" s="47" t="str">
        <f t="shared" si="194"/>
        <v>08 de junio de 2018</v>
      </c>
      <c r="N1129" s="323">
        <f t="shared" si="188"/>
        <v>8</v>
      </c>
      <c r="O1129" s="25">
        <f t="shared" si="195"/>
        <v>43252</v>
      </c>
      <c r="P1129" s="5" t="str">
        <f t="shared" si="199"/>
        <v>1,00</v>
      </c>
      <c r="Q1129" s="4" t="e">
        <f t="shared" ca="1" si="200"/>
        <v>#NAME?</v>
      </c>
    </row>
    <row r="1130" spans="1:17">
      <c r="A1130" s="1">
        <f t="shared" si="201"/>
        <v>1129</v>
      </c>
      <c r="C1130" s="8" t="s">
        <v>17</v>
      </c>
      <c r="D1130" s="2">
        <v>43259</v>
      </c>
      <c r="E1130" s="3">
        <f>400000/100000</f>
        <v>4</v>
      </c>
      <c r="F1130" t="s">
        <v>312</v>
      </c>
      <c r="G1130" t="s">
        <v>313</v>
      </c>
      <c r="H1130" t="s">
        <v>314</v>
      </c>
      <c r="I1130" s="6" t="s">
        <v>684</v>
      </c>
      <c r="J1130" s="61" t="s">
        <v>22</v>
      </c>
      <c r="L1130" s="5" t="str">
        <f t="shared" si="193"/>
        <v>01129</v>
      </c>
      <c r="M1130" s="47" t="str">
        <f t="shared" si="194"/>
        <v>08 de junio de 2018</v>
      </c>
      <c r="N1130" s="323">
        <f t="shared" si="188"/>
        <v>8</v>
      </c>
      <c r="O1130" s="25">
        <f t="shared" si="195"/>
        <v>43252</v>
      </c>
      <c r="P1130" s="5" t="str">
        <f t="shared" si="199"/>
        <v>4,00</v>
      </c>
      <c r="Q1130" s="4" t="e">
        <f t="shared" ca="1" si="200"/>
        <v>#NAME?</v>
      </c>
    </row>
    <row r="1131" spans="1:17">
      <c r="A1131" s="1">
        <f t="shared" si="201"/>
        <v>1130</v>
      </c>
      <c r="C1131" s="8" t="s">
        <v>17</v>
      </c>
      <c r="D1131" s="2">
        <v>43259</v>
      </c>
      <c r="E1131" s="3">
        <f>350000/100000</f>
        <v>3.5</v>
      </c>
      <c r="F1131" t="s">
        <v>62</v>
      </c>
      <c r="G1131" t="s">
        <v>63</v>
      </c>
      <c r="H1131" t="s">
        <v>64</v>
      </c>
      <c r="I1131" s="6" t="s">
        <v>672</v>
      </c>
      <c r="J1131" s="61" t="s">
        <v>673</v>
      </c>
      <c r="L1131" s="5" t="str">
        <f t="shared" ref="L1131:L1152" si="202">IF(ISBLANK(A1131),"",TEXT(A1131,"00000"))</f>
        <v>01130</v>
      </c>
      <c r="M1131" s="47" t="str">
        <f t="shared" ref="M1131:M1152" si="203">IF(ISBLANK(D1131),"",TEXT(D1131,"dd")&amp;" de "&amp;TEXT(D1131,"mmmm")&amp;" de "&amp;TEXT(YEAR(D1131),"0"))</f>
        <v>08 de junio de 2018</v>
      </c>
      <c r="N1131" s="323">
        <f t="shared" si="188"/>
        <v>8</v>
      </c>
      <c r="O1131" s="25">
        <f t="shared" ref="O1131:O1152" si="204">DATE(YEAR(D1131),MONTH(D1131),1)</f>
        <v>43252</v>
      </c>
      <c r="P1131" s="5" t="str">
        <f t="shared" si="199"/>
        <v>3,50</v>
      </c>
      <c r="Q1131" s="4" t="e">
        <f t="shared" ca="1" si="200"/>
        <v>#NAME?</v>
      </c>
    </row>
    <row r="1132" spans="1:17" ht="15.75" thickBot="1">
      <c r="A1132" s="1">
        <f t="shared" si="201"/>
        <v>1131</v>
      </c>
      <c r="C1132" s="8" t="s">
        <v>17</v>
      </c>
      <c r="D1132" s="2">
        <v>43260</v>
      </c>
      <c r="E1132" s="3">
        <f>100000/100000</f>
        <v>1</v>
      </c>
      <c r="F1132" t="s">
        <v>433</v>
      </c>
      <c r="G1132" t="s">
        <v>434</v>
      </c>
      <c r="H1132" t="s">
        <v>435</v>
      </c>
      <c r="I1132" s="6" t="s">
        <v>727</v>
      </c>
      <c r="J1132" s="61" t="s">
        <v>22</v>
      </c>
      <c r="L1132" s="5" t="str">
        <f t="shared" si="202"/>
        <v>01131</v>
      </c>
      <c r="M1132" s="47" t="str">
        <f t="shared" si="203"/>
        <v>09 de junio de 2018</v>
      </c>
      <c r="N1132" s="323">
        <f t="shared" si="188"/>
        <v>9</v>
      </c>
      <c r="O1132" s="25">
        <f t="shared" si="204"/>
        <v>43252</v>
      </c>
      <c r="P1132" s="5" t="str">
        <f t="shared" si="199"/>
        <v>1,00</v>
      </c>
      <c r="Q1132" s="4" t="e">
        <f t="shared" ca="1" si="200"/>
        <v>#NAME?</v>
      </c>
    </row>
    <row r="1133" spans="1:17" ht="15.75" thickBot="1">
      <c r="A1133" s="1">
        <f t="shared" si="201"/>
        <v>1132</v>
      </c>
      <c r="C1133" s="8" t="s">
        <v>17</v>
      </c>
      <c r="D1133" s="2">
        <v>43260</v>
      </c>
      <c r="E1133" s="3">
        <f>(140*2+400*2)*1000/100000</f>
        <v>10.8</v>
      </c>
      <c r="F1133" t="s">
        <v>479</v>
      </c>
      <c r="G1133" s="18" t="s">
        <v>58</v>
      </c>
      <c r="H1133" t="s">
        <v>481</v>
      </c>
      <c r="I1133" s="6" t="s">
        <v>728</v>
      </c>
      <c r="J1133" s="61" t="s">
        <v>22</v>
      </c>
      <c r="L1133" s="5" t="str">
        <f t="shared" si="202"/>
        <v>01132</v>
      </c>
      <c r="M1133" s="47" t="str">
        <f t="shared" si="203"/>
        <v>09 de junio de 2018</v>
      </c>
      <c r="N1133" s="323">
        <f t="shared" si="188"/>
        <v>9</v>
      </c>
      <c r="O1133" s="25">
        <f t="shared" si="204"/>
        <v>43252</v>
      </c>
      <c r="P1133" s="5" t="str">
        <f t="shared" si="199"/>
        <v>10,80</v>
      </c>
      <c r="Q1133" s="4" t="e">
        <f t="shared" ca="1" si="200"/>
        <v>#NAME?</v>
      </c>
    </row>
    <row r="1134" spans="1:17">
      <c r="A1134" s="1">
        <f t="shared" si="201"/>
        <v>1133</v>
      </c>
      <c r="C1134" s="8" t="s">
        <v>17</v>
      </c>
      <c r="D1134" s="2">
        <v>43261</v>
      </c>
      <c r="E1134" s="3">
        <f>400000/100000</f>
        <v>4</v>
      </c>
      <c r="F1134" t="s">
        <v>84</v>
      </c>
      <c r="G1134" t="s">
        <v>85</v>
      </c>
      <c r="H1134" t="s">
        <v>86</v>
      </c>
      <c r="I1134" s="6" t="s">
        <v>707</v>
      </c>
      <c r="J1134" s="61" t="s">
        <v>22</v>
      </c>
      <c r="L1134" s="5" t="str">
        <f t="shared" si="202"/>
        <v>01133</v>
      </c>
      <c r="M1134" s="47" t="str">
        <f t="shared" si="203"/>
        <v>10 de junio de 2018</v>
      </c>
      <c r="N1134" s="323">
        <f t="shared" si="188"/>
        <v>10</v>
      </c>
      <c r="O1134" s="25">
        <f t="shared" si="204"/>
        <v>43252</v>
      </c>
      <c r="P1134" s="5" t="str">
        <f t="shared" si="199"/>
        <v>4,00</v>
      </c>
      <c r="Q1134" s="4" t="e">
        <f t="shared" ca="1" si="200"/>
        <v>#NAME?</v>
      </c>
    </row>
    <row r="1135" spans="1:17">
      <c r="A1135" s="1">
        <f t="shared" si="201"/>
        <v>1134</v>
      </c>
      <c r="C1135" s="8" t="s">
        <v>17</v>
      </c>
      <c r="D1135" s="2">
        <v>43261</v>
      </c>
      <c r="E1135" s="3">
        <f>400000/100000</f>
        <v>4</v>
      </c>
      <c r="F1135" t="s">
        <v>118</v>
      </c>
      <c r="G1135" t="s">
        <v>119</v>
      </c>
      <c r="H1135" t="s">
        <v>120</v>
      </c>
      <c r="I1135" s="6" t="s">
        <v>729</v>
      </c>
      <c r="J1135" s="61" t="s">
        <v>22</v>
      </c>
      <c r="L1135" s="5" t="str">
        <f t="shared" si="202"/>
        <v>01134</v>
      </c>
      <c r="M1135" s="47" t="str">
        <f t="shared" si="203"/>
        <v>10 de junio de 2018</v>
      </c>
      <c r="N1135" s="323">
        <f t="shared" si="188"/>
        <v>10</v>
      </c>
      <c r="O1135" s="25">
        <f t="shared" si="204"/>
        <v>43252</v>
      </c>
      <c r="P1135" s="5" t="str">
        <f t="shared" si="199"/>
        <v>4,00</v>
      </c>
      <c r="Q1135" s="4" t="e">
        <f t="shared" ca="1" si="200"/>
        <v>#NAME?</v>
      </c>
    </row>
    <row r="1136" spans="1:17">
      <c r="A1136" s="1">
        <f t="shared" si="201"/>
        <v>1135</v>
      </c>
      <c r="C1136" s="8" t="s">
        <v>17</v>
      </c>
      <c r="D1136" s="2">
        <v>43261</v>
      </c>
      <c r="E1136" s="3">
        <f>350000/100000</f>
        <v>3.5</v>
      </c>
      <c r="F1136" t="s">
        <v>118</v>
      </c>
      <c r="G1136" t="s">
        <v>119</v>
      </c>
      <c r="H1136" t="s">
        <v>120</v>
      </c>
      <c r="I1136" s="6" t="s">
        <v>672</v>
      </c>
      <c r="J1136" s="61" t="s">
        <v>673</v>
      </c>
      <c r="L1136" s="5" t="str">
        <f t="shared" si="202"/>
        <v>01135</v>
      </c>
      <c r="M1136" s="47" t="str">
        <f t="shared" si="203"/>
        <v>10 de junio de 2018</v>
      </c>
      <c r="N1136" s="323">
        <f t="shared" si="188"/>
        <v>10</v>
      </c>
      <c r="O1136" s="25">
        <f t="shared" si="204"/>
        <v>43252</v>
      </c>
      <c r="P1136" s="5" t="str">
        <f t="shared" si="199"/>
        <v>3,50</v>
      </c>
      <c r="Q1136" s="4" t="e">
        <f t="shared" ca="1" si="200"/>
        <v>#NAME?</v>
      </c>
    </row>
    <row r="1137" spans="1:17">
      <c r="A1137" s="1">
        <f t="shared" si="201"/>
        <v>1136</v>
      </c>
      <c r="C1137" s="8" t="s">
        <v>17</v>
      </c>
      <c r="D1137" s="2">
        <v>43262</v>
      </c>
      <c r="E1137" s="3">
        <f>400000/100000</f>
        <v>4</v>
      </c>
      <c r="F1137" t="s">
        <v>62</v>
      </c>
      <c r="G1137" t="s">
        <v>63</v>
      </c>
      <c r="H1137" t="s">
        <v>64</v>
      </c>
      <c r="I1137" s="6" t="s">
        <v>707</v>
      </c>
      <c r="J1137" s="61" t="s">
        <v>22</v>
      </c>
      <c r="L1137" s="5" t="str">
        <f t="shared" si="202"/>
        <v>01136</v>
      </c>
      <c r="M1137" s="47" t="str">
        <f t="shared" si="203"/>
        <v>11 de junio de 2018</v>
      </c>
      <c r="N1137" s="323">
        <f t="shared" si="188"/>
        <v>11</v>
      </c>
      <c r="O1137" s="25">
        <f t="shared" si="204"/>
        <v>43252</v>
      </c>
      <c r="P1137" s="5" t="str">
        <f t="shared" si="199"/>
        <v>4,00</v>
      </c>
      <c r="Q1137" s="4" t="e">
        <f t="shared" ca="1" si="200"/>
        <v>#NAME?</v>
      </c>
    </row>
    <row r="1138" spans="1:17">
      <c r="A1138" s="1">
        <f t="shared" si="201"/>
        <v>1137</v>
      </c>
      <c r="C1138" s="8" t="s">
        <v>17</v>
      </c>
      <c r="D1138" s="2">
        <v>43262</v>
      </c>
      <c r="E1138" s="3">
        <f>400000/100000</f>
        <v>4</v>
      </c>
      <c r="F1138" t="s">
        <v>362</v>
      </c>
      <c r="G1138" t="s">
        <v>363</v>
      </c>
      <c r="H1138" t="s">
        <v>364</v>
      </c>
      <c r="I1138" s="6" t="s">
        <v>707</v>
      </c>
      <c r="J1138" s="61" t="s">
        <v>22</v>
      </c>
      <c r="L1138" s="5" t="str">
        <f t="shared" si="202"/>
        <v>01137</v>
      </c>
      <c r="M1138" s="47" t="str">
        <f t="shared" si="203"/>
        <v>11 de junio de 2018</v>
      </c>
      <c r="N1138" s="323">
        <f t="shared" si="188"/>
        <v>11</v>
      </c>
      <c r="O1138" s="25">
        <f t="shared" si="204"/>
        <v>43252</v>
      </c>
      <c r="P1138" s="5" t="str">
        <f t="shared" si="199"/>
        <v>4,00</v>
      </c>
      <c r="Q1138" s="4" t="e">
        <f t="shared" ca="1" si="200"/>
        <v>#NAME?</v>
      </c>
    </row>
    <row r="1139" spans="1:17">
      <c r="A1139" s="1">
        <f t="shared" si="201"/>
        <v>1138</v>
      </c>
      <c r="C1139" s="8" t="s">
        <v>17</v>
      </c>
      <c r="D1139" s="2">
        <v>43264</v>
      </c>
      <c r="E1139" s="3">
        <f>200000/100000</f>
        <v>2</v>
      </c>
      <c r="F1139" t="s">
        <v>401</v>
      </c>
      <c r="G1139" t="s">
        <v>402</v>
      </c>
      <c r="H1139" t="s">
        <v>403</v>
      </c>
      <c r="I1139" s="6" t="s">
        <v>729</v>
      </c>
      <c r="J1139" s="61" t="s">
        <v>22</v>
      </c>
      <c r="L1139" s="5" t="str">
        <f t="shared" si="202"/>
        <v>01138</v>
      </c>
      <c r="M1139" s="47" t="str">
        <f t="shared" si="203"/>
        <v>13 de junio de 2018</v>
      </c>
      <c r="N1139" s="323">
        <f t="shared" si="188"/>
        <v>13</v>
      </c>
      <c r="O1139" s="25">
        <f t="shared" si="204"/>
        <v>43252</v>
      </c>
      <c r="P1139" s="5" t="str">
        <f t="shared" si="199"/>
        <v>2,00</v>
      </c>
      <c r="Q1139" s="4" t="e">
        <f t="shared" ca="1" si="200"/>
        <v>#NAME?</v>
      </c>
    </row>
    <row r="1140" spans="1:17">
      <c r="A1140" s="1">
        <f t="shared" si="201"/>
        <v>1139</v>
      </c>
      <c r="C1140" s="8" t="s">
        <v>17</v>
      </c>
      <c r="D1140" s="2">
        <v>43263</v>
      </c>
      <c r="E1140" s="3">
        <f>400000/100000</f>
        <v>4</v>
      </c>
      <c r="F1140" t="s">
        <v>144</v>
      </c>
      <c r="G1140" t="s">
        <v>661</v>
      </c>
      <c r="H1140" t="s">
        <v>146</v>
      </c>
      <c r="I1140" s="6" t="s">
        <v>707</v>
      </c>
      <c r="J1140" s="61" t="s">
        <v>22</v>
      </c>
      <c r="L1140" s="5" t="str">
        <f t="shared" si="202"/>
        <v>01139</v>
      </c>
      <c r="M1140" s="47" t="str">
        <f t="shared" si="203"/>
        <v>12 de junio de 2018</v>
      </c>
      <c r="N1140" s="323">
        <f t="shared" si="188"/>
        <v>12</v>
      </c>
      <c r="O1140" s="25">
        <f t="shared" si="204"/>
        <v>43252</v>
      </c>
      <c r="P1140" s="5" t="str">
        <f t="shared" si="199"/>
        <v>4,00</v>
      </c>
      <c r="Q1140" s="4" t="e">
        <f t="shared" ca="1" si="200"/>
        <v>#NAME?</v>
      </c>
    </row>
    <row r="1141" spans="1:17">
      <c r="A1141" s="1">
        <f t="shared" si="201"/>
        <v>1140</v>
      </c>
      <c r="C1141" s="8" t="s">
        <v>17</v>
      </c>
      <c r="D1141" s="2">
        <v>43264</v>
      </c>
      <c r="E1141" s="3">
        <f>2100000/100000</f>
        <v>21</v>
      </c>
      <c r="F1141" t="s">
        <v>252</v>
      </c>
      <c r="G1141" t="s">
        <v>253</v>
      </c>
      <c r="H1141" t="s">
        <v>254</v>
      </c>
      <c r="I1141" s="6" t="s">
        <v>730</v>
      </c>
      <c r="J1141" s="61" t="s">
        <v>22</v>
      </c>
      <c r="L1141" s="5" t="str">
        <f t="shared" si="202"/>
        <v>01140</v>
      </c>
      <c r="M1141" s="47" t="str">
        <f t="shared" si="203"/>
        <v>13 de junio de 2018</v>
      </c>
      <c r="N1141" s="323">
        <f t="shared" si="188"/>
        <v>13</v>
      </c>
      <c r="O1141" s="25">
        <f t="shared" si="204"/>
        <v>43252</v>
      </c>
      <c r="P1141" s="5" t="str">
        <f t="shared" si="199"/>
        <v>21,00</v>
      </c>
      <c r="Q1141" s="4" t="e">
        <f t="shared" ca="1" si="200"/>
        <v>#NAME?</v>
      </c>
    </row>
    <row r="1142" spans="1:17">
      <c r="A1142" s="1">
        <f t="shared" si="201"/>
        <v>1141</v>
      </c>
      <c r="C1142" s="8" t="s">
        <v>17</v>
      </c>
      <c r="D1142" s="2">
        <v>43265</v>
      </c>
      <c r="E1142" s="3">
        <f>800000/100000</f>
        <v>8</v>
      </c>
      <c r="F1142" t="s">
        <v>324</v>
      </c>
      <c r="G1142" t="s">
        <v>325</v>
      </c>
      <c r="H1142" t="s">
        <v>326</v>
      </c>
      <c r="I1142" s="6" t="s">
        <v>722</v>
      </c>
      <c r="J1142" s="61" t="s">
        <v>22</v>
      </c>
      <c r="L1142" s="5" t="str">
        <f t="shared" si="202"/>
        <v>01141</v>
      </c>
      <c r="M1142" s="47" t="str">
        <f t="shared" si="203"/>
        <v>14 de junio de 2018</v>
      </c>
      <c r="N1142" s="323">
        <f t="shared" si="188"/>
        <v>14</v>
      </c>
      <c r="O1142" s="25">
        <f t="shared" si="204"/>
        <v>43252</v>
      </c>
      <c r="P1142" s="5" t="str">
        <f t="shared" si="199"/>
        <v>8,00</v>
      </c>
      <c r="Q1142" s="4" t="e">
        <f t="shared" ca="1" si="200"/>
        <v>#NAME?</v>
      </c>
    </row>
    <row r="1143" spans="1:17">
      <c r="A1143" s="1">
        <f t="shared" si="201"/>
        <v>1142</v>
      </c>
      <c r="C1143" s="8" t="s">
        <v>17</v>
      </c>
      <c r="D1143" s="2">
        <v>43266</v>
      </c>
      <c r="E1143" s="3">
        <f>400000/100000</f>
        <v>4</v>
      </c>
      <c r="F1143" t="s">
        <v>181</v>
      </c>
      <c r="G1143" t="s">
        <v>182</v>
      </c>
      <c r="H1143" t="s">
        <v>183</v>
      </c>
      <c r="I1143" s="6" t="s">
        <v>707</v>
      </c>
      <c r="J1143" s="61" t="s">
        <v>22</v>
      </c>
      <c r="L1143" s="5" t="str">
        <f t="shared" si="202"/>
        <v>01142</v>
      </c>
      <c r="M1143" s="47" t="str">
        <f t="shared" si="203"/>
        <v>15 de junio de 2018</v>
      </c>
      <c r="N1143" s="323">
        <f t="shared" si="188"/>
        <v>15</v>
      </c>
      <c r="O1143" s="25">
        <f t="shared" si="204"/>
        <v>43252</v>
      </c>
      <c r="P1143" s="5" t="str">
        <f t="shared" si="199"/>
        <v>4,00</v>
      </c>
      <c r="Q1143" s="4" t="e">
        <f t="shared" ca="1" si="200"/>
        <v>#NAME?</v>
      </c>
    </row>
    <row r="1144" spans="1:17">
      <c r="A1144" s="1">
        <f t="shared" si="201"/>
        <v>1143</v>
      </c>
      <c r="C1144" s="8" t="s">
        <v>17</v>
      </c>
      <c r="D1144" s="2">
        <v>43266</v>
      </c>
      <c r="E1144" s="3">
        <f>400000/100000</f>
        <v>4</v>
      </c>
      <c r="F1144" t="s">
        <v>248</v>
      </c>
      <c r="G1144" t="s">
        <v>249</v>
      </c>
      <c r="H1144" t="s">
        <v>250</v>
      </c>
      <c r="I1144" s="6" t="s">
        <v>707</v>
      </c>
      <c r="J1144" s="61" t="s">
        <v>22</v>
      </c>
      <c r="L1144" s="5" t="str">
        <f t="shared" si="202"/>
        <v>01143</v>
      </c>
      <c r="M1144" s="47" t="str">
        <f t="shared" si="203"/>
        <v>15 de junio de 2018</v>
      </c>
      <c r="N1144" s="323">
        <f t="shared" si="188"/>
        <v>15</v>
      </c>
      <c r="O1144" s="25">
        <f t="shared" si="204"/>
        <v>43252</v>
      </c>
      <c r="P1144" s="5" t="str">
        <f t="shared" si="199"/>
        <v>4,00</v>
      </c>
      <c r="Q1144" s="4" t="e">
        <f t="shared" ca="1" si="200"/>
        <v>#NAME?</v>
      </c>
    </row>
    <row r="1145" spans="1:17">
      <c r="A1145" s="1">
        <f t="shared" si="201"/>
        <v>1144</v>
      </c>
      <c r="C1145" s="8" t="s">
        <v>17</v>
      </c>
      <c r="D1145" s="2">
        <v>43266</v>
      </c>
      <c r="E1145" s="3">
        <f>400000/100000</f>
        <v>4</v>
      </c>
      <c r="F1145" t="s">
        <v>248</v>
      </c>
      <c r="G1145" t="s">
        <v>249</v>
      </c>
      <c r="H1145" t="s">
        <v>250</v>
      </c>
      <c r="I1145" s="6" t="s">
        <v>672</v>
      </c>
      <c r="J1145" s="61" t="s">
        <v>673</v>
      </c>
      <c r="L1145" s="5" t="str">
        <f t="shared" si="202"/>
        <v>01144</v>
      </c>
      <c r="M1145" s="47" t="str">
        <f t="shared" si="203"/>
        <v>15 de junio de 2018</v>
      </c>
      <c r="N1145" s="323">
        <f t="shared" si="188"/>
        <v>15</v>
      </c>
      <c r="O1145" s="25">
        <f t="shared" si="204"/>
        <v>43252</v>
      </c>
      <c r="P1145" s="5" t="str">
        <f t="shared" si="199"/>
        <v>4,00</v>
      </c>
      <c r="Q1145" s="4" t="e">
        <f t="shared" ca="1" si="200"/>
        <v>#NAME?</v>
      </c>
    </row>
    <row r="1146" spans="1:17" ht="15.75" thickBot="1">
      <c r="A1146" s="1">
        <f t="shared" si="201"/>
        <v>1145</v>
      </c>
      <c r="C1146" s="8" t="s">
        <v>17</v>
      </c>
      <c r="D1146" s="2">
        <v>43269</v>
      </c>
      <c r="E1146" s="3">
        <f>400000/100000</f>
        <v>4</v>
      </c>
      <c r="F1146" t="s">
        <v>103</v>
      </c>
      <c r="G1146" t="s">
        <v>104</v>
      </c>
      <c r="H1146" t="s">
        <v>105</v>
      </c>
      <c r="I1146" s="6" t="s">
        <v>707</v>
      </c>
      <c r="J1146" s="61" t="s">
        <v>22</v>
      </c>
      <c r="L1146" s="5" t="str">
        <f t="shared" si="202"/>
        <v>01145</v>
      </c>
      <c r="M1146" s="47" t="str">
        <f t="shared" si="203"/>
        <v>18 de junio de 2018</v>
      </c>
      <c r="N1146" s="323">
        <f t="shared" si="188"/>
        <v>18</v>
      </c>
      <c r="O1146" s="25">
        <f t="shared" si="204"/>
        <v>43252</v>
      </c>
      <c r="P1146" s="5" t="str">
        <f t="shared" si="199"/>
        <v>4,00</v>
      </c>
      <c r="Q1146" s="4" t="e">
        <f t="shared" ca="1" si="200"/>
        <v>#NAME?</v>
      </c>
    </row>
    <row r="1147" spans="1:17" ht="15.75" thickBot="1">
      <c r="A1147" s="1">
        <f t="shared" si="201"/>
        <v>1146</v>
      </c>
      <c r="C1147" s="8" t="s">
        <v>17</v>
      </c>
      <c r="D1147" s="2">
        <v>43269</v>
      </c>
      <c r="E1147" s="3">
        <f>400000/100000</f>
        <v>4</v>
      </c>
      <c r="F1147" t="s">
        <v>177</v>
      </c>
      <c r="G1147" s="18" t="s">
        <v>58</v>
      </c>
      <c r="H1147" t="s">
        <v>179</v>
      </c>
      <c r="I1147" s="6" t="s">
        <v>707</v>
      </c>
      <c r="J1147" s="61" t="s">
        <v>22</v>
      </c>
      <c r="L1147" s="5" t="str">
        <f t="shared" si="202"/>
        <v>01146</v>
      </c>
      <c r="M1147" s="47" t="str">
        <f t="shared" si="203"/>
        <v>18 de junio de 2018</v>
      </c>
      <c r="N1147" s="323">
        <f t="shared" si="188"/>
        <v>18</v>
      </c>
      <c r="O1147" s="25">
        <f t="shared" si="204"/>
        <v>43252</v>
      </c>
      <c r="P1147" s="5" t="str">
        <f t="shared" si="199"/>
        <v>4,00</v>
      </c>
      <c r="Q1147" s="4" t="e">
        <f t="shared" ca="1" si="200"/>
        <v>#NAME?</v>
      </c>
    </row>
    <row r="1148" spans="1:17">
      <c r="A1148" s="1">
        <f t="shared" si="201"/>
        <v>1147</v>
      </c>
      <c r="C1148" s="8" t="s">
        <v>17</v>
      </c>
      <c r="D1148" s="2">
        <v>43269</v>
      </c>
      <c r="E1148" s="3">
        <f>600000/100000</f>
        <v>6</v>
      </c>
      <c r="F1148" t="s">
        <v>90</v>
      </c>
      <c r="G1148" t="s">
        <v>91</v>
      </c>
      <c r="H1148" t="s">
        <v>92</v>
      </c>
      <c r="I1148" s="6" t="s">
        <v>731</v>
      </c>
      <c r="J1148" s="61" t="s">
        <v>22</v>
      </c>
      <c r="L1148" s="5" t="str">
        <f t="shared" si="202"/>
        <v>01147</v>
      </c>
      <c r="M1148" s="47" t="str">
        <f t="shared" si="203"/>
        <v>18 de junio de 2018</v>
      </c>
      <c r="N1148" s="323">
        <f t="shared" si="188"/>
        <v>18</v>
      </c>
      <c r="O1148" s="25">
        <f t="shared" si="204"/>
        <v>43252</v>
      </c>
      <c r="P1148" s="5" t="str">
        <f t="shared" si="199"/>
        <v>6,00</v>
      </c>
      <c r="Q1148" s="4" t="e">
        <f t="shared" ca="1" si="200"/>
        <v>#NAME?</v>
      </c>
    </row>
    <row r="1149" spans="1:17">
      <c r="A1149" s="1">
        <f t="shared" si="201"/>
        <v>1148</v>
      </c>
      <c r="C1149" s="8" t="s">
        <v>17</v>
      </c>
      <c r="D1149" s="2">
        <v>43269</v>
      </c>
      <c r="E1149" s="3">
        <f>400000/100000</f>
        <v>4</v>
      </c>
      <c r="F1149" t="s">
        <v>443</v>
      </c>
      <c r="G1149" t="s">
        <v>444</v>
      </c>
      <c r="H1149" t="s">
        <v>75</v>
      </c>
      <c r="I1149" s="6" t="s">
        <v>707</v>
      </c>
      <c r="J1149" s="61" t="s">
        <v>22</v>
      </c>
      <c r="L1149" s="5" t="str">
        <f t="shared" si="202"/>
        <v>01148</v>
      </c>
      <c r="M1149" s="47" t="str">
        <f t="shared" si="203"/>
        <v>18 de junio de 2018</v>
      </c>
      <c r="N1149" s="323">
        <f t="shared" si="188"/>
        <v>18</v>
      </c>
      <c r="O1149" s="25">
        <f t="shared" si="204"/>
        <v>43252</v>
      </c>
      <c r="P1149" s="5" t="str">
        <f t="shared" si="199"/>
        <v>4,00</v>
      </c>
      <c r="Q1149" s="4" t="e">
        <f t="shared" ca="1" si="200"/>
        <v>#NAME?</v>
      </c>
    </row>
    <row r="1150" spans="1:17">
      <c r="A1150" s="1">
        <f t="shared" si="201"/>
        <v>1149</v>
      </c>
      <c r="C1150" s="8" t="s">
        <v>17</v>
      </c>
      <c r="D1150" s="2">
        <v>43270</v>
      </c>
      <c r="E1150" s="3">
        <f>400000/100000</f>
        <v>4</v>
      </c>
      <c r="F1150" t="s">
        <v>126</v>
      </c>
      <c r="G1150" t="s">
        <v>127</v>
      </c>
      <c r="H1150" t="s">
        <v>128</v>
      </c>
      <c r="I1150" s="6" t="s">
        <v>707</v>
      </c>
      <c r="J1150" s="61" t="s">
        <v>22</v>
      </c>
      <c r="L1150" s="5" t="str">
        <f t="shared" si="202"/>
        <v>01149</v>
      </c>
      <c r="M1150" s="47" t="str">
        <f t="shared" si="203"/>
        <v>19 de junio de 2018</v>
      </c>
      <c r="N1150" s="323">
        <f t="shared" si="188"/>
        <v>19</v>
      </c>
      <c r="O1150" s="25">
        <f t="shared" si="204"/>
        <v>43252</v>
      </c>
      <c r="P1150" s="5" t="str">
        <f t="shared" si="199"/>
        <v>4,00</v>
      </c>
      <c r="Q1150" s="4" t="e">
        <f t="shared" ca="1" si="200"/>
        <v>#NAME?</v>
      </c>
    </row>
    <row r="1151" spans="1:17">
      <c r="A1151" s="1">
        <f t="shared" si="201"/>
        <v>1150</v>
      </c>
      <c r="C1151" s="8" t="s">
        <v>17</v>
      </c>
      <c r="D1151" s="2">
        <v>43270</v>
      </c>
      <c r="E1151" s="3">
        <f>400000/100000</f>
        <v>4</v>
      </c>
      <c r="F1151" t="s">
        <v>130</v>
      </c>
      <c r="G1151" t="s">
        <v>131</v>
      </c>
      <c r="H1151" t="s">
        <v>132</v>
      </c>
      <c r="I1151" s="6" t="s">
        <v>707</v>
      </c>
      <c r="J1151" s="61" t="s">
        <v>22</v>
      </c>
      <c r="L1151" s="5" t="str">
        <f t="shared" si="202"/>
        <v>01150</v>
      </c>
      <c r="M1151" s="47" t="str">
        <f t="shared" si="203"/>
        <v>19 de junio de 2018</v>
      </c>
      <c r="N1151" s="323">
        <f t="shared" si="188"/>
        <v>19</v>
      </c>
      <c r="O1151" s="25">
        <f t="shared" si="204"/>
        <v>43252</v>
      </c>
      <c r="P1151" s="5" t="str">
        <f t="shared" si="199"/>
        <v>4,00</v>
      </c>
      <c r="Q1151" s="4" t="e">
        <f t="shared" ca="1" si="200"/>
        <v>#NAME?</v>
      </c>
    </row>
    <row r="1152" spans="1:17">
      <c r="A1152" s="1">
        <f t="shared" si="201"/>
        <v>1151</v>
      </c>
      <c r="C1152" s="8" t="s">
        <v>17</v>
      </c>
      <c r="D1152" s="2">
        <v>43272</v>
      </c>
      <c r="E1152" s="3">
        <f>400000/100000</f>
        <v>4</v>
      </c>
      <c r="F1152" t="s">
        <v>53</v>
      </c>
      <c r="G1152" t="s">
        <v>677</v>
      </c>
      <c r="H1152" t="s">
        <v>55</v>
      </c>
      <c r="I1152" s="6" t="s">
        <v>707</v>
      </c>
      <c r="J1152" s="61" t="s">
        <v>22</v>
      </c>
      <c r="L1152" s="5" t="str">
        <f t="shared" si="202"/>
        <v>01151</v>
      </c>
      <c r="M1152" s="47" t="str">
        <f t="shared" si="203"/>
        <v>21 de junio de 2018</v>
      </c>
      <c r="N1152" s="323">
        <f t="shared" si="188"/>
        <v>21</v>
      </c>
      <c r="O1152" s="25">
        <f t="shared" si="204"/>
        <v>43252</v>
      </c>
      <c r="P1152" s="5" t="str">
        <f t="shared" si="199"/>
        <v>4,00</v>
      </c>
      <c r="Q1152" s="4" t="e">
        <f t="shared" ca="1" si="200"/>
        <v>#NAME?</v>
      </c>
    </row>
    <row r="1153" spans="1:17">
      <c r="A1153" s="1">
        <f t="shared" si="201"/>
        <v>1152</v>
      </c>
      <c r="C1153" s="8" t="s">
        <v>17</v>
      </c>
      <c r="D1153" s="2">
        <v>43272</v>
      </c>
      <c r="E1153" s="3">
        <f>100000/100000</f>
        <v>1</v>
      </c>
      <c r="F1153" t="s">
        <v>53</v>
      </c>
      <c r="G1153" t="s">
        <v>677</v>
      </c>
      <c r="H1153" t="s">
        <v>55</v>
      </c>
      <c r="I1153" s="6" t="s">
        <v>732</v>
      </c>
      <c r="J1153" s="61" t="s">
        <v>733</v>
      </c>
      <c r="L1153" s="5" t="str">
        <f t="shared" ref="L1153:L1173" si="205">IF(ISBLANK(A1153),"",TEXT(A1153,"00000"))</f>
        <v>01152</v>
      </c>
      <c r="M1153" s="47" t="str">
        <f t="shared" ref="M1153:M1173" si="206">IF(ISBLANK(D1153),"",TEXT(D1153,"dd")&amp;" de "&amp;TEXT(D1153,"mmmm")&amp;" de "&amp;TEXT(YEAR(D1153),"0"))</f>
        <v>21 de junio de 2018</v>
      </c>
      <c r="N1153" s="323">
        <f t="shared" si="188"/>
        <v>21</v>
      </c>
      <c r="O1153" s="25">
        <f t="shared" ref="O1153:O1173" si="207">DATE(YEAR(D1153),MONTH(D1153),1)</f>
        <v>43252</v>
      </c>
      <c r="P1153" s="5" t="str">
        <f t="shared" ref="P1153:P1169" si="208">TEXT(E1153,"#.##0,00")</f>
        <v>1,00</v>
      </c>
      <c r="Q1153" s="4" t="e">
        <f t="shared" ref="Q1153:Q1160" ca="1" si="209">CONVERTIRNUM(E1153)</f>
        <v>#NAME?</v>
      </c>
    </row>
    <row r="1154" spans="1:17">
      <c r="A1154" s="1">
        <f t="shared" si="201"/>
        <v>1153</v>
      </c>
      <c r="C1154" s="8" t="s">
        <v>17</v>
      </c>
      <c r="D1154" s="2">
        <v>43272</v>
      </c>
      <c r="E1154" s="3">
        <f>1000000/100000</f>
        <v>10</v>
      </c>
      <c r="F1154" t="s">
        <v>612</v>
      </c>
      <c r="G1154" t="s">
        <v>613</v>
      </c>
      <c r="H1154" t="s">
        <v>614</v>
      </c>
      <c r="I1154" s="6" t="s">
        <v>734</v>
      </c>
      <c r="J1154" s="61" t="s">
        <v>22</v>
      </c>
      <c r="L1154" s="5" t="str">
        <f t="shared" si="205"/>
        <v>01153</v>
      </c>
      <c r="M1154" s="47" t="str">
        <f t="shared" si="206"/>
        <v>21 de junio de 2018</v>
      </c>
      <c r="N1154" s="323">
        <f t="shared" si="188"/>
        <v>21</v>
      </c>
      <c r="O1154" s="25">
        <f t="shared" si="207"/>
        <v>43252</v>
      </c>
      <c r="P1154" s="5" t="str">
        <f t="shared" si="208"/>
        <v>10,00</v>
      </c>
      <c r="Q1154" s="4" t="e">
        <f t="shared" ca="1" si="209"/>
        <v>#NAME?</v>
      </c>
    </row>
    <row r="1155" spans="1:17">
      <c r="A1155" s="1">
        <f t="shared" si="201"/>
        <v>1154</v>
      </c>
      <c r="C1155" s="8" t="s">
        <v>17</v>
      </c>
      <c r="D1155" s="2">
        <v>43277</v>
      </c>
      <c r="E1155" s="3">
        <f>2550000/100000</f>
        <v>25.5</v>
      </c>
      <c r="F1155" t="s">
        <v>114</v>
      </c>
      <c r="G1155" t="s">
        <v>115</v>
      </c>
      <c r="H1155" t="s">
        <v>116</v>
      </c>
      <c r="I1155" s="6" t="s">
        <v>735</v>
      </c>
      <c r="J1155" s="61" t="s">
        <v>22</v>
      </c>
      <c r="L1155" s="5" t="str">
        <f t="shared" si="205"/>
        <v>01154</v>
      </c>
      <c r="M1155" s="47" t="str">
        <f t="shared" si="206"/>
        <v>26 de junio de 2018</v>
      </c>
      <c r="N1155" s="323">
        <f t="shared" ref="N1155:N1218" si="210">DAY(D1155)</f>
        <v>26</v>
      </c>
      <c r="O1155" s="25">
        <f t="shared" si="207"/>
        <v>43252</v>
      </c>
      <c r="P1155" s="5" t="str">
        <f t="shared" si="208"/>
        <v>25,50</v>
      </c>
      <c r="Q1155" s="4" t="e">
        <f t="shared" ca="1" si="209"/>
        <v>#NAME?</v>
      </c>
    </row>
    <row r="1156" spans="1:17" ht="15.75" thickBot="1">
      <c r="A1156" s="1">
        <f t="shared" si="201"/>
        <v>1155</v>
      </c>
      <c r="C1156" s="8" t="s">
        <v>17</v>
      </c>
      <c r="D1156" s="2">
        <v>43277</v>
      </c>
      <c r="E1156" s="3">
        <f>400000/100000</f>
        <v>4</v>
      </c>
      <c r="F1156" t="s">
        <v>633</v>
      </c>
      <c r="G1156" t="s">
        <v>634</v>
      </c>
      <c r="H1156" t="s">
        <v>635</v>
      </c>
      <c r="I1156" s="6" t="s">
        <v>707</v>
      </c>
      <c r="J1156" s="61" t="s">
        <v>22</v>
      </c>
      <c r="L1156" s="5" t="str">
        <f t="shared" si="205"/>
        <v>01155</v>
      </c>
      <c r="M1156" s="47" t="str">
        <f t="shared" si="206"/>
        <v>26 de junio de 2018</v>
      </c>
      <c r="N1156" s="323">
        <f t="shared" si="210"/>
        <v>26</v>
      </c>
      <c r="O1156" s="25">
        <f t="shared" si="207"/>
        <v>43252</v>
      </c>
      <c r="P1156" s="5" t="str">
        <f t="shared" si="208"/>
        <v>4,00</v>
      </c>
      <c r="Q1156" s="4" t="e">
        <f t="shared" ca="1" si="209"/>
        <v>#NAME?</v>
      </c>
    </row>
    <row r="1157" spans="1:17" ht="15.75" thickBot="1">
      <c r="A1157" s="1">
        <f t="shared" si="201"/>
        <v>1156</v>
      </c>
      <c r="C1157" s="8" t="s">
        <v>17</v>
      </c>
      <c r="D1157" s="2">
        <v>43277</v>
      </c>
      <c r="E1157" s="3">
        <f>40000/100000</f>
        <v>0.4</v>
      </c>
      <c r="F1157" t="s">
        <v>303</v>
      </c>
      <c r="G1157" s="18" t="s">
        <v>58</v>
      </c>
      <c r="H1157" t="s">
        <v>304</v>
      </c>
      <c r="I1157" s="6" t="s">
        <v>729</v>
      </c>
      <c r="J1157" s="61" t="s">
        <v>22</v>
      </c>
      <c r="L1157" s="5" t="str">
        <f t="shared" si="205"/>
        <v>01156</v>
      </c>
      <c r="M1157" s="47" t="str">
        <f t="shared" si="206"/>
        <v>26 de junio de 2018</v>
      </c>
      <c r="N1157" s="323">
        <f t="shared" si="210"/>
        <v>26</v>
      </c>
      <c r="O1157" s="25">
        <f t="shared" si="207"/>
        <v>43252</v>
      </c>
      <c r="P1157" s="5" t="str">
        <f t="shared" si="208"/>
        <v>0,40</v>
      </c>
      <c r="Q1157" s="4" t="e">
        <f t="shared" ca="1" si="209"/>
        <v>#NAME?</v>
      </c>
    </row>
    <row r="1158" spans="1:17">
      <c r="A1158" s="1">
        <f t="shared" si="201"/>
        <v>1157</v>
      </c>
      <c r="C1158" s="8" t="s">
        <v>17</v>
      </c>
      <c r="D1158" s="2">
        <v>43277</v>
      </c>
      <c r="E1158" s="3">
        <f>340000/100000</f>
        <v>3.4</v>
      </c>
      <c r="F1158" t="s">
        <v>284</v>
      </c>
      <c r="G1158" t="s">
        <v>687</v>
      </c>
      <c r="H1158" t="s">
        <v>285</v>
      </c>
      <c r="I1158" s="6" t="s">
        <v>697</v>
      </c>
      <c r="J1158" s="61" t="s">
        <v>22</v>
      </c>
      <c r="L1158" s="5" t="str">
        <f t="shared" si="205"/>
        <v>01157</v>
      </c>
      <c r="M1158" s="47" t="str">
        <f t="shared" si="206"/>
        <v>26 de junio de 2018</v>
      </c>
      <c r="N1158" s="323">
        <f t="shared" si="210"/>
        <v>26</v>
      </c>
      <c r="O1158" s="25">
        <f t="shared" si="207"/>
        <v>43252</v>
      </c>
      <c r="P1158" s="5" t="str">
        <f t="shared" si="208"/>
        <v>3,40</v>
      </c>
      <c r="Q1158" s="4" t="e">
        <f t="shared" ca="1" si="209"/>
        <v>#NAME?</v>
      </c>
    </row>
    <row r="1159" spans="1:17">
      <c r="A1159" s="1">
        <f t="shared" si="201"/>
        <v>1158</v>
      </c>
      <c r="C1159" s="8" t="s">
        <v>17</v>
      </c>
      <c r="D1159" s="2">
        <v>43277</v>
      </c>
      <c r="E1159" s="3">
        <f>350000/100000</f>
        <v>3.5</v>
      </c>
      <c r="F1159" t="s">
        <v>284</v>
      </c>
      <c r="G1159" t="s">
        <v>687</v>
      </c>
      <c r="H1159" t="s">
        <v>285</v>
      </c>
      <c r="I1159" s="6" t="s">
        <v>672</v>
      </c>
      <c r="J1159" s="61" t="s">
        <v>673</v>
      </c>
      <c r="L1159" s="5" t="str">
        <f t="shared" si="205"/>
        <v>01158</v>
      </c>
      <c r="M1159" s="47" t="str">
        <f t="shared" si="206"/>
        <v>26 de junio de 2018</v>
      </c>
      <c r="N1159" s="323">
        <f t="shared" si="210"/>
        <v>26</v>
      </c>
      <c r="O1159" s="25">
        <f t="shared" si="207"/>
        <v>43252</v>
      </c>
      <c r="P1159" s="5" t="str">
        <f t="shared" si="208"/>
        <v>3,50</v>
      </c>
      <c r="Q1159" s="4" t="e">
        <f t="shared" ca="1" si="209"/>
        <v>#NAME?</v>
      </c>
    </row>
    <row r="1160" spans="1:17">
      <c r="A1160" s="1">
        <f t="shared" si="201"/>
        <v>1159</v>
      </c>
      <c r="C1160" s="8" t="s">
        <v>17</v>
      </c>
      <c r="D1160" s="2">
        <v>43279</v>
      </c>
      <c r="E1160" s="3">
        <f>1075000/100000</f>
        <v>10.75</v>
      </c>
      <c r="F1160" t="s">
        <v>558</v>
      </c>
      <c r="G1160" t="s">
        <v>559</v>
      </c>
      <c r="H1160" t="s">
        <v>560</v>
      </c>
      <c r="I1160" s="6" t="s">
        <v>736</v>
      </c>
      <c r="J1160" s="61" t="s">
        <v>22</v>
      </c>
      <c r="L1160" s="5" t="str">
        <f t="shared" si="205"/>
        <v>01159</v>
      </c>
      <c r="M1160" s="47" t="str">
        <f t="shared" si="206"/>
        <v>28 de junio de 2018</v>
      </c>
      <c r="N1160" s="323">
        <f t="shared" si="210"/>
        <v>28</v>
      </c>
      <c r="O1160" s="25">
        <f t="shared" si="207"/>
        <v>43252</v>
      </c>
      <c r="P1160" s="5" t="str">
        <f t="shared" si="208"/>
        <v>10,75</v>
      </c>
      <c r="Q1160" s="4" t="e">
        <f t="shared" ca="1" si="209"/>
        <v>#NAME?</v>
      </c>
    </row>
    <row r="1161" spans="1:17">
      <c r="A1161" s="1">
        <f t="shared" si="201"/>
        <v>1160</v>
      </c>
      <c r="C1161" s="8" t="s">
        <v>17</v>
      </c>
      <c r="D1161" s="2">
        <v>43279</v>
      </c>
      <c r="E1161" s="3">
        <f>400000/100000</f>
        <v>4</v>
      </c>
      <c r="F1161" t="s">
        <v>407</v>
      </c>
      <c r="G1161" t="s">
        <v>408</v>
      </c>
      <c r="H1161" t="s">
        <v>409</v>
      </c>
      <c r="I1161" s="6" t="s">
        <v>737</v>
      </c>
      <c r="J1161" s="61" t="s">
        <v>22</v>
      </c>
      <c r="L1161" s="5" t="str">
        <f t="shared" si="205"/>
        <v>01160</v>
      </c>
      <c r="M1161" s="47" t="str">
        <f t="shared" si="206"/>
        <v>28 de junio de 2018</v>
      </c>
      <c r="N1161" s="323">
        <f t="shared" si="210"/>
        <v>28</v>
      </c>
      <c r="O1161" s="25">
        <f t="shared" si="207"/>
        <v>43252</v>
      </c>
      <c r="P1161" s="5" t="str">
        <f t="shared" si="208"/>
        <v>4,00</v>
      </c>
      <c r="Q1161" s="4" t="e">
        <f ca="1">CONVERTIRNUM(E1161)</f>
        <v>#NAME?</v>
      </c>
    </row>
    <row r="1162" spans="1:17">
      <c r="A1162" s="1">
        <f t="shared" si="201"/>
        <v>1161</v>
      </c>
      <c r="C1162" s="8" t="s">
        <v>17</v>
      </c>
      <c r="D1162" s="2">
        <v>43279</v>
      </c>
      <c r="E1162" s="3">
        <f>225000/100000</f>
        <v>2.25</v>
      </c>
      <c r="F1162" t="s">
        <v>36</v>
      </c>
      <c r="G1162" t="s">
        <v>37</v>
      </c>
      <c r="H1162" t="s">
        <v>38</v>
      </c>
      <c r="I1162" s="6" t="s">
        <v>738</v>
      </c>
      <c r="J1162" s="61" t="s">
        <v>22</v>
      </c>
      <c r="L1162" s="5" t="str">
        <f t="shared" si="205"/>
        <v>01161</v>
      </c>
      <c r="M1162" s="47" t="str">
        <f t="shared" si="206"/>
        <v>28 de junio de 2018</v>
      </c>
      <c r="N1162" s="323">
        <f t="shared" si="210"/>
        <v>28</v>
      </c>
      <c r="O1162" s="25">
        <f t="shared" si="207"/>
        <v>43252</v>
      </c>
      <c r="P1162" s="5" t="str">
        <f t="shared" si="208"/>
        <v>2,25</v>
      </c>
      <c r="Q1162" s="4" t="e">
        <f t="shared" ref="Q1162:Q1169" ca="1" si="211">CONVERTIRNUM(E1162)</f>
        <v>#NAME?</v>
      </c>
    </row>
    <row r="1163" spans="1:17">
      <c r="A1163" s="1">
        <f t="shared" si="201"/>
        <v>1162</v>
      </c>
      <c r="C1163" s="8" t="s">
        <v>17</v>
      </c>
      <c r="D1163" s="2">
        <v>43279</v>
      </c>
      <c r="E1163" s="3">
        <f>225000/100000</f>
        <v>2.25</v>
      </c>
      <c r="F1163" t="s">
        <v>18</v>
      </c>
      <c r="G1163" t="s">
        <v>19</v>
      </c>
      <c r="H1163" t="s">
        <v>20</v>
      </c>
      <c r="I1163" s="6" t="s">
        <v>739</v>
      </c>
      <c r="J1163" s="61" t="s">
        <v>22</v>
      </c>
      <c r="L1163" s="5" t="str">
        <f t="shared" si="205"/>
        <v>01162</v>
      </c>
      <c r="M1163" s="47" t="str">
        <f t="shared" si="206"/>
        <v>28 de junio de 2018</v>
      </c>
      <c r="N1163" s="323">
        <f t="shared" si="210"/>
        <v>28</v>
      </c>
      <c r="O1163" s="25">
        <f t="shared" si="207"/>
        <v>43252</v>
      </c>
      <c r="P1163" s="5" t="str">
        <f t="shared" si="208"/>
        <v>2,25</v>
      </c>
      <c r="Q1163" s="4" t="e">
        <f t="shared" ca="1" si="211"/>
        <v>#NAME?</v>
      </c>
    </row>
    <row r="1164" spans="1:17" ht="15.75" thickBot="1">
      <c r="A1164" s="178">
        <f t="shared" si="201"/>
        <v>1163</v>
      </c>
      <c r="C1164" s="8" t="s">
        <v>17</v>
      </c>
      <c r="D1164" s="2">
        <v>43279</v>
      </c>
      <c r="E1164" s="3">
        <f>225000/100000</f>
        <v>2.25</v>
      </c>
      <c r="F1164" t="s">
        <v>438</v>
      </c>
      <c r="G1164" t="s">
        <v>439</v>
      </c>
      <c r="H1164" t="s">
        <v>440</v>
      </c>
      <c r="I1164" s="6" t="s">
        <v>740</v>
      </c>
      <c r="J1164" s="61" t="s">
        <v>22</v>
      </c>
      <c r="L1164" s="5" t="str">
        <f t="shared" si="205"/>
        <v>01163</v>
      </c>
      <c r="M1164" s="47" t="str">
        <f t="shared" si="206"/>
        <v>28 de junio de 2018</v>
      </c>
      <c r="N1164" s="323">
        <f t="shared" si="210"/>
        <v>28</v>
      </c>
      <c r="O1164" s="25">
        <f t="shared" si="207"/>
        <v>43252</v>
      </c>
      <c r="P1164" s="5" t="str">
        <f t="shared" si="208"/>
        <v>2,25</v>
      </c>
      <c r="Q1164" s="4" t="e">
        <f t="shared" ca="1" si="211"/>
        <v>#NAME?</v>
      </c>
    </row>
    <row r="1165" spans="1:17" ht="15.75" thickBot="1">
      <c r="A1165" s="1">
        <f t="shared" si="201"/>
        <v>1164</v>
      </c>
      <c r="C1165" s="85" t="s">
        <v>17</v>
      </c>
      <c r="D1165" s="2">
        <v>43279</v>
      </c>
      <c r="E1165" s="3">
        <f>225000/100000</f>
        <v>2.25</v>
      </c>
      <c r="F1165" t="s">
        <v>280</v>
      </c>
      <c r="G1165" s="18" t="s">
        <v>58</v>
      </c>
      <c r="H1165" t="s">
        <v>282</v>
      </c>
      <c r="I1165" s="6" t="s">
        <v>741</v>
      </c>
      <c r="J1165" s="61" t="s">
        <v>22</v>
      </c>
      <c r="L1165" s="5" t="str">
        <f t="shared" si="205"/>
        <v>01164</v>
      </c>
      <c r="M1165" s="47" t="str">
        <f t="shared" si="206"/>
        <v>28 de junio de 2018</v>
      </c>
      <c r="N1165" s="323">
        <f t="shared" si="210"/>
        <v>28</v>
      </c>
      <c r="O1165" s="25">
        <f t="shared" si="207"/>
        <v>43252</v>
      </c>
      <c r="P1165" s="5" t="str">
        <f t="shared" si="208"/>
        <v>2,25</v>
      </c>
      <c r="Q1165" s="4" t="e">
        <f t="shared" ca="1" si="211"/>
        <v>#NAME?</v>
      </c>
    </row>
    <row r="1166" spans="1:17">
      <c r="A1166" s="1">
        <f>A1165+1</f>
        <v>1165</v>
      </c>
      <c r="C1166" s="8" t="s">
        <v>17</v>
      </c>
      <c r="D1166" s="2">
        <v>43279</v>
      </c>
      <c r="E1166" s="3">
        <f>225000/100000</f>
        <v>2.25</v>
      </c>
      <c r="F1166" t="s">
        <v>70</v>
      </c>
      <c r="G1166" t="s">
        <v>71</v>
      </c>
      <c r="H1166" t="s">
        <v>72</v>
      </c>
      <c r="I1166" s="6" t="s">
        <v>742</v>
      </c>
      <c r="J1166" s="61" t="s">
        <v>22</v>
      </c>
      <c r="L1166" s="5" t="str">
        <f t="shared" si="205"/>
        <v>01165</v>
      </c>
      <c r="M1166" s="47" t="str">
        <f t="shared" si="206"/>
        <v>28 de junio de 2018</v>
      </c>
      <c r="N1166" s="323">
        <f t="shared" si="210"/>
        <v>28</v>
      </c>
      <c r="O1166" s="25">
        <f t="shared" si="207"/>
        <v>43252</v>
      </c>
      <c r="P1166" s="5" t="str">
        <f t="shared" si="208"/>
        <v>2,25</v>
      </c>
      <c r="Q1166" s="4" t="e">
        <f t="shared" ca="1" si="211"/>
        <v>#NAME?</v>
      </c>
    </row>
    <row r="1167" spans="1:17">
      <c r="A1167" s="1">
        <f t="shared" ref="A1167:A1223" si="212">A1166+1</f>
        <v>1166</v>
      </c>
      <c r="C1167" s="8" t="s">
        <v>17</v>
      </c>
      <c r="D1167" s="2">
        <v>43279</v>
      </c>
      <c r="E1167" s="3">
        <f>225000/100000+850000/100000</f>
        <v>10.75</v>
      </c>
      <c r="F1167" t="s">
        <v>483</v>
      </c>
      <c r="G1167" t="s">
        <v>484</v>
      </c>
      <c r="H1167" t="s">
        <v>485</v>
      </c>
      <c r="I1167" s="6" t="s">
        <v>736</v>
      </c>
      <c r="J1167" s="61" t="s">
        <v>22</v>
      </c>
      <c r="L1167" s="5" t="str">
        <f t="shared" si="205"/>
        <v>01166</v>
      </c>
      <c r="M1167" s="47" t="str">
        <f t="shared" si="206"/>
        <v>28 de junio de 2018</v>
      </c>
      <c r="N1167" s="323">
        <f t="shared" si="210"/>
        <v>28</v>
      </c>
      <c r="O1167" s="25">
        <f t="shared" si="207"/>
        <v>43252</v>
      </c>
      <c r="P1167" s="5" t="str">
        <f t="shared" si="208"/>
        <v>10,75</v>
      </c>
      <c r="Q1167" s="4" t="e">
        <f t="shared" ca="1" si="211"/>
        <v>#NAME?</v>
      </c>
    </row>
    <row r="1168" spans="1:17">
      <c r="A1168" s="1">
        <f t="shared" si="212"/>
        <v>1167</v>
      </c>
      <c r="C1168" s="8" t="s">
        <v>17</v>
      </c>
      <c r="D1168" s="2">
        <v>43279</v>
      </c>
      <c r="E1168" s="3">
        <f>225000/100000+850000/100000</f>
        <v>10.75</v>
      </c>
      <c r="F1168" t="s">
        <v>48</v>
      </c>
      <c r="G1168" t="s">
        <v>49</v>
      </c>
      <c r="H1168" t="s">
        <v>50</v>
      </c>
      <c r="I1168" s="6" t="s">
        <v>736</v>
      </c>
      <c r="J1168" s="61" t="s">
        <v>22</v>
      </c>
      <c r="L1168" s="5" t="str">
        <f t="shared" si="205"/>
        <v>01167</v>
      </c>
      <c r="M1168" s="47" t="str">
        <f t="shared" si="206"/>
        <v>28 de junio de 2018</v>
      </c>
      <c r="N1168" s="323">
        <f t="shared" si="210"/>
        <v>28</v>
      </c>
      <c r="O1168" s="25">
        <f t="shared" si="207"/>
        <v>43252</v>
      </c>
      <c r="P1168" s="5" t="str">
        <f t="shared" si="208"/>
        <v>10,75</v>
      </c>
      <c r="Q1168" s="4" t="e">
        <f t="shared" ca="1" si="211"/>
        <v>#NAME?</v>
      </c>
    </row>
    <row r="1169" spans="1:17">
      <c r="A1169" s="1">
        <f t="shared" si="212"/>
        <v>1168</v>
      </c>
      <c r="C1169" s="8" t="s">
        <v>17</v>
      </c>
      <c r="D1169" s="2">
        <v>43279</v>
      </c>
      <c r="E1169" s="3">
        <f>225000/100000+850000/100000</f>
        <v>10.75</v>
      </c>
      <c r="F1169" t="s">
        <v>66</v>
      </c>
      <c r="G1169" t="s">
        <v>67</v>
      </c>
      <c r="H1169" t="s">
        <v>68</v>
      </c>
      <c r="I1169" s="6" t="s">
        <v>736</v>
      </c>
      <c r="J1169" s="61" t="s">
        <v>22</v>
      </c>
      <c r="L1169" s="5" t="str">
        <f t="shared" si="205"/>
        <v>01168</v>
      </c>
      <c r="M1169" s="47" t="str">
        <f t="shared" si="206"/>
        <v>28 de junio de 2018</v>
      </c>
      <c r="N1169" s="323">
        <f t="shared" si="210"/>
        <v>28</v>
      </c>
      <c r="O1169" s="25">
        <f t="shared" si="207"/>
        <v>43252</v>
      </c>
      <c r="P1169" s="5" t="str">
        <f t="shared" si="208"/>
        <v>10,75</v>
      </c>
      <c r="Q1169" s="4" t="e">
        <f t="shared" ca="1" si="211"/>
        <v>#NAME?</v>
      </c>
    </row>
    <row r="1170" spans="1:17">
      <c r="A1170" s="1">
        <f t="shared" si="212"/>
        <v>1169</v>
      </c>
      <c r="C1170" s="8" t="s">
        <v>17</v>
      </c>
      <c r="D1170" s="2">
        <v>43279</v>
      </c>
      <c r="E1170" s="3">
        <f>225000/100000</f>
        <v>2.25</v>
      </c>
      <c r="F1170" t="s">
        <v>713</v>
      </c>
      <c r="G1170" t="s">
        <v>714</v>
      </c>
      <c r="H1170" t="s">
        <v>154</v>
      </c>
      <c r="I1170" s="6" t="s">
        <v>742</v>
      </c>
      <c r="J1170" s="61" t="s">
        <v>22</v>
      </c>
      <c r="L1170" s="5" t="str">
        <f t="shared" si="205"/>
        <v>01169</v>
      </c>
      <c r="M1170" s="47" t="str">
        <f t="shared" si="206"/>
        <v>28 de junio de 2018</v>
      </c>
      <c r="N1170" s="323">
        <f t="shared" si="210"/>
        <v>28</v>
      </c>
      <c r="O1170" s="25">
        <f t="shared" si="207"/>
        <v>43252</v>
      </c>
      <c r="P1170" s="5" t="str">
        <f>TEXT(E1170,"#.##0,00")</f>
        <v>2,25</v>
      </c>
      <c r="Q1170" s="4" t="e">
        <f ca="1">CONVERTIRNUM(E1170)</f>
        <v>#NAME?</v>
      </c>
    </row>
    <row r="1171" spans="1:17">
      <c r="A1171" s="1">
        <f t="shared" si="212"/>
        <v>1170</v>
      </c>
      <c r="C1171" s="8" t="s">
        <v>17</v>
      </c>
      <c r="D1171" s="2">
        <v>43279</v>
      </c>
      <c r="E1171" s="3">
        <f>400000/100000</f>
        <v>4</v>
      </c>
      <c r="F1171" t="s">
        <v>134</v>
      </c>
      <c r="G1171" t="s">
        <v>135</v>
      </c>
      <c r="H1171" t="s">
        <v>136</v>
      </c>
      <c r="I1171" s="6" t="s">
        <v>737</v>
      </c>
      <c r="J1171" s="61" t="s">
        <v>22</v>
      </c>
      <c r="L1171" s="5" t="str">
        <f t="shared" si="205"/>
        <v>01170</v>
      </c>
      <c r="M1171" s="47" t="str">
        <f t="shared" si="206"/>
        <v>28 de junio de 2018</v>
      </c>
      <c r="N1171" s="323">
        <f t="shared" si="210"/>
        <v>28</v>
      </c>
      <c r="O1171" s="25">
        <f t="shared" si="207"/>
        <v>43252</v>
      </c>
      <c r="P1171" s="5" t="str">
        <f>TEXT(E1171,"#.##0,00")</f>
        <v>4,00</v>
      </c>
      <c r="Q1171" s="4" t="e">
        <f ca="1">CONVERTIRNUM(E1171)</f>
        <v>#NAME?</v>
      </c>
    </row>
    <row r="1172" spans="1:17">
      <c r="A1172" s="1">
        <f t="shared" si="212"/>
        <v>1171</v>
      </c>
      <c r="C1172" s="8" t="s">
        <v>17</v>
      </c>
      <c r="D1172" s="2">
        <v>43280</v>
      </c>
      <c r="E1172" s="3">
        <f>675000/100000</f>
        <v>6.75</v>
      </c>
      <c r="F1172" t="s">
        <v>162</v>
      </c>
      <c r="G1172" t="s">
        <v>163</v>
      </c>
      <c r="H1172" t="s">
        <v>164</v>
      </c>
      <c r="I1172" s="6" t="s">
        <v>743</v>
      </c>
      <c r="J1172" s="61" t="s">
        <v>22</v>
      </c>
      <c r="L1172" s="5" t="str">
        <f t="shared" si="205"/>
        <v>01171</v>
      </c>
      <c r="M1172" s="47" t="str">
        <f t="shared" si="206"/>
        <v>29 de junio de 2018</v>
      </c>
      <c r="N1172" s="323">
        <f t="shared" si="210"/>
        <v>29</v>
      </c>
      <c r="O1172" s="25">
        <f t="shared" si="207"/>
        <v>43252</v>
      </c>
      <c r="P1172" s="5" t="str">
        <f>TEXT(E1172,"#.##0,00")</f>
        <v>6,75</v>
      </c>
      <c r="Q1172" s="4" t="e">
        <f ca="1">CONVERTIRNUM(E1172)</f>
        <v>#NAME?</v>
      </c>
    </row>
    <row r="1173" spans="1:17">
      <c r="A1173" s="1">
        <f t="shared" si="212"/>
        <v>1172</v>
      </c>
      <c r="C1173" s="8" t="s">
        <v>17</v>
      </c>
      <c r="D1173" s="2">
        <v>43280</v>
      </c>
      <c r="E1173" s="3">
        <f>225000/100000+850000/100000</f>
        <v>10.75</v>
      </c>
      <c r="F1173" t="s">
        <v>100</v>
      </c>
      <c r="G1173" t="s">
        <v>95</v>
      </c>
      <c r="H1173" t="s">
        <v>101</v>
      </c>
      <c r="I1173" s="6" t="s">
        <v>736</v>
      </c>
      <c r="J1173" s="61" t="s">
        <v>22</v>
      </c>
      <c r="L1173" s="5" t="str">
        <f t="shared" si="205"/>
        <v>01172</v>
      </c>
      <c r="M1173" s="47" t="str">
        <f t="shared" si="206"/>
        <v>29 de junio de 2018</v>
      </c>
      <c r="N1173" s="323">
        <f t="shared" si="210"/>
        <v>29</v>
      </c>
      <c r="O1173" s="25">
        <f t="shared" si="207"/>
        <v>43252</v>
      </c>
      <c r="P1173" s="5" t="str">
        <f>TEXT(E1173,"#.##0,00")</f>
        <v>10,75</v>
      </c>
      <c r="Q1173" s="4" t="e">
        <f ca="1">CONVERTIRNUM(E1173)</f>
        <v>#NAME?</v>
      </c>
    </row>
    <row r="1174" spans="1:17">
      <c r="A1174" s="1">
        <f t="shared" si="212"/>
        <v>1173</v>
      </c>
      <c r="C1174" s="8" t="s">
        <v>17</v>
      </c>
      <c r="D1174" s="2">
        <v>43280</v>
      </c>
      <c r="E1174" s="3">
        <f>925000/100000</f>
        <v>9.25</v>
      </c>
      <c r="F1174" t="s">
        <v>100</v>
      </c>
      <c r="G1174" t="s">
        <v>95</v>
      </c>
      <c r="H1174" t="s">
        <v>101</v>
      </c>
      <c r="I1174" s="6" t="s">
        <v>744</v>
      </c>
      <c r="J1174" s="61" t="s">
        <v>745</v>
      </c>
      <c r="L1174" s="5" t="str">
        <f t="shared" ref="L1174:L1179" si="213">IF(ISBLANK(A1174),"",TEXT(A1174,"00000"))</f>
        <v>01173</v>
      </c>
      <c r="M1174" s="47" t="str">
        <f t="shared" ref="M1174:M1179" si="214">IF(ISBLANK(D1174),"",TEXT(D1174,"dd")&amp;" de "&amp;TEXT(D1174,"mmmm")&amp;" de "&amp;TEXT(YEAR(D1174),"0"))</f>
        <v>29 de junio de 2018</v>
      </c>
      <c r="N1174" s="323">
        <f t="shared" si="210"/>
        <v>29</v>
      </c>
      <c r="O1174" s="25">
        <f t="shared" ref="O1174:O1179" si="215">DATE(YEAR(D1174),MONTH(D1174),1)</f>
        <v>43252</v>
      </c>
      <c r="P1174" s="5" t="str">
        <f t="shared" ref="P1174:P1179" si="216">TEXT(E1174,"#.##0,00")</f>
        <v>9,25</v>
      </c>
      <c r="Q1174" s="4" t="e">
        <f t="shared" ref="Q1174:Q1179" ca="1" si="217">CONVERTIRNUM(E1174)</f>
        <v>#NAME?</v>
      </c>
    </row>
    <row r="1175" spans="1:17">
      <c r="A1175" s="1">
        <f t="shared" si="212"/>
        <v>1174</v>
      </c>
      <c r="C1175" s="8" t="s">
        <v>17</v>
      </c>
      <c r="D1175" s="2">
        <v>43280</v>
      </c>
      <c r="E1175" s="3">
        <f>225000/100000</f>
        <v>2.25</v>
      </c>
      <c r="F1175" t="s">
        <v>324</v>
      </c>
      <c r="G1175" t="s">
        <v>325</v>
      </c>
      <c r="H1175" t="s">
        <v>326</v>
      </c>
      <c r="I1175" s="6" t="s">
        <v>742</v>
      </c>
      <c r="J1175" s="61" t="s">
        <v>22</v>
      </c>
      <c r="L1175" s="5" t="str">
        <f t="shared" si="213"/>
        <v>01174</v>
      </c>
      <c r="M1175" s="47" t="str">
        <f t="shared" si="214"/>
        <v>29 de junio de 2018</v>
      </c>
      <c r="N1175" s="323">
        <f t="shared" si="210"/>
        <v>29</v>
      </c>
      <c r="O1175" s="25">
        <f t="shared" si="215"/>
        <v>43252</v>
      </c>
      <c r="P1175" s="5" t="str">
        <f t="shared" si="216"/>
        <v>2,25</v>
      </c>
      <c r="Q1175" s="4" t="e">
        <f t="shared" ca="1" si="217"/>
        <v>#NAME?</v>
      </c>
    </row>
    <row r="1176" spans="1:17">
      <c r="A1176" s="1">
        <f t="shared" si="212"/>
        <v>1175</v>
      </c>
      <c r="C1176" s="8" t="s">
        <v>17</v>
      </c>
      <c r="D1176" s="2">
        <v>43280</v>
      </c>
      <c r="E1176" s="3">
        <f>625000/100000</f>
        <v>6.25</v>
      </c>
      <c r="F1176" t="s">
        <v>296</v>
      </c>
      <c r="G1176" t="s">
        <v>297</v>
      </c>
      <c r="H1176" t="s">
        <v>298</v>
      </c>
      <c r="I1176" s="6" t="s">
        <v>707</v>
      </c>
      <c r="J1176" s="61" t="s">
        <v>22</v>
      </c>
      <c r="L1176" s="5" t="str">
        <f t="shared" si="213"/>
        <v>01175</v>
      </c>
      <c r="M1176" s="47" t="str">
        <f t="shared" si="214"/>
        <v>29 de junio de 2018</v>
      </c>
      <c r="N1176" s="323">
        <f t="shared" si="210"/>
        <v>29</v>
      </c>
      <c r="O1176" s="25">
        <f t="shared" si="215"/>
        <v>43252</v>
      </c>
      <c r="P1176" s="5" t="str">
        <f t="shared" si="216"/>
        <v>6,25</v>
      </c>
      <c r="Q1176" s="4" t="e">
        <f t="shared" ca="1" si="217"/>
        <v>#NAME?</v>
      </c>
    </row>
    <row r="1177" spans="1:17">
      <c r="A1177" s="1">
        <f t="shared" si="212"/>
        <v>1176</v>
      </c>
      <c r="C1177" s="8" t="s">
        <v>17</v>
      </c>
      <c r="D1177" s="2">
        <v>43281</v>
      </c>
      <c r="E1177" s="3">
        <f>1075000/100000</f>
        <v>10.75</v>
      </c>
      <c r="F1177" t="s">
        <v>698</v>
      </c>
      <c r="G1177" t="s">
        <v>699</v>
      </c>
      <c r="H1177" t="s">
        <v>150</v>
      </c>
      <c r="I1177" s="6" t="s">
        <v>736</v>
      </c>
      <c r="J1177" s="61" t="s">
        <v>22</v>
      </c>
      <c r="L1177" s="5" t="str">
        <f t="shared" si="213"/>
        <v>01176</v>
      </c>
      <c r="M1177" s="47" t="str">
        <f t="shared" si="214"/>
        <v>30 de junio de 2018</v>
      </c>
      <c r="N1177" s="323">
        <f t="shared" si="210"/>
        <v>30</v>
      </c>
      <c r="O1177" s="25">
        <f t="shared" si="215"/>
        <v>43252</v>
      </c>
      <c r="P1177" s="5" t="str">
        <f t="shared" si="216"/>
        <v>10,75</v>
      </c>
      <c r="Q1177" s="4" t="e">
        <f t="shared" ca="1" si="217"/>
        <v>#NAME?</v>
      </c>
    </row>
    <row r="1178" spans="1:17">
      <c r="A1178" s="1">
        <f t="shared" si="212"/>
        <v>1177</v>
      </c>
      <c r="C1178" s="8" t="s">
        <v>17</v>
      </c>
      <c r="D1178" s="2">
        <v>43281</v>
      </c>
      <c r="E1178" s="3">
        <f>225000/100000</f>
        <v>2.25</v>
      </c>
      <c r="F1178" t="s">
        <v>138</v>
      </c>
      <c r="G1178" t="s">
        <v>139</v>
      </c>
      <c r="H1178" t="s">
        <v>140</v>
      </c>
      <c r="I1178" s="6" t="s">
        <v>742</v>
      </c>
      <c r="J1178" s="61" t="s">
        <v>22</v>
      </c>
      <c r="L1178" s="5" t="str">
        <f t="shared" si="213"/>
        <v>01177</v>
      </c>
      <c r="M1178" s="47" t="str">
        <f t="shared" si="214"/>
        <v>30 de junio de 2018</v>
      </c>
      <c r="N1178" s="323">
        <f t="shared" si="210"/>
        <v>30</v>
      </c>
      <c r="O1178" s="25">
        <f t="shared" si="215"/>
        <v>43252</v>
      </c>
      <c r="P1178" s="5" t="str">
        <f t="shared" si="216"/>
        <v>2,25</v>
      </c>
      <c r="Q1178" s="4" t="e">
        <f t="shared" ca="1" si="217"/>
        <v>#NAME?</v>
      </c>
    </row>
    <row r="1179" spans="1:17">
      <c r="A1179" s="1">
        <f t="shared" si="212"/>
        <v>1178</v>
      </c>
      <c r="C1179" s="8" t="s">
        <v>17</v>
      </c>
      <c r="D1179" s="2">
        <v>43281</v>
      </c>
      <c r="E1179" s="3">
        <f>1075000/100000</f>
        <v>10.75</v>
      </c>
      <c r="F1179" t="s">
        <v>201</v>
      </c>
      <c r="G1179" t="s">
        <v>202</v>
      </c>
      <c r="H1179" t="s">
        <v>203</v>
      </c>
      <c r="I1179" s="6" t="s">
        <v>736</v>
      </c>
      <c r="J1179" s="61" t="s">
        <v>22</v>
      </c>
      <c r="L1179" s="5" t="str">
        <f t="shared" si="213"/>
        <v>01178</v>
      </c>
      <c r="M1179" s="47" t="str">
        <f t="shared" si="214"/>
        <v>30 de junio de 2018</v>
      </c>
      <c r="N1179" s="323">
        <f t="shared" si="210"/>
        <v>30</v>
      </c>
      <c r="O1179" s="25">
        <f t="shared" si="215"/>
        <v>43252</v>
      </c>
      <c r="P1179" s="5" t="str">
        <f t="shared" si="216"/>
        <v>10,75</v>
      </c>
      <c r="Q1179" s="4" t="e">
        <f t="shared" ca="1" si="217"/>
        <v>#NAME?</v>
      </c>
    </row>
    <row r="1180" spans="1:17">
      <c r="A1180" s="1">
        <f t="shared" si="212"/>
        <v>1179</v>
      </c>
      <c r="C1180" s="8" t="s">
        <v>17</v>
      </c>
      <c r="D1180" s="2">
        <v>43281</v>
      </c>
      <c r="E1180" s="3">
        <f>450000/100000</f>
        <v>4.5</v>
      </c>
      <c r="F1180" t="s">
        <v>324</v>
      </c>
      <c r="G1180" t="s">
        <v>325</v>
      </c>
      <c r="H1180" t="s">
        <v>326</v>
      </c>
      <c r="I1180" s="6" t="s">
        <v>746</v>
      </c>
      <c r="J1180" s="61" t="s">
        <v>22</v>
      </c>
      <c r="L1180" s="5" t="str">
        <f t="shared" ref="L1180:L1196" si="218">IF(ISBLANK(A1180),"",TEXT(A1180,"00000"))</f>
        <v>01179</v>
      </c>
      <c r="M1180" s="47" t="str">
        <f t="shared" ref="M1180:M1196" si="219">IF(ISBLANK(D1180),"",TEXT(D1180,"dd")&amp;" de "&amp;TEXT(D1180,"mmmm")&amp;" de "&amp;TEXT(YEAR(D1180),"0"))</f>
        <v>30 de junio de 2018</v>
      </c>
      <c r="N1180" s="323">
        <f t="shared" si="210"/>
        <v>30</v>
      </c>
      <c r="O1180" s="25">
        <f t="shared" ref="O1180:O1196" si="220">DATE(YEAR(D1180),MONTH(D1180),1)</f>
        <v>43252</v>
      </c>
      <c r="P1180" s="5" t="str">
        <f t="shared" ref="P1180:P1190" si="221">TEXT(E1180,"#.##0,00")</f>
        <v>4,50</v>
      </c>
      <c r="Q1180" s="4" t="e">
        <f t="shared" ref="Q1180:Q1190" ca="1" si="222">CONVERTIRNUM(E1180)</f>
        <v>#NAME?</v>
      </c>
    </row>
    <row r="1181" spans="1:17">
      <c r="A1181" s="1">
        <f t="shared" si="212"/>
        <v>1180</v>
      </c>
      <c r="C1181" s="8" t="s">
        <v>17</v>
      </c>
      <c r="D1181" s="2">
        <v>43281</v>
      </c>
      <c r="E1181" s="3">
        <f>1075000/100000</f>
        <v>10.75</v>
      </c>
      <c r="F1181" t="s">
        <v>24</v>
      </c>
      <c r="G1181" t="s">
        <v>25</v>
      </c>
      <c r="H1181" t="s">
        <v>26</v>
      </c>
      <c r="I1181" s="6" t="s">
        <v>736</v>
      </c>
      <c r="J1181" s="61" t="s">
        <v>22</v>
      </c>
      <c r="L1181" s="5" t="str">
        <f t="shared" si="218"/>
        <v>01180</v>
      </c>
      <c r="M1181" s="47" t="str">
        <f t="shared" si="219"/>
        <v>30 de junio de 2018</v>
      </c>
      <c r="N1181" s="323">
        <f t="shared" si="210"/>
        <v>30</v>
      </c>
      <c r="O1181" s="25">
        <f t="shared" si="220"/>
        <v>43252</v>
      </c>
      <c r="P1181" s="5" t="str">
        <f t="shared" si="221"/>
        <v>10,75</v>
      </c>
      <c r="Q1181" s="4" t="e">
        <f t="shared" ca="1" si="222"/>
        <v>#NAME?</v>
      </c>
    </row>
    <row r="1182" spans="1:17">
      <c r="A1182" s="1">
        <f t="shared" si="212"/>
        <v>1181</v>
      </c>
      <c r="C1182" s="8" t="s">
        <v>17</v>
      </c>
      <c r="D1182" s="2">
        <v>43281</v>
      </c>
      <c r="E1182" s="3">
        <f>2000000/100000-850000/100000-125000/100000</f>
        <v>10.25</v>
      </c>
      <c r="F1182" t="s">
        <v>612</v>
      </c>
      <c r="G1182" t="s">
        <v>613</v>
      </c>
      <c r="H1182" t="s">
        <v>614</v>
      </c>
      <c r="I1182" s="6" t="s">
        <v>747</v>
      </c>
      <c r="J1182" s="61" t="s">
        <v>22</v>
      </c>
      <c r="L1182" s="5" t="str">
        <f t="shared" si="218"/>
        <v>01181</v>
      </c>
      <c r="M1182" s="47" t="str">
        <f t="shared" si="219"/>
        <v>30 de junio de 2018</v>
      </c>
      <c r="N1182" s="323">
        <f t="shared" si="210"/>
        <v>30</v>
      </c>
      <c r="O1182" s="25">
        <f t="shared" si="220"/>
        <v>43252</v>
      </c>
      <c r="P1182" s="5" t="str">
        <f t="shared" si="221"/>
        <v>10,25</v>
      </c>
      <c r="Q1182" s="4" t="e">
        <f t="shared" ca="1" si="222"/>
        <v>#NAME?</v>
      </c>
    </row>
    <row r="1183" spans="1:17">
      <c r="A1183" s="1">
        <f t="shared" si="212"/>
        <v>1182</v>
      </c>
      <c r="C1183" s="8" t="s">
        <v>17</v>
      </c>
      <c r="D1183" s="2">
        <v>43281</v>
      </c>
      <c r="E1183" s="3">
        <f>1075000/100000</f>
        <v>10.75</v>
      </c>
      <c r="F1183" t="s">
        <v>90</v>
      </c>
      <c r="G1183" t="s">
        <v>91</v>
      </c>
      <c r="H1183" t="s">
        <v>92</v>
      </c>
      <c r="I1183" s="6" t="s">
        <v>748</v>
      </c>
      <c r="J1183" s="61" t="s">
        <v>22</v>
      </c>
      <c r="L1183" s="5" t="str">
        <f t="shared" si="218"/>
        <v>01182</v>
      </c>
      <c r="M1183" s="47" t="str">
        <f t="shared" si="219"/>
        <v>30 de junio de 2018</v>
      </c>
      <c r="N1183" s="323">
        <f t="shared" si="210"/>
        <v>30</v>
      </c>
      <c r="O1183" s="25">
        <f t="shared" si="220"/>
        <v>43252</v>
      </c>
      <c r="P1183" s="5" t="str">
        <f t="shared" si="221"/>
        <v>10,75</v>
      </c>
      <c r="Q1183" s="4" t="e">
        <f t="shared" ca="1" si="222"/>
        <v>#NAME?</v>
      </c>
    </row>
    <row r="1184" spans="1:17">
      <c r="A1184" s="1">
        <f t="shared" si="212"/>
        <v>1183</v>
      </c>
      <c r="C1184" s="8" t="s">
        <v>17</v>
      </c>
      <c r="D1184" s="2">
        <v>43282</v>
      </c>
      <c r="E1184" s="3">
        <f>1075000/100000</f>
        <v>10.75</v>
      </c>
      <c r="F1184" t="s">
        <v>362</v>
      </c>
      <c r="G1184" t="s">
        <v>363</v>
      </c>
      <c r="H1184" t="s">
        <v>364</v>
      </c>
      <c r="I1184" s="6" t="s">
        <v>736</v>
      </c>
      <c r="J1184" s="61" t="s">
        <v>22</v>
      </c>
      <c r="L1184" s="5" t="str">
        <f t="shared" si="218"/>
        <v>01183</v>
      </c>
      <c r="M1184" s="47" t="str">
        <f t="shared" si="219"/>
        <v>01 de julio de 2018</v>
      </c>
      <c r="N1184" s="323">
        <f t="shared" si="210"/>
        <v>1</v>
      </c>
      <c r="O1184" s="25">
        <f t="shared" si="220"/>
        <v>43282</v>
      </c>
      <c r="P1184" s="5" t="str">
        <f t="shared" si="221"/>
        <v>10,75</v>
      </c>
      <c r="Q1184" s="4" t="e">
        <f t="shared" ca="1" si="222"/>
        <v>#NAME?</v>
      </c>
    </row>
    <row r="1185" spans="1:17">
      <c r="A1185" s="1">
        <f t="shared" si="212"/>
        <v>1184</v>
      </c>
      <c r="C1185" s="8" t="s">
        <v>17</v>
      </c>
      <c r="D1185" s="2">
        <v>43282</v>
      </c>
      <c r="E1185" s="3">
        <f>1075000/100000</f>
        <v>10.75</v>
      </c>
      <c r="F1185" t="s">
        <v>80</v>
      </c>
      <c r="G1185" t="s">
        <v>81</v>
      </c>
      <c r="H1185" t="s">
        <v>82</v>
      </c>
      <c r="I1185" s="6" t="s">
        <v>736</v>
      </c>
      <c r="J1185" s="61" t="s">
        <v>22</v>
      </c>
      <c r="L1185" s="5" t="str">
        <f t="shared" si="218"/>
        <v>01184</v>
      </c>
      <c r="M1185" s="47" t="str">
        <f t="shared" si="219"/>
        <v>01 de julio de 2018</v>
      </c>
      <c r="N1185" s="323">
        <f t="shared" si="210"/>
        <v>1</v>
      </c>
      <c r="O1185" s="25">
        <f t="shared" si="220"/>
        <v>43282</v>
      </c>
      <c r="P1185" s="5" t="str">
        <f t="shared" si="221"/>
        <v>10,75</v>
      </c>
      <c r="Q1185" s="4" t="e">
        <f t="shared" ca="1" si="222"/>
        <v>#NAME?</v>
      </c>
    </row>
    <row r="1186" spans="1:17">
      <c r="A1186" s="1">
        <f t="shared" si="212"/>
        <v>1185</v>
      </c>
      <c r="C1186" s="8" t="s">
        <v>17</v>
      </c>
      <c r="D1186" s="2">
        <v>43282</v>
      </c>
      <c r="E1186" s="3">
        <f>400000/100000</f>
        <v>4</v>
      </c>
      <c r="F1186" t="s">
        <v>412</v>
      </c>
      <c r="G1186" t="s">
        <v>413</v>
      </c>
      <c r="H1186" t="s">
        <v>414</v>
      </c>
      <c r="I1186" s="6" t="s">
        <v>446</v>
      </c>
      <c r="J1186" s="61" t="s">
        <v>22</v>
      </c>
      <c r="L1186" s="5" t="str">
        <f t="shared" si="218"/>
        <v>01185</v>
      </c>
      <c r="M1186" s="47" t="str">
        <f t="shared" si="219"/>
        <v>01 de julio de 2018</v>
      </c>
      <c r="N1186" s="323">
        <f t="shared" si="210"/>
        <v>1</v>
      </c>
      <c r="O1186" s="25">
        <f t="shared" si="220"/>
        <v>43282</v>
      </c>
      <c r="P1186" s="5" t="str">
        <f t="shared" si="221"/>
        <v>4,00</v>
      </c>
      <c r="Q1186" s="4" t="e">
        <f t="shared" ca="1" si="222"/>
        <v>#NAME?</v>
      </c>
    </row>
    <row r="1187" spans="1:17">
      <c r="A1187" s="1">
        <f t="shared" si="212"/>
        <v>1186</v>
      </c>
      <c r="C1187" s="8" t="s">
        <v>17</v>
      </c>
      <c r="D1187" s="2">
        <v>43282</v>
      </c>
      <c r="E1187" s="3">
        <f>250000/100000</f>
        <v>2.5</v>
      </c>
      <c r="F1187" t="s">
        <v>126</v>
      </c>
      <c r="G1187" t="s">
        <v>127</v>
      </c>
      <c r="H1187" t="s">
        <v>128</v>
      </c>
      <c r="I1187" s="6" t="s">
        <v>749</v>
      </c>
      <c r="J1187" s="61" t="s">
        <v>22</v>
      </c>
      <c r="L1187" s="5" t="str">
        <f t="shared" si="218"/>
        <v>01186</v>
      </c>
      <c r="M1187" s="47" t="str">
        <f t="shared" si="219"/>
        <v>01 de julio de 2018</v>
      </c>
      <c r="N1187" s="323">
        <f t="shared" si="210"/>
        <v>1</v>
      </c>
      <c r="O1187" s="25">
        <f t="shared" si="220"/>
        <v>43282</v>
      </c>
      <c r="P1187" s="5" t="str">
        <f t="shared" si="221"/>
        <v>2,50</v>
      </c>
      <c r="Q1187" s="4" t="e">
        <f t="shared" ca="1" si="222"/>
        <v>#NAME?</v>
      </c>
    </row>
    <row r="1188" spans="1:17">
      <c r="A1188" s="1">
        <f t="shared" si="212"/>
        <v>1187</v>
      </c>
      <c r="C1188" s="8" t="s">
        <v>17</v>
      </c>
      <c r="D1188" s="2">
        <v>43282</v>
      </c>
      <c r="E1188" s="3">
        <f>225000/100000</f>
        <v>2.25</v>
      </c>
      <c r="F1188" t="s">
        <v>84</v>
      </c>
      <c r="G1188" t="s">
        <v>85</v>
      </c>
      <c r="H1188" t="s">
        <v>86</v>
      </c>
      <c r="I1188" s="6" t="s">
        <v>742</v>
      </c>
      <c r="J1188" s="61" t="s">
        <v>22</v>
      </c>
      <c r="L1188" s="5" t="str">
        <f t="shared" si="218"/>
        <v>01187</v>
      </c>
      <c r="M1188" s="47" t="str">
        <f t="shared" si="219"/>
        <v>01 de julio de 2018</v>
      </c>
      <c r="N1188" s="323">
        <f t="shared" si="210"/>
        <v>1</v>
      </c>
      <c r="O1188" s="25">
        <f t="shared" si="220"/>
        <v>43282</v>
      </c>
      <c r="P1188" s="5" t="str">
        <f t="shared" si="221"/>
        <v>2,25</v>
      </c>
      <c r="Q1188" s="4" t="e">
        <f t="shared" ca="1" si="222"/>
        <v>#NAME?</v>
      </c>
    </row>
    <row r="1189" spans="1:17">
      <c r="A1189" s="1">
        <f t="shared" si="212"/>
        <v>1188</v>
      </c>
      <c r="C1189" s="8" t="s">
        <v>17</v>
      </c>
      <c r="D1189" s="2">
        <v>43282</v>
      </c>
      <c r="E1189" s="3">
        <f>1075000/100000</f>
        <v>10.75</v>
      </c>
      <c r="F1189" t="s">
        <v>243</v>
      </c>
      <c r="G1189" t="s">
        <v>244</v>
      </c>
      <c r="H1189" t="s">
        <v>245</v>
      </c>
      <c r="I1189" s="6" t="s">
        <v>736</v>
      </c>
      <c r="J1189" s="61" t="s">
        <v>22</v>
      </c>
      <c r="L1189" s="5" t="str">
        <f t="shared" si="218"/>
        <v>01188</v>
      </c>
      <c r="M1189" s="47" t="str">
        <f t="shared" si="219"/>
        <v>01 de julio de 2018</v>
      </c>
      <c r="N1189" s="323">
        <f t="shared" si="210"/>
        <v>1</v>
      </c>
      <c r="O1189" s="25">
        <f t="shared" si="220"/>
        <v>43282</v>
      </c>
      <c r="P1189" s="5" t="str">
        <f t="shared" si="221"/>
        <v>10,75</v>
      </c>
      <c r="Q1189" s="4" t="e">
        <f t="shared" ca="1" si="222"/>
        <v>#NAME?</v>
      </c>
    </row>
    <row r="1190" spans="1:17">
      <c r="A1190" s="1">
        <f t="shared" si="212"/>
        <v>1189</v>
      </c>
      <c r="C1190" s="8" t="s">
        <v>17</v>
      </c>
      <c r="D1190" s="2">
        <v>43283</v>
      </c>
      <c r="E1190" s="3">
        <f>225000/100000</f>
        <v>2.25</v>
      </c>
      <c r="F1190" t="s">
        <v>181</v>
      </c>
      <c r="G1190" t="s">
        <v>182</v>
      </c>
      <c r="H1190" t="s">
        <v>183</v>
      </c>
      <c r="I1190" s="6" t="s">
        <v>742</v>
      </c>
      <c r="J1190" s="61" t="s">
        <v>22</v>
      </c>
      <c r="L1190" s="5" t="str">
        <f t="shared" si="218"/>
        <v>01189</v>
      </c>
      <c r="M1190" s="47" t="str">
        <f t="shared" si="219"/>
        <v>02 de julio de 2018</v>
      </c>
      <c r="N1190" s="323">
        <f t="shared" si="210"/>
        <v>2</v>
      </c>
      <c r="O1190" s="25">
        <f t="shared" si="220"/>
        <v>43282</v>
      </c>
      <c r="P1190" s="5" t="str">
        <f t="shared" si="221"/>
        <v>2,25</v>
      </c>
      <c r="Q1190" s="4" t="e">
        <f t="shared" ca="1" si="222"/>
        <v>#NAME?</v>
      </c>
    </row>
    <row r="1191" spans="1:17">
      <c r="A1191" s="1">
        <f t="shared" si="212"/>
        <v>1190</v>
      </c>
      <c r="C1191" s="8" t="s">
        <v>17</v>
      </c>
      <c r="D1191" s="2">
        <v>43283</v>
      </c>
      <c r="E1191" s="3">
        <f>850000/100000</f>
        <v>8.5</v>
      </c>
      <c r="F1191" t="s">
        <v>713</v>
      </c>
      <c r="G1191" t="s">
        <v>714</v>
      </c>
      <c r="H1191" t="s">
        <v>154</v>
      </c>
      <c r="I1191" s="6" t="s">
        <v>750</v>
      </c>
      <c r="J1191" s="61" t="s">
        <v>22</v>
      </c>
      <c r="L1191" s="5" t="str">
        <f t="shared" si="218"/>
        <v>01190</v>
      </c>
      <c r="M1191" s="47" t="str">
        <f t="shared" si="219"/>
        <v>02 de julio de 2018</v>
      </c>
      <c r="N1191" s="323">
        <f t="shared" si="210"/>
        <v>2</v>
      </c>
      <c r="O1191" s="25">
        <f t="shared" si="220"/>
        <v>43282</v>
      </c>
      <c r="P1191" s="5" t="str">
        <f t="shared" ref="P1191:P1196" si="223">TEXT(E1191,"#.##0,00")</f>
        <v>8,50</v>
      </c>
      <c r="Q1191" s="4" t="e">
        <f t="shared" ref="Q1191:Q1196" ca="1" si="224">CONVERTIRNUM(E1191)</f>
        <v>#NAME?</v>
      </c>
    </row>
    <row r="1192" spans="1:17" ht="15.75" thickBot="1">
      <c r="A1192" s="1">
        <f t="shared" si="212"/>
        <v>1191</v>
      </c>
      <c r="C1192" s="8" t="s">
        <v>17</v>
      </c>
      <c r="D1192" s="2">
        <v>43283</v>
      </c>
      <c r="E1192" s="3">
        <f>2325000/100000</f>
        <v>23.25</v>
      </c>
      <c r="F1192" t="s">
        <v>353</v>
      </c>
      <c r="G1192" t="s">
        <v>354</v>
      </c>
      <c r="H1192" t="s">
        <v>355</v>
      </c>
      <c r="I1192" s="6" t="s">
        <v>751</v>
      </c>
      <c r="J1192" s="61" t="s">
        <v>22</v>
      </c>
      <c r="L1192" s="5" t="str">
        <f t="shared" si="218"/>
        <v>01191</v>
      </c>
      <c r="M1192" s="47" t="str">
        <f t="shared" si="219"/>
        <v>02 de julio de 2018</v>
      </c>
      <c r="N1192" s="323">
        <f t="shared" si="210"/>
        <v>2</v>
      </c>
      <c r="O1192" s="25">
        <f t="shared" si="220"/>
        <v>43282</v>
      </c>
      <c r="P1192" s="5" t="str">
        <f t="shared" si="223"/>
        <v>23,25</v>
      </c>
      <c r="Q1192" s="4" t="e">
        <f t="shared" ca="1" si="224"/>
        <v>#NAME?</v>
      </c>
    </row>
    <row r="1193" spans="1:17" ht="15.75" thickBot="1">
      <c r="A1193" s="1">
        <f t="shared" si="212"/>
        <v>1192</v>
      </c>
      <c r="C1193" s="85" t="s">
        <v>17</v>
      </c>
      <c r="D1193" s="2">
        <v>43283</v>
      </c>
      <c r="E1193" s="3">
        <f>625000/100000</f>
        <v>6.25</v>
      </c>
      <c r="F1193" t="s">
        <v>319</v>
      </c>
      <c r="G1193" s="18" t="s">
        <v>58</v>
      </c>
      <c r="H1193" t="s">
        <v>320</v>
      </c>
      <c r="I1193" s="6" t="s">
        <v>707</v>
      </c>
      <c r="J1193" s="61" t="s">
        <v>22</v>
      </c>
      <c r="L1193" s="5" t="str">
        <f t="shared" si="218"/>
        <v>01192</v>
      </c>
      <c r="M1193" s="47" t="str">
        <f t="shared" si="219"/>
        <v>02 de julio de 2018</v>
      </c>
      <c r="N1193" s="323">
        <f t="shared" si="210"/>
        <v>2</v>
      </c>
      <c r="O1193" s="25">
        <f t="shared" si="220"/>
        <v>43282</v>
      </c>
      <c r="P1193" s="5" t="str">
        <f t="shared" si="223"/>
        <v>6,25</v>
      </c>
      <c r="Q1193" s="4" t="e">
        <f t="shared" ca="1" si="224"/>
        <v>#NAME?</v>
      </c>
    </row>
    <row r="1194" spans="1:17">
      <c r="A1194" s="1">
        <f t="shared" si="212"/>
        <v>1193</v>
      </c>
      <c r="C1194" s="8" t="s">
        <v>17</v>
      </c>
      <c r="D1194" s="2">
        <v>43283</v>
      </c>
      <c r="E1194" s="3">
        <f>1000000/100000</f>
        <v>10</v>
      </c>
      <c r="F1194" t="s">
        <v>107</v>
      </c>
      <c r="G1194" t="s">
        <v>108</v>
      </c>
      <c r="H1194" t="s">
        <v>109</v>
      </c>
      <c r="I1194" s="6" t="s">
        <v>750</v>
      </c>
      <c r="J1194" s="61" t="s">
        <v>22</v>
      </c>
      <c r="L1194" s="5" t="str">
        <f t="shared" si="218"/>
        <v>01193</v>
      </c>
      <c r="M1194" s="47" t="str">
        <f t="shared" si="219"/>
        <v>02 de julio de 2018</v>
      </c>
      <c r="N1194" s="323">
        <f t="shared" si="210"/>
        <v>2</v>
      </c>
      <c r="O1194" s="25">
        <f t="shared" si="220"/>
        <v>43282</v>
      </c>
      <c r="P1194" s="5" t="str">
        <f t="shared" si="223"/>
        <v>10,00</v>
      </c>
      <c r="Q1194" s="4" t="e">
        <f t="shared" ca="1" si="224"/>
        <v>#NAME?</v>
      </c>
    </row>
    <row r="1195" spans="1:17">
      <c r="A1195" s="1">
        <f t="shared" si="212"/>
        <v>1194</v>
      </c>
      <c r="C1195" s="8" t="s">
        <v>17</v>
      </c>
      <c r="D1195" s="2">
        <v>43283</v>
      </c>
      <c r="E1195" s="3">
        <f>850000/100000</f>
        <v>8.5</v>
      </c>
      <c r="F1195" t="s">
        <v>594</v>
      </c>
      <c r="G1195" t="s">
        <v>595</v>
      </c>
      <c r="H1195" t="s">
        <v>596</v>
      </c>
      <c r="I1195" s="6" t="s">
        <v>752</v>
      </c>
      <c r="J1195" s="61" t="s">
        <v>22</v>
      </c>
      <c r="L1195" s="5" t="str">
        <f t="shared" si="218"/>
        <v>01194</v>
      </c>
      <c r="M1195" s="47" t="str">
        <f t="shared" si="219"/>
        <v>02 de julio de 2018</v>
      </c>
      <c r="N1195" s="323">
        <f t="shared" si="210"/>
        <v>2</v>
      </c>
      <c r="O1195" s="25">
        <f t="shared" si="220"/>
        <v>43282</v>
      </c>
      <c r="P1195" s="5" t="str">
        <f t="shared" si="223"/>
        <v>8,50</v>
      </c>
      <c r="Q1195" s="4" t="e">
        <f t="shared" ca="1" si="224"/>
        <v>#NAME?</v>
      </c>
    </row>
    <row r="1196" spans="1:17">
      <c r="A1196" s="1">
        <f t="shared" si="212"/>
        <v>1195</v>
      </c>
      <c r="C1196" s="8" t="s">
        <v>17</v>
      </c>
      <c r="D1196" s="2">
        <v>43284</v>
      </c>
      <c r="E1196" s="3">
        <f>1625000/100000</f>
        <v>16.25</v>
      </c>
      <c r="F1196" t="s">
        <v>219</v>
      </c>
      <c r="G1196" t="s">
        <v>220</v>
      </c>
      <c r="H1196" t="s">
        <v>221</v>
      </c>
      <c r="I1196" s="6" t="s">
        <v>753</v>
      </c>
      <c r="J1196" s="61" t="s">
        <v>22</v>
      </c>
      <c r="L1196" s="5" t="str">
        <f t="shared" si="218"/>
        <v>01195</v>
      </c>
      <c r="M1196" s="47" t="str">
        <f t="shared" si="219"/>
        <v>03 de julio de 2018</v>
      </c>
      <c r="N1196" s="323">
        <f t="shared" si="210"/>
        <v>3</v>
      </c>
      <c r="O1196" s="25">
        <f t="shared" si="220"/>
        <v>43282</v>
      </c>
      <c r="P1196" s="5" t="str">
        <f t="shared" si="223"/>
        <v>16,25</v>
      </c>
      <c r="Q1196" s="4" t="e">
        <f t="shared" ca="1" si="224"/>
        <v>#NAME?</v>
      </c>
    </row>
    <row r="1197" spans="1:17">
      <c r="A1197" s="1">
        <f t="shared" si="212"/>
        <v>1196</v>
      </c>
      <c r="C1197" s="8" t="s">
        <v>17</v>
      </c>
      <c r="D1197" s="2">
        <v>43284</v>
      </c>
      <c r="E1197" s="3">
        <f>650000/100000</f>
        <v>6.5</v>
      </c>
      <c r="F1197" t="s">
        <v>107</v>
      </c>
      <c r="G1197" t="s">
        <v>108</v>
      </c>
      <c r="H1197" t="s">
        <v>109</v>
      </c>
      <c r="I1197" s="6" t="s">
        <v>707</v>
      </c>
      <c r="J1197" s="61" t="s">
        <v>22</v>
      </c>
      <c r="L1197" s="5" t="str">
        <f t="shared" ref="L1197:L1220" si="225">IF(ISBLANK(A1197),"",TEXT(A1197,"00000"))</f>
        <v>01196</v>
      </c>
      <c r="M1197" s="47" t="str">
        <f t="shared" ref="M1197:M1220" si="226">IF(ISBLANK(D1197),"",TEXT(D1197,"dd")&amp;" de "&amp;TEXT(D1197,"mmmm")&amp;" de "&amp;TEXT(YEAR(D1197),"0"))</f>
        <v>03 de julio de 2018</v>
      </c>
      <c r="N1197" s="323">
        <f t="shared" si="210"/>
        <v>3</v>
      </c>
      <c r="O1197" s="25">
        <f t="shared" ref="O1197:O1220" si="227">DATE(YEAR(D1197),MONTH(D1197),1)</f>
        <v>43282</v>
      </c>
      <c r="P1197" s="5" t="str">
        <f t="shared" ref="P1197:P1219" si="228">TEXT(E1197,"#.##0,00")</f>
        <v>6,50</v>
      </c>
      <c r="Q1197" s="4" t="e">
        <f t="shared" ref="Q1197:Q1219" ca="1" si="229">CONVERTIRNUM(E1197)</f>
        <v>#NAME?</v>
      </c>
    </row>
    <row r="1198" spans="1:17">
      <c r="A1198" s="1">
        <f t="shared" si="212"/>
        <v>1197</v>
      </c>
      <c r="C1198" s="8" t="s">
        <v>17</v>
      </c>
      <c r="D1198" s="2">
        <v>43284</v>
      </c>
      <c r="E1198" s="3">
        <f>875000/100000+350000/100000</f>
        <v>12.25</v>
      </c>
      <c r="F1198" t="s">
        <v>248</v>
      </c>
      <c r="G1198" t="s">
        <v>249</v>
      </c>
      <c r="H1198" t="s">
        <v>250</v>
      </c>
      <c r="I1198" s="6" t="s">
        <v>736</v>
      </c>
      <c r="J1198" s="61" t="s">
        <v>22</v>
      </c>
      <c r="L1198" s="5" t="str">
        <f t="shared" si="225"/>
        <v>01197</v>
      </c>
      <c r="M1198" s="47" t="str">
        <f t="shared" si="226"/>
        <v>03 de julio de 2018</v>
      </c>
      <c r="N1198" s="323">
        <f t="shared" si="210"/>
        <v>3</v>
      </c>
      <c r="O1198" s="25">
        <f t="shared" si="227"/>
        <v>43282</v>
      </c>
      <c r="P1198" s="5" t="str">
        <f t="shared" si="228"/>
        <v>12,25</v>
      </c>
      <c r="Q1198" s="4" t="e">
        <f t="shared" ca="1" si="229"/>
        <v>#NAME?</v>
      </c>
    </row>
    <row r="1199" spans="1:17">
      <c r="A1199" s="1">
        <f t="shared" si="212"/>
        <v>1198</v>
      </c>
      <c r="C1199" s="8" t="s">
        <v>17</v>
      </c>
      <c r="D1199" s="2">
        <v>43284</v>
      </c>
      <c r="E1199" s="3">
        <f>1225000/100000</f>
        <v>12.25</v>
      </c>
      <c r="F1199" t="s">
        <v>53</v>
      </c>
      <c r="G1199" t="s">
        <v>677</v>
      </c>
      <c r="H1199" t="s">
        <v>55</v>
      </c>
      <c r="I1199" s="6" t="s">
        <v>736</v>
      </c>
      <c r="J1199" s="61" t="s">
        <v>22</v>
      </c>
      <c r="L1199" s="5" t="str">
        <f t="shared" si="225"/>
        <v>01198</v>
      </c>
      <c r="M1199" s="47" t="str">
        <f t="shared" si="226"/>
        <v>03 de julio de 2018</v>
      </c>
      <c r="N1199" s="323">
        <f t="shared" si="210"/>
        <v>3</v>
      </c>
      <c r="O1199" s="25">
        <f t="shared" si="227"/>
        <v>43282</v>
      </c>
      <c r="P1199" s="5" t="str">
        <f t="shared" si="228"/>
        <v>12,25</v>
      </c>
      <c r="Q1199" s="4" t="e">
        <f t="shared" ca="1" si="229"/>
        <v>#NAME?</v>
      </c>
    </row>
    <row r="1200" spans="1:17">
      <c r="A1200" s="1">
        <f t="shared" si="212"/>
        <v>1199</v>
      </c>
      <c r="C1200" s="8" t="s">
        <v>17</v>
      </c>
      <c r="D1200" s="2">
        <v>43284</v>
      </c>
      <c r="E1200" s="3">
        <f>50000/100000</f>
        <v>0.5</v>
      </c>
      <c r="F1200" t="s">
        <v>53</v>
      </c>
      <c r="G1200" t="s">
        <v>677</v>
      </c>
      <c r="H1200" t="s">
        <v>55</v>
      </c>
      <c r="I1200" s="6" t="s">
        <v>732</v>
      </c>
      <c r="J1200" s="61" t="s">
        <v>733</v>
      </c>
      <c r="L1200" s="5" t="str">
        <f t="shared" si="225"/>
        <v>01199</v>
      </c>
      <c r="M1200" s="47" t="str">
        <f t="shared" si="226"/>
        <v>03 de julio de 2018</v>
      </c>
      <c r="N1200" s="323">
        <f t="shared" si="210"/>
        <v>3</v>
      </c>
      <c r="O1200" s="25">
        <f t="shared" si="227"/>
        <v>43282</v>
      </c>
      <c r="P1200" s="5" t="str">
        <f t="shared" si="228"/>
        <v>0,50</v>
      </c>
      <c r="Q1200" s="4" t="e">
        <f t="shared" ca="1" si="229"/>
        <v>#NAME?</v>
      </c>
    </row>
    <row r="1201" spans="1:17">
      <c r="A1201" s="1">
        <f t="shared" si="212"/>
        <v>1200</v>
      </c>
      <c r="C1201" s="8" t="s">
        <v>17</v>
      </c>
      <c r="D1201" s="2">
        <v>43284</v>
      </c>
      <c r="E1201" s="3">
        <f>400000/100000</f>
        <v>4</v>
      </c>
      <c r="F1201" t="s">
        <v>594</v>
      </c>
      <c r="G1201" t="s">
        <v>595</v>
      </c>
      <c r="H1201" t="s">
        <v>596</v>
      </c>
      <c r="I1201" s="6" t="s">
        <v>737</v>
      </c>
      <c r="J1201" s="61" t="s">
        <v>22</v>
      </c>
      <c r="L1201" s="5" t="str">
        <f t="shared" si="225"/>
        <v>01200</v>
      </c>
      <c r="M1201" s="47" t="str">
        <f t="shared" si="226"/>
        <v>03 de julio de 2018</v>
      </c>
      <c r="N1201" s="323">
        <f t="shared" si="210"/>
        <v>3</v>
      </c>
      <c r="O1201" s="25">
        <f t="shared" si="227"/>
        <v>43282</v>
      </c>
      <c r="P1201" s="5" t="str">
        <f t="shared" si="228"/>
        <v>4,00</v>
      </c>
      <c r="Q1201" s="4" t="e">
        <f t="shared" ca="1" si="229"/>
        <v>#NAME?</v>
      </c>
    </row>
    <row r="1202" spans="1:17">
      <c r="A1202" s="1">
        <f t="shared" si="212"/>
        <v>1201</v>
      </c>
      <c r="C1202" s="8" t="s">
        <v>17</v>
      </c>
      <c r="D1202" s="2">
        <v>43284</v>
      </c>
      <c r="E1202" s="3">
        <f>350000/100000</f>
        <v>3.5</v>
      </c>
      <c r="F1202" t="s">
        <v>594</v>
      </c>
      <c r="G1202" t="s">
        <v>595</v>
      </c>
      <c r="H1202" t="s">
        <v>596</v>
      </c>
      <c r="I1202" s="6" t="s">
        <v>672</v>
      </c>
      <c r="J1202" s="61" t="s">
        <v>673</v>
      </c>
      <c r="L1202" s="5" t="str">
        <f t="shared" si="225"/>
        <v>01201</v>
      </c>
      <c r="M1202" s="47" t="str">
        <f t="shared" si="226"/>
        <v>03 de julio de 2018</v>
      </c>
      <c r="N1202" s="323">
        <f t="shared" si="210"/>
        <v>3</v>
      </c>
      <c r="O1202" s="25">
        <f t="shared" si="227"/>
        <v>43282</v>
      </c>
      <c r="P1202" s="5" t="str">
        <f t="shared" si="228"/>
        <v>3,50</v>
      </c>
      <c r="Q1202" s="4" t="e">
        <f t="shared" ca="1" si="229"/>
        <v>#NAME?</v>
      </c>
    </row>
    <row r="1203" spans="1:17">
      <c r="A1203" s="1">
        <f t="shared" si="212"/>
        <v>1202</v>
      </c>
      <c r="C1203" s="8" t="s">
        <v>17</v>
      </c>
      <c r="D1203" s="2">
        <v>43284</v>
      </c>
      <c r="E1203" s="3">
        <f>1475000/100000</f>
        <v>14.75</v>
      </c>
      <c r="F1203" t="s">
        <v>284</v>
      </c>
      <c r="G1203" t="s">
        <v>687</v>
      </c>
      <c r="H1203" t="s">
        <v>285</v>
      </c>
      <c r="I1203" s="6" t="s">
        <v>731</v>
      </c>
      <c r="J1203" s="61" t="s">
        <v>22</v>
      </c>
      <c r="L1203" s="5" t="str">
        <f t="shared" si="225"/>
        <v>01202</v>
      </c>
      <c r="M1203" s="47" t="str">
        <f t="shared" si="226"/>
        <v>03 de julio de 2018</v>
      </c>
      <c r="N1203" s="323">
        <f t="shared" si="210"/>
        <v>3</v>
      </c>
      <c r="O1203" s="25">
        <f t="shared" si="227"/>
        <v>43282</v>
      </c>
      <c r="P1203" s="5" t="str">
        <f t="shared" si="228"/>
        <v>14,75</v>
      </c>
      <c r="Q1203" s="4" t="e">
        <f t="shared" ca="1" si="229"/>
        <v>#NAME?</v>
      </c>
    </row>
    <row r="1204" spans="1:17" ht="15.75" thickBot="1">
      <c r="A1204" s="1">
        <f t="shared" si="212"/>
        <v>1203</v>
      </c>
      <c r="C1204" s="8" t="s">
        <v>17</v>
      </c>
      <c r="D1204" s="2">
        <v>43284</v>
      </c>
      <c r="E1204" s="3">
        <f>150000/100000</f>
        <v>1.5</v>
      </c>
      <c r="F1204" t="s">
        <v>24</v>
      </c>
      <c r="G1204" t="s">
        <v>25</v>
      </c>
      <c r="H1204" t="s">
        <v>26</v>
      </c>
      <c r="I1204" s="6" t="s">
        <v>754</v>
      </c>
      <c r="J1204" s="61" t="s">
        <v>22</v>
      </c>
      <c r="L1204" s="5" t="str">
        <f t="shared" si="225"/>
        <v>01203</v>
      </c>
      <c r="M1204" s="47" t="str">
        <f t="shared" si="226"/>
        <v>03 de julio de 2018</v>
      </c>
      <c r="N1204" s="323">
        <f t="shared" si="210"/>
        <v>3</v>
      </c>
      <c r="O1204" s="25">
        <f t="shared" si="227"/>
        <v>43282</v>
      </c>
      <c r="P1204" s="5" t="str">
        <f t="shared" si="228"/>
        <v>1,50</v>
      </c>
      <c r="Q1204" s="4" t="e">
        <f t="shared" ca="1" si="229"/>
        <v>#NAME?</v>
      </c>
    </row>
    <row r="1205" spans="1:17" ht="15.75" thickBot="1">
      <c r="A1205" s="1">
        <f t="shared" si="212"/>
        <v>1204</v>
      </c>
      <c r="C1205" s="8" t="s">
        <v>17</v>
      </c>
      <c r="D1205" s="2">
        <v>43284</v>
      </c>
      <c r="E1205" s="3">
        <f>2355000/100000</f>
        <v>23.55</v>
      </c>
      <c r="F1205" s="23" t="s">
        <v>422</v>
      </c>
      <c r="G1205" s="18" t="s">
        <v>58</v>
      </c>
      <c r="H1205" t="s">
        <v>423</v>
      </c>
      <c r="I1205" s="6" t="s">
        <v>722</v>
      </c>
      <c r="J1205" s="61" t="s">
        <v>22</v>
      </c>
      <c r="L1205" s="5" t="str">
        <f t="shared" si="225"/>
        <v>01204</v>
      </c>
      <c r="M1205" s="47" t="str">
        <f t="shared" si="226"/>
        <v>03 de julio de 2018</v>
      </c>
      <c r="N1205" s="323">
        <f t="shared" si="210"/>
        <v>3</v>
      </c>
      <c r="O1205" s="25">
        <f t="shared" si="227"/>
        <v>43282</v>
      </c>
      <c r="P1205" s="5" t="str">
        <f t="shared" si="228"/>
        <v>23,55</v>
      </c>
      <c r="Q1205" s="4" t="e">
        <f t="shared" ca="1" si="229"/>
        <v>#NAME?</v>
      </c>
    </row>
    <row r="1206" spans="1:17">
      <c r="A1206" s="1">
        <f t="shared" si="212"/>
        <v>1205</v>
      </c>
      <c r="C1206" s="8" t="s">
        <v>17</v>
      </c>
      <c r="D1206" s="2">
        <v>43284</v>
      </c>
      <c r="E1206" s="3">
        <f>150000/100000</f>
        <v>1.5</v>
      </c>
      <c r="F1206" t="s">
        <v>558</v>
      </c>
      <c r="G1206" t="s">
        <v>559</v>
      </c>
      <c r="H1206" t="s">
        <v>560</v>
      </c>
      <c r="I1206" s="6" t="s">
        <v>754</v>
      </c>
      <c r="J1206" s="61" t="s">
        <v>22</v>
      </c>
      <c r="L1206" s="5" t="str">
        <f t="shared" si="225"/>
        <v>01205</v>
      </c>
      <c r="M1206" s="47" t="str">
        <f t="shared" si="226"/>
        <v>03 de julio de 2018</v>
      </c>
      <c r="N1206" s="323">
        <f t="shared" si="210"/>
        <v>3</v>
      </c>
      <c r="O1206" s="25">
        <f t="shared" si="227"/>
        <v>43282</v>
      </c>
      <c r="P1206" s="5" t="str">
        <f t="shared" si="228"/>
        <v>1,50</v>
      </c>
      <c r="Q1206" s="4" t="e">
        <f t="shared" ca="1" si="229"/>
        <v>#NAME?</v>
      </c>
    </row>
    <row r="1207" spans="1:17" ht="15.75" thickBot="1">
      <c r="A1207" s="1">
        <f t="shared" si="212"/>
        <v>1206</v>
      </c>
      <c r="C1207" s="8" t="s">
        <v>17</v>
      </c>
      <c r="D1207" s="2">
        <v>43284</v>
      </c>
      <c r="E1207" s="3">
        <f>150000/100000</f>
        <v>1.5</v>
      </c>
      <c r="F1207" t="s">
        <v>243</v>
      </c>
      <c r="G1207" t="s">
        <v>244</v>
      </c>
      <c r="H1207" t="s">
        <v>245</v>
      </c>
      <c r="I1207" s="6" t="s">
        <v>754</v>
      </c>
      <c r="J1207" s="61" t="s">
        <v>22</v>
      </c>
      <c r="L1207" s="5" t="str">
        <f t="shared" si="225"/>
        <v>01206</v>
      </c>
      <c r="M1207" s="47" t="str">
        <f t="shared" si="226"/>
        <v>03 de julio de 2018</v>
      </c>
      <c r="N1207" s="323">
        <f t="shared" si="210"/>
        <v>3</v>
      </c>
      <c r="O1207" s="25">
        <f t="shared" si="227"/>
        <v>43282</v>
      </c>
      <c r="P1207" s="5" t="str">
        <f t="shared" si="228"/>
        <v>1,50</v>
      </c>
      <c r="Q1207" s="4" t="e">
        <f t="shared" ca="1" si="229"/>
        <v>#NAME?</v>
      </c>
    </row>
    <row r="1208" spans="1:17" ht="15.75" thickBot="1">
      <c r="A1208" s="1">
        <f t="shared" si="212"/>
        <v>1207</v>
      </c>
      <c r="C1208" s="8" t="s">
        <v>17</v>
      </c>
      <c r="D1208" s="2">
        <v>43285</v>
      </c>
      <c r="E1208" s="3">
        <f>825000/100000</f>
        <v>8.25</v>
      </c>
      <c r="F1208" t="s">
        <v>40</v>
      </c>
      <c r="G1208" s="18" t="s">
        <v>58</v>
      </c>
      <c r="H1208" t="s">
        <v>42</v>
      </c>
      <c r="I1208" s="6" t="s">
        <v>755</v>
      </c>
      <c r="J1208" s="61" t="s">
        <v>22</v>
      </c>
      <c r="L1208" s="5" t="str">
        <f t="shared" si="225"/>
        <v>01207</v>
      </c>
      <c r="M1208" s="47" t="str">
        <f t="shared" si="226"/>
        <v>04 de julio de 2018</v>
      </c>
      <c r="N1208" s="323">
        <f t="shared" si="210"/>
        <v>4</v>
      </c>
      <c r="O1208" s="25">
        <f t="shared" si="227"/>
        <v>43282</v>
      </c>
      <c r="P1208" s="5" t="str">
        <f t="shared" si="228"/>
        <v>8,25</v>
      </c>
      <c r="Q1208" s="4" t="e">
        <f t="shared" ca="1" si="229"/>
        <v>#NAME?</v>
      </c>
    </row>
    <row r="1209" spans="1:17" ht="15.75" thickBot="1">
      <c r="A1209" s="178">
        <f t="shared" si="212"/>
        <v>1208</v>
      </c>
      <c r="C1209" s="8" t="s">
        <v>17</v>
      </c>
      <c r="D1209" s="2">
        <v>43285</v>
      </c>
      <c r="E1209" s="3">
        <f>1000000/100000</f>
        <v>10</v>
      </c>
      <c r="F1209" t="s">
        <v>438</v>
      </c>
      <c r="G1209" t="s">
        <v>439</v>
      </c>
      <c r="H1209" t="s">
        <v>440</v>
      </c>
      <c r="I1209" s="6" t="s">
        <v>756</v>
      </c>
      <c r="J1209" s="61" t="s">
        <v>22</v>
      </c>
      <c r="L1209" s="5" t="str">
        <f t="shared" si="225"/>
        <v>01208</v>
      </c>
      <c r="M1209" s="47" t="str">
        <f t="shared" si="226"/>
        <v>04 de julio de 2018</v>
      </c>
      <c r="N1209" s="323">
        <f t="shared" si="210"/>
        <v>4</v>
      </c>
      <c r="O1209" s="25">
        <f t="shared" si="227"/>
        <v>43282</v>
      </c>
      <c r="P1209" s="5" t="str">
        <f t="shared" si="228"/>
        <v>10,00</v>
      </c>
      <c r="Q1209" s="4" t="e">
        <f t="shared" ca="1" si="229"/>
        <v>#NAME?</v>
      </c>
    </row>
    <row r="1210" spans="1:17" ht="15.75" thickBot="1">
      <c r="A1210" s="1">
        <f t="shared" si="212"/>
        <v>1209</v>
      </c>
      <c r="C1210" s="85" t="s">
        <v>17</v>
      </c>
      <c r="D1210" s="2">
        <v>43285</v>
      </c>
      <c r="E1210" s="3">
        <f>1000000/100000</f>
        <v>10</v>
      </c>
      <c r="F1210" t="s">
        <v>280</v>
      </c>
      <c r="G1210" s="18" t="s">
        <v>58</v>
      </c>
      <c r="H1210" t="s">
        <v>282</v>
      </c>
      <c r="I1210" s="6" t="s">
        <v>757</v>
      </c>
      <c r="J1210" s="61" t="s">
        <v>22</v>
      </c>
      <c r="L1210" s="5" t="str">
        <f t="shared" si="225"/>
        <v>01209</v>
      </c>
      <c r="M1210" s="47" t="str">
        <f t="shared" si="226"/>
        <v>04 de julio de 2018</v>
      </c>
      <c r="N1210" s="323">
        <f t="shared" si="210"/>
        <v>4</v>
      </c>
      <c r="O1210" s="25">
        <f t="shared" si="227"/>
        <v>43282</v>
      </c>
      <c r="P1210" s="5" t="str">
        <f t="shared" si="228"/>
        <v>10,00</v>
      </c>
      <c r="Q1210" s="4" t="e">
        <f t="shared" ca="1" si="229"/>
        <v>#NAME?</v>
      </c>
    </row>
    <row r="1211" spans="1:17" ht="15.75" thickBot="1">
      <c r="A1211" s="1">
        <f t="shared" si="212"/>
        <v>1210</v>
      </c>
      <c r="C1211" s="8" t="s">
        <v>17</v>
      </c>
      <c r="D1211" s="2">
        <v>43285</v>
      </c>
      <c r="E1211" s="3">
        <f>1000000/100000</f>
        <v>10</v>
      </c>
      <c r="F1211" t="s">
        <v>18</v>
      </c>
      <c r="G1211" t="s">
        <v>19</v>
      </c>
      <c r="H1211" t="s">
        <v>20</v>
      </c>
      <c r="I1211" s="6" t="s">
        <v>758</v>
      </c>
      <c r="J1211" s="61" t="s">
        <v>22</v>
      </c>
      <c r="L1211" s="5" t="str">
        <f t="shared" si="225"/>
        <v>01210</v>
      </c>
      <c r="M1211" s="47" t="str">
        <f t="shared" si="226"/>
        <v>04 de julio de 2018</v>
      </c>
      <c r="N1211" s="323">
        <f t="shared" si="210"/>
        <v>4</v>
      </c>
      <c r="O1211" s="25">
        <f t="shared" si="227"/>
        <v>43282</v>
      </c>
      <c r="P1211" s="5" t="str">
        <f t="shared" si="228"/>
        <v>10,00</v>
      </c>
      <c r="Q1211" s="4" t="e">
        <f t="shared" ca="1" si="229"/>
        <v>#NAME?</v>
      </c>
    </row>
    <row r="1212" spans="1:17" ht="15.75" thickBot="1">
      <c r="A1212" s="1">
        <f t="shared" si="212"/>
        <v>1211</v>
      </c>
      <c r="C1212" s="8" t="s">
        <v>17</v>
      </c>
      <c r="D1212" s="2">
        <v>43228</v>
      </c>
      <c r="E1212" s="3">
        <f>1475000/100000</f>
        <v>14.75</v>
      </c>
      <c r="F1212" t="s">
        <v>259</v>
      </c>
      <c r="G1212" s="18" t="s">
        <v>58</v>
      </c>
      <c r="H1212" t="s">
        <v>261</v>
      </c>
      <c r="I1212" s="6" t="s">
        <v>759</v>
      </c>
      <c r="J1212" s="61" t="s">
        <v>22</v>
      </c>
      <c r="L1212" s="5" t="str">
        <f t="shared" si="225"/>
        <v>01211</v>
      </c>
      <c r="M1212" s="47" t="str">
        <f t="shared" si="226"/>
        <v>08 de mayo de 2018</v>
      </c>
      <c r="N1212" s="323">
        <f t="shared" si="210"/>
        <v>8</v>
      </c>
      <c r="O1212" s="25">
        <f t="shared" si="227"/>
        <v>43221</v>
      </c>
      <c r="P1212" s="5" t="str">
        <f t="shared" si="228"/>
        <v>14,75</v>
      </c>
      <c r="Q1212" s="4" t="e">
        <f t="shared" ca="1" si="229"/>
        <v>#NAME?</v>
      </c>
    </row>
    <row r="1213" spans="1:17" ht="15.75" thickBot="1">
      <c r="A1213" s="1">
        <f t="shared" si="212"/>
        <v>1212</v>
      </c>
      <c r="C1213" s="8" t="s">
        <v>17</v>
      </c>
      <c r="D1213" s="2">
        <v>43285</v>
      </c>
      <c r="E1213" s="3">
        <f>500000/100000</f>
        <v>5</v>
      </c>
      <c r="F1213" t="s">
        <v>417</v>
      </c>
      <c r="G1213" t="s">
        <v>418</v>
      </c>
      <c r="H1213" t="s">
        <v>419</v>
      </c>
      <c r="I1213" s="6" t="s">
        <v>760</v>
      </c>
      <c r="J1213" s="61" t="s">
        <v>22</v>
      </c>
      <c r="L1213" s="5" t="str">
        <f t="shared" si="225"/>
        <v>01212</v>
      </c>
      <c r="M1213" s="47" t="str">
        <f t="shared" si="226"/>
        <v>04 de julio de 2018</v>
      </c>
      <c r="N1213" s="323">
        <f t="shared" si="210"/>
        <v>4</v>
      </c>
      <c r="O1213" s="25">
        <f t="shared" si="227"/>
        <v>43282</v>
      </c>
      <c r="P1213" s="5" t="str">
        <f t="shared" si="228"/>
        <v>5,00</v>
      </c>
      <c r="Q1213" s="4" t="e">
        <f t="shared" ca="1" si="229"/>
        <v>#NAME?</v>
      </c>
    </row>
    <row r="1214" spans="1:17" ht="15.75" thickBot="1">
      <c r="A1214" s="1">
        <f t="shared" si="212"/>
        <v>1213</v>
      </c>
      <c r="C1214" s="85" t="s">
        <v>17</v>
      </c>
      <c r="D1214" s="2">
        <v>43285</v>
      </c>
      <c r="E1214" s="3">
        <f>1000000/100000</f>
        <v>10</v>
      </c>
      <c r="F1214" t="s">
        <v>319</v>
      </c>
      <c r="G1214" s="18" t="s">
        <v>58</v>
      </c>
      <c r="H1214" t="s">
        <v>320</v>
      </c>
      <c r="I1214" s="6" t="s">
        <v>750</v>
      </c>
      <c r="J1214" s="61" t="s">
        <v>22</v>
      </c>
      <c r="L1214" s="5" t="str">
        <f t="shared" si="225"/>
        <v>01213</v>
      </c>
      <c r="M1214" s="47" t="str">
        <f t="shared" si="226"/>
        <v>04 de julio de 2018</v>
      </c>
      <c r="N1214" s="323">
        <f t="shared" si="210"/>
        <v>4</v>
      </c>
      <c r="O1214" s="25">
        <f t="shared" si="227"/>
        <v>43282</v>
      </c>
      <c r="P1214" s="5" t="str">
        <f t="shared" si="228"/>
        <v>10,00</v>
      </c>
      <c r="Q1214" s="4" t="e">
        <f t="shared" ca="1" si="229"/>
        <v>#NAME?</v>
      </c>
    </row>
    <row r="1215" spans="1:17">
      <c r="A1215" s="1">
        <f t="shared" si="212"/>
        <v>1214</v>
      </c>
      <c r="C1215" s="8" t="s">
        <v>17</v>
      </c>
      <c r="D1215" s="2">
        <v>43285</v>
      </c>
      <c r="E1215" s="3">
        <f>1000000/100000</f>
        <v>10</v>
      </c>
      <c r="F1215" t="s">
        <v>94</v>
      </c>
      <c r="G1215" t="s">
        <v>607</v>
      </c>
      <c r="H1215" t="s">
        <v>96</v>
      </c>
      <c r="I1215" s="6" t="s">
        <v>750</v>
      </c>
      <c r="J1215" s="61" t="s">
        <v>22</v>
      </c>
      <c r="L1215" s="5" t="str">
        <f t="shared" si="225"/>
        <v>01214</v>
      </c>
      <c r="M1215" s="47" t="str">
        <f t="shared" si="226"/>
        <v>04 de julio de 2018</v>
      </c>
      <c r="N1215" s="323">
        <f t="shared" si="210"/>
        <v>4</v>
      </c>
      <c r="O1215" s="25">
        <f t="shared" si="227"/>
        <v>43282</v>
      </c>
      <c r="P1215" s="5" t="str">
        <f t="shared" si="228"/>
        <v>10,00</v>
      </c>
      <c r="Q1215" s="4" t="e">
        <f t="shared" ca="1" si="229"/>
        <v>#NAME?</v>
      </c>
    </row>
    <row r="1216" spans="1:17">
      <c r="A1216" s="1">
        <f t="shared" si="212"/>
        <v>1215</v>
      </c>
      <c r="C1216" s="8" t="s">
        <v>17</v>
      </c>
      <c r="D1216" s="2">
        <v>43286</v>
      </c>
      <c r="E1216" s="3">
        <f>1225000/100000</f>
        <v>12.25</v>
      </c>
      <c r="F1216" t="s">
        <v>62</v>
      </c>
      <c r="G1216" t="s">
        <v>63</v>
      </c>
      <c r="H1216" t="s">
        <v>64</v>
      </c>
      <c r="I1216" s="6" t="s">
        <v>736</v>
      </c>
      <c r="J1216" s="61" t="s">
        <v>22</v>
      </c>
      <c r="L1216" s="5" t="str">
        <f t="shared" si="225"/>
        <v>01215</v>
      </c>
      <c r="M1216" s="47" t="str">
        <f t="shared" si="226"/>
        <v>05 de julio de 2018</v>
      </c>
      <c r="N1216" s="323">
        <f t="shared" si="210"/>
        <v>5</v>
      </c>
      <c r="O1216" s="25">
        <f t="shared" si="227"/>
        <v>43282</v>
      </c>
      <c r="P1216" s="5" t="str">
        <f t="shared" si="228"/>
        <v>12,25</v>
      </c>
      <c r="Q1216" s="4" t="e">
        <f t="shared" ca="1" si="229"/>
        <v>#NAME?</v>
      </c>
    </row>
    <row r="1217" spans="1:17">
      <c r="A1217" s="1">
        <f t="shared" si="212"/>
        <v>1216</v>
      </c>
      <c r="C1217" s="8" t="s">
        <v>17</v>
      </c>
      <c r="D1217" s="2">
        <v>43286</v>
      </c>
      <c r="E1217" s="3">
        <f>600000/100000</f>
        <v>6</v>
      </c>
      <c r="F1217" t="s">
        <v>28</v>
      </c>
      <c r="G1217" t="s">
        <v>716</v>
      </c>
      <c r="H1217" t="s">
        <v>30</v>
      </c>
      <c r="I1217" s="6" t="s">
        <v>729</v>
      </c>
      <c r="J1217" s="61" t="s">
        <v>22</v>
      </c>
      <c r="L1217" s="5" t="str">
        <f t="shared" si="225"/>
        <v>01216</v>
      </c>
      <c r="M1217" s="47" t="str">
        <f t="shared" si="226"/>
        <v>05 de julio de 2018</v>
      </c>
      <c r="N1217" s="323">
        <f t="shared" si="210"/>
        <v>5</v>
      </c>
      <c r="O1217" s="25">
        <f t="shared" si="227"/>
        <v>43282</v>
      </c>
      <c r="P1217" s="5" t="str">
        <f t="shared" si="228"/>
        <v>6,00</v>
      </c>
      <c r="Q1217" s="4" t="e">
        <f t="shared" ca="1" si="229"/>
        <v>#NAME?</v>
      </c>
    </row>
    <row r="1218" spans="1:17">
      <c r="A1218" s="1">
        <f t="shared" si="212"/>
        <v>1217</v>
      </c>
      <c r="C1218" s="8" t="s">
        <v>17</v>
      </c>
      <c r="D1218" s="2">
        <v>43286</v>
      </c>
      <c r="E1218" s="3">
        <f>100000/100000</f>
        <v>1</v>
      </c>
      <c r="F1218" t="s">
        <v>167</v>
      </c>
      <c r="G1218" t="s">
        <v>168</v>
      </c>
      <c r="H1218" t="s">
        <v>169</v>
      </c>
      <c r="I1218" s="6" t="s">
        <v>729</v>
      </c>
      <c r="J1218" s="61" t="s">
        <v>22</v>
      </c>
      <c r="L1218" s="5" t="str">
        <f t="shared" si="225"/>
        <v>01217</v>
      </c>
      <c r="M1218" s="47" t="str">
        <f t="shared" si="226"/>
        <v>05 de julio de 2018</v>
      </c>
      <c r="N1218" s="323">
        <f t="shared" si="210"/>
        <v>5</v>
      </c>
      <c r="O1218" s="25">
        <f t="shared" si="227"/>
        <v>43282</v>
      </c>
      <c r="P1218" s="5" t="str">
        <f t="shared" si="228"/>
        <v>1,00</v>
      </c>
      <c r="Q1218" s="4" t="e">
        <f t="shared" ca="1" si="229"/>
        <v>#NAME?</v>
      </c>
    </row>
    <row r="1219" spans="1:17">
      <c r="A1219" s="1">
        <f t="shared" si="212"/>
        <v>1218</v>
      </c>
      <c r="C1219" s="8" t="s">
        <v>17</v>
      </c>
      <c r="D1219" s="2">
        <v>43286</v>
      </c>
      <c r="E1219" s="3">
        <f>150000/100000</f>
        <v>1.5</v>
      </c>
      <c r="F1219" t="s">
        <v>80</v>
      </c>
      <c r="G1219" t="s">
        <v>81</v>
      </c>
      <c r="H1219" t="s">
        <v>82</v>
      </c>
      <c r="I1219" s="6" t="s">
        <v>754</v>
      </c>
      <c r="J1219" s="61" t="s">
        <v>22</v>
      </c>
      <c r="L1219" s="5" t="str">
        <f t="shared" si="225"/>
        <v>01218</v>
      </c>
      <c r="M1219" s="47" t="str">
        <f t="shared" si="226"/>
        <v>05 de julio de 2018</v>
      </c>
      <c r="N1219" s="323">
        <f t="shared" ref="N1219:N1282" si="230">DAY(D1219)</f>
        <v>5</v>
      </c>
      <c r="O1219" s="25">
        <f t="shared" si="227"/>
        <v>43282</v>
      </c>
      <c r="P1219" s="5" t="str">
        <f t="shared" si="228"/>
        <v>1,50</v>
      </c>
      <c r="Q1219" s="4" t="e">
        <f t="shared" ca="1" si="229"/>
        <v>#NAME?</v>
      </c>
    </row>
    <row r="1220" spans="1:17">
      <c r="A1220" s="1">
        <f t="shared" si="212"/>
        <v>1219</v>
      </c>
      <c r="C1220" s="8" t="s">
        <v>17</v>
      </c>
      <c r="D1220" s="2">
        <v>43287</v>
      </c>
      <c r="E1220" s="3">
        <f>225000/100000</f>
        <v>2.25</v>
      </c>
      <c r="F1220" t="s">
        <v>134</v>
      </c>
      <c r="G1220" t="s">
        <v>135</v>
      </c>
      <c r="H1220" t="s">
        <v>136</v>
      </c>
      <c r="I1220" s="6" t="s">
        <v>742</v>
      </c>
      <c r="J1220" s="61" t="s">
        <v>22</v>
      </c>
      <c r="L1220" s="5" t="str">
        <f t="shared" si="225"/>
        <v>01219</v>
      </c>
      <c r="M1220" s="47" t="str">
        <f t="shared" si="226"/>
        <v>06 de julio de 2018</v>
      </c>
      <c r="N1220" s="323">
        <f t="shared" si="230"/>
        <v>6</v>
      </c>
      <c r="O1220" s="25">
        <f t="shared" si="227"/>
        <v>43282</v>
      </c>
      <c r="P1220" s="5" t="str">
        <f t="shared" ref="P1220:P1228" si="231">TEXT(E1220,"#.##0,00")</f>
        <v>2,25</v>
      </c>
      <c r="Q1220" s="4" t="e">
        <f t="shared" ref="Q1220:Q1228" ca="1" si="232">CONVERTIRNUM(E1220)</f>
        <v>#NAME?</v>
      </c>
    </row>
    <row r="1221" spans="1:17">
      <c r="A1221" s="1">
        <f t="shared" si="212"/>
        <v>1220</v>
      </c>
      <c r="C1221" s="8" t="s">
        <v>17</v>
      </c>
      <c r="D1221" s="2">
        <v>43288</v>
      </c>
      <c r="E1221" s="3">
        <f>1000000/100000</f>
        <v>10</v>
      </c>
      <c r="F1221" t="s">
        <v>454</v>
      </c>
      <c r="G1221" t="s">
        <v>761</v>
      </c>
      <c r="H1221" t="s">
        <v>455</v>
      </c>
      <c r="I1221" s="6" t="s">
        <v>750</v>
      </c>
      <c r="J1221" s="61" t="s">
        <v>22</v>
      </c>
      <c r="L1221" s="5" t="str">
        <f>IF(ISBLANK(A1221),"",TEXT(A1221,"00000"))</f>
        <v>01220</v>
      </c>
      <c r="M1221" s="47" t="str">
        <f>IF(ISBLANK(D1221),"",TEXT(D1221,"dd")&amp;" de "&amp;TEXT(D1221,"mmmm")&amp;" de "&amp;TEXT(YEAR(D1221),"0"))</f>
        <v>07 de julio de 2018</v>
      </c>
      <c r="N1221" s="323">
        <f t="shared" si="230"/>
        <v>7</v>
      </c>
      <c r="O1221" s="25">
        <f>DATE(YEAR(D1221),MONTH(D1221),1)</f>
        <v>43282</v>
      </c>
      <c r="P1221" s="5" t="str">
        <f t="shared" si="231"/>
        <v>10,00</v>
      </c>
      <c r="Q1221" s="4" t="e">
        <f t="shared" ca="1" si="232"/>
        <v>#NAME?</v>
      </c>
    </row>
    <row r="1222" spans="1:17">
      <c r="A1222" s="1">
        <f t="shared" si="212"/>
        <v>1221</v>
      </c>
      <c r="C1222" s="8" t="s">
        <v>17</v>
      </c>
      <c r="D1222" s="2">
        <v>43288</v>
      </c>
      <c r="E1222" s="3">
        <f>400000/100000</f>
        <v>4</v>
      </c>
      <c r="F1222" t="s">
        <v>243</v>
      </c>
      <c r="G1222" t="s">
        <v>244</v>
      </c>
      <c r="H1222" t="s">
        <v>245</v>
      </c>
      <c r="I1222" s="6" t="s">
        <v>762</v>
      </c>
      <c r="J1222" s="61" t="s">
        <v>22</v>
      </c>
      <c r="L1222" s="5" t="str">
        <f>IF(ISBLANK(A1222),"",TEXT(A1222,"00000"))</f>
        <v>01221</v>
      </c>
      <c r="M1222" s="47" t="str">
        <f>IF(ISBLANK(D1222),"",TEXT(D1222,"dd")&amp;" de "&amp;TEXT(D1222,"mmmm")&amp;" de "&amp;TEXT(YEAR(D1222),"0"))</f>
        <v>07 de julio de 2018</v>
      </c>
      <c r="N1222" s="323">
        <f t="shared" si="230"/>
        <v>7</v>
      </c>
      <c r="O1222" s="25">
        <f>DATE(YEAR(D1222),MONTH(D1222),1)</f>
        <v>43282</v>
      </c>
      <c r="P1222" s="5" t="str">
        <f t="shared" si="231"/>
        <v>4,00</v>
      </c>
      <c r="Q1222" s="4" t="e">
        <f t="shared" ca="1" si="232"/>
        <v>#NAME?</v>
      </c>
    </row>
    <row r="1223" spans="1:17">
      <c r="A1223" s="1">
        <f t="shared" si="212"/>
        <v>1222</v>
      </c>
      <c r="C1223" s="8" t="s">
        <v>17</v>
      </c>
      <c r="D1223" s="2">
        <v>43288</v>
      </c>
      <c r="E1223" s="3">
        <f>1240000/100000</f>
        <v>12.4</v>
      </c>
      <c r="F1223" t="s">
        <v>44</v>
      </c>
      <c r="G1223" t="s">
        <v>45</v>
      </c>
      <c r="H1223" t="s">
        <v>46</v>
      </c>
      <c r="I1223" s="6" t="s">
        <v>763</v>
      </c>
      <c r="J1223" s="61" t="s">
        <v>22</v>
      </c>
      <c r="L1223" s="5" t="str">
        <f>IF(ISBLANK(A1223),"",TEXT(A1223,"00000"))</f>
        <v>01222</v>
      </c>
      <c r="M1223" s="47" t="str">
        <f>IF(ISBLANK(D1223),"",TEXT(D1223,"dd")&amp;" de "&amp;TEXT(D1223,"mmmm")&amp;" de "&amp;TEXT(YEAR(D1223),"0"))</f>
        <v>07 de julio de 2018</v>
      </c>
      <c r="N1223" s="323">
        <f t="shared" si="230"/>
        <v>7</v>
      </c>
      <c r="O1223" s="25">
        <f>DATE(YEAR(D1223),MONTH(D1223),1)</f>
        <v>43282</v>
      </c>
      <c r="P1223" s="5" t="str">
        <f t="shared" si="231"/>
        <v>12,40</v>
      </c>
      <c r="Q1223" s="4" t="e">
        <f t="shared" ca="1" si="232"/>
        <v>#NAME?</v>
      </c>
    </row>
    <row r="1224" spans="1:17" ht="15.75" thickBot="1">
      <c r="A1224" s="1">
        <f>A1223+1</f>
        <v>1223</v>
      </c>
      <c r="C1224" s="8" t="s">
        <v>17</v>
      </c>
      <c r="D1224" s="2">
        <v>43282</v>
      </c>
      <c r="E1224" s="3">
        <f>625000/100000</f>
        <v>6.25</v>
      </c>
      <c r="F1224" t="s">
        <v>334</v>
      </c>
      <c r="G1224" t="s">
        <v>85</v>
      </c>
      <c r="H1224" t="s">
        <v>335</v>
      </c>
      <c r="I1224" s="6" t="s">
        <v>707</v>
      </c>
      <c r="J1224" s="61" t="s">
        <v>22</v>
      </c>
      <c r="L1224" s="5" t="str">
        <f>IF(ISBLANK(A1224),"",TEXT(A1224,"00000"))</f>
        <v>01223</v>
      </c>
      <c r="M1224" s="47" t="str">
        <f>IF(ISBLANK(D1224),"",TEXT(D1224,"dd")&amp;" de "&amp;TEXT(D1224,"mmmm")&amp;" de "&amp;TEXT(YEAR(D1224),"0"))</f>
        <v>01 de julio de 2018</v>
      </c>
      <c r="N1224" s="323">
        <f t="shared" si="230"/>
        <v>1</v>
      </c>
      <c r="O1224" s="25">
        <f>DATE(YEAR(D1224),MONTH(D1224),1)</f>
        <v>43282</v>
      </c>
      <c r="P1224" s="5" t="str">
        <f t="shared" si="231"/>
        <v>6,25</v>
      </c>
      <c r="Q1224" s="4" t="e">
        <f t="shared" ca="1" si="232"/>
        <v>#NAME?</v>
      </c>
    </row>
    <row r="1225" spans="1:17" ht="15.75" thickBot="1">
      <c r="A1225" s="1">
        <f t="shared" ref="A1225:A1234" si="233">A1224+1</f>
        <v>1224</v>
      </c>
      <c r="C1225" s="8" t="s">
        <v>17</v>
      </c>
      <c r="D1225" s="2">
        <v>43289</v>
      </c>
      <c r="E1225" s="3">
        <f>650000/100000</f>
        <v>6.5</v>
      </c>
      <c r="F1225" t="s">
        <v>239</v>
      </c>
      <c r="G1225" s="73" t="s">
        <v>240</v>
      </c>
      <c r="H1225" t="s">
        <v>241</v>
      </c>
      <c r="I1225" s="6" t="s">
        <v>707</v>
      </c>
      <c r="J1225" s="61" t="s">
        <v>22</v>
      </c>
      <c r="L1225" s="5" t="str">
        <f t="shared" ref="L1225:L1228" si="234">IF(ISBLANK(A1225),"",TEXT(A1225,"00000"))</f>
        <v>01224</v>
      </c>
      <c r="M1225" s="47" t="str">
        <f t="shared" ref="M1225:M1228" si="235">IF(ISBLANK(D1225),"",TEXT(D1225,"dd")&amp;" de "&amp;TEXT(D1225,"mmmm")&amp;" de "&amp;TEXT(YEAR(D1225),"0"))</f>
        <v>08 de julio de 2018</v>
      </c>
      <c r="N1225" s="323">
        <f t="shared" si="230"/>
        <v>8</v>
      </c>
      <c r="O1225" s="25">
        <f t="shared" ref="O1225:O1228" si="236">DATE(YEAR(D1225),MONTH(D1225),1)</f>
        <v>43282</v>
      </c>
      <c r="P1225" s="5" t="str">
        <f t="shared" si="231"/>
        <v>6,50</v>
      </c>
      <c r="Q1225" s="4" t="e">
        <f t="shared" ca="1" si="232"/>
        <v>#NAME?</v>
      </c>
    </row>
    <row r="1226" spans="1:17">
      <c r="A1226" s="1">
        <f t="shared" si="233"/>
        <v>1225</v>
      </c>
      <c r="C1226" s="8" t="s">
        <v>17</v>
      </c>
      <c r="D1226" s="2">
        <v>43289</v>
      </c>
      <c r="E1226" s="3">
        <f>1000000/100000</f>
        <v>10</v>
      </c>
      <c r="F1226" t="s">
        <v>118</v>
      </c>
      <c r="G1226" t="s">
        <v>119</v>
      </c>
      <c r="H1226" t="s">
        <v>120</v>
      </c>
      <c r="I1226" s="6" t="s">
        <v>750</v>
      </c>
      <c r="J1226" s="61" t="s">
        <v>22</v>
      </c>
      <c r="L1226" s="5" t="str">
        <f t="shared" si="234"/>
        <v>01225</v>
      </c>
      <c r="M1226" s="47" t="str">
        <f t="shared" si="235"/>
        <v>08 de julio de 2018</v>
      </c>
      <c r="N1226" s="323">
        <f t="shared" si="230"/>
        <v>8</v>
      </c>
      <c r="O1226" s="25">
        <f t="shared" si="236"/>
        <v>43282</v>
      </c>
      <c r="P1226" s="5" t="str">
        <f t="shared" si="231"/>
        <v>10,00</v>
      </c>
      <c r="Q1226" s="4" t="e">
        <f t="shared" ca="1" si="232"/>
        <v>#NAME?</v>
      </c>
    </row>
    <row r="1227" spans="1:17">
      <c r="A1227" s="1">
        <f t="shared" si="233"/>
        <v>1226</v>
      </c>
      <c r="C1227" s="8" t="s">
        <v>17</v>
      </c>
      <c r="D1227" s="2">
        <v>43289</v>
      </c>
      <c r="E1227" s="3">
        <f>150000/100000</f>
        <v>1.5</v>
      </c>
      <c r="F1227" t="s">
        <v>483</v>
      </c>
      <c r="G1227" t="s">
        <v>484</v>
      </c>
      <c r="H1227" t="s">
        <v>485</v>
      </c>
      <c r="I1227" s="6" t="s">
        <v>754</v>
      </c>
      <c r="J1227" s="61" t="s">
        <v>22</v>
      </c>
      <c r="L1227" s="5" t="str">
        <f t="shared" si="234"/>
        <v>01226</v>
      </c>
      <c r="M1227" s="47" t="str">
        <f t="shared" si="235"/>
        <v>08 de julio de 2018</v>
      </c>
      <c r="N1227" s="323">
        <f t="shared" si="230"/>
        <v>8</v>
      </c>
      <c r="O1227" s="25">
        <f t="shared" si="236"/>
        <v>43282</v>
      </c>
      <c r="P1227" s="5" t="str">
        <f t="shared" si="231"/>
        <v>1,50</v>
      </c>
      <c r="Q1227" s="4" t="e">
        <f t="shared" ca="1" si="232"/>
        <v>#NAME?</v>
      </c>
    </row>
    <row r="1228" spans="1:17">
      <c r="A1228" s="1">
        <f t="shared" si="233"/>
        <v>1227</v>
      </c>
      <c r="C1228" s="8" t="s">
        <v>17</v>
      </c>
      <c r="D1228" s="2">
        <v>43290</v>
      </c>
      <c r="E1228" s="3">
        <f>1575000/100000-350000/100000</f>
        <v>12.25</v>
      </c>
      <c r="F1228" t="s">
        <v>337</v>
      </c>
      <c r="G1228" t="s">
        <v>338</v>
      </c>
      <c r="H1228" t="s">
        <v>339</v>
      </c>
      <c r="I1228" s="6" t="s">
        <v>764</v>
      </c>
      <c r="J1228" s="61" t="s">
        <v>22</v>
      </c>
      <c r="L1228" s="5" t="str">
        <f t="shared" si="234"/>
        <v>01227</v>
      </c>
      <c r="M1228" s="47" t="str">
        <f t="shared" si="235"/>
        <v>09 de julio de 2018</v>
      </c>
      <c r="N1228" s="323">
        <f t="shared" si="230"/>
        <v>9</v>
      </c>
      <c r="O1228" s="25">
        <f t="shared" si="236"/>
        <v>43282</v>
      </c>
      <c r="P1228" s="5" t="str">
        <f t="shared" si="231"/>
        <v>12,25</v>
      </c>
      <c r="Q1228" s="4" t="e">
        <f t="shared" ca="1" si="232"/>
        <v>#NAME?</v>
      </c>
    </row>
    <row r="1229" spans="1:17">
      <c r="A1229" s="1">
        <f t="shared" si="233"/>
        <v>1228</v>
      </c>
      <c r="C1229" s="8" t="s">
        <v>17</v>
      </c>
      <c r="D1229" s="2">
        <v>43290</v>
      </c>
      <c r="E1229" s="3">
        <f>350000/100000</f>
        <v>3.5</v>
      </c>
      <c r="F1229" t="s">
        <v>337</v>
      </c>
      <c r="G1229" t="s">
        <v>338</v>
      </c>
      <c r="H1229" t="s">
        <v>339</v>
      </c>
      <c r="I1229" s="6" t="s">
        <v>672</v>
      </c>
      <c r="J1229" s="61" t="s">
        <v>673</v>
      </c>
      <c r="L1229" s="5" t="str">
        <f t="shared" ref="L1229:L1241" si="237">IF(ISBLANK(A1229),"",TEXT(A1229,"00000"))</f>
        <v>01228</v>
      </c>
      <c r="M1229" s="47" t="str">
        <f t="shared" ref="M1229:M1241" si="238">IF(ISBLANK(D1229),"",TEXT(D1229,"dd")&amp;" de "&amp;TEXT(D1229,"mmmm")&amp;" de "&amp;TEXT(YEAR(D1229),"0"))</f>
        <v>09 de julio de 2018</v>
      </c>
      <c r="N1229" s="323">
        <f t="shared" si="230"/>
        <v>9</v>
      </c>
      <c r="O1229" s="25">
        <f t="shared" ref="O1229:O1241" si="239">DATE(YEAR(D1229),MONTH(D1229),1)</f>
        <v>43282</v>
      </c>
      <c r="P1229" s="5" t="str">
        <f t="shared" ref="P1229:P1241" si="240">TEXT(E1229,"#.##0,00")</f>
        <v>3,50</v>
      </c>
      <c r="Q1229" s="4" t="e">
        <f t="shared" ref="Q1229:Q1241" ca="1" si="241">CONVERTIRNUM(E1229)</f>
        <v>#NAME?</v>
      </c>
    </row>
    <row r="1230" spans="1:17">
      <c r="A1230" s="1">
        <f t="shared" si="233"/>
        <v>1229</v>
      </c>
      <c r="C1230" s="8" t="s">
        <v>17</v>
      </c>
      <c r="D1230" s="2">
        <v>43290</v>
      </c>
      <c r="E1230" s="3">
        <f>1000000/100000</f>
        <v>10</v>
      </c>
      <c r="F1230" t="s">
        <v>84</v>
      </c>
      <c r="G1230" t="s">
        <v>85</v>
      </c>
      <c r="H1230" t="s">
        <v>86</v>
      </c>
      <c r="I1230" s="6" t="s">
        <v>750</v>
      </c>
      <c r="J1230" s="61" t="s">
        <v>22</v>
      </c>
      <c r="L1230" s="5" t="str">
        <f t="shared" si="237"/>
        <v>01229</v>
      </c>
      <c r="M1230" s="47" t="str">
        <f t="shared" si="238"/>
        <v>09 de julio de 2018</v>
      </c>
      <c r="N1230" s="323">
        <f t="shared" si="230"/>
        <v>9</v>
      </c>
      <c r="O1230" s="25">
        <f t="shared" si="239"/>
        <v>43282</v>
      </c>
      <c r="P1230" s="5" t="str">
        <f t="shared" si="240"/>
        <v>10,00</v>
      </c>
      <c r="Q1230" s="4" t="e">
        <f t="shared" ca="1" si="241"/>
        <v>#NAME?</v>
      </c>
    </row>
    <row r="1231" spans="1:17">
      <c r="A1231" s="1">
        <f t="shared" si="233"/>
        <v>1230</v>
      </c>
      <c r="C1231" s="8" t="s">
        <v>17</v>
      </c>
      <c r="D1231" s="2">
        <v>43290</v>
      </c>
      <c r="E1231" s="3">
        <f>1250000/100000</f>
        <v>12.5</v>
      </c>
      <c r="F1231" t="s">
        <v>633</v>
      </c>
      <c r="G1231" t="s">
        <v>634</v>
      </c>
      <c r="H1231" t="s">
        <v>635</v>
      </c>
      <c r="I1231" s="6" t="s">
        <v>764</v>
      </c>
      <c r="J1231" s="61" t="s">
        <v>22</v>
      </c>
      <c r="L1231" s="5" t="str">
        <f t="shared" si="237"/>
        <v>01230</v>
      </c>
      <c r="M1231" s="47" t="str">
        <f t="shared" si="238"/>
        <v>09 de julio de 2018</v>
      </c>
      <c r="N1231" s="323">
        <f t="shared" si="230"/>
        <v>9</v>
      </c>
      <c r="O1231" s="25">
        <f t="shared" si="239"/>
        <v>43282</v>
      </c>
      <c r="P1231" s="5" t="str">
        <f t="shared" si="240"/>
        <v>12,50</v>
      </c>
      <c r="Q1231" s="4" t="e">
        <f t="shared" ca="1" si="241"/>
        <v>#NAME?</v>
      </c>
    </row>
    <row r="1232" spans="1:17">
      <c r="A1232" s="1">
        <f t="shared" si="233"/>
        <v>1231</v>
      </c>
      <c r="C1232" s="8" t="s">
        <v>17</v>
      </c>
      <c r="D1232" s="2">
        <v>43290</v>
      </c>
      <c r="E1232" s="3">
        <f>250000/100000</f>
        <v>2.5</v>
      </c>
      <c r="F1232" t="s">
        <v>103</v>
      </c>
      <c r="G1232" t="s">
        <v>104</v>
      </c>
      <c r="H1232" t="s">
        <v>105</v>
      </c>
      <c r="I1232" s="6" t="s">
        <v>742</v>
      </c>
      <c r="J1232" s="61" t="s">
        <v>22</v>
      </c>
      <c r="L1232" s="5" t="str">
        <f t="shared" si="237"/>
        <v>01231</v>
      </c>
      <c r="M1232" s="47" t="str">
        <f t="shared" si="238"/>
        <v>09 de julio de 2018</v>
      </c>
      <c r="N1232" s="323">
        <f t="shared" si="230"/>
        <v>9</v>
      </c>
      <c r="O1232" s="25">
        <f t="shared" si="239"/>
        <v>43282</v>
      </c>
      <c r="P1232" s="5" t="str">
        <f t="shared" si="240"/>
        <v>2,50</v>
      </c>
      <c r="Q1232" s="4" t="e">
        <f t="shared" ca="1" si="241"/>
        <v>#NAME?</v>
      </c>
    </row>
    <row r="1233" spans="1:17" ht="15.75" thickBot="1">
      <c r="A1233" s="1">
        <f t="shared" si="233"/>
        <v>1232</v>
      </c>
      <c r="C1233" s="8" t="s">
        <v>17</v>
      </c>
      <c r="D1233" s="2">
        <v>43290</v>
      </c>
      <c r="E1233" s="3">
        <f>1220000/100000</f>
        <v>12.2</v>
      </c>
      <c r="F1233" t="s">
        <v>558</v>
      </c>
      <c r="G1233" t="s">
        <v>559</v>
      </c>
      <c r="H1233" t="s">
        <v>560</v>
      </c>
      <c r="I1233" s="6" t="s">
        <v>744</v>
      </c>
      <c r="J1233" s="61" t="s">
        <v>745</v>
      </c>
      <c r="L1233" s="5" t="str">
        <f t="shared" si="237"/>
        <v>01232</v>
      </c>
      <c r="M1233" s="47" t="str">
        <f t="shared" si="238"/>
        <v>09 de julio de 2018</v>
      </c>
      <c r="N1233" s="323">
        <f t="shared" si="230"/>
        <v>9</v>
      </c>
      <c r="O1233" s="25">
        <f t="shared" si="239"/>
        <v>43282</v>
      </c>
      <c r="P1233" s="5" t="str">
        <f t="shared" si="240"/>
        <v>12,20</v>
      </c>
      <c r="Q1233" s="4" t="e">
        <f t="shared" ca="1" si="241"/>
        <v>#NAME?</v>
      </c>
    </row>
    <row r="1234" spans="1:17" ht="15.75" thickBot="1">
      <c r="A1234" s="1">
        <f t="shared" si="233"/>
        <v>1233</v>
      </c>
      <c r="C1234" s="8" t="s">
        <v>17</v>
      </c>
      <c r="D1234" s="2">
        <v>43290</v>
      </c>
      <c r="E1234" s="3">
        <f>1790000/100000</f>
        <v>17.899999999999999</v>
      </c>
      <c r="F1234" s="20" t="s">
        <v>57</v>
      </c>
      <c r="G1234" s="18" t="s">
        <v>58</v>
      </c>
      <c r="H1234" s="21" t="s">
        <v>59</v>
      </c>
      <c r="I1234" s="6" t="s">
        <v>722</v>
      </c>
      <c r="J1234" s="61" t="s">
        <v>22</v>
      </c>
      <c r="K1234" s="22"/>
      <c r="L1234" s="5" t="str">
        <f t="shared" si="237"/>
        <v>01233</v>
      </c>
      <c r="M1234" s="47" t="str">
        <f t="shared" si="238"/>
        <v>09 de julio de 2018</v>
      </c>
      <c r="N1234" s="323">
        <f t="shared" si="230"/>
        <v>9</v>
      </c>
      <c r="O1234" s="25">
        <f t="shared" si="239"/>
        <v>43282</v>
      </c>
      <c r="P1234" s="5" t="str">
        <f t="shared" si="240"/>
        <v>17,90</v>
      </c>
      <c r="Q1234" s="4" t="e">
        <f t="shared" ca="1" si="241"/>
        <v>#NAME?</v>
      </c>
    </row>
    <row r="1235" spans="1:17">
      <c r="A1235" s="1">
        <f>A1234+1</f>
        <v>1234</v>
      </c>
      <c r="C1235" s="8" t="s">
        <v>17</v>
      </c>
      <c r="D1235" s="2">
        <v>43290</v>
      </c>
      <c r="E1235" s="3">
        <f>1000000/100000</f>
        <v>10</v>
      </c>
      <c r="F1235" t="s">
        <v>70</v>
      </c>
      <c r="G1235" t="s">
        <v>71</v>
      </c>
      <c r="H1235" t="s">
        <v>72</v>
      </c>
      <c r="I1235" s="6" t="s">
        <v>750</v>
      </c>
      <c r="J1235" s="61" t="s">
        <v>22</v>
      </c>
      <c r="L1235" s="5" t="str">
        <f t="shared" si="237"/>
        <v>01234</v>
      </c>
      <c r="M1235" s="47" t="str">
        <f t="shared" si="238"/>
        <v>09 de julio de 2018</v>
      </c>
      <c r="N1235" s="323">
        <f t="shared" si="230"/>
        <v>9</v>
      </c>
      <c r="O1235" s="25">
        <f t="shared" si="239"/>
        <v>43282</v>
      </c>
      <c r="P1235" s="5" t="str">
        <f t="shared" si="240"/>
        <v>10,00</v>
      </c>
      <c r="Q1235" s="4" t="e">
        <f t="shared" ca="1" si="241"/>
        <v>#NAME?</v>
      </c>
    </row>
    <row r="1236" spans="1:17">
      <c r="A1236" s="1">
        <f t="shared" ref="A1236:A1299" si="242">A1235+1</f>
        <v>1235</v>
      </c>
      <c r="C1236" s="8" t="s">
        <v>17</v>
      </c>
      <c r="D1236" s="2">
        <v>43290</v>
      </c>
      <c r="E1236" s="3">
        <f>1370000/100000-150000/100000</f>
        <v>12.2</v>
      </c>
      <c r="F1236" t="s">
        <v>48</v>
      </c>
      <c r="G1236" t="s">
        <v>49</v>
      </c>
      <c r="H1236" t="s">
        <v>50</v>
      </c>
      <c r="I1236" s="6" t="s">
        <v>744</v>
      </c>
      <c r="J1236" s="61" t="s">
        <v>745</v>
      </c>
      <c r="L1236" s="5" t="str">
        <f t="shared" si="237"/>
        <v>01235</v>
      </c>
      <c r="M1236" s="47" t="str">
        <f t="shared" si="238"/>
        <v>09 de julio de 2018</v>
      </c>
      <c r="N1236" s="323">
        <f t="shared" si="230"/>
        <v>9</v>
      </c>
      <c r="O1236" s="25">
        <f t="shared" si="239"/>
        <v>43282</v>
      </c>
      <c r="P1236" s="5" t="str">
        <f t="shared" si="240"/>
        <v>12,20</v>
      </c>
      <c r="Q1236" s="4" t="e">
        <f t="shared" ca="1" si="241"/>
        <v>#NAME?</v>
      </c>
    </row>
    <row r="1237" spans="1:17">
      <c r="A1237" s="1">
        <f t="shared" si="242"/>
        <v>1236</v>
      </c>
      <c r="C1237" s="8" t="s">
        <v>17</v>
      </c>
      <c r="D1237" s="2">
        <v>43290</v>
      </c>
      <c r="E1237" s="3">
        <f>150000/100000</f>
        <v>1.5</v>
      </c>
      <c r="F1237" t="s">
        <v>48</v>
      </c>
      <c r="G1237" t="s">
        <v>49</v>
      </c>
      <c r="H1237" t="s">
        <v>50</v>
      </c>
      <c r="I1237" s="6" t="s">
        <v>754</v>
      </c>
      <c r="J1237" s="61" t="s">
        <v>22</v>
      </c>
      <c r="L1237" s="5" t="str">
        <f t="shared" si="237"/>
        <v>01236</v>
      </c>
      <c r="M1237" s="47" t="str">
        <f t="shared" si="238"/>
        <v>09 de julio de 2018</v>
      </c>
      <c r="N1237" s="323">
        <f t="shared" si="230"/>
        <v>9</v>
      </c>
      <c r="O1237" s="25">
        <f t="shared" si="239"/>
        <v>43282</v>
      </c>
      <c r="P1237" s="5" t="str">
        <f t="shared" si="240"/>
        <v>1,50</v>
      </c>
      <c r="Q1237" s="4" t="e">
        <f t="shared" ca="1" si="241"/>
        <v>#NAME?</v>
      </c>
    </row>
    <row r="1238" spans="1:17">
      <c r="A1238" s="1">
        <f t="shared" si="242"/>
        <v>1237</v>
      </c>
      <c r="C1238" s="8" t="s">
        <v>17</v>
      </c>
      <c r="D1238" s="2">
        <v>43290</v>
      </c>
      <c r="E1238" s="3">
        <f>1000000/100000</f>
        <v>10</v>
      </c>
      <c r="F1238" t="s">
        <v>185</v>
      </c>
      <c r="G1238" t="s">
        <v>186</v>
      </c>
      <c r="H1238" t="s">
        <v>187</v>
      </c>
      <c r="I1238" s="6" t="s">
        <v>759</v>
      </c>
      <c r="J1238" s="61" t="s">
        <v>22</v>
      </c>
      <c r="L1238" s="5" t="str">
        <f t="shared" si="237"/>
        <v>01237</v>
      </c>
      <c r="M1238" s="47" t="str">
        <f t="shared" si="238"/>
        <v>09 de julio de 2018</v>
      </c>
      <c r="N1238" s="323">
        <f t="shared" si="230"/>
        <v>9</v>
      </c>
      <c r="O1238" s="25">
        <f t="shared" si="239"/>
        <v>43282</v>
      </c>
      <c r="P1238" s="5" t="str">
        <f t="shared" si="240"/>
        <v>10,00</v>
      </c>
      <c r="Q1238" s="4" t="e">
        <f t="shared" ca="1" si="241"/>
        <v>#NAME?</v>
      </c>
    </row>
    <row r="1239" spans="1:17" ht="15.75" thickBot="1">
      <c r="A1239" s="1">
        <f t="shared" si="242"/>
        <v>1238</v>
      </c>
      <c r="C1239" s="8" t="s">
        <v>17</v>
      </c>
      <c r="D1239" s="2">
        <v>43290</v>
      </c>
      <c r="E1239" s="3">
        <f>600000/100000</f>
        <v>6</v>
      </c>
      <c r="F1239" t="s">
        <v>401</v>
      </c>
      <c r="G1239" t="s">
        <v>402</v>
      </c>
      <c r="H1239" t="s">
        <v>403</v>
      </c>
      <c r="I1239" s="6" t="s">
        <v>765</v>
      </c>
      <c r="J1239" s="61" t="s">
        <v>22</v>
      </c>
      <c r="L1239" s="5" t="str">
        <f t="shared" si="237"/>
        <v>01238</v>
      </c>
      <c r="M1239" s="47" t="str">
        <f t="shared" si="238"/>
        <v>09 de julio de 2018</v>
      </c>
      <c r="N1239" s="323">
        <f t="shared" si="230"/>
        <v>9</v>
      </c>
      <c r="O1239" s="25">
        <f t="shared" si="239"/>
        <v>43282</v>
      </c>
      <c r="P1239" s="5" t="str">
        <f t="shared" si="240"/>
        <v>6,00</v>
      </c>
      <c r="Q1239" s="4" t="e">
        <f t="shared" ca="1" si="241"/>
        <v>#NAME?</v>
      </c>
    </row>
    <row r="1240" spans="1:17" ht="15.75" thickBot="1">
      <c r="A1240" s="1">
        <f t="shared" si="242"/>
        <v>1239</v>
      </c>
      <c r="C1240" s="85" t="s">
        <v>17</v>
      </c>
      <c r="D1240" s="2">
        <v>43290</v>
      </c>
      <c r="E1240" s="3">
        <f>1220000/100000</f>
        <v>12.2</v>
      </c>
      <c r="F1240" t="s">
        <v>280</v>
      </c>
      <c r="G1240" s="18" t="s">
        <v>58</v>
      </c>
      <c r="H1240" t="s">
        <v>282</v>
      </c>
      <c r="I1240" s="6" t="s">
        <v>766</v>
      </c>
      <c r="J1240" s="61" t="s">
        <v>745</v>
      </c>
      <c r="L1240" s="5" t="str">
        <f t="shared" si="237"/>
        <v>01239</v>
      </c>
      <c r="M1240" s="47" t="str">
        <f t="shared" si="238"/>
        <v>09 de julio de 2018</v>
      </c>
      <c r="N1240" s="323">
        <f t="shared" si="230"/>
        <v>9</v>
      </c>
      <c r="O1240" s="25">
        <f t="shared" si="239"/>
        <v>43282</v>
      </c>
      <c r="P1240" s="5" t="str">
        <f t="shared" si="240"/>
        <v>12,20</v>
      </c>
      <c r="Q1240" s="4" t="e">
        <f t="shared" ca="1" si="241"/>
        <v>#NAME?</v>
      </c>
    </row>
    <row r="1241" spans="1:17">
      <c r="A1241" s="1">
        <f t="shared" si="242"/>
        <v>1240</v>
      </c>
      <c r="C1241" s="8" t="s">
        <v>17</v>
      </c>
      <c r="D1241" s="2">
        <v>43290</v>
      </c>
      <c r="E1241" s="3">
        <f>630000/100000</f>
        <v>6.3</v>
      </c>
      <c r="F1241" t="s">
        <v>312</v>
      </c>
      <c r="G1241" t="s">
        <v>313</v>
      </c>
      <c r="H1241" t="s">
        <v>314</v>
      </c>
      <c r="I1241" s="6" t="s">
        <v>759</v>
      </c>
      <c r="J1241" s="61" t="s">
        <v>22</v>
      </c>
      <c r="L1241" s="5" t="str">
        <f t="shared" si="237"/>
        <v>01240</v>
      </c>
      <c r="M1241" s="47" t="str">
        <f t="shared" si="238"/>
        <v>09 de julio de 2018</v>
      </c>
      <c r="N1241" s="323">
        <f t="shared" si="230"/>
        <v>9</v>
      </c>
      <c r="O1241" s="25">
        <f t="shared" si="239"/>
        <v>43282</v>
      </c>
      <c r="P1241" s="5" t="str">
        <f t="shared" si="240"/>
        <v>6,30</v>
      </c>
      <c r="Q1241" s="4" t="e">
        <f t="shared" ca="1" si="241"/>
        <v>#NAME?</v>
      </c>
    </row>
    <row r="1242" spans="1:17">
      <c r="A1242" s="1">
        <f t="shared" si="242"/>
        <v>1241</v>
      </c>
      <c r="C1242" s="8" t="s">
        <v>17</v>
      </c>
      <c r="D1242" s="2">
        <v>43291</v>
      </c>
      <c r="E1242" s="3">
        <f>1220000/100000</f>
        <v>12.2</v>
      </c>
      <c r="F1242" t="s">
        <v>633</v>
      </c>
      <c r="G1242" t="s">
        <v>634</v>
      </c>
      <c r="H1242" t="s">
        <v>635</v>
      </c>
      <c r="I1242" s="6" t="s">
        <v>744</v>
      </c>
      <c r="J1242" s="61" t="s">
        <v>745</v>
      </c>
      <c r="L1242" s="5" t="str">
        <f t="shared" ref="L1242:L1250" si="243">IF(ISBLANK(A1242),"",TEXT(A1242,"00000"))</f>
        <v>01241</v>
      </c>
      <c r="M1242" s="47" t="str">
        <f t="shared" ref="M1242:M1250" si="244">IF(ISBLANK(D1242),"",TEXT(D1242,"dd")&amp;" de "&amp;TEXT(D1242,"mmmm")&amp;" de "&amp;TEXT(YEAR(D1242),"0"))</f>
        <v>10 de julio de 2018</v>
      </c>
      <c r="N1242" s="323">
        <f t="shared" si="230"/>
        <v>10</v>
      </c>
      <c r="O1242" s="25">
        <f t="shared" ref="O1242:O1250" si="245">DATE(YEAR(D1242),MONTH(D1242),1)</f>
        <v>43282</v>
      </c>
      <c r="P1242" s="5" t="str">
        <f t="shared" ref="P1242:P1246" si="246">TEXT(E1242,"#.##0,00")</f>
        <v>12,20</v>
      </c>
      <c r="Q1242" s="4" t="e">
        <f t="shared" ref="Q1242:Q1246" ca="1" si="247">CONVERTIRNUM(E1242)</f>
        <v>#NAME?</v>
      </c>
    </row>
    <row r="1243" spans="1:17">
      <c r="A1243" s="1">
        <f t="shared" si="242"/>
        <v>1242</v>
      </c>
      <c r="C1243" s="8" t="s">
        <v>17</v>
      </c>
      <c r="D1243" s="2">
        <v>43291</v>
      </c>
      <c r="E1243" s="3">
        <f>1220000/100000</f>
        <v>12.2</v>
      </c>
      <c r="F1243" t="s">
        <v>219</v>
      </c>
      <c r="G1243" t="s">
        <v>220</v>
      </c>
      <c r="H1243" t="s">
        <v>221</v>
      </c>
      <c r="I1243" s="6" t="s">
        <v>767</v>
      </c>
      <c r="J1243" s="61" t="s">
        <v>745</v>
      </c>
      <c r="L1243" s="5" t="str">
        <f t="shared" si="243"/>
        <v>01242</v>
      </c>
      <c r="M1243" s="47" t="str">
        <f t="shared" si="244"/>
        <v>10 de julio de 2018</v>
      </c>
      <c r="N1243" s="323">
        <f t="shared" si="230"/>
        <v>10</v>
      </c>
      <c r="O1243" s="25">
        <f t="shared" si="245"/>
        <v>43282</v>
      </c>
      <c r="P1243" s="5" t="str">
        <f t="shared" si="246"/>
        <v>12,20</v>
      </c>
      <c r="Q1243" s="4" t="e">
        <f t="shared" ca="1" si="247"/>
        <v>#NAME?</v>
      </c>
    </row>
    <row r="1244" spans="1:17">
      <c r="A1244" s="1">
        <f t="shared" si="242"/>
        <v>1243</v>
      </c>
      <c r="C1244" s="8" t="s">
        <v>17</v>
      </c>
      <c r="D1244" s="2">
        <v>43291</v>
      </c>
      <c r="E1244" s="3">
        <f>150000/100000</f>
        <v>1.5</v>
      </c>
      <c r="F1244" t="s">
        <v>362</v>
      </c>
      <c r="G1244" t="s">
        <v>363</v>
      </c>
      <c r="H1244" t="s">
        <v>364</v>
      </c>
      <c r="I1244" s="6" t="s">
        <v>754</v>
      </c>
      <c r="J1244" s="61" t="s">
        <v>22</v>
      </c>
      <c r="L1244" s="5" t="str">
        <f t="shared" si="243"/>
        <v>01243</v>
      </c>
      <c r="M1244" s="47" t="str">
        <f t="shared" si="244"/>
        <v>10 de julio de 2018</v>
      </c>
      <c r="N1244" s="323">
        <f t="shared" si="230"/>
        <v>10</v>
      </c>
      <c r="O1244" s="25">
        <f t="shared" si="245"/>
        <v>43282</v>
      </c>
      <c r="P1244" s="5" t="str">
        <f t="shared" si="246"/>
        <v>1,50</v>
      </c>
      <c r="Q1244" s="4" t="e">
        <f t="shared" ca="1" si="247"/>
        <v>#NAME?</v>
      </c>
    </row>
    <row r="1245" spans="1:17">
      <c r="A1245" s="1">
        <f t="shared" si="242"/>
        <v>1244</v>
      </c>
      <c r="C1245" s="8" t="s">
        <v>17</v>
      </c>
      <c r="D1245" s="2">
        <v>43291</v>
      </c>
      <c r="E1245" s="3">
        <f>1220000/100000</f>
        <v>12.2</v>
      </c>
      <c r="F1245" t="s">
        <v>362</v>
      </c>
      <c r="G1245" t="s">
        <v>363</v>
      </c>
      <c r="H1245" t="s">
        <v>364</v>
      </c>
      <c r="I1245" s="6" t="s">
        <v>744</v>
      </c>
      <c r="J1245" s="61" t="s">
        <v>745</v>
      </c>
      <c r="L1245" s="5" t="str">
        <f t="shared" si="243"/>
        <v>01244</v>
      </c>
      <c r="M1245" s="47" t="str">
        <f t="shared" si="244"/>
        <v>10 de julio de 2018</v>
      </c>
      <c r="N1245" s="323">
        <f t="shared" si="230"/>
        <v>10</v>
      </c>
      <c r="O1245" s="25">
        <f t="shared" si="245"/>
        <v>43282</v>
      </c>
      <c r="P1245" s="5" t="str">
        <f t="shared" si="246"/>
        <v>12,20</v>
      </c>
      <c r="Q1245" s="4" t="e">
        <f t="shared" ca="1" si="247"/>
        <v>#NAME?</v>
      </c>
    </row>
    <row r="1246" spans="1:17">
      <c r="A1246" s="178">
        <f t="shared" si="242"/>
        <v>1245</v>
      </c>
      <c r="C1246" s="8" t="s">
        <v>17</v>
      </c>
      <c r="D1246" s="2">
        <v>43291</v>
      </c>
      <c r="E1246" s="3">
        <f>1220000/100000</f>
        <v>12.2</v>
      </c>
      <c r="F1246" t="s">
        <v>438</v>
      </c>
      <c r="G1246" t="s">
        <v>439</v>
      </c>
      <c r="H1246" t="s">
        <v>440</v>
      </c>
      <c r="I1246" s="6" t="s">
        <v>768</v>
      </c>
      <c r="J1246" s="61" t="s">
        <v>745</v>
      </c>
      <c r="L1246" s="5" t="str">
        <f t="shared" si="243"/>
        <v>01245</v>
      </c>
      <c r="M1246" s="47" t="str">
        <f t="shared" si="244"/>
        <v>10 de julio de 2018</v>
      </c>
      <c r="N1246" s="323">
        <f t="shared" si="230"/>
        <v>10</v>
      </c>
      <c r="O1246" s="25">
        <f t="shared" si="245"/>
        <v>43282</v>
      </c>
      <c r="P1246" s="5" t="str">
        <f t="shared" si="246"/>
        <v>12,20</v>
      </c>
      <c r="Q1246" s="4" t="e">
        <f t="shared" ca="1" si="247"/>
        <v>#NAME?</v>
      </c>
    </row>
    <row r="1247" spans="1:17">
      <c r="A1247" s="1">
        <f t="shared" si="242"/>
        <v>1246</v>
      </c>
      <c r="C1247" s="8" t="s">
        <v>17</v>
      </c>
      <c r="D1247" s="2">
        <v>43291</v>
      </c>
      <c r="E1247" s="3">
        <f>1220000/100000</f>
        <v>12.2</v>
      </c>
      <c r="F1247" t="s">
        <v>162</v>
      </c>
      <c r="G1247" t="s">
        <v>163</v>
      </c>
      <c r="H1247" t="s">
        <v>164</v>
      </c>
      <c r="I1247" s="6" t="s">
        <v>744</v>
      </c>
      <c r="J1247" s="61" t="s">
        <v>745</v>
      </c>
      <c r="L1247" s="5" t="str">
        <f t="shared" si="243"/>
        <v>01246</v>
      </c>
      <c r="M1247" s="47" t="str">
        <f t="shared" si="244"/>
        <v>10 de julio de 2018</v>
      </c>
      <c r="N1247" s="323">
        <f t="shared" si="230"/>
        <v>10</v>
      </c>
      <c r="O1247" s="25">
        <f t="shared" si="245"/>
        <v>43282</v>
      </c>
      <c r="P1247" s="5" t="str">
        <f>TEXT(E1247,"#.##0,00")</f>
        <v>12,20</v>
      </c>
      <c r="Q1247" s="4" t="e">
        <f ca="1">CONVERTIRNUM(E1247)</f>
        <v>#NAME?</v>
      </c>
    </row>
    <row r="1248" spans="1:17">
      <c r="A1248" s="1">
        <f t="shared" si="242"/>
        <v>1247</v>
      </c>
      <c r="C1248" s="8" t="s">
        <v>17</v>
      </c>
      <c r="D1248" s="2">
        <v>43291</v>
      </c>
      <c r="E1248" s="3">
        <f>1625000/100000</f>
        <v>16.25</v>
      </c>
      <c r="F1248" t="s">
        <v>264</v>
      </c>
      <c r="G1248" t="s">
        <v>265</v>
      </c>
      <c r="H1248" t="s">
        <v>266</v>
      </c>
      <c r="I1248" s="6" t="s">
        <v>722</v>
      </c>
      <c r="J1248" s="61" t="s">
        <v>22</v>
      </c>
      <c r="L1248" s="5" t="str">
        <f t="shared" si="243"/>
        <v>01247</v>
      </c>
      <c r="M1248" s="47" t="str">
        <f t="shared" si="244"/>
        <v>10 de julio de 2018</v>
      </c>
      <c r="N1248" s="323">
        <f t="shared" si="230"/>
        <v>10</v>
      </c>
      <c r="O1248" s="25">
        <f t="shared" si="245"/>
        <v>43282</v>
      </c>
      <c r="P1248" s="5" t="str">
        <f t="shared" ref="P1248:P1250" si="248">TEXT(E1248,"#.##0,00")</f>
        <v>16,25</v>
      </c>
      <c r="Q1248" s="4" t="e">
        <f t="shared" ref="Q1248:Q1250" ca="1" si="249">CONVERTIRNUM(E1248)</f>
        <v>#NAME?</v>
      </c>
    </row>
    <row r="1249" spans="1:17">
      <c r="A1249" s="1">
        <f t="shared" si="242"/>
        <v>1248</v>
      </c>
      <c r="C1249" s="8" t="s">
        <v>17</v>
      </c>
      <c r="D1249" s="2">
        <v>43291</v>
      </c>
      <c r="E1249" s="3">
        <f>1220000/100000</f>
        <v>12.2</v>
      </c>
      <c r="F1249" t="s">
        <v>107</v>
      </c>
      <c r="G1249" t="s">
        <v>108</v>
      </c>
      <c r="H1249" t="s">
        <v>109</v>
      </c>
      <c r="I1249" s="6" t="s">
        <v>744</v>
      </c>
      <c r="J1249" s="61" t="s">
        <v>745</v>
      </c>
      <c r="L1249" s="5" t="str">
        <f t="shared" si="243"/>
        <v>01248</v>
      </c>
      <c r="M1249" s="47" t="str">
        <f t="shared" si="244"/>
        <v>10 de julio de 2018</v>
      </c>
      <c r="N1249" s="323">
        <f t="shared" si="230"/>
        <v>10</v>
      </c>
      <c r="O1249" s="25">
        <f t="shared" si="245"/>
        <v>43282</v>
      </c>
      <c r="P1249" s="5" t="str">
        <f t="shared" si="248"/>
        <v>12,20</v>
      </c>
      <c r="Q1249" s="4" t="e">
        <f t="shared" ca="1" si="249"/>
        <v>#NAME?</v>
      </c>
    </row>
    <row r="1250" spans="1:17">
      <c r="A1250" s="1">
        <f t="shared" si="242"/>
        <v>1249</v>
      </c>
      <c r="C1250" s="8" t="s">
        <v>17</v>
      </c>
      <c r="D1250" s="2">
        <v>43291</v>
      </c>
      <c r="E1250" s="3">
        <f>835000/100000+165000/100000</f>
        <v>10</v>
      </c>
      <c r="F1250" t="s">
        <v>36</v>
      </c>
      <c r="G1250" t="s">
        <v>37</v>
      </c>
      <c r="H1250" t="s">
        <v>38</v>
      </c>
      <c r="I1250" s="6" t="s">
        <v>750</v>
      </c>
      <c r="J1250" s="61" t="s">
        <v>22</v>
      </c>
      <c r="L1250" s="5" t="str">
        <f t="shared" si="243"/>
        <v>01249</v>
      </c>
      <c r="M1250" s="47" t="str">
        <f t="shared" si="244"/>
        <v>10 de julio de 2018</v>
      </c>
      <c r="N1250" s="323">
        <f t="shared" si="230"/>
        <v>10</v>
      </c>
      <c r="O1250" s="25">
        <f t="shared" si="245"/>
        <v>43282</v>
      </c>
      <c r="P1250" s="5" t="str">
        <f t="shared" si="248"/>
        <v>10,00</v>
      </c>
      <c r="Q1250" s="4" t="e">
        <f t="shared" ca="1" si="249"/>
        <v>#NAME?</v>
      </c>
    </row>
    <row r="1251" spans="1:17">
      <c r="A1251" s="1">
        <f t="shared" si="242"/>
        <v>1250</v>
      </c>
      <c r="C1251" s="8" t="s">
        <v>17</v>
      </c>
      <c r="D1251" s="2">
        <v>43291</v>
      </c>
      <c r="E1251" s="3">
        <f>1220000/100000</f>
        <v>12.2</v>
      </c>
      <c r="F1251" t="s">
        <v>36</v>
      </c>
      <c r="G1251" t="s">
        <v>37</v>
      </c>
      <c r="H1251" t="s">
        <v>38</v>
      </c>
      <c r="I1251" s="6" t="s">
        <v>744</v>
      </c>
      <c r="J1251" s="61" t="s">
        <v>745</v>
      </c>
      <c r="L1251" s="5" t="str">
        <f t="shared" ref="L1251:L1259" si="250">IF(ISBLANK(A1251),"",TEXT(A1251,"00000"))</f>
        <v>01250</v>
      </c>
      <c r="M1251" s="47" t="str">
        <f t="shared" ref="M1251:M1259" si="251">IF(ISBLANK(D1251),"",TEXT(D1251,"dd")&amp;" de "&amp;TEXT(D1251,"mmmm")&amp;" de "&amp;TEXT(YEAR(D1251),"0"))</f>
        <v>10 de julio de 2018</v>
      </c>
      <c r="N1251" s="323">
        <f t="shared" si="230"/>
        <v>10</v>
      </c>
      <c r="O1251" s="25">
        <f t="shared" ref="O1251:O1259" si="252">DATE(YEAR(D1251),MONTH(D1251),1)</f>
        <v>43282</v>
      </c>
      <c r="P1251" s="5" t="str">
        <f t="shared" ref="P1251:P1259" si="253">TEXT(E1251,"#.##0,00")</f>
        <v>12,20</v>
      </c>
      <c r="Q1251" s="4" t="e">
        <f t="shared" ref="Q1251:Q1259" ca="1" si="254">CONVERTIRNUM(E1251)</f>
        <v>#NAME?</v>
      </c>
    </row>
    <row r="1252" spans="1:17">
      <c r="A1252" s="1">
        <f t="shared" si="242"/>
        <v>1251</v>
      </c>
      <c r="C1252" s="8" t="s">
        <v>17</v>
      </c>
      <c r="D1252" s="2">
        <v>43291</v>
      </c>
      <c r="E1252" s="3">
        <f>150000/100000</f>
        <v>1.5</v>
      </c>
      <c r="F1252" t="s">
        <v>201</v>
      </c>
      <c r="G1252" t="s">
        <v>202</v>
      </c>
      <c r="H1252" t="s">
        <v>203</v>
      </c>
      <c r="I1252" s="6" t="s">
        <v>754</v>
      </c>
      <c r="J1252" s="61" t="s">
        <v>22</v>
      </c>
      <c r="L1252" s="5" t="str">
        <f t="shared" si="250"/>
        <v>01251</v>
      </c>
      <c r="M1252" s="47" t="str">
        <f t="shared" si="251"/>
        <v>10 de julio de 2018</v>
      </c>
      <c r="N1252" s="323">
        <f t="shared" si="230"/>
        <v>10</v>
      </c>
      <c r="O1252" s="25">
        <f t="shared" si="252"/>
        <v>43282</v>
      </c>
      <c r="P1252" s="5" t="str">
        <f t="shared" si="253"/>
        <v>1,50</v>
      </c>
      <c r="Q1252" s="4" t="e">
        <f t="shared" ca="1" si="254"/>
        <v>#NAME?</v>
      </c>
    </row>
    <row r="1253" spans="1:17">
      <c r="A1253" s="1">
        <f t="shared" si="242"/>
        <v>1252</v>
      </c>
      <c r="C1253" s="8" t="s">
        <v>17</v>
      </c>
      <c r="D1253" s="2">
        <v>43291</v>
      </c>
      <c r="E1253" s="3">
        <f>1150000/100000</f>
        <v>11.5</v>
      </c>
      <c r="F1253" t="s">
        <v>594</v>
      </c>
      <c r="G1253" t="s">
        <v>595</v>
      </c>
      <c r="H1253" t="s">
        <v>596</v>
      </c>
      <c r="I1253" s="6" t="s">
        <v>769</v>
      </c>
      <c r="J1253" s="61" t="s">
        <v>22</v>
      </c>
      <c r="L1253" s="5" t="str">
        <f t="shared" si="250"/>
        <v>01252</v>
      </c>
      <c r="M1253" s="47" t="str">
        <f t="shared" si="251"/>
        <v>10 de julio de 2018</v>
      </c>
      <c r="N1253" s="323">
        <f t="shared" si="230"/>
        <v>10</v>
      </c>
      <c r="O1253" s="25">
        <f t="shared" si="252"/>
        <v>43282</v>
      </c>
      <c r="P1253" s="5" t="str">
        <f t="shared" si="253"/>
        <v>11,50</v>
      </c>
      <c r="Q1253" s="4" t="e">
        <f t="shared" ca="1" si="254"/>
        <v>#NAME?</v>
      </c>
    </row>
    <row r="1254" spans="1:17">
      <c r="A1254" s="1">
        <f t="shared" si="242"/>
        <v>1253</v>
      </c>
      <c r="C1254" s="8" t="s">
        <v>17</v>
      </c>
      <c r="D1254" s="2">
        <v>43291</v>
      </c>
      <c r="E1254" s="3">
        <f>1220000/100000</f>
        <v>12.2</v>
      </c>
      <c r="F1254" t="s">
        <v>24</v>
      </c>
      <c r="G1254" t="s">
        <v>25</v>
      </c>
      <c r="H1254" t="s">
        <v>26</v>
      </c>
      <c r="I1254" s="6" t="s">
        <v>744</v>
      </c>
      <c r="J1254" s="61" t="s">
        <v>745</v>
      </c>
      <c r="L1254" s="5" t="str">
        <f t="shared" si="250"/>
        <v>01253</v>
      </c>
      <c r="M1254" s="47" t="str">
        <f t="shared" si="251"/>
        <v>10 de julio de 2018</v>
      </c>
      <c r="N1254" s="323">
        <f t="shared" si="230"/>
        <v>10</v>
      </c>
      <c r="O1254" s="25">
        <f t="shared" si="252"/>
        <v>43282</v>
      </c>
      <c r="P1254" s="5" t="str">
        <f t="shared" si="253"/>
        <v>12,20</v>
      </c>
      <c r="Q1254" s="4" t="e">
        <f t="shared" ca="1" si="254"/>
        <v>#NAME?</v>
      </c>
    </row>
    <row r="1255" spans="1:17">
      <c r="A1255" s="1">
        <f t="shared" si="242"/>
        <v>1254</v>
      </c>
      <c r="C1255" s="8" t="s">
        <v>17</v>
      </c>
      <c r="D1255" s="2">
        <v>43291</v>
      </c>
      <c r="E1255" s="3">
        <f>1220000/100000</f>
        <v>12.2</v>
      </c>
      <c r="F1255" t="s">
        <v>443</v>
      </c>
      <c r="G1255" t="s">
        <v>444</v>
      </c>
      <c r="H1255" t="s">
        <v>75</v>
      </c>
      <c r="I1255" s="6" t="s">
        <v>744</v>
      </c>
      <c r="J1255" s="61" t="s">
        <v>745</v>
      </c>
      <c r="L1255" s="5" t="str">
        <f t="shared" si="250"/>
        <v>01254</v>
      </c>
      <c r="M1255" s="47" t="str">
        <f t="shared" si="251"/>
        <v>10 de julio de 2018</v>
      </c>
      <c r="N1255" s="323">
        <f t="shared" si="230"/>
        <v>10</v>
      </c>
      <c r="O1255" s="25">
        <f t="shared" si="252"/>
        <v>43282</v>
      </c>
      <c r="P1255" s="5" t="str">
        <f t="shared" si="253"/>
        <v>12,20</v>
      </c>
      <c r="Q1255" s="4" t="e">
        <f t="shared" ca="1" si="254"/>
        <v>#NAME?</v>
      </c>
    </row>
    <row r="1256" spans="1:17" ht="15.75" thickBot="1">
      <c r="A1256" s="1">
        <f t="shared" si="242"/>
        <v>1255</v>
      </c>
      <c r="C1256" s="8" t="s">
        <v>17</v>
      </c>
      <c r="D1256" s="2">
        <v>43291</v>
      </c>
      <c r="E1256" s="3">
        <f>2250000/100000-1220000/100000</f>
        <v>10.3</v>
      </c>
      <c r="F1256" t="s">
        <v>443</v>
      </c>
      <c r="G1256" t="s">
        <v>444</v>
      </c>
      <c r="H1256" t="s">
        <v>75</v>
      </c>
      <c r="I1256" s="6" t="s">
        <v>770</v>
      </c>
      <c r="J1256" s="61" t="s">
        <v>22</v>
      </c>
      <c r="L1256" s="5" t="str">
        <f t="shared" si="250"/>
        <v>01255</v>
      </c>
      <c r="M1256" s="47" t="str">
        <f t="shared" si="251"/>
        <v>10 de julio de 2018</v>
      </c>
      <c r="N1256" s="323">
        <f t="shared" si="230"/>
        <v>10</v>
      </c>
      <c r="O1256" s="25">
        <f t="shared" si="252"/>
        <v>43282</v>
      </c>
      <c r="P1256" s="5" t="str">
        <f t="shared" si="253"/>
        <v>10,30</v>
      </c>
      <c r="Q1256" s="4" t="e">
        <f t="shared" ca="1" si="254"/>
        <v>#NAME?</v>
      </c>
    </row>
    <row r="1257" spans="1:17" ht="15.75" thickBot="1">
      <c r="A1257" s="1">
        <f t="shared" si="242"/>
        <v>1256</v>
      </c>
      <c r="C1257" s="8" t="s">
        <v>17</v>
      </c>
      <c r="D1257" s="2">
        <v>43292</v>
      </c>
      <c r="E1257" s="3">
        <f>1220000/100000</f>
        <v>12.2</v>
      </c>
      <c r="F1257" s="20" t="s">
        <v>57</v>
      </c>
      <c r="G1257" s="18" t="s">
        <v>58</v>
      </c>
      <c r="H1257" s="21" t="s">
        <v>59</v>
      </c>
      <c r="I1257" s="6" t="s">
        <v>744</v>
      </c>
      <c r="J1257" s="61" t="s">
        <v>745</v>
      </c>
      <c r="K1257" s="22"/>
      <c r="L1257" s="5" t="str">
        <f t="shared" si="250"/>
        <v>01256</v>
      </c>
      <c r="M1257" s="47" t="str">
        <f t="shared" si="251"/>
        <v>11 de julio de 2018</v>
      </c>
      <c r="N1257" s="323">
        <f t="shared" si="230"/>
        <v>11</v>
      </c>
      <c r="O1257" s="25">
        <f t="shared" si="252"/>
        <v>43282</v>
      </c>
      <c r="P1257" s="5" t="str">
        <f t="shared" si="253"/>
        <v>12,20</v>
      </c>
      <c r="Q1257" s="4" t="e">
        <f t="shared" ca="1" si="254"/>
        <v>#NAME?</v>
      </c>
    </row>
    <row r="1258" spans="1:17">
      <c r="A1258" s="1">
        <f t="shared" si="242"/>
        <v>1257</v>
      </c>
      <c r="C1258" s="8" t="s">
        <v>17</v>
      </c>
      <c r="D1258" s="2">
        <v>43292</v>
      </c>
      <c r="E1258" s="3">
        <f>150000/100000</f>
        <v>1.5</v>
      </c>
      <c r="F1258" t="s">
        <v>713</v>
      </c>
      <c r="G1258" t="s">
        <v>714</v>
      </c>
      <c r="H1258" t="s">
        <v>154</v>
      </c>
      <c r="I1258" s="6" t="s">
        <v>754</v>
      </c>
      <c r="J1258" s="61" t="s">
        <v>22</v>
      </c>
      <c r="L1258" s="5" t="str">
        <f t="shared" si="250"/>
        <v>01257</v>
      </c>
      <c r="M1258" s="47" t="str">
        <f t="shared" si="251"/>
        <v>11 de julio de 2018</v>
      </c>
      <c r="N1258" s="323">
        <f t="shared" si="230"/>
        <v>11</v>
      </c>
      <c r="O1258" s="25">
        <f t="shared" si="252"/>
        <v>43282</v>
      </c>
      <c r="P1258" s="5" t="str">
        <f t="shared" si="253"/>
        <v>1,50</v>
      </c>
      <c r="Q1258" s="4" t="e">
        <f t="shared" ca="1" si="254"/>
        <v>#NAME?</v>
      </c>
    </row>
    <row r="1259" spans="1:17">
      <c r="A1259" s="1">
        <f t="shared" si="242"/>
        <v>1258</v>
      </c>
      <c r="C1259" s="8" t="s">
        <v>17</v>
      </c>
      <c r="D1259" s="2">
        <v>43292</v>
      </c>
      <c r="E1259" s="3">
        <f>1625000/100000</f>
        <v>16.25</v>
      </c>
      <c r="F1259" t="s">
        <v>122</v>
      </c>
      <c r="G1259" t="s">
        <v>123</v>
      </c>
      <c r="H1259" t="s">
        <v>124</v>
      </c>
      <c r="I1259" s="6" t="s">
        <v>722</v>
      </c>
      <c r="J1259" s="61" t="s">
        <v>22</v>
      </c>
      <c r="L1259" s="5" t="str">
        <f t="shared" si="250"/>
        <v>01258</v>
      </c>
      <c r="M1259" s="47" t="str">
        <f t="shared" si="251"/>
        <v>11 de julio de 2018</v>
      </c>
      <c r="N1259" s="323">
        <f t="shared" si="230"/>
        <v>11</v>
      </c>
      <c r="O1259" s="25">
        <f t="shared" si="252"/>
        <v>43282</v>
      </c>
      <c r="P1259" s="5" t="str">
        <f t="shared" si="253"/>
        <v>16,25</v>
      </c>
      <c r="Q1259" s="4" t="e">
        <f t="shared" ca="1" si="254"/>
        <v>#NAME?</v>
      </c>
    </row>
    <row r="1260" spans="1:17">
      <c r="A1260" s="1">
        <f t="shared" si="242"/>
        <v>1259</v>
      </c>
      <c r="C1260" s="8" t="s">
        <v>17</v>
      </c>
      <c r="D1260" s="2">
        <v>43292</v>
      </c>
      <c r="E1260" s="3">
        <f>195000/100000</f>
        <v>1.95</v>
      </c>
      <c r="F1260" t="s">
        <v>443</v>
      </c>
      <c r="G1260" t="s">
        <v>444</v>
      </c>
      <c r="H1260" t="s">
        <v>75</v>
      </c>
      <c r="I1260" s="6" t="s">
        <v>754</v>
      </c>
      <c r="J1260" s="61" t="s">
        <v>22</v>
      </c>
      <c r="L1260" s="5" t="str">
        <f t="shared" ref="L1260:L1270" si="255">IF(ISBLANK(A1260),"",TEXT(A1260,"00000"))</f>
        <v>01259</v>
      </c>
      <c r="M1260" s="47" t="str">
        <f t="shared" ref="M1260:M1270" si="256">IF(ISBLANK(D1260),"",TEXT(D1260,"dd")&amp;" de "&amp;TEXT(D1260,"mmmm")&amp;" de "&amp;TEXT(YEAR(D1260),"0"))</f>
        <v>11 de julio de 2018</v>
      </c>
      <c r="N1260" s="323">
        <f t="shared" si="230"/>
        <v>11</v>
      </c>
      <c r="O1260" s="25">
        <f t="shared" ref="O1260:O1270" si="257">DATE(YEAR(D1260),MONTH(D1260),1)</f>
        <v>43282</v>
      </c>
      <c r="P1260" s="5" t="str">
        <f t="shared" ref="P1260:P1270" si="258">TEXT(E1260,"#.##0,00")</f>
        <v>1,95</v>
      </c>
      <c r="Q1260" s="4" t="e">
        <f t="shared" ref="Q1260:Q1263" ca="1" si="259">CONVERTIRNUM(E1260)</f>
        <v>#NAME?</v>
      </c>
    </row>
    <row r="1261" spans="1:17">
      <c r="A1261" s="1">
        <f t="shared" si="242"/>
        <v>1260</v>
      </c>
      <c r="C1261" s="8" t="s">
        <v>17</v>
      </c>
      <c r="D1261" s="2">
        <v>43293</v>
      </c>
      <c r="E1261" s="3">
        <f>835000/100000+165000/100000</f>
        <v>10</v>
      </c>
      <c r="F1261" t="s">
        <v>771</v>
      </c>
      <c r="G1261" t="s">
        <v>772</v>
      </c>
      <c r="H1261" t="s">
        <v>773</v>
      </c>
      <c r="I1261" s="6" t="s">
        <v>750</v>
      </c>
      <c r="J1261" s="61" t="s">
        <v>22</v>
      </c>
      <c r="L1261" s="5" t="str">
        <f t="shared" si="255"/>
        <v>01260</v>
      </c>
      <c r="M1261" s="47" t="str">
        <f t="shared" si="256"/>
        <v>12 de julio de 2018</v>
      </c>
      <c r="N1261" s="323">
        <f t="shared" si="230"/>
        <v>12</v>
      </c>
      <c r="O1261" s="25">
        <f t="shared" si="257"/>
        <v>43282</v>
      </c>
      <c r="P1261" s="5" t="str">
        <f t="shared" si="258"/>
        <v>10,00</v>
      </c>
      <c r="Q1261" s="4" t="e">
        <f t="shared" ca="1" si="259"/>
        <v>#NAME?</v>
      </c>
    </row>
    <row r="1262" spans="1:17">
      <c r="A1262" s="1">
        <f t="shared" si="242"/>
        <v>1261</v>
      </c>
      <c r="C1262" s="8" t="s">
        <v>17</v>
      </c>
      <c r="D1262" s="2">
        <v>43293</v>
      </c>
      <c r="E1262" s="3">
        <f>1220000/100000</f>
        <v>12.2</v>
      </c>
      <c r="F1262" t="s">
        <v>771</v>
      </c>
      <c r="G1262" t="s">
        <v>772</v>
      </c>
      <c r="H1262" t="s">
        <v>773</v>
      </c>
      <c r="I1262" s="6" t="s">
        <v>744</v>
      </c>
      <c r="J1262" s="61" t="s">
        <v>745</v>
      </c>
      <c r="L1262" s="5" t="str">
        <f t="shared" si="255"/>
        <v>01261</v>
      </c>
      <c r="M1262" s="47" t="str">
        <f t="shared" si="256"/>
        <v>12 de julio de 2018</v>
      </c>
      <c r="N1262" s="323">
        <f t="shared" si="230"/>
        <v>12</v>
      </c>
      <c r="O1262" s="25">
        <f t="shared" si="257"/>
        <v>43282</v>
      </c>
      <c r="P1262" s="5" t="str">
        <f t="shared" si="258"/>
        <v>12,20</v>
      </c>
      <c r="Q1262" s="4" t="e">
        <f t="shared" ca="1" si="259"/>
        <v>#NAME?</v>
      </c>
    </row>
    <row r="1263" spans="1:17">
      <c r="A1263" s="1">
        <f t="shared" si="242"/>
        <v>1262</v>
      </c>
      <c r="C1263" s="8" t="s">
        <v>17</v>
      </c>
      <c r="D1263" s="2">
        <v>43293</v>
      </c>
      <c r="E1263" s="3">
        <f>1075000/100000</f>
        <v>10.75</v>
      </c>
      <c r="F1263" t="s">
        <v>211</v>
      </c>
      <c r="G1263" t="s">
        <v>212</v>
      </c>
      <c r="H1263" t="s">
        <v>213</v>
      </c>
      <c r="I1263" s="6" t="s">
        <v>774</v>
      </c>
      <c r="J1263" s="61" t="s">
        <v>22</v>
      </c>
      <c r="L1263" s="5" t="str">
        <f t="shared" si="255"/>
        <v>01262</v>
      </c>
      <c r="M1263" s="47" t="str">
        <f t="shared" si="256"/>
        <v>12 de julio de 2018</v>
      </c>
      <c r="N1263" s="323">
        <f t="shared" si="230"/>
        <v>12</v>
      </c>
      <c r="O1263" s="25">
        <f t="shared" si="257"/>
        <v>43282</v>
      </c>
      <c r="P1263" s="5" t="str">
        <f t="shared" si="258"/>
        <v>10,75</v>
      </c>
      <c r="Q1263" s="4" t="e">
        <f t="shared" ca="1" si="259"/>
        <v>#NAME?</v>
      </c>
    </row>
    <row r="1264" spans="1:17">
      <c r="A1264" s="1">
        <f t="shared" si="242"/>
        <v>1263</v>
      </c>
      <c r="C1264" s="8" t="s">
        <v>17</v>
      </c>
      <c r="D1264" s="2">
        <v>43293</v>
      </c>
      <c r="E1264" s="3">
        <f>225000/100000</f>
        <v>2.25</v>
      </c>
      <c r="F1264" t="s">
        <v>407</v>
      </c>
      <c r="G1264" t="s">
        <v>408</v>
      </c>
      <c r="H1264" t="s">
        <v>409</v>
      </c>
      <c r="I1264" s="6" t="s">
        <v>762</v>
      </c>
      <c r="J1264" s="61" t="s">
        <v>22</v>
      </c>
      <c r="L1264" s="5" t="str">
        <f t="shared" si="255"/>
        <v>01263</v>
      </c>
      <c r="M1264" s="47" t="str">
        <f t="shared" si="256"/>
        <v>12 de julio de 2018</v>
      </c>
      <c r="N1264" s="323">
        <f t="shared" si="230"/>
        <v>12</v>
      </c>
      <c r="O1264" s="25">
        <f t="shared" si="257"/>
        <v>43282</v>
      </c>
      <c r="P1264" s="5" t="str">
        <f t="shared" si="258"/>
        <v>2,25</v>
      </c>
      <c r="Q1264" s="4" t="e">
        <f ca="1">CONVERTIRNUM(E1264)</f>
        <v>#NAME?</v>
      </c>
    </row>
    <row r="1265" spans="1:17">
      <c r="A1265" s="1">
        <f t="shared" si="242"/>
        <v>1264</v>
      </c>
      <c r="C1265" s="8" t="s">
        <v>17</v>
      </c>
      <c r="D1265" s="2">
        <v>43293</v>
      </c>
      <c r="E1265" s="3">
        <f>625000/100000</f>
        <v>6.25</v>
      </c>
      <c r="F1265" t="s">
        <v>94</v>
      </c>
      <c r="G1265" t="s">
        <v>607</v>
      </c>
      <c r="H1265" t="s">
        <v>96</v>
      </c>
      <c r="I1265" s="6" t="s">
        <v>707</v>
      </c>
      <c r="J1265" s="61" t="s">
        <v>22</v>
      </c>
      <c r="L1265" s="5" t="str">
        <f t="shared" si="255"/>
        <v>01264</v>
      </c>
      <c r="M1265" s="47" t="str">
        <f t="shared" si="256"/>
        <v>12 de julio de 2018</v>
      </c>
      <c r="N1265" s="323">
        <f t="shared" si="230"/>
        <v>12</v>
      </c>
      <c r="O1265" s="25">
        <f t="shared" si="257"/>
        <v>43282</v>
      </c>
      <c r="P1265" s="5" t="str">
        <f t="shared" si="258"/>
        <v>6,25</v>
      </c>
      <c r="Q1265" s="4" t="e">
        <f t="shared" ref="Q1265:Q1270" ca="1" si="260">CONVERTIRNUM(E1265)</f>
        <v>#NAME?</v>
      </c>
    </row>
    <row r="1266" spans="1:17">
      <c r="A1266" s="1">
        <f t="shared" si="242"/>
        <v>1265</v>
      </c>
      <c r="C1266" s="8" t="s">
        <v>17</v>
      </c>
      <c r="D1266" s="2">
        <v>43293</v>
      </c>
      <c r="E1266" s="3">
        <f>2845000/100000-1220000/100000</f>
        <v>16.25</v>
      </c>
      <c r="F1266" t="s">
        <v>287</v>
      </c>
      <c r="G1266" t="s">
        <v>288</v>
      </c>
      <c r="H1266" t="s">
        <v>289</v>
      </c>
      <c r="I1266" s="6" t="s">
        <v>722</v>
      </c>
      <c r="J1266" s="61" t="s">
        <v>22</v>
      </c>
      <c r="L1266" s="5" t="str">
        <f t="shared" si="255"/>
        <v>01265</v>
      </c>
      <c r="M1266" s="47" t="str">
        <f t="shared" si="256"/>
        <v>12 de julio de 2018</v>
      </c>
      <c r="N1266" s="323">
        <f t="shared" si="230"/>
        <v>12</v>
      </c>
      <c r="O1266" s="25">
        <f t="shared" si="257"/>
        <v>43282</v>
      </c>
      <c r="P1266" s="5" t="str">
        <f t="shared" si="258"/>
        <v>16,25</v>
      </c>
      <c r="Q1266" s="4" t="e">
        <f t="shared" ca="1" si="260"/>
        <v>#NAME?</v>
      </c>
    </row>
    <row r="1267" spans="1:17">
      <c r="A1267" s="1">
        <f t="shared" si="242"/>
        <v>1266</v>
      </c>
      <c r="C1267" s="8" t="s">
        <v>17</v>
      </c>
      <c r="D1267" s="2">
        <v>43293</v>
      </c>
      <c r="E1267" s="3">
        <f>1220000/100000</f>
        <v>12.2</v>
      </c>
      <c r="F1267" t="s">
        <v>287</v>
      </c>
      <c r="G1267" t="s">
        <v>288</v>
      </c>
      <c r="H1267" t="s">
        <v>289</v>
      </c>
      <c r="I1267" s="6" t="s">
        <v>744</v>
      </c>
      <c r="J1267" s="61" t="s">
        <v>745</v>
      </c>
      <c r="L1267" s="5" t="str">
        <f t="shared" si="255"/>
        <v>01266</v>
      </c>
      <c r="M1267" s="47" t="str">
        <f t="shared" si="256"/>
        <v>12 de julio de 2018</v>
      </c>
      <c r="N1267" s="323">
        <f t="shared" si="230"/>
        <v>12</v>
      </c>
      <c r="O1267" s="25">
        <f t="shared" si="257"/>
        <v>43282</v>
      </c>
      <c r="P1267" s="5" t="str">
        <f t="shared" si="258"/>
        <v>12,20</v>
      </c>
      <c r="Q1267" s="4" t="e">
        <f t="shared" ca="1" si="260"/>
        <v>#NAME?</v>
      </c>
    </row>
    <row r="1268" spans="1:17">
      <c r="A1268" s="1">
        <f t="shared" si="242"/>
        <v>1267</v>
      </c>
      <c r="C1268" s="8" t="s">
        <v>17</v>
      </c>
      <c r="D1268" s="2">
        <v>43293</v>
      </c>
      <c r="E1268" s="3">
        <f>2000000/100000</f>
        <v>20</v>
      </c>
      <c r="F1268" t="s">
        <v>230</v>
      </c>
      <c r="G1268" t="s">
        <v>231</v>
      </c>
      <c r="H1268" t="s">
        <v>232</v>
      </c>
      <c r="I1268" s="6" t="s">
        <v>722</v>
      </c>
      <c r="J1268" s="61" t="s">
        <v>22</v>
      </c>
      <c r="L1268" s="5" t="str">
        <f t="shared" si="255"/>
        <v>01267</v>
      </c>
      <c r="M1268" s="47" t="str">
        <f t="shared" si="256"/>
        <v>12 de julio de 2018</v>
      </c>
      <c r="N1268" s="323">
        <f t="shared" si="230"/>
        <v>12</v>
      </c>
      <c r="O1268" s="25">
        <f t="shared" si="257"/>
        <v>43282</v>
      </c>
      <c r="P1268" s="5" t="str">
        <f t="shared" si="258"/>
        <v>20,00</v>
      </c>
      <c r="Q1268" s="4" t="e">
        <f t="shared" ca="1" si="260"/>
        <v>#NAME?</v>
      </c>
    </row>
    <row r="1269" spans="1:17">
      <c r="A1269" s="1">
        <f t="shared" si="242"/>
        <v>1268</v>
      </c>
      <c r="C1269" s="8" t="s">
        <v>17</v>
      </c>
      <c r="D1269" s="2">
        <v>43293</v>
      </c>
      <c r="E1269" s="3">
        <f>1500000/100000</f>
        <v>15</v>
      </c>
      <c r="F1269" t="s">
        <v>230</v>
      </c>
      <c r="G1269" t="s">
        <v>231</v>
      </c>
      <c r="H1269" t="s">
        <v>232</v>
      </c>
      <c r="I1269" s="6" t="s">
        <v>744</v>
      </c>
      <c r="J1269" s="61" t="s">
        <v>745</v>
      </c>
      <c r="L1269" s="5" t="str">
        <f t="shared" si="255"/>
        <v>01268</v>
      </c>
      <c r="M1269" s="47" t="str">
        <f t="shared" si="256"/>
        <v>12 de julio de 2018</v>
      </c>
      <c r="N1269" s="323">
        <f t="shared" si="230"/>
        <v>12</v>
      </c>
      <c r="O1269" s="25">
        <f t="shared" si="257"/>
        <v>43282</v>
      </c>
      <c r="P1269" s="5" t="str">
        <f t="shared" si="258"/>
        <v>15,00</v>
      </c>
      <c r="Q1269" s="4" t="e">
        <f t="shared" ca="1" si="260"/>
        <v>#NAME?</v>
      </c>
    </row>
    <row r="1270" spans="1:17">
      <c r="A1270" s="1">
        <f t="shared" si="242"/>
        <v>1269</v>
      </c>
      <c r="C1270" s="8" t="s">
        <v>17</v>
      </c>
      <c r="D1270" s="2">
        <v>43293</v>
      </c>
      <c r="E1270" s="3">
        <f>1300000/100000</f>
        <v>13</v>
      </c>
      <c r="F1270" t="s">
        <v>80</v>
      </c>
      <c r="G1270" t="s">
        <v>81</v>
      </c>
      <c r="H1270" t="s">
        <v>82</v>
      </c>
      <c r="I1270" s="6" t="s">
        <v>744</v>
      </c>
      <c r="J1270" s="61" t="s">
        <v>745</v>
      </c>
      <c r="L1270" s="5" t="str">
        <f t="shared" si="255"/>
        <v>01269</v>
      </c>
      <c r="M1270" s="47" t="str">
        <f t="shared" si="256"/>
        <v>12 de julio de 2018</v>
      </c>
      <c r="N1270" s="323">
        <f t="shared" si="230"/>
        <v>12</v>
      </c>
      <c r="O1270" s="25">
        <f t="shared" si="257"/>
        <v>43282</v>
      </c>
      <c r="P1270" s="5" t="str">
        <f t="shared" si="258"/>
        <v>13,00</v>
      </c>
      <c r="Q1270" s="4" t="e">
        <f t="shared" ca="1" si="260"/>
        <v>#NAME?</v>
      </c>
    </row>
    <row r="1271" spans="1:17">
      <c r="A1271" s="1">
        <f t="shared" si="242"/>
        <v>1270</v>
      </c>
      <c r="C1271" s="8" t="s">
        <v>17</v>
      </c>
      <c r="D1271" s="2">
        <v>43293</v>
      </c>
      <c r="E1271" s="3">
        <f>1220000/100000</f>
        <v>12.2</v>
      </c>
      <c r="F1271" t="s">
        <v>407</v>
      </c>
      <c r="G1271" t="s">
        <v>408</v>
      </c>
      <c r="H1271" t="s">
        <v>409</v>
      </c>
      <c r="I1271" s="6" t="s">
        <v>744</v>
      </c>
      <c r="J1271" s="61" t="s">
        <v>745</v>
      </c>
      <c r="L1271" s="5" t="str">
        <f t="shared" ref="L1271:L1276" si="261">IF(ISBLANK(A1271),"",TEXT(A1271,"00000"))</f>
        <v>01270</v>
      </c>
      <c r="M1271" s="47" t="str">
        <f t="shared" ref="M1271:M1276" si="262">IF(ISBLANK(D1271),"",TEXT(D1271,"dd")&amp;" de "&amp;TEXT(D1271,"mmmm")&amp;" de "&amp;TEXT(YEAR(D1271),"0"))</f>
        <v>12 de julio de 2018</v>
      </c>
      <c r="N1271" s="323">
        <f t="shared" si="230"/>
        <v>12</v>
      </c>
      <c r="O1271" s="25">
        <f t="shared" ref="O1271:O1276" si="263">DATE(YEAR(D1271),MONTH(D1271),1)</f>
        <v>43282</v>
      </c>
      <c r="P1271" s="5" t="str">
        <f t="shared" ref="P1271:P1276" si="264">TEXT(E1271,"#.##0,00")</f>
        <v>12,20</v>
      </c>
      <c r="Q1271" s="4" t="e">
        <f ca="1">CONVERTIRNUM(E1271)</f>
        <v>#NAME?</v>
      </c>
    </row>
    <row r="1272" spans="1:17">
      <c r="A1272" s="1">
        <f t="shared" si="242"/>
        <v>1271</v>
      </c>
      <c r="C1272" s="8" t="s">
        <v>17</v>
      </c>
      <c r="D1272" s="2">
        <v>43293</v>
      </c>
      <c r="E1272" s="3">
        <f>1220000/100000</f>
        <v>12.2</v>
      </c>
      <c r="F1272" t="s">
        <v>594</v>
      </c>
      <c r="G1272" t="s">
        <v>595</v>
      </c>
      <c r="H1272" t="s">
        <v>596</v>
      </c>
      <c r="I1272" s="6" t="s">
        <v>744</v>
      </c>
      <c r="J1272" s="61" t="s">
        <v>745</v>
      </c>
      <c r="L1272" s="5" t="str">
        <f t="shared" si="261"/>
        <v>01271</v>
      </c>
      <c r="M1272" s="47" t="str">
        <f t="shared" si="262"/>
        <v>12 de julio de 2018</v>
      </c>
      <c r="N1272" s="323">
        <f t="shared" si="230"/>
        <v>12</v>
      </c>
      <c r="O1272" s="25">
        <f t="shared" si="263"/>
        <v>43282</v>
      </c>
      <c r="P1272" s="5" t="str">
        <f t="shared" si="264"/>
        <v>12,20</v>
      </c>
      <c r="Q1272" s="4" t="e">
        <f t="shared" ref="Q1272:Q1276" ca="1" si="265">CONVERTIRNUM(E1272)</f>
        <v>#NAME?</v>
      </c>
    </row>
    <row r="1273" spans="1:17">
      <c r="A1273" s="1">
        <f t="shared" si="242"/>
        <v>1272</v>
      </c>
      <c r="C1273" s="8" t="s">
        <v>17</v>
      </c>
      <c r="D1273" s="2">
        <v>43293</v>
      </c>
      <c r="E1273" s="3">
        <f>1220000/100000</f>
        <v>12.2</v>
      </c>
      <c r="F1273" t="s">
        <v>612</v>
      </c>
      <c r="G1273" t="s">
        <v>613</v>
      </c>
      <c r="H1273" t="s">
        <v>614</v>
      </c>
      <c r="I1273" s="6" t="s">
        <v>775</v>
      </c>
      <c r="J1273" s="61" t="s">
        <v>745</v>
      </c>
      <c r="L1273" s="5" t="str">
        <f t="shared" si="261"/>
        <v>01272</v>
      </c>
      <c r="M1273" s="47" t="str">
        <f t="shared" si="262"/>
        <v>12 de julio de 2018</v>
      </c>
      <c r="N1273" s="323">
        <f t="shared" si="230"/>
        <v>12</v>
      </c>
      <c r="O1273" s="25">
        <f t="shared" si="263"/>
        <v>43282</v>
      </c>
      <c r="P1273" s="5" t="str">
        <f t="shared" si="264"/>
        <v>12,20</v>
      </c>
      <c r="Q1273" s="4" t="e">
        <f t="shared" ca="1" si="265"/>
        <v>#NAME?</v>
      </c>
    </row>
    <row r="1274" spans="1:17">
      <c r="A1274" s="1">
        <f t="shared" si="242"/>
        <v>1273</v>
      </c>
      <c r="C1274" s="8" t="s">
        <v>17</v>
      </c>
      <c r="D1274" s="2">
        <v>43263</v>
      </c>
      <c r="E1274" s="3">
        <f>1225000/100000</f>
        <v>12.25</v>
      </c>
      <c r="F1274" t="s">
        <v>144</v>
      </c>
      <c r="G1274" t="s">
        <v>661</v>
      </c>
      <c r="H1274" t="s">
        <v>146</v>
      </c>
      <c r="I1274" s="6" t="s">
        <v>736</v>
      </c>
      <c r="J1274" s="61" t="s">
        <v>22</v>
      </c>
      <c r="L1274" s="5" t="str">
        <f t="shared" si="261"/>
        <v>01273</v>
      </c>
      <c r="M1274" s="47" t="str">
        <f t="shared" si="262"/>
        <v>12 de junio de 2018</v>
      </c>
      <c r="N1274" s="323">
        <f t="shared" si="230"/>
        <v>12</v>
      </c>
      <c r="O1274" s="25">
        <f t="shared" si="263"/>
        <v>43252</v>
      </c>
      <c r="P1274" s="5" t="str">
        <f t="shared" si="264"/>
        <v>12,25</v>
      </c>
      <c r="Q1274" s="4" t="e">
        <f t="shared" ca="1" si="265"/>
        <v>#NAME?</v>
      </c>
    </row>
    <row r="1275" spans="1:17">
      <c r="A1275" s="1">
        <f t="shared" si="242"/>
        <v>1274</v>
      </c>
      <c r="C1275" s="8" t="s">
        <v>17</v>
      </c>
      <c r="D1275" s="2">
        <v>43294</v>
      </c>
      <c r="E1275" s="3">
        <f>1000000/100000</f>
        <v>10</v>
      </c>
      <c r="F1275" t="s">
        <v>181</v>
      </c>
      <c r="G1275" t="s">
        <v>182</v>
      </c>
      <c r="H1275" t="s">
        <v>183</v>
      </c>
      <c r="I1275" s="6" t="s">
        <v>750</v>
      </c>
      <c r="J1275" s="61" t="s">
        <v>22</v>
      </c>
      <c r="L1275" s="5" t="str">
        <f t="shared" si="261"/>
        <v>01274</v>
      </c>
      <c r="M1275" s="47" t="str">
        <f t="shared" si="262"/>
        <v>13 de julio de 2018</v>
      </c>
      <c r="N1275" s="323">
        <f t="shared" si="230"/>
        <v>13</v>
      </c>
      <c r="O1275" s="25">
        <f t="shared" si="263"/>
        <v>43282</v>
      </c>
      <c r="P1275" s="5" t="str">
        <f t="shared" si="264"/>
        <v>10,00</v>
      </c>
      <c r="Q1275" s="4" t="e">
        <f t="shared" ca="1" si="265"/>
        <v>#NAME?</v>
      </c>
    </row>
    <row r="1276" spans="1:17">
      <c r="A1276" s="1">
        <f t="shared" si="242"/>
        <v>1275</v>
      </c>
      <c r="C1276" s="8" t="s">
        <v>17</v>
      </c>
      <c r="D1276" s="2">
        <v>43294</v>
      </c>
      <c r="E1276" s="3">
        <f>1220000/100000</f>
        <v>12.2</v>
      </c>
      <c r="F1276" t="s">
        <v>181</v>
      </c>
      <c r="G1276" t="s">
        <v>182</v>
      </c>
      <c r="H1276" t="s">
        <v>183</v>
      </c>
      <c r="I1276" s="6" t="s">
        <v>744</v>
      </c>
      <c r="J1276" s="61" t="s">
        <v>745</v>
      </c>
      <c r="L1276" s="5" t="str">
        <f t="shared" si="261"/>
        <v>01275</v>
      </c>
      <c r="M1276" s="47" t="str">
        <f t="shared" si="262"/>
        <v>13 de julio de 2018</v>
      </c>
      <c r="N1276" s="323">
        <f t="shared" si="230"/>
        <v>13</v>
      </c>
      <c r="O1276" s="25">
        <f t="shared" si="263"/>
        <v>43282</v>
      </c>
      <c r="P1276" s="5" t="str">
        <f t="shared" si="264"/>
        <v>12,20</v>
      </c>
      <c r="Q1276" s="4" t="e">
        <f t="shared" ca="1" si="265"/>
        <v>#NAME?</v>
      </c>
    </row>
    <row r="1277" spans="1:17">
      <c r="A1277" s="1">
        <f t="shared" si="242"/>
        <v>1276</v>
      </c>
      <c r="C1277" s="8" t="s">
        <v>17</v>
      </c>
      <c r="D1277" s="2">
        <v>43295</v>
      </c>
      <c r="E1277" s="3">
        <f>1000000/100000</f>
        <v>10</v>
      </c>
      <c r="F1277" t="s">
        <v>407</v>
      </c>
      <c r="G1277" t="s">
        <v>408</v>
      </c>
      <c r="H1277" t="s">
        <v>409</v>
      </c>
      <c r="I1277" s="6" t="s">
        <v>750</v>
      </c>
      <c r="J1277" s="61" t="s">
        <v>22</v>
      </c>
      <c r="L1277" s="5" t="str">
        <f t="shared" ref="L1277:L1279" si="266">IF(ISBLANK(A1277),"",TEXT(A1277,"00000"))</f>
        <v>01276</v>
      </c>
      <c r="M1277" s="47" t="str">
        <f t="shared" ref="M1277:M1279" si="267">IF(ISBLANK(D1277),"",TEXT(D1277,"dd")&amp;" de "&amp;TEXT(D1277,"mmmm")&amp;" de "&amp;TEXT(YEAR(D1277),"0"))</f>
        <v>14 de julio de 2018</v>
      </c>
      <c r="N1277" s="323">
        <f t="shared" si="230"/>
        <v>14</v>
      </c>
      <c r="O1277" s="25">
        <f t="shared" ref="O1277:O1279" si="268">DATE(YEAR(D1277),MONTH(D1277),1)</f>
        <v>43282</v>
      </c>
      <c r="P1277" s="5" t="str">
        <f t="shared" ref="P1277:P1286" si="269">TEXT(E1277,"#.##0,00")</f>
        <v>10,00</v>
      </c>
      <c r="Q1277" s="4" t="e">
        <f ca="1">CONVERTIRNUM(E1277)</f>
        <v>#NAME?</v>
      </c>
    </row>
    <row r="1278" spans="1:17">
      <c r="A1278" s="1">
        <f t="shared" si="242"/>
        <v>1277</v>
      </c>
      <c r="C1278" s="8" t="s">
        <v>17</v>
      </c>
      <c r="D1278" s="2">
        <v>43295</v>
      </c>
      <c r="E1278" s="3">
        <f>150000/100000</f>
        <v>1.5</v>
      </c>
      <c r="F1278" t="s">
        <v>324</v>
      </c>
      <c r="G1278" t="s">
        <v>325</v>
      </c>
      <c r="H1278" t="s">
        <v>326</v>
      </c>
      <c r="I1278" s="6" t="s">
        <v>746</v>
      </c>
      <c r="J1278" s="61" t="s">
        <v>22</v>
      </c>
      <c r="L1278" s="5" t="str">
        <f t="shared" si="266"/>
        <v>01277</v>
      </c>
      <c r="M1278" s="47" t="str">
        <f t="shared" si="267"/>
        <v>14 de julio de 2018</v>
      </c>
      <c r="N1278" s="323">
        <f t="shared" si="230"/>
        <v>14</v>
      </c>
      <c r="O1278" s="25">
        <f t="shared" si="268"/>
        <v>43282</v>
      </c>
      <c r="P1278" s="5" t="str">
        <f t="shared" si="269"/>
        <v>1,50</v>
      </c>
      <c r="Q1278" s="4" t="e">
        <f t="shared" ref="Q1278:Q1286" ca="1" si="270">CONVERTIRNUM(E1278)</f>
        <v>#NAME?</v>
      </c>
    </row>
    <row r="1279" spans="1:17">
      <c r="A1279" s="1">
        <f t="shared" si="242"/>
        <v>1278</v>
      </c>
      <c r="C1279" s="8" t="s">
        <v>17</v>
      </c>
      <c r="D1279" s="2">
        <v>43295</v>
      </c>
      <c r="E1279" s="3">
        <f>1000000/100000-150000/100000</f>
        <v>8.5</v>
      </c>
      <c r="F1279" t="s">
        <v>324</v>
      </c>
      <c r="G1279" t="s">
        <v>325</v>
      </c>
      <c r="H1279" t="s">
        <v>326</v>
      </c>
      <c r="I1279" s="6" t="s">
        <v>744</v>
      </c>
      <c r="J1279" s="61" t="s">
        <v>745</v>
      </c>
      <c r="L1279" s="5" t="str">
        <f t="shared" si="266"/>
        <v>01278</v>
      </c>
      <c r="M1279" s="47" t="str">
        <f t="shared" si="267"/>
        <v>14 de julio de 2018</v>
      </c>
      <c r="N1279" s="323">
        <f t="shared" si="230"/>
        <v>14</v>
      </c>
      <c r="O1279" s="25">
        <f t="shared" si="268"/>
        <v>43282</v>
      </c>
      <c r="P1279" s="5" t="str">
        <f t="shared" si="269"/>
        <v>8,50</v>
      </c>
      <c r="Q1279" s="4" t="e">
        <f t="shared" ca="1" si="270"/>
        <v>#NAME?</v>
      </c>
    </row>
    <row r="1280" spans="1:17">
      <c r="A1280" s="1">
        <f t="shared" si="242"/>
        <v>1279</v>
      </c>
      <c r="C1280" s="8" t="s">
        <v>17</v>
      </c>
      <c r="D1280" s="2">
        <v>43295</v>
      </c>
      <c r="E1280" s="3">
        <f>1220000/100000</f>
        <v>12.2</v>
      </c>
      <c r="F1280" t="s">
        <v>454</v>
      </c>
      <c r="G1280" t="s">
        <v>761</v>
      </c>
      <c r="H1280" t="s">
        <v>455</v>
      </c>
      <c r="I1280" s="6" t="s">
        <v>744</v>
      </c>
      <c r="J1280" s="61" t="s">
        <v>745</v>
      </c>
      <c r="L1280" s="5" t="str">
        <f>IF(ISBLANK(A1280),"",TEXT(A1280,"00000"))</f>
        <v>01279</v>
      </c>
      <c r="M1280" s="47" t="str">
        <f>IF(ISBLANK(D1280),"",TEXT(D1280,"dd")&amp;" de "&amp;TEXT(D1280,"mmmm")&amp;" de "&amp;TEXT(YEAR(D1280),"0"))</f>
        <v>14 de julio de 2018</v>
      </c>
      <c r="N1280" s="323">
        <f t="shared" si="230"/>
        <v>14</v>
      </c>
      <c r="O1280" s="25">
        <f>DATE(YEAR(D1280),MONTH(D1280),1)</f>
        <v>43282</v>
      </c>
      <c r="P1280" s="5" t="str">
        <f t="shared" si="269"/>
        <v>12,20</v>
      </c>
      <c r="Q1280" s="4" t="e">
        <f t="shared" ca="1" si="270"/>
        <v>#NAME?</v>
      </c>
    </row>
    <row r="1281" spans="1:17">
      <c r="A1281" s="1">
        <f t="shared" si="242"/>
        <v>1280</v>
      </c>
      <c r="C1281" s="8" t="s">
        <v>17</v>
      </c>
      <c r="D1281" s="2">
        <v>43297</v>
      </c>
      <c r="E1281" s="3">
        <f>225000/100000+600000/100000</f>
        <v>8.25</v>
      </c>
      <c r="F1281" t="s">
        <v>342</v>
      </c>
      <c r="G1281" t="s">
        <v>343</v>
      </c>
      <c r="H1281" t="s">
        <v>344</v>
      </c>
      <c r="I1281" s="6" t="s">
        <v>776</v>
      </c>
      <c r="J1281" s="61" t="s">
        <v>22</v>
      </c>
      <c r="L1281" s="5" t="str">
        <f t="shared" ref="L1281:L1286" si="271">IF(ISBLANK(A1281),"",TEXT(A1281,"00000"))</f>
        <v>01280</v>
      </c>
      <c r="M1281" s="47" t="str">
        <f t="shared" ref="M1281:M1286" si="272">IF(ISBLANK(D1281),"",TEXT(D1281,"dd")&amp;" de "&amp;TEXT(D1281,"mmmm")&amp;" de "&amp;TEXT(YEAR(D1281),"0"))</f>
        <v>16 de julio de 2018</v>
      </c>
      <c r="N1281" s="323">
        <f t="shared" si="230"/>
        <v>16</v>
      </c>
      <c r="O1281" s="25">
        <f t="shared" ref="O1281:O1286" si="273">DATE(YEAR(D1281),MONTH(D1281),1)</f>
        <v>43282</v>
      </c>
      <c r="P1281" s="5" t="str">
        <f t="shared" si="269"/>
        <v>8,25</v>
      </c>
      <c r="Q1281" s="4" t="e">
        <f t="shared" ca="1" si="270"/>
        <v>#NAME?</v>
      </c>
    </row>
    <row r="1282" spans="1:17" ht="15.75" thickBot="1">
      <c r="A1282" s="1">
        <f t="shared" si="242"/>
        <v>1281</v>
      </c>
      <c r="C1282" s="8" t="s">
        <v>17</v>
      </c>
      <c r="D1282" s="2">
        <v>43297</v>
      </c>
      <c r="E1282" s="3">
        <f>1220000/100000</f>
        <v>12.2</v>
      </c>
      <c r="F1282" t="s">
        <v>342</v>
      </c>
      <c r="G1282" t="s">
        <v>343</v>
      </c>
      <c r="H1282" t="s">
        <v>344</v>
      </c>
      <c r="I1282" s="6" t="s">
        <v>744</v>
      </c>
      <c r="J1282" s="61" t="s">
        <v>745</v>
      </c>
      <c r="L1282" s="5" t="str">
        <f t="shared" si="271"/>
        <v>01281</v>
      </c>
      <c r="M1282" s="47" t="str">
        <f t="shared" si="272"/>
        <v>16 de julio de 2018</v>
      </c>
      <c r="N1282" s="323">
        <f t="shared" si="230"/>
        <v>16</v>
      </c>
      <c r="O1282" s="25">
        <f t="shared" si="273"/>
        <v>43282</v>
      </c>
      <c r="P1282" s="5" t="str">
        <f t="shared" si="269"/>
        <v>12,20</v>
      </c>
      <c r="Q1282" s="4" t="e">
        <f t="shared" ca="1" si="270"/>
        <v>#NAME?</v>
      </c>
    </row>
    <row r="1283" spans="1:17" ht="15.75" thickBot="1">
      <c r="A1283" s="1">
        <f t="shared" si="242"/>
        <v>1282</v>
      </c>
      <c r="C1283" s="85" t="s">
        <v>17</v>
      </c>
      <c r="D1283" s="2">
        <v>43297</v>
      </c>
      <c r="E1283" s="3">
        <f>2225000/100000</f>
        <v>22.25</v>
      </c>
      <c r="F1283" t="s">
        <v>177</v>
      </c>
      <c r="G1283" s="18" t="s">
        <v>58</v>
      </c>
      <c r="H1283" t="s">
        <v>179</v>
      </c>
      <c r="I1283" s="6" t="s">
        <v>777</v>
      </c>
      <c r="J1283" s="61" t="s">
        <v>22</v>
      </c>
      <c r="L1283" s="5" t="str">
        <f t="shared" si="271"/>
        <v>01282</v>
      </c>
      <c r="M1283" s="47" t="str">
        <f t="shared" si="272"/>
        <v>16 de julio de 2018</v>
      </c>
      <c r="N1283" s="323">
        <f t="shared" ref="N1283:N1346" si="274">DAY(D1283)</f>
        <v>16</v>
      </c>
      <c r="O1283" s="25">
        <f t="shared" si="273"/>
        <v>43282</v>
      </c>
      <c r="P1283" s="5" t="str">
        <f t="shared" si="269"/>
        <v>22,25</v>
      </c>
      <c r="Q1283" s="4" t="e">
        <f t="shared" ca="1" si="270"/>
        <v>#NAME?</v>
      </c>
    </row>
    <row r="1284" spans="1:17">
      <c r="A1284" s="1">
        <f t="shared" si="242"/>
        <v>1283</v>
      </c>
      <c r="C1284" s="8" t="s">
        <v>17</v>
      </c>
      <c r="D1284" s="2">
        <v>43298</v>
      </c>
      <c r="E1284" s="3">
        <f>800000/100000</f>
        <v>8</v>
      </c>
      <c r="F1284" t="s">
        <v>537</v>
      </c>
      <c r="G1284" t="s">
        <v>538</v>
      </c>
      <c r="H1284" t="s">
        <v>539</v>
      </c>
      <c r="I1284" s="6" t="s">
        <v>759</v>
      </c>
      <c r="J1284" s="61" t="s">
        <v>22</v>
      </c>
      <c r="L1284" s="5" t="str">
        <f t="shared" si="271"/>
        <v>01283</v>
      </c>
      <c r="M1284" s="47" t="str">
        <f t="shared" si="272"/>
        <v>17 de julio de 2018</v>
      </c>
      <c r="N1284" s="323">
        <f t="shared" si="274"/>
        <v>17</v>
      </c>
      <c r="O1284" s="25">
        <f t="shared" si="273"/>
        <v>43282</v>
      </c>
      <c r="P1284" s="5" t="str">
        <f t="shared" si="269"/>
        <v>8,00</v>
      </c>
      <c r="Q1284" s="4" t="e">
        <f t="shared" ca="1" si="270"/>
        <v>#NAME?</v>
      </c>
    </row>
    <row r="1285" spans="1:17">
      <c r="A1285" s="1">
        <f t="shared" si="242"/>
        <v>1284</v>
      </c>
      <c r="C1285" s="8" t="s">
        <v>17</v>
      </c>
      <c r="D1285" s="2">
        <v>43298</v>
      </c>
      <c r="E1285" s="3">
        <f>1000000/100000</f>
        <v>10</v>
      </c>
      <c r="F1285" t="s">
        <v>130</v>
      </c>
      <c r="G1285" t="s">
        <v>131</v>
      </c>
      <c r="H1285" t="s">
        <v>132</v>
      </c>
      <c r="I1285" s="6" t="s">
        <v>750</v>
      </c>
      <c r="J1285" s="61" t="s">
        <v>22</v>
      </c>
      <c r="L1285" s="5" t="str">
        <f t="shared" si="271"/>
        <v>01284</v>
      </c>
      <c r="M1285" s="47" t="str">
        <f t="shared" si="272"/>
        <v>17 de julio de 2018</v>
      </c>
      <c r="N1285" s="323">
        <f t="shared" si="274"/>
        <v>17</v>
      </c>
      <c r="O1285" s="25">
        <f t="shared" si="273"/>
        <v>43282</v>
      </c>
      <c r="P1285" s="5" t="str">
        <f t="shared" si="269"/>
        <v>10,00</v>
      </c>
      <c r="Q1285" s="4" t="e">
        <f t="shared" ca="1" si="270"/>
        <v>#NAME?</v>
      </c>
    </row>
    <row r="1286" spans="1:17">
      <c r="A1286" s="1">
        <f t="shared" si="242"/>
        <v>1285</v>
      </c>
      <c r="C1286" s="8" t="s">
        <v>17</v>
      </c>
      <c r="D1286" s="2">
        <v>43299</v>
      </c>
      <c r="E1286" s="3">
        <f>1000000/100000</f>
        <v>10</v>
      </c>
      <c r="F1286" t="s">
        <v>103</v>
      </c>
      <c r="G1286" t="s">
        <v>104</v>
      </c>
      <c r="H1286" t="s">
        <v>105</v>
      </c>
      <c r="I1286" s="6" t="s">
        <v>750</v>
      </c>
      <c r="J1286" s="61" t="s">
        <v>22</v>
      </c>
      <c r="L1286" s="5" t="str">
        <f t="shared" si="271"/>
        <v>01285</v>
      </c>
      <c r="M1286" s="47" t="str">
        <f t="shared" si="272"/>
        <v>18 de julio de 2018</v>
      </c>
      <c r="N1286" s="323">
        <f t="shared" si="274"/>
        <v>18</v>
      </c>
      <c r="O1286" s="25">
        <f t="shared" si="273"/>
        <v>43282</v>
      </c>
      <c r="P1286" s="5" t="str">
        <f t="shared" si="269"/>
        <v>10,00</v>
      </c>
      <c r="Q1286" s="4" t="e">
        <f t="shared" ca="1" si="270"/>
        <v>#NAME?</v>
      </c>
    </row>
    <row r="1287" spans="1:17">
      <c r="A1287" s="1">
        <f t="shared" si="242"/>
        <v>1286</v>
      </c>
      <c r="C1287" s="8" t="s">
        <v>17</v>
      </c>
      <c r="D1287" s="2">
        <v>43299</v>
      </c>
      <c r="E1287" s="3">
        <f>1220000/100000</f>
        <v>12.2</v>
      </c>
      <c r="F1287" t="s">
        <v>103</v>
      </c>
      <c r="G1287" t="s">
        <v>104</v>
      </c>
      <c r="H1287" t="s">
        <v>105</v>
      </c>
      <c r="I1287" s="6" t="s">
        <v>744</v>
      </c>
      <c r="J1287" s="61" t="s">
        <v>745</v>
      </c>
      <c r="L1287" s="5" t="str">
        <f t="shared" ref="L1287:L1295" si="275">IF(ISBLANK(A1287),"",TEXT(A1287,"00000"))</f>
        <v>01286</v>
      </c>
      <c r="M1287" s="47" t="str">
        <f t="shared" ref="M1287:M1295" si="276">IF(ISBLANK(D1287),"",TEXT(D1287,"dd")&amp;" de "&amp;TEXT(D1287,"mmmm")&amp;" de "&amp;TEXT(YEAR(D1287),"0"))</f>
        <v>18 de julio de 2018</v>
      </c>
      <c r="N1287" s="323">
        <f t="shared" si="274"/>
        <v>18</v>
      </c>
      <c r="O1287" s="25">
        <f t="shared" ref="O1287:O1295" si="277">DATE(YEAR(D1287),MONTH(D1287),1)</f>
        <v>43282</v>
      </c>
      <c r="P1287" s="5" t="str">
        <f t="shared" ref="P1287:P1298" si="278">TEXT(E1287,"#.##0,00")</f>
        <v>12,20</v>
      </c>
      <c r="Q1287" s="4" t="e">
        <f t="shared" ref="Q1287:Q1298" ca="1" si="279">CONVERTIRNUM(E1287)</f>
        <v>#NAME?</v>
      </c>
    </row>
    <row r="1288" spans="1:17">
      <c r="A1288" s="1">
        <f t="shared" si="242"/>
        <v>1287</v>
      </c>
      <c r="C1288" s="8" t="s">
        <v>17</v>
      </c>
      <c r="D1288" s="2">
        <v>43299</v>
      </c>
      <c r="E1288" s="3">
        <f>1200000/100000</f>
        <v>12</v>
      </c>
      <c r="F1288" t="s">
        <v>32</v>
      </c>
      <c r="G1288" t="s">
        <v>33</v>
      </c>
      <c r="H1288" t="s">
        <v>34</v>
      </c>
      <c r="I1288" s="161" t="s">
        <v>778</v>
      </c>
      <c r="J1288" s="61" t="s">
        <v>22</v>
      </c>
      <c r="L1288" s="5" t="str">
        <f t="shared" si="275"/>
        <v>01287</v>
      </c>
      <c r="M1288" s="47" t="str">
        <f t="shared" si="276"/>
        <v>18 de julio de 2018</v>
      </c>
      <c r="N1288" s="323">
        <f t="shared" si="274"/>
        <v>18</v>
      </c>
      <c r="O1288" s="25">
        <f t="shared" si="277"/>
        <v>43282</v>
      </c>
      <c r="P1288" s="5" t="str">
        <f t="shared" si="278"/>
        <v>12,00</v>
      </c>
      <c r="Q1288" s="4" t="e">
        <f t="shared" ca="1" si="279"/>
        <v>#NAME?</v>
      </c>
    </row>
    <row r="1289" spans="1:17">
      <c r="A1289" s="1">
        <f>A1288+1</f>
        <v>1288</v>
      </c>
      <c r="C1289" s="8" t="s">
        <v>17</v>
      </c>
      <c r="D1289" s="2">
        <v>43301</v>
      </c>
      <c r="E1289" s="3">
        <f>1220000/100000</f>
        <v>12.2</v>
      </c>
      <c r="F1289" t="s">
        <v>70</v>
      </c>
      <c r="G1289" t="s">
        <v>71</v>
      </c>
      <c r="H1289" t="s">
        <v>72</v>
      </c>
      <c r="I1289" s="6" t="s">
        <v>744</v>
      </c>
      <c r="J1289" s="61" t="s">
        <v>745</v>
      </c>
      <c r="L1289" s="5" t="str">
        <f t="shared" si="275"/>
        <v>01288</v>
      </c>
      <c r="M1289" s="47" t="str">
        <f t="shared" si="276"/>
        <v>20 de julio de 2018</v>
      </c>
      <c r="N1289" s="323">
        <f t="shared" si="274"/>
        <v>20</v>
      </c>
      <c r="O1289" s="25">
        <f t="shared" si="277"/>
        <v>43282</v>
      </c>
      <c r="P1289" s="5" t="str">
        <f t="shared" si="278"/>
        <v>12,20</v>
      </c>
      <c r="Q1289" s="4" t="e">
        <f t="shared" ca="1" si="279"/>
        <v>#NAME?</v>
      </c>
    </row>
    <row r="1290" spans="1:17" ht="15.75" thickBot="1">
      <c r="A1290" s="1">
        <f t="shared" si="242"/>
        <v>1289</v>
      </c>
      <c r="C1290" s="8" t="s">
        <v>17</v>
      </c>
      <c r="D1290" s="2">
        <v>43301</v>
      </c>
      <c r="E1290" s="3">
        <f>550000/100000</f>
        <v>5.5</v>
      </c>
      <c r="F1290" t="s">
        <v>211</v>
      </c>
      <c r="G1290" t="s">
        <v>212</v>
      </c>
      <c r="H1290" t="s">
        <v>213</v>
      </c>
      <c r="I1290" s="6" t="s">
        <v>746</v>
      </c>
      <c r="J1290" s="61" t="s">
        <v>22</v>
      </c>
      <c r="L1290" s="5" t="str">
        <f t="shared" si="275"/>
        <v>01289</v>
      </c>
      <c r="M1290" s="47" t="str">
        <f t="shared" si="276"/>
        <v>20 de julio de 2018</v>
      </c>
      <c r="N1290" s="323">
        <f t="shared" si="274"/>
        <v>20</v>
      </c>
      <c r="O1290" s="25">
        <f t="shared" si="277"/>
        <v>43282</v>
      </c>
      <c r="P1290" s="5" t="str">
        <f t="shared" si="278"/>
        <v>5,50</v>
      </c>
      <c r="Q1290" s="4" t="e">
        <f t="shared" ca="1" si="279"/>
        <v>#NAME?</v>
      </c>
    </row>
    <row r="1291" spans="1:17" ht="15.75" thickBot="1">
      <c r="A1291" s="1">
        <f t="shared" si="242"/>
        <v>1290</v>
      </c>
      <c r="C1291" s="85" t="s">
        <v>17</v>
      </c>
      <c r="D1291" s="2">
        <v>43302</v>
      </c>
      <c r="E1291" s="162">
        <f>100000/100000</f>
        <v>1</v>
      </c>
      <c r="F1291" t="s">
        <v>492</v>
      </c>
      <c r="G1291" s="18" t="s">
        <v>58</v>
      </c>
      <c r="H1291" t="s">
        <v>493</v>
      </c>
      <c r="I1291" s="6" t="s">
        <v>729</v>
      </c>
      <c r="J1291" s="61" t="s">
        <v>22</v>
      </c>
      <c r="L1291" s="5" t="str">
        <f t="shared" si="275"/>
        <v>01290</v>
      </c>
      <c r="M1291" s="47" t="str">
        <f t="shared" si="276"/>
        <v>21 de julio de 2018</v>
      </c>
      <c r="N1291" s="323">
        <f t="shared" si="274"/>
        <v>21</v>
      </c>
      <c r="O1291" s="25">
        <f t="shared" si="277"/>
        <v>43282</v>
      </c>
      <c r="P1291" s="5" t="str">
        <f t="shared" si="278"/>
        <v>1,00</v>
      </c>
      <c r="Q1291" s="4" t="e">
        <f t="shared" ca="1" si="279"/>
        <v>#NAME?</v>
      </c>
    </row>
    <row r="1292" spans="1:17">
      <c r="A1292" s="1">
        <f t="shared" si="242"/>
        <v>1291</v>
      </c>
      <c r="C1292" s="8" t="s">
        <v>17</v>
      </c>
      <c r="D1292" s="2">
        <v>43301</v>
      </c>
      <c r="E1292" s="3">
        <f>1000000/100000</f>
        <v>10</v>
      </c>
      <c r="F1292" t="s">
        <v>296</v>
      </c>
      <c r="G1292" t="s">
        <v>297</v>
      </c>
      <c r="H1292" t="s">
        <v>298</v>
      </c>
      <c r="I1292" s="6" t="s">
        <v>750</v>
      </c>
      <c r="J1292" s="61" t="s">
        <v>22</v>
      </c>
      <c r="L1292" s="5" t="str">
        <f t="shared" si="275"/>
        <v>01291</v>
      </c>
      <c r="M1292" s="47" t="str">
        <f t="shared" si="276"/>
        <v>20 de julio de 2018</v>
      </c>
      <c r="N1292" s="323">
        <f t="shared" si="274"/>
        <v>20</v>
      </c>
      <c r="O1292" s="25">
        <f t="shared" si="277"/>
        <v>43282</v>
      </c>
      <c r="P1292" s="5" t="str">
        <f t="shared" si="278"/>
        <v>10,00</v>
      </c>
      <c r="Q1292" s="4" t="e">
        <f t="shared" ca="1" si="279"/>
        <v>#NAME?</v>
      </c>
    </row>
    <row r="1293" spans="1:17">
      <c r="A1293" s="1">
        <f t="shared" si="242"/>
        <v>1292</v>
      </c>
      <c r="C1293" s="8" t="s">
        <v>17</v>
      </c>
      <c r="D1293" s="2">
        <v>43301</v>
      </c>
      <c r="E1293" s="3">
        <f>1300000/100000</f>
        <v>13</v>
      </c>
      <c r="F1293" t="s">
        <v>296</v>
      </c>
      <c r="G1293" t="s">
        <v>297</v>
      </c>
      <c r="H1293" t="s">
        <v>298</v>
      </c>
      <c r="I1293" s="6" t="s">
        <v>744</v>
      </c>
      <c r="J1293" s="61" t="s">
        <v>745</v>
      </c>
      <c r="L1293" s="5" t="str">
        <f t="shared" si="275"/>
        <v>01292</v>
      </c>
      <c r="M1293" s="47" t="str">
        <f t="shared" si="276"/>
        <v>20 de julio de 2018</v>
      </c>
      <c r="N1293" s="323">
        <f t="shared" si="274"/>
        <v>20</v>
      </c>
      <c r="O1293" s="25">
        <f t="shared" si="277"/>
        <v>43282</v>
      </c>
      <c r="P1293" s="5" t="str">
        <f t="shared" si="278"/>
        <v>13,00</v>
      </c>
      <c r="Q1293" s="4" t="e">
        <f t="shared" ca="1" si="279"/>
        <v>#NAME?</v>
      </c>
    </row>
    <row r="1294" spans="1:17">
      <c r="A1294" s="1">
        <f t="shared" si="242"/>
        <v>1293</v>
      </c>
      <c r="C1294" s="8" t="s">
        <v>17</v>
      </c>
      <c r="D1294" s="2">
        <v>43301</v>
      </c>
      <c r="E1294" s="3">
        <f>3000000/100000</f>
        <v>30</v>
      </c>
      <c r="F1294" t="s">
        <v>296</v>
      </c>
      <c r="G1294" t="s">
        <v>297</v>
      </c>
      <c r="H1294" t="s">
        <v>298</v>
      </c>
      <c r="I1294" s="6" t="s">
        <v>779</v>
      </c>
      <c r="J1294" s="61" t="s">
        <v>652</v>
      </c>
      <c r="L1294" s="5" t="str">
        <f t="shared" si="275"/>
        <v>01293</v>
      </c>
      <c r="M1294" s="47" t="str">
        <f t="shared" si="276"/>
        <v>20 de julio de 2018</v>
      </c>
      <c r="N1294" s="323">
        <f t="shared" si="274"/>
        <v>20</v>
      </c>
      <c r="O1294" s="25">
        <f t="shared" si="277"/>
        <v>43282</v>
      </c>
      <c r="P1294" s="5" t="str">
        <f t="shared" si="278"/>
        <v>30,00</v>
      </c>
      <c r="Q1294" s="4" t="e">
        <f t="shared" ca="1" si="279"/>
        <v>#NAME?</v>
      </c>
    </row>
    <row r="1295" spans="1:17">
      <c r="A1295" s="1">
        <f t="shared" si="242"/>
        <v>1294</v>
      </c>
      <c r="C1295" s="8" t="s">
        <v>17</v>
      </c>
      <c r="D1295" s="2">
        <v>43304</v>
      </c>
      <c r="E1295" s="3">
        <f>1220000/100000</f>
        <v>12.2</v>
      </c>
      <c r="F1295" t="s">
        <v>201</v>
      </c>
      <c r="G1295" t="s">
        <v>202</v>
      </c>
      <c r="H1295" t="s">
        <v>203</v>
      </c>
      <c r="I1295" s="6" t="s">
        <v>744</v>
      </c>
      <c r="J1295" s="61" t="s">
        <v>745</v>
      </c>
      <c r="L1295" s="5" t="str">
        <f t="shared" si="275"/>
        <v>01294</v>
      </c>
      <c r="M1295" s="47" t="str">
        <f t="shared" si="276"/>
        <v>23 de julio de 2018</v>
      </c>
      <c r="N1295" s="323">
        <f t="shared" si="274"/>
        <v>23</v>
      </c>
      <c r="O1295" s="25">
        <f t="shared" si="277"/>
        <v>43282</v>
      </c>
      <c r="P1295" s="5" t="str">
        <f t="shared" si="278"/>
        <v>12,20</v>
      </c>
      <c r="Q1295" s="4" t="e">
        <f t="shared" ca="1" si="279"/>
        <v>#NAME?</v>
      </c>
    </row>
    <row r="1296" spans="1:17">
      <c r="A1296" s="1">
        <f t="shared" si="242"/>
        <v>1295</v>
      </c>
      <c r="C1296" s="8" t="s">
        <v>17</v>
      </c>
      <c r="D1296" s="2">
        <v>43301</v>
      </c>
      <c r="E1296" s="3">
        <f>1220000/100000</f>
        <v>12.2</v>
      </c>
      <c r="F1296" t="s">
        <v>243</v>
      </c>
      <c r="G1296" t="s">
        <v>244</v>
      </c>
      <c r="H1296" t="s">
        <v>245</v>
      </c>
      <c r="I1296" s="6" t="s">
        <v>744</v>
      </c>
      <c r="J1296" s="61" t="s">
        <v>745</v>
      </c>
      <c r="L1296" s="5" t="str">
        <f>IF(ISBLANK(A1296),"",TEXT(A1296,"00000"))</f>
        <v>01295</v>
      </c>
      <c r="M1296" s="47" t="str">
        <f>IF(ISBLANK(D1296),"",TEXT(D1296,"dd")&amp;" de "&amp;TEXT(D1296,"mmmm")&amp;" de "&amp;TEXT(YEAR(D1296),"0"))</f>
        <v>20 de julio de 2018</v>
      </c>
      <c r="N1296" s="323">
        <f t="shared" si="274"/>
        <v>20</v>
      </c>
      <c r="O1296" s="25">
        <f>DATE(YEAR(D1296),MONTH(D1296),1)</f>
        <v>43282</v>
      </c>
      <c r="P1296" s="5" t="str">
        <f t="shared" si="278"/>
        <v>12,20</v>
      </c>
      <c r="Q1296" s="4" t="e">
        <f t="shared" ca="1" si="279"/>
        <v>#NAME?</v>
      </c>
    </row>
    <row r="1297" spans="1:17">
      <c r="A1297" s="1">
        <f t="shared" si="242"/>
        <v>1296</v>
      </c>
      <c r="C1297" s="8" t="s">
        <v>17</v>
      </c>
      <c r="D1297" s="2">
        <v>43304</v>
      </c>
      <c r="E1297" s="3">
        <f>1000000/100000</f>
        <v>10</v>
      </c>
      <c r="F1297" t="s">
        <v>126</v>
      </c>
      <c r="G1297" t="s">
        <v>127</v>
      </c>
      <c r="H1297" t="s">
        <v>128</v>
      </c>
      <c r="I1297" s="6" t="s">
        <v>749</v>
      </c>
      <c r="J1297" s="61" t="s">
        <v>22</v>
      </c>
      <c r="L1297" s="5" t="str">
        <f t="shared" ref="L1297:L1301" si="280">IF(ISBLANK(A1297),"",TEXT(A1297,"00000"))</f>
        <v>01296</v>
      </c>
      <c r="M1297" s="47" t="str">
        <f t="shared" ref="M1297:M1301" si="281">IF(ISBLANK(D1297),"",TEXT(D1297,"dd")&amp;" de "&amp;TEXT(D1297,"mmmm")&amp;" de "&amp;TEXT(YEAR(D1297),"0"))</f>
        <v>23 de julio de 2018</v>
      </c>
      <c r="N1297" s="323">
        <f t="shared" si="274"/>
        <v>23</v>
      </c>
      <c r="O1297" s="25">
        <f t="shared" ref="O1297:O1301" si="282">DATE(YEAR(D1297),MONTH(D1297),1)</f>
        <v>43282</v>
      </c>
      <c r="P1297" s="5" t="str">
        <f t="shared" si="278"/>
        <v>10,00</v>
      </c>
      <c r="Q1297" s="4" t="e">
        <f t="shared" ca="1" si="279"/>
        <v>#NAME?</v>
      </c>
    </row>
    <row r="1298" spans="1:17">
      <c r="A1298" s="1">
        <f t="shared" si="242"/>
        <v>1297</v>
      </c>
      <c r="C1298" s="8" t="s">
        <v>17</v>
      </c>
      <c r="D1298" s="2">
        <v>43304</v>
      </c>
      <c r="E1298" s="3">
        <f>1200000/100000</f>
        <v>12</v>
      </c>
      <c r="F1298" t="s">
        <v>126</v>
      </c>
      <c r="G1298" t="s">
        <v>127</v>
      </c>
      <c r="H1298" t="s">
        <v>128</v>
      </c>
      <c r="I1298" s="6" t="s">
        <v>744</v>
      </c>
      <c r="J1298" s="61" t="s">
        <v>745</v>
      </c>
      <c r="L1298" s="5" t="str">
        <f t="shared" si="280"/>
        <v>01297</v>
      </c>
      <c r="M1298" s="47" t="str">
        <f t="shared" si="281"/>
        <v>23 de julio de 2018</v>
      </c>
      <c r="N1298" s="323">
        <f t="shared" si="274"/>
        <v>23</v>
      </c>
      <c r="O1298" s="25">
        <f t="shared" si="282"/>
        <v>43282</v>
      </c>
      <c r="P1298" s="5" t="str">
        <f t="shared" si="278"/>
        <v>12,00</v>
      </c>
      <c r="Q1298" s="4" t="e">
        <f t="shared" ca="1" si="279"/>
        <v>#NAME?</v>
      </c>
    </row>
    <row r="1299" spans="1:17">
      <c r="A1299" s="1">
        <f t="shared" si="242"/>
        <v>1298</v>
      </c>
      <c r="C1299" s="8" t="s">
        <v>17</v>
      </c>
      <c r="D1299" s="2">
        <v>43304</v>
      </c>
      <c r="E1299" s="3">
        <f>150000/100000</f>
        <v>1.5</v>
      </c>
      <c r="F1299" t="s">
        <v>100</v>
      </c>
      <c r="G1299" t="s">
        <v>95</v>
      </c>
      <c r="H1299" t="s">
        <v>101</v>
      </c>
      <c r="I1299" s="6" t="s">
        <v>754</v>
      </c>
      <c r="J1299" s="61" t="s">
        <v>22</v>
      </c>
      <c r="L1299" s="5" t="str">
        <f t="shared" si="280"/>
        <v>01298</v>
      </c>
      <c r="M1299" s="47" t="str">
        <f t="shared" si="281"/>
        <v>23 de julio de 2018</v>
      </c>
      <c r="N1299" s="323">
        <f t="shared" si="274"/>
        <v>23</v>
      </c>
      <c r="O1299" s="25">
        <f t="shared" si="282"/>
        <v>43282</v>
      </c>
      <c r="P1299" s="5" t="str">
        <f>TEXT(E1299,"#.##0,00")</f>
        <v>1,50</v>
      </c>
      <c r="Q1299" s="4" t="e">
        <f ca="1">CONVERTIRNUM(E1299)</f>
        <v>#NAME?</v>
      </c>
    </row>
    <row r="1300" spans="1:17">
      <c r="A1300" s="1">
        <f t="shared" ref="A1300:A1362" si="283">A1299+1</f>
        <v>1299</v>
      </c>
      <c r="C1300" s="8" t="s">
        <v>17</v>
      </c>
      <c r="D1300" s="2">
        <v>43304</v>
      </c>
      <c r="E1300" s="3">
        <f>295000/100000</f>
        <v>2.95</v>
      </c>
      <c r="F1300" t="s">
        <v>100</v>
      </c>
      <c r="G1300" t="s">
        <v>95</v>
      </c>
      <c r="H1300" t="s">
        <v>101</v>
      </c>
      <c r="I1300" s="6" t="s">
        <v>744</v>
      </c>
      <c r="J1300" s="61" t="s">
        <v>745</v>
      </c>
      <c r="L1300" s="5" t="str">
        <f t="shared" si="280"/>
        <v>01299</v>
      </c>
      <c r="M1300" s="47" t="str">
        <f t="shared" si="281"/>
        <v>23 de julio de 2018</v>
      </c>
      <c r="N1300" s="323">
        <f t="shared" si="274"/>
        <v>23</v>
      </c>
      <c r="O1300" s="25">
        <f t="shared" si="282"/>
        <v>43282</v>
      </c>
      <c r="P1300" s="5" t="str">
        <f t="shared" ref="P1300:P1301" si="284">TEXT(E1300,"#.##0,00")</f>
        <v>2,95</v>
      </c>
      <c r="Q1300" s="4" t="e">
        <f t="shared" ref="Q1300:Q1301" ca="1" si="285">CONVERTIRNUM(E1300)</f>
        <v>#NAME?</v>
      </c>
    </row>
    <row r="1301" spans="1:17">
      <c r="A1301" s="1">
        <f t="shared" si="283"/>
        <v>1300</v>
      </c>
      <c r="C1301" s="8" t="s">
        <v>17</v>
      </c>
      <c r="D1301" s="2">
        <v>43304</v>
      </c>
      <c r="E1301" s="3">
        <f>225000/100000</f>
        <v>2.25</v>
      </c>
      <c r="F1301" t="s">
        <v>252</v>
      </c>
      <c r="G1301" t="s">
        <v>253</v>
      </c>
      <c r="H1301" t="s">
        <v>254</v>
      </c>
      <c r="I1301" t="s">
        <v>780</v>
      </c>
      <c r="J1301" s="61" t="s">
        <v>22</v>
      </c>
      <c r="L1301" s="5" t="str">
        <f t="shared" si="280"/>
        <v>01300</v>
      </c>
      <c r="M1301" s="47" t="str">
        <f t="shared" si="281"/>
        <v>23 de julio de 2018</v>
      </c>
      <c r="N1301" s="323">
        <f t="shared" si="274"/>
        <v>23</v>
      </c>
      <c r="O1301" s="25">
        <f t="shared" si="282"/>
        <v>43282</v>
      </c>
      <c r="P1301" s="5" t="str">
        <f t="shared" si="284"/>
        <v>2,25</v>
      </c>
      <c r="Q1301" s="4" t="e">
        <f t="shared" ca="1" si="285"/>
        <v>#NAME?</v>
      </c>
    </row>
    <row r="1302" spans="1:17">
      <c r="A1302" s="1">
        <f t="shared" si="283"/>
        <v>1301</v>
      </c>
      <c r="C1302" s="8" t="s">
        <v>17</v>
      </c>
      <c r="D1302" s="2">
        <v>43304</v>
      </c>
      <c r="E1302" s="3">
        <f>600000/100000</f>
        <v>6</v>
      </c>
      <c r="F1302" t="s">
        <v>252</v>
      </c>
      <c r="G1302" t="s">
        <v>253</v>
      </c>
      <c r="H1302" t="s">
        <v>254</v>
      </c>
      <c r="I1302" t="s">
        <v>781</v>
      </c>
      <c r="J1302" s="61" t="s">
        <v>22</v>
      </c>
      <c r="L1302" s="5" t="str">
        <f t="shared" ref="L1302:L1322" si="286">IF(ISBLANK(A1302),"",TEXT(A1302,"00000"))</f>
        <v>01301</v>
      </c>
      <c r="M1302" s="47" t="str">
        <f t="shared" ref="M1302:M1322" si="287">IF(ISBLANK(D1302),"",TEXT(D1302,"dd")&amp;" de "&amp;TEXT(D1302,"mmmm")&amp;" de "&amp;TEXT(YEAR(D1302),"0"))</f>
        <v>23 de julio de 2018</v>
      </c>
      <c r="N1302" s="323">
        <f t="shared" si="274"/>
        <v>23</v>
      </c>
      <c r="O1302" s="25">
        <f t="shared" ref="O1302:O1322" si="288">DATE(YEAR(D1302),MONTH(D1302),1)</f>
        <v>43282</v>
      </c>
      <c r="P1302" s="5" t="str">
        <f t="shared" ref="P1302:P1325" si="289">TEXT(E1302,"#.##0,00")</f>
        <v>6,00</v>
      </c>
      <c r="Q1302" s="4" t="e">
        <f t="shared" ref="Q1302:Q1325" ca="1" si="290">CONVERTIRNUM(E1302)</f>
        <v>#NAME?</v>
      </c>
    </row>
    <row r="1303" spans="1:17">
      <c r="A1303" s="1">
        <f t="shared" si="283"/>
        <v>1302</v>
      </c>
      <c r="C1303" s="8" t="s">
        <v>17</v>
      </c>
      <c r="D1303" s="2">
        <v>43304</v>
      </c>
      <c r="E1303" s="3">
        <f>1220000/100000</f>
        <v>12.2</v>
      </c>
      <c r="F1303" t="s">
        <v>252</v>
      </c>
      <c r="G1303" t="s">
        <v>253</v>
      </c>
      <c r="H1303" t="s">
        <v>254</v>
      </c>
      <c r="I1303" s="6" t="s">
        <v>782</v>
      </c>
      <c r="J1303" s="61" t="s">
        <v>745</v>
      </c>
      <c r="L1303" s="5" t="str">
        <f t="shared" si="286"/>
        <v>01302</v>
      </c>
      <c r="M1303" s="47" t="str">
        <f t="shared" si="287"/>
        <v>23 de julio de 2018</v>
      </c>
      <c r="N1303" s="323">
        <f t="shared" si="274"/>
        <v>23</v>
      </c>
      <c r="O1303" s="25">
        <f t="shared" si="288"/>
        <v>43282</v>
      </c>
      <c r="P1303" s="5" t="str">
        <f t="shared" si="289"/>
        <v>12,20</v>
      </c>
      <c r="Q1303" s="4" t="e">
        <f t="shared" ca="1" si="290"/>
        <v>#NAME?</v>
      </c>
    </row>
    <row r="1304" spans="1:17">
      <c r="A1304" s="1">
        <f t="shared" si="283"/>
        <v>1303</v>
      </c>
      <c r="C1304" s="8" t="s">
        <v>17</v>
      </c>
      <c r="D1304" s="2">
        <v>43304</v>
      </c>
      <c r="E1304" s="3">
        <f>2000000/100000</f>
        <v>20</v>
      </c>
      <c r="F1304" t="s">
        <v>138</v>
      </c>
      <c r="G1304" t="s">
        <v>139</v>
      </c>
      <c r="H1304" t="s">
        <v>140</v>
      </c>
      <c r="I1304" s="6" t="s">
        <v>783</v>
      </c>
      <c r="J1304" s="61" t="s">
        <v>22</v>
      </c>
      <c r="L1304" s="5" t="str">
        <f t="shared" si="286"/>
        <v>01303</v>
      </c>
      <c r="M1304" s="47" t="str">
        <f t="shared" si="287"/>
        <v>23 de julio de 2018</v>
      </c>
      <c r="N1304" s="323">
        <f t="shared" si="274"/>
        <v>23</v>
      </c>
      <c r="O1304" s="25">
        <f t="shared" si="288"/>
        <v>43282</v>
      </c>
      <c r="P1304" s="5" t="str">
        <f t="shared" si="289"/>
        <v>20,00</v>
      </c>
      <c r="Q1304" s="4" t="e">
        <f t="shared" ca="1" si="290"/>
        <v>#NAME?</v>
      </c>
    </row>
    <row r="1305" spans="1:17">
      <c r="A1305" s="1">
        <f t="shared" si="283"/>
        <v>1304</v>
      </c>
      <c r="C1305" s="8" t="s">
        <v>17</v>
      </c>
      <c r="D1305" s="2">
        <v>43307</v>
      </c>
      <c r="E1305" s="3">
        <f>150000/100000</f>
        <v>1.5</v>
      </c>
      <c r="F1305" t="s">
        <v>284</v>
      </c>
      <c r="G1305" t="s">
        <v>687</v>
      </c>
      <c r="H1305" t="s">
        <v>285</v>
      </c>
      <c r="I1305" s="6" t="s">
        <v>731</v>
      </c>
      <c r="J1305" s="61" t="s">
        <v>22</v>
      </c>
      <c r="L1305" s="5" t="str">
        <f t="shared" si="286"/>
        <v>01304</v>
      </c>
      <c r="M1305" s="47" t="str">
        <f t="shared" si="287"/>
        <v>26 de julio de 2018</v>
      </c>
      <c r="N1305" s="323">
        <f t="shared" si="274"/>
        <v>26</v>
      </c>
      <c r="O1305" s="25">
        <f t="shared" si="288"/>
        <v>43282</v>
      </c>
      <c r="P1305" s="5" t="str">
        <f t="shared" si="289"/>
        <v>1,50</v>
      </c>
      <c r="Q1305" s="4" t="e">
        <f t="shared" ca="1" si="290"/>
        <v>#NAME?</v>
      </c>
    </row>
    <row r="1306" spans="1:17">
      <c r="A1306" s="1">
        <f t="shared" si="283"/>
        <v>1305</v>
      </c>
      <c r="C1306" s="8" t="s">
        <v>17</v>
      </c>
      <c r="D1306" s="2">
        <v>43307</v>
      </c>
      <c r="E1306" s="3">
        <f>1200000/100000</f>
        <v>12</v>
      </c>
      <c r="F1306" t="s">
        <v>284</v>
      </c>
      <c r="G1306" t="s">
        <v>687</v>
      </c>
      <c r="H1306" t="s">
        <v>285</v>
      </c>
      <c r="I1306" s="6" t="s">
        <v>744</v>
      </c>
      <c r="J1306" s="61" t="s">
        <v>745</v>
      </c>
      <c r="L1306" s="5" t="str">
        <f t="shared" si="286"/>
        <v>01305</v>
      </c>
      <c r="M1306" s="47" t="str">
        <f t="shared" si="287"/>
        <v>26 de julio de 2018</v>
      </c>
      <c r="N1306" s="323">
        <f t="shared" si="274"/>
        <v>26</v>
      </c>
      <c r="O1306" s="25">
        <f t="shared" si="288"/>
        <v>43282</v>
      </c>
      <c r="P1306" s="5" t="str">
        <f t="shared" si="289"/>
        <v>12,00</v>
      </c>
      <c r="Q1306" s="4" t="e">
        <f t="shared" ca="1" si="290"/>
        <v>#NAME?</v>
      </c>
    </row>
    <row r="1307" spans="1:17">
      <c r="A1307" s="1">
        <f t="shared" si="283"/>
        <v>1306</v>
      </c>
      <c r="C1307" s="8" t="s">
        <v>17</v>
      </c>
      <c r="D1307" s="2">
        <v>43307</v>
      </c>
      <c r="E1307" s="3">
        <f>625000/100000</f>
        <v>6.25</v>
      </c>
      <c r="F1307" t="s">
        <v>185</v>
      </c>
      <c r="G1307" t="s">
        <v>186</v>
      </c>
      <c r="H1307" t="s">
        <v>187</v>
      </c>
      <c r="I1307" s="6" t="s">
        <v>746</v>
      </c>
      <c r="J1307" s="61" t="s">
        <v>22</v>
      </c>
      <c r="L1307" s="5" t="str">
        <f t="shared" si="286"/>
        <v>01306</v>
      </c>
      <c r="M1307" s="47" t="str">
        <f t="shared" si="287"/>
        <v>26 de julio de 2018</v>
      </c>
      <c r="N1307" s="323">
        <f t="shared" si="274"/>
        <v>26</v>
      </c>
      <c r="O1307" s="25">
        <f t="shared" si="288"/>
        <v>43282</v>
      </c>
      <c r="P1307" s="5" t="str">
        <f t="shared" si="289"/>
        <v>6,25</v>
      </c>
      <c r="Q1307" s="4" t="e">
        <f t="shared" ca="1" si="290"/>
        <v>#NAME?</v>
      </c>
    </row>
    <row r="1308" spans="1:17">
      <c r="A1308" s="1">
        <f t="shared" si="283"/>
        <v>1307</v>
      </c>
      <c r="C1308" s="8" t="s">
        <v>17</v>
      </c>
      <c r="D1308" s="2">
        <v>43307</v>
      </c>
      <c r="E1308" s="3">
        <f>1220000/100000</f>
        <v>12.2</v>
      </c>
      <c r="F1308" t="s">
        <v>185</v>
      </c>
      <c r="G1308" t="s">
        <v>186</v>
      </c>
      <c r="H1308" t="s">
        <v>187</v>
      </c>
      <c r="I1308" s="6" t="s">
        <v>744</v>
      </c>
      <c r="J1308" s="61" t="s">
        <v>745</v>
      </c>
      <c r="L1308" s="5" t="str">
        <f t="shared" si="286"/>
        <v>01307</v>
      </c>
      <c r="M1308" s="47" t="str">
        <f t="shared" si="287"/>
        <v>26 de julio de 2018</v>
      </c>
      <c r="N1308" s="323">
        <f t="shared" si="274"/>
        <v>26</v>
      </c>
      <c r="O1308" s="25">
        <f t="shared" si="288"/>
        <v>43282</v>
      </c>
      <c r="P1308" s="5" t="str">
        <f t="shared" si="289"/>
        <v>12,20</v>
      </c>
      <c r="Q1308" s="4" t="e">
        <f t="shared" ca="1" si="290"/>
        <v>#NAME?</v>
      </c>
    </row>
    <row r="1309" spans="1:17">
      <c r="A1309" s="1">
        <f t="shared" si="283"/>
        <v>1308</v>
      </c>
      <c r="C1309" s="8" t="s">
        <v>17</v>
      </c>
      <c r="D1309" s="2">
        <v>43307</v>
      </c>
      <c r="E1309" s="3">
        <f>2385000/100000-400000/100000</f>
        <v>19.850000000000001</v>
      </c>
      <c r="F1309" t="s">
        <v>291</v>
      </c>
      <c r="G1309" t="s">
        <v>292</v>
      </c>
      <c r="H1309" t="s">
        <v>293</v>
      </c>
      <c r="I1309" s="6" t="s">
        <v>784</v>
      </c>
      <c r="J1309" s="61" t="s">
        <v>22</v>
      </c>
      <c r="L1309" s="5" t="str">
        <f t="shared" si="286"/>
        <v>01308</v>
      </c>
      <c r="M1309" s="47" t="str">
        <f t="shared" si="287"/>
        <v>26 de julio de 2018</v>
      </c>
      <c r="N1309" s="323">
        <f t="shared" si="274"/>
        <v>26</v>
      </c>
      <c r="O1309" s="25">
        <f t="shared" si="288"/>
        <v>43282</v>
      </c>
      <c r="P1309" s="5" t="str">
        <f t="shared" si="289"/>
        <v>19,85</v>
      </c>
      <c r="Q1309" s="4" t="e">
        <f t="shared" ca="1" si="290"/>
        <v>#NAME?</v>
      </c>
    </row>
    <row r="1310" spans="1:17">
      <c r="A1310" s="1">
        <f t="shared" si="283"/>
        <v>1309</v>
      </c>
      <c r="C1310" s="8" t="s">
        <v>17</v>
      </c>
      <c r="D1310" s="2">
        <v>43307</v>
      </c>
      <c r="E1310" s="3">
        <f>1220000/100000</f>
        <v>12.2</v>
      </c>
      <c r="F1310" t="s">
        <v>291</v>
      </c>
      <c r="G1310" t="s">
        <v>292</v>
      </c>
      <c r="H1310" t="s">
        <v>293</v>
      </c>
      <c r="I1310" s="6" t="s">
        <v>744</v>
      </c>
      <c r="J1310" s="61" t="s">
        <v>745</v>
      </c>
      <c r="L1310" s="5" t="str">
        <f t="shared" si="286"/>
        <v>01309</v>
      </c>
      <c r="M1310" s="47" t="str">
        <f t="shared" si="287"/>
        <v>26 de julio de 2018</v>
      </c>
      <c r="N1310" s="323">
        <f t="shared" si="274"/>
        <v>26</v>
      </c>
      <c r="O1310" s="25">
        <f t="shared" si="288"/>
        <v>43282</v>
      </c>
      <c r="P1310" s="5" t="str">
        <f t="shared" si="289"/>
        <v>12,20</v>
      </c>
      <c r="Q1310" s="4" t="e">
        <f t="shared" ca="1" si="290"/>
        <v>#NAME?</v>
      </c>
    </row>
    <row r="1311" spans="1:17">
      <c r="A1311" s="1">
        <f t="shared" si="283"/>
        <v>1310</v>
      </c>
      <c r="C1311" s="8" t="s">
        <v>17</v>
      </c>
      <c r="D1311" s="2">
        <v>43308</v>
      </c>
      <c r="E1311" s="3">
        <f>150000/100000</f>
        <v>1.5</v>
      </c>
      <c r="F1311" t="s">
        <v>66</v>
      </c>
      <c r="G1311" t="s">
        <v>67</v>
      </c>
      <c r="H1311" t="s">
        <v>68</v>
      </c>
      <c r="I1311" s="6" t="s">
        <v>754</v>
      </c>
      <c r="J1311" s="61" t="s">
        <v>22</v>
      </c>
      <c r="L1311" s="5" t="str">
        <f t="shared" si="286"/>
        <v>01310</v>
      </c>
      <c r="M1311" s="47" t="str">
        <f t="shared" si="287"/>
        <v>27 de julio de 2018</v>
      </c>
      <c r="N1311" s="323">
        <f t="shared" si="274"/>
        <v>27</v>
      </c>
      <c r="O1311" s="25">
        <f t="shared" si="288"/>
        <v>43282</v>
      </c>
      <c r="P1311" s="5" t="str">
        <f t="shared" si="289"/>
        <v>1,50</v>
      </c>
      <c r="Q1311" s="4" t="e">
        <f t="shared" ca="1" si="290"/>
        <v>#NAME?</v>
      </c>
    </row>
    <row r="1312" spans="1:17">
      <c r="A1312" s="1">
        <f t="shared" si="283"/>
        <v>1311</v>
      </c>
      <c r="C1312" s="8" t="s">
        <v>17</v>
      </c>
      <c r="D1312" s="2">
        <v>43279</v>
      </c>
      <c r="E1312" s="3">
        <f>1220000/100000</f>
        <v>12.2</v>
      </c>
      <c r="F1312" t="s">
        <v>66</v>
      </c>
      <c r="G1312" t="s">
        <v>67</v>
      </c>
      <c r="H1312" t="s">
        <v>68</v>
      </c>
      <c r="I1312" s="6" t="s">
        <v>744</v>
      </c>
      <c r="J1312" s="61" t="s">
        <v>745</v>
      </c>
      <c r="L1312" s="5" t="str">
        <f t="shared" si="286"/>
        <v>01311</v>
      </c>
      <c r="M1312" s="47" t="str">
        <f t="shared" si="287"/>
        <v>28 de junio de 2018</v>
      </c>
      <c r="N1312" s="323">
        <f t="shared" si="274"/>
        <v>28</v>
      </c>
      <c r="O1312" s="25">
        <f t="shared" si="288"/>
        <v>43252</v>
      </c>
      <c r="P1312" s="5" t="str">
        <f t="shared" si="289"/>
        <v>12,20</v>
      </c>
      <c r="Q1312" s="4" t="e">
        <f t="shared" ca="1" si="290"/>
        <v>#NAME?</v>
      </c>
    </row>
    <row r="1313" spans="1:17">
      <c r="A1313" s="1">
        <f t="shared" si="283"/>
        <v>1312</v>
      </c>
      <c r="C1313" s="8" t="s">
        <v>17</v>
      </c>
      <c r="D1313" s="2">
        <v>43308</v>
      </c>
      <c r="E1313" s="3">
        <f>1250000/100000</f>
        <v>12.5</v>
      </c>
      <c r="F1313" t="s">
        <v>53</v>
      </c>
      <c r="G1313" t="s">
        <v>677</v>
      </c>
      <c r="H1313" t="s">
        <v>55</v>
      </c>
      <c r="I1313" s="6" t="s">
        <v>744</v>
      </c>
      <c r="J1313" s="61" t="s">
        <v>745</v>
      </c>
      <c r="L1313" s="5" t="str">
        <f t="shared" si="286"/>
        <v>01312</v>
      </c>
      <c r="M1313" s="47" t="str">
        <f t="shared" si="287"/>
        <v>27 de julio de 2018</v>
      </c>
      <c r="N1313" s="323">
        <f t="shared" si="274"/>
        <v>27</v>
      </c>
      <c r="O1313" s="25">
        <f t="shared" si="288"/>
        <v>43282</v>
      </c>
      <c r="P1313" s="5" t="str">
        <f t="shared" si="289"/>
        <v>12,50</v>
      </c>
      <c r="Q1313" s="4" t="e">
        <f t="shared" ca="1" si="290"/>
        <v>#NAME?</v>
      </c>
    </row>
    <row r="1314" spans="1:17">
      <c r="A1314" s="1">
        <f t="shared" si="283"/>
        <v>1313</v>
      </c>
      <c r="C1314" s="8" t="s">
        <v>17</v>
      </c>
      <c r="D1314" s="2">
        <v>43308</v>
      </c>
      <c r="E1314" s="3">
        <f>1000000/100000</f>
        <v>10</v>
      </c>
      <c r="F1314" t="s">
        <v>134</v>
      </c>
      <c r="G1314" t="s">
        <v>135</v>
      </c>
      <c r="H1314" t="s">
        <v>136</v>
      </c>
      <c r="I1314" s="6" t="s">
        <v>750</v>
      </c>
      <c r="J1314" s="61" t="s">
        <v>22</v>
      </c>
      <c r="L1314" s="5" t="str">
        <f t="shared" si="286"/>
        <v>01313</v>
      </c>
      <c r="M1314" s="47" t="str">
        <f t="shared" si="287"/>
        <v>27 de julio de 2018</v>
      </c>
      <c r="N1314" s="323">
        <f t="shared" si="274"/>
        <v>27</v>
      </c>
      <c r="O1314" s="25">
        <f t="shared" si="288"/>
        <v>43282</v>
      </c>
      <c r="P1314" s="5" t="str">
        <f t="shared" si="289"/>
        <v>10,00</v>
      </c>
      <c r="Q1314" s="4" t="e">
        <f t="shared" ca="1" si="290"/>
        <v>#NAME?</v>
      </c>
    </row>
    <row r="1315" spans="1:17">
      <c r="A1315" s="1">
        <f t="shared" si="283"/>
        <v>1314</v>
      </c>
      <c r="C1315" s="8" t="s">
        <v>17</v>
      </c>
      <c r="D1315" s="2">
        <v>43309</v>
      </c>
      <c r="E1315" s="3">
        <f>225000/100000+1000000/100000</f>
        <v>12.25</v>
      </c>
      <c r="F1315" t="s">
        <v>785</v>
      </c>
      <c r="G1315" t="s">
        <v>786</v>
      </c>
      <c r="H1315" t="s">
        <v>719</v>
      </c>
      <c r="I1315" s="6" t="s">
        <v>736</v>
      </c>
      <c r="J1315" s="61" t="s">
        <v>22</v>
      </c>
      <c r="L1315" s="5" t="str">
        <f t="shared" si="286"/>
        <v>01314</v>
      </c>
      <c r="M1315" s="47" t="str">
        <f t="shared" si="287"/>
        <v>28 de julio de 2018</v>
      </c>
      <c r="N1315" s="323">
        <f t="shared" si="274"/>
        <v>28</v>
      </c>
      <c r="O1315" s="25">
        <f t="shared" si="288"/>
        <v>43282</v>
      </c>
      <c r="P1315" s="5" t="str">
        <f t="shared" si="289"/>
        <v>12,25</v>
      </c>
      <c r="Q1315" s="4" t="e">
        <f t="shared" ca="1" si="290"/>
        <v>#NAME?</v>
      </c>
    </row>
    <row r="1316" spans="1:17" ht="15.75" thickBot="1">
      <c r="A1316" s="1">
        <f t="shared" si="283"/>
        <v>1315</v>
      </c>
      <c r="C1316" s="8" t="s">
        <v>17</v>
      </c>
      <c r="D1316" s="2">
        <v>43309</v>
      </c>
      <c r="E1316" s="3">
        <f>1220000/100000</f>
        <v>12.2</v>
      </c>
      <c r="F1316" t="s">
        <v>785</v>
      </c>
      <c r="G1316" t="s">
        <v>786</v>
      </c>
      <c r="H1316" t="s">
        <v>719</v>
      </c>
      <c r="I1316" s="6" t="s">
        <v>744</v>
      </c>
      <c r="J1316" s="61" t="s">
        <v>745</v>
      </c>
      <c r="L1316" s="5" t="str">
        <f t="shared" si="286"/>
        <v>01315</v>
      </c>
      <c r="M1316" s="47" t="str">
        <f t="shared" si="287"/>
        <v>28 de julio de 2018</v>
      </c>
      <c r="N1316" s="323">
        <f t="shared" si="274"/>
        <v>28</v>
      </c>
      <c r="O1316" s="25">
        <f t="shared" si="288"/>
        <v>43282</v>
      </c>
      <c r="P1316" s="5" t="str">
        <f t="shared" si="289"/>
        <v>12,20</v>
      </c>
      <c r="Q1316" s="4" t="e">
        <f t="shared" ca="1" si="290"/>
        <v>#NAME?</v>
      </c>
    </row>
    <row r="1317" spans="1:17" ht="15.75" thickBot="1">
      <c r="A1317" s="1">
        <f t="shared" si="283"/>
        <v>1316</v>
      </c>
      <c r="C1317" s="85" t="s">
        <v>17</v>
      </c>
      <c r="D1317" s="2">
        <v>43310</v>
      </c>
      <c r="E1317" s="3">
        <f>1000000/100000</f>
        <v>10</v>
      </c>
      <c r="F1317" t="s">
        <v>40</v>
      </c>
      <c r="G1317" s="18" t="s">
        <v>58</v>
      </c>
      <c r="H1317" t="s">
        <v>42</v>
      </c>
      <c r="I1317" s="6" t="s">
        <v>787</v>
      </c>
      <c r="J1317" s="61" t="s">
        <v>22</v>
      </c>
      <c r="L1317" s="5" t="str">
        <f t="shared" si="286"/>
        <v>01316</v>
      </c>
      <c r="M1317" s="47" t="str">
        <f t="shared" si="287"/>
        <v>29 de julio de 2018</v>
      </c>
      <c r="N1317" s="323">
        <f t="shared" si="274"/>
        <v>29</v>
      </c>
      <c r="O1317" s="25">
        <f t="shared" si="288"/>
        <v>43282</v>
      </c>
      <c r="P1317" s="5" t="str">
        <f t="shared" si="289"/>
        <v>10,00</v>
      </c>
      <c r="Q1317" s="4" t="e">
        <f t="shared" ca="1" si="290"/>
        <v>#NAME?</v>
      </c>
    </row>
    <row r="1318" spans="1:17" ht="15.75" thickBot="1">
      <c r="A1318" s="1">
        <f t="shared" si="283"/>
        <v>1317</v>
      </c>
      <c r="C1318" s="85" t="s">
        <v>17</v>
      </c>
      <c r="D1318" s="2">
        <v>43310</v>
      </c>
      <c r="E1318" s="3">
        <f>1220000/100000</f>
        <v>12.2</v>
      </c>
      <c r="F1318" t="s">
        <v>40</v>
      </c>
      <c r="G1318" s="18" t="s">
        <v>58</v>
      </c>
      <c r="H1318" t="s">
        <v>42</v>
      </c>
      <c r="I1318" s="6" t="s">
        <v>744</v>
      </c>
      <c r="J1318" s="61" t="s">
        <v>745</v>
      </c>
      <c r="L1318" s="5" t="str">
        <f t="shared" si="286"/>
        <v>01317</v>
      </c>
      <c r="M1318" s="47" t="str">
        <f t="shared" si="287"/>
        <v>29 de julio de 2018</v>
      </c>
      <c r="N1318" s="323">
        <f t="shared" si="274"/>
        <v>29</v>
      </c>
      <c r="O1318" s="25">
        <f t="shared" si="288"/>
        <v>43282</v>
      </c>
      <c r="P1318" s="5" t="str">
        <f t="shared" si="289"/>
        <v>12,20</v>
      </c>
      <c r="Q1318" s="4" t="e">
        <f t="shared" ca="1" si="290"/>
        <v>#NAME?</v>
      </c>
    </row>
    <row r="1319" spans="1:17">
      <c r="A1319" s="1">
        <f t="shared" si="283"/>
        <v>1318</v>
      </c>
      <c r="C1319" s="8" t="s">
        <v>17</v>
      </c>
      <c r="D1319" s="2">
        <v>43310</v>
      </c>
      <c r="E1319" s="3">
        <f>500000/100000</f>
        <v>5</v>
      </c>
      <c r="F1319" t="s">
        <v>412</v>
      </c>
      <c r="G1319" t="s">
        <v>413</v>
      </c>
      <c r="H1319" t="s">
        <v>414</v>
      </c>
      <c r="I1319" s="6" t="s">
        <v>446</v>
      </c>
      <c r="J1319" s="61" t="s">
        <v>22</v>
      </c>
      <c r="L1319" s="5" t="str">
        <f t="shared" si="286"/>
        <v>01318</v>
      </c>
      <c r="M1319" s="47" t="str">
        <f t="shared" si="287"/>
        <v>29 de julio de 2018</v>
      </c>
      <c r="N1319" s="323">
        <f t="shared" si="274"/>
        <v>29</v>
      </c>
      <c r="O1319" s="25">
        <f t="shared" si="288"/>
        <v>43282</v>
      </c>
      <c r="P1319" s="5" t="str">
        <f t="shared" si="289"/>
        <v>5,00</v>
      </c>
      <c r="Q1319" s="4" t="e">
        <f t="shared" ca="1" si="290"/>
        <v>#NAME?</v>
      </c>
    </row>
    <row r="1320" spans="1:17">
      <c r="A1320" s="1">
        <f t="shared" si="283"/>
        <v>1319</v>
      </c>
      <c r="C1320" s="8" t="s">
        <v>17</v>
      </c>
      <c r="D1320" s="2">
        <v>43310</v>
      </c>
      <c r="E1320" s="3">
        <f>500000/100000</f>
        <v>5</v>
      </c>
      <c r="F1320" t="s">
        <v>412</v>
      </c>
      <c r="G1320" t="s">
        <v>413</v>
      </c>
      <c r="H1320" t="s">
        <v>414</v>
      </c>
      <c r="I1320" s="6" t="s">
        <v>744</v>
      </c>
      <c r="J1320" s="61" t="s">
        <v>745</v>
      </c>
      <c r="L1320" s="5" t="str">
        <f t="shared" si="286"/>
        <v>01319</v>
      </c>
      <c r="M1320" s="47" t="str">
        <f t="shared" si="287"/>
        <v>29 de julio de 2018</v>
      </c>
      <c r="N1320" s="323">
        <f t="shared" si="274"/>
        <v>29</v>
      </c>
      <c r="O1320" s="25">
        <f t="shared" si="288"/>
        <v>43282</v>
      </c>
      <c r="P1320" s="5" t="str">
        <f t="shared" si="289"/>
        <v>5,00</v>
      </c>
      <c r="Q1320" s="4" t="e">
        <f t="shared" ca="1" si="290"/>
        <v>#NAME?</v>
      </c>
    </row>
    <row r="1321" spans="1:17" ht="15.75" thickBot="1">
      <c r="A1321" s="1">
        <f t="shared" si="283"/>
        <v>1320</v>
      </c>
      <c r="C1321" s="8" t="s">
        <v>17</v>
      </c>
      <c r="D1321" s="2">
        <v>43312</v>
      </c>
      <c r="E1321" s="3">
        <f>1000000/100000</f>
        <v>10</v>
      </c>
      <c r="F1321" t="s">
        <v>312</v>
      </c>
      <c r="G1321" t="s">
        <v>313</v>
      </c>
      <c r="H1321" t="s">
        <v>314</v>
      </c>
      <c r="I1321" s="6" t="s">
        <v>750</v>
      </c>
      <c r="J1321" s="61" t="s">
        <v>22</v>
      </c>
      <c r="L1321" s="5" t="str">
        <f t="shared" si="286"/>
        <v>01320</v>
      </c>
      <c r="M1321" s="47" t="str">
        <f t="shared" si="287"/>
        <v>31 de julio de 2018</v>
      </c>
      <c r="N1321" s="323">
        <f t="shared" si="274"/>
        <v>31</v>
      </c>
      <c r="O1321" s="25">
        <f t="shared" si="288"/>
        <v>43282</v>
      </c>
      <c r="P1321" s="5" t="str">
        <f t="shared" si="289"/>
        <v>10,00</v>
      </c>
      <c r="Q1321" s="4" t="e">
        <f t="shared" ca="1" si="290"/>
        <v>#NAME?</v>
      </c>
    </row>
    <row r="1322" spans="1:17" ht="15.75" thickBot="1">
      <c r="A1322" s="1">
        <f t="shared" si="283"/>
        <v>1321</v>
      </c>
      <c r="C1322" s="85" t="s">
        <v>17</v>
      </c>
      <c r="D1322" s="2">
        <v>43312</v>
      </c>
      <c r="E1322" s="162">
        <f>200000/100000</f>
        <v>2</v>
      </c>
      <c r="F1322" t="s">
        <v>492</v>
      </c>
      <c r="G1322" s="18" t="s">
        <v>58</v>
      </c>
      <c r="H1322" t="s">
        <v>493</v>
      </c>
      <c r="I1322" s="6" t="s">
        <v>760</v>
      </c>
      <c r="J1322" s="61" t="s">
        <v>22</v>
      </c>
      <c r="L1322" s="5" t="str">
        <f t="shared" si="286"/>
        <v>01321</v>
      </c>
      <c r="M1322" s="47" t="str">
        <f t="shared" si="287"/>
        <v>31 de julio de 2018</v>
      </c>
      <c r="N1322" s="323">
        <f t="shared" si="274"/>
        <v>31</v>
      </c>
      <c r="O1322" s="25">
        <f t="shared" si="288"/>
        <v>43282</v>
      </c>
      <c r="P1322" s="5" t="str">
        <f t="shared" si="289"/>
        <v>2,00</v>
      </c>
      <c r="Q1322" s="4" t="e">
        <f t="shared" ca="1" si="290"/>
        <v>#NAME?</v>
      </c>
    </row>
    <row r="1323" spans="1:17">
      <c r="A1323" s="1">
        <f t="shared" si="283"/>
        <v>1322</v>
      </c>
      <c r="C1323" s="8" t="s">
        <v>17</v>
      </c>
      <c r="D1323" s="2">
        <v>43312</v>
      </c>
      <c r="E1323" s="3">
        <f>1200000/100000</f>
        <v>12</v>
      </c>
      <c r="F1323" t="s">
        <v>243</v>
      </c>
      <c r="G1323" t="s">
        <v>244</v>
      </c>
      <c r="H1323" t="s">
        <v>245</v>
      </c>
      <c r="I1323" s="6" t="s">
        <v>788</v>
      </c>
      <c r="J1323" s="61" t="s">
        <v>22</v>
      </c>
      <c r="L1323" s="5" t="str">
        <f>IF(ISBLANK(A1323),"",TEXT(A1323,"00000"))</f>
        <v>01322</v>
      </c>
      <c r="M1323" s="47" t="str">
        <f>IF(ISBLANK(D1323),"",TEXT(D1323,"dd")&amp;" de "&amp;TEXT(D1323,"mmmm")&amp;" de "&amp;TEXT(YEAR(D1323),"0"))</f>
        <v>31 de julio de 2018</v>
      </c>
      <c r="N1323" s="323">
        <f t="shared" si="274"/>
        <v>31</v>
      </c>
      <c r="O1323" s="25">
        <f>DATE(YEAR(D1323),MONTH(D1323),1)</f>
        <v>43282</v>
      </c>
      <c r="P1323" s="5" t="str">
        <f t="shared" si="289"/>
        <v>12,00</v>
      </c>
      <c r="Q1323" s="4" t="e">
        <f t="shared" ca="1" si="290"/>
        <v>#NAME?</v>
      </c>
    </row>
    <row r="1324" spans="1:17">
      <c r="A1324" s="1">
        <f t="shared" si="283"/>
        <v>1323</v>
      </c>
      <c r="C1324" s="8" t="s">
        <v>17</v>
      </c>
      <c r="D1324" s="2">
        <v>43312</v>
      </c>
      <c r="E1324" s="3">
        <f>1220000/100000</f>
        <v>12.2</v>
      </c>
      <c r="F1324" t="s">
        <v>107</v>
      </c>
      <c r="G1324" t="s">
        <v>108</v>
      </c>
      <c r="H1324" t="s">
        <v>109</v>
      </c>
      <c r="I1324" s="6" t="s">
        <v>787</v>
      </c>
      <c r="J1324" s="61" t="s">
        <v>22</v>
      </c>
      <c r="L1324" s="5" t="str">
        <f t="shared" ref="L1324:L1325" si="291">IF(ISBLANK(A1324),"",TEXT(A1324,"00000"))</f>
        <v>01323</v>
      </c>
      <c r="M1324" s="47" t="str">
        <f t="shared" ref="M1324:M1325" si="292">IF(ISBLANK(D1324),"",TEXT(D1324,"dd")&amp;" de "&amp;TEXT(D1324,"mmmm")&amp;" de "&amp;TEXT(YEAR(D1324),"0"))</f>
        <v>31 de julio de 2018</v>
      </c>
      <c r="N1324" s="323">
        <f t="shared" si="274"/>
        <v>31</v>
      </c>
      <c r="O1324" s="25">
        <f t="shared" ref="O1324:O1325" si="293">DATE(YEAR(D1324),MONTH(D1324),1)</f>
        <v>43282</v>
      </c>
      <c r="P1324" s="5" t="str">
        <f t="shared" si="289"/>
        <v>12,20</v>
      </c>
      <c r="Q1324" s="4" t="e">
        <f t="shared" ca="1" si="290"/>
        <v>#NAME?</v>
      </c>
    </row>
    <row r="1325" spans="1:17">
      <c r="A1325" s="1">
        <f t="shared" si="283"/>
        <v>1324</v>
      </c>
      <c r="C1325" s="8" t="s">
        <v>17</v>
      </c>
      <c r="D1325" s="2">
        <v>43313</v>
      </c>
      <c r="E1325" s="3">
        <f>150000/100000+1200000/100000</f>
        <v>13.5</v>
      </c>
      <c r="F1325" t="s">
        <v>698</v>
      </c>
      <c r="G1325" t="s">
        <v>699</v>
      </c>
      <c r="H1325" t="s">
        <v>150</v>
      </c>
      <c r="I1325" s="6" t="s">
        <v>789</v>
      </c>
      <c r="J1325" s="61" t="s">
        <v>22</v>
      </c>
      <c r="L1325" s="5" t="str">
        <f t="shared" si="291"/>
        <v>01324</v>
      </c>
      <c r="M1325" s="47" t="str">
        <f t="shared" si="292"/>
        <v>01 de agosto de 2018</v>
      </c>
      <c r="N1325" s="323">
        <f t="shared" si="274"/>
        <v>1</v>
      </c>
      <c r="O1325" s="25">
        <f t="shared" si="293"/>
        <v>43313</v>
      </c>
      <c r="P1325" s="5" t="str">
        <f t="shared" si="289"/>
        <v>13,50</v>
      </c>
      <c r="Q1325" s="4" t="e">
        <f t="shared" ca="1" si="290"/>
        <v>#NAME?</v>
      </c>
    </row>
    <row r="1326" spans="1:17">
      <c r="A1326" s="1">
        <f t="shared" si="283"/>
        <v>1325</v>
      </c>
      <c r="C1326" s="8" t="s">
        <v>17</v>
      </c>
      <c r="D1326" s="2">
        <v>43313</v>
      </c>
      <c r="E1326" s="3">
        <f>1220000/100000</f>
        <v>12.2</v>
      </c>
      <c r="F1326" t="s">
        <v>698</v>
      </c>
      <c r="G1326" t="s">
        <v>699</v>
      </c>
      <c r="H1326" t="s">
        <v>150</v>
      </c>
      <c r="I1326" s="6" t="s">
        <v>744</v>
      </c>
      <c r="J1326" s="61" t="s">
        <v>745</v>
      </c>
      <c r="L1326" s="5" t="str">
        <f t="shared" ref="L1326:L1342" si="294">IF(ISBLANK(A1326),"",TEXT(A1326,"00000"))</f>
        <v>01325</v>
      </c>
      <c r="M1326" s="47" t="str">
        <f t="shared" ref="M1326:M1342" si="295">IF(ISBLANK(D1326),"",TEXT(D1326,"dd")&amp;" de "&amp;TEXT(D1326,"mmmm")&amp;" de "&amp;TEXT(YEAR(D1326),"0"))</f>
        <v>01 de agosto de 2018</v>
      </c>
      <c r="N1326" s="323">
        <f t="shared" si="274"/>
        <v>1</v>
      </c>
      <c r="O1326" s="25">
        <f t="shared" ref="O1326:O1342" si="296">DATE(YEAR(D1326),MONTH(D1326),1)</f>
        <v>43313</v>
      </c>
      <c r="P1326" s="5" t="str">
        <f t="shared" ref="P1326:P1342" si="297">TEXT(E1326,"#.##0,00")</f>
        <v>12,20</v>
      </c>
      <c r="Q1326" s="4" t="e">
        <f t="shared" ref="Q1326:Q1334" ca="1" si="298">CONVERTIRNUM(E1326)</f>
        <v>#NAME?</v>
      </c>
    </row>
    <row r="1327" spans="1:17">
      <c r="A1327" s="1">
        <f t="shared" si="283"/>
        <v>1326</v>
      </c>
      <c r="C1327" s="8" t="s">
        <v>17</v>
      </c>
      <c r="D1327" s="2">
        <v>43313</v>
      </c>
      <c r="E1327" s="3">
        <f>1200000/100000</f>
        <v>12</v>
      </c>
      <c r="F1327" t="s">
        <v>713</v>
      </c>
      <c r="G1327" t="s">
        <v>714</v>
      </c>
      <c r="H1327" t="s">
        <v>154</v>
      </c>
      <c r="I1327" s="6" t="s">
        <v>787</v>
      </c>
      <c r="J1327" s="61" t="s">
        <v>22</v>
      </c>
      <c r="L1327" s="5" t="str">
        <f t="shared" si="294"/>
        <v>01326</v>
      </c>
      <c r="M1327" s="47" t="str">
        <f t="shared" si="295"/>
        <v>01 de agosto de 2018</v>
      </c>
      <c r="N1327" s="323">
        <f t="shared" si="274"/>
        <v>1</v>
      </c>
      <c r="O1327" s="25">
        <f t="shared" si="296"/>
        <v>43313</v>
      </c>
      <c r="P1327" s="5" t="str">
        <f t="shared" si="297"/>
        <v>12,00</v>
      </c>
      <c r="Q1327" s="4" t="e">
        <f t="shared" ca="1" si="298"/>
        <v>#NAME?</v>
      </c>
    </row>
    <row r="1328" spans="1:17">
      <c r="A1328" s="1">
        <f t="shared" si="283"/>
        <v>1327</v>
      </c>
      <c r="C1328" s="8" t="s">
        <v>17</v>
      </c>
      <c r="D1328" s="2">
        <v>43313</v>
      </c>
      <c r="E1328" s="3">
        <f>1220000/100000</f>
        <v>12.2</v>
      </c>
      <c r="F1328" t="s">
        <v>713</v>
      </c>
      <c r="G1328" t="s">
        <v>714</v>
      </c>
      <c r="H1328" t="s">
        <v>154</v>
      </c>
      <c r="I1328" s="6" t="s">
        <v>744</v>
      </c>
      <c r="J1328" s="61" t="s">
        <v>745</v>
      </c>
      <c r="L1328" s="5" t="str">
        <f t="shared" si="294"/>
        <v>01327</v>
      </c>
      <c r="M1328" s="47" t="str">
        <f t="shared" si="295"/>
        <v>01 de agosto de 2018</v>
      </c>
      <c r="N1328" s="323">
        <f t="shared" si="274"/>
        <v>1</v>
      </c>
      <c r="O1328" s="25">
        <f t="shared" si="296"/>
        <v>43313</v>
      </c>
      <c r="P1328" s="5" t="str">
        <f t="shared" si="297"/>
        <v>12,20</v>
      </c>
      <c r="Q1328" s="4" t="e">
        <f t="shared" ca="1" si="298"/>
        <v>#NAME?</v>
      </c>
    </row>
    <row r="1329" spans="1:17">
      <c r="A1329" s="1">
        <f t="shared" si="283"/>
        <v>1328</v>
      </c>
      <c r="C1329" s="8" t="s">
        <v>17</v>
      </c>
      <c r="D1329" s="2">
        <v>43313</v>
      </c>
      <c r="E1329" s="3">
        <f>1000000/100000+1200000/100000</f>
        <v>22</v>
      </c>
      <c r="F1329" t="s">
        <v>334</v>
      </c>
      <c r="G1329" t="s">
        <v>85</v>
      </c>
      <c r="H1329" t="s">
        <v>335</v>
      </c>
      <c r="I1329" s="6" t="s">
        <v>783</v>
      </c>
      <c r="J1329" s="61" t="s">
        <v>22</v>
      </c>
      <c r="L1329" s="5" t="str">
        <f t="shared" si="294"/>
        <v>01328</v>
      </c>
      <c r="M1329" s="47" t="str">
        <f t="shared" si="295"/>
        <v>01 de agosto de 2018</v>
      </c>
      <c r="N1329" s="323">
        <f t="shared" si="274"/>
        <v>1</v>
      </c>
      <c r="O1329" s="25">
        <f t="shared" si="296"/>
        <v>43313</v>
      </c>
      <c r="P1329" s="5" t="str">
        <f t="shared" si="297"/>
        <v>22,00</v>
      </c>
      <c r="Q1329" s="4" t="e">
        <f t="shared" ca="1" si="298"/>
        <v>#NAME?</v>
      </c>
    </row>
    <row r="1330" spans="1:17">
      <c r="A1330" s="1">
        <f t="shared" si="283"/>
        <v>1329</v>
      </c>
      <c r="C1330" s="8" t="s">
        <v>17</v>
      </c>
      <c r="D1330" s="2">
        <v>43313</v>
      </c>
      <c r="E1330" s="3">
        <f>1220000/100000</f>
        <v>12.2</v>
      </c>
      <c r="F1330" t="s">
        <v>334</v>
      </c>
      <c r="G1330" t="s">
        <v>85</v>
      </c>
      <c r="H1330" t="s">
        <v>335</v>
      </c>
      <c r="I1330" s="6" t="s">
        <v>744</v>
      </c>
      <c r="J1330" s="61" t="s">
        <v>745</v>
      </c>
      <c r="L1330" s="5" t="str">
        <f t="shared" si="294"/>
        <v>01329</v>
      </c>
      <c r="M1330" s="47" t="str">
        <f t="shared" si="295"/>
        <v>01 de agosto de 2018</v>
      </c>
      <c r="N1330" s="323">
        <f t="shared" si="274"/>
        <v>1</v>
      </c>
      <c r="O1330" s="25">
        <f t="shared" si="296"/>
        <v>43313</v>
      </c>
      <c r="P1330" s="5" t="str">
        <f t="shared" si="297"/>
        <v>12,20</v>
      </c>
      <c r="Q1330" s="4" t="e">
        <f t="shared" ca="1" si="298"/>
        <v>#NAME?</v>
      </c>
    </row>
    <row r="1331" spans="1:17">
      <c r="A1331" s="1">
        <f t="shared" si="283"/>
        <v>1330</v>
      </c>
      <c r="C1331" s="8" t="s">
        <v>17</v>
      </c>
      <c r="D1331" s="2">
        <v>43313</v>
      </c>
      <c r="E1331" s="3">
        <f>1200000/100000</f>
        <v>12</v>
      </c>
      <c r="F1331" t="s">
        <v>84</v>
      </c>
      <c r="G1331" t="s">
        <v>85</v>
      </c>
      <c r="H1331" t="s">
        <v>86</v>
      </c>
      <c r="I1331" s="6" t="s">
        <v>787</v>
      </c>
      <c r="J1331" s="61" t="s">
        <v>22</v>
      </c>
      <c r="L1331" s="5" t="str">
        <f t="shared" si="294"/>
        <v>01330</v>
      </c>
      <c r="M1331" s="47" t="str">
        <f t="shared" si="295"/>
        <v>01 de agosto de 2018</v>
      </c>
      <c r="N1331" s="323">
        <f t="shared" si="274"/>
        <v>1</v>
      </c>
      <c r="O1331" s="25">
        <f t="shared" si="296"/>
        <v>43313</v>
      </c>
      <c r="P1331" s="5" t="str">
        <f t="shared" si="297"/>
        <v>12,00</v>
      </c>
      <c r="Q1331" s="4" t="e">
        <f t="shared" ca="1" si="298"/>
        <v>#NAME?</v>
      </c>
    </row>
    <row r="1332" spans="1:17">
      <c r="A1332" s="1">
        <f t="shared" si="283"/>
        <v>1331</v>
      </c>
      <c r="C1332" s="8" t="s">
        <v>17</v>
      </c>
      <c r="D1332" s="2">
        <v>43313</v>
      </c>
      <c r="E1332" s="3">
        <f>1220000/100000</f>
        <v>12.2</v>
      </c>
      <c r="F1332" t="s">
        <v>84</v>
      </c>
      <c r="G1332" t="s">
        <v>85</v>
      </c>
      <c r="H1332" t="s">
        <v>86</v>
      </c>
      <c r="I1332" s="6" t="s">
        <v>744</v>
      </c>
      <c r="J1332" s="61" t="s">
        <v>745</v>
      </c>
      <c r="L1332" s="5" t="str">
        <f t="shared" si="294"/>
        <v>01331</v>
      </c>
      <c r="M1332" s="47" t="str">
        <f t="shared" si="295"/>
        <v>01 de agosto de 2018</v>
      </c>
      <c r="N1332" s="323">
        <f t="shared" si="274"/>
        <v>1</v>
      </c>
      <c r="O1332" s="25">
        <f t="shared" si="296"/>
        <v>43313</v>
      </c>
      <c r="P1332" s="5" t="str">
        <f t="shared" si="297"/>
        <v>12,20</v>
      </c>
      <c r="Q1332" s="4" t="e">
        <f t="shared" ca="1" si="298"/>
        <v>#NAME?</v>
      </c>
    </row>
    <row r="1333" spans="1:17">
      <c r="A1333" s="1">
        <f t="shared" si="283"/>
        <v>1332</v>
      </c>
      <c r="C1333" s="8" t="s">
        <v>17</v>
      </c>
      <c r="D1333" s="2">
        <v>43313</v>
      </c>
      <c r="E1333" s="3">
        <f>1200000/100000+1300000/100000</f>
        <v>25</v>
      </c>
      <c r="F1333" t="s">
        <v>483</v>
      </c>
      <c r="G1333" t="s">
        <v>484</v>
      </c>
      <c r="H1333" t="s">
        <v>485</v>
      </c>
      <c r="I1333" s="6" t="s">
        <v>790</v>
      </c>
      <c r="J1333" s="61" t="s">
        <v>22</v>
      </c>
      <c r="L1333" s="5" t="str">
        <f t="shared" si="294"/>
        <v>01332</v>
      </c>
      <c r="M1333" s="47" t="str">
        <f t="shared" si="295"/>
        <v>01 de agosto de 2018</v>
      </c>
      <c r="N1333" s="323">
        <f t="shared" si="274"/>
        <v>1</v>
      </c>
      <c r="O1333" s="25">
        <f t="shared" si="296"/>
        <v>43313</v>
      </c>
      <c r="P1333" s="5" t="str">
        <f t="shared" si="297"/>
        <v>25,00</v>
      </c>
      <c r="Q1333" s="4" t="e">
        <f t="shared" ca="1" si="298"/>
        <v>#NAME?</v>
      </c>
    </row>
    <row r="1334" spans="1:17">
      <c r="A1334" s="1">
        <f t="shared" si="283"/>
        <v>1333</v>
      </c>
      <c r="C1334" s="8" t="s">
        <v>17</v>
      </c>
      <c r="D1334" s="2">
        <v>43313</v>
      </c>
      <c r="E1334" s="3">
        <f>1200000/100000</f>
        <v>12</v>
      </c>
      <c r="F1334" t="s">
        <v>48</v>
      </c>
      <c r="G1334" t="s">
        <v>49</v>
      </c>
      <c r="H1334" t="s">
        <v>50</v>
      </c>
      <c r="I1334" s="6" t="s">
        <v>787</v>
      </c>
      <c r="J1334" s="61" t="s">
        <v>22</v>
      </c>
      <c r="L1334" s="5" t="str">
        <f t="shared" si="294"/>
        <v>01333</v>
      </c>
      <c r="M1334" s="47" t="str">
        <f t="shared" si="295"/>
        <v>01 de agosto de 2018</v>
      </c>
      <c r="N1334" s="323">
        <f t="shared" si="274"/>
        <v>1</v>
      </c>
      <c r="O1334" s="25">
        <f t="shared" si="296"/>
        <v>43313</v>
      </c>
      <c r="P1334" s="5" t="str">
        <f t="shared" si="297"/>
        <v>12,00</v>
      </c>
      <c r="Q1334" s="4" t="e">
        <f t="shared" ca="1" si="298"/>
        <v>#NAME?</v>
      </c>
    </row>
    <row r="1335" spans="1:17" ht="15.75" thickBot="1">
      <c r="A1335" s="1">
        <f t="shared" si="283"/>
        <v>1334</v>
      </c>
      <c r="C1335" s="8" t="s">
        <v>17</v>
      </c>
      <c r="D1335" s="2">
        <v>43313</v>
      </c>
      <c r="E1335" s="3">
        <f>1200000/100000</f>
        <v>12</v>
      </c>
      <c r="F1335" t="s">
        <v>407</v>
      </c>
      <c r="G1335" t="s">
        <v>408</v>
      </c>
      <c r="H1335" t="s">
        <v>409</v>
      </c>
      <c r="I1335" s="6" t="s">
        <v>787</v>
      </c>
      <c r="J1335" s="61" t="s">
        <v>22</v>
      </c>
      <c r="L1335" s="5" t="str">
        <f t="shared" si="294"/>
        <v>01334</v>
      </c>
      <c r="M1335" s="47" t="str">
        <f t="shared" si="295"/>
        <v>01 de agosto de 2018</v>
      </c>
      <c r="N1335" s="323">
        <f t="shared" si="274"/>
        <v>1</v>
      </c>
      <c r="O1335" s="25">
        <f t="shared" si="296"/>
        <v>43313</v>
      </c>
      <c r="P1335" s="5" t="str">
        <f t="shared" si="297"/>
        <v>12,00</v>
      </c>
      <c r="Q1335" s="4" t="e">
        <f ca="1">CONVERTIRNUM(E1335)</f>
        <v>#NAME?</v>
      </c>
    </row>
    <row r="1336" spans="1:17" ht="15.75" thickBot="1">
      <c r="A1336" s="1">
        <f t="shared" si="283"/>
        <v>1335</v>
      </c>
      <c r="C1336" s="85" t="s">
        <v>17</v>
      </c>
      <c r="D1336" s="2">
        <v>43313</v>
      </c>
      <c r="E1336" s="3">
        <f>1200000/100000</f>
        <v>12</v>
      </c>
      <c r="F1336" t="s">
        <v>280</v>
      </c>
      <c r="G1336" s="18" t="s">
        <v>58</v>
      </c>
      <c r="H1336" t="s">
        <v>282</v>
      </c>
      <c r="I1336" s="6" t="s">
        <v>791</v>
      </c>
      <c r="J1336" s="61" t="s">
        <v>22</v>
      </c>
      <c r="L1336" s="5" t="str">
        <f t="shared" si="294"/>
        <v>01335</v>
      </c>
      <c r="M1336" s="47" t="str">
        <f t="shared" si="295"/>
        <v>01 de agosto de 2018</v>
      </c>
      <c r="N1336" s="323">
        <f t="shared" si="274"/>
        <v>1</v>
      </c>
      <c r="O1336" s="25">
        <f t="shared" si="296"/>
        <v>43313</v>
      </c>
      <c r="P1336" s="5" t="str">
        <f t="shared" si="297"/>
        <v>12,00</v>
      </c>
      <c r="Q1336" s="4" t="e">
        <f t="shared" ref="Q1336:Q1342" ca="1" si="299">CONVERTIRNUM(E1336)</f>
        <v>#NAME?</v>
      </c>
    </row>
    <row r="1337" spans="1:17" ht="15.75" thickBot="1">
      <c r="A1337" s="1">
        <f t="shared" si="283"/>
        <v>1336</v>
      </c>
      <c r="C1337" s="8" t="s">
        <v>17</v>
      </c>
      <c r="D1337" s="2">
        <v>43313</v>
      </c>
      <c r="E1337" s="3">
        <f>1740000/100000</f>
        <v>17.399999999999999</v>
      </c>
      <c r="F1337" s="23" t="s">
        <v>422</v>
      </c>
      <c r="G1337" s="18" t="s">
        <v>58</v>
      </c>
      <c r="H1337" t="s">
        <v>423</v>
      </c>
      <c r="I1337" s="6" t="s">
        <v>787</v>
      </c>
      <c r="J1337" s="61" t="s">
        <v>22</v>
      </c>
      <c r="L1337" s="5" t="str">
        <f t="shared" si="294"/>
        <v>01336</v>
      </c>
      <c r="M1337" s="47" t="str">
        <f t="shared" si="295"/>
        <v>01 de agosto de 2018</v>
      </c>
      <c r="N1337" s="323">
        <f t="shared" si="274"/>
        <v>1</v>
      </c>
      <c r="O1337" s="25">
        <f t="shared" si="296"/>
        <v>43313</v>
      </c>
      <c r="P1337" s="5" t="str">
        <f t="shared" si="297"/>
        <v>17,40</v>
      </c>
      <c r="Q1337" s="4" t="e">
        <f t="shared" ca="1" si="299"/>
        <v>#NAME?</v>
      </c>
    </row>
    <row r="1338" spans="1:17">
      <c r="A1338" s="1">
        <f t="shared" si="283"/>
        <v>1337</v>
      </c>
      <c r="C1338" s="8" t="s">
        <v>17</v>
      </c>
      <c r="D1338" s="2">
        <v>43313</v>
      </c>
      <c r="E1338" s="3">
        <f>1200000/100000</f>
        <v>12</v>
      </c>
      <c r="F1338" t="s">
        <v>612</v>
      </c>
      <c r="G1338" t="s">
        <v>613</v>
      </c>
      <c r="H1338" t="s">
        <v>614</v>
      </c>
      <c r="I1338" s="6" t="s">
        <v>792</v>
      </c>
      <c r="J1338" s="61" t="s">
        <v>22</v>
      </c>
      <c r="L1338" s="5" t="str">
        <f t="shared" si="294"/>
        <v>01337</v>
      </c>
      <c r="M1338" s="47" t="str">
        <f t="shared" si="295"/>
        <v>01 de agosto de 2018</v>
      </c>
      <c r="N1338" s="323">
        <f t="shared" si="274"/>
        <v>1</v>
      </c>
      <c r="O1338" s="25">
        <f t="shared" si="296"/>
        <v>43313</v>
      </c>
      <c r="P1338" s="5" t="str">
        <f t="shared" si="297"/>
        <v>12,00</v>
      </c>
      <c r="Q1338" s="4" t="e">
        <f t="shared" ca="1" si="299"/>
        <v>#NAME?</v>
      </c>
    </row>
    <row r="1339" spans="1:17">
      <c r="A1339" s="1">
        <f t="shared" si="283"/>
        <v>1338</v>
      </c>
      <c r="C1339" s="8" t="s">
        <v>17</v>
      </c>
      <c r="D1339" s="2">
        <v>43313</v>
      </c>
      <c r="E1339" s="3">
        <f>1200000/100000</f>
        <v>12</v>
      </c>
      <c r="F1339" t="s">
        <v>219</v>
      </c>
      <c r="G1339" t="s">
        <v>220</v>
      </c>
      <c r="H1339" t="s">
        <v>221</v>
      </c>
      <c r="I1339" s="6" t="s">
        <v>793</v>
      </c>
      <c r="J1339" s="61" t="s">
        <v>22</v>
      </c>
      <c r="L1339" s="5" t="str">
        <f t="shared" si="294"/>
        <v>01338</v>
      </c>
      <c r="M1339" s="47" t="str">
        <f t="shared" si="295"/>
        <v>01 de agosto de 2018</v>
      </c>
      <c r="N1339" s="323">
        <f t="shared" si="274"/>
        <v>1</v>
      </c>
      <c r="O1339" s="25">
        <f t="shared" si="296"/>
        <v>43313</v>
      </c>
      <c r="P1339" s="5" t="str">
        <f t="shared" si="297"/>
        <v>12,00</v>
      </c>
      <c r="Q1339" s="4" t="e">
        <f t="shared" ca="1" si="299"/>
        <v>#NAME?</v>
      </c>
    </row>
    <row r="1340" spans="1:17">
      <c r="A1340" s="1">
        <f t="shared" si="283"/>
        <v>1339</v>
      </c>
      <c r="C1340" s="8" t="s">
        <v>17</v>
      </c>
      <c r="D1340" s="2">
        <v>43313</v>
      </c>
      <c r="E1340" s="3">
        <f>1200000/100000</f>
        <v>12</v>
      </c>
      <c r="F1340" t="s">
        <v>771</v>
      </c>
      <c r="G1340" t="s">
        <v>772</v>
      </c>
      <c r="H1340" t="s">
        <v>773</v>
      </c>
      <c r="I1340" s="6" t="s">
        <v>794</v>
      </c>
      <c r="J1340" s="61" t="s">
        <v>22</v>
      </c>
      <c r="L1340" s="5" t="str">
        <f t="shared" si="294"/>
        <v>01339</v>
      </c>
      <c r="M1340" s="47" t="str">
        <f t="shared" si="295"/>
        <v>01 de agosto de 2018</v>
      </c>
      <c r="N1340" s="323">
        <f t="shared" si="274"/>
        <v>1</v>
      </c>
      <c r="O1340" s="25">
        <f t="shared" si="296"/>
        <v>43313</v>
      </c>
      <c r="P1340" s="5" t="str">
        <f t="shared" si="297"/>
        <v>12,00</v>
      </c>
      <c r="Q1340" s="4" t="e">
        <f t="shared" ca="1" si="299"/>
        <v>#NAME?</v>
      </c>
    </row>
    <row r="1341" spans="1:17">
      <c r="A1341" s="1">
        <f t="shared" si="283"/>
        <v>1340</v>
      </c>
      <c r="C1341" s="8" t="s">
        <v>17</v>
      </c>
      <c r="D1341" s="2">
        <v>43313</v>
      </c>
      <c r="E1341" s="3">
        <f>1200000/100000</f>
        <v>12</v>
      </c>
      <c r="F1341" t="s">
        <v>18</v>
      </c>
      <c r="G1341" t="s">
        <v>19</v>
      </c>
      <c r="H1341" t="s">
        <v>20</v>
      </c>
      <c r="I1341" s="6" t="s">
        <v>795</v>
      </c>
      <c r="J1341" s="61" t="s">
        <v>22</v>
      </c>
      <c r="L1341" s="5" t="str">
        <f t="shared" si="294"/>
        <v>01340</v>
      </c>
      <c r="M1341" s="47" t="str">
        <f t="shared" si="295"/>
        <v>01 de agosto de 2018</v>
      </c>
      <c r="N1341" s="323">
        <f t="shared" si="274"/>
        <v>1</v>
      </c>
      <c r="O1341" s="25">
        <f t="shared" si="296"/>
        <v>43313</v>
      </c>
      <c r="P1341" s="5" t="str">
        <f t="shared" si="297"/>
        <v>12,00</v>
      </c>
      <c r="Q1341" s="4" t="e">
        <f t="shared" ca="1" si="299"/>
        <v>#NAME?</v>
      </c>
    </row>
    <row r="1342" spans="1:17">
      <c r="A1342" s="1">
        <f t="shared" si="283"/>
        <v>1341</v>
      </c>
      <c r="C1342" s="8" t="s">
        <v>17</v>
      </c>
      <c r="D1342" s="2">
        <v>43313</v>
      </c>
      <c r="E1342" s="3">
        <f>990000/100000</f>
        <v>9.9</v>
      </c>
      <c r="F1342" t="s">
        <v>438</v>
      </c>
      <c r="G1342" t="s">
        <v>439</v>
      </c>
      <c r="H1342" t="s">
        <v>440</v>
      </c>
      <c r="I1342" s="6" t="s">
        <v>796</v>
      </c>
      <c r="J1342" s="61" t="s">
        <v>22</v>
      </c>
      <c r="L1342" s="5" t="str">
        <f t="shared" si="294"/>
        <v>01341</v>
      </c>
      <c r="M1342" s="47" t="str">
        <f t="shared" si="295"/>
        <v>01 de agosto de 2018</v>
      </c>
      <c r="N1342" s="323">
        <f t="shared" si="274"/>
        <v>1</v>
      </c>
      <c r="O1342" s="25">
        <f t="shared" si="296"/>
        <v>43313</v>
      </c>
      <c r="P1342" s="5" t="str">
        <f t="shared" si="297"/>
        <v>9,90</v>
      </c>
      <c r="Q1342" s="4" t="e">
        <f t="shared" ca="1" si="299"/>
        <v>#NAME?</v>
      </c>
    </row>
    <row r="1343" spans="1:17">
      <c r="A1343" s="1">
        <f t="shared" si="283"/>
        <v>1342</v>
      </c>
      <c r="C1343" s="8" t="s">
        <v>17</v>
      </c>
      <c r="D1343" s="2">
        <v>43314</v>
      </c>
      <c r="E1343" s="3">
        <f>1200000/100000-990000/100000</f>
        <v>2.0999999999999996</v>
      </c>
      <c r="F1343" t="s">
        <v>438</v>
      </c>
      <c r="G1343" t="s">
        <v>439</v>
      </c>
      <c r="H1343" t="s">
        <v>440</v>
      </c>
      <c r="I1343" s="6" t="s">
        <v>797</v>
      </c>
      <c r="J1343" s="61" t="s">
        <v>22</v>
      </c>
      <c r="L1343" s="5" t="str">
        <f t="shared" ref="L1343:L1352" si="300">IF(ISBLANK(A1343),"",TEXT(A1343,"00000"))</f>
        <v>01342</v>
      </c>
      <c r="M1343" s="47" t="str">
        <f t="shared" ref="M1343:M1352" si="301">IF(ISBLANK(D1343),"",TEXT(D1343,"dd")&amp;" de "&amp;TEXT(D1343,"mmmm")&amp;" de "&amp;TEXT(YEAR(D1343),"0"))</f>
        <v>02 de agosto de 2018</v>
      </c>
      <c r="N1343" s="323">
        <f t="shared" si="274"/>
        <v>2</v>
      </c>
      <c r="O1343" s="25">
        <f t="shared" ref="O1343:O1352" si="302">DATE(YEAR(D1343),MONTH(D1343),1)</f>
        <v>43313</v>
      </c>
      <c r="P1343" s="5" t="str">
        <f t="shared" ref="P1343:P1352" si="303">TEXT(E1343,"#.##0,00")</f>
        <v>2,10</v>
      </c>
      <c r="Q1343" s="4" t="e">
        <f t="shared" ref="Q1343:Q1352" ca="1" si="304">CONVERTIRNUM(E1343)</f>
        <v>#NAME?</v>
      </c>
    </row>
    <row r="1344" spans="1:17" ht="15.75" thickBot="1">
      <c r="A1344" s="1">
        <f t="shared" si="283"/>
        <v>1343</v>
      </c>
      <c r="C1344" s="8" t="s">
        <v>17</v>
      </c>
      <c r="D1344" s="2">
        <v>43314</v>
      </c>
      <c r="E1344" s="3">
        <f>1200000/100000</f>
        <v>12</v>
      </c>
      <c r="F1344" t="s">
        <v>633</v>
      </c>
      <c r="G1344" t="s">
        <v>634</v>
      </c>
      <c r="H1344" t="s">
        <v>635</v>
      </c>
      <c r="I1344" s="6" t="s">
        <v>787</v>
      </c>
      <c r="J1344" s="61" t="s">
        <v>22</v>
      </c>
      <c r="L1344" s="5" t="str">
        <f t="shared" si="300"/>
        <v>01343</v>
      </c>
      <c r="M1344" s="47" t="str">
        <f t="shared" si="301"/>
        <v>02 de agosto de 2018</v>
      </c>
      <c r="N1344" s="323">
        <f t="shared" si="274"/>
        <v>2</v>
      </c>
      <c r="O1344" s="25">
        <f t="shared" si="302"/>
        <v>43313</v>
      </c>
      <c r="P1344" s="5" t="str">
        <f t="shared" si="303"/>
        <v>12,00</v>
      </c>
      <c r="Q1344" s="4" t="e">
        <f t="shared" ca="1" si="304"/>
        <v>#NAME?</v>
      </c>
    </row>
    <row r="1345" spans="1:17" ht="15.75" thickBot="1">
      <c r="A1345" s="1">
        <f t="shared" si="283"/>
        <v>1344</v>
      </c>
      <c r="C1345" s="8" t="s">
        <v>17</v>
      </c>
      <c r="D1345" s="2">
        <v>43311</v>
      </c>
      <c r="E1345" s="3">
        <f>1000000/100000</f>
        <v>10</v>
      </c>
      <c r="F1345" t="s">
        <v>239</v>
      </c>
      <c r="G1345" s="73" t="s">
        <v>240</v>
      </c>
      <c r="H1345" t="s">
        <v>241</v>
      </c>
      <c r="I1345" s="6" t="s">
        <v>750</v>
      </c>
      <c r="J1345" s="61" t="s">
        <v>22</v>
      </c>
      <c r="L1345" s="5" t="str">
        <f t="shared" si="300"/>
        <v>01344</v>
      </c>
      <c r="M1345" s="47" t="str">
        <f t="shared" si="301"/>
        <v>30 de julio de 2018</v>
      </c>
      <c r="N1345" s="323">
        <f t="shared" si="274"/>
        <v>30</v>
      </c>
      <c r="O1345" s="25">
        <f t="shared" si="302"/>
        <v>43282</v>
      </c>
      <c r="P1345" s="5" t="str">
        <f t="shared" si="303"/>
        <v>10,00</v>
      </c>
      <c r="Q1345" s="4" t="e">
        <f t="shared" ca="1" si="304"/>
        <v>#NAME?</v>
      </c>
    </row>
    <row r="1346" spans="1:17">
      <c r="A1346" s="1">
        <f t="shared" si="283"/>
        <v>1345</v>
      </c>
      <c r="C1346" s="8" t="s">
        <v>17</v>
      </c>
      <c r="D1346" s="2">
        <v>43315</v>
      </c>
      <c r="E1346" s="3">
        <f>1800000/100000-1200000/100000</f>
        <v>6</v>
      </c>
      <c r="F1346" t="s">
        <v>28</v>
      </c>
      <c r="G1346" t="s">
        <v>716</v>
      </c>
      <c r="H1346" t="s">
        <v>30</v>
      </c>
      <c r="I1346" s="6" t="s">
        <v>760</v>
      </c>
      <c r="J1346" s="61" t="s">
        <v>22</v>
      </c>
      <c r="L1346" s="5" t="str">
        <f t="shared" si="300"/>
        <v>01345</v>
      </c>
      <c r="M1346" s="47" t="str">
        <f t="shared" si="301"/>
        <v>03 de agosto de 2018</v>
      </c>
      <c r="N1346" s="323">
        <f t="shared" si="274"/>
        <v>3</v>
      </c>
      <c r="O1346" s="25">
        <f t="shared" si="302"/>
        <v>43313</v>
      </c>
      <c r="P1346" s="5" t="str">
        <f t="shared" si="303"/>
        <v>6,00</v>
      </c>
      <c r="Q1346" s="4" t="e">
        <f t="shared" ca="1" si="304"/>
        <v>#NAME?</v>
      </c>
    </row>
    <row r="1347" spans="1:17">
      <c r="A1347" s="1">
        <f t="shared" si="283"/>
        <v>1346</v>
      </c>
      <c r="C1347" s="8" t="s">
        <v>17</v>
      </c>
      <c r="D1347" s="2">
        <v>43315</v>
      </c>
      <c r="E1347" s="3">
        <f>1200000/100000</f>
        <v>12</v>
      </c>
      <c r="F1347" t="s">
        <v>28</v>
      </c>
      <c r="G1347" t="s">
        <v>716</v>
      </c>
      <c r="H1347" t="s">
        <v>30</v>
      </c>
      <c r="I1347" s="6" t="s">
        <v>744</v>
      </c>
      <c r="J1347" s="61" t="s">
        <v>745</v>
      </c>
      <c r="L1347" s="5" t="str">
        <f t="shared" si="300"/>
        <v>01346</v>
      </c>
      <c r="M1347" s="47" t="str">
        <f t="shared" si="301"/>
        <v>03 de agosto de 2018</v>
      </c>
      <c r="N1347" s="323">
        <f t="shared" ref="N1347:N1410" si="305">DAY(D1347)</f>
        <v>3</v>
      </c>
      <c r="O1347" s="25">
        <f t="shared" si="302"/>
        <v>43313</v>
      </c>
      <c r="P1347" s="5" t="str">
        <f t="shared" si="303"/>
        <v>12,00</v>
      </c>
      <c r="Q1347" s="4" t="e">
        <f t="shared" ca="1" si="304"/>
        <v>#NAME?</v>
      </c>
    </row>
    <row r="1348" spans="1:17">
      <c r="A1348" s="1">
        <f t="shared" si="283"/>
        <v>1347</v>
      </c>
      <c r="C1348" s="8" t="s">
        <v>17</v>
      </c>
      <c r="D1348" s="2">
        <v>43316</v>
      </c>
      <c r="E1348" s="3">
        <f>600000/100000</f>
        <v>6</v>
      </c>
      <c r="F1348" t="s">
        <v>134</v>
      </c>
      <c r="G1348" t="s">
        <v>135</v>
      </c>
      <c r="H1348" t="s">
        <v>136</v>
      </c>
      <c r="I1348" s="6" t="s">
        <v>744</v>
      </c>
      <c r="J1348" s="61" t="s">
        <v>745</v>
      </c>
      <c r="L1348" s="5" t="str">
        <f t="shared" si="300"/>
        <v>01347</v>
      </c>
      <c r="M1348" s="47" t="str">
        <f t="shared" si="301"/>
        <v>04 de agosto de 2018</v>
      </c>
      <c r="N1348" s="323">
        <f t="shared" si="305"/>
        <v>4</v>
      </c>
      <c r="O1348" s="25">
        <f t="shared" si="302"/>
        <v>43313</v>
      </c>
      <c r="P1348" s="5" t="str">
        <f t="shared" si="303"/>
        <v>6,00</v>
      </c>
      <c r="Q1348" s="4" t="e">
        <f t="shared" ca="1" si="304"/>
        <v>#NAME?</v>
      </c>
    </row>
    <row r="1349" spans="1:17">
      <c r="A1349" s="1">
        <f t="shared" si="283"/>
        <v>1348</v>
      </c>
      <c r="C1349" s="8" t="s">
        <v>17</v>
      </c>
      <c r="D1349" s="2">
        <v>43318</v>
      </c>
      <c r="E1349" s="3">
        <f>875000/100000</f>
        <v>8.75</v>
      </c>
      <c r="F1349" t="s">
        <v>537</v>
      </c>
      <c r="G1349" t="s">
        <v>538</v>
      </c>
      <c r="H1349" t="s">
        <v>539</v>
      </c>
      <c r="I1349" s="6" t="s">
        <v>798</v>
      </c>
      <c r="J1349" s="61" t="s">
        <v>22</v>
      </c>
      <c r="L1349" s="5" t="str">
        <f t="shared" si="300"/>
        <v>01348</v>
      </c>
      <c r="M1349" s="47" t="str">
        <f t="shared" si="301"/>
        <v>06 de agosto de 2018</v>
      </c>
      <c r="N1349" s="323">
        <f t="shared" si="305"/>
        <v>6</v>
      </c>
      <c r="O1349" s="25">
        <f t="shared" si="302"/>
        <v>43313</v>
      </c>
      <c r="P1349" s="5" t="str">
        <f t="shared" si="303"/>
        <v>8,75</v>
      </c>
      <c r="Q1349" s="4" t="e">
        <f t="shared" ca="1" si="304"/>
        <v>#NAME?</v>
      </c>
    </row>
    <row r="1350" spans="1:17" ht="15.75" thickBot="1">
      <c r="A1350" s="1">
        <f t="shared" si="283"/>
        <v>1349</v>
      </c>
      <c r="C1350" s="8" t="s">
        <v>17</v>
      </c>
      <c r="D1350" s="2">
        <v>43318</v>
      </c>
      <c r="E1350" s="3">
        <f>1220000/100000</f>
        <v>12.2</v>
      </c>
      <c r="F1350" t="s">
        <v>337</v>
      </c>
      <c r="G1350" t="s">
        <v>338</v>
      </c>
      <c r="H1350" t="s">
        <v>339</v>
      </c>
      <c r="I1350" s="6" t="s">
        <v>744</v>
      </c>
      <c r="J1350" s="61" t="s">
        <v>745</v>
      </c>
      <c r="L1350" s="5" t="str">
        <f t="shared" si="300"/>
        <v>01349</v>
      </c>
      <c r="M1350" s="47" t="str">
        <f t="shared" si="301"/>
        <v>06 de agosto de 2018</v>
      </c>
      <c r="N1350" s="323">
        <f t="shared" si="305"/>
        <v>6</v>
      </c>
      <c r="O1350" s="25">
        <f t="shared" si="302"/>
        <v>43313</v>
      </c>
      <c r="P1350" s="5" t="str">
        <f t="shared" si="303"/>
        <v>12,20</v>
      </c>
      <c r="Q1350" s="4" t="e">
        <f t="shared" ca="1" si="304"/>
        <v>#NAME?</v>
      </c>
    </row>
    <row r="1351" spans="1:17" ht="15.75" thickBot="1">
      <c r="A1351" s="1">
        <f t="shared" si="283"/>
        <v>1350</v>
      </c>
      <c r="C1351" s="85" t="s">
        <v>17</v>
      </c>
      <c r="D1351" s="2">
        <v>43318</v>
      </c>
      <c r="E1351" s="3">
        <f>2200000/100000</f>
        <v>22</v>
      </c>
      <c r="F1351" t="s">
        <v>410</v>
      </c>
      <c r="G1351" s="18" t="s">
        <v>58</v>
      </c>
      <c r="H1351" t="s">
        <v>411</v>
      </c>
      <c r="I1351" s="6" t="s">
        <v>783</v>
      </c>
      <c r="J1351" s="61" t="s">
        <v>22</v>
      </c>
      <c r="L1351" s="5" t="str">
        <f t="shared" si="300"/>
        <v>01350</v>
      </c>
      <c r="M1351" s="47" t="str">
        <f t="shared" si="301"/>
        <v>06 de agosto de 2018</v>
      </c>
      <c r="N1351" s="323">
        <f t="shared" si="305"/>
        <v>6</v>
      </c>
      <c r="O1351" s="25">
        <f t="shared" si="302"/>
        <v>43313</v>
      </c>
      <c r="P1351" s="5" t="str">
        <f t="shared" si="303"/>
        <v>22,00</v>
      </c>
      <c r="Q1351" s="4" t="e">
        <f t="shared" ca="1" si="304"/>
        <v>#NAME?</v>
      </c>
    </row>
    <row r="1352" spans="1:17">
      <c r="A1352" s="1">
        <f t="shared" si="283"/>
        <v>1351</v>
      </c>
      <c r="C1352" s="8" t="s">
        <v>17</v>
      </c>
      <c r="D1352" s="2">
        <v>43318</v>
      </c>
      <c r="E1352" s="3">
        <f>1000000/100000</f>
        <v>10</v>
      </c>
      <c r="F1352" t="s">
        <v>197</v>
      </c>
      <c r="G1352" t="s">
        <v>198</v>
      </c>
      <c r="H1352" t="s">
        <v>199</v>
      </c>
      <c r="I1352" s="6" t="s">
        <v>750</v>
      </c>
      <c r="J1352" s="61" t="s">
        <v>22</v>
      </c>
      <c r="L1352" s="5" t="str">
        <f t="shared" si="300"/>
        <v>01351</v>
      </c>
      <c r="M1352" s="47" t="str">
        <f t="shared" si="301"/>
        <v>06 de agosto de 2018</v>
      </c>
      <c r="N1352" s="323">
        <f t="shared" si="305"/>
        <v>6</v>
      </c>
      <c r="O1352" s="25">
        <f t="shared" si="302"/>
        <v>43313</v>
      </c>
      <c r="P1352" s="5" t="str">
        <f t="shared" si="303"/>
        <v>10,00</v>
      </c>
      <c r="Q1352" s="4" t="e">
        <f t="shared" ca="1" si="304"/>
        <v>#NAME?</v>
      </c>
    </row>
    <row r="1353" spans="1:17">
      <c r="A1353" s="1">
        <f t="shared" si="283"/>
        <v>1352</v>
      </c>
      <c r="C1353" s="8" t="s">
        <v>17</v>
      </c>
      <c r="D1353" s="2">
        <v>43318</v>
      </c>
      <c r="E1353" s="3">
        <f>1425000/100000</f>
        <v>14.25</v>
      </c>
      <c r="F1353" t="s">
        <v>197</v>
      </c>
      <c r="G1353" t="s">
        <v>198</v>
      </c>
      <c r="H1353" t="s">
        <v>199</v>
      </c>
      <c r="I1353" s="6" t="s">
        <v>799</v>
      </c>
      <c r="J1353" s="61" t="s">
        <v>22</v>
      </c>
      <c r="L1353" s="5" t="str">
        <f t="shared" ref="L1353:L1356" si="306">IF(ISBLANK(A1353),"",TEXT(A1353,"00000"))</f>
        <v>01352</v>
      </c>
      <c r="M1353" s="47" t="str">
        <f t="shared" ref="M1353:M1356" si="307">IF(ISBLANK(D1353),"",TEXT(D1353,"dd")&amp;" de "&amp;TEXT(D1353,"mmmm")&amp;" de "&amp;TEXT(YEAR(D1353),"0"))</f>
        <v>06 de agosto de 2018</v>
      </c>
      <c r="N1353" s="323">
        <f t="shared" si="305"/>
        <v>6</v>
      </c>
      <c r="O1353" s="25">
        <f t="shared" ref="O1353:O1356" si="308">DATE(YEAR(D1353),MONTH(D1353),1)</f>
        <v>43313</v>
      </c>
      <c r="P1353" s="5" t="str">
        <f t="shared" ref="P1353:P1369" si="309">TEXT(E1353,"#.##0,00")</f>
        <v>14,25</v>
      </c>
      <c r="Q1353" s="4" t="e">
        <f t="shared" ref="Q1353:Q1369" ca="1" si="310">CONVERTIRNUM(E1353)</f>
        <v>#NAME?</v>
      </c>
    </row>
    <row r="1354" spans="1:17" ht="15.75" thickBot="1">
      <c r="A1354" s="1">
        <f t="shared" si="283"/>
        <v>1353</v>
      </c>
      <c r="C1354" s="8" t="s">
        <v>17</v>
      </c>
      <c r="D1354" s="2">
        <v>43318</v>
      </c>
      <c r="E1354" s="3">
        <f>1200000/100000</f>
        <v>12</v>
      </c>
      <c r="F1354" t="s">
        <v>80</v>
      </c>
      <c r="G1354" t="s">
        <v>81</v>
      </c>
      <c r="H1354" t="s">
        <v>82</v>
      </c>
      <c r="I1354" s="6" t="s">
        <v>787</v>
      </c>
      <c r="J1354" s="61" t="s">
        <v>22</v>
      </c>
      <c r="L1354" s="5" t="str">
        <f t="shared" si="306"/>
        <v>01353</v>
      </c>
      <c r="M1354" s="47" t="str">
        <f t="shared" si="307"/>
        <v>06 de agosto de 2018</v>
      </c>
      <c r="N1354" s="323">
        <f t="shared" si="305"/>
        <v>6</v>
      </c>
      <c r="O1354" s="25">
        <f t="shared" si="308"/>
        <v>43313</v>
      </c>
      <c r="P1354" s="5" t="str">
        <f t="shared" si="309"/>
        <v>12,00</v>
      </c>
      <c r="Q1354" s="4" t="e">
        <f t="shared" ca="1" si="310"/>
        <v>#NAME?</v>
      </c>
    </row>
    <row r="1355" spans="1:17" ht="15.75" thickBot="1">
      <c r="A1355" s="1">
        <f t="shared" si="283"/>
        <v>1354</v>
      </c>
      <c r="C1355" s="85" t="s">
        <v>17</v>
      </c>
      <c r="D1355" s="2">
        <v>43319</v>
      </c>
      <c r="E1355" s="3">
        <f>1400000/100000</f>
        <v>14</v>
      </c>
      <c r="F1355" t="s">
        <v>40</v>
      </c>
      <c r="G1355" s="18" t="s">
        <v>58</v>
      </c>
      <c r="H1355" t="s">
        <v>42</v>
      </c>
      <c r="I1355" s="6" t="s">
        <v>800</v>
      </c>
      <c r="J1355" s="61" t="s">
        <v>22</v>
      </c>
      <c r="L1355" s="5" t="str">
        <f t="shared" si="306"/>
        <v>01354</v>
      </c>
      <c r="M1355" s="47" t="str">
        <f t="shared" si="307"/>
        <v>07 de agosto de 2018</v>
      </c>
      <c r="N1355" s="323">
        <f t="shared" si="305"/>
        <v>7</v>
      </c>
      <c r="O1355" s="25">
        <f t="shared" si="308"/>
        <v>43313</v>
      </c>
      <c r="P1355" s="5" t="str">
        <f t="shared" si="309"/>
        <v>14,00</v>
      </c>
      <c r="Q1355" s="4" t="e">
        <f t="shared" ca="1" si="310"/>
        <v>#NAME?</v>
      </c>
    </row>
    <row r="1356" spans="1:17">
      <c r="A1356" s="1">
        <f t="shared" si="283"/>
        <v>1355</v>
      </c>
      <c r="C1356" s="8" t="s">
        <v>17</v>
      </c>
      <c r="D1356" s="2">
        <v>43319</v>
      </c>
      <c r="E1356" s="3">
        <f>800000/100000</f>
        <v>8</v>
      </c>
      <c r="F1356" t="s">
        <v>252</v>
      </c>
      <c r="G1356" t="s">
        <v>253</v>
      </c>
      <c r="H1356" t="s">
        <v>254</v>
      </c>
      <c r="I1356" t="s">
        <v>801</v>
      </c>
      <c r="J1356" s="61" t="s">
        <v>22</v>
      </c>
      <c r="L1356" s="5" t="str">
        <f t="shared" si="306"/>
        <v>01355</v>
      </c>
      <c r="M1356" s="47" t="str">
        <f t="shared" si="307"/>
        <v>07 de agosto de 2018</v>
      </c>
      <c r="N1356" s="323">
        <f t="shared" si="305"/>
        <v>7</v>
      </c>
      <c r="O1356" s="25">
        <f t="shared" si="308"/>
        <v>43313</v>
      </c>
      <c r="P1356" s="5" t="str">
        <f t="shared" si="309"/>
        <v>8,00</v>
      </c>
      <c r="Q1356" s="4" t="e">
        <f t="shared" ca="1" si="310"/>
        <v>#NAME?</v>
      </c>
    </row>
    <row r="1357" spans="1:17">
      <c r="A1357" s="1">
        <f t="shared" si="283"/>
        <v>1356</v>
      </c>
      <c r="C1357" s="8" t="s">
        <v>17</v>
      </c>
      <c r="D1357" s="2">
        <v>43318</v>
      </c>
      <c r="E1357" s="3">
        <f>1500000/100000</f>
        <v>15</v>
      </c>
      <c r="F1357" t="s">
        <v>44</v>
      </c>
      <c r="G1357" t="s">
        <v>45</v>
      </c>
      <c r="H1357" t="s">
        <v>46</v>
      </c>
      <c r="I1357" s="6" t="s">
        <v>802</v>
      </c>
      <c r="J1357" s="61" t="s">
        <v>22</v>
      </c>
      <c r="L1357" s="5" t="str">
        <f>IF(ISBLANK(A1357),"",TEXT(A1357,"00000"))</f>
        <v>01356</v>
      </c>
      <c r="M1357" s="47" t="str">
        <f>IF(ISBLANK(D1357),"",TEXT(D1357,"dd")&amp;" de "&amp;TEXT(D1357,"mmmm")&amp;" de "&amp;TEXT(YEAR(D1357),"0"))</f>
        <v>06 de agosto de 2018</v>
      </c>
      <c r="N1357" s="323">
        <f t="shared" si="305"/>
        <v>6</v>
      </c>
      <c r="O1357" s="25">
        <f>DATE(YEAR(D1357),MONTH(D1357),1)</f>
        <v>43313</v>
      </c>
      <c r="P1357" s="5" t="str">
        <f t="shared" si="309"/>
        <v>15,00</v>
      </c>
      <c r="Q1357" s="4" t="e">
        <f t="shared" ca="1" si="310"/>
        <v>#NAME?</v>
      </c>
    </row>
    <row r="1358" spans="1:17">
      <c r="A1358" s="1">
        <f t="shared" si="283"/>
        <v>1357</v>
      </c>
      <c r="C1358" s="8" t="s">
        <v>17</v>
      </c>
      <c r="D1358" s="2">
        <v>43319</v>
      </c>
      <c r="E1358" s="3">
        <f>1200000/100000</f>
        <v>12</v>
      </c>
      <c r="F1358" t="s">
        <v>24</v>
      </c>
      <c r="G1358" t="s">
        <v>25</v>
      </c>
      <c r="H1358" t="s">
        <v>26</v>
      </c>
      <c r="I1358" s="6" t="s">
        <v>787</v>
      </c>
      <c r="J1358" s="61" t="s">
        <v>22</v>
      </c>
      <c r="L1358" s="5" t="str">
        <f t="shared" ref="L1358:L1370" si="311">IF(ISBLANK(A1358),"",TEXT(A1358,"00000"))</f>
        <v>01357</v>
      </c>
      <c r="M1358" s="47" t="str">
        <f t="shared" ref="M1358:M1370" si="312">IF(ISBLANK(D1358),"",TEXT(D1358,"dd")&amp;" de "&amp;TEXT(D1358,"mmmm")&amp;" de "&amp;TEXT(YEAR(D1358),"0"))</f>
        <v>07 de agosto de 2018</v>
      </c>
      <c r="N1358" s="323">
        <f t="shared" si="305"/>
        <v>7</v>
      </c>
      <c r="O1358" s="25">
        <f t="shared" ref="O1358:O1370" si="313">DATE(YEAR(D1358),MONTH(D1358),1)</f>
        <v>43313</v>
      </c>
      <c r="P1358" s="5" t="str">
        <f t="shared" si="309"/>
        <v>12,00</v>
      </c>
      <c r="Q1358" s="4" t="e">
        <f t="shared" ca="1" si="310"/>
        <v>#NAME?</v>
      </c>
    </row>
    <row r="1359" spans="1:17">
      <c r="A1359" s="1">
        <f t="shared" si="283"/>
        <v>1358</v>
      </c>
      <c r="C1359" s="8" t="s">
        <v>17</v>
      </c>
      <c r="D1359" s="2">
        <v>43320</v>
      </c>
      <c r="E1359" s="3">
        <f>1200000/100000</f>
        <v>12</v>
      </c>
      <c r="F1359" t="s">
        <v>362</v>
      </c>
      <c r="G1359" t="s">
        <v>363</v>
      </c>
      <c r="H1359" t="s">
        <v>364</v>
      </c>
      <c r="I1359" s="6" t="s">
        <v>787</v>
      </c>
      <c r="J1359" s="61" t="s">
        <v>22</v>
      </c>
      <c r="L1359" s="5" t="str">
        <f t="shared" si="311"/>
        <v>01358</v>
      </c>
      <c r="M1359" s="47" t="str">
        <f t="shared" si="312"/>
        <v>08 de agosto de 2018</v>
      </c>
      <c r="N1359" s="323">
        <f t="shared" si="305"/>
        <v>8</v>
      </c>
      <c r="O1359" s="25">
        <f t="shared" si="313"/>
        <v>43313</v>
      </c>
      <c r="P1359" s="5" t="str">
        <f t="shared" si="309"/>
        <v>12,00</v>
      </c>
      <c r="Q1359" s="4" t="e">
        <f t="shared" ca="1" si="310"/>
        <v>#NAME?</v>
      </c>
    </row>
    <row r="1360" spans="1:17">
      <c r="A1360" s="1">
        <f t="shared" si="283"/>
        <v>1359</v>
      </c>
      <c r="C1360" s="8" t="s">
        <v>17</v>
      </c>
      <c r="D1360" s="2">
        <v>43322</v>
      </c>
      <c r="E1360" s="3">
        <f>100000/100000</f>
        <v>1</v>
      </c>
      <c r="F1360" t="s">
        <v>433</v>
      </c>
      <c r="G1360" t="s">
        <v>434</v>
      </c>
      <c r="H1360" t="s">
        <v>435</v>
      </c>
      <c r="I1360" s="6" t="s">
        <v>760</v>
      </c>
      <c r="J1360" s="61" t="s">
        <v>22</v>
      </c>
      <c r="L1360" s="5" t="str">
        <f t="shared" si="311"/>
        <v>01359</v>
      </c>
      <c r="M1360" s="47" t="str">
        <f t="shared" si="312"/>
        <v>10 de agosto de 2018</v>
      </c>
      <c r="N1360" s="323">
        <f t="shared" si="305"/>
        <v>10</v>
      </c>
      <c r="O1360" s="25">
        <f t="shared" si="313"/>
        <v>43313</v>
      </c>
      <c r="P1360" s="5" t="str">
        <f t="shared" si="309"/>
        <v>1,00</v>
      </c>
      <c r="Q1360" s="4" t="e">
        <f t="shared" ca="1" si="310"/>
        <v>#NAME?</v>
      </c>
    </row>
    <row r="1361" spans="1:17">
      <c r="A1361" s="1">
        <f t="shared" si="283"/>
        <v>1360</v>
      </c>
      <c r="C1361" s="8" t="s">
        <v>17</v>
      </c>
      <c r="D1361" s="2">
        <v>43324</v>
      </c>
      <c r="E1361" s="3">
        <f t="shared" ref="E1361:E1368" si="314">1200000/100000</f>
        <v>12</v>
      </c>
      <c r="F1361" t="s">
        <v>36</v>
      </c>
      <c r="G1361" t="s">
        <v>37</v>
      </c>
      <c r="H1361" t="s">
        <v>38</v>
      </c>
      <c r="I1361" s="6" t="s">
        <v>787</v>
      </c>
      <c r="J1361" s="61" t="s">
        <v>22</v>
      </c>
      <c r="L1361" s="5" t="str">
        <f t="shared" si="311"/>
        <v>01360</v>
      </c>
      <c r="M1361" s="47" t="str">
        <f t="shared" si="312"/>
        <v>12 de agosto de 2018</v>
      </c>
      <c r="N1361" s="323">
        <f t="shared" si="305"/>
        <v>12</v>
      </c>
      <c r="O1361" s="25">
        <f t="shared" si="313"/>
        <v>43313</v>
      </c>
      <c r="P1361" s="5" t="str">
        <f t="shared" si="309"/>
        <v>12,00</v>
      </c>
      <c r="Q1361" s="4" t="e">
        <f t="shared" ca="1" si="310"/>
        <v>#NAME?</v>
      </c>
    </row>
    <row r="1362" spans="1:17">
      <c r="A1362" s="1">
        <f t="shared" si="283"/>
        <v>1361</v>
      </c>
      <c r="C1362" s="8" t="s">
        <v>17</v>
      </c>
      <c r="D1362" s="2">
        <v>43324</v>
      </c>
      <c r="E1362" s="3">
        <f t="shared" si="314"/>
        <v>12</v>
      </c>
      <c r="F1362" t="s">
        <v>185</v>
      </c>
      <c r="G1362" t="s">
        <v>186</v>
      </c>
      <c r="H1362" t="s">
        <v>187</v>
      </c>
      <c r="I1362" s="6" t="s">
        <v>787</v>
      </c>
      <c r="J1362" s="61" t="s">
        <v>22</v>
      </c>
      <c r="L1362" s="5" t="str">
        <f t="shared" si="311"/>
        <v>01361</v>
      </c>
      <c r="M1362" s="47" t="str">
        <f t="shared" si="312"/>
        <v>12 de agosto de 2018</v>
      </c>
      <c r="N1362" s="323">
        <f t="shared" si="305"/>
        <v>12</v>
      </c>
      <c r="O1362" s="25">
        <f t="shared" si="313"/>
        <v>43313</v>
      </c>
      <c r="P1362" s="5" t="str">
        <f t="shared" si="309"/>
        <v>12,00</v>
      </c>
      <c r="Q1362" s="4" t="e">
        <f t="shared" ca="1" si="310"/>
        <v>#NAME?</v>
      </c>
    </row>
    <row r="1363" spans="1:17">
      <c r="A1363" s="1">
        <f>A1362+1</f>
        <v>1362</v>
      </c>
      <c r="C1363" s="8" t="s">
        <v>17</v>
      </c>
      <c r="D1363" s="2">
        <v>43324</v>
      </c>
      <c r="E1363" s="3">
        <f t="shared" si="314"/>
        <v>12</v>
      </c>
      <c r="F1363" t="s">
        <v>70</v>
      </c>
      <c r="G1363" t="s">
        <v>71</v>
      </c>
      <c r="H1363" t="s">
        <v>72</v>
      </c>
      <c r="I1363" s="6" t="s">
        <v>787</v>
      </c>
      <c r="J1363" s="61" t="s">
        <v>22</v>
      </c>
      <c r="L1363" s="5" t="str">
        <f t="shared" si="311"/>
        <v>01362</v>
      </c>
      <c r="M1363" s="47" t="str">
        <f t="shared" si="312"/>
        <v>12 de agosto de 2018</v>
      </c>
      <c r="N1363" s="323">
        <f t="shared" si="305"/>
        <v>12</v>
      </c>
      <c r="O1363" s="25">
        <f t="shared" si="313"/>
        <v>43313</v>
      </c>
      <c r="P1363" s="5" t="str">
        <f t="shared" si="309"/>
        <v>12,00</v>
      </c>
      <c r="Q1363" s="4" t="e">
        <f t="shared" ca="1" si="310"/>
        <v>#NAME?</v>
      </c>
    </row>
    <row r="1364" spans="1:17">
      <c r="A1364" s="1">
        <f t="shared" ref="A1364:A1430" si="315">A1363+1</f>
        <v>1363</v>
      </c>
      <c r="C1364" s="8" t="s">
        <v>17</v>
      </c>
      <c r="D1364" s="2">
        <v>43324</v>
      </c>
      <c r="E1364" s="3">
        <f t="shared" si="314"/>
        <v>12</v>
      </c>
      <c r="F1364" t="s">
        <v>94</v>
      </c>
      <c r="G1364" t="s">
        <v>607</v>
      </c>
      <c r="H1364" t="s">
        <v>96</v>
      </c>
      <c r="I1364" s="6" t="s">
        <v>787</v>
      </c>
      <c r="J1364" s="61" t="s">
        <v>22</v>
      </c>
      <c r="L1364" s="5" t="str">
        <f t="shared" si="311"/>
        <v>01363</v>
      </c>
      <c r="M1364" s="47" t="str">
        <f t="shared" si="312"/>
        <v>12 de agosto de 2018</v>
      </c>
      <c r="N1364" s="323">
        <f t="shared" si="305"/>
        <v>12</v>
      </c>
      <c r="O1364" s="25">
        <f t="shared" si="313"/>
        <v>43313</v>
      </c>
      <c r="P1364" s="5" t="str">
        <f t="shared" si="309"/>
        <v>12,00</v>
      </c>
      <c r="Q1364" s="4" t="e">
        <f t="shared" ca="1" si="310"/>
        <v>#NAME?</v>
      </c>
    </row>
    <row r="1365" spans="1:17">
      <c r="A1365" s="1">
        <f t="shared" si="315"/>
        <v>1364</v>
      </c>
      <c r="C1365" s="8" t="s">
        <v>17</v>
      </c>
      <c r="D1365" s="2">
        <v>43325</v>
      </c>
      <c r="E1365" s="3">
        <f t="shared" si="314"/>
        <v>12</v>
      </c>
      <c r="F1365" t="s">
        <v>337</v>
      </c>
      <c r="G1365" t="s">
        <v>338</v>
      </c>
      <c r="H1365" t="s">
        <v>339</v>
      </c>
      <c r="I1365" s="6" t="s">
        <v>787</v>
      </c>
      <c r="J1365" s="61" t="s">
        <v>22</v>
      </c>
      <c r="L1365" s="5" t="str">
        <f t="shared" si="311"/>
        <v>01364</v>
      </c>
      <c r="M1365" s="47" t="str">
        <f t="shared" si="312"/>
        <v>13 de agosto de 2018</v>
      </c>
      <c r="N1365" s="323">
        <f t="shared" si="305"/>
        <v>13</v>
      </c>
      <c r="O1365" s="25">
        <f t="shared" si="313"/>
        <v>43313</v>
      </c>
      <c r="P1365" s="5" t="str">
        <f t="shared" si="309"/>
        <v>12,00</v>
      </c>
      <c r="Q1365" s="4" t="e">
        <f t="shared" ca="1" si="310"/>
        <v>#NAME?</v>
      </c>
    </row>
    <row r="1366" spans="1:17">
      <c r="A1366" s="1">
        <f t="shared" si="315"/>
        <v>1365</v>
      </c>
      <c r="C1366" s="8" t="s">
        <v>17</v>
      </c>
      <c r="D1366" s="2">
        <v>43325</v>
      </c>
      <c r="E1366" s="3">
        <f t="shared" si="314"/>
        <v>12</v>
      </c>
      <c r="F1366" t="s">
        <v>443</v>
      </c>
      <c r="G1366" t="s">
        <v>444</v>
      </c>
      <c r="H1366" t="s">
        <v>75</v>
      </c>
      <c r="I1366" s="6" t="s">
        <v>787</v>
      </c>
      <c r="J1366" s="61" t="s">
        <v>22</v>
      </c>
      <c r="L1366" s="5" t="str">
        <f t="shared" si="311"/>
        <v>01365</v>
      </c>
      <c r="M1366" s="47" t="str">
        <f t="shared" si="312"/>
        <v>13 de agosto de 2018</v>
      </c>
      <c r="N1366" s="323">
        <f t="shared" si="305"/>
        <v>13</v>
      </c>
      <c r="O1366" s="25">
        <f t="shared" si="313"/>
        <v>43313</v>
      </c>
      <c r="P1366" s="5" t="str">
        <f t="shared" si="309"/>
        <v>12,00</v>
      </c>
      <c r="Q1366" s="4" t="e">
        <f t="shared" ca="1" si="310"/>
        <v>#NAME?</v>
      </c>
    </row>
    <row r="1367" spans="1:17">
      <c r="A1367" s="1">
        <f t="shared" si="315"/>
        <v>1366</v>
      </c>
      <c r="C1367" s="8" t="s">
        <v>17</v>
      </c>
      <c r="D1367" s="2">
        <v>43325</v>
      </c>
      <c r="E1367" s="3">
        <f t="shared" si="314"/>
        <v>12</v>
      </c>
      <c r="F1367" t="s">
        <v>248</v>
      </c>
      <c r="G1367" t="s">
        <v>249</v>
      </c>
      <c r="H1367" t="s">
        <v>250</v>
      </c>
      <c r="I1367" s="6" t="s">
        <v>787</v>
      </c>
      <c r="J1367" s="61" t="s">
        <v>22</v>
      </c>
      <c r="L1367" s="5" t="str">
        <f t="shared" si="311"/>
        <v>01366</v>
      </c>
      <c r="M1367" s="47" t="str">
        <f t="shared" si="312"/>
        <v>13 de agosto de 2018</v>
      </c>
      <c r="N1367" s="323">
        <f t="shared" si="305"/>
        <v>13</v>
      </c>
      <c r="O1367" s="25">
        <f t="shared" si="313"/>
        <v>43313</v>
      </c>
      <c r="P1367" s="5" t="str">
        <f t="shared" si="309"/>
        <v>12,00</v>
      </c>
      <c r="Q1367" s="4" t="e">
        <f t="shared" ca="1" si="310"/>
        <v>#NAME?</v>
      </c>
    </row>
    <row r="1368" spans="1:17">
      <c r="A1368" s="1">
        <f t="shared" si="315"/>
        <v>1367</v>
      </c>
      <c r="C1368" s="8" t="s">
        <v>17</v>
      </c>
      <c r="D1368" s="2">
        <v>43326</v>
      </c>
      <c r="E1368" s="3">
        <f t="shared" si="314"/>
        <v>12</v>
      </c>
      <c r="F1368" t="s">
        <v>181</v>
      </c>
      <c r="G1368" t="s">
        <v>182</v>
      </c>
      <c r="H1368" t="s">
        <v>183</v>
      </c>
      <c r="I1368" s="6" t="s">
        <v>787</v>
      </c>
      <c r="J1368" s="61" t="s">
        <v>22</v>
      </c>
      <c r="L1368" s="5" t="str">
        <f t="shared" si="311"/>
        <v>01367</v>
      </c>
      <c r="M1368" s="47" t="str">
        <f t="shared" si="312"/>
        <v>14 de agosto de 2018</v>
      </c>
      <c r="N1368" s="323">
        <f t="shared" si="305"/>
        <v>14</v>
      </c>
      <c r="O1368" s="25">
        <f t="shared" si="313"/>
        <v>43313</v>
      </c>
      <c r="P1368" s="5" t="str">
        <f t="shared" si="309"/>
        <v>12,00</v>
      </c>
      <c r="Q1368" s="4" t="e">
        <f t="shared" ca="1" si="310"/>
        <v>#NAME?</v>
      </c>
    </row>
    <row r="1369" spans="1:17">
      <c r="A1369" s="1">
        <f t="shared" si="315"/>
        <v>1368</v>
      </c>
      <c r="C1369" s="8" t="s">
        <v>17</v>
      </c>
      <c r="D1369" s="2">
        <v>43327</v>
      </c>
      <c r="E1369" s="3">
        <f>400000/100000</f>
        <v>4</v>
      </c>
      <c r="F1369" t="s">
        <v>206</v>
      </c>
      <c r="G1369" t="s">
        <v>207</v>
      </c>
      <c r="H1369" t="s">
        <v>208</v>
      </c>
      <c r="I1369" s="6" t="s">
        <v>684</v>
      </c>
      <c r="J1369" s="61" t="s">
        <v>22</v>
      </c>
      <c r="L1369" s="5" t="str">
        <f t="shared" si="311"/>
        <v>01368</v>
      </c>
      <c r="M1369" s="47" t="str">
        <f t="shared" si="312"/>
        <v>15 de agosto de 2018</v>
      </c>
      <c r="N1369" s="323">
        <f t="shared" si="305"/>
        <v>15</v>
      </c>
      <c r="O1369" s="25">
        <f t="shared" si="313"/>
        <v>43313</v>
      </c>
      <c r="P1369" s="5" t="str">
        <f t="shared" si="309"/>
        <v>4,00</v>
      </c>
      <c r="Q1369" s="4" t="e">
        <f t="shared" ca="1" si="310"/>
        <v>#NAME?</v>
      </c>
    </row>
    <row r="1370" spans="1:17">
      <c r="A1370" s="1">
        <f t="shared" si="315"/>
        <v>1369</v>
      </c>
      <c r="C1370" s="8" t="s">
        <v>17</v>
      </c>
      <c r="D1370" s="2">
        <v>43327</v>
      </c>
      <c r="E1370" s="3">
        <f>150000/100000+800000/100000</f>
        <v>9.5</v>
      </c>
      <c r="F1370" t="s">
        <v>162</v>
      </c>
      <c r="G1370" t="s">
        <v>163</v>
      </c>
      <c r="H1370" t="s">
        <v>164</v>
      </c>
      <c r="I1370" s="6" t="s">
        <v>803</v>
      </c>
      <c r="J1370" s="61" t="s">
        <v>22</v>
      </c>
      <c r="L1370" s="5" t="str">
        <f t="shared" si="311"/>
        <v>01369</v>
      </c>
      <c r="M1370" s="47" t="str">
        <f t="shared" si="312"/>
        <v>15 de agosto de 2018</v>
      </c>
      <c r="N1370" s="323">
        <f t="shared" si="305"/>
        <v>15</v>
      </c>
      <c r="O1370" s="25">
        <f t="shared" si="313"/>
        <v>43313</v>
      </c>
      <c r="P1370" s="5" t="str">
        <f>TEXT(E1370,"#.##0,00")</f>
        <v>9,50</v>
      </c>
      <c r="Q1370" s="4" t="e">
        <f ca="1">CONVERTIRNUM(E1370)</f>
        <v>#NAME?</v>
      </c>
    </row>
    <row r="1371" spans="1:17">
      <c r="A1371" s="1">
        <f t="shared" si="315"/>
        <v>1370</v>
      </c>
      <c r="C1371" s="8" t="s">
        <v>17</v>
      </c>
      <c r="D1371" s="2">
        <v>43327</v>
      </c>
      <c r="E1371" s="3">
        <f>4000000/100000-(150000+800000)/100000</f>
        <v>30.5</v>
      </c>
      <c r="F1371" t="s">
        <v>162</v>
      </c>
      <c r="G1371" t="s">
        <v>163</v>
      </c>
      <c r="H1371" t="s">
        <v>164</v>
      </c>
      <c r="I1371" s="6" t="s">
        <v>804</v>
      </c>
      <c r="J1371" s="61" t="s">
        <v>652</v>
      </c>
      <c r="L1371" s="5" t="str">
        <f t="shared" ref="L1371:L1384" si="316">IF(ISBLANK(A1371),"",TEXT(A1371,"00000"))</f>
        <v>01370</v>
      </c>
      <c r="M1371" s="47" t="str">
        <f t="shared" ref="M1371:M1384" si="317">IF(ISBLANK(D1371),"",TEXT(D1371,"dd")&amp;" de "&amp;TEXT(D1371,"mmmm")&amp;" de "&amp;TEXT(YEAR(D1371),"0"))</f>
        <v>15 de agosto de 2018</v>
      </c>
      <c r="N1371" s="323">
        <f t="shared" si="305"/>
        <v>15</v>
      </c>
      <c r="O1371" s="25">
        <f t="shared" ref="O1371:O1384" si="318">DATE(YEAR(D1371),MONTH(D1371),1)</f>
        <v>43313</v>
      </c>
      <c r="P1371" s="5" t="str">
        <f>TEXT(E1371,"#.##0,00")</f>
        <v>30,50</v>
      </c>
      <c r="Q1371" s="4" t="e">
        <f ca="1">CONVERTIRNUM(E1371)</f>
        <v>#NAME?</v>
      </c>
    </row>
    <row r="1372" spans="1:17">
      <c r="A1372" s="1">
        <f t="shared" si="315"/>
        <v>1371</v>
      </c>
      <c r="C1372" s="8" t="s">
        <v>17</v>
      </c>
      <c r="D1372" s="2">
        <v>43327</v>
      </c>
      <c r="E1372" s="3">
        <f>800000/100000</f>
        <v>8</v>
      </c>
      <c r="F1372" t="s">
        <v>342</v>
      </c>
      <c r="G1372" t="s">
        <v>343</v>
      </c>
      <c r="H1372" t="s">
        <v>344</v>
      </c>
      <c r="I1372" s="6" t="s">
        <v>788</v>
      </c>
      <c r="J1372" s="61" t="s">
        <v>22</v>
      </c>
      <c r="L1372" s="5" t="str">
        <f t="shared" si="316"/>
        <v>01371</v>
      </c>
      <c r="M1372" s="47" t="str">
        <f t="shared" si="317"/>
        <v>15 de agosto de 2018</v>
      </c>
      <c r="N1372" s="323">
        <f t="shared" si="305"/>
        <v>15</v>
      </c>
      <c r="O1372" s="25">
        <f t="shared" si="318"/>
        <v>43313</v>
      </c>
      <c r="P1372" s="5" t="str">
        <f t="shared" ref="P1372:P1384" si="319">TEXT(E1372,"#.##0,00")</f>
        <v>8,00</v>
      </c>
      <c r="Q1372" s="4" t="e">
        <f t="shared" ref="Q1372:Q1384" ca="1" si="320">CONVERTIRNUM(E1372)</f>
        <v>#NAME?</v>
      </c>
    </row>
    <row r="1373" spans="1:17">
      <c r="A1373" s="1">
        <f t="shared" si="315"/>
        <v>1372</v>
      </c>
      <c r="C1373" s="8" t="s">
        <v>17</v>
      </c>
      <c r="D1373" s="2">
        <v>43327</v>
      </c>
      <c r="E1373" s="3">
        <f>1200000/100000</f>
        <v>12</v>
      </c>
      <c r="F1373" t="s">
        <v>62</v>
      </c>
      <c r="G1373" t="s">
        <v>63</v>
      </c>
      <c r="H1373" t="s">
        <v>64</v>
      </c>
      <c r="I1373" s="6" t="s">
        <v>787</v>
      </c>
      <c r="J1373" s="61" t="s">
        <v>22</v>
      </c>
      <c r="L1373" s="5" t="str">
        <f t="shared" si="316"/>
        <v>01372</v>
      </c>
      <c r="M1373" s="47" t="str">
        <f t="shared" si="317"/>
        <v>15 de agosto de 2018</v>
      </c>
      <c r="N1373" s="323">
        <f t="shared" si="305"/>
        <v>15</v>
      </c>
      <c r="O1373" s="25">
        <f t="shared" si="318"/>
        <v>43313</v>
      </c>
      <c r="P1373" s="5" t="str">
        <f t="shared" si="319"/>
        <v>12,00</v>
      </c>
      <c r="Q1373" s="4" t="e">
        <f t="shared" ca="1" si="320"/>
        <v>#NAME?</v>
      </c>
    </row>
    <row r="1374" spans="1:17">
      <c r="A1374" s="1">
        <f t="shared" si="315"/>
        <v>1373</v>
      </c>
      <c r="C1374" s="8" t="s">
        <v>17</v>
      </c>
      <c r="D1374" s="2">
        <v>43328</v>
      </c>
      <c r="E1374" s="3">
        <f>1200000/100000</f>
        <v>12</v>
      </c>
      <c r="F1374" t="s">
        <v>201</v>
      </c>
      <c r="G1374" t="s">
        <v>202</v>
      </c>
      <c r="H1374" t="s">
        <v>203</v>
      </c>
      <c r="I1374" s="6" t="s">
        <v>787</v>
      </c>
      <c r="J1374" s="61" t="s">
        <v>22</v>
      </c>
      <c r="L1374" s="5" t="str">
        <f t="shared" si="316"/>
        <v>01373</v>
      </c>
      <c r="M1374" s="47" t="str">
        <f t="shared" si="317"/>
        <v>16 de agosto de 2018</v>
      </c>
      <c r="N1374" s="323">
        <f t="shared" si="305"/>
        <v>16</v>
      </c>
      <c r="O1374" s="25">
        <f t="shared" si="318"/>
        <v>43313</v>
      </c>
      <c r="P1374" s="5" t="str">
        <f t="shared" si="319"/>
        <v>12,00</v>
      </c>
      <c r="Q1374" s="4" t="e">
        <f t="shared" ca="1" si="320"/>
        <v>#NAME?</v>
      </c>
    </row>
    <row r="1375" spans="1:17">
      <c r="A1375" s="1">
        <f t="shared" si="315"/>
        <v>1374</v>
      </c>
      <c r="C1375" s="8" t="s">
        <v>17</v>
      </c>
      <c r="D1375" s="2">
        <v>43328</v>
      </c>
      <c r="E1375" s="3">
        <f>1200000/100000</f>
        <v>12</v>
      </c>
      <c r="F1375" t="s">
        <v>103</v>
      </c>
      <c r="G1375" t="s">
        <v>104</v>
      </c>
      <c r="H1375" t="s">
        <v>105</v>
      </c>
      <c r="I1375" s="6" t="s">
        <v>787</v>
      </c>
      <c r="J1375" s="61" t="s">
        <v>22</v>
      </c>
      <c r="L1375" s="5" t="str">
        <f t="shared" si="316"/>
        <v>01374</v>
      </c>
      <c r="M1375" s="47" t="str">
        <f t="shared" si="317"/>
        <v>16 de agosto de 2018</v>
      </c>
      <c r="N1375" s="323">
        <f t="shared" si="305"/>
        <v>16</v>
      </c>
      <c r="O1375" s="25">
        <f t="shared" si="318"/>
        <v>43313</v>
      </c>
      <c r="P1375" s="5" t="str">
        <f t="shared" si="319"/>
        <v>12,00</v>
      </c>
      <c r="Q1375" s="4" t="e">
        <f t="shared" ca="1" si="320"/>
        <v>#NAME?</v>
      </c>
    </row>
    <row r="1376" spans="1:17" ht="15.75" thickBot="1">
      <c r="A1376" s="1">
        <f t="shared" si="315"/>
        <v>1375</v>
      </c>
      <c r="C1376" s="8" t="s">
        <v>17</v>
      </c>
      <c r="D1376" s="2">
        <v>43328</v>
      </c>
      <c r="E1376" s="3">
        <f>1200000/100000</f>
        <v>12</v>
      </c>
      <c r="F1376" t="s">
        <v>122</v>
      </c>
      <c r="G1376" t="s">
        <v>123</v>
      </c>
      <c r="H1376" t="s">
        <v>124</v>
      </c>
      <c r="I1376" s="6" t="s">
        <v>787</v>
      </c>
      <c r="J1376" s="61" t="s">
        <v>22</v>
      </c>
      <c r="L1376" s="5" t="str">
        <f t="shared" si="316"/>
        <v>01375</v>
      </c>
      <c r="M1376" s="47" t="str">
        <f t="shared" si="317"/>
        <v>16 de agosto de 2018</v>
      </c>
      <c r="N1376" s="323">
        <f t="shared" si="305"/>
        <v>16</v>
      </c>
      <c r="O1376" s="25">
        <f t="shared" si="318"/>
        <v>43313</v>
      </c>
      <c r="P1376" s="5" t="str">
        <f t="shared" si="319"/>
        <v>12,00</v>
      </c>
      <c r="Q1376" s="4" t="e">
        <f t="shared" ca="1" si="320"/>
        <v>#NAME?</v>
      </c>
    </row>
    <row r="1377" spans="1:17" ht="15.75" thickBot="1">
      <c r="A1377" s="1">
        <f t="shared" si="315"/>
        <v>1376</v>
      </c>
      <c r="C1377" s="8" t="s">
        <v>17</v>
      </c>
      <c r="D1377" s="2">
        <v>43328</v>
      </c>
      <c r="E1377" s="3">
        <f>1350000/100000</f>
        <v>13.5</v>
      </c>
      <c r="F1377" t="s">
        <v>259</v>
      </c>
      <c r="G1377" s="18" t="s">
        <v>58</v>
      </c>
      <c r="H1377" t="s">
        <v>261</v>
      </c>
      <c r="I1377" s="6" t="s">
        <v>805</v>
      </c>
      <c r="J1377" s="61" t="s">
        <v>22</v>
      </c>
      <c r="L1377" s="5" t="str">
        <f t="shared" si="316"/>
        <v>01376</v>
      </c>
      <c r="M1377" s="47" t="str">
        <f t="shared" si="317"/>
        <v>16 de agosto de 2018</v>
      </c>
      <c r="N1377" s="323">
        <f t="shared" si="305"/>
        <v>16</v>
      </c>
      <c r="O1377" s="25">
        <f t="shared" si="318"/>
        <v>43313</v>
      </c>
      <c r="P1377" s="5" t="str">
        <f t="shared" si="319"/>
        <v>13,50</v>
      </c>
      <c r="Q1377" s="4" t="e">
        <f t="shared" ca="1" si="320"/>
        <v>#NAME?</v>
      </c>
    </row>
    <row r="1378" spans="1:17" ht="15.75" thickBot="1">
      <c r="A1378" s="1">
        <f t="shared" si="315"/>
        <v>1377</v>
      </c>
      <c r="C1378" s="85" t="s">
        <v>17</v>
      </c>
      <c r="D1378" s="2">
        <v>43330</v>
      </c>
      <c r="E1378" s="3">
        <f>1100000/100000</f>
        <v>11</v>
      </c>
      <c r="F1378" s="20" t="s">
        <v>57</v>
      </c>
      <c r="G1378" s="18" t="s">
        <v>58</v>
      </c>
      <c r="H1378" s="21" t="s">
        <v>59</v>
      </c>
      <c r="I1378" s="6" t="s">
        <v>806</v>
      </c>
      <c r="J1378" s="61" t="s">
        <v>22</v>
      </c>
      <c r="K1378" s="22"/>
      <c r="L1378" s="5" t="str">
        <f t="shared" si="316"/>
        <v>01377</v>
      </c>
      <c r="M1378" s="47" t="str">
        <f t="shared" si="317"/>
        <v>18 de agosto de 2018</v>
      </c>
      <c r="N1378" s="323">
        <f t="shared" si="305"/>
        <v>18</v>
      </c>
      <c r="O1378" s="25">
        <f t="shared" si="318"/>
        <v>43313</v>
      </c>
      <c r="P1378" s="5" t="str">
        <f t="shared" si="319"/>
        <v>11,00</v>
      </c>
      <c r="Q1378" s="4" t="e">
        <f t="shared" ca="1" si="320"/>
        <v>#NAME?</v>
      </c>
    </row>
    <row r="1379" spans="1:17">
      <c r="A1379" s="1">
        <f t="shared" si="315"/>
        <v>1378</v>
      </c>
      <c r="C1379" s="8" t="s">
        <v>17</v>
      </c>
      <c r="D1379" s="2">
        <v>43331</v>
      </c>
      <c r="E1379" s="3">
        <f>1200000/100000</f>
        <v>12</v>
      </c>
      <c r="F1379" t="s">
        <v>134</v>
      </c>
      <c r="G1379" t="s">
        <v>135</v>
      </c>
      <c r="H1379" t="s">
        <v>136</v>
      </c>
      <c r="I1379" s="6" t="s">
        <v>787</v>
      </c>
      <c r="J1379" s="61" t="s">
        <v>22</v>
      </c>
      <c r="L1379" s="5" t="str">
        <f t="shared" si="316"/>
        <v>01378</v>
      </c>
      <c r="M1379" s="47" t="str">
        <f t="shared" si="317"/>
        <v>19 de agosto de 2018</v>
      </c>
      <c r="N1379" s="323">
        <f t="shared" si="305"/>
        <v>19</v>
      </c>
      <c r="O1379" s="25">
        <f t="shared" si="318"/>
        <v>43313</v>
      </c>
      <c r="P1379" s="5" t="str">
        <f t="shared" si="319"/>
        <v>12,00</v>
      </c>
      <c r="Q1379" s="4" t="e">
        <f t="shared" ca="1" si="320"/>
        <v>#NAME?</v>
      </c>
    </row>
    <row r="1380" spans="1:17">
      <c r="A1380" s="1">
        <f t="shared" si="315"/>
        <v>1379</v>
      </c>
      <c r="C1380" s="8" t="s">
        <v>17</v>
      </c>
      <c r="D1380" s="2">
        <v>43331</v>
      </c>
      <c r="E1380" s="3">
        <f>600000/100000</f>
        <v>6</v>
      </c>
      <c r="F1380" t="s">
        <v>134</v>
      </c>
      <c r="G1380" t="s">
        <v>135</v>
      </c>
      <c r="H1380" t="s">
        <v>136</v>
      </c>
      <c r="I1380" s="6" t="s">
        <v>744</v>
      </c>
      <c r="J1380" s="61" t="s">
        <v>745</v>
      </c>
      <c r="L1380" s="5" t="str">
        <f t="shared" si="316"/>
        <v>01379</v>
      </c>
      <c r="M1380" s="47" t="str">
        <f t="shared" si="317"/>
        <v>19 de agosto de 2018</v>
      </c>
      <c r="N1380" s="323">
        <f t="shared" si="305"/>
        <v>19</v>
      </c>
      <c r="O1380" s="25">
        <f t="shared" si="318"/>
        <v>43313</v>
      </c>
      <c r="P1380" s="5" t="str">
        <f t="shared" si="319"/>
        <v>6,00</v>
      </c>
      <c r="Q1380" s="4" t="e">
        <f t="shared" ca="1" si="320"/>
        <v>#NAME?</v>
      </c>
    </row>
    <row r="1381" spans="1:17">
      <c r="A1381" s="1">
        <f t="shared" si="315"/>
        <v>1380</v>
      </c>
      <c r="C1381" s="8" t="s">
        <v>17</v>
      </c>
      <c r="D1381" s="2">
        <v>43334</v>
      </c>
      <c r="E1381" s="3">
        <v>12</v>
      </c>
      <c r="F1381" t="s">
        <v>126</v>
      </c>
      <c r="G1381" t="s">
        <v>127</v>
      </c>
      <c r="H1381" t="s">
        <v>128</v>
      </c>
      <c r="I1381" s="6" t="s">
        <v>787</v>
      </c>
      <c r="J1381" s="61" t="s">
        <v>22</v>
      </c>
      <c r="L1381" s="5" t="str">
        <f t="shared" si="316"/>
        <v>01380</v>
      </c>
      <c r="M1381" s="47" t="str">
        <f t="shared" si="317"/>
        <v>22 de agosto de 2018</v>
      </c>
      <c r="N1381" s="323">
        <f t="shared" si="305"/>
        <v>22</v>
      </c>
      <c r="O1381" s="25">
        <f t="shared" si="318"/>
        <v>43313</v>
      </c>
      <c r="P1381" s="5" t="str">
        <f t="shared" si="319"/>
        <v>12,00</v>
      </c>
      <c r="Q1381" s="4" t="e">
        <f t="shared" ca="1" si="320"/>
        <v>#NAME?</v>
      </c>
    </row>
    <row r="1382" spans="1:17">
      <c r="A1382" s="1">
        <f t="shared" si="315"/>
        <v>1381</v>
      </c>
      <c r="C1382" s="8" t="s">
        <v>17</v>
      </c>
      <c r="D1382" s="2">
        <v>43335</v>
      </c>
      <c r="E1382" s="3">
        <v>12</v>
      </c>
      <c r="F1382" t="s">
        <v>287</v>
      </c>
      <c r="G1382" t="s">
        <v>288</v>
      </c>
      <c r="H1382" t="s">
        <v>289</v>
      </c>
      <c r="I1382" s="6" t="s">
        <v>787</v>
      </c>
      <c r="J1382" s="61" t="s">
        <v>22</v>
      </c>
      <c r="L1382" s="5" t="str">
        <f t="shared" si="316"/>
        <v>01381</v>
      </c>
      <c r="M1382" s="47" t="str">
        <f t="shared" si="317"/>
        <v>23 de agosto de 2018</v>
      </c>
      <c r="N1382" s="323">
        <f t="shared" si="305"/>
        <v>23</v>
      </c>
      <c r="O1382" s="25">
        <f t="shared" si="318"/>
        <v>43313</v>
      </c>
      <c r="P1382" s="5" t="str">
        <f t="shared" si="319"/>
        <v>12,00</v>
      </c>
      <c r="Q1382" s="4" t="e">
        <f t="shared" ca="1" si="320"/>
        <v>#NAME?</v>
      </c>
    </row>
    <row r="1383" spans="1:17">
      <c r="A1383" s="1">
        <f t="shared" si="315"/>
        <v>1382</v>
      </c>
      <c r="C1383" s="8" t="s">
        <v>17</v>
      </c>
      <c r="D1383" s="2">
        <v>43335</v>
      </c>
      <c r="E1383" s="3">
        <v>11.5</v>
      </c>
      <c r="F1383" t="s">
        <v>537</v>
      </c>
      <c r="G1383" t="s">
        <v>538</v>
      </c>
      <c r="H1383" t="s">
        <v>539</v>
      </c>
      <c r="I1383" s="6" t="s">
        <v>788</v>
      </c>
      <c r="J1383" s="61" t="s">
        <v>22</v>
      </c>
      <c r="L1383" s="5" t="str">
        <f t="shared" si="316"/>
        <v>01382</v>
      </c>
      <c r="M1383" s="47" t="str">
        <f t="shared" si="317"/>
        <v>23 de agosto de 2018</v>
      </c>
      <c r="N1383" s="323">
        <f t="shared" si="305"/>
        <v>23</v>
      </c>
      <c r="O1383" s="25">
        <f t="shared" si="318"/>
        <v>43313</v>
      </c>
      <c r="P1383" s="5" t="str">
        <f t="shared" si="319"/>
        <v>11,50</v>
      </c>
      <c r="Q1383" s="4" t="e">
        <f t="shared" ca="1" si="320"/>
        <v>#NAME?</v>
      </c>
    </row>
    <row r="1384" spans="1:17">
      <c r="A1384" s="1">
        <f t="shared" si="315"/>
        <v>1383</v>
      </c>
      <c r="C1384" s="8" t="s">
        <v>17</v>
      </c>
      <c r="D1384" s="2">
        <v>43335</v>
      </c>
      <c r="E1384" s="3">
        <v>12</v>
      </c>
      <c r="F1384" t="s">
        <v>53</v>
      </c>
      <c r="G1384" t="s">
        <v>677</v>
      </c>
      <c r="H1384" t="s">
        <v>55</v>
      </c>
      <c r="I1384" s="6" t="s">
        <v>787</v>
      </c>
      <c r="J1384" s="61" t="s">
        <v>22</v>
      </c>
      <c r="L1384" s="5" t="str">
        <f t="shared" si="316"/>
        <v>01383</v>
      </c>
      <c r="M1384" s="47" t="str">
        <f t="shared" si="317"/>
        <v>23 de agosto de 2018</v>
      </c>
      <c r="N1384" s="323">
        <f t="shared" si="305"/>
        <v>23</v>
      </c>
      <c r="O1384" s="25">
        <f t="shared" si="318"/>
        <v>43313</v>
      </c>
      <c r="P1384" s="5" t="str">
        <f t="shared" si="319"/>
        <v>12,00</v>
      </c>
      <c r="Q1384" s="4" t="e">
        <f t="shared" ca="1" si="320"/>
        <v>#NAME?</v>
      </c>
    </row>
    <row r="1385" spans="1:17">
      <c r="A1385" s="1">
        <f t="shared" si="315"/>
        <v>1384</v>
      </c>
      <c r="C1385" s="8" t="s">
        <v>17</v>
      </c>
      <c r="D1385" s="2">
        <v>43335</v>
      </c>
      <c r="E1385" s="3">
        <v>2</v>
      </c>
      <c r="F1385" t="s">
        <v>53</v>
      </c>
      <c r="G1385" t="s">
        <v>677</v>
      </c>
      <c r="H1385" t="s">
        <v>55</v>
      </c>
      <c r="I1385" s="6" t="s">
        <v>732</v>
      </c>
      <c r="J1385" s="61" t="s">
        <v>733</v>
      </c>
      <c r="L1385" s="5" t="str">
        <f t="shared" ref="L1385:L1400" si="321">IF(ISBLANK(A1385),"",TEXT(A1385,"00000"))</f>
        <v>01384</v>
      </c>
      <c r="M1385" s="47" t="str">
        <f t="shared" ref="M1385:M1400" si="322">IF(ISBLANK(D1385),"",TEXT(D1385,"dd")&amp;" de "&amp;TEXT(D1385,"mmmm")&amp;" de "&amp;TEXT(YEAR(D1385),"0"))</f>
        <v>23 de agosto de 2018</v>
      </c>
      <c r="N1385" s="323">
        <f t="shared" si="305"/>
        <v>23</v>
      </c>
      <c r="O1385" s="25">
        <f t="shared" ref="O1385:O1400" si="323">DATE(YEAR(D1385),MONTH(D1385),1)</f>
        <v>43313</v>
      </c>
      <c r="P1385" s="5" t="str">
        <f t="shared" ref="P1385:P1389" si="324">TEXT(E1385,"#.##0,00")</f>
        <v>2,00</v>
      </c>
      <c r="Q1385" s="4" t="e">
        <f t="shared" ref="Q1385:Q1389" ca="1" si="325">CONVERTIRNUM(E1385)</f>
        <v>#NAME?</v>
      </c>
    </row>
    <row r="1386" spans="1:17">
      <c r="A1386" s="1">
        <f t="shared" si="315"/>
        <v>1385</v>
      </c>
      <c r="C1386" s="8" t="s">
        <v>17</v>
      </c>
      <c r="D1386" s="2">
        <v>43335</v>
      </c>
      <c r="E1386" s="3">
        <v>24</v>
      </c>
      <c r="F1386" t="s">
        <v>324</v>
      </c>
      <c r="G1386" t="s">
        <v>325</v>
      </c>
      <c r="H1386" t="s">
        <v>326</v>
      </c>
      <c r="I1386" s="6" t="s">
        <v>802</v>
      </c>
      <c r="J1386" s="61" t="s">
        <v>22</v>
      </c>
      <c r="L1386" s="5" t="str">
        <f t="shared" si="321"/>
        <v>01385</v>
      </c>
      <c r="M1386" s="47" t="str">
        <f t="shared" si="322"/>
        <v>23 de agosto de 2018</v>
      </c>
      <c r="N1386" s="323">
        <f t="shared" si="305"/>
        <v>23</v>
      </c>
      <c r="O1386" s="25">
        <f t="shared" si="323"/>
        <v>43313</v>
      </c>
      <c r="P1386" s="5" t="str">
        <f t="shared" si="324"/>
        <v>24,00</v>
      </c>
      <c r="Q1386" s="4" t="e">
        <f t="shared" ca="1" si="325"/>
        <v>#NAME?</v>
      </c>
    </row>
    <row r="1387" spans="1:17">
      <c r="A1387" s="1">
        <f t="shared" si="315"/>
        <v>1386</v>
      </c>
      <c r="C1387" s="8" t="s">
        <v>17</v>
      </c>
      <c r="D1387" s="2">
        <v>43335</v>
      </c>
      <c r="E1387" s="3">
        <v>12</v>
      </c>
      <c r="F1387" t="s">
        <v>66</v>
      </c>
      <c r="G1387" t="s">
        <v>67</v>
      </c>
      <c r="H1387" t="s">
        <v>68</v>
      </c>
      <c r="I1387" s="6" t="s">
        <v>787</v>
      </c>
      <c r="J1387" s="61" t="s">
        <v>22</v>
      </c>
      <c r="L1387" s="5" t="str">
        <f t="shared" si="321"/>
        <v>01386</v>
      </c>
      <c r="M1387" s="47" t="str">
        <f t="shared" si="322"/>
        <v>23 de agosto de 2018</v>
      </c>
      <c r="N1387" s="323">
        <f t="shared" si="305"/>
        <v>23</v>
      </c>
      <c r="O1387" s="25">
        <f t="shared" si="323"/>
        <v>43313</v>
      </c>
      <c r="P1387" s="5" t="str">
        <f t="shared" si="324"/>
        <v>12,00</v>
      </c>
      <c r="Q1387" s="4" t="e">
        <f t="shared" ca="1" si="325"/>
        <v>#NAME?</v>
      </c>
    </row>
    <row r="1388" spans="1:17" ht="15.75" thickBot="1">
      <c r="A1388" s="1">
        <f t="shared" si="315"/>
        <v>1387</v>
      </c>
      <c r="C1388" s="8" t="s">
        <v>17</v>
      </c>
      <c r="D1388" s="2">
        <v>43335</v>
      </c>
      <c r="E1388" s="3">
        <v>12</v>
      </c>
      <c r="F1388" t="s">
        <v>401</v>
      </c>
      <c r="G1388" t="s">
        <v>402</v>
      </c>
      <c r="H1388" t="s">
        <v>403</v>
      </c>
      <c r="I1388" s="6" t="s">
        <v>787</v>
      </c>
      <c r="J1388" s="61" t="s">
        <v>22</v>
      </c>
      <c r="L1388" s="5" t="str">
        <f t="shared" si="321"/>
        <v>01387</v>
      </c>
      <c r="M1388" s="47" t="str">
        <f t="shared" si="322"/>
        <v>23 de agosto de 2018</v>
      </c>
      <c r="N1388" s="323">
        <f t="shared" si="305"/>
        <v>23</v>
      </c>
      <c r="O1388" s="25">
        <f t="shared" si="323"/>
        <v>43313</v>
      </c>
      <c r="P1388" s="5" t="str">
        <f t="shared" si="324"/>
        <v>12,00</v>
      </c>
      <c r="Q1388" s="4" t="e">
        <f t="shared" ca="1" si="325"/>
        <v>#NAME?</v>
      </c>
    </row>
    <row r="1389" spans="1:17" ht="15.75" thickBot="1">
      <c r="A1389" s="1">
        <f t="shared" si="315"/>
        <v>1388</v>
      </c>
      <c r="C1389" s="8" t="s">
        <v>17</v>
      </c>
      <c r="D1389" s="2">
        <v>43335</v>
      </c>
      <c r="E1389" s="3">
        <v>12</v>
      </c>
      <c r="F1389" t="s">
        <v>239</v>
      </c>
      <c r="G1389" s="73" t="s">
        <v>240</v>
      </c>
      <c r="H1389" t="s">
        <v>241</v>
      </c>
      <c r="I1389" s="6" t="s">
        <v>787</v>
      </c>
      <c r="J1389" s="61" t="s">
        <v>22</v>
      </c>
      <c r="L1389" s="5" t="str">
        <f t="shared" si="321"/>
        <v>01388</v>
      </c>
      <c r="M1389" s="47" t="str">
        <f t="shared" si="322"/>
        <v>23 de agosto de 2018</v>
      </c>
      <c r="N1389" s="323">
        <f t="shared" si="305"/>
        <v>23</v>
      </c>
      <c r="O1389" s="25">
        <f t="shared" si="323"/>
        <v>43313</v>
      </c>
      <c r="P1389" s="5" t="str">
        <f t="shared" si="324"/>
        <v>12,00</v>
      </c>
      <c r="Q1389" s="4" t="e">
        <f t="shared" ca="1" si="325"/>
        <v>#NAME?</v>
      </c>
    </row>
    <row r="1390" spans="1:17">
      <c r="A1390" s="1">
        <f t="shared" si="315"/>
        <v>1389</v>
      </c>
      <c r="C1390" s="8" t="s">
        <v>17</v>
      </c>
      <c r="D1390" s="2">
        <v>43335</v>
      </c>
      <c r="E1390" s="3">
        <v>12</v>
      </c>
      <c r="F1390" t="s">
        <v>100</v>
      </c>
      <c r="G1390" t="s">
        <v>95</v>
      </c>
      <c r="H1390" t="s">
        <v>101</v>
      </c>
      <c r="I1390" s="6" t="s">
        <v>787</v>
      </c>
      <c r="J1390" s="61" t="s">
        <v>22</v>
      </c>
      <c r="L1390" s="5" t="str">
        <f t="shared" si="321"/>
        <v>01389</v>
      </c>
      <c r="M1390" s="47" t="str">
        <f t="shared" si="322"/>
        <v>23 de agosto de 2018</v>
      </c>
      <c r="N1390" s="323">
        <f t="shared" si="305"/>
        <v>23</v>
      </c>
      <c r="O1390" s="25">
        <f t="shared" si="323"/>
        <v>43313</v>
      </c>
      <c r="P1390" s="5" t="str">
        <f>TEXT(E1390,"#.##0,00")</f>
        <v>12,00</v>
      </c>
      <c r="Q1390" s="4" t="e">
        <f ca="1">CONVERTIRNUM(E1390)</f>
        <v>#NAME?</v>
      </c>
    </row>
    <row r="1391" spans="1:17">
      <c r="A1391" s="1">
        <f t="shared" si="315"/>
        <v>1390</v>
      </c>
      <c r="C1391" s="8" t="s">
        <v>17</v>
      </c>
      <c r="D1391" s="2">
        <v>43336</v>
      </c>
      <c r="E1391" s="3">
        <v>12</v>
      </c>
      <c r="F1391" t="s">
        <v>130</v>
      </c>
      <c r="G1391" t="s">
        <v>131</v>
      </c>
      <c r="H1391" t="s">
        <v>132</v>
      </c>
      <c r="I1391" s="6" t="s">
        <v>787</v>
      </c>
      <c r="J1391" s="61" t="s">
        <v>22</v>
      </c>
      <c r="L1391" s="5" t="str">
        <f t="shared" si="321"/>
        <v>01390</v>
      </c>
      <c r="M1391" s="47" t="str">
        <f t="shared" si="322"/>
        <v>24 de agosto de 2018</v>
      </c>
      <c r="N1391" s="323">
        <f t="shared" si="305"/>
        <v>24</v>
      </c>
      <c r="O1391" s="25">
        <f t="shared" si="323"/>
        <v>43313</v>
      </c>
      <c r="P1391" s="5" t="str">
        <f t="shared" ref="P1391:P1423" si="326">TEXT(E1391,"#.##0,00")</f>
        <v>12,00</v>
      </c>
      <c r="Q1391" s="4" t="e">
        <f t="shared" ref="Q1391:Q1420" ca="1" si="327">CONVERTIRNUM(E1391)</f>
        <v>#NAME?</v>
      </c>
    </row>
    <row r="1392" spans="1:17" ht="15.75" thickBot="1">
      <c r="A1392" s="1">
        <f t="shared" si="315"/>
        <v>1391</v>
      </c>
      <c r="C1392" s="8" t="s">
        <v>17</v>
      </c>
      <c r="D1392" s="2">
        <v>43337</v>
      </c>
      <c r="E1392" s="3">
        <v>12</v>
      </c>
      <c r="F1392" t="s">
        <v>312</v>
      </c>
      <c r="G1392" t="s">
        <v>313</v>
      </c>
      <c r="H1392" t="s">
        <v>314</v>
      </c>
      <c r="I1392" s="6" t="s">
        <v>787</v>
      </c>
      <c r="J1392" s="61" t="s">
        <v>22</v>
      </c>
      <c r="L1392" s="5" t="str">
        <f t="shared" si="321"/>
        <v>01391</v>
      </c>
      <c r="M1392" s="47" t="str">
        <f t="shared" si="322"/>
        <v>25 de agosto de 2018</v>
      </c>
      <c r="N1392" s="323">
        <f t="shared" si="305"/>
        <v>25</v>
      </c>
      <c r="O1392" s="25">
        <f t="shared" si="323"/>
        <v>43313</v>
      </c>
      <c r="P1392" s="5" t="str">
        <f t="shared" si="326"/>
        <v>12,00</v>
      </c>
      <c r="Q1392" s="4" t="e">
        <f t="shared" ca="1" si="327"/>
        <v>#NAME?</v>
      </c>
    </row>
    <row r="1393" spans="1:17" ht="15.75" thickBot="1">
      <c r="A1393" s="1">
        <f t="shared" si="315"/>
        <v>1392</v>
      </c>
      <c r="C1393" s="85" t="s">
        <v>17</v>
      </c>
      <c r="D1393" s="2">
        <v>43339</v>
      </c>
      <c r="E1393" s="3">
        <v>2.2000000000000002</v>
      </c>
      <c r="F1393" s="20" t="s">
        <v>57</v>
      </c>
      <c r="G1393" s="18" t="s">
        <v>58</v>
      </c>
      <c r="H1393" s="21" t="s">
        <v>59</v>
      </c>
      <c r="I1393" s="6" t="s">
        <v>788</v>
      </c>
      <c r="J1393" s="61" t="s">
        <v>22</v>
      </c>
      <c r="K1393" s="22"/>
      <c r="L1393" s="5" t="str">
        <f t="shared" si="321"/>
        <v>01392</v>
      </c>
      <c r="M1393" s="47" t="str">
        <f t="shared" si="322"/>
        <v>27 de agosto de 2018</v>
      </c>
      <c r="N1393" s="323">
        <f t="shared" si="305"/>
        <v>27</v>
      </c>
      <c r="O1393" s="25">
        <f t="shared" si="323"/>
        <v>43313</v>
      </c>
      <c r="P1393" s="5" t="str">
        <f t="shared" si="326"/>
        <v>2,20</v>
      </c>
      <c r="Q1393" s="4" t="e">
        <f t="shared" ca="1" si="327"/>
        <v>#NAME?</v>
      </c>
    </row>
    <row r="1394" spans="1:17" ht="15.75" thickBot="1">
      <c r="A1394" s="1">
        <f t="shared" si="315"/>
        <v>1393</v>
      </c>
      <c r="C1394" s="8" t="s">
        <v>17</v>
      </c>
      <c r="D1394" s="2">
        <v>43339</v>
      </c>
      <c r="E1394" s="3">
        <v>12</v>
      </c>
      <c r="F1394" t="s">
        <v>211</v>
      </c>
      <c r="G1394" t="s">
        <v>212</v>
      </c>
      <c r="H1394" t="s">
        <v>213</v>
      </c>
      <c r="I1394" s="6" t="s">
        <v>787</v>
      </c>
      <c r="J1394" s="61" t="s">
        <v>22</v>
      </c>
      <c r="L1394" s="5" t="str">
        <f t="shared" si="321"/>
        <v>01393</v>
      </c>
      <c r="M1394" s="47" t="str">
        <f t="shared" si="322"/>
        <v>27 de agosto de 2018</v>
      </c>
      <c r="N1394" s="323">
        <f t="shared" si="305"/>
        <v>27</v>
      </c>
      <c r="O1394" s="25">
        <f t="shared" si="323"/>
        <v>43313</v>
      </c>
      <c r="P1394" s="5" t="str">
        <f t="shared" si="326"/>
        <v>12,00</v>
      </c>
      <c r="Q1394" s="4" t="e">
        <f t="shared" ca="1" si="327"/>
        <v>#NAME?</v>
      </c>
    </row>
    <row r="1395" spans="1:17" ht="15.75" thickBot="1">
      <c r="A1395" s="1">
        <f t="shared" si="315"/>
        <v>1394</v>
      </c>
      <c r="C1395" s="85" t="s">
        <v>17</v>
      </c>
      <c r="D1395" s="2">
        <v>43339</v>
      </c>
      <c r="E1395" s="162">
        <v>12</v>
      </c>
      <c r="F1395" t="s">
        <v>492</v>
      </c>
      <c r="G1395" s="18" t="s">
        <v>58</v>
      </c>
      <c r="H1395" t="s">
        <v>493</v>
      </c>
      <c r="I1395" s="6" t="s">
        <v>787</v>
      </c>
      <c r="J1395" s="61" t="s">
        <v>22</v>
      </c>
      <c r="L1395" s="5" t="str">
        <f t="shared" si="321"/>
        <v>01394</v>
      </c>
      <c r="M1395" s="47" t="str">
        <f t="shared" si="322"/>
        <v>27 de agosto de 2018</v>
      </c>
      <c r="N1395" s="323">
        <f t="shared" si="305"/>
        <v>27</v>
      </c>
      <c r="O1395" s="25">
        <f t="shared" si="323"/>
        <v>43313</v>
      </c>
      <c r="P1395" s="5" t="str">
        <f t="shared" si="326"/>
        <v>12,00</v>
      </c>
      <c r="Q1395" s="4" t="e">
        <f t="shared" ca="1" si="327"/>
        <v>#NAME?</v>
      </c>
    </row>
    <row r="1396" spans="1:17" ht="15.75" thickBot="1">
      <c r="A1396" s="1">
        <f t="shared" si="315"/>
        <v>1395</v>
      </c>
      <c r="C1396" s="8" t="s">
        <v>17</v>
      </c>
      <c r="D1396" s="2">
        <v>43339</v>
      </c>
      <c r="E1396" s="3">
        <v>15</v>
      </c>
      <c r="F1396" t="s">
        <v>558</v>
      </c>
      <c r="G1396" t="s">
        <v>559</v>
      </c>
      <c r="H1396" t="s">
        <v>560</v>
      </c>
      <c r="I1396" s="6" t="s">
        <v>787</v>
      </c>
      <c r="J1396" s="61" t="s">
        <v>22</v>
      </c>
      <c r="L1396" s="5" t="str">
        <f t="shared" si="321"/>
        <v>01395</v>
      </c>
      <c r="M1396" s="47" t="str">
        <f t="shared" si="322"/>
        <v>27 de agosto de 2018</v>
      </c>
      <c r="N1396" s="323">
        <f t="shared" si="305"/>
        <v>27</v>
      </c>
      <c r="O1396" s="25">
        <f t="shared" si="323"/>
        <v>43313</v>
      </c>
      <c r="P1396" s="5" t="str">
        <f t="shared" si="326"/>
        <v>15,00</v>
      </c>
      <c r="Q1396" s="4" t="e">
        <f t="shared" ca="1" si="327"/>
        <v>#NAME?</v>
      </c>
    </row>
    <row r="1397" spans="1:17" ht="15.75" thickBot="1">
      <c r="A1397" s="1">
        <f t="shared" si="315"/>
        <v>1396</v>
      </c>
      <c r="C1397" s="85" t="s">
        <v>17</v>
      </c>
      <c r="D1397" s="2">
        <v>43339</v>
      </c>
      <c r="E1397" s="3">
        <v>12</v>
      </c>
      <c r="F1397" t="s">
        <v>319</v>
      </c>
      <c r="G1397" s="18" t="s">
        <v>58</v>
      </c>
      <c r="H1397" t="s">
        <v>320</v>
      </c>
      <c r="I1397" s="6" t="s">
        <v>787</v>
      </c>
      <c r="J1397" s="61" t="s">
        <v>22</v>
      </c>
      <c r="L1397" s="5" t="str">
        <f t="shared" si="321"/>
        <v>01396</v>
      </c>
      <c r="M1397" s="47" t="str">
        <f t="shared" si="322"/>
        <v>27 de agosto de 2018</v>
      </c>
      <c r="N1397" s="323">
        <f t="shared" si="305"/>
        <v>27</v>
      </c>
      <c r="O1397" s="25">
        <f t="shared" si="323"/>
        <v>43313</v>
      </c>
      <c r="P1397" s="5" t="str">
        <f t="shared" si="326"/>
        <v>12,00</v>
      </c>
      <c r="Q1397" s="4" t="e">
        <f t="shared" ca="1" si="327"/>
        <v>#NAME?</v>
      </c>
    </row>
    <row r="1398" spans="1:17">
      <c r="A1398" s="1">
        <f t="shared" si="315"/>
        <v>1397</v>
      </c>
      <c r="C1398" s="8" t="s">
        <v>17</v>
      </c>
      <c r="D1398" s="2">
        <v>43339</v>
      </c>
      <c r="E1398" s="3">
        <v>12</v>
      </c>
      <c r="F1398" t="s">
        <v>230</v>
      </c>
      <c r="G1398" t="s">
        <v>231</v>
      </c>
      <c r="H1398" t="s">
        <v>232</v>
      </c>
      <c r="I1398" s="6" t="s">
        <v>787</v>
      </c>
      <c r="J1398" s="61" t="s">
        <v>22</v>
      </c>
      <c r="L1398" s="5" t="str">
        <f t="shared" si="321"/>
        <v>01397</v>
      </c>
      <c r="M1398" s="47" t="str">
        <f t="shared" si="322"/>
        <v>27 de agosto de 2018</v>
      </c>
      <c r="N1398" s="323">
        <f t="shared" si="305"/>
        <v>27</v>
      </c>
      <c r="O1398" s="25">
        <f t="shared" si="323"/>
        <v>43313</v>
      </c>
      <c r="P1398" s="5" t="str">
        <f t="shared" si="326"/>
        <v>12,00</v>
      </c>
      <c r="Q1398" s="4" t="e">
        <f t="shared" ca="1" si="327"/>
        <v>#NAME?</v>
      </c>
    </row>
    <row r="1399" spans="1:17">
      <c r="A1399" s="1">
        <f t="shared" si="315"/>
        <v>1398</v>
      </c>
      <c r="C1399" s="8" t="s">
        <v>17</v>
      </c>
      <c r="D1399" s="2">
        <v>43341</v>
      </c>
      <c r="E1399" s="3">
        <v>12</v>
      </c>
      <c r="F1399" t="s">
        <v>284</v>
      </c>
      <c r="G1399" t="s">
        <v>687</v>
      </c>
      <c r="H1399" t="s">
        <v>285</v>
      </c>
      <c r="I1399" s="6" t="s">
        <v>787</v>
      </c>
      <c r="J1399" s="61" t="s">
        <v>22</v>
      </c>
      <c r="L1399" s="5" t="str">
        <f t="shared" si="321"/>
        <v>01398</v>
      </c>
      <c r="M1399" s="47" t="str">
        <f t="shared" si="322"/>
        <v>29 de agosto de 2018</v>
      </c>
      <c r="N1399" s="323">
        <f t="shared" si="305"/>
        <v>29</v>
      </c>
      <c r="O1399" s="25">
        <f t="shared" si="323"/>
        <v>43313</v>
      </c>
      <c r="P1399" s="5" t="str">
        <f t="shared" si="326"/>
        <v>12,00</v>
      </c>
      <c r="Q1399" s="4" t="e">
        <f t="shared" ca="1" si="327"/>
        <v>#NAME?</v>
      </c>
    </row>
    <row r="1400" spans="1:17">
      <c r="A1400" s="1">
        <f t="shared" si="315"/>
        <v>1399</v>
      </c>
      <c r="C1400" s="8" t="s">
        <v>17</v>
      </c>
      <c r="D1400" s="2">
        <v>43341</v>
      </c>
      <c r="E1400" s="3">
        <v>12</v>
      </c>
      <c r="F1400" t="s">
        <v>785</v>
      </c>
      <c r="G1400" t="s">
        <v>786</v>
      </c>
      <c r="H1400" t="s">
        <v>719</v>
      </c>
      <c r="I1400" s="6" t="s">
        <v>787</v>
      </c>
      <c r="J1400" s="61" t="s">
        <v>22</v>
      </c>
      <c r="L1400" s="5" t="str">
        <f t="shared" si="321"/>
        <v>01399</v>
      </c>
      <c r="M1400" s="47" t="str">
        <f t="shared" si="322"/>
        <v>29 de agosto de 2018</v>
      </c>
      <c r="N1400" s="323">
        <f t="shared" si="305"/>
        <v>29</v>
      </c>
      <c r="O1400" s="25">
        <f t="shared" si="323"/>
        <v>43313</v>
      </c>
      <c r="P1400" s="5" t="str">
        <f t="shared" si="326"/>
        <v>12,00</v>
      </c>
      <c r="Q1400" s="4" t="e">
        <f t="shared" ca="1" si="327"/>
        <v>#NAME?</v>
      </c>
    </row>
    <row r="1401" spans="1:17">
      <c r="A1401" s="1">
        <f t="shared" si="315"/>
        <v>1400</v>
      </c>
      <c r="C1401" s="8" t="s">
        <v>17</v>
      </c>
      <c r="D1401" s="2">
        <v>43324</v>
      </c>
      <c r="E1401" s="3">
        <v>12</v>
      </c>
      <c r="F1401" t="s">
        <v>454</v>
      </c>
      <c r="G1401" t="s">
        <v>761</v>
      </c>
      <c r="H1401" t="s">
        <v>455</v>
      </c>
      <c r="I1401" s="6" t="s">
        <v>787</v>
      </c>
      <c r="J1401" s="61" t="s">
        <v>22</v>
      </c>
      <c r="L1401" s="5" t="str">
        <f>IF(ISBLANK(A1401),"",TEXT(A1401,"00000"))</f>
        <v>01400</v>
      </c>
      <c r="M1401" s="47" t="str">
        <f>IF(ISBLANK(D1401),"",TEXT(D1401,"dd")&amp;" de "&amp;TEXT(D1401,"mmmm")&amp;" de "&amp;TEXT(YEAR(D1401),"0"))</f>
        <v>12 de agosto de 2018</v>
      </c>
      <c r="N1401" s="323">
        <f t="shared" si="305"/>
        <v>12</v>
      </c>
      <c r="O1401" s="25">
        <f>DATE(YEAR(D1401),MONTH(D1401),1)</f>
        <v>43313</v>
      </c>
      <c r="P1401" s="5" t="str">
        <f t="shared" si="326"/>
        <v>12,00</v>
      </c>
      <c r="Q1401" s="4" t="e">
        <f t="shared" ca="1" si="327"/>
        <v>#NAME?</v>
      </c>
    </row>
    <row r="1402" spans="1:17">
      <c r="A1402" s="1">
        <f t="shared" si="315"/>
        <v>1401</v>
      </c>
      <c r="C1402" s="8" t="s">
        <v>17</v>
      </c>
      <c r="D1402" s="2">
        <v>43343</v>
      </c>
      <c r="E1402" s="3">
        <v>8</v>
      </c>
      <c r="F1402" t="s">
        <v>28</v>
      </c>
      <c r="G1402" t="s">
        <v>716</v>
      </c>
      <c r="H1402" t="s">
        <v>30</v>
      </c>
      <c r="I1402" s="6" t="s">
        <v>807</v>
      </c>
      <c r="J1402" s="61" t="s">
        <v>22</v>
      </c>
      <c r="L1402" s="5" t="str">
        <f t="shared" ref="L1402:L1414" si="328">IF(ISBLANK(A1402),"",TEXT(A1402,"00000"))</f>
        <v>01401</v>
      </c>
      <c r="M1402" s="47" t="str">
        <f t="shared" ref="M1402:M1414" si="329">IF(ISBLANK(D1402),"",TEXT(D1402,"dd")&amp;" de "&amp;TEXT(D1402,"mmmm")&amp;" de "&amp;TEXT(YEAR(D1402),"0"))</f>
        <v>31 de agosto de 2018</v>
      </c>
      <c r="N1402" s="323">
        <f t="shared" si="305"/>
        <v>31</v>
      </c>
      <c r="O1402" s="25">
        <f t="shared" ref="O1402:O1414" si="330">DATE(YEAR(D1402),MONTH(D1402),1)</f>
        <v>43313</v>
      </c>
      <c r="P1402" s="5" t="str">
        <f t="shared" si="326"/>
        <v>8,00</v>
      </c>
      <c r="Q1402" s="4" t="e">
        <f t="shared" ca="1" si="327"/>
        <v>#NAME?</v>
      </c>
    </row>
    <row r="1403" spans="1:17">
      <c r="A1403" s="1">
        <f t="shared" si="315"/>
        <v>1402</v>
      </c>
      <c r="C1403" s="8" t="s">
        <v>17</v>
      </c>
      <c r="D1403" s="2">
        <v>43344</v>
      </c>
      <c r="E1403" s="3">
        <v>370</v>
      </c>
      <c r="F1403" t="s">
        <v>713</v>
      </c>
      <c r="G1403" t="s">
        <v>714</v>
      </c>
      <c r="H1403" t="s">
        <v>154</v>
      </c>
      <c r="I1403" s="6" t="s">
        <v>808</v>
      </c>
      <c r="J1403" s="61" t="s">
        <v>22</v>
      </c>
      <c r="L1403" s="5" t="str">
        <f t="shared" si="328"/>
        <v>01402</v>
      </c>
      <c r="M1403" s="47" t="str">
        <f t="shared" si="329"/>
        <v>01 de septiembre de 2018</v>
      </c>
      <c r="N1403" s="323">
        <f t="shared" si="305"/>
        <v>1</v>
      </c>
      <c r="O1403" s="25">
        <f t="shared" si="330"/>
        <v>43344</v>
      </c>
      <c r="P1403" s="5" t="str">
        <f t="shared" si="326"/>
        <v>370,00</v>
      </c>
      <c r="Q1403" s="4" t="e">
        <f t="shared" ca="1" si="327"/>
        <v>#NAME?</v>
      </c>
    </row>
    <row r="1404" spans="1:17" ht="15.75" thickBot="1">
      <c r="A1404" s="1">
        <f t="shared" si="315"/>
        <v>1403</v>
      </c>
      <c r="C1404" s="8" t="s">
        <v>17</v>
      </c>
      <c r="D1404" s="2">
        <v>43344</v>
      </c>
      <c r="E1404" s="3">
        <v>12</v>
      </c>
      <c r="F1404" t="s">
        <v>144</v>
      </c>
      <c r="G1404" t="s">
        <v>661</v>
      </c>
      <c r="H1404" t="s">
        <v>146</v>
      </c>
      <c r="I1404" s="6" t="s">
        <v>787</v>
      </c>
      <c r="J1404" s="61" t="s">
        <v>22</v>
      </c>
      <c r="L1404" s="5" t="str">
        <f t="shared" si="328"/>
        <v>01403</v>
      </c>
      <c r="M1404" s="47" t="str">
        <f t="shared" si="329"/>
        <v>01 de septiembre de 2018</v>
      </c>
      <c r="N1404" s="323">
        <f t="shared" si="305"/>
        <v>1</v>
      </c>
      <c r="O1404" s="25">
        <f t="shared" si="330"/>
        <v>43344</v>
      </c>
      <c r="P1404" s="5" t="str">
        <f t="shared" si="326"/>
        <v>12,00</v>
      </c>
      <c r="Q1404" s="4" t="e">
        <f t="shared" ca="1" si="327"/>
        <v>#NAME?</v>
      </c>
    </row>
    <row r="1405" spans="1:17" ht="15.75" thickBot="1">
      <c r="A1405" s="1">
        <f t="shared" si="315"/>
        <v>1404</v>
      </c>
      <c r="C1405" s="85" t="s">
        <v>17</v>
      </c>
      <c r="D1405" s="2">
        <v>43345</v>
      </c>
      <c r="E1405" s="3">
        <v>27</v>
      </c>
      <c r="F1405" t="s">
        <v>40</v>
      </c>
      <c r="G1405" s="18" t="s">
        <v>58</v>
      </c>
      <c r="H1405" t="s">
        <v>42</v>
      </c>
      <c r="I1405" s="6" t="s">
        <v>809</v>
      </c>
      <c r="J1405" s="61" t="s">
        <v>22</v>
      </c>
      <c r="L1405" s="5" t="str">
        <f t="shared" si="328"/>
        <v>01404</v>
      </c>
      <c r="M1405" s="47" t="str">
        <f t="shared" si="329"/>
        <v>02 de septiembre de 2018</v>
      </c>
      <c r="N1405" s="323">
        <f t="shared" si="305"/>
        <v>2</v>
      </c>
      <c r="O1405" s="25">
        <f t="shared" si="330"/>
        <v>43344</v>
      </c>
      <c r="P1405" s="5" t="str">
        <f t="shared" si="326"/>
        <v>27,00</v>
      </c>
      <c r="Q1405" s="4" t="e">
        <f t="shared" ca="1" si="327"/>
        <v>#NAME?</v>
      </c>
    </row>
    <row r="1406" spans="1:17">
      <c r="A1406" s="1">
        <f t="shared" si="315"/>
        <v>1405</v>
      </c>
      <c r="C1406" s="8" t="s">
        <v>17</v>
      </c>
      <c r="D1406" s="2">
        <v>43345</v>
      </c>
      <c r="E1406" s="3">
        <v>12</v>
      </c>
      <c r="F1406" t="s">
        <v>118</v>
      </c>
      <c r="G1406" t="s">
        <v>119</v>
      </c>
      <c r="H1406" t="s">
        <v>120</v>
      </c>
      <c r="I1406" s="6" t="s">
        <v>787</v>
      </c>
      <c r="J1406" s="61" t="s">
        <v>22</v>
      </c>
      <c r="L1406" s="5" t="str">
        <f t="shared" si="328"/>
        <v>01405</v>
      </c>
      <c r="M1406" s="47" t="str">
        <f t="shared" si="329"/>
        <v>02 de septiembre de 2018</v>
      </c>
      <c r="N1406" s="323">
        <f t="shared" si="305"/>
        <v>2</v>
      </c>
      <c r="O1406" s="25">
        <f t="shared" si="330"/>
        <v>43344</v>
      </c>
      <c r="P1406" s="5" t="str">
        <f t="shared" si="326"/>
        <v>12,00</v>
      </c>
      <c r="Q1406" s="4" t="e">
        <f t="shared" ca="1" si="327"/>
        <v>#NAME?</v>
      </c>
    </row>
    <row r="1407" spans="1:17">
      <c r="A1407" s="1">
        <f t="shared" si="315"/>
        <v>1406</v>
      </c>
      <c r="C1407" s="8" t="s">
        <v>17</v>
      </c>
      <c r="D1407" s="2">
        <v>43346</v>
      </c>
      <c r="E1407" s="3">
        <v>10</v>
      </c>
      <c r="F1407" t="s">
        <v>412</v>
      </c>
      <c r="G1407" t="s">
        <v>413</v>
      </c>
      <c r="H1407" t="s">
        <v>414</v>
      </c>
      <c r="I1407" s="6" t="s">
        <v>807</v>
      </c>
      <c r="J1407" s="61" t="s">
        <v>22</v>
      </c>
      <c r="L1407" s="5" t="str">
        <f t="shared" si="328"/>
        <v>01406</v>
      </c>
      <c r="M1407" s="47" t="str">
        <f t="shared" si="329"/>
        <v>03 de septiembre de 2018</v>
      </c>
      <c r="N1407" s="323">
        <f t="shared" si="305"/>
        <v>3</v>
      </c>
      <c r="O1407" s="25">
        <f t="shared" si="330"/>
        <v>43344</v>
      </c>
      <c r="P1407" s="5" t="str">
        <f t="shared" si="326"/>
        <v>10,00</v>
      </c>
      <c r="Q1407" s="4" t="e">
        <f t="shared" ca="1" si="327"/>
        <v>#NAME?</v>
      </c>
    </row>
    <row r="1408" spans="1:17">
      <c r="A1408" s="1">
        <f t="shared" si="315"/>
        <v>1407</v>
      </c>
      <c r="C1408" s="8" t="s">
        <v>17</v>
      </c>
      <c r="D1408" s="2">
        <v>43346</v>
      </c>
      <c r="E1408" s="3">
        <v>12</v>
      </c>
      <c r="F1408" t="s">
        <v>296</v>
      </c>
      <c r="G1408" t="s">
        <v>297</v>
      </c>
      <c r="H1408" t="s">
        <v>298</v>
      </c>
      <c r="I1408" s="6" t="s">
        <v>787</v>
      </c>
      <c r="J1408" s="61" t="s">
        <v>22</v>
      </c>
      <c r="L1408" s="5" t="str">
        <f t="shared" si="328"/>
        <v>01407</v>
      </c>
      <c r="M1408" s="47" t="str">
        <f t="shared" si="329"/>
        <v>03 de septiembre de 2018</v>
      </c>
      <c r="N1408" s="323">
        <f t="shared" si="305"/>
        <v>3</v>
      </c>
      <c r="O1408" s="25">
        <f t="shared" si="330"/>
        <v>43344</v>
      </c>
      <c r="P1408" s="5" t="str">
        <f t="shared" si="326"/>
        <v>12,00</v>
      </c>
      <c r="Q1408" s="4" t="e">
        <f t="shared" ca="1" si="327"/>
        <v>#NAME?</v>
      </c>
    </row>
    <row r="1409" spans="1:17">
      <c r="A1409" s="1">
        <f t="shared" si="315"/>
        <v>1408</v>
      </c>
      <c r="C1409" s="8" t="s">
        <v>17</v>
      </c>
      <c r="D1409" s="2">
        <v>43348</v>
      </c>
      <c r="E1409" s="3">
        <v>320</v>
      </c>
      <c r="F1409" t="s">
        <v>80</v>
      </c>
      <c r="G1409" t="s">
        <v>81</v>
      </c>
      <c r="H1409" t="s">
        <v>82</v>
      </c>
      <c r="I1409" s="6" t="s">
        <v>810</v>
      </c>
      <c r="J1409" s="61" t="s">
        <v>22</v>
      </c>
      <c r="L1409" s="5" t="str">
        <f t="shared" si="328"/>
        <v>01408</v>
      </c>
      <c r="M1409" s="47" t="str">
        <f t="shared" si="329"/>
        <v>05 de septiembre de 2018</v>
      </c>
      <c r="N1409" s="323">
        <f t="shared" si="305"/>
        <v>5</v>
      </c>
      <c r="O1409" s="25">
        <f t="shared" si="330"/>
        <v>43344</v>
      </c>
      <c r="P1409" s="5" t="str">
        <f t="shared" si="326"/>
        <v>320,00</v>
      </c>
      <c r="Q1409" s="4" t="e">
        <f t="shared" ca="1" si="327"/>
        <v>#NAME?</v>
      </c>
    </row>
    <row r="1410" spans="1:17">
      <c r="A1410" s="1">
        <f>A1409+1</f>
        <v>1409</v>
      </c>
      <c r="C1410" s="8" t="s">
        <v>17</v>
      </c>
      <c r="D1410" s="2">
        <v>43348</v>
      </c>
      <c r="E1410" s="3">
        <v>320</v>
      </c>
      <c r="F1410" t="s">
        <v>70</v>
      </c>
      <c r="G1410" t="s">
        <v>71</v>
      </c>
      <c r="H1410" t="s">
        <v>72</v>
      </c>
      <c r="I1410" s="6" t="s">
        <v>810</v>
      </c>
      <c r="J1410" s="61" t="s">
        <v>22</v>
      </c>
      <c r="L1410" s="5" t="str">
        <f t="shared" si="328"/>
        <v>01409</v>
      </c>
      <c r="M1410" s="47" t="str">
        <f t="shared" si="329"/>
        <v>05 de septiembre de 2018</v>
      </c>
      <c r="N1410" s="323">
        <f t="shared" si="305"/>
        <v>5</v>
      </c>
      <c r="O1410" s="25">
        <f t="shared" si="330"/>
        <v>43344</v>
      </c>
      <c r="P1410" s="5" t="str">
        <f t="shared" si="326"/>
        <v>320,00</v>
      </c>
      <c r="Q1410" s="4" t="e">
        <f t="shared" ca="1" si="327"/>
        <v>#NAME?</v>
      </c>
    </row>
    <row r="1411" spans="1:17">
      <c r="A1411" s="1">
        <f t="shared" si="315"/>
        <v>1410</v>
      </c>
      <c r="C1411" s="8" t="s">
        <v>17</v>
      </c>
      <c r="D1411" s="2">
        <v>43348</v>
      </c>
      <c r="E1411" s="3">
        <v>320</v>
      </c>
      <c r="F1411" t="s">
        <v>342</v>
      </c>
      <c r="G1411" t="s">
        <v>343</v>
      </c>
      <c r="H1411" t="s">
        <v>344</v>
      </c>
      <c r="I1411" s="6" t="s">
        <v>810</v>
      </c>
      <c r="J1411" s="61" t="s">
        <v>22</v>
      </c>
      <c r="L1411" s="5" t="str">
        <f t="shared" si="328"/>
        <v>01410</v>
      </c>
      <c r="M1411" s="47" t="str">
        <f t="shared" si="329"/>
        <v>05 de septiembre de 2018</v>
      </c>
      <c r="N1411" s="323">
        <f t="shared" ref="N1411:N1462" si="331">DAY(D1411)</f>
        <v>5</v>
      </c>
      <c r="O1411" s="25">
        <f t="shared" si="330"/>
        <v>43344</v>
      </c>
      <c r="P1411" s="5" t="str">
        <f t="shared" si="326"/>
        <v>320,00</v>
      </c>
      <c r="Q1411" s="4" t="e">
        <f t="shared" ca="1" si="327"/>
        <v>#NAME?</v>
      </c>
    </row>
    <row r="1412" spans="1:17">
      <c r="A1412" s="1">
        <f t="shared" si="315"/>
        <v>1411</v>
      </c>
      <c r="C1412" s="8" t="s">
        <v>17</v>
      </c>
      <c r="D1412" s="2">
        <v>43348</v>
      </c>
      <c r="E1412" s="3">
        <v>320</v>
      </c>
      <c r="F1412" t="s">
        <v>48</v>
      </c>
      <c r="G1412" t="s">
        <v>49</v>
      </c>
      <c r="H1412" t="s">
        <v>50</v>
      </c>
      <c r="I1412" s="6" t="s">
        <v>810</v>
      </c>
      <c r="J1412" s="61" t="s">
        <v>22</v>
      </c>
      <c r="L1412" s="5" t="str">
        <f t="shared" si="328"/>
        <v>01411</v>
      </c>
      <c r="M1412" s="47" t="str">
        <f t="shared" si="329"/>
        <v>05 de septiembre de 2018</v>
      </c>
      <c r="N1412" s="323">
        <f t="shared" si="331"/>
        <v>5</v>
      </c>
      <c r="O1412" s="25">
        <f t="shared" si="330"/>
        <v>43344</v>
      </c>
      <c r="P1412" s="5" t="str">
        <f t="shared" si="326"/>
        <v>320,00</v>
      </c>
      <c r="Q1412" s="4" t="e">
        <f t="shared" ca="1" si="327"/>
        <v>#NAME?</v>
      </c>
    </row>
    <row r="1413" spans="1:17">
      <c r="A1413" s="1">
        <f t="shared" si="315"/>
        <v>1412</v>
      </c>
      <c r="C1413" s="8" t="s">
        <v>17</v>
      </c>
      <c r="D1413" s="2">
        <v>43348</v>
      </c>
      <c r="E1413" s="3">
        <v>320</v>
      </c>
      <c r="F1413" t="s">
        <v>66</v>
      </c>
      <c r="G1413" t="s">
        <v>67</v>
      </c>
      <c r="H1413" t="s">
        <v>68</v>
      </c>
      <c r="I1413" s="6" t="s">
        <v>810</v>
      </c>
      <c r="J1413" s="61" t="s">
        <v>22</v>
      </c>
      <c r="L1413" s="5" t="str">
        <f t="shared" si="328"/>
        <v>01412</v>
      </c>
      <c r="M1413" s="47" t="str">
        <f t="shared" si="329"/>
        <v>05 de septiembre de 2018</v>
      </c>
      <c r="N1413" s="323">
        <f t="shared" si="331"/>
        <v>5</v>
      </c>
      <c r="O1413" s="25">
        <f t="shared" si="330"/>
        <v>43344</v>
      </c>
      <c r="P1413" s="5" t="str">
        <f t="shared" si="326"/>
        <v>320,00</v>
      </c>
      <c r="Q1413" s="4" t="e">
        <f t="shared" ca="1" si="327"/>
        <v>#NAME?</v>
      </c>
    </row>
    <row r="1414" spans="1:17">
      <c r="A1414" s="1">
        <f t="shared" si="315"/>
        <v>1413</v>
      </c>
      <c r="C1414" s="8" t="s">
        <v>17</v>
      </c>
      <c r="D1414" s="2">
        <v>43348</v>
      </c>
      <c r="E1414" s="3">
        <v>320</v>
      </c>
      <c r="F1414" t="s">
        <v>24</v>
      </c>
      <c r="G1414" t="s">
        <v>25</v>
      </c>
      <c r="H1414" t="s">
        <v>26</v>
      </c>
      <c r="I1414" s="6" t="s">
        <v>810</v>
      </c>
      <c r="J1414" s="61" t="s">
        <v>22</v>
      </c>
      <c r="L1414" s="5" t="str">
        <f t="shared" si="328"/>
        <v>01413</v>
      </c>
      <c r="M1414" s="47" t="str">
        <f t="shared" si="329"/>
        <v>05 de septiembre de 2018</v>
      </c>
      <c r="N1414" s="323">
        <f t="shared" si="331"/>
        <v>5</v>
      </c>
      <c r="O1414" s="25">
        <f t="shared" si="330"/>
        <v>43344</v>
      </c>
      <c r="P1414" s="5" t="str">
        <f t="shared" si="326"/>
        <v>320,00</v>
      </c>
      <c r="Q1414" s="4" t="e">
        <f t="shared" ca="1" si="327"/>
        <v>#NAME?</v>
      </c>
    </row>
    <row r="1415" spans="1:17">
      <c r="A1415" s="1">
        <f t="shared" si="315"/>
        <v>1414</v>
      </c>
      <c r="C1415" s="8" t="s">
        <v>17</v>
      </c>
      <c r="D1415" s="2">
        <v>43348</v>
      </c>
      <c r="E1415" s="3">
        <v>400</v>
      </c>
      <c r="F1415" t="s">
        <v>44</v>
      </c>
      <c r="G1415" t="s">
        <v>45</v>
      </c>
      <c r="H1415" t="s">
        <v>46</v>
      </c>
      <c r="I1415" s="6" t="s">
        <v>811</v>
      </c>
      <c r="J1415" s="61" t="s">
        <v>22</v>
      </c>
      <c r="L1415" s="5" t="str">
        <f>IF(ISBLANK(A1415),"",TEXT(A1415,"00000"))</f>
        <v>01414</v>
      </c>
      <c r="M1415" s="47" t="str">
        <f>IF(ISBLANK(D1415),"",TEXT(D1415,"dd")&amp;" de "&amp;TEXT(D1415,"mmmm")&amp;" de "&amp;TEXT(YEAR(D1415),"0"))</f>
        <v>05 de septiembre de 2018</v>
      </c>
      <c r="N1415" s="323">
        <f t="shared" si="331"/>
        <v>5</v>
      </c>
      <c r="O1415" s="25">
        <f>DATE(YEAR(D1415),MONTH(D1415),1)</f>
        <v>43344</v>
      </c>
      <c r="P1415" s="5" t="str">
        <f t="shared" si="326"/>
        <v>400,00</v>
      </c>
      <c r="Q1415" s="4" t="e">
        <f t="shared" ca="1" si="327"/>
        <v>#NAME?</v>
      </c>
    </row>
    <row r="1416" spans="1:17">
      <c r="A1416" s="1">
        <f t="shared" si="315"/>
        <v>1415</v>
      </c>
      <c r="C1416" s="8" t="s">
        <v>17</v>
      </c>
      <c r="D1416" s="2">
        <v>43348</v>
      </c>
      <c r="E1416" s="3">
        <f>308.4+11.6</f>
        <v>320</v>
      </c>
      <c r="F1416" t="s">
        <v>36</v>
      </c>
      <c r="G1416" t="s">
        <v>37</v>
      </c>
      <c r="H1416" t="s">
        <v>38</v>
      </c>
      <c r="I1416" s="6" t="s">
        <v>810</v>
      </c>
      <c r="J1416" s="61" t="s">
        <v>22</v>
      </c>
      <c r="L1416" s="5" t="str">
        <f t="shared" ref="L1416:L1423" si="332">IF(ISBLANK(A1416),"",TEXT(A1416,"00000"))</f>
        <v>01415</v>
      </c>
      <c r="M1416" s="47" t="str">
        <f t="shared" ref="M1416:M1423" si="333">IF(ISBLANK(D1416),"",TEXT(D1416,"dd")&amp;" de "&amp;TEXT(D1416,"mmmm")&amp;" de "&amp;TEXT(YEAR(D1416),"0"))</f>
        <v>05 de septiembre de 2018</v>
      </c>
      <c r="N1416" s="323">
        <f t="shared" si="331"/>
        <v>5</v>
      </c>
      <c r="O1416" s="25">
        <f t="shared" ref="O1416:O1423" si="334">DATE(YEAR(D1416),MONTH(D1416),1)</f>
        <v>43344</v>
      </c>
      <c r="P1416" s="5" t="str">
        <f t="shared" si="326"/>
        <v>320,00</v>
      </c>
      <c r="Q1416" s="4" t="e">
        <f t="shared" ca="1" si="327"/>
        <v>#NAME?</v>
      </c>
    </row>
    <row r="1417" spans="1:17">
      <c r="A1417" s="1">
        <f t="shared" si="315"/>
        <v>1416</v>
      </c>
      <c r="C1417" s="8" t="s">
        <v>17</v>
      </c>
      <c r="D1417" s="2">
        <v>43349</v>
      </c>
      <c r="E1417" s="3">
        <v>320</v>
      </c>
      <c r="F1417" t="s">
        <v>201</v>
      </c>
      <c r="G1417" t="s">
        <v>202</v>
      </c>
      <c r="H1417" t="s">
        <v>203</v>
      </c>
      <c r="I1417" s="6" t="s">
        <v>810</v>
      </c>
      <c r="J1417" s="61" t="s">
        <v>22</v>
      </c>
      <c r="L1417" s="5" t="str">
        <f t="shared" si="332"/>
        <v>01416</v>
      </c>
      <c r="M1417" s="47" t="str">
        <f t="shared" si="333"/>
        <v>06 de septiembre de 2018</v>
      </c>
      <c r="N1417" s="323">
        <f t="shared" si="331"/>
        <v>6</v>
      </c>
      <c r="O1417" s="25">
        <f t="shared" si="334"/>
        <v>43344</v>
      </c>
      <c r="P1417" s="5" t="str">
        <f t="shared" si="326"/>
        <v>320,00</v>
      </c>
      <c r="Q1417" s="4" t="e">
        <f t="shared" ca="1" si="327"/>
        <v>#NAME?</v>
      </c>
    </row>
    <row r="1418" spans="1:17">
      <c r="A1418" s="1">
        <f t="shared" si="315"/>
        <v>1417</v>
      </c>
      <c r="C1418" s="8" t="s">
        <v>17</v>
      </c>
      <c r="D1418" s="2">
        <v>43349</v>
      </c>
      <c r="E1418" s="3">
        <v>320</v>
      </c>
      <c r="F1418" t="s">
        <v>483</v>
      </c>
      <c r="G1418" t="s">
        <v>484</v>
      </c>
      <c r="H1418" t="s">
        <v>485</v>
      </c>
      <c r="I1418" s="6" t="s">
        <v>810</v>
      </c>
      <c r="J1418" s="61" t="s">
        <v>22</v>
      </c>
      <c r="L1418" s="5" t="str">
        <f t="shared" si="332"/>
        <v>01417</v>
      </c>
      <c r="M1418" s="47" t="str">
        <f t="shared" si="333"/>
        <v>06 de septiembre de 2018</v>
      </c>
      <c r="N1418" s="323">
        <f t="shared" si="331"/>
        <v>6</v>
      </c>
      <c r="O1418" s="25">
        <f t="shared" si="334"/>
        <v>43344</v>
      </c>
      <c r="P1418" s="5" t="str">
        <f t="shared" si="326"/>
        <v>320,00</v>
      </c>
      <c r="Q1418" s="4" t="e">
        <f t="shared" ca="1" si="327"/>
        <v>#NAME?</v>
      </c>
    </row>
    <row r="1419" spans="1:17">
      <c r="A1419" s="1">
        <f t="shared" si="315"/>
        <v>1418</v>
      </c>
      <c r="C1419" s="8" t="s">
        <v>17</v>
      </c>
      <c r="D1419" s="2">
        <v>43349</v>
      </c>
      <c r="E1419" s="3">
        <v>350</v>
      </c>
      <c r="F1419" t="s">
        <v>107</v>
      </c>
      <c r="G1419" t="s">
        <v>108</v>
      </c>
      <c r="H1419" t="s">
        <v>109</v>
      </c>
      <c r="I1419" s="6" t="s">
        <v>811</v>
      </c>
      <c r="J1419" s="61" t="s">
        <v>22</v>
      </c>
      <c r="L1419" s="5" t="str">
        <f t="shared" si="332"/>
        <v>01418</v>
      </c>
      <c r="M1419" s="47" t="str">
        <f t="shared" si="333"/>
        <v>06 de septiembre de 2018</v>
      </c>
      <c r="N1419" s="323">
        <f t="shared" si="331"/>
        <v>6</v>
      </c>
      <c r="O1419" s="25">
        <f t="shared" si="334"/>
        <v>43344</v>
      </c>
      <c r="P1419" s="5" t="str">
        <f t="shared" si="326"/>
        <v>350,00</v>
      </c>
      <c r="Q1419" s="4" t="e">
        <f t="shared" ca="1" si="327"/>
        <v>#NAME?</v>
      </c>
    </row>
    <row r="1420" spans="1:17">
      <c r="A1420" s="1">
        <f t="shared" si="315"/>
        <v>1419</v>
      </c>
      <c r="C1420" s="8" t="s">
        <v>17</v>
      </c>
      <c r="D1420" s="2">
        <v>43349</v>
      </c>
      <c r="E1420" s="3">
        <v>320</v>
      </c>
      <c r="F1420" t="s">
        <v>337</v>
      </c>
      <c r="G1420" t="s">
        <v>338</v>
      </c>
      <c r="H1420" t="s">
        <v>339</v>
      </c>
      <c r="I1420" s="6" t="s">
        <v>810</v>
      </c>
      <c r="J1420" s="61" t="s">
        <v>22</v>
      </c>
      <c r="L1420" s="5" t="str">
        <f t="shared" si="332"/>
        <v>01419</v>
      </c>
      <c r="M1420" s="47" t="str">
        <f t="shared" si="333"/>
        <v>06 de septiembre de 2018</v>
      </c>
      <c r="N1420" s="323">
        <f t="shared" si="331"/>
        <v>6</v>
      </c>
      <c r="O1420" s="25">
        <f t="shared" si="334"/>
        <v>43344</v>
      </c>
      <c r="P1420" s="5" t="str">
        <f t="shared" si="326"/>
        <v>320,00</v>
      </c>
      <c r="Q1420" s="4" t="e">
        <f t="shared" ca="1" si="327"/>
        <v>#NAME?</v>
      </c>
    </row>
    <row r="1421" spans="1:17">
      <c r="A1421" s="1">
        <f t="shared" si="315"/>
        <v>1420</v>
      </c>
      <c r="C1421" s="8" t="s">
        <v>17</v>
      </c>
      <c r="D1421" s="2">
        <v>43349</v>
      </c>
      <c r="E1421" s="3">
        <v>320</v>
      </c>
      <c r="F1421" t="s">
        <v>407</v>
      </c>
      <c r="G1421" t="s">
        <v>408</v>
      </c>
      <c r="H1421" t="s">
        <v>409</v>
      </c>
      <c r="I1421" s="6" t="s">
        <v>810</v>
      </c>
      <c r="J1421" s="61" t="s">
        <v>22</v>
      </c>
      <c r="L1421" s="5" t="str">
        <f t="shared" si="332"/>
        <v>01420</v>
      </c>
      <c r="M1421" s="47" t="str">
        <f t="shared" si="333"/>
        <v>06 de septiembre de 2018</v>
      </c>
      <c r="N1421" s="323">
        <f t="shared" si="331"/>
        <v>6</v>
      </c>
      <c r="O1421" s="25">
        <f t="shared" si="334"/>
        <v>43344</v>
      </c>
      <c r="P1421" s="5" t="str">
        <f t="shared" si="326"/>
        <v>320,00</v>
      </c>
      <c r="Q1421" s="4" t="e">
        <f ca="1">CONVERTIRNUM(E1421)</f>
        <v>#NAME?</v>
      </c>
    </row>
    <row r="1422" spans="1:17">
      <c r="A1422" s="1">
        <f t="shared" si="315"/>
        <v>1421</v>
      </c>
      <c r="C1422" s="8" t="s">
        <v>17</v>
      </c>
      <c r="D1422" s="2">
        <v>43350</v>
      </c>
      <c r="E1422" s="3">
        <v>320</v>
      </c>
      <c r="F1422" t="s">
        <v>126</v>
      </c>
      <c r="G1422" t="s">
        <v>127</v>
      </c>
      <c r="H1422" t="s">
        <v>128</v>
      </c>
      <c r="I1422" s="6" t="s">
        <v>810</v>
      </c>
      <c r="J1422" s="61" t="s">
        <v>22</v>
      </c>
      <c r="L1422" s="5" t="str">
        <f t="shared" si="332"/>
        <v>01421</v>
      </c>
      <c r="M1422" s="47" t="str">
        <f t="shared" si="333"/>
        <v>07 de septiembre de 2018</v>
      </c>
      <c r="N1422" s="323">
        <f t="shared" si="331"/>
        <v>7</v>
      </c>
      <c r="O1422" s="25">
        <f t="shared" si="334"/>
        <v>43344</v>
      </c>
      <c r="P1422" s="5" t="str">
        <f t="shared" si="326"/>
        <v>320,00</v>
      </c>
      <c r="Q1422" s="4" t="e">
        <f t="shared" ref="Q1422:Q1428" ca="1" si="335">CONVERTIRNUM(E1422)</f>
        <v>#NAME?</v>
      </c>
    </row>
    <row r="1423" spans="1:17">
      <c r="A1423" s="1">
        <f t="shared" si="315"/>
        <v>1422</v>
      </c>
      <c r="C1423" s="8" t="s">
        <v>17</v>
      </c>
      <c r="D1423" s="2">
        <v>43350</v>
      </c>
      <c r="E1423" s="3">
        <v>320</v>
      </c>
      <c r="F1423" t="s">
        <v>771</v>
      </c>
      <c r="G1423" t="s">
        <v>772</v>
      </c>
      <c r="H1423" t="s">
        <v>773</v>
      </c>
      <c r="I1423" s="6" t="s">
        <v>812</v>
      </c>
      <c r="J1423" s="61" t="s">
        <v>22</v>
      </c>
      <c r="L1423" s="5" t="str">
        <f t="shared" si="332"/>
        <v>01422</v>
      </c>
      <c r="M1423" s="47" t="str">
        <f t="shared" si="333"/>
        <v>07 de septiembre de 2018</v>
      </c>
      <c r="N1423" s="323">
        <f t="shared" si="331"/>
        <v>7</v>
      </c>
      <c r="O1423" s="25">
        <f t="shared" si="334"/>
        <v>43344</v>
      </c>
      <c r="P1423" s="5" t="str">
        <f t="shared" si="326"/>
        <v>320,00</v>
      </c>
      <c r="Q1423" s="4" t="e">
        <f t="shared" ca="1" si="335"/>
        <v>#NAME?</v>
      </c>
    </row>
    <row r="1424" spans="1:17">
      <c r="A1424" s="1">
        <f t="shared" si="315"/>
        <v>1423</v>
      </c>
      <c r="C1424" s="8" t="s">
        <v>17</v>
      </c>
      <c r="D1424" s="2">
        <v>43350</v>
      </c>
      <c r="E1424" s="3">
        <v>320</v>
      </c>
      <c r="F1424" t="s">
        <v>454</v>
      </c>
      <c r="G1424" t="s">
        <v>761</v>
      </c>
      <c r="H1424" t="s">
        <v>455</v>
      </c>
      <c r="I1424" s="6" t="s">
        <v>810</v>
      </c>
      <c r="J1424" s="61" t="s">
        <v>22</v>
      </c>
      <c r="L1424" s="5" t="str">
        <f>IF(ISBLANK(A1424),"",TEXT(A1424,"00000"))</f>
        <v>01423</v>
      </c>
      <c r="M1424" s="47" t="str">
        <f>IF(ISBLANK(D1424),"",TEXT(D1424,"dd")&amp;" de "&amp;TEXT(D1424,"mmmm")&amp;" de "&amp;TEXT(YEAR(D1424),"0"))</f>
        <v>07 de septiembre de 2018</v>
      </c>
      <c r="N1424" s="323">
        <f t="shared" si="331"/>
        <v>7</v>
      </c>
      <c r="O1424" s="25">
        <f>DATE(YEAR(D1424),MONTH(D1424),1)</f>
        <v>43344</v>
      </c>
      <c r="P1424" s="5" t="str">
        <f t="shared" ref="P1424:P1428" si="336">TEXT(E1424,"#.##0,00")</f>
        <v>320,00</v>
      </c>
      <c r="Q1424" s="4" t="e">
        <f t="shared" ca="1" si="335"/>
        <v>#NAME?</v>
      </c>
    </row>
    <row r="1425" spans="1:17" ht="15.75" thickBot="1">
      <c r="A1425" s="1">
        <f t="shared" si="315"/>
        <v>1424</v>
      </c>
      <c r="C1425" s="8" t="s">
        <v>17</v>
      </c>
      <c r="D1425" s="2">
        <v>43352</v>
      </c>
      <c r="E1425" s="3">
        <v>320</v>
      </c>
      <c r="F1425" t="s">
        <v>362</v>
      </c>
      <c r="G1425" t="s">
        <v>363</v>
      </c>
      <c r="H1425" t="s">
        <v>364</v>
      </c>
      <c r="I1425" s="6" t="s">
        <v>810</v>
      </c>
      <c r="J1425" s="61" t="s">
        <v>22</v>
      </c>
      <c r="L1425" s="5" t="str">
        <f t="shared" ref="L1425:L1454" si="337">IF(ISBLANK(A1425),"",TEXT(A1425,"00000"))</f>
        <v>01424</v>
      </c>
      <c r="M1425" s="47" t="str">
        <f t="shared" ref="M1425:M1454" si="338">IF(ISBLANK(D1425),"",TEXT(D1425,"dd")&amp;" de "&amp;TEXT(D1425,"mmmm")&amp;" de "&amp;TEXT(YEAR(D1425),"0"))</f>
        <v>09 de septiembre de 2018</v>
      </c>
      <c r="N1425" s="323">
        <f t="shared" si="331"/>
        <v>9</v>
      </c>
      <c r="O1425" s="25">
        <f t="shared" ref="O1425:O1454" si="339">DATE(YEAR(D1425),MONTH(D1425),1)</f>
        <v>43344</v>
      </c>
      <c r="P1425" s="5" t="str">
        <f t="shared" si="336"/>
        <v>320,00</v>
      </c>
      <c r="Q1425" s="4" t="e">
        <f t="shared" ca="1" si="335"/>
        <v>#NAME?</v>
      </c>
    </row>
    <row r="1426" spans="1:17" ht="15.75" thickBot="1">
      <c r="A1426" s="1">
        <f t="shared" si="315"/>
        <v>1425</v>
      </c>
      <c r="C1426" s="85" t="s">
        <v>17</v>
      </c>
      <c r="D1426" s="2">
        <v>43354</v>
      </c>
      <c r="E1426" s="3">
        <v>320</v>
      </c>
      <c r="F1426" t="s">
        <v>319</v>
      </c>
      <c r="G1426" s="18" t="s">
        <v>58</v>
      </c>
      <c r="H1426" t="s">
        <v>320</v>
      </c>
      <c r="I1426" s="6" t="s">
        <v>810</v>
      </c>
      <c r="J1426" s="61" t="s">
        <v>22</v>
      </c>
      <c r="L1426" s="5" t="str">
        <f t="shared" si="337"/>
        <v>01425</v>
      </c>
      <c r="M1426" s="47" t="str">
        <f t="shared" si="338"/>
        <v>11 de septiembre de 2018</v>
      </c>
      <c r="N1426" s="323">
        <f t="shared" si="331"/>
        <v>11</v>
      </c>
      <c r="O1426" s="25">
        <f t="shared" si="339"/>
        <v>43344</v>
      </c>
      <c r="P1426" s="5" t="str">
        <f t="shared" si="336"/>
        <v>320,00</v>
      </c>
      <c r="Q1426" s="4" t="e">
        <f t="shared" ref="Q1426:Q1427" ca="1" si="340">CONVERTIRNUM(E1426)</f>
        <v>#NAME?</v>
      </c>
    </row>
    <row r="1427" spans="1:17" ht="15.75" thickBot="1">
      <c r="A1427" s="1">
        <f t="shared" si="315"/>
        <v>1426</v>
      </c>
      <c r="C1427" s="85" t="s">
        <v>17</v>
      </c>
      <c r="D1427" s="2">
        <v>43354</v>
      </c>
      <c r="E1427" s="3">
        <v>320</v>
      </c>
      <c r="F1427" s="20" t="s">
        <v>57</v>
      </c>
      <c r="G1427" s="18" t="s">
        <v>58</v>
      </c>
      <c r="H1427" s="21" t="s">
        <v>59</v>
      </c>
      <c r="I1427" s="6" t="s">
        <v>810</v>
      </c>
      <c r="J1427" s="61" t="s">
        <v>22</v>
      </c>
      <c r="K1427" s="22"/>
      <c r="L1427" s="5" t="str">
        <f t="shared" si="337"/>
        <v>01426</v>
      </c>
      <c r="M1427" s="47" t="str">
        <f t="shared" si="338"/>
        <v>11 de septiembre de 2018</v>
      </c>
      <c r="N1427" s="323">
        <f t="shared" si="331"/>
        <v>11</v>
      </c>
      <c r="O1427" s="25">
        <f t="shared" si="339"/>
        <v>43344</v>
      </c>
      <c r="P1427" s="5" t="str">
        <f t="shared" si="336"/>
        <v>320,00</v>
      </c>
      <c r="Q1427" s="4" t="e">
        <f t="shared" ca="1" si="340"/>
        <v>#NAME?</v>
      </c>
    </row>
    <row r="1428" spans="1:17">
      <c r="A1428" s="1">
        <f t="shared" si="315"/>
        <v>1427</v>
      </c>
      <c r="C1428" s="8" t="s">
        <v>17</v>
      </c>
      <c r="D1428" s="2">
        <v>43355</v>
      </c>
      <c r="E1428" s="3">
        <f>20.55+299.45</f>
        <v>320</v>
      </c>
      <c r="F1428" t="s">
        <v>612</v>
      </c>
      <c r="G1428" t="s">
        <v>613</v>
      </c>
      <c r="H1428" t="s">
        <v>614</v>
      </c>
      <c r="I1428" s="6" t="s">
        <v>813</v>
      </c>
      <c r="J1428" s="61" t="s">
        <v>22</v>
      </c>
      <c r="L1428" s="5" t="str">
        <f t="shared" si="337"/>
        <v>01427</v>
      </c>
      <c r="M1428" s="47" t="str">
        <f t="shared" si="338"/>
        <v>12 de septiembre de 2018</v>
      </c>
      <c r="N1428" s="323">
        <f t="shared" si="331"/>
        <v>12</v>
      </c>
      <c r="O1428" s="25">
        <f t="shared" si="339"/>
        <v>43344</v>
      </c>
      <c r="P1428" s="5" t="str">
        <f t="shared" si="336"/>
        <v>320,00</v>
      </c>
      <c r="Q1428" s="4" t="e">
        <f t="shared" ca="1" si="335"/>
        <v>#NAME?</v>
      </c>
    </row>
    <row r="1429" spans="1:17">
      <c r="A1429" s="1">
        <f t="shared" si="315"/>
        <v>1428</v>
      </c>
      <c r="C1429" s="8" t="s">
        <v>17</v>
      </c>
      <c r="D1429" s="2">
        <v>43355</v>
      </c>
      <c r="E1429" s="3">
        <f>20.55+299.45</f>
        <v>320</v>
      </c>
      <c r="F1429" t="s">
        <v>100</v>
      </c>
      <c r="G1429" t="s">
        <v>95</v>
      </c>
      <c r="H1429" t="s">
        <v>101</v>
      </c>
      <c r="I1429" s="6" t="s">
        <v>810</v>
      </c>
      <c r="J1429" s="61" t="s">
        <v>22</v>
      </c>
      <c r="L1429" s="5" t="str">
        <f t="shared" si="337"/>
        <v>01428</v>
      </c>
      <c r="M1429" s="47" t="str">
        <f t="shared" si="338"/>
        <v>12 de septiembre de 2018</v>
      </c>
      <c r="N1429" s="323">
        <f t="shared" si="331"/>
        <v>12</v>
      </c>
      <c r="O1429" s="25">
        <f t="shared" si="339"/>
        <v>43344</v>
      </c>
      <c r="P1429" s="5" t="str">
        <f>TEXT(E1429,"#.##0,00")</f>
        <v>320,00</v>
      </c>
      <c r="Q1429" s="4" t="e">
        <f ca="1">CONVERTIRNUM(E1429)</f>
        <v>#NAME?</v>
      </c>
    </row>
    <row r="1430" spans="1:17">
      <c r="A1430" s="1">
        <f t="shared" si="315"/>
        <v>1429</v>
      </c>
      <c r="C1430" s="8" t="s">
        <v>17</v>
      </c>
      <c r="D1430" s="2">
        <v>43355</v>
      </c>
      <c r="E1430" s="3">
        <f>20.55+299.45</f>
        <v>320</v>
      </c>
      <c r="F1430" t="s">
        <v>94</v>
      </c>
      <c r="G1430" t="s">
        <v>607</v>
      </c>
      <c r="H1430" t="s">
        <v>96</v>
      </c>
      <c r="I1430" s="6" t="s">
        <v>810</v>
      </c>
      <c r="J1430" s="61" t="s">
        <v>22</v>
      </c>
      <c r="L1430" s="5" t="str">
        <f t="shared" si="337"/>
        <v>01429</v>
      </c>
      <c r="M1430" s="47" t="str">
        <f t="shared" si="338"/>
        <v>12 de septiembre de 2018</v>
      </c>
      <c r="N1430" s="323">
        <f t="shared" si="331"/>
        <v>12</v>
      </c>
      <c r="O1430" s="25">
        <f t="shared" si="339"/>
        <v>43344</v>
      </c>
      <c r="P1430" s="5" t="str">
        <f t="shared" ref="P1430:P1462" si="341">TEXT(E1430,"#.##0,00")</f>
        <v>320,00</v>
      </c>
      <c r="Q1430" s="4" t="e">
        <f t="shared" ref="Q1430:Q1462" ca="1" si="342">CONVERTIRNUM(E1430)</f>
        <v>#NAME?</v>
      </c>
    </row>
    <row r="1431" spans="1:17">
      <c r="A1431" s="1">
        <f t="shared" ref="A1431:A1471" si="343">A1430+1</f>
        <v>1430</v>
      </c>
      <c r="C1431" s="8" t="s">
        <v>17</v>
      </c>
      <c r="D1431" s="2">
        <v>43355</v>
      </c>
      <c r="E1431" s="3">
        <v>12</v>
      </c>
      <c r="F1431" t="s">
        <v>433</v>
      </c>
      <c r="G1431" t="s">
        <v>434</v>
      </c>
      <c r="H1431" t="s">
        <v>435</v>
      </c>
      <c r="I1431" s="6" t="s">
        <v>807</v>
      </c>
      <c r="J1431" s="61" t="s">
        <v>22</v>
      </c>
      <c r="L1431" s="5" t="str">
        <f t="shared" si="337"/>
        <v>01430</v>
      </c>
      <c r="M1431" s="47" t="str">
        <f t="shared" si="338"/>
        <v>12 de septiembre de 2018</v>
      </c>
      <c r="N1431" s="323">
        <f t="shared" si="331"/>
        <v>12</v>
      </c>
      <c r="O1431" s="25">
        <f t="shared" si="339"/>
        <v>43344</v>
      </c>
      <c r="P1431" s="5" t="str">
        <f t="shared" si="341"/>
        <v>12,00</v>
      </c>
      <c r="Q1431" s="4" t="e">
        <f t="shared" ca="1" si="342"/>
        <v>#NAME?</v>
      </c>
    </row>
    <row r="1432" spans="1:17">
      <c r="A1432" s="1">
        <f t="shared" si="343"/>
        <v>1431</v>
      </c>
      <c r="C1432" s="8" t="s">
        <v>17</v>
      </c>
      <c r="D1432" s="2">
        <v>43355</v>
      </c>
      <c r="E1432" s="3">
        <v>320</v>
      </c>
      <c r="F1432" t="s">
        <v>18</v>
      </c>
      <c r="G1432" t="s">
        <v>19</v>
      </c>
      <c r="H1432" t="s">
        <v>20</v>
      </c>
      <c r="I1432" s="6" t="s">
        <v>814</v>
      </c>
      <c r="J1432" s="61" t="s">
        <v>22</v>
      </c>
      <c r="L1432" s="5" t="str">
        <f t="shared" si="337"/>
        <v>01431</v>
      </c>
      <c r="M1432" s="47" t="str">
        <f t="shared" si="338"/>
        <v>12 de septiembre de 2018</v>
      </c>
      <c r="N1432" s="323">
        <f t="shared" si="331"/>
        <v>12</v>
      </c>
      <c r="O1432" s="25">
        <f t="shared" si="339"/>
        <v>43344</v>
      </c>
      <c r="P1432" s="5" t="str">
        <f t="shared" si="341"/>
        <v>320,00</v>
      </c>
      <c r="Q1432" s="4" t="e">
        <f t="shared" ca="1" si="342"/>
        <v>#NAME?</v>
      </c>
    </row>
    <row r="1433" spans="1:17">
      <c r="A1433" s="1">
        <f t="shared" si="343"/>
        <v>1432</v>
      </c>
      <c r="C1433" s="8" t="s">
        <v>17</v>
      </c>
      <c r="D1433" s="2">
        <v>43356</v>
      </c>
      <c r="E1433" s="3">
        <v>320</v>
      </c>
      <c r="F1433" t="s">
        <v>122</v>
      </c>
      <c r="G1433" t="s">
        <v>123</v>
      </c>
      <c r="H1433" t="s">
        <v>124</v>
      </c>
      <c r="I1433" s="6" t="s">
        <v>810</v>
      </c>
      <c r="J1433" s="61" t="s">
        <v>22</v>
      </c>
      <c r="L1433" s="5" t="str">
        <f t="shared" si="337"/>
        <v>01432</v>
      </c>
      <c r="M1433" s="47" t="str">
        <f t="shared" si="338"/>
        <v>13 de septiembre de 2018</v>
      </c>
      <c r="N1433" s="323">
        <f t="shared" si="331"/>
        <v>13</v>
      </c>
      <c r="O1433" s="25">
        <f t="shared" si="339"/>
        <v>43344</v>
      </c>
      <c r="P1433" s="5" t="str">
        <f t="shared" si="341"/>
        <v>320,00</v>
      </c>
      <c r="Q1433" s="4" t="e">
        <f t="shared" ca="1" si="342"/>
        <v>#NAME?</v>
      </c>
    </row>
    <row r="1434" spans="1:17">
      <c r="A1434" s="1">
        <f t="shared" si="343"/>
        <v>1433</v>
      </c>
      <c r="C1434" s="8" t="s">
        <v>17</v>
      </c>
      <c r="D1434" s="2">
        <v>43357</v>
      </c>
      <c r="E1434" s="3">
        <v>500</v>
      </c>
      <c r="F1434" t="s">
        <v>90</v>
      </c>
      <c r="G1434" t="s">
        <v>91</v>
      </c>
      <c r="H1434" t="s">
        <v>92</v>
      </c>
      <c r="I1434" s="6" t="s">
        <v>815</v>
      </c>
      <c r="J1434" s="61" t="s">
        <v>22</v>
      </c>
      <c r="L1434" s="5" t="str">
        <f t="shared" si="337"/>
        <v>01433</v>
      </c>
      <c r="M1434" s="47" t="str">
        <f t="shared" si="338"/>
        <v>14 de septiembre de 2018</v>
      </c>
      <c r="N1434" s="323">
        <f t="shared" si="331"/>
        <v>14</v>
      </c>
      <c r="O1434" s="25">
        <f t="shared" si="339"/>
        <v>43344</v>
      </c>
      <c r="P1434" s="5" t="str">
        <f t="shared" si="341"/>
        <v>500,00</v>
      </c>
      <c r="Q1434" s="4" t="e">
        <f t="shared" ca="1" si="342"/>
        <v>#NAME?</v>
      </c>
    </row>
    <row r="1435" spans="1:17" ht="15.75" thickBot="1">
      <c r="A1435" s="1">
        <f t="shared" si="343"/>
        <v>1434</v>
      </c>
      <c r="C1435" s="8" t="s">
        <v>17</v>
      </c>
      <c r="D1435" s="2">
        <v>43357</v>
      </c>
      <c r="E1435" s="3">
        <v>320</v>
      </c>
      <c r="F1435" t="s">
        <v>284</v>
      </c>
      <c r="G1435" t="s">
        <v>687</v>
      </c>
      <c r="H1435" t="s">
        <v>285</v>
      </c>
      <c r="I1435" s="6" t="s">
        <v>810</v>
      </c>
      <c r="J1435" s="61" t="s">
        <v>22</v>
      </c>
      <c r="L1435" s="5" t="str">
        <f t="shared" si="337"/>
        <v>01434</v>
      </c>
      <c r="M1435" s="47" t="str">
        <f t="shared" si="338"/>
        <v>14 de septiembre de 2018</v>
      </c>
      <c r="N1435" s="323">
        <f t="shared" si="331"/>
        <v>14</v>
      </c>
      <c r="O1435" s="25">
        <f t="shared" si="339"/>
        <v>43344</v>
      </c>
      <c r="P1435" s="5" t="str">
        <f t="shared" si="341"/>
        <v>320,00</v>
      </c>
      <c r="Q1435" s="4" t="e">
        <f t="shared" ca="1" si="342"/>
        <v>#NAME?</v>
      </c>
    </row>
    <row r="1436" spans="1:17" ht="15.75" thickBot="1">
      <c r="A1436" s="1">
        <f t="shared" si="343"/>
        <v>1435</v>
      </c>
      <c r="C1436" s="8" t="s">
        <v>17</v>
      </c>
      <c r="D1436" s="2">
        <v>43358</v>
      </c>
      <c r="E1436" s="3">
        <v>320</v>
      </c>
      <c r="F1436" t="s">
        <v>239</v>
      </c>
      <c r="G1436" s="73" t="s">
        <v>240</v>
      </c>
      <c r="H1436" t="s">
        <v>241</v>
      </c>
      <c r="I1436" s="6" t="s">
        <v>810</v>
      </c>
      <c r="J1436" s="61" t="s">
        <v>22</v>
      </c>
      <c r="L1436" s="5" t="str">
        <f t="shared" si="337"/>
        <v>01435</v>
      </c>
      <c r="M1436" s="47" t="str">
        <f t="shared" si="338"/>
        <v>15 de septiembre de 2018</v>
      </c>
      <c r="N1436" s="323">
        <f t="shared" si="331"/>
        <v>15</v>
      </c>
      <c r="O1436" s="25">
        <f t="shared" si="339"/>
        <v>43344</v>
      </c>
      <c r="P1436" s="5" t="str">
        <f t="shared" si="341"/>
        <v>320,00</v>
      </c>
      <c r="Q1436" s="4" t="e">
        <f t="shared" ca="1" si="342"/>
        <v>#NAME?</v>
      </c>
    </row>
    <row r="1437" spans="1:17">
      <c r="A1437" s="1">
        <f t="shared" si="343"/>
        <v>1436</v>
      </c>
      <c r="C1437" s="8" t="s">
        <v>17</v>
      </c>
      <c r="D1437" s="2">
        <v>43359</v>
      </c>
      <c r="E1437" s="3">
        <v>350</v>
      </c>
      <c r="F1437" t="s">
        <v>248</v>
      </c>
      <c r="G1437" t="s">
        <v>249</v>
      </c>
      <c r="H1437" t="s">
        <v>250</v>
      </c>
      <c r="I1437" s="6" t="s">
        <v>816</v>
      </c>
      <c r="J1437" s="61" t="s">
        <v>22</v>
      </c>
      <c r="L1437" s="5" t="str">
        <f t="shared" si="337"/>
        <v>01436</v>
      </c>
      <c r="M1437" s="47" t="str">
        <f t="shared" si="338"/>
        <v>16 de septiembre de 2018</v>
      </c>
      <c r="N1437" s="323">
        <f t="shared" si="331"/>
        <v>16</v>
      </c>
      <c r="O1437" s="25">
        <f t="shared" si="339"/>
        <v>43344</v>
      </c>
      <c r="P1437" s="5" t="str">
        <f t="shared" si="341"/>
        <v>350,00</v>
      </c>
      <c r="Q1437" s="4" t="e">
        <f t="shared" ca="1" si="342"/>
        <v>#NAME?</v>
      </c>
    </row>
    <row r="1438" spans="1:17" ht="15.75" thickBot="1">
      <c r="A1438" s="1">
        <f t="shared" si="343"/>
        <v>1437</v>
      </c>
      <c r="C1438" s="8" t="s">
        <v>17</v>
      </c>
      <c r="D1438" s="2">
        <v>43360</v>
      </c>
      <c r="E1438" s="3">
        <v>320</v>
      </c>
      <c r="F1438" t="s">
        <v>785</v>
      </c>
      <c r="G1438" t="s">
        <v>786</v>
      </c>
      <c r="H1438" t="s">
        <v>719</v>
      </c>
      <c r="I1438" s="6" t="s">
        <v>810</v>
      </c>
      <c r="J1438" s="61" t="s">
        <v>22</v>
      </c>
      <c r="L1438" s="5" t="str">
        <f t="shared" si="337"/>
        <v>01437</v>
      </c>
      <c r="M1438" s="47" t="str">
        <f t="shared" si="338"/>
        <v>17 de septiembre de 2018</v>
      </c>
      <c r="N1438" s="323">
        <f t="shared" si="331"/>
        <v>17</v>
      </c>
      <c r="O1438" s="25">
        <f t="shared" si="339"/>
        <v>43344</v>
      </c>
      <c r="P1438" s="5" t="str">
        <f t="shared" si="341"/>
        <v>320,00</v>
      </c>
      <c r="Q1438" s="4" t="e">
        <f t="shared" ca="1" si="342"/>
        <v>#NAME?</v>
      </c>
    </row>
    <row r="1439" spans="1:17" ht="15.75" thickBot="1">
      <c r="A1439" s="1">
        <f t="shared" si="343"/>
        <v>1438</v>
      </c>
      <c r="C1439" s="85" t="s">
        <v>17</v>
      </c>
      <c r="D1439" s="2">
        <v>43361</v>
      </c>
      <c r="E1439" s="3">
        <f>10+12+320</f>
        <v>342</v>
      </c>
      <c r="F1439" t="s">
        <v>479</v>
      </c>
      <c r="G1439" s="18" t="s">
        <v>58</v>
      </c>
      <c r="H1439" t="s">
        <v>481</v>
      </c>
      <c r="I1439" s="6" t="s">
        <v>817</v>
      </c>
      <c r="J1439" s="61" t="s">
        <v>22</v>
      </c>
      <c r="L1439" s="5" t="str">
        <f t="shared" si="337"/>
        <v>01438</v>
      </c>
      <c r="M1439" s="47" t="str">
        <f t="shared" si="338"/>
        <v>18 de septiembre de 2018</v>
      </c>
      <c r="N1439" s="323">
        <f t="shared" si="331"/>
        <v>18</v>
      </c>
      <c r="O1439" s="25">
        <f t="shared" si="339"/>
        <v>43344</v>
      </c>
      <c r="P1439" s="5" t="str">
        <f t="shared" si="341"/>
        <v>342,00</v>
      </c>
      <c r="Q1439" s="4" t="e">
        <f t="shared" ca="1" si="342"/>
        <v>#NAME?</v>
      </c>
    </row>
    <row r="1440" spans="1:17">
      <c r="A1440" s="1">
        <f t="shared" si="343"/>
        <v>1439</v>
      </c>
      <c r="C1440" s="8" t="s">
        <v>17</v>
      </c>
      <c r="D1440" s="2">
        <v>43361</v>
      </c>
      <c r="E1440" s="3">
        <v>320</v>
      </c>
      <c r="F1440" t="s">
        <v>443</v>
      </c>
      <c r="G1440" t="s">
        <v>444</v>
      </c>
      <c r="H1440" t="s">
        <v>75</v>
      </c>
      <c r="I1440" s="6" t="s">
        <v>810</v>
      </c>
      <c r="J1440" s="61" t="s">
        <v>22</v>
      </c>
      <c r="L1440" s="5" t="str">
        <f t="shared" si="337"/>
        <v>01439</v>
      </c>
      <c r="M1440" s="47" t="str">
        <f t="shared" si="338"/>
        <v>18 de septiembre de 2018</v>
      </c>
      <c r="N1440" s="323">
        <f t="shared" si="331"/>
        <v>18</v>
      </c>
      <c r="O1440" s="25">
        <f t="shared" si="339"/>
        <v>43344</v>
      </c>
      <c r="P1440" s="5" t="str">
        <f t="shared" si="341"/>
        <v>320,00</v>
      </c>
      <c r="Q1440" s="4" t="e">
        <f t="shared" ca="1" si="342"/>
        <v>#NAME?</v>
      </c>
    </row>
    <row r="1441" spans="1:17">
      <c r="A1441" s="1">
        <f t="shared" si="343"/>
        <v>1440</v>
      </c>
      <c r="C1441" s="8" t="s">
        <v>17</v>
      </c>
      <c r="D1441" s="2">
        <v>43360</v>
      </c>
      <c r="E1441" s="3">
        <v>320</v>
      </c>
      <c r="F1441" t="s">
        <v>185</v>
      </c>
      <c r="G1441" t="s">
        <v>186</v>
      </c>
      <c r="H1441" t="s">
        <v>187</v>
      </c>
      <c r="I1441" s="6" t="s">
        <v>810</v>
      </c>
      <c r="J1441" s="61" t="s">
        <v>22</v>
      </c>
      <c r="L1441" s="5" t="str">
        <f t="shared" si="337"/>
        <v>01440</v>
      </c>
      <c r="M1441" s="47" t="str">
        <f t="shared" si="338"/>
        <v>17 de septiembre de 2018</v>
      </c>
      <c r="N1441" s="323">
        <f t="shared" si="331"/>
        <v>17</v>
      </c>
      <c r="O1441" s="25">
        <f t="shared" si="339"/>
        <v>43344</v>
      </c>
      <c r="P1441" s="5" t="str">
        <f t="shared" si="341"/>
        <v>320,00</v>
      </c>
      <c r="Q1441" s="4" t="e">
        <f t="shared" ca="1" si="342"/>
        <v>#NAME?</v>
      </c>
    </row>
    <row r="1442" spans="1:17">
      <c r="A1442" s="1">
        <f t="shared" si="343"/>
        <v>1441</v>
      </c>
      <c r="C1442" s="8" t="s">
        <v>17</v>
      </c>
      <c r="D1442" s="2">
        <v>43361</v>
      </c>
      <c r="E1442" s="3">
        <v>320</v>
      </c>
      <c r="F1442" t="s">
        <v>134</v>
      </c>
      <c r="G1442" t="s">
        <v>135</v>
      </c>
      <c r="H1442" t="s">
        <v>136</v>
      </c>
      <c r="I1442" s="6" t="s">
        <v>810</v>
      </c>
      <c r="J1442" s="61" t="s">
        <v>22</v>
      </c>
      <c r="L1442" s="5" t="str">
        <f t="shared" si="337"/>
        <v>01441</v>
      </c>
      <c r="M1442" s="47" t="str">
        <f t="shared" si="338"/>
        <v>18 de septiembre de 2018</v>
      </c>
      <c r="N1442" s="323">
        <f t="shared" si="331"/>
        <v>18</v>
      </c>
      <c r="O1442" s="25">
        <f t="shared" si="339"/>
        <v>43344</v>
      </c>
      <c r="P1442" s="5" t="str">
        <f t="shared" si="341"/>
        <v>320,00</v>
      </c>
      <c r="Q1442" s="4" t="e">
        <f t="shared" ca="1" si="342"/>
        <v>#NAME?</v>
      </c>
    </row>
    <row r="1443" spans="1:17" ht="15.75" thickBot="1">
      <c r="A1443" s="1">
        <f t="shared" si="343"/>
        <v>1442</v>
      </c>
      <c r="C1443" s="8" t="s">
        <v>17</v>
      </c>
      <c r="D1443" s="2">
        <v>43361</v>
      </c>
      <c r="E1443" s="3">
        <v>345.25</v>
      </c>
      <c r="F1443" t="s">
        <v>206</v>
      </c>
      <c r="G1443" t="s">
        <v>207</v>
      </c>
      <c r="H1443" t="s">
        <v>208</v>
      </c>
      <c r="I1443" s="6" t="s">
        <v>818</v>
      </c>
      <c r="J1443" s="61" t="s">
        <v>22</v>
      </c>
      <c r="L1443" s="5" t="str">
        <f t="shared" si="337"/>
        <v>01442</v>
      </c>
      <c r="M1443" s="47" t="str">
        <f t="shared" si="338"/>
        <v>18 de septiembre de 2018</v>
      </c>
      <c r="N1443" s="323">
        <f t="shared" si="331"/>
        <v>18</v>
      </c>
      <c r="O1443" s="25">
        <f t="shared" si="339"/>
        <v>43344</v>
      </c>
      <c r="P1443" s="5" t="str">
        <f t="shared" si="341"/>
        <v>345,25</v>
      </c>
      <c r="Q1443" s="4" t="e">
        <f t="shared" ca="1" si="342"/>
        <v>#NAME?</v>
      </c>
    </row>
    <row r="1444" spans="1:17" ht="15.75" thickBot="1">
      <c r="A1444" s="1">
        <f t="shared" si="343"/>
        <v>1443</v>
      </c>
      <c r="C1444" s="85" t="s">
        <v>17</v>
      </c>
      <c r="D1444" s="2">
        <v>43361</v>
      </c>
      <c r="E1444" s="3">
        <v>601</v>
      </c>
      <c r="F1444" t="s">
        <v>40</v>
      </c>
      <c r="G1444" s="18" t="s">
        <v>58</v>
      </c>
      <c r="H1444" t="s">
        <v>42</v>
      </c>
      <c r="I1444" s="6" t="s">
        <v>819</v>
      </c>
      <c r="J1444" s="61" t="s">
        <v>22</v>
      </c>
      <c r="L1444" s="5" t="str">
        <f t="shared" si="337"/>
        <v>01443</v>
      </c>
      <c r="M1444" s="47" t="str">
        <f t="shared" si="338"/>
        <v>18 de septiembre de 2018</v>
      </c>
      <c r="N1444" s="323">
        <f t="shared" si="331"/>
        <v>18</v>
      </c>
      <c r="O1444" s="25">
        <f t="shared" si="339"/>
        <v>43344</v>
      </c>
      <c r="P1444" s="5" t="str">
        <f t="shared" si="341"/>
        <v>601,00</v>
      </c>
      <c r="Q1444" s="4" t="e">
        <f t="shared" ca="1" si="342"/>
        <v>#NAME?</v>
      </c>
    </row>
    <row r="1445" spans="1:17" ht="15.75" thickBot="1">
      <c r="A1445" s="1">
        <f t="shared" si="343"/>
        <v>1444</v>
      </c>
      <c r="C1445" s="8" t="s">
        <v>17</v>
      </c>
      <c r="D1445" s="2">
        <v>43362</v>
      </c>
      <c r="E1445" s="3">
        <v>465</v>
      </c>
      <c r="F1445" s="23" t="s">
        <v>422</v>
      </c>
      <c r="G1445" s="18" t="s">
        <v>58</v>
      </c>
      <c r="H1445" t="s">
        <v>423</v>
      </c>
      <c r="I1445" s="6" t="s">
        <v>810</v>
      </c>
      <c r="J1445" s="61" t="s">
        <v>22</v>
      </c>
      <c r="L1445" s="5" t="str">
        <f t="shared" si="337"/>
        <v>01444</v>
      </c>
      <c r="M1445" s="47" t="str">
        <f t="shared" si="338"/>
        <v>19 de septiembre de 2018</v>
      </c>
      <c r="N1445" s="323">
        <f t="shared" si="331"/>
        <v>19</v>
      </c>
      <c r="O1445" s="25">
        <f t="shared" si="339"/>
        <v>43344</v>
      </c>
      <c r="P1445" s="5" t="str">
        <f t="shared" si="341"/>
        <v>465,00</v>
      </c>
      <c r="Q1445" s="4" t="e">
        <f t="shared" ca="1" si="342"/>
        <v>#NAME?</v>
      </c>
    </row>
    <row r="1446" spans="1:17">
      <c r="A1446" s="1">
        <f t="shared" si="343"/>
        <v>1445</v>
      </c>
      <c r="C1446" s="8" t="s">
        <v>17</v>
      </c>
      <c r="D1446" s="2">
        <v>43362</v>
      </c>
      <c r="E1446" s="3">
        <v>320</v>
      </c>
      <c r="F1446" t="s">
        <v>633</v>
      </c>
      <c r="G1446" t="s">
        <v>634</v>
      </c>
      <c r="H1446" t="s">
        <v>635</v>
      </c>
      <c r="I1446" s="6" t="s">
        <v>810</v>
      </c>
      <c r="J1446" s="61" t="s">
        <v>22</v>
      </c>
      <c r="L1446" s="5" t="str">
        <f t="shared" si="337"/>
        <v>01445</v>
      </c>
      <c r="M1446" s="47" t="str">
        <f t="shared" si="338"/>
        <v>19 de septiembre de 2018</v>
      </c>
      <c r="N1446" s="323">
        <f t="shared" si="331"/>
        <v>19</v>
      </c>
      <c r="O1446" s="25">
        <f t="shared" si="339"/>
        <v>43344</v>
      </c>
      <c r="P1446" s="5" t="str">
        <f t="shared" si="341"/>
        <v>320,00</v>
      </c>
      <c r="Q1446" s="4" t="e">
        <f t="shared" ca="1" si="342"/>
        <v>#NAME?</v>
      </c>
    </row>
    <row r="1447" spans="1:17">
      <c r="A1447" s="1">
        <f t="shared" si="343"/>
        <v>1446</v>
      </c>
      <c r="C1447" s="8" t="s">
        <v>17</v>
      </c>
      <c r="D1447" s="2">
        <v>43364</v>
      </c>
      <c r="E1447" s="3">
        <v>320</v>
      </c>
      <c r="F1447" t="s">
        <v>84</v>
      </c>
      <c r="G1447" t="s">
        <v>85</v>
      </c>
      <c r="H1447" t="s">
        <v>86</v>
      </c>
      <c r="I1447" s="6" t="s">
        <v>810</v>
      </c>
      <c r="J1447" s="61" t="s">
        <v>22</v>
      </c>
      <c r="L1447" s="5" t="str">
        <f t="shared" si="337"/>
        <v>01446</v>
      </c>
      <c r="M1447" s="47" t="str">
        <f t="shared" si="338"/>
        <v>21 de septiembre de 2018</v>
      </c>
      <c r="N1447" s="323">
        <f t="shared" si="331"/>
        <v>21</v>
      </c>
      <c r="O1447" s="25">
        <f t="shared" si="339"/>
        <v>43344</v>
      </c>
      <c r="P1447" s="5" t="str">
        <f t="shared" si="341"/>
        <v>320,00</v>
      </c>
      <c r="Q1447" s="4" t="e">
        <f t="shared" ca="1" si="342"/>
        <v>#NAME?</v>
      </c>
    </row>
    <row r="1448" spans="1:17">
      <c r="A1448" s="1">
        <f t="shared" si="343"/>
        <v>1447</v>
      </c>
      <c r="C1448" s="8" t="s">
        <v>17</v>
      </c>
      <c r="D1448" s="2">
        <v>43364</v>
      </c>
      <c r="E1448" s="3">
        <v>160</v>
      </c>
      <c r="F1448" t="s">
        <v>334</v>
      </c>
      <c r="G1448" t="s">
        <v>85</v>
      </c>
      <c r="H1448" t="s">
        <v>335</v>
      </c>
      <c r="I1448" s="6" t="s">
        <v>820</v>
      </c>
      <c r="J1448" s="61" t="s">
        <v>22</v>
      </c>
      <c r="L1448" s="5" t="str">
        <f t="shared" si="337"/>
        <v>01447</v>
      </c>
      <c r="M1448" s="47" t="str">
        <f t="shared" si="338"/>
        <v>21 de septiembre de 2018</v>
      </c>
      <c r="N1448" s="323">
        <f t="shared" si="331"/>
        <v>21</v>
      </c>
      <c r="O1448" s="25">
        <f t="shared" si="339"/>
        <v>43344</v>
      </c>
      <c r="P1448" s="5" t="str">
        <f t="shared" si="341"/>
        <v>160,00</v>
      </c>
      <c r="Q1448" s="4" t="e">
        <f t="shared" ca="1" si="342"/>
        <v>#NAME?</v>
      </c>
    </row>
    <row r="1449" spans="1:17">
      <c r="A1449" s="1">
        <f t="shared" si="343"/>
        <v>1448</v>
      </c>
      <c r="C1449" s="8" t="s">
        <v>17</v>
      </c>
      <c r="D1449" s="2">
        <v>43365</v>
      </c>
      <c r="E1449" s="3">
        <v>320</v>
      </c>
      <c r="F1449" t="s">
        <v>103</v>
      </c>
      <c r="G1449" t="s">
        <v>104</v>
      </c>
      <c r="H1449" t="s">
        <v>105</v>
      </c>
      <c r="I1449" s="6" t="s">
        <v>810</v>
      </c>
      <c r="J1449" s="61" t="s">
        <v>22</v>
      </c>
      <c r="L1449" s="5" t="str">
        <f t="shared" si="337"/>
        <v>01448</v>
      </c>
      <c r="M1449" s="47" t="str">
        <f t="shared" si="338"/>
        <v>22 de septiembre de 2018</v>
      </c>
      <c r="N1449" s="323">
        <f t="shared" si="331"/>
        <v>22</v>
      </c>
      <c r="O1449" s="25">
        <f t="shared" si="339"/>
        <v>43344</v>
      </c>
      <c r="P1449" s="5" t="str">
        <f t="shared" si="341"/>
        <v>320,00</v>
      </c>
      <c r="Q1449" s="4" t="e">
        <f t="shared" ca="1" si="342"/>
        <v>#NAME?</v>
      </c>
    </row>
    <row r="1450" spans="1:17">
      <c r="A1450" s="1">
        <f t="shared" si="343"/>
        <v>1449</v>
      </c>
      <c r="C1450" s="8" t="s">
        <v>17</v>
      </c>
      <c r="D1450" s="2">
        <v>43367</v>
      </c>
      <c r="E1450" s="3">
        <v>320</v>
      </c>
      <c r="F1450" t="s">
        <v>537</v>
      </c>
      <c r="G1450" t="s">
        <v>538</v>
      </c>
      <c r="H1450" t="s">
        <v>539</v>
      </c>
      <c r="I1450" s="6" t="s">
        <v>810</v>
      </c>
      <c r="J1450" s="61" t="s">
        <v>22</v>
      </c>
      <c r="L1450" s="5" t="str">
        <f t="shared" si="337"/>
        <v>01449</v>
      </c>
      <c r="M1450" s="47" t="str">
        <f t="shared" si="338"/>
        <v>24 de septiembre de 2018</v>
      </c>
      <c r="N1450" s="323">
        <f t="shared" si="331"/>
        <v>24</v>
      </c>
      <c r="O1450" s="25">
        <f t="shared" si="339"/>
        <v>43344</v>
      </c>
      <c r="P1450" s="5" t="str">
        <f t="shared" si="341"/>
        <v>320,00</v>
      </c>
      <c r="Q1450" s="4" t="e">
        <f t="shared" ca="1" si="342"/>
        <v>#NAME?</v>
      </c>
    </row>
    <row r="1451" spans="1:17">
      <c r="A1451" s="1">
        <f t="shared" si="343"/>
        <v>1450</v>
      </c>
      <c r="C1451" s="8" t="s">
        <v>17</v>
      </c>
      <c r="D1451" s="2">
        <v>43341</v>
      </c>
      <c r="E1451" s="3">
        <v>12</v>
      </c>
      <c r="F1451" t="s">
        <v>264</v>
      </c>
      <c r="G1451" t="s">
        <v>265</v>
      </c>
      <c r="H1451" t="s">
        <v>266</v>
      </c>
      <c r="I1451" s="6" t="s">
        <v>787</v>
      </c>
      <c r="J1451" s="61" t="s">
        <v>22</v>
      </c>
      <c r="L1451" s="5" t="str">
        <f t="shared" si="337"/>
        <v>01450</v>
      </c>
      <c r="M1451" s="47" t="str">
        <f t="shared" si="338"/>
        <v>29 de agosto de 2018</v>
      </c>
      <c r="N1451" s="323">
        <f t="shared" si="331"/>
        <v>29</v>
      </c>
      <c r="O1451" s="25">
        <f t="shared" si="339"/>
        <v>43313</v>
      </c>
      <c r="P1451" s="5" t="str">
        <f t="shared" si="341"/>
        <v>12,00</v>
      </c>
      <c r="Q1451" s="4" t="e">
        <f t="shared" ca="1" si="342"/>
        <v>#NAME?</v>
      </c>
    </row>
    <row r="1452" spans="1:17">
      <c r="A1452" s="1">
        <f t="shared" si="343"/>
        <v>1451</v>
      </c>
      <c r="C1452" s="8" t="s">
        <v>17</v>
      </c>
      <c r="D1452" s="2">
        <v>43368</v>
      </c>
      <c r="E1452" s="3">
        <v>320</v>
      </c>
      <c r="F1452" t="s">
        <v>264</v>
      </c>
      <c r="G1452" t="s">
        <v>265</v>
      </c>
      <c r="H1452" t="s">
        <v>266</v>
      </c>
      <c r="I1452" s="6" t="s">
        <v>810</v>
      </c>
      <c r="J1452" s="61" t="s">
        <v>22</v>
      </c>
      <c r="L1452" s="5" t="str">
        <f t="shared" si="337"/>
        <v>01451</v>
      </c>
      <c r="M1452" s="47" t="str">
        <f t="shared" si="338"/>
        <v>25 de septiembre de 2018</v>
      </c>
      <c r="N1452" s="323">
        <f t="shared" si="331"/>
        <v>25</v>
      </c>
      <c r="O1452" s="25">
        <f t="shared" si="339"/>
        <v>43344</v>
      </c>
      <c r="P1452" s="5" t="str">
        <f t="shared" si="341"/>
        <v>320,00</v>
      </c>
      <c r="Q1452" s="4" t="e">
        <f t="shared" ca="1" si="342"/>
        <v>#NAME?</v>
      </c>
    </row>
    <row r="1453" spans="1:17">
      <c r="A1453" s="1">
        <f t="shared" si="343"/>
        <v>1452</v>
      </c>
      <c r="C1453" s="8" t="s">
        <v>17</v>
      </c>
      <c r="D1453" s="2">
        <v>43368</v>
      </c>
      <c r="E1453" s="3">
        <v>320</v>
      </c>
      <c r="F1453" t="s">
        <v>144</v>
      </c>
      <c r="G1453" t="s">
        <v>661</v>
      </c>
      <c r="H1453" t="s">
        <v>146</v>
      </c>
      <c r="I1453" s="6" t="s">
        <v>810</v>
      </c>
      <c r="J1453" s="61" t="s">
        <v>22</v>
      </c>
      <c r="L1453" s="5" t="str">
        <f t="shared" si="337"/>
        <v>01452</v>
      </c>
      <c r="M1453" s="47" t="str">
        <f t="shared" si="338"/>
        <v>25 de septiembre de 2018</v>
      </c>
      <c r="N1453" s="323">
        <f t="shared" si="331"/>
        <v>25</v>
      </c>
      <c r="O1453" s="25">
        <f t="shared" si="339"/>
        <v>43344</v>
      </c>
      <c r="P1453" s="5" t="str">
        <f t="shared" si="341"/>
        <v>320,00</v>
      </c>
      <c r="Q1453" s="4" t="e">
        <f t="shared" ca="1" si="342"/>
        <v>#NAME?</v>
      </c>
    </row>
    <row r="1454" spans="1:17">
      <c r="A1454" s="1">
        <f t="shared" si="343"/>
        <v>1453</v>
      </c>
      <c r="C1454" s="8" t="s">
        <v>17</v>
      </c>
      <c r="D1454" s="2">
        <v>43368</v>
      </c>
      <c r="E1454" s="3">
        <v>320</v>
      </c>
      <c r="F1454" t="s">
        <v>219</v>
      </c>
      <c r="G1454" t="s">
        <v>220</v>
      </c>
      <c r="H1454" t="s">
        <v>221</v>
      </c>
      <c r="I1454" s="6" t="s">
        <v>821</v>
      </c>
      <c r="J1454" s="61" t="s">
        <v>22</v>
      </c>
      <c r="L1454" s="5" t="str">
        <f t="shared" si="337"/>
        <v>01453</v>
      </c>
      <c r="M1454" s="47" t="str">
        <f t="shared" si="338"/>
        <v>25 de septiembre de 2018</v>
      </c>
      <c r="N1454" s="323">
        <f t="shared" si="331"/>
        <v>25</v>
      </c>
      <c r="O1454" s="25">
        <f t="shared" si="339"/>
        <v>43344</v>
      </c>
      <c r="P1454" s="5" t="str">
        <f t="shared" si="341"/>
        <v>320,00</v>
      </c>
      <c r="Q1454" s="4" t="e">
        <f t="shared" ca="1" si="342"/>
        <v>#NAME?</v>
      </c>
    </row>
    <row r="1455" spans="1:17">
      <c r="A1455" s="1">
        <f t="shared" si="343"/>
        <v>1454</v>
      </c>
      <c r="C1455" s="8" t="s">
        <v>17</v>
      </c>
      <c r="D1455" s="2">
        <v>43368</v>
      </c>
      <c r="E1455" s="3">
        <v>320</v>
      </c>
      <c r="F1455" t="s">
        <v>243</v>
      </c>
      <c r="G1455" t="s">
        <v>244</v>
      </c>
      <c r="H1455" t="s">
        <v>245</v>
      </c>
      <c r="I1455" s="6" t="s">
        <v>810</v>
      </c>
      <c r="J1455" s="61" t="s">
        <v>22</v>
      </c>
      <c r="L1455" s="5" t="str">
        <f>IF(ISBLANK(A1455),"",TEXT(A1455,"00000"))</f>
        <v>01454</v>
      </c>
      <c r="M1455" s="47" t="str">
        <f>IF(ISBLANK(D1455),"",TEXT(D1455,"dd")&amp;" de "&amp;TEXT(D1455,"mmmm")&amp;" de "&amp;TEXT(YEAR(D1455),"0"))</f>
        <v>25 de septiembre de 2018</v>
      </c>
      <c r="N1455" s="323">
        <f t="shared" si="331"/>
        <v>25</v>
      </c>
      <c r="O1455" s="25">
        <f>DATE(YEAR(D1455),MONTH(D1455),1)</f>
        <v>43344</v>
      </c>
      <c r="P1455" s="5" t="str">
        <f t="shared" si="341"/>
        <v>320,00</v>
      </c>
      <c r="Q1455" s="4" t="e">
        <f t="shared" ca="1" si="342"/>
        <v>#NAME?</v>
      </c>
    </row>
    <row r="1456" spans="1:17" ht="15.75" thickBot="1">
      <c r="A1456" s="1">
        <f t="shared" si="343"/>
        <v>1455</v>
      </c>
      <c r="C1456" s="8" t="s">
        <v>17</v>
      </c>
      <c r="D1456" s="2">
        <v>43368</v>
      </c>
      <c r="E1456" s="3">
        <v>320</v>
      </c>
      <c r="F1456" t="s">
        <v>312</v>
      </c>
      <c r="G1456" t="s">
        <v>313</v>
      </c>
      <c r="H1456" t="s">
        <v>314</v>
      </c>
      <c r="I1456" s="6" t="s">
        <v>810</v>
      </c>
      <c r="J1456" s="61" t="s">
        <v>22</v>
      </c>
      <c r="L1456" s="5" t="str">
        <f t="shared" ref="L1456:L1469" si="344">IF(ISBLANK(A1456),"",TEXT(A1456,"00000"))</f>
        <v>01455</v>
      </c>
      <c r="M1456" s="47" t="str">
        <f t="shared" ref="M1456:M1469" si="345">IF(ISBLANK(D1456),"",TEXT(D1456,"dd")&amp;" de "&amp;TEXT(D1456,"mmmm")&amp;" de "&amp;TEXT(YEAR(D1456),"0"))</f>
        <v>25 de septiembre de 2018</v>
      </c>
      <c r="N1456" s="323">
        <f t="shared" si="331"/>
        <v>25</v>
      </c>
      <c r="O1456" s="25">
        <f t="shared" ref="O1456:O1469" si="346">DATE(YEAR(D1456),MONTH(D1456),1)</f>
        <v>43344</v>
      </c>
      <c r="P1456" s="5" t="str">
        <f t="shared" si="341"/>
        <v>320,00</v>
      </c>
      <c r="Q1456" s="4" t="e">
        <f t="shared" ca="1" si="342"/>
        <v>#NAME?</v>
      </c>
    </row>
    <row r="1457" spans="1:17" ht="15.75" thickBot="1">
      <c r="A1457" s="1">
        <f t="shared" si="343"/>
        <v>1456</v>
      </c>
      <c r="C1457" s="8" t="s">
        <v>17</v>
      </c>
      <c r="D1457" s="2">
        <v>43276</v>
      </c>
      <c r="E1457" s="3">
        <v>320</v>
      </c>
      <c r="F1457" t="s">
        <v>259</v>
      </c>
      <c r="G1457" s="18" t="s">
        <v>58</v>
      </c>
      <c r="H1457" t="s">
        <v>261</v>
      </c>
      <c r="I1457" s="6" t="s">
        <v>810</v>
      </c>
      <c r="J1457" s="61" t="s">
        <v>22</v>
      </c>
      <c r="L1457" s="5" t="str">
        <f t="shared" si="344"/>
        <v>01456</v>
      </c>
      <c r="M1457" s="47" t="str">
        <f t="shared" si="345"/>
        <v>25 de junio de 2018</v>
      </c>
      <c r="N1457" s="323">
        <f t="shared" si="331"/>
        <v>25</v>
      </c>
      <c r="O1457" s="25">
        <f t="shared" si="346"/>
        <v>43252</v>
      </c>
      <c r="P1457" s="5" t="str">
        <f t="shared" si="341"/>
        <v>320,00</v>
      </c>
      <c r="Q1457" s="4" t="e">
        <f t="shared" ca="1" si="342"/>
        <v>#NAME?</v>
      </c>
    </row>
    <row r="1458" spans="1:17">
      <c r="A1458" s="1">
        <f t="shared" si="343"/>
        <v>1457</v>
      </c>
      <c r="C1458" s="8" t="s">
        <v>17</v>
      </c>
      <c r="D1458" s="2">
        <v>43370</v>
      </c>
      <c r="E1458" s="3">
        <v>320</v>
      </c>
      <c r="F1458" t="s">
        <v>181</v>
      </c>
      <c r="G1458" t="s">
        <v>182</v>
      </c>
      <c r="H1458" t="s">
        <v>183</v>
      </c>
      <c r="I1458" s="6" t="s">
        <v>810</v>
      </c>
      <c r="J1458" s="61" t="s">
        <v>22</v>
      </c>
      <c r="L1458" s="5" t="str">
        <f t="shared" si="344"/>
        <v>01457</v>
      </c>
      <c r="M1458" s="47" t="str">
        <f t="shared" si="345"/>
        <v>27 de septiembre de 2018</v>
      </c>
      <c r="N1458" s="323">
        <f t="shared" si="331"/>
        <v>27</v>
      </c>
      <c r="O1458" s="25">
        <f t="shared" si="346"/>
        <v>43344</v>
      </c>
      <c r="P1458" s="5" t="str">
        <f t="shared" si="341"/>
        <v>320,00</v>
      </c>
      <c r="Q1458" s="4" t="e">
        <f t="shared" ca="1" si="342"/>
        <v>#NAME?</v>
      </c>
    </row>
    <row r="1459" spans="1:17">
      <c r="A1459" s="1">
        <f t="shared" si="343"/>
        <v>1458</v>
      </c>
      <c r="C1459" s="8" t="s">
        <v>17</v>
      </c>
      <c r="D1459" s="2">
        <v>43370</v>
      </c>
      <c r="E1459" s="3">
        <v>320</v>
      </c>
      <c r="F1459" t="s">
        <v>558</v>
      </c>
      <c r="G1459" t="s">
        <v>559</v>
      </c>
      <c r="H1459" t="s">
        <v>560</v>
      </c>
      <c r="I1459" s="6" t="s">
        <v>810</v>
      </c>
      <c r="J1459" s="61" t="s">
        <v>22</v>
      </c>
      <c r="L1459" s="5" t="str">
        <f t="shared" si="344"/>
        <v>01458</v>
      </c>
      <c r="M1459" s="47" t="str">
        <f t="shared" si="345"/>
        <v>27 de septiembre de 2018</v>
      </c>
      <c r="N1459" s="323">
        <f t="shared" si="331"/>
        <v>27</v>
      </c>
      <c r="O1459" s="25">
        <f t="shared" si="346"/>
        <v>43344</v>
      </c>
      <c r="P1459" s="5" t="str">
        <f t="shared" si="341"/>
        <v>320,00</v>
      </c>
      <c r="Q1459" s="4" t="e">
        <f t="shared" ca="1" si="342"/>
        <v>#NAME?</v>
      </c>
    </row>
    <row r="1460" spans="1:17">
      <c r="A1460" s="1">
        <f t="shared" si="343"/>
        <v>1459</v>
      </c>
      <c r="C1460" s="8" t="s">
        <v>17</v>
      </c>
      <c r="D1460" s="2">
        <v>43370</v>
      </c>
      <c r="E1460" s="3">
        <v>320</v>
      </c>
      <c r="F1460" t="s">
        <v>211</v>
      </c>
      <c r="G1460" t="s">
        <v>212</v>
      </c>
      <c r="H1460" t="s">
        <v>213</v>
      </c>
      <c r="I1460" s="6" t="s">
        <v>810</v>
      </c>
      <c r="J1460" s="61" t="s">
        <v>22</v>
      </c>
      <c r="L1460" s="5" t="str">
        <f t="shared" si="344"/>
        <v>01459</v>
      </c>
      <c r="M1460" s="47" t="str">
        <f t="shared" si="345"/>
        <v>27 de septiembre de 2018</v>
      </c>
      <c r="N1460" s="323">
        <f t="shared" si="331"/>
        <v>27</v>
      </c>
      <c r="O1460" s="25">
        <f t="shared" si="346"/>
        <v>43344</v>
      </c>
      <c r="P1460" s="5" t="str">
        <f t="shared" si="341"/>
        <v>320,00</v>
      </c>
      <c r="Q1460" s="4" t="e">
        <f t="shared" ca="1" si="342"/>
        <v>#NAME?</v>
      </c>
    </row>
    <row r="1461" spans="1:17">
      <c r="A1461" s="1">
        <f t="shared" si="343"/>
        <v>1460</v>
      </c>
      <c r="C1461" s="8" t="s">
        <v>17</v>
      </c>
      <c r="D1461" s="2">
        <v>43370</v>
      </c>
      <c r="E1461" s="3">
        <v>320</v>
      </c>
      <c r="F1461" t="s">
        <v>197</v>
      </c>
      <c r="G1461" t="s">
        <v>198</v>
      </c>
      <c r="H1461" t="s">
        <v>199</v>
      </c>
      <c r="I1461" s="6" t="s">
        <v>810</v>
      </c>
      <c r="J1461" s="61" t="s">
        <v>22</v>
      </c>
      <c r="L1461" s="5" t="str">
        <f t="shared" si="344"/>
        <v>01460</v>
      </c>
      <c r="M1461" s="47" t="str">
        <f t="shared" si="345"/>
        <v>27 de septiembre de 2018</v>
      </c>
      <c r="N1461" s="323">
        <f t="shared" si="331"/>
        <v>27</v>
      </c>
      <c r="O1461" s="25">
        <f t="shared" si="346"/>
        <v>43344</v>
      </c>
      <c r="P1461" s="5" t="str">
        <f t="shared" si="341"/>
        <v>320,00</v>
      </c>
      <c r="Q1461" s="4" t="e">
        <f t="shared" ca="1" si="342"/>
        <v>#NAME?</v>
      </c>
    </row>
    <row r="1462" spans="1:17">
      <c r="A1462" s="1">
        <f t="shared" si="343"/>
        <v>1461</v>
      </c>
      <c r="C1462" s="8" t="s">
        <v>17</v>
      </c>
      <c r="D1462" s="2">
        <v>43372</v>
      </c>
      <c r="E1462" s="3">
        <v>320</v>
      </c>
      <c r="F1462" t="s">
        <v>401</v>
      </c>
      <c r="G1462" t="s">
        <v>402</v>
      </c>
      <c r="H1462" t="s">
        <v>403</v>
      </c>
      <c r="I1462" s="6" t="s">
        <v>810</v>
      </c>
      <c r="J1462" s="61" t="s">
        <v>22</v>
      </c>
      <c r="L1462" s="5" t="str">
        <f t="shared" si="344"/>
        <v>01461</v>
      </c>
      <c r="M1462" s="47" t="str">
        <f t="shared" si="345"/>
        <v>29 de septiembre de 2018</v>
      </c>
      <c r="N1462" s="323">
        <f t="shared" si="331"/>
        <v>29</v>
      </c>
      <c r="O1462" s="25">
        <f t="shared" si="346"/>
        <v>43344</v>
      </c>
      <c r="P1462" s="5" t="str">
        <f t="shared" si="341"/>
        <v>320,00</v>
      </c>
      <c r="Q1462" s="4" t="e">
        <f t="shared" ca="1" si="342"/>
        <v>#NAME?</v>
      </c>
    </row>
    <row r="1463" spans="1:17">
      <c r="A1463" s="1">
        <f t="shared" si="343"/>
        <v>1462</v>
      </c>
      <c r="C1463" s="8" t="s">
        <v>17</v>
      </c>
      <c r="D1463" s="2">
        <v>43373</v>
      </c>
      <c r="E1463" s="3">
        <v>100</v>
      </c>
      <c r="F1463" t="s">
        <v>433</v>
      </c>
      <c r="G1463" t="s">
        <v>434</v>
      </c>
      <c r="H1463" t="s">
        <v>435</v>
      </c>
      <c r="I1463" s="6" t="s">
        <v>822</v>
      </c>
      <c r="J1463" s="61" t="s">
        <v>22</v>
      </c>
      <c r="L1463" s="5" t="str">
        <f t="shared" si="344"/>
        <v>01462</v>
      </c>
      <c r="M1463" s="47" t="str">
        <f t="shared" si="345"/>
        <v>30 de septiembre de 2018</v>
      </c>
      <c r="N1463" s="323">
        <f t="shared" ref="N1463:N1472" si="347">DAY(D1463)</f>
        <v>30</v>
      </c>
      <c r="O1463" s="25">
        <f t="shared" si="346"/>
        <v>43344</v>
      </c>
      <c r="P1463" s="5" t="str">
        <f t="shared" ref="P1463:P1472" si="348">TEXT(E1463,"#.##0,00")</f>
        <v>100,00</v>
      </c>
      <c r="Q1463" s="4" t="e">
        <f t="shared" ref="Q1463:Q1467" ca="1" si="349">CONVERTIRNUM(E1463)</f>
        <v>#NAME?</v>
      </c>
    </row>
    <row r="1464" spans="1:17">
      <c r="A1464" s="1">
        <f t="shared" si="343"/>
        <v>1463</v>
      </c>
      <c r="C1464" s="8" t="s">
        <v>17</v>
      </c>
      <c r="D1464" s="2">
        <v>43375</v>
      </c>
      <c r="E1464" s="3">
        <v>270</v>
      </c>
      <c r="F1464" t="s">
        <v>28</v>
      </c>
      <c r="G1464" t="s">
        <v>716</v>
      </c>
      <c r="H1464" t="s">
        <v>30</v>
      </c>
      <c r="I1464" s="6" t="s">
        <v>822</v>
      </c>
      <c r="J1464" s="61" t="s">
        <v>22</v>
      </c>
      <c r="L1464" s="5" t="str">
        <f t="shared" si="344"/>
        <v>01463</v>
      </c>
      <c r="M1464" s="47" t="str">
        <f t="shared" si="345"/>
        <v>02 de octubre de 2018</v>
      </c>
      <c r="N1464" s="323">
        <f t="shared" si="347"/>
        <v>2</v>
      </c>
      <c r="O1464" s="25">
        <f t="shared" si="346"/>
        <v>43374</v>
      </c>
      <c r="P1464" s="5" t="str">
        <f t="shared" si="348"/>
        <v>270,00</v>
      </c>
      <c r="Q1464" s="4" t="e">
        <f t="shared" ca="1" si="349"/>
        <v>#NAME?</v>
      </c>
    </row>
    <row r="1465" spans="1:17">
      <c r="A1465" s="1">
        <f t="shared" si="343"/>
        <v>1464</v>
      </c>
      <c r="C1465" s="8" t="s">
        <v>17</v>
      </c>
      <c r="D1465" s="2">
        <v>43376</v>
      </c>
      <c r="E1465" s="3">
        <v>320</v>
      </c>
      <c r="F1465" t="s">
        <v>48</v>
      </c>
      <c r="G1465" t="s">
        <v>49</v>
      </c>
      <c r="H1465" t="s">
        <v>50</v>
      </c>
      <c r="I1465" s="6" t="s">
        <v>823</v>
      </c>
      <c r="J1465" s="61" t="s">
        <v>22</v>
      </c>
      <c r="L1465" s="5" t="str">
        <f t="shared" si="344"/>
        <v>01464</v>
      </c>
      <c r="M1465" s="47" t="str">
        <f t="shared" si="345"/>
        <v>03 de octubre de 2018</v>
      </c>
      <c r="N1465" s="323">
        <f t="shared" si="347"/>
        <v>3</v>
      </c>
      <c r="O1465" s="25">
        <f t="shared" si="346"/>
        <v>43374</v>
      </c>
      <c r="P1465" s="5" t="str">
        <f t="shared" si="348"/>
        <v>320,00</v>
      </c>
      <c r="Q1465" s="4" t="e">
        <f t="shared" ca="1" si="349"/>
        <v>#NAME?</v>
      </c>
    </row>
    <row r="1466" spans="1:17">
      <c r="A1466" s="1">
        <f t="shared" si="343"/>
        <v>1465</v>
      </c>
      <c r="C1466" s="8" t="s">
        <v>17</v>
      </c>
      <c r="D1466" s="2">
        <v>43376</v>
      </c>
      <c r="E1466" s="3">
        <v>320</v>
      </c>
      <c r="F1466" t="s">
        <v>138</v>
      </c>
      <c r="G1466" t="s">
        <v>139</v>
      </c>
      <c r="H1466" t="s">
        <v>140</v>
      </c>
      <c r="I1466" s="6" t="s">
        <v>810</v>
      </c>
      <c r="J1466" s="61" t="s">
        <v>22</v>
      </c>
      <c r="L1466" s="5" t="str">
        <f t="shared" si="344"/>
        <v>01465</v>
      </c>
      <c r="M1466" s="47" t="str">
        <f t="shared" si="345"/>
        <v>03 de octubre de 2018</v>
      </c>
      <c r="N1466" s="323">
        <f t="shared" si="347"/>
        <v>3</v>
      </c>
      <c r="O1466" s="25">
        <f t="shared" si="346"/>
        <v>43374</v>
      </c>
      <c r="P1466" s="5" t="str">
        <f t="shared" si="348"/>
        <v>320,00</v>
      </c>
      <c r="Q1466" s="4" t="e">
        <f t="shared" ca="1" si="349"/>
        <v>#NAME?</v>
      </c>
    </row>
    <row r="1467" spans="1:17">
      <c r="A1467" s="1">
        <f t="shared" si="343"/>
        <v>1466</v>
      </c>
      <c r="C1467" s="8" t="s">
        <v>17</v>
      </c>
      <c r="D1467" s="2">
        <v>43376</v>
      </c>
      <c r="E1467" s="3">
        <v>350</v>
      </c>
      <c r="F1467" t="s">
        <v>32</v>
      </c>
      <c r="G1467" t="s">
        <v>33</v>
      </c>
      <c r="H1467" t="s">
        <v>34</v>
      </c>
      <c r="I1467" s="161" t="s">
        <v>824</v>
      </c>
      <c r="J1467" s="61" t="s">
        <v>22</v>
      </c>
      <c r="L1467" s="5" t="str">
        <f t="shared" si="344"/>
        <v>01466</v>
      </c>
      <c r="M1467" s="47" t="str">
        <f t="shared" si="345"/>
        <v>03 de octubre de 2018</v>
      </c>
      <c r="N1467" s="323">
        <f t="shared" si="347"/>
        <v>3</v>
      </c>
      <c r="O1467" s="25">
        <f t="shared" si="346"/>
        <v>43374</v>
      </c>
      <c r="P1467" s="5" t="str">
        <f t="shared" si="348"/>
        <v>350,00</v>
      </c>
      <c r="Q1467" s="4" t="e">
        <f t="shared" ca="1" si="349"/>
        <v>#NAME?</v>
      </c>
    </row>
    <row r="1468" spans="1:17">
      <c r="A1468" s="1">
        <f t="shared" si="343"/>
        <v>1467</v>
      </c>
      <c r="C1468" s="8" t="s">
        <v>17</v>
      </c>
      <c r="D1468" s="2">
        <v>43376</v>
      </c>
      <c r="E1468" s="3">
        <v>320</v>
      </c>
      <c r="F1468" t="s">
        <v>407</v>
      </c>
      <c r="G1468" t="s">
        <v>408</v>
      </c>
      <c r="H1468" t="s">
        <v>409</v>
      </c>
      <c r="I1468" s="6" t="s">
        <v>823</v>
      </c>
      <c r="J1468" s="61" t="s">
        <v>22</v>
      </c>
      <c r="L1468" s="5" t="str">
        <f t="shared" si="344"/>
        <v>01467</v>
      </c>
      <c r="M1468" s="47" t="str">
        <f t="shared" si="345"/>
        <v>03 de octubre de 2018</v>
      </c>
      <c r="N1468" s="323">
        <f t="shared" si="347"/>
        <v>3</v>
      </c>
      <c r="O1468" s="25">
        <f t="shared" si="346"/>
        <v>43374</v>
      </c>
      <c r="P1468" s="5" t="str">
        <f t="shared" si="348"/>
        <v>320,00</v>
      </c>
      <c r="Q1468" s="4" t="e">
        <f ca="1">CONVERTIRNUM(E1468)</f>
        <v>#NAME?</v>
      </c>
    </row>
    <row r="1469" spans="1:17">
      <c r="A1469" s="1">
        <f t="shared" si="343"/>
        <v>1468</v>
      </c>
      <c r="C1469" s="8" t="s">
        <v>17</v>
      </c>
      <c r="D1469" s="2">
        <v>43376</v>
      </c>
      <c r="E1469" s="3">
        <v>320</v>
      </c>
      <c r="F1469" t="s">
        <v>53</v>
      </c>
      <c r="G1469" t="s">
        <v>677</v>
      </c>
      <c r="H1469" t="s">
        <v>55</v>
      </c>
      <c r="I1469" s="6" t="s">
        <v>810</v>
      </c>
      <c r="J1469" s="61" t="s">
        <v>22</v>
      </c>
      <c r="L1469" s="5" t="str">
        <f t="shared" si="344"/>
        <v>01468</v>
      </c>
      <c r="M1469" s="47" t="str">
        <f t="shared" si="345"/>
        <v>03 de octubre de 2018</v>
      </c>
      <c r="N1469" s="323">
        <f t="shared" si="347"/>
        <v>3</v>
      </c>
      <c r="O1469" s="25">
        <f t="shared" si="346"/>
        <v>43374</v>
      </c>
      <c r="P1469" s="5" t="str">
        <f t="shared" si="348"/>
        <v>320,00</v>
      </c>
      <c r="Q1469" s="4" t="e">
        <f t="shared" ref="Q1469:Q1472" ca="1" si="350">CONVERTIRNUM(E1469)</f>
        <v>#NAME?</v>
      </c>
    </row>
    <row r="1470" spans="1:17">
      <c r="A1470" s="1">
        <f t="shared" si="343"/>
        <v>1469</v>
      </c>
      <c r="C1470" s="8" t="s">
        <v>17</v>
      </c>
      <c r="D1470" s="2">
        <v>43375</v>
      </c>
      <c r="E1470" s="3">
        <v>500</v>
      </c>
      <c r="F1470" t="s">
        <v>44</v>
      </c>
      <c r="G1470" t="s">
        <v>45</v>
      </c>
      <c r="H1470" t="s">
        <v>46</v>
      </c>
      <c r="I1470" s="6" t="s">
        <v>825</v>
      </c>
      <c r="J1470" s="61" t="s">
        <v>22</v>
      </c>
      <c r="L1470" s="5" t="str">
        <f>IF(ISBLANK(A1470),"",TEXT(A1470,"00000"))</f>
        <v>01469</v>
      </c>
      <c r="M1470" s="47" t="str">
        <f>IF(ISBLANK(D1470),"",TEXT(D1470,"dd")&amp;" de "&amp;TEXT(D1470,"mmmm")&amp;" de "&amp;TEXT(YEAR(D1470),"0"))</f>
        <v>02 de octubre de 2018</v>
      </c>
      <c r="N1470" s="323">
        <f t="shared" si="347"/>
        <v>2</v>
      </c>
      <c r="O1470" s="25">
        <f>DATE(YEAR(D1470),MONTH(D1470),1)</f>
        <v>43374</v>
      </c>
      <c r="P1470" s="5" t="str">
        <f t="shared" si="348"/>
        <v>500,00</v>
      </c>
      <c r="Q1470" s="4" t="e">
        <f t="shared" ca="1" si="350"/>
        <v>#NAME?</v>
      </c>
    </row>
    <row r="1471" spans="1:17">
      <c r="A1471" s="1">
        <f t="shared" si="343"/>
        <v>1470</v>
      </c>
      <c r="C1471" s="8" t="s">
        <v>17</v>
      </c>
      <c r="D1471" s="2">
        <v>43377</v>
      </c>
      <c r="E1471" s="3">
        <v>320</v>
      </c>
      <c r="F1471" t="s">
        <v>483</v>
      </c>
      <c r="G1471" t="s">
        <v>484</v>
      </c>
      <c r="H1471" t="s">
        <v>485</v>
      </c>
      <c r="I1471" s="6" t="s">
        <v>823</v>
      </c>
      <c r="J1471" s="61" t="s">
        <v>22</v>
      </c>
      <c r="L1471" s="5" t="str">
        <f t="shared" ref="L1471:L1472" si="351">IF(ISBLANK(A1471),"",TEXT(A1471,"00000"))</f>
        <v>01470</v>
      </c>
      <c r="M1471" s="47" t="str">
        <f t="shared" ref="M1471:M1472" si="352">IF(ISBLANK(D1471),"",TEXT(D1471,"dd")&amp;" de "&amp;TEXT(D1471,"mmmm")&amp;" de "&amp;TEXT(YEAR(D1471),"0"))</f>
        <v>04 de octubre de 2018</v>
      </c>
      <c r="N1471" s="323">
        <f t="shared" si="347"/>
        <v>4</v>
      </c>
      <c r="O1471" s="25">
        <f t="shared" ref="O1471:O1472" si="353">DATE(YEAR(D1471),MONTH(D1471),1)</f>
        <v>43374</v>
      </c>
      <c r="P1471" s="5" t="str">
        <f t="shared" si="348"/>
        <v>320,00</v>
      </c>
      <c r="Q1471" s="4" t="e">
        <f t="shared" ca="1" si="350"/>
        <v>#NAME?</v>
      </c>
    </row>
    <row r="1472" spans="1:17">
      <c r="A1472" s="1">
        <f>A1471+1</f>
        <v>1471</v>
      </c>
      <c r="C1472" s="8" t="s">
        <v>17</v>
      </c>
      <c r="D1472" s="2">
        <v>43377</v>
      </c>
      <c r="E1472" s="3">
        <v>10</v>
      </c>
      <c r="F1472" t="s">
        <v>70</v>
      </c>
      <c r="G1472" t="s">
        <v>71</v>
      </c>
      <c r="H1472" t="s">
        <v>72</v>
      </c>
      <c r="I1472" s="6" t="s">
        <v>826</v>
      </c>
      <c r="J1472" s="61" t="s">
        <v>827</v>
      </c>
      <c r="L1472" s="5" t="str">
        <f t="shared" si="351"/>
        <v>01471</v>
      </c>
      <c r="M1472" s="47" t="str">
        <f t="shared" si="352"/>
        <v>04 de octubre de 2018</v>
      </c>
      <c r="N1472" s="323">
        <f t="shared" si="347"/>
        <v>4</v>
      </c>
      <c r="O1472" s="25">
        <f t="shared" si="353"/>
        <v>43374</v>
      </c>
      <c r="P1472" s="5" t="str">
        <f t="shared" si="348"/>
        <v>10,00</v>
      </c>
      <c r="Q1472" s="4" t="e">
        <f t="shared" ca="1" si="350"/>
        <v>#NAME?</v>
      </c>
    </row>
    <row r="1473" spans="1:17">
      <c r="A1473" s="1">
        <f>A1472+1</f>
        <v>1472</v>
      </c>
      <c r="C1473" s="8" t="s">
        <v>17</v>
      </c>
      <c r="D1473" s="2">
        <v>43377</v>
      </c>
      <c r="E1473" s="3">
        <v>320</v>
      </c>
      <c r="F1473" t="s">
        <v>70</v>
      </c>
      <c r="G1473" t="s">
        <v>71</v>
      </c>
      <c r="H1473" t="s">
        <v>72</v>
      </c>
      <c r="I1473" s="6" t="s">
        <v>823</v>
      </c>
      <c r="J1473" s="61" t="s">
        <v>22</v>
      </c>
      <c r="L1473" s="5" t="str">
        <f t="shared" ref="L1473:L1477" si="354">IF(ISBLANK(A1473),"",TEXT(A1473,"00000"))</f>
        <v>01472</v>
      </c>
      <c r="M1473" s="47" t="str">
        <f t="shared" ref="M1473:M1477" si="355">IF(ISBLANK(D1473),"",TEXT(D1473,"dd")&amp;" de "&amp;TEXT(D1473,"mmmm")&amp;" de "&amp;TEXT(YEAR(D1473),"0"))</f>
        <v>04 de octubre de 2018</v>
      </c>
      <c r="N1473" s="323">
        <f t="shared" ref="N1473:N1484" si="356">DAY(D1473)</f>
        <v>4</v>
      </c>
      <c r="O1473" s="25">
        <f t="shared" ref="O1473:O1477" si="357">DATE(YEAR(D1473),MONTH(D1473),1)</f>
        <v>43374</v>
      </c>
      <c r="P1473" s="5" t="str">
        <f t="shared" ref="P1473:P1484" si="358">TEXT(E1473,"#.##0,00")</f>
        <v>320,00</v>
      </c>
      <c r="Q1473" s="4" t="e">
        <f t="shared" ref="Q1473:Q1484" ca="1" si="359">CONVERTIRNUM(E1473)</f>
        <v>#NAME?</v>
      </c>
    </row>
    <row r="1474" spans="1:17">
      <c r="A1474" s="1">
        <f t="shared" ref="A1474:A1537" si="360">A1473+1</f>
        <v>1473</v>
      </c>
      <c r="C1474" s="8" t="s">
        <v>17</v>
      </c>
      <c r="D1474" s="2">
        <v>43377</v>
      </c>
      <c r="E1474" s="3">
        <v>50</v>
      </c>
      <c r="F1474" t="s">
        <v>558</v>
      </c>
      <c r="G1474" t="s">
        <v>559</v>
      </c>
      <c r="H1474" t="s">
        <v>560</v>
      </c>
      <c r="I1474" s="6" t="s">
        <v>826</v>
      </c>
      <c r="J1474" s="61" t="s">
        <v>827</v>
      </c>
      <c r="L1474" s="5" t="str">
        <f t="shared" si="354"/>
        <v>01473</v>
      </c>
      <c r="M1474" s="47" t="str">
        <f t="shared" si="355"/>
        <v>04 de octubre de 2018</v>
      </c>
      <c r="N1474" s="323">
        <f t="shared" si="356"/>
        <v>4</v>
      </c>
      <c r="O1474" s="25">
        <f t="shared" si="357"/>
        <v>43374</v>
      </c>
      <c r="P1474" s="5" t="str">
        <f t="shared" si="358"/>
        <v>50,00</v>
      </c>
      <c r="Q1474" s="4" t="e">
        <f t="shared" ca="1" si="359"/>
        <v>#NAME?</v>
      </c>
    </row>
    <row r="1475" spans="1:17">
      <c r="A1475" s="1">
        <f t="shared" si="360"/>
        <v>1474</v>
      </c>
      <c r="C1475" s="8" t="s">
        <v>17</v>
      </c>
      <c r="D1475" s="2">
        <v>43377</v>
      </c>
      <c r="E1475" s="3">
        <v>10</v>
      </c>
      <c r="F1475" t="s">
        <v>537</v>
      </c>
      <c r="G1475" t="s">
        <v>538</v>
      </c>
      <c r="H1475" t="s">
        <v>539</v>
      </c>
      <c r="I1475" s="6" t="s">
        <v>826</v>
      </c>
      <c r="J1475" s="61" t="s">
        <v>827</v>
      </c>
      <c r="L1475" s="5" t="str">
        <f t="shared" si="354"/>
        <v>01474</v>
      </c>
      <c r="M1475" s="47" t="str">
        <f t="shared" si="355"/>
        <v>04 de octubre de 2018</v>
      </c>
      <c r="N1475" s="323">
        <f t="shared" si="356"/>
        <v>4</v>
      </c>
      <c r="O1475" s="25">
        <f t="shared" si="357"/>
        <v>43374</v>
      </c>
      <c r="P1475" s="5" t="str">
        <f t="shared" si="358"/>
        <v>10,00</v>
      </c>
      <c r="Q1475" s="4" t="e">
        <f t="shared" ca="1" si="359"/>
        <v>#NAME?</v>
      </c>
    </row>
    <row r="1476" spans="1:17">
      <c r="A1476" s="1">
        <f t="shared" si="360"/>
        <v>1475</v>
      </c>
      <c r="C1476" s="8" t="s">
        <v>17</v>
      </c>
      <c r="D1476" s="2">
        <v>43377</v>
      </c>
      <c r="E1476" s="3">
        <v>320</v>
      </c>
      <c r="F1476" t="s">
        <v>24</v>
      </c>
      <c r="G1476" t="s">
        <v>25</v>
      </c>
      <c r="H1476" t="s">
        <v>26</v>
      </c>
      <c r="I1476" s="6" t="s">
        <v>823</v>
      </c>
      <c r="J1476" s="61" t="s">
        <v>22</v>
      </c>
      <c r="L1476" s="5" t="str">
        <f t="shared" si="354"/>
        <v>01475</v>
      </c>
      <c r="M1476" s="47" t="str">
        <f t="shared" si="355"/>
        <v>04 de octubre de 2018</v>
      </c>
      <c r="N1476" s="323">
        <f t="shared" si="356"/>
        <v>4</v>
      </c>
      <c r="O1476" s="25">
        <f t="shared" si="357"/>
        <v>43374</v>
      </c>
      <c r="P1476" s="5" t="str">
        <f t="shared" si="358"/>
        <v>320,00</v>
      </c>
      <c r="Q1476" s="4" t="e">
        <f t="shared" ca="1" si="359"/>
        <v>#NAME?</v>
      </c>
    </row>
    <row r="1477" spans="1:17">
      <c r="A1477" s="1">
        <f t="shared" si="360"/>
        <v>1476</v>
      </c>
      <c r="C1477" s="8" t="s">
        <v>17</v>
      </c>
      <c r="D1477" s="2">
        <v>43377</v>
      </c>
      <c r="E1477" s="3">
        <v>10</v>
      </c>
      <c r="F1477" t="s">
        <v>24</v>
      </c>
      <c r="G1477" t="s">
        <v>25</v>
      </c>
      <c r="H1477" t="s">
        <v>26</v>
      </c>
      <c r="I1477" s="6" t="s">
        <v>826</v>
      </c>
      <c r="J1477" s="61" t="s">
        <v>827</v>
      </c>
      <c r="L1477" s="5" t="str">
        <f t="shared" si="354"/>
        <v>01476</v>
      </c>
      <c r="M1477" s="47" t="str">
        <f t="shared" si="355"/>
        <v>04 de octubre de 2018</v>
      </c>
      <c r="N1477" s="323">
        <f t="shared" si="356"/>
        <v>4</v>
      </c>
      <c r="O1477" s="25">
        <f t="shared" si="357"/>
        <v>43374</v>
      </c>
      <c r="P1477" s="5" t="str">
        <f t="shared" si="358"/>
        <v>10,00</v>
      </c>
      <c r="Q1477" s="4" t="e">
        <f t="shared" ca="1" si="359"/>
        <v>#NAME?</v>
      </c>
    </row>
    <row r="1478" spans="1:17">
      <c r="A1478" s="1">
        <f t="shared" si="360"/>
        <v>1477</v>
      </c>
      <c r="C1478" s="8" t="s">
        <v>17</v>
      </c>
      <c r="D1478" s="2">
        <v>43377</v>
      </c>
      <c r="E1478" s="3">
        <v>50</v>
      </c>
      <c r="F1478" t="s">
        <v>44</v>
      </c>
      <c r="G1478" t="s">
        <v>45</v>
      </c>
      <c r="H1478" t="s">
        <v>46</v>
      </c>
      <c r="I1478" s="6" t="s">
        <v>826</v>
      </c>
      <c r="J1478" s="61" t="s">
        <v>827</v>
      </c>
      <c r="L1478" s="5" t="str">
        <f>IF(ISBLANK(A1478),"",TEXT(A1478,"00000"))</f>
        <v>01477</v>
      </c>
      <c r="M1478" s="47" t="str">
        <f>IF(ISBLANK(D1478),"",TEXT(D1478,"dd")&amp;" de "&amp;TEXT(D1478,"mmmm")&amp;" de "&amp;TEXT(YEAR(D1478),"0"))</f>
        <v>04 de octubre de 2018</v>
      </c>
      <c r="N1478" s="323">
        <f t="shared" si="356"/>
        <v>4</v>
      </c>
      <c r="O1478" s="25">
        <f>DATE(YEAR(D1478),MONTH(D1478),1)</f>
        <v>43374</v>
      </c>
      <c r="P1478" s="5" t="str">
        <f t="shared" si="358"/>
        <v>50,00</v>
      </c>
      <c r="Q1478" s="4" t="e">
        <f t="shared" ca="1" si="359"/>
        <v>#NAME?</v>
      </c>
    </row>
    <row r="1479" spans="1:17">
      <c r="A1479" s="1">
        <f t="shared" si="360"/>
        <v>1478</v>
      </c>
      <c r="C1479" s="8" t="s">
        <v>17</v>
      </c>
      <c r="D1479" s="2">
        <v>43378</v>
      </c>
      <c r="E1479" s="3">
        <f>308+320</f>
        <v>628</v>
      </c>
      <c r="F1479" t="s">
        <v>324</v>
      </c>
      <c r="G1479" t="s">
        <v>325</v>
      </c>
      <c r="H1479" t="s">
        <v>326</v>
      </c>
      <c r="I1479" s="6" t="s">
        <v>819</v>
      </c>
      <c r="J1479" s="61" t="s">
        <v>22</v>
      </c>
      <c r="L1479" s="5" t="str">
        <f t="shared" ref="L1479:L1484" si="361">IF(ISBLANK(A1479),"",TEXT(A1479,"00000"))</f>
        <v>01478</v>
      </c>
      <c r="M1479" s="47" t="str">
        <f t="shared" ref="M1479:M1484" si="362">IF(ISBLANK(D1479),"",TEXT(D1479,"dd")&amp;" de "&amp;TEXT(D1479,"mmmm")&amp;" de "&amp;TEXT(YEAR(D1479),"0"))</f>
        <v>05 de octubre de 2018</v>
      </c>
      <c r="N1479" s="323">
        <f t="shared" si="356"/>
        <v>5</v>
      </c>
      <c r="O1479" s="25">
        <f t="shared" ref="O1479:O1484" si="363">DATE(YEAR(D1479),MONTH(D1479),1)</f>
        <v>43374</v>
      </c>
      <c r="P1479" s="5" t="str">
        <f t="shared" si="358"/>
        <v>628,00</v>
      </c>
      <c r="Q1479" s="4" t="e">
        <f t="shared" ca="1" si="359"/>
        <v>#NAME?</v>
      </c>
    </row>
    <row r="1480" spans="1:17">
      <c r="A1480" s="1">
        <f t="shared" si="360"/>
        <v>1479</v>
      </c>
      <c r="C1480" s="8" t="s">
        <v>17</v>
      </c>
      <c r="D1480" s="2">
        <v>43378</v>
      </c>
      <c r="E1480" s="3">
        <f>700-628</f>
        <v>72</v>
      </c>
      <c r="F1480" t="s">
        <v>324</v>
      </c>
      <c r="G1480" t="s">
        <v>325</v>
      </c>
      <c r="H1480" t="s">
        <v>326</v>
      </c>
      <c r="I1480" s="6" t="s">
        <v>826</v>
      </c>
      <c r="J1480" s="61" t="s">
        <v>827</v>
      </c>
      <c r="L1480" s="5" t="str">
        <f t="shared" si="361"/>
        <v>01479</v>
      </c>
      <c r="M1480" s="47" t="str">
        <f t="shared" si="362"/>
        <v>05 de octubre de 2018</v>
      </c>
      <c r="N1480" s="323">
        <f t="shared" si="356"/>
        <v>5</v>
      </c>
      <c r="O1480" s="25">
        <f t="shared" si="363"/>
        <v>43374</v>
      </c>
      <c r="P1480" s="5" t="str">
        <f t="shared" si="358"/>
        <v>72,00</v>
      </c>
      <c r="Q1480" s="4" t="e">
        <f t="shared" ca="1" si="359"/>
        <v>#NAME?</v>
      </c>
    </row>
    <row r="1481" spans="1:17">
      <c r="A1481" s="1">
        <f t="shared" si="360"/>
        <v>1480</v>
      </c>
      <c r="C1481" s="8" t="s">
        <v>17</v>
      </c>
      <c r="D1481" s="2">
        <v>43378</v>
      </c>
      <c r="E1481" s="3">
        <f t="shared" ref="E1481" si="364">308.4+11.6</f>
        <v>320</v>
      </c>
      <c r="F1481" t="s">
        <v>36</v>
      </c>
      <c r="G1481" t="s">
        <v>37</v>
      </c>
      <c r="H1481" t="s">
        <v>38</v>
      </c>
      <c r="I1481" s="6" t="s">
        <v>823</v>
      </c>
      <c r="J1481" s="61" t="s">
        <v>22</v>
      </c>
      <c r="L1481" s="5" t="str">
        <f t="shared" si="361"/>
        <v>01480</v>
      </c>
      <c r="M1481" s="47" t="str">
        <f t="shared" si="362"/>
        <v>05 de octubre de 2018</v>
      </c>
      <c r="N1481" s="323">
        <f t="shared" si="356"/>
        <v>5</v>
      </c>
      <c r="O1481" s="25">
        <f t="shared" si="363"/>
        <v>43374</v>
      </c>
      <c r="P1481" s="5" t="str">
        <f t="shared" si="358"/>
        <v>320,00</v>
      </c>
      <c r="Q1481" s="4" t="e">
        <f t="shared" ca="1" si="359"/>
        <v>#NAME?</v>
      </c>
    </row>
    <row r="1482" spans="1:17">
      <c r="A1482" s="1">
        <f t="shared" si="360"/>
        <v>1481</v>
      </c>
      <c r="C1482" s="8" t="s">
        <v>17</v>
      </c>
      <c r="D1482" s="2">
        <v>43378</v>
      </c>
      <c r="E1482" s="3">
        <v>10</v>
      </c>
      <c r="F1482" t="s">
        <v>36</v>
      </c>
      <c r="G1482" t="s">
        <v>37</v>
      </c>
      <c r="H1482" t="s">
        <v>38</v>
      </c>
      <c r="I1482" s="6" t="s">
        <v>826</v>
      </c>
      <c r="J1482" s="61" t="s">
        <v>827</v>
      </c>
      <c r="L1482" s="5" t="str">
        <f t="shared" si="361"/>
        <v>01481</v>
      </c>
      <c r="M1482" s="47" t="str">
        <f t="shared" si="362"/>
        <v>05 de octubre de 2018</v>
      </c>
      <c r="N1482" s="323">
        <f t="shared" si="356"/>
        <v>5</v>
      </c>
      <c r="O1482" s="25">
        <f t="shared" si="363"/>
        <v>43374</v>
      </c>
      <c r="P1482" s="5" t="str">
        <f t="shared" si="358"/>
        <v>10,00</v>
      </c>
      <c r="Q1482" s="4" t="e">
        <f t="shared" ca="1" si="359"/>
        <v>#NAME?</v>
      </c>
    </row>
    <row r="1483" spans="1:17">
      <c r="A1483" s="1">
        <f t="shared" si="360"/>
        <v>1482</v>
      </c>
      <c r="C1483" s="8" t="s">
        <v>17</v>
      </c>
      <c r="D1483" s="2">
        <v>43378</v>
      </c>
      <c r="E1483" s="3">
        <v>10</v>
      </c>
      <c r="F1483" t="s">
        <v>342</v>
      </c>
      <c r="G1483" t="s">
        <v>343</v>
      </c>
      <c r="H1483" t="s">
        <v>344</v>
      </c>
      <c r="I1483" s="6" t="s">
        <v>826</v>
      </c>
      <c r="J1483" s="61" t="s">
        <v>827</v>
      </c>
      <c r="L1483" s="5" t="str">
        <f t="shared" si="361"/>
        <v>01482</v>
      </c>
      <c r="M1483" s="47" t="str">
        <f t="shared" si="362"/>
        <v>05 de octubre de 2018</v>
      </c>
      <c r="N1483" s="323">
        <f t="shared" si="356"/>
        <v>5</v>
      </c>
      <c r="O1483" s="25">
        <f t="shared" si="363"/>
        <v>43374</v>
      </c>
      <c r="P1483" s="5" t="str">
        <f t="shared" si="358"/>
        <v>10,00</v>
      </c>
      <c r="Q1483" s="4" t="e">
        <f t="shared" ca="1" si="359"/>
        <v>#NAME?</v>
      </c>
    </row>
    <row r="1484" spans="1:17">
      <c r="A1484" s="1">
        <f t="shared" si="360"/>
        <v>1483</v>
      </c>
      <c r="C1484" s="8" t="s">
        <v>17</v>
      </c>
      <c r="D1484" s="2">
        <v>43378</v>
      </c>
      <c r="E1484" s="3">
        <v>270</v>
      </c>
      <c r="F1484" t="s">
        <v>713</v>
      </c>
      <c r="G1484" t="s">
        <v>714</v>
      </c>
      <c r="H1484" t="s">
        <v>154</v>
      </c>
      <c r="I1484" s="6" t="s">
        <v>828</v>
      </c>
      <c r="J1484" s="61" t="s">
        <v>22</v>
      </c>
      <c r="L1484" s="5" t="str">
        <f t="shared" si="361"/>
        <v>01483</v>
      </c>
      <c r="M1484" s="47" t="str">
        <f t="shared" si="362"/>
        <v>05 de octubre de 2018</v>
      </c>
      <c r="N1484" s="323">
        <f t="shared" si="356"/>
        <v>5</v>
      </c>
      <c r="O1484" s="25">
        <f t="shared" si="363"/>
        <v>43374</v>
      </c>
      <c r="P1484" s="5" t="str">
        <f t="shared" si="358"/>
        <v>270,00</v>
      </c>
      <c r="Q1484" s="4" t="e">
        <f t="shared" ca="1" si="359"/>
        <v>#NAME?</v>
      </c>
    </row>
    <row r="1485" spans="1:17">
      <c r="A1485" s="1">
        <f t="shared" si="360"/>
        <v>1484</v>
      </c>
      <c r="C1485" s="8" t="s">
        <v>17</v>
      </c>
      <c r="D1485" s="2">
        <v>43378</v>
      </c>
      <c r="E1485" s="3">
        <v>10</v>
      </c>
      <c r="F1485" t="s">
        <v>713</v>
      </c>
      <c r="G1485" t="s">
        <v>714</v>
      </c>
      <c r="H1485" t="s">
        <v>154</v>
      </c>
      <c r="I1485" s="6" t="s">
        <v>826</v>
      </c>
      <c r="J1485" s="61" t="s">
        <v>827</v>
      </c>
      <c r="L1485" s="5" t="str">
        <f t="shared" ref="L1485:L1489" si="365">IF(ISBLANK(A1485),"",TEXT(A1485,"00000"))</f>
        <v>01484</v>
      </c>
      <c r="M1485" s="47" t="str">
        <f t="shared" ref="M1485:M1489" si="366">IF(ISBLANK(D1485),"",TEXT(D1485,"dd")&amp;" de "&amp;TEXT(D1485,"mmmm")&amp;" de "&amp;TEXT(YEAR(D1485),"0"))</f>
        <v>05 de octubre de 2018</v>
      </c>
      <c r="N1485" s="323">
        <f t="shared" ref="N1485:N1489" si="367">DAY(D1485)</f>
        <v>5</v>
      </c>
      <c r="O1485" s="25">
        <f t="shared" ref="O1485:O1489" si="368">DATE(YEAR(D1485),MONTH(D1485),1)</f>
        <v>43374</v>
      </c>
      <c r="P1485" s="5" t="str">
        <f t="shared" ref="P1485:P1489" si="369">TEXT(E1485,"#.##0,00")</f>
        <v>10,00</v>
      </c>
      <c r="Q1485" s="4" t="e">
        <f t="shared" ref="Q1485:Q1489" ca="1" si="370">CONVERTIRNUM(E1485)</f>
        <v>#NAME?</v>
      </c>
    </row>
    <row r="1486" spans="1:17" ht="15.75" thickBot="1">
      <c r="A1486" s="1">
        <f t="shared" si="360"/>
        <v>1485</v>
      </c>
      <c r="C1486" s="8" t="s">
        <v>17</v>
      </c>
      <c r="D1486" s="2">
        <v>43378</v>
      </c>
      <c r="E1486" s="3">
        <v>10</v>
      </c>
      <c r="F1486" t="s">
        <v>103</v>
      </c>
      <c r="G1486" t="s">
        <v>104</v>
      </c>
      <c r="H1486" t="s">
        <v>105</v>
      </c>
      <c r="I1486" s="6" t="s">
        <v>826</v>
      </c>
      <c r="J1486" s="61" t="s">
        <v>827</v>
      </c>
      <c r="L1486" s="5" t="str">
        <f t="shared" si="365"/>
        <v>01485</v>
      </c>
      <c r="M1486" s="47" t="str">
        <f t="shared" si="366"/>
        <v>05 de octubre de 2018</v>
      </c>
      <c r="N1486" s="323">
        <f t="shared" si="367"/>
        <v>5</v>
      </c>
      <c r="O1486" s="25">
        <f t="shared" si="368"/>
        <v>43374</v>
      </c>
      <c r="P1486" s="5" t="str">
        <f t="shared" si="369"/>
        <v>10,00</v>
      </c>
      <c r="Q1486" s="4" t="e">
        <f t="shared" ca="1" si="370"/>
        <v>#NAME?</v>
      </c>
    </row>
    <row r="1487" spans="1:17" ht="15.75" thickBot="1">
      <c r="A1487" s="1">
        <f t="shared" si="360"/>
        <v>1486</v>
      </c>
      <c r="C1487" s="85" t="s">
        <v>17</v>
      </c>
      <c r="D1487" s="2">
        <v>43372</v>
      </c>
      <c r="E1487" s="3">
        <v>322</v>
      </c>
      <c r="F1487" t="s">
        <v>177</v>
      </c>
      <c r="G1487" s="18" t="s">
        <v>58</v>
      </c>
      <c r="H1487" t="s">
        <v>179</v>
      </c>
      <c r="I1487" s="6" t="s">
        <v>829</v>
      </c>
      <c r="J1487" s="61" t="s">
        <v>22</v>
      </c>
      <c r="L1487" s="5" t="str">
        <f t="shared" si="365"/>
        <v>01486</v>
      </c>
      <c r="M1487" s="47" t="str">
        <f t="shared" si="366"/>
        <v>29 de septiembre de 2018</v>
      </c>
      <c r="N1487" s="323">
        <f t="shared" si="367"/>
        <v>29</v>
      </c>
      <c r="O1487" s="25">
        <f t="shared" si="368"/>
        <v>43344</v>
      </c>
      <c r="P1487" s="5" t="str">
        <f t="shared" si="369"/>
        <v>322,00</v>
      </c>
      <c r="Q1487" s="4" t="e">
        <f t="shared" ca="1" si="370"/>
        <v>#NAME?</v>
      </c>
    </row>
    <row r="1488" spans="1:17">
      <c r="A1488" s="1">
        <f t="shared" si="360"/>
        <v>1487</v>
      </c>
      <c r="C1488" s="8" t="s">
        <v>17</v>
      </c>
      <c r="D1488" s="2">
        <v>43378</v>
      </c>
      <c r="E1488" s="3">
        <v>10</v>
      </c>
      <c r="F1488" t="s">
        <v>134</v>
      </c>
      <c r="G1488" t="s">
        <v>135</v>
      </c>
      <c r="H1488" t="s">
        <v>136</v>
      </c>
      <c r="I1488" s="6" t="s">
        <v>826</v>
      </c>
      <c r="J1488" s="61" t="s">
        <v>827</v>
      </c>
      <c r="L1488" s="5" t="str">
        <f t="shared" si="365"/>
        <v>01487</v>
      </c>
      <c r="M1488" s="47" t="str">
        <f t="shared" si="366"/>
        <v>05 de octubre de 2018</v>
      </c>
      <c r="N1488" s="323">
        <f t="shared" si="367"/>
        <v>5</v>
      </c>
      <c r="O1488" s="25">
        <f t="shared" si="368"/>
        <v>43374</v>
      </c>
      <c r="P1488" s="5" t="str">
        <f t="shared" si="369"/>
        <v>10,00</v>
      </c>
      <c r="Q1488" s="4" t="e">
        <f t="shared" ca="1" si="370"/>
        <v>#NAME?</v>
      </c>
    </row>
    <row r="1489" spans="1:17">
      <c r="A1489" s="1">
        <f t="shared" si="360"/>
        <v>1488</v>
      </c>
      <c r="C1489" s="8" t="s">
        <v>17</v>
      </c>
      <c r="D1489" s="2">
        <v>43378</v>
      </c>
      <c r="E1489" s="3">
        <v>10</v>
      </c>
      <c r="F1489" t="s">
        <v>201</v>
      </c>
      <c r="G1489" t="s">
        <v>202</v>
      </c>
      <c r="H1489" t="s">
        <v>203</v>
      </c>
      <c r="I1489" s="6" t="s">
        <v>826</v>
      </c>
      <c r="J1489" s="61" t="s">
        <v>827</v>
      </c>
      <c r="L1489" s="5" t="str">
        <f t="shared" si="365"/>
        <v>01488</v>
      </c>
      <c r="M1489" s="47" t="str">
        <f t="shared" si="366"/>
        <v>05 de octubre de 2018</v>
      </c>
      <c r="N1489" s="323">
        <f t="shared" si="367"/>
        <v>5</v>
      </c>
      <c r="O1489" s="25">
        <f t="shared" si="368"/>
        <v>43374</v>
      </c>
      <c r="P1489" s="5" t="str">
        <f t="shared" si="369"/>
        <v>10,00</v>
      </c>
      <c r="Q1489" s="4" t="e">
        <f t="shared" ca="1" si="370"/>
        <v>#NAME?</v>
      </c>
    </row>
    <row r="1490" spans="1:17">
      <c r="A1490" s="1">
        <f t="shared" si="360"/>
        <v>1489</v>
      </c>
      <c r="C1490" s="85" t="s">
        <v>17</v>
      </c>
      <c r="D1490" s="2">
        <v>43378</v>
      </c>
      <c r="E1490" s="3">
        <v>10</v>
      </c>
      <c r="F1490" t="s">
        <v>830</v>
      </c>
      <c r="G1490" t="s">
        <v>831</v>
      </c>
      <c r="H1490" t="s">
        <v>832</v>
      </c>
      <c r="I1490" s="6" t="s">
        <v>826</v>
      </c>
      <c r="J1490" s="61" t="s">
        <v>827</v>
      </c>
      <c r="L1490" s="5" t="str">
        <f t="shared" ref="L1490" si="371">IF(ISBLANK(A1490),"",TEXT(A1490,"00000"))</f>
        <v>01489</v>
      </c>
      <c r="M1490" s="47" t="str">
        <f t="shared" ref="M1490" si="372">IF(ISBLANK(D1490),"",TEXT(D1490,"dd")&amp;" de "&amp;TEXT(D1490,"mmmm")&amp;" de "&amp;TEXT(YEAR(D1490),"0"))</f>
        <v>05 de octubre de 2018</v>
      </c>
      <c r="N1490" s="323">
        <f t="shared" ref="N1490:N1523" si="373">DAY(D1490)</f>
        <v>5</v>
      </c>
      <c r="O1490" s="25">
        <f t="shared" ref="O1490" si="374">DATE(YEAR(D1490),MONTH(D1490),1)</f>
        <v>43374</v>
      </c>
      <c r="P1490" s="5" t="str">
        <f t="shared" ref="P1490:P1523" si="375">TEXT(E1490,"#.##0,00")</f>
        <v>10,00</v>
      </c>
      <c r="Q1490" s="4" t="e">
        <f t="shared" ref="Q1490:Q1498" ca="1" si="376">CONVERTIRNUM(E1490)</f>
        <v>#NAME?</v>
      </c>
    </row>
    <row r="1491" spans="1:17">
      <c r="A1491" s="1">
        <f t="shared" si="360"/>
        <v>1490</v>
      </c>
      <c r="C1491" s="8" t="s">
        <v>17</v>
      </c>
      <c r="D1491" s="2">
        <v>43378</v>
      </c>
      <c r="E1491" s="3">
        <v>10</v>
      </c>
      <c r="F1491" t="s">
        <v>243</v>
      </c>
      <c r="G1491" t="s">
        <v>244</v>
      </c>
      <c r="H1491" t="s">
        <v>245</v>
      </c>
      <c r="I1491" s="6" t="s">
        <v>826</v>
      </c>
      <c r="J1491" s="61" t="s">
        <v>827</v>
      </c>
      <c r="L1491" s="5" t="str">
        <f>IF(ISBLANK(A1491),"",TEXT(A1491,"00000"))</f>
        <v>01490</v>
      </c>
      <c r="M1491" s="47" t="str">
        <f>IF(ISBLANK(D1491),"",TEXT(D1491,"dd")&amp;" de "&amp;TEXT(D1491,"mmmm")&amp;" de "&amp;TEXT(YEAR(D1491),"0"))</f>
        <v>05 de octubre de 2018</v>
      </c>
      <c r="N1491" s="323">
        <f t="shared" si="373"/>
        <v>5</v>
      </c>
      <c r="O1491" s="25">
        <f>DATE(YEAR(D1491),MONTH(D1491),1)</f>
        <v>43374</v>
      </c>
      <c r="P1491" s="5" t="str">
        <f t="shared" si="375"/>
        <v>10,00</v>
      </c>
      <c r="Q1491" s="4" t="e">
        <f t="shared" ca="1" si="376"/>
        <v>#NAME?</v>
      </c>
    </row>
    <row r="1492" spans="1:17">
      <c r="A1492" s="1">
        <f t="shared" si="360"/>
        <v>1491</v>
      </c>
      <c r="C1492" s="8" t="s">
        <v>17</v>
      </c>
      <c r="D1492" s="2">
        <v>43378</v>
      </c>
      <c r="E1492" s="3">
        <v>15</v>
      </c>
      <c r="F1492" t="s">
        <v>90</v>
      </c>
      <c r="G1492" t="s">
        <v>91</v>
      </c>
      <c r="H1492" t="s">
        <v>92</v>
      </c>
      <c r="I1492" s="6" t="s">
        <v>826</v>
      </c>
      <c r="J1492" s="61" t="s">
        <v>827</v>
      </c>
      <c r="L1492" s="5" t="str">
        <f t="shared" ref="L1492:L1523" si="377">IF(ISBLANK(A1492),"",TEXT(A1492,"00000"))</f>
        <v>01491</v>
      </c>
      <c r="M1492" s="47" t="str">
        <f t="shared" ref="M1492:M1523" si="378">IF(ISBLANK(D1492),"",TEXT(D1492,"dd")&amp;" de "&amp;TEXT(D1492,"mmmm")&amp;" de "&amp;TEXT(YEAR(D1492),"0"))</f>
        <v>05 de octubre de 2018</v>
      </c>
      <c r="N1492" s="323">
        <f t="shared" si="373"/>
        <v>5</v>
      </c>
      <c r="O1492" s="25">
        <f t="shared" ref="O1492:O1523" si="379">DATE(YEAR(D1492),MONTH(D1492),1)</f>
        <v>43374</v>
      </c>
      <c r="P1492" s="5" t="str">
        <f t="shared" si="375"/>
        <v>15,00</v>
      </c>
      <c r="Q1492" s="4" t="e">
        <f t="shared" ca="1" si="376"/>
        <v>#NAME?</v>
      </c>
    </row>
    <row r="1493" spans="1:17">
      <c r="A1493" s="1">
        <f t="shared" si="360"/>
        <v>1492</v>
      </c>
      <c r="C1493" s="8" t="s">
        <v>17</v>
      </c>
      <c r="D1493" s="2">
        <v>43378</v>
      </c>
      <c r="E1493" s="3">
        <v>10</v>
      </c>
      <c r="F1493" t="s">
        <v>48</v>
      </c>
      <c r="G1493" t="s">
        <v>49</v>
      </c>
      <c r="H1493" t="s">
        <v>50</v>
      </c>
      <c r="I1493" s="6" t="s">
        <v>826</v>
      </c>
      <c r="J1493" s="61" t="s">
        <v>827</v>
      </c>
      <c r="L1493" s="5" t="str">
        <f t="shared" si="377"/>
        <v>01492</v>
      </c>
      <c r="M1493" s="47" t="str">
        <f t="shared" si="378"/>
        <v>05 de octubre de 2018</v>
      </c>
      <c r="N1493" s="323">
        <f t="shared" si="373"/>
        <v>5</v>
      </c>
      <c r="O1493" s="25">
        <f t="shared" si="379"/>
        <v>43374</v>
      </c>
      <c r="P1493" s="5" t="str">
        <f t="shared" si="375"/>
        <v>10,00</v>
      </c>
      <c r="Q1493" s="4" t="e">
        <f t="shared" ca="1" si="376"/>
        <v>#NAME?</v>
      </c>
    </row>
    <row r="1494" spans="1:17" ht="15.75" thickBot="1">
      <c r="A1494" s="1">
        <f t="shared" si="360"/>
        <v>1493</v>
      </c>
      <c r="C1494" s="8" t="s">
        <v>17</v>
      </c>
      <c r="D1494" s="2">
        <v>43378</v>
      </c>
      <c r="E1494" s="3">
        <v>10</v>
      </c>
      <c r="F1494" t="s">
        <v>211</v>
      </c>
      <c r="G1494" t="s">
        <v>212</v>
      </c>
      <c r="H1494" t="s">
        <v>213</v>
      </c>
      <c r="I1494" s="6" t="s">
        <v>826</v>
      </c>
      <c r="J1494" s="61" t="s">
        <v>827</v>
      </c>
      <c r="L1494" s="5" t="str">
        <f t="shared" si="377"/>
        <v>01493</v>
      </c>
      <c r="M1494" s="47" t="str">
        <f t="shared" si="378"/>
        <v>05 de octubre de 2018</v>
      </c>
      <c r="N1494" s="323">
        <f t="shared" si="373"/>
        <v>5</v>
      </c>
      <c r="O1494" s="25">
        <f t="shared" si="379"/>
        <v>43374</v>
      </c>
      <c r="P1494" s="5" t="str">
        <f t="shared" si="375"/>
        <v>10,00</v>
      </c>
      <c r="Q1494" s="4" t="e">
        <f t="shared" ca="1" si="376"/>
        <v>#NAME?</v>
      </c>
    </row>
    <row r="1495" spans="1:17" ht="15.75" thickBot="1">
      <c r="A1495" s="1">
        <f t="shared" si="360"/>
        <v>1494</v>
      </c>
      <c r="C1495" s="85" t="s">
        <v>17</v>
      </c>
      <c r="D1495" s="2">
        <v>43379</v>
      </c>
      <c r="E1495" s="3">
        <v>100</v>
      </c>
      <c r="F1495" t="s">
        <v>303</v>
      </c>
      <c r="G1495" s="18" t="s">
        <v>58</v>
      </c>
      <c r="H1495" t="s">
        <v>304</v>
      </c>
      <c r="I1495" s="6" t="s">
        <v>833</v>
      </c>
      <c r="J1495" s="61" t="s">
        <v>22</v>
      </c>
      <c r="L1495" s="5" t="str">
        <f t="shared" si="377"/>
        <v>01494</v>
      </c>
      <c r="M1495" s="47" t="str">
        <f t="shared" si="378"/>
        <v>06 de octubre de 2018</v>
      </c>
      <c r="N1495" s="323">
        <f t="shared" si="373"/>
        <v>6</v>
      </c>
      <c r="O1495" s="25">
        <f t="shared" si="379"/>
        <v>43374</v>
      </c>
      <c r="P1495" s="5" t="str">
        <f t="shared" si="375"/>
        <v>100,00</v>
      </c>
      <c r="Q1495" s="4" t="e">
        <f t="shared" ca="1" si="376"/>
        <v>#NAME?</v>
      </c>
    </row>
    <row r="1496" spans="1:17">
      <c r="A1496" s="1">
        <f t="shared" si="360"/>
        <v>1495</v>
      </c>
      <c r="C1496" s="8" t="s">
        <v>17</v>
      </c>
      <c r="D1496" s="2">
        <v>43379</v>
      </c>
      <c r="E1496" s="3">
        <v>10</v>
      </c>
      <c r="F1496" t="s">
        <v>334</v>
      </c>
      <c r="G1496" t="s">
        <v>85</v>
      </c>
      <c r="H1496" t="s">
        <v>335</v>
      </c>
      <c r="I1496" s="6" t="s">
        <v>826</v>
      </c>
      <c r="J1496" s="61" t="s">
        <v>827</v>
      </c>
      <c r="L1496" s="5" t="str">
        <f t="shared" si="377"/>
        <v>01495</v>
      </c>
      <c r="M1496" s="47" t="str">
        <f t="shared" si="378"/>
        <v>06 de octubre de 2018</v>
      </c>
      <c r="N1496" s="323">
        <f t="shared" si="373"/>
        <v>6</v>
      </c>
      <c r="O1496" s="25">
        <f t="shared" si="379"/>
        <v>43374</v>
      </c>
      <c r="P1496" s="5" t="str">
        <f t="shared" si="375"/>
        <v>10,00</v>
      </c>
      <c r="Q1496" s="4" t="e">
        <f t="shared" ca="1" si="376"/>
        <v>#NAME?</v>
      </c>
    </row>
    <row r="1497" spans="1:17">
      <c r="A1497" s="1">
        <f t="shared" si="360"/>
        <v>1496</v>
      </c>
      <c r="C1497" s="8" t="s">
        <v>17</v>
      </c>
      <c r="D1497" s="2">
        <v>43379</v>
      </c>
      <c r="E1497" s="3">
        <v>320</v>
      </c>
      <c r="F1497" t="s">
        <v>84</v>
      </c>
      <c r="G1497" t="s">
        <v>85</v>
      </c>
      <c r="H1497" t="s">
        <v>86</v>
      </c>
      <c r="I1497" s="6" t="s">
        <v>823</v>
      </c>
      <c r="J1497" s="61" t="s">
        <v>22</v>
      </c>
      <c r="L1497" s="5" t="str">
        <f t="shared" si="377"/>
        <v>01496</v>
      </c>
      <c r="M1497" s="47" t="str">
        <f t="shared" si="378"/>
        <v>06 de octubre de 2018</v>
      </c>
      <c r="N1497" s="323">
        <f t="shared" si="373"/>
        <v>6</v>
      </c>
      <c r="O1497" s="25">
        <f t="shared" si="379"/>
        <v>43374</v>
      </c>
      <c r="P1497" s="5" t="str">
        <f t="shared" si="375"/>
        <v>320,00</v>
      </c>
      <c r="Q1497" s="4" t="e">
        <f t="shared" ca="1" si="376"/>
        <v>#NAME?</v>
      </c>
    </row>
    <row r="1498" spans="1:17">
      <c r="A1498" s="1">
        <f t="shared" si="360"/>
        <v>1497</v>
      </c>
      <c r="C1498" s="8" t="s">
        <v>17</v>
      </c>
      <c r="D1498" s="2">
        <v>43379</v>
      </c>
      <c r="E1498" s="3">
        <v>10</v>
      </c>
      <c r="F1498" t="s">
        <v>84</v>
      </c>
      <c r="G1498" t="s">
        <v>85</v>
      </c>
      <c r="H1498" t="s">
        <v>86</v>
      </c>
      <c r="I1498" s="6" t="s">
        <v>826</v>
      </c>
      <c r="J1498" s="61" t="s">
        <v>827</v>
      </c>
      <c r="L1498" s="5" t="str">
        <f t="shared" si="377"/>
        <v>01497</v>
      </c>
      <c r="M1498" s="47" t="str">
        <f t="shared" si="378"/>
        <v>06 de octubre de 2018</v>
      </c>
      <c r="N1498" s="323">
        <f t="shared" si="373"/>
        <v>6</v>
      </c>
      <c r="O1498" s="25">
        <f t="shared" si="379"/>
        <v>43374</v>
      </c>
      <c r="P1498" s="5" t="str">
        <f t="shared" si="375"/>
        <v>10,00</v>
      </c>
      <c r="Q1498" s="4" t="e">
        <f t="shared" ca="1" si="376"/>
        <v>#NAME?</v>
      </c>
    </row>
    <row r="1499" spans="1:17">
      <c r="A1499" s="1">
        <f t="shared" si="360"/>
        <v>1498</v>
      </c>
      <c r="C1499" s="8" t="s">
        <v>17</v>
      </c>
      <c r="D1499" s="2">
        <v>43380</v>
      </c>
      <c r="E1499" s="3">
        <v>320</v>
      </c>
      <c r="F1499" t="s">
        <v>107</v>
      </c>
      <c r="G1499" t="s">
        <v>108</v>
      </c>
      <c r="H1499" t="s">
        <v>109</v>
      </c>
      <c r="I1499" s="6" t="s">
        <v>823</v>
      </c>
      <c r="J1499" s="61" t="s">
        <v>22</v>
      </c>
      <c r="L1499" s="5" t="str">
        <f t="shared" si="377"/>
        <v>01498</v>
      </c>
      <c r="M1499" s="47" t="str">
        <f t="shared" si="378"/>
        <v>07 de octubre de 2018</v>
      </c>
      <c r="N1499" s="323">
        <f t="shared" si="373"/>
        <v>7</v>
      </c>
      <c r="O1499" s="25">
        <f t="shared" si="379"/>
        <v>43374</v>
      </c>
      <c r="P1499" s="5" t="str">
        <f t="shared" si="375"/>
        <v>320,00</v>
      </c>
      <c r="Q1499" s="4" t="e">
        <f t="shared" ref="Q1499:Q1523" ca="1" si="380">CONVERTIRNUM(E1499)</f>
        <v>#NAME?</v>
      </c>
    </row>
    <row r="1500" spans="1:17">
      <c r="A1500" s="1">
        <f t="shared" si="360"/>
        <v>1499</v>
      </c>
      <c r="C1500" s="8" t="s">
        <v>17</v>
      </c>
      <c r="D1500" s="2">
        <v>43380</v>
      </c>
      <c r="E1500" s="3">
        <v>10</v>
      </c>
      <c r="F1500" t="s">
        <v>107</v>
      </c>
      <c r="G1500" t="s">
        <v>108</v>
      </c>
      <c r="H1500" t="s">
        <v>109</v>
      </c>
      <c r="I1500" s="6" t="s">
        <v>826</v>
      </c>
      <c r="J1500" s="61" t="s">
        <v>827</v>
      </c>
      <c r="L1500" s="5" t="str">
        <f t="shared" si="377"/>
        <v>01499</v>
      </c>
      <c r="M1500" s="47" t="str">
        <f t="shared" si="378"/>
        <v>07 de octubre de 2018</v>
      </c>
      <c r="N1500" s="323">
        <f t="shared" si="373"/>
        <v>7</v>
      </c>
      <c r="O1500" s="25">
        <f t="shared" si="379"/>
        <v>43374</v>
      </c>
      <c r="P1500" s="5" t="str">
        <f t="shared" si="375"/>
        <v>10,00</v>
      </c>
      <c r="Q1500" s="4" t="e">
        <f t="shared" ca="1" si="380"/>
        <v>#NAME?</v>
      </c>
    </row>
    <row r="1501" spans="1:17">
      <c r="A1501" s="1">
        <f t="shared" si="360"/>
        <v>1500</v>
      </c>
      <c r="C1501" s="8" t="s">
        <v>17</v>
      </c>
      <c r="D1501" s="2">
        <v>43380</v>
      </c>
      <c r="E1501" s="3">
        <v>320</v>
      </c>
      <c r="F1501" t="s">
        <v>94</v>
      </c>
      <c r="G1501" t="s">
        <v>607</v>
      </c>
      <c r="H1501" t="s">
        <v>96</v>
      </c>
      <c r="I1501" s="6" t="s">
        <v>823</v>
      </c>
      <c r="J1501" s="61" t="s">
        <v>22</v>
      </c>
      <c r="L1501" s="5" t="str">
        <f t="shared" si="377"/>
        <v>01500</v>
      </c>
      <c r="M1501" s="47" t="str">
        <f t="shared" si="378"/>
        <v>07 de octubre de 2018</v>
      </c>
      <c r="N1501" s="323">
        <f t="shared" si="373"/>
        <v>7</v>
      </c>
      <c r="O1501" s="25">
        <f t="shared" si="379"/>
        <v>43374</v>
      </c>
      <c r="P1501" s="5" t="str">
        <f t="shared" si="375"/>
        <v>320,00</v>
      </c>
      <c r="Q1501" s="4" t="e">
        <f t="shared" ca="1" si="380"/>
        <v>#NAME?</v>
      </c>
    </row>
    <row r="1502" spans="1:17">
      <c r="A1502" s="1">
        <f t="shared" si="360"/>
        <v>1501</v>
      </c>
      <c r="C1502" s="8" t="s">
        <v>17</v>
      </c>
      <c r="D1502" s="2">
        <v>43380</v>
      </c>
      <c r="E1502" s="3">
        <v>10</v>
      </c>
      <c r="F1502" t="s">
        <v>94</v>
      </c>
      <c r="G1502" t="s">
        <v>607</v>
      </c>
      <c r="H1502" t="s">
        <v>96</v>
      </c>
      <c r="I1502" s="6" t="s">
        <v>826</v>
      </c>
      <c r="J1502" s="61" t="s">
        <v>827</v>
      </c>
      <c r="L1502" s="5" t="str">
        <f t="shared" si="377"/>
        <v>01501</v>
      </c>
      <c r="M1502" s="47" t="str">
        <f t="shared" si="378"/>
        <v>07 de octubre de 2018</v>
      </c>
      <c r="N1502" s="323">
        <f t="shared" si="373"/>
        <v>7</v>
      </c>
      <c r="O1502" s="25">
        <f t="shared" si="379"/>
        <v>43374</v>
      </c>
      <c r="P1502" s="5" t="str">
        <f t="shared" si="375"/>
        <v>10,00</v>
      </c>
      <c r="Q1502" s="4" t="e">
        <f t="shared" ca="1" si="380"/>
        <v>#NAME?</v>
      </c>
    </row>
    <row r="1503" spans="1:17">
      <c r="A1503" s="1">
        <f t="shared" si="360"/>
        <v>1502</v>
      </c>
      <c r="C1503" s="8" t="s">
        <v>17</v>
      </c>
      <c r="D1503" s="2">
        <v>43380</v>
      </c>
      <c r="E1503" s="3">
        <v>322</v>
      </c>
      <c r="F1503" t="s">
        <v>114</v>
      </c>
      <c r="G1503" t="s">
        <v>115</v>
      </c>
      <c r="H1503" t="s">
        <v>116</v>
      </c>
      <c r="I1503" s="6" t="s">
        <v>829</v>
      </c>
      <c r="J1503" s="61" t="s">
        <v>22</v>
      </c>
      <c r="L1503" s="5" t="str">
        <f t="shared" si="377"/>
        <v>01502</v>
      </c>
      <c r="M1503" s="47" t="str">
        <f t="shared" si="378"/>
        <v>07 de octubre de 2018</v>
      </c>
      <c r="N1503" s="323">
        <f t="shared" si="373"/>
        <v>7</v>
      </c>
      <c r="O1503" s="25">
        <f t="shared" si="379"/>
        <v>43374</v>
      </c>
      <c r="P1503" s="5" t="str">
        <f t="shared" si="375"/>
        <v>322,00</v>
      </c>
      <c r="Q1503" s="4" t="e">
        <f t="shared" ca="1" si="380"/>
        <v>#NAME?</v>
      </c>
    </row>
    <row r="1504" spans="1:17">
      <c r="A1504" s="1">
        <f t="shared" si="360"/>
        <v>1503</v>
      </c>
      <c r="C1504" s="8" t="s">
        <v>17</v>
      </c>
      <c r="D1504" s="2">
        <v>43380</v>
      </c>
      <c r="E1504" s="3">
        <v>10</v>
      </c>
      <c r="F1504" t="s">
        <v>114</v>
      </c>
      <c r="G1504" t="s">
        <v>115</v>
      </c>
      <c r="H1504" t="s">
        <v>116</v>
      </c>
      <c r="I1504" s="6" t="s">
        <v>826</v>
      </c>
      <c r="J1504" s="61" t="s">
        <v>827</v>
      </c>
      <c r="L1504" s="5" t="str">
        <f t="shared" si="377"/>
        <v>01503</v>
      </c>
      <c r="M1504" s="47" t="str">
        <f t="shared" si="378"/>
        <v>07 de octubre de 2018</v>
      </c>
      <c r="N1504" s="323">
        <f t="shared" si="373"/>
        <v>7</v>
      </c>
      <c r="O1504" s="25">
        <f t="shared" si="379"/>
        <v>43374</v>
      </c>
      <c r="P1504" s="5" t="str">
        <f t="shared" si="375"/>
        <v>10,00</v>
      </c>
      <c r="Q1504" s="4" t="e">
        <f t="shared" ca="1" si="380"/>
        <v>#NAME?</v>
      </c>
    </row>
    <row r="1505" spans="1:17">
      <c r="A1505" s="1">
        <f t="shared" si="360"/>
        <v>1504</v>
      </c>
      <c r="C1505" s="8" t="s">
        <v>17</v>
      </c>
      <c r="D1505" s="2">
        <v>43380</v>
      </c>
      <c r="E1505" s="3">
        <v>320</v>
      </c>
      <c r="F1505" t="s">
        <v>114</v>
      </c>
      <c r="G1505" t="s">
        <v>115</v>
      </c>
      <c r="H1505" t="s">
        <v>105</v>
      </c>
      <c r="I1505" s="6" t="s">
        <v>823</v>
      </c>
      <c r="J1505" s="61" t="s">
        <v>22</v>
      </c>
      <c r="L1505" s="5" t="str">
        <f t="shared" si="377"/>
        <v>01504</v>
      </c>
      <c r="M1505" s="47" t="str">
        <f t="shared" si="378"/>
        <v>07 de octubre de 2018</v>
      </c>
      <c r="N1505" s="323">
        <f t="shared" si="373"/>
        <v>7</v>
      </c>
      <c r="O1505" s="25">
        <f t="shared" si="379"/>
        <v>43374</v>
      </c>
      <c r="P1505" s="5" t="str">
        <f t="shared" si="375"/>
        <v>320,00</v>
      </c>
      <c r="Q1505" s="4" t="e">
        <f t="shared" ca="1" si="380"/>
        <v>#NAME?</v>
      </c>
    </row>
    <row r="1506" spans="1:17">
      <c r="A1506" s="1">
        <f t="shared" si="360"/>
        <v>1505</v>
      </c>
      <c r="C1506" s="8" t="s">
        <v>17</v>
      </c>
      <c r="D1506" s="2">
        <v>43380</v>
      </c>
      <c r="E1506" s="3">
        <v>320</v>
      </c>
      <c r="F1506" t="s">
        <v>443</v>
      </c>
      <c r="G1506" t="s">
        <v>444</v>
      </c>
      <c r="H1506" t="s">
        <v>75</v>
      </c>
      <c r="I1506" s="6" t="s">
        <v>823</v>
      </c>
      <c r="J1506" s="61" t="s">
        <v>22</v>
      </c>
      <c r="L1506" s="5" t="str">
        <f t="shared" si="377"/>
        <v>01505</v>
      </c>
      <c r="M1506" s="47" t="str">
        <f t="shared" si="378"/>
        <v>07 de octubre de 2018</v>
      </c>
      <c r="N1506" s="323">
        <f t="shared" si="373"/>
        <v>7</v>
      </c>
      <c r="O1506" s="25">
        <f t="shared" si="379"/>
        <v>43374</v>
      </c>
      <c r="P1506" s="5" t="str">
        <f t="shared" si="375"/>
        <v>320,00</v>
      </c>
      <c r="Q1506" s="4" t="e">
        <f t="shared" ca="1" si="380"/>
        <v>#NAME?</v>
      </c>
    </row>
    <row r="1507" spans="1:17">
      <c r="A1507" s="1">
        <f t="shared" si="360"/>
        <v>1506</v>
      </c>
      <c r="C1507" s="8" t="s">
        <v>17</v>
      </c>
      <c r="D1507" s="2">
        <v>43380</v>
      </c>
      <c r="E1507" s="3">
        <v>30</v>
      </c>
      <c r="F1507" t="s">
        <v>443</v>
      </c>
      <c r="G1507" t="s">
        <v>444</v>
      </c>
      <c r="H1507" t="s">
        <v>75</v>
      </c>
      <c r="I1507" s="6" t="s">
        <v>826</v>
      </c>
      <c r="J1507" s="61" t="s">
        <v>827</v>
      </c>
      <c r="L1507" s="5" t="str">
        <f t="shared" si="377"/>
        <v>01506</v>
      </c>
      <c r="M1507" s="47" t="str">
        <f t="shared" si="378"/>
        <v>07 de octubre de 2018</v>
      </c>
      <c r="N1507" s="323">
        <f t="shared" si="373"/>
        <v>7</v>
      </c>
      <c r="O1507" s="25">
        <f t="shared" si="379"/>
        <v>43374</v>
      </c>
      <c r="P1507" s="5" t="str">
        <f t="shared" si="375"/>
        <v>30,00</v>
      </c>
      <c r="Q1507" s="4" t="e">
        <f t="shared" ca="1" si="380"/>
        <v>#NAME?</v>
      </c>
    </row>
    <row r="1508" spans="1:17">
      <c r="A1508" s="1">
        <f t="shared" si="360"/>
        <v>1507</v>
      </c>
      <c r="C1508" s="8" t="s">
        <v>17</v>
      </c>
      <c r="D1508" s="2">
        <v>43381</v>
      </c>
      <c r="E1508" s="3">
        <v>320</v>
      </c>
      <c r="F1508" t="s">
        <v>126</v>
      </c>
      <c r="G1508" t="s">
        <v>127</v>
      </c>
      <c r="H1508" t="s">
        <v>128</v>
      </c>
      <c r="I1508" s="6" t="s">
        <v>823</v>
      </c>
      <c r="J1508" s="61" t="s">
        <v>22</v>
      </c>
      <c r="L1508" s="5" t="str">
        <f t="shared" si="377"/>
        <v>01507</v>
      </c>
      <c r="M1508" s="47" t="str">
        <f t="shared" si="378"/>
        <v>08 de octubre de 2018</v>
      </c>
      <c r="N1508" s="323">
        <f t="shared" si="373"/>
        <v>8</v>
      </c>
      <c r="O1508" s="25">
        <f t="shared" si="379"/>
        <v>43374</v>
      </c>
      <c r="P1508" s="5" t="str">
        <f t="shared" si="375"/>
        <v>320,00</v>
      </c>
      <c r="Q1508" s="4" t="e">
        <f t="shared" ca="1" si="380"/>
        <v>#NAME?</v>
      </c>
    </row>
    <row r="1509" spans="1:17">
      <c r="A1509" s="1">
        <f t="shared" si="360"/>
        <v>1508</v>
      </c>
      <c r="C1509" s="8" t="s">
        <v>17</v>
      </c>
      <c r="D1509" s="2">
        <v>43381</v>
      </c>
      <c r="E1509" s="3">
        <v>10</v>
      </c>
      <c r="F1509" t="s">
        <v>126</v>
      </c>
      <c r="G1509" t="s">
        <v>127</v>
      </c>
      <c r="H1509" t="s">
        <v>128</v>
      </c>
      <c r="I1509" s="6" t="s">
        <v>826</v>
      </c>
      <c r="J1509" s="61" t="s">
        <v>827</v>
      </c>
      <c r="L1509" s="5" t="str">
        <f t="shared" si="377"/>
        <v>01508</v>
      </c>
      <c r="M1509" s="47" t="str">
        <f t="shared" si="378"/>
        <v>08 de octubre de 2018</v>
      </c>
      <c r="N1509" s="323">
        <f t="shared" si="373"/>
        <v>8</v>
      </c>
      <c r="O1509" s="25">
        <f t="shared" si="379"/>
        <v>43374</v>
      </c>
      <c r="P1509" s="5" t="str">
        <f t="shared" si="375"/>
        <v>10,00</v>
      </c>
      <c r="Q1509" s="4" t="e">
        <f t="shared" ca="1" si="380"/>
        <v>#NAME?</v>
      </c>
    </row>
    <row r="1510" spans="1:17">
      <c r="A1510" s="1">
        <f t="shared" si="360"/>
        <v>1509</v>
      </c>
      <c r="C1510" s="8" t="s">
        <v>17</v>
      </c>
      <c r="D1510" s="2">
        <v>43381</v>
      </c>
      <c r="E1510" s="3">
        <v>320</v>
      </c>
      <c r="F1510" t="s">
        <v>337</v>
      </c>
      <c r="G1510" t="s">
        <v>338</v>
      </c>
      <c r="H1510" t="s">
        <v>339</v>
      </c>
      <c r="I1510" s="6" t="s">
        <v>823</v>
      </c>
      <c r="J1510" s="61" t="s">
        <v>22</v>
      </c>
      <c r="L1510" s="5" t="str">
        <f t="shared" si="377"/>
        <v>01509</v>
      </c>
      <c r="M1510" s="47" t="str">
        <f t="shared" si="378"/>
        <v>08 de octubre de 2018</v>
      </c>
      <c r="N1510" s="323">
        <f t="shared" si="373"/>
        <v>8</v>
      </c>
      <c r="O1510" s="25">
        <f t="shared" si="379"/>
        <v>43374</v>
      </c>
      <c r="P1510" s="5" t="str">
        <f t="shared" si="375"/>
        <v>320,00</v>
      </c>
      <c r="Q1510" s="4" t="e">
        <f t="shared" ca="1" si="380"/>
        <v>#NAME?</v>
      </c>
    </row>
    <row r="1511" spans="1:17">
      <c r="A1511" s="1">
        <f t="shared" si="360"/>
        <v>1510</v>
      </c>
      <c r="C1511" s="8" t="s">
        <v>17</v>
      </c>
      <c r="D1511" s="2">
        <v>43381</v>
      </c>
      <c r="E1511" s="3">
        <v>10</v>
      </c>
      <c r="F1511" t="s">
        <v>337</v>
      </c>
      <c r="G1511" t="s">
        <v>338</v>
      </c>
      <c r="H1511" t="s">
        <v>339</v>
      </c>
      <c r="I1511" s="6" t="s">
        <v>826</v>
      </c>
      <c r="J1511" s="61" t="s">
        <v>827</v>
      </c>
      <c r="L1511" s="5" t="str">
        <f t="shared" si="377"/>
        <v>01510</v>
      </c>
      <c r="M1511" s="47" t="str">
        <f t="shared" si="378"/>
        <v>08 de octubre de 2018</v>
      </c>
      <c r="N1511" s="323">
        <f t="shared" si="373"/>
        <v>8</v>
      </c>
      <c r="O1511" s="25">
        <f t="shared" si="379"/>
        <v>43374</v>
      </c>
      <c r="P1511" s="5" t="str">
        <f t="shared" si="375"/>
        <v>10,00</v>
      </c>
      <c r="Q1511" s="4" t="e">
        <f t="shared" ca="1" si="380"/>
        <v>#NAME?</v>
      </c>
    </row>
    <row r="1512" spans="1:17">
      <c r="A1512" s="1">
        <f t="shared" si="360"/>
        <v>1511</v>
      </c>
      <c r="C1512" s="8" t="s">
        <v>17</v>
      </c>
      <c r="D1512" s="2">
        <v>43381</v>
      </c>
      <c r="E1512" s="3">
        <v>320</v>
      </c>
      <c r="F1512" t="s">
        <v>248</v>
      </c>
      <c r="G1512" t="s">
        <v>249</v>
      </c>
      <c r="H1512" t="s">
        <v>250</v>
      </c>
      <c r="I1512" s="6" t="s">
        <v>834</v>
      </c>
      <c r="J1512" s="61" t="s">
        <v>22</v>
      </c>
      <c r="L1512" s="5" t="str">
        <f t="shared" si="377"/>
        <v>01511</v>
      </c>
      <c r="M1512" s="47" t="str">
        <f t="shared" si="378"/>
        <v>08 de octubre de 2018</v>
      </c>
      <c r="N1512" s="323">
        <f t="shared" si="373"/>
        <v>8</v>
      </c>
      <c r="O1512" s="25">
        <f t="shared" si="379"/>
        <v>43374</v>
      </c>
      <c r="P1512" s="5" t="str">
        <f t="shared" si="375"/>
        <v>320,00</v>
      </c>
      <c r="Q1512" s="4" t="e">
        <f t="shared" ca="1" si="380"/>
        <v>#NAME?</v>
      </c>
    </row>
    <row r="1513" spans="1:17">
      <c r="A1513" s="1">
        <f t="shared" si="360"/>
        <v>1512</v>
      </c>
      <c r="C1513" s="8" t="s">
        <v>17</v>
      </c>
      <c r="D1513" s="2">
        <v>43381</v>
      </c>
      <c r="E1513" s="3">
        <v>10</v>
      </c>
      <c r="F1513" t="s">
        <v>248</v>
      </c>
      <c r="G1513" t="s">
        <v>249</v>
      </c>
      <c r="H1513" t="s">
        <v>250</v>
      </c>
      <c r="I1513" s="6" t="s">
        <v>826</v>
      </c>
      <c r="J1513" s="61" t="s">
        <v>827</v>
      </c>
      <c r="L1513" s="5" t="str">
        <f t="shared" si="377"/>
        <v>01512</v>
      </c>
      <c r="M1513" s="47" t="str">
        <f t="shared" si="378"/>
        <v>08 de octubre de 2018</v>
      </c>
      <c r="N1513" s="323">
        <f t="shared" si="373"/>
        <v>8</v>
      </c>
      <c r="O1513" s="25">
        <f t="shared" si="379"/>
        <v>43374</v>
      </c>
      <c r="P1513" s="5" t="str">
        <f t="shared" si="375"/>
        <v>10,00</v>
      </c>
      <c r="Q1513" s="4" t="e">
        <f t="shared" ca="1" si="380"/>
        <v>#NAME?</v>
      </c>
    </row>
    <row r="1514" spans="1:17">
      <c r="A1514" s="1">
        <f t="shared" si="360"/>
        <v>1513</v>
      </c>
      <c r="C1514" s="8" t="s">
        <v>17</v>
      </c>
      <c r="D1514" s="2">
        <v>43381</v>
      </c>
      <c r="E1514" s="3">
        <v>320</v>
      </c>
      <c r="F1514" t="s">
        <v>80</v>
      </c>
      <c r="G1514" t="s">
        <v>81</v>
      </c>
      <c r="H1514" t="s">
        <v>82</v>
      </c>
      <c r="I1514" s="6" t="s">
        <v>823</v>
      </c>
      <c r="J1514" s="61" t="s">
        <v>22</v>
      </c>
      <c r="L1514" s="5" t="str">
        <f t="shared" si="377"/>
        <v>01513</v>
      </c>
      <c r="M1514" s="47" t="str">
        <f t="shared" si="378"/>
        <v>08 de octubre de 2018</v>
      </c>
      <c r="N1514" s="323">
        <f t="shared" si="373"/>
        <v>8</v>
      </c>
      <c r="O1514" s="25">
        <f t="shared" si="379"/>
        <v>43374</v>
      </c>
      <c r="P1514" s="5" t="str">
        <f t="shared" si="375"/>
        <v>320,00</v>
      </c>
      <c r="Q1514" s="4" t="e">
        <f t="shared" ca="1" si="380"/>
        <v>#NAME?</v>
      </c>
    </row>
    <row r="1515" spans="1:17">
      <c r="A1515" s="1">
        <f t="shared" si="360"/>
        <v>1514</v>
      </c>
      <c r="C1515" s="8" t="s">
        <v>17</v>
      </c>
      <c r="D1515" s="2">
        <v>43381</v>
      </c>
      <c r="E1515" s="3">
        <v>10</v>
      </c>
      <c r="F1515" t="s">
        <v>80</v>
      </c>
      <c r="G1515" t="s">
        <v>81</v>
      </c>
      <c r="H1515" t="s">
        <v>82</v>
      </c>
      <c r="I1515" s="6" t="s">
        <v>826</v>
      </c>
      <c r="J1515" s="61" t="s">
        <v>827</v>
      </c>
      <c r="L1515" s="5" t="str">
        <f t="shared" si="377"/>
        <v>01514</v>
      </c>
      <c r="M1515" s="47" t="str">
        <f t="shared" si="378"/>
        <v>08 de octubre de 2018</v>
      </c>
      <c r="N1515" s="323">
        <f t="shared" si="373"/>
        <v>8</v>
      </c>
      <c r="O1515" s="25">
        <f t="shared" si="379"/>
        <v>43374</v>
      </c>
      <c r="P1515" s="5" t="str">
        <f t="shared" si="375"/>
        <v>10,00</v>
      </c>
      <c r="Q1515" s="4" t="e">
        <f t="shared" ca="1" si="380"/>
        <v>#NAME?</v>
      </c>
    </row>
    <row r="1516" spans="1:17">
      <c r="A1516" s="1">
        <f t="shared" si="360"/>
        <v>1515</v>
      </c>
      <c r="C1516" s="8" t="s">
        <v>17</v>
      </c>
      <c r="D1516" s="2">
        <v>43381</v>
      </c>
      <c r="E1516" s="3">
        <v>320</v>
      </c>
      <c r="F1516" t="s">
        <v>118</v>
      </c>
      <c r="G1516" t="s">
        <v>119</v>
      </c>
      <c r="H1516" t="s">
        <v>120</v>
      </c>
      <c r="I1516" s="6" t="s">
        <v>810</v>
      </c>
      <c r="J1516" s="61" t="s">
        <v>22</v>
      </c>
      <c r="L1516" s="5" t="str">
        <f t="shared" si="377"/>
        <v>01515</v>
      </c>
      <c r="M1516" s="47" t="str">
        <f t="shared" si="378"/>
        <v>08 de octubre de 2018</v>
      </c>
      <c r="N1516" s="323">
        <f t="shared" si="373"/>
        <v>8</v>
      </c>
      <c r="O1516" s="25">
        <f t="shared" si="379"/>
        <v>43374</v>
      </c>
      <c r="P1516" s="5" t="str">
        <f t="shared" si="375"/>
        <v>320,00</v>
      </c>
      <c r="Q1516" s="4" t="e">
        <f t="shared" ca="1" si="380"/>
        <v>#NAME?</v>
      </c>
    </row>
    <row r="1517" spans="1:17" ht="15.75" thickBot="1">
      <c r="A1517" s="1">
        <f t="shared" si="360"/>
        <v>1516</v>
      </c>
      <c r="C1517" s="8" t="s">
        <v>17</v>
      </c>
      <c r="D1517" s="2">
        <v>43381</v>
      </c>
      <c r="E1517" s="3">
        <v>10</v>
      </c>
      <c r="F1517" t="s">
        <v>118</v>
      </c>
      <c r="G1517" t="s">
        <v>119</v>
      </c>
      <c r="H1517" t="s">
        <v>120</v>
      </c>
      <c r="I1517" s="6" t="s">
        <v>826</v>
      </c>
      <c r="J1517" s="61" t="s">
        <v>827</v>
      </c>
      <c r="L1517" s="5" t="str">
        <f t="shared" si="377"/>
        <v>01516</v>
      </c>
      <c r="M1517" s="47" t="str">
        <f t="shared" si="378"/>
        <v>08 de octubre de 2018</v>
      </c>
      <c r="N1517" s="323">
        <f t="shared" si="373"/>
        <v>8</v>
      </c>
      <c r="O1517" s="25">
        <f t="shared" si="379"/>
        <v>43374</v>
      </c>
      <c r="P1517" s="5" t="str">
        <f t="shared" si="375"/>
        <v>10,00</v>
      </c>
      <c r="Q1517" s="4" t="e">
        <f t="shared" ca="1" si="380"/>
        <v>#NAME?</v>
      </c>
    </row>
    <row r="1518" spans="1:17" ht="15.75" thickBot="1">
      <c r="A1518" s="1">
        <f t="shared" si="360"/>
        <v>1517</v>
      </c>
      <c r="C1518" s="85" t="s">
        <v>17</v>
      </c>
      <c r="D1518" s="2">
        <v>43382</v>
      </c>
      <c r="E1518" s="3">
        <v>10</v>
      </c>
      <c r="F1518" t="s">
        <v>177</v>
      </c>
      <c r="G1518" s="18" t="s">
        <v>58</v>
      </c>
      <c r="H1518" t="s">
        <v>179</v>
      </c>
      <c r="I1518" s="6" t="s">
        <v>826</v>
      </c>
      <c r="J1518" s="61" t="s">
        <v>827</v>
      </c>
      <c r="L1518" s="5" t="str">
        <f t="shared" si="377"/>
        <v>01517</v>
      </c>
      <c r="M1518" s="47" t="str">
        <f t="shared" si="378"/>
        <v>09 de octubre de 2018</v>
      </c>
      <c r="N1518" s="323">
        <f t="shared" si="373"/>
        <v>9</v>
      </c>
      <c r="O1518" s="25">
        <f t="shared" si="379"/>
        <v>43374</v>
      </c>
      <c r="P1518" s="5" t="str">
        <f t="shared" si="375"/>
        <v>10,00</v>
      </c>
      <c r="Q1518" s="4" t="e">
        <f t="shared" ca="1" si="380"/>
        <v>#NAME?</v>
      </c>
    </row>
    <row r="1519" spans="1:17">
      <c r="A1519" s="1">
        <f t="shared" si="360"/>
        <v>1518</v>
      </c>
      <c r="C1519" s="8" t="s">
        <v>17</v>
      </c>
      <c r="D1519" s="2">
        <v>43383</v>
      </c>
      <c r="E1519" s="3">
        <v>320</v>
      </c>
      <c r="F1519" t="s">
        <v>633</v>
      </c>
      <c r="G1519" t="s">
        <v>634</v>
      </c>
      <c r="H1519" t="s">
        <v>635</v>
      </c>
      <c r="I1519" s="6" t="s">
        <v>823</v>
      </c>
      <c r="J1519" s="61" t="s">
        <v>22</v>
      </c>
      <c r="L1519" s="5" t="str">
        <f t="shared" si="377"/>
        <v>01518</v>
      </c>
      <c r="M1519" s="47" t="str">
        <f t="shared" si="378"/>
        <v>10 de octubre de 2018</v>
      </c>
      <c r="N1519" s="323">
        <f t="shared" si="373"/>
        <v>10</v>
      </c>
      <c r="O1519" s="25">
        <f t="shared" si="379"/>
        <v>43374</v>
      </c>
      <c r="P1519" s="5" t="str">
        <f t="shared" si="375"/>
        <v>320,00</v>
      </c>
      <c r="Q1519" s="4" t="e">
        <f t="shared" ca="1" si="380"/>
        <v>#NAME?</v>
      </c>
    </row>
    <row r="1520" spans="1:17">
      <c r="A1520" s="1">
        <f t="shared" si="360"/>
        <v>1519</v>
      </c>
      <c r="C1520" s="8" t="s">
        <v>17</v>
      </c>
      <c r="D1520" s="2">
        <v>43384</v>
      </c>
      <c r="E1520" s="3">
        <f t="shared" ref="E1520" si="381">20.55+299.45</f>
        <v>320</v>
      </c>
      <c r="F1520" t="s">
        <v>100</v>
      </c>
      <c r="G1520" t="s">
        <v>95</v>
      </c>
      <c r="H1520" t="s">
        <v>101</v>
      </c>
      <c r="I1520" s="6" t="s">
        <v>823</v>
      </c>
      <c r="J1520" s="61" t="s">
        <v>22</v>
      </c>
      <c r="L1520" s="5" t="str">
        <f t="shared" si="377"/>
        <v>01519</v>
      </c>
      <c r="M1520" s="47" t="str">
        <f t="shared" si="378"/>
        <v>11 de octubre de 2018</v>
      </c>
      <c r="N1520" s="323">
        <f t="shared" si="373"/>
        <v>11</v>
      </c>
      <c r="O1520" s="25">
        <f t="shared" si="379"/>
        <v>43374</v>
      </c>
      <c r="P1520" s="5" t="str">
        <f t="shared" si="375"/>
        <v>320,00</v>
      </c>
      <c r="Q1520" s="4" t="e">
        <f t="shared" ca="1" si="380"/>
        <v>#NAME?</v>
      </c>
    </row>
    <row r="1521" spans="1:17">
      <c r="A1521" s="1">
        <f t="shared" si="360"/>
        <v>1520</v>
      </c>
      <c r="C1521" s="8" t="s">
        <v>17</v>
      </c>
      <c r="D1521" s="2">
        <v>43384</v>
      </c>
      <c r="E1521" s="3">
        <v>10</v>
      </c>
      <c r="F1521" t="s">
        <v>100</v>
      </c>
      <c r="G1521" t="s">
        <v>95</v>
      </c>
      <c r="H1521" t="s">
        <v>101</v>
      </c>
      <c r="I1521" s="6" t="s">
        <v>826</v>
      </c>
      <c r="J1521" s="61" t="s">
        <v>827</v>
      </c>
      <c r="L1521" s="5" t="str">
        <f t="shared" si="377"/>
        <v>01520</v>
      </c>
      <c r="M1521" s="47" t="str">
        <f t="shared" si="378"/>
        <v>11 de octubre de 2018</v>
      </c>
      <c r="N1521" s="323">
        <f t="shared" si="373"/>
        <v>11</v>
      </c>
      <c r="O1521" s="25">
        <f t="shared" si="379"/>
        <v>43374</v>
      </c>
      <c r="P1521" s="5" t="str">
        <f t="shared" si="375"/>
        <v>10,00</v>
      </c>
      <c r="Q1521" s="4" t="e">
        <f t="shared" ca="1" si="380"/>
        <v>#NAME?</v>
      </c>
    </row>
    <row r="1522" spans="1:17">
      <c r="A1522" s="1">
        <f t="shared" si="360"/>
        <v>1521</v>
      </c>
      <c r="C1522" s="8" t="s">
        <v>17</v>
      </c>
      <c r="D1522" s="2">
        <v>43382</v>
      </c>
      <c r="E1522" s="3">
        <v>640</v>
      </c>
      <c r="F1522" t="s">
        <v>230</v>
      </c>
      <c r="G1522" t="s">
        <v>231</v>
      </c>
      <c r="H1522" t="s">
        <v>232</v>
      </c>
      <c r="I1522" s="6" t="s">
        <v>835</v>
      </c>
      <c r="J1522" s="61" t="s">
        <v>22</v>
      </c>
      <c r="L1522" s="5" t="str">
        <f t="shared" si="377"/>
        <v>01521</v>
      </c>
      <c r="M1522" s="47" t="str">
        <f t="shared" si="378"/>
        <v>09 de octubre de 2018</v>
      </c>
      <c r="N1522" s="323">
        <f t="shared" si="373"/>
        <v>9</v>
      </c>
      <c r="O1522" s="25">
        <f t="shared" si="379"/>
        <v>43374</v>
      </c>
      <c r="P1522" s="5" t="str">
        <f t="shared" si="375"/>
        <v>640,00</v>
      </c>
      <c r="Q1522" s="4" t="e">
        <f t="shared" ca="1" si="380"/>
        <v>#NAME?</v>
      </c>
    </row>
    <row r="1523" spans="1:17">
      <c r="A1523" s="1">
        <f t="shared" si="360"/>
        <v>1522</v>
      </c>
      <c r="C1523" s="8" t="s">
        <v>17</v>
      </c>
      <c r="D1523" s="2">
        <v>43382</v>
      </c>
      <c r="E1523" s="3">
        <v>10</v>
      </c>
      <c r="F1523" t="s">
        <v>230</v>
      </c>
      <c r="G1523" t="s">
        <v>231</v>
      </c>
      <c r="H1523" t="s">
        <v>232</v>
      </c>
      <c r="I1523" s="6" t="s">
        <v>826</v>
      </c>
      <c r="J1523" s="61" t="s">
        <v>827</v>
      </c>
      <c r="L1523" s="5" t="str">
        <f t="shared" si="377"/>
        <v>01522</v>
      </c>
      <c r="M1523" s="47" t="str">
        <f t="shared" si="378"/>
        <v>09 de octubre de 2018</v>
      </c>
      <c r="N1523" s="323">
        <f t="shared" si="373"/>
        <v>9</v>
      </c>
      <c r="O1523" s="25">
        <f t="shared" si="379"/>
        <v>43374</v>
      </c>
      <c r="P1523" s="5" t="str">
        <f t="shared" si="375"/>
        <v>10,00</v>
      </c>
      <c r="Q1523" s="4" t="e">
        <f t="shared" ca="1" si="380"/>
        <v>#NAME?</v>
      </c>
    </row>
    <row r="1524" spans="1:17">
      <c r="A1524" s="1">
        <f t="shared" si="360"/>
        <v>1523</v>
      </c>
      <c r="C1524" s="8" t="s">
        <v>17</v>
      </c>
      <c r="D1524" s="2">
        <v>43377</v>
      </c>
      <c r="E1524" s="3">
        <v>10</v>
      </c>
      <c r="F1524" t="s">
        <v>633</v>
      </c>
      <c r="G1524" t="s">
        <v>634</v>
      </c>
      <c r="H1524" t="s">
        <v>635</v>
      </c>
      <c r="I1524" s="6" t="s">
        <v>826</v>
      </c>
      <c r="J1524" s="61" t="s">
        <v>827</v>
      </c>
      <c r="L1524" s="5" t="str">
        <f t="shared" ref="L1524:L1526" si="382">IF(ISBLANK(A1524),"",TEXT(A1524,"00000"))</f>
        <v>01523</v>
      </c>
      <c r="M1524" s="47" t="str">
        <f t="shared" ref="M1524:M1526" si="383">IF(ISBLANK(D1524),"",TEXT(D1524,"dd")&amp;" de "&amp;TEXT(D1524,"mmmm")&amp;" de "&amp;TEXT(YEAR(D1524),"0"))</f>
        <v>04 de octubre de 2018</v>
      </c>
      <c r="N1524" s="323">
        <f t="shared" ref="N1524:N1526" si="384">DAY(D1524)</f>
        <v>4</v>
      </c>
      <c r="O1524" s="25">
        <f t="shared" ref="O1524:O1526" si="385">DATE(YEAR(D1524),MONTH(D1524),1)</f>
        <v>43374</v>
      </c>
      <c r="P1524" s="5" t="str">
        <f t="shared" ref="P1524:P1526" si="386">TEXT(E1524,"#.##0,00")</f>
        <v>10,00</v>
      </c>
      <c r="Q1524" s="4" t="e">
        <f t="shared" ref="Q1524:Q1526" ca="1" si="387">CONVERTIRNUM(E1524)</f>
        <v>#NAME?</v>
      </c>
    </row>
    <row r="1525" spans="1:17">
      <c r="A1525" s="1">
        <f t="shared" si="360"/>
        <v>1524</v>
      </c>
      <c r="C1525" s="8" t="s">
        <v>17</v>
      </c>
      <c r="D1525" s="2">
        <v>43384</v>
      </c>
      <c r="E1525" s="3">
        <v>320</v>
      </c>
      <c r="F1525" t="s">
        <v>18</v>
      </c>
      <c r="G1525" t="s">
        <v>19</v>
      </c>
      <c r="H1525" t="s">
        <v>20</v>
      </c>
      <c r="I1525" s="6" t="s">
        <v>836</v>
      </c>
      <c r="J1525" s="61" t="s">
        <v>22</v>
      </c>
      <c r="L1525" s="5" t="str">
        <f t="shared" si="382"/>
        <v>01524</v>
      </c>
      <c r="M1525" s="47" t="str">
        <f t="shared" si="383"/>
        <v>11 de octubre de 2018</v>
      </c>
      <c r="N1525" s="323">
        <f t="shared" si="384"/>
        <v>11</v>
      </c>
      <c r="O1525" s="25">
        <f t="shared" si="385"/>
        <v>43374</v>
      </c>
      <c r="P1525" s="5" t="str">
        <f t="shared" si="386"/>
        <v>320,00</v>
      </c>
      <c r="Q1525" s="4" t="e">
        <f t="shared" ca="1" si="387"/>
        <v>#NAME?</v>
      </c>
    </row>
    <row r="1526" spans="1:17">
      <c r="A1526" s="1">
        <f t="shared" si="360"/>
        <v>1525</v>
      </c>
      <c r="C1526" s="8" t="s">
        <v>17</v>
      </c>
      <c r="D1526" s="2">
        <v>43381</v>
      </c>
      <c r="E1526" s="3">
        <v>320</v>
      </c>
      <c r="F1526" t="s">
        <v>296</v>
      </c>
      <c r="G1526" t="s">
        <v>297</v>
      </c>
      <c r="H1526" t="s">
        <v>298</v>
      </c>
      <c r="I1526" s="6" t="s">
        <v>810</v>
      </c>
      <c r="J1526" s="61" t="s">
        <v>22</v>
      </c>
      <c r="L1526" s="5" t="str">
        <f t="shared" si="382"/>
        <v>01525</v>
      </c>
      <c r="M1526" s="47" t="str">
        <f t="shared" si="383"/>
        <v>08 de octubre de 2018</v>
      </c>
      <c r="N1526" s="323">
        <f t="shared" si="384"/>
        <v>8</v>
      </c>
      <c r="O1526" s="25">
        <f t="shared" si="385"/>
        <v>43374</v>
      </c>
      <c r="P1526" s="5" t="str">
        <f t="shared" si="386"/>
        <v>320,00</v>
      </c>
      <c r="Q1526" s="4" t="e">
        <f t="shared" ca="1" si="387"/>
        <v>#NAME?</v>
      </c>
    </row>
    <row r="1527" spans="1:17">
      <c r="A1527" s="1">
        <f t="shared" si="360"/>
        <v>1526</v>
      </c>
      <c r="C1527" s="8" t="s">
        <v>17</v>
      </c>
      <c r="D1527" s="2">
        <v>43381</v>
      </c>
      <c r="E1527" s="3">
        <v>10</v>
      </c>
      <c r="F1527" t="s">
        <v>296</v>
      </c>
      <c r="G1527" t="s">
        <v>297</v>
      </c>
      <c r="H1527" t="s">
        <v>298</v>
      </c>
      <c r="I1527" s="6" t="s">
        <v>826</v>
      </c>
      <c r="J1527" s="61" t="s">
        <v>827</v>
      </c>
      <c r="L1527" s="5" t="str">
        <f t="shared" ref="L1527:L1548" si="388">IF(ISBLANK(A1527),"",TEXT(A1527,"00000"))</f>
        <v>01526</v>
      </c>
      <c r="M1527" s="47" t="str">
        <f t="shared" ref="M1527:M1548" si="389">IF(ISBLANK(D1527),"",TEXT(D1527,"dd")&amp;" de "&amp;TEXT(D1527,"mmmm")&amp;" de "&amp;TEXT(YEAR(D1527),"0"))</f>
        <v>08 de octubre de 2018</v>
      </c>
      <c r="N1527" s="323">
        <f t="shared" ref="N1527:N1556" si="390">DAY(D1527)</f>
        <v>8</v>
      </c>
      <c r="O1527" s="25">
        <f t="shared" ref="O1527:O1548" si="391">DATE(YEAR(D1527),MONTH(D1527),1)</f>
        <v>43374</v>
      </c>
      <c r="P1527" s="5" t="str">
        <f t="shared" ref="P1527:P1556" si="392">TEXT(E1527,"#.##0,00")</f>
        <v>10,00</v>
      </c>
      <c r="Q1527" s="4" t="e">
        <f t="shared" ref="Q1527:Q1551" ca="1" si="393">CONVERTIRNUM(E1527)</f>
        <v>#NAME?</v>
      </c>
    </row>
    <row r="1528" spans="1:17">
      <c r="A1528" s="1">
        <f t="shared" si="360"/>
        <v>1527</v>
      </c>
      <c r="C1528" s="8" t="s">
        <v>17</v>
      </c>
      <c r="D1528" s="2">
        <v>43385</v>
      </c>
      <c r="E1528" s="3">
        <v>320</v>
      </c>
      <c r="F1528" t="s">
        <v>62</v>
      </c>
      <c r="G1528" t="s">
        <v>63</v>
      </c>
      <c r="H1528" t="s">
        <v>64</v>
      </c>
      <c r="I1528" s="6" t="s">
        <v>810</v>
      </c>
      <c r="J1528" s="61" t="s">
        <v>22</v>
      </c>
      <c r="L1528" s="5" t="str">
        <f t="shared" si="388"/>
        <v>01527</v>
      </c>
      <c r="M1528" s="47" t="str">
        <f t="shared" si="389"/>
        <v>12 de octubre de 2018</v>
      </c>
      <c r="N1528" s="323">
        <f t="shared" si="390"/>
        <v>12</v>
      </c>
      <c r="O1528" s="25">
        <f t="shared" si="391"/>
        <v>43374</v>
      </c>
      <c r="P1528" s="5" t="str">
        <f t="shared" si="392"/>
        <v>320,00</v>
      </c>
      <c r="Q1528" s="4" t="e">
        <f t="shared" ca="1" si="393"/>
        <v>#NAME?</v>
      </c>
    </row>
    <row r="1529" spans="1:17">
      <c r="A1529" s="1">
        <f t="shared" si="360"/>
        <v>1528</v>
      </c>
      <c r="C1529" s="8" t="s">
        <v>17</v>
      </c>
      <c r="D1529" s="2">
        <v>43385</v>
      </c>
      <c r="E1529" s="3">
        <v>10</v>
      </c>
      <c r="F1529" t="s">
        <v>62</v>
      </c>
      <c r="G1529" t="s">
        <v>63</v>
      </c>
      <c r="H1529" t="s">
        <v>64</v>
      </c>
      <c r="I1529" s="6" t="s">
        <v>826</v>
      </c>
      <c r="J1529" s="61" t="s">
        <v>827</v>
      </c>
      <c r="L1529" s="5" t="str">
        <f t="shared" si="388"/>
        <v>01528</v>
      </c>
      <c r="M1529" s="47" t="str">
        <f t="shared" si="389"/>
        <v>12 de octubre de 2018</v>
      </c>
      <c r="N1529" s="323">
        <f t="shared" si="390"/>
        <v>12</v>
      </c>
      <c r="O1529" s="25">
        <f t="shared" si="391"/>
        <v>43374</v>
      </c>
      <c r="P1529" s="5" t="str">
        <f t="shared" si="392"/>
        <v>10,00</v>
      </c>
      <c r="Q1529" s="4" t="e">
        <f t="shared" ca="1" si="393"/>
        <v>#NAME?</v>
      </c>
    </row>
    <row r="1530" spans="1:17">
      <c r="A1530" s="1">
        <f t="shared" si="360"/>
        <v>1529</v>
      </c>
      <c r="C1530" s="8" t="s">
        <v>17</v>
      </c>
      <c r="D1530" s="2">
        <v>43385</v>
      </c>
      <c r="E1530" s="3">
        <v>320</v>
      </c>
      <c r="F1530" t="s">
        <v>284</v>
      </c>
      <c r="G1530" t="s">
        <v>687</v>
      </c>
      <c r="H1530" t="s">
        <v>285</v>
      </c>
      <c r="I1530" s="6" t="s">
        <v>823</v>
      </c>
      <c r="J1530" s="61" t="s">
        <v>22</v>
      </c>
      <c r="L1530" s="5" t="str">
        <f t="shared" si="388"/>
        <v>01529</v>
      </c>
      <c r="M1530" s="47" t="str">
        <f t="shared" si="389"/>
        <v>12 de octubre de 2018</v>
      </c>
      <c r="N1530" s="323">
        <f t="shared" si="390"/>
        <v>12</v>
      </c>
      <c r="O1530" s="25">
        <f t="shared" si="391"/>
        <v>43374</v>
      </c>
      <c r="P1530" s="5" t="str">
        <f t="shared" si="392"/>
        <v>320,00</v>
      </c>
      <c r="Q1530" s="4" t="e">
        <f t="shared" ca="1" si="393"/>
        <v>#NAME?</v>
      </c>
    </row>
    <row r="1531" spans="1:17">
      <c r="A1531" s="1">
        <f t="shared" si="360"/>
        <v>1530</v>
      </c>
      <c r="C1531" s="8" t="s">
        <v>17</v>
      </c>
      <c r="D1531" s="2">
        <v>43385</v>
      </c>
      <c r="E1531" s="3">
        <v>10</v>
      </c>
      <c r="F1531" t="s">
        <v>284</v>
      </c>
      <c r="G1531" t="s">
        <v>687</v>
      </c>
      <c r="H1531" t="s">
        <v>285</v>
      </c>
      <c r="I1531" s="6" t="s">
        <v>826</v>
      </c>
      <c r="J1531" s="61" t="s">
        <v>827</v>
      </c>
      <c r="L1531" s="5" t="str">
        <f t="shared" si="388"/>
        <v>01530</v>
      </c>
      <c r="M1531" s="47" t="str">
        <f t="shared" si="389"/>
        <v>12 de octubre de 2018</v>
      </c>
      <c r="N1531" s="323">
        <f t="shared" si="390"/>
        <v>12</v>
      </c>
      <c r="O1531" s="25">
        <f t="shared" si="391"/>
        <v>43374</v>
      </c>
      <c r="P1531" s="5" t="str">
        <f t="shared" si="392"/>
        <v>10,00</v>
      </c>
      <c r="Q1531" s="4" t="e">
        <f t="shared" ca="1" si="393"/>
        <v>#NAME?</v>
      </c>
    </row>
    <row r="1532" spans="1:17">
      <c r="A1532" s="1">
        <f t="shared" si="360"/>
        <v>1531</v>
      </c>
      <c r="C1532" s="8" t="s">
        <v>17</v>
      </c>
      <c r="D1532" s="2">
        <v>43385</v>
      </c>
      <c r="E1532" s="3">
        <v>320</v>
      </c>
      <c r="F1532" t="s">
        <v>771</v>
      </c>
      <c r="G1532" t="s">
        <v>772</v>
      </c>
      <c r="H1532" t="s">
        <v>773</v>
      </c>
      <c r="I1532" s="6" t="s">
        <v>823</v>
      </c>
      <c r="J1532" s="61" t="s">
        <v>22</v>
      </c>
      <c r="L1532" s="5" t="str">
        <f t="shared" si="388"/>
        <v>01531</v>
      </c>
      <c r="M1532" s="47" t="str">
        <f t="shared" si="389"/>
        <v>12 de octubre de 2018</v>
      </c>
      <c r="N1532" s="323">
        <f t="shared" si="390"/>
        <v>12</v>
      </c>
      <c r="O1532" s="25">
        <f t="shared" si="391"/>
        <v>43374</v>
      </c>
      <c r="P1532" s="5" t="str">
        <f t="shared" si="392"/>
        <v>320,00</v>
      </c>
      <c r="Q1532" s="4" t="e">
        <f t="shared" ca="1" si="393"/>
        <v>#NAME?</v>
      </c>
    </row>
    <row r="1533" spans="1:17">
      <c r="A1533" s="1">
        <f t="shared" si="360"/>
        <v>1532</v>
      </c>
      <c r="C1533" s="8" t="s">
        <v>17</v>
      </c>
      <c r="D1533" s="2">
        <v>43385</v>
      </c>
      <c r="E1533" s="3">
        <v>10</v>
      </c>
      <c r="F1533" t="s">
        <v>771</v>
      </c>
      <c r="G1533" t="s">
        <v>772</v>
      </c>
      <c r="H1533" t="s">
        <v>773</v>
      </c>
      <c r="I1533" s="6" t="s">
        <v>826</v>
      </c>
      <c r="J1533" s="61" t="s">
        <v>827</v>
      </c>
      <c r="L1533" s="5" t="str">
        <f t="shared" si="388"/>
        <v>01532</v>
      </c>
      <c r="M1533" s="47" t="str">
        <f t="shared" si="389"/>
        <v>12 de octubre de 2018</v>
      </c>
      <c r="N1533" s="323">
        <f t="shared" si="390"/>
        <v>12</v>
      </c>
      <c r="O1533" s="25">
        <f t="shared" si="391"/>
        <v>43374</v>
      </c>
      <c r="P1533" s="5" t="str">
        <f t="shared" si="392"/>
        <v>10,00</v>
      </c>
      <c r="Q1533" s="4" t="e">
        <f t="shared" ca="1" si="393"/>
        <v>#NAME?</v>
      </c>
    </row>
    <row r="1534" spans="1:17">
      <c r="A1534" s="1">
        <f t="shared" si="360"/>
        <v>1533</v>
      </c>
      <c r="C1534" s="8" t="s">
        <v>17</v>
      </c>
      <c r="D1534" s="2">
        <v>43385</v>
      </c>
      <c r="E1534" s="3">
        <v>320</v>
      </c>
      <c r="F1534" t="s">
        <v>362</v>
      </c>
      <c r="G1534" t="s">
        <v>363</v>
      </c>
      <c r="H1534" t="s">
        <v>364</v>
      </c>
      <c r="I1534" s="6" t="s">
        <v>823</v>
      </c>
      <c r="J1534" s="61" t="s">
        <v>22</v>
      </c>
      <c r="L1534" s="5" t="str">
        <f t="shared" si="388"/>
        <v>01533</v>
      </c>
      <c r="M1534" s="47" t="str">
        <f t="shared" si="389"/>
        <v>12 de octubre de 2018</v>
      </c>
      <c r="N1534" s="323">
        <f t="shared" si="390"/>
        <v>12</v>
      </c>
      <c r="O1534" s="25">
        <f t="shared" si="391"/>
        <v>43374</v>
      </c>
      <c r="P1534" s="5" t="str">
        <f t="shared" si="392"/>
        <v>320,00</v>
      </c>
      <c r="Q1534" s="4" t="e">
        <f t="shared" ca="1" si="393"/>
        <v>#NAME?</v>
      </c>
    </row>
    <row r="1535" spans="1:17">
      <c r="A1535" s="1">
        <f t="shared" si="360"/>
        <v>1534</v>
      </c>
      <c r="C1535" s="8" t="s">
        <v>17</v>
      </c>
      <c r="D1535" s="2">
        <v>43385</v>
      </c>
      <c r="E1535" s="3">
        <v>10</v>
      </c>
      <c r="F1535" t="s">
        <v>362</v>
      </c>
      <c r="G1535" t="s">
        <v>363</v>
      </c>
      <c r="H1535" t="s">
        <v>364</v>
      </c>
      <c r="I1535" s="6" t="s">
        <v>826</v>
      </c>
      <c r="J1535" s="61" t="s">
        <v>827</v>
      </c>
      <c r="L1535" s="5" t="str">
        <f t="shared" si="388"/>
        <v>01534</v>
      </c>
      <c r="M1535" s="47" t="str">
        <f t="shared" si="389"/>
        <v>12 de octubre de 2018</v>
      </c>
      <c r="N1535" s="323">
        <f t="shared" si="390"/>
        <v>12</v>
      </c>
      <c r="O1535" s="25">
        <f t="shared" si="391"/>
        <v>43374</v>
      </c>
      <c r="P1535" s="5" t="str">
        <f t="shared" si="392"/>
        <v>10,00</v>
      </c>
      <c r="Q1535" s="4" t="e">
        <f t="shared" ca="1" si="393"/>
        <v>#NAME?</v>
      </c>
    </row>
    <row r="1536" spans="1:17">
      <c r="A1536" s="1">
        <f t="shared" si="360"/>
        <v>1535</v>
      </c>
      <c r="C1536" s="8" t="s">
        <v>17</v>
      </c>
      <c r="D1536" s="2">
        <v>43386</v>
      </c>
      <c r="E1536" s="3">
        <v>320</v>
      </c>
      <c r="F1536" t="s">
        <v>454</v>
      </c>
      <c r="G1536" t="s">
        <v>761</v>
      </c>
      <c r="H1536" t="s">
        <v>455</v>
      </c>
      <c r="I1536" s="6" t="s">
        <v>823</v>
      </c>
      <c r="J1536" s="61" t="s">
        <v>22</v>
      </c>
      <c r="L1536" s="5" t="str">
        <f t="shared" si="388"/>
        <v>01535</v>
      </c>
      <c r="M1536" s="47" t="str">
        <f t="shared" si="389"/>
        <v>13 de octubre de 2018</v>
      </c>
      <c r="N1536" s="323">
        <f t="shared" si="390"/>
        <v>13</v>
      </c>
      <c r="O1536" s="25">
        <f t="shared" si="391"/>
        <v>43374</v>
      </c>
      <c r="P1536" s="5" t="str">
        <f t="shared" si="392"/>
        <v>320,00</v>
      </c>
      <c r="Q1536" s="4" t="e">
        <f t="shared" ca="1" si="393"/>
        <v>#NAME?</v>
      </c>
    </row>
    <row r="1537" spans="1:17">
      <c r="A1537" s="1">
        <f t="shared" si="360"/>
        <v>1536</v>
      </c>
      <c r="C1537" s="8" t="s">
        <v>17</v>
      </c>
      <c r="D1537" s="2">
        <v>43386</v>
      </c>
      <c r="E1537" s="3">
        <v>10</v>
      </c>
      <c r="F1537" t="s">
        <v>454</v>
      </c>
      <c r="G1537" t="s">
        <v>761</v>
      </c>
      <c r="H1537" t="s">
        <v>455</v>
      </c>
      <c r="I1537" s="6" t="s">
        <v>826</v>
      </c>
      <c r="J1537" s="61" t="s">
        <v>827</v>
      </c>
      <c r="L1537" s="5" t="str">
        <f t="shared" si="388"/>
        <v>01536</v>
      </c>
      <c r="M1537" s="47" t="str">
        <f t="shared" si="389"/>
        <v>13 de octubre de 2018</v>
      </c>
      <c r="N1537" s="323">
        <f t="shared" si="390"/>
        <v>13</v>
      </c>
      <c r="O1537" s="25">
        <f t="shared" si="391"/>
        <v>43374</v>
      </c>
      <c r="P1537" s="5" t="str">
        <f t="shared" si="392"/>
        <v>10,00</v>
      </c>
      <c r="Q1537" s="4" t="e">
        <f t="shared" ca="1" si="393"/>
        <v>#NAME?</v>
      </c>
    </row>
    <row r="1538" spans="1:17">
      <c r="A1538" s="1">
        <f t="shared" ref="A1538:A1606" si="394">A1537+1</f>
        <v>1537</v>
      </c>
      <c r="C1538" s="8" t="s">
        <v>17</v>
      </c>
      <c r="D1538" s="2">
        <v>43387</v>
      </c>
      <c r="E1538" s="3">
        <f>970-10</f>
        <v>960</v>
      </c>
      <c r="F1538" t="s">
        <v>66</v>
      </c>
      <c r="G1538" t="s">
        <v>67</v>
      </c>
      <c r="H1538" t="s">
        <v>68</v>
      </c>
      <c r="I1538" s="6" t="s">
        <v>837</v>
      </c>
      <c r="J1538" s="61" t="s">
        <v>22</v>
      </c>
      <c r="L1538" s="5" t="str">
        <f t="shared" si="388"/>
        <v>01537</v>
      </c>
      <c r="M1538" s="47" t="str">
        <f t="shared" si="389"/>
        <v>14 de octubre de 2018</v>
      </c>
      <c r="N1538" s="323">
        <f t="shared" si="390"/>
        <v>14</v>
      </c>
      <c r="O1538" s="25">
        <f t="shared" si="391"/>
        <v>43374</v>
      </c>
      <c r="P1538" s="5" t="str">
        <f t="shared" si="392"/>
        <v>960,00</v>
      </c>
      <c r="Q1538" s="4" t="e">
        <f t="shared" ca="1" si="393"/>
        <v>#NAME?</v>
      </c>
    </row>
    <row r="1539" spans="1:17">
      <c r="A1539" s="1">
        <f t="shared" si="394"/>
        <v>1538</v>
      </c>
      <c r="C1539" s="8" t="s">
        <v>17</v>
      </c>
      <c r="D1539" s="2">
        <v>43387</v>
      </c>
      <c r="E1539" s="3">
        <v>10</v>
      </c>
      <c r="F1539" t="s">
        <v>66</v>
      </c>
      <c r="G1539" t="s">
        <v>67</v>
      </c>
      <c r="H1539" t="s">
        <v>68</v>
      </c>
      <c r="I1539" s="6" t="s">
        <v>826</v>
      </c>
      <c r="J1539" s="61" t="s">
        <v>827</v>
      </c>
      <c r="L1539" s="5" t="str">
        <f t="shared" si="388"/>
        <v>01538</v>
      </c>
      <c r="M1539" s="47" t="str">
        <f t="shared" si="389"/>
        <v>14 de octubre de 2018</v>
      </c>
      <c r="N1539" s="323">
        <f t="shared" si="390"/>
        <v>14</v>
      </c>
      <c r="O1539" s="25">
        <f t="shared" si="391"/>
        <v>43374</v>
      </c>
      <c r="P1539" s="5" t="str">
        <f t="shared" si="392"/>
        <v>10,00</v>
      </c>
      <c r="Q1539" s="4" t="e">
        <f t="shared" ca="1" si="393"/>
        <v>#NAME?</v>
      </c>
    </row>
    <row r="1540" spans="1:17">
      <c r="A1540" s="1">
        <f t="shared" si="394"/>
        <v>1539</v>
      </c>
      <c r="C1540" s="8" t="s">
        <v>17</v>
      </c>
      <c r="D1540" s="2">
        <v>43390</v>
      </c>
      <c r="E1540" s="3">
        <v>320</v>
      </c>
      <c r="F1540" t="s">
        <v>122</v>
      </c>
      <c r="G1540" t="s">
        <v>123</v>
      </c>
      <c r="H1540" t="s">
        <v>124</v>
      </c>
      <c r="I1540" s="6" t="s">
        <v>823</v>
      </c>
      <c r="J1540" s="61" t="s">
        <v>22</v>
      </c>
      <c r="L1540" s="5" t="str">
        <f t="shared" si="388"/>
        <v>01539</v>
      </c>
      <c r="M1540" s="47" t="str">
        <f t="shared" si="389"/>
        <v>17 de octubre de 2018</v>
      </c>
      <c r="N1540" s="323">
        <f t="shared" si="390"/>
        <v>17</v>
      </c>
      <c r="O1540" s="25">
        <f t="shared" si="391"/>
        <v>43374</v>
      </c>
      <c r="P1540" s="5" t="str">
        <f t="shared" si="392"/>
        <v>320,00</v>
      </c>
      <c r="Q1540" s="4" t="e">
        <f t="shared" ca="1" si="393"/>
        <v>#NAME?</v>
      </c>
    </row>
    <row r="1541" spans="1:17">
      <c r="A1541" s="1">
        <f t="shared" si="394"/>
        <v>1540</v>
      </c>
      <c r="C1541" s="8" t="s">
        <v>17</v>
      </c>
      <c r="D1541" s="2">
        <v>43394</v>
      </c>
      <c r="E1541" s="3">
        <v>360</v>
      </c>
      <c r="F1541" t="s">
        <v>201</v>
      </c>
      <c r="G1541" t="s">
        <v>202</v>
      </c>
      <c r="H1541" t="s">
        <v>203</v>
      </c>
      <c r="I1541" s="6" t="s">
        <v>838</v>
      </c>
      <c r="J1541" s="61" t="s">
        <v>22</v>
      </c>
      <c r="L1541" s="5" t="str">
        <f t="shared" si="388"/>
        <v>01540</v>
      </c>
      <c r="M1541" s="47" t="str">
        <f t="shared" si="389"/>
        <v>21 de octubre de 2018</v>
      </c>
      <c r="N1541" s="323">
        <f t="shared" si="390"/>
        <v>21</v>
      </c>
      <c r="O1541" s="25">
        <f t="shared" si="391"/>
        <v>43374</v>
      </c>
      <c r="P1541" s="5" t="str">
        <f t="shared" si="392"/>
        <v>360,00</v>
      </c>
      <c r="Q1541" s="4" t="e">
        <f t="shared" ca="1" si="393"/>
        <v>#NAME?</v>
      </c>
    </row>
    <row r="1542" spans="1:17">
      <c r="A1542" s="1">
        <f t="shared" si="394"/>
        <v>1541</v>
      </c>
      <c r="C1542" s="8" t="s">
        <v>17</v>
      </c>
      <c r="D1542" s="2">
        <v>43394</v>
      </c>
      <c r="E1542" s="3">
        <v>320</v>
      </c>
      <c r="F1542" t="s">
        <v>312</v>
      </c>
      <c r="G1542" t="s">
        <v>313</v>
      </c>
      <c r="H1542" t="s">
        <v>314</v>
      </c>
      <c r="I1542" s="6" t="s">
        <v>823</v>
      </c>
      <c r="J1542" s="61" t="s">
        <v>22</v>
      </c>
      <c r="L1542" s="5" t="str">
        <f t="shared" si="388"/>
        <v>01541</v>
      </c>
      <c r="M1542" s="47" t="str">
        <f t="shared" si="389"/>
        <v>21 de octubre de 2018</v>
      </c>
      <c r="N1542" s="323">
        <f t="shared" si="390"/>
        <v>21</v>
      </c>
      <c r="O1542" s="25">
        <f t="shared" si="391"/>
        <v>43374</v>
      </c>
      <c r="P1542" s="5" t="str">
        <f t="shared" si="392"/>
        <v>320,00</v>
      </c>
      <c r="Q1542" s="4" t="e">
        <f t="shared" ca="1" si="393"/>
        <v>#NAME?</v>
      </c>
    </row>
    <row r="1543" spans="1:17">
      <c r="A1543" s="1">
        <f t="shared" si="394"/>
        <v>1542</v>
      </c>
      <c r="C1543" s="8" t="s">
        <v>17</v>
      </c>
      <c r="D1543" s="2">
        <v>43397</v>
      </c>
      <c r="E1543" s="3">
        <v>320</v>
      </c>
      <c r="F1543" t="s">
        <v>181</v>
      </c>
      <c r="G1543" t="s">
        <v>182</v>
      </c>
      <c r="H1543" t="s">
        <v>183</v>
      </c>
      <c r="I1543" s="6" t="s">
        <v>823</v>
      </c>
      <c r="J1543" s="61" t="s">
        <v>22</v>
      </c>
      <c r="L1543" s="5" t="str">
        <f t="shared" si="388"/>
        <v>01542</v>
      </c>
      <c r="M1543" s="47" t="str">
        <f t="shared" si="389"/>
        <v>24 de octubre de 2018</v>
      </c>
      <c r="N1543" s="323">
        <f t="shared" si="390"/>
        <v>24</v>
      </c>
      <c r="O1543" s="25">
        <f t="shared" si="391"/>
        <v>43374</v>
      </c>
      <c r="P1543" s="5" t="str">
        <f t="shared" si="392"/>
        <v>320,00</v>
      </c>
      <c r="Q1543" s="4" t="e">
        <f t="shared" ca="1" si="393"/>
        <v>#NAME?</v>
      </c>
    </row>
    <row r="1544" spans="1:17" ht="15.75" thickBot="1">
      <c r="A1544" s="1">
        <f t="shared" si="394"/>
        <v>1543</v>
      </c>
      <c r="C1544" s="8" t="s">
        <v>17</v>
      </c>
      <c r="D1544" s="2">
        <v>43397</v>
      </c>
      <c r="E1544" s="3">
        <v>10</v>
      </c>
      <c r="F1544" t="s">
        <v>181</v>
      </c>
      <c r="G1544" t="s">
        <v>182</v>
      </c>
      <c r="H1544" t="s">
        <v>183</v>
      </c>
      <c r="I1544" s="6" t="s">
        <v>826</v>
      </c>
      <c r="J1544" s="61" t="s">
        <v>827</v>
      </c>
      <c r="L1544" s="5" t="str">
        <f t="shared" si="388"/>
        <v>01543</v>
      </c>
      <c r="M1544" s="47" t="str">
        <f t="shared" si="389"/>
        <v>24 de octubre de 2018</v>
      </c>
      <c r="N1544" s="323">
        <f t="shared" si="390"/>
        <v>24</v>
      </c>
      <c r="O1544" s="25">
        <f t="shared" si="391"/>
        <v>43374</v>
      </c>
      <c r="P1544" s="5" t="str">
        <f t="shared" si="392"/>
        <v>10,00</v>
      </c>
      <c r="Q1544" s="4" t="e">
        <f t="shared" ca="1" si="393"/>
        <v>#NAME?</v>
      </c>
    </row>
    <row r="1545" spans="1:17" ht="15.75" thickBot="1">
      <c r="A1545" s="1">
        <f t="shared" si="394"/>
        <v>1544</v>
      </c>
      <c r="C1545" s="85" t="s">
        <v>17</v>
      </c>
      <c r="D1545" s="2">
        <v>43397</v>
      </c>
      <c r="E1545" s="3">
        <v>465</v>
      </c>
      <c r="F1545" s="23" t="s">
        <v>422</v>
      </c>
      <c r="G1545" s="18" t="s">
        <v>58</v>
      </c>
      <c r="H1545" t="s">
        <v>423</v>
      </c>
      <c r="I1545" s="6" t="s">
        <v>823</v>
      </c>
      <c r="J1545" s="61" t="s">
        <v>22</v>
      </c>
      <c r="L1545" s="5" t="str">
        <f t="shared" si="388"/>
        <v>01544</v>
      </c>
      <c r="M1545" s="47" t="str">
        <f t="shared" si="389"/>
        <v>24 de octubre de 2018</v>
      </c>
      <c r="N1545" s="323">
        <f t="shared" si="390"/>
        <v>24</v>
      </c>
      <c r="O1545" s="25">
        <f t="shared" si="391"/>
        <v>43374</v>
      </c>
      <c r="P1545" s="5" t="str">
        <f t="shared" si="392"/>
        <v>465,00</v>
      </c>
      <c r="Q1545" s="4" t="e">
        <f t="shared" ca="1" si="393"/>
        <v>#NAME?</v>
      </c>
    </row>
    <row r="1546" spans="1:17">
      <c r="A1546" s="1">
        <f t="shared" si="394"/>
        <v>1545</v>
      </c>
      <c r="C1546" s="8" t="s">
        <v>17</v>
      </c>
      <c r="D1546" s="2">
        <v>43398</v>
      </c>
      <c r="E1546" s="3">
        <v>320</v>
      </c>
      <c r="F1546" t="s">
        <v>134</v>
      </c>
      <c r="G1546" t="s">
        <v>135</v>
      </c>
      <c r="H1546" t="s">
        <v>136</v>
      </c>
      <c r="I1546" s="6" t="s">
        <v>823</v>
      </c>
      <c r="J1546" s="61" t="s">
        <v>22</v>
      </c>
      <c r="L1546" s="5" t="str">
        <f t="shared" si="388"/>
        <v>01545</v>
      </c>
      <c r="M1546" s="47" t="str">
        <f t="shared" si="389"/>
        <v>25 de octubre de 2018</v>
      </c>
      <c r="N1546" s="323">
        <f t="shared" si="390"/>
        <v>25</v>
      </c>
      <c r="O1546" s="25">
        <f t="shared" si="391"/>
        <v>43374</v>
      </c>
      <c r="P1546" s="5" t="str">
        <f t="shared" si="392"/>
        <v>320,00</v>
      </c>
      <c r="Q1546" s="4" t="e">
        <f t="shared" ca="1" si="393"/>
        <v>#NAME?</v>
      </c>
    </row>
    <row r="1547" spans="1:17">
      <c r="A1547" s="1">
        <f t="shared" si="394"/>
        <v>1546</v>
      </c>
      <c r="C1547" s="8" t="s">
        <v>17</v>
      </c>
      <c r="D1547" s="2">
        <v>43398</v>
      </c>
      <c r="E1547" s="3">
        <v>320</v>
      </c>
      <c r="F1547" t="s">
        <v>558</v>
      </c>
      <c r="G1547" t="s">
        <v>559</v>
      </c>
      <c r="H1547" t="s">
        <v>560</v>
      </c>
      <c r="I1547" s="6" t="s">
        <v>823</v>
      </c>
      <c r="J1547" s="61" t="s">
        <v>22</v>
      </c>
      <c r="L1547" s="5" t="str">
        <f t="shared" si="388"/>
        <v>01546</v>
      </c>
      <c r="M1547" s="47" t="str">
        <f t="shared" si="389"/>
        <v>25 de octubre de 2018</v>
      </c>
      <c r="N1547" s="323">
        <f t="shared" si="390"/>
        <v>25</v>
      </c>
      <c r="O1547" s="25">
        <f t="shared" si="391"/>
        <v>43374</v>
      </c>
      <c r="P1547" s="5" t="str">
        <f t="shared" si="392"/>
        <v>320,00</v>
      </c>
      <c r="Q1547" s="4" t="e">
        <f t="shared" ca="1" si="393"/>
        <v>#NAME?</v>
      </c>
    </row>
    <row r="1548" spans="1:17">
      <c r="A1548" s="1">
        <f t="shared" si="394"/>
        <v>1547</v>
      </c>
      <c r="C1548" s="8" t="s">
        <v>17</v>
      </c>
      <c r="D1548" s="2">
        <v>43398</v>
      </c>
      <c r="E1548" s="3">
        <v>320</v>
      </c>
      <c r="F1548" t="s">
        <v>103</v>
      </c>
      <c r="G1548" t="s">
        <v>104</v>
      </c>
      <c r="H1548" t="s">
        <v>105</v>
      </c>
      <c r="I1548" s="6" t="s">
        <v>823</v>
      </c>
      <c r="J1548" s="61" t="s">
        <v>22</v>
      </c>
      <c r="L1548" s="5" t="str">
        <f t="shared" si="388"/>
        <v>01547</v>
      </c>
      <c r="M1548" s="47" t="str">
        <f t="shared" si="389"/>
        <v>25 de octubre de 2018</v>
      </c>
      <c r="N1548" s="323">
        <f t="shared" si="390"/>
        <v>25</v>
      </c>
      <c r="O1548" s="25">
        <f t="shared" si="391"/>
        <v>43374</v>
      </c>
      <c r="P1548" s="5" t="str">
        <f t="shared" si="392"/>
        <v>320,00</v>
      </c>
      <c r="Q1548" s="4" t="e">
        <f t="shared" ca="1" si="393"/>
        <v>#NAME?</v>
      </c>
    </row>
    <row r="1549" spans="1:17" ht="15.75" thickBot="1">
      <c r="A1549" s="1">
        <f t="shared" si="394"/>
        <v>1548</v>
      </c>
      <c r="C1549" s="8" t="s">
        <v>17</v>
      </c>
      <c r="D1549" s="2">
        <v>43398</v>
      </c>
      <c r="E1549" s="3">
        <v>320</v>
      </c>
      <c r="F1549" t="s">
        <v>243</v>
      </c>
      <c r="G1549" t="s">
        <v>244</v>
      </c>
      <c r="H1549" t="s">
        <v>245</v>
      </c>
      <c r="I1549" s="6" t="s">
        <v>823</v>
      </c>
      <c r="J1549" s="61" t="s">
        <v>22</v>
      </c>
      <c r="L1549" s="5" t="str">
        <f>IF(ISBLANK(A1549),"",TEXT(A1549,"00000"))</f>
        <v>01548</v>
      </c>
      <c r="M1549" s="47" t="str">
        <f>IF(ISBLANK(D1549),"",TEXT(D1549,"dd")&amp;" de "&amp;TEXT(D1549,"mmmm")&amp;" de "&amp;TEXT(YEAR(D1549),"0"))</f>
        <v>25 de octubre de 2018</v>
      </c>
      <c r="N1549" s="323">
        <f t="shared" si="390"/>
        <v>25</v>
      </c>
      <c r="O1549" s="25">
        <f>DATE(YEAR(D1549),MONTH(D1549),1)</f>
        <v>43374</v>
      </c>
      <c r="P1549" s="5" t="str">
        <f t="shared" si="392"/>
        <v>320,00</v>
      </c>
      <c r="Q1549" s="4" t="e">
        <f t="shared" ca="1" si="393"/>
        <v>#NAME?</v>
      </c>
    </row>
    <row r="1550" spans="1:17" ht="15.75" thickBot="1">
      <c r="A1550" s="1">
        <f t="shared" si="394"/>
        <v>1549</v>
      </c>
      <c r="C1550" s="85" t="s">
        <v>17</v>
      </c>
      <c r="D1550" s="2">
        <v>43398</v>
      </c>
      <c r="E1550" s="3">
        <v>355</v>
      </c>
      <c r="F1550" s="20" t="s">
        <v>57</v>
      </c>
      <c r="G1550" s="18" t="s">
        <v>58</v>
      </c>
      <c r="H1550" s="21" t="s">
        <v>59</v>
      </c>
      <c r="I1550" s="6" t="s">
        <v>823</v>
      </c>
      <c r="J1550" s="61" t="s">
        <v>22</v>
      </c>
      <c r="K1550" s="22"/>
      <c r="L1550" s="5" t="str">
        <f t="shared" ref="L1550:L1556" si="395">IF(ISBLANK(A1550),"",TEXT(A1550,"00000"))</f>
        <v>01549</v>
      </c>
      <c r="M1550" s="47" t="str">
        <f t="shared" ref="M1550:M1556" si="396">IF(ISBLANK(D1550),"",TEXT(D1550,"dd")&amp;" de "&amp;TEXT(D1550,"mmmm")&amp;" de "&amp;TEXT(YEAR(D1550),"0"))</f>
        <v>25 de octubre de 2018</v>
      </c>
      <c r="N1550" s="323">
        <f t="shared" si="390"/>
        <v>25</v>
      </c>
      <c r="O1550" s="25">
        <f t="shared" ref="O1550:O1556" si="397">DATE(YEAR(D1550),MONTH(D1550),1)</f>
        <v>43374</v>
      </c>
      <c r="P1550" s="5" t="str">
        <f t="shared" si="392"/>
        <v>355,00</v>
      </c>
      <c r="Q1550" s="4" t="e">
        <f t="shared" ca="1" si="393"/>
        <v>#NAME?</v>
      </c>
    </row>
    <row r="1551" spans="1:17" ht="15.75" thickBot="1">
      <c r="A1551" s="1">
        <f t="shared" si="394"/>
        <v>1550</v>
      </c>
      <c r="C1551" s="8" t="s">
        <v>17</v>
      </c>
      <c r="D1551" s="2">
        <v>43398</v>
      </c>
      <c r="E1551" s="3">
        <v>300</v>
      </c>
      <c r="F1551" t="s">
        <v>412</v>
      </c>
      <c r="G1551" t="s">
        <v>413</v>
      </c>
      <c r="H1551" t="s">
        <v>414</v>
      </c>
      <c r="I1551" s="6" t="s">
        <v>534</v>
      </c>
      <c r="J1551" s="61" t="s">
        <v>22</v>
      </c>
      <c r="L1551" s="5" t="str">
        <f t="shared" si="395"/>
        <v>01550</v>
      </c>
      <c r="M1551" s="47" t="str">
        <f t="shared" si="396"/>
        <v>25 de octubre de 2018</v>
      </c>
      <c r="N1551" s="323">
        <f t="shared" si="390"/>
        <v>25</v>
      </c>
      <c r="O1551" s="25">
        <f t="shared" si="397"/>
        <v>43374</v>
      </c>
      <c r="P1551" s="5" t="str">
        <f t="shared" si="392"/>
        <v>300,00</v>
      </c>
      <c r="Q1551" s="4" t="e">
        <f t="shared" ca="1" si="393"/>
        <v>#NAME?</v>
      </c>
    </row>
    <row r="1552" spans="1:17" ht="15.75" thickBot="1">
      <c r="A1552" s="1">
        <f t="shared" si="394"/>
        <v>1551</v>
      </c>
      <c r="C1552" s="85" t="s">
        <v>17</v>
      </c>
      <c r="D1552" s="2">
        <v>43399</v>
      </c>
      <c r="E1552" s="3">
        <v>320</v>
      </c>
      <c r="F1552" t="s">
        <v>319</v>
      </c>
      <c r="G1552" s="18" t="s">
        <v>58</v>
      </c>
      <c r="H1552" t="s">
        <v>320</v>
      </c>
      <c r="I1552" s="6" t="s">
        <v>823</v>
      </c>
      <c r="J1552" s="61" t="s">
        <v>22</v>
      </c>
      <c r="L1552" s="5" t="str">
        <f t="shared" si="395"/>
        <v>01551</v>
      </c>
      <c r="M1552" s="47" t="str">
        <f t="shared" si="396"/>
        <v>26 de octubre de 2018</v>
      </c>
      <c r="N1552" s="323">
        <f t="shared" si="390"/>
        <v>26</v>
      </c>
      <c r="O1552" s="25">
        <f t="shared" si="397"/>
        <v>43374</v>
      </c>
      <c r="P1552" s="5" t="str">
        <f t="shared" si="392"/>
        <v>320,00</v>
      </c>
      <c r="Q1552" s="4" t="e">
        <f t="shared" ref="Q1552:Q1556" ca="1" si="398">CONVERTIRNUM(E1552)</f>
        <v>#NAME?</v>
      </c>
    </row>
    <row r="1553" spans="1:17">
      <c r="A1553" s="1">
        <f t="shared" si="394"/>
        <v>1552</v>
      </c>
      <c r="C1553" s="8" t="s">
        <v>17</v>
      </c>
      <c r="D1553" s="2">
        <v>43398</v>
      </c>
      <c r="E1553" s="3">
        <v>250</v>
      </c>
      <c r="F1553" t="s">
        <v>401</v>
      </c>
      <c r="G1553" t="s">
        <v>402</v>
      </c>
      <c r="H1553" t="s">
        <v>403</v>
      </c>
      <c r="I1553" s="6" t="s">
        <v>839</v>
      </c>
      <c r="J1553" s="61" t="s">
        <v>22</v>
      </c>
      <c r="L1553" s="5" t="str">
        <f t="shared" si="395"/>
        <v>01552</v>
      </c>
      <c r="M1553" s="47" t="str">
        <f t="shared" si="396"/>
        <v>25 de octubre de 2018</v>
      </c>
      <c r="N1553" s="323">
        <f t="shared" si="390"/>
        <v>25</v>
      </c>
      <c r="O1553" s="25">
        <f t="shared" si="397"/>
        <v>43374</v>
      </c>
      <c r="P1553" s="5" t="str">
        <f t="shared" si="392"/>
        <v>250,00</v>
      </c>
      <c r="Q1553" s="4" t="e">
        <f t="shared" ca="1" si="398"/>
        <v>#NAME?</v>
      </c>
    </row>
    <row r="1554" spans="1:17">
      <c r="A1554" s="1">
        <f t="shared" si="394"/>
        <v>1553</v>
      </c>
      <c r="C1554" s="8" t="s">
        <v>17</v>
      </c>
      <c r="D1554" s="2">
        <v>43402</v>
      </c>
      <c r="E1554" s="3">
        <v>320</v>
      </c>
      <c r="F1554" t="s">
        <v>296</v>
      </c>
      <c r="G1554" t="s">
        <v>297</v>
      </c>
      <c r="H1554" t="s">
        <v>298</v>
      </c>
      <c r="I1554" s="6" t="s">
        <v>823</v>
      </c>
      <c r="J1554" s="61" t="s">
        <v>22</v>
      </c>
      <c r="L1554" s="5" t="str">
        <f t="shared" si="395"/>
        <v>01553</v>
      </c>
      <c r="M1554" s="47" t="str">
        <f t="shared" si="396"/>
        <v>29 de octubre de 2018</v>
      </c>
      <c r="N1554" s="323">
        <f t="shared" si="390"/>
        <v>29</v>
      </c>
      <c r="O1554" s="25">
        <f t="shared" si="397"/>
        <v>43374</v>
      </c>
      <c r="P1554" s="5" t="str">
        <f t="shared" si="392"/>
        <v>320,00</v>
      </c>
      <c r="Q1554" s="4" t="e">
        <f t="shared" ca="1" si="398"/>
        <v>#NAME?</v>
      </c>
    </row>
    <row r="1555" spans="1:17">
      <c r="A1555" s="1">
        <f t="shared" si="394"/>
        <v>1554</v>
      </c>
      <c r="C1555" s="8" t="s">
        <v>17</v>
      </c>
      <c r="D1555" s="2">
        <v>43403</v>
      </c>
      <c r="E1555" s="3">
        <v>10</v>
      </c>
      <c r="F1555" t="s">
        <v>438</v>
      </c>
      <c r="G1555" t="s">
        <v>439</v>
      </c>
      <c r="H1555" t="s">
        <v>440</v>
      </c>
      <c r="I1555" s="6" t="s">
        <v>840</v>
      </c>
      <c r="J1555" s="61" t="s">
        <v>827</v>
      </c>
      <c r="L1555" s="5" t="str">
        <f t="shared" si="395"/>
        <v>01554</v>
      </c>
      <c r="M1555" s="47" t="str">
        <f t="shared" si="396"/>
        <v>30 de octubre de 2018</v>
      </c>
      <c r="N1555" s="323">
        <f t="shared" si="390"/>
        <v>30</v>
      </c>
      <c r="O1555" s="25">
        <f t="shared" si="397"/>
        <v>43374</v>
      </c>
      <c r="P1555" s="5" t="str">
        <f t="shared" si="392"/>
        <v>10,00</v>
      </c>
      <c r="Q1555" s="4" t="e">
        <f t="shared" ca="1" si="398"/>
        <v>#NAME?</v>
      </c>
    </row>
    <row r="1556" spans="1:17">
      <c r="A1556" s="1">
        <f t="shared" si="394"/>
        <v>1555</v>
      </c>
      <c r="C1556" s="8" t="s">
        <v>17</v>
      </c>
      <c r="D1556" s="2">
        <v>43403</v>
      </c>
      <c r="E1556" s="3">
        <v>320</v>
      </c>
      <c r="F1556" t="s">
        <v>130</v>
      </c>
      <c r="G1556" t="s">
        <v>131</v>
      </c>
      <c r="H1556" t="s">
        <v>132</v>
      </c>
      <c r="I1556" s="6" t="s">
        <v>823</v>
      </c>
      <c r="J1556" s="61" t="s">
        <v>22</v>
      </c>
      <c r="L1556" s="5" t="str">
        <f t="shared" si="395"/>
        <v>01555</v>
      </c>
      <c r="M1556" s="47" t="str">
        <f t="shared" si="396"/>
        <v>30 de octubre de 2018</v>
      </c>
      <c r="N1556" s="323">
        <f t="shared" si="390"/>
        <v>30</v>
      </c>
      <c r="O1556" s="25">
        <f t="shared" si="397"/>
        <v>43374</v>
      </c>
      <c r="P1556" s="5" t="str">
        <f t="shared" si="392"/>
        <v>320,00</v>
      </c>
      <c r="Q1556" s="4" t="e">
        <f t="shared" ca="1" si="398"/>
        <v>#NAME?</v>
      </c>
    </row>
    <row r="1557" spans="1:17">
      <c r="A1557" s="1">
        <f t="shared" si="394"/>
        <v>1556</v>
      </c>
      <c r="C1557" s="8" t="s">
        <v>17</v>
      </c>
      <c r="D1557" s="2">
        <v>43403</v>
      </c>
      <c r="E1557" s="3">
        <f>320*2</f>
        <v>640</v>
      </c>
      <c r="F1557" t="s">
        <v>438</v>
      </c>
      <c r="G1557" t="s">
        <v>439</v>
      </c>
      <c r="H1557" t="s">
        <v>440</v>
      </c>
      <c r="I1557" s="6" t="s">
        <v>841</v>
      </c>
      <c r="J1557" s="61" t="s">
        <v>22</v>
      </c>
      <c r="L1557" s="5" t="str">
        <f t="shared" ref="L1557:L1558" si="399">IF(ISBLANK(A1557),"",TEXT(A1557,"00000"))</f>
        <v>01556</v>
      </c>
      <c r="M1557" s="47" t="str">
        <f t="shared" ref="M1557:M1558" si="400">IF(ISBLANK(D1557),"",TEXT(D1557,"dd")&amp;" de "&amp;TEXT(D1557,"mmmm")&amp;" de "&amp;TEXT(YEAR(D1557),"0"))</f>
        <v>30 de octubre de 2018</v>
      </c>
      <c r="N1557" s="323">
        <f t="shared" ref="N1557:N1558" si="401">DAY(D1557)</f>
        <v>30</v>
      </c>
      <c r="O1557" s="25">
        <f t="shared" ref="O1557:O1558" si="402">DATE(YEAR(D1557),MONTH(D1557),1)</f>
        <v>43374</v>
      </c>
      <c r="P1557" s="5" t="str">
        <f t="shared" ref="P1557:P1558" si="403">TEXT(E1557,"#.##0,00")</f>
        <v>640,00</v>
      </c>
      <c r="Q1557" s="4" t="e">
        <f t="shared" ref="Q1557:Q1558" ca="1" si="404">CONVERTIRNUM(E1557)</f>
        <v>#NAME?</v>
      </c>
    </row>
    <row r="1558" spans="1:17">
      <c r="A1558" s="1">
        <f t="shared" si="394"/>
        <v>1557</v>
      </c>
      <c r="C1558" s="8" t="s">
        <v>17</v>
      </c>
      <c r="D1558" s="2">
        <v>43403</v>
      </c>
      <c r="E1558" s="3">
        <v>645</v>
      </c>
      <c r="F1558" t="s">
        <v>353</v>
      </c>
      <c r="G1558" t="s">
        <v>354</v>
      </c>
      <c r="H1558" t="s">
        <v>355</v>
      </c>
      <c r="I1558" s="6" t="s">
        <v>842</v>
      </c>
      <c r="J1558" s="61" t="s">
        <v>22</v>
      </c>
      <c r="L1558" s="5" t="str">
        <f t="shared" si="399"/>
        <v>01557</v>
      </c>
      <c r="M1558" s="47" t="str">
        <f t="shared" si="400"/>
        <v>30 de octubre de 2018</v>
      </c>
      <c r="N1558" s="323">
        <f t="shared" si="401"/>
        <v>30</v>
      </c>
      <c r="O1558" s="25">
        <f t="shared" si="402"/>
        <v>43374</v>
      </c>
      <c r="P1558" s="5" t="str">
        <f t="shared" si="403"/>
        <v>645,00</v>
      </c>
      <c r="Q1558" s="4" t="e">
        <f t="shared" ca="1" si="404"/>
        <v>#NAME?</v>
      </c>
    </row>
    <row r="1559" spans="1:17">
      <c r="A1559" s="1">
        <f t="shared" si="394"/>
        <v>1558</v>
      </c>
      <c r="C1559" s="8" t="s">
        <v>17</v>
      </c>
      <c r="D1559" s="2">
        <v>43403</v>
      </c>
      <c r="E1559" s="3">
        <v>320</v>
      </c>
      <c r="F1559" t="s">
        <v>843</v>
      </c>
      <c r="G1559" t="s">
        <v>844</v>
      </c>
      <c r="H1559" t="s">
        <v>169</v>
      </c>
      <c r="I1559" s="6" t="s">
        <v>823</v>
      </c>
      <c r="J1559" s="61" t="s">
        <v>22</v>
      </c>
      <c r="L1559" s="5" t="str">
        <f t="shared" ref="L1559" si="405">IF(ISBLANK(A1559),"",TEXT(A1559,"00000"))</f>
        <v>01558</v>
      </c>
      <c r="M1559" s="47" t="str">
        <f t="shared" ref="M1559" si="406">IF(ISBLANK(D1559),"",TEXT(D1559,"dd")&amp;" de "&amp;TEXT(D1559,"mmmm")&amp;" de "&amp;TEXT(YEAR(D1559),"0"))</f>
        <v>30 de octubre de 2018</v>
      </c>
      <c r="N1559" s="323">
        <f t="shared" ref="N1559" si="407">DAY(D1559)</f>
        <v>30</v>
      </c>
      <c r="O1559" s="25">
        <f t="shared" ref="O1559" si="408">DATE(YEAR(D1559),MONTH(D1559),1)</f>
        <v>43374</v>
      </c>
      <c r="P1559" s="5" t="str">
        <f t="shared" ref="P1559" si="409">TEXT(E1559,"#.##0,00")</f>
        <v>320,00</v>
      </c>
      <c r="Q1559" s="4" t="e">
        <f t="shared" ref="Q1559" ca="1" si="410">CONVERTIRNUM(E1559)</f>
        <v>#NAME?</v>
      </c>
    </row>
    <row r="1560" spans="1:17">
      <c r="A1560" s="1">
        <f t="shared" si="394"/>
        <v>1559</v>
      </c>
      <c r="C1560" s="8" t="s">
        <v>17</v>
      </c>
      <c r="D1560" s="2">
        <v>43403</v>
      </c>
      <c r="E1560" s="3">
        <v>10</v>
      </c>
      <c r="F1560" t="s">
        <v>843</v>
      </c>
      <c r="G1560" t="s">
        <v>844</v>
      </c>
      <c r="H1560" t="s">
        <v>169</v>
      </c>
      <c r="I1560" s="6" t="s">
        <v>840</v>
      </c>
      <c r="J1560" s="61" t="s">
        <v>827</v>
      </c>
      <c r="L1560" s="5" t="str">
        <f t="shared" ref="L1560:L1592" si="411">IF(ISBLANK(A1560),"",TEXT(A1560,"00000"))</f>
        <v>01559</v>
      </c>
      <c r="M1560" s="47" t="str">
        <f t="shared" ref="M1560:M1592" si="412">IF(ISBLANK(D1560),"",TEXT(D1560,"dd")&amp;" de "&amp;TEXT(D1560,"mmmm")&amp;" de "&amp;TEXT(YEAR(D1560),"0"))</f>
        <v>30 de octubre de 2018</v>
      </c>
      <c r="N1560" s="323">
        <f t="shared" ref="N1560:N1596" si="413">DAY(D1560)</f>
        <v>30</v>
      </c>
      <c r="O1560" s="25">
        <f t="shared" ref="O1560:O1592" si="414">DATE(YEAR(D1560),MONTH(D1560),1)</f>
        <v>43374</v>
      </c>
      <c r="P1560" s="5" t="str">
        <f t="shared" ref="P1560:P1589" si="415">TEXT(E1560,"#.##0,00")</f>
        <v>10,00</v>
      </c>
      <c r="Q1560" s="4" t="e">
        <f t="shared" ref="Q1560:Q1577" ca="1" si="416">CONVERTIRNUM(E1560)</f>
        <v>#NAME?</v>
      </c>
    </row>
    <row r="1561" spans="1:17" ht="15.75" thickBot="1">
      <c r="A1561" s="1">
        <f t="shared" si="394"/>
        <v>1560</v>
      </c>
      <c r="C1561" s="8" t="s">
        <v>17</v>
      </c>
      <c r="D1561" s="2">
        <v>43396</v>
      </c>
      <c r="E1561" s="3">
        <v>320</v>
      </c>
      <c r="F1561" t="s">
        <v>594</v>
      </c>
      <c r="G1561" t="s">
        <v>595</v>
      </c>
      <c r="H1561" t="s">
        <v>596</v>
      </c>
      <c r="I1561" s="161" t="s">
        <v>845</v>
      </c>
      <c r="J1561" s="61" t="s">
        <v>22</v>
      </c>
      <c r="L1561" s="5" t="str">
        <f t="shared" si="411"/>
        <v>01560</v>
      </c>
      <c r="M1561" s="47" t="str">
        <f t="shared" si="412"/>
        <v>23 de octubre de 2018</v>
      </c>
      <c r="N1561" s="323">
        <f t="shared" si="413"/>
        <v>23</v>
      </c>
      <c r="O1561" s="25">
        <f t="shared" si="414"/>
        <v>43374</v>
      </c>
      <c r="P1561" s="5" t="str">
        <f t="shared" si="415"/>
        <v>320,00</v>
      </c>
      <c r="Q1561" s="4" t="e">
        <f t="shared" ca="1" si="416"/>
        <v>#NAME?</v>
      </c>
    </row>
    <row r="1562" spans="1:17" ht="15.75" thickBot="1">
      <c r="A1562" s="1">
        <f t="shared" si="394"/>
        <v>1561</v>
      </c>
      <c r="C1562" s="85" t="s">
        <v>17</v>
      </c>
      <c r="D1562" s="2">
        <v>43403</v>
      </c>
      <c r="E1562" s="3">
        <v>320</v>
      </c>
      <c r="F1562" t="s">
        <v>259</v>
      </c>
      <c r="G1562" s="18" t="s">
        <v>58</v>
      </c>
      <c r="H1562" t="s">
        <v>261</v>
      </c>
      <c r="I1562" s="6" t="s">
        <v>823</v>
      </c>
      <c r="J1562" s="61" t="s">
        <v>22</v>
      </c>
      <c r="L1562" s="5" t="str">
        <f t="shared" si="411"/>
        <v>01561</v>
      </c>
      <c r="M1562" s="47" t="str">
        <f t="shared" si="412"/>
        <v>30 de octubre de 2018</v>
      </c>
      <c r="N1562" s="323">
        <f t="shared" si="413"/>
        <v>30</v>
      </c>
      <c r="O1562" s="25">
        <f t="shared" si="414"/>
        <v>43374</v>
      </c>
      <c r="P1562" s="5" t="str">
        <f t="shared" si="415"/>
        <v>320,00</v>
      </c>
      <c r="Q1562" s="4" t="e">
        <f t="shared" ca="1" si="416"/>
        <v>#NAME?</v>
      </c>
    </row>
    <row r="1563" spans="1:17">
      <c r="A1563" s="1">
        <f t="shared" si="394"/>
        <v>1562</v>
      </c>
      <c r="C1563" s="8" t="s">
        <v>17</v>
      </c>
      <c r="D1563" s="2">
        <v>43404</v>
      </c>
      <c r="E1563" s="3">
        <v>320</v>
      </c>
      <c r="F1563" t="s">
        <v>211</v>
      </c>
      <c r="G1563" t="s">
        <v>212</v>
      </c>
      <c r="H1563" t="s">
        <v>213</v>
      </c>
      <c r="I1563" s="6" t="s">
        <v>823</v>
      </c>
      <c r="J1563" s="61" t="s">
        <v>22</v>
      </c>
      <c r="L1563" s="5" t="str">
        <f t="shared" si="411"/>
        <v>01562</v>
      </c>
      <c r="M1563" s="47" t="str">
        <f t="shared" si="412"/>
        <v>31 de octubre de 2018</v>
      </c>
      <c r="N1563" s="323">
        <f t="shared" si="413"/>
        <v>31</v>
      </c>
      <c r="O1563" s="25">
        <f t="shared" si="414"/>
        <v>43374</v>
      </c>
      <c r="P1563" s="5" t="str">
        <f t="shared" si="415"/>
        <v>320,00</v>
      </c>
      <c r="Q1563" s="4" t="e">
        <f t="shared" ca="1" si="416"/>
        <v>#NAME?</v>
      </c>
    </row>
    <row r="1564" spans="1:17">
      <c r="A1564" s="1">
        <f t="shared" si="394"/>
        <v>1563</v>
      </c>
      <c r="C1564" s="8" t="s">
        <v>17</v>
      </c>
      <c r="D1564" s="2">
        <v>43405</v>
      </c>
      <c r="E1564" s="3">
        <v>320</v>
      </c>
      <c r="F1564" t="s">
        <v>537</v>
      </c>
      <c r="G1564" t="s">
        <v>538</v>
      </c>
      <c r="H1564" t="s">
        <v>539</v>
      </c>
      <c r="I1564" s="6" t="s">
        <v>823</v>
      </c>
      <c r="J1564" s="61" t="s">
        <v>22</v>
      </c>
      <c r="L1564" s="5" t="str">
        <f t="shared" si="411"/>
        <v>01563</v>
      </c>
      <c r="M1564" s="47" t="str">
        <f t="shared" si="412"/>
        <v>01 de noviembre de 2018</v>
      </c>
      <c r="N1564" s="323">
        <f t="shared" si="413"/>
        <v>1</v>
      </c>
      <c r="O1564" s="25">
        <f t="shared" si="414"/>
        <v>43405</v>
      </c>
      <c r="P1564" s="5" t="str">
        <f t="shared" si="415"/>
        <v>320,00</v>
      </c>
      <c r="Q1564" s="4" t="e">
        <f t="shared" ca="1" si="416"/>
        <v>#NAME?</v>
      </c>
    </row>
    <row r="1565" spans="1:17">
      <c r="A1565" s="1">
        <f t="shared" si="394"/>
        <v>1564</v>
      </c>
      <c r="C1565" s="8" t="s">
        <v>17</v>
      </c>
      <c r="D1565" s="2">
        <v>43405</v>
      </c>
      <c r="E1565" s="3">
        <v>640</v>
      </c>
      <c r="F1565" t="s">
        <v>785</v>
      </c>
      <c r="G1565" t="s">
        <v>786</v>
      </c>
      <c r="H1565" t="s">
        <v>719</v>
      </c>
      <c r="I1565" s="6" t="s">
        <v>846</v>
      </c>
      <c r="J1565" s="61" t="s">
        <v>22</v>
      </c>
      <c r="L1565" s="5" t="str">
        <f t="shared" si="411"/>
        <v>01564</v>
      </c>
      <c r="M1565" s="47" t="str">
        <f t="shared" si="412"/>
        <v>01 de noviembre de 2018</v>
      </c>
      <c r="N1565" s="323">
        <f t="shared" si="413"/>
        <v>1</v>
      </c>
      <c r="O1565" s="25">
        <f t="shared" si="414"/>
        <v>43405</v>
      </c>
      <c r="P1565" s="5" t="str">
        <f t="shared" si="415"/>
        <v>640,00</v>
      </c>
      <c r="Q1565" s="4" t="e">
        <f t="shared" ca="1" si="416"/>
        <v>#NAME?</v>
      </c>
    </row>
    <row r="1566" spans="1:17">
      <c r="A1566" s="1">
        <f t="shared" si="394"/>
        <v>1565</v>
      </c>
      <c r="C1566" s="8" t="s">
        <v>17</v>
      </c>
      <c r="D1566" s="2">
        <v>43404</v>
      </c>
      <c r="E1566" s="3">
        <v>320</v>
      </c>
      <c r="F1566" t="s">
        <v>287</v>
      </c>
      <c r="G1566" t="s">
        <v>288</v>
      </c>
      <c r="H1566" t="s">
        <v>289</v>
      </c>
      <c r="I1566" s="6" t="s">
        <v>810</v>
      </c>
      <c r="J1566" s="61" t="s">
        <v>22</v>
      </c>
      <c r="L1566" s="5" t="str">
        <f t="shared" si="411"/>
        <v>01565</v>
      </c>
      <c r="M1566" s="47" t="str">
        <f t="shared" si="412"/>
        <v>31 de octubre de 2018</v>
      </c>
      <c r="N1566" s="323">
        <f t="shared" si="413"/>
        <v>31</v>
      </c>
      <c r="O1566" s="25">
        <f t="shared" si="414"/>
        <v>43374</v>
      </c>
      <c r="P1566" s="5" t="str">
        <f t="shared" si="415"/>
        <v>320,00</v>
      </c>
      <c r="Q1566" s="4" t="e">
        <f t="shared" ca="1" si="416"/>
        <v>#NAME?</v>
      </c>
    </row>
    <row r="1567" spans="1:17">
      <c r="A1567" s="1">
        <f t="shared" si="394"/>
        <v>1566</v>
      </c>
      <c r="C1567" s="8" t="s">
        <v>17</v>
      </c>
      <c r="D1567" s="2">
        <v>43404</v>
      </c>
      <c r="E1567" s="3">
        <v>10</v>
      </c>
      <c r="F1567" t="s">
        <v>287</v>
      </c>
      <c r="G1567" t="s">
        <v>288</v>
      </c>
      <c r="H1567" t="s">
        <v>289</v>
      </c>
      <c r="I1567" s="6" t="s">
        <v>826</v>
      </c>
      <c r="J1567" s="61" t="s">
        <v>827</v>
      </c>
      <c r="L1567" s="5" t="str">
        <f t="shared" si="411"/>
        <v>01566</v>
      </c>
      <c r="M1567" s="47" t="str">
        <f t="shared" si="412"/>
        <v>31 de octubre de 2018</v>
      </c>
      <c r="N1567" s="323">
        <f t="shared" si="413"/>
        <v>31</v>
      </c>
      <c r="O1567" s="25">
        <f t="shared" si="414"/>
        <v>43374</v>
      </c>
      <c r="P1567" s="5" t="str">
        <f t="shared" si="415"/>
        <v>10,00</v>
      </c>
      <c r="Q1567" s="4" t="e">
        <f t="shared" ca="1" si="416"/>
        <v>#NAME?</v>
      </c>
    </row>
    <row r="1568" spans="1:17">
      <c r="A1568" s="1">
        <f t="shared" si="394"/>
        <v>1567</v>
      </c>
      <c r="C1568" s="8" t="s">
        <v>17</v>
      </c>
      <c r="D1568" s="2">
        <v>43405</v>
      </c>
      <c r="E1568" s="3">
        <f>320*3</f>
        <v>960</v>
      </c>
      <c r="F1568" t="s">
        <v>138</v>
      </c>
      <c r="G1568" t="s">
        <v>139</v>
      </c>
      <c r="H1568" t="s">
        <v>140</v>
      </c>
      <c r="I1568" s="6" t="s">
        <v>847</v>
      </c>
      <c r="J1568" s="61" t="s">
        <v>22</v>
      </c>
      <c r="L1568" s="5" t="str">
        <f t="shared" si="411"/>
        <v>01567</v>
      </c>
      <c r="M1568" s="47" t="str">
        <f t="shared" si="412"/>
        <v>01 de noviembre de 2018</v>
      </c>
      <c r="N1568" s="323">
        <f t="shared" si="413"/>
        <v>1</v>
      </c>
      <c r="O1568" s="25">
        <f t="shared" si="414"/>
        <v>43405</v>
      </c>
      <c r="P1568" s="5" t="str">
        <f t="shared" si="415"/>
        <v>960,00</v>
      </c>
      <c r="Q1568" s="4" t="e">
        <f t="shared" ca="1" si="416"/>
        <v>#NAME?</v>
      </c>
    </row>
    <row r="1569" spans="1:17">
      <c r="A1569" s="1">
        <f t="shared" si="394"/>
        <v>1568</v>
      </c>
      <c r="C1569" s="8" t="s">
        <v>17</v>
      </c>
      <c r="D1569" s="2">
        <v>43405</v>
      </c>
      <c r="E1569" s="3">
        <v>100</v>
      </c>
      <c r="F1569" t="s">
        <v>433</v>
      </c>
      <c r="G1569" t="s">
        <v>434</v>
      </c>
      <c r="H1569" t="s">
        <v>435</v>
      </c>
      <c r="I1569" s="6" t="s">
        <v>839</v>
      </c>
      <c r="J1569" s="61" t="s">
        <v>22</v>
      </c>
      <c r="L1569" s="5" t="str">
        <f t="shared" si="411"/>
        <v>01568</v>
      </c>
      <c r="M1569" s="47" t="str">
        <f t="shared" si="412"/>
        <v>01 de noviembre de 2018</v>
      </c>
      <c r="N1569" s="323">
        <f t="shared" si="413"/>
        <v>1</v>
      </c>
      <c r="O1569" s="25">
        <f t="shared" si="414"/>
        <v>43405</v>
      </c>
      <c r="P1569" s="5" t="str">
        <f t="shared" si="415"/>
        <v>100,00</v>
      </c>
      <c r="Q1569" s="4" t="e">
        <f t="shared" ca="1" si="416"/>
        <v>#NAME?</v>
      </c>
    </row>
    <row r="1570" spans="1:17">
      <c r="A1570" s="1">
        <f t="shared" si="394"/>
        <v>1569</v>
      </c>
      <c r="C1570" s="8" t="s">
        <v>17</v>
      </c>
      <c r="D1570" s="2">
        <v>43405</v>
      </c>
      <c r="E1570" s="3">
        <v>320</v>
      </c>
      <c r="F1570" t="s">
        <v>80</v>
      </c>
      <c r="G1570" t="s">
        <v>81</v>
      </c>
      <c r="H1570" t="s">
        <v>82</v>
      </c>
      <c r="I1570" s="6" t="s">
        <v>848</v>
      </c>
      <c r="J1570" s="61" t="s">
        <v>22</v>
      </c>
      <c r="L1570" s="5" t="str">
        <f t="shared" si="411"/>
        <v>01569</v>
      </c>
      <c r="M1570" s="47" t="str">
        <f t="shared" si="412"/>
        <v>01 de noviembre de 2018</v>
      </c>
      <c r="N1570" s="323">
        <f t="shared" si="413"/>
        <v>1</v>
      </c>
      <c r="O1570" s="25">
        <f t="shared" si="414"/>
        <v>43405</v>
      </c>
      <c r="P1570" s="5" t="str">
        <f t="shared" si="415"/>
        <v>320,00</v>
      </c>
      <c r="Q1570" s="4" t="e">
        <f t="shared" ca="1" si="416"/>
        <v>#NAME?</v>
      </c>
    </row>
    <row r="1571" spans="1:17">
      <c r="A1571" s="1">
        <f t="shared" si="394"/>
        <v>1570</v>
      </c>
      <c r="C1571" s="8" t="s">
        <v>17</v>
      </c>
      <c r="D1571" s="2">
        <v>43406</v>
      </c>
      <c r="E1571" s="3">
        <v>320</v>
      </c>
      <c r="F1571" t="s">
        <v>483</v>
      </c>
      <c r="G1571" t="s">
        <v>484</v>
      </c>
      <c r="H1571" t="s">
        <v>485</v>
      </c>
      <c r="I1571" s="6" t="s">
        <v>848</v>
      </c>
      <c r="J1571" s="61" t="s">
        <v>22</v>
      </c>
      <c r="L1571" s="5" t="str">
        <f t="shared" si="411"/>
        <v>01570</v>
      </c>
      <c r="M1571" s="47" t="str">
        <f t="shared" si="412"/>
        <v>02 de noviembre de 2018</v>
      </c>
      <c r="N1571" s="323">
        <f t="shared" si="413"/>
        <v>2</v>
      </c>
      <c r="O1571" s="25">
        <f t="shared" si="414"/>
        <v>43405</v>
      </c>
      <c r="P1571" s="5" t="str">
        <f t="shared" si="415"/>
        <v>320,00</v>
      </c>
      <c r="Q1571" s="4" t="e">
        <f t="shared" ca="1" si="416"/>
        <v>#NAME?</v>
      </c>
    </row>
    <row r="1572" spans="1:17">
      <c r="A1572" s="1">
        <f t="shared" si="394"/>
        <v>1571</v>
      </c>
      <c r="C1572" s="8" t="s">
        <v>17</v>
      </c>
      <c r="D1572" s="2">
        <v>43406</v>
      </c>
      <c r="E1572" s="3">
        <v>320</v>
      </c>
      <c r="F1572" t="s">
        <v>558</v>
      </c>
      <c r="G1572" t="s">
        <v>559</v>
      </c>
      <c r="H1572" t="s">
        <v>560</v>
      </c>
      <c r="I1572" s="6" t="s">
        <v>848</v>
      </c>
      <c r="J1572" s="61" t="s">
        <v>22</v>
      </c>
      <c r="L1572" s="5" t="str">
        <f t="shared" si="411"/>
        <v>01571</v>
      </c>
      <c r="M1572" s="47" t="str">
        <f t="shared" si="412"/>
        <v>02 de noviembre de 2018</v>
      </c>
      <c r="N1572" s="323">
        <f t="shared" si="413"/>
        <v>2</v>
      </c>
      <c r="O1572" s="25">
        <f t="shared" si="414"/>
        <v>43405</v>
      </c>
      <c r="P1572" s="5" t="str">
        <f t="shared" si="415"/>
        <v>320,00</v>
      </c>
      <c r="Q1572" s="4" t="e">
        <f t="shared" ca="1" si="416"/>
        <v>#NAME?</v>
      </c>
    </row>
    <row r="1573" spans="1:17">
      <c r="A1573" s="1">
        <f t="shared" si="394"/>
        <v>1572</v>
      </c>
      <c r="C1573" s="8" t="s">
        <v>17</v>
      </c>
      <c r="D1573" s="2">
        <v>43406</v>
      </c>
      <c r="E1573" s="3">
        <v>320</v>
      </c>
      <c r="F1573" t="s">
        <v>126</v>
      </c>
      <c r="G1573" t="s">
        <v>127</v>
      </c>
      <c r="H1573" t="s">
        <v>128</v>
      </c>
      <c r="I1573" s="6" t="s">
        <v>848</v>
      </c>
      <c r="J1573" s="61" t="s">
        <v>22</v>
      </c>
      <c r="L1573" s="5" t="str">
        <f t="shared" si="411"/>
        <v>01572</v>
      </c>
      <c r="M1573" s="47" t="str">
        <f t="shared" si="412"/>
        <v>02 de noviembre de 2018</v>
      </c>
      <c r="N1573" s="323">
        <f t="shared" si="413"/>
        <v>2</v>
      </c>
      <c r="O1573" s="25">
        <f t="shared" si="414"/>
        <v>43405</v>
      </c>
      <c r="P1573" s="5" t="str">
        <f t="shared" si="415"/>
        <v>320,00</v>
      </c>
      <c r="Q1573" s="4" t="e">
        <f t="shared" ca="1" si="416"/>
        <v>#NAME?</v>
      </c>
    </row>
    <row r="1574" spans="1:17">
      <c r="A1574" s="1">
        <f t="shared" si="394"/>
        <v>1573</v>
      </c>
      <c r="C1574" s="8" t="s">
        <v>17</v>
      </c>
      <c r="D1574" s="2">
        <v>43406</v>
      </c>
      <c r="E1574" s="3">
        <v>640</v>
      </c>
      <c r="F1574" t="s">
        <v>334</v>
      </c>
      <c r="G1574" t="s">
        <v>85</v>
      </c>
      <c r="H1574" t="s">
        <v>335</v>
      </c>
      <c r="I1574" s="6" t="s">
        <v>846</v>
      </c>
      <c r="J1574" s="61" t="s">
        <v>22</v>
      </c>
      <c r="L1574" s="5" t="str">
        <f t="shared" si="411"/>
        <v>01573</v>
      </c>
      <c r="M1574" s="47" t="str">
        <f t="shared" si="412"/>
        <v>02 de noviembre de 2018</v>
      </c>
      <c r="N1574" s="323">
        <f t="shared" si="413"/>
        <v>2</v>
      </c>
      <c r="O1574" s="25">
        <f t="shared" si="414"/>
        <v>43405</v>
      </c>
      <c r="P1574" s="5" t="str">
        <f t="shared" si="415"/>
        <v>640,00</v>
      </c>
      <c r="Q1574" s="4" t="e">
        <f t="shared" ca="1" si="416"/>
        <v>#NAME?</v>
      </c>
    </row>
    <row r="1575" spans="1:17" ht="15.75" thickBot="1">
      <c r="A1575" s="1">
        <f t="shared" si="394"/>
        <v>1574</v>
      </c>
      <c r="C1575" s="8" t="s">
        <v>17</v>
      </c>
      <c r="D1575" s="2">
        <v>43406</v>
      </c>
      <c r="E1575" s="3">
        <v>320</v>
      </c>
      <c r="F1575" t="s">
        <v>219</v>
      </c>
      <c r="G1575" t="s">
        <v>220</v>
      </c>
      <c r="H1575" t="s">
        <v>221</v>
      </c>
      <c r="I1575" s="6" t="s">
        <v>849</v>
      </c>
      <c r="J1575" s="61" t="s">
        <v>22</v>
      </c>
      <c r="L1575" s="5" t="str">
        <f t="shared" si="411"/>
        <v>01574</v>
      </c>
      <c r="M1575" s="47" t="str">
        <f t="shared" si="412"/>
        <v>02 de noviembre de 2018</v>
      </c>
      <c r="N1575" s="323">
        <f t="shared" si="413"/>
        <v>2</v>
      </c>
      <c r="O1575" s="25">
        <f t="shared" si="414"/>
        <v>43405</v>
      </c>
      <c r="P1575" s="5" t="str">
        <f t="shared" si="415"/>
        <v>320,00</v>
      </c>
      <c r="Q1575" s="4" t="e">
        <f t="shared" ca="1" si="416"/>
        <v>#NAME?</v>
      </c>
    </row>
    <row r="1576" spans="1:17" ht="15.75" thickBot="1">
      <c r="A1576" s="1">
        <f t="shared" si="394"/>
        <v>1575</v>
      </c>
      <c r="C1576" s="85" t="s">
        <v>17</v>
      </c>
      <c r="D1576" s="2">
        <v>43407</v>
      </c>
      <c r="E1576" s="3">
        <v>320</v>
      </c>
      <c r="F1576" t="s">
        <v>40</v>
      </c>
      <c r="G1576" s="18" t="s">
        <v>58</v>
      </c>
      <c r="H1576" t="s">
        <v>42</v>
      </c>
      <c r="I1576" s="6" t="s">
        <v>848</v>
      </c>
      <c r="J1576" s="61" t="s">
        <v>22</v>
      </c>
      <c r="L1576" s="5" t="str">
        <f t="shared" si="411"/>
        <v>01575</v>
      </c>
      <c r="M1576" s="47" t="str">
        <f t="shared" si="412"/>
        <v>03 de noviembre de 2018</v>
      </c>
      <c r="N1576" s="323">
        <f t="shared" si="413"/>
        <v>3</v>
      </c>
      <c r="O1576" s="25">
        <f t="shared" si="414"/>
        <v>43405</v>
      </c>
      <c r="P1576" s="5" t="str">
        <f t="shared" si="415"/>
        <v>320,00</v>
      </c>
      <c r="Q1576" s="4" t="e">
        <f t="shared" ca="1" si="416"/>
        <v>#NAME?</v>
      </c>
    </row>
    <row r="1577" spans="1:17">
      <c r="A1577" s="1">
        <f t="shared" si="394"/>
        <v>1576</v>
      </c>
      <c r="C1577" s="8" t="s">
        <v>17</v>
      </c>
      <c r="D1577" s="2">
        <v>43407</v>
      </c>
      <c r="E1577" s="3">
        <v>320</v>
      </c>
      <c r="F1577" t="s">
        <v>48</v>
      </c>
      <c r="G1577" t="s">
        <v>49</v>
      </c>
      <c r="H1577" t="s">
        <v>50</v>
      </c>
      <c r="I1577" s="6" t="s">
        <v>848</v>
      </c>
      <c r="J1577" s="61" t="s">
        <v>22</v>
      </c>
      <c r="L1577" s="5" t="str">
        <f t="shared" si="411"/>
        <v>01576</v>
      </c>
      <c r="M1577" s="47" t="str">
        <f t="shared" si="412"/>
        <v>03 de noviembre de 2018</v>
      </c>
      <c r="N1577" s="323">
        <f t="shared" si="413"/>
        <v>3</v>
      </c>
      <c r="O1577" s="25">
        <f t="shared" si="414"/>
        <v>43405</v>
      </c>
      <c r="P1577" s="5" t="str">
        <f t="shared" si="415"/>
        <v>320,00</v>
      </c>
      <c r="Q1577" s="4" t="e">
        <f t="shared" ca="1" si="416"/>
        <v>#NAME?</v>
      </c>
    </row>
    <row r="1578" spans="1:17">
      <c r="A1578" s="1">
        <f t="shared" si="394"/>
        <v>1577</v>
      </c>
      <c r="C1578" s="8" t="s">
        <v>17</v>
      </c>
      <c r="D1578" s="2">
        <v>43408</v>
      </c>
      <c r="E1578" s="3">
        <v>320</v>
      </c>
      <c r="F1578" t="s">
        <v>407</v>
      </c>
      <c r="G1578" t="s">
        <v>408</v>
      </c>
      <c r="H1578" t="s">
        <v>409</v>
      </c>
      <c r="I1578" s="6" t="s">
        <v>848</v>
      </c>
      <c r="J1578" s="61" t="s">
        <v>22</v>
      </c>
      <c r="L1578" s="5" t="str">
        <f t="shared" si="411"/>
        <v>01577</v>
      </c>
      <c r="M1578" s="47" t="str">
        <f t="shared" si="412"/>
        <v>04 de noviembre de 2018</v>
      </c>
      <c r="N1578" s="323">
        <f t="shared" si="413"/>
        <v>4</v>
      </c>
      <c r="O1578" s="25">
        <f t="shared" si="414"/>
        <v>43405</v>
      </c>
      <c r="P1578" s="5" t="str">
        <f t="shared" si="415"/>
        <v>320,00</v>
      </c>
      <c r="Q1578" s="4" t="e">
        <f ca="1">CONVERTIRNUM(E1578)</f>
        <v>#NAME?</v>
      </c>
    </row>
    <row r="1579" spans="1:17">
      <c r="A1579" s="1">
        <f t="shared" si="394"/>
        <v>1578</v>
      </c>
      <c r="C1579" s="8" t="s">
        <v>17</v>
      </c>
      <c r="D1579" s="2">
        <v>43408</v>
      </c>
      <c r="E1579" s="3">
        <f>260*2</f>
        <v>520</v>
      </c>
      <c r="F1579" t="s">
        <v>28</v>
      </c>
      <c r="G1579" t="s">
        <v>716</v>
      </c>
      <c r="H1579" t="s">
        <v>30</v>
      </c>
      <c r="I1579" s="6" t="s">
        <v>850</v>
      </c>
      <c r="J1579" s="61" t="s">
        <v>22</v>
      </c>
      <c r="L1579" s="5" t="str">
        <f t="shared" si="411"/>
        <v>01578</v>
      </c>
      <c r="M1579" s="47" t="str">
        <f t="shared" si="412"/>
        <v>04 de noviembre de 2018</v>
      </c>
      <c r="N1579" s="323">
        <f t="shared" si="413"/>
        <v>4</v>
      </c>
      <c r="O1579" s="25">
        <f t="shared" si="414"/>
        <v>43405</v>
      </c>
      <c r="P1579" s="5" t="str">
        <f t="shared" si="415"/>
        <v>520,00</v>
      </c>
      <c r="Q1579" s="4" t="e">
        <f t="shared" ref="Q1579:Q1589" ca="1" si="417">CONVERTIRNUM(E1579)</f>
        <v>#NAME?</v>
      </c>
    </row>
    <row r="1580" spans="1:17">
      <c r="A1580" s="1">
        <f t="shared" si="394"/>
        <v>1579</v>
      </c>
      <c r="C1580" s="8" t="s">
        <v>17</v>
      </c>
      <c r="D1580" s="2">
        <v>43408</v>
      </c>
      <c r="E1580" s="3">
        <v>320</v>
      </c>
      <c r="F1580" t="s">
        <v>118</v>
      </c>
      <c r="G1580" t="s">
        <v>119</v>
      </c>
      <c r="H1580" t="s">
        <v>120</v>
      </c>
      <c r="I1580" s="6" t="s">
        <v>823</v>
      </c>
      <c r="J1580" s="61" t="s">
        <v>22</v>
      </c>
      <c r="L1580" s="5" t="str">
        <f t="shared" si="411"/>
        <v>01579</v>
      </c>
      <c r="M1580" s="47" t="str">
        <f t="shared" si="412"/>
        <v>04 de noviembre de 2018</v>
      </c>
      <c r="N1580" s="323">
        <f t="shared" si="413"/>
        <v>4</v>
      </c>
      <c r="O1580" s="25">
        <f t="shared" si="414"/>
        <v>43405</v>
      </c>
      <c r="P1580" s="5" t="str">
        <f t="shared" si="415"/>
        <v>320,00</v>
      </c>
      <c r="Q1580" s="4" t="e">
        <f t="shared" ca="1" si="417"/>
        <v>#NAME?</v>
      </c>
    </row>
    <row r="1581" spans="1:17">
      <c r="A1581" s="1">
        <f t="shared" si="394"/>
        <v>1580</v>
      </c>
      <c r="C1581" s="8" t="s">
        <v>17</v>
      </c>
      <c r="D1581" s="2">
        <v>43408</v>
      </c>
      <c r="E1581" s="3">
        <v>320</v>
      </c>
      <c r="F1581" t="s">
        <v>337</v>
      </c>
      <c r="G1581" t="s">
        <v>338</v>
      </c>
      <c r="H1581" t="s">
        <v>339</v>
      </c>
      <c r="I1581" s="6" t="s">
        <v>848</v>
      </c>
      <c r="J1581" s="61" t="s">
        <v>22</v>
      </c>
      <c r="L1581" s="5" t="str">
        <f t="shared" si="411"/>
        <v>01580</v>
      </c>
      <c r="M1581" s="47" t="str">
        <f t="shared" si="412"/>
        <v>04 de noviembre de 2018</v>
      </c>
      <c r="N1581" s="323">
        <f t="shared" si="413"/>
        <v>4</v>
      </c>
      <c r="O1581" s="25">
        <f t="shared" si="414"/>
        <v>43405</v>
      </c>
      <c r="P1581" s="5" t="str">
        <f t="shared" si="415"/>
        <v>320,00</v>
      </c>
      <c r="Q1581" s="4" t="e">
        <f t="shared" ca="1" si="417"/>
        <v>#NAME?</v>
      </c>
    </row>
    <row r="1582" spans="1:17">
      <c r="A1582" s="1">
        <f t="shared" si="394"/>
        <v>1581</v>
      </c>
      <c r="C1582" s="8" t="s">
        <v>17</v>
      </c>
      <c r="D1582" s="2">
        <v>43409</v>
      </c>
      <c r="E1582" s="3">
        <f>320*2</f>
        <v>640</v>
      </c>
      <c r="F1582" t="s">
        <v>24</v>
      </c>
      <c r="G1582" t="s">
        <v>25</v>
      </c>
      <c r="H1582" t="s">
        <v>26</v>
      </c>
      <c r="I1582" s="6" t="s">
        <v>851</v>
      </c>
      <c r="J1582" s="61" t="s">
        <v>22</v>
      </c>
      <c r="L1582" s="5" t="str">
        <f t="shared" si="411"/>
        <v>01581</v>
      </c>
      <c r="M1582" s="47" t="str">
        <f t="shared" si="412"/>
        <v>05 de noviembre de 2018</v>
      </c>
      <c r="N1582" s="323">
        <f t="shared" si="413"/>
        <v>5</v>
      </c>
      <c r="O1582" s="25">
        <f t="shared" si="414"/>
        <v>43405</v>
      </c>
      <c r="P1582" s="5" t="str">
        <f t="shared" si="415"/>
        <v>640,00</v>
      </c>
      <c r="Q1582" s="4" t="e">
        <f t="shared" ca="1" si="417"/>
        <v>#NAME?</v>
      </c>
    </row>
    <row r="1583" spans="1:17">
      <c r="A1583" s="1">
        <f t="shared" si="394"/>
        <v>1582</v>
      </c>
      <c r="C1583" s="8" t="s">
        <v>17</v>
      </c>
      <c r="D1583" s="2">
        <v>43409</v>
      </c>
      <c r="E1583" s="3">
        <v>320</v>
      </c>
      <c r="F1583" t="s">
        <v>53</v>
      </c>
      <c r="G1583" t="s">
        <v>677</v>
      </c>
      <c r="H1583" t="s">
        <v>55</v>
      </c>
      <c r="I1583" s="6" t="s">
        <v>823</v>
      </c>
      <c r="J1583" s="61" t="s">
        <v>22</v>
      </c>
      <c r="L1583" s="5" t="str">
        <f t="shared" si="411"/>
        <v>01582</v>
      </c>
      <c r="M1583" s="47" t="str">
        <f t="shared" si="412"/>
        <v>05 de noviembre de 2018</v>
      </c>
      <c r="N1583" s="323">
        <f t="shared" si="413"/>
        <v>5</v>
      </c>
      <c r="O1583" s="25">
        <f t="shared" si="414"/>
        <v>43405</v>
      </c>
      <c r="P1583" s="5" t="str">
        <f t="shared" si="415"/>
        <v>320,00</v>
      </c>
      <c r="Q1583" s="4" t="e">
        <f t="shared" ca="1" si="417"/>
        <v>#NAME?</v>
      </c>
    </row>
    <row r="1584" spans="1:17">
      <c r="A1584" s="1">
        <f t="shared" si="394"/>
        <v>1583</v>
      </c>
      <c r="C1584" s="8" t="s">
        <v>17</v>
      </c>
      <c r="D1584" s="2">
        <v>43409</v>
      </c>
      <c r="E1584" s="3">
        <v>320</v>
      </c>
      <c r="F1584" t="s">
        <v>713</v>
      </c>
      <c r="G1584" t="s">
        <v>714</v>
      </c>
      <c r="H1584" t="s">
        <v>154</v>
      </c>
      <c r="I1584" s="6" t="s">
        <v>848</v>
      </c>
      <c r="J1584" s="61" t="s">
        <v>22</v>
      </c>
      <c r="L1584" s="5" t="str">
        <f t="shared" si="411"/>
        <v>01583</v>
      </c>
      <c r="M1584" s="47" t="str">
        <f t="shared" si="412"/>
        <v>05 de noviembre de 2018</v>
      </c>
      <c r="N1584" s="323">
        <f t="shared" si="413"/>
        <v>5</v>
      </c>
      <c r="O1584" s="25">
        <f t="shared" si="414"/>
        <v>43405</v>
      </c>
      <c r="P1584" s="5" t="str">
        <f t="shared" si="415"/>
        <v>320,00</v>
      </c>
      <c r="Q1584" s="4" t="e">
        <f t="shared" ca="1" si="417"/>
        <v>#NAME?</v>
      </c>
    </row>
    <row r="1585" spans="1:17">
      <c r="A1585" s="1">
        <f t="shared" si="394"/>
        <v>1584</v>
      </c>
      <c r="C1585" s="8" t="s">
        <v>17</v>
      </c>
      <c r="D1585" s="2">
        <v>43410</v>
      </c>
      <c r="E1585" s="3">
        <v>350</v>
      </c>
      <c r="F1585" t="s">
        <v>342</v>
      </c>
      <c r="G1585" t="s">
        <v>343</v>
      </c>
      <c r="H1585" t="s">
        <v>344</v>
      </c>
      <c r="I1585" s="6" t="s">
        <v>823</v>
      </c>
      <c r="J1585" s="61" t="s">
        <v>22</v>
      </c>
      <c r="L1585" s="5" t="str">
        <f t="shared" si="411"/>
        <v>01584</v>
      </c>
      <c r="M1585" s="47" t="str">
        <f t="shared" si="412"/>
        <v>06 de noviembre de 2018</v>
      </c>
      <c r="N1585" s="323">
        <f t="shared" si="413"/>
        <v>6</v>
      </c>
      <c r="O1585" s="25">
        <f t="shared" si="414"/>
        <v>43405</v>
      </c>
      <c r="P1585" s="5" t="str">
        <f t="shared" si="415"/>
        <v>350,00</v>
      </c>
      <c r="Q1585" s="4" t="e">
        <f t="shared" ca="1" si="417"/>
        <v>#NAME?</v>
      </c>
    </row>
    <row r="1586" spans="1:17">
      <c r="A1586" s="1">
        <f t="shared" si="394"/>
        <v>1585</v>
      </c>
      <c r="C1586" s="8" t="s">
        <v>17</v>
      </c>
      <c r="D1586" s="2">
        <v>43410</v>
      </c>
      <c r="E1586" s="3">
        <v>350</v>
      </c>
      <c r="F1586" t="s">
        <v>107</v>
      </c>
      <c r="G1586" t="s">
        <v>108</v>
      </c>
      <c r="H1586" t="s">
        <v>109</v>
      </c>
      <c r="I1586" s="6" t="s">
        <v>848</v>
      </c>
      <c r="J1586" s="61" t="s">
        <v>22</v>
      </c>
      <c r="L1586" s="5" t="str">
        <f t="shared" si="411"/>
        <v>01585</v>
      </c>
      <c r="M1586" s="47" t="str">
        <f t="shared" si="412"/>
        <v>06 de noviembre de 2018</v>
      </c>
      <c r="N1586" s="323">
        <f t="shared" si="413"/>
        <v>6</v>
      </c>
      <c r="O1586" s="25">
        <f t="shared" si="414"/>
        <v>43405</v>
      </c>
      <c r="P1586" s="5" t="str">
        <f t="shared" si="415"/>
        <v>350,00</v>
      </c>
      <c r="Q1586" s="4" t="e">
        <f t="shared" ca="1" si="417"/>
        <v>#NAME?</v>
      </c>
    </row>
    <row r="1587" spans="1:17">
      <c r="A1587" s="1">
        <f>A1586+1</f>
        <v>1586</v>
      </c>
      <c r="C1587" s="8" t="s">
        <v>17</v>
      </c>
      <c r="D1587" s="2">
        <v>43410</v>
      </c>
      <c r="E1587" s="3">
        <v>320</v>
      </c>
      <c r="F1587" t="s">
        <v>70</v>
      </c>
      <c r="G1587" t="s">
        <v>71</v>
      </c>
      <c r="H1587" t="s">
        <v>72</v>
      </c>
      <c r="I1587" s="6" t="s">
        <v>848</v>
      </c>
      <c r="J1587" s="61" t="s">
        <v>22</v>
      </c>
      <c r="L1587" s="5" t="str">
        <f t="shared" si="411"/>
        <v>01586</v>
      </c>
      <c r="M1587" s="47" t="str">
        <f t="shared" si="412"/>
        <v>06 de noviembre de 2018</v>
      </c>
      <c r="N1587" s="323">
        <f t="shared" si="413"/>
        <v>6</v>
      </c>
      <c r="O1587" s="25">
        <f t="shared" si="414"/>
        <v>43405</v>
      </c>
      <c r="P1587" s="5" t="str">
        <f t="shared" si="415"/>
        <v>320,00</v>
      </c>
      <c r="Q1587" s="4" t="e">
        <f t="shared" ca="1" si="417"/>
        <v>#NAME?</v>
      </c>
    </row>
    <row r="1588" spans="1:17">
      <c r="A1588" s="1">
        <f t="shared" si="394"/>
        <v>1587</v>
      </c>
      <c r="C1588" s="8" t="s">
        <v>17</v>
      </c>
      <c r="D1588" s="2">
        <v>43410</v>
      </c>
      <c r="E1588" s="3">
        <v>320</v>
      </c>
      <c r="F1588" t="s">
        <v>134</v>
      </c>
      <c r="G1588" t="s">
        <v>135</v>
      </c>
      <c r="H1588" t="s">
        <v>136</v>
      </c>
      <c r="I1588" s="6" t="s">
        <v>848</v>
      </c>
      <c r="J1588" s="61" t="s">
        <v>22</v>
      </c>
      <c r="L1588" s="5" t="str">
        <f t="shared" si="411"/>
        <v>01587</v>
      </c>
      <c r="M1588" s="47" t="str">
        <f t="shared" si="412"/>
        <v>06 de noviembre de 2018</v>
      </c>
      <c r="N1588" s="323">
        <f t="shared" si="413"/>
        <v>6</v>
      </c>
      <c r="O1588" s="25">
        <f t="shared" si="414"/>
        <v>43405</v>
      </c>
      <c r="P1588" s="5" t="str">
        <f t="shared" si="415"/>
        <v>320,00</v>
      </c>
      <c r="Q1588" s="4" t="e">
        <f t="shared" ca="1" si="417"/>
        <v>#NAME?</v>
      </c>
    </row>
    <row r="1589" spans="1:17">
      <c r="A1589" s="1">
        <f t="shared" si="394"/>
        <v>1588</v>
      </c>
      <c r="C1589" s="8" t="s">
        <v>17</v>
      </c>
      <c r="D1589" s="2">
        <v>43411</v>
      </c>
      <c r="E1589" s="3">
        <v>320</v>
      </c>
      <c r="F1589" t="s">
        <v>843</v>
      </c>
      <c r="G1589" t="s">
        <v>844</v>
      </c>
      <c r="H1589" t="s">
        <v>169</v>
      </c>
      <c r="I1589" s="6" t="s">
        <v>848</v>
      </c>
      <c r="J1589" s="61" t="s">
        <v>22</v>
      </c>
      <c r="L1589" s="5" t="str">
        <f t="shared" si="411"/>
        <v>01588</v>
      </c>
      <c r="M1589" s="47" t="str">
        <f t="shared" si="412"/>
        <v>07 de noviembre de 2018</v>
      </c>
      <c r="N1589" s="323">
        <f t="shared" si="413"/>
        <v>7</v>
      </c>
      <c r="O1589" s="25">
        <f t="shared" si="414"/>
        <v>43405</v>
      </c>
      <c r="P1589" s="5" t="str">
        <f t="shared" si="415"/>
        <v>320,00</v>
      </c>
      <c r="Q1589" s="4" t="e">
        <f t="shared" ca="1" si="417"/>
        <v>#NAME?</v>
      </c>
    </row>
    <row r="1590" spans="1:17">
      <c r="A1590" s="1">
        <f t="shared" si="394"/>
        <v>1589</v>
      </c>
      <c r="C1590" s="8" t="s">
        <v>17</v>
      </c>
      <c r="D1590" s="2">
        <v>43412</v>
      </c>
      <c r="E1590" s="3">
        <v>1000</v>
      </c>
      <c r="F1590" t="s">
        <v>162</v>
      </c>
      <c r="G1590" t="s">
        <v>163</v>
      </c>
      <c r="H1590" t="s">
        <v>164</v>
      </c>
      <c r="I1590" s="6" t="s">
        <v>852</v>
      </c>
      <c r="J1590" s="61" t="s">
        <v>22</v>
      </c>
      <c r="L1590" s="5" t="str">
        <f t="shared" si="411"/>
        <v>01589</v>
      </c>
      <c r="M1590" s="47" t="str">
        <f t="shared" si="412"/>
        <v>08 de noviembre de 2018</v>
      </c>
      <c r="N1590" s="323">
        <f t="shared" si="413"/>
        <v>8</v>
      </c>
      <c r="O1590" s="25">
        <f t="shared" si="414"/>
        <v>43405</v>
      </c>
      <c r="P1590" s="5" t="str">
        <f>TEXT(E1590,"#.##0,00")</f>
        <v>1.000,00</v>
      </c>
      <c r="Q1590" s="4" t="e">
        <f ca="1">CONVERTIRNUM(E1590)</f>
        <v>#NAME?</v>
      </c>
    </row>
    <row r="1591" spans="1:17">
      <c r="A1591" s="1">
        <f t="shared" si="394"/>
        <v>1590</v>
      </c>
      <c r="C1591" s="8" t="s">
        <v>17</v>
      </c>
      <c r="D1591" s="2">
        <v>43412</v>
      </c>
      <c r="E1591" s="3">
        <v>320</v>
      </c>
      <c r="F1591" t="s">
        <v>18</v>
      </c>
      <c r="G1591" t="s">
        <v>19</v>
      </c>
      <c r="H1591" t="s">
        <v>20</v>
      </c>
      <c r="I1591" s="6" t="s">
        <v>853</v>
      </c>
      <c r="J1591" s="61" t="s">
        <v>22</v>
      </c>
      <c r="L1591" s="5" t="str">
        <f t="shared" si="411"/>
        <v>01590</v>
      </c>
      <c r="M1591" s="47" t="str">
        <f t="shared" si="412"/>
        <v>08 de noviembre de 2018</v>
      </c>
      <c r="N1591" s="323">
        <f t="shared" si="413"/>
        <v>8</v>
      </c>
      <c r="O1591" s="25">
        <f t="shared" si="414"/>
        <v>43405</v>
      </c>
      <c r="P1591" s="5" t="str">
        <f t="shared" ref="P1591:P1596" si="418">TEXT(E1591,"#.##0,00")</f>
        <v>320,00</v>
      </c>
      <c r="Q1591" s="4" t="e">
        <f t="shared" ref="Q1591:Q1596" ca="1" si="419">CONVERTIRNUM(E1591)</f>
        <v>#NAME?</v>
      </c>
    </row>
    <row r="1592" spans="1:17">
      <c r="A1592" s="1">
        <f t="shared" si="394"/>
        <v>1591</v>
      </c>
      <c r="C1592" s="8" t="s">
        <v>17</v>
      </c>
      <c r="D1592" s="2">
        <v>43412</v>
      </c>
      <c r="E1592" s="3">
        <f>320</f>
        <v>320</v>
      </c>
      <c r="F1592" t="s">
        <v>438</v>
      </c>
      <c r="G1592" t="s">
        <v>439</v>
      </c>
      <c r="H1592" t="s">
        <v>440</v>
      </c>
      <c r="I1592" s="6" t="s">
        <v>854</v>
      </c>
      <c r="J1592" s="61" t="s">
        <v>22</v>
      </c>
      <c r="L1592" s="5" t="str">
        <f t="shared" si="411"/>
        <v>01591</v>
      </c>
      <c r="M1592" s="47" t="str">
        <f t="shared" si="412"/>
        <v>08 de noviembre de 2018</v>
      </c>
      <c r="N1592" s="323">
        <f t="shared" si="413"/>
        <v>8</v>
      </c>
      <c r="O1592" s="25">
        <f t="shared" si="414"/>
        <v>43405</v>
      </c>
      <c r="P1592" s="5" t="str">
        <f t="shared" si="418"/>
        <v>320,00</v>
      </c>
      <c r="Q1592" s="4" t="e">
        <f t="shared" ca="1" si="419"/>
        <v>#NAME?</v>
      </c>
    </row>
    <row r="1593" spans="1:17" ht="15.75" thickBot="1">
      <c r="A1593" s="1">
        <f t="shared" si="394"/>
        <v>1592</v>
      </c>
      <c r="C1593" s="8" t="s">
        <v>17</v>
      </c>
      <c r="D1593" s="2">
        <v>43412</v>
      </c>
      <c r="E1593" s="3">
        <v>500</v>
      </c>
      <c r="F1593" t="s">
        <v>44</v>
      </c>
      <c r="G1593" t="s">
        <v>45</v>
      </c>
      <c r="H1593" t="s">
        <v>46</v>
      </c>
      <c r="I1593" s="6" t="s">
        <v>855</v>
      </c>
      <c r="J1593" s="61" t="s">
        <v>22</v>
      </c>
      <c r="L1593" s="5" t="str">
        <f>IF(ISBLANK(A1593),"",TEXT(A1593,"00000"))</f>
        <v>01592</v>
      </c>
      <c r="M1593" s="47" t="str">
        <f>IF(ISBLANK(D1593),"",TEXT(D1593,"dd")&amp;" de "&amp;TEXT(D1593,"mmmm")&amp;" de "&amp;TEXT(YEAR(D1593),"0"))</f>
        <v>08 de noviembre de 2018</v>
      </c>
      <c r="N1593" s="323">
        <f t="shared" si="413"/>
        <v>8</v>
      </c>
      <c r="O1593" s="25">
        <f>DATE(YEAR(D1593),MONTH(D1593),1)</f>
        <v>43405</v>
      </c>
      <c r="P1593" s="5" t="str">
        <f t="shared" si="418"/>
        <v>500,00</v>
      </c>
      <c r="Q1593" s="4" t="e">
        <f t="shared" ca="1" si="419"/>
        <v>#NAME?</v>
      </c>
    </row>
    <row r="1594" spans="1:17" ht="15.75" thickBot="1">
      <c r="A1594" s="1">
        <f t="shared" si="394"/>
        <v>1593</v>
      </c>
      <c r="C1594" s="8" t="s">
        <v>17</v>
      </c>
      <c r="D1594" s="2">
        <v>43412</v>
      </c>
      <c r="E1594" s="3">
        <v>640</v>
      </c>
      <c r="F1594" t="s">
        <v>239</v>
      </c>
      <c r="G1594" s="73" t="s">
        <v>240</v>
      </c>
      <c r="H1594" t="s">
        <v>241</v>
      </c>
      <c r="I1594" s="6" t="s">
        <v>846</v>
      </c>
      <c r="J1594" s="61" t="s">
        <v>22</v>
      </c>
      <c r="L1594" s="5" t="str">
        <f t="shared" ref="L1594:L1596" si="420">IF(ISBLANK(A1594),"",TEXT(A1594,"00000"))</f>
        <v>01593</v>
      </c>
      <c r="M1594" s="47" t="str">
        <f t="shared" ref="M1594:M1596" si="421">IF(ISBLANK(D1594),"",TEXT(D1594,"dd")&amp;" de "&amp;TEXT(D1594,"mmmm")&amp;" de "&amp;TEXT(YEAR(D1594),"0"))</f>
        <v>08 de noviembre de 2018</v>
      </c>
      <c r="N1594" s="323">
        <f t="shared" si="413"/>
        <v>8</v>
      </c>
      <c r="O1594" s="25">
        <f t="shared" ref="O1594:O1596" si="422">DATE(YEAR(D1594),MONTH(D1594),1)</f>
        <v>43405</v>
      </c>
      <c r="P1594" s="5" t="str">
        <f t="shared" si="418"/>
        <v>640,00</v>
      </c>
      <c r="Q1594" s="4" t="e">
        <f t="shared" ca="1" si="419"/>
        <v>#NAME?</v>
      </c>
    </row>
    <row r="1595" spans="1:17">
      <c r="A1595" s="1">
        <f t="shared" si="394"/>
        <v>1594</v>
      </c>
      <c r="C1595" s="8" t="s">
        <v>17</v>
      </c>
      <c r="D1595" s="2">
        <v>43413</v>
      </c>
      <c r="E1595" s="3">
        <v>320</v>
      </c>
      <c r="F1595" t="s">
        <v>185</v>
      </c>
      <c r="G1595" t="s">
        <v>186</v>
      </c>
      <c r="H1595" t="s">
        <v>187</v>
      </c>
      <c r="I1595" s="6" t="s">
        <v>823</v>
      </c>
      <c r="J1595" s="61" t="s">
        <v>22</v>
      </c>
      <c r="L1595" s="5" t="str">
        <f t="shared" si="420"/>
        <v>01594</v>
      </c>
      <c r="M1595" s="47" t="str">
        <f t="shared" si="421"/>
        <v>09 de noviembre de 2018</v>
      </c>
      <c r="N1595" s="323">
        <f t="shared" si="413"/>
        <v>9</v>
      </c>
      <c r="O1595" s="25">
        <f t="shared" si="422"/>
        <v>43405</v>
      </c>
      <c r="P1595" s="5" t="str">
        <f t="shared" si="418"/>
        <v>320,00</v>
      </c>
      <c r="Q1595" s="4" t="e">
        <f t="shared" ca="1" si="419"/>
        <v>#NAME?</v>
      </c>
    </row>
    <row r="1596" spans="1:17">
      <c r="A1596" s="1">
        <f t="shared" si="394"/>
        <v>1595</v>
      </c>
      <c r="C1596" s="8" t="s">
        <v>17</v>
      </c>
      <c r="D1596" s="2">
        <v>43414</v>
      </c>
      <c r="E1596" s="3">
        <v>320</v>
      </c>
      <c r="F1596" t="s">
        <v>62</v>
      </c>
      <c r="G1596" t="s">
        <v>63</v>
      </c>
      <c r="H1596" t="s">
        <v>64</v>
      </c>
      <c r="I1596" s="6" t="s">
        <v>823</v>
      </c>
      <c r="J1596" s="61" t="s">
        <v>22</v>
      </c>
      <c r="L1596" s="5" t="str">
        <f t="shared" si="420"/>
        <v>01595</v>
      </c>
      <c r="M1596" s="47" t="str">
        <f t="shared" si="421"/>
        <v>10 de noviembre de 2018</v>
      </c>
      <c r="N1596" s="323">
        <f t="shared" si="413"/>
        <v>10</v>
      </c>
      <c r="O1596" s="25">
        <f t="shared" si="422"/>
        <v>43405</v>
      </c>
      <c r="P1596" s="5" t="str">
        <f t="shared" si="418"/>
        <v>320,00</v>
      </c>
      <c r="Q1596" s="4" t="e">
        <f t="shared" ca="1" si="419"/>
        <v>#NAME?</v>
      </c>
    </row>
    <row r="1597" spans="1:17">
      <c r="A1597" s="1">
        <f t="shared" si="394"/>
        <v>1596</v>
      </c>
      <c r="C1597" s="8" t="s">
        <v>17</v>
      </c>
      <c r="D1597" s="2">
        <v>43415</v>
      </c>
      <c r="E1597" s="3">
        <v>1350</v>
      </c>
      <c r="F1597" t="s">
        <v>578</v>
      </c>
      <c r="G1597" t="s">
        <v>579</v>
      </c>
      <c r="H1597" t="s">
        <v>580</v>
      </c>
      <c r="I1597" s="6" t="s">
        <v>856</v>
      </c>
      <c r="J1597" s="61" t="s">
        <v>22</v>
      </c>
      <c r="L1597" s="5" t="str">
        <f t="shared" ref="L1597:L1624" si="423">IF(ISBLANK(A1597),"",TEXT(A1597,"00000"))</f>
        <v>01596</v>
      </c>
      <c r="M1597" s="47" t="str">
        <f t="shared" ref="M1597:M1624" si="424">IF(ISBLANK(D1597),"",TEXT(D1597,"dd")&amp;" de "&amp;TEXT(D1597,"mmmm")&amp;" de "&amp;TEXT(YEAR(D1597),"0"))</f>
        <v>11 de noviembre de 2018</v>
      </c>
      <c r="N1597" s="323">
        <f t="shared" ref="N1597:N1624" si="425">DAY(D1597)</f>
        <v>11</v>
      </c>
      <c r="O1597" s="25">
        <f t="shared" ref="O1597:O1624" si="426">DATE(YEAR(D1597),MONTH(D1597),1)</f>
        <v>43405</v>
      </c>
      <c r="P1597" s="5" t="str">
        <f t="shared" ref="P1597:P1624" si="427">TEXT(E1597,"#.##0,00")</f>
        <v>1.350,00</v>
      </c>
      <c r="Q1597" s="4" t="e">
        <f t="shared" ref="Q1597:Q1600" ca="1" si="428">CONVERTIRNUM(E1597)</f>
        <v>#NAME?</v>
      </c>
    </row>
    <row r="1598" spans="1:17">
      <c r="A1598" s="1">
        <f t="shared" si="394"/>
        <v>1597</v>
      </c>
      <c r="C1598" s="8" t="s">
        <v>17</v>
      </c>
      <c r="D1598" s="2">
        <v>43416</v>
      </c>
      <c r="E1598" s="3">
        <v>320</v>
      </c>
      <c r="F1598" t="s">
        <v>206</v>
      </c>
      <c r="G1598" t="s">
        <v>207</v>
      </c>
      <c r="H1598" t="s">
        <v>208</v>
      </c>
      <c r="I1598" s="6" t="s">
        <v>823</v>
      </c>
      <c r="J1598" s="61" t="s">
        <v>22</v>
      </c>
      <c r="L1598" s="5" t="str">
        <f t="shared" si="423"/>
        <v>01597</v>
      </c>
      <c r="M1598" s="47" t="str">
        <f t="shared" si="424"/>
        <v>12 de noviembre de 2018</v>
      </c>
      <c r="N1598" s="323">
        <f t="shared" si="425"/>
        <v>12</v>
      </c>
      <c r="O1598" s="25">
        <f t="shared" si="426"/>
        <v>43405</v>
      </c>
      <c r="P1598" s="5" t="str">
        <f t="shared" si="427"/>
        <v>320,00</v>
      </c>
      <c r="Q1598" s="4" t="e">
        <f t="shared" ca="1" si="428"/>
        <v>#NAME?</v>
      </c>
    </row>
    <row r="1599" spans="1:17">
      <c r="A1599" s="1">
        <f t="shared" si="394"/>
        <v>1598</v>
      </c>
      <c r="C1599" s="8" t="s">
        <v>17</v>
      </c>
      <c r="D1599" s="2">
        <v>43417</v>
      </c>
      <c r="E1599" s="3">
        <v>320</v>
      </c>
      <c r="F1599" t="s">
        <v>94</v>
      </c>
      <c r="G1599" t="s">
        <v>607</v>
      </c>
      <c r="H1599" t="s">
        <v>96</v>
      </c>
      <c r="I1599" s="6" t="s">
        <v>848</v>
      </c>
      <c r="J1599" s="61" t="s">
        <v>22</v>
      </c>
      <c r="L1599" s="5" t="str">
        <f t="shared" si="423"/>
        <v>01598</v>
      </c>
      <c r="M1599" s="47" t="str">
        <f t="shared" si="424"/>
        <v>13 de noviembre de 2018</v>
      </c>
      <c r="N1599" s="323">
        <f t="shared" si="425"/>
        <v>13</v>
      </c>
      <c r="O1599" s="25">
        <f t="shared" si="426"/>
        <v>43405</v>
      </c>
      <c r="P1599" s="5" t="str">
        <f t="shared" si="427"/>
        <v>320,00</v>
      </c>
      <c r="Q1599" s="4" t="e">
        <f t="shared" ca="1" si="428"/>
        <v>#NAME?</v>
      </c>
    </row>
    <row r="1600" spans="1:17">
      <c r="A1600" s="1">
        <f t="shared" si="394"/>
        <v>1599</v>
      </c>
      <c r="C1600" s="8" t="s">
        <v>17</v>
      </c>
      <c r="D1600" s="2">
        <v>43418</v>
      </c>
      <c r="E1600" s="3">
        <v>320</v>
      </c>
      <c r="F1600" t="s">
        <v>201</v>
      </c>
      <c r="G1600" t="s">
        <v>202</v>
      </c>
      <c r="H1600" t="s">
        <v>203</v>
      </c>
      <c r="I1600" s="6" t="s">
        <v>857</v>
      </c>
      <c r="J1600" s="61" t="s">
        <v>22</v>
      </c>
      <c r="L1600" s="5" t="str">
        <f t="shared" si="423"/>
        <v>01599</v>
      </c>
      <c r="M1600" s="47" t="str">
        <f t="shared" si="424"/>
        <v>14 de noviembre de 2018</v>
      </c>
      <c r="N1600" s="323">
        <f t="shared" si="425"/>
        <v>14</v>
      </c>
      <c r="O1600" s="25">
        <f t="shared" si="426"/>
        <v>43405</v>
      </c>
      <c r="P1600" s="5" t="str">
        <f t="shared" si="427"/>
        <v>320,00</v>
      </c>
      <c r="Q1600" s="4" t="e">
        <f t="shared" ca="1" si="428"/>
        <v>#NAME?</v>
      </c>
    </row>
    <row r="1601" spans="1:17">
      <c r="A1601" s="1">
        <f t="shared" si="394"/>
        <v>1600</v>
      </c>
      <c r="C1601" s="8" t="s">
        <v>17</v>
      </c>
      <c r="D1601" s="2">
        <v>43387</v>
      </c>
      <c r="E1601" s="3">
        <v>320</v>
      </c>
      <c r="F1601" t="s">
        <v>771</v>
      </c>
      <c r="G1601" t="s">
        <v>772</v>
      </c>
      <c r="H1601" t="s">
        <v>773</v>
      </c>
      <c r="I1601" s="6" t="s">
        <v>848</v>
      </c>
      <c r="J1601" s="61" t="s">
        <v>22</v>
      </c>
      <c r="L1601" s="5" t="str">
        <f t="shared" si="423"/>
        <v>01600</v>
      </c>
      <c r="M1601" s="47" t="str">
        <f t="shared" si="424"/>
        <v>14 de octubre de 2018</v>
      </c>
      <c r="N1601" s="323">
        <f t="shared" si="425"/>
        <v>14</v>
      </c>
      <c r="O1601" s="25">
        <f t="shared" si="426"/>
        <v>43374</v>
      </c>
      <c r="P1601" s="5" t="str">
        <f t="shared" si="427"/>
        <v>320,00</v>
      </c>
      <c r="Q1601" s="4" t="e">
        <f t="shared" ref="Q1601:Q1616" ca="1" si="429">CONVERTIRNUM(E1601)</f>
        <v>#NAME?</v>
      </c>
    </row>
    <row r="1602" spans="1:17">
      <c r="A1602" s="1">
        <f t="shared" ref="A1602" si="430">A1601+1</f>
        <v>1601</v>
      </c>
      <c r="C1602" s="8" t="s">
        <v>17</v>
      </c>
      <c r="D1602" s="2">
        <v>43387</v>
      </c>
      <c r="E1602" s="3">
        <v>320</v>
      </c>
      <c r="F1602" t="s">
        <v>53</v>
      </c>
      <c r="G1602" t="s">
        <v>677</v>
      </c>
      <c r="H1602" t="s">
        <v>55</v>
      </c>
      <c r="I1602" s="6" t="s">
        <v>848</v>
      </c>
      <c r="J1602" s="61" t="s">
        <v>22</v>
      </c>
      <c r="L1602" s="5" t="str">
        <f t="shared" si="423"/>
        <v>01601</v>
      </c>
      <c r="M1602" s="47" t="str">
        <f t="shared" si="424"/>
        <v>14 de octubre de 2018</v>
      </c>
      <c r="N1602" s="323">
        <f t="shared" si="425"/>
        <v>14</v>
      </c>
      <c r="O1602" s="25">
        <f t="shared" si="426"/>
        <v>43374</v>
      </c>
      <c r="P1602" s="5" t="str">
        <f t="shared" si="427"/>
        <v>320,00</v>
      </c>
      <c r="Q1602" s="4" t="e">
        <f t="shared" ca="1" si="429"/>
        <v>#NAME?</v>
      </c>
    </row>
    <row r="1603" spans="1:17">
      <c r="A1603" s="1">
        <f t="shared" si="394"/>
        <v>1602</v>
      </c>
      <c r="C1603" s="8" t="s">
        <v>17</v>
      </c>
      <c r="D1603" s="2">
        <v>43419</v>
      </c>
      <c r="E1603" s="3">
        <v>320</v>
      </c>
      <c r="F1603" t="s">
        <v>122</v>
      </c>
      <c r="G1603" t="s">
        <v>123</v>
      </c>
      <c r="H1603" t="s">
        <v>124</v>
      </c>
      <c r="I1603" s="6" t="s">
        <v>848</v>
      </c>
      <c r="J1603" s="61" t="s">
        <v>22</v>
      </c>
      <c r="L1603" s="5" t="str">
        <f t="shared" si="423"/>
        <v>01602</v>
      </c>
      <c r="M1603" s="47" t="str">
        <f t="shared" si="424"/>
        <v>15 de noviembre de 2018</v>
      </c>
      <c r="N1603" s="323">
        <f t="shared" si="425"/>
        <v>15</v>
      </c>
      <c r="O1603" s="25">
        <f t="shared" si="426"/>
        <v>43405</v>
      </c>
      <c r="P1603" s="5" t="str">
        <f t="shared" si="427"/>
        <v>320,00</v>
      </c>
      <c r="Q1603" s="4" t="e">
        <f t="shared" ca="1" si="429"/>
        <v>#NAME?</v>
      </c>
    </row>
    <row r="1604" spans="1:17">
      <c r="A1604" s="1">
        <f t="shared" si="394"/>
        <v>1603</v>
      </c>
      <c r="C1604" s="8" t="s">
        <v>17</v>
      </c>
      <c r="D1604" s="2">
        <v>43421</v>
      </c>
      <c r="E1604" s="3">
        <v>320</v>
      </c>
      <c r="F1604" t="s">
        <v>62</v>
      </c>
      <c r="G1604" t="s">
        <v>63</v>
      </c>
      <c r="H1604" t="s">
        <v>64</v>
      </c>
      <c r="I1604" s="6" t="s">
        <v>848</v>
      </c>
      <c r="J1604" s="61" t="s">
        <v>22</v>
      </c>
      <c r="L1604" s="5" t="str">
        <f t="shared" si="423"/>
        <v>01603</v>
      </c>
      <c r="M1604" s="47" t="str">
        <f t="shared" si="424"/>
        <v>17 de noviembre de 2018</v>
      </c>
      <c r="N1604" s="323">
        <f t="shared" si="425"/>
        <v>17</v>
      </c>
      <c r="O1604" s="25">
        <f t="shared" si="426"/>
        <v>43405</v>
      </c>
      <c r="P1604" s="5" t="str">
        <f t="shared" si="427"/>
        <v>320,00</v>
      </c>
      <c r="Q1604" s="4" t="e">
        <f t="shared" ca="1" si="429"/>
        <v>#NAME?</v>
      </c>
    </row>
    <row r="1605" spans="1:17">
      <c r="A1605" s="1">
        <f t="shared" ref="A1605" si="431">A1604+1</f>
        <v>1604</v>
      </c>
      <c r="C1605" s="8" t="s">
        <v>17</v>
      </c>
      <c r="D1605" s="2">
        <v>43424</v>
      </c>
      <c r="E1605" s="3">
        <v>250</v>
      </c>
      <c r="F1605" t="s">
        <v>32</v>
      </c>
      <c r="G1605" t="s">
        <v>33</v>
      </c>
      <c r="H1605" t="s">
        <v>34</v>
      </c>
      <c r="I1605" s="161" t="s">
        <v>839</v>
      </c>
      <c r="J1605" s="61" t="s">
        <v>22</v>
      </c>
      <c r="L1605" s="5" t="str">
        <f t="shared" si="423"/>
        <v>01604</v>
      </c>
      <c r="M1605" s="47" t="str">
        <f t="shared" si="424"/>
        <v>20 de noviembre de 2018</v>
      </c>
      <c r="N1605" s="323">
        <f t="shared" si="425"/>
        <v>20</v>
      </c>
      <c r="O1605" s="25">
        <f t="shared" si="426"/>
        <v>43405</v>
      </c>
      <c r="P1605" s="5" t="str">
        <f t="shared" si="427"/>
        <v>250,00</v>
      </c>
      <c r="Q1605" s="4" t="e">
        <f t="shared" ca="1" si="429"/>
        <v>#NAME?</v>
      </c>
    </row>
    <row r="1606" spans="1:17">
      <c r="A1606" s="1">
        <f t="shared" si="394"/>
        <v>1605</v>
      </c>
      <c r="C1606" s="8" t="s">
        <v>17</v>
      </c>
      <c r="D1606" s="2">
        <v>43424</v>
      </c>
      <c r="E1606" s="3">
        <v>320</v>
      </c>
      <c r="F1606" t="s">
        <v>312</v>
      </c>
      <c r="G1606" t="s">
        <v>313</v>
      </c>
      <c r="H1606" t="s">
        <v>314</v>
      </c>
      <c r="I1606" s="6" t="s">
        <v>848</v>
      </c>
      <c r="J1606" s="61" t="s">
        <v>22</v>
      </c>
      <c r="L1606" s="5" t="str">
        <f t="shared" si="423"/>
        <v>01605</v>
      </c>
      <c r="M1606" s="47" t="str">
        <f t="shared" si="424"/>
        <v>20 de noviembre de 2018</v>
      </c>
      <c r="N1606" s="323">
        <f t="shared" si="425"/>
        <v>20</v>
      </c>
      <c r="O1606" s="25">
        <f t="shared" si="426"/>
        <v>43405</v>
      </c>
      <c r="P1606" s="5" t="str">
        <f t="shared" si="427"/>
        <v>320,00</v>
      </c>
      <c r="Q1606" s="4" t="e">
        <f t="shared" ca="1" si="429"/>
        <v>#NAME?</v>
      </c>
    </row>
    <row r="1607" spans="1:17" ht="15.75" thickBot="1">
      <c r="A1607" s="1">
        <f t="shared" ref="A1607:A1610" si="432">A1606+1</f>
        <v>1606</v>
      </c>
      <c r="C1607" s="8" t="s">
        <v>17</v>
      </c>
      <c r="D1607" s="2">
        <v>43424</v>
      </c>
      <c r="E1607" s="3">
        <v>320</v>
      </c>
      <c r="F1607" t="s">
        <v>633</v>
      </c>
      <c r="G1607" t="s">
        <v>634</v>
      </c>
      <c r="H1607" t="s">
        <v>635</v>
      </c>
      <c r="I1607" s="6" t="s">
        <v>848</v>
      </c>
      <c r="J1607" s="61" t="s">
        <v>22</v>
      </c>
      <c r="L1607" s="5" t="str">
        <f t="shared" si="423"/>
        <v>01606</v>
      </c>
      <c r="M1607" s="47" t="str">
        <f t="shared" si="424"/>
        <v>20 de noviembre de 2018</v>
      </c>
      <c r="N1607" s="323">
        <f t="shared" si="425"/>
        <v>20</v>
      </c>
      <c r="O1607" s="25">
        <f t="shared" si="426"/>
        <v>43405</v>
      </c>
      <c r="P1607" s="5" t="str">
        <f t="shared" si="427"/>
        <v>320,00</v>
      </c>
      <c r="Q1607" s="4" t="e">
        <f t="shared" ca="1" si="429"/>
        <v>#NAME?</v>
      </c>
    </row>
    <row r="1608" spans="1:17" ht="15.75" thickBot="1">
      <c r="A1608" s="1">
        <f t="shared" si="432"/>
        <v>1607</v>
      </c>
      <c r="C1608" s="85" t="s">
        <v>17</v>
      </c>
      <c r="D1608" s="2">
        <v>43425</v>
      </c>
      <c r="E1608" s="162">
        <v>200</v>
      </c>
      <c r="F1608" t="s">
        <v>492</v>
      </c>
      <c r="G1608" s="18" t="s">
        <v>58</v>
      </c>
      <c r="H1608" t="s">
        <v>493</v>
      </c>
      <c r="I1608" s="6" t="s">
        <v>845</v>
      </c>
      <c r="J1608" s="61" t="s">
        <v>22</v>
      </c>
      <c r="L1608" s="5" t="str">
        <f t="shared" si="423"/>
        <v>01607</v>
      </c>
      <c r="M1608" s="47" t="str">
        <f t="shared" si="424"/>
        <v>21 de noviembre de 2018</v>
      </c>
      <c r="N1608" s="323">
        <f t="shared" si="425"/>
        <v>21</v>
      </c>
      <c r="O1608" s="25">
        <f t="shared" si="426"/>
        <v>43405</v>
      </c>
      <c r="P1608" s="5" t="str">
        <f t="shared" si="427"/>
        <v>200,00</v>
      </c>
      <c r="Q1608" s="4" t="e">
        <f t="shared" ca="1" si="429"/>
        <v>#NAME?</v>
      </c>
    </row>
    <row r="1609" spans="1:17">
      <c r="A1609" s="1">
        <f t="shared" si="432"/>
        <v>1608</v>
      </c>
      <c r="C1609" s="8" t="s">
        <v>17</v>
      </c>
      <c r="D1609" s="2">
        <v>43425</v>
      </c>
      <c r="E1609" s="3">
        <v>320</v>
      </c>
      <c r="F1609" t="s">
        <v>287</v>
      </c>
      <c r="G1609" t="s">
        <v>288</v>
      </c>
      <c r="H1609" t="s">
        <v>289</v>
      </c>
      <c r="I1609" s="6" t="s">
        <v>823</v>
      </c>
      <c r="J1609" s="61" t="s">
        <v>22</v>
      </c>
      <c r="L1609" s="5" t="str">
        <f t="shared" si="423"/>
        <v>01608</v>
      </c>
      <c r="M1609" s="47" t="str">
        <f t="shared" si="424"/>
        <v>21 de noviembre de 2018</v>
      </c>
      <c r="N1609" s="323">
        <f t="shared" si="425"/>
        <v>21</v>
      </c>
      <c r="O1609" s="25">
        <f t="shared" si="426"/>
        <v>43405</v>
      </c>
      <c r="P1609" s="5" t="str">
        <f t="shared" si="427"/>
        <v>320,00</v>
      </c>
      <c r="Q1609" s="4" t="e">
        <f t="shared" ca="1" si="429"/>
        <v>#NAME?</v>
      </c>
    </row>
    <row r="1610" spans="1:17">
      <c r="A1610" s="1">
        <f t="shared" si="432"/>
        <v>1609</v>
      </c>
      <c r="C1610" s="8" t="s">
        <v>17</v>
      </c>
      <c r="D1610" s="2">
        <v>43425</v>
      </c>
      <c r="E1610" s="3">
        <v>640</v>
      </c>
      <c r="F1610" t="s">
        <v>324</v>
      </c>
      <c r="G1610" t="s">
        <v>325</v>
      </c>
      <c r="H1610" t="s">
        <v>326</v>
      </c>
      <c r="I1610" s="6" t="s">
        <v>851</v>
      </c>
      <c r="J1610" s="61" t="s">
        <v>22</v>
      </c>
      <c r="L1610" s="5" t="str">
        <f t="shared" si="423"/>
        <v>01609</v>
      </c>
      <c r="M1610" s="47" t="str">
        <f t="shared" si="424"/>
        <v>21 de noviembre de 2018</v>
      </c>
      <c r="N1610" s="323">
        <f t="shared" si="425"/>
        <v>21</v>
      </c>
      <c r="O1610" s="25">
        <f t="shared" si="426"/>
        <v>43405</v>
      </c>
      <c r="P1610" s="5" t="str">
        <f t="shared" si="427"/>
        <v>640,00</v>
      </c>
      <c r="Q1610" s="4" t="e">
        <f t="shared" ca="1" si="429"/>
        <v>#NAME?</v>
      </c>
    </row>
    <row r="1611" spans="1:17">
      <c r="A1611" s="1">
        <f>A1610+1</f>
        <v>1610</v>
      </c>
      <c r="C1611" s="8" t="s">
        <v>17</v>
      </c>
      <c r="D1611" s="2">
        <v>43426</v>
      </c>
      <c r="E1611" s="3">
        <f t="shared" ref="E1611" si="433">308.4+11.6</f>
        <v>320</v>
      </c>
      <c r="F1611" t="s">
        <v>36</v>
      </c>
      <c r="G1611" t="s">
        <v>37</v>
      </c>
      <c r="H1611" t="s">
        <v>38</v>
      </c>
      <c r="I1611" s="6" t="s">
        <v>848</v>
      </c>
      <c r="J1611" s="61" t="s">
        <v>22</v>
      </c>
      <c r="L1611" s="5" t="str">
        <f t="shared" si="423"/>
        <v>01610</v>
      </c>
      <c r="M1611" s="47" t="str">
        <f t="shared" si="424"/>
        <v>22 de noviembre de 2018</v>
      </c>
      <c r="N1611" s="323">
        <f t="shared" si="425"/>
        <v>22</v>
      </c>
      <c r="O1611" s="25">
        <f t="shared" si="426"/>
        <v>43405</v>
      </c>
      <c r="P1611" s="5" t="str">
        <f t="shared" si="427"/>
        <v>320,00</v>
      </c>
      <c r="Q1611" s="4" t="e">
        <f t="shared" ca="1" si="429"/>
        <v>#NAME?</v>
      </c>
    </row>
    <row r="1612" spans="1:17">
      <c r="A1612" s="1">
        <f t="shared" ref="A1612:A1624" si="434">A1611+1</f>
        <v>1611</v>
      </c>
      <c r="C1612" s="8" t="s">
        <v>17</v>
      </c>
      <c r="D1612" s="2">
        <v>43414</v>
      </c>
      <c r="E1612" s="3">
        <v>640</v>
      </c>
      <c r="F1612" t="s">
        <v>197</v>
      </c>
      <c r="G1612" t="s">
        <v>198</v>
      </c>
      <c r="H1612" t="s">
        <v>199</v>
      </c>
      <c r="I1612" s="6" t="s">
        <v>846</v>
      </c>
      <c r="J1612" s="61" t="s">
        <v>22</v>
      </c>
      <c r="L1612" s="5" t="str">
        <f t="shared" si="423"/>
        <v>01611</v>
      </c>
      <c r="M1612" s="47" t="str">
        <f t="shared" si="424"/>
        <v>10 de noviembre de 2018</v>
      </c>
      <c r="N1612" s="323">
        <f t="shared" si="425"/>
        <v>10</v>
      </c>
      <c r="O1612" s="25">
        <f t="shared" si="426"/>
        <v>43405</v>
      </c>
      <c r="P1612" s="5" t="str">
        <f t="shared" si="427"/>
        <v>640,00</v>
      </c>
      <c r="Q1612" s="4" t="e">
        <f t="shared" ca="1" si="429"/>
        <v>#NAME?</v>
      </c>
    </row>
    <row r="1613" spans="1:17">
      <c r="A1613" s="1">
        <f t="shared" si="434"/>
        <v>1612</v>
      </c>
      <c r="C1613" s="8" t="s">
        <v>17</v>
      </c>
      <c r="D1613" s="2">
        <v>43426</v>
      </c>
      <c r="E1613" s="3">
        <v>320</v>
      </c>
      <c r="F1613" t="s">
        <v>264</v>
      </c>
      <c r="G1613" t="s">
        <v>265</v>
      </c>
      <c r="H1613" t="s">
        <v>266</v>
      </c>
      <c r="I1613" s="6" t="s">
        <v>823</v>
      </c>
      <c r="J1613" s="61" t="s">
        <v>22</v>
      </c>
      <c r="L1613" s="5" t="str">
        <f t="shared" si="423"/>
        <v>01612</v>
      </c>
      <c r="M1613" s="47" t="str">
        <f t="shared" si="424"/>
        <v>22 de noviembre de 2018</v>
      </c>
      <c r="N1613" s="323">
        <f t="shared" si="425"/>
        <v>22</v>
      </c>
      <c r="O1613" s="25">
        <f t="shared" si="426"/>
        <v>43405</v>
      </c>
      <c r="P1613" s="5" t="str">
        <f t="shared" si="427"/>
        <v>320,00</v>
      </c>
      <c r="Q1613" s="4" t="e">
        <f t="shared" ca="1" si="429"/>
        <v>#NAME?</v>
      </c>
    </row>
    <row r="1614" spans="1:17">
      <c r="A1614" s="1">
        <f t="shared" si="434"/>
        <v>1613</v>
      </c>
      <c r="C1614" s="8" t="s">
        <v>17</v>
      </c>
      <c r="D1614" s="2">
        <v>43427</v>
      </c>
      <c r="E1614" s="3">
        <v>250</v>
      </c>
      <c r="F1614" t="s">
        <v>401</v>
      </c>
      <c r="G1614" t="s">
        <v>402</v>
      </c>
      <c r="H1614" t="s">
        <v>403</v>
      </c>
      <c r="I1614" s="6" t="s">
        <v>858</v>
      </c>
      <c r="J1614" s="61" t="s">
        <v>22</v>
      </c>
      <c r="L1614" s="5" t="str">
        <f t="shared" si="423"/>
        <v>01613</v>
      </c>
      <c r="M1614" s="47" t="str">
        <f t="shared" si="424"/>
        <v>23 de noviembre de 2018</v>
      </c>
      <c r="N1614" s="323">
        <f t="shared" si="425"/>
        <v>23</v>
      </c>
      <c r="O1614" s="25">
        <f t="shared" si="426"/>
        <v>43405</v>
      </c>
      <c r="P1614" s="5" t="str">
        <f t="shared" si="427"/>
        <v>250,00</v>
      </c>
      <c r="Q1614" s="4" t="e">
        <f t="shared" ca="1" si="429"/>
        <v>#NAME?</v>
      </c>
    </row>
    <row r="1615" spans="1:17">
      <c r="A1615" s="1">
        <f t="shared" si="434"/>
        <v>1614</v>
      </c>
      <c r="C1615" s="8" t="s">
        <v>17</v>
      </c>
      <c r="D1615" s="2">
        <v>43427</v>
      </c>
      <c r="E1615" s="3">
        <v>620</v>
      </c>
      <c r="F1615" t="s">
        <v>100</v>
      </c>
      <c r="G1615" t="s">
        <v>95</v>
      </c>
      <c r="H1615" t="s">
        <v>101</v>
      </c>
      <c r="I1615" s="6" t="s">
        <v>859</v>
      </c>
      <c r="J1615" s="61" t="s">
        <v>22</v>
      </c>
      <c r="L1615" s="5" t="str">
        <f t="shared" si="423"/>
        <v>01614</v>
      </c>
      <c r="M1615" s="47" t="str">
        <f t="shared" si="424"/>
        <v>23 de noviembre de 2018</v>
      </c>
      <c r="N1615" s="323">
        <f t="shared" si="425"/>
        <v>23</v>
      </c>
      <c r="O1615" s="25">
        <f t="shared" si="426"/>
        <v>43405</v>
      </c>
      <c r="P1615" s="5" t="str">
        <f t="shared" si="427"/>
        <v>620,00</v>
      </c>
      <c r="Q1615" s="4" t="e">
        <f t="shared" ca="1" si="429"/>
        <v>#NAME?</v>
      </c>
    </row>
    <row r="1616" spans="1:17">
      <c r="A1616" s="1">
        <f t="shared" si="434"/>
        <v>1615</v>
      </c>
      <c r="C1616" s="8" t="s">
        <v>17</v>
      </c>
      <c r="D1616" s="2">
        <v>43424</v>
      </c>
      <c r="E1616" s="3">
        <v>640</v>
      </c>
      <c r="F1616" t="s">
        <v>80</v>
      </c>
      <c r="G1616" t="s">
        <v>81</v>
      </c>
      <c r="H1616" t="s">
        <v>82</v>
      </c>
      <c r="I1616" s="6" t="s">
        <v>860</v>
      </c>
      <c r="J1616" s="61" t="s">
        <v>22</v>
      </c>
      <c r="L1616" s="5" t="str">
        <f t="shared" si="423"/>
        <v>01615</v>
      </c>
      <c r="M1616" s="47" t="str">
        <f t="shared" si="424"/>
        <v>20 de noviembre de 2018</v>
      </c>
      <c r="N1616" s="323">
        <f t="shared" si="425"/>
        <v>20</v>
      </c>
      <c r="O1616" s="25">
        <f t="shared" si="426"/>
        <v>43405</v>
      </c>
      <c r="P1616" s="5" t="str">
        <f t="shared" si="427"/>
        <v>640,00</v>
      </c>
      <c r="Q1616" s="4" t="e">
        <f t="shared" ca="1" si="429"/>
        <v>#NAME?</v>
      </c>
    </row>
    <row r="1617" spans="1:17">
      <c r="A1617" s="1">
        <f t="shared" si="434"/>
        <v>1616</v>
      </c>
      <c r="C1617" s="8" t="s">
        <v>17</v>
      </c>
      <c r="D1617" s="2">
        <v>43428</v>
      </c>
      <c r="E1617" s="3">
        <v>320</v>
      </c>
      <c r="F1617" t="s">
        <v>407</v>
      </c>
      <c r="G1617" t="s">
        <v>408</v>
      </c>
      <c r="H1617" t="s">
        <v>409</v>
      </c>
      <c r="I1617" s="6" t="s">
        <v>861</v>
      </c>
      <c r="J1617" s="61" t="s">
        <v>22</v>
      </c>
      <c r="L1617" s="5" t="str">
        <f t="shared" si="423"/>
        <v>01616</v>
      </c>
      <c r="M1617" s="47" t="str">
        <f t="shared" si="424"/>
        <v>24 de noviembre de 2018</v>
      </c>
      <c r="N1617" s="323">
        <f t="shared" si="425"/>
        <v>24</v>
      </c>
      <c r="O1617" s="25">
        <f t="shared" si="426"/>
        <v>43405</v>
      </c>
      <c r="P1617" s="5" t="str">
        <f t="shared" si="427"/>
        <v>320,00</v>
      </c>
      <c r="Q1617" s="4" t="e">
        <f ca="1">CONVERTIRNUM(E1617)</f>
        <v>#NAME?</v>
      </c>
    </row>
    <row r="1618" spans="1:17">
      <c r="A1618" s="1">
        <f t="shared" si="434"/>
        <v>1617</v>
      </c>
      <c r="C1618" s="8" t="s">
        <v>17</v>
      </c>
      <c r="D1618" s="2">
        <v>43430</v>
      </c>
      <c r="E1618" s="3">
        <v>320</v>
      </c>
      <c r="F1618" t="s">
        <v>181</v>
      </c>
      <c r="G1618" t="s">
        <v>182</v>
      </c>
      <c r="H1618" t="s">
        <v>183</v>
      </c>
      <c r="I1618" s="6" t="s">
        <v>848</v>
      </c>
      <c r="J1618" s="61" t="s">
        <v>22</v>
      </c>
      <c r="L1618" s="5" t="str">
        <f t="shared" si="423"/>
        <v>01617</v>
      </c>
      <c r="M1618" s="47" t="str">
        <f t="shared" si="424"/>
        <v>26 de noviembre de 2018</v>
      </c>
      <c r="N1618" s="323">
        <f t="shared" si="425"/>
        <v>26</v>
      </c>
      <c r="O1618" s="25">
        <f t="shared" si="426"/>
        <v>43405</v>
      </c>
      <c r="P1618" s="5" t="str">
        <f t="shared" si="427"/>
        <v>320,00</v>
      </c>
      <c r="Q1618" s="4" t="e">
        <f t="shared" ref="Q1618:Q1630" ca="1" si="435">CONVERTIRNUM(E1618)</f>
        <v>#NAME?</v>
      </c>
    </row>
    <row r="1619" spans="1:17">
      <c r="A1619" s="1">
        <f t="shared" si="434"/>
        <v>1618</v>
      </c>
      <c r="C1619" s="8" t="s">
        <v>17</v>
      </c>
      <c r="D1619" s="2">
        <v>43430</v>
      </c>
      <c r="E1619" s="3">
        <v>320</v>
      </c>
      <c r="F1619" t="s">
        <v>211</v>
      </c>
      <c r="G1619" t="s">
        <v>212</v>
      </c>
      <c r="H1619" t="s">
        <v>213</v>
      </c>
      <c r="I1619" s="6" t="s">
        <v>848</v>
      </c>
      <c r="J1619" s="61" t="s">
        <v>22</v>
      </c>
      <c r="L1619" s="5" t="str">
        <f t="shared" si="423"/>
        <v>01618</v>
      </c>
      <c r="M1619" s="47" t="str">
        <f t="shared" si="424"/>
        <v>26 de noviembre de 2018</v>
      </c>
      <c r="N1619" s="323">
        <f t="shared" si="425"/>
        <v>26</v>
      </c>
      <c r="O1619" s="25">
        <f t="shared" si="426"/>
        <v>43405</v>
      </c>
      <c r="P1619" s="5" t="str">
        <f t="shared" si="427"/>
        <v>320,00</v>
      </c>
      <c r="Q1619" s="4" t="e">
        <f t="shared" ca="1" si="435"/>
        <v>#NAME?</v>
      </c>
    </row>
    <row r="1620" spans="1:17" ht="15.75" thickBot="1">
      <c r="A1620" s="1">
        <f t="shared" si="434"/>
        <v>1619</v>
      </c>
      <c r="C1620" s="8" t="s">
        <v>17</v>
      </c>
      <c r="D1620" s="2">
        <v>43430</v>
      </c>
      <c r="E1620" s="3">
        <v>350</v>
      </c>
      <c r="F1620" t="s">
        <v>248</v>
      </c>
      <c r="G1620" t="s">
        <v>249</v>
      </c>
      <c r="H1620" t="s">
        <v>250</v>
      </c>
      <c r="I1620" s="6" t="s">
        <v>857</v>
      </c>
      <c r="J1620" s="61" t="s">
        <v>22</v>
      </c>
      <c r="L1620" s="5" t="str">
        <f t="shared" si="423"/>
        <v>01619</v>
      </c>
      <c r="M1620" s="47" t="str">
        <f t="shared" si="424"/>
        <v>26 de noviembre de 2018</v>
      </c>
      <c r="N1620" s="323">
        <f t="shared" si="425"/>
        <v>26</v>
      </c>
      <c r="O1620" s="25">
        <f t="shared" si="426"/>
        <v>43405</v>
      </c>
      <c r="P1620" s="5" t="str">
        <f t="shared" si="427"/>
        <v>350,00</v>
      </c>
      <c r="Q1620" s="4" t="e">
        <f t="shared" ca="1" si="435"/>
        <v>#NAME?</v>
      </c>
    </row>
    <row r="1621" spans="1:17" ht="15.75" thickBot="1">
      <c r="A1621" s="1">
        <f t="shared" si="434"/>
        <v>1620</v>
      </c>
      <c r="C1621" s="85" t="s">
        <v>17</v>
      </c>
      <c r="D1621" s="2">
        <v>43430</v>
      </c>
      <c r="E1621" s="3">
        <v>320</v>
      </c>
      <c r="F1621" t="s">
        <v>319</v>
      </c>
      <c r="G1621" s="18" t="s">
        <v>58</v>
      </c>
      <c r="H1621" t="s">
        <v>320</v>
      </c>
      <c r="I1621" s="6" t="s">
        <v>848</v>
      </c>
      <c r="J1621" s="61" t="s">
        <v>22</v>
      </c>
      <c r="L1621" s="5" t="str">
        <f t="shared" si="423"/>
        <v>01620</v>
      </c>
      <c r="M1621" s="47" t="str">
        <f t="shared" si="424"/>
        <v>26 de noviembre de 2018</v>
      </c>
      <c r="N1621" s="323">
        <f t="shared" si="425"/>
        <v>26</v>
      </c>
      <c r="O1621" s="25">
        <f t="shared" si="426"/>
        <v>43405</v>
      </c>
      <c r="P1621" s="5" t="str">
        <f t="shared" si="427"/>
        <v>320,00</v>
      </c>
      <c r="Q1621" s="4" t="e">
        <f t="shared" ca="1" si="435"/>
        <v>#NAME?</v>
      </c>
    </row>
    <row r="1622" spans="1:17">
      <c r="A1622" s="1">
        <f t="shared" si="434"/>
        <v>1621</v>
      </c>
      <c r="C1622" s="8" t="s">
        <v>17</v>
      </c>
      <c r="D1622" s="2">
        <v>43433</v>
      </c>
      <c r="E1622" s="3">
        <v>330</v>
      </c>
      <c r="F1622" t="s">
        <v>454</v>
      </c>
      <c r="G1622" t="s">
        <v>761</v>
      </c>
      <c r="H1622" t="s">
        <v>455</v>
      </c>
      <c r="I1622" s="6" t="s">
        <v>848</v>
      </c>
      <c r="J1622" s="61" t="s">
        <v>22</v>
      </c>
      <c r="L1622" s="5" t="str">
        <f t="shared" si="423"/>
        <v>01621</v>
      </c>
      <c r="M1622" s="47" t="str">
        <f t="shared" si="424"/>
        <v>29 de noviembre de 2018</v>
      </c>
      <c r="N1622" s="323">
        <f t="shared" si="425"/>
        <v>29</v>
      </c>
      <c r="O1622" s="25">
        <f t="shared" si="426"/>
        <v>43405</v>
      </c>
      <c r="P1622" s="5" t="str">
        <f t="shared" si="427"/>
        <v>330,00</v>
      </c>
      <c r="Q1622" s="4" t="e">
        <f t="shared" ca="1" si="435"/>
        <v>#NAME?</v>
      </c>
    </row>
    <row r="1623" spans="1:17">
      <c r="A1623" s="1">
        <f t="shared" si="434"/>
        <v>1622</v>
      </c>
      <c r="C1623" s="8" t="s">
        <v>17</v>
      </c>
      <c r="D1623" s="2">
        <v>43436</v>
      </c>
      <c r="E1623" s="3">
        <v>500</v>
      </c>
      <c r="F1623" t="s">
        <v>558</v>
      </c>
      <c r="G1623" t="s">
        <v>559</v>
      </c>
      <c r="H1623" t="s">
        <v>560</v>
      </c>
      <c r="I1623" s="6" t="s">
        <v>862</v>
      </c>
      <c r="J1623" s="61" t="s">
        <v>22</v>
      </c>
      <c r="L1623" s="5" t="str">
        <f t="shared" si="423"/>
        <v>01622</v>
      </c>
      <c r="M1623" s="47" t="str">
        <f t="shared" si="424"/>
        <v>02 de diciembre de 2018</v>
      </c>
      <c r="N1623" s="323">
        <f t="shared" si="425"/>
        <v>2</v>
      </c>
      <c r="O1623" s="25">
        <f t="shared" si="426"/>
        <v>43435</v>
      </c>
      <c r="P1623" s="5" t="str">
        <f t="shared" si="427"/>
        <v>500,00</v>
      </c>
      <c r="Q1623" s="4" t="e">
        <f t="shared" ca="1" si="435"/>
        <v>#NAME?</v>
      </c>
    </row>
    <row r="1624" spans="1:17">
      <c r="A1624" s="1">
        <f t="shared" si="434"/>
        <v>1623</v>
      </c>
      <c r="C1624" s="8" t="s">
        <v>17</v>
      </c>
      <c r="D1624" s="2">
        <v>43436</v>
      </c>
      <c r="E1624" s="3">
        <v>320</v>
      </c>
      <c r="F1624" t="s">
        <v>483</v>
      </c>
      <c r="G1624" t="s">
        <v>484</v>
      </c>
      <c r="H1624" t="s">
        <v>485</v>
      </c>
      <c r="I1624" s="6" t="s">
        <v>862</v>
      </c>
      <c r="J1624" s="61" t="s">
        <v>22</v>
      </c>
      <c r="L1624" s="5" t="str">
        <f t="shared" si="423"/>
        <v>01623</v>
      </c>
      <c r="M1624" s="47" t="str">
        <f t="shared" si="424"/>
        <v>02 de diciembre de 2018</v>
      </c>
      <c r="N1624" s="323">
        <f t="shared" si="425"/>
        <v>2</v>
      </c>
      <c r="O1624" s="25">
        <f t="shared" si="426"/>
        <v>43435</v>
      </c>
      <c r="P1624" s="5" t="str">
        <f t="shared" si="427"/>
        <v>320,00</v>
      </c>
      <c r="Q1624" s="4" t="e">
        <f t="shared" ca="1" si="435"/>
        <v>#NAME?</v>
      </c>
    </row>
    <row r="1625" spans="1:17" ht="15.75" thickBot="1">
      <c r="A1625" s="1">
        <f>A1624+1</f>
        <v>1624</v>
      </c>
      <c r="C1625" s="8" t="s">
        <v>17</v>
      </c>
      <c r="D1625" s="2">
        <v>43437</v>
      </c>
      <c r="E1625" s="3">
        <v>240</v>
      </c>
      <c r="F1625" t="s">
        <v>36</v>
      </c>
      <c r="G1625" t="s">
        <v>37</v>
      </c>
      <c r="H1625" t="s">
        <v>38</v>
      </c>
      <c r="I1625" s="6" t="s">
        <v>862</v>
      </c>
      <c r="J1625" s="61" t="s">
        <v>22</v>
      </c>
      <c r="L1625" s="5" t="str">
        <f t="shared" ref="L1625:L1630" si="436">IF(ISBLANK(A1625),"",TEXT(A1625,"00000"))</f>
        <v>01624</v>
      </c>
      <c r="M1625" s="47" t="str">
        <f t="shared" ref="M1625:M1630" si="437">IF(ISBLANK(D1625),"",TEXT(D1625,"dd")&amp;" de "&amp;TEXT(D1625,"mmmm")&amp;" de "&amp;TEXT(YEAR(D1625),"0"))</f>
        <v>03 de diciembre de 2018</v>
      </c>
      <c r="N1625" s="323">
        <f t="shared" ref="N1625:N1630" si="438">DAY(D1625)</f>
        <v>3</v>
      </c>
      <c r="O1625" s="25">
        <f t="shared" ref="O1625:O1630" si="439">DATE(YEAR(D1625),MONTH(D1625),1)</f>
        <v>43435</v>
      </c>
      <c r="P1625" s="5" t="str">
        <f t="shared" ref="P1625:P1630" si="440">TEXT(E1625,"#.##0,00")</f>
        <v>240,00</v>
      </c>
      <c r="Q1625" s="4" t="e">
        <f t="shared" ca="1" si="435"/>
        <v>#NAME?</v>
      </c>
    </row>
    <row r="1626" spans="1:17" ht="15.75" thickBot="1">
      <c r="A1626" s="1">
        <f t="shared" ref="A1626" si="441">A1625+1</f>
        <v>1625</v>
      </c>
      <c r="C1626" s="85" t="s">
        <v>17</v>
      </c>
      <c r="D1626" s="2">
        <v>43437</v>
      </c>
      <c r="E1626" s="3">
        <v>320</v>
      </c>
      <c r="F1626" t="s">
        <v>40</v>
      </c>
      <c r="G1626" s="18" t="s">
        <v>58</v>
      </c>
      <c r="H1626" t="s">
        <v>42</v>
      </c>
      <c r="I1626" s="6" t="s">
        <v>862</v>
      </c>
      <c r="J1626" s="61" t="s">
        <v>22</v>
      </c>
      <c r="L1626" s="5" t="str">
        <f t="shared" si="436"/>
        <v>01625</v>
      </c>
      <c r="M1626" s="47" t="str">
        <f t="shared" si="437"/>
        <v>03 de diciembre de 2018</v>
      </c>
      <c r="N1626" s="323">
        <f t="shared" si="438"/>
        <v>3</v>
      </c>
      <c r="O1626" s="25">
        <f t="shared" si="439"/>
        <v>43435</v>
      </c>
      <c r="P1626" s="5" t="str">
        <f t="shared" si="440"/>
        <v>320,00</v>
      </c>
      <c r="Q1626" s="4" t="e">
        <f t="shared" ca="1" si="435"/>
        <v>#NAME?</v>
      </c>
    </row>
    <row r="1627" spans="1:17">
      <c r="A1627" s="1">
        <f>A1626+1</f>
        <v>1626</v>
      </c>
      <c r="C1627" s="8" t="s">
        <v>17</v>
      </c>
      <c r="D1627" s="2">
        <v>43437</v>
      </c>
      <c r="E1627" s="3">
        <v>800</v>
      </c>
      <c r="F1627" t="s">
        <v>70</v>
      </c>
      <c r="G1627" t="s">
        <v>71</v>
      </c>
      <c r="H1627" t="s">
        <v>72</v>
      </c>
      <c r="I1627" s="6" t="s">
        <v>861</v>
      </c>
      <c r="J1627" s="61" t="s">
        <v>22</v>
      </c>
      <c r="L1627" s="5" t="str">
        <f t="shared" si="436"/>
        <v>01626</v>
      </c>
      <c r="M1627" s="47" t="str">
        <f t="shared" si="437"/>
        <v>03 de diciembre de 2018</v>
      </c>
      <c r="N1627" s="323">
        <f t="shared" si="438"/>
        <v>3</v>
      </c>
      <c r="O1627" s="25">
        <f t="shared" si="439"/>
        <v>43435</v>
      </c>
      <c r="P1627" s="5" t="str">
        <f t="shared" si="440"/>
        <v>800,00</v>
      </c>
      <c r="Q1627" s="4" t="e">
        <f t="shared" ca="1" si="435"/>
        <v>#NAME?</v>
      </c>
    </row>
    <row r="1628" spans="1:17">
      <c r="A1628" s="1">
        <f t="shared" ref="A1628:A1642" si="442">A1627+1</f>
        <v>1627</v>
      </c>
      <c r="C1628" s="8" t="s">
        <v>17</v>
      </c>
      <c r="D1628" s="2">
        <v>43437</v>
      </c>
      <c r="E1628" s="3">
        <v>800</v>
      </c>
      <c r="F1628" t="s">
        <v>443</v>
      </c>
      <c r="G1628" t="s">
        <v>444</v>
      </c>
      <c r="H1628" t="s">
        <v>75</v>
      </c>
      <c r="I1628" s="6" t="s">
        <v>861</v>
      </c>
      <c r="J1628" s="61" t="s">
        <v>22</v>
      </c>
      <c r="L1628" s="5" t="str">
        <f t="shared" si="436"/>
        <v>01627</v>
      </c>
      <c r="M1628" s="47" t="str">
        <f t="shared" si="437"/>
        <v>03 de diciembre de 2018</v>
      </c>
      <c r="N1628" s="323">
        <f t="shared" si="438"/>
        <v>3</v>
      </c>
      <c r="O1628" s="25">
        <f t="shared" si="439"/>
        <v>43435</v>
      </c>
      <c r="P1628" s="5" t="str">
        <f t="shared" si="440"/>
        <v>800,00</v>
      </c>
      <c r="Q1628" s="4" t="e">
        <f t="shared" ca="1" si="435"/>
        <v>#NAME?</v>
      </c>
    </row>
    <row r="1629" spans="1:17">
      <c r="A1629" s="1">
        <f t="shared" si="442"/>
        <v>1628</v>
      </c>
      <c r="C1629" s="8" t="s">
        <v>17</v>
      </c>
      <c r="D1629" s="2">
        <v>43437</v>
      </c>
      <c r="E1629" s="3">
        <v>800</v>
      </c>
      <c r="F1629" t="s">
        <v>90</v>
      </c>
      <c r="G1629" t="s">
        <v>91</v>
      </c>
      <c r="H1629" t="s">
        <v>92</v>
      </c>
      <c r="I1629" s="6" t="s">
        <v>861</v>
      </c>
      <c r="J1629" s="61" t="s">
        <v>22</v>
      </c>
      <c r="L1629" s="5" t="str">
        <f t="shared" si="436"/>
        <v>01628</v>
      </c>
      <c r="M1629" s="47" t="str">
        <f t="shared" si="437"/>
        <v>03 de diciembre de 2018</v>
      </c>
      <c r="N1629" s="323">
        <f t="shared" si="438"/>
        <v>3</v>
      </c>
      <c r="O1629" s="25">
        <f t="shared" si="439"/>
        <v>43435</v>
      </c>
      <c r="P1629" s="5" t="str">
        <f t="shared" si="440"/>
        <v>800,00</v>
      </c>
      <c r="Q1629" s="4" t="e">
        <f t="shared" ca="1" si="435"/>
        <v>#NAME?</v>
      </c>
    </row>
    <row r="1630" spans="1:17">
      <c r="A1630" s="1">
        <f t="shared" si="442"/>
        <v>1629</v>
      </c>
      <c r="C1630" s="8" t="s">
        <v>17</v>
      </c>
      <c r="D1630" s="2">
        <v>43438</v>
      </c>
      <c r="E1630" s="3">
        <v>800</v>
      </c>
      <c r="F1630" t="s">
        <v>107</v>
      </c>
      <c r="G1630" t="s">
        <v>108</v>
      </c>
      <c r="H1630" t="s">
        <v>109</v>
      </c>
      <c r="I1630" s="6" t="s">
        <v>861</v>
      </c>
      <c r="J1630" s="61" t="s">
        <v>22</v>
      </c>
      <c r="L1630" s="5" t="str">
        <f t="shared" si="436"/>
        <v>01629</v>
      </c>
      <c r="M1630" s="47" t="str">
        <f t="shared" si="437"/>
        <v>04 de diciembre de 2018</v>
      </c>
      <c r="N1630" s="323">
        <f t="shared" si="438"/>
        <v>4</v>
      </c>
      <c r="O1630" s="25">
        <f t="shared" si="439"/>
        <v>43435</v>
      </c>
      <c r="P1630" s="5" t="str">
        <f t="shared" si="440"/>
        <v>800,00</v>
      </c>
      <c r="Q1630" s="4" t="e">
        <f t="shared" ca="1" si="435"/>
        <v>#NAME?</v>
      </c>
    </row>
    <row r="1631" spans="1:17" ht="15.75" thickBot="1">
      <c r="A1631" s="1">
        <f t="shared" si="442"/>
        <v>1630</v>
      </c>
      <c r="C1631" s="8" t="s">
        <v>17</v>
      </c>
      <c r="D1631" s="2">
        <v>43438</v>
      </c>
      <c r="E1631" s="3">
        <v>320</v>
      </c>
      <c r="F1631" t="s">
        <v>443</v>
      </c>
      <c r="G1631" t="s">
        <v>444</v>
      </c>
      <c r="H1631" t="s">
        <v>75</v>
      </c>
      <c r="I1631" s="6" t="s">
        <v>848</v>
      </c>
      <c r="J1631" s="61" t="s">
        <v>22</v>
      </c>
      <c r="L1631" s="5" t="str">
        <f t="shared" ref="L1631:L1636" si="443">IF(ISBLANK(A1631),"",TEXT(A1631,"00000"))</f>
        <v>01630</v>
      </c>
      <c r="M1631" s="47" t="str">
        <f t="shared" ref="M1631:M1636" si="444">IF(ISBLANK(D1631),"",TEXT(D1631,"dd")&amp;" de "&amp;TEXT(D1631,"mmmm")&amp;" de "&amp;TEXT(YEAR(D1631),"0"))</f>
        <v>04 de diciembre de 2018</v>
      </c>
      <c r="N1631" s="323">
        <f t="shared" ref="N1631:N1655" si="445">DAY(D1631)</f>
        <v>4</v>
      </c>
      <c r="O1631" s="25">
        <f t="shared" ref="O1631:O1636" si="446">DATE(YEAR(D1631),MONTH(D1631),1)</f>
        <v>43435</v>
      </c>
      <c r="P1631" s="5" t="str">
        <f t="shared" ref="P1631:P1655" si="447">TEXT(E1631,"#.##0,00")</f>
        <v>320,00</v>
      </c>
      <c r="Q1631" s="4" t="e">
        <f t="shared" ref="Q1631:Q1655" ca="1" si="448">CONVERTIRNUM(E1631)</f>
        <v>#NAME?</v>
      </c>
    </row>
    <row r="1632" spans="1:17" ht="15.75" thickBot="1">
      <c r="A1632" s="1">
        <f t="shared" si="442"/>
        <v>1631</v>
      </c>
      <c r="C1632" s="85" t="s">
        <v>17</v>
      </c>
      <c r="D1632" s="2">
        <v>43438</v>
      </c>
      <c r="E1632" s="3">
        <v>1625</v>
      </c>
      <c r="F1632" s="23" t="s">
        <v>422</v>
      </c>
      <c r="G1632" s="18" t="s">
        <v>58</v>
      </c>
      <c r="H1632" t="s">
        <v>423</v>
      </c>
      <c r="I1632" s="6" t="s">
        <v>851</v>
      </c>
      <c r="J1632" s="61" t="s">
        <v>22</v>
      </c>
      <c r="L1632" s="5" t="str">
        <f t="shared" si="443"/>
        <v>01631</v>
      </c>
      <c r="M1632" s="47" t="str">
        <f t="shared" si="444"/>
        <v>04 de diciembre de 2018</v>
      </c>
      <c r="N1632" s="323">
        <f t="shared" si="445"/>
        <v>4</v>
      </c>
      <c r="O1632" s="25">
        <f t="shared" si="446"/>
        <v>43435</v>
      </c>
      <c r="P1632" s="5" t="str">
        <f t="shared" si="447"/>
        <v>1.625,00</v>
      </c>
      <c r="Q1632" s="4" t="e">
        <f t="shared" ca="1" si="448"/>
        <v>#NAME?</v>
      </c>
    </row>
    <row r="1633" spans="1:17">
      <c r="A1633" s="1">
        <f t="shared" si="442"/>
        <v>1632</v>
      </c>
      <c r="C1633" s="8" t="s">
        <v>17</v>
      </c>
      <c r="D1633" s="2">
        <v>43438</v>
      </c>
      <c r="E1633" s="3">
        <v>320</v>
      </c>
      <c r="F1633" t="s">
        <v>118</v>
      </c>
      <c r="G1633" t="s">
        <v>119</v>
      </c>
      <c r="H1633" t="s">
        <v>120</v>
      </c>
      <c r="I1633" s="6" t="s">
        <v>848</v>
      </c>
      <c r="J1633" s="61" t="s">
        <v>22</v>
      </c>
      <c r="L1633" s="5" t="str">
        <f t="shared" si="443"/>
        <v>01632</v>
      </c>
      <c r="M1633" s="47" t="str">
        <f t="shared" si="444"/>
        <v>04 de diciembre de 2018</v>
      </c>
      <c r="N1633" s="323">
        <f t="shared" si="445"/>
        <v>4</v>
      </c>
      <c r="O1633" s="25">
        <f t="shared" si="446"/>
        <v>43435</v>
      </c>
      <c r="P1633" s="5" t="str">
        <f t="shared" si="447"/>
        <v>320,00</v>
      </c>
      <c r="Q1633" s="4" t="e">
        <f t="shared" ca="1" si="448"/>
        <v>#NAME?</v>
      </c>
    </row>
    <row r="1634" spans="1:17">
      <c r="A1634" s="1">
        <f t="shared" si="442"/>
        <v>1633</v>
      </c>
      <c r="C1634" s="8" t="s">
        <v>17</v>
      </c>
      <c r="D1634" s="2">
        <v>43438</v>
      </c>
      <c r="E1634" s="3">
        <v>800</v>
      </c>
      <c r="F1634" t="s">
        <v>48</v>
      </c>
      <c r="G1634" t="s">
        <v>49</v>
      </c>
      <c r="H1634" t="s">
        <v>50</v>
      </c>
      <c r="I1634" s="6" t="s">
        <v>861</v>
      </c>
      <c r="J1634" s="61" t="s">
        <v>22</v>
      </c>
      <c r="L1634" s="5" t="str">
        <f t="shared" si="443"/>
        <v>01633</v>
      </c>
      <c r="M1634" s="47" t="str">
        <f t="shared" si="444"/>
        <v>04 de diciembre de 2018</v>
      </c>
      <c r="N1634" s="323">
        <f t="shared" si="445"/>
        <v>4</v>
      </c>
      <c r="O1634" s="25">
        <f t="shared" si="446"/>
        <v>43435</v>
      </c>
      <c r="P1634" s="5" t="str">
        <f t="shared" si="447"/>
        <v>800,00</v>
      </c>
      <c r="Q1634" s="4" t="e">
        <f t="shared" ca="1" si="448"/>
        <v>#NAME?</v>
      </c>
    </row>
    <row r="1635" spans="1:17">
      <c r="A1635" s="1">
        <f t="shared" si="442"/>
        <v>1634</v>
      </c>
      <c r="C1635" s="8" t="s">
        <v>17</v>
      </c>
      <c r="D1635" s="2">
        <v>43439</v>
      </c>
      <c r="E1635" s="3">
        <v>480</v>
      </c>
      <c r="F1635" t="s">
        <v>483</v>
      </c>
      <c r="G1635" t="s">
        <v>484</v>
      </c>
      <c r="H1635" t="s">
        <v>485</v>
      </c>
      <c r="I1635" s="6" t="s">
        <v>863</v>
      </c>
      <c r="J1635" s="61" t="s">
        <v>22</v>
      </c>
      <c r="L1635" s="5" t="str">
        <f t="shared" si="443"/>
        <v>01634</v>
      </c>
      <c r="M1635" s="47" t="str">
        <f t="shared" si="444"/>
        <v>05 de diciembre de 2018</v>
      </c>
      <c r="N1635" s="323">
        <f t="shared" si="445"/>
        <v>5</v>
      </c>
      <c r="O1635" s="25">
        <f t="shared" si="446"/>
        <v>43435</v>
      </c>
      <c r="P1635" s="5" t="str">
        <f t="shared" si="447"/>
        <v>480,00</v>
      </c>
      <c r="Q1635" s="4" t="e">
        <f t="shared" ca="1" si="448"/>
        <v>#NAME?</v>
      </c>
    </row>
    <row r="1636" spans="1:17">
      <c r="A1636" s="1">
        <f t="shared" si="442"/>
        <v>1635</v>
      </c>
      <c r="C1636" s="8" t="s">
        <v>17</v>
      </c>
      <c r="D1636" s="2">
        <v>43439</v>
      </c>
      <c r="E1636" s="3">
        <v>960</v>
      </c>
      <c r="F1636" t="s">
        <v>80</v>
      </c>
      <c r="G1636" t="s">
        <v>81</v>
      </c>
      <c r="H1636" t="s">
        <v>82</v>
      </c>
      <c r="I1636" s="6" t="s">
        <v>864</v>
      </c>
      <c r="J1636" s="61" t="s">
        <v>22</v>
      </c>
      <c r="L1636" s="5" t="str">
        <f t="shared" si="443"/>
        <v>01635</v>
      </c>
      <c r="M1636" s="47" t="str">
        <f t="shared" si="444"/>
        <v>05 de diciembre de 2018</v>
      </c>
      <c r="N1636" s="323">
        <f t="shared" si="445"/>
        <v>5</v>
      </c>
      <c r="O1636" s="25">
        <f t="shared" si="446"/>
        <v>43435</v>
      </c>
      <c r="P1636" s="5" t="str">
        <f t="shared" si="447"/>
        <v>960,00</v>
      </c>
      <c r="Q1636" s="4" t="e">
        <f t="shared" ca="1" si="448"/>
        <v>#NAME?</v>
      </c>
    </row>
    <row r="1637" spans="1:17">
      <c r="A1637" s="1">
        <f t="shared" si="442"/>
        <v>1636</v>
      </c>
      <c r="C1637" s="8" t="s">
        <v>17</v>
      </c>
      <c r="D1637" s="2">
        <v>43439</v>
      </c>
      <c r="E1637" s="3">
        <v>1000</v>
      </c>
      <c r="F1637" t="s">
        <v>44</v>
      </c>
      <c r="G1637" t="s">
        <v>45</v>
      </c>
      <c r="H1637" t="s">
        <v>46</v>
      </c>
      <c r="I1637" s="6" t="s">
        <v>865</v>
      </c>
      <c r="J1637" s="61" t="s">
        <v>22</v>
      </c>
      <c r="L1637" s="5" t="str">
        <f>IF(ISBLANK(A1637),"",TEXT(A1637,"00000"))</f>
        <v>01636</v>
      </c>
      <c r="M1637" s="47" t="str">
        <f>IF(ISBLANK(D1637),"",TEXT(D1637,"dd")&amp;" de "&amp;TEXT(D1637,"mmmm")&amp;" de "&amp;TEXT(YEAR(D1637),"0"))</f>
        <v>05 de diciembre de 2018</v>
      </c>
      <c r="N1637" s="323">
        <f t="shared" si="445"/>
        <v>5</v>
      </c>
      <c r="O1637" s="25">
        <f>DATE(YEAR(D1637),MONTH(D1637),1)</f>
        <v>43435</v>
      </c>
      <c r="P1637" s="5" t="str">
        <f t="shared" si="447"/>
        <v>1.000,00</v>
      </c>
      <c r="Q1637" s="4" t="e">
        <f t="shared" ca="1" si="448"/>
        <v>#NAME?</v>
      </c>
    </row>
    <row r="1638" spans="1:17">
      <c r="A1638" s="1">
        <f t="shared" si="442"/>
        <v>1637</v>
      </c>
      <c r="C1638" s="8" t="s">
        <v>17</v>
      </c>
      <c r="D1638" s="2">
        <v>43439</v>
      </c>
      <c r="E1638" s="3">
        <v>662.95</v>
      </c>
      <c r="F1638" t="s">
        <v>18</v>
      </c>
      <c r="G1638" t="s">
        <v>19</v>
      </c>
      <c r="H1638" t="s">
        <v>20</v>
      </c>
      <c r="I1638" s="6" t="s">
        <v>866</v>
      </c>
      <c r="J1638" s="61" t="s">
        <v>22</v>
      </c>
      <c r="L1638" s="5" t="str">
        <f t="shared" ref="L1638:L1655" si="449">IF(ISBLANK(A1638),"",TEXT(A1638,"00000"))</f>
        <v>01637</v>
      </c>
      <c r="M1638" s="47" t="str">
        <f t="shared" ref="M1638:M1655" si="450">IF(ISBLANK(D1638),"",TEXT(D1638,"dd")&amp;" de "&amp;TEXT(D1638,"mmmm")&amp;" de "&amp;TEXT(YEAR(D1638),"0"))</f>
        <v>05 de diciembre de 2018</v>
      </c>
      <c r="N1638" s="323">
        <f t="shared" si="445"/>
        <v>5</v>
      </c>
      <c r="O1638" s="25">
        <f t="shared" ref="O1638:O1655" si="451">DATE(YEAR(D1638),MONTH(D1638),1)</f>
        <v>43435</v>
      </c>
      <c r="P1638" s="5" t="str">
        <f t="shared" si="447"/>
        <v>662,95</v>
      </c>
      <c r="Q1638" s="4" t="e">
        <f t="shared" ca="1" si="448"/>
        <v>#NAME?</v>
      </c>
    </row>
    <row r="1639" spans="1:17" ht="15.75" thickBot="1">
      <c r="A1639" s="1">
        <f t="shared" si="442"/>
        <v>1638</v>
      </c>
      <c r="C1639" s="8" t="s">
        <v>17</v>
      </c>
      <c r="D1639" s="2">
        <v>43439</v>
      </c>
      <c r="E1639" s="3">
        <v>800</v>
      </c>
      <c r="F1639" t="s">
        <v>438</v>
      </c>
      <c r="G1639" t="s">
        <v>439</v>
      </c>
      <c r="H1639" t="s">
        <v>440</v>
      </c>
      <c r="I1639" s="6" t="s">
        <v>867</v>
      </c>
      <c r="J1639" s="61" t="s">
        <v>22</v>
      </c>
      <c r="L1639" s="5" t="str">
        <f t="shared" si="449"/>
        <v>01638</v>
      </c>
      <c r="M1639" s="47" t="str">
        <f t="shared" si="450"/>
        <v>05 de diciembre de 2018</v>
      </c>
      <c r="N1639" s="323">
        <f t="shared" si="445"/>
        <v>5</v>
      </c>
      <c r="O1639" s="25">
        <f t="shared" si="451"/>
        <v>43435</v>
      </c>
      <c r="P1639" s="5" t="str">
        <f t="shared" si="447"/>
        <v>800,00</v>
      </c>
      <c r="Q1639" s="4" t="e">
        <f t="shared" ca="1" si="448"/>
        <v>#NAME?</v>
      </c>
    </row>
    <row r="1640" spans="1:17" ht="15.75" thickBot="1">
      <c r="A1640" s="1">
        <f t="shared" si="442"/>
        <v>1639</v>
      </c>
      <c r="C1640" s="85" t="s">
        <v>17</v>
      </c>
      <c r="D1640" s="2">
        <v>43405</v>
      </c>
      <c r="E1640" s="3">
        <v>320</v>
      </c>
      <c r="F1640" t="s">
        <v>177</v>
      </c>
      <c r="G1640" s="18" t="s">
        <v>58</v>
      </c>
      <c r="H1640" t="s">
        <v>179</v>
      </c>
      <c r="I1640" s="6" t="s">
        <v>823</v>
      </c>
      <c r="J1640" s="61" t="s">
        <v>22</v>
      </c>
      <c r="L1640" s="5" t="str">
        <f t="shared" si="449"/>
        <v>01639</v>
      </c>
      <c r="M1640" s="47" t="str">
        <f t="shared" si="450"/>
        <v>01 de noviembre de 2018</v>
      </c>
      <c r="N1640" s="323">
        <f t="shared" si="445"/>
        <v>1</v>
      </c>
      <c r="O1640" s="25">
        <f t="shared" si="451"/>
        <v>43405</v>
      </c>
      <c r="P1640" s="5" t="str">
        <f t="shared" si="447"/>
        <v>320,00</v>
      </c>
      <c r="Q1640" s="4" t="e">
        <f t="shared" ca="1" si="448"/>
        <v>#NAME?</v>
      </c>
    </row>
    <row r="1641" spans="1:17" ht="15.75" thickBot="1">
      <c r="A1641" s="1">
        <f t="shared" si="442"/>
        <v>1640</v>
      </c>
      <c r="C1641" s="85" t="s">
        <v>17</v>
      </c>
      <c r="D1641" s="2">
        <v>43434</v>
      </c>
      <c r="E1641" s="3">
        <v>320</v>
      </c>
      <c r="F1641" t="s">
        <v>177</v>
      </c>
      <c r="G1641" s="18" t="s">
        <v>58</v>
      </c>
      <c r="H1641" t="s">
        <v>179</v>
      </c>
      <c r="I1641" s="6" t="s">
        <v>848</v>
      </c>
      <c r="J1641" s="61" t="s">
        <v>22</v>
      </c>
      <c r="L1641" s="5" t="str">
        <f t="shared" si="449"/>
        <v>01640</v>
      </c>
      <c r="M1641" s="47" t="str">
        <f t="shared" si="450"/>
        <v>30 de noviembre de 2018</v>
      </c>
      <c r="N1641" s="323">
        <f t="shared" si="445"/>
        <v>30</v>
      </c>
      <c r="O1641" s="25">
        <f t="shared" si="451"/>
        <v>43405</v>
      </c>
      <c r="P1641" s="5" t="str">
        <f t="shared" si="447"/>
        <v>320,00</v>
      </c>
      <c r="Q1641" s="4" t="e">
        <f t="shared" ca="1" si="448"/>
        <v>#NAME?</v>
      </c>
    </row>
    <row r="1642" spans="1:17">
      <c r="A1642" s="1">
        <f t="shared" si="442"/>
        <v>1641</v>
      </c>
      <c r="C1642" s="8" t="s">
        <v>17</v>
      </c>
      <c r="D1642" s="2">
        <v>43439</v>
      </c>
      <c r="E1642" s="3">
        <v>480</v>
      </c>
      <c r="F1642" t="s">
        <v>24</v>
      </c>
      <c r="G1642" t="s">
        <v>25</v>
      </c>
      <c r="H1642" t="s">
        <v>26</v>
      </c>
      <c r="I1642" s="6" t="s">
        <v>863</v>
      </c>
      <c r="J1642" s="61" t="s">
        <v>22</v>
      </c>
      <c r="L1642" s="5" t="str">
        <f t="shared" si="449"/>
        <v>01641</v>
      </c>
      <c r="M1642" s="47" t="str">
        <f t="shared" si="450"/>
        <v>05 de diciembre de 2018</v>
      </c>
      <c r="N1642" s="323">
        <f t="shared" si="445"/>
        <v>5</v>
      </c>
      <c r="O1642" s="25">
        <f t="shared" si="451"/>
        <v>43435</v>
      </c>
      <c r="P1642" s="5" t="str">
        <f t="shared" si="447"/>
        <v>480,00</v>
      </c>
      <c r="Q1642" s="4" t="e">
        <f t="shared" ca="1" si="448"/>
        <v>#NAME?</v>
      </c>
    </row>
    <row r="1643" spans="1:17">
      <c r="A1643" s="1">
        <f>A1642+1</f>
        <v>1642</v>
      </c>
      <c r="C1643" s="8" t="s">
        <v>17</v>
      </c>
      <c r="D1643" s="2">
        <v>43409</v>
      </c>
      <c r="E1643" s="3">
        <v>560</v>
      </c>
      <c r="F1643" t="s">
        <v>36</v>
      </c>
      <c r="G1643" t="s">
        <v>37</v>
      </c>
      <c r="H1643" t="s">
        <v>38</v>
      </c>
      <c r="I1643" s="6" t="s">
        <v>863</v>
      </c>
      <c r="J1643" s="61" t="s">
        <v>22</v>
      </c>
      <c r="L1643" s="5" t="str">
        <f t="shared" si="449"/>
        <v>01642</v>
      </c>
      <c r="M1643" s="47" t="str">
        <f t="shared" si="450"/>
        <v>05 de noviembre de 2018</v>
      </c>
      <c r="N1643" s="323">
        <f t="shared" si="445"/>
        <v>5</v>
      </c>
      <c r="O1643" s="25">
        <f t="shared" si="451"/>
        <v>43405</v>
      </c>
      <c r="P1643" s="5" t="str">
        <f t="shared" si="447"/>
        <v>560,00</v>
      </c>
      <c r="Q1643" s="4" t="e">
        <f t="shared" ca="1" si="448"/>
        <v>#NAME?</v>
      </c>
    </row>
    <row r="1644" spans="1:17">
      <c r="A1644" s="1">
        <f t="shared" ref="A1644:A1693" si="452">A1643+1</f>
        <v>1643</v>
      </c>
      <c r="C1644" s="8" t="s">
        <v>17</v>
      </c>
      <c r="D1644" s="2">
        <v>43440</v>
      </c>
      <c r="E1644" s="3">
        <v>800</v>
      </c>
      <c r="F1644" t="s">
        <v>537</v>
      </c>
      <c r="G1644" t="s">
        <v>538</v>
      </c>
      <c r="H1644" t="s">
        <v>539</v>
      </c>
      <c r="I1644" s="6" t="s">
        <v>861</v>
      </c>
      <c r="J1644" s="61" t="s">
        <v>22</v>
      </c>
      <c r="L1644" s="5" t="str">
        <f t="shared" si="449"/>
        <v>01643</v>
      </c>
      <c r="M1644" s="47" t="str">
        <f t="shared" si="450"/>
        <v>06 de diciembre de 2018</v>
      </c>
      <c r="N1644" s="323">
        <f t="shared" si="445"/>
        <v>6</v>
      </c>
      <c r="O1644" s="25">
        <f t="shared" si="451"/>
        <v>43435</v>
      </c>
      <c r="P1644" s="5" t="str">
        <f t="shared" si="447"/>
        <v>800,00</v>
      </c>
      <c r="Q1644" s="4" t="e">
        <f t="shared" ca="1" si="448"/>
        <v>#NAME?</v>
      </c>
    </row>
    <row r="1645" spans="1:17">
      <c r="A1645" s="1">
        <f t="shared" si="452"/>
        <v>1644</v>
      </c>
      <c r="C1645" s="8" t="s">
        <v>17</v>
      </c>
      <c r="D1645" s="2">
        <v>43440</v>
      </c>
      <c r="E1645" s="3">
        <v>800</v>
      </c>
      <c r="F1645" t="s">
        <v>633</v>
      </c>
      <c r="G1645" t="s">
        <v>634</v>
      </c>
      <c r="H1645" t="s">
        <v>635</v>
      </c>
      <c r="I1645" s="6" t="s">
        <v>861</v>
      </c>
      <c r="J1645" s="61" t="s">
        <v>22</v>
      </c>
      <c r="L1645" s="5" t="str">
        <f t="shared" si="449"/>
        <v>01644</v>
      </c>
      <c r="M1645" s="47" t="str">
        <f t="shared" si="450"/>
        <v>06 de diciembre de 2018</v>
      </c>
      <c r="N1645" s="323">
        <f t="shared" si="445"/>
        <v>6</v>
      </c>
      <c r="O1645" s="25">
        <f t="shared" si="451"/>
        <v>43435</v>
      </c>
      <c r="P1645" s="5" t="str">
        <f t="shared" si="447"/>
        <v>800,00</v>
      </c>
      <c r="Q1645" s="4" t="e">
        <f t="shared" ca="1" si="448"/>
        <v>#NAME?</v>
      </c>
    </row>
    <row r="1646" spans="1:17">
      <c r="A1646" s="1">
        <f t="shared" si="452"/>
        <v>1645</v>
      </c>
      <c r="C1646" s="8" t="s">
        <v>17</v>
      </c>
      <c r="D1646" s="2">
        <v>43440</v>
      </c>
      <c r="E1646" s="3">
        <v>800</v>
      </c>
      <c r="F1646" t="s">
        <v>312</v>
      </c>
      <c r="G1646" t="s">
        <v>313</v>
      </c>
      <c r="H1646" t="s">
        <v>314</v>
      </c>
      <c r="I1646" s="6" t="s">
        <v>861</v>
      </c>
      <c r="J1646" s="61" t="s">
        <v>22</v>
      </c>
      <c r="L1646" s="5" t="str">
        <f t="shared" si="449"/>
        <v>01645</v>
      </c>
      <c r="M1646" s="47" t="str">
        <f t="shared" si="450"/>
        <v>06 de diciembre de 2018</v>
      </c>
      <c r="N1646" s="323">
        <f t="shared" si="445"/>
        <v>6</v>
      </c>
      <c r="O1646" s="25">
        <f t="shared" si="451"/>
        <v>43435</v>
      </c>
      <c r="P1646" s="5" t="str">
        <f t="shared" si="447"/>
        <v>800,00</v>
      </c>
      <c r="Q1646" s="4" t="e">
        <f t="shared" ca="1" si="448"/>
        <v>#NAME?</v>
      </c>
    </row>
    <row r="1647" spans="1:17">
      <c r="A1647" s="1">
        <f t="shared" si="452"/>
        <v>1646</v>
      </c>
      <c r="C1647" s="8" t="s">
        <v>17</v>
      </c>
      <c r="D1647" s="2">
        <v>43440</v>
      </c>
      <c r="E1647" s="3">
        <v>800</v>
      </c>
      <c r="F1647" t="s">
        <v>126</v>
      </c>
      <c r="G1647" t="s">
        <v>127</v>
      </c>
      <c r="H1647" t="s">
        <v>128</v>
      </c>
      <c r="I1647" s="6" t="s">
        <v>861</v>
      </c>
      <c r="J1647" s="61" t="s">
        <v>22</v>
      </c>
      <c r="L1647" s="5" t="str">
        <f t="shared" si="449"/>
        <v>01646</v>
      </c>
      <c r="M1647" s="47" t="str">
        <f t="shared" si="450"/>
        <v>06 de diciembre de 2018</v>
      </c>
      <c r="N1647" s="323">
        <f t="shared" si="445"/>
        <v>6</v>
      </c>
      <c r="O1647" s="25">
        <f t="shared" si="451"/>
        <v>43435</v>
      </c>
      <c r="P1647" s="5" t="str">
        <f t="shared" si="447"/>
        <v>800,00</v>
      </c>
      <c r="Q1647" s="4" t="e">
        <f t="shared" ca="1" si="448"/>
        <v>#NAME?</v>
      </c>
    </row>
    <row r="1648" spans="1:17">
      <c r="A1648" s="1">
        <f t="shared" si="452"/>
        <v>1647</v>
      </c>
      <c r="C1648" s="8" t="s">
        <v>17</v>
      </c>
      <c r="D1648" s="2">
        <v>43440</v>
      </c>
      <c r="E1648" s="3">
        <v>320</v>
      </c>
      <c r="F1648" t="s">
        <v>342</v>
      </c>
      <c r="G1648" t="s">
        <v>343</v>
      </c>
      <c r="H1648" t="s">
        <v>344</v>
      </c>
      <c r="I1648" s="6" t="s">
        <v>848</v>
      </c>
      <c r="J1648" s="61" t="s">
        <v>22</v>
      </c>
      <c r="L1648" s="5" t="str">
        <f t="shared" si="449"/>
        <v>01647</v>
      </c>
      <c r="M1648" s="47" t="str">
        <f t="shared" si="450"/>
        <v>06 de diciembre de 2018</v>
      </c>
      <c r="N1648" s="323">
        <f t="shared" si="445"/>
        <v>6</v>
      </c>
      <c r="O1648" s="25">
        <f t="shared" si="451"/>
        <v>43435</v>
      </c>
      <c r="P1648" s="5" t="str">
        <f t="shared" si="447"/>
        <v>320,00</v>
      </c>
      <c r="Q1648" s="4" t="e">
        <f t="shared" ca="1" si="448"/>
        <v>#NAME?</v>
      </c>
    </row>
    <row r="1649" spans="1:17">
      <c r="A1649" s="1">
        <f t="shared" si="452"/>
        <v>1648</v>
      </c>
      <c r="C1649" s="8" t="s">
        <v>17</v>
      </c>
      <c r="D1649" s="2">
        <v>43441</v>
      </c>
      <c r="E1649" s="3">
        <v>800</v>
      </c>
      <c r="F1649" t="s">
        <v>53</v>
      </c>
      <c r="G1649" t="s">
        <v>677</v>
      </c>
      <c r="H1649" t="s">
        <v>55</v>
      </c>
      <c r="I1649" s="6" t="s">
        <v>861</v>
      </c>
      <c r="J1649" s="61" t="s">
        <v>22</v>
      </c>
      <c r="L1649" s="5" t="str">
        <f t="shared" si="449"/>
        <v>01648</v>
      </c>
      <c r="M1649" s="47" t="str">
        <f t="shared" si="450"/>
        <v>07 de diciembre de 2018</v>
      </c>
      <c r="N1649" s="323">
        <f t="shared" si="445"/>
        <v>7</v>
      </c>
      <c r="O1649" s="25">
        <f t="shared" si="451"/>
        <v>43435</v>
      </c>
      <c r="P1649" s="5" t="str">
        <f t="shared" si="447"/>
        <v>800,00</v>
      </c>
      <c r="Q1649" s="4" t="e">
        <f t="shared" ca="1" si="448"/>
        <v>#NAME?</v>
      </c>
    </row>
    <row r="1650" spans="1:17">
      <c r="A1650" s="1">
        <f t="shared" si="452"/>
        <v>1649</v>
      </c>
      <c r="C1650" s="8" t="s">
        <v>17</v>
      </c>
      <c r="D1650" s="2">
        <v>43442</v>
      </c>
      <c r="E1650" s="3">
        <v>1000</v>
      </c>
      <c r="F1650" t="s">
        <v>90</v>
      </c>
      <c r="G1650" t="s">
        <v>91</v>
      </c>
      <c r="H1650" t="s">
        <v>92</v>
      </c>
      <c r="I1650" s="6" t="s">
        <v>868</v>
      </c>
      <c r="J1650" s="61" t="s">
        <v>22</v>
      </c>
      <c r="L1650" s="5" t="str">
        <f t="shared" si="449"/>
        <v>01649</v>
      </c>
      <c r="M1650" s="47" t="str">
        <f t="shared" si="450"/>
        <v>08 de diciembre de 2018</v>
      </c>
      <c r="N1650" s="323">
        <f t="shared" si="445"/>
        <v>8</v>
      </c>
      <c r="O1650" s="25">
        <f t="shared" si="451"/>
        <v>43435</v>
      </c>
      <c r="P1650" s="5" t="str">
        <f t="shared" si="447"/>
        <v>1.000,00</v>
      </c>
      <c r="Q1650" s="4" t="e">
        <f t="shared" ca="1" si="448"/>
        <v>#NAME?</v>
      </c>
    </row>
    <row r="1651" spans="1:17">
      <c r="A1651" s="1">
        <f t="shared" si="452"/>
        <v>1650</v>
      </c>
      <c r="C1651" s="8" t="s">
        <v>17</v>
      </c>
      <c r="D1651" s="2">
        <v>43442</v>
      </c>
      <c r="E1651" s="3">
        <v>400</v>
      </c>
      <c r="F1651" t="s">
        <v>412</v>
      </c>
      <c r="G1651" t="s">
        <v>413</v>
      </c>
      <c r="H1651" t="s">
        <v>414</v>
      </c>
      <c r="I1651" s="6" t="s">
        <v>850</v>
      </c>
      <c r="J1651" s="61" t="s">
        <v>22</v>
      </c>
      <c r="L1651" s="5" t="str">
        <f t="shared" si="449"/>
        <v>01650</v>
      </c>
      <c r="M1651" s="47" t="str">
        <f t="shared" si="450"/>
        <v>08 de diciembre de 2018</v>
      </c>
      <c r="N1651" s="323">
        <f t="shared" si="445"/>
        <v>8</v>
      </c>
      <c r="O1651" s="25">
        <f t="shared" si="451"/>
        <v>43435</v>
      </c>
      <c r="P1651" s="5" t="str">
        <f t="shared" si="447"/>
        <v>400,00</v>
      </c>
      <c r="Q1651" s="4" t="e">
        <f t="shared" ca="1" si="448"/>
        <v>#NAME?</v>
      </c>
    </row>
    <row r="1652" spans="1:17">
      <c r="A1652" s="1">
        <f t="shared" si="452"/>
        <v>1651</v>
      </c>
      <c r="C1652" s="8" t="s">
        <v>17</v>
      </c>
      <c r="D1652" s="2">
        <v>43442</v>
      </c>
      <c r="E1652" s="3">
        <v>800</v>
      </c>
      <c r="F1652" t="s">
        <v>454</v>
      </c>
      <c r="G1652" t="s">
        <v>761</v>
      </c>
      <c r="H1652" t="s">
        <v>455</v>
      </c>
      <c r="I1652" s="6" t="s">
        <v>861</v>
      </c>
      <c r="J1652" s="61" t="s">
        <v>22</v>
      </c>
      <c r="L1652" s="5" t="str">
        <f t="shared" si="449"/>
        <v>01651</v>
      </c>
      <c r="M1652" s="47" t="str">
        <f t="shared" si="450"/>
        <v>08 de diciembre de 2018</v>
      </c>
      <c r="N1652" s="323">
        <f t="shared" si="445"/>
        <v>8</v>
      </c>
      <c r="O1652" s="25">
        <f t="shared" si="451"/>
        <v>43435</v>
      </c>
      <c r="P1652" s="5" t="str">
        <f t="shared" si="447"/>
        <v>800,00</v>
      </c>
      <c r="Q1652" s="4" t="e">
        <f t="shared" ca="1" si="448"/>
        <v>#NAME?</v>
      </c>
    </row>
    <row r="1653" spans="1:17">
      <c r="A1653" s="1">
        <f t="shared" si="452"/>
        <v>1652</v>
      </c>
      <c r="C1653" s="8" t="s">
        <v>17</v>
      </c>
      <c r="D1653" s="2">
        <v>43442</v>
      </c>
      <c r="E1653" s="3">
        <v>800</v>
      </c>
      <c r="F1653" t="s">
        <v>713</v>
      </c>
      <c r="G1653" t="s">
        <v>714</v>
      </c>
      <c r="H1653" t="s">
        <v>154</v>
      </c>
      <c r="I1653" s="6" t="s">
        <v>861</v>
      </c>
      <c r="J1653" s="61" t="s">
        <v>22</v>
      </c>
      <c r="L1653" s="5" t="str">
        <f t="shared" si="449"/>
        <v>01652</v>
      </c>
      <c r="M1653" s="47" t="str">
        <f t="shared" si="450"/>
        <v>08 de diciembre de 2018</v>
      </c>
      <c r="N1653" s="323">
        <f t="shared" si="445"/>
        <v>8</v>
      </c>
      <c r="O1653" s="25">
        <f t="shared" si="451"/>
        <v>43435</v>
      </c>
      <c r="P1653" s="5" t="str">
        <f t="shared" si="447"/>
        <v>800,00</v>
      </c>
      <c r="Q1653" s="4" t="e">
        <f t="shared" ca="1" si="448"/>
        <v>#NAME?</v>
      </c>
    </row>
    <row r="1654" spans="1:17">
      <c r="A1654" s="1">
        <f t="shared" si="452"/>
        <v>1653</v>
      </c>
      <c r="C1654" s="8" t="s">
        <v>17</v>
      </c>
      <c r="D1654" s="2">
        <v>43443</v>
      </c>
      <c r="E1654" s="3">
        <v>320</v>
      </c>
      <c r="F1654" t="s">
        <v>84</v>
      </c>
      <c r="G1654" t="s">
        <v>85</v>
      </c>
      <c r="H1654" t="s">
        <v>86</v>
      </c>
      <c r="I1654" s="6" t="s">
        <v>848</v>
      </c>
      <c r="J1654" s="61" t="s">
        <v>22</v>
      </c>
      <c r="L1654" s="5" t="str">
        <f t="shared" si="449"/>
        <v>01653</v>
      </c>
      <c r="M1654" s="47" t="str">
        <f t="shared" si="450"/>
        <v>09 de diciembre de 2018</v>
      </c>
      <c r="N1654" s="323">
        <f t="shared" si="445"/>
        <v>9</v>
      </c>
      <c r="O1654" s="25">
        <f t="shared" si="451"/>
        <v>43435</v>
      </c>
      <c r="P1654" s="5" t="str">
        <f t="shared" si="447"/>
        <v>320,00</v>
      </c>
      <c r="Q1654" s="4" t="e">
        <f t="shared" ca="1" si="448"/>
        <v>#NAME?</v>
      </c>
    </row>
    <row r="1655" spans="1:17">
      <c r="A1655" s="1">
        <f t="shared" si="452"/>
        <v>1654</v>
      </c>
      <c r="C1655" s="8" t="s">
        <v>17</v>
      </c>
      <c r="D1655" s="2">
        <v>43443</v>
      </c>
      <c r="E1655" s="3">
        <v>800</v>
      </c>
      <c r="F1655" t="s">
        <v>334</v>
      </c>
      <c r="G1655" t="s">
        <v>85</v>
      </c>
      <c r="H1655" t="s">
        <v>335</v>
      </c>
      <c r="I1655" s="6" t="s">
        <v>861</v>
      </c>
      <c r="J1655" s="61" t="s">
        <v>22</v>
      </c>
      <c r="L1655" s="5" t="str">
        <f t="shared" si="449"/>
        <v>01654</v>
      </c>
      <c r="M1655" s="47" t="str">
        <f t="shared" si="450"/>
        <v>09 de diciembre de 2018</v>
      </c>
      <c r="N1655" s="323">
        <f t="shared" si="445"/>
        <v>9</v>
      </c>
      <c r="O1655" s="25">
        <f t="shared" si="451"/>
        <v>43435</v>
      </c>
      <c r="P1655" s="5" t="str">
        <f t="shared" si="447"/>
        <v>800,00</v>
      </c>
      <c r="Q1655" s="4" t="e">
        <f t="shared" ca="1" si="448"/>
        <v>#NAME?</v>
      </c>
    </row>
    <row r="1656" spans="1:17">
      <c r="A1656" s="1">
        <f t="shared" si="452"/>
        <v>1655</v>
      </c>
      <c r="C1656" s="8" t="s">
        <v>17</v>
      </c>
      <c r="D1656" s="2">
        <v>43443</v>
      </c>
      <c r="E1656" s="3">
        <v>800</v>
      </c>
      <c r="F1656" t="s">
        <v>342</v>
      </c>
      <c r="G1656" t="s">
        <v>343</v>
      </c>
      <c r="H1656" t="s">
        <v>344</v>
      </c>
      <c r="I1656" s="6" t="s">
        <v>861</v>
      </c>
      <c r="J1656" s="61" t="s">
        <v>22</v>
      </c>
      <c r="L1656" s="5" t="str">
        <f t="shared" ref="L1656:L1672" si="453">IF(ISBLANK(A1656),"",TEXT(A1656,"00000"))</f>
        <v>01655</v>
      </c>
      <c r="M1656" s="47" t="str">
        <f t="shared" ref="M1656:M1672" si="454">IF(ISBLANK(D1656),"",TEXT(D1656,"dd")&amp;" de "&amp;TEXT(D1656,"mmmm")&amp;" de "&amp;TEXT(YEAR(D1656),"0"))</f>
        <v>09 de diciembre de 2018</v>
      </c>
      <c r="N1656" s="323">
        <f t="shared" ref="N1656:N1672" si="455">DAY(D1656)</f>
        <v>9</v>
      </c>
      <c r="O1656" s="25">
        <f t="shared" ref="O1656:O1672" si="456">DATE(YEAR(D1656),MONTH(D1656),1)</f>
        <v>43435</v>
      </c>
      <c r="P1656" s="5" t="str">
        <f t="shared" ref="P1656:P1664" si="457">TEXT(E1656,"#.##0,00")</f>
        <v>800,00</v>
      </c>
      <c r="Q1656" s="4" t="e">
        <f t="shared" ref="Q1656:Q1664" ca="1" si="458">CONVERTIRNUM(E1656)</f>
        <v>#NAME?</v>
      </c>
    </row>
    <row r="1657" spans="1:17">
      <c r="A1657" s="1">
        <f t="shared" si="452"/>
        <v>1656</v>
      </c>
      <c r="C1657" s="8" t="s">
        <v>17</v>
      </c>
      <c r="D1657" s="2">
        <v>43443</v>
      </c>
      <c r="E1657" s="3">
        <v>800</v>
      </c>
      <c r="F1657" t="s">
        <v>84</v>
      </c>
      <c r="G1657" t="s">
        <v>85</v>
      </c>
      <c r="H1657" t="s">
        <v>86</v>
      </c>
      <c r="I1657" s="6" t="s">
        <v>861</v>
      </c>
      <c r="J1657" s="61" t="s">
        <v>22</v>
      </c>
      <c r="L1657" s="5" t="str">
        <f t="shared" si="453"/>
        <v>01656</v>
      </c>
      <c r="M1657" s="47" t="str">
        <f t="shared" si="454"/>
        <v>09 de diciembre de 2018</v>
      </c>
      <c r="N1657" s="323">
        <f t="shared" si="455"/>
        <v>9</v>
      </c>
      <c r="O1657" s="25">
        <f t="shared" si="456"/>
        <v>43435</v>
      </c>
      <c r="P1657" s="5" t="str">
        <f t="shared" si="457"/>
        <v>800,00</v>
      </c>
      <c r="Q1657" s="4" t="e">
        <f t="shared" ca="1" si="458"/>
        <v>#NAME?</v>
      </c>
    </row>
    <row r="1658" spans="1:17">
      <c r="A1658" s="1">
        <f t="shared" si="452"/>
        <v>1657</v>
      </c>
      <c r="C1658" s="8" t="s">
        <v>17</v>
      </c>
      <c r="D1658" s="2">
        <v>43404</v>
      </c>
      <c r="E1658" s="3">
        <v>320</v>
      </c>
      <c r="F1658" t="s">
        <v>144</v>
      </c>
      <c r="G1658" t="s">
        <v>661</v>
      </c>
      <c r="H1658" t="s">
        <v>146</v>
      </c>
      <c r="I1658" s="6" t="s">
        <v>823</v>
      </c>
      <c r="J1658" s="61" t="s">
        <v>22</v>
      </c>
      <c r="L1658" s="5" t="str">
        <f t="shared" si="453"/>
        <v>01657</v>
      </c>
      <c r="M1658" s="47" t="str">
        <f t="shared" si="454"/>
        <v>31 de octubre de 2018</v>
      </c>
      <c r="N1658" s="323">
        <f t="shared" si="455"/>
        <v>31</v>
      </c>
      <c r="O1658" s="25">
        <f t="shared" si="456"/>
        <v>43374</v>
      </c>
      <c r="P1658" s="5" t="str">
        <f t="shared" si="457"/>
        <v>320,00</v>
      </c>
      <c r="Q1658" s="4" t="e">
        <f t="shared" ca="1" si="458"/>
        <v>#NAME?</v>
      </c>
    </row>
    <row r="1659" spans="1:17">
      <c r="A1659" s="1">
        <f t="shared" si="452"/>
        <v>1658</v>
      </c>
      <c r="C1659" s="8" t="s">
        <v>17</v>
      </c>
      <c r="D1659" s="2">
        <v>43441</v>
      </c>
      <c r="E1659" s="3">
        <v>800</v>
      </c>
      <c r="F1659" t="s">
        <v>181</v>
      </c>
      <c r="G1659" t="s">
        <v>182</v>
      </c>
      <c r="H1659" t="s">
        <v>183</v>
      </c>
      <c r="I1659" s="6" t="s">
        <v>861</v>
      </c>
      <c r="J1659" s="61" t="s">
        <v>22</v>
      </c>
      <c r="L1659" s="5" t="str">
        <f t="shared" si="453"/>
        <v>01658</v>
      </c>
      <c r="M1659" s="47" t="str">
        <f t="shared" si="454"/>
        <v>07 de diciembre de 2018</v>
      </c>
      <c r="N1659" s="323">
        <f t="shared" si="455"/>
        <v>7</v>
      </c>
      <c r="O1659" s="25">
        <f t="shared" si="456"/>
        <v>43435</v>
      </c>
      <c r="P1659" s="5" t="str">
        <f t="shared" si="457"/>
        <v>800,00</v>
      </c>
      <c r="Q1659" s="4" t="e">
        <f t="shared" ca="1" si="458"/>
        <v>#NAME?</v>
      </c>
    </row>
    <row r="1660" spans="1:17" ht="15.75" thickBot="1">
      <c r="A1660" s="1">
        <f t="shared" si="452"/>
        <v>1659</v>
      </c>
      <c r="C1660" s="8" t="s">
        <v>17</v>
      </c>
      <c r="D1660" s="2">
        <v>43444</v>
      </c>
      <c r="E1660" s="3">
        <v>800</v>
      </c>
      <c r="F1660" t="s">
        <v>337</v>
      </c>
      <c r="G1660" t="s">
        <v>338</v>
      </c>
      <c r="H1660" t="s">
        <v>339</v>
      </c>
      <c r="I1660" s="6" t="s">
        <v>861</v>
      </c>
      <c r="J1660" s="61" t="s">
        <v>22</v>
      </c>
      <c r="L1660" s="5" t="str">
        <f t="shared" si="453"/>
        <v>01659</v>
      </c>
      <c r="M1660" s="47" t="str">
        <f t="shared" si="454"/>
        <v>10 de diciembre de 2018</v>
      </c>
      <c r="N1660" s="323">
        <f t="shared" si="455"/>
        <v>10</v>
      </c>
      <c r="O1660" s="25">
        <f t="shared" si="456"/>
        <v>43435</v>
      </c>
      <c r="P1660" s="5" t="str">
        <f t="shared" si="457"/>
        <v>800,00</v>
      </c>
      <c r="Q1660" s="4" t="e">
        <f t="shared" ca="1" si="458"/>
        <v>#NAME?</v>
      </c>
    </row>
    <row r="1661" spans="1:17" ht="15.75" thickBot="1">
      <c r="A1661" s="1">
        <f t="shared" si="452"/>
        <v>1660</v>
      </c>
      <c r="C1661" s="8" t="s">
        <v>17</v>
      </c>
      <c r="D1661" s="2">
        <v>43445</v>
      </c>
      <c r="E1661" s="3">
        <v>800</v>
      </c>
      <c r="F1661" t="s">
        <v>239</v>
      </c>
      <c r="G1661" s="73" t="s">
        <v>240</v>
      </c>
      <c r="H1661" t="s">
        <v>241</v>
      </c>
      <c r="I1661" s="6" t="s">
        <v>861</v>
      </c>
      <c r="J1661" s="61" t="s">
        <v>22</v>
      </c>
      <c r="L1661" s="5" t="str">
        <f t="shared" si="453"/>
        <v>01660</v>
      </c>
      <c r="M1661" s="47" t="str">
        <f t="shared" si="454"/>
        <v>11 de diciembre de 2018</v>
      </c>
      <c r="N1661" s="323">
        <f t="shared" si="455"/>
        <v>11</v>
      </c>
      <c r="O1661" s="25">
        <f t="shared" si="456"/>
        <v>43435</v>
      </c>
      <c r="P1661" s="5" t="str">
        <f t="shared" si="457"/>
        <v>800,00</v>
      </c>
      <c r="Q1661" s="4" t="e">
        <f t="shared" ca="1" si="458"/>
        <v>#NAME?</v>
      </c>
    </row>
    <row r="1662" spans="1:17">
      <c r="A1662" s="1">
        <f t="shared" si="452"/>
        <v>1661</v>
      </c>
      <c r="C1662" s="8" t="s">
        <v>17</v>
      </c>
      <c r="D1662" s="2">
        <v>43445</v>
      </c>
      <c r="E1662" s="3">
        <v>800</v>
      </c>
      <c r="F1662" t="s">
        <v>296</v>
      </c>
      <c r="G1662" t="s">
        <v>297</v>
      </c>
      <c r="H1662" t="s">
        <v>298</v>
      </c>
      <c r="I1662" s="9" t="s">
        <v>861</v>
      </c>
      <c r="J1662" s="61" t="s">
        <v>22</v>
      </c>
      <c r="L1662" s="5" t="str">
        <f t="shared" si="453"/>
        <v>01661</v>
      </c>
      <c r="M1662" s="47" t="str">
        <f t="shared" si="454"/>
        <v>11 de diciembre de 2018</v>
      </c>
      <c r="N1662" s="323">
        <f t="shared" si="455"/>
        <v>11</v>
      </c>
      <c r="O1662" s="25">
        <f t="shared" si="456"/>
        <v>43435</v>
      </c>
      <c r="P1662" s="5" t="str">
        <f t="shared" si="457"/>
        <v>800,00</v>
      </c>
      <c r="Q1662" s="4" t="e">
        <f t="shared" ca="1" si="458"/>
        <v>#NAME?</v>
      </c>
    </row>
    <row r="1663" spans="1:17">
      <c r="A1663" s="1">
        <f t="shared" si="452"/>
        <v>1662</v>
      </c>
      <c r="C1663" s="8" t="s">
        <v>17</v>
      </c>
      <c r="D1663" s="2">
        <v>43423</v>
      </c>
      <c r="E1663" s="3">
        <v>320</v>
      </c>
      <c r="F1663" t="s">
        <v>362</v>
      </c>
      <c r="G1663" t="s">
        <v>363</v>
      </c>
      <c r="H1663" t="s">
        <v>364</v>
      </c>
      <c r="I1663" s="6" t="s">
        <v>848</v>
      </c>
      <c r="J1663" s="61" t="s">
        <v>22</v>
      </c>
      <c r="L1663" s="5" t="str">
        <f t="shared" si="453"/>
        <v>01662</v>
      </c>
      <c r="M1663" s="47" t="str">
        <f t="shared" si="454"/>
        <v>19 de noviembre de 2018</v>
      </c>
      <c r="N1663" s="323">
        <f t="shared" si="455"/>
        <v>19</v>
      </c>
      <c r="O1663" s="25">
        <f t="shared" si="456"/>
        <v>43405</v>
      </c>
      <c r="P1663" s="5" t="str">
        <f t="shared" si="457"/>
        <v>320,00</v>
      </c>
      <c r="Q1663" s="4" t="e">
        <f t="shared" ca="1" si="458"/>
        <v>#NAME?</v>
      </c>
    </row>
    <row r="1664" spans="1:17">
      <c r="A1664" s="1">
        <f t="shared" si="452"/>
        <v>1663</v>
      </c>
      <c r="C1664" s="8" t="s">
        <v>17</v>
      </c>
      <c r="D1664" s="2">
        <v>43447</v>
      </c>
      <c r="E1664" s="3">
        <v>800</v>
      </c>
      <c r="F1664" t="s">
        <v>362</v>
      </c>
      <c r="G1664" t="s">
        <v>363</v>
      </c>
      <c r="H1664" t="s">
        <v>364</v>
      </c>
      <c r="I1664" s="6" t="s">
        <v>861</v>
      </c>
      <c r="J1664" s="61" t="s">
        <v>22</v>
      </c>
      <c r="L1664" s="5" t="str">
        <f t="shared" si="453"/>
        <v>01663</v>
      </c>
      <c r="M1664" s="47" t="str">
        <f t="shared" si="454"/>
        <v>13 de diciembre de 2018</v>
      </c>
      <c r="N1664" s="323">
        <f t="shared" si="455"/>
        <v>13</v>
      </c>
      <c r="O1664" s="25">
        <f t="shared" si="456"/>
        <v>43435</v>
      </c>
      <c r="P1664" s="5" t="str">
        <f t="shared" si="457"/>
        <v>800,00</v>
      </c>
      <c r="Q1664" s="4" t="e">
        <f t="shared" ca="1" si="458"/>
        <v>#NAME?</v>
      </c>
    </row>
    <row r="1665" spans="1:17">
      <c r="A1665" s="1">
        <f t="shared" si="452"/>
        <v>1664</v>
      </c>
      <c r="C1665" s="8" t="s">
        <v>17</v>
      </c>
      <c r="D1665" s="2">
        <v>43447</v>
      </c>
      <c r="E1665" s="3">
        <v>800</v>
      </c>
      <c r="F1665" t="s">
        <v>162</v>
      </c>
      <c r="G1665" t="s">
        <v>163</v>
      </c>
      <c r="H1665" t="s">
        <v>164</v>
      </c>
      <c r="I1665" s="6" t="s">
        <v>869</v>
      </c>
      <c r="J1665" s="61" t="s">
        <v>22</v>
      </c>
      <c r="L1665" s="5" t="str">
        <f t="shared" si="453"/>
        <v>01664</v>
      </c>
      <c r="M1665" s="47" t="str">
        <f t="shared" si="454"/>
        <v>13 de diciembre de 2018</v>
      </c>
      <c r="N1665" s="323">
        <f t="shared" si="455"/>
        <v>13</v>
      </c>
      <c r="O1665" s="25">
        <f t="shared" si="456"/>
        <v>43435</v>
      </c>
      <c r="P1665" s="5" t="str">
        <f>TEXT(E1665,"#.##0,00")</f>
        <v>800,00</v>
      </c>
      <c r="Q1665" s="4" t="e">
        <f ca="1">CONVERTIRNUM(E1665)</f>
        <v>#NAME?</v>
      </c>
    </row>
    <row r="1666" spans="1:17">
      <c r="A1666" s="1">
        <f t="shared" si="452"/>
        <v>1665</v>
      </c>
      <c r="C1666" s="8" t="s">
        <v>17</v>
      </c>
      <c r="D1666" s="2">
        <v>43415</v>
      </c>
      <c r="E1666" s="3">
        <v>320</v>
      </c>
      <c r="F1666" t="s">
        <v>103</v>
      </c>
      <c r="G1666" t="s">
        <v>104</v>
      </c>
      <c r="H1666" t="s">
        <v>105</v>
      </c>
      <c r="I1666" s="6" t="s">
        <v>848</v>
      </c>
      <c r="J1666" s="61" t="s">
        <v>22</v>
      </c>
      <c r="L1666" s="5" t="str">
        <f t="shared" si="453"/>
        <v>01665</v>
      </c>
      <c r="M1666" s="47" t="str">
        <f t="shared" si="454"/>
        <v>11 de noviembre de 2018</v>
      </c>
      <c r="N1666" s="323">
        <f t="shared" si="455"/>
        <v>11</v>
      </c>
      <c r="O1666" s="25">
        <f t="shared" si="456"/>
        <v>43405</v>
      </c>
      <c r="P1666" s="5" t="str">
        <f t="shared" ref="P1666:P1672" si="459">TEXT(E1666,"#.##0,00")</f>
        <v>320,00</v>
      </c>
      <c r="Q1666" s="4" t="e">
        <f t="shared" ref="Q1666:Q1672" ca="1" si="460">CONVERTIRNUM(E1666)</f>
        <v>#NAME?</v>
      </c>
    </row>
    <row r="1667" spans="1:17">
      <c r="A1667" s="1">
        <f t="shared" si="452"/>
        <v>1666</v>
      </c>
      <c r="C1667" s="8" t="s">
        <v>17</v>
      </c>
      <c r="D1667" s="2">
        <v>43447</v>
      </c>
      <c r="E1667" s="3">
        <f>1120+11.15</f>
        <v>1131.1500000000001</v>
      </c>
      <c r="F1667" t="s">
        <v>219</v>
      </c>
      <c r="G1667" t="s">
        <v>220</v>
      </c>
      <c r="H1667" t="s">
        <v>221</v>
      </c>
      <c r="I1667" s="6" t="s">
        <v>870</v>
      </c>
      <c r="J1667" s="61" t="s">
        <v>22</v>
      </c>
      <c r="L1667" s="5" t="str">
        <f t="shared" si="453"/>
        <v>01666</v>
      </c>
      <c r="M1667" s="47" t="str">
        <f t="shared" si="454"/>
        <v>13 de diciembre de 2018</v>
      </c>
      <c r="N1667" s="323">
        <f t="shared" si="455"/>
        <v>13</v>
      </c>
      <c r="O1667" s="25">
        <f t="shared" si="456"/>
        <v>43435</v>
      </c>
      <c r="P1667" s="5" t="str">
        <f t="shared" si="459"/>
        <v>1.131,15</v>
      </c>
      <c r="Q1667" s="4" t="e">
        <f t="shared" ca="1" si="460"/>
        <v>#NAME?</v>
      </c>
    </row>
    <row r="1668" spans="1:17">
      <c r="A1668" s="1">
        <f t="shared" si="452"/>
        <v>1667</v>
      </c>
      <c r="C1668" s="8" t="s">
        <v>17</v>
      </c>
      <c r="D1668" s="2">
        <v>43447</v>
      </c>
      <c r="E1668" s="3">
        <v>320</v>
      </c>
      <c r="F1668" t="s">
        <v>287</v>
      </c>
      <c r="G1668" t="s">
        <v>288</v>
      </c>
      <c r="H1668" t="s">
        <v>289</v>
      </c>
      <c r="I1668" s="6" t="s">
        <v>848</v>
      </c>
      <c r="J1668" s="61" t="s">
        <v>22</v>
      </c>
      <c r="L1668" s="5" t="str">
        <f t="shared" si="453"/>
        <v>01667</v>
      </c>
      <c r="M1668" s="47" t="str">
        <f t="shared" si="454"/>
        <v>13 de diciembre de 2018</v>
      </c>
      <c r="N1668" s="323">
        <f t="shared" si="455"/>
        <v>13</v>
      </c>
      <c r="O1668" s="25">
        <f t="shared" si="456"/>
        <v>43435</v>
      </c>
      <c r="P1668" s="5" t="str">
        <f t="shared" si="459"/>
        <v>320,00</v>
      </c>
      <c r="Q1668" s="4" t="e">
        <f t="shared" ca="1" si="460"/>
        <v>#NAME?</v>
      </c>
    </row>
    <row r="1669" spans="1:17" ht="15.75" thickBot="1">
      <c r="A1669" s="1">
        <f t="shared" si="452"/>
        <v>1668</v>
      </c>
      <c r="C1669" s="8" t="s">
        <v>17</v>
      </c>
      <c r="D1669" s="2">
        <v>43448</v>
      </c>
      <c r="E1669" s="3">
        <v>320</v>
      </c>
      <c r="F1669" t="s">
        <v>537</v>
      </c>
      <c r="G1669" t="s">
        <v>538</v>
      </c>
      <c r="H1669" t="s">
        <v>539</v>
      </c>
      <c r="I1669" s="6" t="s">
        <v>848</v>
      </c>
      <c r="J1669" s="61" t="s">
        <v>22</v>
      </c>
      <c r="L1669" s="5" t="str">
        <f t="shared" si="453"/>
        <v>01668</v>
      </c>
      <c r="M1669" s="47" t="str">
        <f t="shared" si="454"/>
        <v>14 de diciembre de 2018</v>
      </c>
      <c r="N1669" s="323">
        <f t="shared" si="455"/>
        <v>14</v>
      </c>
      <c r="O1669" s="25">
        <f t="shared" si="456"/>
        <v>43435</v>
      </c>
      <c r="P1669" s="5" t="str">
        <f t="shared" si="459"/>
        <v>320,00</v>
      </c>
      <c r="Q1669" s="4" t="e">
        <f t="shared" ca="1" si="460"/>
        <v>#NAME?</v>
      </c>
    </row>
    <row r="1670" spans="1:17" ht="15.75" thickBot="1">
      <c r="A1670" s="1">
        <f t="shared" si="452"/>
        <v>1669</v>
      </c>
      <c r="C1670" s="85" t="s">
        <v>17</v>
      </c>
      <c r="D1670" s="2">
        <v>43448</v>
      </c>
      <c r="E1670" s="3">
        <v>320</v>
      </c>
      <c r="F1670" t="s">
        <v>259</v>
      </c>
      <c r="G1670" s="18" t="s">
        <v>58</v>
      </c>
      <c r="H1670" t="s">
        <v>261</v>
      </c>
      <c r="I1670" s="6" t="s">
        <v>848</v>
      </c>
      <c r="J1670" s="61" t="s">
        <v>22</v>
      </c>
      <c r="L1670" s="5" t="str">
        <f t="shared" si="453"/>
        <v>01669</v>
      </c>
      <c r="M1670" s="47" t="str">
        <f t="shared" si="454"/>
        <v>14 de diciembre de 2018</v>
      </c>
      <c r="N1670" s="323">
        <f t="shared" si="455"/>
        <v>14</v>
      </c>
      <c r="O1670" s="25">
        <f t="shared" si="456"/>
        <v>43435</v>
      </c>
      <c r="P1670" s="5" t="str">
        <f t="shared" si="459"/>
        <v>320,00</v>
      </c>
      <c r="Q1670" s="4" t="e">
        <f t="shared" ca="1" si="460"/>
        <v>#NAME?</v>
      </c>
    </row>
    <row r="1671" spans="1:17" ht="15.75" thickBot="1">
      <c r="A1671" s="1">
        <f t="shared" si="452"/>
        <v>1670</v>
      </c>
      <c r="C1671" s="8" t="s">
        <v>17</v>
      </c>
      <c r="D1671" s="2">
        <v>43448</v>
      </c>
      <c r="E1671" s="3">
        <v>3000</v>
      </c>
      <c r="F1671" t="s">
        <v>612</v>
      </c>
      <c r="G1671" t="s">
        <v>613</v>
      </c>
      <c r="H1671" t="s">
        <v>614</v>
      </c>
      <c r="I1671" s="6" t="s">
        <v>871</v>
      </c>
      <c r="J1671" s="61" t="s">
        <v>22</v>
      </c>
      <c r="L1671" s="5" t="str">
        <f t="shared" si="453"/>
        <v>01670</v>
      </c>
      <c r="M1671" s="47" t="str">
        <f t="shared" si="454"/>
        <v>14 de diciembre de 2018</v>
      </c>
      <c r="N1671" s="323">
        <f t="shared" si="455"/>
        <v>14</v>
      </c>
      <c r="O1671" s="25">
        <f t="shared" si="456"/>
        <v>43435</v>
      </c>
      <c r="P1671" s="5" t="str">
        <f t="shared" si="459"/>
        <v>3.000,00</v>
      </c>
      <c r="Q1671" s="4" t="e">
        <f t="shared" ca="1" si="460"/>
        <v>#NAME?</v>
      </c>
    </row>
    <row r="1672" spans="1:17" ht="15.75" thickBot="1">
      <c r="A1672" s="1">
        <f t="shared" si="452"/>
        <v>1671</v>
      </c>
      <c r="C1672" s="85" t="s">
        <v>17</v>
      </c>
      <c r="D1672" s="2">
        <v>43448</v>
      </c>
      <c r="E1672" s="3">
        <f>320*3+800</f>
        <v>1760</v>
      </c>
      <c r="F1672" t="s">
        <v>410</v>
      </c>
      <c r="G1672" s="18" t="s">
        <v>58</v>
      </c>
      <c r="H1672" t="s">
        <v>411</v>
      </c>
      <c r="I1672" s="6" t="s">
        <v>872</v>
      </c>
      <c r="J1672" s="61" t="s">
        <v>22</v>
      </c>
      <c r="L1672" s="5" t="str">
        <f t="shared" si="453"/>
        <v>01671</v>
      </c>
      <c r="M1672" s="47" t="str">
        <f t="shared" si="454"/>
        <v>14 de diciembre de 2018</v>
      </c>
      <c r="N1672" s="323">
        <f t="shared" si="455"/>
        <v>14</v>
      </c>
      <c r="O1672" s="25">
        <f t="shared" si="456"/>
        <v>43435</v>
      </c>
      <c r="P1672" s="5" t="str">
        <f t="shared" si="459"/>
        <v>1.760,00</v>
      </c>
      <c r="Q1672" s="4" t="e">
        <f t="shared" ca="1" si="460"/>
        <v>#NAME?</v>
      </c>
    </row>
    <row r="1673" spans="1:17" ht="15.75" thickBot="1">
      <c r="A1673" s="1">
        <f t="shared" si="452"/>
        <v>1672</v>
      </c>
      <c r="C1673" s="8" t="s">
        <v>17</v>
      </c>
      <c r="D1673" s="2">
        <v>43449</v>
      </c>
      <c r="E1673" s="3">
        <v>800</v>
      </c>
      <c r="F1673" t="s">
        <v>103</v>
      </c>
      <c r="G1673" t="s">
        <v>104</v>
      </c>
      <c r="H1673" t="s">
        <v>105</v>
      </c>
      <c r="I1673" s="6" t="s">
        <v>861</v>
      </c>
      <c r="J1673" s="61" t="s">
        <v>22</v>
      </c>
      <c r="L1673" s="5" t="str">
        <f t="shared" ref="L1673:L1685" si="461">IF(ISBLANK(A1673),"",TEXT(A1673,"00000"))</f>
        <v>01672</v>
      </c>
      <c r="M1673" s="47" t="str">
        <f t="shared" ref="M1673:M1685" si="462">IF(ISBLANK(D1673),"",TEXT(D1673,"dd")&amp;" de "&amp;TEXT(D1673,"mmmm")&amp;" de "&amp;TEXT(YEAR(D1673),"0"))</f>
        <v>15 de diciembre de 2018</v>
      </c>
      <c r="N1673" s="323">
        <f t="shared" ref="N1673:N1685" si="463">DAY(D1673)</f>
        <v>15</v>
      </c>
      <c r="O1673" s="25">
        <f t="shared" ref="O1673:O1685" si="464">DATE(YEAR(D1673),MONTH(D1673),1)</f>
        <v>43435</v>
      </c>
      <c r="P1673" s="5" t="str">
        <f t="shared" ref="P1673:P1685" si="465">TEXT(E1673,"#.##0,00")</f>
        <v>800,00</v>
      </c>
      <c r="Q1673" s="4" t="e">
        <f t="shared" ref="Q1673:Q1685" ca="1" si="466">CONVERTIRNUM(E1673)</f>
        <v>#NAME?</v>
      </c>
    </row>
    <row r="1674" spans="1:17" ht="15.75" thickBot="1">
      <c r="A1674" s="1">
        <f t="shared" si="452"/>
        <v>1673</v>
      </c>
      <c r="C1674" s="85" t="s">
        <v>17</v>
      </c>
      <c r="D1674" s="2">
        <v>43450</v>
      </c>
      <c r="E1674" s="3">
        <v>355</v>
      </c>
      <c r="F1674" s="20" t="s">
        <v>57</v>
      </c>
      <c r="G1674" s="18" t="s">
        <v>58</v>
      </c>
      <c r="H1674" s="21" t="s">
        <v>59</v>
      </c>
      <c r="I1674" s="6" t="s">
        <v>848</v>
      </c>
      <c r="J1674" s="61" t="s">
        <v>22</v>
      </c>
      <c r="K1674" s="22"/>
      <c r="L1674" s="5" t="str">
        <f t="shared" si="461"/>
        <v>01673</v>
      </c>
      <c r="M1674" s="47" t="str">
        <f t="shared" si="462"/>
        <v>16 de diciembre de 2018</v>
      </c>
      <c r="N1674" s="323">
        <f t="shared" si="463"/>
        <v>16</v>
      </c>
      <c r="O1674" s="25">
        <f t="shared" si="464"/>
        <v>43435</v>
      </c>
      <c r="P1674" s="5" t="str">
        <f t="shared" si="465"/>
        <v>355,00</v>
      </c>
      <c r="Q1674" s="4" t="e">
        <f t="shared" ca="1" si="466"/>
        <v>#NAME?</v>
      </c>
    </row>
    <row r="1675" spans="1:17">
      <c r="A1675" s="1">
        <f t="shared" si="452"/>
        <v>1674</v>
      </c>
      <c r="C1675" s="8" t="s">
        <v>17</v>
      </c>
      <c r="D1675" s="2">
        <v>43450</v>
      </c>
      <c r="E1675" s="3">
        <v>200</v>
      </c>
      <c r="F1675" t="s">
        <v>433</v>
      </c>
      <c r="G1675" t="s">
        <v>434</v>
      </c>
      <c r="H1675" t="s">
        <v>435</v>
      </c>
      <c r="I1675" s="6" t="s">
        <v>873</v>
      </c>
      <c r="J1675" s="61" t="s">
        <v>22</v>
      </c>
      <c r="L1675" s="5" t="str">
        <f t="shared" si="461"/>
        <v>01674</v>
      </c>
      <c r="M1675" s="47" t="str">
        <f t="shared" si="462"/>
        <v>16 de diciembre de 2018</v>
      </c>
      <c r="N1675" s="323">
        <f t="shared" si="463"/>
        <v>16</v>
      </c>
      <c r="O1675" s="25">
        <f t="shared" si="464"/>
        <v>43435</v>
      </c>
      <c r="P1675" s="5" t="str">
        <f t="shared" si="465"/>
        <v>200,00</v>
      </c>
      <c r="Q1675" s="4" t="e">
        <f t="shared" ca="1" si="466"/>
        <v>#NAME?</v>
      </c>
    </row>
    <row r="1676" spans="1:17">
      <c r="A1676" s="1">
        <f t="shared" si="452"/>
        <v>1675</v>
      </c>
      <c r="C1676" s="8" t="s">
        <v>17</v>
      </c>
      <c r="D1676" s="2">
        <v>43451</v>
      </c>
      <c r="E1676" s="3">
        <v>1600</v>
      </c>
      <c r="F1676" t="s">
        <v>417</v>
      </c>
      <c r="G1676" t="s">
        <v>418</v>
      </c>
      <c r="H1676" t="s">
        <v>419</v>
      </c>
      <c r="I1676" s="6" t="s">
        <v>874</v>
      </c>
      <c r="J1676" s="61" t="s">
        <v>22</v>
      </c>
      <c r="L1676" s="5" t="str">
        <f t="shared" si="461"/>
        <v>01675</v>
      </c>
      <c r="M1676" s="47" t="str">
        <f t="shared" si="462"/>
        <v>17 de diciembre de 2018</v>
      </c>
      <c r="N1676" s="323">
        <f t="shared" si="463"/>
        <v>17</v>
      </c>
      <c r="O1676" s="25">
        <f t="shared" si="464"/>
        <v>43435</v>
      </c>
      <c r="P1676" s="5" t="str">
        <f t="shared" si="465"/>
        <v>1.600,00</v>
      </c>
      <c r="Q1676" s="4" t="e">
        <f t="shared" ca="1" si="466"/>
        <v>#NAME?</v>
      </c>
    </row>
    <row r="1677" spans="1:17">
      <c r="A1677" s="1">
        <f t="shared" si="452"/>
        <v>1676</v>
      </c>
      <c r="C1677" s="8" t="s">
        <v>17</v>
      </c>
      <c r="D1677" s="2">
        <v>43451</v>
      </c>
      <c r="E1677" s="3">
        <f>320+800</f>
        <v>1120</v>
      </c>
      <c r="F1677" t="s">
        <v>130</v>
      </c>
      <c r="G1677" t="s">
        <v>131</v>
      </c>
      <c r="H1677" t="s">
        <v>132</v>
      </c>
      <c r="I1677" s="6" t="s">
        <v>851</v>
      </c>
      <c r="J1677" s="61" t="s">
        <v>22</v>
      </c>
      <c r="L1677" s="5" t="str">
        <f t="shared" si="461"/>
        <v>01676</v>
      </c>
      <c r="M1677" s="47" t="str">
        <f t="shared" si="462"/>
        <v>17 de diciembre de 2018</v>
      </c>
      <c r="N1677" s="323">
        <f t="shared" si="463"/>
        <v>17</v>
      </c>
      <c r="O1677" s="25">
        <f t="shared" si="464"/>
        <v>43435</v>
      </c>
      <c r="P1677" s="5" t="str">
        <f t="shared" si="465"/>
        <v>1.120,00</v>
      </c>
      <c r="Q1677" s="4" t="e">
        <f t="shared" ca="1" si="466"/>
        <v>#NAME?</v>
      </c>
    </row>
    <row r="1678" spans="1:17">
      <c r="A1678" s="1">
        <f t="shared" si="452"/>
        <v>1677</v>
      </c>
      <c r="C1678" s="8" t="s">
        <v>17</v>
      </c>
      <c r="D1678" s="2">
        <v>43451</v>
      </c>
      <c r="E1678" s="3">
        <v>320</v>
      </c>
      <c r="F1678" t="s">
        <v>206</v>
      </c>
      <c r="G1678" t="s">
        <v>207</v>
      </c>
      <c r="H1678" t="s">
        <v>208</v>
      </c>
      <c r="I1678" s="6" t="s">
        <v>848</v>
      </c>
      <c r="J1678" s="61" t="s">
        <v>22</v>
      </c>
      <c r="L1678" s="5" t="str">
        <f t="shared" si="461"/>
        <v>01677</v>
      </c>
      <c r="M1678" s="47" t="str">
        <f t="shared" si="462"/>
        <v>17 de diciembre de 2018</v>
      </c>
      <c r="N1678" s="323">
        <f t="shared" si="463"/>
        <v>17</v>
      </c>
      <c r="O1678" s="25">
        <f t="shared" si="464"/>
        <v>43435</v>
      </c>
      <c r="P1678" s="5" t="str">
        <f t="shared" si="465"/>
        <v>320,00</v>
      </c>
      <c r="Q1678" s="4" t="e">
        <f t="shared" ca="1" si="466"/>
        <v>#NAME?</v>
      </c>
    </row>
    <row r="1679" spans="1:17">
      <c r="A1679" s="1">
        <f t="shared" si="452"/>
        <v>1678</v>
      </c>
      <c r="C1679" s="8" t="s">
        <v>17</v>
      </c>
      <c r="D1679" s="2">
        <v>43452</v>
      </c>
      <c r="E1679" s="3">
        <v>1000</v>
      </c>
      <c r="F1679" t="s">
        <v>771</v>
      </c>
      <c r="G1679" t="s">
        <v>772</v>
      </c>
      <c r="H1679" t="s">
        <v>773</v>
      </c>
      <c r="I1679" s="6" t="s">
        <v>861</v>
      </c>
      <c r="J1679" s="61" t="s">
        <v>22</v>
      </c>
      <c r="L1679" s="5" t="str">
        <f t="shared" si="461"/>
        <v>01678</v>
      </c>
      <c r="M1679" s="47" t="str">
        <f t="shared" si="462"/>
        <v>18 de diciembre de 2018</v>
      </c>
      <c r="N1679" s="323">
        <f t="shared" si="463"/>
        <v>18</v>
      </c>
      <c r="O1679" s="25">
        <f t="shared" si="464"/>
        <v>43435</v>
      </c>
      <c r="P1679" s="5" t="str">
        <f t="shared" si="465"/>
        <v>1.000,00</v>
      </c>
      <c r="Q1679" s="4" t="e">
        <f t="shared" ca="1" si="466"/>
        <v>#NAME?</v>
      </c>
    </row>
    <row r="1680" spans="1:17" ht="15.75" thickBot="1">
      <c r="A1680" s="1">
        <f t="shared" si="452"/>
        <v>1679</v>
      </c>
      <c r="C1680" s="8" t="s">
        <v>17</v>
      </c>
      <c r="D1680" s="2">
        <v>43452</v>
      </c>
      <c r="E1680" s="3">
        <v>1950</v>
      </c>
      <c r="F1680" t="s">
        <v>114</v>
      </c>
      <c r="G1680" t="s">
        <v>115</v>
      </c>
      <c r="H1680" t="s">
        <v>105</v>
      </c>
      <c r="I1680" s="6" t="s">
        <v>875</v>
      </c>
      <c r="J1680" s="61" t="s">
        <v>22</v>
      </c>
      <c r="L1680" s="5" t="str">
        <f t="shared" si="461"/>
        <v>01679</v>
      </c>
      <c r="M1680" s="47" t="str">
        <f t="shared" si="462"/>
        <v>18 de diciembre de 2018</v>
      </c>
      <c r="N1680" s="323">
        <f t="shared" si="463"/>
        <v>18</v>
      </c>
      <c r="O1680" s="25">
        <f t="shared" si="464"/>
        <v>43435</v>
      </c>
      <c r="P1680" s="5" t="str">
        <f t="shared" si="465"/>
        <v>1.950,00</v>
      </c>
      <c r="Q1680" s="4" t="e">
        <f t="shared" ca="1" si="466"/>
        <v>#NAME?</v>
      </c>
    </row>
    <row r="1681" spans="1:17" ht="15.75" thickBot="1">
      <c r="A1681" s="1">
        <f t="shared" si="452"/>
        <v>1680</v>
      </c>
      <c r="C1681" s="85" t="s">
        <v>17</v>
      </c>
      <c r="D1681" s="2">
        <v>43453</v>
      </c>
      <c r="E1681" s="3">
        <v>980</v>
      </c>
      <c r="F1681" t="s">
        <v>40</v>
      </c>
      <c r="G1681" s="18" t="s">
        <v>58</v>
      </c>
      <c r="H1681" t="s">
        <v>42</v>
      </c>
      <c r="I1681" s="6" t="s">
        <v>876</v>
      </c>
      <c r="J1681" s="61" t="s">
        <v>22</v>
      </c>
      <c r="L1681" s="5" t="str">
        <f t="shared" si="461"/>
        <v>01680</v>
      </c>
      <c r="M1681" s="47" t="str">
        <f t="shared" si="462"/>
        <v>19 de diciembre de 2018</v>
      </c>
      <c r="N1681" s="323">
        <f t="shared" si="463"/>
        <v>19</v>
      </c>
      <c r="O1681" s="25">
        <f t="shared" si="464"/>
        <v>43435</v>
      </c>
      <c r="P1681" s="5" t="str">
        <f t="shared" si="465"/>
        <v>980,00</v>
      </c>
      <c r="Q1681" s="4" t="e">
        <f t="shared" ca="1" si="466"/>
        <v>#NAME?</v>
      </c>
    </row>
    <row r="1682" spans="1:17">
      <c r="A1682" s="1">
        <f t="shared" si="452"/>
        <v>1681</v>
      </c>
      <c r="C1682" s="8" t="s">
        <v>17</v>
      </c>
      <c r="D1682" s="2">
        <v>43456</v>
      </c>
      <c r="E1682" s="3">
        <v>800</v>
      </c>
      <c r="F1682" t="s">
        <v>185</v>
      </c>
      <c r="G1682" t="s">
        <v>186</v>
      </c>
      <c r="H1682" t="s">
        <v>187</v>
      </c>
      <c r="I1682" s="6" t="s">
        <v>861</v>
      </c>
      <c r="J1682" s="61" t="s">
        <v>22</v>
      </c>
      <c r="L1682" s="5" t="str">
        <f t="shared" si="461"/>
        <v>01681</v>
      </c>
      <c r="M1682" s="47" t="str">
        <f t="shared" si="462"/>
        <v>22 de diciembre de 2018</v>
      </c>
      <c r="N1682" s="323">
        <f t="shared" si="463"/>
        <v>22</v>
      </c>
      <c r="O1682" s="25">
        <f t="shared" si="464"/>
        <v>43435</v>
      </c>
      <c r="P1682" s="5" t="str">
        <f t="shared" si="465"/>
        <v>800,00</v>
      </c>
      <c r="Q1682" s="4" t="e">
        <f t="shared" ca="1" si="466"/>
        <v>#NAME?</v>
      </c>
    </row>
    <row r="1683" spans="1:17" ht="15.75" thickBot="1">
      <c r="A1683" s="1">
        <f t="shared" si="452"/>
        <v>1682</v>
      </c>
      <c r="C1683" s="8" t="s">
        <v>17</v>
      </c>
      <c r="D1683" s="2">
        <v>43457</v>
      </c>
      <c r="E1683" s="3">
        <v>480</v>
      </c>
      <c r="F1683" t="s">
        <v>138</v>
      </c>
      <c r="G1683" t="s">
        <v>139</v>
      </c>
      <c r="H1683" t="s">
        <v>140</v>
      </c>
      <c r="I1683" s="6" t="s">
        <v>863</v>
      </c>
      <c r="J1683" s="61" t="s">
        <v>22</v>
      </c>
      <c r="L1683" s="5" t="str">
        <f t="shared" si="461"/>
        <v>01682</v>
      </c>
      <c r="M1683" s="47" t="str">
        <f t="shared" si="462"/>
        <v>23 de diciembre de 2018</v>
      </c>
      <c r="N1683" s="323">
        <f t="shared" si="463"/>
        <v>23</v>
      </c>
      <c r="O1683" s="25">
        <f t="shared" si="464"/>
        <v>43435</v>
      </c>
      <c r="P1683" s="5" t="str">
        <f t="shared" si="465"/>
        <v>480,00</v>
      </c>
      <c r="Q1683" s="4" t="e">
        <f t="shared" ca="1" si="466"/>
        <v>#NAME?</v>
      </c>
    </row>
    <row r="1684" spans="1:17" ht="15.75" thickBot="1">
      <c r="A1684" s="1">
        <f t="shared" si="452"/>
        <v>1683</v>
      </c>
      <c r="C1684" s="85" t="s">
        <v>17</v>
      </c>
      <c r="D1684" s="2">
        <v>43459</v>
      </c>
      <c r="E1684" s="3">
        <v>1450</v>
      </c>
      <c r="F1684" t="s">
        <v>479</v>
      </c>
      <c r="G1684" s="18" t="s">
        <v>58</v>
      </c>
      <c r="H1684" t="s">
        <v>481</v>
      </c>
      <c r="I1684" s="6" t="s">
        <v>877</v>
      </c>
      <c r="J1684" s="61" t="s">
        <v>22</v>
      </c>
      <c r="L1684" s="5" t="str">
        <f t="shared" si="461"/>
        <v>01683</v>
      </c>
      <c r="M1684" s="47" t="str">
        <f t="shared" si="462"/>
        <v>25 de diciembre de 2018</v>
      </c>
      <c r="N1684" s="323">
        <f t="shared" si="463"/>
        <v>25</v>
      </c>
      <c r="O1684" s="25">
        <f t="shared" si="464"/>
        <v>43435</v>
      </c>
      <c r="P1684" s="5" t="str">
        <f t="shared" si="465"/>
        <v>1.450,00</v>
      </c>
      <c r="Q1684" s="4" t="e">
        <f t="shared" ca="1" si="466"/>
        <v>#NAME?</v>
      </c>
    </row>
    <row r="1685" spans="1:17" ht="15.75" thickBot="1">
      <c r="A1685" s="1">
        <f t="shared" si="452"/>
        <v>1684</v>
      </c>
      <c r="C1685" s="8" t="s">
        <v>17</v>
      </c>
      <c r="D1685" s="2">
        <v>43459</v>
      </c>
      <c r="E1685" s="3">
        <v>500</v>
      </c>
      <c r="F1685" t="s">
        <v>412</v>
      </c>
      <c r="G1685" t="s">
        <v>413</v>
      </c>
      <c r="H1685" t="s">
        <v>414</v>
      </c>
      <c r="I1685" s="6" t="s">
        <v>878</v>
      </c>
      <c r="J1685" s="61" t="s">
        <v>22</v>
      </c>
      <c r="L1685" s="5" t="str">
        <f t="shared" si="461"/>
        <v>01684</v>
      </c>
      <c r="M1685" s="47" t="str">
        <f t="shared" si="462"/>
        <v>25 de diciembre de 2018</v>
      </c>
      <c r="N1685" s="323">
        <f t="shared" si="463"/>
        <v>25</v>
      </c>
      <c r="O1685" s="25">
        <f t="shared" si="464"/>
        <v>43435</v>
      </c>
      <c r="P1685" s="5" t="str">
        <f t="shared" si="465"/>
        <v>500,00</v>
      </c>
      <c r="Q1685" s="4" t="e">
        <f t="shared" ca="1" si="466"/>
        <v>#NAME?</v>
      </c>
    </row>
    <row r="1686" spans="1:17" ht="15.75" thickBot="1">
      <c r="A1686" s="1">
        <f t="shared" si="452"/>
        <v>1685</v>
      </c>
      <c r="C1686" s="85" t="s">
        <v>17</v>
      </c>
      <c r="D1686" s="2">
        <v>43460</v>
      </c>
      <c r="E1686" s="3">
        <v>800</v>
      </c>
      <c r="F1686" s="20" t="s">
        <v>57</v>
      </c>
      <c r="G1686" s="18" t="s">
        <v>58</v>
      </c>
      <c r="H1686" s="21" t="s">
        <v>59</v>
      </c>
      <c r="I1686" s="6" t="s">
        <v>861</v>
      </c>
      <c r="J1686" s="61" t="s">
        <v>22</v>
      </c>
      <c r="K1686" s="22"/>
      <c r="L1686" s="5" t="str">
        <f t="shared" ref="L1686:L1695" si="467">IF(ISBLANK(A1686),"",TEXT(A1686,"00000"))</f>
        <v>01685</v>
      </c>
      <c r="M1686" s="47" t="str">
        <f t="shared" ref="M1686:M1695" si="468">IF(ISBLANK(D1686),"",TEXT(D1686,"dd")&amp;" de "&amp;TEXT(D1686,"mmmm")&amp;" de "&amp;TEXT(YEAR(D1686),"0"))</f>
        <v>26 de diciembre de 2018</v>
      </c>
      <c r="N1686" s="323">
        <f t="shared" ref="N1686:N1695" si="469">DAY(D1686)</f>
        <v>26</v>
      </c>
      <c r="O1686" s="25">
        <f t="shared" ref="O1686:O1695" si="470">DATE(YEAR(D1686),MONTH(D1686),1)</f>
        <v>43435</v>
      </c>
      <c r="P1686" s="5" t="str">
        <f t="shared" ref="P1686:P1691" si="471">TEXT(E1686,"#.##0,00")</f>
        <v>800,00</v>
      </c>
      <c r="Q1686" s="4" t="e">
        <f t="shared" ref="Q1686:Q1691" ca="1" si="472">CONVERTIRNUM(E1686)</f>
        <v>#NAME?</v>
      </c>
    </row>
    <row r="1687" spans="1:17">
      <c r="A1687" s="1">
        <f t="shared" si="452"/>
        <v>1686</v>
      </c>
      <c r="C1687" s="8" t="s">
        <v>17</v>
      </c>
      <c r="D1687" s="2">
        <v>43460</v>
      </c>
      <c r="E1687" s="3">
        <v>1000</v>
      </c>
      <c r="F1687" t="s">
        <v>32</v>
      </c>
      <c r="G1687" t="s">
        <v>33</v>
      </c>
      <c r="H1687" t="s">
        <v>34</v>
      </c>
      <c r="I1687" s="161" t="s">
        <v>873</v>
      </c>
      <c r="J1687" s="61" t="s">
        <v>22</v>
      </c>
      <c r="L1687" s="5" t="str">
        <f t="shared" si="467"/>
        <v>01686</v>
      </c>
      <c r="M1687" s="47" t="str">
        <f t="shared" si="468"/>
        <v>26 de diciembre de 2018</v>
      </c>
      <c r="N1687" s="323">
        <f t="shared" si="469"/>
        <v>26</v>
      </c>
      <c r="O1687" s="25">
        <f t="shared" si="470"/>
        <v>43435</v>
      </c>
      <c r="P1687" s="5" t="str">
        <f t="shared" si="471"/>
        <v>1.000,00</v>
      </c>
      <c r="Q1687" s="4" t="e">
        <f t="shared" ca="1" si="472"/>
        <v>#NAME?</v>
      </c>
    </row>
    <row r="1688" spans="1:17">
      <c r="A1688" s="1">
        <f t="shared" si="452"/>
        <v>1687</v>
      </c>
      <c r="C1688" s="8" t="s">
        <v>17</v>
      </c>
      <c r="D1688" s="2">
        <v>43462</v>
      </c>
      <c r="E1688" s="3">
        <v>800</v>
      </c>
      <c r="F1688" t="s">
        <v>122</v>
      </c>
      <c r="G1688" t="s">
        <v>123</v>
      </c>
      <c r="H1688" t="s">
        <v>124</v>
      </c>
      <c r="I1688" s="6" t="s">
        <v>861</v>
      </c>
      <c r="J1688" s="61" t="s">
        <v>22</v>
      </c>
      <c r="L1688" s="5" t="str">
        <f t="shared" si="467"/>
        <v>01687</v>
      </c>
      <c r="M1688" s="47" t="str">
        <f t="shared" si="468"/>
        <v>28 de diciembre de 2018</v>
      </c>
      <c r="N1688" s="323">
        <f t="shared" si="469"/>
        <v>28</v>
      </c>
      <c r="O1688" s="25">
        <f t="shared" si="470"/>
        <v>43435</v>
      </c>
      <c r="P1688" s="5" t="str">
        <f t="shared" si="471"/>
        <v>800,00</v>
      </c>
      <c r="Q1688" s="4" t="e">
        <f t="shared" ca="1" si="472"/>
        <v>#NAME?</v>
      </c>
    </row>
    <row r="1689" spans="1:17">
      <c r="A1689" s="1">
        <f t="shared" si="452"/>
        <v>1688</v>
      </c>
      <c r="C1689" s="8" t="s">
        <v>17</v>
      </c>
      <c r="D1689" s="2">
        <v>43463</v>
      </c>
      <c r="E1689" s="3">
        <v>1600</v>
      </c>
      <c r="F1689" t="s">
        <v>287</v>
      </c>
      <c r="G1689" t="s">
        <v>288</v>
      </c>
      <c r="H1689" t="s">
        <v>289</v>
      </c>
      <c r="I1689" s="6" t="s">
        <v>879</v>
      </c>
      <c r="J1689" s="61" t="s">
        <v>22</v>
      </c>
      <c r="L1689" s="5" t="str">
        <f t="shared" si="467"/>
        <v>01688</v>
      </c>
      <c r="M1689" s="47" t="str">
        <f t="shared" si="468"/>
        <v>29 de diciembre de 2018</v>
      </c>
      <c r="N1689" s="323">
        <f t="shared" si="469"/>
        <v>29</v>
      </c>
      <c r="O1689" s="25">
        <f t="shared" si="470"/>
        <v>43435</v>
      </c>
      <c r="P1689" s="5" t="str">
        <f t="shared" si="471"/>
        <v>1.600,00</v>
      </c>
      <c r="Q1689" s="4" t="e">
        <f t="shared" ca="1" si="472"/>
        <v>#NAME?</v>
      </c>
    </row>
    <row r="1690" spans="1:17">
      <c r="A1690" s="1">
        <f t="shared" si="452"/>
        <v>1689</v>
      </c>
      <c r="C1690" s="8" t="s">
        <v>17</v>
      </c>
      <c r="D1690" s="2">
        <v>43467</v>
      </c>
      <c r="E1690" s="3">
        <v>1200</v>
      </c>
      <c r="F1690" t="s">
        <v>144</v>
      </c>
      <c r="G1690" t="s">
        <v>661</v>
      </c>
      <c r="H1690" t="s">
        <v>146</v>
      </c>
      <c r="I1690" s="6" t="s">
        <v>851</v>
      </c>
      <c r="J1690" s="61" t="s">
        <v>22</v>
      </c>
      <c r="L1690" s="5" t="str">
        <f t="shared" si="467"/>
        <v>01689</v>
      </c>
      <c r="M1690" s="47" t="str">
        <f t="shared" si="468"/>
        <v>02 de enero de 2019</v>
      </c>
      <c r="N1690" s="323">
        <f t="shared" si="469"/>
        <v>2</v>
      </c>
      <c r="O1690" s="25">
        <f t="shared" si="470"/>
        <v>43466</v>
      </c>
      <c r="P1690" s="5" t="str">
        <f t="shared" si="471"/>
        <v>1.200,00</v>
      </c>
      <c r="Q1690" s="4" t="e">
        <f t="shared" ca="1" si="472"/>
        <v>#NAME?</v>
      </c>
    </row>
    <row r="1691" spans="1:17">
      <c r="A1691" s="1">
        <f t="shared" si="452"/>
        <v>1690</v>
      </c>
      <c r="C1691" s="8" t="s">
        <v>17</v>
      </c>
      <c r="D1691" s="2">
        <v>43468</v>
      </c>
      <c r="E1691" s="3">
        <v>400</v>
      </c>
      <c r="F1691" t="s">
        <v>401</v>
      </c>
      <c r="G1691" t="s">
        <v>402</v>
      </c>
      <c r="H1691" t="s">
        <v>403</v>
      </c>
      <c r="I1691" s="6" t="s">
        <v>878</v>
      </c>
      <c r="J1691" s="61" t="s">
        <v>22</v>
      </c>
      <c r="L1691" s="5" t="str">
        <f t="shared" si="467"/>
        <v>01690</v>
      </c>
      <c r="M1691" s="47" t="str">
        <f t="shared" si="468"/>
        <v>03 de enero de 2019</v>
      </c>
      <c r="N1691" s="323">
        <f t="shared" si="469"/>
        <v>3</v>
      </c>
      <c r="O1691" s="25">
        <f t="shared" si="470"/>
        <v>43466</v>
      </c>
      <c r="P1691" s="5" t="str">
        <f t="shared" si="471"/>
        <v>400,00</v>
      </c>
      <c r="Q1691" s="4" t="e">
        <f t="shared" ca="1" si="472"/>
        <v>#NAME?</v>
      </c>
    </row>
    <row r="1692" spans="1:17" ht="15.75" thickBot="1">
      <c r="A1692" s="1">
        <f t="shared" si="452"/>
        <v>1691</v>
      </c>
      <c r="C1692" s="8" t="s">
        <v>17</v>
      </c>
      <c r="D1692" s="2">
        <v>43468</v>
      </c>
      <c r="E1692" s="3">
        <v>800</v>
      </c>
      <c r="F1692" t="s">
        <v>162</v>
      </c>
      <c r="G1692" t="s">
        <v>163</v>
      </c>
      <c r="H1692" t="s">
        <v>164</v>
      </c>
      <c r="I1692" s="6" t="s">
        <v>880</v>
      </c>
      <c r="J1692" s="61" t="s">
        <v>22</v>
      </c>
      <c r="L1692" s="5" t="str">
        <f t="shared" si="467"/>
        <v>01691</v>
      </c>
      <c r="M1692" s="47" t="str">
        <f t="shared" si="468"/>
        <v>03 de enero de 2019</v>
      </c>
      <c r="N1692" s="323">
        <f t="shared" si="469"/>
        <v>3</v>
      </c>
      <c r="O1692" s="25">
        <f t="shared" si="470"/>
        <v>43466</v>
      </c>
      <c r="P1692" s="5" t="str">
        <f>TEXT(E1692,"#.##0,00")</f>
        <v>800,00</v>
      </c>
      <c r="Q1692" s="4" t="e">
        <f ca="1">CONVERTIRNUM(E1692)</f>
        <v>#NAME?</v>
      </c>
    </row>
    <row r="1693" spans="1:17" ht="15.75" thickBot="1">
      <c r="A1693" s="1">
        <f t="shared" si="452"/>
        <v>1692</v>
      </c>
      <c r="C1693" s="85" t="s">
        <v>17</v>
      </c>
      <c r="D1693" s="2">
        <v>43468</v>
      </c>
      <c r="E1693" s="3">
        <v>1600</v>
      </c>
      <c r="F1693" t="s">
        <v>319</v>
      </c>
      <c r="G1693" s="18" t="s">
        <v>58</v>
      </c>
      <c r="H1693" t="s">
        <v>320</v>
      </c>
      <c r="I1693" s="6" t="s">
        <v>879</v>
      </c>
      <c r="J1693" s="61" t="s">
        <v>22</v>
      </c>
      <c r="L1693" s="5" t="str">
        <f t="shared" si="467"/>
        <v>01692</v>
      </c>
      <c r="M1693" s="47" t="str">
        <f t="shared" si="468"/>
        <v>03 de enero de 2019</v>
      </c>
      <c r="N1693" s="323">
        <f t="shared" si="469"/>
        <v>3</v>
      </c>
      <c r="O1693" s="25">
        <f t="shared" si="470"/>
        <v>43466</v>
      </c>
      <c r="P1693" s="5" t="str">
        <f t="shared" ref="P1693:P1695" si="473">TEXT(E1693,"#.##0,00")</f>
        <v>1.600,00</v>
      </c>
      <c r="Q1693" s="4" t="e">
        <f t="shared" ref="Q1693:Q1695" ca="1" si="474">CONVERTIRNUM(E1693)</f>
        <v>#NAME?</v>
      </c>
    </row>
    <row r="1694" spans="1:17">
      <c r="A1694" s="1">
        <f>A1693+1</f>
        <v>1693</v>
      </c>
      <c r="C1694" s="8" t="s">
        <v>17</v>
      </c>
      <c r="D1694" s="2">
        <v>43470</v>
      </c>
      <c r="E1694" s="3">
        <v>1800</v>
      </c>
      <c r="F1694" t="s">
        <v>36</v>
      </c>
      <c r="G1694" t="s">
        <v>37</v>
      </c>
      <c r="H1694" t="s">
        <v>38</v>
      </c>
      <c r="I1694" s="6" t="s">
        <v>881</v>
      </c>
      <c r="J1694" s="61" t="s">
        <v>22</v>
      </c>
      <c r="L1694" s="5" t="str">
        <f t="shared" si="467"/>
        <v>01693</v>
      </c>
      <c r="M1694" s="47" t="str">
        <f t="shared" si="468"/>
        <v>05 de enero de 2019</v>
      </c>
      <c r="N1694" s="323">
        <f t="shared" si="469"/>
        <v>5</v>
      </c>
      <c r="O1694" s="25">
        <f t="shared" si="470"/>
        <v>43466</v>
      </c>
      <c r="P1694" s="5" t="str">
        <f t="shared" si="473"/>
        <v>1.800,00</v>
      </c>
      <c r="Q1694" s="4" t="e">
        <f t="shared" ca="1" si="474"/>
        <v>#NAME?</v>
      </c>
    </row>
    <row r="1695" spans="1:17">
      <c r="A1695" s="1">
        <f t="shared" ref="A1695:A1706" si="475">A1694+1</f>
        <v>1694</v>
      </c>
      <c r="C1695" s="8" t="s">
        <v>17</v>
      </c>
      <c r="D1695" s="2">
        <v>43471</v>
      </c>
      <c r="E1695" s="3">
        <v>770</v>
      </c>
      <c r="F1695" t="s">
        <v>248</v>
      </c>
      <c r="G1695" t="s">
        <v>249</v>
      </c>
      <c r="H1695" t="s">
        <v>250</v>
      </c>
      <c r="I1695" s="6" t="s">
        <v>869</v>
      </c>
      <c r="J1695" s="61" t="s">
        <v>22</v>
      </c>
      <c r="L1695" s="5" t="str">
        <f t="shared" si="467"/>
        <v>01694</v>
      </c>
      <c r="M1695" s="47" t="str">
        <f t="shared" si="468"/>
        <v>06 de enero de 2019</v>
      </c>
      <c r="N1695" s="323">
        <f t="shared" si="469"/>
        <v>6</v>
      </c>
      <c r="O1695" s="25">
        <f t="shared" si="470"/>
        <v>43466</v>
      </c>
      <c r="P1695" s="5" t="str">
        <f t="shared" si="473"/>
        <v>770,00</v>
      </c>
      <c r="Q1695" s="4" t="e">
        <f t="shared" ca="1" si="474"/>
        <v>#NAME?</v>
      </c>
    </row>
    <row r="1696" spans="1:17">
      <c r="A1696" s="1">
        <f t="shared" si="475"/>
        <v>1695</v>
      </c>
      <c r="C1696" s="8" t="s">
        <v>17</v>
      </c>
      <c r="D1696" s="2">
        <v>43471</v>
      </c>
      <c r="E1696" s="3">
        <v>800</v>
      </c>
      <c r="F1696" t="s">
        <v>248</v>
      </c>
      <c r="G1696" t="s">
        <v>249</v>
      </c>
      <c r="H1696" t="s">
        <v>250</v>
      </c>
      <c r="I1696" s="6" t="s">
        <v>881</v>
      </c>
      <c r="J1696" s="61" t="s">
        <v>22</v>
      </c>
      <c r="L1696" s="5" t="str">
        <f t="shared" ref="L1696:L1713" si="476">IF(ISBLANK(A1696),"",TEXT(A1696,"00000"))</f>
        <v>01695</v>
      </c>
      <c r="M1696" s="47" t="str">
        <f t="shared" ref="M1696:M1713" si="477">IF(ISBLANK(D1696),"",TEXT(D1696,"dd")&amp;" de "&amp;TEXT(D1696,"mmmm")&amp;" de "&amp;TEXT(YEAR(D1696),"0"))</f>
        <v>06 de enero de 2019</v>
      </c>
      <c r="N1696" s="323">
        <f t="shared" ref="N1696:N1719" si="478">DAY(D1696)</f>
        <v>6</v>
      </c>
      <c r="O1696" s="25">
        <f t="shared" ref="O1696:O1713" si="479">DATE(YEAR(D1696),MONTH(D1696),1)</f>
        <v>43466</v>
      </c>
      <c r="P1696" s="5" t="str">
        <f t="shared" ref="P1696:P1719" si="480">TEXT(E1696,"#.##0,00")</f>
        <v>800,00</v>
      </c>
      <c r="Q1696" s="4" t="e">
        <f t="shared" ref="Q1696:Q1703" ca="1" si="481">CONVERTIRNUM(E1696)</f>
        <v>#NAME?</v>
      </c>
    </row>
    <row r="1697" spans="1:17">
      <c r="A1697" s="1">
        <f t="shared" si="475"/>
        <v>1696</v>
      </c>
      <c r="C1697" s="8" t="s">
        <v>17</v>
      </c>
      <c r="D1697" s="2">
        <v>43472</v>
      </c>
      <c r="E1697" s="3">
        <v>800</v>
      </c>
      <c r="F1697" t="s">
        <v>713</v>
      </c>
      <c r="G1697" t="s">
        <v>714</v>
      </c>
      <c r="H1697" t="s">
        <v>154</v>
      </c>
      <c r="I1697" s="6" t="s">
        <v>881</v>
      </c>
      <c r="J1697" s="61" t="s">
        <v>22</v>
      </c>
      <c r="L1697" s="5" t="str">
        <f t="shared" si="476"/>
        <v>01696</v>
      </c>
      <c r="M1697" s="47" t="str">
        <f t="shared" si="477"/>
        <v>07 de enero de 2019</v>
      </c>
      <c r="N1697" s="323">
        <f t="shared" si="478"/>
        <v>7</v>
      </c>
      <c r="O1697" s="25">
        <f t="shared" si="479"/>
        <v>43466</v>
      </c>
      <c r="P1697" s="5" t="str">
        <f t="shared" si="480"/>
        <v>800,00</v>
      </c>
      <c r="Q1697" s="4" t="e">
        <f t="shared" ca="1" si="481"/>
        <v>#NAME?</v>
      </c>
    </row>
    <row r="1698" spans="1:17">
      <c r="A1698" s="1">
        <f t="shared" si="475"/>
        <v>1697</v>
      </c>
      <c r="C1698" s="8" t="s">
        <v>17</v>
      </c>
      <c r="D1698" s="2">
        <v>43472</v>
      </c>
      <c r="E1698" s="3">
        <v>320</v>
      </c>
      <c r="F1698" t="s">
        <v>264</v>
      </c>
      <c r="G1698" t="s">
        <v>265</v>
      </c>
      <c r="H1698" t="s">
        <v>266</v>
      </c>
      <c r="I1698" s="6" t="s">
        <v>848</v>
      </c>
      <c r="J1698" s="61" t="s">
        <v>22</v>
      </c>
      <c r="L1698" s="5" t="str">
        <f t="shared" si="476"/>
        <v>01697</v>
      </c>
      <c r="M1698" s="47" t="str">
        <f t="shared" si="477"/>
        <v>07 de enero de 2019</v>
      </c>
      <c r="N1698" s="323">
        <f t="shared" si="478"/>
        <v>7</v>
      </c>
      <c r="O1698" s="25">
        <f t="shared" si="479"/>
        <v>43466</v>
      </c>
      <c r="P1698" s="5" t="str">
        <f t="shared" si="480"/>
        <v>320,00</v>
      </c>
      <c r="Q1698" s="4" t="e">
        <f t="shared" ca="1" si="481"/>
        <v>#NAME?</v>
      </c>
    </row>
    <row r="1699" spans="1:17">
      <c r="A1699" s="1">
        <f t="shared" si="475"/>
        <v>1698</v>
      </c>
      <c r="C1699" s="8" t="s">
        <v>17</v>
      </c>
      <c r="D1699" s="2">
        <v>43472</v>
      </c>
      <c r="E1699" s="3">
        <v>800</v>
      </c>
      <c r="F1699" t="s">
        <v>264</v>
      </c>
      <c r="G1699" t="s">
        <v>265</v>
      </c>
      <c r="H1699" t="s">
        <v>266</v>
      </c>
      <c r="I1699" s="6" t="s">
        <v>861</v>
      </c>
      <c r="J1699" s="61" t="s">
        <v>22</v>
      </c>
      <c r="L1699" s="5" t="str">
        <f t="shared" si="476"/>
        <v>01698</v>
      </c>
      <c r="M1699" s="47" t="str">
        <f t="shared" si="477"/>
        <v>07 de enero de 2019</v>
      </c>
      <c r="N1699" s="323">
        <f t="shared" si="478"/>
        <v>7</v>
      </c>
      <c r="O1699" s="25">
        <f t="shared" si="479"/>
        <v>43466</v>
      </c>
      <c r="P1699" s="5" t="str">
        <f t="shared" si="480"/>
        <v>800,00</v>
      </c>
      <c r="Q1699" s="4" t="e">
        <f t="shared" ca="1" si="481"/>
        <v>#NAME?</v>
      </c>
    </row>
    <row r="1700" spans="1:17">
      <c r="A1700" s="1">
        <f t="shared" si="475"/>
        <v>1699</v>
      </c>
      <c r="C1700" s="8" t="s">
        <v>17</v>
      </c>
      <c r="D1700" s="2">
        <v>43472</v>
      </c>
      <c r="E1700" s="3">
        <v>800</v>
      </c>
      <c r="F1700" t="s">
        <v>118</v>
      </c>
      <c r="G1700" t="s">
        <v>119</v>
      </c>
      <c r="H1700" t="s">
        <v>120</v>
      </c>
      <c r="I1700" s="6" t="s">
        <v>861</v>
      </c>
      <c r="J1700" s="61" t="s">
        <v>22</v>
      </c>
      <c r="L1700" s="5" t="str">
        <f t="shared" si="476"/>
        <v>01699</v>
      </c>
      <c r="M1700" s="47" t="str">
        <f t="shared" si="477"/>
        <v>07 de enero de 2019</v>
      </c>
      <c r="N1700" s="323">
        <f t="shared" si="478"/>
        <v>7</v>
      </c>
      <c r="O1700" s="25">
        <f t="shared" si="479"/>
        <v>43466</v>
      </c>
      <c r="P1700" s="5" t="str">
        <f t="shared" si="480"/>
        <v>800,00</v>
      </c>
      <c r="Q1700" s="4" t="e">
        <f t="shared" ca="1" si="481"/>
        <v>#NAME?</v>
      </c>
    </row>
    <row r="1701" spans="1:17">
      <c r="A1701" s="1">
        <f t="shared" si="475"/>
        <v>1700</v>
      </c>
      <c r="C1701" s="8" t="s">
        <v>17</v>
      </c>
      <c r="D1701" s="2">
        <v>43473</v>
      </c>
      <c r="E1701" s="3">
        <f>800-662.95+800</f>
        <v>937.05</v>
      </c>
      <c r="F1701" t="s">
        <v>18</v>
      </c>
      <c r="G1701" t="s">
        <v>19</v>
      </c>
      <c r="H1701" t="s">
        <v>20</v>
      </c>
      <c r="I1701" s="6" t="s">
        <v>882</v>
      </c>
      <c r="J1701" s="61" t="s">
        <v>22</v>
      </c>
      <c r="L1701" s="5" t="str">
        <f t="shared" si="476"/>
        <v>01700</v>
      </c>
      <c r="M1701" s="47" t="str">
        <f t="shared" si="477"/>
        <v>08 de enero de 2019</v>
      </c>
      <c r="N1701" s="323">
        <f t="shared" si="478"/>
        <v>8</v>
      </c>
      <c r="O1701" s="25">
        <f t="shared" si="479"/>
        <v>43466</v>
      </c>
      <c r="P1701" s="5" t="str">
        <f t="shared" si="480"/>
        <v>937,05</v>
      </c>
      <c r="Q1701" s="4" t="e">
        <f t="shared" ca="1" si="481"/>
        <v>#NAME?</v>
      </c>
    </row>
    <row r="1702" spans="1:17">
      <c r="A1702" s="1">
        <f t="shared" si="475"/>
        <v>1701</v>
      </c>
      <c r="C1702" s="8" t="s">
        <v>17</v>
      </c>
      <c r="D1702" s="2">
        <v>43473</v>
      </c>
      <c r="E1702" s="3">
        <v>800</v>
      </c>
      <c r="F1702" t="s">
        <v>107</v>
      </c>
      <c r="G1702" t="s">
        <v>108</v>
      </c>
      <c r="H1702" t="s">
        <v>109</v>
      </c>
      <c r="I1702" s="6" t="s">
        <v>881</v>
      </c>
      <c r="J1702" s="61" t="s">
        <v>22</v>
      </c>
      <c r="L1702" s="5" t="str">
        <f t="shared" si="476"/>
        <v>01701</v>
      </c>
      <c r="M1702" s="47" t="str">
        <f t="shared" si="477"/>
        <v>08 de enero de 2019</v>
      </c>
      <c r="N1702" s="323">
        <f t="shared" si="478"/>
        <v>8</v>
      </c>
      <c r="O1702" s="25">
        <f t="shared" si="479"/>
        <v>43466</v>
      </c>
      <c r="P1702" s="5" t="str">
        <f t="shared" si="480"/>
        <v>800,00</v>
      </c>
      <c r="Q1702" s="4" t="e">
        <f t="shared" ca="1" si="481"/>
        <v>#NAME?</v>
      </c>
    </row>
    <row r="1703" spans="1:17">
      <c r="A1703" s="1">
        <f t="shared" si="475"/>
        <v>1702</v>
      </c>
      <c r="C1703" s="8" t="s">
        <v>17</v>
      </c>
      <c r="D1703" s="2">
        <v>43473</v>
      </c>
      <c r="E1703" s="3">
        <v>800</v>
      </c>
      <c r="F1703" t="s">
        <v>48</v>
      </c>
      <c r="G1703" t="s">
        <v>49</v>
      </c>
      <c r="H1703" t="s">
        <v>50</v>
      </c>
      <c r="I1703" s="6" t="s">
        <v>881</v>
      </c>
      <c r="J1703" s="61" t="s">
        <v>22</v>
      </c>
      <c r="L1703" s="5" t="str">
        <f t="shared" si="476"/>
        <v>01702</v>
      </c>
      <c r="M1703" s="47" t="str">
        <f t="shared" si="477"/>
        <v>08 de enero de 2019</v>
      </c>
      <c r="N1703" s="323">
        <f t="shared" si="478"/>
        <v>8</v>
      </c>
      <c r="O1703" s="25">
        <f t="shared" si="479"/>
        <v>43466</v>
      </c>
      <c r="P1703" s="5" t="str">
        <f t="shared" si="480"/>
        <v>800,00</v>
      </c>
      <c r="Q1703" s="4" t="e">
        <f t="shared" ca="1" si="481"/>
        <v>#NAME?</v>
      </c>
    </row>
    <row r="1704" spans="1:17">
      <c r="A1704" s="1">
        <f t="shared" si="475"/>
        <v>1703</v>
      </c>
      <c r="C1704" s="8" t="s">
        <v>17</v>
      </c>
      <c r="D1704" s="2">
        <v>43473</v>
      </c>
      <c r="E1704" s="3">
        <v>1280</v>
      </c>
      <c r="F1704" t="s">
        <v>407</v>
      </c>
      <c r="G1704" t="s">
        <v>408</v>
      </c>
      <c r="H1704" t="s">
        <v>409</v>
      </c>
      <c r="I1704" s="6" t="s">
        <v>864</v>
      </c>
      <c r="J1704" s="61" t="s">
        <v>22</v>
      </c>
      <c r="L1704" s="5" t="str">
        <f t="shared" si="476"/>
        <v>01703</v>
      </c>
      <c r="M1704" s="47" t="str">
        <f t="shared" si="477"/>
        <v>08 de enero de 2019</v>
      </c>
      <c r="N1704" s="323">
        <f t="shared" si="478"/>
        <v>8</v>
      </c>
      <c r="O1704" s="25">
        <f t="shared" si="479"/>
        <v>43466</v>
      </c>
      <c r="P1704" s="5" t="str">
        <f t="shared" si="480"/>
        <v>1.280,00</v>
      </c>
      <c r="Q1704" s="4" t="e">
        <f ca="1">CONVERTIRNUM(E1704)</f>
        <v>#NAME?</v>
      </c>
    </row>
    <row r="1705" spans="1:17">
      <c r="A1705" s="1">
        <f t="shared" si="475"/>
        <v>1704</v>
      </c>
      <c r="C1705" s="8" t="s">
        <v>17</v>
      </c>
      <c r="D1705" s="2">
        <v>43473</v>
      </c>
      <c r="E1705" s="3">
        <v>800</v>
      </c>
      <c r="F1705" t="s">
        <v>84</v>
      </c>
      <c r="G1705" t="s">
        <v>85</v>
      </c>
      <c r="H1705" t="s">
        <v>86</v>
      </c>
      <c r="I1705" s="6" t="s">
        <v>881</v>
      </c>
      <c r="J1705" s="61" t="s">
        <v>22</v>
      </c>
      <c r="L1705" s="5" t="str">
        <f t="shared" si="476"/>
        <v>01704</v>
      </c>
      <c r="M1705" s="47" t="str">
        <f t="shared" si="477"/>
        <v>08 de enero de 2019</v>
      </c>
      <c r="N1705" s="323">
        <f t="shared" si="478"/>
        <v>8</v>
      </c>
      <c r="O1705" s="25">
        <f t="shared" si="479"/>
        <v>43466</v>
      </c>
      <c r="P1705" s="5" t="str">
        <f t="shared" si="480"/>
        <v>800,00</v>
      </c>
      <c r="Q1705" s="4" t="e">
        <f t="shared" ref="Q1705:Q1719" ca="1" si="482">CONVERTIRNUM(E1705)</f>
        <v>#NAME?</v>
      </c>
    </row>
    <row r="1706" spans="1:17">
      <c r="A1706" s="1">
        <f t="shared" si="475"/>
        <v>1705</v>
      </c>
      <c r="C1706" s="8" t="s">
        <v>17</v>
      </c>
      <c r="D1706" s="2">
        <v>43473</v>
      </c>
      <c r="E1706" s="3">
        <v>800</v>
      </c>
      <c r="F1706" t="s">
        <v>334</v>
      </c>
      <c r="G1706" t="s">
        <v>85</v>
      </c>
      <c r="H1706" t="s">
        <v>335</v>
      </c>
      <c r="I1706" s="6" t="s">
        <v>881</v>
      </c>
      <c r="J1706" s="61" t="s">
        <v>22</v>
      </c>
      <c r="L1706" s="5" t="str">
        <f t="shared" si="476"/>
        <v>01705</v>
      </c>
      <c r="M1706" s="47" t="str">
        <f t="shared" si="477"/>
        <v>08 de enero de 2019</v>
      </c>
      <c r="N1706" s="323">
        <f t="shared" si="478"/>
        <v>8</v>
      </c>
      <c r="O1706" s="25">
        <f t="shared" si="479"/>
        <v>43466</v>
      </c>
      <c r="P1706" s="5" t="str">
        <f t="shared" si="480"/>
        <v>800,00</v>
      </c>
      <c r="Q1706" s="4" t="e">
        <f t="shared" ca="1" si="482"/>
        <v>#NAME?</v>
      </c>
    </row>
    <row r="1707" spans="1:17">
      <c r="A1707" s="1">
        <f>A1706+1</f>
        <v>1706</v>
      </c>
      <c r="C1707" s="8" t="s">
        <v>17</v>
      </c>
      <c r="D1707" s="2">
        <v>43474</v>
      </c>
      <c r="E1707" s="3">
        <v>800</v>
      </c>
      <c r="F1707" t="s">
        <v>70</v>
      </c>
      <c r="G1707" t="s">
        <v>71</v>
      </c>
      <c r="H1707" t="s">
        <v>72</v>
      </c>
      <c r="I1707" s="6" t="s">
        <v>881</v>
      </c>
      <c r="J1707" s="61" t="s">
        <v>22</v>
      </c>
      <c r="L1707" s="5" t="str">
        <f t="shared" si="476"/>
        <v>01706</v>
      </c>
      <c r="M1707" s="47" t="str">
        <f t="shared" si="477"/>
        <v>09 de enero de 2019</v>
      </c>
      <c r="N1707" s="323">
        <f t="shared" si="478"/>
        <v>9</v>
      </c>
      <c r="O1707" s="25">
        <f t="shared" si="479"/>
        <v>43466</v>
      </c>
      <c r="P1707" s="5" t="str">
        <f t="shared" si="480"/>
        <v>800,00</v>
      </c>
      <c r="Q1707" s="4" t="e">
        <f t="shared" ca="1" si="482"/>
        <v>#NAME?</v>
      </c>
    </row>
    <row r="1708" spans="1:17">
      <c r="A1708" s="1">
        <f t="shared" ref="A1708:A1772" si="483">A1707+1</f>
        <v>1707</v>
      </c>
      <c r="C1708" s="8" t="s">
        <v>17</v>
      </c>
      <c r="D1708" s="2">
        <v>43475</v>
      </c>
      <c r="E1708" s="3">
        <v>800</v>
      </c>
      <c r="F1708" t="s">
        <v>483</v>
      </c>
      <c r="G1708" t="s">
        <v>484</v>
      </c>
      <c r="H1708" t="s">
        <v>485</v>
      </c>
      <c r="I1708" s="6" t="s">
        <v>881</v>
      </c>
      <c r="J1708" s="61" t="s">
        <v>22</v>
      </c>
      <c r="L1708" s="5" t="str">
        <f t="shared" si="476"/>
        <v>01707</v>
      </c>
      <c r="M1708" s="47" t="str">
        <f t="shared" si="477"/>
        <v>10 de enero de 2019</v>
      </c>
      <c r="N1708" s="323">
        <f t="shared" si="478"/>
        <v>10</v>
      </c>
      <c r="O1708" s="25">
        <f t="shared" si="479"/>
        <v>43466</v>
      </c>
      <c r="P1708" s="5" t="str">
        <f t="shared" si="480"/>
        <v>800,00</v>
      </c>
      <c r="Q1708" s="4" t="e">
        <f t="shared" ca="1" si="482"/>
        <v>#NAME?</v>
      </c>
    </row>
    <row r="1709" spans="1:17">
      <c r="A1709" s="1">
        <f t="shared" si="483"/>
        <v>1708</v>
      </c>
      <c r="C1709" s="8" t="s">
        <v>17</v>
      </c>
      <c r="D1709" s="2">
        <v>43475</v>
      </c>
      <c r="E1709" s="3">
        <v>1600</v>
      </c>
      <c r="F1709" t="s">
        <v>785</v>
      </c>
      <c r="G1709" t="s">
        <v>786</v>
      </c>
      <c r="H1709" t="s">
        <v>719</v>
      </c>
      <c r="I1709" s="6" t="s">
        <v>883</v>
      </c>
      <c r="J1709" s="61" t="s">
        <v>22</v>
      </c>
      <c r="L1709" s="5" t="str">
        <f t="shared" si="476"/>
        <v>01708</v>
      </c>
      <c r="M1709" s="47" t="str">
        <f t="shared" si="477"/>
        <v>10 de enero de 2019</v>
      </c>
      <c r="N1709" s="323">
        <f t="shared" si="478"/>
        <v>10</v>
      </c>
      <c r="O1709" s="25">
        <f t="shared" si="479"/>
        <v>43466</v>
      </c>
      <c r="P1709" s="5" t="str">
        <f t="shared" si="480"/>
        <v>1.600,00</v>
      </c>
      <c r="Q1709" s="4" t="e">
        <f t="shared" ca="1" si="482"/>
        <v>#NAME?</v>
      </c>
    </row>
    <row r="1710" spans="1:17">
      <c r="A1710" s="1">
        <f t="shared" si="483"/>
        <v>1709</v>
      </c>
      <c r="C1710" s="8" t="s">
        <v>17</v>
      </c>
      <c r="D1710" s="2">
        <v>43475</v>
      </c>
      <c r="E1710" s="3">
        <v>1000</v>
      </c>
      <c r="F1710" t="s">
        <v>53</v>
      </c>
      <c r="G1710" t="s">
        <v>677</v>
      </c>
      <c r="H1710" t="s">
        <v>55</v>
      </c>
      <c r="I1710" s="6" t="s">
        <v>881</v>
      </c>
      <c r="J1710" s="61" t="s">
        <v>22</v>
      </c>
      <c r="L1710" s="5" t="str">
        <f t="shared" si="476"/>
        <v>01709</v>
      </c>
      <c r="M1710" s="47" t="str">
        <f t="shared" si="477"/>
        <v>10 de enero de 2019</v>
      </c>
      <c r="N1710" s="323">
        <f t="shared" si="478"/>
        <v>10</v>
      </c>
      <c r="O1710" s="25">
        <f t="shared" si="479"/>
        <v>43466</v>
      </c>
      <c r="P1710" s="5" t="str">
        <f t="shared" si="480"/>
        <v>1.000,00</v>
      </c>
      <c r="Q1710" s="4" t="e">
        <f t="shared" ca="1" si="482"/>
        <v>#NAME?</v>
      </c>
    </row>
    <row r="1711" spans="1:17">
      <c r="A1711" s="1">
        <f t="shared" si="483"/>
        <v>1710</v>
      </c>
      <c r="C1711" s="8" t="s">
        <v>17</v>
      </c>
      <c r="D1711" s="2">
        <v>43475</v>
      </c>
      <c r="E1711" s="3">
        <v>800</v>
      </c>
      <c r="F1711" t="s">
        <v>362</v>
      </c>
      <c r="G1711" t="s">
        <v>363</v>
      </c>
      <c r="H1711" t="s">
        <v>364</v>
      </c>
      <c r="I1711" s="6" t="s">
        <v>881</v>
      </c>
      <c r="J1711" s="61" t="s">
        <v>22</v>
      </c>
      <c r="L1711" s="5" t="str">
        <f t="shared" si="476"/>
        <v>01710</v>
      </c>
      <c r="M1711" s="47" t="str">
        <f t="shared" si="477"/>
        <v>10 de enero de 2019</v>
      </c>
      <c r="N1711" s="323">
        <f t="shared" si="478"/>
        <v>10</v>
      </c>
      <c r="O1711" s="25">
        <f t="shared" si="479"/>
        <v>43466</v>
      </c>
      <c r="P1711" s="5" t="str">
        <f t="shared" si="480"/>
        <v>800,00</v>
      </c>
      <c r="Q1711" s="4" t="e">
        <f t="shared" ca="1" si="482"/>
        <v>#NAME?</v>
      </c>
    </row>
    <row r="1712" spans="1:17">
      <c r="A1712" s="1">
        <f t="shared" si="483"/>
        <v>1711</v>
      </c>
      <c r="C1712" s="8" t="s">
        <v>17</v>
      </c>
      <c r="D1712" s="2">
        <v>43475</v>
      </c>
      <c r="E1712" s="3">
        <v>1500</v>
      </c>
      <c r="F1712" t="s">
        <v>90</v>
      </c>
      <c r="G1712" t="s">
        <v>91</v>
      </c>
      <c r="H1712" t="s">
        <v>92</v>
      </c>
      <c r="I1712" s="6" t="s">
        <v>881</v>
      </c>
      <c r="J1712" s="61" t="s">
        <v>22</v>
      </c>
      <c r="L1712" s="5" t="str">
        <f t="shared" si="476"/>
        <v>01711</v>
      </c>
      <c r="M1712" s="47" t="str">
        <f t="shared" si="477"/>
        <v>10 de enero de 2019</v>
      </c>
      <c r="N1712" s="323">
        <f t="shared" si="478"/>
        <v>10</v>
      </c>
      <c r="O1712" s="25">
        <f t="shared" si="479"/>
        <v>43466</v>
      </c>
      <c r="P1712" s="5" t="str">
        <f t="shared" si="480"/>
        <v>1.500,00</v>
      </c>
      <c r="Q1712" s="4" t="e">
        <f t="shared" ca="1" si="482"/>
        <v>#NAME?</v>
      </c>
    </row>
    <row r="1713" spans="1:17">
      <c r="A1713" s="1">
        <f t="shared" si="483"/>
        <v>1712</v>
      </c>
      <c r="C1713" s="8" t="s">
        <v>17</v>
      </c>
      <c r="D1713" s="2">
        <v>43476</v>
      </c>
      <c r="E1713" s="3">
        <v>800</v>
      </c>
      <c r="F1713" t="s">
        <v>438</v>
      </c>
      <c r="G1713" t="s">
        <v>439</v>
      </c>
      <c r="H1713" t="s">
        <v>440</v>
      </c>
      <c r="I1713" s="6" t="s">
        <v>884</v>
      </c>
      <c r="J1713" s="61" t="s">
        <v>22</v>
      </c>
      <c r="L1713" s="5" t="str">
        <f t="shared" si="476"/>
        <v>01712</v>
      </c>
      <c r="M1713" s="47" t="str">
        <f t="shared" si="477"/>
        <v>11 de enero de 2019</v>
      </c>
      <c r="N1713" s="323">
        <f t="shared" si="478"/>
        <v>11</v>
      </c>
      <c r="O1713" s="25">
        <f t="shared" si="479"/>
        <v>43466</v>
      </c>
      <c r="P1713" s="5" t="str">
        <f t="shared" si="480"/>
        <v>800,00</v>
      </c>
      <c r="Q1713" s="4" t="e">
        <f t="shared" ca="1" si="482"/>
        <v>#NAME?</v>
      </c>
    </row>
    <row r="1714" spans="1:17">
      <c r="A1714" s="1">
        <f t="shared" si="483"/>
        <v>1713</v>
      </c>
      <c r="C1714" s="8" t="s">
        <v>17</v>
      </c>
      <c r="D1714" s="2">
        <v>43476</v>
      </c>
      <c r="E1714" s="3">
        <v>1000</v>
      </c>
      <c r="F1714" t="s">
        <v>44</v>
      </c>
      <c r="G1714" t="s">
        <v>45</v>
      </c>
      <c r="H1714" t="s">
        <v>46</v>
      </c>
      <c r="I1714" s="6" t="s">
        <v>881</v>
      </c>
      <c r="J1714" s="61" t="s">
        <v>22</v>
      </c>
      <c r="L1714" s="5" t="str">
        <f>IF(ISBLANK(A1714),"",TEXT(A1714,"00000"))</f>
        <v>01713</v>
      </c>
      <c r="M1714" s="47" t="str">
        <f>IF(ISBLANK(D1714),"",TEXT(D1714,"dd")&amp;" de "&amp;TEXT(D1714,"mmmm")&amp;" de "&amp;TEXT(YEAR(D1714),"0"))</f>
        <v>11 de enero de 2019</v>
      </c>
      <c r="N1714" s="323">
        <f t="shared" si="478"/>
        <v>11</v>
      </c>
      <c r="O1714" s="25">
        <f>DATE(YEAR(D1714),MONTH(D1714),1)</f>
        <v>43466</v>
      </c>
      <c r="P1714" s="5" t="str">
        <f t="shared" si="480"/>
        <v>1.000,00</v>
      </c>
      <c r="Q1714" s="4" t="e">
        <f t="shared" ca="1" si="482"/>
        <v>#NAME?</v>
      </c>
    </row>
    <row r="1715" spans="1:17">
      <c r="A1715" s="1">
        <f t="shared" si="483"/>
        <v>1714</v>
      </c>
      <c r="C1715" s="8" t="s">
        <v>17</v>
      </c>
      <c r="D1715" s="2">
        <v>43476</v>
      </c>
      <c r="E1715" s="3">
        <v>800</v>
      </c>
      <c r="F1715" t="s">
        <v>126</v>
      </c>
      <c r="G1715" t="s">
        <v>127</v>
      </c>
      <c r="H1715" t="s">
        <v>128</v>
      </c>
      <c r="I1715" s="6" t="s">
        <v>881</v>
      </c>
      <c r="J1715" s="61" t="s">
        <v>22</v>
      </c>
      <c r="L1715" s="5" t="str">
        <f t="shared" ref="L1715:L1730" si="484">IF(ISBLANK(A1715),"",TEXT(A1715,"00000"))</f>
        <v>01714</v>
      </c>
      <c r="M1715" s="47" t="str">
        <f t="shared" ref="M1715:M1730" si="485">IF(ISBLANK(D1715),"",TEXT(D1715,"dd")&amp;" de "&amp;TEXT(D1715,"mmmm")&amp;" de "&amp;TEXT(YEAR(D1715),"0"))</f>
        <v>11 de enero de 2019</v>
      </c>
      <c r="N1715" s="323">
        <f t="shared" si="478"/>
        <v>11</v>
      </c>
      <c r="O1715" s="25">
        <f t="shared" ref="O1715:O1730" si="486">DATE(YEAR(D1715),MONTH(D1715),1)</f>
        <v>43466</v>
      </c>
      <c r="P1715" s="5" t="str">
        <f t="shared" si="480"/>
        <v>800,00</v>
      </c>
      <c r="Q1715" s="4" t="e">
        <f t="shared" ca="1" si="482"/>
        <v>#NAME?</v>
      </c>
    </row>
    <row r="1716" spans="1:17">
      <c r="A1716" s="1">
        <f t="shared" si="483"/>
        <v>1715</v>
      </c>
      <c r="C1716" s="8" t="s">
        <v>17</v>
      </c>
      <c r="D1716" s="2">
        <v>43476</v>
      </c>
      <c r="E1716" s="3">
        <v>800</v>
      </c>
      <c r="F1716" t="s">
        <v>454</v>
      </c>
      <c r="G1716" t="s">
        <v>761</v>
      </c>
      <c r="H1716" t="s">
        <v>455</v>
      </c>
      <c r="I1716" s="6" t="s">
        <v>881</v>
      </c>
      <c r="J1716" s="61" t="s">
        <v>22</v>
      </c>
      <c r="L1716" s="5" t="str">
        <f t="shared" si="484"/>
        <v>01715</v>
      </c>
      <c r="M1716" s="47" t="str">
        <f t="shared" si="485"/>
        <v>11 de enero de 2019</v>
      </c>
      <c r="N1716" s="323">
        <f t="shared" si="478"/>
        <v>11</v>
      </c>
      <c r="O1716" s="25">
        <f t="shared" si="486"/>
        <v>43466</v>
      </c>
      <c r="P1716" s="5" t="str">
        <f t="shared" si="480"/>
        <v>800,00</v>
      </c>
      <c r="Q1716" s="4" t="e">
        <f t="shared" ca="1" si="482"/>
        <v>#NAME?</v>
      </c>
    </row>
    <row r="1717" spans="1:17">
      <c r="A1717" s="1">
        <f t="shared" si="483"/>
        <v>1716</v>
      </c>
      <c r="C1717" s="8" t="s">
        <v>17</v>
      </c>
      <c r="D1717" s="2">
        <v>43476</v>
      </c>
      <c r="E1717" s="3">
        <v>800</v>
      </c>
      <c r="F1717" t="s">
        <v>24</v>
      </c>
      <c r="G1717" t="s">
        <v>25</v>
      </c>
      <c r="H1717" t="s">
        <v>26</v>
      </c>
      <c r="I1717" s="6" t="s">
        <v>881</v>
      </c>
      <c r="J1717" s="61" t="s">
        <v>22</v>
      </c>
      <c r="L1717" s="5" t="str">
        <f t="shared" si="484"/>
        <v>01716</v>
      </c>
      <c r="M1717" s="47" t="str">
        <f t="shared" si="485"/>
        <v>11 de enero de 2019</v>
      </c>
      <c r="N1717" s="323">
        <f t="shared" si="478"/>
        <v>11</v>
      </c>
      <c r="O1717" s="25">
        <f t="shared" si="486"/>
        <v>43466</v>
      </c>
      <c r="P1717" s="5" t="str">
        <f t="shared" si="480"/>
        <v>800,00</v>
      </c>
      <c r="Q1717" s="4" t="e">
        <f t="shared" ca="1" si="482"/>
        <v>#NAME?</v>
      </c>
    </row>
    <row r="1718" spans="1:17">
      <c r="A1718" s="1">
        <f t="shared" si="483"/>
        <v>1717</v>
      </c>
      <c r="C1718" s="8" t="s">
        <v>17</v>
      </c>
      <c r="D1718" s="2">
        <v>43478</v>
      </c>
      <c r="E1718" s="3">
        <v>850</v>
      </c>
      <c r="F1718" t="s">
        <v>558</v>
      </c>
      <c r="G1718" t="s">
        <v>559</v>
      </c>
      <c r="H1718" t="s">
        <v>560</v>
      </c>
      <c r="I1718" s="6" t="s">
        <v>881</v>
      </c>
      <c r="J1718" s="61" t="s">
        <v>22</v>
      </c>
      <c r="L1718" s="5" t="str">
        <f t="shared" si="484"/>
        <v>01717</v>
      </c>
      <c r="M1718" s="47" t="str">
        <f t="shared" si="485"/>
        <v>13 de enero de 2019</v>
      </c>
      <c r="N1718" s="323">
        <f t="shared" si="478"/>
        <v>13</v>
      </c>
      <c r="O1718" s="25">
        <f t="shared" si="486"/>
        <v>43466</v>
      </c>
      <c r="P1718" s="5" t="str">
        <f t="shared" si="480"/>
        <v>850,00</v>
      </c>
      <c r="Q1718" s="4" t="e">
        <f t="shared" ca="1" si="482"/>
        <v>#NAME?</v>
      </c>
    </row>
    <row r="1719" spans="1:17">
      <c r="A1719" s="1">
        <f t="shared" si="483"/>
        <v>1718</v>
      </c>
      <c r="C1719" s="8" t="s">
        <v>17</v>
      </c>
      <c r="D1719" s="2">
        <v>43478</v>
      </c>
      <c r="E1719" s="3">
        <v>1120</v>
      </c>
      <c r="F1719" t="s">
        <v>284</v>
      </c>
      <c r="G1719" t="s">
        <v>687</v>
      </c>
      <c r="H1719" t="s">
        <v>285</v>
      </c>
      <c r="I1719" s="6" t="s">
        <v>851</v>
      </c>
      <c r="J1719" s="61" t="s">
        <v>22</v>
      </c>
      <c r="L1719" s="5" t="str">
        <f t="shared" si="484"/>
        <v>01718</v>
      </c>
      <c r="M1719" s="47" t="str">
        <f t="shared" si="485"/>
        <v>13 de enero de 2019</v>
      </c>
      <c r="N1719" s="323">
        <f t="shared" si="478"/>
        <v>13</v>
      </c>
      <c r="O1719" s="25">
        <f t="shared" si="486"/>
        <v>43466</v>
      </c>
      <c r="P1719" s="5" t="str">
        <f t="shared" si="480"/>
        <v>1.120,00</v>
      </c>
      <c r="Q1719" s="4" t="e">
        <f t="shared" ca="1" si="482"/>
        <v>#NAME?</v>
      </c>
    </row>
    <row r="1720" spans="1:17">
      <c r="A1720" s="1">
        <f t="shared" si="483"/>
        <v>1719</v>
      </c>
      <c r="C1720" s="8" t="s">
        <v>17</v>
      </c>
      <c r="D1720" s="2">
        <v>43478</v>
      </c>
      <c r="E1720" s="3">
        <v>1600</v>
      </c>
      <c r="F1720" t="s">
        <v>334</v>
      </c>
      <c r="G1720" t="s">
        <v>85</v>
      </c>
      <c r="H1720" t="s">
        <v>335</v>
      </c>
      <c r="I1720" s="6" t="s">
        <v>881</v>
      </c>
      <c r="J1720" s="61" t="s">
        <v>22</v>
      </c>
      <c r="L1720" s="5" t="str">
        <f t="shared" si="484"/>
        <v>01719</v>
      </c>
      <c r="M1720" s="47" t="str">
        <f t="shared" si="485"/>
        <v>13 de enero de 2019</v>
      </c>
      <c r="N1720" s="323">
        <f t="shared" ref="N1720:N1731" si="487">DAY(D1720)</f>
        <v>13</v>
      </c>
      <c r="O1720" s="25">
        <f t="shared" si="486"/>
        <v>43466</v>
      </c>
      <c r="P1720" s="5" t="str">
        <f t="shared" ref="P1720:P1731" si="488">TEXT(E1720,"#.##0,00")</f>
        <v>1.600,00</v>
      </c>
      <c r="Q1720" s="4" t="e">
        <f t="shared" ref="Q1720:Q1731" ca="1" si="489">CONVERTIRNUM(E1720)</f>
        <v>#NAME?</v>
      </c>
    </row>
    <row r="1721" spans="1:17" ht="15.75" thickBot="1">
      <c r="A1721" s="1">
        <f t="shared" si="483"/>
        <v>1720</v>
      </c>
      <c r="C1721" s="8" t="s">
        <v>17</v>
      </c>
      <c r="D1721" s="2">
        <v>43479</v>
      </c>
      <c r="E1721" s="3">
        <v>800</v>
      </c>
      <c r="F1721" t="s">
        <v>103</v>
      </c>
      <c r="G1721" t="s">
        <v>104</v>
      </c>
      <c r="H1721" t="s">
        <v>105</v>
      </c>
      <c r="I1721" s="6" t="s">
        <v>881</v>
      </c>
      <c r="J1721" s="61" t="s">
        <v>22</v>
      </c>
      <c r="L1721" s="5" t="str">
        <f t="shared" si="484"/>
        <v>01720</v>
      </c>
      <c r="M1721" s="47" t="str">
        <f t="shared" si="485"/>
        <v>14 de enero de 2019</v>
      </c>
      <c r="N1721" s="323">
        <f t="shared" si="487"/>
        <v>14</v>
      </c>
      <c r="O1721" s="25">
        <f t="shared" si="486"/>
        <v>43466</v>
      </c>
      <c r="P1721" s="5" t="str">
        <f t="shared" si="488"/>
        <v>800,00</v>
      </c>
      <c r="Q1721" s="4" t="e">
        <f t="shared" ca="1" si="489"/>
        <v>#NAME?</v>
      </c>
    </row>
    <row r="1722" spans="1:17" ht="15.75" thickBot="1">
      <c r="A1722" s="1">
        <f t="shared" si="483"/>
        <v>1721</v>
      </c>
      <c r="C1722" s="85" t="s">
        <v>17</v>
      </c>
      <c r="D1722" s="2">
        <v>43478</v>
      </c>
      <c r="E1722" s="3">
        <v>1160</v>
      </c>
      <c r="F1722" s="23" t="s">
        <v>422</v>
      </c>
      <c r="G1722" s="18" t="s">
        <v>58</v>
      </c>
      <c r="H1722" t="s">
        <v>423</v>
      </c>
      <c r="I1722" s="6" t="s">
        <v>881</v>
      </c>
      <c r="J1722" s="61" t="s">
        <v>22</v>
      </c>
      <c r="L1722" s="5" t="str">
        <f t="shared" si="484"/>
        <v>01721</v>
      </c>
      <c r="M1722" s="47" t="str">
        <f t="shared" si="485"/>
        <v>13 de enero de 2019</v>
      </c>
      <c r="N1722" s="323">
        <f t="shared" si="487"/>
        <v>13</v>
      </c>
      <c r="O1722" s="25">
        <f t="shared" si="486"/>
        <v>43466</v>
      </c>
      <c r="P1722" s="5" t="str">
        <f t="shared" si="488"/>
        <v>1.160,00</v>
      </c>
      <c r="Q1722" s="4" t="e">
        <f t="shared" ca="1" si="489"/>
        <v>#NAME?</v>
      </c>
    </row>
    <row r="1723" spans="1:17">
      <c r="A1723" s="1">
        <f t="shared" si="483"/>
        <v>1722</v>
      </c>
      <c r="C1723" s="8" t="s">
        <v>17</v>
      </c>
      <c r="D1723" s="2">
        <v>43479</v>
      </c>
      <c r="E1723" s="3">
        <v>800</v>
      </c>
      <c r="F1723" t="s">
        <v>417</v>
      </c>
      <c r="G1723" t="s">
        <v>418</v>
      </c>
      <c r="H1723" t="s">
        <v>419</v>
      </c>
      <c r="I1723" s="6" t="s">
        <v>881</v>
      </c>
      <c r="J1723" s="61" t="s">
        <v>22</v>
      </c>
      <c r="L1723" s="5" t="str">
        <f t="shared" si="484"/>
        <v>01722</v>
      </c>
      <c r="M1723" s="47" t="str">
        <f t="shared" si="485"/>
        <v>14 de enero de 2019</v>
      </c>
      <c r="N1723" s="323">
        <f t="shared" si="487"/>
        <v>14</v>
      </c>
      <c r="O1723" s="25">
        <f t="shared" si="486"/>
        <v>43466</v>
      </c>
      <c r="P1723" s="5" t="str">
        <f t="shared" si="488"/>
        <v>800,00</v>
      </c>
      <c r="Q1723" s="4" t="e">
        <f t="shared" ca="1" si="489"/>
        <v>#NAME?</v>
      </c>
    </row>
    <row r="1724" spans="1:17">
      <c r="A1724" s="1">
        <f t="shared" si="483"/>
        <v>1723</v>
      </c>
      <c r="C1724" s="8" t="s">
        <v>17</v>
      </c>
      <c r="D1724" s="2">
        <v>43480</v>
      </c>
      <c r="E1724" s="3">
        <v>800</v>
      </c>
      <c r="F1724" t="s">
        <v>130</v>
      </c>
      <c r="G1724" t="s">
        <v>131</v>
      </c>
      <c r="H1724" t="s">
        <v>132</v>
      </c>
      <c r="I1724" s="6" t="s">
        <v>881</v>
      </c>
      <c r="J1724" s="61" t="s">
        <v>22</v>
      </c>
      <c r="L1724" s="5" t="str">
        <f t="shared" si="484"/>
        <v>01723</v>
      </c>
      <c r="M1724" s="47" t="str">
        <f t="shared" si="485"/>
        <v>15 de enero de 2019</v>
      </c>
      <c r="N1724" s="323">
        <f t="shared" si="487"/>
        <v>15</v>
      </c>
      <c r="O1724" s="25">
        <f t="shared" si="486"/>
        <v>43466</v>
      </c>
      <c r="P1724" s="5" t="str">
        <f t="shared" si="488"/>
        <v>800,00</v>
      </c>
      <c r="Q1724" s="4" t="e">
        <f t="shared" ca="1" si="489"/>
        <v>#NAME?</v>
      </c>
    </row>
    <row r="1725" spans="1:17">
      <c r="A1725" s="1">
        <f t="shared" si="483"/>
        <v>1724</v>
      </c>
      <c r="C1725" s="8" t="s">
        <v>17</v>
      </c>
      <c r="D1725" s="2">
        <v>43479</v>
      </c>
      <c r="E1725" s="3">
        <v>2000</v>
      </c>
      <c r="F1725" t="s">
        <v>324</v>
      </c>
      <c r="G1725" t="s">
        <v>325</v>
      </c>
      <c r="H1725" t="s">
        <v>326</v>
      </c>
      <c r="I1725" s="6" t="s">
        <v>881</v>
      </c>
      <c r="J1725" s="61" t="s">
        <v>22</v>
      </c>
      <c r="L1725" s="5" t="str">
        <f t="shared" si="484"/>
        <v>01724</v>
      </c>
      <c r="M1725" s="47" t="str">
        <f t="shared" si="485"/>
        <v>14 de enero de 2019</v>
      </c>
      <c r="N1725" s="323">
        <f t="shared" si="487"/>
        <v>14</v>
      </c>
      <c r="O1725" s="25">
        <f t="shared" si="486"/>
        <v>43466</v>
      </c>
      <c r="P1725" s="5" t="str">
        <f t="shared" si="488"/>
        <v>2.000,00</v>
      </c>
      <c r="Q1725" s="4" t="e">
        <f t="shared" ca="1" si="489"/>
        <v>#NAME?</v>
      </c>
    </row>
    <row r="1726" spans="1:17">
      <c r="A1726" s="1">
        <f t="shared" si="483"/>
        <v>1725</v>
      </c>
      <c r="C1726" s="8" t="s">
        <v>17</v>
      </c>
      <c r="D1726" s="2">
        <v>43480</v>
      </c>
      <c r="E1726" s="3">
        <v>800</v>
      </c>
      <c r="F1726" t="s">
        <v>342</v>
      </c>
      <c r="G1726" t="s">
        <v>343</v>
      </c>
      <c r="H1726" t="s">
        <v>344</v>
      </c>
      <c r="I1726" s="6" t="s">
        <v>881</v>
      </c>
      <c r="J1726" s="61" t="s">
        <v>22</v>
      </c>
      <c r="L1726" s="5" t="str">
        <f t="shared" si="484"/>
        <v>01725</v>
      </c>
      <c r="M1726" s="47" t="str">
        <f t="shared" si="485"/>
        <v>15 de enero de 2019</v>
      </c>
      <c r="N1726" s="323">
        <f t="shared" si="487"/>
        <v>15</v>
      </c>
      <c r="O1726" s="25">
        <f t="shared" si="486"/>
        <v>43466</v>
      </c>
      <c r="P1726" s="5" t="str">
        <f t="shared" si="488"/>
        <v>800,00</v>
      </c>
      <c r="Q1726" s="4" t="e">
        <f t="shared" ca="1" si="489"/>
        <v>#NAME?</v>
      </c>
    </row>
    <row r="1727" spans="1:17" ht="15.75" thickBot="1">
      <c r="A1727" s="1">
        <f t="shared" si="483"/>
        <v>1726</v>
      </c>
      <c r="C1727" s="8" t="s">
        <v>17</v>
      </c>
      <c r="D1727" s="2">
        <v>43480</v>
      </c>
      <c r="E1727" s="3">
        <f>800+450</f>
        <v>1250</v>
      </c>
      <c r="F1727" t="s">
        <v>66</v>
      </c>
      <c r="G1727" t="s">
        <v>67</v>
      </c>
      <c r="H1727" t="s">
        <v>68</v>
      </c>
      <c r="I1727" s="6" t="s">
        <v>885</v>
      </c>
      <c r="J1727" s="61" t="s">
        <v>22</v>
      </c>
      <c r="L1727" s="5" t="str">
        <f t="shared" si="484"/>
        <v>01726</v>
      </c>
      <c r="M1727" s="47" t="str">
        <f t="shared" si="485"/>
        <v>15 de enero de 2019</v>
      </c>
      <c r="N1727" s="323">
        <f t="shared" si="487"/>
        <v>15</v>
      </c>
      <c r="O1727" s="25">
        <f t="shared" si="486"/>
        <v>43466</v>
      </c>
      <c r="P1727" s="5" t="str">
        <f t="shared" si="488"/>
        <v>1.250,00</v>
      </c>
      <c r="Q1727" s="4" t="e">
        <f t="shared" ca="1" si="489"/>
        <v>#NAME?</v>
      </c>
    </row>
    <row r="1728" spans="1:17" ht="15.75" thickBot="1">
      <c r="A1728" s="1">
        <f t="shared" si="483"/>
        <v>1727</v>
      </c>
      <c r="C1728" s="8" t="s">
        <v>17</v>
      </c>
      <c r="D1728" s="2">
        <v>43480</v>
      </c>
      <c r="E1728" s="3">
        <v>800</v>
      </c>
      <c r="F1728" t="s">
        <v>239</v>
      </c>
      <c r="G1728" s="73" t="s">
        <v>240</v>
      </c>
      <c r="H1728" t="s">
        <v>241</v>
      </c>
      <c r="I1728" s="6" t="s">
        <v>881</v>
      </c>
      <c r="J1728" s="61" t="s">
        <v>22</v>
      </c>
      <c r="L1728" s="5" t="str">
        <f t="shared" si="484"/>
        <v>01727</v>
      </c>
      <c r="M1728" s="47" t="str">
        <f t="shared" si="485"/>
        <v>15 de enero de 2019</v>
      </c>
      <c r="N1728" s="323">
        <f t="shared" si="487"/>
        <v>15</v>
      </c>
      <c r="O1728" s="25">
        <f t="shared" si="486"/>
        <v>43466</v>
      </c>
      <c r="P1728" s="5" t="str">
        <f t="shared" si="488"/>
        <v>800,00</v>
      </c>
      <c r="Q1728" s="4" t="e">
        <f t="shared" ca="1" si="489"/>
        <v>#NAME?</v>
      </c>
    </row>
    <row r="1729" spans="1:17">
      <c r="A1729" s="1">
        <f t="shared" si="483"/>
        <v>1728</v>
      </c>
      <c r="C1729" s="8" t="s">
        <v>17</v>
      </c>
      <c r="D1729" s="2">
        <v>43481</v>
      </c>
      <c r="E1729" s="3">
        <v>800</v>
      </c>
      <c r="F1729" t="s">
        <v>62</v>
      </c>
      <c r="G1729" t="s">
        <v>63</v>
      </c>
      <c r="H1729" t="s">
        <v>64</v>
      </c>
      <c r="I1729" s="6" t="s">
        <v>861</v>
      </c>
      <c r="J1729" s="61" t="s">
        <v>22</v>
      </c>
      <c r="L1729" s="5" t="str">
        <f t="shared" si="484"/>
        <v>01728</v>
      </c>
      <c r="M1729" s="47" t="str">
        <f t="shared" si="485"/>
        <v>16 de enero de 2019</v>
      </c>
      <c r="N1729" s="323">
        <f t="shared" si="487"/>
        <v>16</v>
      </c>
      <c r="O1729" s="25">
        <f t="shared" si="486"/>
        <v>43466</v>
      </c>
      <c r="P1729" s="5" t="str">
        <f t="shared" si="488"/>
        <v>800,00</v>
      </c>
      <c r="Q1729" s="4" t="e">
        <f t="shared" ca="1" si="489"/>
        <v>#NAME?</v>
      </c>
    </row>
    <row r="1730" spans="1:17">
      <c r="A1730" s="1">
        <f t="shared" si="483"/>
        <v>1729</v>
      </c>
      <c r="C1730" s="8" t="s">
        <v>17</v>
      </c>
      <c r="D1730" s="2">
        <v>43481</v>
      </c>
      <c r="E1730" s="3">
        <v>2200</v>
      </c>
      <c r="F1730" t="s">
        <v>713</v>
      </c>
      <c r="G1730" t="s">
        <v>714</v>
      </c>
      <c r="H1730" t="s">
        <v>154</v>
      </c>
      <c r="I1730" s="6" t="s">
        <v>886</v>
      </c>
      <c r="J1730" s="61" t="s">
        <v>22</v>
      </c>
      <c r="L1730" s="5" t="str">
        <f t="shared" si="484"/>
        <v>01729</v>
      </c>
      <c r="M1730" s="47" t="str">
        <f t="shared" si="485"/>
        <v>16 de enero de 2019</v>
      </c>
      <c r="N1730" s="323">
        <f t="shared" si="487"/>
        <v>16</v>
      </c>
      <c r="O1730" s="25">
        <f t="shared" si="486"/>
        <v>43466</v>
      </c>
      <c r="P1730" s="5" t="str">
        <f t="shared" si="488"/>
        <v>2.200,00</v>
      </c>
      <c r="Q1730" s="4" t="e">
        <f t="shared" ca="1" si="489"/>
        <v>#NAME?</v>
      </c>
    </row>
    <row r="1731" spans="1:17">
      <c r="A1731" s="1">
        <f t="shared" si="483"/>
        <v>1730</v>
      </c>
      <c r="C1731" s="8" t="s">
        <v>17</v>
      </c>
      <c r="D1731" s="2">
        <v>43481</v>
      </c>
      <c r="E1731" s="3">
        <v>3000</v>
      </c>
      <c r="F1731" t="s">
        <v>243</v>
      </c>
      <c r="G1731" t="s">
        <v>244</v>
      </c>
      <c r="H1731" t="s">
        <v>245</v>
      </c>
      <c r="I1731" s="6" t="s">
        <v>887</v>
      </c>
      <c r="J1731" s="61" t="s">
        <v>22</v>
      </c>
      <c r="L1731" s="5" t="str">
        <f>IF(ISBLANK(A1731),"",TEXT(A1731,"00000"))</f>
        <v>01730</v>
      </c>
      <c r="M1731" s="47" t="str">
        <f>IF(ISBLANK(D1731),"",TEXT(D1731,"dd")&amp;" de "&amp;TEXT(D1731,"mmmm")&amp;" de "&amp;TEXT(YEAR(D1731),"0"))</f>
        <v>16 de enero de 2019</v>
      </c>
      <c r="N1731" s="323">
        <f t="shared" si="487"/>
        <v>16</v>
      </c>
      <c r="O1731" s="25">
        <f>DATE(YEAR(D1731),MONTH(D1731),1)</f>
        <v>43466</v>
      </c>
      <c r="P1731" s="5" t="str">
        <f t="shared" si="488"/>
        <v>3.000,00</v>
      </c>
      <c r="Q1731" s="4" t="e">
        <f t="shared" ca="1" si="489"/>
        <v>#NAME?</v>
      </c>
    </row>
    <row r="1732" spans="1:17">
      <c r="A1732" s="1">
        <f t="shared" si="483"/>
        <v>1731</v>
      </c>
      <c r="C1732" s="8" t="s">
        <v>17</v>
      </c>
      <c r="D1732" s="2">
        <v>43481</v>
      </c>
      <c r="E1732" s="3">
        <f>320+800</f>
        <v>1120</v>
      </c>
      <c r="F1732" t="s">
        <v>243</v>
      </c>
      <c r="G1732" t="s">
        <v>244</v>
      </c>
      <c r="H1732" t="s">
        <v>245</v>
      </c>
      <c r="I1732" s="6" t="s">
        <v>851</v>
      </c>
      <c r="J1732" s="61" t="s">
        <v>22</v>
      </c>
      <c r="L1732" s="5" t="str">
        <f>IF(ISBLANK(A1732),"",TEXT(A1732,"00000"))</f>
        <v>01731</v>
      </c>
      <c r="M1732" s="47" t="str">
        <f>IF(ISBLANK(D1732),"",TEXT(D1732,"dd")&amp;" de "&amp;TEXT(D1732,"mmmm")&amp;" de "&amp;TEXT(YEAR(D1732),"0"))</f>
        <v>16 de enero de 2019</v>
      </c>
      <c r="N1732" s="323">
        <f t="shared" ref="N1732:N1748" si="490">DAY(D1732)</f>
        <v>16</v>
      </c>
      <c r="O1732" s="25">
        <f>DATE(YEAR(D1732),MONTH(D1732),1)</f>
        <v>43466</v>
      </c>
      <c r="P1732" s="5" t="str">
        <f t="shared" ref="P1732:P1741" si="491">TEXT(E1732,"#.##0,00")</f>
        <v>1.120,00</v>
      </c>
      <c r="Q1732" s="4" t="e">
        <f t="shared" ref="Q1732:Q1741" ca="1" si="492">CONVERTIRNUM(E1732)</f>
        <v>#NAME?</v>
      </c>
    </row>
    <row r="1733" spans="1:17" ht="15.75" thickBot="1">
      <c r="A1733" s="1">
        <f t="shared" si="483"/>
        <v>1732</v>
      </c>
      <c r="C1733" s="8" t="s">
        <v>17</v>
      </c>
      <c r="D1733" s="2">
        <v>43481</v>
      </c>
      <c r="E1733" s="3">
        <v>2200</v>
      </c>
      <c r="F1733" t="s">
        <v>18</v>
      </c>
      <c r="G1733" t="s">
        <v>19</v>
      </c>
      <c r="H1733" t="s">
        <v>20</v>
      </c>
      <c r="I1733" s="6" t="s">
        <v>888</v>
      </c>
      <c r="J1733" s="61" t="s">
        <v>22</v>
      </c>
      <c r="L1733" s="5" t="str">
        <f t="shared" ref="L1733:L1745" si="493">IF(ISBLANK(A1733),"",TEXT(A1733,"00000"))</f>
        <v>01732</v>
      </c>
      <c r="M1733" s="47" t="str">
        <f t="shared" ref="M1733:M1745" si="494">IF(ISBLANK(D1733),"",TEXT(D1733,"dd")&amp;" de "&amp;TEXT(D1733,"mmmm")&amp;" de "&amp;TEXT(YEAR(D1733),"0"))</f>
        <v>16 de enero de 2019</v>
      </c>
      <c r="N1733" s="323">
        <f t="shared" si="490"/>
        <v>16</v>
      </c>
      <c r="O1733" s="25">
        <f t="shared" ref="O1733:O1745" si="495">DATE(YEAR(D1733),MONTH(D1733),1)</f>
        <v>43466</v>
      </c>
      <c r="P1733" s="5" t="str">
        <f t="shared" si="491"/>
        <v>2.200,00</v>
      </c>
      <c r="Q1733" s="4" t="e">
        <f t="shared" ca="1" si="492"/>
        <v>#NAME?</v>
      </c>
    </row>
    <row r="1734" spans="1:17" ht="15.75" thickBot="1">
      <c r="A1734" s="1">
        <f t="shared" si="483"/>
        <v>1733</v>
      </c>
      <c r="C1734" s="8" t="s">
        <v>17</v>
      </c>
      <c r="D1734" s="2">
        <v>43481</v>
      </c>
      <c r="E1734" s="3">
        <v>2200</v>
      </c>
      <c r="F1734" t="s">
        <v>239</v>
      </c>
      <c r="G1734" s="73" t="s">
        <v>240</v>
      </c>
      <c r="H1734" t="s">
        <v>241</v>
      </c>
      <c r="I1734" s="6" t="s">
        <v>886</v>
      </c>
      <c r="J1734" s="61" t="s">
        <v>22</v>
      </c>
      <c r="L1734" s="5" t="str">
        <f t="shared" si="493"/>
        <v>01733</v>
      </c>
      <c r="M1734" s="47" t="str">
        <f t="shared" si="494"/>
        <v>16 de enero de 2019</v>
      </c>
      <c r="N1734" s="323">
        <f t="shared" si="490"/>
        <v>16</v>
      </c>
      <c r="O1734" s="25">
        <f t="shared" si="495"/>
        <v>43466</v>
      </c>
      <c r="P1734" s="5" t="str">
        <f t="shared" si="491"/>
        <v>2.200,00</v>
      </c>
      <c r="Q1734" s="4" t="e">
        <f t="shared" ca="1" si="492"/>
        <v>#NAME?</v>
      </c>
    </row>
    <row r="1735" spans="1:17">
      <c r="A1735" s="1">
        <f t="shared" si="483"/>
        <v>1734</v>
      </c>
      <c r="C1735" s="8" t="s">
        <v>17</v>
      </c>
      <c r="D1735" s="2">
        <v>43481</v>
      </c>
      <c r="E1735" s="3">
        <v>972</v>
      </c>
      <c r="F1735" t="s">
        <v>90</v>
      </c>
      <c r="G1735" t="s">
        <v>91</v>
      </c>
      <c r="H1735" t="s">
        <v>92</v>
      </c>
      <c r="I1735" s="6" t="s">
        <v>886</v>
      </c>
      <c r="J1735" s="61" t="s">
        <v>22</v>
      </c>
      <c r="L1735" s="5" t="str">
        <f t="shared" si="493"/>
        <v>01734</v>
      </c>
      <c r="M1735" s="47" t="str">
        <f t="shared" si="494"/>
        <v>16 de enero de 2019</v>
      </c>
      <c r="N1735" s="323">
        <f t="shared" si="490"/>
        <v>16</v>
      </c>
      <c r="O1735" s="25">
        <f t="shared" si="495"/>
        <v>43466</v>
      </c>
      <c r="P1735" s="5" t="str">
        <f t="shared" si="491"/>
        <v>972,00</v>
      </c>
      <c r="Q1735" s="4" t="e">
        <f t="shared" ca="1" si="492"/>
        <v>#NAME?</v>
      </c>
    </row>
    <row r="1736" spans="1:17">
      <c r="A1736" s="1">
        <f t="shared" si="483"/>
        <v>1735</v>
      </c>
      <c r="C1736" s="8" t="s">
        <v>17</v>
      </c>
      <c r="D1736" s="2">
        <v>43481</v>
      </c>
      <c r="E1736" s="3">
        <v>800</v>
      </c>
      <c r="F1736" t="s">
        <v>211</v>
      </c>
      <c r="G1736" t="s">
        <v>212</v>
      </c>
      <c r="H1736" t="s">
        <v>213</v>
      </c>
      <c r="I1736" s="6" t="s">
        <v>861</v>
      </c>
      <c r="J1736" s="61" t="s">
        <v>22</v>
      </c>
      <c r="L1736" s="5" t="str">
        <f t="shared" si="493"/>
        <v>01735</v>
      </c>
      <c r="M1736" s="47" t="str">
        <f t="shared" si="494"/>
        <v>16 de enero de 2019</v>
      </c>
      <c r="N1736" s="323">
        <f t="shared" si="490"/>
        <v>16</v>
      </c>
      <c r="O1736" s="25">
        <f t="shared" si="495"/>
        <v>43466</v>
      </c>
      <c r="P1736" s="5" t="str">
        <f t="shared" si="491"/>
        <v>800,00</v>
      </c>
      <c r="Q1736" s="4" t="e">
        <f t="shared" ca="1" si="492"/>
        <v>#NAME?</v>
      </c>
    </row>
    <row r="1737" spans="1:17">
      <c r="A1737" s="1">
        <f t="shared" si="483"/>
        <v>1736</v>
      </c>
      <c r="C1737" s="8" t="s">
        <v>17</v>
      </c>
      <c r="D1737" s="2">
        <v>43481</v>
      </c>
      <c r="E1737" s="3">
        <v>2200</v>
      </c>
      <c r="F1737" t="s">
        <v>24</v>
      </c>
      <c r="G1737" t="s">
        <v>25</v>
      </c>
      <c r="H1737" t="s">
        <v>26</v>
      </c>
      <c r="I1737" s="6" t="s">
        <v>886</v>
      </c>
      <c r="J1737" s="61" t="s">
        <v>22</v>
      </c>
      <c r="L1737" s="5" t="str">
        <f t="shared" si="493"/>
        <v>01736</v>
      </c>
      <c r="M1737" s="47" t="str">
        <f t="shared" si="494"/>
        <v>16 de enero de 2019</v>
      </c>
      <c r="N1737" s="323">
        <f t="shared" si="490"/>
        <v>16</v>
      </c>
      <c r="O1737" s="25">
        <f t="shared" si="495"/>
        <v>43466</v>
      </c>
      <c r="P1737" s="5" t="str">
        <f t="shared" si="491"/>
        <v>2.200,00</v>
      </c>
      <c r="Q1737" s="4" t="e">
        <f t="shared" ca="1" si="492"/>
        <v>#NAME?</v>
      </c>
    </row>
    <row r="1738" spans="1:17">
      <c r="A1738" s="1">
        <f t="shared" si="483"/>
        <v>1737</v>
      </c>
      <c r="C1738" s="8" t="s">
        <v>17</v>
      </c>
      <c r="D1738" s="2">
        <v>43482</v>
      </c>
      <c r="E1738" s="3">
        <v>2200</v>
      </c>
      <c r="F1738" t="s">
        <v>84</v>
      </c>
      <c r="G1738" t="s">
        <v>85</v>
      </c>
      <c r="H1738" t="s">
        <v>86</v>
      </c>
      <c r="I1738" s="6" t="s">
        <v>886</v>
      </c>
      <c r="J1738" s="61" t="s">
        <v>22</v>
      </c>
      <c r="L1738" s="5" t="str">
        <f t="shared" si="493"/>
        <v>01737</v>
      </c>
      <c r="M1738" s="47" t="str">
        <f t="shared" si="494"/>
        <v>17 de enero de 2019</v>
      </c>
      <c r="N1738" s="323">
        <f t="shared" si="490"/>
        <v>17</v>
      </c>
      <c r="O1738" s="25">
        <f t="shared" si="495"/>
        <v>43466</v>
      </c>
      <c r="P1738" s="5" t="str">
        <f t="shared" si="491"/>
        <v>2.200,00</v>
      </c>
      <c r="Q1738" s="4" t="e">
        <f t="shared" ca="1" si="492"/>
        <v>#NAME?</v>
      </c>
    </row>
    <row r="1739" spans="1:17">
      <c r="A1739" s="1">
        <f t="shared" si="483"/>
        <v>1738</v>
      </c>
      <c r="C1739" s="8" t="s">
        <v>17</v>
      </c>
      <c r="D1739" s="2">
        <v>43482</v>
      </c>
      <c r="E1739" s="3">
        <v>3800</v>
      </c>
      <c r="F1739" t="s">
        <v>197</v>
      </c>
      <c r="G1739" t="s">
        <v>198</v>
      </c>
      <c r="H1739" t="s">
        <v>199</v>
      </c>
      <c r="I1739" s="6" t="s">
        <v>879</v>
      </c>
      <c r="J1739" s="61" t="s">
        <v>22</v>
      </c>
      <c r="L1739" s="5" t="str">
        <f t="shared" si="493"/>
        <v>01738</v>
      </c>
      <c r="M1739" s="47" t="str">
        <f t="shared" si="494"/>
        <v>17 de enero de 2019</v>
      </c>
      <c r="N1739" s="323">
        <f t="shared" si="490"/>
        <v>17</v>
      </c>
      <c r="O1739" s="25">
        <f t="shared" si="495"/>
        <v>43466</v>
      </c>
      <c r="P1739" s="5" t="str">
        <f t="shared" si="491"/>
        <v>3.800,00</v>
      </c>
      <c r="Q1739" s="4" t="e">
        <f t="shared" ca="1" si="492"/>
        <v>#NAME?</v>
      </c>
    </row>
    <row r="1740" spans="1:17" ht="15.75" thickBot="1">
      <c r="A1740" s="1">
        <f t="shared" si="483"/>
        <v>1739</v>
      </c>
      <c r="C1740" s="8" t="s">
        <v>17</v>
      </c>
      <c r="D1740" s="2">
        <v>43482</v>
      </c>
      <c r="E1740" s="3">
        <v>600</v>
      </c>
      <c r="F1740" t="s">
        <v>334</v>
      </c>
      <c r="G1740" t="s">
        <v>85</v>
      </c>
      <c r="H1740" t="s">
        <v>335</v>
      </c>
      <c r="I1740" s="6" t="s">
        <v>886</v>
      </c>
      <c r="J1740" s="61" t="s">
        <v>22</v>
      </c>
      <c r="L1740" s="5" t="str">
        <f t="shared" si="493"/>
        <v>01739</v>
      </c>
      <c r="M1740" s="47" t="str">
        <f t="shared" si="494"/>
        <v>17 de enero de 2019</v>
      </c>
      <c r="N1740" s="323">
        <f t="shared" si="490"/>
        <v>17</v>
      </c>
      <c r="O1740" s="25">
        <f t="shared" si="495"/>
        <v>43466</v>
      </c>
      <c r="P1740" s="5" t="str">
        <f t="shared" si="491"/>
        <v>600,00</v>
      </c>
      <c r="Q1740" s="4" t="e">
        <f t="shared" ca="1" si="492"/>
        <v>#NAME?</v>
      </c>
    </row>
    <row r="1741" spans="1:17" ht="15.75" thickBot="1">
      <c r="A1741" s="1">
        <f t="shared" si="483"/>
        <v>1740</v>
      </c>
      <c r="C1741" s="85" t="s">
        <v>17</v>
      </c>
      <c r="D1741" s="2">
        <v>43482</v>
      </c>
      <c r="E1741" s="3">
        <v>800</v>
      </c>
      <c r="F1741" t="s">
        <v>259</v>
      </c>
      <c r="G1741" s="18" t="s">
        <v>58</v>
      </c>
      <c r="H1741" t="s">
        <v>261</v>
      </c>
      <c r="I1741" s="6" t="s">
        <v>861</v>
      </c>
      <c r="J1741" s="61" t="s">
        <v>22</v>
      </c>
      <c r="L1741" s="5" t="str">
        <f t="shared" si="493"/>
        <v>01740</v>
      </c>
      <c r="M1741" s="47" t="str">
        <f t="shared" si="494"/>
        <v>17 de enero de 2019</v>
      </c>
      <c r="N1741" s="323">
        <f t="shared" si="490"/>
        <v>17</v>
      </c>
      <c r="O1741" s="25">
        <f t="shared" si="495"/>
        <v>43466</v>
      </c>
      <c r="P1741" s="5" t="str">
        <f t="shared" si="491"/>
        <v>800,00</v>
      </c>
      <c r="Q1741" s="4" t="e">
        <f t="shared" ca="1" si="492"/>
        <v>#NAME?</v>
      </c>
    </row>
    <row r="1742" spans="1:17">
      <c r="A1742" s="1">
        <f t="shared" si="483"/>
        <v>1741</v>
      </c>
      <c r="C1742" s="8" t="s">
        <v>17</v>
      </c>
      <c r="D1742" s="2">
        <v>43482</v>
      </c>
      <c r="E1742" s="3">
        <v>2200</v>
      </c>
      <c r="F1742" t="s">
        <v>162</v>
      </c>
      <c r="G1742" t="s">
        <v>163</v>
      </c>
      <c r="H1742" t="s">
        <v>164</v>
      </c>
      <c r="I1742" s="6" t="s">
        <v>886</v>
      </c>
      <c r="J1742" s="61" t="s">
        <v>22</v>
      </c>
      <c r="L1742" s="5" t="str">
        <f t="shared" si="493"/>
        <v>01741</v>
      </c>
      <c r="M1742" s="47" t="str">
        <f t="shared" si="494"/>
        <v>17 de enero de 2019</v>
      </c>
      <c r="N1742" s="323">
        <f t="shared" si="490"/>
        <v>17</v>
      </c>
      <c r="O1742" s="25">
        <f t="shared" si="495"/>
        <v>43466</v>
      </c>
      <c r="P1742" s="5" t="str">
        <f>TEXT(E1742,"#.##0,00")</f>
        <v>2.200,00</v>
      </c>
      <c r="Q1742" s="4" t="e">
        <f ca="1">CONVERTIRNUM(E1742)</f>
        <v>#NAME?</v>
      </c>
    </row>
    <row r="1743" spans="1:17">
      <c r="A1743" s="1">
        <f t="shared" si="483"/>
        <v>1742</v>
      </c>
      <c r="C1743" s="8" t="s">
        <v>17</v>
      </c>
      <c r="D1743" s="2">
        <v>43482</v>
      </c>
      <c r="E1743" s="3">
        <v>2200</v>
      </c>
      <c r="F1743" t="s">
        <v>126</v>
      </c>
      <c r="G1743" t="s">
        <v>127</v>
      </c>
      <c r="H1743" t="s">
        <v>128</v>
      </c>
      <c r="I1743" s="6" t="s">
        <v>886</v>
      </c>
      <c r="J1743" s="61" t="s">
        <v>22</v>
      </c>
      <c r="L1743" s="5" t="str">
        <f t="shared" si="493"/>
        <v>01742</v>
      </c>
      <c r="M1743" s="47" t="str">
        <f t="shared" si="494"/>
        <v>17 de enero de 2019</v>
      </c>
      <c r="N1743" s="323">
        <f t="shared" si="490"/>
        <v>17</v>
      </c>
      <c r="O1743" s="25">
        <f t="shared" si="495"/>
        <v>43466</v>
      </c>
      <c r="P1743" s="5" t="str">
        <f t="shared" ref="P1743:P1748" si="496">TEXT(E1743,"#.##0,00")</f>
        <v>2.200,00</v>
      </c>
      <c r="Q1743" s="4" t="e">
        <f t="shared" ref="Q1743:Q1748" ca="1" si="497">CONVERTIRNUM(E1743)</f>
        <v>#NAME?</v>
      </c>
    </row>
    <row r="1744" spans="1:17">
      <c r="A1744" s="1">
        <f t="shared" si="483"/>
        <v>1743</v>
      </c>
      <c r="C1744" s="8" t="s">
        <v>17</v>
      </c>
      <c r="D1744" s="2">
        <v>43482</v>
      </c>
      <c r="E1744" s="3">
        <v>2200</v>
      </c>
      <c r="F1744" t="s">
        <v>454</v>
      </c>
      <c r="G1744" t="s">
        <v>761</v>
      </c>
      <c r="H1744" t="s">
        <v>455</v>
      </c>
      <c r="I1744" s="6" t="s">
        <v>886</v>
      </c>
      <c r="J1744" s="61" t="s">
        <v>22</v>
      </c>
      <c r="L1744" s="5" t="str">
        <f t="shared" si="493"/>
        <v>01743</v>
      </c>
      <c r="M1744" s="47" t="str">
        <f t="shared" si="494"/>
        <v>17 de enero de 2019</v>
      </c>
      <c r="N1744" s="323">
        <f t="shared" si="490"/>
        <v>17</v>
      </c>
      <c r="O1744" s="25">
        <f t="shared" si="495"/>
        <v>43466</v>
      </c>
      <c r="P1744" s="5" t="str">
        <f t="shared" si="496"/>
        <v>2.200,00</v>
      </c>
      <c r="Q1744" s="4" t="e">
        <f t="shared" ca="1" si="497"/>
        <v>#NAME?</v>
      </c>
    </row>
    <row r="1745" spans="1:17">
      <c r="A1745" s="1">
        <f t="shared" si="483"/>
        <v>1744</v>
      </c>
      <c r="C1745" s="8" t="s">
        <v>17</v>
      </c>
      <c r="D1745" s="2">
        <v>43482</v>
      </c>
      <c r="E1745" s="3">
        <v>2200</v>
      </c>
      <c r="F1745" t="s">
        <v>107</v>
      </c>
      <c r="G1745" t="s">
        <v>108</v>
      </c>
      <c r="H1745" t="s">
        <v>109</v>
      </c>
      <c r="I1745" s="6" t="s">
        <v>886</v>
      </c>
      <c r="J1745" s="61" t="s">
        <v>22</v>
      </c>
      <c r="L1745" s="5" t="str">
        <f t="shared" si="493"/>
        <v>01744</v>
      </c>
      <c r="M1745" s="47" t="str">
        <f t="shared" si="494"/>
        <v>17 de enero de 2019</v>
      </c>
      <c r="N1745" s="323">
        <f t="shared" si="490"/>
        <v>17</v>
      </c>
      <c r="O1745" s="25">
        <f t="shared" si="495"/>
        <v>43466</v>
      </c>
      <c r="P1745" s="5" t="str">
        <f t="shared" si="496"/>
        <v>2.200,00</v>
      </c>
      <c r="Q1745" s="4" t="e">
        <f t="shared" ca="1" si="497"/>
        <v>#NAME?</v>
      </c>
    </row>
    <row r="1746" spans="1:17">
      <c r="A1746" s="1">
        <f t="shared" si="483"/>
        <v>1745</v>
      </c>
      <c r="C1746" s="8" t="s">
        <v>17</v>
      </c>
      <c r="D1746" s="2">
        <v>43482</v>
      </c>
      <c r="E1746" s="3">
        <v>3000</v>
      </c>
      <c r="F1746" t="s">
        <v>44</v>
      </c>
      <c r="G1746" t="s">
        <v>45</v>
      </c>
      <c r="H1746" t="s">
        <v>46</v>
      </c>
      <c r="I1746" s="6" t="s">
        <v>886</v>
      </c>
      <c r="J1746" s="61" t="s">
        <v>22</v>
      </c>
      <c r="L1746" s="5" t="str">
        <f>IF(ISBLANK(A1746),"",TEXT(A1746,"00000"))</f>
        <v>01745</v>
      </c>
      <c r="M1746" s="47" t="str">
        <f>IF(ISBLANK(D1746),"",TEXT(D1746,"dd")&amp;" de "&amp;TEXT(D1746,"mmmm")&amp;" de "&amp;TEXT(YEAR(D1746),"0"))</f>
        <v>17 de enero de 2019</v>
      </c>
      <c r="N1746" s="323">
        <f t="shared" si="490"/>
        <v>17</v>
      </c>
      <c r="O1746" s="25">
        <f>DATE(YEAR(D1746),MONTH(D1746),1)</f>
        <v>43466</v>
      </c>
      <c r="P1746" s="5" t="str">
        <f t="shared" si="496"/>
        <v>3.000,00</v>
      </c>
      <c r="Q1746" s="4" t="e">
        <f t="shared" ca="1" si="497"/>
        <v>#NAME?</v>
      </c>
    </row>
    <row r="1747" spans="1:17">
      <c r="A1747" s="1">
        <f t="shared" si="483"/>
        <v>1746</v>
      </c>
      <c r="C1747" s="8" t="s">
        <v>17</v>
      </c>
      <c r="D1747" s="2">
        <v>43482</v>
      </c>
      <c r="E1747" s="3">
        <v>800</v>
      </c>
      <c r="F1747" t="s">
        <v>134</v>
      </c>
      <c r="G1747" t="s">
        <v>135</v>
      </c>
      <c r="H1747" t="s">
        <v>136</v>
      </c>
      <c r="I1747" s="6" t="s">
        <v>881</v>
      </c>
      <c r="J1747" s="61" t="s">
        <v>22</v>
      </c>
      <c r="L1747" s="5" t="str">
        <f t="shared" ref="L1747:L1748" si="498">IF(ISBLANK(A1747),"",TEXT(A1747,"00000"))</f>
        <v>01746</v>
      </c>
      <c r="M1747" s="47" t="str">
        <f t="shared" ref="M1747:M1748" si="499">IF(ISBLANK(D1747),"",TEXT(D1747,"dd")&amp;" de "&amp;TEXT(D1747,"mmmm")&amp;" de "&amp;TEXT(YEAR(D1747),"0"))</f>
        <v>17 de enero de 2019</v>
      </c>
      <c r="N1747" s="323">
        <f t="shared" si="490"/>
        <v>17</v>
      </c>
      <c r="O1747" s="25">
        <f t="shared" ref="O1747:O1748" si="500">DATE(YEAR(D1747),MONTH(D1747),1)</f>
        <v>43466</v>
      </c>
      <c r="P1747" s="5" t="str">
        <f t="shared" si="496"/>
        <v>800,00</v>
      </c>
      <c r="Q1747" s="4" t="e">
        <f t="shared" ca="1" si="497"/>
        <v>#NAME?</v>
      </c>
    </row>
    <row r="1748" spans="1:17">
      <c r="A1748" s="1">
        <f>A1747+1</f>
        <v>1747</v>
      </c>
      <c r="C1748" s="8" t="s">
        <v>17</v>
      </c>
      <c r="D1748" s="2">
        <v>43483</v>
      </c>
      <c r="E1748" s="3">
        <v>1200</v>
      </c>
      <c r="F1748" t="s">
        <v>36</v>
      </c>
      <c r="G1748" t="s">
        <v>37</v>
      </c>
      <c r="H1748" t="s">
        <v>38</v>
      </c>
      <c r="I1748" s="6" t="s">
        <v>886</v>
      </c>
      <c r="J1748" s="61" t="s">
        <v>22</v>
      </c>
      <c r="L1748" s="5" t="str">
        <f t="shared" si="498"/>
        <v>01747</v>
      </c>
      <c r="M1748" s="47" t="str">
        <f t="shared" si="499"/>
        <v>18 de enero de 2019</v>
      </c>
      <c r="N1748" s="323">
        <f t="shared" si="490"/>
        <v>18</v>
      </c>
      <c r="O1748" s="25">
        <f t="shared" si="500"/>
        <v>43466</v>
      </c>
      <c r="P1748" s="5" t="str">
        <f t="shared" si="496"/>
        <v>1.200,00</v>
      </c>
      <c r="Q1748" s="4" t="e">
        <f t="shared" ca="1" si="497"/>
        <v>#NAME?</v>
      </c>
    </row>
    <row r="1749" spans="1:17">
      <c r="A1749" s="1">
        <f t="shared" si="483"/>
        <v>1748</v>
      </c>
      <c r="C1749" s="8" t="s">
        <v>17</v>
      </c>
      <c r="D1749" s="2">
        <v>43441</v>
      </c>
      <c r="E1749" s="3">
        <v>800</v>
      </c>
      <c r="F1749" t="s">
        <v>134</v>
      </c>
      <c r="G1749" t="s">
        <v>135</v>
      </c>
      <c r="H1749" t="s">
        <v>136</v>
      </c>
      <c r="I1749" s="6" t="s">
        <v>861</v>
      </c>
      <c r="J1749" s="61" t="s">
        <v>22</v>
      </c>
      <c r="L1749" s="5" t="str">
        <f t="shared" ref="L1749:L1767" si="501">IF(ISBLANK(A1749),"",TEXT(A1749,"00000"))</f>
        <v>01748</v>
      </c>
      <c r="M1749" s="47" t="str">
        <f t="shared" ref="M1749:M1767" si="502">IF(ISBLANK(D1749),"",TEXT(D1749,"dd")&amp;" de "&amp;TEXT(D1749,"mmmm")&amp;" de "&amp;TEXT(YEAR(D1749),"0"))</f>
        <v>07 de diciembre de 2018</v>
      </c>
      <c r="N1749" s="323">
        <f t="shared" ref="N1749:N1767" si="503">DAY(D1749)</f>
        <v>7</v>
      </c>
      <c r="O1749" s="25">
        <f t="shared" ref="O1749:O1767" si="504">DATE(YEAR(D1749),MONTH(D1749),1)</f>
        <v>43435</v>
      </c>
      <c r="P1749" s="5" t="str">
        <f t="shared" ref="P1749:P1767" si="505">TEXT(E1749,"#.##0,00")</f>
        <v>800,00</v>
      </c>
      <c r="Q1749" s="4" t="e">
        <f t="shared" ref="Q1749:Q1758" ca="1" si="506">CONVERTIRNUM(E1749)</f>
        <v>#NAME?</v>
      </c>
    </row>
    <row r="1750" spans="1:17">
      <c r="A1750" s="1">
        <f t="shared" si="483"/>
        <v>1749</v>
      </c>
      <c r="C1750" s="8" t="s">
        <v>17</v>
      </c>
      <c r="D1750" s="2">
        <v>43483</v>
      </c>
      <c r="E1750" s="3">
        <v>4120</v>
      </c>
      <c r="F1750" t="s">
        <v>230</v>
      </c>
      <c r="G1750" t="s">
        <v>231</v>
      </c>
      <c r="H1750" t="s">
        <v>232</v>
      </c>
      <c r="I1750" s="6" t="s">
        <v>889</v>
      </c>
      <c r="J1750" s="61" t="s">
        <v>22</v>
      </c>
      <c r="L1750" s="5" t="str">
        <f t="shared" si="501"/>
        <v>01749</v>
      </c>
      <c r="M1750" s="47" t="str">
        <f t="shared" si="502"/>
        <v>18 de enero de 2019</v>
      </c>
      <c r="N1750" s="323">
        <f t="shared" si="503"/>
        <v>18</v>
      </c>
      <c r="O1750" s="25">
        <f t="shared" si="504"/>
        <v>43466</v>
      </c>
      <c r="P1750" s="5" t="str">
        <f t="shared" si="505"/>
        <v>4.120,00</v>
      </c>
      <c r="Q1750" s="4" t="e">
        <f t="shared" ca="1" si="506"/>
        <v>#NAME?</v>
      </c>
    </row>
    <row r="1751" spans="1:17">
      <c r="A1751" s="1">
        <f t="shared" si="483"/>
        <v>1750</v>
      </c>
      <c r="C1751" s="8" t="s">
        <v>17</v>
      </c>
      <c r="D1751" s="2">
        <v>43484</v>
      </c>
      <c r="E1751" s="3">
        <v>2200</v>
      </c>
      <c r="F1751" t="s">
        <v>342</v>
      </c>
      <c r="G1751" t="s">
        <v>343</v>
      </c>
      <c r="H1751" t="s">
        <v>344</v>
      </c>
      <c r="I1751" s="6" t="s">
        <v>886</v>
      </c>
      <c r="J1751" s="61" t="s">
        <v>22</v>
      </c>
      <c r="L1751" s="5" t="str">
        <f t="shared" si="501"/>
        <v>01750</v>
      </c>
      <c r="M1751" s="47" t="str">
        <f t="shared" si="502"/>
        <v>19 de enero de 2019</v>
      </c>
      <c r="N1751" s="323">
        <f t="shared" si="503"/>
        <v>19</v>
      </c>
      <c r="O1751" s="25">
        <f t="shared" si="504"/>
        <v>43466</v>
      </c>
      <c r="P1751" s="5" t="str">
        <f t="shared" si="505"/>
        <v>2.200,00</v>
      </c>
      <c r="Q1751" s="4" t="e">
        <f t="shared" ca="1" si="506"/>
        <v>#NAME?</v>
      </c>
    </row>
    <row r="1752" spans="1:17">
      <c r="A1752" s="1">
        <f t="shared" si="483"/>
        <v>1751</v>
      </c>
      <c r="C1752" s="8" t="s">
        <v>17</v>
      </c>
      <c r="D1752" s="2">
        <v>43484</v>
      </c>
      <c r="E1752" s="3">
        <v>2200</v>
      </c>
      <c r="F1752" t="s">
        <v>94</v>
      </c>
      <c r="G1752" t="s">
        <v>607</v>
      </c>
      <c r="H1752" t="s">
        <v>96</v>
      </c>
      <c r="I1752" s="6" t="s">
        <v>881</v>
      </c>
      <c r="J1752" s="61" t="s">
        <v>22</v>
      </c>
      <c r="L1752" s="5" t="str">
        <f t="shared" si="501"/>
        <v>01751</v>
      </c>
      <c r="M1752" s="47" t="str">
        <f t="shared" si="502"/>
        <v>19 de enero de 2019</v>
      </c>
      <c r="N1752" s="323">
        <f t="shared" si="503"/>
        <v>19</v>
      </c>
      <c r="O1752" s="25">
        <f t="shared" si="504"/>
        <v>43466</v>
      </c>
      <c r="P1752" s="5" t="str">
        <f t="shared" si="505"/>
        <v>2.200,00</v>
      </c>
      <c r="Q1752" s="4" t="e">
        <f t="shared" ca="1" si="506"/>
        <v>#NAME?</v>
      </c>
    </row>
    <row r="1753" spans="1:17">
      <c r="A1753" s="1">
        <f t="shared" si="483"/>
        <v>1752</v>
      </c>
      <c r="C1753" s="8" t="s">
        <v>17</v>
      </c>
      <c r="D1753" s="2">
        <v>43485</v>
      </c>
      <c r="E1753" s="3">
        <v>3800</v>
      </c>
      <c r="F1753" t="s">
        <v>201</v>
      </c>
      <c r="G1753" t="s">
        <v>202</v>
      </c>
      <c r="H1753" t="s">
        <v>203</v>
      </c>
      <c r="I1753" s="6" t="s">
        <v>890</v>
      </c>
      <c r="J1753" s="61" t="s">
        <v>22</v>
      </c>
      <c r="L1753" s="5" t="str">
        <f t="shared" si="501"/>
        <v>01752</v>
      </c>
      <c r="M1753" s="47" t="str">
        <f t="shared" si="502"/>
        <v>20 de enero de 2019</v>
      </c>
      <c r="N1753" s="323">
        <f t="shared" si="503"/>
        <v>20</v>
      </c>
      <c r="O1753" s="25">
        <f t="shared" si="504"/>
        <v>43466</v>
      </c>
      <c r="P1753" s="5" t="str">
        <f t="shared" si="505"/>
        <v>3.800,00</v>
      </c>
      <c r="Q1753" s="4" t="e">
        <f t="shared" ca="1" si="506"/>
        <v>#NAME?</v>
      </c>
    </row>
    <row r="1754" spans="1:17">
      <c r="A1754" s="1">
        <f t="shared" si="483"/>
        <v>1753</v>
      </c>
      <c r="C1754" s="8" t="s">
        <v>17</v>
      </c>
      <c r="D1754" s="2">
        <v>43485</v>
      </c>
      <c r="E1754" s="3">
        <v>3000</v>
      </c>
      <c r="F1754" t="s">
        <v>312</v>
      </c>
      <c r="G1754" t="s">
        <v>313</v>
      </c>
      <c r="H1754" t="s">
        <v>314</v>
      </c>
      <c r="I1754" s="6" t="s">
        <v>887</v>
      </c>
      <c r="J1754" s="61" t="s">
        <v>22</v>
      </c>
      <c r="L1754" s="5" t="str">
        <f t="shared" si="501"/>
        <v>01753</v>
      </c>
      <c r="M1754" s="47" t="str">
        <f t="shared" si="502"/>
        <v>20 de enero de 2019</v>
      </c>
      <c r="N1754" s="323">
        <f t="shared" si="503"/>
        <v>20</v>
      </c>
      <c r="O1754" s="25">
        <f t="shared" si="504"/>
        <v>43466</v>
      </c>
      <c r="P1754" s="5" t="str">
        <f t="shared" si="505"/>
        <v>3.000,00</v>
      </c>
      <c r="Q1754" s="4" t="e">
        <f t="shared" ca="1" si="506"/>
        <v>#NAME?</v>
      </c>
    </row>
    <row r="1755" spans="1:17">
      <c r="A1755" s="1">
        <f>A1754+1</f>
        <v>1754</v>
      </c>
      <c r="C1755" s="8" t="s">
        <v>17</v>
      </c>
      <c r="D1755" s="2">
        <v>43487</v>
      </c>
      <c r="E1755" s="3">
        <v>2200</v>
      </c>
      <c r="F1755" t="s">
        <v>70</v>
      </c>
      <c r="G1755" t="s">
        <v>71</v>
      </c>
      <c r="H1755" t="s">
        <v>72</v>
      </c>
      <c r="I1755" s="6" t="s">
        <v>886</v>
      </c>
      <c r="J1755" s="61" t="s">
        <v>22</v>
      </c>
      <c r="L1755" s="5" t="str">
        <f t="shared" si="501"/>
        <v>01754</v>
      </c>
      <c r="M1755" s="47" t="str">
        <f t="shared" si="502"/>
        <v>22 de enero de 2019</v>
      </c>
      <c r="N1755" s="323">
        <f t="shared" si="503"/>
        <v>22</v>
      </c>
      <c r="O1755" s="25">
        <f t="shared" si="504"/>
        <v>43466</v>
      </c>
      <c r="P1755" s="5" t="str">
        <f t="shared" si="505"/>
        <v>2.200,00</v>
      </c>
      <c r="Q1755" s="4" t="e">
        <f t="shared" ca="1" si="506"/>
        <v>#NAME?</v>
      </c>
    </row>
    <row r="1756" spans="1:17">
      <c r="A1756" s="1">
        <f t="shared" si="483"/>
        <v>1755</v>
      </c>
      <c r="C1756" s="8" t="s">
        <v>17</v>
      </c>
      <c r="D1756" s="2">
        <v>43488</v>
      </c>
      <c r="E1756" s="3">
        <v>2200</v>
      </c>
      <c r="F1756" t="s">
        <v>483</v>
      </c>
      <c r="G1756" t="s">
        <v>484</v>
      </c>
      <c r="H1756" t="s">
        <v>485</v>
      </c>
      <c r="I1756" s="6" t="s">
        <v>886</v>
      </c>
      <c r="J1756" s="61" t="s">
        <v>22</v>
      </c>
      <c r="L1756" s="5" t="str">
        <f t="shared" si="501"/>
        <v>01755</v>
      </c>
      <c r="M1756" s="47" t="str">
        <f t="shared" si="502"/>
        <v>23 de enero de 2019</v>
      </c>
      <c r="N1756" s="323">
        <f t="shared" si="503"/>
        <v>23</v>
      </c>
      <c r="O1756" s="25">
        <f t="shared" si="504"/>
        <v>43466</v>
      </c>
      <c r="P1756" s="5" t="str">
        <f t="shared" si="505"/>
        <v>2.200,00</v>
      </c>
      <c r="Q1756" s="4" t="e">
        <f t="shared" ca="1" si="506"/>
        <v>#NAME?</v>
      </c>
    </row>
    <row r="1757" spans="1:17">
      <c r="A1757" s="1">
        <f t="shared" si="483"/>
        <v>1756</v>
      </c>
      <c r="C1757" s="8" t="s">
        <v>17</v>
      </c>
      <c r="D1757" s="2">
        <v>43488</v>
      </c>
      <c r="E1757" s="3">
        <v>3000</v>
      </c>
      <c r="F1757" t="s">
        <v>181</v>
      </c>
      <c r="G1757" t="s">
        <v>182</v>
      </c>
      <c r="H1757" t="s">
        <v>183</v>
      </c>
      <c r="I1757" s="6" t="s">
        <v>887</v>
      </c>
      <c r="J1757" s="61" t="s">
        <v>22</v>
      </c>
      <c r="L1757" s="5" t="str">
        <f t="shared" si="501"/>
        <v>01756</v>
      </c>
      <c r="M1757" s="47" t="str">
        <f t="shared" si="502"/>
        <v>23 de enero de 2019</v>
      </c>
      <c r="N1757" s="323">
        <f t="shared" si="503"/>
        <v>23</v>
      </c>
      <c r="O1757" s="25">
        <f t="shared" si="504"/>
        <v>43466</v>
      </c>
      <c r="P1757" s="5" t="str">
        <f t="shared" si="505"/>
        <v>3.000,00</v>
      </c>
      <c r="Q1757" s="4" t="e">
        <f t="shared" ca="1" si="506"/>
        <v>#NAME?</v>
      </c>
    </row>
    <row r="1758" spans="1:17">
      <c r="A1758" s="1">
        <f t="shared" si="483"/>
        <v>1757</v>
      </c>
      <c r="C1758" s="8" t="s">
        <v>17</v>
      </c>
      <c r="D1758" s="2">
        <v>43488</v>
      </c>
      <c r="E1758" s="3">
        <v>3000</v>
      </c>
      <c r="F1758" t="s">
        <v>211</v>
      </c>
      <c r="G1758" t="s">
        <v>212</v>
      </c>
      <c r="H1758" t="s">
        <v>213</v>
      </c>
      <c r="I1758" s="6" t="s">
        <v>887</v>
      </c>
      <c r="J1758" s="61" t="s">
        <v>22</v>
      </c>
      <c r="L1758" s="5" t="str">
        <f t="shared" si="501"/>
        <v>01757</v>
      </c>
      <c r="M1758" s="47" t="str">
        <f t="shared" si="502"/>
        <v>23 de enero de 2019</v>
      </c>
      <c r="N1758" s="323">
        <f t="shared" si="503"/>
        <v>23</v>
      </c>
      <c r="O1758" s="25">
        <f t="shared" si="504"/>
        <v>43466</v>
      </c>
      <c r="P1758" s="5" t="str">
        <f t="shared" si="505"/>
        <v>3.000,00</v>
      </c>
      <c r="Q1758" s="4" t="e">
        <f t="shared" ca="1" si="506"/>
        <v>#NAME?</v>
      </c>
    </row>
    <row r="1759" spans="1:17">
      <c r="A1759" s="1">
        <f t="shared" si="483"/>
        <v>1758</v>
      </c>
      <c r="C1759" s="8" t="s">
        <v>17</v>
      </c>
      <c r="D1759" s="2">
        <v>43488</v>
      </c>
      <c r="E1759" s="3">
        <v>2200</v>
      </c>
      <c r="F1759" t="s">
        <v>407</v>
      </c>
      <c r="G1759" t="s">
        <v>408</v>
      </c>
      <c r="H1759" t="s">
        <v>409</v>
      </c>
      <c r="I1759" s="6" t="s">
        <v>886</v>
      </c>
      <c r="J1759" s="61" t="s">
        <v>22</v>
      </c>
      <c r="L1759" s="5" t="str">
        <f t="shared" si="501"/>
        <v>01758</v>
      </c>
      <c r="M1759" s="47" t="str">
        <f t="shared" si="502"/>
        <v>23 de enero de 2019</v>
      </c>
      <c r="N1759" s="323">
        <f t="shared" si="503"/>
        <v>23</v>
      </c>
      <c r="O1759" s="25">
        <f t="shared" si="504"/>
        <v>43466</v>
      </c>
      <c r="P1759" s="5" t="str">
        <f t="shared" si="505"/>
        <v>2.200,00</v>
      </c>
      <c r="Q1759" s="4" t="e">
        <f ca="1">CONVERTIRNUM(E1759)</f>
        <v>#NAME?</v>
      </c>
    </row>
    <row r="1760" spans="1:17">
      <c r="A1760" s="1">
        <f t="shared" si="483"/>
        <v>1759</v>
      </c>
      <c r="C1760" s="8" t="s">
        <v>17</v>
      </c>
      <c r="D1760" s="2">
        <v>43489</v>
      </c>
      <c r="E1760" s="3">
        <v>3000</v>
      </c>
      <c r="F1760" t="s">
        <v>443</v>
      </c>
      <c r="G1760" t="s">
        <v>444</v>
      </c>
      <c r="H1760" t="s">
        <v>75</v>
      </c>
      <c r="I1760" s="6" t="s">
        <v>887</v>
      </c>
      <c r="J1760" s="61" t="s">
        <v>22</v>
      </c>
      <c r="L1760" s="5" t="str">
        <f t="shared" si="501"/>
        <v>01759</v>
      </c>
      <c r="M1760" s="47" t="str">
        <f t="shared" si="502"/>
        <v>24 de enero de 2019</v>
      </c>
      <c r="N1760" s="323">
        <f t="shared" si="503"/>
        <v>24</v>
      </c>
      <c r="O1760" s="25">
        <f t="shared" si="504"/>
        <v>43466</v>
      </c>
      <c r="P1760" s="5" t="str">
        <f t="shared" si="505"/>
        <v>3.000,00</v>
      </c>
      <c r="Q1760" s="4" t="e">
        <f t="shared" ref="Q1760:Q1777" ca="1" si="507">CONVERTIRNUM(E1760)</f>
        <v>#NAME?</v>
      </c>
    </row>
    <row r="1761" spans="1:17">
      <c r="A1761" s="1">
        <f t="shared" si="483"/>
        <v>1760</v>
      </c>
      <c r="C1761" s="8" t="s">
        <v>17</v>
      </c>
      <c r="D1761" s="2">
        <v>43490</v>
      </c>
      <c r="E1761" s="3">
        <v>3000</v>
      </c>
      <c r="F1761" t="s">
        <v>633</v>
      </c>
      <c r="G1761" t="s">
        <v>634</v>
      </c>
      <c r="H1761" t="s">
        <v>635</v>
      </c>
      <c r="I1761" s="6" t="s">
        <v>887</v>
      </c>
      <c r="J1761" s="61" t="s">
        <v>22</v>
      </c>
      <c r="L1761" s="5" t="str">
        <f t="shared" si="501"/>
        <v>01760</v>
      </c>
      <c r="M1761" s="47" t="str">
        <f t="shared" si="502"/>
        <v>25 de enero de 2019</v>
      </c>
      <c r="N1761" s="323">
        <f t="shared" si="503"/>
        <v>25</v>
      </c>
      <c r="O1761" s="25">
        <f t="shared" si="504"/>
        <v>43466</v>
      </c>
      <c r="P1761" s="5" t="str">
        <f t="shared" si="505"/>
        <v>3.000,00</v>
      </c>
      <c r="Q1761" s="4" t="e">
        <f t="shared" ca="1" si="507"/>
        <v>#NAME?</v>
      </c>
    </row>
    <row r="1762" spans="1:17">
      <c r="A1762" s="1">
        <f t="shared" si="483"/>
        <v>1761</v>
      </c>
      <c r="C1762" s="8" t="s">
        <v>17</v>
      </c>
      <c r="D1762" s="2">
        <v>43490</v>
      </c>
      <c r="E1762" s="3">
        <v>3000</v>
      </c>
      <c r="F1762" t="s">
        <v>771</v>
      </c>
      <c r="G1762" t="s">
        <v>772</v>
      </c>
      <c r="H1762" t="s">
        <v>773</v>
      </c>
      <c r="I1762" s="6" t="s">
        <v>891</v>
      </c>
      <c r="J1762" s="61" t="s">
        <v>22</v>
      </c>
      <c r="L1762" s="5" t="str">
        <f t="shared" si="501"/>
        <v>01761</v>
      </c>
      <c r="M1762" s="47" t="str">
        <f t="shared" si="502"/>
        <v>25 de enero de 2019</v>
      </c>
      <c r="N1762" s="323">
        <f t="shared" si="503"/>
        <v>25</v>
      </c>
      <c r="O1762" s="25">
        <f t="shared" si="504"/>
        <v>43466</v>
      </c>
      <c r="P1762" s="5" t="str">
        <f t="shared" si="505"/>
        <v>3.000,00</v>
      </c>
      <c r="Q1762" s="4" t="e">
        <f t="shared" ca="1" si="507"/>
        <v>#NAME?</v>
      </c>
    </row>
    <row r="1763" spans="1:17">
      <c r="A1763" s="1">
        <f t="shared" si="483"/>
        <v>1762</v>
      </c>
      <c r="C1763" s="8" t="s">
        <v>17</v>
      </c>
      <c r="D1763" s="2">
        <v>43494</v>
      </c>
      <c r="E1763" s="3">
        <v>3000</v>
      </c>
      <c r="F1763" t="s">
        <v>296</v>
      </c>
      <c r="G1763" t="s">
        <v>297</v>
      </c>
      <c r="H1763" t="s">
        <v>298</v>
      </c>
      <c r="I1763" s="6" t="s">
        <v>887</v>
      </c>
      <c r="J1763" s="61" t="s">
        <v>22</v>
      </c>
      <c r="L1763" s="5" t="str">
        <f t="shared" si="501"/>
        <v>01762</v>
      </c>
      <c r="M1763" s="47" t="str">
        <f t="shared" si="502"/>
        <v>29 de enero de 2019</v>
      </c>
      <c r="N1763" s="323">
        <f t="shared" si="503"/>
        <v>29</v>
      </c>
      <c r="O1763" s="25">
        <f t="shared" si="504"/>
        <v>43466</v>
      </c>
      <c r="P1763" s="5" t="str">
        <f t="shared" si="505"/>
        <v>3.000,00</v>
      </c>
      <c r="Q1763" s="4" t="e">
        <f t="shared" ca="1" si="507"/>
        <v>#NAME?</v>
      </c>
    </row>
    <row r="1764" spans="1:17">
      <c r="A1764" s="1">
        <f t="shared" si="483"/>
        <v>1763</v>
      </c>
      <c r="C1764" s="8" t="s">
        <v>17</v>
      </c>
      <c r="D1764" s="2">
        <v>43494</v>
      </c>
      <c r="E1764" s="3">
        <v>6500</v>
      </c>
      <c r="F1764" t="s">
        <v>100</v>
      </c>
      <c r="G1764" t="s">
        <v>95</v>
      </c>
      <c r="H1764" t="s">
        <v>101</v>
      </c>
      <c r="I1764" s="6" t="s">
        <v>890</v>
      </c>
      <c r="J1764" s="61" t="s">
        <v>22</v>
      </c>
      <c r="L1764" s="5" t="str">
        <f t="shared" si="501"/>
        <v>01763</v>
      </c>
      <c r="M1764" s="47" t="str">
        <f t="shared" si="502"/>
        <v>29 de enero de 2019</v>
      </c>
      <c r="N1764" s="323">
        <f t="shared" si="503"/>
        <v>29</v>
      </c>
      <c r="O1764" s="25">
        <f t="shared" si="504"/>
        <v>43466</v>
      </c>
      <c r="P1764" s="5" t="str">
        <f t="shared" si="505"/>
        <v>6.500,00</v>
      </c>
      <c r="Q1764" s="4" t="e">
        <f t="shared" ca="1" si="507"/>
        <v>#NAME?</v>
      </c>
    </row>
    <row r="1765" spans="1:17">
      <c r="A1765" s="1">
        <f t="shared" si="483"/>
        <v>1764</v>
      </c>
      <c r="C1765" s="8" t="s">
        <v>17</v>
      </c>
      <c r="D1765" s="2">
        <v>43495</v>
      </c>
      <c r="E1765" s="3">
        <v>2200</v>
      </c>
      <c r="F1765" t="s">
        <v>248</v>
      </c>
      <c r="G1765" t="s">
        <v>249</v>
      </c>
      <c r="H1765" t="s">
        <v>250</v>
      </c>
      <c r="I1765" s="6" t="s">
        <v>886</v>
      </c>
      <c r="J1765" s="61" t="s">
        <v>22</v>
      </c>
      <c r="L1765" s="5" t="str">
        <f t="shared" si="501"/>
        <v>01764</v>
      </c>
      <c r="M1765" s="47" t="str">
        <f t="shared" si="502"/>
        <v>30 de enero de 2019</v>
      </c>
      <c r="N1765" s="323">
        <f t="shared" si="503"/>
        <v>30</v>
      </c>
      <c r="O1765" s="25">
        <f t="shared" si="504"/>
        <v>43466</v>
      </c>
      <c r="P1765" s="5" t="str">
        <f t="shared" si="505"/>
        <v>2.200,00</v>
      </c>
      <c r="Q1765" s="4" t="e">
        <f t="shared" ca="1" si="507"/>
        <v>#NAME?</v>
      </c>
    </row>
    <row r="1766" spans="1:17">
      <c r="A1766" s="1">
        <f t="shared" si="483"/>
        <v>1765</v>
      </c>
      <c r="C1766" s="8" t="s">
        <v>17</v>
      </c>
      <c r="D1766" s="2">
        <v>43495</v>
      </c>
      <c r="E1766" s="3">
        <v>2200</v>
      </c>
      <c r="F1766" t="s">
        <v>114</v>
      </c>
      <c r="G1766" t="s">
        <v>115</v>
      </c>
      <c r="H1766" t="s">
        <v>105</v>
      </c>
      <c r="I1766" s="6" t="s">
        <v>886</v>
      </c>
      <c r="J1766" s="61" t="s">
        <v>22</v>
      </c>
      <c r="L1766" s="5" t="str">
        <f t="shared" si="501"/>
        <v>01765</v>
      </c>
      <c r="M1766" s="47" t="str">
        <f t="shared" si="502"/>
        <v>30 de enero de 2019</v>
      </c>
      <c r="N1766" s="323">
        <f t="shared" si="503"/>
        <v>30</v>
      </c>
      <c r="O1766" s="25">
        <f t="shared" si="504"/>
        <v>43466</v>
      </c>
      <c r="P1766" s="5" t="str">
        <f t="shared" si="505"/>
        <v>2.200,00</v>
      </c>
      <c r="Q1766" s="4" t="e">
        <f t="shared" ca="1" si="507"/>
        <v>#NAME?</v>
      </c>
    </row>
    <row r="1767" spans="1:17">
      <c r="A1767" s="1">
        <f t="shared" si="483"/>
        <v>1766</v>
      </c>
      <c r="C1767" s="8" t="s">
        <v>17</v>
      </c>
      <c r="D1767" s="2">
        <v>43495</v>
      </c>
      <c r="E1767" s="3">
        <v>500</v>
      </c>
      <c r="F1767" t="s">
        <v>324</v>
      </c>
      <c r="G1767" t="s">
        <v>325</v>
      </c>
      <c r="H1767" t="s">
        <v>326</v>
      </c>
      <c r="I1767" s="6" t="s">
        <v>881</v>
      </c>
      <c r="J1767" s="61" t="s">
        <v>22</v>
      </c>
      <c r="L1767" s="5" t="str">
        <f t="shared" si="501"/>
        <v>01766</v>
      </c>
      <c r="M1767" s="47" t="str">
        <f t="shared" si="502"/>
        <v>30 de enero de 2019</v>
      </c>
      <c r="N1767" s="323">
        <f t="shared" si="503"/>
        <v>30</v>
      </c>
      <c r="O1767" s="25">
        <f t="shared" si="504"/>
        <v>43466</v>
      </c>
      <c r="P1767" s="5" t="str">
        <f t="shared" si="505"/>
        <v>500,00</v>
      </c>
      <c r="Q1767" s="4" t="e">
        <f t="shared" ca="1" si="507"/>
        <v>#NAME?</v>
      </c>
    </row>
    <row r="1768" spans="1:17">
      <c r="A1768" s="1">
        <f t="shared" si="483"/>
        <v>1767</v>
      </c>
      <c r="C1768" s="8" t="s">
        <v>17</v>
      </c>
      <c r="D1768" s="2">
        <v>43495</v>
      </c>
      <c r="E1768" s="3">
        <v>2200</v>
      </c>
      <c r="F1768" t="s">
        <v>134</v>
      </c>
      <c r="G1768" t="s">
        <v>135</v>
      </c>
      <c r="H1768" t="s">
        <v>136</v>
      </c>
      <c r="I1768" s="6" t="s">
        <v>886</v>
      </c>
      <c r="J1768" s="61" t="s">
        <v>22</v>
      </c>
      <c r="L1768" s="5" t="str">
        <f t="shared" ref="L1768:L1784" si="508">IF(ISBLANK(A1768),"",TEXT(A1768,"00000"))</f>
        <v>01767</v>
      </c>
      <c r="M1768" s="47" t="str">
        <f t="shared" ref="M1768:M1784" si="509">IF(ISBLANK(D1768),"",TEXT(D1768,"dd")&amp;" de "&amp;TEXT(D1768,"mmmm")&amp;" de "&amp;TEXT(YEAR(D1768),"0"))</f>
        <v>30 de enero de 2019</v>
      </c>
      <c r="N1768" s="323">
        <f t="shared" ref="N1768:N1795" si="510">DAY(D1768)</f>
        <v>30</v>
      </c>
      <c r="O1768" s="25">
        <f t="shared" ref="O1768:O1784" si="511">DATE(YEAR(D1768),MONTH(D1768),1)</f>
        <v>43466</v>
      </c>
      <c r="P1768" s="5" t="str">
        <f t="shared" ref="P1768:P1795" si="512">TEXT(E1768,"#.##0,00")</f>
        <v>2.200,00</v>
      </c>
      <c r="Q1768" s="4" t="e">
        <f t="shared" ca="1" si="507"/>
        <v>#NAME?</v>
      </c>
    </row>
    <row r="1769" spans="1:17">
      <c r="A1769" s="1">
        <f t="shared" si="483"/>
        <v>1768</v>
      </c>
      <c r="C1769" s="8" t="s">
        <v>17</v>
      </c>
      <c r="D1769" s="2">
        <v>43495</v>
      </c>
      <c r="E1769" s="3">
        <v>2200</v>
      </c>
      <c r="F1769" t="s">
        <v>48</v>
      </c>
      <c r="G1769" t="s">
        <v>49</v>
      </c>
      <c r="H1769" t="s">
        <v>50</v>
      </c>
      <c r="I1769" s="6" t="s">
        <v>886</v>
      </c>
      <c r="J1769" s="61" t="s">
        <v>22</v>
      </c>
      <c r="L1769" s="5" t="str">
        <f t="shared" si="508"/>
        <v>01768</v>
      </c>
      <c r="M1769" s="47" t="str">
        <f t="shared" si="509"/>
        <v>30 de enero de 2019</v>
      </c>
      <c r="N1769" s="323">
        <f t="shared" si="510"/>
        <v>30</v>
      </c>
      <c r="O1769" s="25">
        <f t="shared" si="511"/>
        <v>43466</v>
      </c>
      <c r="P1769" s="5" t="str">
        <f t="shared" si="512"/>
        <v>2.200,00</v>
      </c>
      <c r="Q1769" s="4" t="e">
        <f t="shared" ca="1" si="507"/>
        <v>#NAME?</v>
      </c>
    </row>
    <row r="1770" spans="1:17">
      <c r="A1770" s="1">
        <f t="shared" si="483"/>
        <v>1769</v>
      </c>
      <c r="C1770" s="8" t="s">
        <v>17</v>
      </c>
      <c r="D1770" s="2">
        <v>43495</v>
      </c>
      <c r="E1770" s="3">
        <v>3000</v>
      </c>
      <c r="F1770" t="s">
        <v>537</v>
      </c>
      <c r="G1770" t="s">
        <v>538</v>
      </c>
      <c r="H1770" t="s">
        <v>539</v>
      </c>
      <c r="I1770" s="6" t="s">
        <v>887</v>
      </c>
      <c r="J1770" s="61" t="s">
        <v>22</v>
      </c>
      <c r="L1770" s="5" t="str">
        <f t="shared" si="508"/>
        <v>01769</v>
      </c>
      <c r="M1770" s="47" t="str">
        <f t="shared" si="509"/>
        <v>30 de enero de 2019</v>
      </c>
      <c r="N1770" s="323">
        <f t="shared" si="510"/>
        <v>30</v>
      </c>
      <c r="O1770" s="25">
        <f t="shared" si="511"/>
        <v>43466</v>
      </c>
      <c r="P1770" s="5" t="str">
        <f t="shared" si="512"/>
        <v>3.000,00</v>
      </c>
      <c r="Q1770" s="4" t="e">
        <f t="shared" ca="1" si="507"/>
        <v>#NAME?</v>
      </c>
    </row>
    <row r="1771" spans="1:17">
      <c r="A1771" s="1">
        <f t="shared" si="483"/>
        <v>1770</v>
      </c>
      <c r="C1771" s="8" t="s">
        <v>17</v>
      </c>
      <c r="D1771" s="2">
        <v>43495</v>
      </c>
      <c r="E1771" s="3">
        <v>2200</v>
      </c>
      <c r="F1771" t="s">
        <v>80</v>
      </c>
      <c r="G1771" t="s">
        <v>81</v>
      </c>
      <c r="H1771" t="s">
        <v>82</v>
      </c>
      <c r="I1771" s="6" t="s">
        <v>886</v>
      </c>
      <c r="J1771" s="61" t="s">
        <v>22</v>
      </c>
      <c r="L1771" s="5" t="str">
        <f t="shared" si="508"/>
        <v>01770</v>
      </c>
      <c r="M1771" s="47" t="str">
        <f t="shared" si="509"/>
        <v>30 de enero de 2019</v>
      </c>
      <c r="N1771" s="323">
        <f t="shared" si="510"/>
        <v>30</v>
      </c>
      <c r="O1771" s="25">
        <f t="shared" si="511"/>
        <v>43466</v>
      </c>
      <c r="P1771" s="5" t="str">
        <f t="shared" si="512"/>
        <v>2.200,00</v>
      </c>
      <c r="Q1771" s="4" t="e">
        <f t="shared" ca="1" si="507"/>
        <v>#NAME?</v>
      </c>
    </row>
    <row r="1772" spans="1:17">
      <c r="A1772" s="1">
        <f t="shared" si="483"/>
        <v>1771</v>
      </c>
      <c r="C1772" s="8" t="s">
        <v>17</v>
      </c>
      <c r="D1772" s="2">
        <v>43495</v>
      </c>
      <c r="E1772" s="3">
        <v>2000</v>
      </c>
      <c r="F1772" t="s">
        <v>53</v>
      </c>
      <c r="G1772" t="s">
        <v>677</v>
      </c>
      <c r="H1772" t="s">
        <v>55</v>
      </c>
      <c r="I1772" s="6" t="s">
        <v>886</v>
      </c>
      <c r="J1772" s="61" t="s">
        <v>22</v>
      </c>
      <c r="L1772" s="5" t="str">
        <f t="shared" si="508"/>
        <v>01771</v>
      </c>
      <c r="M1772" s="47" t="str">
        <f t="shared" si="509"/>
        <v>30 de enero de 2019</v>
      </c>
      <c r="N1772" s="323">
        <f t="shared" si="510"/>
        <v>30</v>
      </c>
      <c r="O1772" s="25">
        <f t="shared" si="511"/>
        <v>43466</v>
      </c>
      <c r="P1772" s="5" t="str">
        <f t="shared" si="512"/>
        <v>2.000,00</v>
      </c>
      <c r="Q1772" s="4" t="e">
        <f t="shared" ca="1" si="507"/>
        <v>#NAME?</v>
      </c>
    </row>
    <row r="1773" spans="1:17">
      <c r="A1773" s="1">
        <f t="shared" ref="A1773:A1783" si="513">A1772+1</f>
        <v>1772</v>
      </c>
      <c r="C1773" s="8" t="s">
        <v>17</v>
      </c>
      <c r="D1773" s="2">
        <v>43495</v>
      </c>
      <c r="E1773" s="3">
        <v>3800</v>
      </c>
      <c r="F1773" t="s">
        <v>843</v>
      </c>
      <c r="G1773" t="s">
        <v>844</v>
      </c>
      <c r="H1773" t="s">
        <v>169</v>
      </c>
      <c r="I1773" s="6" t="s">
        <v>879</v>
      </c>
      <c r="J1773" s="61" t="s">
        <v>22</v>
      </c>
      <c r="L1773" s="5" t="str">
        <f t="shared" si="508"/>
        <v>01772</v>
      </c>
      <c r="M1773" s="47" t="str">
        <f t="shared" si="509"/>
        <v>30 de enero de 2019</v>
      </c>
      <c r="N1773" s="323">
        <f t="shared" si="510"/>
        <v>30</v>
      </c>
      <c r="O1773" s="25">
        <f t="shared" si="511"/>
        <v>43466</v>
      </c>
      <c r="P1773" s="5" t="str">
        <f t="shared" si="512"/>
        <v>3.800,00</v>
      </c>
      <c r="Q1773" s="4" t="e">
        <f t="shared" ca="1" si="507"/>
        <v>#NAME?</v>
      </c>
    </row>
    <row r="1774" spans="1:17">
      <c r="A1774" s="1">
        <f t="shared" si="513"/>
        <v>1773</v>
      </c>
      <c r="C1774" s="8" t="s">
        <v>17</v>
      </c>
      <c r="D1774" s="2">
        <v>43495</v>
      </c>
      <c r="E1774" s="3">
        <v>3000</v>
      </c>
      <c r="F1774" t="s">
        <v>337</v>
      </c>
      <c r="G1774" t="s">
        <v>338</v>
      </c>
      <c r="H1774" t="s">
        <v>339</v>
      </c>
      <c r="I1774" s="6" t="s">
        <v>887</v>
      </c>
      <c r="J1774" s="61" t="s">
        <v>22</v>
      </c>
      <c r="L1774" s="5" t="str">
        <f t="shared" si="508"/>
        <v>01773</v>
      </c>
      <c r="M1774" s="47" t="str">
        <f t="shared" si="509"/>
        <v>30 de enero de 2019</v>
      </c>
      <c r="N1774" s="323">
        <f t="shared" si="510"/>
        <v>30</v>
      </c>
      <c r="O1774" s="25">
        <f t="shared" si="511"/>
        <v>43466</v>
      </c>
      <c r="P1774" s="5" t="str">
        <f t="shared" si="512"/>
        <v>3.000,00</v>
      </c>
      <c r="Q1774" s="4" t="e">
        <f t="shared" ca="1" si="507"/>
        <v>#NAME?</v>
      </c>
    </row>
    <row r="1775" spans="1:17">
      <c r="A1775" s="1">
        <f t="shared" si="513"/>
        <v>1774</v>
      </c>
      <c r="C1775" s="8" t="s">
        <v>17</v>
      </c>
      <c r="D1775" s="2">
        <v>43495</v>
      </c>
      <c r="E1775" s="3">
        <v>3000</v>
      </c>
      <c r="F1775" t="s">
        <v>122</v>
      </c>
      <c r="G1775" t="s">
        <v>123</v>
      </c>
      <c r="H1775" t="s">
        <v>124</v>
      </c>
      <c r="I1775" s="6" t="s">
        <v>887</v>
      </c>
      <c r="J1775" s="61" t="s">
        <v>22</v>
      </c>
      <c r="L1775" s="5" t="str">
        <f t="shared" si="508"/>
        <v>01774</v>
      </c>
      <c r="M1775" s="47" t="str">
        <f t="shared" si="509"/>
        <v>30 de enero de 2019</v>
      </c>
      <c r="N1775" s="323">
        <f t="shared" si="510"/>
        <v>30</v>
      </c>
      <c r="O1775" s="25">
        <f t="shared" si="511"/>
        <v>43466</v>
      </c>
      <c r="P1775" s="5" t="str">
        <f t="shared" si="512"/>
        <v>3.000,00</v>
      </c>
      <c r="Q1775" s="4" t="e">
        <f t="shared" ca="1" si="507"/>
        <v>#NAME?</v>
      </c>
    </row>
    <row r="1776" spans="1:17" ht="15.75" thickBot="1">
      <c r="A1776" s="1">
        <f t="shared" si="513"/>
        <v>1775</v>
      </c>
      <c r="C1776" s="8" t="s">
        <v>17</v>
      </c>
      <c r="D1776" s="2">
        <v>43496</v>
      </c>
      <c r="E1776" s="3">
        <v>3000</v>
      </c>
      <c r="F1776" t="s">
        <v>892</v>
      </c>
      <c r="G1776" t="s">
        <v>893</v>
      </c>
      <c r="H1776" s="21" t="s">
        <v>59</v>
      </c>
      <c r="I1776" s="6" t="s">
        <v>887</v>
      </c>
      <c r="J1776" s="61" t="s">
        <v>22</v>
      </c>
      <c r="K1776" s="22"/>
      <c r="L1776" s="5" t="str">
        <f t="shared" si="508"/>
        <v>01775</v>
      </c>
      <c r="M1776" s="47" t="str">
        <f t="shared" si="509"/>
        <v>31 de enero de 2019</v>
      </c>
      <c r="N1776" s="323">
        <f t="shared" si="510"/>
        <v>31</v>
      </c>
      <c r="O1776" s="25">
        <f t="shared" si="511"/>
        <v>43466</v>
      </c>
      <c r="P1776" s="5" t="str">
        <f t="shared" si="512"/>
        <v>3.000,00</v>
      </c>
      <c r="Q1776" s="4" t="e">
        <f t="shared" ca="1" si="507"/>
        <v>#NAME?</v>
      </c>
    </row>
    <row r="1777" spans="1:17" ht="15.75" thickBot="1">
      <c r="A1777" s="1">
        <f t="shared" si="513"/>
        <v>1776</v>
      </c>
      <c r="C1777" s="85" t="s">
        <v>17</v>
      </c>
      <c r="D1777" s="2">
        <v>43496</v>
      </c>
      <c r="E1777" s="3">
        <v>3190</v>
      </c>
      <c r="F1777" s="23" t="s">
        <v>422</v>
      </c>
      <c r="G1777" s="18" t="s">
        <v>58</v>
      </c>
      <c r="H1777" t="s">
        <v>423</v>
      </c>
      <c r="I1777" s="6" t="s">
        <v>886</v>
      </c>
      <c r="J1777" s="61" t="s">
        <v>22</v>
      </c>
      <c r="L1777" s="5" t="str">
        <f t="shared" si="508"/>
        <v>01776</v>
      </c>
      <c r="M1777" s="47" t="str">
        <f t="shared" si="509"/>
        <v>31 de enero de 2019</v>
      </c>
      <c r="N1777" s="323">
        <f t="shared" si="510"/>
        <v>31</v>
      </c>
      <c r="O1777" s="25">
        <f t="shared" si="511"/>
        <v>43466</v>
      </c>
      <c r="P1777" s="5" t="str">
        <f t="shared" si="512"/>
        <v>3.190,00</v>
      </c>
      <c r="Q1777" s="4" t="e">
        <f t="shared" ca="1" si="507"/>
        <v>#NAME?</v>
      </c>
    </row>
    <row r="1778" spans="1:17">
      <c r="A1778" s="1">
        <f t="shared" si="513"/>
        <v>1777</v>
      </c>
      <c r="C1778" s="8" t="s">
        <v>17</v>
      </c>
      <c r="D1778" s="2">
        <v>43496</v>
      </c>
      <c r="E1778" s="3">
        <v>1500</v>
      </c>
      <c r="F1778" t="s">
        <v>324</v>
      </c>
      <c r="G1778" t="s">
        <v>325</v>
      </c>
      <c r="H1778" t="s">
        <v>326</v>
      </c>
      <c r="I1778" s="6" t="s">
        <v>894</v>
      </c>
      <c r="J1778" s="61" t="s">
        <v>22</v>
      </c>
      <c r="L1778" s="5" t="str">
        <f t="shared" si="508"/>
        <v>01777</v>
      </c>
      <c r="M1778" s="47" t="str">
        <f t="shared" si="509"/>
        <v>31 de enero de 2019</v>
      </c>
      <c r="N1778" s="323">
        <f t="shared" si="510"/>
        <v>31</v>
      </c>
      <c r="O1778" s="25">
        <f t="shared" si="511"/>
        <v>43466</v>
      </c>
      <c r="P1778" s="5" t="str">
        <f t="shared" si="512"/>
        <v>1.500,00</v>
      </c>
      <c r="Q1778" s="4" t="e">
        <f t="shared" ref="Q1778:Q1795" ca="1" si="514">CONVERTIRNUM(E1778)</f>
        <v>#NAME?</v>
      </c>
    </row>
    <row r="1779" spans="1:17">
      <c r="A1779" s="1">
        <f t="shared" si="513"/>
        <v>1778</v>
      </c>
      <c r="C1779" s="8" t="s">
        <v>17</v>
      </c>
      <c r="D1779" s="2">
        <v>43496</v>
      </c>
      <c r="E1779" s="3">
        <v>2200</v>
      </c>
      <c r="F1779" t="s">
        <v>103</v>
      </c>
      <c r="G1779" t="s">
        <v>104</v>
      </c>
      <c r="H1779" t="s">
        <v>105</v>
      </c>
      <c r="I1779" s="6" t="s">
        <v>886</v>
      </c>
      <c r="J1779" s="61" t="s">
        <v>22</v>
      </c>
      <c r="L1779" s="5" t="str">
        <f t="shared" si="508"/>
        <v>01778</v>
      </c>
      <c r="M1779" s="47" t="str">
        <f t="shared" si="509"/>
        <v>31 de enero de 2019</v>
      </c>
      <c r="N1779" s="323">
        <f t="shared" si="510"/>
        <v>31</v>
      </c>
      <c r="O1779" s="25">
        <f t="shared" si="511"/>
        <v>43466</v>
      </c>
      <c r="P1779" s="5" t="str">
        <f t="shared" si="512"/>
        <v>2.200,00</v>
      </c>
      <c r="Q1779" s="4" t="e">
        <f t="shared" ca="1" si="514"/>
        <v>#NAME?</v>
      </c>
    </row>
    <row r="1780" spans="1:17">
      <c r="A1780" s="1">
        <f t="shared" si="513"/>
        <v>1779</v>
      </c>
      <c r="C1780" s="8" t="s">
        <v>17</v>
      </c>
      <c r="D1780" s="2">
        <v>43496</v>
      </c>
      <c r="E1780" s="3">
        <v>2200</v>
      </c>
      <c r="F1780" t="s">
        <v>130</v>
      </c>
      <c r="G1780" t="s">
        <v>131</v>
      </c>
      <c r="H1780" t="s">
        <v>132</v>
      </c>
      <c r="I1780" s="6" t="s">
        <v>886</v>
      </c>
      <c r="J1780" s="61" t="s">
        <v>22</v>
      </c>
      <c r="L1780" s="5" t="str">
        <f t="shared" si="508"/>
        <v>01779</v>
      </c>
      <c r="M1780" s="47" t="str">
        <f t="shared" si="509"/>
        <v>31 de enero de 2019</v>
      </c>
      <c r="N1780" s="323">
        <f t="shared" si="510"/>
        <v>31</v>
      </c>
      <c r="O1780" s="25">
        <f t="shared" si="511"/>
        <v>43466</v>
      </c>
      <c r="P1780" s="5" t="str">
        <f t="shared" si="512"/>
        <v>2.200,00</v>
      </c>
      <c r="Q1780" s="4" t="e">
        <f t="shared" ca="1" si="514"/>
        <v>#NAME?</v>
      </c>
    </row>
    <row r="1781" spans="1:17" ht="15.75" thickBot="1">
      <c r="A1781" s="1">
        <f t="shared" si="513"/>
        <v>1780</v>
      </c>
      <c r="C1781" s="8" t="s">
        <v>17</v>
      </c>
      <c r="D1781" s="2">
        <v>43496</v>
      </c>
      <c r="E1781" s="3">
        <v>3000</v>
      </c>
      <c r="F1781" t="s">
        <v>62</v>
      </c>
      <c r="G1781" t="s">
        <v>63</v>
      </c>
      <c r="H1781" t="s">
        <v>64</v>
      </c>
      <c r="I1781" s="6" t="s">
        <v>887</v>
      </c>
      <c r="J1781" s="61" t="s">
        <v>22</v>
      </c>
      <c r="L1781" s="5" t="str">
        <f t="shared" si="508"/>
        <v>01780</v>
      </c>
      <c r="M1781" s="47" t="str">
        <f t="shared" si="509"/>
        <v>31 de enero de 2019</v>
      </c>
      <c r="N1781" s="323">
        <f t="shared" si="510"/>
        <v>31</v>
      </c>
      <c r="O1781" s="25">
        <f t="shared" si="511"/>
        <v>43466</v>
      </c>
      <c r="P1781" s="5" t="str">
        <f t="shared" si="512"/>
        <v>3.000,00</v>
      </c>
      <c r="Q1781" s="4" t="e">
        <f t="shared" ca="1" si="514"/>
        <v>#NAME?</v>
      </c>
    </row>
    <row r="1782" spans="1:17" ht="15.75" thickBot="1">
      <c r="A1782" s="1">
        <f t="shared" si="513"/>
        <v>1781</v>
      </c>
      <c r="C1782" s="85" t="s">
        <v>17</v>
      </c>
      <c r="D1782" s="2">
        <v>43497</v>
      </c>
      <c r="E1782" s="3">
        <v>2200</v>
      </c>
      <c r="F1782" t="s">
        <v>319</v>
      </c>
      <c r="G1782" s="18" t="s">
        <v>58</v>
      </c>
      <c r="H1782" t="s">
        <v>320</v>
      </c>
      <c r="I1782" s="6" t="s">
        <v>886</v>
      </c>
      <c r="J1782" s="61" t="s">
        <v>22</v>
      </c>
      <c r="L1782" s="5" t="str">
        <f t="shared" si="508"/>
        <v>01781</v>
      </c>
      <c r="M1782" s="47" t="str">
        <f t="shared" si="509"/>
        <v>01 de febrero de 2019</v>
      </c>
      <c r="N1782" s="323">
        <f t="shared" si="510"/>
        <v>1</v>
      </c>
      <c r="O1782" s="25">
        <f t="shared" si="511"/>
        <v>43497</v>
      </c>
      <c r="P1782" s="5" t="str">
        <f t="shared" si="512"/>
        <v>2.200,00</v>
      </c>
      <c r="Q1782" s="4" t="e">
        <f t="shared" ca="1" si="514"/>
        <v>#NAME?</v>
      </c>
    </row>
    <row r="1783" spans="1:17">
      <c r="A1783" s="1">
        <f t="shared" si="513"/>
        <v>1782</v>
      </c>
      <c r="C1783" s="8" t="s">
        <v>17</v>
      </c>
      <c r="D1783" s="2">
        <v>43486</v>
      </c>
      <c r="E1783" s="3">
        <v>5200</v>
      </c>
      <c r="F1783" t="s">
        <v>66</v>
      </c>
      <c r="G1783" t="s">
        <v>67</v>
      </c>
      <c r="H1783" t="s">
        <v>68</v>
      </c>
      <c r="I1783" s="6" t="s">
        <v>895</v>
      </c>
      <c r="J1783" s="61" t="s">
        <v>22</v>
      </c>
      <c r="L1783" s="5" t="str">
        <f t="shared" si="508"/>
        <v>01782</v>
      </c>
      <c r="M1783" s="47" t="str">
        <f t="shared" si="509"/>
        <v>21 de enero de 2019</v>
      </c>
      <c r="N1783" s="323">
        <f t="shared" si="510"/>
        <v>21</v>
      </c>
      <c r="O1783" s="25">
        <f t="shared" si="511"/>
        <v>43466</v>
      </c>
      <c r="P1783" s="5" t="str">
        <f t="shared" si="512"/>
        <v>5.200,00</v>
      </c>
      <c r="Q1783" s="4" t="e">
        <f t="shared" ca="1" si="514"/>
        <v>#NAME?</v>
      </c>
    </row>
    <row r="1784" spans="1:17">
      <c r="A1784" s="1">
        <f>A1783+1</f>
        <v>1783</v>
      </c>
      <c r="C1784" s="8" t="s">
        <v>17</v>
      </c>
      <c r="D1784" s="2">
        <v>43495</v>
      </c>
      <c r="E1784" s="3">
        <v>1425</v>
      </c>
      <c r="F1784" t="s">
        <v>36</v>
      </c>
      <c r="G1784" t="s">
        <v>37</v>
      </c>
      <c r="H1784" t="s">
        <v>38</v>
      </c>
      <c r="I1784" s="6" t="s">
        <v>896</v>
      </c>
      <c r="J1784" s="61" t="s">
        <v>22</v>
      </c>
      <c r="L1784" s="5" t="str">
        <f t="shared" si="508"/>
        <v>01783</v>
      </c>
      <c r="M1784" s="47" t="str">
        <f t="shared" si="509"/>
        <v>30 de enero de 2019</v>
      </c>
      <c r="N1784" s="323">
        <f t="shared" si="510"/>
        <v>30</v>
      </c>
      <c r="O1784" s="25">
        <f t="shared" si="511"/>
        <v>43466</v>
      </c>
      <c r="P1784" s="5" t="str">
        <f t="shared" si="512"/>
        <v>1.425,00</v>
      </c>
      <c r="Q1784" s="4" t="e">
        <f t="shared" ca="1" si="514"/>
        <v>#NAME?</v>
      </c>
    </row>
    <row r="1785" spans="1:17">
      <c r="A1785" s="1">
        <f t="shared" ref="A1785:A1804" si="515">A1784+1</f>
        <v>1784</v>
      </c>
      <c r="C1785" s="8" t="s">
        <v>17</v>
      </c>
      <c r="D1785" s="2">
        <v>43498</v>
      </c>
      <c r="E1785" s="3">
        <v>4000</v>
      </c>
      <c r="F1785" t="s">
        <v>44</v>
      </c>
      <c r="G1785" t="s">
        <v>45</v>
      </c>
      <c r="H1785" t="s">
        <v>46</v>
      </c>
      <c r="I1785" s="6" t="s">
        <v>897</v>
      </c>
      <c r="J1785" s="61" t="s">
        <v>22</v>
      </c>
      <c r="L1785" s="5" t="str">
        <f>IF(ISBLANK(A1785),"",TEXT(A1785,"00000"))</f>
        <v>01784</v>
      </c>
      <c r="M1785" s="47" t="str">
        <f>IF(ISBLANK(D1785),"",TEXT(D1785,"dd")&amp;" de "&amp;TEXT(D1785,"mmmm")&amp;" de "&amp;TEXT(YEAR(D1785),"0"))</f>
        <v>02 de febrero de 2019</v>
      </c>
      <c r="N1785" s="323">
        <f t="shared" si="510"/>
        <v>2</v>
      </c>
      <c r="O1785" s="25">
        <f>DATE(YEAR(D1785),MONTH(D1785),1)</f>
        <v>43497</v>
      </c>
      <c r="P1785" s="5" t="str">
        <f t="shared" si="512"/>
        <v>4.000,00</v>
      </c>
      <c r="Q1785" s="4" t="e">
        <f t="shared" ca="1" si="514"/>
        <v>#NAME?</v>
      </c>
    </row>
    <row r="1786" spans="1:17">
      <c r="A1786" s="1">
        <f t="shared" si="515"/>
        <v>1785</v>
      </c>
      <c r="C1786" s="8" t="s">
        <v>17</v>
      </c>
      <c r="D1786" s="2">
        <v>43500</v>
      </c>
      <c r="E1786" s="3">
        <v>800</v>
      </c>
      <c r="F1786" t="s">
        <v>94</v>
      </c>
      <c r="G1786" t="s">
        <v>607</v>
      </c>
      <c r="H1786" t="s">
        <v>96</v>
      </c>
      <c r="I1786" s="6" t="s">
        <v>861</v>
      </c>
      <c r="J1786" s="61" t="s">
        <v>22</v>
      </c>
      <c r="L1786" s="5" t="str">
        <f t="shared" ref="L1786:L1795" si="516">IF(ISBLANK(A1786),"",TEXT(A1786,"00000"))</f>
        <v>01785</v>
      </c>
      <c r="M1786" s="47" t="str">
        <f t="shared" ref="M1786:M1795" si="517">IF(ISBLANK(D1786),"",TEXT(D1786,"dd")&amp;" de "&amp;TEXT(D1786,"mmmm")&amp;" de "&amp;TEXT(YEAR(D1786),"0"))</f>
        <v>04 de febrero de 2019</v>
      </c>
      <c r="N1786" s="323">
        <f t="shared" si="510"/>
        <v>4</v>
      </c>
      <c r="O1786" s="25">
        <f t="shared" ref="O1786:O1795" si="518">DATE(YEAR(D1786),MONTH(D1786),1)</f>
        <v>43497</v>
      </c>
      <c r="P1786" s="5" t="str">
        <f t="shared" si="512"/>
        <v>800,00</v>
      </c>
      <c r="Q1786" s="4" t="e">
        <f t="shared" ca="1" si="514"/>
        <v>#NAME?</v>
      </c>
    </row>
    <row r="1787" spans="1:17">
      <c r="A1787" s="1">
        <f t="shared" si="515"/>
        <v>1786</v>
      </c>
      <c r="C1787" s="8" t="s">
        <v>17</v>
      </c>
      <c r="D1787" s="2">
        <v>43500</v>
      </c>
      <c r="E1787" s="3">
        <v>5200</v>
      </c>
      <c r="F1787" t="s">
        <v>287</v>
      </c>
      <c r="G1787" t="s">
        <v>288</v>
      </c>
      <c r="H1787" t="s">
        <v>289</v>
      </c>
      <c r="I1787" s="6" t="s">
        <v>895</v>
      </c>
      <c r="J1787" s="61" t="s">
        <v>22</v>
      </c>
      <c r="L1787" s="5" t="str">
        <f t="shared" si="516"/>
        <v>01786</v>
      </c>
      <c r="M1787" s="47" t="str">
        <f t="shared" si="517"/>
        <v>04 de febrero de 2019</v>
      </c>
      <c r="N1787" s="323">
        <f t="shared" si="510"/>
        <v>4</v>
      </c>
      <c r="O1787" s="25">
        <f t="shared" si="518"/>
        <v>43497</v>
      </c>
      <c r="P1787" s="5" t="str">
        <f t="shared" si="512"/>
        <v>5.200,00</v>
      </c>
      <c r="Q1787" s="4" t="e">
        <f t="shared" ca="1" si="514"/>
        <v>#NAME?</v>
      </c>
    </row>
    <row r="1788" spans="1:17" ht="15.75" thickBot="1">
      <c r="A1788" s="1">
        <f t="shared" si="515"/>
        <v>1787</v>
      </c>
      <c r="C1788" s="8" t="s">
        <v>17</v>
      </c>
      <c r="D1788" s="2">
        <v>43500</v>
      </c>
      <c r="E1788" s="3">
        <v>3000</v>
      </c>
      <c r="F1788" t="s">
        <v>284</v>
      </c>
      <c r="G1788" t="s">
        <v>687</v>
      </c>
      <c r="H1788" t="s">
        <v>285</v>
      </c>
      <c r="I1788" s="6" t="s">
        <v>887</v>
      </c>
      <c r="J1788" s="61" t="s">
        <v>22</v>
      </c>
      <c r="L1788" s="5" t="str">
        <f t="shared" si="516"/>
        <v>01787</v>
      </c>
      <c r="M1788" s="47" t="str">
        <f t="shared" si="517"/>
        <v>04 de febrero de 2019</v>
      </c>
      <c r="N1788" s="323">
        <f t="shared" si="510"/>
        <v>4</v>
      </c>
      <c r="O1788" s="25">
        <f t="shared" si="518"/>
        <v>43497</v>
      </c>
      <c r="P1788" s="5" t="str">
        <f t="shared" si="512"/>
        <v>3.000,00</v>
      </c>
      <c r="Q1788" s="4" t="e">
        <f t="shared" ca="1" si="514"/>
        <v>#NAME?</v>
      </c>
    </row>
    <row r="1789" spans="1:17" ht="15.75" thickBot="1">
      <c r="A1789" s="1">
        <f t="shared" si="515"/>
        <v>1788</v>
      </c>
      <c r="C1789" s="85" t="s">
        <v>17</v>
      </c>
      <c r="D1789" s="2">
        <v>43500</v>
      </c>
      <c r="E1789" s="3">
        <v>300</v>
      </c>
      <c r="F1789" t="s">
        <v>40</v>
      </c>
      <c r="G1789" s="18" t="s">
        <v>58</v>
      </c>
      <c r="H1789" t="s">
        <v>42</v>
      </c>
      <c r="I1789" s="6" t="s">
        <v>898</v>
      </c>
      <c r="J1789" s="61" t="s">
        <v>22</v>
      </c>
      <c r="L1789" s="5" t="str">
        <f t="shared" si="516"/>
        <v>01788</v>
      </c>
      <c r="M1789" s="47" t="str">
        <f t="shared" si="517"/>
        <v>04 de febrero de 2019</v>
      </c>
      <c r="N1789" s="323">
        <f t="shared" si="510"/>
        <v>4</v>
      </c>
      <c r="O1789" s="25">
        <f t="shared" si="518"/>
        <v>43497</v>
      </c>
      <c r="P1789" s="5" t="str">
        <f t="shared" si="512"/>
        <v>300,00</v>
      </c>
      <c r="Q1789" s="4" t="e">
        <f t="shared" ca="1" si="514"/>
        <v>#NAME?</v>
      </c>
    </row>
    <row r="1790" spans="1:17" ht="15.75" thickBot="1">
      <c r="A1790" s="1">
        <f t="shared" si="515"/>
        <v>1789</v>
      </c>
      <c r="C1790" s="85" t="s">
        <v>17</v>
      </c>
      <c r="D1790" s="2">
        <v>43500</v>
      </c>
      <c r="E1790" s="3">
        <v>5700</v>
      </c>
      <c r="F1790" t="s">
        <v>40</v>
      </c>
      <c r="G1790" s="18" t="s">
        <v>58</v>
      </c>
      <c r="H1790" t="s">
        <v>42</v>
      </c>
      <c r="I1790" s="6" t="s">
        <v>899</v>
      </c>
      <c r="J1790" s="61" t="s">
        <v>22</v>
      </c>
      <c r="L1790" s="5" t="str">
        <f t="shared" si="516"/>
        <v>01789</v>
      </c>
      <c r="M1790" s="47" t="str">
        <f t="shared" si="517"/>
        <v>04 de febrero de 2019</v>
      </c>
      <c r="N1790" s="323">
        <f t="shared" si="510"/>
        <v>4</v>
      </c>
      <c r="O1790" s="25">
        <f t="shared" si="518"/>
        <v>43497</v>
      </c>
      <c r="P1790" s="5" t="str">
        <f t="shared" si="512"/>
        <v>5.700,00</v>
      </c>
      <c r="Q1790" s="4" t="e">
        <f t="shared" ca="1" si="514"/>
        <v>#NAME?</v>
      </c>
    </row>
    <row r="1791" spans="1:17">
      <c r="A1791" s="1">
        <f t="shared" si="515"/>
        <v>1790</v>
      </c>
      <c r="C1791" s="8" t="s">
        <v>17</v>
      </c>
      <c r="D1791" s="2">
        <v>43503</v>
      </c>
      <c r="E1791" s="3">
        <v>600</v>
      </c>
      <c r="F1791" t="s">
        <v>28</v>
      </c>
      <c r="G1791" t="s">
        <v>716</v>
      </c>
      <c r="H1791" t="s">
        <v>30</v>
      </c>
      <c r="I1791" s="6" t="s">
        <v>900</v>
      </c>
      <c r="J1791" s="61" t="s">
        <v>22</v>
      </c>
      <c r="L1791" s="5" t="str">
        <f t="shared" si="516"/>
        <v>01790</v>
      </c>
      <c r="M1791" s="47" t="str">
        <f t="shared" si="517"/>
        <v>07 de febrero de 2019</v>
      </c>
      <c r="N1791" s="323">
        <f t="shared" si="510"/>
        <v>7</v>
      </c>
      <c r="O1791" s="25">
        <f t="shared" si="518"/>
        <v>43497</v>
      </c>
      <c r="P1791" s="5" t="str">
        <f t="shared" si="512"/>
        <v>600,00</v>
      </c>
      <c r="Q1791" s="4" t="e">
        <f t="shared" ca="1" si="514"/>
        <v>#NAME?</v>
      </c>
    </row>
    <row r="1792" spans="1:17" ht="15.75" thickBot="1">
      <c r="A1792" s="1">
        <f t="shared" si="515"/>
        <v>1791</v>
      </c>
      <c r="C1792" s="8" t="s">
        <v>17</v>
      </c>
      <c r="D1792" s="2">
        <v>43500</v>
      </c>
      <c r="E1792" s="3">
        <v>3000</v>
      </c>
      <c r="F1792" t="s">
        <v>24</v>
      </c>
      <c r="G1792" t="s">
        <v>25</v>
      </c>
      <c r="H1792" t="s">
        <v>26</v>
      </c>
      <c r="I1792" s="6" t="s">
        <v>897</v>
      </c>
      <c r="J1792" s="61" t="s">
        <v>22</v>
      </c>
      <c r="L1792" s="5" t="str">
        <f t="shared" si="516"/>
        <v>01791</v>
      </c>
      <c r="M1792" s="47" t="str">
        <f t="shared" si="517"/>
        <v>04 de febrero de 2019</v>
      </c>
      <c r="N1792" s="323">
        <f t="shared" si="510"/>
        <v>4</v>
      </c>
      <c r="O1792" s="25">
        <f t="shared" si="518"/>
        <v>43497</v>
      </c>
      <c r="P1792" s="5" t="str">
        <f t="shared" si="512"/>
        <v>3.000,00</v>
      </c>
      <c r="Q1792" s="4" t="e">
        <f t="shared" ca="1" si="514"/>
        <v>#NAME?</v>
      </c>
    </row>
    <row r="1793" spans="1:17" ht="15.75" thickBot="1">
      <c r="A1793" s="1">
        <f t="shared" si="515"/>
        <v>1792</v>
      </c>
      <c r="C1793" s="85" t="s">
        <v>17</v>
      </c>
      <c r="D1793" s="2">
        <v>43502</v>
      </c>
      <c r="E1793" s="3">
        <v>3000</v>
      </c>
      <c r="F1793" t="s">
        <v>259</v>
      </c>
      <c r="G1793" s="18" t="s">
        <v>58</v>
      </c>
      <c r="H1793" t="s">
        <v>261</v>
      </c>
      <c r="I1793" s="6" t="s">
        <v>887</v>
      </c>
      <c r="J1793" s="61" t="s">
        <v>22</v>
      </c>
      <c r="L1793" s="5" t="str">
        <f t="shared" si="516"/>
        <v>01792</v>
      </c>
      <c r="M1793" s="47" t="str">
        <f t="shared" si="517"/>
        <v>06 de febrero de 2019</v>
      </c>
      <c r="N1793" s="323">
        <f t="shared" si="510"/>
        <v>6</v>
      </c>
      <c r="O1793" s="25">
        <f t="shared" si="518"/>
        <v>43497</v>
      </c>
      <c r="P1793" s="5" t="str">
        <f t="shared" si="512"/>
        <v>3.000,00</v>
      </c>
      <c r="Q1793" s="4" t="e">
        <f t="shared" ca="1" si="514"/>
        <v>#NAME?</v>
      </c>
    </row>
    <row r="1794" spans="1:17">
      <c r="A1794" s="1">
        <f t="shared" si="515"/>
        <v>1793</v>
      </c>
      <c r="C1794" s="8" t="s">
        <v>17</v>
      </c>
      <c r="D1794" s="2">
        <v>43502</v>
      </c>
      <c r="E1794" s="3">
        <v>3000</v>
      </c>
      <c r="F1794" t="s">
        <v>713</v>
      </c>
      <c r="G1794" t="s">
        <v>714</v>
      </c>
      <c r="H1794" t="s">
        <v>154</v>
      </c>
      <c r="I1794" s="6" t="s">
        <v>897</v>
      </c>
      <c r="J1794" s="61" t="s">
        <v>22</v>
      </c>
      <c r="L1794" s="5" t="str">
        <f t="shared" si="516"/>
        <v>01793</v>
      </c>
      <c r="M1794" s="47" t="str">
        <f t="shared" si="517"/>
        <v>06 de febrero de 2019</v>
      </c>
      <c r="N1794" s="323">
        <f t="shared" si="510"/>
        <v>6</v>
      </c>
      <c r="O1794" s="25">
        <f t="shared" si="518"/>
        <v>43497</v>
      </c>
      <c r="P1794" s="5" t="str">
        <f t="shared" si="512"/>
        <v>3.000,00</v>
      </c>
      <c r="Q1794" s="4" t="e">
        <f t="shared" ca="1" si="514"/>
        <v>#NAME?</v>
      </c>
    </row>
    <row r="1795" spans="1:17">
      <c r="A1795" s="1">
        <f t="shared" si="515"/>
        <v>1794</v>
      </c>
      <c r="C1795" s="8" t="s">
        <v>17</v>
      </c>
      <c r="D1795" s="2">
        <v>43502</v>
      </c>
      <c r="E1795" s="3">
        <v>300</v>
      </c>
      <c r="F1795" t="s">
        <v>433</v>
      </c>
      <c r="G1795" t="s">
        <v>434</v>
      </c>
      <c r="H1795" t="s">
        <v>435</v>
      </c>
      <c r="I1795" s="6" t="s">
        <v>900</v>
      </c>
      <c r="J1795" s="61" t="s">
        <v>22</v>
      </c>
      <c r="L1795" s="5" t="str">
        <f t="shared" si="516"/>
        <v>01794</v>
      </c>
      <c r="M1795" s="47" t="str">
        <f t="shared" si="517"/>
        <v>06 de febrero de 2019</v>
      </c>
      <c r="N1795" s="323">
        <f t="shared" si="510"/>
        <v>6</v>
      </c>
      <c r="O1795" s="25">
        <f t="shared" si="518"/>
        <v>43497</v>
      </c>
      <c r="P1795" s="5" t="str">
        <f t="shared" si="512"/>
        <v>300,00</v>
      </c>
      <c r="Q1795" s="4" t="e">
        <f t="shared" ca="1" si="514"/>
        <v>#NAME?</v>
      </c>
    </row>
    <row r="1796" spans="1:17">
      <c r="A1796" s="1">
        <f t="shared" si="515"/>
        <v>1795</v>
      </c>
      <c r="C1796" s="8" t="s">
        <v>17</v>
      </c>
      <c r="D1796" s="2">
        <v>43502</v>
      </c>
      <c r="E1796" s="3">
        <v>2300</v>
      </c>
      <c r="F1796" t="s">
        <v>28</v>
      </c>
      <c r="G1796" t="s">
        <v>716</v>
      </c>
      <c r="H1796" t="s">
        <v>30</v>
      </c>
      <c r="I1796" s="6" t="s">
        <v>901</v>
      </c>
      <c r="J1796" s="61" t="s">
        <v>22</v>
      </c>
      <c r="L1796" s="5" t="str">
        <f t="shared" ref="L1796:L1828" si="519">IF(ISBLANK(A1796),"",TEXT(A1796,"00000"))</f>
        <v>01795</v>
      </c>
      <c r="M1796" s="47" t="str">
        <f t="shared" ref="M1796:M1828" si="520">IF(ISBLANK(D1796),"",TEXT(D1796,"dd")&amp;" de "&amp;TEXT(D1796,"mmmm")&amp;" de "&amp;TEXT(YEAR(D1796),"0"))</f>
        <v>06 de febrero de 2019</v>
      </c>
      <c r="N1796" s="323">
        <f t="shared" ref="N1796:N1828" si="521">DAY(D1796)</f>
        <v>6</v>
      </c>
      <c r="O1796" s="25">
        <f t="shared" ref="O1796:O1828" si="522">DATE(YEAR(D1796),MONTH(D1796),1)</f>
        <v>43497</v>
      </c>
      <c r="P1796" s="5" t="str">
        <f t="shared" ref="P1796:P1828" si="523">TEXT(E1796,"#.##0,00")</f>
        <v>2.300,00</v>
      </c>
      <c r="Q1796" s="4" t="e">
        <f t="shared" ref="Q1796:Q1799" ca="1" si="524">CONVERTIRNUM(E1796)</f>
        <v>#NAME?</v>
      </c>
    </row>
    <row r="1797" spans="1:17">
      <c r="A1797" s="1">
        <f t="shared" si="515"/>
        <v>1796</v>
      </c>
      <c r="C1797" s="8" t="s">
        <v>17</v>
      </c>
      <c r="D1797" s="2">
        <v>43502</v>
      </c>
      <c r="E1797" s="3">
        <v>320</v>
      </c>
      <c r="F1797" t="s">
        <v>296</v>
      </c>
      <c r="G1797" t="s">
        <v>297</v>
      </c>
      <c r="H1797" t="s">
        <v>298</v>
      </c>
      <c r="I1797" s="6" t="s">
        <v>848</v>
      </c>
      <c r="J1797" s="61" t="s">
        <v>22</v>
      </c>
      <c r="L1797" s="5" t="str">
        <f t="shared" si="519"/>
        <v>01796</v>
      </c>
      <c r="M1797" s="47" t="str">
        <f t="shared" si="520"/>
        <v>06 de febrero de 2019</v>
      </c>
      <c r="N1797" s="323">
        <f t="shared" si="521"/>
        <v>6</v>
      </c>
      <c r="O1797" s="25">
        <f t="shared" si="522"/>
        <v>43497</v>
      </c>
      <c r="P1797" s="5" t="str">
        <f t="shared" si="523"/>
        <v>320,00</v>
      </c>
      <c r="Q1797" s="4" t="e">
        <f t="shared" ca="1" si="524"/>
        <v>#NAME?</v>
      </c>
    </row>
    <row r="1798" spans="1:17">
      <c r="A1798" s="1">
        <f t="shared" si="515"/>
        <v>1797</v>
      </c>
      <c r="C1798" s="8" t="s">
        <v>17</v>
      </c>
      <c r="D1798" s="2">
        <v>43503</v>
      </c>
      <c r="E1798" s="3">
        <v>5200</v>
      </c>
      <c r="F1798" t="s">
        <v>438</v>
      </c>
      <c r="G1798" t="s">
        <v>439</v>
      </c>
      <c r="H1798" t="s">
        <v>440</v>
      </c>
      <c r="I1798" s="6" t="s">
        <v>902</v>
      </c>
      <c r="J1798" s="61" t="s">
        <v>22</v>
      </c>
      <c r="L1798" s="5" t="str">
        <f t="shared" si="519"/>
        <v>01797</v>
      </c>
      <c r="M1798" s="47" t="str">
        <f t="shared" si="520"/>
        <v>07 de febrero de 2019</v>
      </c>
      <c r="N1798" s="323">
        <f t="shared" si="521"/>
        <v>7</v>
      </c>
      <c r="O1798" s="25">
        <f t="shared" si="522"/>
        <v>43497</v>
      </c>
      <c r="P1798" s="5" t="str">
        <f t="shared" si="523"/>
        <v>5.200,00</v>
      </c>
      <c r="Q1798" s="4" t="e">
        <f t="shared" ca="1" si="524"/>
        <v>#NAME?</v>
      </c>
    </row>
    <row r="1799" spans="1:17">
      <c r="A1799" s="1">
        <f t="shared" si="515"/>
        <v>1798</v>
      </c>
      <c r="C1799" s="8" t="s">
        <v>17</v>
      </c>
      <c r="D1799" s="2">
        <v>43504</v>
      </c>
      <c r="E1799" s="3">
        <v>3000</v>
      </c>
      <c r="F1799" t="s">
        <v>483</v>
      </c>
      <c r="G1799" t="s">
        <v>484</v>
      </c>
      <c r="H1799" t="s">
        <v>485</v>
      </c>
      <c r="I1799" s="6" t="s">
        <v>897</v>
      </c>
      <c r="J1799" s="61" t="s">
        <v>22</v>
      </c>
      <c r="L1799" s="5" t="str">
        <f t="shared" si="519"/>
        <v>01798</v>
      </c>
      <c r="M1799" s="47" t="str">
        <f t="shared" si="520"/>
        <v>08 de febrero de 2019</v>
      </c>
      <c r="N1799" s="323">
        <f t="shared" si="521"/>
        <v>8</v>
      </c>
      <c r="O1799" s="25">
        <f t="shared" si="522"/>
        <v>43497</v>
      </c>
      <c r="P1799" s="5" t="str">
        <f t="shared" si="523"/>
        <v>3.000,00</v>
      </c>
      <c r="Q1799" s="4" t="e">
        <f t="shared" ca="1" si="524"/>
        <v>#NAME?</v>
      </c>
    </row>
    <row r="1800" spans="1:17">
      <c r="A1800" s="1">
        <f t="shared" si="515"/>
        <v>1799</v>
      </c>
      <c r="C1800" s="8" t="s">
        <v>17</v>
      </c>
      <c r="D1800" s="2">
        <v>43505</v>
      </c>
      <c r="E1800" s="3">
        <v>3000</v>
      </c>
      <c r="F1800" t="s">
        <v>407</v>
      </c>
      <c r="G1800" t="s">
        <v>408</v>
      </c>
      <c r="H1800" t="s">
        <v>409</v>
      </c>
      <c r="I1800" s="6" t="s">
        <v>897</v>
      </c>
      <c r="J1800" s="61" t="s">
        <v>22</v>
      </c>
      <c r="L1800" s="5" t="str">
        <f t="shared" si="519"/>
        <v>01799</v>
      </c>
      <c r="M1800" s="47" t="str">
        <f t="shared" si="520"/>
        <v>09 de febrero de 2019</v>
      </c>
      <c r="N1800" s="323">
        <f t="shared" si="521"/>
        <v>9</v>
      </c>
      <c r="O1800" s="25">
        <f t="shared" si="522"/>
        <v>43497</v>
      </c>
      <c r="P1800" s="5" t="str">
        <f t="shared" si="523"/>
        <v>3.000,00</v>
      </c>
      <c r="Q1800" s="4" t="e">
        <f ca="1">CONVERTIRNUM(E1800)</f>
        <v>#NAME?</v>
      </c>
    </row>
    <row r="1801" spans="1:17">
      <c r="A1801" s="1">
        <f t="shared" si="515"/>
        <v>1800</v>
      </c>
      <c r="C1801" s="8" t="s">
        <v>17</v>
      </c>
      <c r="D1801" s="2">
        <v>43505</v>
      </c>
      <c r="E1801" s="3">
        <v>1500</v>
      </c>
      <c r="F1801" t="s">
        <v>412</v>
      </c>
      <c r="G1801" t="s">
        <v>413</v>
      </c>
      <c r="H1801" t="s">
        <v>414</v>
      </c>
      <c r="I1801" s="6" t="s">
        <v>900</v>
      </c>
      <c r="J1801" s="61" t="s">
        <v>22</v>
      </c>
      <c r="L1801" s="5" t="str">
        <f t="shared" si="519"/>
        <v>01800</v>
      </c>
      <c r="M1801" s="47" t="str">
        <f t="shared" si="520"/>
        <v>09 de febrero de 2019</v>
      </c>
      <c r="N1801" s="323">
        <f t="shared" si="521"/>
        <v>9</v>
      </c>
      <c r="O1801" s="25">
        <f t="shared" si="522"/>
        <v>43497</v>
      </c>
      <c r="P1801" s="5" t="str">
        <f t="shared" si="523"/>
        <v>1.500,00</v>
      </c>
      <c r="Q1801" s="4" t="e">
        <f t="shared" ref="Q1801:Q1828" ca="1" si="525">CONVERTIRNUM(E1801)</f>
        <v>#NAME?</v>
      </c>
    </row>
    <row r="1802" spans="1:17">
      <c r="A1802" s="1">
        <f t="shared" si="515"/>
        <v>1801</v>
      </c>
      <c r="C1802" s="8" t="s">
        <v>17</v>
      </c>
      <c r="D1802" s="2">
        <v>43505</v>
      </c>
      <c r="E1802" s="3">
        <v>3000</v>
      </c>
      <c r="F1802" t="s">
        <v>48</v>
      </c>
      <c r="G1802" t="s">
        <v>49</v>
      </c>
      <c r="H1802" t="s">
        <v>50</v>
      </c>
      <c r="I1802" s="6" t="s">
        <v>897</v>
      </c>
      <c r="J1802" s="61" t="s">
        <v>22</v>
      </c>
      <c r="L1802" s="5" t="str">
        <f t="shared" si="519"/>
        <v>01801</v>
      </c>
      <c r="M1802" s="47" t="str">
        <f t="shared" si="520"/>
        <v>09 de febrero de 2019</v>
      </c>
      <c r="N1802" s="323">
        <f t="shared" si="521"/>
        <v>9</v>
      </c>
      <c r="O1802" s="25">
        <f t="shared" si="522"/>
        <v>43497</v>
      </c>
      <c r="P1802" s="5" t="str">
        <f t="shared" si="523"/>
        <v>3.000,00</v>
      </c>
      <c r="Q1802" s="4" t="e">
        <f t="shared" ca="1" si="525"/>
        <v>#NAME?</v>
      </c>
    </row>
    <row r="1803" spans="1:17">
      <c r="A1803" s="1">
        <f t="shared" si="515"/>
        <v>1802</v>
      </c>
      <c r="C1803" s="8" t="s">
        <v>17</v>
      </c>
      <c r="D1803" s="2">
        <v>43505</v>
      </c>
      <c r="E1803" s="3">
        <v>3000</v>
      </c>
      <c r="F1803" t="s">
        <v>107</v>
      </c>
      <c r="G1803" t="s">
        <v>108</v>
      </c>
      <c r="H1803" t="s">
        <v>109</v>
      </c>
      <c r="I1803" s="6" t="s">
        <v>897</v>
      </c>
      <c r="J1803" s="61" t="s">
        <v>22</v>
      </c>
      <c r="L1803" s="5" t="str">
        <f t="shared" si="519"/>
        <v>01802</v>
      </c>
      <c r="M1803" s="47" t="str">
        <f t="shared" si="520"/>
        <v>09 de febrero de 2019</v>
      </c>
      <c r="N1803" s="323">
        <f t="shared" si="521"/>
        <v>9</v>
      </c>
      <c r="O1803" s="25">
        <f t="shared" si="522"/>
        <v>43497</v>
      </c>
      <c r="P1803" s="5" t="str">
        <f t="shared" si="523"/>
        <v>3.000,00</v>
      </c>
      <c r="Q1803" s="4" t="e">
        <f t="shared" ca="1" si="525"/>
        <v>#NAME?</v>
      </c>
    </row>
    <row r="1804" spans="1:17">
      <c r="A1804" s="1">
        <f t="shared" si="515"/>
        <v>1803</v>
      </c>
      <c r="C1804" s="8" t="s">
        <v>17</v>
      </c>
      <c r="D1804" s="2">
        <v>43505</v>
      </c>
      <c r="E1804" s="3">
        <v>3000</v>
      </c>
      <c r="F1804" t="s">
        <v>342</v>
      </c>
      <c r="G1804" t="s">
        <v>343</v>
      </c>
      <c r="H1804" t="s">
        <v>344</v>
      </c>
      <c r="I1804" s="6" t="s">
        <v>897</v>
      </c>
      <c r="J1804" s="61" t="s">
        <v>22</v>
      </c>
      <c r="L1804" s="5" t="str">
        <f t="shared" si="519"/>
        <v>01803</v>
      </c>
      <c r="M1804" s="47" t="str">
        <f t="shared" si="520"/>
        <v>09 de febrero de 2019</v>
      </c>
      <c r="N1804" s="323">
        <f t="shared" si="521"/>
        <v>9</v>
      </c>
      <c r="O1804" s="25">
        <f t="shared" si="522"/>
        <v>43497</v>
      </c>
      <c r="P1804" s="5" t="str">
        <f t="shared" si="523"/>
        <v>3.000,00</v>
      </c>
      <c r="Q1804" s="4" t="e">
        <f t="shared" ca="1" si="525"/>
        <v>#NAME?</v>
      </c>
    </row>
    <row r="1805" spans="1:17">
      <c r="A1805" s="1">
        <f>A1804+1</f>
        <v>1804</v>
      </c>
      <c r="C1805" s="8" t="s">
        <v>17</v>
      </c>
      <c r="D1805" s="2">
        <v>43505</v>
      </c>
      <c r="E1805" s="3">
        <v>3000</v>
      </c>
      <c r="F1805" t="s">
        <v>70</v>
      </c>
      <c r="G1805" t="s">
        <v>71</v>
      </c>
      <c r="H1805" t="s">
        <v>72</v>
      </c>
      <c r="I1805" s="6" t="s">
        <v>897</v>
      </c>
      <c r="J1805" s="61" t="s">
        <v>22</v>
      </c>
      <c r="L1805" s="5" t="str">
        <f t="shared" si="519"/>
        <v>01804</v>
      </c>
      <c r="M1805" s="47" t="str">
        <f t="shared" si="520"/>
        <v>09 de febrero de 2019</v>
      </c>
      <c r="N1805" s="323">
        <f t="shared" si="521"/>
        <v>9</v>
      </c>
      <c r="O1805" s="25">
        <f t="shared" si="522"/>
        <v>43497</v>
      </c>
      <c r="P1805" s="5" t="str">
        <f t="shared" si="523"/>
        <v>3.000,00</v>
      </c>
      <c r="Q1805" s="4" t="e">
        <f t="shared" ca="1" si="525"/>
        <v>#NAME?</v>
      </c>
    </row>
    <row r="1806" spans="1:17">
      <c r="A1806" s="1">
        <f t="shared" ref="A1806:A1817" si="526">A1805+1</f>
        <v>1805</v>
      </c>
      <c r="C1806" s="8" t="s">
        <v>17</v>
      </c>
      <c r="D1806" s="2">
        <v>43507</v>
      </c>
      <c r="E1806" s="3">
        <v>3000</v>
      </c>
      <c r="F1806" t="s">
        <v>337</v>
      </c>
      <c r="G1806" t="s">
        <v>338</v>
      </c>
      <c r="H1806" t="s">
        <v>339</v>
      </c>
      <c r="I1806" s="6" t="s">
        <v>897</v>
      </c>
      <c r="J1806" s="61" t="s">
        <v>22</v>
      </c>
      <c r="L1806" s="5" t="str">
        <f t="shared" si="519"/>
        <v>01805</v>
      </c>
      <c r="M1806" s="47" t="str">
        <f t="shared" si="520"/>
        <v>11 de febrero de 2019</v>
      </c>
      <c r="N1806" s="323">
        <f t="shared" si="521"/>
        <v>11</v>
      </c>
      <c r="O1806" s="25">
        <f t="shared" si="522"/>
        <v>43497</v>
      </c>
      <c r="P1806" s="5" t="str">
        <f t="shared" si="523"/>
        <v>3.000,00</v>
      </c>
      <c r="Q1806" s="4" t="e">
        <f t="shared" ca="1" si="525"/>
        <v>#NAME?</v>
      </c>
    </row>
    <row r="1807" spans="1:17">
      <c r="A1807" s="1">
        <f t="shared" si="526"/>
        <v>1806</v>
      </c>
      <c r="C1807" s="8" t="s">
        <v>17</v>
      </c>
      <c r="D1807" s="2">
        <v>43508</v>
      </c>
      <c r="E1807" s="3">
        <v>6000</v>
      </c>
      <c r="F1807" t="s">
        <v>138</v>
      </c>
      <c r="G1807" t="s">
        <v>139</v>
      </c>
      <c r="H1807" t="s">
        <v>140</v>
      </c>
      <c r="I1807" s="6" t="s">
        <v>903</v>
      </c>
      <c r="J1807" s="61" t="s">
        <v>22</v>
      </c>
      <c r="L1807" s="5" t="str">
        <f t="shared" si="519"/>
        <v>01806</v>
      </c>
      <c r="M1807" s="47" t="str">
        <f t="shared" si="520"/>
        <v>12 de febrero de 2019</v>
      </c>
      <c r="N1807" s="323">
        <f t="shared" si="521"/>
        <v>12</v>
      </c>
      <c r="O1807" s="25">
        <f t="shared" si="522"/>
        <v>43497</v>
      </c>
      <c r="P1807" s="5" t="str">
        <f t="shared" si="523"/>
        <v>6.000,00</v>
      </c>
      <c r="Q1807" s="4" t="e">
        <f t="shared" ca="1" si="525"/>
        <v>#NAME?</v>
      </c>
    </row>
    <row r="1808" spans="1:17">
      <c r="A1808" s="1">
        <f t="shared" si="526"/>
        <v>1807</v>
      </c>
      <c r="C1808" s="8" t="s">
        <v>17</v>
      </c>
      <c r="D1808" s="2">
        <v>43509</v>
      </c>
      <c r="E1808" s="3">
        <v>5200</v>
      </c>
      <c r="F1808" t="s">
        <v>362</v>
      </c>
      <c r="G1808" t="s">
        <v>363</v>
      </c>
      <c r="H1808" t="s">
        <v>364</v>
      </c>
      <c r="I1808" s="6" t="s">
        <v>895</v>
      </c>
      <c r="J1808" s="61" t="s">
        <v>22</v>
      </c>
      <c r="L1808" s="5" t="str">
        <f t="shared" si="519"/>
        <v>01807</v>
      </c>
      <c r="M1808" s="47" t="str">
        <f t="shared" si="520"/>
        <v>13 de febrero de 2019</v>
      </c>
      <c r="N1808" s="323">
        <f t="shared" si="521"/>
        <v>13</v>
      </c>
      <c r="O1808" s="25">
        <f t="shared" si="522"/>
        <v>43497</v>
      </c>
      <c r="P1808" s="5" t="str">
        <f t="shared" si="523"/>
        <v>5.200,00</v>
      </c>
      <c r="Q1808" s="4" t="e">
        <f t="shared" ca="1" si="525"/>
        <v>#NAME?</v>
      </c>
    </row>
    <row r="1809" spans="1:17" ht="15.75" thickBot="1">
      <c r="A1809" s="1">
        <f t="shared" si="526"/>
        <v>1808</v>
      </c>
      <c r="C1809" s="8" t="s">
        <v>17</v>
      </c>
      <c r="D1809" s="2">
        <v>43509</v>
      </c>
      <c r="E1809" s="3">
        <v>3000</v>
      </c>
      <c r="F1809" t="s">
        <v>18</v>
      </c>
      <c r="G1809" t="s">
        <v>19</v>
      </c>
      <c r="H1809" t="s">
        <v>20</v>
      </c>
      <c r="I1809" s="6" t="s">
        <v>904</v>
      </c>
      <c r="J1809" s="61" t="s">
        <v>22</v>
      </c>
      <c r="L1809" s="5" t="str">
        <f t="shared" si="519"/>
        <v>01808</v>
      </c>
      <c r="M1809" s="47" t="str">
        <f t="shared" si="520"/>
        <v>13 de febrero de 2019</v>
      </c>
      <c r="N1809" s="323">
        <f t="shared" si="521"/>
        <v>13</v>
      </c>
      <c r="O1809" s="25">
        <f t="shared" si="522"/>
        <v>43497</v>
      </c>
      <c r="P1809" s="5" t="str">
        <f t="shared" si="523"/>
        <v>3.000,00</v>
      </c>
      <c r="Q1809" s="4" t="e">
        <f t="shared" ca="1" si="525"/>
        <v>#NAME?</v>
      </c>
    </row>
    <row r="1810" spans="1:17" ht="15.75" thickBot="1">
      <c r="A1810" s="1">
        <f t="shared" si="526"/>
        <v>1809</v>
      </c>
      <c r="C1810" s="85" t="s">
        <v>17</v>
      </c>
      <c r="D1810" s="2">
        <v>43510</v>
      </c>
      <c r="E1810" s="3">
        <v>2200</v>
      </c>
      <c r="F1810" t="s">
        <v>40</v>
      </c>
      <c r="G1810" s="18" t="s">
        <v>58</v>
      </c>
      <c r="H1810" t="s">
        <v>42</v>
      </c>
      <c r="I1810" s="6" t="s">
        <v>905</v>
      </c>
      <c r="J1810" s="61" t="s">
        <v>22</v>
      </c>
      <c r="L1810" s="5" t="str">
        <f t="shared" si="519"/>
        <v>01809</v>
      </c>
      <c r="M1810" s="47" t="str">
        <f t="shared" si="520"/>
        <v>14 de febrero de 2019</v>
      </c>
      <c r="N1810" s="323">
        <f t="shared" si="521"/>
        <v>14</v>
      </c>
      <c r="O1810" s="25">
        <f t="shared" si="522"/>
        <v>43497</v>
      </c>
      <c r="P1810" s="5" t="str">
        <f t="shared" si="523"/>
        <v>2.200,00</v>
      </c>
      <c r="Q1810" s="4" t="e">
        <f t="shared" ca="1" si="525"/>
        <v>#NAME?</v>
      </c>
    </row>
    <row r="1811" spans="1:17">
      <c r="A1811" s="1">
        <f t="shared" si="526"/>
        <v>1810</v>
      </c>
      <c r="C1811" s="8" t="s">
        <v>17</v>
      </c>
      <c r="D1811" s="2">
        <v>43510</v>
      </c>
      <c r="E1811" s="3">
        <v>3000</v>
      </c>
      <c r="F1811" t="s">
        <v>118</v>
      </c>
      <c r="G1811" t="s">
        <v>119</v>
      </c>
      <c r="H1811" t="s">
        <v>120</v>
      </c>
      <c r="I1811" s="6" t="s">
        <v>887</v>
      </c>
      <c r="J1811" s="61" t="s">
        <v>22</v>
      </c>
      <c r="L1811" s="5" t="str">
        <f t="shared" si="519"/>
        <v>01810</v>
      </c>
      <c r="M1811" s="47" t="str">
        <f t="shared" si="520"/>
        <v>14 de febrero de 2019</v>
      </c>
      <c r="N1811" s="323">
        <f t="shared" si="521"/>
        <v>14</v>
      </c>
      <c r="O1811" s="25">
        <f t="shared" si="522"/>
        <v>43497</v>
      </c>
      <c r="P1811" s="5" t="str">
        <f t="shared" si="523"/>
        <v>3.000,00</v>
      </c>
      <c r="Q1811" s="4" t="e">
        <f t="shared" ca="1" si="525"/>
        <v>#NAME?</v>
      </c>
    </row>
    <row r="1812" spans="1:17">
      <c r="A1812" s="1">
        <f t="shared" si="526"/>
        <v>1811</v>
      </c>
      <c r="C1812" s="8" t="s">
        <v>17</v>
      </c>
      <c r="D1812" s="2">
        <v>43510</v>
      </c>
      <c r="E1812" s="3">
        <v>3000</v>
      </c>
      <c r="F1812" t="s">
        <v>771</v>
      </c>
      <c r="G1812" t="s">
        <v>772</v>
      </c>
      <c r="H1812" t="s">
        <v>773</v>
      </c>
      <c r="I1812" s="6" t="s">
        <v>906</v>
      </c>
      <c r="J1812" s="61" t="s">
        <v>22</v>
      </c>
      <c r="L1812" s="5" t="str">
        <f t="shared" si="519"/>
        <v>01811</v>
      </c>
      <c r="M1812" s="47" t="str">
        <f t="shared" si="520"/>
        <v>14 de febrero de 2019</v>
      </c>
      <c r="N1812" s="323">
        <f t="shared" si="521"/>
        <v>14</v>
      </c>
      <c r="O1812" s="25">
        <f t="shared" si="522"/>
        <v>43497</v>
      </c>
      <c r="P1812" s="5" t="str">
        <f t="shared" si="523"/>
        <v>3.000,00</v>
      </c>
      <c r="Q1812" s="4" t="e">
        <f t="shared" ca="1" si="525"/>
        <v>#NAME?</v>
      </c>
    </row>
    <row r="1813" spans="1:17">
      <c r="A1813" s="1">
        <f t="shared" si="526"/>
        <v>1812</v>
      </c>
      <c r="C1813" s="8" t="s">
        <v>17</v>
      </c>
      <c r="D1813" s="2">
        <v>43509</v>
      </c>
      <c r="E1813" s="3">
        <v>1500</v>
      </c>
      <c r="F1813" t="s">
        <v>417</v>
      </c>
      <c r="G1813" t="s">
        <v>418</v>
      </c>
      <c r="H1813" t="s">
        <v>419</v>
      </c>
      <c r="I1813" s="6" t="s">
        <v>901</v>
      </c>
      <c r="J1813" s="61" t="s">
        <v>22</v>
      </c>
      <c r="L1813" s="5" t="str">
        <f t="shared" si="519"/>
        <v>01812</v>
      </c>
      <c r="M1813" s="47" t="str">
        <f t="shared" si="520"/>
        <v>13 de febrero de 2019</v>
      </c>
      <c r="N1813" s="323">
        <f t="shared" si="521"/>
        <v>13</v>
      </c>
      <c r="O1813" s="25">
        <f t="shared" si="522"/>
        <v>43497</v>
      </c>
      <c r="P1813" s="5" t="str">
        <f t="shared" si="523"/>
        <v>1.500,00</v>
      </c>
      <c r="Q1813" s="4" t="e">
        <f t="shared" ca="1" si="525"/>
        <v>#NAME?</v>
      </c>
    </row>
    <row r="1814" spans="1:17">
      <c r="A1814" s="1">
        <f t="shared" si="526"/>
        <v>1813</v>
      </c>
      <c r="C1814" s="8" t="s">
        <v>17</v>
      </c>
      <c r="D1814" s="2">
        <v>43511</v>
      </c>
      <c r="E1814" s="3">
        <v>3000</v>
      </c>
      <c r="F1814" t="s">
        <v>130</v>
      </c>
      <c r="G1814" t="s">
        <v>131</v>
      </c>
      <c r="H1814" t="s">
        <v>132</v>
      </c>
      <c r="I1814" s="6" t="s">
        <v>897</v>
      </c>
      <c r="J1814" s="61" t="s">
        <v>22</v>
      </c>
      <c r="L1814" s="5" t="str">
        <f t="shared" si="519"/>
        <v>01813</v>
      </c>
      <c r="M1814" s="47" t="str">
        <f t="shared" si="520"/>
        <v>15 de febrero de 2019</v>
      </c>
      <c r="N1814" s="323">
        <f t="shared" si="521"/>
        <v>15</v>
      </c>
      <c r="O1814" s="25">
        <f t="shared" si="522"/>
        <v>43497</v>
      </c>
      <c r="P1814" s="5" t="str">
        <f t="shared" si="523"/>
        <v>3.000,00</v>
      </c>
      <c r="Q1814" s="4" t="e">
        <f t="shared" ca="1" si="525"/>
        <v>#NAME?</v>
      </c>
    </row>
    <row r="1815" spans="1:17">
      <c r="A1815" s="1">
        <f t="shared" si="526"/>
        <v>1814</v>
      </c>
      <c r="C1815" s="8" t="s">
        <v>17</v>
      </c>
      <c r="D1815" s="2">
        <v>43513</v>
      </c>
      <c r="E1815" s="3">
        <v>3000</v>
      </c>
      <c r="F1815" t="s">
        <v>312</v>
      </c>
      <c r="G1815" t="s">
        <v>313</v>
      </c>
      <c r="H1815" t="s">
        <v>314</v>
      </c>
      <c r="I1815" s="6" t="s">
        <v>897</v>
      </c>
      <c r="J1815" s="61" t="s">
        <v>22</v>
      </c>
      <c r="L1815" s="5" t="str">
        <f t="shared" si="519"/>
        <v>01814</v>
      </c>
      <c r="M1815" s="47" t="str">
        <f t="shared" si="520"/>
        <v>17 de febrero de 2019</v>
      </c>
      <c r="N1815" s="323">
        <f t="shared" si="521"/>
        <v>17</v>
      </c>
      <c r="O1815" s="25">
        <f t="shared" si="522"/>
        <v>43497</v>
      </c>
      <c r="P1815" s="5" t="str">
        <f t="shared" si="523"/>
        <v>3.000,00</v>
      </c>
      <c r="Q1815" s="4" t="e">
        <f t="shared" ca="1" si="525"/>
        <v>#NAME?</v>
      </c>
    </row>
    <row r="1816" spans="1:17">
      <c r="A1816" s="319">
        <f t="shared" si="526"/>
        <v>1815</v>
      </c>
      <c r="B1816" s="574"/>
      <c r="C1816" s="12" t="s">
        <v>225</v>
      </c>
      <c r="D1816" s="17">
        <v>43513</v>
      </c>
      <c r="E1816" s="13">
        <v>3000</v>
      </c>
      <c r="F1816" s="14" t="s">
        <v>197</v>
      </c>
      <c r="G1816" s="14" t="s">
        <v>198</v>
      </c>
      <c r="H1816" s="14" t="s">
        <v>199</v>
      </c>
      <c r="I1816" s="15" t="s">
        <v>907</v>
      </c>
      <c r="J1816" s="62" t="s">
        <v>426</v>
      </c>
      <c r="K1816" s="16"/>
      <c r="L1816" s="5" t="str">
        <f t="shared" si="519"/>
        <v>01815</v>
      </c>
      <c r="M1816" s="47" t="str">
        <f t="shared" si="520"/>
        <v>17 de febrero de 2019</v>
      </c>
      <c r="N1816" s="323">
        <f t="shared" si="521"/>
        <v>17</v>
      </c>
      <c r="O1816" s="25">
        <f t="shared" si="522"/>
        <v>43497</v>
      </c>
      <c r="P1816" s="5" t="str">
        <f t="shared" si="523"/>
        <v>3.000,00</v>
      </c>
      <c r="Q1816" s="4" t="e">
        <f t="shared" ca="1" si="525"/>
        <v>#NAME?</v>
      </c>
    </row>
    <row r="1817" spans="1:17">
      <c r="A1817" s="1">
        <f t="shared" si="526"/>
        <v>1816</v>
      </c>
      <c r="C1817" s="8" t="s">
        <v>17</v>
      </c>
      <c r="D1817" s="2">
        <v>43514</v>
      </c>
      <c r="E1817" s="3">
        <v>3000</v>
      </c>
      <c r="F1817" t="s">
        <v>53</v>
      </c>
      <c r="G1817" t="s">
        <v>677</v>
      </c>
      <c r="H1817" t="s">
        <v>55</v>
      </c>
      <c r="I1817" s="6" t="s">
        <v>897</v>
      </c>
      <c r="J1817" s="61" t="s">
        <v>22</v>
      </c>
      <c r="L1817" s="5" t="str">
        <f t="shared" si="519"/>
        <v>01816</v>
      </c>
      <c r="M1817" s="47" t="str">
        <f t="shared" si="520"/>
        <v>18 de febrero de 2019</v>
      </c>
      <c r="N1817" s="323">
        <f t="shared" si="521"/>
        <v>18</v>
      </c>
      <c r="O1817" s="25">
        <f t="shared" si="522"/>
        <v>43497</v>
      </c>
      <c r="P1817" s="5" t="str">
        <f t="shared" si="523"/>
        <v>3.000,00</v>
      </c>
      <c r="Q1817" s="4" t="e">
        <f t="shared" ca="1" si="525"/>
        <v>#NAME?</v>
      </c>
    </row>
    <row r="1818" spans="1:17">
      <c r="A1818" s="1">
        <f>A1817+1</f>
        <v>1817</v>
      </c>
      <c r="C1818" s="8" t="s">
        <v>17</v>
      </c>
      <c r="D1818" s="2">
        <v>43515</v>
      </c>
      <c r="E1818" s="3">
        <v>1575</v>
      </c>
      <c r="F1818" t="s">
        <v>36</v>
      </c>
      <c r="G1818" t="s">
        <v>37</v>
      </c>
      <c r="H1818" t="s">
        <v>38</v>
      </c>
      <c r="I1818" s="6" t="s">
        <v>908</v>
      </c>
      <c r="J1818" s="61" t="s">
        <v>22</v>
      </c>
      <c r="L1818" s="5" t="str">
        <f t="shared" si="519"/>
        <v>01817</v>
      </c>
      <c r="M1818" s="47" t="str">
        <f t="shared" si="520"/>
        <v>19 de febrero de 2019</v>
      </c>
      <c r="N1818" s="323">
        <f t="shared" si="521"/>
        <v>19</v>
      </c>
      <c r="O1818" s="25">
        <f t="shared" si="522"/>
        <v>43497</v>
      </c>
      <c r="P1818" s="5" t="str">
        <f t="shared" si="523"/>
        <v>1.575,00</v>
      </c>
      <c r="Q1818" s="4" t="e">
        <f t="shared" ca="1" si="525"/>
        <v>#NAME?</v>
      </c>
    </row>
    <row r="1819" spans="1:17">
      <c r="A1819" s="1">
        <f t="shared" ref="A1819:A1854" si="527">A1818+1</f>
        <v>1818</v>
      </c>
      <c r="C1819" s="8" t="s">
        <v>17</v>
      </c>
      <c r="D1819" s="2">
        <v>43516</v>
      </c>
      <c r="E1819" s="3">
        <v>3000</v>
      </c>
      <c r="F1819" t="s">
        <v>633</v>
      </c>
      <c r="G1819" t="s">
        <v>634</v>
      </c>
      <c r="H1819" t="s">
        <v>635</v>
      </c>
      <c r="I1819" s="6" t="s">
        <v>897</v>
      </c>
      <c r="J1819" s="61" t="s">
        <v>22</v>
      </c>
      <c r="L1819" s="5" t="str">
        <f t="shared" si="519"/>
        <v>01818</v>
      </c>
      <c r="M1819" s="47" t="str">
        <f t="shared" si="520"/>
        <v>20 de febrero de 2019</v>
      </c>
      <c r="N1819" s="323">
        <f t="shared" si="521"/>
        <v>20</v>
      </c>
      <c r="O1819" s="25">
        <f t="shared" si="522"/>
        <v>43497</v>
      </c>
      <c r="P1819" s="5" t="str">
        <f t="shared" si="523"/>
        <v>3.000,00</v>
      </c>
      <c r="Q1819" s="4" t="e">
        <f t="shared" ca="1" si="525"/>
        <v>#NAME?</v>
      </c>
    </row>
    <row r="1820" spans="1:17">
      <c r="A1820" s="1">
        <f t="shared" si="527"/>
        <v>1819</v>
      </c>
      <c r="C1820" s="8" t="s">
        <v>17</v>
      </c>
      <c r="D1820" s="2">
        <v>43518</v>
      </c>
      <c r="E1820" s="3">
        <v>600</v>
      </c>
      <c r="F1820" t="s">
        <v>401</v>
      </c>
      <c r="G1820" t="s">
        <v>402</v>
      </c>
      <c r="H1820" t="s">
        <v>403</v>
      </c>
      <c r="I1820" s="6" t="s">
        <v>900</v>
      </c>
      <c r="J1820" s="61" t="s">
        <v>22</v>
      </c>
      <c r="L1820" s="5" t="str">
        <f t="shared" si="519"/>
        <v>01819</v>
      </c>
      <c r="M1820" s="47" t="str">
        <f t="shared" si="520"/>
        <v>22 de febrero de 2019</v>
      </c>
      <c r="N1820" s="323">
        <f t="shared" si="521"/>
        <v>22</v>
      </c>
      <c r="O1820" s="25">
        <f t="shared" si="522"/>
        <v>43497</v>
      </c>
      <c r="P1820" s="5" t="str">
        <f t="shared" si="523"/>
        <v>600,00</v>
      </c>
      <c r="Q1820" s="4" t="e">
        <f t="shared" ca="1" si="525"/>
        <v>#NAME?</v>
      </c>
    </row>
    <row r="1821" spans="1:17">
      <c r="A1821" s="1">
        <f t="shared" si="527"/>
        <v>1820</v>
      </c>
      <c r="C1821" s="8" t="s">
        <v>17</v>
      </c>
      <c r="D1821" s="2">
        <v>43518</v>
      </c>
      <c r="E1821" s="3">
        <v>3000</v>
      </c>
      <c r="F1821" t="s">
        <v>84</v>
      </c>
      <c r="G1821" t="s">
        <v>85</v>
      </c>
      <c r="H1821" t="s">
        <v>86</v>
      </c>
      <c r="I1821" s="6" t="s">
        <v>897</v>
      </c>
      <c r="J1821" s="61" t="s">
        <v>22</v>
      </c>
      <c r="L1821" s="5" t="str">
        <f t="shared" si="519"/>
        <v>01820</v>
      </c>
      <c r="M1821" s="47" t="str">
        <f t="shared" si="520"/>
        <v>22 de febrero de 2019</v>
      </c>
      <c r="N1821" s="323">
        <f t="shared" si="521"/>
        <v>22</v>
      </c>
      <c r="O1821" s="25">
        <f t="shared" si="522"/>
        <v>43497</v>
      </c>
      <c r="P1821" s="5" t="str">
        <f t="shared" si="523"/>
        <v>3.000,00</v>
      </c>
      <c r="Q1821" s="4" t="e">
        <f t="shared" ca="1" si="525"/>
        <v>#NAME?</v>
      </c>
    </row>
    <row r="1822" spans="1:17">
      <c r="A1822" s="1">
        <f t="shared" si="527"/>
        <v>1821</v>
      </c>
      <c r="C1822" s="8" t="s">
        <v>17</v>
      </c>
      <c r="D1822" s="2">
        <v>43520</v>
      </c>
      <c r="E1822" s="3">
        <v>3000</v>
      </c>
      <c r="F1822" t="s">
        <v>100</v>
      </c>
      <c r="G1822" t="s">
        <v>95</v>
      </c>
      <c r="H1822" t="s">
        <v>101</v>
      </c>
      <c r="I1822" s="6" t="s">
        <v>909</v>
      </c>
      <c r="J1822" s="61" t="s">
        <v>22</v>
      </c>
      <c r="L1822" s="5" t="str">
        <f t="shared" si="519"/>
        <v>01821</v>
      </c>
      <c r="M1822" s="47" t="str">
        <f t="shared" si="520"/>
        <v>24 de febrero de 2019</v>
      </c>
      <c r="N1822" s="323">
        <f t="shared" si="521"/>
        <v>24</v>
      </c>
      <c r="O1822" s="25">
        <f t="shared" si="522"/>
        <v>43497</v>
      </c>
      <c r="P1822" s="5" t="str">
        <f t="shared" si="523"/>
        <v>3.000,00</v>
      </c>
      <c r="Q1822" s="4" t="e">
        <f t="shared" ca="1" si="525"/>
        <v>#NAME?</v>
      </c>
    </row>
    <row r="1823" spans="1:17">
      <c r="A1823" s="1">
        <f t="shared" si="527"/>
        <v>1822</v>
      </c>
      <c r="C1823" s="8" t="s">
        <v>17</v>
      </c>
      <c r="D1823" s="2">
        <v>43521</v>
      </c>
      <c r="E1823" s="3">
        <v>6000</v>
      </c>
      <c r="F1823" t="s">
        <v>612</v>
      </c>
      <c r="G1823" t="s">
        <v>613</v>
      </c>
      <c r="H1823" t="s">
        <v>614</v>
      </c>
      <c r="I1823" s="6" t="s">
        <v>910</v>
      </c>
      <c r="J1823" s="61" t="s">
        <v>22</v>
      </c>
      <c r="L1823" s="5" t="str">
        <f t="shared" si="519"/>
        <v>01822</v>
      </c>
      <c r="M1823" s="47" t="str">
        <f t="shared" si="520"/>
        <v>25 de febrero de 2019</v>
      </c>
      <c r="N1823" s="323">
        <f t="shared" si="521"/>
        <v>25</v>
      </c>
      <c r="O1823" s="25">
        <f t="shared" si="522"/>
        <v>43497</v>
      </c>
      <c r="P1823" s="5" t="str">
        <f t="shared" si="523"/>
        <v>6.000,00</v>
      </c>
      <c r="Q1823" s="4" t="e">
        <f t="shared" ca="1" si="525"/>
        <v>#NAME?</v>
      </c>
    </row>
    <row r="1824" spans="1:17" ht="15.75" thickBot="1">
      <c r="A1824" s="1">
        <f t="shared" si="527"/>
        <v>1823</v>
      </c>
      <c r="C1824" s="8" t="s">
        <v>17</v>
      </c>
      <c r="D1824" s="2">
        <v>43521</v>
      </c>
      <c r="E1824" s="3">
        <v>3000</v>
      </c>
      <c r="F1824" t="s">
        <v>181</v>
      </c>
      <c r="G1824" t="s">
        <v>182</v>
      </c>
      <c r="H1824" t="s">
        <v>183</v>
      </c>
      <c r="I1824" s="6" t="s">
        <v>897</v>
      </c>
      <c r="J1824" s="61" t="s">
        <v>22</v>
      </c>
      <c r="L1824" s="5" t="str">
        <f t="shared" si="519"/>
        <v>01823</v>
      </c>
      <c r="M1824" s="47" t="str">
        <f t="shared" si="520"/>
        <v>25 de febrero de 2019</v>
      </c>
      <c r="N1824" s="323">
        <f t="shared" si="521"/>
        <v>25</v>
      </c>
      <c r="O1824" s="25">
        <f t="shared" si="522"/>
        <v>43497</v>
      </c>
      <c r="P1824" s="5" t="str">
        <f t="shared" si="523"/>
        <v>3.000,00</v>
      </c>
      <c r="Q1824" s="4" t="e">
        <f t="shared" ca="1" si="525"/>
        <v>#NAME?</v>
      </c>
    </row>
    <row r="1825" spans="1:17" ht="15.75" thickBot="1">
      <c r="A1825" s="1">
        <f t="shared" si="527"/>
        <v>1824</v>
      </c>
      <c r="C1825" s="85" t="s">
        <v>17</v>
      </c>
      <c r="D1825" s="2">
        <v>43521</v>
      </c>
      <c r="E1825" s="3">
        <v>3000</v>
      </c>
      <c r="F1825" t="s">
        <v>319</v>
      </c>
      <c r="G1825" s="18" t="s">
        <v>58</v>
      </c>
      <c r="H1825" t="s">
        <v>320</v>
      </c>
      <c r="I1825" s="6" t="s">
        <v>897</v>
      </c>
      <c r="J1825" s="61" t="s">
        <v>22</v>
      </c>
      <c r="L1825" s="5" t="str">
        <f t="shared" si="519"/>
        <v>01824</v>
      </c>
      <c r="M1825" s="47" t="str">
        <f t="shared" si="520"/>
        <v>25 de febrero de 2019</v>
      </c>
      <c r="N1825" s="323">
        <f t="shared" si="521"/>
        <v>25</v>
      </c>
      <c r="O1825" s="25">
        <f t="shared" si="522"/>
        <v>43497</v>
      </c>
      <c r="P1825" s="5" t="str">
        <f t="shared" si="523"/>
        <v>3.000,00</v>
      </c>
      <c r="Q1825" s="4" t="e">
        <f t="shared" ca="1" si="525"/>
        <v>#NAME?</v>
      </c>
    </row>
    <row r="1826" spans="1:17">
      <c r="A1826" s="1">
        <f t="shared" si="527"/>
        <v>1825</v>
      </c>
      <c r="C1826" s="8" t="s">
        <v>17</v>
      </c>
      <c r="D1826" s="2">
        <v>43521</v>
      </c>
      <c r="E1826" s="3">
        <v>3000</v>
      </c>
      <c r="F1826" t="s">
        <v>122</v>
      </c>
      <c r="G1826" t="s">
        <v>123</v>
      </c>
      <c r="H1826" t="s">
        <v>124</v>
      </c>
      <c r="I1826" s="6" t="s">
        <v>897</v>
      </c>
      <c r="J1826" s="61" t="s">
        <v>22</v>
      </c>
      <c r="L1826" s="5" t="str">
        <f t="shared" si="519"/>
        <v>01825</v>
      </c>
      <c r="M1826" s="47" t="str">
        <f t="shared" si="520"/>
        <v>25 de febrero de 2019</v>
      </c>
      <c r="N1826" s="323">
        <f t="shared" si="521"/>
        <v>25</v>
      </c>
      <c r="O1826" s="25">
        <f t="shared" si="522"/>
        <v>43497</v>
      </c>
      <c r="P1826" s="5" t="str">
        <f t="shared" si="523"/>
        <v>3.000,00</v>
      </c>
      <c r="Q1826" s="4" t="e">
        <f t="shared" ca="1" si="525"/>
        <v>#NAME?</v>
      </c>
    </row>
    <row r="1827" spans="1:17">
      <c r="A1827" s="1">
        <f t="shared" si="527"/>
        <v>1826</v>
      </c>
      <c r="C1827" s="8" t="s">
        <v>17</v>
      </c>
      <c r="D1827" s="2">
        <v>43521</v>
      </c>
      <c r="E1827" s="3">
        <v>3000</v>
      </c>
      <c r="F1827" t="s">
        <v>454</v>
      </c>
      <c r="G1827" t="s">
        <v>761</v>
      </c>
      <c r="H1827" t="s">
        <v>455</v>
      </c>
      <c r="I1827" s="6" t="s">
        <v>897</v>
      </c>
      <c r="J1827" s="61" t="s">
        <v>22</v>
      </c>
      <c r="L1827" s="5" t="str">
        <f t="shared" si="519"/>
        <v>01826</v>
      </c>
      <c r="M1827" s="47" t="str">
        <f t="shared" si="520"/>
        <v>25 de febrero de 2019</v>
      </c>
      <c r="N1827" s="323">
        <f t="shared" si="521"/>
        <v>25</v>
      </c>
      <c r="O1827" s="25">
        <f t="shared" si="522"/>
        <v>43497</v>
      </c>
      <c r="P1827" s="5" t="str">
        <f t="shared" si="523"/>
        <v>3.000,00</v>
      </c>
      <c r="Q1827" s="4" t="e">
        <f t="shared" ca="1" si="525"/>
        <v>#NAME?</v>
      </c>
    </row>
    <row r="1828" spans="1:17">
      <c r="A1828" s="1">
        <f t="shared" si="527"/>
        <v>1827</v>
      </c>
      <c r="C1828" s="8" t="s">
        <v>17</v>
      </c>
      <c r="D1828" s="2">
        <v>43521</v>
      </c>
      <c r="E1828" s="3">
        <v>3000</v>
      </c>
      <c r="F1828" t="s">
        <v>443</v>
      </c>
      <c r="G1828" t="s">
        <v>444</v>
      </c>
      <c r="H1828" t="s">
        <v>75</v>
      </c>
      <c r="I1828" s="6" t="s">
        <v>897</v>
      </c>
      <c r="J1828" s="61" t="s">
        <v>22</v>
      </c>
      <c r="L1828" s="5" t="str">
        <f t="shared" si="519"/>
        <v>01827</v>
      </c>
      <c r="M1828" s="47" t="str">
        <f t="shared" si="520"/>
        <v>25 de febrero de 2019</v>
      </c>
      <c r="N1828" s="323">
        <f t="shared" si="521"/>
        <v>25</v>
      </c>
      <c r="O1828" s="25">
        <f t="shared" si="522"/>
        <v>43497</v>
      </c>
      <c r="P1828" s="5" t="str">
        <f t="shared" si="523"/>
        <v>3.000,00</v>
      </c>
      <c r="Q1828" s="4" t="e">
        <f t="shared" ca="1" si="525"/>
        <v>#NAME?</v>
      </c>
    </row>
    <row r="1829" spans="1:17">
      <c r="A1829" s="1">
        <f t="shared" si="527"/>
        <v>1828</v>
      </c>
      <c r="C1829" s="8" t="s">
        <v>17</v>
      </c>
      <c r="D1829" s="2">
        <v>43521</v>
      </c>
      <c r="E1829" s="3">
        <v>1500</v>
      </c>
      <c r="F1829" t="s">
        <v>401</v>
      </c>
      <c r="G1829" t="s">
        <v>402</v>
      </c>
      <c r="H1829" t="s">
        <v>403</v>
      </c>
      <c r="I1829" s="6" t="s">
        <v>901</v>
      </c>
      <c r="J1829" s="61" t="s">
        <v>22</v>
      </c>
      <c r="L1829" s="5" t="str">
        <f t="shared" ref="L1829:L1835" si="528">IF(ISBLANK(A1829),"",TEXT(A1829,"00000"))</f>
        <v>01828</v>
      </c>
      <c r="M1829" s="47" t="str">
        <f t="shared" ref="M1829:M1835" si="529">IF(ISBLANK(D1829),"",TEXT(D1829,"dd")&amp;" de "&amp;TEXT(D1829,"mmmm")&amp;" de "&amp;TEXT(YEAR(D1829),"0"))</f>
        <v>25 de febrero de 2019</v>
      </c>
      <c r="N1829" s="323">
        <f t="shared" ref="N1829:N1848" si="530">DAY(D1829)</f>
        <v>25</v>
      </c>
      <c r="O1829" s="25">
        <f t="shared" ref="O1829:O1835" si="531">DATE(YEAR(D1829),MONTH(D1829),1)</f>
        <v>43497</v>
      </c>
      <c r="P1829" s="5" t="str">
        <f t="shared" ref="P1829:P1844" si="532">TEXT(E1829,"#.##0,00")</f>
        <v>1.500,00</v>
      </c>
      <c r="Q1829" s="4" t="e">
        <f t="shared" ref="Q1829:Q1834" ca="1" si="533">CONVERTIRNUM(E1829)</f>
        <v>#NAME?</v>
      </c>
    </row>
    <row r="1830" spans="1:17">
      <c r="A1830" s="1">
        <f t="shared" si="527"/>
        <v>1829</v>
      </c>
      <c r="C1830" s="8" t="s">
        <v>17</v>
      </c>
      <c r="D1830" s="2">
        <v>43522</v>
      </c>
      <c r="E1830" s="3">
        <v>3000</v>
      </c>
      <c r="F1830" t="s">
        <v>296</v>
      </c>
      <c r="G1830" t="s">
        <v>297</v>
      </c>
      <c r="H1830" t="s">
        <v>298</v>
      </c>
      <c r="I1830" s="6" t="s">
        <v>897</v>
      </c>
      <c r="J1830" s="61" t="s">
        <v>22</v>
      </c>
      <c r="L1830" s="5" t="str">
        <f t="shared" si="528"/>
        <v>01829</v>
      </c>
      <c r="M1830" s="47" t="str">
        <f t="shared" si="529"/>
        <v>26 de febrero de 2019</v>
      </c>
      <c r="N1830" s="323">
        <f t="shared" si="530"/>
        <v>26</v>
      </c>
      <c r="O1830" s="25">
        <f t="shared" si="531"/>
        <v>43497</v>
      </c>
      <c r="P1830" s="5" t="str">
        <f t="shared" si="532"/>
        <v>3.000,00</v>
      </c>
      <c r="Q1830" s="4" t="e">
        <f t="shared" ca="1" si="533"/>
        <v>#NAME?</v>
      </c>
    </row>
    <row r="1831" spans="1:17">
      <c r="A1831" s="1">
        <f t="shared" si="527"/>
        <v>1830</v>
      </c>
      <c r="C1831" s="8" t="s">
        <v>17</v>
      </c>
      <c r="D1831" s="2">
        <v>43513</v>
      </c>
      <c r="E1831" s="3">
        <v>3000</v>
      </c>
      <c r="F1831" t="s">
        <v>334</v>
      </c>
      <c r="G1831" t="s">
        <v>85</v>
      </c>
      <c r="H1831" t="s">
        <v>335</v>
      </c>
      <c r="I1831" s="6" t="s">
        <v>897</v>
      </c>
      <c r="J1831" s="61" t="s">
        <v>22</v>
      </c>
      <c r="L1831" s="5" t="str">
        <f t="shared" si="528"/>
        <v>01830</v>
      </c>
      <c r="M1831" s="47" t="str">
        <f t="shared" si="529"/>
        <v>17 de febrero de 2019</v>
      </c>
      <c r="N1831" s="323">
        <f t="shared" si="530"/>
        <v>17</v>
      </c>
      <c r="O1831" s="25">
        <f t="shared" si="531"/>
        <v>43497</v>
      </c>
      <c r="P1831" s="5" t="str">
        <f t="shared" si="532"/>
        <v>3.000,00</v>
      </c>
      <c r="Q1831" s="4" t="e">
        <f t="shared" ca="1" si="533"/>
        <v>#NAME?</v>
      </c>
    </row>
    <row r="1832" spans="1:17" ht="15.75" thickBot="1">
      <c r="A1832" s="1">
        <f t="shared" si="527"/>
        <v>1831</v>
      </c>
      <c r="C1832" s="8" t="s">
        <v>17</v>
      </c>
      <c r="D1832" s="2">
        <v>43522</v>
      </c>
      <c r="E1832" s="3">
        <v>3000</v>
      </c>
      <c r="F1832" t="s">
        <v>537</v>
      </c>
      <c r="G1832" t="s">
        <v>538</v>
      </c>
      <c r="H1832" t="s">
        <v>539</v>
      </c>
      <c r="I1832" s="6" t="s">
        <v>897</v>
      </c>
      <c r="J1832" s="61" t="s">
        <v>22</v>
      </c>
      <c r="L1832" s="5" t="str">
        <f t="shared" si="528"/>
        <v>01831</v>
      </c>
      <c r="M1832" s="47" t="str">
        <f t="shared" si="529"/>
        <v>26 de febrero de 2019</v>
      </c>
      <c r="N1832" s="323">
        <f t="shared" si="530"/>
        <v>26</v>
      </c>
      <c r="O1832" s="25">
        <f t="shared" si="531"/>
        <v>43497</v>
      </c>
      <c r="P1832" s="5" t="str">
        <f t="shared" si="532"/>
        <v>3.000,00</v>
      </c>
      <c r="Q1832" s="4" t="e">
        <f t="shared" ca="1" si="533"/>
        <v>#NAME?</v>
      </c>
    </row>
    <row r="1833" spans="1:17" ht="15.75" thickBot="1">
      <c r="A1833" s="1">
        <f t="shared" si="527"/>
        <v>1832</v>
      </c>
      <c r="C1833" s="8" t="s">
        <v>17</v>
      </c>
      <c r="D1833" s="2">
        <v>43523</v>
      </c>
      <c r="E1833" s="3">
        <v>3000</v>
      </c>
      <c r="F1833" t="s">
        <v>239</v>
      </c>
      <c r="G1833" s="73" t="s">
        <v>240</v>
      </c>
      <c r="H1833" t="s">
        <v>241</v>
      </c>
      <c r="I1833" s="6" t="s">
        <v>897</v>
      </c>
      <c r="J1833" s="61" t="s">
        <v>22</v>
      </c>
      <c r="L1833" s="5" t="str">
        <f t="shared" si="528"/>
        <v>01832</v>
      </c>
      <c r="M1833" s="47" t="str">
        <f t="shared" si="529"/>
        <v>27 de febrero de 2019</v>
      </c>
      <c r="N1833" s="323">
        <f t="shared" si="530"/>
        <v>27</v>
      </c>
      <c r="O1833" s="25">
        <f t="shared" si="531"/>
        <v>43497</v>
      </c>
      <c r="P1833" s="5" t="str">
        <f t="shared" si="532"/>
        <v>3.000,00</v>
      </c>
      <c r="Q1833" s="4" t="e">
        <f t="shared" ca="1" si="533"/>
        <v>#NAME?</v>
      </c>
    </row>
    <row r="1834" spans="1:17">
      <c r="A1834" s="1">
        <f t="shared" si="527"/>
        <v>1833</v>
      </c>
      <c r="C1834" s="8" t="s">
        <v>17</v>
      </c>
      <c r="D1834" s="2">
        <v>43522</v>
      </c>
      <c r="E1834" s="3">
        <v>3000</v>
      </c>
      <c r="F1834" t="s">
        <v>284</v>
      </c>
      <c r="G1834" t="s">
        <v>687</v>
      </c>
      <c r="H1834" t="s">
        <v>285</v>
      </c>
      <c r="I1834" s="6" t="s">
        <v>897</v>
      </c>
      <c r="J1834" s="61" t="s">
        <v>22</v>
      </c>
      <c r="L1834" s="5" t="str">
        <f t="shared" si="528"/>
        <v>01833</v>
      </c>
      <c r="M1834" s="47" t="str">
        <f t="shared" si="529"/>
        <v>26 de febrero de 2019</v>
      </c>
      <c r="N1834" s="323">
        <f t="shared" si="530"/>
        <v>26</v>
      </c>
      <c r="O1834" s="25">
        <f t="shared" si="531"/>
        <v>43497</v>
      </c>
      <c r="P1834" s="5" t="str">
        <f t="shared" si="532"/>
        <v>3.000,00</v>
      </c>
      <c r="Q1834" s="4" t="e">
        <f t="shared" ca="1" si="533"/>
        <v>#NAME?</v>
      </c>
    </row>
    <row r="1835" spans="1:17">
      <c r="A1835" s="1">
        <f t="shared" si="527"/>
        <v>1834</v>
      </c>
      <c r="C1835" s="8" t="s">
        <v>17</v>
      </c>
      <c r="D1835" s="2">
        <v>43523</v>
      </c>
      <c r="E1835" s="3">
        <v>3000</v>
      </c>
      <c r="F1835" t="s">
        <v>407</v>
      </c>
      <c r="G1835" t="s">
        <v>408</v>
      </c>
      <c r="H1835" t="s">
        <v>409</v>
      </c>
      <c r="I1835" s="6" t="s">
        <v>909</v>
      </c>
      <c r="J1835" s="61" t="s">
        <v>22</v>
      </c>
      <c r="L1835" s="5" t="str">
        <f t="shared" si="528"/>
        <v>01834</v>
      </c>
      <c r="M1835" s="47" t="str">
        <f t="shared" si="529"/>
        <v>27 de febrero de 2019</v>
      </c>
      <c r="N1835" s="323">
        <f t="shared" si="530"/>
        <v>27</v>
      </c>
      <c r="O1835" s="25">
        <f t="shared" si="531"/>
        <v>43497</v>
      </c>
      <c r="P1835" s="5" t="str">
        <f t="shared" si="532"/>
        <v>3.000,00</v>
      </c>
      <c r="Q1835" s="4" t="e">
        <f ca="1">CONVERTIRNUM(E1835)</f>
        <v>#NAME?</v>
      </c>
    </row>
    <row r="1836" spans="1:17">
      <c r="A1836" s="1">
        <f t="shared" si="527"/>
        <v>1835</v>
      </c>
      <c r="C1836" s="8" t="s">
        <v>17</v>
      </c>
      <c r="D1836" s="2">
        <v>43523</v>
      </c>
      <c r="E1836" s="3">
        <v>6000</v>
      </c>
      <c r="F1836" t="s">
        <v>44</v>
      </c>
      <c r="G1836" t="s">
        <v>45</v>
      </c>
      <c r="H1836" t="s">
        <v>46</v>
      </c>
      <c r="I1836" s="6" t="s">
        <v>911</v>
      </c>
      <c r="J1836" s="61" t="s">
        <v>22</v>
      </c>
      <c r="L1836" s="5" t="str">
        <f>IF(ISBLANK(A1836),"",TEXT(A1836,"00000"))</f>
        <v>01835</v>
      </c>
      <c r="M1836" s="47" t="str">
        <f>IF(ISBLANK(D1836),"",TEXT(D1836,"dd")&amp;" de "&amp;TEXT(D1836,"mmmm")&amp;" de "&amp;TEXT(YEAR(D1836),"0"))</f>
        <v>27 de febrero de 2019</v>
      </c>
      <c r="N1836" s="323">
        <f t="shared" si="530"/>
        <v>27</v>
      </c>
      <c r="O1836" s="25">
        <f>DATE(YEAR(D1836),MONTH(D1836),1)</f>
        <v>43497</v>
      </c>
      <c r="P1836" s="5" t="str">
        <f t="shared" si="532"/>
        <v>6.000,00</v>
      </c>
      <c r="Q1836" s="4" t="e">
        <f t="shared" ref="Q1836:Q1844" ca="1" si="534">CONVERTIRNUM(E1836)</f>
        <v>#NAME?</v>
      </c>
    </row>
    <row r="1837" spans="1:17" ht="15.75" thickBot="1">
      <c r="A1837" s="1">
        <f t="shared" si="527"/>
        <v>1836</v>
      </c>
      <c r="C1837" s="8" t="s">
        <v>17</v>
      </c>
      <c r="D1837" s="2">
        <v>43523</v>
      </c>
      <c r="E1837" s="3">
        <v>6000</v>
      </c>
      <c r="F1837" t="s">
        <v>243</v>
      </c>
      <c r="G1837" t="s">
        <v>244</v>
      </c>
      <c r="H1837" t="s">
        <v>245</v>
      </c>
      <c r="I1837" s="6" t="s">
        <v>912</v>
      </c>
      <c r="J1837" s="61" t="s">
        <v>22</v>
      </c>
      <c r="L1837" s="5" t="str">
        <f>IF(ISBLANK(A1837),"",TEXT(A1837,"00000"))</f>
        <v>01836</v>
      </c>
      <c r="M1837" s="47" t="str">
        <f>IF(ISBLANK(D1837),"",TEXT(D1837,"dd")&amp;" de "&amp;TEXT(D1837,"mmmm")&amp;" de "&amp;TEXT(YEAR(D1837),"0"))</f>
        <v>27 de febrero de 2019</v>
      </c>
      <c r="N1837" s="323">
        <f t="shared" si="530"/>
        <v>27</v>
      </c>
      <c r="O1837" s="25">
        <f>DATE(YEAR(D1837),MONTH(D1837),1)</f>
        <v>43497</v>
      </c>
      <c r="P1837" s="5" t="str">
        <f t="shared" si="532"/>
        <v>6.000,00</v>
      </c>
      <c r="Q1837" s="4" t="e">
        <f t="shared" ca="1" si="534"/>
        <v>#NAME?</v>
      </c>
    </row>
    <row r="1838" spans="1:17" ht="15.75" thickBot="1">
      <c r="A1838" s="1">
        <f t="shared" si="527"/>
        <v>1837</v>
      </c>
      <c r="C1838" s="85" t="s">
        <v>17</v>
      </c>
      <c r="D1838" s="2">
        <v>43523</v>
      </c>
      <c r="E1838" s="3">
        <v>3000</v>
      </c>
      <c r="F1838" t="s">
        <v>259</v>
      </c>
      <c r="G1838" s="18" t="s">
        <v>58</v>
      </c>
      <c r="H1838" t="s">
        <v>261</v>
      </c>
      <c r="I1838" s="6" t="s">
        <v>897</v>
      </c>
      <c r="J1838" s="61" t="s">
        <v>22</v>
      </c>
      <c r="L1838" s="5" t="str">
        <f t="shared" ref="L1838:L1848" si="535">IF(ISBLANK(A1838),"",TEXT(A1838,"00000"))</f>
        <v>01837</v>
      </c>
      <c r="M1838" s="47" t="str">
        <f t="shared" ref="M1838:M1848" si="536">IF(ISBLANK(D1838),"",TEXT(D1838,"dd")&amp;" de "&amp;TEXT(D1838,"mmmm")&amp;" de "&amp;TEXT(YEAR(D1838),"0"))</f>
        <v>27 de febrero de 2019</v>
      </c>
      <c r="N1838" s="323">
        <f t="shared" si="530"/>
        <v>27</v>
      </c>
      <c r="O1838" s="25">
        <f t="shared" ref="O1838:O1848" si="537">DATE(YEAR(D1838),MONTH(D1838),1)</f>
        <v>43497</v>
      </c>
      <c r="P1838" s="5" t="str">
        <f t="shared" si="532"/>
        <v>3.000,00</v>
      </c>
      <c r="Q1838" s="4" t="e">
        <f t="shared" ca="1" si="534"/>
        <v>#NAME?</v>
      </c>
    </row>
    <row r="1839" spans="1:17">
      <c r="A1839" s="1">
        <f t="shared" si="527"/>
        <v>1838</v>
      </c>
      <c r="C1839" s="8" t="s">
        <v>17</v>
      </c>
      <c r="D1839" s="2">
        <v>43523</v>
      </c>
      <c r="E1839" s="3">
        <v>5000</v>
      </c>
      <c r="F1839" t="s">
        <v>90</v>
      </c>
      <c r="G1839" t="s">
        <v>91</v>
      </c>
      <c r="H1839" t="s">
        <v>92</v>
      </c>
      <c r="I1839" s="6" t="s">
        <v>913</v>
      </c>
      <c r="J1839" s="61" t="s">
        <v>22</v>
      </c>
      <c r="L1839" s="5" t="str">
        <f t="shared" si="535"/>
        <v>01838</v>
      </c>
      <c r="M1839" s="47" t="str">
        <f t="shared" si="536"/>
        <v>27 de febrero de 2019</v>
      </c>
      <c r="N1839" s="323">
        <f t="shared" si="530"/>
        <v>27</v>
      </c>
      <c r="O1839" s="25">
        <f t="shared" si="537"/>
        <v>43497</v>
      </c>
      <c r="P1839" s="5" t="str">
        <f t="shared" si="532"/>
        <v>5.000,00</v>
      </c>
      <c r="Q1839" s="4" t="e">
        <f t="shared" ca="1" si="534"/>
        <v>#NAME?</v>
      </c>
    </row>
    <row r="1840" spans="1:17">
      <c r="A1840" s="1">
        <f t="shared" si="527"/>
        <v>1839</v>
      </c>
      <c r="C1840" s="8" t="s">
        <v>17</v>
      </c>
      <c r="D1840" s="2">
        <v>43523</v>
      </c>
      <c r="E1840" s="3">
        <v>9000</v>
      </c>
      <c r="F1840" t="s">
        <v>324</v>
      </c>
      <c r="G1840" t="s">
        <v>325</v>
      </c>
      <c r="H1840" t="s">
        <v>326</v>
      </c>
      <c r="I1840" s="6" t="s">
        <v>914</v>
      </c>
      <c r="J1840" s="61" t="s">
        <v>22</v>
      </c>
      <c r="L1840" s="5" t="str">
        <f t="shared" si="535"/>
        <v>01839</v>
      </c>
      <c r="M1840" s="47" t="str">
        <f t="shared" si="536"/>
        <v>27 de febrero de 2019</v>
      </c>
      <c r="N1840" s="323">
        <f t="shared" si="530"/>
        <v>27</v>
      </c>
      <c r="O1840" s="25">
        <f t="shared" si="537"/>
        <v>43497</v>
      </c>
      <c r="P1840" s="5" t="str">
        <f t="shared" si="532"/>
        <v>9.000,00</v>
      </c>
      <c r="Q1840" s="4" t="e">
        <f t="shared" ca="1" si="534"/>
        <v>#NAME?</v>
      </c>
    </row>
    <row r="1841" spans="1:17">
      <c r="A1841" s="1">
        <f t="shared" si="527"/>
        <v>1840</v>
      </c>
      <c r="C1841" s="8" t="s">
        <v>17</v>
      </c>
      <c r="D1841" s="2">
        <v>43523</v>
      </c>
      <c r="E1841" s="3">
        <v>4000</v>
      </c>
      <c r="F1841" t="s">
        <v>32</v>
      </c>
      <c r="G1841" t="s">
        <v>33</v>
      </c>
      <c r="H1841" t="s">
        <v>34</v>
      </c>
      <c r="I1841" s="161" t="s">
        <v>915</v>
      </c>
      <c r="J1841" s="61" t="s">
        <v>22</v>
      </c>
      <c r="L1841" s="5" t="str">
        <f t="shared" si="535"/>
        <v>01840</v>
      </c>
      <c r="M1841" s="47" t="str">
        <f t="shared" si="536"/>
        <v>27 de febrero de 2019</v>
      </c>
      <c r="N1841" s="323">
        <f t="shared" si="530"/>
        <v>27</v>
      </c>
      <c r="O1841" s="25">
        <f t="shared" si="537"/>
        <v>43497</v>
      </c>
      <c r="P1841" s="5" t="str">
        <f t="shared" si="532"/>
        <v>4.000,00</v>
      </c>
      <c r="Q1841" s="4" t="e">
        <f t="shared" ca="1" si="534"/>
        <v>#NAME?</v>
      </c>
    </row>
    <row r="1842" spans="1:17">
      <c r="A1842" s="1">
        <f t="shared" si="527"/>
        <v>1841</v>
      </c>
      <c r="C1842" s="8" t="s">
        <v>17</v>
      </c>
      <c r="D1842" s="2">
        <v>43523</v>
      </c>
      <c r="E1842" s="3">
        <v>3000</v>
      </c>
      <c r="F1842" t="s">
        <v>211</v>
      </c>
      <c r="G1842" t="s">
        <v>212</v>
      </c>
      <c r="H1842" t="s">
        <v>213</v>
      </c>
      <c r="I1842" s="6" t="s">
        <v>897</v>
      </c>
      <c r="J1842" s="61" t="s">
        <v>22</v>
      </c>
      <c r="L1842" s="5" t="str">
        <f t="shared" si="535"/>
        <v>01841</v>
      </c>
      <c r="M1842" s="47" t="str">
        <f t="shared" si="536"/>
        <v>27 de febrero de 2019</v>
      </c>
      <c r="N1842" s="323">
        <f t="shared" si="530"/>
        <v>27</v>
      </c>
      <c r="O1842" s="25">
        <f t="shared" si="537"/>
        <v>43497</v>
      </c>
      <c r="P1842" s="5" t="str">
        <f t="shared" si="532"/>
        <v>3.000,00</v>
      </c>
      <c r="Q1842" s="4" t="e">
        <f t="shared" ca="1" si="534"/>
        <v>#NAME?</v>
      </c>
    </row>
    <row r="1843" spans="1:17">
      <c r="A1843" s="1">
        <f t="shared" si="527"/>
        <v>1842</v>
      </c>
      <c r="C1843" s="8" t="s">
        <v>17</v>
      </c>
      <c r="D1843" s="2">
        <v>43523</v>
      </c>
      <c r="E1843" s="3">
        <v>3000</v>
      </c>
      <c r="F1843" t="s">
        <v>103</v>
      </c>
      <c r="G1843" t="s">
        <v>104</v>
      </c>
      <c r="H1843" t="s">
        <v>105</v>
      </c>
      <c r="I1843" s="6" t="s">
        <v>897</v>
      </c>
      <c r="J1843" s="61" t="s">
        <v>22</v>
      </c>
      <c r="L1843" s="5" t="str">
        <f t="shared" si="535"/>
        <v>01842</v>
      </c>
      <c r="M1843" s="47" t="str">
        <f t="shared" si="536"/>
        <v>27 de febrero de 2019</v>
      </c>
      <c r="N1843" s="323">
        <f t="shared" si="530"/>
        <v>27</v>
      </c>
      <c r="O1843" s="25">
        <f t="shared" si="537"/>
        <v>43497</v>
      </c>
      <c r="P1843" s="5" t="str">
        <f t="shared" si="532"/>
        <v>3.000,00</v>
      </c>
      <c r="Q1843" s="4" t="e">
        <f t="shared" ca="1" si="534"/>
        <v>#NAME?</v>
      </c>
    </row>
    <row r="1844" spans="1:17">
      <c r="A1844" s="1">
        <f t="shared" si="527"/>
        <v>1843</v>
      </c>
      <c r="C1844" s="8" t="s">
        <v>17</v>
      </c>
      <c r="D1844" s="2">
        <v>43523</v>
      </c>
      <c r="E1844" s="3">
        <v>3000</v>
      </c>
      <c r="F1844" t="s">
        <v>248</v>
      </c>
      <c r="G1844" t="s">
        <v>249</v>
      </c>
      <c r="H1844" t="s">
        <v>250</v>
      </c>
      <c r="I1844" s="6" t="s">
        <v>897</v>
      </c>
      <c r="J1844" s="61" t="s">
        <v>22</v>
      </c>
      <c r="L1844" s="5" t="str">
        <f t="shared" si="535"/>
        <v>01843</v>
      </c>
      <c r="M1844" s="47" t="str">
        <f t="shared" si="536"/>
        <v>27 de febrero de 2019</v>
      </c>
      <c r="N1844" s="323">
        <f t="shared" si="530"/>
        <v>27</v>
      </c>
      <c r="O1844" s="25">
        <f t="shared" si="537"/>
        <v>43497</v>
      </c>
      <c r="P1844" s="5" t="str">
        <f t="shared" si="532"/>
        <v>3.000,00</v>
      </c>
      <c r="Q1844" s="4" t="e">
        <f t="shared" ca="1" si="534"/>
        <v>#NAME?</v>
      </c>
    </row>
    <row r="1845" spans="1:17">
      <c r="A1845" s="1">
        <f t="shared" si="527"/>
        <v>1844</v>
      </c>
      <c r="C1845" s="8" t="s">
        <v>17</v>
      </c>
      <c r="D1845" s="2">
        <v>43523</v>
      </c>
      <c r="E1845" s="3">
        <v>6000</v>
      </c>
      <c r="F1845" t="s">
        <v>162</v>
      </c>
      <c r="G1845" t="s">
        <v>163</v>
      </c>
      <c r="H1845" t="s">
        <v>164</v>
      </c>
      <c r="I1845" s="6" t="s">
        <v>912</v>
      </c>
      <c r="J1845" s="61" t="s">
        <v>22</v>
      </c>
      <c r="L1845" s="5" t="str">
        <f t="shared" si="535"/>
        <v>01844</v>
      </c>
      <c r="M1845" s="47" t="str">
        <f t="shared" si="536"/>
        <v>27 de febrero de 2019</v>
      </c>
      <c r="N1845" s="323">
        <f t="shared" si="530"/>
        <v>27</v>
      </c>
      <c r="O1845" s="25">
        <f t="shared" si="537"/>
        <v>43497</v>
      </c>
      <c r="P1845" s="5" t="str">
        <f>TEXT(E1845,"#.##0,00")</f>
        <v>6.000,00</v>
      </c>
      <c r="Q1845" s="4" t="e">
        <f ca="1">CONVERTIRNUM(E1845)</f>
        <v>#NAME?</v>
      </c>
    </row>
    <row r="1846" spans="1:17">
      <c r="A1846" s="1">
        <f t="shared" si="527"/>
        <v>1845</v>
      </c>
      <c r="C1846" s="8" t="s">
        <v>17</v>
      </c>
      <c r="D1846" s="2">
        <v>43523</v>
      </c>
      <c r="E1846" s="3">
        <v>6000</v>
      </c>
      <c r="F1846" t="s">
        <v>80</v>
      </c>
      <c r="G1846" t="s">
        <v>81</v>
      </c>
      <c r="H1846" t="s">
        <v>82</v>
      </c>
      <c r="I1846" s="6" t="s">
        <v>909</v>
      </c>
      <c r="J1846" s="61" t="s">
        <v>22</v>
      </c>
      <c r="L1846" s="5" t="str">
        <f t="shared" si="535"/>
        <v>01845</v>
      </c>
      <c r="M1846" s="47" t="str">
        <f t="shared" si="536"/>
        <v>27 de febrero de 2019</v>
      </c>
      <c r="N1846" s="323">
        <f t="shared" si="530"/>
        <v>27</v>
      </c>
      <c r="O1846" s="25">
        <f t="shared" si="537"/>
        <v>43497</v>
      </c>
      <c r="P1846" s="5" t="str">
        <f t="shared" ref="P1846:P1848" si="538">TEXT(E1846,"#.##0,00")</f>
        <v>6.000,00</v>
      </c>
      <c r="Q1846" s="4" t="e">
        <f t="shared" ref="Q1846:Q1848" ca="1" si="539">CONVERTIRNUM(E1846)</f>
        <v>#NAME?</v>
      </c>
    </row>
    <row r="1847" spans="1:17">
      <c r="A1847" s="1">
        <f t="shared" si="527"/>
        <v>1846</v>
      </c>
      <c r="C1847" s="8" t="s">
        <v>17</v>
      </c>
      <c r="D1847" s="2">
        <v>43523</v>
      </c>
      <c r="E1847" s="3">
        <v>3000</v>
      </c>
      <c r="F1847" t="s">
        <v>134</v>
      </c>
      <c r="G1847" t="s">
        <v>135</v>
      </c>
      <c r="H1847" t="s">
        <v>136</v>
      </c>
      <c r="I1847" s="6" t="s">
        <v>897</v>
      </c>
      <c r="J1847" s="61" t="s">
        <v>22</v>
      </c>
      <c r="L1847" s="5" t="str">
        <f t="shared" si="535"/>
        <v>01846</v>
      </c>
      <c r="M1847" s="47" t="str">
        <f t="shared" si="536"/>
        <v>27 de febrero de 2019</v>
      </c>
      <c r="N1847" s="323">
        <f t="shared" si="530"/>
        <v>27</v>
      </c>
      <c r="O1847" s="25">
        <f t="shared" si="537"/>
        <v>43497</v>
      </c>
      <c r="P1847" s="5" t="str">
        <f t="shared" si="538"/>
        <v>3.000,00</v>
      </c>
      <c r="Q1847" s="4" t="e">
        <f t="shared" ca="1" si="539"/>
        <v>#NAME?</v>
      </c>
    </row>
    <row r="1848" spans="1:17">
      <c r="A1848" s="1">
        <f t="shared" si="527"/>
        <v>1847</v>
      </c>
      <c r="C1848" s="8" t="s">
        <v>17</v>
      </c>
      <c r="D1848" s="2">
        <v>43523</v>
      </c>
      <c r="E1848" s="3">
        <v>3000</v>
      </c>
      <c r="F1848" t="s">
        <v>201</v>
      </c>
      <c r="G1848" t="s">
        <v>202</v>
      </c>
      <c r="H1848" t="s">
        <v>203</v>
      </c>
      <c r="I1848" s="6" t="s">
        <v>897</v>
      </c>
      <c r="J1848" s="61" t="s">
        <v>22</v>
      </c>
      <c r="L1848" s="5" t="str">
        <f t="shared" si="535"/>
        <v>01847</v>
      </c>
      <c r="M1848" s="47" t="str">
        <f t="shared" si="536"/>
        <v>27 de febrero de 2019</v>
      </c>
      <c r="N1848" s="323">
        <f t="shared" si="530"/>
        <v>27</v>
      </c>
      <c r="O1848" s="25">
        <f t="shared" si="537"/>
        <v>43497</v>
      </c>
      <c r="P1848" s="5" t="str">
        <f t="shared" si="538"/>
        <v>3.000,00</v>
      </c>
      <c r="Q1848" s="4" t="e">
        <f t="shared" ca="1" si="539"/>
        <v>#NAME?</v>
      </c>
    </row>
    <row r="1849" spans="1:17">
      <c r="A1849" s="1">
        <f t="shared" si="527"/>
        <v>1848</v>
      </c>
      <c r="C1849" s="8" t="s">
        <v>17</v>
      </c>
      <c r="D1849" s="2">
        <v>43500</v>
      </c>
      <c r="E1849" s="3">
        <v>3000</v>
      </c>
      <c r="F1849" t="s">
        <v>80</v>
      </c>
      <c r="G1849" t="s">
        <v>81</v>
      </c>
      <c r="H1849" t="s">
        <v>82</v>
      </c>
      <c r="I1849" s="6" t="s">
        <v>897</v>
      </c>
      <c r="J1849" s="61" t="s">
        <v>22</v>
      </c>
      <c r="L1849" s="5" t="str">
        <f t="shared" ref="L1849:L1888" si="540">IF(ISBLANK(A1849),"",TEXT(A1849,"00000"))</f>
        <v>01848</v>
      </c>
      <c r="M1849" s="47" t="str">
        <f t="shared" ref="M1849:M1888" si="541">IF(ISBLANK(D1849),"",TEXT(D1849,"dd")&amp;" de "&amp;TEXT(D1849,"mmmm")&amp;" de "&amp;TEXT(YEAR(D1849),"0"))</f>
        <v>04 de febrero de 2019</v>
      </c>
      <c r="N1849" s="323">
        <f t="shared" ref="N1849:N1888" si="542">DAY(D1849)</f>
        <v>4</v>
      </c>
      <c r="O1849" s="25">
        <f t="shared" ref="O1849:O1888" si="543">DATE(YEAR(D1849),MONTH(D1849),1)</f>
        <v>43497</v>
      </c>
      <c r="P1849" s="5" t="str">
        <f t="shared" ref="P1849:P1888" si="544">TEXT(E1849,"#.##0,00")</f>
        <v>3.000,00</v>
      </c>
      <c r="Q1849" s="4" t="e">
        <f t="shared" ref="Q1849:Q1888" ca="1" si="545">CONVERTIRNUM(E1849)</f>
        <v>#NAME?</v>
      </c>
    </row>
    <row r="1850" spans="1:17">
      <c r="A1850" s="1">
        <f t="shared" si="527"/>
        <v>1849</v>
      </c>
      <c r="C1850" s="8" t="s">
        <v>17</v>
      </c>
      <c r="D1850" s="2">
        <v>43524</v>
      </c>
      <c r="E1850" s="3">
        <v>6000</v>
      </c>
      <c r="F1850" t="s">
        <v>114</v>
      </c>
      <c r="G1850" t="s">
        <v>115</v>
      </c>
      <c r="H1850" t="s">
        <v>105</v>
      </c>
      <c r="I1850" s="6" t="s">
        <v>912</v>
      </c>
      <c r="J1850" s="61" t="s">
        <v>22</v>
      </c>
      <c r="L1850" s="5" t="str">
        <f t="shared" si="540"/>
        <v>01849</v>
      </c>
      <c r="M1850" s="47" t="str">
        <f t="shared" si="541"/>
        <v>28 de febrero de 2019</v>
      </c>
      <c r="N1850" s="323">
        <f t="shared" si="542"/>
        <v>28</v>
      </c>
      <c r="O1850" s="25">
        <f t="shared" si="543"/>
        <v>43497</v>
      </c>
      <c r="P1850" s="5" t="str">
        <f t="shared" si="544"/>
        <v>6.000,00</v>
      </c>
      <c r="Q1850" s="4" t="e">
        <f t="shared" ca="1" si="545"/>
        <v>#NAME?</v>
      </c>
    </row>
    <row r="1851" spans="1:17">
      <c r="A1851" s="1">
        <f t="shared" si="527"/>
        <v>1850</v>
      </c>
      <c r="C1851" s="8" t="s">
        <v>17</v>
      </c>
      <c r="D1851" s="2">
        <v>43524</v>
      </c>
      <c r="E1851" s="3">
        <v>8000</v>
      </c>
      <c r="F1851" t="s">
        <v>785</v>
      </c>
      <c r="G1851" t="s">
        <v>786</v>
      </c>
      <c r="H1851" t="s">
        <v>719</v>
      </c>
      <c r="I1851" s="6" t="s">
        <v>916</v>
      </c>
      <c r="J1851" s="61" t="s">
        <v>22</v>
      </c>
      <c r="L1851" s="5" t="str">
        <f t="shared" si="540"/>
        <v>01850</v>
      </c>
      <c r="M1851" s="47" t="str">
        <f t="shared" si="541"/>
        <v>28 de febrero de 2019</v>
      </c>
      <c r="N1851" s="323">
        <f t="shared" si="542"/>
        <v>28</v>
      </c>
      <c r="O1851" s="25">
        <f t="shared" si="543"/>
        <v>43497</v>
      </c>
      <c r="P1851" s="5" t="str">
        <f t="shared" si="544"/>
        <v>8.000,00</v>
      </c>
      <c r="Q1851" s="4" t="e">
        <f t="shared" ca="1" si="545"/>
        <v>#NAME?</v>
      </c>
    </row>
    <row r="1852" spans="1:17">
      <c r="A1852" s="1">
        <f t="shared" si="527"/>
        <v>1851</v>
      </c>
      <c r="C1852" s="8" t="s">
        <v>17</v>
      </c>
      <c r="D1852" s="2">
        <v>43524</v>
      </c>
      <c r="E1852" s="3">
        <v>3000</v>
      </c>
      <c r="F1852" t="s">
        <v>334</v>
      </c>
      <c r="G1852" t="s">
        <v>85</v>
      </c>
      <c r="H1852" t="s">
        <v>335</v>
      </c>
      <c r="I1852" s="6" t="s">
        <v>909</v>
      </c>
      <c r="J1852" s="61" t="s">
        <v>22</v>
      </c>
      <c r="L1852" s="5" t="str">
        <f t="shared" si="540"/>
        <v>01851</v>
      </c>
      <c r="M1852" s="47" t="str">
        <f t="shared" si="541"/>
        <v>28 de febrero de 2019</v>
      </c>
      <c r="N1852" s="323">
        <f t="shared" si="542"/>
        <v>28</v>
      </c>
      <c r="O1852" s="25">
        <f t="shared" si="543"/>
        <v>43497</v>
      </c>
      <c r="P1852" s="5" t="str">
        <f t="shared" si="544"/>
        <v>3.000,00</v>
      </c>
      <c r="Q1852" s="4" t="e">
        <f t="shared" ca="1" si="545"/>
        <v>#NAME?</v>
      </c>
    </row>
    <row r="1853" spans="1:17">
      <c r="A1853" s="1">
        <f t="shared" si="527"/>
        <v>1852</v>
      </c>
      <c r="C1853" s="8" t="s">
        <v>17</v>
      </c>
      <c r="D1853" s="2">
        <v>43524</v>
      </c>
      <c r="E1853" s="3">
        <v>3000</v>
      </c>
      <c r="F1853" t="s">
        <v>84</v>
      </c>
      <c r="G1853" t="s">
        <v>85</v>
      </c>
      <c r="H1853" t="s">
        <v>86</v>
      </c>
      <c r="I1853" s="6" t="s">
        <v>909</v>
      </c>
      <c r="J1853" s="61" t="s">
        <v>22</v>
      </c>
      <c r="L1853" s="5" t="str">
        <f t="shared" si="540"/>
        <v>01852</v>
      </c>
      <c r="M1853" s="47" t="str">
        <f t="shared" si="541"/>
        <v>28 de febrero de 2019</v>
      </c>
      <c r="N1853" s="323">
        <f t="shared" si="542"/>
        <v>28</v>
      </c>
      <c r="O1853" s="25">
        <f t="shared" si="543"/>
        <v>43497</v>
      </c>
      <c r="P1853" s="5" t="str">
        <f t="shared" si="544"/>
        <v>3.000,00</v>
      </c>
      <c r="Q1853" s="4" t="e">
        <f t="shared" ca="1" si="545"/>
        <v>#NAME?</v>
      </c>
    </row>
    <row r="1854" spans="1:17">
      <c r="A1854" s="1">
        <f t="shared" si="527"/>
        <v>1853</v>
      </c>
      <c r="C1854" s="8" t="s">
        <v>17</v>
      </c>
      <c r="D1854" s="2">
        <v>43525</v>
      </c>
      <c r="E1854" s="3">
        <v>3000</v>
      </c>
      <c r="F1854" t="s">
        <v>62</v>
      </c>
      <c r="G1854" t="s">
        <v>63</v>
      </c>
      <c r="H1854" t="s">
        <v>64</v>
      </c>
      <c r="I1854" s="6" t="s">
        <v>897</v>
      </c>
      <c r="J1854" s="61" t="s">
        <v>22</v>
      </c>
      <c r="L1854" s="5" t="str">
        <f t="shared" si="540"/>
        <v>01853</v>
      </c>
      <c r="M1854" s="47" t="str">
        <f t="shared" si="541"/>
        <v>01 de marzo de 2019</v>
      </c>
      <c r="N1854" s="323">
        <f t="shared" si="542"/>
        <v>1</v>
      </c>
      <c r="O1854" s="25">
        <f t="shared" si="543"/>
        <v>43525</v>
      </c>
      <c r="P1854" s="5" t="str">
        <f t="shared" si="544"/>
        <v>3.000,00</v>
      </c>
      <c r="Q1854" s="4" t="e">
        <f t="shared" ca="1" si="545"/>
        <v>#NAME?</v>
      </c>
    </row>
    <row r="1855" spans="1:17">
      <c r="A1855" s="1">
        <f>A1854+1</f>
        <v>1854</v>
      </c>
      <c r="C1855" s="8" t="s">
        <v>17</v>
      </c>
      <c r="D1855" s="2">
        <v>43530</v>
      </c>
      <c r="E1855" s="3">
        <v>3000</v>
      </c>
      <c r="F1855" t="s">
        <v>70</v>
      </c>
      <c r="G1855" t="s">
        <v>71</v>
      </c>
      <c r="H1855" t="s">
        <v>72</v>
      </c>
      <c r="I1855" s="6" t="s">
        <v>909</v>
      </c>
      <c r="J1855" s="61" t="s">
        <v>22</v>
      </c>
      <c r="L1855" s="5" t="str">
        <f t="shared" si="540"/>
        <v>01854</v>
      </c>
      <c r="M1855" s="47" t="str">
        <f t="shared" si="541"/>
        <v>06 de marzo de 2019</v>
      </c>
      <c r="N1855" s="323">
        <f t="shared" si="542"/>
        <v>6</v>
      </c>
      <c r="O1855" s="25">
        <f t="shared" si="543"/>
        <v>43525</v>
      </c>
      <c r="P1855" s="5" t="str">
        <f t="shared" si="544"/>
        <v>3.000,00</v>
      </c>
      <c r="Q1855" s="4" t="e">
        <f t="shared" ca="1" si="545"/>
        <v>#NAME?</v>
      </c>
    </row>
    <row r="1856" spans="1:17">
      <c r="A1856" s="1">
        <f t="shared" ref="A1856:A1875" si="546">A1855+1</f>
        <v>1855</v>
      </c>
      <c r="C1856" s="8" t="s">
        <v>17</v>
      </c>
      <c r="D1856" s="2">
        <v>43530</v>
      </c>
      <c r="E1856" s="3">
        <v>4500</v>
      </c>
      <c r="F1856" t="s">
        <v>107</v>
      </c>
      <c r="G1856" t="s">
        <v>108</v>
      </c>
      <c r="H1856" t="s">
        <v>109</v>
      </c>
      <c r="I1856" s="6" t="s">
        <v>909</v>
      </c>
      <c r="J1856" s="61" t="s">
        <v>22</v>
      </c>
      <c r="L1856" s="5" t="str">
        <f t="shared" si="540"/>
        <v>01855</v>
      </c>
      <c r="M1856" s="47" t="str">
        <f t="shared" si="541"/>
        <v>06 de marzo de 2019</v>
      </c>
      <c r="N1856" s="323">
        <f t="shared" si="542"/>
        <v>6</v>
      </c>
      <c r="O1856" s="25">
        <f t="shared" si="543"/>
        <v>43525</v>
      </c>
      <c r="P1856" s="5" t="str">
        <f t="shared" si="544"/>
        <v>4.500,00</v>
      </c>
      <c r="Q1856" s="4" t="e">
        <f t="shared" ca="1" si="545"/>
        <v>#NAME?</v>
      </c>
    </row>
    <row r="1857" spans="1:17">
      <c r="A1857" s="1">
        <f t="shared" si="546"/>
        <v>1856</v>
      </c>
      <c r="C1857" s="8" t="s">
        <v>17</v>
      </c>
      <c r="D1857" s="2">
        <v>43530</v>
      </c>
      <c r="E1857" s="3">
        <v>3000</v>
      </c>
      <c r="F1857" t="s">
        <v>100</v>
      </c>
      <c r="G1857" t="s">
        <v>95</v>
      </c>
      <c r="H1857" t="s">
        <v>101</v>
      </c>
      <c r="I1857" s="6" t="s">
        <v>917</v>
      </c>
      <c r="J1857" s="61" t="s">
        <v>22</v>
      </c>
      <c r="L1857" s="5" t="str">
        <f t="shared" si="540"/>
        <v>01856</v>
      </c>
      <c r="M1857" s="47" t="str">
        <f t="shared" si="541"/>
        <v>06 de marzo de 2019</v>
      </c>
      <c r="N1857" s="323">
        <f t="shared" si="542"/>
        <v>6</v>
      </c>
      <c r="O1857" s="25">
        <f t="shared" si="543"/>
        <v>43525</v>
      </c>
      <c r="P1857" s="5" t="str">
        <f t="shared" si="544"/>
        <v>3.000,00</v>
      </c>
      <c r="Q1857" s="4" t="e">
        <f t="shared" ca="1" si="545"/>
        <v>#NAME?</v>
      </c>
    </row>
    <row r="1858" spans="1:17">
      <c r="A1858" s="1">
        <f t="shared" si="546"/>
        <v>1857</v>
      </c>
      <c r="C1858" s="8" t="s">
        <v>17</v>
      </c>
      <c r="D1858" s="2">
        <v>43530</v>
      </c>
      <c r="E1858" s="3">
        <v>3000</v>
      </c>
      <c r="F1858" t="s">
        <v>483</v>
      </c>
      <c r="G1858" t="s">
        <v>484</v>
      </c>
      <c r="H1858" t="s">
        <v>485</v>
      </c>
      <c r="I1858" s="6" t="s">
        <v>909</v>
      </c>
      <c r="J1858" s="61" t="s">
        <v>22</v>
      </c>
      <c r="L1858" s="5" t="str">
        <f t="shared" si="540"/>
        <v>01857</v>
      </c>
      <c r="M1858" s="47" t="str">
        <f t="shared" si="541"/>
        <v>06 de marzo de 2019</v>
      </c>
      <c r="N1858" s="323">
        <f t="shared" si="542"/>
        <v>6</v>
      </c>
      <c r="O1858" s="25">
        <f t="shared" si="543"/>
        <v>43525</v>
      </c>
      <c r="P1858" s="5" t="str">
        <f t="shared" si="544"/>
        <v>3.000,00</v>
      </c>
      <c r="Q1858" s="4" t="e">
        <f t="shared" ca="1" si="545"/>
        <v>#NAME?</v>
      </c>
    </row>
    <row r="1859" spans="1:17">
      <c r="A1859" s="1">
        <f t="shared" si="546"/>
        <v>1858</v>
      </c>
      <c r="C1859" s="8" t="s">
        <v>17</v>
      </c>
      <c r="D1859" s="2">
        <v>43530</v>
      </c>
      <c r="E1859" s="3">
        <v>3000</v>
      </c>
      <c r="F1859" t="s">
        <v>230</v>
      </c>
      <c r="G1859" t="s">
        <v>231</v>
      </c>
      <c r="H1859" t="s">
        <v>232</v>
      </c>
      <c r="I1859" s="6" t="s">
        <v>897</v>
      </c>
      <c r="J1859" s="61" t="s">
        <v>22</v>
      </c>
      <c r="L1859" s="5" t="str">
        <f t="shared" si="540"/>
        <v>01858</v>
      </c>
      <c r="M1859" s="47" t="str">
        <f t="shared" si="541"/>
        <v>06 de marzo de 2019</v>
      </c>
      <c r="N1859" s="323">
        <f t="shared" si="542"/>
        <v>6</v>
      </c>
      <c r="O1859" s="25">
        <f t="shared" si="543"/>
        <v>43525</v>
      </c>
      <c r="P1859" s="5" t="str">
        <f t="shared" si="544"/>
        <v>3.000,00</v>
      </c>
      <c r="Q1859" s="4" t="e">
        <f t="shared" ca="1" si="545"/>
        <v>#NAME?</v>
      </c>
    </row>
    <row r="1860" spans="1:17">
      <c r="A1860" s="1">
        <f t="shared" si="546"/>
        <v>1859</v>
      </c>
      <c r="C1860" s="8" t="s">
        <v>17</v>
      </c>
      <c r="D1860" s="2">
        <v>43530</v>
      </c>
      <c r="E1860" s="3">
        <v>3000</v>
      </c>
      <c r="F1860" t="s">
        <v>118</v>
      </c>
      <c r="G1860" t="s">
        <v>119</v>
      </c>
      <c r="H1860" t="s">
        <v>120</v>
      </c>
      <c r="I1860" s="6" t="s">
        <v>897</v>
      </c>
      <c r="J1860" s="61" t="s">
        <v>22</v>
      </c>
      <c r="L1860" s="5" t="str">
        <f t="shared" si="540"/>
        <v>01859</v>
      </c>
      <c r="M1860" s="47" t="str">
        <f t="shared" si="541"/>
        <v>06 de marzo de 2019</v>
      </c>
      <c r="N1860" s="323">
        <f t="shared" si="542"/>
        <v>6</v>
      </c>
      <c r="O1860" s="25">
        <f t="shared" si="543"/>
        <v>43525</v>
      </c>
      <c r="P1860" s="5" t="str">
        <f t="shared" si="544"/>
        <v>3.000,00</v>
      </c>
      <c r="Q1860" s="4" t="e">
        <f t="shared" ca="1" si="545"/>
        <v>#NAME?</v>
      </c>
    </row>
    <row r="1861" spans="1:17">
      <c r="A1861" s="1">
        <f t="shared" si="546"/>
        <v>1860</v>
      </c>
      <c r="C1861" s="8" t="s">
        <v>17</v>
      </c>
      <c r="D1861" s="2">
        <v>43531</v>
      </c>
      <c r="E1861" s="3">
        <v>3000</v>
      </c>
      <c r="F1861" t="s">
        <v>342</v>
      </c>
      <c r="G1861" t="s">
        <v>343</v>
      </c>
      <c r="H1861" t="s">
        <v>344</v>
      </c>
      <c r="I1861" s="6" t="s">
        <v>909</v>
      </c>
      <c r="J1861" s="61" t="s">
        <v>22</v>
      </c>
      <c r="L1861" s="5" t="str">
        <f t="shared" si="540"/>
        <v>01860</v>
      </c>
      <c r="M1861" s="47" t="str">
        <f t="shared" si="541"/>
        <v>07 de marzo de 2019</v>
      </c>
      <c r="N1861" s="323">
        <f t="shared" si="542"/>
        <v>7</v>
      </c>
      <c r="O1861" s="25">
        <f t="shared" si="543"/>
        <v>43525</v>
      </c>
      <c r="P1861" s="5" t="str">
        <f t="shared" si="544"/>
        <v>3.000,00</v>
      </c>
      <c r="Q1861" s="4" t="e">
        <f t="shared" ca="1" si="545"/>
        <v>#NAME?</v>
      </c>
    </row>
    <row r="1862" spans="1:17">
      <c r="A1862" s="1">
        <f t="shared" si="546"/>
        <v>1861</v>
      </c>
      <c r="C1862" s="8" t="s">
        <v>17</v>
      </c>
      <c r="D1862" s="2">
        <v>43523</v>
      </c>
      <c r="E1862" s="3">
        <v>3000</v>
      </c>
      <c r="F1862" t="s">
        <v>843</v>
      </c>
      <c r="G1862" t="s">
        <v>844</v>
      </c>
      <c r="H1862" t="s">
        <v>169</v>
      </c>
      <c r="I1862" s="6" t="s">
        <v>897</v>
      </c>
      <c r="J1862" s="61" t="s">
        <v>22</v>
      </c>
      <c r="L1862" s="5" t="str">
        <f t="shared" si="540"/>
        <v>01861</v>
      </c>
      <c r="M1862" s="47" t="str">
        <f t="shared" si="541"/>
        <v>27 de febrero de 2019</v>
      </c>
      <c r="N1862" s="323">
        <f t="shared" si="542"/>
        <v>27</v>
      </c>
      <c r="O1862" s="25">
        <f t="shared" si="543"/>
        <v>43497</v>
      </c>
      <c r="P1862" s="5" t="str">
        <f t="shared" si="544"/>
        <v>3.000,00</v>
      </c>
      <c r="Q1862" s="4" t="e">
        <f t="shared" ca="1" si="545"/>
        <v>#NAME?</v>
      </c>
    </row>
    <row r="1863" spans="1:17">
      <c r="A1863" s="1">
        <f t="shared" si="546"/>
        <v>1862</v>
      </c>
      <c r="C1863" s="8" t="s">
        <v>17</v>
      </c>
      <c r="D1863" s="2">
        <v>43531</v>
      </c>
      <c r="E1863" s="3">
        <v>3000</v>
      </c>
      <c r="F1863" t="s">
        <v>713</v>
      </c>
      <c r="G1863" t="s">
        <v>714</v>
      </c>
      <c r="H1863" t="s">
        <v>154</v>
      </c>
      <c r="I1863" s="6" t="s">
        <v>909</v>
      </c>
      <c r="J1863" s="61" t="s">
        <v>22</v>
      </c>
      <c r="L1863" s="5" t="str">
        <f t="shared" si="540"/>
        <v>01862</v>
      </c>
      <c r="M1863" s="47" t="str">
        <f t="shared" si="541"/>
        <v>07 de marzo de 2019</v>
      </c>
      <c r="N1863" s="323">
        <f t="shared" si="542"/>
        <v>7</v>
      </c>
      <c r="O1863" s="25">
        <f t="shared" si="543"/>
        <v>43525</v>
      </c>
      <c r="P1863" s="5" t="str">
        <f t="shared" si="544"/>
        <v>3.000,00</v>
      </c>
      <c r="Q1863" s="4" t="e">
        <f t="shared" ca="1" si="545"/>
        <v>#NAME?</v>
      </c>
    </row>
    <row r="1864" spans="1:17">
      <c r="A1864" s="1">
        <f t="shared" si="546"/>
        <v>1863</v>
      </c>
      <c r="C1864" s="8" t="s">
        <v>17</v>
      </c>
      <c r="D1864" s="2">
        <v>43531</v>
      </c>
      <c r="E1864" s="3">
        <v>3000</v>
      </c>
      <c r="F1864" t="s">
        <v>53</v>
      </c>
      <c r="G1864" t="s">
        <v>677</v>
      </c>
      <c r="H1864" t="s">
        <v>55</v>
      </c>
      <c r="I1864" s="6" t="s">
        <v>909</v>
      </c>
      <c r="J1864" s="61" t="s">
        <v>22</v>
      </c>
      <c r="L1864" s="5" t="str">
        <f t="shared" si="540"/>
        <v>01863</v>
      </c>
      <c r="M1864" s="47" t="str">
        <f t="shared" si="541"/>
        <v>07 de marzo de 2019</v>
      </c>
      <c r="N1864" s="323">
        <f t="shared" si="542"/>
        <v>7</v>
      </c>
      <c r="O1864" s="25">
        <f t="shared" si="543"/>
        <v>43525</v>
      </c>
      <c r="P1864" s="5" t="str">
        <f t="shared" si="544"/>
        <v>3.000,00</v>
      </c>
      <c r="Q1864" s="4" t="e">
        <f t="shared" ca="1" si="545"/>
        <v>#NAME?</v>
      </c>
    </row>
    <row r="1865" spans="1:17">
      <c r="A1865" s="1">
        <f t="shared" si="546"/>
        <v>1864</v>
      </c>
      <c r="C1865" s="8" t="s">
        <v>17</v>
      </c>
      <c r="D1865" s="2">
        <v>43532</v>
      </c>
      <c r="E1865" s="3">
        <v>1500</v>
      </c>
      <c r="F1865" t="s">
        <v>412</v>
      </c>
      <c r="G1865" t="s">
        <v>413</v>
      </c>
      <c r="H1865" t="s">
        <v>414</v>
      </c>
      <c r="I1865" s="6" t="s">
        <v>901</v>
      </c>
      <c r="J1865" s="61" t="s">
        <v>22</v>
      </c>
      <c r="L1865" s="5" t="str">
        <f t="shared" si="540"/>
        <v>01864</v>
      </c>
      <c r="M1865" s="47" t="str">
        <f t="shared" si="541"/>
        <v>08 de marzo de 2019</v>
      </c>
      <c r="N1865" s="323">
        <f t="shared" si="542"/>
        <v>8</v>
      </c>
      <c r="O1865" s="25">
        <f t="shared" si="543"/>
        <v>43525</v>
      </c>
      <c r="P1865" s="5" t="str">
        <f t="shared" si="544"/>
        <v>1.500,00</v>
      </c>
      <c r="Q1865" s="4" t="e">
        <f t="shared" ca="1" si="545"/>
        <v>#NAME?</v>
      </c>
    </row>
    <row r="1866" spans="1:17">
      <c r="A1866" s="1">
        <f t="shared" si="546"/>
        <v>1865</v>
      </c>
      <c r="C1866" s="8" t="s">
        <v>17</v>
      </c>
      <c r="D1866" s="2">
        <v>43535</v>
      </c>
      <c r="E1866" s="3">
        <v>3000</v>
      </c>
      <c r="F1866" t="s">
        <v>48</v>
      </c>
      <c r="G1866" t="s">
        <v>49</v>
      </c>
      <c r="H1866" t="s">
        <v>50</v>
      </c>
      <c r="I1866" s="6" t="s">
        <v>909</v>
      </c>
      <c r="J1866" s="61" t="s">
        <v>22</v>
      </c>
      <c r="L1866" s="5" t="str">
        <f t="shared" si="540"/>
        <v>01865</v>
      </c>
      <c r="M1866" s="47" t="str">
        <f t="shared" si="541"/>
        <v>11 de marzo de 2019</v>
      </c>
      <c r="N1866" s="323">
        <f t="shared" si="542"/>
        <v>11</v>
      </c>
      <c r="O1866" s="25">
        <f t="shared" si="543"/>
        <v>43525</v>
      </c>
      <c r="P1866" s="5" t="str">
        <f t="shared" si="544"/>
        <v>3.000,00</v>
      </c>
      <c r="Q1866" s="4" t="e">
        <f t="shared" ca="1" si="545"/>
        <v>#NAME?</v>
      </c>
    </row>
    <row r="1867" spans="1:17">
      <c r="A1867" s="1">
        <f t="shared" si="546"/>
        <v>1866</v>
      </c>
      <c r="C1867" s="8" t="s">
        <v>17</v>
      </c>
      <c r="D1867" s="2">
        <v>43533</v>
      </c>
      <c r="E1867" s="3">
        <v>3000</v>
      </c>
      <c r="F1867" t="s">
        <v>443</v>
      </c>
      <c r="G1867" t="s">
        <v>444</v>
      </c>
      <c r="H1867" t="s">
        <v>75</v>
      </c>
      <c r="I1867" s="6" t="s">
        <v>909</v>
      </c>
      <c r="J1867" s="61" t="s">
        <v>22</v>
      </c>
      <c r="L1867" s="5" t="str">
        <f t="shared" si="540"/>
        <v>01866</v>
      </c>
      <c r="M1867" s="47" t="str">
        <f t="shared" si="541"/>
        <v>09 de marzo de 2019</v>
      </c>
      <c r="N1867" s="323">
        <f t="shared" si="542"/>
        <v>9</v>
      </c>
      <c r="O1867" s="25">
        <f t="shared" si="543"/>
        <v>43525</v>
      </c>
      <c r="P1867" s="5" t="str">
        <f t="shared" si="544"/>
        <v>3.000,00</v>
      </c>
      <c r="Q1867" s="4" t="e">
        <f t="shared" ca="1" si="545"/>
        <v>#NAME?</v>
      </c>
    </row>
    <row r="1868" spans="1:17">
      <c r="A1868" s="1">
        <f t="shared" si="546"/>
        <v>1867</v>
      </c>
      <c r="C1868" s="8" t="s">
        <v>17</v>
      </c>
      <c r="D1868" s="2">
        <v>43535</v>
      </c>
      <c r="E1868" s="3">
        <v>6000</v>
      </c>
      <c r="F1868" t="s">
        <v>66</v>
      </c>
      <c r="G1868" t="s">
        <v>67</v>
      </c>
      <c r="H1868" t="s">
        <v>68</v>
      </c>
      <c r="I1868" s="6" t="s">
        <v>918</v>
      </c>
      <c r="J1868" s="61" t="s">
        <v>22</v>
      </c>
      <c r="L1868" s="5" t="str">
        <f t="shared" si="540"/>
        <v>01867</v>
      </c>
      <c r="M1868" s="47" t="str">
        <f t="shared" si="541"/>
        <v>11 de marzo de 2019</v>
      </c>
      <c r="N1868" s="323">
        <f t="shared" si="542"/>
        <v>11</v>
      </c>
      <c r="O1868" s="25">
        <f t="shared" si="543"/>
        <v>43525</v>
      </c>
      <c r="P1868" s="5" t="str">
        <f t="shared" si="544"/>
        <v>6.000,00</v>
      </c>
      <c r="Q1868" s="4" t="e">
        <f t="shared" ca="1" si="545"/>
        <v>#NAME?</v>
      </c>
    </row>
    <row r="1869" spans="1:17">
      <c r="A1869" s="1">
        <f t="shared" si="546"/>
        <v>1868</v>
      </c>
      <c r="C1869" s="8" t="s">
        <v>17</v>
      </c>
      <c r="D1869" s="2">
        <v>43535</v>
      </c>
      <c r="E1869" s="3">
        <v>3000</v>
      </c>
      <c r="F1869" t="s">
        <v>24</v>
      </c>
      <c r="G1869" t="s">
        <v>25</v>
      </c>
      <c r="H1869" t="s">
        <v>26</v>
      </c>
      <c r="I1869" s="6" t="s">
        <v>909</v>
      </c>
      <c r="J1869" s="61" t="s">
        <v>22</v>
      </c>
      <c r="L1869" s="5" t="str">
        <f t="shared" si="540"/>
        <v>01868</v>
      </c>
      <c r="M1869" s="47" t="str">
        <f t="shared" si="541"/>
        <v>11 de marzo de 2019</v>
      </c>
      <c r="N1869" s="323">
        <f t="shared" si="542"/>
        <v>11</v>
      </c>
      <c r="O1869" s="25">
        <f t="shared" si="543"/>
        <v>43525</v>
      </c>
      <c r="P1869" s="5" t="str">
        <f t="shared" si="544"/>
        <v>3.000,00</v>
      </c>
      <c r="Q1869" s="4" t="e">
        <f t="shared" ca="1" si="545"/>
        <v>#NAME?</v>
      </c>
    </row>
    <row r="1870" spans="1:17" ht="16.5" customHeight="1">
      <c r="A1870" s="1">
        <f t="shared" si="546"/>
        <v>1869</v>
      </c>
      <c r="C1870" s="8" t="s">
        <v>17</v>
      </c>
      <c r="D1870" s="2">
        <v>43536</v>
      </c>
      <c r="E1870" s="3">
        <f>3000*3</f>
        <v>9000</v>
      </c>
      <c r="F1870" t="s">
        <v>219</v>
      </c>
      <c r="G1870" t="s">
        <v>220</v>
      </c>
      <c r="H1870" t="s">
        <v>221</v>
      </c>
      <c r="I1870" s="6" t="s">
        <v>919</v>
      </c>
      <c r="J1870" s="61" t="s">
        <v>22</v>
      </c>
      <c r="L1870" s="5" t="str">
        <f t="shared" si="540"/>
        <v>01869</v>
      </c>
      <c r="M1870" s="47" t="str">
        <f t="shared" si="541"/>
        <v>12 de marzo de 2019</v>
      </c>
      <c r="N1870" s="323">
        <f t="shared" si="542"/>
        <v>12</v>
      </c>
      <c r="O1870" s="25">
        <f t="shared" si="543"/>
        <v>43525</v>
      </c>
      <c r="P1870" s="5" t="str">
        <f t="shared" si="544"/>
        <v>9.000,00</v>
      </c>
      <c r="Q1870" s="4" t="e">
        <f t="shared" ca="1" si="545"/>
        <v>#NAME?</v>
      </c>
    </row>
    <row r="1871" spans="1:17">
      <c r="A1871" s="1">
        <f t="shared" si="546"/>
        <v>1870</v>
      </c>
      <c r="C1871" s="8" t="s">
        <v>17</v>
      </c>
      <c r="D1871" s="2">
        <v>43536</v>
      </c>
      <c r="E1871" s="3">
        <v>3000</v>
      </c>
      <c r="F1871" t="s">
        <v>18</v>
      </c>
      <c r="G1871" t="s">
        <v>19</v>
      </c>
      <c r="H1871" t="s">
        <v>20</v>
      </c>
      <c r="I1871" s="6" t="s">
        <v>920</v>
      </c>
      <c r="J1871" s="61" t="s">
        <v>22</v>
      </c>
      <c r="L1871" s="5" t="str">
        <f t="shared" si="540"/>
        <v>01870</v>
      </c>
      <c r="M1871" s="47" t="str">
        <f t="shared" si="541"/>
        <v>12 de marzo de 2019</v>
      </c>
      <c r="N1871" s="323">
        <f t="shared" si="542"/>
        <v>12</v>
      </c>
      <c r="O1871" s="25">
        <f t="shared" si="543"/>
        <v>43525</v>
      </c>
      <c r="P1871" s="5" t="str">
        <f t="shared" si="544"/>
        <v>3.000,00</v>
      </c>
      <c r="Q1871" s="4" t="e">
        <f t="shared" ca="1" si="545"/>
        <v>#NAME?</v>
      </c>
    </row>
    <row r="1872" spans="1:17">
      <c r="A1872" s="1">
        <f t="shared" si="546"/>
        <v>1871</v>
      </c>
      <c r="C1872" s="8" t="s">
        <v>17</v>
      </c>
      <c r="D1872" s="2">
        <v>43536</v>
      </c>
      <c r="E1872" s="3">
        <v>3000</v>
      </c>
      <c r="F1872" t="s">
        <v>771</v>
      </c>
      <c r="G1872" t="s">
        <v>772</v>
      </c>
      <c r="H1872" t="s">
        <v>773</v>
      </c>
      <c r="I1872" s="6" t="s">
        <v>921</v>
      </c>
      <c r="J1872" s="61" t="s">
        <v>22</v>
      </c>
      <c r="L1872" s="5" t="str">
        <f t="shared" si="540"/>
        <v>01871</v>
      </c>
      <c r="M1872" s="47" t="str">
        <f t="shared" si="541"/>
        <v>12 de marzo de 2019</v>
      </c>
      <c r="N1872" s="323">
        <f t="shared" si="542"/>
        <v>12</v>
      </c>
      <c r="O1872" s="25">
        <f t="shared" si="543"/>
        <v>43525</v>
      </c>
      <c r="P1872" s="5" t="str">
        <f t="shared" si="544"/>
        <v>3.000,00</v>
      </c>
      <c r="Q1872" s="4" t="e">
        <f t="shared" ca="1" si="545"/>
        <v>#NAME?</v>
      </c>
    </row>
    <row r="1873" spans="1:17">
      <c r="A1873" s="1">
        <f t="shared" si="546"/>
        <v>1872</v>
      </c>
      <c r="C1873" s="8" t="s">
        <v>17</v>
      </c>
      <c r="D1873" s="2">
        <v>43536</v>
      </c>
      <c r="E1873" s="3">
        <v>3000</v>
      </c>
      <c r="F1873" t="s">
        <v>438</v>
      </c>
      <c r="G1873" t="s">
        <v>439</v>
      </c>
      <c r="H1873" t="s">
        <v>440</v>
      </c>
      <c r="I1873" s="6" t="s">
        <v>922</v>
      </c>
      <c r="J1873" s="61" t="s">
        <v>22</v>
      </c>
      <c r="L1873" s="5" t="str">
        <f t="shared" si="540"/>
        <v>01872</v>
      </c>
      <c r="M1873" s="47" t="str">
        <f t="shared" si="541"/>
        <v>12 de marzo de 2019</v>
      </c>
      <c r="N1873" s="323">
        <f t="shared" si="542"/>
        <v>12</v>
      </c>
      <c r="O1873" s="25">
        <f t="shared" si="543"/>
        <v>43525</v>
      </c>
      <c r="P1873" s="5" t="str">
        <f t="shared" si="544"/>
        <v>3.000,00</v>
      </c>
      <c r="Q1873" s="4" t="e">
        <f t="shared" ca="1" si="545"/>
        <v>#NAME?</v>
      </c>
    </row>
    <row r="1874" spans="1:17">
      <c r="A1874" s="1">
        <f t="shared" si="546"/>
        <v>1873</v>
      </c>
      <c r="C1874" s="8" t="s">
        <v>17</v>
      </c>
      <c r="D1874" s="2">
        <v>43536</v>
      </c>
      <c r="E1874" s="3">
        <v>3500</v>
      </c>
      <c r="F1874" t="s">
        <v>126</v>
      </c>
      <c r="G1874" t="s">
        <v>127</v>
      </c>
      <c r="H1874" t="s">
        <v>128</v>
      </c>
      <c r="I1874" s="6" t="s">
        <v>923</v>
      </c>
      <c r="J1874" s="61" t="s">
        <v>22</v>
      </c>
      <c r="L1874" s="5" t="str">
        <f t="shared" si="540"/>
        <v>01873</v>
      </c>
      <c r="M1874" s="47" t="str">
        <f t="shared" si="541"/>
        <v>12 de marzo de 2019</v>
      </c>
      <c r="N1874" s="323">
        <f t="shared" si="542"/>
        <v>12</v>
      </c>
      <c r="O1874" s="25">
        <f t="shared" si="543"/>
        <v>43525</v>
      </c>
      <c r="P1874" s="5" t="str">
        <f t="shared" si="544"/>
        <v>3.500,00</v>
      </c>
      <c r="Q1874" s="4" t="e">
        <f t="shared" ca="1" si="545"/>
        <v>#NAME?</v>
      </c>
    </row>
    <row r="1875" spans="1:17">
      <c r="A1875" s="1">
        <f t="shared" si="546"/>
        <v>1874</v>
      </c>
      <c r="C1875" s="8" t="s">
        <v>17</v>
      </c>
      <c r="D1875" s="2">
        <v>43537</v>
      </c>
      <c r="E1875" s="3">
        <v>3000</v>
      </c>
      <c r="F1875" t="s">
        <v>181</v>
      </c>
      <c r="G1875" t="s">
        <v>182</v>
      </c>
      <c r="H1875" t="s">
        <v>183</v>
      </c>
      <c r="I1875" s="6" t="s">
        <v>909</v>
      </c>
      <c r="J1875" s="61" t="s">
        <v>22</v>
      </c>
      <c r="L1875" s="5" t="str">
        <f t="shared" si="540"/>
        <v>01874</v>
      </c>
      <c r="M1875" s="47" t="str">
        <f t="shared" si="541"/>
        <v>13 de marzo de 2019</v>
      </c>
      <c r="N1875" s="323">
        <f t="shared" si="542"/>
        <v>13</v>
      </c>
      <c r="O1875" s="25">
        <f t="shared" si="543"/>
        <v>43525</v>
      </c>
      <c r="P1875" s="5" t="str">
        <f t="shared" si="544"/>
        <v>3.000,00</v>
      </c>
      <c r="Q1875" s="4" t="e">
        <f t="shared" ca="1" si="545"/>
        <v>#NAME?</v>
      </c>
    </row>
    <row r="1876" spans="1:17">
      <c r="A1876" s="1">
        <f>A1875+1</f>
        <v>1875</v>
      </c>
      <c r="C1876" s="8" t="s">
        <v>17</v>
      </c>
      <c r="D1876" s="2">
        <v>43537</v>
      </c>
      <c r="E1876" s="3">
        <v>3000</v>
      </c>
      <c r="F1876" t="s">
        <v>36</v>
      </c>
      <c r="G1876" t="s">
        <v>37</v>
      </c>
      <c r="H1876" t="s">
        <v>38</v>
      </c>
      <c r="I1876" s="6" t="s">
        <v>909</v>
      </c>
      <c r="J1876" s="61" t="s">
        <v>22</v>
      </c>
      <c r="L1876" s="5" t="str">
        <f t="shared" si="540"/>
        <v>01875</v>
      </c>
      <c r="M1876" s="47" t="str">
        <f t="shared" si="541"/>
        <v>13 de marzo de 2019</v>
      </c>
      <c r="N1876" s="323">
        <f t="shared" si="542"/>
        <v>13</v>
      </c>
      <c r="O1876" s="25">
        <f t="shared" si="543"/>
        <v>43525</v>
      </c>
      <c r="P1876" s="5" t="str">
        <f t="shared" si="544"/>
        <v>3.000,00</v>
      </c>
      <c r="Q1876" s="4" t="e">
        <f t="shared" ca="1" si="545"/>
        <v>#NAME?</v>
      </c>
    </row>
    <row r="1877" spans="1:17">
      <c r="A1877" s="1">
        <f t="shared" ref="A1877:A1908" si="547">A1876+1</f>
        <v>1876</v>
      </c>
      <c r="C1877" s="8" t="s">
        <v>17</v>
      </c>
      <c r="D1877" s="2">
        <v>43537</v>
      </c>
      <c r="E1877" s="3">
        <v>3000</v>
      </c>
      <c r="F1877" t="s">
        <v>211</v>
      </c>
      <c r="G1877" t="s">
        <v>212</v>
      </c>
      <c r="H1877" t="s">
        <v>213</v>
      </c>
      <c r="I1877" s="6" t="s">
        <v>909</v>
      </c>
      <c r="J1877" s="61" t="s">
        <v>22</v>
      </c>
      <c r="L1877" s="5" t="str">
        <f t="shared" si="540"/>
        <v>01876</v>
      </c>
      <c r="M1877" s="47" t="str">
        <f t="shared" si="541"/>
        <v>13 de marzo de 2019</v>
      </c>
      <c r="N1877" s="323">
        <f t="shared" si="542"/>
        <v>13</v>
      </c>
      <c r="O1877" s="25">
        <f t="shared" si="543"/>
        <v>43525</v>
      </c>
      <c r="P1877" s="5" t="str">
        <f t="shared" si="544"/>
        <v>3.000,00</v>
      </c>
      <c r="Q1877" s="4" t="e">
        <f t="shared" ca="1" si="545"/>
        <v>#NAME?</v>
      </c>
    </row>
    <row r="1878" spans="1:17">
      <c r="A1878" s="1">
        <f t="shared" si="547"/>
        <v>1877</v>
      </c>
      <c r="C1878" s="8" t="s">
        <v>17</v>
      </c>
      <c r="D1878" s="2">
        <v>43538</v>
      </c>
      <c r="E1878" s="3">
        <v>6000</v>
      </c>
      <c r="F1878" t="s">
        <v>138</v>
      </c>
      <c r="G1878" t="s">
        <v>139</v>
      </c>
      <c r="H1878" t="s">
        <v>140</v>
      </c>
      <c r="I1878" s="6" t="s">
        <v>918</v>
      </c>
      <c r="J1878" s="61" t="s">
        <v>22</v>
      </c>
      <c r="L1878" s="5" t="str">
        <f t="shared" si="540"/>
        <v>01877</v>
      </c>
      <c r="M1878" s="47" t="str">
        <f t="shared" si="541"/>
        <v>14 de marzo de 2019</v>
      </c>
      <c r="N1878" s="323">
        <f t="shared" si="542"/>
        <v>14</v>
      </c>
      <c r="O1878" s="25">
        <f t="shared" si="543"/>
        <v>43525</v>
      </c>
      <c r="P1878" s="5" t="str">
        <f t="shared" si="544"/>
        <v>6.000,00</v>
      </c>
      <c r="Q1878" s="4" t="e">
        <f t="shared" ca="1" si="545"/>
        <v>#NAME?</v>
      </c>
    </row>
    <row r="1879" spans="1:17">
      <c r="A1879" s="1">
        <f t="shared" si="547"/>
        <v>1878</v>
      </c>
      <c r="C1879" s="8" t="s">
        <v>17</v>
      </c>
      <c r="D1879" s="2">
        <v>43538</v>
      </c>
      <c r="E1879" s="3">
        <v>3000</v>
      </c>
      <c r="F1879" t="s">
        <v>454</v>
      </c>
      <c r="G1879" t="s">
        <v>761</v>
      </c>
      <c r="H1879" t="s">
        <v>455</v>
      </c>
      <c r="I1879" s="6" t="s">
        <v>909</v>
      </c>
      <c r="J1879" s="61" t="s">
        <v>22</v>
      </c>
      <c r="L1879" s="5" t="str">
        <f t="shared" si="540"/>
        <v>01878</v>
      </c>
      <c r="M1879" s="47" t="str">
        <f t="shared" si="541"/>
        <v>14 de marzo de 2019</v>
      </c>
      <c r="N1879" s="323">
        <f t="shared" si="542"/>
        <v>14</v>
      </c>
      <c r="O1879" s="25">
        <f t="shared" si="543"/>
        <v>43525</v>
      </c>
      <c r="P1879" s="5" t="str">
        <f t="shared" si="544"/>
        <v>3.000,00</v>
      </c>
      <c r="Q1879" s="4" t="e">
        <f t="shared" ca="1" si="545"/>
        <v>#NAME?</v>
      </c>
    </row>
    <row r="1880" spans="1:17">
      <c r="A1880" s="1">
        <f t="shared" si="547"/>
        <v>1879</v>
      </c>
      <c r="C1880" s="8" t="s">
        <v>17</v>
      </c>
      <c r="D1880" s="2">
        <v>43539</v>
      </c>
      <c r="E1880" s="3">
        <f>316+320*2+800+3000</f>
        <v>4756</v>
      </c>
      <c r="F1880" t="s">
        <v>252</v>
      </c>
      <c r="G1880" t="s">
        <v>253</v>
      </c>
      <c r="H1880" t="s">
        <v>254</v>
      </c>
      <c r="I1880" t="s">
        <v>924</v>
      </c>
      <c r="J1880" s="61" t="s">
        <v>22</v>
      </c>
      <c r="L1880" s="5" t="str">
        <f t="shared" si="540"/>
        <v>01879</v>
      </c>
      <c r="M1880" s="47" t="str">
        <f t="shared" si="541"/>
        <v>15 de marzo de 2019</v>
      </c>
      <c r="N1880" s="323">
        <f t="shared" si="542"/>
        <v>15</v>
      </c>
      <c r="O1880" s="25">
        <f t="shared" si="543"/>
        <v>43525</v>
      </c>
      <c r="P1880" s="5" t="str">
        <f t="shared" si="544"/>
        <v>4.756,00</v>
      </c>
      <c r="Q1880" s="4" t="e">
        <f t="shared" ca="1" si="545"/>
        <v>#NAME?</v>
      </c>
    </row>
    <row r="1881" spans="1:17" ht="15.75" thickBot="1">
      <c r="A1881" s="1">
        <f t="shared" si="547"/>
        <v>1880</v>
      </c>
      <c r="C1881" s="8" t="s">
        <v>17</v>
      </c>
      <c r="D1881" s="2">
        <v>43539</v>
      </c>
      <c r="E1881" s="3">
        <v>3000</v>
      </c>
      <c r="F1881" t="s">
        <v>130</v>
      </c>
      <c r="G1881" t="s">
        <v>131</v>
      </c>
      <c r="H1881" t="s">
        <v>132</v>
      </c>
      <c r="I1881" s="6" t="s">
        <v>909</v>
      </c>
      <c r="J1881" s="61" t="s">
        <v>22</v>
      </c>
      <c r="L1881" s="5" t="str">
        <f t="shared" si="540"/>
        <v>01880</v>
      </c>
      <c r="M1881" s="47" t="str">
        <f t="shared" si="541"/>
        <v>15 de marzo de 2019</v>
      </c>
      <c r="N1881" s="323">
        <f t="shared" si="542"/>
        <v>15</v>
      </c>
      <c r="O1881" s="25">
        <f t="shared" si="543"/>
        <v>43525</v>
      </c>
      <c r="P1881" s="5" t="str">
        <f t="shared" si="544"/>
        <v>3.000,00</v>
      </c>
      <c r="Q1881" s="4" t="e">
        <f t="shared" ca="1" si="545"/>
        <v>#NAME?</v>
      </c>
    </row>
    <row r="1882" spans="1:17" ht="15.75" thickBot="1">
      <c r="A1882" s="1">
        <f t="shared" si="547"/>
        <v>1881</v>
      </c>
      <c r="C1882" s="85" t="s">
        <v>17</v>
      </c>
      <c r="D1882" s="2">
        <v>43539</v>
      </c>
      <c r="E1882" s="3">
        <v>6000</v>
      </c>
      <c r="F1882" t="s">
        <v>40</v>
      </c>
      <c r="G1882" s="18" t="s">
        <v>58</v>
      </c>
      <c r="H1882" t="s">
        <v>42</v>
      </c>
      <c r="I1882" s="6" t="s">
        <v>925</v>
      </c>
      <c r="J1882" s="61" t="s">
        <v>22</v>
      </c>
      <c r="L1882" s="5" t="str">
        <f t="shared" si="540"/>
        <v>01881</v>
      </c>
      <c r="M1882" s="47" t="str">
        <f t="shared" si="541"/>
        <v>15 de marzo de 2019</v>
      </c>
      <c r="N1882" s="323">
        <f t="shared" si="542"/>
        <v>15</v>
      </c>
      <c r="O1882" s="25">
        <f t="shared" si="543"/>
        <v>43525</v>
      </c>
      <c r="P1882" s="5" t="str">
        <f t="shared" si="544"/>
        <v>6.000,00</v>
      </c>
      <c r="Q1882" s="4" t="e">
        <f t="shared" ca="1" si="545"/>
        <v>#NAME?</v>
      </c>
    </row>
    <row r="1883" spans="1:17" ht="15.75" thickBot="1">
      <c r="A1883" s="1">
        <f t="shared" si="547"/>
        <v>1882</v>
      </c>
      <c r="C1883" s="8" t="s">
        <v>17</v>
      </c>
      <c r="D1883" s="2">
        <v>43542</v>
      </c>
      <c r="E1883" s="3">
        <v>3000</v>
      </c>
      <c r="F1883" t="s">
        <v>201</v>
      </c>
      <c r="G1883" t="s">
        <v>202</v>
      </c>
      <c r="H1883" t="s">
        <v>203</v>
      </c>
      <c r="I1883" s="6" t="s">
        <v>909</v>
      </c>
      <c r="J1883" s="61" t="s">
        <v>22</v>
      </c>
      <c r="L1883" s="5" t="str">
        <f t="shared" si="540"/>
        <v>01882</v>
      </c>
      <c r="M1883" s="47" t="str">
        <f t="shared" si="541"/>
        <v>18 de marzo de 2019</v>
      </c>
      <c r="N1883" s="323">
        <f t="shared" si="542"/>
        <v>18</v>
      </c>
      <c r="O1883" s="25">
        <f t="shared" si="543"/>
        <v>43525</v>
      </c>
      <c r="P1883" s="5" t="str">
        <f t="shared" si="544"/>
        <v>3.000,00</v>
      </c>
      <c r="Q1883" s="4" t="e">
        <f t="shared" ca="1" si="545"/>
        <v>#NAME?</v>
      </c>
    </row>
    <row r="1884" spans="1:17" ht="15.75" thickBot="1">
      <c r="A1884" s="1">
        <f t="shared" si="547"/>
        <v>1883</v>
      </c>
      <c r="C1884" s="85" t="s">
        <v>17</v>
      </c>
      <c r="D1884" s="2">
        <v>43543</v>
      </c>
      <c r="E1884" s="3">
        <f>4350*2</f>
        <v>8700</v>
      </c>
      <c r="F1884" s="23" t="s">
        <v>422</v>
      </c>
      <c r="G1884" s="18" t="s">
        <v>58</v>
      </c>
      <c r="H1884" t="s">
        <v>423</v>
      </c>
      <c r="I1884" s="6" t="s">
        <v>912</v>
      </c>
      <c r="J1884" s="61" t="s">
        <v>22</v>
      </c>
      <c r="L1884" s="5" t="str">
        <f t="shared" si="540"/>
        <v>01883</v>
      </c>
      <c r="M1884" s="47" t="str">
        <f t="shared" si="541"/>
        <v>19 de marzo de 2019</v>
      </c>
      <c r="N1884" s="323">
        <f t="shared" si="542"/>
        <v>19</v>
      </c>
      <c r="O1884" s="25">
        <f t="shared" si="543"/>
        <v>43525</v>
      </c>
      <c r="P1884" s="5" t="str">
        <f t="shared" si="544"/>
        <v>8.700,00</v>
      </c>
      <c r="Q1884" s="4" t="e">
        <f t="shared" ca="1" si="545"/>
        <v>#NAME?</v>
      </c>
    </row>
    <row r="1885" spans="1:17">
      <c r="A1885" s="1">
        <f t="shared" si="547"/>
        <v>1884</v>
      </c>
      <c r="C1885" s="8" t="s">
        <v>17</v>
      </c>
      <c r="D1885" s="2">
        <v>43512</v>
      </c>
      <c r="E1885" s="3">
        <v>3000</v>
      </c>
      <c r="F1885" t="s">
        <v>126</v>
      </c>
      <c r="G1885" t="s">
        <v>127</v>
      </c>
      <c r="H1885" t="s">
        <v>128</v>
      </c>
      <c r="I1885" s="6" t="s">
        <v>897</v>
      </c>
      <c r="J1885" s="61" t="s">
        <v>22</v>
      </c>
      <c r="L1885" s="5" t="str">
        <f t="shared" si="540"/>
        <v>01884</v>
      </c>
      <c r="M1885" s="47" t="str">
        <f t="shared" si="541"/>
        <v>16 de febrero de 2019</v>
      </c>
      <c r="N1885" s="323">
        <f t="shared" si="542"/>
        <v>16</v>
      </c>
      <c r="O1885" s="25">
        <f t="shared" si="543"/>
        <v>43497</v>
      </c>
      <c r="P1885" s="5" t="str">
        <f t="shared" si="544"/>
        <v>3.000,00</v>
      </c>
      <c r="Q1885" s="4" t="e">
        <f t="shared" ca="1" si="545"/>
        <v>#NAME?</v>
      </c>
    </row>
    <row r="1886" spans="1:17">
      <c r="A1886" s="1">
        <f t="shared" si="547"/>
        <v>1885</v>
      </c>
      <c r="C1886" s="8" t="s">
        <v>17</v>
      </c>
      <c r="D1886" s="2">
        <v>43455</v>
      </c>
      <c r="E1886" s="3">
        <v>800</v>
      </c>
      <c r="F1886" t="s">
        <v>594</v>
      </c>
      <c r="G1886" t="s">
        <v>595</v>
      </c>
      <c r="H1886" t="s">
        <v>596</v>
      </c>
      <c r="I1886" s="161" t="s">
        <v>861</v>
      </c>
      <c r="J1886" s="61" t="s">
        <v>22</v>
      </c>
      <c r="L1886" s="5" t="str">
        <f t="shared" si="540"/>
        <v>01885</v>
      </c>
      <c r="M1886" s="47" t="str">
        <f t="shared" si="541"/>
        <v>21 de diciembre de 2018</v>
      </c>
      <c r="N1886" s="323">
        <f t="shared" si="542"/>
        <v>21</v>
      </c>
      <c r="O1886" s="25">
        <f t="shared" si="543"/>
        <v>43435</v>
      </c>
      <c r="P1886" s="5" t="str">
        <f t="shared" si="544"/>
        <v>800,00</v>
      </c>
      <c r="Q1886" s="4" t="e">
        <f t="shared" ca="1" si="545"/>
        <v>#NAME?</v>
      </c>
    </row>
    <row r="1887" spans="1:17">
      <c r="A1887" s="1">
        <f t="shared" si="547"/>
        <v>1886</v>
      </c>
      <c r="C1887" s="8" t="s">
        <v>17</v>
      </c>
      <c r="D1887" s="2">
        <v>43544</v>
      </c>
      <c r="E1887" s="3">
        <v>3000</v>
      </c>
      <c r="F1887" t="s">
        <v>134</v>
      </c>
      <c r="G1887" t="s">
        <v>135</v>
      </c>
      <c r="H1887" t="s">
        <v>136</v>
      </c>
      <c r="I1887" s="6" t="s">
        <v>909</v>
      </c>
      <c r="J1887" s="61" t="s">
        <v>22</v>
      </c>
      <c r="L1887" s="5" t="str">
        <f t="shared" si="540"/>
        <v>01886</v>
      </c>
      <c r="M1887" s="47" t="str">
        <f t="shared" si="541"/>
        <v>20 de marzo de 2019</v>
      </c>
      <c r="N1887" s="323">
        <f t="shared" si="542"/>
        <v>20</v>
      </c>
      <c r="O1887" s="25">
        <f t="shared" si="543"/>
        <v>43525</v>
      </c>
      <c r="P1887" s="5" t="str">
        <f t="shared" si="544"/>
        <v>3.000,00</v>
      </c>
      <c r="Q1887" s="4" t="e">
        <f t="shared" ca="1" si="545"/>
        <v>#NAME?</v>
      </c>
    </row>
    <row r="1888" spans="1:17">
      <c r="A1888" s="1">
        <f t="shared" si="547"/>
        <v>1887</v>
      </c>
      <c r="C1888" s="8" t="s">
        <v>17</v>
      </c>
      <c r="D1888" s="2">
        <v>43538</v>
      </c>
      <c r="E1888" s="3">
        <v>5000</v>
      </c>
      <c r="F1888" t="s">
        <v>558</v>
      </c>
      <c r="G1888" t="s">
        <v>559</v>
      </c>
      <c r="H1888" t="s">
        <v>560</v>
      </c>
      <c r="I1888" s="6" t="s">
        <v>894</v>
      </c>
      <c r="J1888" s="61" t="s">
        <v>22</v>
      </c>
      <c r="L1888" s="5" t="str">
        <f t="shared" si="540"/>
        <v>01887</v>
      </c>
      <c r="M1888" s="47" t="str">
        <f t="shared" si="541"/>
        <v>14 de marzo de 2019</v>
      </c>
      <c r="N1888" s="323">
        <f t="shared" si="542"/>
        <v>14</v>
      </c>
      <c r="O1888" s="25">
        <f t="shared" si="543"/>
        <v>43525</v>
      </c>
      <c r="P1888" s="5" t="str">
        <f t="shared" si="544"/>
        <v>5.000,00</v>
      </c>
      <c r="Q1888" s="4" t="e">
        <f t="shared" ca="1" si="545"/>
        <v>#NAME?</v>
      </c>
    </row>
    <row r="1889" spans="1:17">
      <c r="A1889" s="1">
        <f t="shared" si="547"/>
        <v>1888</v>
      </c>
      <c r="C1889" s="8" t="s">
        <v>17</v>
      </c>
      <c r="D1889" s="2">
        <v>43545</v>
      </c>
      <c r="E1889" s="3">
        <v>3150</v>
      </c>
      <c r="F1889" t="s">
        <v>558</v>
      </c>
      <c r="G1889" t="s">
        <v>559</v>
      </c>
      <c r="H1889" t="s">
        <v>560</v>
      </c>
      <c r="I1889" s="6" t="s">
        <v>926</v>
      </c>
      <c r="J1889" s="61" t="s">
        <v>22</v>
      </c>
      <c r="L1889" s="5" t="str">
        <f t="shared" ref="L1889:L1924" si="548">IF(ISBLANK(A1889),"",TEXT(A1889,"00000"))</f>
        <v>01888</v>
      </c>
      <c r="M1889" s="47" t="str">
        <f t="shared" ref="M1889:M1924" si="549">IF(ISBLANK(D1889),"",TEXT(D1889,"dd")&amp;" de "&amp;TEXT(D1889,"mmmm")&amp;" de "&amp;TEXT(YEAR(D1889),"0"))</f>
        <v>21 de marzo de 2019</v>
      </c>
      <c r="N1889" s="323">
        <f t="shared" ref="N1889:N1924" si="550">DAY(D1889)</f>
        <v>21</v>
      </c>
      <c r="O1889" s="25">
        <f t="shared" ref="O1889:O1924" si="551">DATE(YEAR(D1889),MONTH(D1889),1)</f>
        <v>43525</v>
      </c>
      <c r="P1889" s="5" t="str">
        <f t="shared" ref="P1889:P1924" si="552">TEXT(E1889,"#.##0,00")</f>
        <v>3.150,00</v>
      </c>
      <c r="Q1889" s="4" t="e">
        <f t="shared" ref="Q1889:Q1895" ca="1" si="553">CONVERTIRNUM(E1889)</f>
        <v>#NAME?</v>
      </c>
    </row>
    <row r="1890" spans="1:17">
      <c r="A1890" s="1">
        <f t="shared" si="547"/>
        <v>1889</v>
      </c>
      <c r="C1890" s="8" t="s">
        <v>17</v>
      </c>
      <c r="D1890" s="2">
        <v>43545</v>
      </c>
      <c r="E1890" s="3">
        <v>3000</v>
      </c>
      <c r="F1890" t="s">
        <v>633</v>
      </c>
      <c r="G1890" t="s">
        <v>634</v>
      </c>
      <c r="H1890" t="s">
        <v>635</v>
      </c>
      <c r="I1890" s="6" t="s">
        <v>909</v>
      </c>
      <c r="J1890" s="61" t="s">
        <v>22</v>
      </c>
      <c r="L1890" s="5" t="str">
        <f t="shared" si="548"/>
        <v>01889</v>
      </c>
      <c r="M1890" s="47" t="str">
        <f t="shared" si="549"/>
        <v>21 de marzo de 2019</v>
      </c>
      <c r="N1890" s="323">
        <f t="shared" si="550"/>
        <v>21</v>
      </c>
      <c r="O1890" s="25">
        <f t="shared" si="551"/>
        <v>43525</v>
      </c>
      <c r="P1890" s="5" t="str">
        <f t="shared" si="552"/>
        <v>3.000,00</v>
      </c>
      <c r="Q1890" s="4" t="e">
        <f t="shared" ca="1" si="553"/>
        <v>#NAME?</v>
      </c>
    </row>
    <row r="1891" spans="1:17">
      <c r="A1891" s="1">
        <f t="shared" si="547"/>
        <v>1890</v>
      </c>
      <c r="C1891" s="8" t="s">
        <v>17</v>
      </c>
      <c r="D1891" s="2">
        <v>43546</v>
      </c>
      <c r="E1891" s="3">
        <v>3000</v>
      </c>
      <c r="F1891" t="s">
        <v>103</v>
      </c>
      <c r="G1891" t="s">
        <v>104</v>
      </c>
      <c r="H1891" t="s">
        <v>105</v>
      </c>
      <c r="I1891" s="6" t="s">
        <v>909</v>
      </c>
      <c r="J1891" s="61" t="s">
        <v>22</v>
      </c>
      <c r="L1891" s="5" t="str">
        <f t="shared" si="548"/>
        <v>01890</v>
      </c>
      <c r="M1891" s="47" t="str">
        <f t="shared" si="549"/>
        <v>22 de marzo de 2019</v>
      </c>
      <c r="N1891" s="323">
        <f t="shared" si="550"/>
        <v>22</v>
      </c>
      <c r="O1891" s="25">
        <f t="shared" si="551"/>
        <v>43525</v>
      </c>
      <c r="P1891" s="5" t="str">
        <f t="shared" si="552"/>
        <v>3.000,00</v>
      </c>
      <c r="Q1891" s="4" t="e">
        <f t="shared" ca="1" si="553"/>
        <v>#NAME?</v>
      </c>
    </row>
    <row r="1892" spans="1:17">
      <c r="A1892" s="1">
        <f t="shared" si="547"/>
        <v>1891</v>
      </c>
      <c r="C1892" s="8" t="s">
        <v>17</v>
      </c>
      <c r="D1892" s="2">
        <v>43547</v>
      </c>
      <c r="E1892" s="3">
        <v>3000</v>
      </c>
      <c r="F1892" t="s">
        <v>362</v>
      </c>
      <c r="G1892" t="s">
        <v>363</v>
      </c>
      <c r="H1892" t="s">
        <v>364</v>
      </c>
      <c r="I1892" s="6" t="s">
        <v>909</v>
      </c>
      <c r="J1892" s="61" t="s">
        <v>22</v>
      </c>
      <c r="L1892" s="5" t="str">
        <f t="shared" si="548"/>
        <v>01891</v>
      </c>
      <c r="M1892" s="47" t="str">
        <f t="shared" si="549"/>
        <v>23 de marzo de 2019</v>
      </c>
      <c r="N1892" s="323">
        <f t="shared" si="550"/>
        <v>23</v>
      </c>
      <c r="O1892" s="25">
        <f t="shared" si="551"/>
        <v>43525</v>
      </c>
      <c r="P1892" s="5" t="str">
        <f t="shared" si="552"/>
        <v>3.000,00</v>
      </c>
      <c r="Q1892" s="4" t="e">
        <f t="shared" ca="1" si="553"/>
        <v>#NAME?</v>
      </c>
    </row>
    <row r="1893" spans="1:17">
      <c r="A1893" s="1">
        <f t="shared" si="547"/>
        <v>1892</v>
      </c>
      <c r="C1893" s="8" t="s">
        <v>17</v>
      </c>
      <c r="D1893" s="2">
        <v>43552</v>
      </c>
      <c r="E1893" s="3">
        <v>3000</v>
      </c>
      <c r="F1893" t="s">
        <v>312</v>
      </c>
      <c r="G1893" t="s">
        <v>313</v>
      </c>
      <c r="H1893" t="s">
        <v>314</v>
      </c>
      <c r="I1893" s="6" t="s">
        <v>909</v>
      </c>
      <c r="J1893" s="61" t="s">
        <v>22</v>
      </c>
      <c r="L1893" s="5" t="str">
        <f t="shared" si="548"/>
        <v>01892</v>
      </c>
      <c r="M1893" s="47" t="str">
        <f t="shared" si="549"/>
        <v>28 de marzo de 2019</v>
      </c>
      <c r="N1893" s="323">
        <f t="shared" si="550"/>
        <v>28</v>
      </c>
      <c r="O1893" s="25">
        <f t="shared" si="551"/>
        <v>43525</v>
      </c>
      <c r="P1893" s="5" t="str">
        <f t="shared" si="552"/>
        <v>3.000,00</v>
      </c>
      <c r="Q1893" s="4" t="e">
        <f t="shared" ca="1" si="553"/>
        <v>#NAME?</v>
      </c>
    </row>
    <row r="1894" spans="1:17">
      <c r="A1894" s="1">
        <f t="shared" si="547"/>
        <v>1893</v>
      </c>
      <c r="C1894" s="8" t="s">
        <v>17</v>
      </c>
      <c r="D1894" s="2">
        <v>43552</v>
      </c>
      <c r="E1894" s="3">
        <v>3000</v>
      </c>
      <c r="F1894" t="s">
        <v>118</v>
      </c>
      <c r="G1894" t="s">
        <v>119</v>
      </c>
      <c r="H1894" t="s">
        <v>120</v>
      </c>
      <c r="I1894" s="6" t="s">
        <v>909</v>
      </c>
      <c r="J1894" s="61" t="s">
        <v>22</v>
      </c>
      <c r="L1894" s="5" t="str">
        <f t="shared" si="548"/>
        <v>01893</v>
      </c>
      <c r="M1894" s="47" t="str">
        <f t="shared" si="549"/>
        <v>28 de marzo de 2019</v>
      </c>
      <c r="N1894" s="323">
        <f t="shared" si="550"/>
        <v>28</v>
      </c>
      <c r="O1894" s="25">
        <f t="shared" si="551"/>
        <v>43525</v>
      </c>
      <c r="P1894" s="5" t="str">
        <f t="shared" si="552"/>
        <v>3.000,00</v>
      </c>
      <c r="Q1894" s="4" t="e">
        <f t="shared" ca="1" si="553"/>
        <v>#NAME?</v>
      </c>
    </row>
    <row r="1895" spans="1:17">
      <c r="A1895" s="1">
        <f t="shared" si="547"/>
        <v>1894</v>
      </c>
      <c r="C1895" s="8" t="s">
        <v>17</v>
      </c>
      <c r="D1895" s="2">
        <v>43554</v>
      </c>
      <c r="E1895" s="3">
        <v>3000</v>
      </c>
      <c r="F1895" t="s">
        <v>337</v>
      </c>
      <c r="G1895" t="s">
        <v>338</v>
      </c>
      <c r="H1895" t="s">
        <v>339</v>
      </c>
      <c r="I1895" s="6" t="s">
        <v>909</v>
      </c>
      <c r="J1895" s="61" t="s">
        <v>22</v>
      </c>
      <c r="L1895" s="5" t="str">
        <f t="shared" si="548"/>
        <v>01894</v>
      </c>
      <c r="M1895" s="47" t="str">
        <f t="shared" si="549"/>
        <v>30 de marzo de 2019</v>
      </c>
      <c r="N1895" s="323">
        <f t="shared" si="550"/>
        <v>30</v>
      </c>
      <c r="O1895" s="25">
        <f t="shared" si="551"/>
        <v>43525</v>
      </c>
      <c r="P1895" s="5" t="str">
        <f t="shared" si="552"/>
        <v>3.000,00</v>
      </c>
      <c r="Q1895" s="4" t="e">
        <f t="shared" ca="1" si="553"/>
        <v>#NAME?</v>
      </c>
    </row>
    <row r="1896" spans="1:17" ht="15.75" thickBot="1">
      <c r="A1896" s="1">
        <f t="shared" si="547"/>
        <v>1895</v>
      </c>
      <c r="C1896" s="8" t="s">
        <v>17</v>
      </c>
      <c r="D1896" s="2">
        <v>43554</v>
      </c>
      <c r="E1896" s="3">
        <v>3000</v>
      </c>
      <c r="F1896" t="s">
        <v>407</v>
      </c>
      <c r="G1896" t="s">
        <v>408</v>
      </c>
      <c r="H1896" t="s">
        <v>409</v>
      </c>
      <c r="I1896" s="6" t="s">
        <v>917</v>
      </c>
      <c r="J1896" s="61" t="s">
        <v>22</v>
      </c>
      <c r="L1896" s="5" t="str">
        <f t="shared" si="548"/>
        <v>01895</v>
      </c>
      <c r="M1896" s="47" t="str">
        <f t="shared" si="549"/>
        <v>30 de marzo de 2019</v>
      </c>
      <c r="N1896" s="323">
        <f t="shared" si="550"/>
        <v>30</v>
      </c>
      <c r="O1896" s="25">
        <f t="shared" si="551"/>
        <v>43525</v>
      </c>
      <c r="P1896" s="5" t="str">
        <f t="shared" si="552"/>
        <v>3.000,00</v>
      </c>
      <c r="Q1896" s="4" t="e">
        <f ca="1">CONVERTIRNUM(E1896)</f>
        <v>#NAME?</v>
      </c>
    </row>
    <row r="1897" spans="1:17" ht="15.75" thickBot="1">
      <c r="A1897" s="1">
        <f t="shared" si="547"/>
        <v>1896</v>
      </c>
      <c r="C1897" s="85" t="s">
        <v>17</v>
      </c>
      <c r="D1897" s="2">
        <v>43554</v>
      </c>
      <c r="E1897" s="3">
        <v>3000</v>
      </c>
      <c r="F1897" t="s">
        <v>319</v>
      </c>
      <c r="G1897" s="18" t="s">
        <v>58</v>
      </c>
      <c r="H1897" t="s">
        <v>320</v>
      </c>
      <c r="I1897" s="6" t="s">
        <v>909</v>
      </c>
      <c r="J1897" s="61" t="s">
        <v>22</v>
      </c>
      <c r="L1897" s="5" t="str">
        <f t="shared" si="548"/>
        <v>01896</v>
      </c>
      <c r="M1897" s="47" t="str">
        <f t="shared" si="549"/>
        <v>30 de marzo de 2019</v>
      </c>
      <c r="N1897" s="323">
        <f t="shared" si="550"/>
        <v>30</v>
      </c>
      <c r="O1897" s="25">
        <f t="shared" si="551"/>
        <v>43525</v>
      </c>
      <c r="P1897" s="5" t="str">
        <f t="shared" si="552"/>
        <v>3.000,00</v>
      </c>
      <c r="Q1897" s="4" t="e">
        <f t="shared" ref="Q1897:Q1924" ca="1" si="554">CONVERTIRNUM(E1897)</f>
        <v>#NAME?</v>
      </c>
    </row>
    <row r="1898" spans="1:17" ht="15.75" thickBot="1">
      <c r="A1898" s="1">
        <f t="shared" si="547"/>
        <v>1897</v>
      </c>
      <c r="C1898" s="8" t="s">
        <v>17</v>
      </c>
      <c r="D1898" s="2">
        <v>43523</v>
      </c>
      <c r="E1898" s="3">
        <v>6000</v>
      </c>
      <c r="F1898" t="s">
        <v>185</v>
      </c>
      <c r="G1898" t="s">
        <v>186</v>
      </c>
      <c r="H1898" t="s">
        <v>187</v>
      </c>
      <c r="I1898" s="6" t="s">
        <v>903</v>
      </c>
      <c r="J1898" s="61" t="s">
        <v>22</v>
      </c>
      <c r="L1898" s="5" t="str">
        <f t="shared" si="548"/>
        <v>01897</v>
      </c>
      <c r="M1898" s="47" t="str">
        <f t="shared" si="549"/>
        <v>27 de febrero de 2019</v>
      </c>
      <c r="N1898" s="323">
        <f t="shared" si="550"/>
        <v>27</v>
      </c>
      <c r="O1898" s="25">
        <f t="shared" si="551"/>
        <v>43497</v>
      </c>
      <c r="P1898" s="5" t="str">
        <f t="shared" si="552"/>
        <v>6.000,00</v>
      </c>
      <c r="Q1898" s="4" t="e">
        <f t="shared" ca="1" si="554"/>
        <v>#NAME?</v>
      </c>
    </row>
    <row r="1899" spans="1:17" ht="15.75" thickBot="1">
      <c r="A1899" s="1">
        <f t="shared" si="547"/>
        <v>1898</v>
      </c>
      <c r="C1899" s="85" t="s">
        <v>17</v>
      </c>
      <c r="D1899" s="2">
        <v>43557</v>
      </c>
      <c r="E1899" s="3">
        <v>9000</v>
      </c>
      <c r="F1899" t="s">
        <v>410</v>
      </c>
      <c r="G1899" s="18" t="s">
        <v>58</v>
      </c>
      <c r="H1899" t="s">
        <v>411</v>
      </c>
      <c r="I1899" s="6" t="s">
        <v>927</v>
      </c>
      <c r="J1899" s="61" t="s">
        <v>22</v>
      </c>
      <c r="L1899" s="5" t="str">
        <f t="shared" si="548"/>
        <v>01898</v>
      </c>
      <c r="M1899" s="47" t="str">
        <f t="shared" si="549"/>
        <v>02 de abril de 2019</v>
      </c>
      <c r="N1899" s="323">
        <f t="shared" si="550"/>
        <v>2</v>
      </c>
      <c r="O1899" s="25">
        <f t="shared" si="551"/>
        <v>43556</v>
      </c>
      <c r="P1899" s="5" t="str">
        <f t="shared" si="552"/>
        <v>9.000,00</v>
      </c>
      <c r="Q1899" s="4" t="e">
        <f t="shared" ca="1" si="554"/>
        <v>#NAME?</v>
      </c>
    </row>
    <row r="1900" spans="1:17">
      <c r="A1900" s="1">
        <f t="shared" si="547"/>
        <v>1899</v>
      </c>
      <c r="C1900" s="8" t="s">
        <v>17</v>
      </c>
      <c r="D1900" s="2">
        <v>43557</v>
      </c>
      <c r="E1900" s="3">
        <v>6000</v>
      </c>
      <c r="F1900" t="s">
        <v>892</v>
      </c>
      <c r="G1900" t="s">
        <v>893</v>
      </c>
      <c r="H1900" s="21" t="s">
        <v>59</v>
      </c>
      <c r="I1900" s="6" t="s">
        <v>912</v>
      </c>
      <c r="J1900" s="61" t="s">
        <v>22</v>
      </c>
      <c r="K1900" s="22"/>
      <c r="L1900" s="5" t="str">
        <f t="shared" si="548"/>
        <v>01899</v>
      </c>
      <c r="M1900" s="47" t="str">
        <f t="shared" si="549"/>
        <v>02 de abril de 2019</v>
      </c>
      <c r="N1900" s="323">
        <f t="shared" si="550"/>
        <v>2</v>
      </c>
      <c r="O1900" s="25">
        <f t="shared" si="551"/>
        <v>43556</v>
      </c>
      <c r="P1900" s="5" t="str">
        <f t="shared" si="552"/>
        <v>6.000,00</v>
      </c>
      <c r="Q1900" s="4" t="e">
        <f t="shared" ca="1" si="554"/>
        <v>#NAME?</v>
      </c>
    </row>
    <row r="1901" spans="1:17">
      <c r="A1901" s="1">
        <f t="shared" si="547"/>
        <v>1900</v>
      </c>
      <c r="C1901" s="8" t="s">
        <v>17</v>
      </c>
      <c r="D1901" s="2">
        <v>43558</v>
      </c>
      <c r="E1901" s="3">
        <v>3000</v>
      </c>
      <c r="F1901" t="s">
        <v>284</v>
      </c>
      <c r="G1901" t="s">
        <v>687</v>
      </c>
      <c r="H1901" t="s">
        <v>285</v>
      </c>
      <c r="I1901" s="6" t="s">
        <v>909</v>
      </c>
      <c r="J1901" s="61" t="s">
        <v>22</v>
      </c>
      <c r="L1901" s="5" t="str">
        <f t="shared" si="548"/>
        <v>01900</v>
      </c>
      <c r="M1901" s="47" t="str">
        <f t="shared" si="549"/>
        <v>03 de abril de 2019</v>
      </c>
      <c r="N1901" s="323">
        <f t="shared" si="550"/>
        <v>3</v>
      </c>
      <c r="O1901" s="25">
        <f t="shared" si="551"/>
        <v>43556</v>
      </c>
      <c r="P1901" s="5" t="str">
        <f t="shared" si="552"/>
        <v>3.000,00</v>
      </c>
      <c r="Q1901" s="4" t="e">
        <f t="shared" ca="1" si="554"/>
        <v>#NAME?</v>
      </c>
    </row>
    <row r="1902" spans="1:17">
      <c r="A1902" s="1">
        <f t="shared" si="547"/>
        <v>1901</v>
      </c>
      <c r="C1902" s="8" t="s">
        <v>17</v>
      </c>
      <c r="D1902" s="2">
        <v>43540</v>
      </c>
      <c r="E1902" s="3">
        <v>3000</v>
      </c>
      <c r="F1902" t="s">
        <v>843</v>
      </c>
      <c r="G1902" t="s">
        <v>844</v>
      </c>
      <c r="H1902" t="s">
        <v>169</v>
      </c>
      <c r="I1902" s="6" t="s">
        <v>909</v>
      </c>
      <c r="J1902" s="61" t="s">
        <v>22</v>
      </c>
      <c r="L1902" s="5" t="str">
        <f t="shared" si="548"/>
        <v>01901</v>
      </c>
      <c r="M1902" s="47" t="str">
        <f t="shared" si="549"/>
        <v>16 de marzo de 2019</v>
      </c>
      <c r="N1902" s="323">
        <f t="shared" si="550"/>
        <v>16</v>
      </c>
      <c r="O1902" s="25">
        <f t="shared" si="551"/>
        <v>43525</v>
      </c>
      <c r="P1902" s="5" t="str">
        <f t="shared" si="552"/>
        <v>3.000,00</v>
      </c>
      <c r="Q1902" s="4" t="e">
        <f t="shared" ca="1" si="554"/>
        <v>#NAME?</v>
      </c>
    </row>
    <row r="1903" spans="1:17">
      <c r="A1903" s="1">
        <f t="shared" si="547"/>
        <v>1902</v>
      </c>
      <c r="C1903" s="8" t="s">
        <v>17</v>
      </c>
      <c r="D1903" s="2">
        <v>43558</v>
      </c>
      <c r="E1903" s="3">
        <v>3000</v>
      </c>
      <c r="F1903" t="s">
        <v>134</v>
      </c>
      <c r="G1903" t="s">
        <v>135</v>
      </c>
      <c r="H1903" t="s">
        <v>136</v>
      </c>
      <c r="I1903" s="6" t="s">
        <v>917</v>
      </c>
      <c r="J1903" s="61" t="s">
        <v>22</v>
      </c>
      <c r="L1903" s="5" t="str">
        <f t="shared" si="548"/>
        <v>01902</v>
      </c>
      <c r="M1903" s="47" t="str">
        <f t="shared" si="549"/>
        <v>03 de abril de 2019</v>
      </c>
      <c r="N1903" s="323">
        <f t="shared" si="550"/>
        <v>3</v>
      </c>
      <c r="O1903" s="25">
        <f t="shared" si="551"/>
        <v>43556</v>
      </c>
      <c r="P1903" s="5" t="str">
        <f t="shared" si="552"/>
        <v>3.000,00</v>
      </c>
      <c r="Q1903" s="4" t="e">
        <f t="shared" ca="1" si="554"/>
        <v>#NAME?</v>
      </c>
    </row>
    <row r="1904" spans="1:17">
      <c r="A1904" s="1">
        <f t="shared" si="547"/>
        <v>1903</v>
      </c>
      <c r="C1904" s="8" t="s">
        <v>17</v>
      </c>
      <c r="D1904" s="2">
        <v>43559</v>
      </c>
      <c r="E1904" s="3">
        <v>6000</v>
      </c>
      <c r="F1904" t="s">
        <v>248</v>
      </c>
      <c r="G1904" t="s">
        <v>249</v>
      </c>
      <c r="H1904" t="s">
        <v>250</v>
      </c>
      <c r="I1904" s="6" t="s">
        <v>918</v>
      </c>
      <c r="J1904" s="61" t="s">
        <v>22</v>
      </c>
      <c r="L1904" s="5" t="str">
        <f t="shared" si="548"/>
        <v>01903</v>
      </c>
      <c r="M1904" s="47" t="str">
        <f t="shared" si="549"/>
        <v>04 de abril de 2019</v>
      </c>
      <c r="N1904" s="323">
        <f t="shared" si="550"/>
        <v>4</v>
      </c>
      <c r="O1904" s="25">
        <f t="shared" si="551"/>
        <v>43556</v>
      </c>
      <c r="P1904" s="5" t="str">
        <f t="shared" si="552"/>
        <v>6.000,00</v>
      </c>
      <c r="Q1904" s="4" t="e">
        <f t="shared" ca="1" si="554"/>
        <v>#NAME?</v>
      </c>
    </row>
    <row r="1905" spans="1:17">
      <c r="A1905" s="1">
        <f t="shared" si="547"/>
        <v>1904</v>
      </c>
      <c r="C1905" s="8" t="s">
        <v>17</v>
      </c>
      <c r="D1905" s="2">
        <v>43560</v>
      </c>
      <c r="E1905" s="3">
        <v>3000</v>
      </c>
      <c r="F1905" t="s">
        <v>84</v>
      </c>
      <c r="G1905" t="s">
        <v>85</v>
      </c>
      <c r="H1905" t="s">
        <v>86</v>
      </c>
      <c r="I1905" s="6" t="s">
        <v>917</v>
      </c>
      <c r="J1905" s="61" t="s">
        <v>22</v>
      </c>
      <c r="L1905" s="5" t="str">
        <f t="shared" si="548"/>
        <v>01904</v>
      </c>
      <c r="M1905" s="47" t="str">
        <f t="shared" si="549"/>
        <v>05 de abril de 2019</v>
      </c>
      <c r="N1905" s="323">
        <f t="shared" si="550"/>
        <v>5</v>
      </c>
      <c r="O1905" s="25">
        <f t="shared" si="551"/>
        <v>43556</v>
      </c>
      <c r="P1905" s="5" t="str">
        <f t="shared" si="552"/>
        <v>3.000,00</v>
      </c>
      <c r="Q1905" s="4" t="e">
        <f t="shared" ca="1" si="554"/>
        <v>#NAME?</v>
      </c>
    </row>
    <row r="1906" spans="1:17">
      <c r="A1906" s="1">
        <f t="shared" si="547"/>
        <v>1905</v>
      </c>
      <c r="C1906" s="8" t="s">
        <v>17</v>
      </c>
      <c r="D1906" s="2">
        <v>43560</v>
      </c>
      <c r="E1906" s="3">
        <v>3000</v>
      </c>
      <c r="F1906" t="s">
        <v>334</v>
      </c>
      <c r="G1906" t="s">
        <v>85</v>
      </c>
      <c r="H1906" t="s">
        <v>335</v>
      </c>
      <c r="I1906" s="6" t="s">
        <v>917</v>
      </c>
      <c r="J1906" s="61" t="s">
        <v>22</v>
      </c>
      <c r="L1906" s="5" t="str">
        <f t="shared" si="548"/>
        <v>01905</v>
      </c>
      <c r="M1906" s="47" t="str">
        <f t="shared" si="549"/>
        <v>05 de abril de 2019</v>
      </c>
      <c r="N1906" s="323">
        <f t="shared" si="550"/>
        <v>5</v>
      </c>
      <c r="O1906" s="25">
        <f t="shared" si="551"/>
        <v>43556</v>
      </c>
      <c r="P1906" s="5" t="str">
        <f t="shared" si="552"/>
        <v>3.000,00</v>
      </c>
      <c r="Q1906" s="4" t="e">
        <f t="shared" ca="1" si="554"/>
        <v>#NAME?</v>
      </c>
    </row>
    <row r="1907" spans="1:17">
      <c r="A1907" s="1">
        <f t="shared" si="547"/>
        <v>1906</v>
      </c>
      <c r="C1907" s="8" t="s">
        <v>17</v>
      </c>
      <c r="D1907" s="2">
        <v>43546</v>
      </c>
      <c r="E1907" s="3">
        <v>3000</v>
      </c>
      <c r="F1907" t="s">
        <v>296</v>
      </c>
      <c r="G1907" t="s">
        <v>297</v>
      </c>
      <c r="H1907" t="s">
        <v>298</v>
      </c>
      <c r="I1907" s="6" t="s">
        <v>909</v>
      </c>
      <c r="J1907" s="61" t="s">
        <v>22</v>
      </c>
      <c r="L1907" s="5" t="str">
        <f t="shared" si="548"/>
        <v>01906</v>
      </c>
      <c r="M1907" s="47" t="str">
        <f t="shared" si="549"/>
        <v>22 de marzo de 2019</v>
      </c>
      <c r="N1907" s="323">
        <f t="shared" si="550"/>
        <v>22</v>
      </c>
      <c r="O1907" s="25">
        <f t="shared" si="551"/>
        <v>43525</v>
      </c>
      <c r="P1907" s="5" t="str">
        <f t="shared" si="552"/>
        <v>3.000,00</v>
      </c>
      <c r="Q1907" s="4" t="e">
        <f t="shared" ca="1" si="554"/>
        <v>#NAME?</v>
      </c>
    </row>
    <row r="1908" spans="1:17">
      <c r="A1908" s="1">
        <f t="shared" si="547"/>
        <v>1907</v>
      </c>
      <c r="C1908" s="8" t="s">
        <v>17</v>
      </c>
      <c r="D1908" s="2">
        <v>43551</v>
      </c>
      <c r="E1908" s="3">
        <v>2200</v>
      </c>
      <c r="F1908" t="s">
        <v>28</v>
      </c>
      <c r="G1908" t="s">
        <v>716</v>
      </c>
      <c r="H1908" t="s">
        <v>30</v>
      </c>
      <c r="I1908" s="6" t="s">
        <v>928</v>
      </c>
      <c r="J1908" s="61" t="s">
        <v>22</v>
      </c>
      <c r="L1908" s="5" t="str">
        <f t="shared" si="548"/>
        <v>01907</v>
      </c>
      <c r="M1908" s="47" t="str">
        <f t="shared" si="549"/>
        <v>27 de marzo de 2019</v>
      </c>
      <c r="N1908" s="323">
        <f t="shared" si="550"/>
        <v>27</v>
      </c>
      <c r="O1908" s="25">
        <f t="shared" si="551"/>
        <v>43525</v>
      </c>
      <c r="P1908" s="5" t="str">
        <f t="shared" si="552"/>
        <v>2.200,00</v>
      </c>
      <c r="Q1908" s="4" t="e">
        <f t="shared" ca="1" si="554"/>
        <v>#NAME?</v>
      </c>
    </row>
    <row r="1909" spans="1:17">
      <c r="A1909" s="1">
        <f>A1908+1</f>
        <v>1908</v>
      </c>
      <c r="C1909" s="8" t="s">
        <v>17</v>
      </c>
      <c r="D1909" s="2">
        <v>43560</v>
      </c>
      <c r="E1909" s="3">
        <v>3000</v>
      </c>
      <c r="F1909" t="s">
        <v>36</v>
      </c>
      <c r="G1909" t="s">
        <v>37</v>
      </c>
      <c r="H1909" t="s">
        <v>38</v>
      </c>
      <c r="I1909" s="6" t="s">
        <v>917</v>
      </c>
      <c r="J1909" s="61" t="s">
        <v>22</v>
      </c>
      <c r="L1909" s="5" t="str">
        <f t="shared" si="548"/>
        <v>01908</v>
      </c>
      <c r="M1909" s="47" t="str">
        <f t="shared" si="549"/>
        <v>05 de abril de 2019</v>
      </c>
      <c r="N1909" s="323">
        <f t="shared" si="550"/>
        <v>5</v>
      </c>
      <c r="O1909" s="25">
        <f t="shared" si="551"/>
        <v>43556</v>
      </c>
      <c r="P1909" s="5" t="str">
        <f t="shared" si="552"/>
        <v>3.000,00</v>
      </c>
      <c r="Q1909" s="4" t="e">
        <f t="shared" ca="1" si="554"/>
        <v>#NAME?</v>
      </c>
    </row>
    <row r="1910" spans="1:17">
      <c r="A1910" s="1">
        <f t="shared" ref="A1910:A1920" si="555">A1909+1</f>
        <v>1909</v>
      </c>
      <c r="C1910" s="8" t="s">
        <v>17</v>
      </c>
      <c r="D1910" s="2">
        <v>43561</v>
      </c>
      <c r="E1910" s="3">
        <v>10000</v>
      </c>
      <c r="F1910" t="s">
        <v>90</v>
      </c>
      <c r="G1910" t="s">
        <v>91</v>
      </c>
      <c r="H1910" t="s">
        <v>92</v>
      </c>
      <c r="I1910" s="6" t="s">
        <v>929</v>
      </c>
      <c r="J1910" s="61" t="s">
        <v>22</v>
      </c>
      <c r="L1910" s="5" t="str">
        <f t="shared" si="548"/>
        <v>01909</v>
      </c>
      <c r="M1910" s="47" t="str">
        <f t="shared" si="549"/>
        <v>06 de abril de 2019</v>
      </c>
      <c r="N1910" s="323">
        <f t="shared" si="550"/>
        <v>6</v>
      </c>
      <c r="O1910" s="25">
        <f t="shared" si="551"/>
        <v>43556</v>
      </c>
      <c r="P1910" s="5" t="str">
        <f t="shared" si="552"/>
        <v>10.000,00</v>
      </c>
      <c r="Q1910" s="4" t="e">
        <f t="shared" ca="1" si="554"/>
        <v>#NAME?</v>
      </c>
    </row>
    <row r="1911" spans="1:17">
      <c r="A1911" s="1">
        <f t="shared" si="555"/>
        <v>1910</v>
      </c>
      <c r="C1911" s="8" t="s">
        <v>17</v>
      </c>
      <c r="D1911" s="2">
        <v>43561</v>
      </c>
      <c r="E1911" s="3">
        <v>5000</v>
      </c>
      <c r="F1911" t="s">
        <v>483</v>
      </c>
      <c r="G1911" t="s">
        <v>484</v>
      </c>
      <c r="H1911" t="s">
        <v>485</v>
      </c>
      <c r="I1911" s="6" t="s">
        <v>930</v>
      </c>
      <c r="J1911" s="61" t="s">
        <v>22</v>
      </c>
      <c r="L1911" s="5" t="str">
        <f t="shared" si="548"/>
        <v>01910</v>
      </c>
      <c r="M1911" s="47" t="str">
        <f t="shared" si="549"/>
        <v>06 de abril de 2019</v>
      </c>
      <c r="N1911" s="323">
        <f t="shared" si="550"/>
        <v>6</v>
      </c>
      <c r="O1911" s="25">
        <f t="shared" si="551"/>
        <v>43556</v>
      </c>
      <c r="P1911" s="5" t="str">
        <f t="shared" si="552"/>
        <v>5.000,00</v>
      </c>
      <c r="Q1911" s="4" t="e">
        <f t="shared" ca="1" si="554"/>
        <v>#NAME?</v>
      </c>
    </row>
    <row r="1912" spans="1:17">
      <c r="A1912" s="1">
        <f t="shared" si="555"/>
        <v>1911</v>
      </c>
      <c r="C1912" s="8" t="s">
        <v>17</v>
      </c>
      <c r="D1912" s="2">
        <v>43562</v>
      </c>
      <c r="E1912" s="3">
        <v>3000</v>
      </c>
      <c r="F1912" t="s">
        <v>62</v>
      </c>
      <c r="G1912" t="s">
        <v>63</v>
      </c>
      <c r="H1912" t="s">
        <v>64</v>
      </c>
      <c r="I1912" s="6" t="s">
        <v>909</v>
      </c>
      <c r="J1912" s="61" t="s">
        <v>22</v>
      </c>
      <c r="L1912" s="5" t="str">
        <f t="shared" si="548"/>
        <v>01911</v>
      </c>
      <c r="M1912" s="47" t="str">
        <f t="shared" si="549"/>
        <v>07 de abril de 2019</v>
      </c>
      <c r="N1912" s="323">
        <f t="shared" si="550"/>
        <v>7</v>
      </c>
      <c r="O1912" s="25">
        <f t="shared" si="551"/>
        <v>43556</v>
      </c>
      <c r="P1912" s="5" t="str">
        <f t="shared" si="552"/>
        <v>3.000,00</v>
      </c>
      <c r="Q1912" s="4" t="e">
        <f t="shared" ca="1" si="554"/>
        <v>#NAME?</v>
      </c>
    </row>
    <row r="1913" spans="1:17">
      <c r="A1913" s="319">
        <f t="shared" si="555"/>
        <v>1912</v>
      </c>
      <c r="B1913" s="574"/>
      <c r="C1913" s="12" t="s">
        <v>225</v>
      </c>
      <c r="D1913" s="17">
        <v>43562</v>
      </c>
      <c r="E1913" s="13">
        <v>4000</v>
      </c>
      <c r="F1913" s="14" t="s">
        <v>107</v>
      </c>
      <c r="G1913" s="14" t="s">
        <v>108</v>
      </c>
      <c r="H1913" s="14" t="s">
        <v>109</v>
      </c>
      <c r="I1913" s="15" t="s">
        <v>931</v>
      </c>
      <c r="J1913" s="62" t="s">
        <v>932</v>
      </c>
      <c r="K1913" s="16"/>
      <c r="L1913" s="5" t="str">
        <f t="shared" si="548"/>
        <v>01912</v>
      </c>
      <c r="M1913" s="47" t="str">
        <f t="shared" si="549"/>
        <v>07 de abril de 2019</v>
      </c>
      <c r="N1913" s="323">
        <f t="shared" si="550"/>
        <v>7</v>
      </c>
      <c r="O1913" s="25">
        <f t="shared" si="551"/>
        <v>43556</v>
      </c>
      <c r="P1913" s="5" t="str">
        <f t="shared" si="552"/>
        <v>4.000,00</v>
      </c>
      <c r="Q1913" s="4" t="e">
        <f t="shared" ca="1" si="554"/>
        <v>#NAME?</v>
      </c>
    </row>
    <row r="1914" spans="1:17">
      <c r="A1914" s="1">
        <f t="shared" si="555"/>
        <v>1913</v>
      </c>
      <c r="C1914" s="8" t="s">
        <v>17</v>
      </c>
      <c r="D1914" s="2">
        <v>43562</v>
      </c>
      <c r="E1914" s="3">
        <v>6000</v>
      </c>
      <c r="F1914" t="s">
        <v>412</v>
      </c>
      <c r="G1914" t="s">
        <v>413</v>
      </c>
      <c r="H1914" t="s">
        <v>414</v>
      </c>
      <c r="I1914" s="6" t="s">
        <v>933</v>
      </c>
      <c r="J1914" s="61" t="s">
        <v>22</v>
      </c>
      <c r="L1914" s="5" t="str">
        <f t="shared" si="548"/>
        <v>01913</v>
      </c>
      <c r="M1914" s="47" t="str">
        <f t="shared" si="549"/>
        <v>07 de abril de 2019</v>
      </c>
      <c r="N1914" s="323">
        <f t="shared" si="550"/>
        <v>7</v>
      </c>
      <c r="O1914" s="25">
        <f t="shared" si="551"/>
        <v>43556</v>
      </c>
      <c r="P1914" s="5" t="str">
        <f t="shared" si="552"/>
        <v>6.000,00</v>
      </c>
      <c r="Q1914" s="4" t="e">
        <f t="shared" ca="1" si="554"/>
        <v>#NAME?</v>
      </c>
    </row>
    <row r="1915" spans="1:17" ht="15.75" thickBot="1">
      <c r="A1915" s="1">
        <f t="shared" si="555"/>
        <v>1914</v>
      </c>
      <c r="C1915" s="8" t="s">
        <v>17</v>
      </c>
      <c r="D1915" s="2">
        <v>43563</v>
      </c>
      <c r="E1915" s="3">
        <v>6000</v>
      </c>
      <c r="F1915" t="s">
        <v>80</v>
      </c>
      <c r="G1915" t="s">
        <v>81</v>
      </c>
      <c r="H1915" t="s">
        <v>82</v>
      </c>
      <c r="I1915" s="6" t="s">
        <v>917</v>
      </c>
      <c r="J1915" s="61" t="s">
        <v>22</v>
      </c>
      <c r="L1915" s="5" t="str">
        <f t="shared" si="548"/>
        <v>01914</v>
      </c>
      <c r="M1915" s="47" t="str">
        <f t="shared" si="549"/>
        <v>08 de abril de 2019</v>
      </c>
      <c r="N1915" s="323">
        <f t="shared" si="550"/>
        <v>8</v>
      </c>
      <c r="O1915" s="25">
        <f t="shared" si="551"/>
        <v>43556</v>
      </c>
      <c r="P1915" s="5" t="str">
        <f t="shared" si="552"/>
        <v>6.000,00</v>
      </c>
      <c r="Q1915" s="4" t="e">
        <f t="shared" ca="1" si="554"/>
        <v>#NAME?</v>
      </c>
    </row>
    <row r="1916" spans="1:17" ht="15.75" thickBot="1">
      <c r="A1916" s="1">
        <f t="shared" si="555"/>
        <v>1915</v>
      </c>
      <c r="C1916" s="85" t="s">
        <v>17</v>
      </c>
      <c r="D1916" s="2">
        <v>43563</v>
      </c>
      <c r="E1916" s="3">
        <v>4350</v>
      </c>
      <c r="F1916" s="23" t="s">
        <v>422</v>
      </c>
      <c r="G1916" s="18" t="s">
        <v>58</v>
      </c>
      <c r="H1916" t="s">
        <v>423</v>
      </c>
      <c r="I1916" s="6" t="s">
        <v>934</v>
      </c>
      <c r="J1916" s="61" t="s">
        <v>22</v>
      </c>
      <c r="L1916" s="5" t="str">
        <f t="shared" si="548"/>
        <v>01915</v>
      </c>
      <c r="M1916" s="47" t="str">
        <f t="shared" si="549"/>
        <v>08 de abril de 2019</v>
      </c>
      <c r="N1916" s="323">
        <f t="shared" si="550"/>
        <v>8</v>
      </c>
      <c r="O1916" s="25">
        <f t="shared" si="551"/>
        <v>43556</v>
      </c>
      <c r="P1916" s="5" t="str">
        <f t="shared" si="552"/>
        <v>4.350,00</v>
      </c>
      <c r="Q1916" s="4" t="e">
        <f t="shared" ca="1" si="554"/>
        <v>#NAME?</v>
      </c>
    </row>
    <row r="1917" spans="1:17" ht="15.75" thickBot="1">
      <c r="A1917" s="1">
        <f t="shared" si="555"/>
        <v>1916</v>
      </c>
      <c r="C1917" s="8" t="s">
        <v>17</v>
      </c>
      <c r="D1917" s="2">
        <v>43563</v>
      </c>
      <c r="E1917" s="3">
        <v>3000</v>
      </c>
      <c r="F1917" t="s">
        <v>713</v>
      </c>
      <c r="G1917" t="s">
        <v>714</v>
      </c>
      <c r="H1917" t="s">
        <v>154</v>
      </c>
      <c r="I1917" s="6" t="s">
        <v>917</v>
      </c>
      <c r="J1917" s="61" t="s">
        <v>22</v>
      </c>
      <c r="L1917" s="5" t="str">
        <f t="shared" si="548"/>
        <v>01916</v>
      </c>
      <c r="M1917" s="47" t="str">
        <f t="shared" si="549"/>
        <v>08 de abril de 2019</v>
      </c>
      <c r="N1917" s="323">
        <f t="shared" si="550"/>
        <v>8</v>
      </c>
      <c r="O1917" s="25">
        <f t="shared" si="551"/>
        <v>43556</v>
      </c>
      <c r="P1917" s="5" t="str">
        <f t="shared" si="552"/>
        <v>3.000,00</v>
      </c>
      <c r="Q1917" s="4" t="e">
        <f t="shared" ca="1" si="554"/>
        <v>#NAME?</v>
      </c>
    </row>
    <row r="1918" spans="1:17" ht="15.75" thickBot="1">
      <c r="A1918" s="1">
        <f t="shared" si="555"/>
        <v>1917</v>
      </c>
      <c r="C1918" s="85" t="s">
        <v>17</v>
      </c>
      <c r="D1918" s="2">
        <v>43563</v>
      </c>
      <c r="E1918" s="3">
        <v>3000</v>
      </c>
      <c r="F1918" t="s">
        <v>259</v>
      </c>
      <c r="G1918" s="18" t="s">
        <v>58</v>
      </c>
      <c r="H1918" t="s">
        <v>261</v>
      </c>
      <c r="I1918" s="6" t="s">
        <v>909</v>
      </c>
      <c r="J1918" s="61" t="s">
        <v>22</v>
      </c>
      <c r="L1918" s="5" t="str">
        <f t="shared" si="548"/>
        <v>01917</v>
      </c>
      <c r="M1918" s="47" t="str">
        <f t="shared" si="549"/>
        <v>08 de abril de 2019</v>
      </c>
      <c r="N1918" s="323">
        <f t="shared" si="550"/>
        <v>8</v>
      </c>
      <c r="O1918" s="25">
        <f t="shared" si="551"/>
        <v>43556</v>
      </c>
      <c r="P1918" s="5" t="str">
        <f t="shared" si="552"/>
        <v>3.000,00</v>
      </c>
      <c r="Q1918" s="4" t="e">
        <f t="shared" ca="1" si="554"/>
        <v>#NAME?</v>
      </c>
    </row>
    <row r="1919" spans="1:17">
      <c r="A1919" s="1">
        <f t="shared" si="555"/>
        <v>1918</v>
      </c>
      <c r="C1919" s="8" t="s">
        <v>17</v>
      </c>
      <c r="D1919" s="2">
        <v>43563</v>
      </c>
      <c r="E1919" s="3">
        <v>3000</v>
      </c>
      <c r="F1919" t="s">
        <v>24</v>
      </c>
      <c r="G1919" t="s">
        <v>25</v>
      </c>
      <c r="H1919" t="s">
        <v>26</v>
      </c>
      <c r="I1919" s="6" t="s">
        <v>917</v>
      </c>
      <c r="J1919" s="61" t="s">
        <v>22</v>
      </c>
      <c r="L1919" s="5" t="str">
        <f t="shared" si="548"/>
        <v>01918</v>
      </c>
      <c r="M1919" s="47" t="str">
        <f t="shared" si="549"/>
        <v>08 de abril de 2019</v>
      </c>
      <c r="N1919" s="323">
        <f t="shared" si="550"/>
        <v>8</v>
      </c>
      <c r="O1919" s="25">
        <f t="shared" si="551"/>
        <v>43556</v>
      </c>
      <c r="P1919" s="5" t="str">
        <f t="shared" si="552"/>
        <v>3.000,00</v>
      </c>
      <c r="Q1919" s="4" t="e">
        <f t="shared" ca="1" si="554"/>
        <v>#NAME?</v>
      </c>
    </row>
    <row r="1920" spans="1:17">
      <c r="A1920" s="1">
        <f t="shared" si="555"/>
        <v>1919</v>
      </c>
      <c r="C1920" s="8" t="s">
        <v>17</v>
      </c>
      <c r="D1920" s="2">
        <v>43563</v>
      </c>
      <c r="E1920" s="3">
        <v>3000</v>
      </c>
      <c r="F1920" t="s">
        <v>48</v>
      </c>
      <c r="G1920" t="s">
        <v>49</v>
      </c>
      <c r="H1920" t="s">
        <v>50</v>
      </c>
      <c r="I1920" s="6" t="s">
        <v>917</v>
      </c>
      <c r="J1920" s="61" t="s">
        <v>22</v>
      </c>
      <c r="L1920" s="5" t="str">
        <f t="shared" si="548"/>
        <v>01919</v>
      </c>
      <c r="M1920" s="47" t="str">
        <f t="shared" si="549"/>
        <v>08 de abril de 2019</v>
      </c>
      <c r="N1920" s="323">
        <f t="shared" si="550"/>
        <v>8</v>
      </c>
      <c r="O1920" s="25">
        <f t="shared" si="551"/>
        <v>43556</v>
      </c>
      <c r="P1920" s="5" t="str">
        <f t="shared" si="552"/>
        <v>3.000,00</v>
      </c>
      <c r="Q1920" s="4" t="e">
        <f t="shared" ca="1" si="554"/>
        <v>#NAME?</v>
      </c>
    </row>
    <row r="1921" spans="1:17">
      <c r="A1921" s="1">
        <f>A1920+1</f>
        <v>1920</v>
      </c>
      <c r="C1921" s="8" t="s">
        <v>17</v>
      </c>
      <c r="D1921" s="2">
        <v>43563</v>
      </c>
      <c r="E1921" s="3">
        <v>3000</v>
      </c>
      <c r="F1921" t="s">
        <v>70</v>
      </c>
      <c r="G1921" t="s">
        <v>71</v>
      </c>
      <c r="H1921" t="s">
        <v>72</v>
      </c>
      <c r="I1921" s="6" t="s">
        <v>917</v>
      </c>
      <c r="J1921" s="61" t="s">
        <v>22</v>
      </c>
      <c r="L1921" s="5" t="str">
        <f t="shared" si="548"/>
        <v>01920</v>
      </c>
      <c r="M1921" s="47" t="str">
        <f t="shared" si="549"/>
        <v>08 de abril de 2019</v>
      </c>
      <c r="N1921" s="323">
        <f t="shared" si="550"/>
        <v>8</v>
      </c>
      <c r="O1921" s="25">
        <f t="shared" si="551"/>
        <v>43556</v>
      </c>
      <c r="P1921" s="5" t="str">
        <f t="shared" si="552"/>
        <v>3.000,00</v>
      </c>
      <c r="Q1921" s="4" t="e">
        <f t="shared" ca="1" si="554"/>
        <v>#NAME?</v>
      </c>
    </row>
    <row r="1922" spans="1:17">
      <c r="A1922" s="1">
        <f t="shared" ref="A1922:A1940" si="556">A1921+1</f>
        <v>1921</v>
      </c>
      <c r="C1922" s="8" t="s">
        <v>17</v>
      </c>
      <c r="D1922" s="2">
        <v>43563</v>
      </c>
      <c r="E1922" s="3">
        <v>6000</v>
      </c>
      <c r="F1922" t="s">
        <v>935</v>
      </c>
      <c r="G1922" t="s">
        <v>936</v>
      </c>
      <c r="H1922" t="s">
        <v>150</v>
      </c>
      <c r="I1922" s="6" t="s">
        <v>918</v>
      </c>
      <c r="J1922" s="61" t="s">
        <v>22</v>
      </c>
      <c r="L1922" s="5" t="str">
        <f t="shared" si="548"/>
        <v>01921</v>
      </c>
      <c r="M1922" s="47" t="str">
        <f t="shared" si="549"/>
        <v>08 de abril de 2019</v>
      </c>
      <c r="N1922" s="323">
        <f t="shared" si="550"/>
        <v>8</v>
      </c>
      <c r="O1922" s="25">
        <f t="shared" si="551"/>
        <v>43556</v>
      </c>
      <c r="P1922" s="5" t="str">
        <f t="shared" si="552"/>
        <v>6.000,00</v>
      </c>
      <c r="Q1922" s="4" t="e">
        <f t="shared" ca="1" si="554"/>
        <v>#NAME?</v>
      </c>
    </row>
    <row r="1923" spans="1:17">
      <c r="A1923" s="1">
        <f t="shared" si="556"/>
        <v>1922</v>
      </c>
      <c r="C1923" s="8" t="s">
        <v>17</v>
      </c>
      <c r="D1923" s="2">
        <v>43563</v>
      </c>
      <c r="E1923" s="3">
        <v>3000</v>
      </c>
      <c r="F1923" t="s">
        <v>537</v>
      </c>
      <c r="G1923" t="s">
        <v>538</v>
      </c>
      <c r="H1923" t="s">
        <v>539</v>
      </c>
      <c r="I1923" s="6" t="s">
        <v>909</v>
      </c>
      <c r="J1923" s="61" t="s">
        <v>22</v>
      </c>
      <c r="L1923" s="5" t="str">
        <f t="shared" si="548"/>
        <v>01922</v>
      </c>
      <c r="M1923" s="47" t="str">
        <f t="shared" si="549"/>
        <v>08 de abril de 2019</v>
      </c>
      <c r="N1923" s="323">
        <f t="shared" si="550"/>
        <v>8</v>
      </c>
      <c r="O1923" s="25">
        <f t="shared" si="551"/>
        <v>43556</v>
      </c>
      <c r="P1923" s="5" t="str">
        <f t="shared" si="552"/>
        <v>3.000,00</v>
      </c>
      <c r="Q1923" s="4" t="e">
        <f t="shared" ca="1" si="554"/>
        <v>#NAME?</v>
      </c>
    </row>
    <row r="1924" spans="1:17">
      <c r="A1924" s="1">
        <f t="shared" si="556"/>
        <v>1923</v>
      </c>
      <c r="C1924" s="8" t="s">
        <v>17</v>
      </c>
      <c r="D1924" s="2">
        <v>43563</v>
      </c>
      <c r="E1924" s="3">
        <v>3000</v>
      </c>
      <c r="F1924" t="s">
        <v>287</v>
      </c>
      <c r="G1924" t="s">
        <v>288</v>
      </c>
      <c r="H1924" t="s">
        <v>289</v>
      </c>
      <c r="I1924" s="6" t="s">
        <v>909</v>
      </c>
      <c r="J1924" s="61" t="s">
        <v>22</v>
      </c>
      <c r="L1924" s="5" t="str">
        <f t="shared" si="548"/>
        <v>01923</v>
      </c>
      <c r="M1924" s="47" t="str">
        <f t="shared" si="549"/>
        <v>08 de abril de 2019</v>
      </c>
      <c r="N1924" s="323">
        <f t="shared" si="550"/>
        <v>8</v>
      </c>
      <c r="O1924" s="25">
        <f t="shared" si="551"/>
        <v>43556</v>
      </c>
      <c r="P1924" s="5" t="str">
        <f t="shared" si="552"/>
        <v>3.000,00</v>
      </c>
      <c r="Q1924" s="4" t="e">
        <f t="shared" ca="1" si="554"/>
        <v>#NAME?</v>
      </c>
    </row>
    <row r="1925" spans="1:17">
      <c r="A1925" s="1">
        <f t="shared" si="556"/>
        <v>1924</v>
      </c>
      <c r="C1925" s="8" t="s">
        <v>17</v>
      </c>
      <c r="D1925" s="2">
        <v>43563</v>
      </c>
      <c r="E1925" s="3">
        <v>2200</v>
      </c>
      <c r="F1925" t="s">
        <v>28</v>
      </c>
      <c r="G1925" t="s">
        <v>716</v>
      </c>
      <c r="H1925" t="s">
        <v>30</v>
      </c>
      <c r="I1925" s="6" t="s">
        <v>937</v>
      </c>
      <c r="J1925" s="61" t="s">
        <v>22</v>
      </c>
      <c r="L1925" s="5" t="str">
        <f t="shared" ref="L1925:L1937" si="557">IF(ISBLANK(A1925),"",TEXT(A1925,"00000"))</f>
        <v>01924</v>
      </c>
      <c r="M1925" s="47" t="str">
        <f t="shared" ref="M1925:M1937" si="558">IF(ISBLANK(D1925),"",TEXT(D1925,"dd")&amp;" de "&amp;TEXT(D1925,"mmmm")&amp;" de "&amp;TEXT(YEAR(D1925),"0"))</f>
        <v>08 de abril de 2019</v>
      </c>
      <c r="N1925" s="323">
        <f t="shared" ref="N1925:N1937" si="559">DAY(D1925)</f>
        <v>8</v>
      </c>
      <c r="O1925" s="25">
        <f t="shared" ref="O1925:O1937" si="560">DATE(YEAR(D1925),MONTH(D1925),1)</f>
        <v>43556</v>
      </c>
      <c r="P1925" s="5" t="str">
        <f t="shared" ref="P1925:P1937" si="561">TEXT(E1925,"#.##0,00")</f>
        <v>2.200,00</v>
      </c>
      <c r="Q1925" s="4" t="e">
        <f t="shared" ref="Q1925:Q1937" ca="1" si="562">CONVERTIRNUM(E1925)</f>
        <v>#NAME?</v>
      </c>
    </row>
    <row r="1926" spans="1:17">
      <c r="A1926" s="1">
        <f t="shared" si="556"/>
        <v>1925</v>
      </c>
      <c r="C1926" s="8" t="s">
        <v>17</v>
      </c>
      <c r="D1926" s="2">
        <v>43563</v>
      </c>
      <c r="E1926" s="3">
        <v>3000</v>
      </c>
      <c r="F1926" t="s">
        <v>454</v>
      </c>
      <c r="G1926" t="s">
        <v>761</v>
      </c>
      <c r="H1926" t="s">
        <v>455</v>
      </c>
      <c r="I1926" s="6" t="s">
        <v>937</v>
      </c>
      <c r="J1926" s="61" t="s">
        <v>22</v>
      </c>
      <c r="L1926" s="5" t="str">
        <f t="shared" si="557"/>
        <v>01925</v>
      </c>
      <c r="M1926" s="47" t="str">
        <f t="shared" si="558"/>
        <v>08 de abril de 2019</v>
      </c>
      <c r="N1926" s="323">
        <f t="shared" si="559"/>
        <v>8</v>
      </c>
      <c r="O1926" s="25">
        <f t="shared" si="560"/>
        <v>43556</v>
      </c>
      <c r="P1926" s="5" t="str">
        <f t="shared" si="561"/>
        <v>3.000,00</v>
      </c>
      <c r="Q1926" s="4" t="e">
        <f t="shared" ca="1" si="562"/>
        <v>#NAME?</v>
      </c>
    </row>
    <row r="1927" spans="1:17">
      <c r="A1927" s="1">
        <f t="shared" si="556"/>
        <v>1926</v>
      </c>
      <c r="C1927" s="8" t="s">
        <v>17</v>
      </c>
      <c r="D1927" s="2">
        <v>43563</v>
      </c>
      <c r="E1927" s="3">
        <v>3000</v>
      </c>
      <c r="F1927" t="s">
        <v>185</v>
      </c>
      <c r="G1927" t="s">
        <v>186</v>
      </c>
      <c r="H1927" t="s">
        <v>187</v>
      </c>
      <c r="I1927" s="6" t="s">
        <v>909</v>
      </c>
      <c r="J1927" s="61" t="s">
        <v>22</v>
      </c>
      <c r="L1927" s="5" t="str">
        <f t="shared" si="557"/>
        <v>01926</v>
      </c>
      <c r="M1927" s="47" t="str">
        <f t="shared" si="558"/>
        <v>08 de abril de 2019</v>
      </c>
      <c r="N1927" s="323">
        <f t="shared" si="559"/>
        <v>8</v>
      </c>
      <c r="O1927" s="25">
        <f t="shared" si="560"/>
        <v>43556</v>
      </c>
      <c r="P1927" s="5" t="str">
        <f t="shared" si="561"/>
        <v>3.000,00</v>
      </c>
      <c r="Q1927" s="4" t="e">
        <f t="shared" ca="1" si="562"/>
        <v>#NAME?</v>
      </c>
    </row>
    <row r="1928" spans="1:17">
      <c r="A1928" s="1">
        <f t="shared" si="556"/>
        <v>1927</v>
      </c>
      <c r="C1928" s="8" t="s">
        <v>17</v>
      </c>
      <c r="D1928" s="2">
        <v>43564</v>
      </c>
      <c r="E1928" s="3">
        <v>3000</v>
      </c>
      <c r="F1928" t="s">
        <v>443</v>
      </c>
      <c r="G1928" t="s">
        <v>444</v>
      </c>
      <c r="H1928" t="s">
        <v>75</v>
      </c>
      <c r="I1928" s="6" t="s">
        <v>934</v>
      </c>
      <c r="J1928" s="61" t="s">
        <v>22</v>
      </c>
      <c r="L1928" s="5" t="str">
        <f t="shared" si="557"/>
        <v>01927</v>
      </c>
      <c r="M1928" s="47" t="str">
        <f t="shared" si="558"/>
        <v>09 de abril de 2019</v>
      </c>
      <c r="N1928" s="323">
        <f t="shared" si="559"/>
        <v>9</v>
      </c>
      <c r="O1928" s="25">
        <f t="shared" si="560"/>
        <v>43556</v>
      </c>
      <c r="P1928" s="5" t="str">
        <f t="shared" si="561"/>
        <v>3.000,00</v>
      </c>
      <c r="Q1928" s="4" t="e">
        <f t="shared" ca="1" si="562"/>
        <v>#NAME?</v>
      </c>
    </row>
    <row r="1929" spans="1:17">
      <c r="A1929" s="1">
        <f t="shared" si="556"/>
        <v>1928</v>
      </c>
      <c r="C1929" s="8" t="s">
        <v>17</v>
      </c>
      <c r="D1929" s="2">
        <v>43564</v>
      </c>
      <c r="E1929" s="3">
        <v>3000</v>
      </c>
      <c r="F1929" t="s">
        <v>342</v>
      </c>
      <c r="G1929" t="s">
        <v>343</v>
      </c>
      <c r="H1929" t="s">
        <v>344</v>
      </c>
      <c r="I1929" s="6" t="s">
        <v>937</v>
      </c>
      <c r="J1929" s="61" t="s">
        <v>22</v>
      </c>
      <c r="L1929" s="5" t="str">
        <f t="shared" si="557"/>
        <v>01928</v>
      </c>
      <c r="M1929" s="47" t="str">
        <f t="shared" si="558"/>
        <v>09 de abril de 2019</v>
      </c>
      <c r="N1929" s="323">
        <f t="shared" si="559"/>
        <v>9</v>
      </c>
      <c r="O1929" s="25">
        <f t="shared" si="560"/>
        <v>43556</v>
      </c>
      <c r="P1929" s="5" t="str">
        <f t="shared" si="561"/>
        <v>3.000,00</v>
      </c>
      <c r="Q1929" s="4" t="e">
        <f t="shared" ca="1" si="562"/>
        <v>#NAME?</v>
      </c>
    </row>
    <row r="1930" spans="1:17">
      <c r="A1930" s="1">
        <f t="shared" si="556"/>
        <v>1929</v>
      </c>
      <c r="C1930" s="8" t="s">
        <v>17</v>
      </c>
      <c r="D1930" s="2">
        <v>43546</v>
      </c>
      <c r="E1930" s="3">
        <v>3000</v>
      </c>
      <c r="F1930" t="s">
        <v>122</v>
      </c>
      <c r="G1930" t="s">
        <v>123</v>
      </c>
      <c r="H1930" t="s">
        <v>124</v>
      </c>
      <c r="I1930" s="6" t="s">
        <v>909</v>
      </c>
      <c r="J1930" s="61" t="s">
        <v>22</v>
      </c>
      <c r="L1930" s="5" t="str">
        <f t="shared" si="557"/>
        <v>01929</v>
      </c>
      <c r="M1930" s="47" t="str">
        <f t="shared" si="558"/>
        <v>22 de marzo de 2019</v>
      </c>
      <c r="N1930" s="323">
        <f t="shared" si="559"/>
        <v>22</v>
      </c>
      <c r="O1930" s="25">
        <f t="shared" si="560"/>
        <v>43525</v>
      </c>
      <c r="P1930" s="5" t="str">
        <f t="shared" si="561"/>
        <v>3.000,00</v>
      </c>
      <c r="Q1930" s="4" t="e">
        <f t="shared" ca="1" si="562"/>
        <v>#NAME?</v>
      </c>
    </row>
    <row r="1931" spans="1:17">
      <c r="A1931" s="1">
        <f t="shared" si="556"/>
        <v>1930</v>
      </c>
      <c r="C1931" s="8" t="s">
        <v>17</v>
      </c>
      <c r="D1931" s="2">
        <v>43565</v>
      </c>
      <c r="E1931" s="3">
        <v>12000</v>
      </c>
      <c r="F1931" t="s">
        <v>594</v>
      </c>
      <c r="G1931" t="s">
        <v>595</v>
      </c>
      <c r="H1931" t="s">
        <v>596</v>
      </c>
      <c r="I1931" s="161" t="s">
        <v>938</v>
      </c>
      <c r="J1931" s="61" t="s">
        <v>22</v>
      </c>
      <c r="L1931" s="5" t="str">
        <f t="shared" si="557"/>
        <v>01930</v>
      </c>
      <c r="M1931" s="47" t="str">
        <f t="shared" si="558"/>
        <v>10 de abril de 2019</v>
      </c>
      <c r="N1931" s="323">
        <f t="shared" si="559"/>
        <v>10</v>
      </c>
      <c r="O1931" s="25">
        <f t="shared" si="560"/>
        <v>43556</v>
      </c>
      <c r="P1931" s="5" t="str">
        <f t="shared" si="561"/>
        <v>12.000,00</v>
      </c>
      <c r="Q1931" s="4" t="e">
        <f t="shared" ca="1" si="562"/>
        <v>#NAME?</v>
      </c>
    </row>
    <row r="1932" spans="1:17">
      <c r="A1932" s="1">
        <f t="shared" si="556"/>
        <v>1931</v>
      </c>
      <c r="C1932" s="8" t="s">
        <v>17</v>
      </c>
      <c r="D1932" s="2">
        <v>43565</v>
      </c>
      <c r="E1932" s="3">
        <v>15000</v>
      </c>
      <c r="F1932" t="s">
        <v>353</v>
      </c>
      <c r="G1932" t="s">
        <v>354</v>
      </c>
      <c r="H1932" t="s">
        <v>355</v>
      </c>
      <c r="I1932" s="6" t="s">
        <v>939</v>
      </c>
      <c r="J1932" s="61" t="s">
        <v>22</v>
      </c>
      <c r="L1932" s="5" t="str">
        <f t="shared" si="557"/>
        <v>01931</v>
      </c>
      <c r="M1932" s="47" t="str">
        <f t="shared" si="558"/>
        <v>10 de abril de 2019</v>
      </c>
      <c r="N1932" s="323">
        <f t="shared" si="559"/>
        <v>10</v>
      </c>
      <c r="O1932" s="25">
        <f t="shared" si="560"/>
        <v>43556</v>
      </c>
      <c r="P1932" s="5" t="str">
        <f t="shared" si="561"/>
        <v>15.000,00</v>
      </c>
      <c r="Q1932" s="4" t="e">
        <f t="shared" ca="1" si="562"/>
        <v>#NAME?</v>
      </c>
    </row>
    <row r="1933" spans="1:17">
      <c r="A1933" s="1">
        <f t="shared" si="556"/>
        <v>1932</v>
      </c>
      <c r="C1933" s="8" t="s">
        <v>17</v>
      </c>
      <c r="D1933" s="2">
        <v>43566</v>
      </c>
      <c r="E1933" s="3">
        <v>12000</v>
      </c>
      <c r="F1933" t="s">
        <v>197</v>
      </c>
      <c r="G1933" t="s">
        <v>198</v>
      </c>
      <c r="H1933" t="s">
        <v>199</v>
      </c>
      <c r="I1933" s="161" t="s">
        <v>940</v>
      </c>
      <c r="J1933" s="61" t="s">
        <v>22</v>
      </c>
      <c r="L1933" s="5" t="str">
        <f t="shared" si="557"/>
        <v>01932</v>
      </c>
      <c r="M1933" s="47" t="str">
        <f t="shared" si="558"/>
        <v>11 de abril de 2019</v>
      </c>
      <c r="N1933" s="323">
        <f t="shared" si="559"/>
        <v>11</v>
      </c>
      <c r="O1933" s="25">
        <f t="shared" si="560"/>
        <v>43556</v>
      </c>
      <c r="P1933" s="5" t="str">
        <f t="shared" si="561"/>
        <v>12.000,00</v>
      </c>
      <c r="Q1933" s="4" t="e">
        <f t="shared" ca="1" si="562"/>
        <v>#NAME?</v>
      </c>
    </row>
    <row r="1934" spans="1:17">
      <c r="A1934" s="1">
        <f t="shared" si="556"/>
        <v>1933</v>
      </c>
      <c r="C1934" s="8" t="s">
        <v>17</v>
      </c>
      <c r="D1934" s="2">
        <v>43454</v>
      </c>
      <c r="E1934" s="3">
        <v>800</v>
      </c>
      <c r="F1934" t="s">
        <v>177</v>
      </c>
      <c r="G1934" t="s">
        <v>941</v>
      </c>
      <c r="H1934" t="s">
        <v>179</v>
      </c>
      <c r="I1934" s="6" t="s">
        <v>942</v>
      </c>
      <c r="J1934" s="61" t="s">
        <v>22</v>
      </c>
      <c r="L1934" s="5" t="str">
        <f t="shared" si="557"/>
        <v>01933</v>
      </c>
      <c r="M1934" s="47" t="str">
        <f t="shared" si="558"/>
        <v>20 de diciembre de 2018</v>
      </c>
      <c r="N1934" s="323">
        <f t="shared" si="559"/>
        <v>20</v>
      </c>
      <c r="O1934" s="25">
        <f t="shared" si="560"/>
        <v>43435</v>
      </c>
      <c r="P1934" s="5" t="str">
        <f t="shared" si="561"/>
        <v>800,00</v>
      </c>
      <c r="Q1934" s="4" t="e">
        <f t="shared" ca="1" si="562"/>
        <v>#NAME?</v>
      </c>
    </row>
    <row r="1935" spans="1:17">
      <c r="A1935" s="1">
        <f t="shared" si="556"/>
        <v>1934</v>
      </c>
      <c r="C1935" s="8" t="s">
        <v>17</v>
      </c>
      <c r="D1935" s="2">
        <v>43500</v>
      </c>
      <c r="E1935" s="3">
        <v>3000</v>
      </c>
      <c r="F1935" t="s">
        <v>177</v>
      </c>
      <c r="G1935" t="s">
        <v>941</v>
      </c>
      <c r="H1935" t="s">
        <v>179</v>
      </c>
      <c r="I1935" s="6" t="s">
        <v>943</v>
      </c>
      <c r="J1935" s="61" t="s">
        <v>22</v>
      </c>
      <c r="L1935" s="5" t="str">
        <f t="shared" si="557"/>
        <v>01934</v>
      </c>
      <c r="M1935" s="47" t="str">
        <f t="shared" si="558"/>
        <v>04 de febrero de 2019</v>
      </c>
      <c r="N1935" s="323">
        <f t="shared" si="559"/>
        <v>4</v>
      </c>
      <c r="O1935" s="25">
        <f t="shared" si="560"/>
        <v>43497</v>
      </c>
      <c r="P1935" s="5" t="str">
        <f t="shared" si="561"/>
        <v>3.000,00</v>
      </c>
      <c r="Q1935" s="4" t="e">
        <f t="shared" ca="1" si="562"/>
        <v>#NAME?</v>
      </c>
    </row>
    <row r="1936" spans="1:17">
      <c r="A1936" s="1">
        <f t="shared" si="556"/>
        <v>1935</v>
      </c>
      <c r="C1936" s="8" t="s">
        <v>17</v>
      </c>
      <c r="D1936" s="2">
        <v>43527</v>
      </c>
      <c r="E1936" s="3">
        <v>3000</v>
      </c>
      <c r="F1936" t="s">
        <v>177</v>
      </c>
      <c r="G1936" t="s">
        <v>941</v>
      </c>
      <c r="H1936" t="s">
        <v>179</v>
      </c>
      <c r="I1936" s="6" t="s">
        <v>944</v>
      </c>
      <c r="J1936" s="61" t="s">
        <v>22</v>
      </c>
      <c r="L1936" s="5" t="str">
        <f t="shared" si="557"/>
        <v>01935</v>
      </c>
      <c r="M1936" s="47" t="str">
        <f t="shared" si="558"/>
        <v>03 de marzo de 2019</v>
      </c>
      <c r="N1936" s="323">
        <f t="shared" si="559"/>
        <v>3</v>
      </c>
      <c r="O1936" s="25">
        <f t="shared" si="560"/>
        <v>43525</v>
      </c>
      <c r="P1936" s="5" t="str">
        <f t="shared" si="561"/>
        <v>3.000,00</v>
      </c>
      <c r="Q1936" s="4" t="e">
        <f t="shared" ca="1" si="562"/>
        <v>#NAME?</v>
      </c>
    </row>
    <row r="1937" spans="1:17">
      <c r="A1937" s="1">
        <f t="shared" si="556"/>
        <v>1936</v>
      </c>
      <c r="C1937" s="8" t="s">
        <v>17</v>
      </c>
      <c r="D1937" s="2">
        <v>43556</v>
      </c>
      <c r="E1937" s="3">
        <v>3000</v>
      </c>
      <c r="F1937" t="s">
        <v>177</v>
      </c>
      <c r="G1937" t="s">
        <v>941</v>
      </c>
      <c r="H1937" t="s">
        <v>179</v>
      </c>
      <c r="I1937" s="6" t="s">
        <v>945</v>
      </c>
      <c r="J1937" s="61" t="s">
        <v>22</v>
      </c>
      <c r="L1937" s="5" t="str">
        <f t="shared" si="557"/>
        <v>01936</v>
      </c>
      <c r="M1937" s="47" t="str">
        <f t="shared" si="558"/>
        <v>01 de abril de 2019</v>
      </c>
      <c r="N1937" s="323">
        <f t="shared" si="559"/>
        <v>1</v>
      </c>
      <c r="O1937" s="25">
        <f t="shared" si="560"/>
        <v>43556</v>
      </c>
      <c r="P1937" s="5" t="str">
        <f t="shared" si="561"/>
        <v>3.000,00</v>
      </c>
      <c r="Q1937" s="4" t="e">
        <f t="shared" ca="1" si="562"/>
        <v>#NAME?</v>
      </c>
    </row>
    <row r="1938" spans="1:17">
      <c r="A1938" s="1">
        <f t="shared" si="556"/>
        <v>1937</v>
      </c>
      <c r="C1938" s="8" t="s">
        <v>17</v>
      </c>
      <c r="D1938" s="2">
        <v>43565</v>
      </c>
      <c r="E1938" s="3">
        <v>3000</v>
      </c>
      <c r="F1938" t="s">
        <v>177</v>
      </c>
      <c r="G1938" t="s">
        <v>941</v>
      </c>
      <c r="H1938" t="s">
        <v>179</v>
      </c>
      <c r="I1938" s="6" t="s">
        <v>946</v>
      </c>
      <c r="J1938" s="61" t="s">
        <v>22</v>
      </c>
      <c r="L1938" s="5" t="str">
        <f t="shared" ref="L1938:L1939" si="563">IF(ISBLANK(A1938),"",TEXT(A1938,"00000"))</f>
        <v>01937</v>
      </c>
      <c r="M1938" s="47" t="str">
        <f t="shared" ref="M1938:M1939" si="564">IF(ISBLANK(D1938),"",TEXT(D1938,"dd")&amp;" de "&amp;TEXT(D1938,"mmmm")&amp;" de "&amp;TEXT(YEAR(D1938),"0"))</f>
        <v>10 de abril de 2019</v>
      </c>
      <c r="N1938" s="323">
        <f t="shared" ref="N1938:N1939" si="565">DAY(D1938)</f>
        <v>10</v>
      </c>
      <c r="O1938" s="25">
        <f t="shared" ref="O1938:O1939" si="566">DATE(YEAR(D1938),MONTH(D1938),1)</f>
        <v>43556</v>
      </c>
      <c r="P1938" s="5" t="str">
        <f t="shared" ref="P1938:P1939" si="567">TEXT(E1938,"#.##0,00")</f>
        <v>3.000,00</v>
      </c>
      <c r="Q1938" s="4" t="e">
        <f t="shared" ref="Q1938:Q1939" ca="1" si="568">CONVERTIRNUM(E1938)</f>
        <v>#NAME?</v>
      </c>
    </row>
    <row r="1939" spans="1:17">
      <c r="A1939" s="1">
        <f t="shared" si="556"/>
        <v>1938</v>
      </c>
      <c r="C1939" s="8" t="s">
        <v>17</v>
      </c>
      <c r="D1939" s="2">
        <v>43566</v>
      </c>
      <c r="E1939" s="3">
        <v>6000</v>
      </c>
      <c r="F1939" t="s">
        <v>417</v>
      </c>
      <c r="G1939" t="s">
        <v>418</v>
      </c>
      <c r="H1939" t="s">
        <v>419</v>
      </c>
      <c r="I1939" s="6" t="s">
        <v>918</v>
      </c>
      <c r="J1939" s="61" t="s">
        <v>22</v>
      </c>
      <c r="L1939" s="5" t="str">
        <f t="shared" si="563"/>
        <v>01938</v>
      </c>
      <c r="M1939" s="47" t="str">
        <f t="shared" si="564"/>
        <v>11 de abril de 2019</v>
      </c>
      <c r="N1939" s="323">
        <f t="shared" si="565"/>
        <v>11</v>
      </c>
      <c r="O1939" s="25">
        <f t="shared" si="566"/>
        <v>43556</v>
      </c>
      <c r="P1939" s="5" t="str">
        <f t="shared" si="567"/>
        <v>6.000,00</v>
      </c>
      <c r="Q1939" s="4" t="e">
        <f t="shared" ca="1" si="568"/>
        <v>#NAME?</v>
      </c>
    </row>
    <row r="1940" spans="1:17">
      <c r="A1940" s="1">
        <f t="shared" si="556"/>
        <v>1939</v>
      </c>
      <c r="C1940" s="8" t="s">
        <v>17</v>
      </c>
      <c r="D1940" s="2">
        <v>43567</v>
      </c>
      <c r="E1940" s="3">
        <v>10000</v>
      </c>
      <c r="F1940" t="s">
        <v>947</v>
      </c>
      <c r="G1940" t="s">
        <v>948</v>
      </c>
      <c r="H1940" t="s">
        <v>949</v>
      </c>
      <c r="I1940" s="6" t="s">
        <v>927</v>
      </c>
      <c r="J1940" s="61" t="s">
        <v>22</v>
      </c>
      <c r="L1940" s="5" t="str">
        <f t="shared" ref="L1940:L1960" si="569">IF(ISBLANK(A1940),"",TEXT(A1940,"00000"))</f>
        <v>01939</v>
      </c>
      <c r="M1940" s="47" t="str">
        <f t="shared" ref="M1940:M1960" si="570">IF(ISBLANK(D1940),"",TEXT(D1940,"dd")&amp;" de "&amp;TEXT(D1940,"mmmm")&amp;" de "&amp;TEXT(YEAR(D1940),"0"))</f>
        <v>12 de abril de 2019</v>
      </c>
      <c r="N1940" s="323">
        <f t="shared" ref="N1940:N1960" si="571">DAY(D1940)</f>
        <v>12</v>
      </c>
      <c r="O1940" s="25">
        <f t="shared" ref="O1940:O1960" si="572">DATE(YEAR(D1940),MONTH(D1940),1)</f>
        <v>43556</v>
      </c>
      <c r="P1940" s="5" t="str">
        <f t="shared" ref="P1940:P1960" si="573">TEXT(E1940,"#.##0,00")</f>
        <v>10.000,00</v>
      </c>
      <c r="Q1940" s="4" t="e">
        <f t="shared" ref="Q1940:Q1943" ca="1" si="574">CONVERTIRNUM(E1940)</f>
        <v>#NAME?</v>
      </c>
    </row>
    <row r="1941" spans="1:17">
      <c r="A1941" s="1">
        <f>A1940+1</f>
        <v>1940</v>
      </c>
      <c r="C1941" s="8" t="s">
        <v>17</v>
      </c>
      <c r="D1941" s="2">
        <v>43567</v>
      </c>
      <c r="E1941" s="3">
        <v>2000</v>
      </c>
      <c r="F1941" t="s">
        <v>70</v>
      </c>
      <c r="G1941" t="s">
        <v>71</v>
      </c>
      <c r="H1941" t="s">
        <v>72</v>
      </c>
      <c r="I1941" s="6" t="s">
        <v>950</v>
      </c>
      <c r="J1941" s="61" t="s">
        <v>22</v>
      </c>
      <c r="L1941" s="5" t="str">
        <f t="shared" si="569"/>
        <v>01940</v>
      </c>
      <c r="M1941" s="47" t="str">
        <f t="shared" si="570"/>
        <v>12 de abril de 2019</v>
      </c>
      <c r="N1941" s="323">
        <f t="shared" si="571"/>
        <v>12</v>
      </c>
      <c r="O1941" s="25">
        <f t="shared" si="572"/>
        <v>43556</v>
      </c>
      <c r="P1941" s="5" t="str">
        <f t="shared" si="573"/>
        <v>2.000,00</v>
      </c>
      <c r="Q1941" s="4" t="e">
        <f t="shared" ca="1" si="574"/>
        <v>#NAME?</v>
      </c>
    </row>
    <row r="1942" spans="1:17">
      <c r="A1942" s="1">
        <f t="shared" ref="A1942:A1945" si="575">A1941+1</f>
        <v>1941</v>
      </c>
      <c r="C1942" s="8" t="s">
        <v>17</v>
      </c>
      <c r="D1942" s="2">
        <v>43567</v>
      </c>
      <c r="E1942" s="3">
        <v>12000</v>
      </c>
      <c r="F1942" t="s">
        <v>264</v>
      </c>
      <c r="G1942" t="s">
        <v>265</v>
      </c>
      <c r="H1942" t="s">
        <v>266</v>
      </c>
      <c r="I1942" s="6" t="s">
        <v>938</v>
      </c>
      <c r="J1942" s="61" t="s">
        <v>22</v>
      </c>
      <c r="L1942" s="5" t="str">
        <f t="shared" si="569"/>
        <v>01941</v>
      </c>
      <c r="M1942" s="47" t="str">
        <f t="shared" si="570"/>
        <v>12 de abril de 2019</v>
      </c>
      <c r="N1942" s="323">
        <f t="shared" si="571"/>
        <v>12</v>
      </c>
      <c r="O1942" s="25">
        <f t="shared" si="572"/>
        <v>43556</v>
      </c>
      <c r="P1942" s="5" t="str">
        <f t="shared" si="573"/>
        <v>12.000,00</v>
      </c>
      <c r="Q1942" s="4" t="e">
        <f t="shared" ca="1" si="574"/>
        <v>#NAME?</v>
      </c>
    </row>
    <row r="1943" spans="1:17">
      <c r="A1943" s="1">
        <f t="shared" si="575"/>
        <v>1942</v>
      </c>
      <c r="C1943" s="8" t="s">
        <v>17</v>
      </c>
      <c r="D1943" s="2">
        <v>43567</v>
      </c>
      <c r="E1943" s="3">
        <v>2000</v>
      </c>
      <c r="F1943" t="s">
        <v>134</v>
      </c>
      <c r="G1943" t="s">
        <v>135</v>
      </c>
      <c r="H1943" t="s">
        <v>136</v>
      </c>
      <c r="I1943" s="6" t="s">
        <v>950</v>
      </c>
      <c r="J1943" s="61" t="s">
        <v>22</v>
      </c>
      <c r="L1943" s="5" t="str">
        <f t="shared" si="569"/>
        <v>01942</v>
      </c>
      <c r="M1943" s="47" t="str">
        <f t="shared" si="570"/>
        <v>12 de abril de 2019</v>
      </c>
      <c r="N1943" s="323">
        <f t="shared" si="571"/>
        <v>12</v>
      </c>
      <c r="O1943" s="25">
        <f t="shared" si="572"/>
        <v>43556</v>
      </c>
      <c r="P1943" s="5" t="str">
        <f t="shared" si="573"/>
        <v>2.000,00</v>
      </c>
      <c r="Q1943" s="4" t="e">
        <f t="shared" ca="1" si="574"/>
        <v>#NAME?</v>
      </c>
    </row>
    <row r="1944" spans="1:17">
      <c r="A1944" s="1">
        <f t="shared" si="575"/>
        <v>1943</v>
      </c>
      <c r="C1944" s="8" t="s">
        <v>17</v>
      </c>
      <c r="D1944" s="2">
        <v>43567</v>
      </c>
      <c r="E1944" s="3">
        <v>2000</v>
      </c>
      <c r="F1944" t="s">
        <v>407</v>
      </c>
      <c r="G1944" t="s">
        <v>408</v>
      </c>
      <c r="H1944" t="s">
        <v>409</v>
      </c>
      <c r="I1944" s="6" t="s">
        <v>950</v>
      </c>
      <c r="J1944" s="61" t="s">
        <v>22</v>
      </c>
      <c r="L1944" s="5" t="str">
        <f t="shared" si="569"/>
        <v>01943</v>
      </c>
      <c r="M1944" s="47" t="str">
        <f t="shared" si="570"/>
        <v>12 de abril de 2019</v>
      </c>
      <c r="N1944" s="323">
        <f t="shared" si="571"/>
        <v>12</v>
      </c>
      <c r="O1944" s="25">
        <f t="shared" si="572"/>
        <v>43556</v>
      </c>
      <c r="P1944" s="5" t="str">
        <f t="shared" si="573"/>
        <v>2.000,00</v>
      </c>
      <c r="Q1944" s="4" t="e">
        <f ca="1">CONVERTIRNUM(E1944)</f>
        <v>#NAME?</v>
      </c>
    </row>
    <row r="1945" spans="1:17">
      <c r="A1945" s="1">
        <f t="shared" si="575"/>
        <v>1944</v>
      </c>
      <c r="C1945" s="8" t="s">
        <v>17</v>
      </c>
      <c r="D1945" s="2">
        <v>43567</v>
      </c>
      <c r="E1945" s="3">
        <v>2000</v>
      </c>
      <c r="F1945" t="s">
        <v>417</v>
      </c>
      <c r="G1945" t="s">
        <v>418</v>
      </c>
      <c r="H1945" t="s">
        <v>419</v>
      </c>
      <c r="I1945" s="6" t="s">
        <v>950</v>
      </c>
      <c r="J1945" s="61" t="s">
        <v>22</v>
      </c>
      <c r="L1945" s="5" t="str">
        <f t="shared" si="569"/>
        <v>01944</v>
      </c>
      <c r="M1945" s="47" t="str">
        <f t="shared" si="570"/>
        <v>12 de abril de 2019</v>
      </c>
      <c r="N1945" s="323">
        <f t="shared" si="571"/>
        <v>12</v>
      </c>
      <c r="O1945" s="25">
        <f t="shared" si="572"/>
        <v>43556</v>
      </c>
      <c r="P1945" s="5" t="str">
        <f t="shared" si="573"/>
        <v>2.000,00</v>
      </c>
      <c r="Q1945" s="4" t="e">
        <f t="shared" ref="Q1945:Q1967" ca="1" si="576">CONVERTIRNUM(E1945)</f>
        <v>#NAME?</v>
      </c>
    </row>
    <row r="1946" spans="1:17">
      <c r="A1946" s="1">
        <f>A1945+1</f>
        <v>1945</v>
      </c>
      <c r="C1946" s="8" t="s">
        <v>17</v>
      </c>
      <c r="D1946" s="2">
        <v>43568</v>
      </c>
      <c r="E1946" s="3">
        <v>5000</v>
      </c>
      <c r="F1946" t="s">
        <v>36</v>
      </c>
      <c r="G1946" t="s">
        <v>37</v>
      </c>
      <c r="H1946" t="s">
        <v>38</v>
      </c>
      <c r="I1946" s="6" t="s">
        <v>951</v>
      </c>
      <c r="J1946" s="61" t="s">
        <v>22</v>
      </c>
      <c r="L1946" s="5" t="str">
        <f t="shared" si="569"/>
        <v>01945</v>
      </c>
      <c r="M1946" s="47" t="str">
        <f t="shared" si="570"/>
        <v>13 de abril de 2019</v>
      </c>
      <c r="N1946" s="323">
        <f t="shared" si="571"/>
        <v>13</v>
      </c>
      <c r="O1946" s="25">
        <f t="shared" si="572"/>
        <v>43556</v>
      </c>
      <c r="P1946" s="5" t="str">
        <f t="shared" si="573"/>
        <v>5.000,00</v>
      </c>
      <c r="Q1946" s="4" t="e">
        <f t="shared" ca="1" si="576"/>
        <v>#NAME?</v>
      </c>
    </row>
    <row r="1947" spans="1:17">
      <c r="A1947" s="1">
        <f t="shared" ref="A1947:A2004" si="577">A1946+1</f>
        <v>1946</v>
      </c>
      <c r="C1947" s="8" t="s">
        <v>17</v>
      </c>
      <c r="D1947" s="2">
        <v>43568</v>
      </c>
      <c r="E1947" s="3">
        <f>3000+10000</f>
        <v>13000</v>
      </c>
      <c r="F1947" t="s">
        <v>230</v>
      </c>
      <c r="G1947" t="s">
        <v>231</v>
      </c>
      <c r="H1947" t="s">
        <v>232</v>
      </c>
      <c r="I1947" s="6" t="s">
        <v>952</v>
      </c>
      <c r="J1947" s="61" t="s">
        <v>22</v>
      </c>
      <c r="L1947" s="5" t="str">
        <f t="shared" si="569"/>
        <v>01946</v>
      </c>
      <c r="M1947" s="47" t="str">
        <f t="shared" si="570"/>
        <v>13 de abril de 2019</v>
      </c>
      <c r="N1947" s="323">
        <f t="shared" si="571"/>
        <v>13</v>
      </c>
      <c r="O1947" s="25">
        <f t="shared" si="572"/>
        <v>43556</v>
      </c>
      <c r="P1947" s="5" t="str">
        <f t="shared" si="573"/>
        <v>13.000,00</v>
      </c>
      <c r="Q1947" s="4" t="e">
        <f t="shared" ca="1" si="576"/>
        <v>#NAME?</v>
      </c>
    </row>
    <row r="1948" spans="1:17">
      <c r="A1948" s="1">
        <f t="shared" si="577"/>
        <v>1947</v>
      </c>
      <c r="C1948" s="8" t="s">
        <v>17</v>
      </c>
      <c r="D1948" s="2">
        <v>43569</v>
      </c>
      <c r="E1948" s="3">
        <v>900</v>
      </c>
      <c r="F1948" t="s">
        <v>433</v>
      </c>
      <c r="G1948" t="s">
        <v>434</v>
      </c>
      <c r="H1948" t="s">
        <v>435</v>
      </c>
      <c r="I1948" s="6" t="s">
        <v>953</v>
      </c>
      <c r="J1948" s="61" t="s">
        <v>22</v>
      </c>
      <c r="L1948" s="5" t="str">
        <f t="shared" si="569"/>
        <v>01947</v>
      </c>
      <c r="M1948" s="47" t="str">
        <f t="shared" si="570"/>
        <v>14 de abril de 2019</v>
      </c>
      <c r="N1948" s="323">
        <f t="shared" si="571"/>
        <v>14</v>
      </c>
      <c r="O1948" s="25">
        <f t="shared" si="572"/>
        <v>43556</v>
      </c>
      <c r="P1948" s="5" t="str">
        <f t="shared" si="573"/>
        <v>900,00</v>
      </c>
      <c r="Q1948" s="4" t="e">
        <f t="shared" ca="1" si="576"/>
        <v>#NAME?</v>
      </c>
    </row>
    <row r="1949" spans="1:17">
      <c r="A1949" s="1">
        <f t="shared" si="577"/>
        <v>1948</v>
      </c>
      <c r="C1949" s="8" t="s">
        <v>17</v>
      </c>
      <c r="D1949" s="2">
        <v>43569</v>
      </c>
      <c r="E1949" s="3">
        <v>2000</v>
      </c>
      <c r="F1949" t="s">
        <v>24</v>
      </c>
      <c r="G1949" t="s">
        <v>25</v>
      </c>
      <c r="H1949" t="s">
        <v>26</v>
      </c>
      <c r="I1949" s="6" t="s">
        <v>950</v>
      </c>
      <c r="J1949" s="61" t="s">
        <v>22</v>
      </c>
      <c r="L1949" s="5" t="str">
        <f t="shared" si="569"/>
        <v>01948</v>
      </c>
      <c r="M1949" s="47" t="str">
        <f t="shared" si="570"/>
        <v>14 de abril de 2019</v>
      </c>
      <c r="N1949" s="323">
        <f t="shared" si="571"/>
        <v>14</v>
      </c>
      <c r="O1949" s="25">
        <f t="shared" si="572"/>
        <v>43556</v>
      </c>
      <c r="P1949" s="5" t="str">
        <f t="shared" si="573"/>
        <v>2.000,00</v>
      </c>
      <c r="Q1949" s="4" t="e">
        <f t="shared" ca="1" si="576"/>
        <v>#NAME?</v>
      </c>
    </row>
    <row r="1950" spans="1:17">
      <c r="A1950" s="1">
        <f t="shared" si="577"/>
        <v>1949</v>
      </c>
      <c r="C1950" s="8" t="s">
        <v>17</v>
      </c>
      <c r="D1950" s="2">
        <v>43571</v>
      </c>
      <c r="E1950" s="3">
        <v>5000</v>
      </c>
      <c r="F1950" t="s">
        <v>438</v>
      </c>
      <c r="G1950" t="s">
        <v>439</v>
      </c>
      <c r="H1950" t="s">
        <v>440</v>
      </c>
      <c r="I1950" s="6" t="s">
        <v>954</v>
      </c>
      <c r="J1950" s="61" t="s">
        <v>22</v>
      </c>
      <c r="L1950" s="5" t="str">
        <f t="shared" si="569"/>
        <v>01949</v>
      </c>
      <c r="M1950" s="47" t="str">
        <f t="shared" si="570"/>
        <v>16 de abril de 2019</v>
      </c>
      <c r="N1950" s="323">
        <f t="shared" si="571"/>
        <v>16</v>
      </c>
      <c r="O1950" s="25">
        <f t="shared" si="572"/>
        <v>43556</v>
      </c>
      <c r="P1950" s="5" t="str">
        <f t="shared" si="573"/>
        <v>5.000,00</v>
      </c>
      <c r="Q1950" s="4" t="e">
        <f t="shared" ca="1" si="576"/>
        <v>#NAME?</v>
      </c>
    </row>
    <row r="1951" spans="1:17">
      <c r="A1951" s="1">
        <f t="shared" si="577"/>
        <v>1950</v>
      </c>
      <c r="C1951" s="8" t="s">
        <v>17</v>
      </c>
      <c r="D1951" s="2">
        <v>43571</v>
      </c>
      <c r="E1951" s="3">
        <v>5000</v>
      </c>
      <c r="F1951" t="s">
        <v>771</v>
      </c>
      <c r="G1951" t="s">
        <v>772</v>
      </c>
      <c r="H1951" t="s">
        <v>773</v>
      </c>
      <c r="I1951" s="6" t="s">
        <v>955</v>
      </c>
      <c r="J1951" s="61" t="s">
        <v>22</v>
      </c>
      <c r="L1951" s="5" t="str">
        <f t="shared" si="569"/>
        <v>01950</v>
      </c>
      <c r="M1951" s="47" t="str">
        <f t="shared" si="570"/>
        <v>16 de abril de 2019</v>
      </c>
      <c r="N1951" s="323">
        <f t="shared" si="571"/>
        <v>16</v>
      </c>
      <c r="O1951" s="25">
        <f t="shared" si="572"/>
        <v>43556</v>
      </c>
      <c r="P1951" s="5" t="str">
        <f t="shared" si="573"/>
        <v>5.000,00</v>
      </c>
      <c r="Q1951" s="4" t="e">
        <f t="shared" ca="1" si="576"/>
        <v>#NAME?</v>
      </c>
    </row>
    <row r="1952" spans="1:17" ht="16.5" customHeight="1">
      <c r="A1952" s="1">
        <f t="shared" si="577"/>
        <v>1951</v>
      </c>
      <c r="C1952" s="8" t="s">
        <v>17</v>
      </c>
      <c r="D1952" s="2">
        <v>43571</v>
      </c>
      <c r="E1952" s="3">
        <v>5000</v>
      </c>
      <c r="F1952" t="s">
        <v>219</v>
      </c>
      <c r="G1952" t="s">
        <v>220</v>
      </c>
      <c r="H1952" t="s">
        <v>221</v>
      </c>
      <c r="I1952" s="6" t="s">
        <v>956</v>
      </c>
      <c r="J1952" s="61" t="s">
        <v>22</v>
      </c>
      <c r="L1952" s="5" t="str">
        <f t="shared" si="569"/>
        <v>01951</v>
      </c>
      <c r="M1952" s="47" t="str">
        <f t="shared" si="570"/>
        <v>16 de abril de 2019</v>
      </c>
      <c r="N1952" s="323">
        <f t="shared" si="571"/>
        <v>16</v>
      </c>
      <c r="O1952" s="25">
        <f t="shared" si="572"/>
        <v>43556</v>
      </c>
      <c r="P1952" s="5" t="str">
        <f t="shared" si="573"/>
        <v>5.000,00</v>
      </c>
      <c r="Q1952" s="4" t="e">
        <f t="shared" ca="1" si="576"/>
        <v>#NAME?</v>
      </c>
    </row>
    <row r="1953" spans="1:17">
      <c r="A1953" s="1">
        <f t="shared" si="577"/>
        <v>1952</v>
      </c>
      <c r="C1953" s="8" t="s">
        <v>17</v>
      </c>
      <c r="D1953" s="2">
        <v>43571</v>
      </c>
      <c r="E1953" s="3">
        <v>5000</v>
      </c>
      <c r="F1953" t="s">
        <v>633</v>
      </c>
      <c r="G1953" t="s">
        <v>634</v>
      </c>
      <c r="H1953" t="s">
        <v>635</v>
      </c>
      <c r="I1953" s="6" t="s">
        <v>917</v>
      </c>
      <c r="J1953" s="61" t="s">
        <v>22</v>
      </c>
      <c r="L1953" s="5" t="str">
        <f t="shared" si="569"/>
        <v>01952</v>
      </c>
      <c r="M1953" s="47" t="str">
        <f t="shared" si="570"/>
        <v>16 de abril de 2019</v>
      </c>
      <c r="N1953" s="323">
        <f t="shared" si="571"/>
        <v>16</v>
      </c>
      <c r="O1953" s="25">
        <f t="shared" si="572"/>
        <v>43556</v>
      </c>
      <c r="P1953" s="5" t="str">
        <f t="shared" si="573"/>
        <v>5.000,00</v>
      </c>
      <c r="Q1953" s="4" t="e">
        <f t="shared" ca="1" si="576"/>
        <v>#NAME?</v>
      </c>
    </row>
    <row r="1954" spans="1:17">
      <c r="A1954" s="1">
        <f t="shared" si="577"/>
        <v>1953</v>
      </c>
      <c r="C1954" s="8" t="s">
        <v>17</v>
      </c>
      <c r="D1954" s="2">
        <v>43571</v>
      </c>
      <c r="E1954" s="3">
        <v>5000</v>
      </c>
      <c r="F1954" t="s">
        <v>18</v>
      </c>
      <c r="G1954" t="s">
        <v>19</v>
      </c>
      <c r="H1954" t="s">
        <v>20</v>
      </c>
      <c r="I1954" s="6" t="s">
        <v>957</v>
      </c>
      <c r="J1954" s="61" t="s">
        <v>22</v>
      </c>
      <c r="L1954" s="5" t="str">
        <f t="shared" si="569"/>
        <v>01953</v>
      </c>
      <c r="M1954" s="47" t="str">
        <f t="shared" si="570"/>
        <v>16 de abril de 2019</v>
      </c>
      <c r="N1954" s="323">
        <f t="shared" si="571"/>
        <v>16</v>
      </c>
      <c r="O1954" s="25">
        <f t="shared" si="572"/>
        <v>43556</v>
      </c>
      <c r="P1954" s="5" t="str">
        <f t="shared" si="573"/>
        <v>5.000,00</v>
      </c>
      <c r="Q1954" s="4" t="e">
        <f t="shared" ca="1" si="576"/>
        <v>#NAME?</v>
      </c>
    </row>
    <row r="1955" spans="1:17">
      <c r="A1955" s="1">
        <f t="shared" si="577"/>
        <v>1954</v>
      </c>
      <c r="C1955" s="8" t="s">
        <v>17</v>
      </c>
      <c r="D1955" s="2">
        <v>43571</v>
      </c>
      <c r="E1955" s="3">
        <v>9000</v>
      </c>
      <c r="F1955" t="s">
        <v>144</v>
      </c>
      <c r="G1955" t="s">
        <v>661</v>
      </c>
      <c r="H1955" t="s">
        <v>146</v>
      </c>
      <c r="I1955" s="6" t="s">
        <v>927</v>
      </c>
      <c r="J1955" s="61" t="s">
        <v>22</v>
      </c>
      <c r="L1955" s="5" t="str">
        <f t="shared" si="569"/>
        <v>01954</v>
      </c>
      <c r="M1955" s="47" t="str">
        <f t="shared" si="570"/>
        <v>16 de abril de 2019</v>
      </c>
      <c r="N1955" s="323">
        <f t="shared" si="571"/>
        <v>16</v>
      </c>
      <c r="O1955" s="25">
        <f t="shared" si="572"/>
        <v>43556</v>
      </c>
      <c r="P1955" s="5" t="str">
        <f t="shared" si="573"/>
        <v>9.000,00</v>
      </c>
      <c r="Q1955" s="4" t="e">
        <f t="shared" ca="1" si="576"/>
        <v>#NAME?</v>
      </c>
    </row>
    <row r="1956" spans="1:17" ht="15.75" thickBot="1">
      <c r="A1956" s="1">
        <f t="shared" si="577"/>
        <v>1955</v>
      </c>
      <c r="C1956" s="8" t="s">
        <v>17</v>
      </c>
      <c r="D1956" s="2">
        <v>43572</v>
      </c>
      <c r="E1956" s="3">
        <v>2000</v>
      </c>
      <c r="F1956" t="s">
        <v>713</v>
      </c>
      <c r="G1956" t="s">
        <v>714</v>
      </c>
      <c r="H1956" t="s">
        <v>154</v>
      </c>
      <c r="I1956" s="6" t="s">
        <v>950</v>
      </c>
      <c r="J1956" s="61" t="s">
        <v>22</v>
      </c>
      <c r="L1956" s="5" t="str">
        <f t="shared" si="569"/>
        <v>01955</v>
      </c>
      <c r="M1956" s="47" t="str">
        <f t="shared" si="570"/>
        <v>17 de abril de 2019</v>
      </c>
      <c r="N1956" s="323">
        <f t="shared" si="571"/>
        <v>17</v>
      </c>
      <c r="O1956" s="25">
        <f t="shared" si="572"/>
        <v>43556</v>
      </c>
      <c r="P1956" s="5" t="str">
        <f t="shared" si="573"/>
        <v>2.000,00</v>
      </c>
      <c r="Q1956" s="4" t="e">
        <f t="shared" ca="1" si="576"/>
        <v>#NAME?</v>
      </c>
    </row>
    <row r="1957" spans="1:17" ht="15.75" thickBot="1">
      <c r="A1957" s="1">
        <f t="shared" si="577"/>
        <v>1956</v>
      </c>
      <c r="C1957" s="8" t="s">
        <v>17</v>
      </c>
      <c r="D1957" s="2">
        <v>43573</v>
      </c>
      <c r="E1957" s="3">
        <v>3000</v>
      </c>
      <c r="F1957" t="s">
        <v>252</v>
      </c>
      <c r="G1957" s="475" t="s">
        <v>958</v>
      </c>
      <c r="H1957" t="s">
        <v>254</v>
      </c>
      <c r="I1957" t="s">
        <v>959</v>
      </c>
      <c r="J1957" s="61" t="s">
        <v>22</v>
      </c>
      <c r="L1957" s="5" t="str">
        <f t="shared" si="569"/>
        <v>01956</v>
      </c>
      <c r="M1957" s="47" t="str">
        <f t="shared" si="570"/>
        <v>18 de abril de 2019</v>
      </c>
      <c r="N1957" s="323">
        <f t="shared" si="571"/>
        <v>18</v>
      </c>
      <c r="O1957" s="25">
        <f t="shared" si="572"/>
        <v>43556</v>
      </c>
      <c r="P1957" s="5" t="str">
        <f t="shared" si="573"/>
        <v>3.000,00</v>
      </c>
      <c r="Q1957" s="4" t="e">
        <f t="shared" ca="1" si="576"/>
        <v>#NAME?</v>
      </c>
    </row>
    <row r="1958" spans="1:17">
      <c r="A1958" s="1">
        <f t="shared" si="577"/>
        <v>1957</v>
      </c>
      <c r="C1958" s="8" t="s">
        <v>17</v>
      </c>
      <c r="D1958" s="2">
        <v>43573</v>
      </c>
      <c r="E1958" s="3">
        <v>5000</v>
      </c>
      <c r="F1958" t="s">
        <v>558</v>
      </c>
      <c r="G1958" t="s">
        <v>559</v>
      </c>
      <c r="H1958" t="s">
        <v>560</v>
      </c>
      <c r="I1958" s="6" t="s">
        <v>917</v>
      </c>
      <c r="J1958" s="61" t="s">
        <v>22</v>
      </c>
      <c r="L1958" s="5" t="str">
        <f t="shared" si="569"/>
        <v>01957</v>
      </c>
      <c r="M1958" s="47" t="str">
        <f t="shared" si="570"/>
        <v>18 de abril de 2019</v>
      </c>
      <c r="N1958" s="323">
        <f t="shared" si="571"/>
        <v>18</v>
      </c>
      <c r="O1958" s="25">
        <f t="shared" si="572"/>
        <v>43556</v>
      </c>
      <c r="P1958" s="5" t="str">
        <f t="shared" si="573"/>
        <v>5.000,00</v>
      </c>
      <c r="Q1958" s="4" t="e">
        <f t="shared" ca="1" si="576"/>
        <v>#NAME?</v>
      </c>
    </row>
    <row r="1959" spans="1:17">
      <c r="A1959" s="1">
        <f t="shared" si="577"/>
        <v>1958</v>
      </c>
      <c r="C1959" s="8" t="s">
        <v>17</v>
      </c>
      <c r="D1959" s="2">
        <v>43573</v>
      </c>
      <c r="E1959" s="3">
        <v>2000</v>
      </c>
      <c r="F1959" t="s">
        <v>48</v>
      </c>
      <c r="G1959" t="s">
        <v>49</v>
      </c>
      <c r="H1959" t="s">
        <v>50</v>
      </c>
      <c r="I1959" s="6" t="s">
        <v>950</v>
      </c>
      <c r="J1959" s="61" t="s">
        <v>22</v>
      </c>
      <c r="L1959" s="5" t="str">
        <f t="shared" si="569"/>
        <v>01958</v>
      </c>
      <c r="M1959" s="47" t="str">
        <f t="shared" si="570"/>
        <v>18 de abril de 2019</v>
      </c>
      <c r="N1959" s="323">
        <f t="shared" si="571"/>
        <v>18</v>
      </c>
      <c r="O1959" s="25">
        <f t="shared" si="572"/>
        <v>43556</v>
      </c>
      <c r="P1959" s="5" t="str">
        <f t="shared" si="573"/>
        <v>2.000,00</v>
      </c>
      <c r="Q1959" s="4" t="e">
        <f t="shared" ca="1" si="576"/>
        <v>#NAME?</v>
      </c>
    </row>
    <row r="1960" spans="1:17">
      <c r="A1960" s="1">
        <f t="shared" si="577"/>
        <v>1959</v>
      </c>
      <c r="C1960" s="8" t="s">
        <v>17</v>
      </c>
      <c r="D1960" s="2">
        <v>43573</v>
      </c>
      <c r="E1960" s="3">
        <v>5000</v>
      </c>
      <c r="F1960" t="s">
        <v>181</v>
      </c>
      <c r="G1960" t="s">
        <v>182</v>
      </c>
      <c r="H1960" t="s">
        <v>183</v>
      </c>
      <c r="I1960" s="6" t="s">
        <v>917</v>
      </c>
      <c r="J1960" s="61" t="s">
        <v>22</v>
      </c>
      <c r="L1960" s="5" t="str">
        <f t="shared" si="569"/>
        <v>01959</v>
      </c>
      <c r="M1960" s="47" t="str">
        <f t="shared" si="570"/>
        <v>18 de abril de 2019</v>
      </c>
      <c r="N1960" s="323">
        <f t="shared" si="571"/>
        <v>18</v>
      </c>
      <c r="O1960" s="25">
        <f t="shared" si="572"/>
        <v>43556</v>
      </c>
      <c r="P1960" s="5" t="str">
        <f t="shared" si="573"/>
        <v>5.000,00</v>
      </c>
      <c r="Q1960" s="4" t="e">
        <f t="shared" ca="1" si="576"/>
        <v>#NAME?</v>
      </c>
    </row>
    <row r="1961" spans="1:17">
      <c r="A1961" s="1">
        <f t="shared" si="577"/>
        <v>1960</v>
      </c>
      <c r="C1961" s="8" t="s">
        <v>17</v>
      </c>
      <c r="D1961" s="2">
        <v>43574</v>
      </c>
      <c r="E1961" s="3">
        <v>5000</v>
      </c>
      <c r="F1961" t="s">
        <v>947</v>
      </c>
      <c r="G1961" t="s">
        <v>948</v>
      </c>
      <c r="H1961" t="s">
        <v>949</v>
      </c>
      <c r="I1961" s="6" t="s">
        <v>917</v>
      </c>
      <c r="J1961" s="61" t="s">
        <v>22</v>
      </c>
      <c r="L1961" s="5" t="str">
        <f t="shared" ref="L1961:L1978" si="578">IF(ISBLANK(A1961),"",TEXT(A1961,"00000"))</f>
        <v>01960</v>
      </c>
      <c r="M1961" s="47" t="str">
        <f t="shared" ref="M1961:M1978" si="579">IF(ISBLANK(D1961),"",TEXT(D1961,"dd")&amp;" de "&amp;TEXT(D1961,"mmmm")&amp;" de "&amp;TEXT(YEAR(D1961),"0"))</f>
        <v>19 de abril de 2019</v>
      </c>
      <c r="N1961" s="323">
        <f t="shared" ref="N1961:N1982" si="580">DAY(D1961)</f>
        <v>19</v>
      </c>
      <c r="O1961" s="25">
        <f t="shared" ref="O1961:O1978" si="581">DATE(YEAR(D1961),MONTH(D1961),1)</f>
        <v>43556</v>
      </c>
      <c r="P1961" s="5" t="str">
        <f t="shared" ref="P1961:P1981" si="582">TEXT(E1961,"#.##0,00")</f>
        <v>5.000,00</v>
      </c>
      <c r="Q1961" s="4" t="e">
        <f t="shared" ca="1" si="576"/>
        <v>#NAME?</v>
      </c>
    </row>
    <row r="1962" spans="1:17">
      <c r="A1962" s="1">
        <f t="shared" si="577"/>
        <v>1961</v>
      </c>
      <c r="C1962" s="8" t="s">
        <v>17</v>
      </c>
      <c r="D1962" s="2">
        <v>43574</v>
      </c>
      <c r="E1962" s="3">
        <v>2000</v>
      </c>
      <c r="F1962" t="s">
        <v>84</v>
      </c>
      <c r="G1962" t="s">
        <v>85</v>
      </c>
      <c r="H1962" t="s">
        <v>86</v>
      </c>
      <c r="I1962" s="6" t="s">
        <v>950</v>
      </c>
      <c r="J1962" s="61" t="s">
        <v>22</v>
      </c>
      <c r="L1962" s="5" t="str">
        <f t="shared" si="578"/>
        <v>01961</v>
      </c>
      <c r="M1962" s="47" t="str">
        <f t="shared" si="579"/>
        <v>19 de abril de 2019</v>
      </c>
      <c r="N1962" s="323">
        <f t="shared" si="580"/>
        <v>19</v>
      </c>
      <c r="O1962" s="25">
        <f t="shared" si="581"/>
        <v>43556</v>
      </c>
      <c r="P1962" s="5" t="str">
        <f t="shared" si="582"/>
        <v>2.000,00</v>
      </c>
      <c r="Q1962" s="4" t="e">
        <f t="shared" ca="1" si="576"/>
        <v>#NAME?</v>
      </c>
    </row>
    <row r="1963" spans="1:17">
      <c r="A1963" s="1">
        <f t="shared" si="577"/>
        <v>1962</v>
      </c>
      <c r="C1963" s="8" t="s">
        <v>17</v>
      </c>
      <c r="D1963" s="2">
        <v>43574</v>
      </c>
      <c r="E1963" s="3">
        <v>2000</v>
      </c>
      <c r="F1963" t="s">
        <v>334</v>
      </c>
      <c r="G1963" t="s">
        <v>85</v>
      </c>
      <c r="H1963" t="s">
        <v>335</v>
      </c>
      <c r="I1963" s="6" t="s">
        <v>950</v>
      </c>
      <c r="J1963" s="61" t="s">
        <v>22</v>
      </c>
      <c r="L1963" s="5" t="str">
        <f t="shared" si="578"/>
        <v>01962</v>
      </c>
      <c r="M1963" s="47" t="str">
        <f t="shared" si="579"/>
        <v>19 de abril de 2019</v>
      </c>
      <c r="N1963" s="323">
        <f t="shared" si="580"/>
        <v>19</v>
      </c>
      <c r="O1963" s="25">
        <f t="shared" si="581"/>
        <v>43556</v>
      </c>
      <c r="P1963" s="5" t="str">
        <f t="shared" si="582"/>
        <v>2.000,00</v>
      </c>
      <c r="Q1963" s="4" t="e">
        <f t="shared" ca="1" si="576"/>
        <v>#NAME?</v>
      </c>
    </row>
    <row r="1964" spans="1:17">
      <c r="A1964" s="1">
        <f t="shared" si="577"/>
        <v>1963</v>
      </c>
      <c r="C1964" s="8" t="s">
        <v>17</v>
      </c>
      <c r="D1964" s="2">
        <v>43574</v>
      </c>
      <c r="E1964" s="3">
        <v>7000</v>
      </c>
      <c r="F1964" t="s">
        <v>66</v>
      </c>
      <c r="G1964" t="s">
        <v>67</v>
      </c>
      <c r="H1964" t="s">
        <v>68</v>
      </c>
      <c r="I1964" s="6" t="s">
        <v>960</v>
      </c>
      <c r="J1964" s="61" t="s">
        <v>22</v>
      </c>
      <c r="L1964" s="5" t="str">
        <f t="shared" si="578"/>
        <v>01963</v>
      </c>
      <c r="M1964" s="47" t="str">
        <f t="shared" si="579"/>
        <v>19 de abril de 2019</v>
      </c>
      <c r="N1964" s="323">
        <f t="shared" si="580"/>
        <v>19</v>
      </c>
      <c r="O1964" s="25">
        <f t="shared" si="581"/>
        <v>43556</v>
      </c>
      <c r="P1964" s="5" t="str">
        <f t="shared" si="582"/>
        <v>7.000,00</v>
      </c>
      <c r="Q1964" s="4" t="e">
        <f t="shared" ca="1" si="576"/>
        <v>#NAME?</v>
      </c>
    </row>
    <row r="1965" spans="1:17">
      <c r="A1965" s="1">
        <f t="shared" si="577"/>
        <v>1964</v>
      </c>
      <c r="C1965" s="8" t="s">
        <v>17</v>
      </c>
      <c r="D1965" s="2">
        <v>43576</v>
      </c>
      <c r="E1965" s="3">
        <v>5000</v>
      </c>
      <c r="F1965" t="s">
        <v>843</v>
      </c>
      <c r="G1965" t="s">
        <v>844</v>
      </c>
      <c r="H1965" t="s">
        <v>169</v>
      </c>
      <c r="I1965" s="6" t="s">
        <v>917</v>
      </c>
      <c r="J1965" s="61" t="s">
        <v>22</v>
      </c>
      <c r="L1965" s="5" t="str">
        <f t="shared" si="578"/>
        <v>01964</v>
      </c>
      <c r="M1965" s="47" t="str">
        <f t="shared" si="579"/>
        <v>21 de abril de 2019</v>
      </c>
      <c r="N1965" s="323">
        <f t="shared" si="580"/>
        <v>21</v>
      </c>
      <c r="O1965" s="25">
        <f t="shared" si="581"/>
        <v>43556</v>
      </c>
      <c r="P1965" s="5" t="str">
        <f t="shared" si="582"/>
        <v>5.000,00</v>
      </c>
      <c r="Q1965" s="4" t="e">
        <f t="shared" ca="1" si="576"/>
        <v>#NAME?</v>
      </c>
    </row>
    <row r="1966" spans="1:17">
      <c r="A1966" s="1">
        <f t="shared" si="577"/>
        <v>1965</v>
      </c>
      <c r="C1966" s="8" t="s">
        <v>17</v>
      </c>
      <c r="D1966" s="2">
        <v>43577</v>
      </c>
      <c r="E1966" s="3">
        <v>5000</v>
      </c>
      <c r="F1966" t="s">
        <v>130</v>
      </c>
      <c r="G1966" t="s">
        <v>131</v>
      </c>
      <c r="H1966" t="s">
        <v>132</v>
      </c>
      <c r="I1966" s="6" t="s">
        <v>917</v>
      </c>
      <c r="J1966" s="61" t="s">
        <v>22</v>
      </c>
      <c r="L1966" s="5" t="str">
        <f t="shared" si="578"/>
        <v>01965</v>
      </c>
      <c r="M1966" s="47" t="str">
        <f t="shared" si="579"/>
        <v>22 de abril de 2019</v>
      </c>
      <c r="N1966" s="323">
        <f t="shared" si="580"/>
        <v>22</v>
      </c>
      <c r="O1966" s="25">
        <f t="shared" si="581"/>
        <v>43556</v>
      </c>
      <c r="P1966" s="5" t="str">
        <f t="shared" si="582"/>
        <v>5.000,00</v>
      </c>
      <c r="Q1966" s="4" t="e">
        <f t="shared" ca="1" si="576"/>
        <v>#NAME?</v>
      </c>
    </row>
    <row r="1967" spans="1:17" ht="15.75" thickBot="1">
      <c r="A1967" s="1">
        <f t="shared" si="577"/>
        <v>1966</v>
      </c>
      <c r="C1967" s="8" t="s">
        <v>17</v>
      </c>
      <c r="D1967" s="2">
        <v>43577</v>
      </c>
      <c r="E1967" s="3">
        <v>5000</v>
      </c>
      <c r="F1967" t="s">
        <v>284</v>
      </c>
      <c r="G1967" t="s">
        <v>687</v>
      </c>
      <c r="H1967" t="s">
        <v>285</v>
      </c>
      <c r="I1967" s="6" t="s">
        <v>917</v>
      </c>
      <c r="J1967" s="61" t="s">
        <v>22</v>
      </c>
      <c r="L1967" s="5" t="str">
        <f t="shared" si="578"/>
        <v>01966</v>
      </c>
      <c r="M1967" s="47" t="str">
        <f t="shared" si="579"/>
        <v>22 de abril de 2019</v>
      </c>
      <c r="N1967" s="323">
        <f t="shared" si="580"/>
        <v>22</v>
      </c>
      <c r="O1967" s="25">
        <f t="shared" si="581"/>
        <v>43556</v>
      </c>
      <c r="P1967" s="5" t="str">
        <f t="shared" si="582"/>
        <v>5.000,00</v>
      </c>
      <c r="Q1967" s="4" t="e">
        <f t="shared" ca="1" si="576"/>
        <v>#NAME?</v>
      </c>
    </row>
    <row r="1968" spans="1:17" ht="15.75" thickBot="1">
      <c r="A1968" s="1">
        <f t="shared" si="577"/>
        <v>1967</v>
      </c>
      <c r="C1968" s="8" t="s">
        <v>17</v>
      </c>
      <c r="D1968" s="2">
        <v>43577</v>
      </c>
      <c r="E1968" s="3">
        <f>345.55+2020</f>
        <v>2365.5500000000002</v>
      </c>
      <c r="F1968" t="s">
        <v>252</v>
      </c>
      <c r="G1968" s="475" t="s">
        <v>958</v>
      </c>
      <c r="H1968" t="s">
        <v>254</v>
      </c>
      <c r="I1968" t="s">
        <v>928</v>
      </c>
      <c r="J1968" s="61" t="s">
        <v>22</v>
      </c>
      <c r="L1968" s="5" t="str">
        <f t="shared" si="578"/>
        <v>01967</v>
      </c>
      <c r="M1968" s="47" t="str">
        <f t="shared" si="579"/>
        <v>22 de abril de 2019</v>
      </c>
      <c r="N1968" s="323">
        <f t="shared" si="580"/>
        <v>22</v>
      </c>
      <c r="O1968" s="25">
        <f t="shared" si="581"/>
        <v>43556</v>
      </c>
      <c r="P1968" s="5" t="str">
        <f t="shared" si="582"/>
        <v>2.365,55</v>
      </c>
      <c r="Q1968" s="4" t="e">
        <f t="shared" ref="Q1968:Q1981" ca="1" si="583">CONVERTIRNUM(E1968)</f>
        <v>#NAME?</v>
      </c>
    </row>
    <row r="1969" spans="1:17">
      <c r="A1969" s="1">
        <f t="shared" si="577"/>
        <v>1968</v>
      </c>
      <c r="C1969" s="8" t="s">
        <v>17</v>
      </c>
      <c r="D1969" s="2">
        <v>43577</v>
      </c>
      <c r="E1969" s="3">
        <v>5000</v>
      </c>
      <c r="F1969" t="s">
        <v>53</v>
      </c>
      <c r="G1969" t="s">
        <v>677</v>
      </c>
      <c r="H1969" t="s">
        <v>55</v>
      </c>
      <c r="I1969" s="6" t="s">
        <v>917</v>
      </c>
      <c r="J1969" s="61" t="s">
        <v>22</v>
      </c>
      <c r="L1969" s="5" t="str">
        <f t="shared" si="578"/>
        <v>01968</v>
      </c>
      <c r="M1969" s="47" t="str">
        <f t="shared" si="579"/>
        <v>22 de abril de 2019</v>
      </c>
      <c r="N1969" s="323">
        <f t="shared" si="580"/>
        <v>22</v>
      </c>
      <c r="O1969" s="25">
        <f t="shared" si="581"/>
        <v>43556</v>
      </c>
      <c r="P1969" s="5" t="str">
        <f t="shared" si="582"/>
        <v>5.000,00</v>
      </c>
      <c r="Q1969" s="4" t="e">
        <f t="shared" ca="1" si="583"/>
        <v>#NAME?</v>
      </c>
    </row>
    <row r="1970" spans="1:17">
      <c r="A1970" s="1">
        <f t="shared" si="577"/>
        <v>1969</v>
      </c>
      <c r="C1970" s="8" t="s">
        <v>17</v>
      </c>
      <c r="D1970" s="2">
        <v>43577</v>
      </c>
      <c r="E1970" s="3">
        <v>1440</v>
      </c>
      <c r="F1970" t="s">
        <v>612</v>
      </c>
      <c r="G1970" t="s">
        <v>613</v>
      </c>
      <c r="H1970" t="s">
        <v>614</v>
      </c>
      <c r="I1970" s="6" t="s">
        <v>961</v>
      </c>
      <c r="J1970" s="61" t="s">
        <v>22</v>
      </c>
      <c r="L1970" s="5" t="str">
        <f t="shared" si="578"/>
        <v>01969</v>
      </c>
      <c r="M1970" s="47" t="str">
        <f t="shared" si="579"/>
        <v>22 de abril de 2019</v>
      </c>
      <c r="N1970" s="323">
        <f t="shared" si="580"/>
        <v>22</v>
      </c>
      <c r="O1970" s="25">
        <f t="shared" si="581"/>
        <v>43556</v>
      </c>
      <c r="P1970" s="5" t="str">
        <f t="shared" si="582"/>
        <v>1.440,00</v>
      </c>
      <c r="Q1970" s="4" t="e">
        <f t="shared" ca="1" si="583"/>
        <v>#NAME?</v>
      </c>
    </row>
    <row r="1971" spans="1:17">
      <c r="A1971" s="1">
        <f t="shared" si="577"/>
        <v>1970</v>
      </c>
      <c r="C1971" s="8" t="s">
        <v>17</v>
      </c>
      <c r="D1971" s="2">
        <v>43577</v>
      </c>
      <c r="E1971" s="3">
        <v>5000</v>
      </c>
      <c r="F1971" t="s">
        <v>612</v>
      </c>
      <c r="G1971" t="s">
        <v>613</v>
      </c>
      <c r="H1971" t="s">
        <v>614</v>
      </c>
      <c r="I1971" s="6" t="s">
        <v>917</v>
      </c>
      <c r="J1971" s="61" t="s">
        <v>22</v>
      </c>
      <c r="L1971" s="5" t="str">
        <f t="shared" si="578"/>
        <v>01970</v>
      </c>
      <c r="M1971" s="47" t="str">
        <f t="shared" si="579"/>
        <v>22 de abril de 2019</v>
      </c>
      <c r="N1971" s="323">
        <f t="shared" si="580"/>
        <v>22</v>
      </c>
      <c r="O1971" s="25">
        <f t="shared" si="581"/>
        <v>43556</v>
      </c>
      <c r="P1971" s="5" t="str">
        <f t="shared" si="582"/>
        <v>5.000,00</v>
      </c>
      <c r="Q1971" s="4" t="e">
        <f t="shared" ca="1" si="583"/>
        <v>#NAME?</v>
      </c>
    </row>
    <row r="1972" spans="1:17">
      <c r="A1972" s="1">
        <f t="shared" si="577"/>
        <v>1971</v>
      </c>
      <c r="C1972" s="8" t="s">
        <v>17</v>
      </c>
      <c r="D1972" s="2">
        <v>43577</v>
      </c>
      <c r="E1972" s="3">
        <v>2000</v>
      </c>
      <c r="F1972" t="s">
        <v>342</v>
      </c>
      <c r="G1972" t="s">
        <v>343</v>
      </c>
      <c r="H1972" t="s">
        <v>344</v>
      </c>
      <c r="I1972" s="6" t="s">
        <v>950</v>
      </c>
      <c r="J1972" s="61" t="s">
        <v>22</v>
      </c>
      <c r="L1972" s="5" t="str">
        <f t="shared" si="578"/>
        <v>01971</v>
      </c>
      <c r="M1972" s="47" t="str">
        <f t="shared" si="579"/>
        <v>22 de abril de 2019</v>
      </c>
      <c r="N1972" s="323">
        <f t="shared" si="580"/>
        <v>22</v>
      </c>
      <c r="O1972" s="25">
        <f t="shared" si="581"/>
        <v>43556</v>
      </c>
      <c r="P1972" s="5" t="str">
        <f t="shared" si="582"/>
        <v>2.000,00</v>
      </c>
      <c r="Q1972" s="4" t="e">
        <f t="shared" ca="1" si="583"/>
        <v>#NAME?</v>
      </c>
    </row>
    <row r="1973" spans="1:17">
      <c r="A1973" s="1">
        <f t="shared" si="577"/>
        <v>1972</v>
      </c>
      <c r="C1973" s="8" t="s">
        <v>17</v>
      </c>
      <c r="D1973" s="2">
        <v>43578</v>
      </c>
      <c r="E1973" s="3">
        <v>5000</v>
      </c>
      <c r="F1973" t="s">
        <v>362</v>
      </c>
      <c r="G1973" t="s">
        <v>363</v>
      </c>
      <c r="H1973" t="s">
        <v>364</v>
      </c>
      <c r="I1973" s="6" t="s">
        <v>917</v>
      </c>
      <c r="J1973" s="61" t="s">
        <v>22</v>
      </c>
      <c r="L1973" s="5" t="str">
        <f t="shared" si="578"/>
        <v>01972</v>
      </c>
      <c r="M1973" s="47" t="str">
        <f t="shared" si="579"/>
        <v>23 de abril de 2019</v>
      </c>
      <c r="N1973" s="323">
        <f t="shared" si="580"/>
        <v>23</v>
      </c>
      <c r="O1973" s="25">
        <f t="shared" si="581"/>
        <v>43556</v>
      </c>
      <c r="P1973" s="5" t="str">
        <f t="shared" si="582"/>
        <v>5.000,00</v>
      </c>
      <c r="Q1973" s="4" t="e">
        <f t="shared" ca="1" si="583"/>
        <v>#NAME?</v>
      </c>
    </row>
    <row r="1974" spans="1:17">
      <c r="A1974" s="1">
        <f t="shared" si="577"/>
        <v>1973</v>
      </c>
      <c r="C1974" s="8" t="s">
        <v>17</v>
      </c>
      <c r="D1974" s="2">
        <v>43578</v>
      </c>
      <c r="E1974" s="3">
        <v>5000</v>
      </c>
      <c r="F1974" t="s">
        <v>296</v>
      </c>
      <c r="G1974" t="s">
        <v>297</v>
      </c>
      <c r="H1974" t="s">
        <v>298</v>
      </c>
      <c r="I1974" s="6" t="s">
        <v>917</v>
      </c>
      <c r="J1974" s="61" t="s">
        <v>22</v>
      </c>
      <c r="L1974" s="5" t="str">
        <f t="shared" si="578"/>
        <v>01973</v>
      </c>
      <c r="M1974" s="47" t="str">
        <f t="shared" si="579"/>
        <v>23 de abril de 2019</v>
      </c>
      <c r="N1974" s="323">
        <f t="shared" si="580"/>
        <v>23</v>
      </c>
      <c r="O1974" s="25">
        <f t="shared" si="581"/>
        <v>43556</v>
      </c>
      <c r="P1974" s="5" t="str">
        <f t="shared" si="582"/>
        <v>5.000,00</v>
      </c>
      <c r="Q1974" s="4" t="e">
        <f t="shared" ca="1" si="583"/>
        <v>#NAME?</v>
      </c>
    </row>
    <row r="1975" spans="1:17" ht="15.75" thickBot="1">
      <c r="A1975" s="1">
        <f t="shared" si="577"/>
        <v>1974</v>
      </c>
      <c r="C1975" s="8" t="s">
        <v>17</v>
      </c>
      <c r="D1975" s="2">
        <v>43579</v>
      </c>
      <c r="E1975" s="3">
        <v>5000</v>
      </c>
      <c r="F1975" t="s">
        <v>126</v>
      </c>
      <c r="G1975" t="s">
        <v>127</v>
      </c>
      <c r="H1975" t="s">
        <v>128</v>
      </c>
      <c r="I1975" s="6" t="s">
        <v>917</v>
      </c>
      <c r="J1975" s="61" t="s">
        <v>22</v>
      </c>
      <c r="L1975" s="5" t="str">
        <f t="shared" si="578"/>
        <v>01974</v>
      </c>
      <c r="M1975" s="47" t="str">
        <f t="shared" si="579"/>
        <v>24 de abril de 2019</v>
      </c>
      <c r="N1975" s="323">
        <f t="shared" si="580"/>
        <v>24</v>
      </c>
      <c r="O1975" s="25">
        <f t="shared" si="581"/>
        <v>43556</v>
      </c>
      <c r="P1975" s="5" t="str">
        <f t="shared" si="582"/>
        <v>5.000,00</v>
      </c>
      <c r="Q1975" s="4" t="e">
        <f t="shared" ca="1" si="583"/>
        <v>#NAME?</v>
      </c>
    </row>
    <row r="1976" spans="1:17" ht="15.75" thickBot="1">
      <c r="A1976" s="1">
        <f t="shared" si="577"/>
        <v>1975</v>
      </c>
      <c r="C1976" s="85" t="s">
        <v>17</v>
      </c>
      <c r="D1976" s="2">
        <v>43580</v>
      </c>
      <c r="E1976" s="3">
        <v>9000</v>
      </c>
      <c r="F1976" t="s">
        <v>40</v>
      </c>
      <c r="G1976" s="18" t="s">
        <v>58</v>
      </c>
      <c r="H1976" t="s">
        <v>42</v>
      </c>
      <c r="I1976" s="6" t="s">
        <v>962</v>
      </c>
      <c r="J1976" s="61" t="s">
        <v>22</v>
      </c>
      <c r="L1976" s="5" t="str">
        <f t="shared" si="578"/>
        <v>01975</v>
      </c>
      <c r="M1976" s="47" t="str">
        <f t="shared" si="579"/>
        <v>25 de abril de 2019</v>
      </c>
      <c r="N1976" s="323">
        <f t="shared" si="580"/>
        <v>25</v>
      </c>
      <c r="O1976" s="25">
        <f t="shared" si="581"/>
        <v>43556</v>
      </c>
      <c r="P1976" s="5" t="str">
        <f t="shared" si="582"/>
        <v>9.000,00</v>
      </c>
      <c r="Q1976" s="4" t="e">
        <f t="shared" ca="1" si="583"/>
        <v>#NAME?</v>
      </c>
    </row>
    <row r="1977" spans="1:17">
      <c r="A1977" s="1">
        <f t="shared" si="577"/>
        <v>1976</v>
      </c>
      <c r="C1977" s="8" t="s">
        <v>17</v>
      </c>
      <c r="D1977" s="2">
        <v>43582</v>
      </c>
      <c r="E1977" s="3">
        <v>6000</v>
      </c>
      <c r="F1977" t="s">
        <v>892</v>
      </c>
      <c r="G1977" t="s">
        <v>893</v>
      </c>
      <c r="H1977" s="21" t="s">
        <v>59</v>
      </c>
      <c r="I1977" s="6" t="s">
        <v>963</v>
      </c>
      <c r="J1977" s="61" t="s">
        <v>22</v>
      </c>
      <c r="K1977" s="22"/>
      <c r="L1977" s="5" t="str">
        <f t="shared" si="578"/>
        <v>01976</v>
      </c>
      <c r="M1977" s="47" t="str">
        <f t="shared" si="579"/>
        <v>27 de abril de 2019</v>
      </c>
      <c r="N1977" s="323">
        <f t="shared" si="580"/>
        <v>27</v>
      </c>
      <c r="O1977" s="25">
        <f t="shared" si="581"/>
        <v>43556</v>
      </c>
      <c r="P1977" s="5" t="str">
        <f t="shared" si="582"/>
        <v>6.000,00</v>
      </c>
      <c r="Q1977" s="4" t="e">
        <f t="shared" ca="1" si="583"/>
        <v>#NAME?</v>
      </c>
    </row>
    <row r="1978" spans="1:17">
      <c r="A1978" s="1">
        <f t="shared" si="577"/>
        <v>1977</v>
      </c>
      <c r="C1978" s="8" t="s">
        <v>17</v>
      </c>
      <c r="D1978" s="2">
        <v>43583</v>
      </c>
      <c r="E1978" s="3">
        <v>5000</v>
      </c>
      <c r="F1978" t="s">
        <v>107</v>
      </c>
      <c r="G1978" t="s">
        <v>108</v>
      </c>
      <c r="H1978" t="s">
        <v>109</v>
      </c>
      <c r="I1978" s="6" t="s">
        <v>917</v>
      </c>
      <c r="J1978" s="61" t="s">
        <v>22</v>
      </c>
      <c r="L1978" s="5" t="str">
        <f t="shared" si="578"/>
        <v>01977</v>
      </c>
      <c r="M1978" s="47" t="str">
        <f t="shared" si="579"/>
        <v>28 de abril de 2019</v>
      </c>
      <c r="N1978" s="323">
        <f t="shared" si="580"/>
        <v>28</v>
      </c>
      <c r="O1978" s="25">
        <f t="shared" si="581"/>
        <v>43556</v>
      </c>
      <c r="P1978" s="5" t="str">
        <f t="shared" si="582"/>
        <v>5.000,00</v>
      </c>
      <c r="Q1978" s="4" t="e">
        <f t="shared" ca="1" si="583"/>
        <v>#NAME?</v>
      </c>
    </row>
    <row r="1979" spans="1:17">
      <c r="A1979" s="1">
        <f t="shared" si="577"/>
        <v>1978</v>
      </c>
      <c r="C1979" s="8" t="s">
        <v>17</v>
      </c>
      <c r="D1979" s="2">
        <v>43583</v>
      </c>
      <c r="E1979" s="3">
        <v>10000</v>
      </c>
      <c r="F1979" t="s">
        <v>44</v>
      </c>
      <c r="G1979" t="s">
        <v>45</v>
      </c>
      <c r="H1979" t="s">
        <v>46</v>
      </c>
      <c r="I1979" s="6" t="s">
        <v>964</v>
      </c>
      <c r="J1979" s="61" t="s">
        <v>22</v>
      </c>
      <c r="L1979" s="5" t="str">
        <f>IF(ISBLANK(A1979),"",TEXT(A1979,"00000"))</f>
        <v>01978</v>
      </c>
      <c r="M1979" s="47" t="str">
        <f>IF(ISBLANK(D1979),"",TEXT(D1979,"dd")&amp;" de "&amp;TEXT(D1979,"mmmm")&amp;" de "&amp;TEXT(YEAR(D1979),"0"))</f>
        <v>28 de abril de 2019</v>
      </c>
      <c r="N1979" s="323">
        <f t="shared" si="580"/>
        <v>28</v>
      </c>
      <c r="O1979" s="25">
        <f>DATE(YEAR(D1979),MONTH(D1979),1)</f>
        <v>43556</v>
      </c>
      <c r="P1979" s="5" t="str">
        <f t="shared" si="582"/>
        <v>10.000,00</v>
      </c>
      <c r="Q1979" s="4" t="e">
        <f t="shared" ca="1" si="583"/>
        <v>#NAME?</v>
      </c>
    </row>
    <row r="1980" spans="1:17">
      <c r="A1980" s="1">
        <f t="shared" si="577"/>
        <v>1979</v>
      </c>
      <c r="C1980" s="8" t="s">
        <v>17</v>
      </c>
      <c r="D1980" s="2">
        <v>43583</v>
      </c>
      <c r="E1980" s="3">
        <v>5000</v>
      </c>
      <c r="F1980" t="s">
        <v>243</v>
      </c>
      <c r="G1980" t="s">
        <v>244</v>
      </c>
      <c r="H1980" t="s">
        <v>245</v>
      </c>
      <c r="I1980" s="6" t="s">
        <v>917</v>
      </c>
      <c r="J1980" s="61" t="s">
        <v>22</v>
      </c>
      <c r="L1980" s="5" t="str">
        <f>IF(ISBLANK(A1980),"",TEXT(A1980,"00000"))</f>
        <v>01979</v>
      </c>
      <c r="M1980" s="47" t="str">
        <f>IF(ISBLANK(D1980),"",TEXT(D1980,"dd")&amp;" de "&amp;TEXT(D1980,"mmmm")&amp;" de "&amp;TEXT(YEAR(D1980),"0"))</f>
        <v>28 de abril de 2019</v>
      </c>
      <c r="N1980" s="323">
        <f t="shared" si="580"/>
        <v>28</v>
      </c>
      <c r="O1980" s="25">
        <f>DATE(YEAR(D1980),MONTH(D1980),1)</f>
        <v>43556</v>
      </c>
      <c r="P1980" s="5" t="str">
        <f t="shared" si="582"/>
        <v>5.000,00</v>
      </c>
      <c r="Q1980" s="4" t="e">
        <f t="shared" ca="1" si="583"/>
        <v>#NAME?</v>
      </c>
    </row>
    <row r="1981" spans="1:17">
      <c r="A1981" s="1">
        <f t="shared" si="577"/>
        <v>1980</v>
      </c>
      <c r="C1981" s="8" t="s">
        <v>17</v>
      </c>
      <c r="D1981" s="2">
        <v>43583</v>
      </c>
      <c r="E1981" s="3">
        <v>5000</v>
      </c>
      <c r="F1981" t="s">
        <v>201</v>
      </c>
      <c r="G1981" t="s">
        <v>202</v>
      </c>
      <c r="H1981" t="s">
        <v>203</v>
      </c>
      <c r="I1981" s="6" t="s">
        <v>917</v>
      </c>
      <c r="J1981" s="61" t="s">
        <v>22</v>
      </c>
      <c r="L1981" s="5" t="str">
        <f t="shared" ref="L1981:L2002" si="584">IF(ISBLANK(A1981),"",TEXT(A1981,"00000"))</f>
        <v>01980</v>
      </c>
      <c r="M1981" s="47" t="str">
        <f t="shared" ref="M1981:M2002" si="585">IF(ISBLANK(D1981),"",TEXT(D1981,"dd")&amp;" de "&amp;TEXT(D1981,"mmmm")&amp;" de "&amp;TEXT(YEAR(D1981),"0"))</f>
        <v>28 de abril de 2019</v>
      </c>
      <c r="N1981" s="323">
        <f t="shared" si="580"/>
        <v>28</v>
      </c>
      <c r="O1981" s="25">
        <f t="shared" ref="O1981:O2002" si="586">DATE(YEAR(D1981),MONTH(D1981),1)</f>
        <v>43556</v>
      </c>
      <c r="P1981" s="5" t="str">
        <f t="shared" si="582"/>
        <v>5.000,00</v>
      </c>
      <c r="Q1981" s="4" t="e">
        <f t="shared" ca="1" si="583"/>
        <v>#NAME?</v>
      </c>
    </row>
    <row r="1982" spans="1:17" ht="15.75" thickBot="1">
      <c r="A1982" s="1">
        <f t="shared" si="577"/>
        <v>1981</v>
      </c>
      <c r="C1982" s="8" t="s">
        <v>17</v>
      </c>
      <c r="D1982" s="2">
        <v>43583</v>
      </c>
      <c r="E1982" s="3">
        <v>5000</v>
      </c>
      <c r="F1982" t="s">
        <v>162</v>
      </c>
      <c r="G1982" t="s">
        <v>163</v>
      </c>
      <c r="H1982" t="s">
        <v>164</v>
      </c>
      <c r="I1982" s="6" t="s">
        <v>917</v>
      </c>
      <c r="J1982" s="61" t="s">
        <v>22</v>
      </c>
      <c r="L1982" s="5" t="str">
        <f t="shared" si="584"/>
        <v>01981</v>
      </c>
      <c r="M1982" s="47" t="str">
        <f t="shared" si="585"/>
        <v>28 de abril de 2019</v>
      </c>
      <c r="N1982" s="323">
        <f t="shared" si="580"/>
        <v>28</v>
      </c>
      <c r="O1982" s="25">
        <f t="shared" si="586"/>
        <v>43556</v>
      </c>
      <c r="P1982" s="5" t="str">
        <f>TEXT(E1982,"#.##0,00")</f>
        <v>5.000,00</v>
      </c>
      <c r="Q1982" s="4" t="e">
        <f ca="1">CONVERTIRNUM(E1982)</f>
        <v>#NAME?</v>
      </c>
    </row>
    <row r="1983" spans="1:17" ht="15.75" thickBot="1">
      <c r="A1983" s="1">
        <f t="shared" si="577"/>
        <v>1982</v>
      </c>
      <c r="C1983" s="8" t="s">
        <v>17</v>
      </c>
      <c r="D1983" s="2">
        <v>43583</v>
      </c>
      <c r="E1983" s="3">
        <v>5000</v>
      </c>
      <c r="F1983" t="s">
        <v>252</v>
      </c>
      <c r="G1983" s="475" t="s">
        <v>958</v>
      </c>
      <c r="H1983" t="s">
        <v>254</v>
      </c>
      <c r="I1983" s="6" t="s">
        <v>917</v>
      </c>
      <c r="J1983" s="61" t="s">
        <v>22</v>
      </c>
      <c r="L1983" s="5" t="str">
        <f t="shared" si="584"/>
        <v>01982</v>
      </c>
      <c r="M1983" s="47" t="str">
        <f t="shared" si="585"/>
        <v>28 de abril de 2019</v>
      </c>
      <c r="N1983" s="323">
        <f t="shared" ref="N1983:N2002" si="587">DAY(D1983)</f>
        <v>28</v>
      </c>
      <c r="O1983" s="25">
        <f t="shared" si="586"/>
        <v>43556</v>
      </c>
      <c r="P1983" s="5" t="str">
        <f t="shared" ref="P1983:P2002" si="588">TEXT(E1983,"#.##0,00")</f>
        <v>5.000,00</v>
      </c>
      <c r="Q1983" s="4" t="e">
        <f t="shared" ref="Q1983:Q1995" ca="1" si="589">CONVERTIRNUM(E1983)</f>
        <v>#NAME?</v>
      </c>
    </row>
    <row r="1984" spans="1:17">
      <c r="A1984" s="1">
        <f t="shared" si="577"/>
        <v>1983</v>
      </c>
      <c r="C1984" s="8" t="s">
        <v>17</v>
      </c>
      <c r="D1984" s="2">
        <v>43584</v>
      </c>
      <c r="E1984" s="3">
        <v>7000</v>
      </c>
      <c r="F1984" t="s">
        <v>100</v>
      </c>
      <c r="G1984" t="s">
        <v>95</v>
      </c>
      <c r="H1984" t="s">
        <v>101</v>
      </c>
      <c r="I1984" s="6" t="s">
        <v>960</v>
      </c>
      <c r="J1984" s="61" t="s">
        <v>22</v>
      </c>
      <c r="L1984" s="5" t="str">
        <f t="shared" si="584"/>
        <v>01983</v>
      </c>
      <c r="M1984" s="47" t="str">
        <f t="shared" si="585"/>
        <v>29 de abril de 2019</v>
      </c>
      <c r="N1984" s="323">
        <f t="shared" si="587"/>
        <v>29</v>
      </c>
      <c r="O1984" s="25">
        <f t="shared" si="586"/>
        <v>43556</v>
      </c>
      <c r="P1984" s="5" t="str">
        <f t="shared" si="588"/>
        <v>7.000,00</v>
      </c>
      <c r="Q1984" s="4" t="e">
        <f t="shared" ca="1" si="589"/>
        <v>#NAME?</v>
      </c>
    </row>
    <row r="1985" spans="1:17" ht="15.75" thickBot="1">
      <c r="A1985" s="1">
        <f t="shared" si="577"/>
        <v>1984</v>
      </c>
      <c r="C1985" s="8" t="s">
        <v>17</v>
      </c>
      <c r="D1985" s="2">
        <v>43553</v>
      </c>
      <c r="E1985" s="3">
        <v>5000</v>
      </c>
      <c r="F1985" t="s">
        <v>122</v>
      </c>
      <c r="G1985" t="s">
        <v>123</v>
      </c>
      <c r="H1985" t="s">
        <v>124</v>
      </c>
      <c r="I1985" s="6" t="s">
        <v>917</v>
      </c>
      <c r="J1985" s="61" t="s">
        <v>22</v>
      </c>
      <c r="L1985" s="5" t="str">
        <f t="shared" si="584"/>
        <v>01984</v>
      </c>
      <c r="M1985" s="47" t="str">
        <f t="shared" si="585"/>
        <v>29 de marzo de 2019</v>
      </c>
      <c r="N1985" s="323">
        <f t="shared" si="587"/>
        <v>29</v>
      </c>
      <c r="O1985" s="25">
        <f t="shared" si="586"/>
        <v>43525</v>
      </c>
      <c r="P1985" s="5" t="str">
        <f t="shared" si="588"/>
        <v>5.000,00</v>
      </c>
      <c r="Q1985" s="4" t="e">
        <f t="shared" ca="1" si="589"/>
        <v>#NAME?</v>
      </c>
    </row>
    <row r="1986" spans="1:17" ht="15.75" thickBot="1">
      <c r="A1986" s="1">
        <f t="shared" si="577"/>
        <v>1985</v>
      </c>
      <c r="C1986" s="8" t="s">
        <v>17</v>
      </c>
      <c r="D1986" s="2">
        <v>43553</v>
      </c>
      <c r="E1986" s="3">
        <v>8000</v>
      </c>
      <c r="F1986" t="s">
        <v>239</v>
      </c>
      <c r="G1986" s="73" t="s">
        <v>240</v>
      </c>
      <c r="H1986" t="s">
        <v>241</v>
      </c>
      <c r="I1986" s="6" t="s">
        <v>918</v>
      </c>
      <c r="J1986" s="61" t="s">
        <v>22</v>
      </c>
      <c r="L1986" s="5" t="str">
        <f t="shared" si="584"/>
        <v>01985</v>
      </c>
      <c r="M1986" s="47" t="str">
        <f t="shared" si="585"/>
        <v>29 de marzo de 2019</v>
      </c>
      <c r="N1986" s="323">
        <f t="shared" si="587"/>
        <v>29</v>
      </c>
      <c r="O1986" s="25">
        <f t="shared" si="586"/>
        <v>43525</v>
      </c>
      <c r="P1986" s="5" t="str">
        <f t="shared" si="588"/>
        <v>8.000,00</v>
      </c>
      <c r="Q1986" s="4" t="e">
        <f t="shared" ca="1" si="589"/>
        <v>#NAME?</v>
      </c>
    </row>
    <row r="1987" spans="1:17">
      <c r="A1987" s="1">
        <f t="shared" si="577"/>
        <v>1986</v>
      </c>
      <c r="C1987" s="8" t="s">
        <v>17</v>
      </c>
      <c r="D1987" s="2">
        <v>43585</v>
      </c>
      <c r="E1987" s="3">
        <v>7000</v>
      </c>
      <c r="F1987" t="s">
        <v>454</v>
      </c>
      <c r="G1987" t="s">
        <v>761</v>
      </c>
      <c r="H1987" t="s">
        <v>455</v>
      </c>
      <c r="I1987" s="6" t="s">
        <v>960</v>
      </c>
      <c r="J1987" s="61" t="s">
        <v>22</v>
      </c>
      <c r="L1987" s="5" t="str">
        <f t="shared" si="584"/>
        <v>01986</v>
      </c>
      <c r="M1987" s="47" t="str">
        <f t="shared" si="585"/>
        <v>30 de abril de 2019</v>
      </c>
      <c r="N1987" s="323">
        <f t="shared" si="587"/>
        <v>30</v>
      </c>
      <c r="O1987" s="25">
        <f t="shared" si="586"/>
        <v>43556</v>
      </c>
      <c r="P1987" s="5" t="str">
        <f t="shared" si="588"/>
        <v>7.000,00</v>
      </c>
      <c r="Q1987" s="4" t="e">
        <f t="shared" ca="1" si="589"/>
        <v>#NAME?</v>
      </c>
    </row>
    <row r="1988" spans="1:17">
      <c r="A1988" s="1">
        <f t="shared" si="577"/>
        <v>1987</v>
      </c>
      <c r="C1988" s="8" t="s">
        <v>17</v>
      </c>
      <c r="D1988" s="2">
        <v>43585</v>
      </c>
      <c r="E1988" s="3">
        <v>4000</v>
      </c>
      <c r="F1988" t="s">
        <v>197</v>
      </c>
      <c r="G1988" t="s">
        <v>198</v>
      </c>
      <c r="H1988" t="s">
        <v>199</v>
      </c>
      <c r="I1988" s="161" t="s">
        <v>965</v>
      </c>
      <c r="J1988" s="61" t="s">
        <v>22</v>
      </c>
      <c r="L1988" s="5" t="str">
        <f t="shared" si="584"/>
        <v>01987</v>
      </c>
      <c r="M1988" s="47" t="str">
        <f t="shared" si="585"/>
        <v>30 de abril de 2019</v>
      </c>
      <c r="N1988" s="323">
        <f t="shared" si="587"/>
        <v>30</v>
      </c>
      <c r="O1988" s="25">
        <f t="shared" si="586"/>
        <v>43556</v>
      </c>
      <c r="P1988" s="5" t="str">
        <f t="shared" si="588"/>
        <v>4.000,00</v>
      </c>
      <c r="Q1988" s="4" t="e">
        <f t="shared" ca="1" si="589"/>
        <v>#NAME?</v>
      </c>
    </row>
    <row r="1989" spans="1:17">
      <c r="A1989" s="1">
        <f t="shared" si="577"/>
        <v>1988</v>
      </c>
      <c r="C1989" s="8" t="s">
        <v>17</v>
      </c>
      <c r="D1989" s="2">
        <v>43583</v>
      </c>
      <c r="E1989" s="3">
        <v>2000</v>
      </c>
      <c r="F1989" t="s">
        <v>935</v>
      </c>
      <c r="G1989" t="s">
        <v>936</v>
      </c>
      <c r="H1989" t="s">
        <v>150</v>
      </c>
      <c r="I1989" s="6" t="s">
        <v>950</v>
      </c>
      <c r="J1989" s="61" t="s">
        <v>22</v>
      </c>
      <c r="L1989" s="5" t="str">
        <f t="shared" si="584"/>
        <v>01988</v>
      </c>
      <c r="M1989" s="47" t="str">
        <f t="shared" si="585"/>
        <v>28 de abril de 2019</v>
      </c>
      <c r="N1989" s="323">
        <f t="shared" si="587"/>
        <v>28</v>
      </c>
      <c r="O1989" s="25">
        <f t="shared" si="586"/>
        <v>43556</v>
      </c>
      <c r="P1989" s="5" t="str">
        <f t="shared" si="588"/>
        <v>2.000,00</v>
      </c>
      <c r="Q1989" s="4" t="e">
        <f t="shared" ca="1" si="589"/>
        <v>#NAME?</v>
      </c>
    </row>
    <row r="1990" spans="1:17">
      <c r="A1990" s="1">
        <f t="shared" si="577"/>
        <v>1989</v>
      </c>
      <c r="C1990" s="8" t="s">
        <v>17</v>
      </c>
      <c r="D1990" s="2">
        <v>43586</v>
      </c>
      <c r="E1990" s="3">
        <v>5000</v>
      </c>
      <c r="F1990" t="s">
        <v>312</v>
      </c>
      <c r="G1990" t="s">
        <v>313</v>
      </c>
      <c r="H1990" t="s">
        <v>314</v>
      </c>
      <c r="I1990" s="6" t="s">
        <v>917</v>
      </c>
      <c r="J1990" s="61" t="s">
        <v>22</v>
      </c>
      <c r="L1990" s="5" t="str">
        <f t="shared" si="584"/>
        <v>01989</v>
      </c>
      <c r="M1990" s="47" t="str">
        <f t="shared" si="585"/>
        <v>01 de mayo de 2019</v>
      </c>
      <c r="N1990" s="323">
        <f t="shared" si="587"/>
        <v>1</v>
      </c>
      <c r="O1990" s="25">
        <f t="shared" si="586"/>
        <v>43586</v>
      </c>
      <c r="P1990" s="5" t="str">
        <f t="shared" si="588"/>
        <v>5.000,00</v>
      </c>
      <c r="Q1990" s="4" t="e">
        <f t="shared" ca="1" si="589"/>
        <v>#NAME?</v>
      </c>
    </row>
    <row r="1991" spans="1:17">
      <c r="A1991" s="1">
        <f t="shared" si="577"/>
        <v>1990</v>
      </c>
      <c r="C1991" s="8" t="s">
        <v>17</v>
      </c>
      <c r="D1991" s="2">
        <v>43587</v>
      </c>
      <c r="E1991" s="3">
        <v>10000</v>
      </c>
      <c r="F1991" t="s">
        <v>103</v>
      </c>
      <c r="G1991" t="s">
        <v>104</v>
      </c>
      <c r="H1991" t="s">
        <v>105</v>
      </c>
      <c r="I1991" s="6" t="s">
        <v>960</v>
      </c>
      <c r="J1991" s="61" t="s">
        <v>22</v>
      </c>
      <c r="L1991" s="5" t="str">
        <f t="shared" si="584"/>
        <v>01990</v>
      </c>
      <c r="M1991" s="47" t="str">
        <f t="shared" si="585"/>
        <v>02 de mayo de 2019</v>
      </c>
      <c r="N1991" s="323">
        <f t="shared" si="587"/>
        <v>2</v>
      </c>
      <c r="O1991" s="25">
        <f t="shared" si="586"/>
        <v>43586</v>
      </c>
      <c r="P1991" s="5" t="str">
        <f t="shared" si="588"/>
        <v>10.000,00</v>
      </c>
      <c r="Q1991" s="4" t="e">
        <f t="shared" ca="1" si="589"/>
        <v>#NAME?</v>
      </c>
    </row>
    <row r="1992" spans="1:17">
      <c r="A1992" s="1">
        <f t="shared" si="577"/>
        <v>1991</v>
      </c>
      <c r="C1992" s="8" t="s">
        <v>17</v>
      </c>
      <c r="D1992" s="2">
        <v>43587</v>
      </c>
      <c r="E1992" s="3">
        <v>5000</v>
      </c>
      <c r="F1992" t="s">
        <v>211</v>
      </c>
      <c r="G1992" t="s">
        <v>212</v>
      </c>
      <c r="H1992" t="s">
        <v>213</v>
      </c>
      <c r="I1992" s="6" t="s">
        <v>917</v>
      </c>
      <c r="J1992" s="61" t="s">
        <v>22</v>
      </c>
      <c r="L1992" s="5" t="str">
        <f t="shared" si="584"/>
        <v>01991</v>
      </c>
      <c r="M1992" s="47" t="str">
        <f t="shared" si="585"/>
        <v>02 de mayo de 2019</v>
      </c>
      <c r="N1992" s="323">
        <f t="shared" si="587"/>
        <v>2</v>
      </c>
      <c r="O1992" s="25">
        <f t="shared" si="586"/>
        <v>43586</v>
      </c>
      <c r="P1992" s="5" t="str">
        <f t="shared" si="588"/>
        <v>5.000,00</v>
      </c>
      <c r="Q1992" s="4" t="e">
        <f t="shared" ca="1" si="589"/>
        <v>#NAME?</v>
      </c>
    </row>
    <row r="1993" spans="1:17">
      <c r="A1993" s="1">
        <f t="shared" si="577"/>
        <v>1992</v>
      </c>
      <c r="C1993" s="8" t="s">
        <v>17</v>
      </c>
      <c r="D1993" s="2">
        <v>43587</v>
      </c>
      <c r="E1993" s="3">
        <v>5000</v>
      </c>
      <c r="F1993" t="s">
        <v>84</v>
      </c>
      <c r="G1993" t="s">
        <v>85</v>
      </c>
      <c r="H1993" t="s">
        <v>86</v>
      </c>
      <c r="I1993" s="161" t="s">
        <v>965</v>
      </c>
      <c r="J1993" s="61" t="s">
        <v>22</v>
      </c>
      <c r="L1993" s="5" t="str">
        <f t="shared" si="584"/>
        <v>01992</v>
      </c>
      <c r="M1993" s="47" t="str">
        <f t="shared" si="585"/>
        <v>02 de mayo de 2019</v>
      </c>
      <c r="N1993" s="323">
        <f t="shared" si="587"/>
        <v>2</v>
      </c>
      <c r="O1993" s="25">
        <f t="shared" si="586"/>
        <v>43586</v>
      </c>
      <c r="P1993" s="5" t="str">
        <f t="shared" si="588"/>
        <v>5.000,00</v>
      </c>
      <c r="Q1993" s="4" t="e">
        <f t="shared" ca="1" si="589"/>
        <v>#NAME?</v>
      </c>
    </row>
    <row r="1994" spans="1:17">
      <c r="A1994" s="1">
        <f t="shared" si="577"/>
        <v>1993</v>
      </c>
      <c r="C1994" s="8" t="s">
        <v>17</v>
      </c>
      <c r="D1994" s="2">
        <v>43587</v>
      </c>
      <c r="E1994" s="3">
        <v>5000</v>
      </c>
      <c r="F1994" t="s">
        <v>334</v>
      </c>
      <c r="G1994" t="s">
        <v>85</v>
      </c>
      <c r="H1994" t="s">
        <v>335</v>
      </c>
      <c r="I1994" s="161" t="s">
        <v>965</v>
      </c>
      <c r="J1994" s="61" t="s">
        <v>22</v>
      </c>
      <c r="L1994" s="5" t="str">
        <f t="shared" si="584"/>
        <v>01993</v>
      </c>
      <c r="M1994" s="47" t="str">
        <f t="shared" si="585"/>
        <v>02 de mayo de 2019</v>
      </c>
      <c r="N1994" s="323">
        <f t="shared" si="587"/>
        <v>2</v>
      </c>
      <c r="O1994" s="25">
        <f t="shared" si="586"/>
        <v>43586</v>
      </c>
      <c r="P1994" s="5" t="str">
        <f t="shared" si="588"/>
        <v>5.000,00</v>
      </c>
      <c r="Q1994" s="4" t="e">
        <f t="shared" ca="1" si="589"/>
        <v>#NAME?</v>
      </c>
    </row>
    <row r="1995" spans="1:17">
      <c r="A1995" s="1">
        <f t="shared" si="577"/>
        <v>1994</v>
      </c>
      <c r="C1995" s="8" t="s">
        <v>17</v>
      </c>
      <c r="D1995" s="2">
        <v>43587</v>
      </c>
      <c r="E1995" s="3">
        <v>5000</v>
      </c>
      <c r="F1995" t="s">
        <v>118</v>
      </c>
      <c r="G1995" t="s">
        <v>119</v>
      </c>
      <c r="H1995" t="s">
        <v>120</v>
      </c>
      <c r="I1995" s="6" t="s">
        <v>917</v>
      </c>
      <c r="J1995" s="61" t="s">
        <v>22</v>
      </c>
      <c r="L1995" s="5" t="str">
        <f t="shared" si="584"/>
        <v>01994</v>
      </c>
      <c r="M1995" s="47" t="str">
        <f t="shared" si="585"/>
        <v>02 de mayo de 2019</v>
      </c>
      <c r="N1995" s="323">
        <f t="shared" si="587"/>
        <v>2</v>
      </c>
      <c r="O1995" s="25">
        <f t="shared" si="586"/>
        <v>43586</v>
      </c>
      <c r="P1995" s="5" t="str">
        <f t="shared" si="588"/>
        <v>5.000,00</v>
      </c>
      <c r="Q1995" s="4" t="e">
        <f t="shared" ca="1" si="589"/>
        <v>#NAME?</v>
      </c>
    </row>
    <row r="1996" spans="1:17">
      <c r="A1996" s="1">
        <f t="shared" si="577"/>
        <v>1995</v>
      </c>
      <c r="C1996" s="8" t="s">
        <v>17</v>
      </c>
      <c r="D1996" s="2">
        <v>43588</v>
      </c>
      <c r="E1996" s="3">
        <v>5000</v>
      </c>
      <c r="F1996" t="s">
        <v>407</v>
      </c>
      <c r="G1996" t="s">
        <v>408</v>
      </c>
      <c r="H1996" t="s">
        <v>409</v>
      </c>
      <c r="I1996" s="6" t="s">
        <v>966</v>
      </c>
      <c r="J1996" s="61" t="s">
        <v>22</v>
      </c>
      <c r="L1996" s="5" t="str">
        <f t="shared" si="584"/>
        <v>01995</v>
      </c>
      <c r="M1996" s="47" t="str">
        <f t="shared" si="585"/>
        <v>03 de mayo de 2019</v>
      </c>
      <c r="N1996" s="323">
        <f t="shared" si="587"/>
        <v>3</v>
      </c>
      <c r="O1996" s="25">
        <f t="shared" si="586"/>
        <v>43586</v>
      </c>
      <c r="P1996" s="5" t="str">
        <f t="shared" si="588"/>
        <v>5.000,00</v>
      </c>
      <c r="Q1996" s="4" t="e">
        <f ca="1">CONVERTIRNUM(E1996)</f>
        <v>#NAME?</v>
      </c>
    </row>
    <row r="1997" spans="1:17">
      <c r="A1997" s="1">
        <f t="shared" si="577"/>
        <v>1996</v>
      </c>
      <c r="C1997" s="8" t="s">
        <v>17</v>
      </c>
      <c r="D1997" s="2">
        <v>43587</v>
      </c>
      <c r="E1997" s="3">
        <v>10000</v>
      </c>
      <c r="F1997" t="s">
        <v>144</v>
      </c>
      <c r="G1997" t="s">
        <v>661</v>
      </c>
      <c r="H1997" t="s">
        <v>146</v>
      </c>
      <c r="I1997" s="6" t="s">
        <v>967</v>
      </c>
      <c r="J1997" s="61" t="s">
        <v>22</v>
      </c>
      <c r="L1997" s="5" t="str">
        <f t="shared" si="584"/>
        <v>01996</v>
      </c>
      <c r="M1997" s="47" t="str">
        <f t="shared" si="585"/>
        <v>02 de mayo de 2019</v>
      </c>
      <c r="N1997" s="323">
        <f t="shared" si="587"/>
        <v>2</v>
      </c>
      <c r="O1997" s="25">
        <f t="shared" si="586"/>
        <v>43586</v>
      </c>
      <c r="P1997" s="5" t="str">
        <f t="shared" si="588"/>
        <v>10.000,00</v>
      </c>
      <c r="Q1997" s="4" t="e">
        <f t="shared" ref="Q1997:Q2002" ca="1" si="590">CONVERTIRNUM(E1997)</f>
        <v>#NAME?</v>
      </c>
    </row>
    <row r="1998" spans="1:17">
      <c r="A1998" s="1">
        <f t="shared" si="577"/>
        <v>1997</v>
      </c>
      <c r="C1998" s="8" t="s">
        <v>17</v>
      </c>
      <c r="D1998" s="2">
        <v>43588</v>
      </c>
      <c r="E1998" s="3">
        <v>10000</v>
      </c>
      <c r="F1998" t="s">
        <v>114</v>
      </c>
      <c r="G1998" t="s">
        <v>115</v>
      </c>
      <c r="H1998" t="s">
        <v>105</v>
      </c>
      <c r="I1998" s="6" t="s">
        <v>967</v>
      </c>
      <c r="J1998" s="61" t="s">
        <v>22</v>
      </c>
      <c r="L1998" s="5" t="str">
        <f t="shared" si="584"/>
        <v>01997</v>
      </c>
      <c r="M1998" s="47" t="str">
        <f t="shared" si="585"/>
        <v>03 de mayo de 2019</v>
      </c>
      <c r="N1998" s="323">
        <f t="shared" si="587"/>
        <v>3</v>
      </c>
      <c r="O1998" s="25">
        <f t="shared" si="586"/>
        <v>43586</v>
      </c>
      <c r="P1998" s="5" t="str">
        <f t="shared" si="588"/>
        <v>10.000,00</v>
      </c>
      <c r="Q1998" s="4" t="e">
        <f t="shared" ca="1" si="590"/>
        <v>#NAME?</v>
      </c>
    </row>
    <row r="1999" spans="1:17">
      <c r="A1999" s="1">
        <f t="shared" si="577"/>
        <v>1998</v>
      </c>
      <c r="C1999" s="8" t="s">
        <v>17</v>
      </c>
      <c r="D1999" s="2">
        <v>43588</v>
      </c>
      <c r="E1999" s="3">
        <v>5000</v>
      </c>
      <c r="F1999" t="s">
        <v>337</v>
      </c>
      <c r="G1999" t="s">
        <v>338</v>
      </c>
      <c r="H1999" t="s">
        <v>339</v>
      </c>
      <c r="I1999" s="6" t="s">
        <v>917</v>
      </c>
      <c r="J1999" s="61" t="s">
        <v>22</v>
      </c>
      <c r="L1999" s="5" t="str">
        <f t="shared" si="584"/>
        <v>01998</v>
      </c>
      <c r="M1999" s="47" t="str">
        <f t="shared" si="585"/>
        <v>03 de mayo de 2019</v>
      </c>
      <c r="N1999" s="323">
        <f t="shared" si="587"/>
        <v>3</v>
      </c>
      <c r="O1999" s="25">
        <f t="shared" si="586"/>
        <v>43586</v>
      </c>
      <c r="P1999" s="5" t="str">
        <f t="shared" si="588"/>
        <v>5.000,00</v>
      </c>
      <c r="Q1999" s="4" t="e">
        <f t="shared" ca="1" si="590"/>
        <v>#NAME?</v>
      </c>
    </row>
    <row r="2000" spans="1:17">
      <c r="A2000" s="1">
        <f t="shared" si="577"/>
        <v>1999</v>
      </c>
      <c r="C2000" s="8" t="s">
        <v>17</v>
      </c>
      <c r="D2000" s="2">
        <v>43589</v>
      </c>
      <c r="E2000" s="3">
        <v>6000</v>
      </c>
      <c r="F2000" t="s">
        <v>32</v>
      </c>
      <c r="G2000" t="s">
        <v>33</v>
      </c>
      <c r="H2000" t="s">
        <v>34</v>
      </c>
      <c r="I2000" s="161" t="s">
        <v>933</v>
      </c>
      <c r="J2000" s="61" t="s">
        <v>22</v>
      </c>
      <c r="L2000" s="5" t="str">
        <f t="shared" si="584"/>
        <v>01999</v>
      </c>
      <c r="M2000" s="47" t="str">
        <f t="shared" si="585"/>
        <v>04 de mayo de 2019</v>
      </c>
      <c r="N2000" s="323">
        <f t="shared" si="587"/>
        <v>4</v>
      </c>
      <c r="O2000" s="25">
        <f t="shared" si="586"/>
        <v>43586</v>
      </c>
      <c r="P2000" s="5" t="str">
        <f t="shared" si="588"/>
        <v>6.000,00</v>
      </c>
      <c r="Q2000" s="4" t="e">
        <f t="shared" ca="1" si="590"/>
        <v>#NAME?</v>
      </c>
    </row>
    <row r="2001" spans="1:17">
      <c r="A2001" s="1">
        <f t="shared" si="577"/>
        <v>2000</v>
      </c>
      <c r="C2001" s="8" t="s">
        <v>17</v>
      </c>
      <c r="D2001" s="2">
        <v>43589</v>
      </c>
      <c r="E2001" s="3">
        <f>2000+2500</f>
        <v>4500</v>
      </c>
      <c r="F2001" t="s">
        <v>401</v>
      </c>
      <c r="G2001" t="s">
        <v>402</v>
      </c>
      <c r="H2001" t="s">
        <v>403</v>
      </c>
      <c r="I2001" s="6" t="s">
        <v>933</v>
      </c>
      <c r="J2001" s="61" t="s">
        <v>22</v>
      </c>
      <c r="L2001" s="5" t="str">
        <f t="shared" si="584"/>
        <v>02000</v>
      </c>
      <c r="M2001" s="47" t="str">
        <f t="shared" si="585"/>
        <v>04 de mayo de 2019</v>
      </c>
      <c r="N2001" s="323">
        <f t="shared" si="587"/>
        <v>4</v>
      </c>
      <c r="O2001" s="25">
        <f t="shared" si="586"/>
        <v>43586</v>
      </c>
      <c r="P2001" s="5" t="str">
        <f t="shared" si="588"/>
        <v>4.500,00</v>
      </c>
      <c r="Q2001" s="4" t="e">
        <f t="shared" ca="1" si="590"/>
        <v>#NAME?</v>
      </c>
    </row>
    <row r="2002" spans="1:17">
      <c r="A2002" s="1">
        <f t="shared" si="577"/>
        <v>2001</v>
      </c>
      <c r="C2002" s="8" t="s">
        <v>17</v>
      </c>
      <c r="D2002" s="2">
        <v>43589</v>
      </c>
      <c r="E2002" s="3">
        <v>5000</v>
      </c>
      <c r="F2002" t="s">
        <v>362</v>
      </c>
      <c r="G2002" t="s">
        <v>363</v>
      </c>
      <c r="H2002" t="s">
        <v>364</v>
      </c>
      <c r="I2002" s="6" t="s">
        <v>966</v>
      </c>
      <c r="J2002" s="61" t="s">
        <v>22</v>
      </c>
      <c r="L2002" s="5" t="str">
        <f t="shared" si="584"/>
        <v>02001</v>
      </c>
      <c r="M2002" s="47" t="str">
        <f t="shared" si="585"/>
        <v>04 de mayo de 2019</v>
      </c>
      <c r="N2002" s="323">
        <f t="shared" si="587"/>
        <v>4</v>
      </c>
      <c r="O2002" s="25">
        <f t="shared" si="586"/>
        <v>43586</v>
      </c>
      <c r="P2002" s="5" t="str">
        <f t="shared" si="588"/>
        <v>5.000,00</v>
      </c>
      <c r="Q2002" s="4" t="e">
        <f t="shared" ca="1" si="590"/>
        <v>#NAME?</v>
      </c>
    </row>
    <row r="2003" spans="1:17" ht="15.75" thickBot="1">
      <c r="A2003" s="1">
        <f t="shared" si="577"/>
        <v>2002</v>
      </c>
      <c r="C2003" s="8" t="s">
        <v>17</v>
      </c>
      <c r="D2003" s="2">
        <v>43589</v>
      </c>
      <c r="E2003" s="3">
        <v>2500</v>
      </c>
      <c r="F2003" t="s">
        <v>401</v>
      </c>
      <c r="G2003" t="s">
        <v>402</v>
      </c>
      <c r="H2003" t="s">
        <v>403</v>
      </c>
      <c r="I2003" s="6" t="s">
        <v>968</v>
      </c>
      <c r="J2003" s="61" t="s">
        <v>22</v>
      </c>
      <c r="L2003" s="5" t="str">
        <f t="shared" ref="L2003:L2011" si="591">IF(ISBLANK(A2003),"",TEXT(A2003,"00000"))</f>
        <v>02002</v>
      </c>
      <c r="M2003" s="47" t="str">
        <f t="shared" ref="M2003:M2011" si="592">IF(ISBLANK(D2003),"",TEXT(D2003,"dd")&amp;" de "&amp;TEXT(D2003,"mmmm")&amp;" de "&amp;TEXT(YEAR(D2003),"0"))</f>
        <v>04 de mayo de 2019</v>
      </c>
      <c r="N2003" s="323">
        <f t="shared" ref="N2003:N2011" si="593">DAY(D2003)</f>
        <v>4</v>
      </c>
      <c r="O2003" s="25">
        <f t="shared" ref="O2003:O2011" si="594">DATE(YEAR(D2003),MONTH(D2003),1)</f>
        <v>43586</v>
      </c>
      <c r="P2003" s="5" t="str">
        <f t="shared" ref="P2003:P2011" si="595">TEXT(E2003,"#.##0,00")</f>
        <v>2.500,00</v>
      </c>
      <c r="Q2003" s="4" t="e">
        <f t="shared" ref="Q2003:Q2006" ca="1" si="596">CONVERTIRNUM(E2003)</f>
        <v>#NAME?</v>
      </c>
    </row>
    <row r="2004" spans="1:17" ht="15.75" thickBot="1">
      <c r="A2004" s="1">
        <f t="shared" si="577"/>
        <v>2003</v>
      </c>
      <c r="C2004" s="85" t="s">
        <v>17</v>
      </c>
      <c r="D2004" s="2">
        <v>43590</v>
      </c>
      <c r="E2004" s="3">
        <v>14000</v>
      </c>
      <c r="F2004" t="s">
        <v>479</v>
      </c>
      <c r="G2004" s="18" t="s">
        <v>58</v>
      </c>
      <c r="H2004" t="s">
        <v>481</v>
      </c>
      <c r="I2004" s="6" t="s">
        <v>938</v>
      </c>
      <c r="J2004" s="61" t="s">
        <v>22</v>
      </c>
      <c r="L2004" s="5" t="str">
        <f t="shared" si="591"/>
        <v>02003</v>
      </c>
      <c r="M2004" s="47" t="str">
        <f t="shared" si="592"/>
        <v>05 de mayo de 2019</v>
      </c>
      <c r="N2004" s="323">
        <f t="shared" si="593"/>
        <v>5</v>
      </c>
      <c r="O2004" s="25">
        <f t="shared" si="594"/>
        <v>43586</v>
      </c>
      <c r="P2004" s="5" t="str">
        <f t="shared" si="595"/>
        <v>14.000,00</v>
      </c>
      <c r="Q2004" s="4" t="e">
        <f t="shared" ca="1" si="596"/>
        <v>#NAME?</v>
      </c>
    </row>
    <row r="2005" spans="1:17">
      <c r="A2005" s="1">
        <f>A2004+1</f>
        <v>2004</v>
      </c>
      <c r="C2005" s="8" t="s">
        <v>17</v>
      </c>
      <c r="D2005" s="2">
        <v>43590</v>
      </c>
      <c r="E2005" s="3">
        <v>5000</v>
      </c>
      <c r="F2005" t="s">
        <v>70</v>
      </c>
      <c r="G2005" t="s">
        <v>71</v>
      </c>
      <c r="H2005" t="s">
        <v>72</v>
      </c>
      <c r="I2005" s="6" t="s">
        <v>966</v>
      </c>
      <c r="J2005" s="61" t="s">
        <v>22</v>
      </c>
      <c r="L2005" s="5" t="str">
        <f t="shared" si="591"/>
        <v>02004</v>
      </c>
      <c r="M2005" s="47" t="str">
        <f t="shared" si="592"/>
        <v>05 de mayo de 2019</v>
      </c>
      <c r="N2005" s="323">
        <f t="shared" si="593"/>
        <v>5</v>
      </c>
      <c r="O2005" s="25">
        <f t="shared" si="594"/>
        <v>43586</v>
      </c>
      <c r="P2005" s="5" t="str">
        <f t="shared" si="595"/>
        <v>5.000,00</v>
      </c>
      <c r="Q2005" s="4" t="e">
        <f t="shared" ca="1" si="596"/>
        <v>#NAME?</v>
      </c>
    </row>
    <row r="2006" spans="1:17">
      <c r="A2006" s="1">
        <f>A2005+1</f>
        <v>2005</v>
      </c>
      <c r="C2006" s="8" t="s">
        <v>17</v>
      </c>
      <c r="D2006" s="2">
        <v>43590</v>
      </c>
      <c r="E2006" s="3">
        <f>8000+3666</f>
        <v>11666</v>
      </c>
      <c r="F2006" t="s">
        <v>36</v>
      </c>
      <c r="G2006" t="s">
        <v>37</v>
      </c>
      <c r="H2006" t="s">
        <v>38</v>
      </c>
      <c r="I2006" s="6" t="s">
        <v>951</v>
      </c>
      <c r="J2006" s="61" t="s">
        <v>22</v>
      </c>
      <c r="L2006" s="5" t="str">
        <f t="shared" si="591"/>
        <v>02005</v>
      </c>
      <c r="M2006" s="47" t="str">
        <f t="shared" si="592"/>
        <v>05 de mayo de 2019</v>
      </c>
      <c r="N2006" s="323">
        <f t="shared" si="593"/>
        <v>5</v>
      </c>
      <c r="O2006" s="25">
        <f t="shared" si="594"/>
        <v>43586</v>
      </c>
      <c r="P2006" s="5" t="str">
        <f t="shared" si="595"/>
        <v>11.666,00</v>
      </c>
      <c r="Q2006" s="4" t="e">
        <f t="shared" ca="1" si="596"/>
        <v>#NAME?</v>
      </c>
    </row>
    <row r="2007" spans="1:17">
      <c r="A2007" s="1">
        <f t="shared" ref="A2007:A2011" si="597">A2006+1</f>
        <v>2006</v>
      </c>
      <c r="C2007" s="8" t="s">
        <v>17</v>
      </c>
      <c r="D2007" s="2">
        <v>43590</v>
      </c>
      <c r="E2007" s="3">
        <v>3000</v>
      </c>
      <c r="F2007" t="s">
        <v>407</v>
      </c>
      <c r="G2007" t="s">
        <v>408</v>
      </c>
      <c r="H2007" t="s">
        <v>409</v>
      </c>
      <c r="I2007" s="6" t="s">
        <v>969</v>
      </c>
      <c r="J2007" s="61" t="s">
        <v>22</v>
      </c>
      <c r="L2007" s="5" t="str">
        <f t="shared" si="591"/>
        <v>02006</v>
      </c>
      <c r="M2007" s="47" t="str">
        <f t="shared" si="592"/>
        <v>05 de mayo de 2019</v>
      </c>
      <c r="N2007" s="323">
        <f t="shared" si="593"/>
        <v>5</v>
      </c>
      <c r="O2007" s="25">
        <f t="shared" si="594"/>
        <v>43586</v>
      </c>
      <c r="P2007" s="5" t="str">
        <f t="shared" si="595"/>
        <v>3.000,00</v>
      </c>
      <c r="Q2007" s="4" t="e">
        <f ca="1">CONVERTIRNUM(E2007)</f>
        <v>#NAME?</v>
      </c>
    </row>
    <row r="2008" spans="1:17">
      <c r="A2008" s="1">
        <f t="shared" si="597"/>
        <v>2007</v>
      </c>
      <c r="C2008" s="8" t="s">
        <v>17</v>
      </c>
      <c r="D2008" s="2">
        <v>43590</v>
      </c>
      <c r="E2008" s="3">
        <v>8000</v>
      </c>
      <c r="F2008" t="s">
        <v>558</v>
      </c>
      <c r="G2008" t="s">
        <v>559</v>
      </c>
      <c r="H2008" t="s">
        <v>560</v>
      </c>
      <c r="I2008" s="6" t="s">
        <v>970</v>
      </c>
      <c r="J2008" s="61" t="s">
        <v>22</v>
      </c>
      <c r="L2008" s="5" t="str">
        <f t="shared" si="591"/>
        <v>02007</v>
      </c>
      <c r="M2008" s="47" t="str">
        <f t="shared" si="592"/>
        <v>05 de mayo de 2019</v>
      </c>
      <c r="N2008" s="323">
        <f t="shared" si="593"/>
        <v>5</v>
      </c>
      <c r="O2008" s="25">
        <f t="shared" si="594"/>
        <v>43586</v>
      </c>
      <c r="P2008" s="5" t="str">
        <f t="shared" si="595"/>
        <v>8.000,00</v>
      </c>
      <c r="Q2008" s="4" t="e">
        <f t="shared" ref="Q2008:Q2017" ca="1" si="598">CONVERTIRNUM(E2008)</f>
        <v>#NAME?</v>
      </c>
    </row>
    <row r="2009" spans="1:17" ht="15.75" thickBot="1">
      <c r="A2009" s="1">
        <f t="shared" si="597"/>
        <v>2008</v>
      </c>
      <c r="C2009" s="8" t="s">
        <v>17</v>
      </c>
      <c r="D2009" s="2">
        <v>43589</v>
      </c>
      <c r="E2009" s="3">
        <v>5000</v>
      </c>
      <c r="F2009" t="s">
        <v>134</v>
      </c>
      <c r="G2009" t="s">
        <v>135</v>
      </c>
      <c r="H2009" t="s">
        <v>136</v>
      </c>
      <c r="I2009" s="6" t="s">
        <v>966</v>
      </c>
      <c r="J2009" s="61" t="s">
        <v>22</v>
      </c>
      <c r="L2009" s="5" t="str">
        <f t="shared" si="591"/>
        <v>02008</v>
      </c>
      <c r="M2009" s="47" t="str">
        <f t="shared" si="592"/>
        <v>04 de mayo de 2019</v>
      </c>
      <c r="N2009" s="323">
        <f t="shared" si="593"/>
        <v>4</v>
      </c>
      <c r="O2009" s="25">
        <f t="shared" si="594"/>
        <v>43586</v>
      </c>
      <c r="P2009" s="5" t="str">
        <f t="shared" si="595"/>
        <v>5.000,00</v>
      </c>
      <c r="Q2009" s="4" t="e">
        <f t="shared" ca="1" si="598"/>
        <v>#NAME?</v>
      </c>
    </row>
    <row r="2010" spans="1:17" ht="15.75" thickBot="1">
      <c r="A2010" s="1">
        <f t="shared" si="597"/>
        <v>2009</v>
      </c>
      <c r="C2010" s="85" t="s">
        <v>17</v>
      </c>
      <c r="D2010" s="2">
        <v>43590</v>
      </c>
      <c r="E2010" s="3">
        <v>5000</v>
      </c>
      <c r="F2010" t="s">
        <v>319</v>
      </c>
      <c r="G2010" s="18" t="s">
        <v>58</v>
      </c>
      <c r="H2010" t="s">
        <v>320</v>
      </c>
      <c r="I2010" s="6" t="s">
        <v>917</v>
      </c>
      <c r="J2010" s="61" t="s">
        <v>22</v>
      </c>
      <c r="L2010" s="5" t="str">
        <f t="shared" si="591"/>
        <v>02009</v>
      </c>
      <c r="M2010" s="47" t="str">
        <f t="shared" si="592"/>
        <v>05 de mayo de 2019</v>
      </c>
      <c r="N2010" s="323">
        <f t="shared" si="593"/>
        <v>5</v>
      </c>
      <c r="O2010" s="25">
        <f t="shared" si="594"/>
        <v>43586</v>
      </c>
      <c r="P2010" s="5" t="str">
        <f t="shared" si="595"/>
        <v>5.000,00</v>
      </c>
      <c r="Q2010" s="4" t="e">
        <f t="shared" ca="1" si="598"/>
        <v>#NAME?</v>
      </c>
    </row>
    <row r="2011" spans="1:17">
      <c r="A2011" s="1">
        <f t="shared" si="597"/>
        <v>2010</v>
      </c>
      <c r="C2011" s="8" t="s">
        <v>17</v>
      </c>
      <c r="D2011" s="2">
        <v>43590</v>
      </c>
      <c r="E2011" s="3">
        <v>8000</v>
      </c>
      <c r="F2011" t="s">
        <v>107</v>
      </c>
      <c r="G2011" t="s">
        <v>108</v>
      </c>
      <c r="H2011" t="s">
        <v>109</v>
      </c>
      <c r="I2011" s="6" t="s">
        <v>970</v>
      </c>
      <c r="J2011" s="61" t="s">
        <v>22</v>
      </c>
      <c r="L2011" s="5" t="str">
        <f t="shared" si="591"/>
        <v>02010</v>
      </c>
      <c r="M2011" s="47" t="str">
        <f t="shared" si="592"/>
        <v>05 de mayo de 2019</v>
      </c>
      <c r="N2011" s="323">
        <f t="shared" si="593"/>
        <v>5</v>
      </c>
      <c r="O2011" s="25">
        <f t="shared" si="594"/>
        <v>43586</v>
      </c>
      <c r="P2011" s="5" t="str">
        <f t="shared" si="595"/>
        <v>8.000,00</v>
      </c>
      <c r="Q2011" s="4" t="e">
        <f t="shared" ca="1" si="598"/>
        <v>#NAME?</v>
      </c>
    </row>
    <row r="2012" spans="1:17" ht="15.75" thickBot="1">
      <c r="A2012" s="1">
        <f>A2011+1</f>
        <v>2011</v>
      </c>
      <c r="C2012" s="8" t="s">
        <v>17</v>
      </c>
      <c r="D2012" s="2">
        <v>43591</v>
      </c>
      <c r="E2012" s="3">
        <v>3000</v>
      </c>
      <c r="F2012" t="s">
        <v>70</v>
      </c>
      <c r="G2012" t="s">
        <v>71</v>
      </c>
      <c r="H2012" t="s">
        <v>72</v>
      </c>
      <c r="I2012" s="6" t="s">
        <v>969</v>
      </c>
      <c r="J2012" s="61" t="s">
        <v>22</v>
      </c>
      <c r="L2012" s="5" t="str">
        <f t="shared" ref="L2012:L2017" si="599">IF(ISBLANK(A2012),"",TEXT(A2012,"00000"))</f>
        <v>02011</v>
      </c>
      <c r="M2012" s="47" t="str">
        <f t="shared" ref="M2012:M2017" si="600">IF(ISBLANK(D2012),"",TEXT(D2012,"dd")&amp;" de "&amp;TEXT(D2012,"mmmm")&amp;" de "&amp;TEXT(YEAR(D2012),"0"))</f>
        <v>06 de mayo de 2019</v>
      </c>
      <c r="N2012" s="323">
        <f t="shared" ref="N2012:N2017" si="601">DAY(D2012)</f>
        <v>6</v>
      </c>
      <c r="O2012" s="25">
        <f t="shared" ref="O2012:O2017" si="602">DATE(YEAR(D2012),MONTH(D2012),1)</f>
        <v>43586</v>
      </c>
      <c r="P2012" s="5" t="str">
        <f t="shared" ref="P2012:P2017" si="603">TEXT(E2012,"#.##0,00")</f>
        <v>3.000,00</v>
      </c>
      <c r="Q2012" s="4" t="e">
        <f t="shared" ca="1" si="598"/>
        <v>#NAME?</v>
      </c>
    </row>
    <row r="2013" spans="1:17" ht="15.75" thickBot="1">
      <c r="A2013" s="1">
        <f t="shared" ref="A2013:A2076" si="604">A2012+1</f>
        <v>2012</v>
      </c>
      <c r="C2013" s="85" t="s">
        <v>17</v>
      </c>
      <c r="D2013" s="2">
        <v>43591</v>
      </c>
      <c r="E2013" s="3">
        <v>2900</v>
      </c>
      <c r="F2013" s="23" t="s">
        <v>422</v>
      </c>
      <c r="G2013" s="18" t="s">
        <v>58</v>
      </c>
      <c r="H2013" t="s">
        <v>423</v>
      </c>
      <c r="I2013" s="6" t="s">
        <v>950</v>
      </c>
      <c r="J2013" s="61" t="s">
        <v>22</v>
      </c>
      <c r="L2013" s="5" t="str">
        <f t="shared" si="599"/>
        <v>02012</v>
      </c>
      <c r="M2013" s="47" t="str">
        <f t="shared" si="600"/>
        <v>06 de mayo de 2019</v>
      </c>
      <c r="N2013" s="323">
        <f t="shared" si="601"/>
        <v>6</v>
      </c>
      <c r="O2013" s="25">
        <f t="shared" si="602"/>
        <v>43586</v>
      </c>
      <c r="P2013" s="5" t="str">
        <f t="shared" si="603"/>
        <v>2.900,00</v>
      </c>
      <c r="Q2013" s="4" t="e">
        <f t="shared" ca="1" si="598"/>
        <v>#NAME?</v>
      </c>
    </row>
    <row r="2014" spans="1:17">
      <c r="A2014" s="1">
        <f t="shared" si="604"/>
        <v>2013</v>
      </c>
      <c r="C2014" s="8" t="s">
        <v>17</v>
      </c>
      <c r="D2014" s="2">
        <v>43591</v>
      </c>
      <c r="E2014" s="3">
        <v>10000</v>
      </c>
      <c r="F2014" t="s">
        <v>443</v>
      </c>
      <c r="G2014" t="s">
        <v>444</v>
      </c>
      <c r="H2014" t="s">
        <v>75</v>
      </c>
      <c r="I2014" s="6" t="s">
        <v>971</v>
      </c>
      <c r="J2014" s="61" t="s">
        <v>22</v>
      </c>
      <c r="L2014" s="5" t="str">
        <f t="shared" si="599"/>
        <v>02013</v>
      </c>
      <c r="M2014" s="47" t="str">
        <f t="shared" si="600"/>
        <v>06 de mayo de 2019</v>
      </c>
      <c r="N2014" s="323">
        <f t="shared" si="601"/>
        <v>6</v>
      </c>
      <c r="O2014" s="25">
        <f t="shared" si="602"/>
        <v>43586</v>
      </c>
      <c r="P2014" s="5" t="str">
        <f t="shared" si="603"/>
        <v>10.000,00</v>
      </c>
      <c r="Q2014" s="4" t="e">
        <f t="shared" ca="1" si="598"/>
        <v>#NAME?</v>
      </c>
    </row>
    <row r="2015" spans="1:17">
      <c r="A2015" s="1">
        <f t="shared" si="604"/>
        <v>2014</v>
      </c>
      <c r="C2015" s="8" t="s">
        <v>17</v>
      </c>
      <c r="D2015" s="2">
        <v>43591</v>
      </c>
      <c r="E2015" s="3">
        <v>8000</v>
      </c>
      <c r="F2015" t="s">
        <v>633</v>
      </c>
      <c r="G2015" t="s">
        <v>634</v>
      </c>
      <c r="H2015" t="s">
        <v>635</v>
      </c>
      <c r="I2015" s="6" t="s">
        <v>970</v>
      </c>
      <c r="J2015" s="61" t="s">
        <v>22</v>
      </c>
      <c r="L2015" s="5" t="str">
        <f t="shared" si="599"/>
        <v>02014</v>
      </c>
      <c r="M2015" s="47" t="str">
        <f t="shared" si="600"/>
        <v>06 de mayo de 2019</v>
      </c>
      <c r="N2015" s="323">
        <f t="shared" si="601"/>
        <v>6</v>
      </c>
      <c r="O2015" s="25">
        <f t="shared" si="602"/>
        <v>43586</v>
      </c>
      <c r="P2015" s="5" t="str">
        <f t="shared" si="603"/>
        <v>8.000,00</v>
      </c>
      <c r="Q2015" s="4" t="e">
        <f t="shared" ca="1" si="598"/>
        <v>#NAME?</v>
      </c>
    </row>
    <row r="2016" spans="1:17">
      <c r="A2016" s="1">
        <f t="shared" si="604"/>
        <v>2015</v>
      </c>
      <c r="C2016" s="8" t="s">
        <v>17</v>
      </c>
      <c r="D2016" s="2">
        <v>43591</v>
      </c>
      <c r="E2016" s="3">
        <v>7000</v>
      </c>
      <c r="F2016" t="s">
        <v>138</v>
      </c>
      <c r="G2016" t="s">
        <v>139</v>
      </c>
      <c r="H2016" t="s">
        <v>140</v>
      </c>
      <c r="I2016" s="6" t="s">
        <v>972</v>
      </c>
      <c r="J2016" s="61" t="s">
        <v>22</v>
      </c>
      <c r="L2016" s="5" t="str">
        <f t="shared" si="599"/>
        <v>02015</v>
      </c>
      <c r="M2016" s="47" t="str">
        <f t="shared" si="600"/>
        <v>06 de mayo de 2019</v>
      </c>
      <c r="N2016" s="323">
        <f t="shared" si="601"/>
        <v>6</v>
      </c>
      <c r="O2016" s="25">
        <f t="shared" si="602"/>
        <v>43586</v>
      </c>
      <c r="P2016" s="5" t="str">
        <f t="shared" si="603"/>
        <v>7.000,00</v>
      </c>
      <c r="Q2016" s="4" t="e">
        <f t="shared" ca="1" si="598"/>
        <v>#NAME?</v>
      </c>
    </row>
    <row r="2017" spans="1:17">
      <c r="A2017" s="1">
        <f t="shared" si="604"/>
        <v>2016</v>
      </c>
      <c r="C2017" s="8" t="s">
        <v>17</v>
      </c>
      <c r="D2017" s="2">
        <v>43591</v>
      </c>
      <c r="E2017" s="3">
        <v>8000</v>
      </c>
      <c r="F2017" t="s">
        <v>24</v>
      </c>
      <c r="G2017" t="s">
        <v>25</v>
      </c>
      <c r="H2017" t="s">
        <v>26</v>
      </c>
      <c r="I2017" s="6" t="s">
        <v>970</v>
      </c>
      <c r="J2017" s="61" t="s">
        <v>22</v>
      </c>
      <c r="L2017" s="5" t="str">
        <f t="shared" si="599"/>
        <v>02016</v>
      </c>
      <c r="M2017" s="47" t="str">
        <f t="shared" si="600"/>
        <v>06 de mayo de 2019</v>
      </c>
      <c r="N2017" s="323">
        <f t="shared" si="601"/>
        <v>6</v>
      </c>
      <c r="O2017" s="25">
        <f t="shared" si="602"/>
        <v>43586</v>
      </c>
      <c r="P2017" s="5" t="str">
        <f t="shared" si="603"/>
        <v>8.000,00</v>
      </c>
      <c r="Q2017" s="4" t="e">
        <f t="shared" ca="1" si="598"/>
        <v>#NAME?</v>
      </c>
    </row>
    <row r="2018" spans="1:17">
      <c r="A2018" s="1">
        <f t="shared" si="604"/>
        <v>2017</v>
      </c>
      <c r="C2018" s="8" t="s">
        <v>17</v>
      </c>
      <c r="D2018" s="2">
        <v>43593</v>
      </c>
      <c r="E2018" s="3">
        <v>3000</v>
      </c>
      <c r="F2018" t="s">
        <v>138</v>
      </c>
      <c r="G2018" t="s">
        <v>139</v>
      </c>
      <c r="H2018" t="s">
        <v>140</v>
      </c>
      <c r="I2018" s="6" t="s">
        <v>969</v>
      </c>
      <c r="J2018" s="61" t="s">
        <v>22</v>
      </c>
      <c r="L2018" s="5" t="str">
        <f t="shared" ref="L2018:L2050" si="605">IF(ISBLANK(A2018),"",TEXT(A2018,"00000"))</f>
        <v>02017</v>
      </c>
      <c r="M2018" s="47" t="str">
        <f t="shared" ref="M2018:M2050" si="606">IF(ISBLANK(D2018),"",TEXT(D2018,"dd")&amp;" de "&amp;TEXT(D2018,"mmmm")&amp;" de "&amp;TEXT(YEAR(D2018),"0"))</f>
        <v>08 de mayo de 2019</v>
      </c>
      <c r="N2018" s="323">
        <f t="shared" ref="N2018:N2050" si="607">DAY(D2018)</f>
        <v>8</v>
      </c>
      <c r="O2018" s="25">
        <f t="shared" ref="O2018:O2050" si="608">DATE(YEAR(D2018),MONTH(D2018),1)</f>
        <v>43586</v>
      </c>
      <c r="P2018" s="5" t="str">
        <f t="shared" ref="P2018:P2025" si="609">TEXT(E2018,"#.##0,00")</f>
        <v>3.000,00</v>
      </c>
      <c r="Q2018" s="4" t="e">
        <f t="shared" ref="Q2018:Q2025" ca="1" si="610">CONVERTIRNUM(E2018)</f>
        <v>#NAME?</v>
      </c>
    </row>
    <row r="2019" spans="1:17">
      <c r="A2019" s="1">
        <f t="shared" si="604"/>
        <v>2018</v>
      </c>
      <c r="C2019" s="8" t="s">
        <v>17</v>
      </c>
      <c r="D2019" s="2">
        <v>43593</v>
      </c>
      <c r="E2019" s="3">
        <v>8000</v>
      </c>
      <c r="F2019" t="s">
        <v>483</v>
      </c>
      <c r="G2019" t="s">
        <v>484</v>
      </c>
      <c r="H2019" t="s">
        <v>485</v>
      </c>
      <c r="I2019" s="6" t="s">
        <v>970</v>
      </c>
      <c r="J2019" s="61" t="s">
        <v>22</v>
      </c>
      <c r="L2019" s="5" t="str">
        <f t="shared" si="605"/>
        <v>02018</v>
      </c>
      <c r="M2019" s="47" t="str">
        <f t="shared" si="606"/>
        <v>08 de mayo de 2019</v>
      </c>
      <c r="N2019" s="323">
        <f t="shared" si="607"/>
        <v>8</v>
      </c>
      <c r="O2019" s="25">
        <f t="shared" si="608"/>
        <v>43586</v>
      </c>
      <c r="P2019" s="5" t="str">
        <f t="shared" si="609"/>
        <v>8.000,00</v>
      </c>
      <c r="Q2019" s="4" t="e">
        <f t="shared" ca="1" si="610"/>
        <v>#NAME?</v>
      </c>
    </row>
    <row r="2020" spans="1:17">
      <c r="A2020" s="1">
        <f t="shared" si="604"/>
        <v>2019</v>
      </c>
      <c r="C2020" s="8" t="s">
        <v>17</v>
      </c>
      <c r="D2020" s="2">
        <v>43592</v>
      </c>
      <c r="E2020" s="3">
        <v>8000</v>
      </c>
      <c r="F2020" t="s">
        <v>296</v>
      </c>
      <c r="G2020" t="s">
        <v>297</v>
      </c>
      <c r="H2020" t="s">
        <v>298</v>
      </c>
      <c r="I2020" s="6" t="s">
        <v>970</v>
      </c>
      <c r="J2020" s="61" t="s">
        <v>22</v>
      </c>
      <c r="L2020" s="5" t="str">
        <f t="shared" si="605"/>
        <v>02019</v>
      </c>
      <c r="M2020" s="47" t="str">
        <f t="shared" si="606"/>
        <v>07 de mayo de 2019</v>
      </c>
      <c r="N2020" s="323">
        <f t="shared" si="607"/>
        <v>7</v>
      </c>
      <c r="O2020" s="25">
        <f t="shared" si="608"/>
        <v>43586</v>
      </c>
      <c r="P2020" s="5" t="str">
        <f t="shared" si="609"/>
        <v>8.000,00</v>
      </c>
      <c r="Q2020" s="4" t="e">
        <f t="shared" ca="1" si="610"/>
        <v>#NAME?</v>
      </c>
    </row>
    <row r="2021" spans="1:17">
      <c r="A2021" s="1">
        <f t="shared" si="604"/>
        <v>2020</v>
      </c>
      <c r="C2021" s="8" t="s">
        <v>17</v>
      </c>
      <c r="D2021" s="2">
        <v>43593</v>
      </c>
      <c r="E2021" s="3">
        <v>5000</v>
      </c>
      <c r="F2021" t="s">
        <v>291</v>
      </c>
      <c r="G2021" t="s">
        <v>292</v>
      </c>
      <c r="H2021" t="s">
        <v>293</v>
      </c>
      <c r="I2021" s="6" t="s">
        <v>917</v>
      </c>
      <c r="J2021" s="61" t="s">
        <v>22</v>
      </c>
      <c r="L2021" s="5" t="str">
        <f t="shared" si="605"/>
        <v>02020</v>
      </c>
      <c r="M2021" s="47" t="str">
        <f t="shared" si="606"/>
        <v>08 de mayo de 2019</v>
      </c>
      <c r="N2021" s="323">
        <f t="shared" si="607"/>
        <v>8</v>
      </c>
      <c r="O2021" s="25">
        <f t="shared" si="608"/>
        <v>43586</v>
      </c>
      <c r="P2021" s="5" t="str">
        <f t="shared" si="609"/>
        <v>5.000,00</v>
      </c>
      <c r="Q2021" s="4" t="e">
        <f t="shared" ca="1" si="610"/>
        <v>#NAME?</v>
      </c>
    </row>
    <row r="2022" spans="1:17">
      <c r="A2022" s="1">
        <f t="shared" si="604"/>
        <v>2021</v>
      </c>
      <c r="C2022" s="8" t="s">
        <v>17</v>
      </c>
      <c r="D2022" s="2">
        <v>43593</v>
      </c>
      <c r="E2022" s="3">
        <v>12000</v>
      </c>
      <c r="F2022" t="s">
        <v>80</v>
      </c>
      <c r="G2022" t="s">
        <v>81</v>
      </c>
      <c r="H2022" t="s">
        <v>82</v>
      </c>
      <c r="I2022" s="6" t="s">
        <v>970</v>
      </c>
      <c r="J2022" s="61" t="s">
        <v>22</v>
      </c>
      <c r="L2022" s="5" t="str">
        <f t="shared" si="605"/>
        <v>02021</v>
      </c>
      <c r="M2022" s="47" t="str">
        <f t="shared" si="606"/>
        <v>08 de mayo de 2019</v>
      </c>
      <c r="N2022" s="323">
        <f t="shared" si="607"/>
        <v>8</v>
      </c>
      <c r="O2022" s="25">
        <f t="shared" si="608"/>
        <v>43586</v>
      </c>
      <c r="P2022" s="5" t="str">
        <f t="shared" si="609"/>
        <v>12.000,00</v>
      </c>
      <c r="Q2022" s="4" t="e">
        <f t="shared" ca="1" si="610"/>
        <v>#NAME?</v>
      </c>
    </row>
    <row r="2023" spans="1:17" ht="15.75" thickBot="1">
      <c r="A2023" s="1">
        <f t="shared" si="604"/>
        <v>2022</v>
      </c>
      <c r="C2023" s="8" t="s">
        <v>17</v>
      </c>
      <c r="D2023" s="2">
        <v>43594</v>
      </c>
      <c r="E2023" s="3">
        <v>13000</v>
      </c>
      <c r="F2023" t="s">
        <v>185</v>
      </c>
      <c r="G2023" t="s">
        <v>186</v>
      </c>
      <c r="H2023" t="s">
        <v>187</v>
      </c>
      <c r="I2023" s="6" t="s">
        <v>925</v>
      </c>
      <c r="J2023" s="61" t="s">
        <v>22</v>
      </c>
      <c r="L2023" s="5" t="str">
        <f t="shared" si="605"/>
        <v>02022</v>
      </c>
      <c r="M2023" s="47" t="str">
        <f t="shared" si="606"/>
        <v>09 de mayo de 2019</v>
      </c>
      <c r="N2023" s="323">
        <f t="shared" si="607"/>
        <v>9</v>
      </c>
      <c r="O2023" s="25">
        <f t="shared" si="608"/>
        <v>43586</v>
      </c>
      <c r="P2023" s="5" t="str">
        <f t="shared" si="609"/>
        <v>13.000,00</v>
      </c>
      <c r="Q2023" s="4" t="e">
        <f t="shared" ca="1" si="610"/>
        <v>#NAME?</v>
      </c>
    </row>
    <row r="2024" spans="1:17" ht="15.75" thickBot="1">
      <c r="A2024" s="1">
        <f t="shared" si="604"/>
        <v>2023</v>
      </c>
      <c r="C2024" s="85" t="s">
        <v>17</v>
      </c>
      <c r="D2024" s="2">
        <v>43594</v>
      </c>
      <c r="E2024" s="3">
        <v>8000</v>
      </c>
      <c r="F2024" t="s">
        <v>319</v>
      </c>
      <c r="G2024" s="18" t="s">
        <v>58</v>
      </c>
      <c r="H2024" t="s">
        <v>320</v>
      </c>
      <c r="I2024" s="6" t="s">
        <v>970</v>
      </c>
      <c r="J2024" s="61" t="s">
        <v>22</v>
      </c>
      <c r="L2024" s="5" t="str">
        <f t="shared" si="605"/>
        <v>02023</v>
      </c>
      <c r="M2024" s="47" t="str">
        <f t="shared" si="606"/>
        <v>09 de mayo de 2019</v>
      </c>
      <c r="N2024" s="323">
        <f t="shared" si="607"/>
        <v>9</v>
      </c>
      <c r="O2024" s="25">
        <f t="shared" si="608"/>
        <v>43586</v>
      </c>
      <c r="P2024" s="5" t="str">
        <f t="shared" si="609"/>
        <v>8.000,00</v>
      </c>
      <c r="Q2024" s="4" t="e">
        <f t="shared" ca="1" si="610"/>
        <v>#NAME?</v>
      </c>
    </row>
    <row r="2025" spans="1:17">
      <c r="A2025" s="1">
        <f t="shared" si="604"/>
        <v>2024</v>
      </c>
      <c r="C2025" s="8" t="s">
        <v>17</v>
      </c>
      <c r="D2025" s="2">
        <v>43594</v>
      </c>
      <c r="E2025" s="3">
        <v>5000</v>
      </c>
      <c r="F2025" t="s">
        <v>28</v>
      </c>
      <c r="G2025" t="s">
        <v>716</v>
      </c>
      <c r="H2025" t="s">
        <v>30</v>
      </c>
      <c r="I2025" s="6" t="s">
        <v>968</v>
      </c>
      <c r="J2025" s="61" t="s">
        <v>22</v>
      </c>
      <c r="L2025" s="5" t="str">
        <f t="shared" si="605"/>
        <v>02024</v>
      </c>
      <c r="M2025" s="47" t="str">
        <f t="shared" si="606"/>
        <v>09 de mayo de 2019</v>
      </c>
      <c r="N2025" s="323">
        <f t="shared" si="607"/>
        <v>9</v>
      </c>
      <c r="O2025" s="25">
        <f t="shared" si="608"/>
        <v>43586</v>
      </c>
      <c r="P2025" s="5" t="str">
        <f t="shared" si="609"/>
        <v>5.000,00</v>
      </c>
      <c r="Q2025" s="4" t="e">
        <f t="shared" ca="1" si="610"/>
        <v>#NAME?</v>
      </c>
    </row>
    <row r="2026" spans="1:17">
      <c r="A2026" s="1">
        <f t="shared" si="604"/>
        <v>2025</v>
      </c>
      <c r="C2026" s="8" t="s">
        <v>17</v>
      </c>
      <c r="D2026" s="2">
        <v>43596</v>
      </c>
      <c r="E2026" s="3">
        <v>8000</v>
      </c>
      <c r="F2026" t="s">
        <v>162</v>
      </c>
      <c r="G2026" t="s">
        <v>163</v>
      </c>
      <c r="H2026" t="s">
        <v>164</v>
      </c>
      <c r="I2026" s="6" t="s">
        <v>970</v>
      </c>
      <c r="J2026" s="61" t="s">
        <v>22</v>
      </c>
      <c r="L2026" s="5" t="str">
        <f t="shared" si="605"/>
        <v>02025</v>
      </c>
      <c r="M2026" s="47" t="str">
        <f t="shared" si="606"/>
        <v>11 de mayo de 2019</v>
      </c>
      <c r="N2026" s="323">
        <f t="shared" si="607"/>
        <v>11</v>
      </c>
      <c r="O2026" s="25">
        <f t="shared" si="608"/>
        <v>43586</v>
      </c>
      <c r="P2026" s="5" t="str">
        <f>TEXT(E2026,"#.##0,00")</f>
        <v>8.000,00</v>
      </c>
      <c r="Q2026" s="4" t="e">
        <f ca="1">CONVERTIRNUM(E2026)</f>
        <v>#NAME?</v>
      </c>
    </row>
    <row r="2027" spans="1:17">
      <c r="A2027" s="1">
        <f t="shared" si="604"/>
        <v>2026</v>
      </c>
      <c r="C2027" s="8" t="s">
        <v>17</v>
      </c>
      <c r="D2027" s="2">
        <v>43598</v>
      </c>
      <c r="E2027" s="3">
        <v>8000</v>
      </c>
      <c r="F2027" t="s">
        <v>947</v>
      </c>
      <c r="G2027" t="s">
        <v>948</v>
      </c>
      <c r="H2027" t="s">
        <v>949</v>
      </c>
      <c r="I2027" s="6" t="s">
        <v>970</v>
      </c>
      <c r="J2027" s="61" t="s">
        <v>22</v>
      </c>
      <c r="L2027" s="5" t="str">
        <f t="shared" si="605"/>
        <v>02026</v>
      </c>
      <c r="M2027" s="47" t="str">
        <f t="shared" si="606"/>
        <v>13 de mayo de 2019</v>
      </c>
      <c r="N2027" s="323">
        <f t="shared" si="607"/>
        <v>13</v>
      </c>
      <c r="O2027" s="25">
        <f t="shared" si="608"/>
        <v>43586</v>
      </c>
      <c r="P2027" s="5" t="str">
        <f t="shared" ref="P2027:P2050" si="611">TEXT(E2027,"#.##0,00")</f>
        <v>8.000,00</v>
      </c>
      <c r="Q2027" s="4" t="e">
        <f t="shared" ref="Q2027:Q2050" ca="1" si="612">CONVERTIRNUM(E2027)</f>
        <v>#NAME?</v>
      </c>
    </row>
    <row r="2028" spans="1:17">
      <c r="A2028" s="1">
        <f t="shared" si="604"/>
        <v>2027</v>
      </c>
      <c r="C2028" s="8" t="s">
        <v>17</v>
      </c>
      <c r="D2028" s="2">
        <v>43598</v>
      </c>
      <c r="E2028" s="3">
        <v>8000</v>
      </c>
      <c r="F2028" t="s">
        <v>18</v>
      </c>
      <c r="G2028" t="s">
        <v>19</v>
      </c>
      <c r="H2028" t="s">
        <v>20</v>
      </c>
      <c r="I2028" s="6" t="s">
        <v>973</v>
      </c>
      <c r="J2028" s="61" t="s">
        <v>22</v>
      </c>
      <c r="L2028" s="5" t="str">
        <f t="shared" si="605"/>
        <v>02027</v>
      </c>
      <c r="M2028" s="47" t="str">
        <f t="shared" si="606"/>
        <v>13 de mayo de 2019</v>
      </c>
      <c r="N2028" s="323">
        <f t="shared" si="607"/>
        <v>13</v>
      </c>
      <c r="O2028" s="25">
        <f t="shared" si="608"/>
        <v>43586</v>
      </c>
      <c r="P2028" s="5" t="str">
        <f t="shared" si="611"/>
        <v>8.000,00</v>
      </c>
      <c r="Q2028" s="4" t="e">
        <f t="shared" ca="1" si="612"/>
        <v>#NAME?</v>
      </c>
    </row>
    <row r="2029" spans="1:17">
      <c r="A2029" s="1">
        <f t="shared" si="604"/>
        <v>2028</v>
      </c>
      <c r="C2029" s="8" t="s">
        <v>17</v>
      </c>
      <c r="D2029" s="2">
        <v>43598</v>
      </c>
      <c r="E2029" s="3">
        <v>8000</v>
      </c>
      <c r="F2029" t="s">
        <v>438</v>
      </c>
      <c r="G2029" t="s">
        <v>439</v>
      </c>
      <c r="H2029" t="s">
        <v>440</v>
      </c>
      <c r="I2029" s="6" t="s">
        <v>974</v>
      </c>
      <c r="J2029" s="61" t="s">
        <v>22</v>
      </c>
      <c r="L2029" s="5" t="str">
        <f t="shared" si="605"/>
        <v>02028</v>
      </c>
      <c r="M2029" s="47" t="str">
        <f t="shared" si="606"/>
        <v>13 de mayo de 2019</v>
      </c>
      <c r="N2029" s="323">
        <f t="shared" si="607"/>
        <v>13</v>
      </c>
      <c r="O2029" s="25">
        <f t="shared" si="608"/>
        <v>43586</v>
      </c>
      <c r="P2029" s="5" t="str">
        <f t="shared" si="611"/>
        <v>8.000,00</v>
      </c>
      <c r="Q2029" s="4" t="e">
        <f t="shared" ca="1" si="612"/>
        <v>#NAME?</v>
      </c>
    </row>
    <row r="2030" spans="1:17">
      <c r="A2030" s="1">
        <f t="shared" si="604"/>
        <v>2029</v>
      </c>
      <c r="C2030" s="8" t="s">
        <v>17</v>
      </c>
      <c r="D2030" s="2">
        <v>43599</v>
      </c>
      <c r="E2030" s="3">
        <v>19800</v>
      </c>
      <c r="F2030" t="s">
        <v>94</v>
      </c>
      <c r="G2030" t="s">
        <v>607</v>
      </c>
      <c r="H2030" t="s">
        <v>96</v>
      </c>
      <c r="I2030" s="6" t="s">
        <v>975</v>
      </c>
      <c r="J2030" s="61" t="s">
        <v>22</v>
      </c>
      <c r="L2030" s="5" t="str">
        <f t="shared" si="605"/>
        <v>02029</v>
      </c>
      <c r="M2030" s="47" t="str">
        <f t="shared" si="606"/>
        <v>14 de mayo de 2019</v>
      </c>
      <c r="N2030" s="323">
        <f t="shared" si="607"/>
        <v>14</v>
      </c>
      <c r="O2030" s="25">
        <f t="shared" si="608"/>
        <v>43586</v>
      </c>
      <c r="P2030" s="5" t="str">
        <f t="shared" si="611"/>
        <v>19.800,00</v>
      </c>
      <c r="Q2030" s="4" t="e">
        <f t="shared" ca="1" si="612"/>
        <v>#NAME?</v>
      </c>
    </row>
    <row r="2031" spans="1:17">
      <c r="A2031" s="1">
        <f t="shared" si="604"/>
        <v>2030</v>
      </c>
      <c r="C2031" s="8" t="s">
        <v>17</v>
      </c>
      <c r="D2031" s="2">
        <v>43599</v>
      </c>
      <c r="E2031" s="3">
        <v>8000</v>
      </c>
      <c r="F2031" t="s">
        <v>342</v>
      </c>
      <c r="G2031" t="s">
        <v>343</v>
      </c>
      <c r="H2031" t="s">
        <v>344</v>
      </c>
      <c r="I2031" s="6" t="s">
        <v>970</v>
      </c>
      <c r="J2031" s="61" t="s">
        <v>22</v>
      </c>
      <c r="L2031" s="5" t="str">
        <f t="shared" si="605"/>
        <v>02030</v>
      </c>
      <c r="M2031" s="47" t="str">
        <f t="shared" si="606"/>
        <v>14 de mayo de 2019</v>
      </c>
      <c r="N2031" s="323">
        <f t="shared" si="607"/>
        <v>14</v>
      </c>
      <c r="O2031" s="25">
        <f t="shared" si="608"/>
        <v>43586</v>
      </c>
      <c r="P2031" s="5" t="str">
        <f t="shared" si="611"/>
        <v>8.000,00</v>
      </c>
      <c r="Q2031" s="4" t="e">
        <f t="shared" ca="1" si="612"/>
        <v>#NAME?</v>
      </c>
    </row>
    <row r="2032" spans="1:17">
      <c r="A2032" s="1">
        <f t="shared" si="604"/>
        <v>2031</v>
      </c>
      <c r="C2032" s="8" t="s">
        <v>17</v>
      </c>
      <c r="D2032" s="2">
        <v>43599</v>
      </c>
      <c r="E2032" s="3">
        <v>8000</v>
      </c>
      <c r="F2032" t="s">
        <v>713</v>
      </c>
      <c r="G2032" t="s">
        <v>714</v>
      </c>
      <c r="H2032" t="s">
        <v>154</v>
      </c>
      <c r="I2032" s="6" t="s">
        <v>970</v>
      </c>
      <c r="J2032" s="61" t="s">
        <v>22</v>
      </c>
      <c r="L2032" s="5" t="str">
        <f t="shared" si="605"/>
        <v>02031</v>
      </c>
      <c r="M2032" s="47" t="str">
        <f t="shared" si="606"/>
        <v>14 de mayo de 2019</v>
      </c>
      <c r="N2032" s="323">
        <f t="shared" si="607"/>
        <v>14</v>
      </c>
      <c r="O2032" s="25">
        <f t="shared" si="608"/>
        <v>43586</v>
      </c>
      <c r="P2032" s="5" t="str">
        <f t="shared" si="611"/>
        <v>8.000,00</v>
      </c>
      <c r="Q2032" s="4" t="e">
        <f t="shared" ca="1" si="612"/>
        <v>#NAME?</v>
      </c>
    </row>
    <row r="2033" spans="1:17">
      <c r="A2033" s="1">
        <f t="shared" si="604"/>
        <v>2032</v>
      </c>
      <c r="C2033" s="8" t="s">
        <v>17</v>
      </c>
      <c r="D2033" s="2">
        <v>43599</v>
      </c>
      <c r="E2033" s="3">
        <v>8000</v>
      </c>
      <c r="F2033" t="s">
        <v>417</v>
      </c>
      <c r="G2033" t="s">
        <v>418</v>
      </c>
      <c r="H2033" t="s">
        <v>419</v>
      </c>
      <c r="I2033" s="6" t="s">
        <v>970</v>
      </c>
      <c r="J2033" s="61" t="s">
        <v>22</v>
      </c>
      <c r="L2033" s="5" t="str">
        <f t="shared" si="605"/>
        <v>02032</v>
      </c>
      <c r="M2033" s="47" t="str">
        <f t="shared" si="606"/>
        <v>14 de mayo de 2019</v>
      </c>
      <c r="N2033" s="323">
        <f t="shared" si="607"/>
        <v>14</v>
      </c>
      <c r="O2033" s="25">
        <f t="shared" si="608"/>
        <v>43586</v>
      </c>
      <c r="P2033" s="5" t="str">
        <f t="shared" si="611"/>
        <v>8.000,00</v>
      </c>
      <c r="Q2033" s="4" t="e">
        <f t="shared" ca="1" si="612"/>
        <v>#NAME?</v>
      </c>
    </row>
    <row r="2034" spans="1:17">
      <c r="A2034" s="1">
        <f t="shared" si="604"/>
        <v>2033</v>
      </c>
      <c r="C2034" s="8" t="s">
        <v>17</v>
      </c>
      <c r="D2034" s="2">
        <v>43599</v>
      </c>
      <c r="E2034" s="3">
        <v>13000</v>
      </c>
      <c r="F2034" t="s">
        <v>287</v>
      </c>
      <c r="G2034" t="s">
        <v>288</v>
      </c>
      <c r="H2034" t="s">
        <v>289</v>
      </c>
      <c r="I2034" s="6" t="s">
        <v>925</v>
      </c>
      <c r="J2034" s="61" t="s">
        <v>22</v>
      </c>
      <c r="L2034" s="5" t="str">
        <f t="shared" si="605"/>
        <v>02033</v>
      </c>
      <c r="M2034" s="47" t="str">
        <f t="shared" si="606"/>
        <v>14 de mayo de 2019</v>
      </c>
      <c r="N2034" s="323">
        <f t="shared" si="607"/>
        <v>14</v>
      </c>
      <c r="O2034" s="25">
        <f t="shared" si="608"/>
        <v>43586</v>
      </c>
      <c r="P2034" s="5" t="str">
        <f t="shared" si="611"/>
        <v>13.000,00</v>
      </c>
      <c r="Q2034" s="4" t="e">
        <f t="shared" ca="1" si="612"/>
        <v>#NAME?</v>
      </c>
    </row>
    <row r="2035" spans="1:17" ht="15.75" thickBot="1">
      <c r="A2035" s="1">
        <f t="shared" si="604"/>
        <v>2034</v>
      </c>
      <c r="C2035" s="8" t="s">
        <v>17</v>
      </c>
      <c r="D2035" s="2">
        <v>43600</v>
      </c>
      <c r="E2035" s="3">
        <v>8000</v>
      </c>
      <c r="F2035" t="s">
        <v>53</v>
      </c>
      <c r="G2035" t="s">
        <v>677</v>
      </c>
      <c r="H2035" t="s">
        <v>55</v>
      </c>
      <c r="I2035" s="6" t="s">
        <v>970</v>
      </c>
      <c r="J2035" s="61" t="s">
        <v>22</v>
      </c>
      <c r="L2035" s="5" t="str">
        <f t="shared" si="605"/>
        <v>02034</v>
      </c>
      <c r="M2035" s="47" t="str">
        <f t="shared" si="606"/>
        <v>15 de mayo de 2019</v>
      </c>
      <c r="N2035" s="323">
        <f t="shared" si="607"/>
        <v>15</v>
      </c>
      <c r="O2035" s="25">
        <f t="shared" si="608"/>
        <v>43586</v>
      </c>
      <c r="P2035" s="5" t="str">
        <f t="shared" si="611"/>
        <v>8.000,00</v>
      </c>
      <c r="Q2035" s="4" t="e">
        <f t="shared" ca="1" si="612"/>
        <v>#NAME?</v>
      </c>
    </row>
    <row r="2036" spans="1:17" ht="15.75" thickBot="1">
      <c r="A2036" s="1">
        <f t="shared" si="604"/>
        <v>2035</v>
      </c>
      <c r="C2036" s="8" t="s">
        <v>17</v>
      </c>
      <c r="D2036" s="2">
        <v>43600</v>
      </c>
      <c r="E2036" s="3">
        <f>4000+4000</f>
        <v>8000</v>
      </c>
      <c r="F2036" t="s">
        <v>252</v>
      </c>
      <c r="G2036" s="475" t="s">
        <v>958</v>
      </c>
      <c r="H2036" t="s">
        <v>254</v>
      </c>
      <c r="I2036" s="6" t="s">
        <v>970</v>
      </c>
      <c r="J2036" s="61" t="s">
        <v>22</v>
      </c>
      <c r="L2036" s="5" t="str">
        <f t="shared" si="605"/>
        <v>02035</v>
      </c>
      <c r="M2036" s="47" t="str">
        <f t="shared" si="606"/>
        <v>15 de mayo de 2019</v>
      </c>
      <c r="N2036" s="323">
        <f t="shared" si="607"/>
        <v>15</v>
      </c>
      <c r="O2036" s="25">
        <f t="shared" si="608"/>
        <v>43586</v>
      </c>
      <c r="P2036" s="5" t="str">
        <f t="shared" si="611"/>
        <v>8.000,00</v>
      </c>
      <c r="Q2036" s="4" t="e">
        <f t="shared" ca="1" si="612"/>
        <v>#NAME?</v>
      </c>
    </row>
    <row r="2037" spans="1:17">
      <c r="A2037" s="1">
        <f t="shared" si="604"/>
        <v>2036</v>
      </c>
      <c r="C2037" s="8" t="s">
        <v>17</v>
      </c>
      <c r="D2037" s="2">
        <v>43600</v>
      </c>
      <c r="E2037" s="3">
        <v>8000</v>
      </c>
      <c r="F2037" t="s">
        <v>201</v>
      </c>
      <c r="G2037" t="s">
        <v>202</v>
      </c>
      <c r="H2037" t="s">
        <v>203</v>
      </c>
      <c r="I2037" s="6" t="s">
        <v>970</v>
      </c>
      <c r="J2037" s="61" t="s">
        <v>22</v>
      </c>
      <c r="L2037" s="5" t="str">
        <f t="shared" si="605"/>
        <v>02036</v>
      </c>
      <c r="M2037" s="47" t="str">
        <f t="shared" si="606"/>
        <v>15 de mayo de 2019</v>
      </c>
      <c r="N2037" s="323">
        <f t="shared" si="607"/>
        <v>15</v>
      </c>
      <c r="O2037" s="25">
        <f t="shared" si="608"/>
        <v>43586</v>
      </c>
      <c r="P2037" s="5" t="str">
        <f t="shared" si="611"/>
        <v>8.000,00</v>
      </c>
      <c r="Q2037" s="4" t="e">
        <f t="shared" ca="1" si="612"/>
        <v>#NAME?</v>
      </c>
    </row>
    <row r="2038" spans="1:17">
      <c r="A2038" s="1">
        <f t="shared" si="604"/>
        <v>2037</v>
      </c>
      <c r="C2038" s="8" t="s">
        <v>17</v>
      </c>
      <c r="D2038" s="2">
        <v>43601</v>
      </c>
      <c r="E2038" s="3">
        <v>8000</v>
      </c>
      <c r="F2038" t="s">
        <v>785</v>
      </c>
      <c r="G2038" t="s">
        <v>786</v>
      </c>
      <c r="H2038" t="s">
        <v>719</v>
      </c>
      <c r="I2038" s="6" t="s">
        <v>967</v>
      </c>
      <c r="J2038" s="61" t="s">
        <v>22</v>
      </c>
      <c r="L2038" s="5" t="str">
        <f t="shared" si="605"/>
        <v>02037</v>
      </c>
      <c r="M2038" s="47" t="str">
        <f t="shared" si="606"/>
        <v>16 de mayo de 2019</v>
      </c>
      <c r="N2038" s="323">
        <f t="shared" si="607"/>
        <v>16</v>
      </c>
      <c r="O2038" s="25">
        <f t="shared" si="608"/>
        <v>43586</v>
      </c>
      <c r="P2038" s="5" t="str">
        <f t="shared" si="611"/>
        <v>8.000,00</v>
      </c>
      <c r="Q2038" s="4" t="e">
        <f t="shared" ca="1" si="612"/>
        <v>#NAME?</v>
      </c>
    </row>
    <row r="2039" spans="1:17" ht="15.75" thickBot="1">
      <c r="A2039" s="1">
        <f t="shared" si="604"/>
        <v>2038</v>
      </c>
      <c r="C2039" s="8" t="s">
        <v>17</v>
      </c>
      <c r="D2039" s="2">
        <v>43601</v>
      </c>
      <c r="E2039" s="3">
        <v>8000</v>
      </c>
      <c r="F2039" t="s">
        <v>181</v>
      </c>
      <c r="G2039" t="s">
        <v>182</v>
      </c>
      <c r="H2039" t="s">
        <v>183</v>
      </c>
      <c r="I2039" s="6" t="s">
        <v>970</v>
      </c>
      <c r="J2039" s="61" t="s">
        <v>22</v>
      </c>
      <c r="L2039" s="5" t="str">
        <f t="shared" si="605"/>
        <v>02038</v>
      </c>
      <c r="M2039" s="47" t="str">
        <f t="shared" si="606"/>
        <v>16 de mayo de 2019</v>
      </c>
      <c r="N2039" s="323">
        <f t="shared" si="607"/>
        <v>16</v>
      </c>
      <c r="O2039" s="25">
        <f t="shared" si="608"/>
        <v>43586</v>
      </c>
      <c r="P2039" s="5" t="str">
        <f t="shared" si="611"/>
        <v>8.000,00</v>
      </c>
      <c r="Q2039" s="4" t="e">
        <f t="shared" ca="1" si="612"/>
        <v>#NAME?</v>
      </c>
    </row>
    <row r="2040" spans="1:17" ht="15.75" thickBot="1">
      <c r="A2040" s="1">
        <f t="shared" si="604"/>
        <v>2039</v>
      </c>
      <c r="C2040" s="85" t="s">
        <v>17</v>
      </c>
      <c r="D2040" s="2">
        <v>43601</v>
      </c>
      <c r="E2040" s="162">
        <v>20000</v>
      </c>
      <c r="F2040" t="s">
        <v>492</v>
      </c>
      <c r="G2040" s="18" t="s">
        <v>58</v>
      </c>
      <c r="H2040" t="s">
        <v>493</v>
      </c>
      <c r="I2040" s="6" t="s">
        <v>976</v>
      </c>
      <c r="J2040" s="61" t="s">
        <v>22</v>
      </c>
      <c r="L2040" s="5" t="str">
        <f t="shared" si="605"/>
        <v>02039</v>
      </c>
      <c r="M2040" s="47" t="str">
        <f t="shared" si="606"/>
        <v>16 de mayo de 2019</v>
      </c>
      <c r="N2040" s="323">
        <f t="shared" si="607"/>
        <v>16</v>
      </c>
      <c r="O2040" s="25">
        <f t="shared" si="608"/>
        <v>43586</v>
      </c>
      <c r="P2040" s="5" t="str">
        <f t="shared" si="611"/>
        <v>20.000,00</v>
      </c>
      <c r="Q2040" s="4" t="e">
        <f t="shared" ca="1" si="612"/>
        <v>#NAME?</v>
      </c>
    </row>
    <row r="2041" spans="1:17">
      <c r="A2041" s="1">
        <f t="shared" si="604"/>
        <v>2040</v>
      </c>
      <c r="C2041" s="8" t="s">
        <v>17</v>
      </c>
      <c r="D2041" s="2">
        <v>43601</v>
      </c>
      <c r="E2041" s="3">
        <v>8000</v>
      </c>
      <c r="F2041" t="s">
        <v>130</v>
      </c>
      <c r="G2041" t="s">
        <v>131</v>
      </c>
      <c r="H2041" t="s">
        <v>132</v>
      </c>
      <c r="I2041" s="6" t="s">
        <v>970</v>
      </c>
      <c r="J2041" s="61" t="s">
        <v>22</v>
      </c>
      <c r="L2041" s="5" t="str">
        <f t="shared" si="605"/>
        <v>02040</v>
      </c>
      <c r="M2041" s="47" t="str">
        <f t="shared" si="606"/>
        <v>16 de mayo de 2019</v>
      </c>
      <c r="N2041" s="323">
        <f t="shared" si="607"/>
        <v>16</v>
      </c>
      <c r="O2041" s="25">
        <f t="shared" si="608"/>
        <v>43586</v>
      </c>
      <c r="P2041" s="5" t="str">
        <f t="shared" si="611"/>
        <v>8.000,00</v>
      </c>
      <c r="Q2041" s="4" t="e">
        <f t="shared" ca="1" si="612"/>
        <v>#NAME?</v>
      </c>
    </row>
    <row r="2042" spans="1:17">
      <c r="A2042" s="1">
        <f t="shared" si="604"/>
        <v>2041</v>
      </c>
      <c r="C2042" s="8" t="s">
        <v>17</v>
      </c>
      <c r="D2042" s="2">
        <v>43601</v>
      </c>
      <c r="E2042" s="3">
        <v>12000</v>
      </c>
      <c r="F2042" t="s">
        <v>264</v>
      </c>
      <c r="G2042" t="s">
        <v>265</v>
      </c>
      <c r="H2042" t="s">
        <v>266</v>
      </c>
      <c r="I2042" s="6" t="s">
        <v>977</v>
      </c>
      <c r="J2042" s="61" t="s">
        <v>22</v>
      </c>
      <c r="L2042" s="5" t="str">
        <f t="shared" si="605"/>
        <v>02041</v>
      </c>
      <c r="M2042" s="47" t="str">
        <f t="shared" si="606"/>
        <v>16 de mayo de 2019</v>
      </c>
      <c r="N2042" s="323">
        <f t="shared" si="607"/>
        <v>16</v>
      </c>
      <c r="O2042" s="25">
        <f t="shared" si="608"/>
        <v>43586</v>
      </c>
      <c r="P2042" s="5" t="str">
        <f t="shared" si="611"/>
        <v>12.000,00</v>
      </c>
      <c r="Q2042" s="4" t="e">
        <f t="shared" ca="1" si="612"/>
        <v>#NAME?</v>
      </c>
    </row>
    <row r="2043" spans="1:17">
      <c r="A2043" s="1">
        <f t="shared" si="604"/>
        <v>2042</v>
      </c>
      <c r="C2043" s="8" t="s">
        <v>17</v>
      </c>
      <c r="D2043" s="2">
        <v>43602</v>
      </c>
      <c r="E2043" s="3">
        <v>5000</v>
      </c>
      <c r="F2043" t="s">
        <v>62</v>
      </c>
      <c r="G2043" t="s">
        <v>63</v>
      </c>
      <c r="H2043" t="s">
        <v>64</v>
      </c>
      <c r="I2043" s="6" t="s">
        <v>917</v>
      </c>
      <c r="J2043" s="61" t="s">
        <v>22</v>
      </c>
      <c r="L2043" s="5" t="str">
        <f t="shared" si="605"/>
        <v>02042</v>
      </c>
      <c r="M2043" s="47" t="str">
        <f t="shared" si="606"/>
        <v>17 de mayo de 2019</v>
      </c>
      <c r="N2043" s="323">
        <f t="shared" si="607"/>
        <v>17</v>
      </c>
      <c r="O2043" s="25">
        <f t="shared" si="608"/>
        <v>43586</v>
      </c>
      <c r="P2043" s="5" t="str">
        <f t="shared" si="611"/>
        <v>5.000,00</v>
      </c>
      <c r="Q2043" s="4" t="e">
        <f t="shared" ca="1" si="612"/>
        <v>#NAME?</v>
      </c>
    </row>
    <row r="2044" spans="1:17">
      <c r="A2044" s="1">
        <f t="shared" si="604"/>
        <v>2043</v>
      </c>
      <c r="C2044" s="8" t="s">
        <v>17</v>
      </c>
      <c r="D2044" s="2">
        <v>43602</v>
      </c>
      <c r="E2044" s="3">
        <v>8000</v>
      </c>
      <c r="F2044" t="s">
        <v>122</v>
      </c>
      <c r="G2044" t="s">
        <v>123</v>
      </c>
      <c r="H2044" t="s">
        <v>124</v>
      </c>
      <c r="I2044" s="6" t="s">
        <v>970</v>
      </c>
      <c r="J2044" s="61" t="s">
        <v>22</v>
      </c>
      <c r="L2044" s="5" t="str">
        <f t="shared" si="605"/>
        <v>02043</v>
      </c>
      <c r="M2044" s="47" t="str">
        <f t="shared" si="606"/>
        <v>17 de mayo de 2019</v>
      </c>
      <c r="N2044" s="323">
        <f t="shared" si="607"/>
        <v>17</v>
      </c>
      <c r="O2044" s="25">
        <f t="shared" si="608"/>
        <v>43586</v>
      </c>
      <c r="P2044" s="5" t="str">
        <f t="shared" si="611"/>
        <v>8.000,00</v>
      </c>
      <c r="Q2044" s="4" t="e">
        <f t="shared" ca="1" si="612"/>
        <v>#NAME?</v>
      </c>
    </row>
    <row r="2045" spans="1:17">
      <c r="A2045" s="1">
        <f t="shared" si="604"/>
        <v>2044</v>
      </c>
      <c r="C2045" s="8" t="s">
        <v>17</v>
      </c>
      <c r="D2045" s="2">
        <v>43601</v>
      </c>
      <c r="E2045" s="3">
        <v>13000</v>
      </c>
      <c r="F2045" t="s">
        <v>537</v>
      </c>
      <c r="G2045" t="s">
        <v>538</v>
      </c>
      <c r="H2045" t="s">
        <v>539</v>
      </c>
      <c r="I2045" s="6" t="s">
        <v>925</v>
      </c>
      <c r="J2045" s="61" t="s">
        <v>22</v>
      </c>
      <c r="L2045" s="5" t="str">
        <f t="shared" si="605"/>
        <v>02044</v>
      </c>
      <c r="M2045" s="47" t="str">
        <f t="shared" si="606"/>
        <v>16 de mayo de 2019</v>
      </c>
      <c r="N2045" s="323">
        <f t="shared" si="607"/>
        <v>16</v>
      </c>
      <c r="O2045" s="25">
        <f t="shared" si="608"/>
        <v>43586</v>
      </c>
      <c r="P2045" s="5" t="str">
        <f t="shared" si="611"/>
        <v>13.000,00</v>
      </c>
      <c r="Q2045" s="4" t="e">
        <f t="shared" ca="1" si="612"/>
        <v>#NAME?</v>
      </c>
    </row>
    <row r="2046" spans="1:17" ht="15.75" thickBot="1">
      <c r="A2046" s="1">
        <f t="shared" si="604"/>
        <v>2045</v>
      </c>
      <c r="C2046" s="8" t="s">
        <v>17</v>
      </c>
      <c r="D2046" s="2">
        <v>43604</v>
      </c>
      <c r="E2046" s="3">
        <v>8000</v>
      </c>
      <c r="F2046" t="s">
        <v>312</v>
      </c>
      <c r="G2046" t="s">
        <v>313</v>
      </c>
      <c r="H2046" t="s">
        <v>314</v>
      </c>
      <c r="I2046" s="6" t="s">
        <v>970</v>
      </c>
      <c r="J2046" s="61" t="s">
        <v>22</v>
      </c>
      <c r="L2046" s="5" t="str">
        <f t="shared" si="605"/>
        <v>02045</v>
      </c>
      <c r="M2046" s="47" t="str">
        <f t="shared" si="606"/>
        <v>19 de mayo de 2019</v>
      </c>
      <c r="N2046" s="323">
        <f t="shared" si="607"/>
        <v>19</v>
      </c>
      <c r="O2046" s="25">
        <f t="shared" si="608"/>
        <v>43586</v>
      </c>
      <c r="P2046" s="5" t="str">
        <f t="shared" si="611"/>
        <v>8.000,00</v>
      </c>
      <c r="Q2046" s="4" t="e">
        <f t="shared" ca="1" si="612"/>
        <v>#NAME?</v>
      </c>
    </row>
    <row r="2047" spans="1:17" ht="15.75" thickBot="1">
      <c r="A2047" s="1">
        <f t="shared" si="604"/>
        <v>2046</v>
      </c>
      <c r="C2047" s="8" t="s">
        <v>17</v>
      </c>
      <c r="D2047" s="2">
        <v>43604</v>
      </c>
      <c r="E2047" s="3">
        <v>15000</v>
      </c>
      <c r="F2047" t="s">
        <v>90</v>
      </c>
      <c r="G2047" s="475" t="s">
        <v>978</v>
      </c>
      <c r="H2047" t="s">
        <v>92</v>
      </c>
      <c r="I2047" s="6" t="s">
        <v>979</v>
      </c>
      <c r="J2047" s="61" t="s">
        <v>22</v>
      </c>
      <c r="L2047" s="5" t="str">
        <f t="shared" si="605"/>
        <v>02046</v>
      </c>
      <c r="M2047" s="47" t="str">
        <f t="shared" si="606"/>
        <v>19 de mayo de 2019</v>
      </c>
      <c r="N2047" s="323">
        <f t="shared" si="607"/>
        <v>19</v>
      </c>
      <c r="O2047" s="25">
        <f t="shared" si="608"/>
        <v>43586</v>
      </c>
      <c r="P2047" s="5" t="str">
        <f t="shared" si="611"/>
        <v>15.000,00</v>
      </c>
      <c r="Q2047" s="4" t="e">
        <f t="shared" ca="1" si="612"/>
        <v>#NAME?</v>
      </c>
    </row>
    <row r="2048" spans="1:17" ht="15.75" thickBot="1">
      <c r="A2048" s="1">
        <f t="shared" si="604"/>
        <v>2047</v>
      </c>
      <c r="C2048" s="85" t="s">
        <v>17</v>
      </c>
      <c r="D2048" s="2">
        <v>43605</v>
      </c>
      <c r="E2048" s="3">
        <v>5000</v>
      </c>
      <c r="F2048" t="s">
        <v>259</v>
      </c>
      <c r="G2048" s="18" t="s">
        <v>58</v>
      </c>
      <c r="H2048" t="s">
        <v>261</v>
      </c>
      <c r="I2048" s="6" t="s">
        <v>917</v>
      </c>
      <c r="J2048" s="61" t="s">
        <v>22</v>
      </c>
      <c r="L2048" s="5" t="str">
        <f t="shared" si="605"/>
        <v>02047</v>
      </c>
      <c r="M2048" s="47" t="str">
        <f t="shared" si="606"/>
        <v>20 de mayo de 2019</v>
      </c>
      <c r="N2048" s="323">
        <f t="shared" si="607"/>
        <v>20</v>
      </c>
      <c r="O2048" s="25">
        <f t="shared" si="608"/>
        <v>43586</v>
      </c>
      <c r="P2048" s="5" t="str">
        <f t="shared" si="611"/>
        <v>5.000,00</v>
      </c>
      <c r="Q2048" s="4" t="e">
        <f t="shared" ca="1" si="612"/>
        <v>#NAME?</v>
      </c>
    </row>
    <row r="2049" spans="1:17">
      <c r="A2049" s="1">
        <f t="shared" si="604"/>
        <v>2048</v>
      </c>
      <c r="C2049" s="8" t="s">
        <v>17</v>
      </c>
      <c r="D2049" s="2">
        <v>43606</v>
      </c>
      <c r="E2049" s="3">
        <v>5000</v>
      </c>
      <c r="F2049" t="s">
        <v>48</v>
      </c>
      <c r="G2049" t="s">
        <v>49</v>
      </c>
      <c r="H2049" t="s">
        <v>50</v>
      </c>
      <c r="I2049" s="6" t="s">
        <v>980</v>
      </c>
      <c r="J2049" s="61" t="s">
        <v>22</v>
      </c>
      <c r="L2049" s="5" t="str">
        <f t="shared" si="605"/>
        <v>02048</v>
      </c>
      <c r="M2049" s="47" t="str">
        <f t="shared" si="606"/>
        <v>21 de mayo de 2019</v>
      </c>
      <c r="N2049" s="323">
        <f t="shared" si="607"/>
        <v>21</v>
      </c>
      <c r="O2049" s="25">
        <f t="shared" si="608"/>
        <v>43586</v>
      </c>
      <c r="P2049" s="5" t="str">
        <f t="shared" si="611"/>
        <v>5.000,00</v>
      </c>
      <c r="Q2049" s="4" t="e">
        <f t="shared" ca="1" si="612"/>
        <v>#NAME?</v>
      </c>
    </row>
    <row r="2050" spans="1:17">
      <c r="A2050" s="1">
        <f t="shared" si="604"/>
        <v>2049</v>
      </c>
      <c r="C2050" s="8" t="s">
        <v>17</v>
      </c>
      <c r="D2050" s="2">
        <v>43607</v>
      </c>
      <c r="E2050" s="3">
        <v>3000</v>
      </c>
      <c r="F2050" t="s">
        <v>454</v>
      </c>
      <c r="G2050" t="s">
        <v>761</v>
      </c>
      <c r="H2050" t="s">
        <v>455</v>
      </c>
      <c r="I2050" s="6" t="s">
        <v>969</v>
      </c>
      <c r="J2050" s="61" t="s">
        <v>22</v>
      </c>
      <c r="L2050" s="5" t="str">
        <f t="shared" si="605"/>
        <v>02049</v>
      </c>
      <c r="M2050" s="47" t="str">
        <f t="shared" si="606"/>
        <v>22 de mayo de 2019</v>
      </c>
      <c r="N2050" s="323">
        <f t="shared" si="607"/>
        <v>22</v>
      </c>
      <c r="O2050" s="25">
        <f t="shared" si="608"/>
        <v>43586</v>
      </c>
      <c r="P2050" s="5" t="str">
        <f t="shared" si="611"/>
        <v>3.000,00</v>
      </c>
      <c r="Q2050" s="4" t="e">
        <f t="shared" ca="1" si="612"/>
        <v>#NAME?</v>
      </c>
    </row>
    <row r="2051" spans="1:17">
      <c r="A2051" s="1">
        <f t="shared" si="604"/>
        <v>2050</v>
      </c>
      <c r="C2051" s="8" t="s">
        <v>17</v>
      </c>
      <c r="D2051" s="2">
        <v>43608</v>
      </c>
      <c r="E2051" s="3">
        <v>8000</v>
      </c>
      <c r="F2051" t="s">
        <v>62</v>
      </c>
      <c r="G2051" t="s">
        <v>63</v>
      </c>
      <c r="H2051" t="s">
        <v>64</v>
      </c>
      <c r="I2051" s="6" t="s">
        <v>970</v>
      </c>
      <c r="J2051" s="61" t="s">
        <v>22</v>
      </c>
      <c r="L2051" s="5" t="str">
        <f t="shared" ref="L2051:L2057" si="613">IF(ISBLANK(A2051),"",TEXT(A2051,"00000"))</f>
        <v>02050</v>
      </c>
      <c r="M2051" s="47" t="str">
        <f t="shared" ref="M2051:M2057" si="614">IF(ISBLANK(D2051),"",TEXT(D2051,"dd")&amp;" de "&amp;TEXT(D2051,"mmmm")&amp;" de "&amp;TEXT(YEAR(D2051),"0"))</f>
        <v>23 de mayo de 2019</v>
      </c>
      <c r="N2051" s="323">
        <f t="shared" ref="N2051:N2057" si="615">DAY(D2051)</f>
        <v>23</v>
      </c>
      <c r="O2051" s="25">
        <f t="shared" ref="O2051:O2057" si="616">DATE(YEAR(D2051),MONTH(D2051),1)</f>
        <v>43586</v>
      </c>
      <c r="P2051" s="5" t="str">
        <f t="shared" ref="P2051:P2057" si="617">TEXT(E2051,"#.##0,00")</f>
        <v>8.000,00</v>
      </c>
      <c r="Q2051" s="4" t="e">
        <f t="shared" ref="Q2051:Q2057" ca="1" si="618">CONVERTIRNUM(E2051)</f>
        <v>#NAME?</v>
      </c>
    </row>
    <row r="2052" spans="1:17">
      <c r="A2052" s="1">
        <f t="shared" si="604"/>
        <v>2051</v>
      </c>
      <c r="C2052" s="8" t="s">
        <v>17</v>
      </c>
      <c r="D2052" s="2">
        <v>43608</v>
      </c>
      <c r="E2052" s="3">
        <v>5000</v>
      </c>
      <c r="F2052" t="s">
        <v>337</v>
      </c>
      <c r="G2052" t="s">
        <v>338</v>
      </c>
      <c r="H2052" t="s">
        <v>339</v>
      </c>
      <c r="I2052" s="6" t="s">
        <v>980</v>
      </c>
      <c r="J2052" s="61" t="s">
        <v>22</v>
      </c>
      <c r="L2052" s="5" t="str">
        <f t="shared" si="613"/>
        <v>02051</v>
      </c>
      <c r="M2052" s="47" t="str">
        <f t="shared" si="614"/>
        <v>23 de mayo de 2019</v>
      </c>
      <c r="N2052" s="323">
        <f t="shared" si="615"/>
        <v>23</v>
      </c>
      <c r="O2052" s="25">
        <f t="shared" si="616"/>
        <v>43586</v>
      </c>
      <c r="P2052" s="5" t="str">
        <f t="shared" si="617"/>
        <v>5.000,00</v>
      </c>
      <c r="Q2052" s="4" t="e">
        <f t="shared" ca="1" si="618"/>
        <v>#NAME?</v>
      </c>
    </row>
    <row r="2053" spans="1:17">
      <c r="A2053" s="1">
        <f t="shared" si="604"/>
        <v>2052</v>
      </c>
      <c r="C2053" s="8" t="s">
        <v>17</v>
      </c>
      <c r="D2053" s="2">
        <v>43608</v>
      </c>
      <c r="E2053" s="3">
        <v>5000</v>
      </c>
      <c r="F2053" t="s">
        <v>291</v>
      </c>
      <c r="G2053" t="s">
        <v>292</v>
      </c>
      <c r="H2053" t="s">
        <v>293</v>
      </c>
      <c r="I2053" s="6" t="s">
        <v>968</v>
      </c>
      <c r="J2053" s="61" t="s">
        <v>22</v>
      </c>
      <c r="L2053" s="5" t="str">
        <f t="shared" si="613"/>
        <v>02052</v>
      </c>
      <c r="M2053" s="47" t="str">
        <f t="shared" si="614"/>
        <v>23 de mayo de 2019</v>
      </c>
      <c r="N2053" s="323">
        <f t="shared" si="615"/>
        <v>23</v>
      </c>
      <c r="O2053" s="25">
        <f t="shared" si="616"/>
        <v>43586</v>
      </c>
      <c r="P2053" s="5" t="str">
        <f t="shared" si="617"/>
        <v>5.000,00</v>
      </c>
      <c r="Q2053" s="4" t="e">
        <f t="shared" ca="1" si="618"/>
        <v>#NAME?</v>
      </c>
    </row>
    <row r="2054" spans="1:17">
      <c r="A2054" s="1">
        <f t="shared" si="604"/>
        <v>2053</v>
      </c>
      <c r="C2054" s="8" t="s">
        <v>17</v>
      </c>
      <c r="D2054" s="2">
        <v>43600</v>
      </c>
      <c r="E2054" s="3">
        <v>3000</v>
      </c>
      <c r="F2054" t="s">
        <v>103</v>
      </c>
      <c r="G2054" t="s">
        <v>104</v>
      </c>
      <c r="H2054" t="s">
        <v>105</v>
      </c>
      <c r="I2054" s="6" t="s">
        <v>969</v>
      </c>
      <c r="J2054" s="61" t="s">
        <v>22</v>
      </c>
      <c r="L2054" s="5" t="str">
        <f t="shared" si="613"/>
        <v>02053</v>
      </c>
      <c r="M2054" s="47" t="str">
        <f t="shared" si="614"/>
        <v>15 de mayo de 2019</v>
      </c>
      <c r="N2054" s="323">
        <f t="shared" si="615"/>
        <v>15</v>
      </c>
      <c r="O2054" s="25">
        <f t="shared" si="616"/>
        <v>43586</v>
      </c>
      <c r="P2054" s="5" t="str">
        <f t="shared" si="617"/>
        <v>3.000,00</v>
      </c>
      <c r="Q2054" s="4" t="e">
        <f t="shared" ca="1" si="618"/>
        <v>#NAME?</v>
      </c>
    </row>
    <row r="2055" spans="1:17">
      <c r="A2055" s="1">
        <f t="shared" si="604"/>
        <v>2054</v>
      </c>
      <c r="C2055" s="8" t="s">
        <v>17</v>
      </c>
      <c r="D2055" s="2">
        <v>43609</v>
      </c>
      <c r="E2055" s="3">
        <v>8000</v>
      </c>
      <c r="F2055" t="s">
        <v>211</v>
      </c>
      <c r="G2055" t="s">
        <v>212</v>
      </c>
      <c r="H2055" t="s">
        <v>213</v>
      </c>
      <c r="I2055" s="6" t="s">
        <v>970</v>
      </c>
      <c r="J2055" s="61" t="s">
        <v>22</v>
      </c>
      <c r="L2055" s="5" t="str">
        <f t="shared" si="613"/>
        <v>02054</v>
      </c>
      <c r="M2055" s="47" t="str">
        <f t="shared" si="614"/>
        <v>24 de mayo de 2019</v>
      </c>
      <c r="N2055" s="323">
        <f t="shared" si="615"/>
        <v>24</v>
      </c>
      <c r="O2055" s="25">
        <f t="shared" si="616"/>
        <v>43586</v>
      </c>
      <c r="P2055" s="5" t="str">
        <f t="shared" si="617"/>
        <v>8.000,00</v>
      </c>
      <c r="Q2055" s="4" t="e">
        <f t="shared" ca="1" si="618"/>
        <v>#NAME?</v>
      </c>
    </row>
    <row r="2056" spans="1:17">
      <c r="A2056" s="1">
        <f t="shared" si="604"/>
        <v>2055</v>
      </c>
      <c r="C2056" s="8" t="s">
        <v>17</v>
      </c>
      <c r="D2056" s="2">
        <v>43609</v>
      </c>
      <c r="E2056" s="3">
        <v>19800</v>
      </c>
      <c r="F2056" t="s">
        <v>206</v>
      </c>
      <c r="G2056" t="s">
        <v>207</v>
      </c>
      <c r="H2056" t="s">
        <v>208</v>
      </c>
      <c r="I2056" s="6" t="s">
        <v>981</v>
      </c>
      <c r="J2056" s="61" t="s">
        <v>22</v>
      </c>
      <c r="L2056" s="5" t="str">
        <f t="shared" si="613"/>
        <v>02055</v>
      </c>
      <c r="M2056" s="47" t="str">
        <f t="shared" si="614"/>
        <v>24 de mayo de 2019</v>
      </c>
      <c r="N2056" s="323">
        <f t="shared" si="615"/>
        <v>24</v>
      </c>
      <c r="O2056" s="25">
        <f t="shared" si="616"/>
        <v>43586</v>
      </c>
      <c r="P2056" s="5" t="str">
        <f t="shared" si="617"/>
        <v>19.800,00</v>
      </c>
      <c r="Q2056" s="4" t="e">
        <f t="shared" ca="1" si="618"/>
        <v>#NAME?</v>
      </c>
    </row>
    <row r="2057" spans="1:17">
      <c r="A2057" s="1">
        <f t="shared" si="604"/>
        <v>2056</v>
      </c>
      <c r="C2057" s="8" t="s">
        <v>17</v>
      </c>
      <c r="D2057" s="2">
        <v>43609</v>
      </c>
      <c r="E2057" s="3">
        <v>3000</v>
      </c>
      <c r="F2057" t="s">
        <v>126</v>
      </c>
      <c r="G2057" t="s">
        <v>127</v>
      </c>
      <c r="H2057" t="s">
        <v>128</v>
      </c>
      <c r="I2057" s="6" t="s">
        <v>982</v>
      </c>
      <c r="J2057" s="61" t="s">
        <v>22</v>
      </c>
      <c r="L2057" s="5" t="str">
        <f t="shared" si="613"/>
        <v>02056</v>
      </c>
      <c r="M2057" s="47" t="str">
        <f t="shared" si="614"/>
        <v>24 de mayo de 2019</v>
      </c>
      <c r="N2057" s="323">
        <f t="shared" si="615"/>
        <v>24</v>
      </c>
      <c r="O2057" s="25">
        <f t="shared" si="616"/>
        <v>43586</v>
      </c>
      <c r="P2057" s="5" t="str">
        <f t="shared" si="617"/>
        <v>3.000,00</v>
      </c>
      <c r="Q2057" s="4" t="e">
        <f t="shared" ca="1" si="618"/>
        <v>#NAME?</v>
      </c>
    </row>
    <row r="2058" spans="1:17">
      <c r="A2058" s="1">
        <f t="shared" si="604"/>
        <v>2057</v>
      </c>
      <c r="C2058" s="8" t="s">
        <v>17</v>
      </c>
      <c r="D2058" s="2">
        <v>43609</v>
      </c>
      <c r="E2058" s="3">
        <v>8000</v>
      </c>
      <c r="F2058" t="s">
        <v>126</v>
      </c>
      <c r="G2058" t="s">
        <v>127</v>
      </c>
      <c r="H2058" t="s">
        <v>128</v>
      </c>
      <c r="I2058" s="6" t="s">
        <v>970</v>
      </c>
      <c r="J2058" s="61" t="s">
        <v>22</v>
      </c>
      <c r="L2058" s="5" t="str">
        <f t="shared" ref="L2058:L2064" si="619">IF(ISBLANK(A2058),"",TEXT(A2058,"00000"))</f>
        <v>02057</v>
      </c>
      <c r="M2058" s="47" t="str">
        <f t="shared" ref="M2058:M2064" si="620">IF(ISBLANK(D2058),"",TEXT(D2058,"dd")&amp;" de "&amp;TEXT(D2058,"mmmm")&amp;" de "&amp;TEXT(YEAR(D2058),"0"))</f>
        <v>24 de mayo de 2019</v>
      </c>
      <c r="N2058" s="323">
        <f t="shared" ref="N2058:N2064" si="621">DAY(D2058)</f>
        <v>24</v>
      </c>
      <c r="O2058" s="25">
        <f t="shared" ref="O2058:O2064" si="622">DATE(YEAR(D2058),MONTH(D2058),1)</f>
        <v>43586</v>
      </c>
      <c r="P2058" s="5" t="str">
        <f t="shared" ref="P2058:P2064" si="623">TEXT(E2058,"#.##0,00")</f>
        <v>8.000,00</v>
      </c>
      <c r="Q2058" s="4" t="e">
        <f t="shared" ref="Q2058:Q2064" ca="1" si="624">CONVERTIRNUM(E2058)</f>
        <v>#NAME?</v>
      </c>
    </row>
    <row r="2059" spans="1:17">
      <c r="A2059" s="1">
        <f t="shared" si="604"/>
        <v>2058</v>
      </c>
      <c r="C2059" s="8" t="s">
        <v>17</v>
      </c>
      <c r="D2059" s="2">
        <v>43610</v>
      </c>
      <c r="E2059" s="3">
        <v>3000</v>
      </c>
      <c r="F2059" t="s">
        <v>334</v>
      </c>
      <c r="G2059" t="s">
        <v>85</v>
      </c>
      <c r="H2059" t="s">
        <v>335</v>
      </c>
      <c r="I2059" s="6" t="s">
        <v>969</v>
      </c>
      <c r="J2059" s="61" t="s">
        <v>22</v>
      </c>
      <c r="L2059" s="5" t="str">
        <f t="shared" si="619"/>
        <v>02058</v>
      </c>
      <c r="M2059" s="47" t="str">
        <f t="shared" si="620"/>
        <v>25 de mayo de 2019</v>
      </c>
      <c r="N2059" s="323">
        <f t="shared" si="621"/>
        <v>25</v>
      </c>
      <c r="O2059" s="25">
        <f t="shared" si="622"/>
        <v>43586</v>
      </c>
      <c r="P2059" s="5" t="str">
        <f t="shared" si="623"/>
        <v>3.000,00</v>
      </c>
      <c r="Q2059" s="4" t="e">
        <f t="shared" ca="1" si="624"/>
        <v>#NAME?</v>
      </c>
    </row>
    <row r="2060" spans="1:17">
      <c r="A2060" s="1">
        <f t="shared" si="604"/>
        <v>2059</v>
      </c>
      <c r="C2060" s="8" t="s">
        <v>17</v>
      </c>
      <c r="D2060" s="2">
        <v>43610</v>
      </c>
      <c r="E2060" s="3">
        <v>3000</v>
      </c>
      <c r="F2060" t="s">
        <v>84</v>
      </c>
      <c r="G2060" t="s">
        <v>85</v>
      </c>
      <c r="H2060" t="s">
        <v>86</v>
      </c>
      <c r="I2060" s="6" t="s">
        <v>969</v>
      </c>
      <c r="J2060" s="61" t="s">
        <v>22</v>
      </c>
      <c r="L2060" s="5" t="str">
        <f t="shared" si="619"/>
        <v>02059</v>
      </c>
      <c r="M2060" s="47" t="str">
        <f t="shared" si="620"/>
        <v>25 de mayo de 2019</v>
      </c>
      <c r="N2060" s="323">
        <f t="shared" si="621"/>
        <v>25</v>
      </c>
      <c r="O2060" s="25">
        <f t="shared" si="622"/>
        <v>43586</v>
      </c>
      <c r="P2060" s="5" t="str">
        <f t="shared" si="623"/>
        <v>3.000,00</v>
      </c>
      <c r="Q2060" s="4" t="e">
        <f t="shared" ca="1" si="624"/>
        <v>#NAME?</v>
      </c>
    </row>
    <row r="2061" spans="1:17" ht="15.75" thickBot="1">
      <c r="A2061" s="1">
        <f t="shared" si="604"/>
        <v>2060</v>
      </c>
      <c r="C2061" s="8" t="s">
        <v>17</v>
      </c>
      <c r="D2061" s="2">
        <v>43610</v>
      </c>
      <c r="E2061" s="3">
        <v>10000</v>
      </c>
      <c r="F2061" t="s">
        <v>771</v>
      </c>
      <c r="G2061" t="s">
        <v>772</v>
      </c>
      <c r="H2061" t="s">
        <v>773</v>
      </c>
      <c r="I2061" s="6" t="s">
        <v>983</v>
      </c>
      <c r="J2061" s="61" t="s">
        <v>22</v>
      </c>
      <c r="L2061" s="5" t="str">
        <f t="shared" si="619"/>
        <v>02060</v>
      </c>
      <c r="M2061" s="47" t="str">
        <f t="shared" si="620"/>
        <v>25 de mayo de 2019</v>
      </c>
      <c r="N2061" s="323">
        <f t="shared" si="621"/>
        <v>25</v>
      </c>
      <c r="O2061" s="25">
        <f t="shared" si="622"/>
        <v>43586</v>
      </c>
      <c r="P2061" s="5" t="str">
        <f t="shared" si="623"/>
        <v>10.000,00</v>
      </c>
      <c r="Q2061" s="4" t="e">
        <f t="shared" ca="1" si="624"/>
        <v>#NAME?</v>
      </c>
    </row>
    <row r="2062" spans="1:17" ht="15.75" thickBot="1">
      <c r="A2062" s="1">
        <f t="shared" si="604"/>
        <v>2061</v>
      </c>
      <c r="C2062" s="8" t="s">
        <v>17</v>
      </c>
      <c r="D2062" s="2">
        <v>43610</v>
      </c>
      <c r="E2062" s="3">
        <f>5000+3000</f>
        <v>8000</v>
      </c>
      <c r="F2062" t="s">
        <v>239</v>
      </c>
      <c r="G2062" s="73" t="s">
        <v>240</v>
      </c>
      <c r="H2062" t="s">
        <v>241</v>
      </c>
      <c r="I2062" s="6" t="s">
        <v>970</v>
      </c>
      <c r="J2062" s="61" t="s">
        <v>22</v>
      </c>
      <c r="L2062" s="5" t="str">
        <f t="shared" si="619"/>
        <v>02061</v>
      </c>
      <c r="M2062" s="47" t="str">
        <f t="shared" si="620"/>
        <v>25 de mayo de 2019</v>
      </c>
      <c r="N2062" s="323">
        <f t="shared" si="621"/>
        <v>25</v>
      </c>
      <c r="O2062" s="25">
        <f t="shared" si="622"/>
        <v>43586</v>
      </c>
      <c r="P2062" s="5" t="str">
        <f t="shared" si="623"/>
        <v>8.000,00</v>
      </c>
      <c r="Q2062" s="4" t="e">
        <f t="shared" ca="1" si="624"/>
        <v>#NAME?</v>
      </c>
    </row>
    <row r="2063" spans="1:17">
      <c r="A2063" s="1">
        <f t="shared" si="604"/>
        <v>2062</v>
      </c>
      <c r="C2063" s="8" t="s">
        <v>17</v>
      </c>
      <c r="D2063" s="2">
        <v>43610</v>
      </c>
      <c r="E2063" s="3">
        <v>8000</v>
      </c>
      <c r="F2063" t="s">
        <v>248</v>
      </c>
      <c r="G2063" t="s">
        <v>249</v>
      </c>
      <c r="H2063" t="s">
        <v>250</v>
      </c>
      <c r="I2063" s="6" t="s">
        <v>970</v>
      </c>
      <c r="J2063" s="61" t="s">
        <v>22</v>
      </c>
      <c r="L2063" s="5" t="str">
        <f t="shared" si="619"/>
        <v>02062</v>
      </c>
      <c r="M2063" s="47" t="str">
        <f t="shared" si="620"/>
        <v>25 de mayo de 2019</v>
      </c>
      <c r="N2063" s="323">
        <f t="shared" si="621"/>
        <v>25</v>
      </c>
      <c r="O2063" s="25">
        <f t="shared" si="622"/>
        <v>43586</v>
      </c>
      <c r="P2063" s="5" t="str">
        <f t="shared" si="623"/>
        <v>8.000,00</v>
      </c>
      <c r="Q2063" s="4" t="e">
        <f t="shared" ca="1" si="624"/>
        <v>#NAME?</v>
      </c>
    </row>
    <row r="2064" spans="1:17">
      <c r="A2064" s="1">
        <f t="shared" si="604"/>
        <v>2063</v>
      </c>
      <c r="C2064" s="8" t="s">
        <v>17</v>
      </c>
      <c r="D2064" s="2">
        <v>43611</v>
      </c>
      <c r="E2064" s="3">
        <v>1000</v>
      </c>
      <c r="F2064" t="s">
        <v>433</v>
      </c>
      <c r="G2064" t="s">
        <v>434</v>
      </c>
      <c r="H2064" t="s">
        <v>435</v>
      </c>
      <c r="I2064" s="6" t="s">
        <v>968</v>
      </c>
      <c r="J2064" s="61" t="s">
        <v>22</v>
      </c>
      <c r="L2064" s="5" t="str">
        <f t="shared" si="619"/>
        <v>02063</v>
      </c>
      <c r="M2064" s="47" t="str">
        <f t="shared" si="620"/>
        <v>26 de mayo de 2019</v>
      </c>
      <c r="N2064" s="323">
        <f t="shared" si="621"/>
        <v>26</v>
      </c>
      <c r="O2064" s="25">
        <f t="shared" si="622"/>
        <v>43586</v>
      </c>
      <c r="P2064" s="5" t="str">
        <f t="shared" si="623"/>
        <v>1.000,00</v>
      </c>
      <c r="Q2064" s="4" t="e">
        <f t="shared" ca="1" si="624"/>
        <v>#NAME?</v>
      </c>
    </row>
    <row r="2065" spans="1:17">
      <c r="A2065" s="1">
        <f t="shared" si="604"/>
        <v>2064</v>
      </c>
      <c r="C2065" s="8" t="s">
        <v>17</v>
      </c>
      <c r="D2065" s="2">
        <v>43587</v>
      </c>
      <c r="E2065" s="3">
        <v>2000</v>
      </c>
      <c r="F2065" t="s">
        <v>248</v>
      </c>
      <c r="G2065" t="s">
        <v>249</v>
      </c>
      <c r="H2065" t="s">
        <v>250</v>
      </c>
      <c r="I2065" s="6" t="s">
        <v>950</v>
      </c>
      <c r="J2065" s="61" t="s">
        <v>22</v>
      </c>
      <c r="L2065" s="5" t="str">
        <f t="shared" ref="L2065:L2072" si="625">IF(ISBLANK(A2065),"",TEXT(A2065,"00000"))</f>
        <v>02064</v>
      </c>
      <c r="M2065" s="47" t="str">
        <f t="shared" ref="M2065:M2072" si="626">IF(ISBLANK(D2065),"",TEXT(D2065,"dd")&amp;" de "&amp;TEXT(D2065,"mmmm")&amp;" de "&amp;TEXT(YEAR(D2065),"0"))</f>
        <v>02 de mayo de 2019</v>
      </c>
      <c r="N2065" s="323">
        <f t="shared" ref="N2065:N2083" si="627">DAY(D2065)</f>
        <v>2</v>
      </c>
      <c r="O2065" s="25">
        <f t="shared" ref="O2065:O2072" si="628">DATE(YEAR(D2065),MONTH(D2065),1)</f>
        <v>43586</v>
      </c>
      <c r="P2065" s="5" t="str">
        <f t="shared" ref="P2065:P2083" si="629">TEXT(E2065,"#.##0,00")</f>
        <v>2.000,00</v>
      </c>
      <c r="Q2065" s="4" t="e">
        <f t="shared" ref="Q2065:Q2079" ca="1" si="630">CONVERTIRNUM(E2065)</f>
        <v>#NAME?</v>
      </c>
    </row>
    <row r="2066" spans="1:17">
      <c r="A2066" s="1">
        <f t="shared" si="604"/>
        <v>2065</v>
      </c>
      <c r="C2066" s="8" t="s">
        <v>17</v>
      </c>
      <c r="D2066" s="2">
        <v>43613</v>
      </c>
      <c r="E2066" s="3">
        <v>3000</v>
      </c>
      <c r="F2066" t="s">
        <v>337</v>
      </c>
      <c r="G2066" t="s">
        <v>338</v>
      </c>
      <c r="H2066" t="s">
        <v>339</v>
      </c>
      <c r="I2066" s="6" t="s">
        <v>969</v>
      </c>
      <c r="J2066" s="61" t="s">
        <v>22</v>
      </c>
      <c r="L2066" s="5" t="str">
        <f t="shared" si="625"/>
        <v>02065</v>
      </c>
      <c r="M2066" s="47" t="str">
        <f t="shared" si="626"/>
        <v>28 de mayo de 2019</v>
      </c>
      <c r="N2066" s="323">
        <f t="shared" si="627"/>
        <v>28</v>
      </c>
      <c r="O2066" s="25">
        <f t="shared" si="628"/>
        <v>43586</v>
      </c>
      <c r="P2066" s="5" t="str">
        <f t="shared" si="629"/>
        <v>3.000,00</v>
      </c>
      <c r="Q2066" s="4" t="e">
        <f t="shared" ca="1" si="630"/>
        <v>#NAME?</v>
      </c>
    </row>
    <row r="2067" spans="1:17">
      <c r="A2067" s="1">
        <f t="shared" si="604"/>
        <v>2066</v>
      </c>
      <c r="C2067" s="8" t="s">
        <v>17</v>
      </c>
      <c r="D2067" s="2">
        <v>43613</v>
      </c>
      <c r="E2067" s="3">
        <f>7000+8000</f>
        <v>15000</v>
      </c>
      <c r="F2067" t="s">
        <v>892</v>
      </c>
      <c r="G2067" t="s">
        <v>893</v>
      </c>
      <c r="H2067" s="21" t="s">
        <v>59</v>
      </c>
      <c r="I2067" s="6" t="s">
        <v>984</v>
      </c>
      <c r="J2067" s="61" t="s">
        <v>22</v>
      </c>
      <c r="K2067" s="22"/>
      <c r="L2067" s="5" t="str">
        <f t="shared" si="625"/>
        <v>02066</v>
      </c>
      <c r="M2067" s="47" t="str">
        <f t="shared" si="626"/>
        <v>28 de mayo de 2019</v>
      </c>
      <c r="N2067" s="323">
        <f t="shared" si="627"/>
        <v>28</v>
      </c>
      <c r="O2067" s="25">
        <f t="shared" si="628"/>
        <v>43586</v>
      </c>
      <c r="P2067" s="5" t="str">
        <f t="shared" si="629"/>
        <v>15.000,00</v>
      </c>
      <c r="Q2067" s="4" t="e">
        <f t="shared" ca="1" si="630"/>
        <v>#NAME?</v>
      </c>
    </row>
    <row r="2068" spans="1:17">
      <c r="A2068" s="1">
        <f t="shared" si="604"/>
        <v>2067</v>
      </c>
      <c r="C2068" s="8" t="s">
        <v>17</v>
      </c>
      <c r="D2068" s="2">
        <v>43613</v>
      </c>
      <c r="E2068" s="3">
        <v>8000</v>
      </c>
      <c r="F2068" t="s">
        <v>935</v>
      </c>
      <c r="G2068" t="s">
        <v>936</v>
      </c>
      <c r="H2068" t="s">
        <v>150</v>
      </c>
      <c r="I2068" s="6" t="s">
        <v>970</v>
      </c>
      <c r="J2068" s="61" t="s">
        <v>22</v>
      </c>
      <c r="L2068" s="5" t="str">
        <f t="shared" si="625"/>
        <v>02067</v>
      </c>
      <c r="M2068" s="47" t="str">
        <f t="shared" si="626"/>
        <v>28 de mayo de 2019</v>
      </c>
      <c r="N2068" s="323">
        <f t="shared" si="627"/>
        <v>28</v>
      </c>
      <c r="O2068" s="25">
        <f t="shared" si="628"/>
        <v>43586</v>
      </c>
      <c r="P2068" s="5" t="str">
        <f t="shared" si="629"/>
        <v>8.000,00</v>
      </c>
      <c r="Q2068" s="4" t="e">
        <f t="shared" ca="1" si="630"/>
        <v>#NAME?</v>
      </c>
    </row>
    <row r="2069" spans="1:17" ht="16.5" customHeight="1" thickBot="1">
      <c r="A2069" s="1">
        <f t="shared" si="604"/>
        <v>2068</v>
      </c>
      <c r="C2069" s="8" t="s">
        <v>17</v>
      </c>
      <c r="D2069" s="2">
        <v>43613</v>
      </c>
      <c r="E2069" s="3">
        <v>8000</v>
      </c>
      <c r="F2069" t="s">
        <v>219</v>
      </c>
      <c r="G2069" t="s">
        <v>220</v>
      </c>
      <c r="H2069" t="s">
        <v>221</v>
      </c>
      <c r="I2069" s="6" t="s">
        <v>985</v>
      </c>
      <c r="J2069" s="61" t="s">
        <v>22</v>
      </c>
      <c r="L2069" s="5" t="str">
        <f t="shared" si="625"/>
        <v>02068</v>
      </c>
      <c r="M2069" s="47" t="str">
        <f t="shared" si="626"/>
        <v>28 de mayo de 2019</v>
      </c>
      <c r="N2069" s="323">
        <f t="shared" si="627"/>
        <v>28</v>
      </c>
      <c r="O2069" s="25">
        <f t="shared" si="628"/>
        <v>43586</v>
      </c>
      <c r="P2069" s="5" t="str">
        <f t="shared" si="629"/>
        <v>8.000,00</v>
      </c>
      <c r="Q2069" s="4" t="e">
        <f t="shared" ca="1" si="630"/>
        <v>#NAME?</v>
      </c>
    </row>
    <row r="2070" spans="1:17" ht="15.75" thickBot="1">
      <c r="A2070" s="1">
        <f t="shared" si="604"/>
        <v>2069</v>
      </c>
      <c r="C2070" s="8" t="s">
        <v>17</v>
      </c>
      <c r="D2070" s="2">
        <v>43614</v>
      </c>
      <c r="E2070" s="3">
        <f>4000+4000</f>
        <v>8000</v>
      </c>
      <c r="F2070" t="s">
        <v>252</v>
      </c>
      <c r="G2070" s="475" t="s">
        <v>958</v>
      </c>
      <c r="H2070" t="s">
        <v>254</v>
      </c>
      <c r="I2070" s="6" t="s">
        <v>986</v>
      </c>
      <c r="J2070" s="61" t="s">
        <v>22</v>
      </c>
      <c r="L2070" s="5" t="str">
        <f t="shared" si="625"/>
        <v>02069</v>
      </c>
      <c r="M2070" s="47" t="str">
        <f t="shared" si="626"/>
        <v>29 de mayo de 2019</v>
      </c>
      <c r="N2070" s="323">
        <f t="shared" si="627"/>
        <v>29</v>
      </c>
      <c r="O2070" s="25">
        <f t="shared" si="628"/>
        <v>43586</v>
      </c>
      <c r="P2070" s="5" t="str">
        <f t="shared" si="629"/>
        <v>8.000,00</v>
      </c>
      <c r="Q2070" s="4" t="e">
        <f t="shared" ca="1" si="630"/>
        <v>#NAME?</v>
      </c>
    </row>
    <row r="2071" spans="1:17" ht="15.75" thickBot="1">
      <c r="A2071" s="1">
        <f t="shared" si="604"/>
        <v>2070</v>
      </c>
      <c r="C2071" s="85" t="s">
        <v>17</v>
      </c>
      <c r="D2071" s="2">
        <v>43614</v>
      </c>
      <c r="E2071" s="3">
        <v>11600</v>
      </c>
      <c r="F2071" s="23" t="s">
        <v>422</v>
      </c>
      <c r="G2071" s="18" t="s">
        <v>58</v>
      </c>
      <c r="H2071" t="s">
        <v>423</v>
      </c>
      <c r="I2071" s="6" t="s">
        <v>970</v>
      </c>
      <c r="J2071" s="61" t="s">
        <v>22</v>
      </c>
      <c r="L2071" s="5" t="str">
        <f t="shared" si="625"/>
        <v>02070</v>
      </c>
      <c r="M2071" s="47" t="str">
        <f t="shared" si="626"/>
        <v>29 de mayo de 2019</v>
      </c>
      <c r="N2071" s="323">
        <f t="shared" si="627"/>
        <v>29</v>
      </c>
      <c r="O2071" s="25">
        <f t="shared" si="628"/>
        <v>43586</v>
      </c>
      <c r="P2071" s="5" t="str">
        <f t="shared" si="629"/>
        <v>11.600,00</v>
      </c>
      <c r="Q2071" s="4" t="e">
        <f t="shared" ca="1" si="630"/>
        <v>#NAME?</v>
      </c>
    </row>
    <row r="2072" spans="1:17">
      <c r="A2072" s="1">
        <f t="shared" si="604"/>
        <v>2071</v>
      </c>
      <c r="C2072" s="8" t="s">
        <v>17</v>
      </c>
      <c r="D2072" s="2">
        <v>43614</v>
      </c>
      <c r="E2072" s="3">
        <v>11000</v>
      </c>
      <c r="F2072" t="s">
        <v>66</v>
      </c>
      <c r="G2072" t="s">
        <v>67</v>
      </c>
      <c r="H2072" t="s">
        <v>68</v>
      </c>
      <c r="I2072" s="6" t="s">
        <v>984</v>
      </c>
      <c r="J2072" s="61" t="s">
        <v>22</v>
      </c>
      <c r="L2072" s="5" t="str">
        <f t="shared" si="625"/>
        <v>02071</v>
      </c>
      <c r="M2072" s="47" t="str">
        <f t="shared" si="626"/>
        <v>29 de mayo de 2019</v>
      </c>
      <c r="N2072" s="323">
        <f t="shared" si="627"/>
        <v>29</v>
      </c>
      <c r="O2072" s="25">
        <f t="shared" si="628"/>
        <v>43586</v>
      </c>
      <c r="P2072" s="5" t="str">
        <f t="shared" si="629"/>
        <v>11.000,00</v>
      </c>
      <c r="Q2072" s="4" t="e">
        <f t="shared" ca="1" si="630"/>
        <v>#NAME?</v>
      </c>
    </row>
    <row r="2073" spans="1:17">
      <c r="A2073" s="1">
        <f t="shared" si="604"/>
        <v>2072</v>
      </c>
      <c r="C2073" s="8" t="s">
        <v>17</v>
      </c>
      <c r="D2073" s="2">
        <v>43614</v>
      </c>
      <c r="E2073" s="3">
        <v>8000</v>
      </c>
      <c r="F2073" t="s">
        <v>243</v>
      </c>
      <c r="G2073" t="s">
        <v>244</v>
      </c>
      <c r="H2073" t="s">
        <v>245</v>
      </c>
      <c r="I2073" s="6" t="s">
        <v>970</v>
      </c>
      <c r="J2073" s="61" t="s">
        <v>22</v>
      </c>
      <c r="L2073" s="5" t="str">
        <f>IF(ISBLANK(A2073),"",TEXT(A2073,"00000"))</f>
        <v>02072</v>
      </c>
      <c r="M2073" s="47" t="str">
        <f>IF(ISBLANK(D2073),"",TEXT(D2073,"dd")&amp;" de "&amp;TEXT(D2073,"mmmm")&amp;" de "&amp;TEXT(YEAR(D2073),"0"))</f>
        <v>29 de mayo de 2019</v>
      </c>
      <c r="N2073" s="323">
        <f t="shared" si="627"/>
        <v>29</v>
      </c>
      <c r="O2073" s="25">
        <f>DATE(YEAR(D2073),MONTH(D2073),1)</f>
        <v>43586</v>
      </c>
      <c r="P2073" s="5" t="str">
        <f t="shared" si="629"/>
        <v>8.000,00</v>
      </c>
      <c r="Q2073" s="4" t="e">
        <f t="shared" ca="1" si="630"/>
        <v>#NAME?</v>
      </c>
    </row>
    <row r="2074" spans="1:17">
      <c r="A2074" s="1">
        <f t="shared" si="604"/>
        <v>2073</v>
      </c>
      <c r="C2074" s="8" t="s">
        <v>17</v>
      </c>
      <c r="D2074" s="2">
        <v>43615</v>
      </c>
      <c r="E2074" s="3">
        <v>13000</v>
      </c>
      <c r="F2074" t="s">
        <v>100</v>
      </c>
      <c r="G2074" t="s">
        <v>95</v>
      </c>
      <c r="H2074" t="s">
        <v>101</v>
      </c>
      <c r="I2074" s="6" t="s">
        <v>987</v>
      </c>
      <c r="J2074" s="61" t="s">
        <v>22</v>
      </c>
      <c r="L2074" s="5" t="str">
        <f t="shared" ref="L2074:L2080" si="631">IF(ISBLANK(A2074),"",TEXT(A2074,"00000"))</f>
        <v>02073</v>
      </c>
      <c r="M2074" s="47" t="str">
        <f t="shared" ref="M2074:M2080" si="632">IF(ISBLANK(D2074),"",TEXT(D2074,"dd")&amp;" de "&amp;TEXT(D2074,"mmmm")&amp;" de "&amp;TEXT(YEAR(D2074),"0"))</f>
        <v>30 de mayo de 2019</v>
      </c>
      <c r="N2074" s="323">
        <f t="shared" si="627"/>
        <v>30</v>
      </c>
      <c r="O2074" s="25">
        <f t="shared" ref="O2074:O2080" si="633">DATE(YEAR(D2074),MONTH(D2074),1)</f>
        <v>43586</v>
      </c>
      <c r="P2074" s="5" t="str">
        <f t="shared" si="629"/>
        <v>13.000,00</v>
      </c>
      <c r="Q2074" s="4" t="e">
        <f t="shared" ca="1" si="630"/>
        <v>#NAME?</v>
      </c>
    </row>
    <row r="2075" spans="1:17">
      <c r="A2075" s="1">
        <f t="shared" si="604"/>
        <v>2074</v>
      </c>
      <c r="C2075" s="8" t="s">
        <v>17</v>
      </c>
      <c r="D2075" s="2">
        <v>43615</v>
      </c>
      <c r="E2075" s="3">
        <f>1480+8000+2040</f>
        <v>11520</v>
      </c>
      <c r="F2075" t="s">
        <v>324</v>
      </c>
      <c r="G2075" t="s">
        <v>325</v>
      </c>
      <c r="H2075" t="s">
        <v>326</v>
      </c>
      <c r="I2075" s="6" t="s">
        <v>988</v>
      </c>
      <c r="J2075" s="61" t="s">
        <v>22</v>
      </c>
      <c r="L2075" s="5" t="str">
        <f t="shared" si="631"/>
        <v>02074</v>
      </c>
      <c r="M2075" s="47" t="str">
        <f t="shared" si="632"/>
        <v>30 de mayo de 2019</v>
      </c>
      <c r="N2075" s="323">
        <f t="shared" si="627"/>
        <v>30</v>
      </c>
      <c r="O2075" s="25">
        <f t="shared" si="633"/>
        <v>43586</v>
      </c>
      <c r="P2075" s="5" t="str">
        <f t="shared" si="629"/>
        <v>11.520,00</v>
      </c>
      <c r="Q2075" s="4" t="e">
        <f t="shared" ca="1" si="630"/>
        <v>#NAME?</v>
      </c>
    </row>
    <row r="2076" spans="1:17">
      <c r="A2076" s="1">
        <f t="shared" si="604"/>
        <v>2075</v>
      </c>
      <c r="C2076" s="8" t="s">
        <v>17</v>
      </c>
      <c r="D2076" s="2">
        <v>43615</v>
      </c>
      <c r="E2076" s="3">
        <v>8000</v>
      </c>
      <c r="F2076" t="s">
        <v>612</v>
      </c>
      <c r="G2076" t="s">
        <v>613</v>
      </c>
      <c r="H2076" t="s">
        <v>614</v>
      </c>
      <c r="I2076" s="6" t="s">
        <v>970</v>
      </c>
      <c r="J2076" s="61" t="s">
        <v>22</v>
      </c>
      <c r="L2076" s="5" t="str">
        <f t="shared" si="631"/>
        <v>02075</v>
      </c>
      <c r="M2076" s="47" t="str">
        <f t="shared" si="632"/>
        <v>30 de mayo de 2019</v>
      </c>
      <c r="N2076" s="323">
        <f t="shared" si="627"/>
        <v>30</v>
      </c>
      <c r="O2076" s="25">
        <f t="shared" si="633"/>
        <v>43586</v>
      </c>
      <c r="P2076" s="5" t="str">
        <f t="shared" si="629"/>
        <v>8.000,00</v>
      </c>
      <c r="Q2076" s="4" t="e">
        <f t="shared" ca="1" si="630"/>
        <v>#NAME?</v>
      </c>
    </row>
    <row r="2077" spans="1:17">
      <c r="A2077" s="1">
        <f t="shared" ref="A2077:A2095" si="634">A2076+1</f>
        <v>2076</v>
      </c>
      <c r="C2077" s="8" t="s">
        <v>17</v>
      </c>
      <c r="D2077" s="2">
        <v>43615</v>
      </c>
      <c r="E2077" s="3">
        <v>3000</v>
      </c>
      <c r="F2077" t="s">
        <v>134</v>
      </c>
      <c r="G2077" t="s">
        <v>135</v>
      </c>
      <c r="H2077" t="s">
        <v>136</v>
      </c>
      <c r="I2077" s="6" t="s">
        <v>969</v>
      </c>
      <c r="J2077" s="61" t="s">
        <v>22</v>
      </c>
      <c r="L2077" s="5" t="str">
        <f t="shared" si="631"/>
        <v>02076</v>
      </c>
      <c r="M2077" s="47" t="str">
        <f t="shared" si="632"/>
        <v>30 de mayo de 2019</v>
      </c>
      <c r="N2077" s="323">
        <f t="shared" si="627"/>
        <v>30</v>
      </c>
      <c r="O2077" s="25">
        <f t="shared" si="633"/>
        <v>43586</v>
      </c>
      <c r="P2077" s="5" t="str">
        <f t="shared" si="629"/>
        <v>3.000,00</v>
      </c>
      <c r="Q2077" s="4" t="e">
        <f t="shared" ca="1" si="630"/>
        <v>#NAME?</v>
      </c>
    </row>
    <row r="2078" spans="1:17">
      <c r="A2078" s="1">
        <f t="shared" si="634"/>
        <v>2077</v>
      </c>
      <c r="C2078" s="8" t="s">
        <v>17</v>
      </c>
      <c r="D2078" s="2">
        <v>43615</v>
      </c>
      <c r="E2078" s="3">
        <v>8000</v>
      </c>
      <c r="F2078" t="s">
        <v>843</v>
      </c>
      <c r="G2078" t="s">
        <v>844</v>
      </c>
      <c r="H2078" t="s">
        <v>169</v>
      </c>
      <c r="I2078" s="6" t="s">
        <v>970</v>
      </c>
      <c r="J2078" s="61" t="s">
        <v>22</v>
      </c>
      <c r="L2078" s="5" t="str">
        <f t="shared" si="631"/>
        <v>02077</v>
      </c>
      <c r="M2078" s="47" t="str">
        <f t="shared" si="632"/>
        <v>30 de mayo de 2019</v>
      </c>
      <c r="N2078" s="323">
        <f t="shared" si="627"/>
        <v>30</v>
      </c>
      <c r="O2078" s="25">
        <f t="shared" si="633"/>
        <v>43586</v>
      </c>
      <c r="P2078" s="5" t="str">
        <f t="shared" si="629"/>
        <v>8.000,00</v>
      </c>
      <c r="Q2078" s="4" t="e">
        <f t="shared" ca="1" si="630"/>
        <v>#NAME?</v>
      </c>
    </row>
    <row r="2079" spans="1:17">
      <c r="A2079" s="1">
        <f t="shared" si="634"/>
        <v>2078</v>
      </c>
      <c r="C2079" s="8" t="s">
        <v>17</v>
      </c>
      <c r="D2079" s="2">
        <v>43616</v>
      </c>
      <c r="E2079" s="3">
        <v>8000</v>
      </c>
      <c r="F2079" t="s">
        <v>284</v>
      </c>
      <c r="G2079" t="s">
        <v>687</v>
      </c>
      <c r="H2079" t="s">
        <v>285</v>
      </c>
      <c r="I2079" s="6" t="s">
        <v>970</v>
      </c>
      <c r="J2079" s="61" t="s">
        <v>22</v>
      </c>
      <c r="L2079" s="5" t="str">
        <f t="shared" si="631"/>
        <v>02078</v>
      </c>
      <c r="M2079" s="47" t="str">
        <f t="shared" si="632"/>
        <v>31 de mayo de 2019</v>
      </c>
      <c r="N2079" s="323">
        <f t="shared" si="627"/>
        <v>31</v>
      </c>
      <c r="O2079" s="25">
        <f t="shared" si="633"/>
        <v>43586</v>
      </c>
      <c r="P2079" s="5" t="str">
        <f t="shared" si="629"/>
        <v>8.000,00</v>
      </c>
      <c r="Q2079" s="4" t="e">
        <f t="shared" ca="1" si="630"/>
        <v>#NAME?</v>
      </c>
    </row>
    <row r="2080" spans="1:17">
      <c r="A2080" s="1">
        <f t="shared" si="634"/>
        <v>2079</v>
      </c>
      <c r="C2080" s="8" t="s">
        <v>17</v>
      </c>
      <c r="D2080" s="2">
        <v>43616</v>
      </c>
      <c r="E2080" s="3">
        <v>8000</v>
      </c>
      <c r="F2080" t="s">
        <v>407</v>
      </c>
      <c r="G2080" t="s">
        <v>408</v>
      </c>
      <c r="H2080" t="s">
        <v>409</v>
      </c>
      <c r="I2080" s="6" t="s">
        <v>986</v>
      </c>
      <c r="J2080" s="61" t="s">
        <v>22</v>
      </c>
      <c r="L2080" s="5" t="str">
        <f t="shared" si="631"/>
        <v>02079</v>
      </c>
      <c r="M2080" s="47" t="str">
        <f t="shared" si="632"/>
        <v>31 de mayo de 2019</v>
      </c>
      <c r="N2080" s="323">
        <f t="shared" si="627"/>
        <v>31</v>
      </c>
      <c r="O2080" s="25">
        <f t="shared" si="633"/>
        <v>43586</v>
      </c>
      <c r="P2080" s="5" t="str">
        <f t="shared" si="629"/>
        <v>8.000,00</v>
      </c>
      <c r="Q2080" s="4" t="e">
        <f ca="1">CONVERTIRNUM(E2080)</f>
        <v>#NAME?</v>
      </c>
    </row>
    <row r="2081" spans="1:17">
      <c r="A2081" s="1">
        <f t="shared" si="634"/>
        <v>2080</v>
      </c>
      <c r="C2081" s="8" t="s">
        <v>17</v>
      </c>
      <c r="D2081" s="2">
        <v>43616</v>
      </c>
      <c r="E2081" s="3">
        <v>11000</v>
      </c>
      <c r="F2081" t="s">
        <v>44</v>
      </c>
      <c r="G2081" t="s">
        <v>45</v>
      </c>
      <c r="H2081" t="s">
        <v>46</v>
      </c>
      <c r="I2081" s="6" t="s">
        <v>984</v>
      </c>
      <c r="J2081" s="61" t="s">
        <v>22</v>
      </c>
      <c r="L2081" s="5" t="str">
        <f>IF(ISBLANK(A2081),"",TEXT(A2081,"00000"))</f>
        <v>02080</v>
      </c>
      <c r="M2081" s="47" t="str">
        <f>IF(ISBLANK(D2081),"",TEXT(D2081,"dd")&amp;" de "&amp;TEXT(D2081,"mmmm")&amp;" de "&amp;TEXT(YEAR(D2081),"0"))</f>
        <v>31 de mayo de 2019</v>
      </c>
      <c r="N2081" s="323">
        <f t="shared" si="627"/>
        <v>31</v>
      </c>
      <c r="O2081" s="25">
        <f>DATE(YEAR(D2081),MONTH(D2081),1)</f>
        <v>43586</v>
      </c>
      <c r="P2081" s="5" t="str">
        <f t="shared" si="629"/>
        <v>11.000,00</v>
      </c>
      <c r="Q2081" s="4" t="e">
        <f t="shared" ref="Q2081:Q2110" ca="1" si="635">CONVERTIRNUM(E2081)</f>
        <v>#NAME?</v>
      </c>
    </row>
    <row r="2082" spans="1:17">
      <c r="A2082" s="1">
        <f t="shared" si="634"/>
        <v>2081</v>
      </c>
      <c r="C2082" s="8" t="s">
        <v>17</v>
      </c>
      <c r="D2082" s="2">
        <v>43616</v>
      </c>
      <c r="E2082" s="3">
        <v>10000</v>
      </c>
      <c r="F2082" t="s">
        <v>177</v>
      </c>
      <c r="G2082" t="s">
        <v>941</v>
      </c>
      <c r="H2082" t="s">
        <v>179</v>
      </c>
      <c r="I2082" s="6" t="s">
        <v>989</v>
      </c>
      <c r="J2082" s="61" t="s">
        <v>22</v>
      </c>
      <c r="L2082" s="5" t="str">
        <f t="shared" ref="L2082:L2110" si="636">IF(ISBLANK(A2082),"",TEXT(A2082,"00000"))</f>
        <v>02081</v>
      </c>
      <c r="M2082" s="47" t="str">
        <f t="shared" ref="M2082:M2110" si="637">IF(ISBLANK(D2082),"",TEXT(D2082,"dd")&amp;" de "&amp;TEXT(D2082,"mmmm")&amp;" de "&amp;TEXT(YEAR(D2082),"0"))</f>
        <v>31 de mayo de 2019</v>
      </c>
      <c r="N2082" s="323">
        <f t="shared" si="627"/>
        <v>31</v>
      </c>
      <c r="O2082" s="25">
        <f t="shared" ref="O2082:O2110" si="638">DATE(YEAR(D2082),MONTH(D2082),1)</f>
        <v>43586</v>
      </c>
      <c r="P2082" s="5" t="str">
        <f t="shared" si="629"/>
        <v>10.000,00</v>
      </c>
      <c r="Q2082" s="4" t="e">
        <f t="shared" ca="1" si="635"/>
        <v>#NAME?</v>
      </c>
    </row>
    <row r="2083" spans="1:17">
      <c r="A2083" s="1">
        <f t="shared" si="634"/>
        <v>2082</v>
      </c>
      <c r="C2083" s="8" t="s">
        <v>17</v>
      </c>
      <c r="D2083" s="2">
        <v>43618</v>
      </c>
      <c r="E2083" s="3">
        <v>8000</v>
      </c>
      <c r="F2083" t="s">
        <v>483</v>
      </c>
      <c r="G2083" t="s">
        <v>484</v>
      </c>
      <c r="H2083" t="s">
        <v>485</v>
      </c>
      <c r="I2083" s="6" t="s">
        <v>986</v>
      </c>
      <c r="J2083" s="61" t="s">
        <v>22</v>
      </c>
      <c r="L2083" s="5" t="str">
        <f t="shared" si="636"/>
        <v>02082</v>
      </c>
      <c r="M2083" s="47" t="str">
        <f t="shared" si="637"/>
        <v>02 de junio de 2019</v>
      </c>
      <c r="N2083" s="323">
        <f t="shared" si="627"/>
        <v>2</v>
      </c>
      <c r="O2083" s="25">
        <f t="shared" si="638"/>
        <v>43617</v>
      </c>
      <c r="P2083" s="5" t="str">
        <f t="shared" si="629"/>
        <v>8.000,00</v>
      </c>
      <c r="Q2083" s="4" t="e">
        <f t="shared" ca="1" si="635"/>
        <v>#NAME?</v>
      </c>
    </row>
    <row r="2084" spans="1:17">
      <c r="A2084" s="319">
        <f t="shared" si="634"/>
        <v>2083</v>
      </c>
      <c r="B2084" s="574"/>
      <c r="C2084" s="12" t="s">
        <v>225</v>
      </c>
      <c r="D2084" s="17">
        <v>43618</v>
      </c>
      <c r="E2084" s="13">
        <v>8000</v>
      </c>
      <c r="F2084" s="14" t="s">
        <v>337</v>
      </c>
      <c r="G2084" s="14" t="s">
        <v>338</v>
      </c>
      <c r="H2084" s="14" t="s">
        <v>339</v>
      </c>
      <c r="I2084" s="15" t="s">
        <v>990</v>
      </c>
      <c r="J2084" s="62" t="s">
        <v>426</v>
      </c>
      <c r="K2084" s="16"/>
      <c r="L2084" s="5" t="str">
        <f t="shared" si="636"/>
        <v>02083</v>
      </c>
      <c r="M2084" s="47" t="str">
        <f t="shared" si="637"/>
        <v>02 de junio de 2019</v>
      </c>
      <c r="N2084" s="323">
        <f t="shared" ref="N2084:N2110" si="639">DAY(D2084)</f>
        <v>2</v>
      </c>
      <c r="O2084" s="25">
        <f t="shared" si="638"/>
        <v>43617</v>
      </c>
      <c r="P2084" s="5" t="str">
        <f t="shared" ref="P2084:P2110" si="640">TEXT(E2084,"#.##0,00")</f>
        <v>8.000,00</v>
      </c>
      <c r="Q2084" s="4" t="e">
        <f t="shared" ca="1" si="635"/>
        <v>#NAME?</v>
      </c>
    </row>
    <row r="2085" spans="1:17">
      <c r="A2085" s="1">
        <f t="shared" si="634"/>
        <v>2084</v>
      </c>
      <c r="C2085" s="8" t="s">
        <v>17</v>
      </c>
      <c r="D2085" s="2">
        <v>43618</v>
      </c>
      <c r="E2085" s="3">
        <v>8000</v>
      </c>
      <c r="F2085" t="s">
        <v>412</v>
      </c>
      <c r="G2085" t="s">
        <v>413</v>
      </c>
      <c r="H2085" t="s">
        <v>414</v>
      </c>
      <c r="I2085" s="6" t="s">
        <v>970</v>
      </c>
      <c r="J2085" s="61" t="s">
        <v>22</v>
      </c>
      <c r="L2085" s="5" t="str">
        <f t="shared" si="636"/>
        <v>02084</v>
      </c>
      <c r="M2085" s="47" t="str">
        <f t="shared" si="637"/>
        <v>02 de junio de 2019</v>
      </c>
      <c r="N2085" s="323">
        <f t="shared" si="639"/>
        <v>2</v>
      </c>
      <c r="O2085" s="25">
        <f t="shared" si="638"/>
        <v>43617</v>
      </c>
      <c r="P2085" s="5" t="str">
        <f t="shared" si="640"/>
        <v>8.000,00</v>
      </c>
      <c r="Q2085" s="4" t="e">
        <f t="shared" ca="1" si="635"/>
        <v>#NAME?</v>
      </c>
    </row>
    <row r="2086" spans="1:17">
      <c r="A2086" s="1">
        <f t="shared" si="634"/>
        <v>2085</v>
      </c>
      <c r="C2086" s="8" t="s">
        <v>17</v>
      </c>
      <c r="D2086" s="2">
        <v>43619</v>
      </c>
      <c r="E2086" s="3">
        <v>10000</v>
      </c>
      <c r="F2086" t="s">
        <v>107</v>
      </c>
      <c r="G2086" t="s">
        <v>108</v>
      </c>
      <c r="H2086" t="s">
        <v>109</v>
      </c>
      <c r="I2086" s="6" t="s">
        <v>986</v>
      </c>
      <c r="J2086" s="61" t="s">
        <v>22</v>
      </c>
      <c r="L2086" s="5" t="str">
        <f t="shared" si="636"/>
        <v>02085</v>
      </c>
      <c r="M2086" s="47" t="str">
        <f t="shared" si="637"/>
        <v>03 de junio de 2019</v>
      </c>
      <c r="N2086" s="323">
        <f t="shared" si="639"/>
        <v>3</v>
      </c>
      <c r="O2086" s="25">
        <f t="shared" si="638"/>
        <v>43617</v>
      </c>
      <c r="P2086" s="5" t="str">
        <f t="shared" si="640"/>
        <v>10.000,00</v>
      </c>
      <c r="Q2086" s="4" t="e">
        <f t="shared" ca="1" si="635"/>
        <v>#NAME?</v>
      </c>
    </row>
    <row r="2087" spans="1:17">
      <c r="A2087" s="1">
        <f t="shared" si="634"/>
        <v>2086</v>
      </c>
      <c r="C2087" s="8" t="s">
        <v>17</v>
      </c>
      <c r="D2087" s="2">
        <v>43619</v>
      </c>
      <c r="E2087" s="3">
        <v>12000</v>
      </c>
      <c r="F2087" t="s">
        <v>80</v>
      </c>
      <c r="G2087" t="s">
        <v>81</v>
      </c>
      <c r="H2087" t="s">
        <v>82</v>
      </c>
      <c r="I2087" s="6" t="s">
        <v>986</v>
      </c>
      <c r="J2087" s="61" t="s">
        <v>22</v>
      </c>
      <c r="L2087" s="5" t="str">
        <f t="shared" si="636"/>
        <v>02086</v>
      </c>
      <c r="M2087" s="47" t="str">
        <f t="shared" si="637"/>
        <v>03 de junio de 2019</v>
      </c>
      <c r="N2087" s="323">
        <f t="shared" si="639"/>
        <v>3</v>
      </c>
      <c r="O2087" s="25">
        <f t="shared" si="638"/>
        <v>43617</v>
      </c>
      <c r="P2087" s="5" t="str">
        <f t="shared" si="640"/>
        <v>12.000,00</v>
      </c>
      <c r="Q2087" s="4" t="e">
        <f t="shared" ca="1" si="635"/>
        <v>#NAME?</v>
      </c>
    </row>
    <row r="2088" spans="1:17">
      <c r="A2088" s="1">
        <f t="shared" si="634"/>
        <v>2087</v>
      </c>
      <c r="C2088" s="8" t="s">
        <v>17</v>
      </c>
      <c r="D2088" s="2">
        <v>43619</v>
      </c>
      <c r="E2088" s="3">
        <v>8000</v>
      </c>
      <c r="F2088" t="s">
        <v>48</v>
      </c>
      <c r="G2088" t="s">
        <v>49</v>
      </c>
      <c r="H2088" t="s">
        <v>50</v>
      </c>
      <c r="I2088" s="6" t="s">
        <v>986</v>
      </c>
      <c r="J2088" s="61" t="s">
        <v>22</v>
      </c>
      <c r="L2088" s="5" t="str">
        <f t="shared" si="636"/>
        <v>02087</v>
      </c>
      <c r="M2088" s="47" t="str">
        <f t="shared" si="637"/>
        <v>03 de junio de 2019</v>
      </c>
      <c r="N2088" s="323">
        <f t="shared" si="639"/>
        <v>3</v>
      </c>
      <c r="O2088" s="25">
        <f t="shared" si="638"/>
        <v>43617</v>
      </c>
      <c r="P2088" s="5" t="str">
        <f t="shared" si="640"/>
        <v>8.000,00</v>
      </c>
      <c r="Q2088" s="4" t="e">
        <f t="shared" ca="1" si="635"/>
        <v>#NAME?</v>
      </c>
    </row>
    <row r="2089" spans="1:17" ht="15.75" thickBot="1">
      <c r="A2089" s="1">
        <f t="shared" si="634"/>
        <v>2088</v>
      </c>
      <c r="C2089" s="8" t="s">
        <v>17</v>
      </c>
      <c r="D2089" s="2">
        <v>43619</v>
      </c>
      <c r="E2089" s="3">
        <v>3000</v>
      </c>
      <c r="F2089" t="s">
        <v>230</v>
      </c>
      <c r="G2089" t="s">
        <v>231</v>
      </c>
      <c r="H2089" t="s">
        <v>232</v>
      </c>
      <c r="I2089" s="6" t="s">
        <v>969</v>
      </c>
      <c r="J2089" s="61" t="s">
        <v>22</v>
      </c>
      <c r="L2089" s="5" t="str">
        <f t="shared" si="636"/>
        <v>02088</v>
      </c>
      <c r="M2089" s="47" t="str">
        <f t="shared" si="637"/>
        <v>03 de junio de 2019</v>
      </c>
      <c r="N2089" s="323">
        <f t="shared" si="639"/>
        <v>3</v>
      </c>
      <c r="O2089" s="25">
        <f t="shared" si="638"/>
        <v>43617</v>
      </c>
      <c r="P2089" s="5" t="str">
        <f t="shared" si="640"/>
        <v>3.000,00</v>
      </c>
      <c r="Q2089" s="4" t="e">
        <f t="shared" ca="1" si="635"/>
        <v>#NAME?</v>
      </c>
    </row>
    <row r="2090" spans="1:17" ht="15.75" thickBot="1">
      <c r="A2090" s="1">
        <f t="shared" si="634"/>
        <v>2089</v>
      </c>
      <c r="C2090" s="85" t="s">
        <v>17</v>
      </c>
      <c r="D2090" s="2">
        <v>43619</v>
      </c>
      <c r="E2090" s="3">
        <v>8000</v>
      </c>
      <c r="F2090" t="s">
        <v>259</v>
      </c>
      <c r="G2090" s="18" t="s">
        <v>58</v>
      </c>
      <c r="H2090" t="s">
        <v>261</v>
      </c>
      <c r="I2090" s="6" t="s">
        <v>970</v>
      </c>
      <c r="J2090" s="61" t="s">
        <v>22</v>
      </c>
      <c r="L2090" s="5" t="str">
        <f t="shared" si="636"/>
        <v>02089</v>
      </c>
      <c r="M2090" s="47" t="str">
        <f t="shared" si="637"/>
        <v>03 de junio de 2019</v>
      </c>
      <c r="N2090" s="323">
        <f t="shared" si="639"/>
        <v>3</v>
      </c>
      <c r="O2090" s="25">
        <f t="shared" si="638"/>
        <v>43617</v>
      </c>
      <c r="P2090" s="5" t="str">
        <f t="shared" si="640"/>
        <v>8.000,00</v>
      </c>
      <c r="Q2090" s="4" t="e">
        <f t="shared" ca="1" si="635"/>
        <v>#NAME?</v>
      </c>
    </row>
    <row r="2091" spans="1:17">
      <c r="A2091" s="1">
        <f t="shared" si="634"/>
        <v>2090</v>
      </c>
      <c r="C2091" s="8" t="s">
        <v>17</v>
      </c>
      <c r="D2091" s="2">
        <v>43619</v>
      </c>
      <c r="E2091" s="3">
        <v>8000</v>
      </c>
      <c r="F2091" t="s">
        <v>201</v>
      </c>
      <c r="G2091" t="s">
        <v>202</v>
      </c>
      <c r="H2091" t="s">
        <v>203</v>
      </c>
      <c r="I2091" s="6" t="s">
        <v>986</v>
      </c>
      <c r="J2091" s="61" t="s">
        <v>22</v>
      </c>
      <c r="L2091" s="5" t="str">
        <f t="shared" si="636"/>
        <v>02090</v>
      </c>
      <c r="M2091" s="47" t="str">
        <f t="shared" si="637"/>
        <v>03 de junio de 2019</v>
      </c>
      <c r="N2091" s="323">
        <f t="shared" si="639"/>
        <v>3</v>
      </c>
      <c r="O2091" s="25">
        <f t="shared" si="638"/>
        <v>43617</v>
      </c>
      <c r="P2091" s="5" t="str">
        <f t="shared" si="640"/>
        <v>8.000,00</v>
      </c>
      <c r="Q2091" s="4" t="e">
        <f t="shared" ca="1" si="635"/>
        <v>#NAME?</v>
      </c>
    </row>
    <row r="2092" spans="1:17">
      <c r="A2092" s="1">
        <f t="shared" si="634"/>
        <v>2091</v>
      </c>
      <c r="C2092" s="8" t="s">
        <v>17</v>
      </c>
      <c r="D2092" s="2">
        <v>43619</v>
      </c>
      <c r="E2092" s="3">
        <v>5000</v>
      </c>
      <c r="F2092" t="s">
        <v>401</v>
      </c>
      <c r="G2092" t="s">
        <v>402</v>
      </c>
      <c r="H2092" t="s">
        <v>403</v>
      </c>
      <c r="I2092" s="6" t="s">
        <v>991</v>
      </c>
      <c r="J2092" s="61" t="s">
        <v>22</v>
      </c>
      <c r="L2092" s="5" t="str">
        <f t="shared" si="636"/>
        <v>02091</v>
      </c>
      <c r="M2092" s="47" t="str">
        <f t="shared" si="637"/>
        <v>03 de junio de 2019</v>
      </c>
      <c r="N2092" s="323">
        <f t="shared" si="639"/>
        <v>3</v>
      </c>
      <c r="O2092" s="25">
        <f t="shared" si="638"/>
        <v>43617</v>
      </c>
      <c r="P2092" s="5" t="str">
        <f t="shared" si="640"/>
        <v>5.000,00</v>
      </c>
      <c r="Q2092" s="4" t="e">
        <f t="shared" ca="1" si="635"/>
        <v>#NAME?</v>
      </c>
    </row>
    <row r="2093" spans="1:17">
      <c r="A2093" s="1">
        <f t="shared" si="634"/>
        <v>2092</v>
      </c>
      <c r="C2093" s="8" t="s">
        <v>17</v>
      </c>
      <c r="D2093" s="2">
        <v>43620</v>
      </c>
      <c r="E2093" s="3">
        <v>11000</v>
      </c>
      <c r="F2093" t="s">
        <v>362</v>
      </c>
      <c r="G2093" t="s">
        <v>363</v>
      </c>
      <c r="H2093" t="s">
        <v>364</v>
      </c>
      <c r="I2093" s="6" t="s">
        <v>984</v>
      </c>
      <c r="J2093" s="61" t="s">
        <v>22</v>
      </c>
      <c r="L2093" s="5" t="str">
        <f t="shared" si="636"/>
        <v>02092</v>
      </c>
      <c r="M2093" s="47" t="str">
        <f t="shared" si="637"/>
        <v>04 de junio de 2019</v>
      </c>
      <c r="N2093" s="323">
        <f t="shared" si="639"/>
        <v>4</v>
      </c>
      <c r="O2093" s="25">
        <f t="shared" si="638"/>
        <v>43617</v>
      </c>
      <c r="P2093" s="5" t="str">
        <f t="shared" si="640"/>
        <v>11.000,00</v>
      </c>
      <c r="Q2093" s="4" t="e">
        <f t="shared" ca="1" si="635"/>
        <v>#NAME?</v>
      </c>
    </row>
    <row r="2094" spans="1:17">
      <c r="A2094" s="1">
        <f t="shared" si="634"/>
        <v>2093</v>
      </c>
      <c r="C2094" s="8" t="s">
        <v>17</v>
      </c>
      <c r="D2094" s="2">
        <v>43621</v>
      </c>
      <c r="E2094" s="3">
        <v>8000</v>
      </c>
      <c r="F2094" t="s">
        <v>185</v>
      </c>
      <c r="G2094" t="s">
        <v>186</v>
      </c>
      <c r="H2094" t="s">
        <v>187</v>
      </c>
      <c r="I2094" s="6" t="s">
        <v>986</v>
      </c>
      <c r="J2094" s="61" t="s">
        <v>22</v>
      </c>
      <c r="L2094" s="5" t="str">
        <f t="shared" si="636"/>
        <v>02093</v>
      </c>
      <c r="M2094" s="47" t="str">
        <f t="shared" si="637"/>
        <v>05 de junio de 2019</v>
      </c>
      <c r="N2094" s="323">
        <f t="shared" si="639"/>
        <v>5</v>
      </c>
      <c r="O2094" s="25">
        <f t="shared" si="638"/>
        <v>43617</v>
      </c>
      <c r="P2094" s="5" t="str">
        <f t="shared" si="640"/>
        <v>8.000,00</v>
      </c>
      <c r="Q2094" s="4" t="e">
        <f t="shared" ca="1" si="635"/>
        <v>#NAME?</v>
      </c>
    </row>
    <row r="2095" spans="1:17">
      <c r="A2095" s="1">
        <f t="shared" si="634"/>
        <v>2094</v>
      </c>
      <c r="C2095" s="8" t="s">
        <v>17</v>
      </c>
      <c r="D2095" s="2">
        <v>43621</v>
      </c>
      <c r="E2095" s="3">
        <v>5000</v>
      </c>
      <c r="F2095" t="s">
        <v>28</v>
      </c>
      <c r="G2095" t="s">
        <v>716</v>
      </c>
      <c r="H2095" t="s">
        <v>30</v>
      </c>
      <c r="I2095" s="6" t="s">
        <v>991</v>
      </c>
      <c r="J2095" s="61" t="s">
        <v>22</v>
      </c>
      <c r="L2095" s="5" t="str">
        <f t="shared" si="636"/>
        <v>02094</v>
      </c>
      <c r="M2095" s="47" t="str">
        <f t="shared" si="637"/>
        <v>05 de junio de 2019</v>
      </c>
      <c r="N2095" s="323">
        <f t="shared" si="639"/>
        <v>5</v>
      </c>
      <c r="O2095" s="25">
        <f t="shared" si="638"/>
        <v>43617</v>
      </c>
      <c r="P2095" s="5" t="str">
        <f t="shared" si="640"/>
        <v>5.000,00</v>
      </c>
      <c r="Q2095" s="4" t="e">
        <f t="shared" ca="1" si="635"/>
        <v>#NAME?</v>
      </c>
    </row>
    <row r="2096" spans="1:17">
      <c r="A2096" s="1">
        <f>A2095+1</f>
        <v>2095</v>
      </c>
      <c r="C2096" s="8" t="s">
        <v>17</v>
      </c>
      <c r="D2096" s="2">
        <v>43621</v>
      </c>
      <c r="E2096" s="3">
        <f>5000+3000</f>
        <v>8000</v>
      </c>
      <c r="F2096" t="s">
        <v>70</v>
      </c>
      <c r="G2096" t="s">
        <v>71</v>
      </c>
      <c r="H2096" t="s">
        <v>72</v>
      </c>
      <c r="I2096" s="6" t="s">
        <v>992</v>
      </c>
      <c r="J2096" s="61" t="s">
        <v>22</v>
      </c>
      <c r="L2096" s="5" t="str">
        <f t="shared" si="636"/>
        <v>02095</v>
      </c>
      <c r="M2096" s="47" t="str">
        <f t="shared" si="637"/>
        <v>05 de junio de 2019</v>
      </c>
      <c r="N2096" s="323">
        <f t="shared" si="639"/>
        <v>5</v>
      </c>
      <c r="O2096" s="25">
        <f t="shared" si="638"/>
        <v>43617</v>
      </c>
      <c r="P2096" s="5" t="str">
        <f t="shared" si="640"/>
        <v>8.000,00</v>
      </c>
      <c r="Q2096" s="4" t="e">
        <f t="shared" ca="1" si="635"/>
        <v>#NAME?</v>
      </c>
    </row>
    <row r="2097" spans="1:17">
      <c r="A2097" s="1">
        <f t="shared" ref="A2097:A2102" si="641">A2096+1</f>
        <v>2096</v>
      </c>
      <c r="C2097" s="8" t="s">
        <v>17</v>
      </c>
      <c r="D2097" s="2">
        <v>43621</v>
      </c>
      <c r="E2097" s="3">
        <v>8000</v>
      </c>
      <c r="F2097" t="s">
        <v>24</v>
      </c>
      <c r="G2097" t="s">
        <v>25</v>
      </c>
      <c r="H2097" t="s">
        <v>26</v>
      </c>
      <c r="I2097" s="6" t="s">
        <v>986</v>
      </c>
      <c r="J2097" s="61" t="s">
        <v>22</v>
      </c>
      <c r="L2097" s="5" t="str">
        <f t="shared" si="636"/>
        <v>02096</v>
      </c>
      <c r="M2097" s="47" t="str">
        <f t="shared" si="637"/>
        <v>05 de junio de 2019</v>
      </c>
      <c r="N2097" s="323">
        <f t="shared" si="639"/>
        <v>5</v>
      </c>
      <c r="O2097" s="25">
        <f t="shared" si="638"/>
        <v>43617</v>
      </c>
      <c r="P2097" s="5" t="str">
        <f t="shared" si="640"/>
        <v>8.000,00</v>
      </c>
      <c r="Q2097" s="4" t="e">
        <f t="shared" ca="1" si="635"/>
        <v>#NAME?</v>
      </c>
    </row>
    <row r="2098" spans="1:17">
      <c r="A2098" s="1">
        <f t="shared" si="641"/>
        <v>2097</v>
      </c>
      <c r="C2098" s="8" t="s">
        <v>17</v>
      </c>
      <c r="D2098" s="2">
        <v>43621</v>
      </c>
      <c r="E2098" s="3">
        <v>8000</v>
      </c>
      <c r="F2098" t="s">
        <v>342</v>
      </c>
      <c r="G2098" t="s">
        <v>343</v>
      </c>
      <c r="H2098" t="s">
        <v>344</v>
      </c>
      <c r="I2098" s="6" t="s">
        <v>986</v>
      </c>
      <c r="J2098" s="61" t="s">
        <v>22</v>
      </c>
      <c r="L2098" s="5" t="str">
        <f t="shared" si="636"/>
        <v>02097</v>
      </c>
      <c r="M2098" s="47" t="str">
        <f t="shared" si="637"/>
        <v>05 de junio de 2019</v>
      </c>
      <c r="N2098" s="323">
        <f t="shared" si="639"/>
        <v>5</v>
      </c>
      <c r="O2098" s="25">
        <f t="shared" si="638"/>
        <v>43617</v>
      </c>
      <c r="P2098" s="5" t="str">
        <f t="shared" si="640"/>
        <v>8.000,00</v>
      </c>
      <c r="Q2098" s="4" t="e">
        <f t="shared" ca="1" si="635"/>
        <v>#NAME?</v>
      </c>
    </row>
    <row r="2099" spans="1:17">
      <c r="A2099" s="1">
        <f t="shared" si="641"/>
        <v>2098</v>
      </c>
      <c r="C2099" s="8" t="s">
        <v>17</v>
      </c>
      <c r="D2099" s="2">
        <v>43614</v>
      </c>
      <c r="E2099" s="3">
        <v>8000</v>
      </c>
      <c r="F2099" t="s">
        <v>118</v>
      </c>
      <c r="G2099" t="s">
        <v>119</v>
      </c>
      <c r="H2099" t="s">
        <v>120</v>
      </c>
      <c r="I2099" s="6" t="s">
        <v>970</v>
      </c>
      <c r="J2099" s="61" t="s">
        <v>22</v>
      </c>
      <c r="L2099" s="5" t="str">
        <f t="shared" si="636"/>
        <v>02098</v>
      </c>
      <c r="M2099" s="47" t="str">
        <f t="shared" si="637"/>
        <v>29 de mayo de 2019</v>
      </c>
      <c r="N2099" s="323">
        <f t="shared" si="639"/>
        <v>29</v>
      </c>
      <c r="O2099" s="25">
        <f t="shared" si="638"/>
        <v>43586</v>
      </c>
      <c r="P2099" s="5" t="str">
        <f t="shared" si="640"/>
        <v>8.000,00</v>
      </c>
      <c r="Q2099" s="4" t="e">
        <f t="shared" ca="1" si="635"/>
        <v>#NAME?</v>
      </c>
    </row>
    <row r="2100" spans="1:17">
      <c r="A2100" s="1">
        <f t="shared" si="641"/>
        <v>2099</v>
      </c>
      <c r="C2100" s="8" t="s">
        <v>17</v>
      </c>
      <c r="D2100" s="2">
        <v>43621</v>
      </c>
      <c r="E2100" s="3">
        <v>8000</v>
      </c>
      <c r="F2100" t="s">
        <v>443</v>
      </c>
      <c r="G2100" t="s">
        <v>444</v>
      </c>
      <c r="H2100" t="s">
        <v>75</v>
      </c>
      <c r="I2100" s="6" t="s">
        <v>986</v>
      </c>
      <c r="J2100" s="61" t="s">
        <v>22</v>
      </c>
      <c r="L2100" s="5" t="str">
        <f t="shared" si="636"/>
        <v>02099</v>
      </c>
      <c r="M2100" s="47" t="str">
        <f t="shared" si="637"/>
        <v>05 de junio de 2019</v>
      </c>
      <c r="N2100" s="323">
        <f t="shared" si="639"/>
        <v>5</v>
      </c>
      <c r="O2100" s="25">
        <f t="shared" si="638"/>
        <v>43617</v>
      </c>
      <c r="P2100" s="5" t="str">
        <f t="shared" si="640"/>
        <v>8.000,00</v>
      </c>
      <c r="Q2100" s="4" t="e">
        <f t="shared" ca="1" si="635"/>
        <v>#NAME?</v>
      </c>
    </row>
    <row r="2101" spans="1:17">
      <c r="A2101" s="1">
        <f t="shared" si="641"/>
        <v>2100</v>
      </c>
      <c r="C2101" s="8" t="s">
        <v>17</v>
      </c>
      <c r="D2101" s="2">
        <v>43621</v>
      </c>
      <c r="E2101" s="3">
        <v>8000</v>
      </c>
      <c r="F2101" t="s">
        <v>248</v>
      </c>
      <c r="G2101" t="s">
        <v>249</v>
      </c>
      <c r="H2101" t="s">
        <v>250</v>
      </c>
      <c r="I2101" s="6" t="s">
        <v>986</v>
      </c>
      <c r="J2101" s="61" t="s">
        <v>22</v>
      </c>
      <c r="L2101" s="5" t="str">
        <f t="shared" si="636"/>
        <v>02100</v>
      </c>
      <c r="M2101" s="47" t="str">
        <f t="shared" si="637"/>
        <v>05 de junio de 2019</v>
      </c>
      <c r="N2101" s="323">
        <f t="shared" si="639"/>
        <v>5</v>
      </c>
      <c r="O2101" s="25">
        <f t="shared" si="638"/>
        <v>43617</v>
      </c>
      <c r="P2101" s="5" t="str">
        <f t="shared" si="640"/>
        <v>8.000,00</v>
      </c>
      <c r="Q2101" s="4" t="e">
        <f t="shared" ca="1" si="635"/>
        <v>#NAME?</v>
      </c>
    </row>
    <row r="2102" spans="1:17">
      <c r="A2102" s="1">
        <f t="shared" si="641"/>
        <v>2101</v>
      </c>
      <c r="C2102" s="8" t="s">
        <v>17</v>
      </c>
      <c r="D2102" s="2">
        <v>43622</v>
      </c>
      <c r="E2102" s="3">
        <v>8000</v>
      </c>
      <c r="F2102" t="s">
        <v>53</v>
      </c>
      <c r="G2102" t="s">
        <v>677</v>
      </c>
      <c r="H2102" t="s">
        <v>55</v>
      </c>
      <c r="I2102" s="6" t="s">
        <v>986</v>
      </c>
      <c r="J2102" s="61" t="s">
        <v>22</v>
      </c>
      <c r="L2102" s="5" t="str">
        <f t="shared" si="636"/>
        <v>02101</v>
      </c>
      <c r="M2102" s="47" t="str">
        <f t="shared" si="637"/>
        <v>06 de junio de 2019</v>
      </c>
      <c r="N2102" s="323">
        <f t="shared" si="639"/>
        <v>6</v>
      </c>
      <c r="O2102" s="25">
        <f t="shared" si="638"/>
        <v>43617</v>
      </c>
      <c r="P2102" s="5" t="str">
        <f t="shared" si="640"/>
        <v>8.000,00</v>
      </c>
      <c r="Q2102" s="4" t="e">
        <f t="shared" ca="1" si="635"/>
        <v>#NAME?</v>
      </c>
    </row>
    <row r="2103" spans="1:17">
      <c r="A2103" s="1">
        <f>A2102+1</f>
        <v>2102</v>
      </c>
      <c r="C2103" s="8" t="s">
        <v>17</v>
      </c>
      <c r="D2103" s="2">
        <v>43622</v>
      </c>
      <c r="E2103" s="3">
        <v>15000</v>
      </c>
      <c r="F2103" t="s">
        <v>36</v>
      </c>
      <c r="G2103" t="s">
        <v>37</v>
      </c>
      <c r="H2103" t="s">
        <v>38</v>
      </c>
      <c r="I2103" s="6" t="s">
        <v>993</v>
      </c>
      <c r="J2103" s="61" t="s">
        <v>22</v>
      </c>
      <c r="L2103" s="5" t="str">
        <f t="shared" si="636"/>
        <v>02102</v>
      </c>
      <c r="M2103" s="47" t="str">
        <f t="shared" si="637"/>
        <v>06 de junio de 2019</v>
      </c>
      <c r="N2103" s="323">
        <f t="shared" si="639"/>
        <v>6</v>
      </c>
      <c r="O2103" s="25">
        <f t="shared" si="638"/>
        <v>43617</v>
      </c>
      <c r="P2103" s="5" t="str">
        <f t="shared" si="640"/>
        <v>15.000,00</v>
      </c>
      <c r="Q2103" s="4" t="e">
        <f t="shared" ca="1" si="635"/>
        <v>#NAME?</v>
      </c>
    </row>
    <row r="2104" spans="1:17">
      <c r="A2104" s="1">
        <f t="shared" ref="A2104:A2161" si="642">A2103+1</f>
        <v>2103</v>
      </c>
      <c r="C2104" s="8" t="s">
        <v>17</v>
      </c>
      <c r="D2104" s="2">
        <v>43623</v>
      </c>
      <c r="E2104" s="3">
        <v>10000</v>
      </c>
      <c r="F2104" t="s">
        <v>771</v>
      </c>
      <c r="G2104" t="s">
        <v>772</v>
      </c>
      <c r="H2104" t="s">
        <v>773</v>
      </c>
      <c r="I2104" s="6" t="s">
        <v>994</v>
      </c>
      <c r="J2104" s="61" t="s">
        <v>22</v>
      </c>
      <c r="L2104" s="5" t="str">
        <f t="shared" si="636"/>
        <v>02103</v>
      </c>
      <c r="M2104" s="47" t="str">
        <f t="shared" si="637"/>
        <v>07 de junio de 2019</v>
      </c>
      <c r="N2104" s="323">
        <f t="shared" si="639"/>
        <v>7</v>
      </c>
      <c r="O2104" s="25">
        <f t="shared" si="638"/>
        <v>43617</v>
      </c>
      <c r="P2104" s="5" t="str">
        <f t="shared" si="640"/>
        <v>10.000,00</v>
      </c>
      <c r="Q2104" s="4" t="e">
        <f t="shared" ca="1" si="635"/>
        <v>#NAME?</v>
      </c>
    </row>
    <row r="2105" spans="1:17">
      <c r="A2105" s="1">
        <f t="shared" si="642"/>
        <v>2104</v>
      </c>
      <c r="C2105" s="8" t="s">
        <v>17</v>
      </c>
      <c r="D2105" s="2">
        <v>43623</v>
      </c>
      <c r="E2105" s="3">
        <v>8000</v>
      </c>
      <c r="F2105" t="s">
        <v>18</v>
      </c>
      <c r="G2105" t="s">
        <v>19</v>
      </c>
      <c r="H2105" t="s">
        <v>20</v>
      </c>
      <c r="I2105" s="6" t="s">
        <v>995</v>
      </c>
      <c r="J2105" s="61" t="s">
        <v>22</v>
      </c>
      <c r="L2105" s="5" t="str">
        <f t="shared" si="636"/>
        <v>02104</v>
      </c>
      <c r="M2105" s="47" t="str">
        <f t="shared" si="637"/>
        <v>07 de junio de 2019</v>
      </c>
      <c r="N2105" s="323">
        <f t="shared" si="639"/>
        <v>7</v>
      </c>
      <c r="O2105" s="25">
        <f t="shared" si="638"/>
        <v>43617</v>
      </c>
      <c r="P2105" s="5" t="str">
        <f t="shared" si="640"/>
        <v>8.000,00</v>
      </c>
      <c r="Q2105" s="4" t="e">
        <f t="shared" ca="1" si="635"/>
        <v>#NAME?</v>
      </c>
    </row>
    <row r="2106" spans="1:17" ht="16.5" customHeight="1">
      <c r="A2106" s="1">
        <f t="shared" si="642"/>
        <v>2105</v>
      </c>
      <c r="C2106" s="8" t="s">
        <v>17</v>
      </c>
      <c r="D2106" s="2">
        <v>43623</v>
      </c>
      <c r="E2106" s="3">
        <v>8000</v>
      </c>
      <c r="F2106" t="s">
        <v>219</v>
      </c>
      <c r="G2106" t="s">
        <v>220</v>
      </c>
      <c r="H2106" t="s">
        <v>221</v>
      </c>
      <c r="I2106" s="6" t="s">
        <v>996</v>
      </c>
      <c r="J2106" s="61" t="s">
        <v>22</v>
      </c>
      <c r="L2106" s="5" t="str">
        <f t="shared" si="636"/>
        <v>02105</v>
      </c>
      <c r="M2106" s="47" t="str">
        <f t="shared" si="637"/>
        <v>07 de junio de 2019</v>
      </c>
      <c r="N2106" s="323">
        <f t="shared" si="639"/>
        <v>7</v>
      </c>
      <c r="O2106" s="25">
        <f t="shared" si="638"/>
        <v>43617</v>
      </c>
      <c r="P2106" s="5" t="str">
        <f t="shared" si="640"/>
        <v>8.000,00</v>
      </c>
      <c r="Q2106" s="4" t="e">
        <f t="shared" ca="1" si="635"/>
        <v>#NAME?</v>
      </c>
    </row>
    <row r="2107" spans="1:17">
      <c r="A2107" s="1">
        <f t="shared" si="642"/>
        <v>2106</v>
      </c>
      <c r="C2107" s="8" t="s">
        <v>17</v>
      </c>
      <c r="D2107" s="2">
        <v>43623</v>
      </c>
      <c r="E2107" s="3">
        <v>8000</v>
      </c>
      <c r="F2107" t="s">
        <v>438</v>
      </c>
      <c r="G2107" t="s">
        <v>439</v>
      </c>
      <c r="H2107" t="s">
        <v>440</v>
      </c>
      <c r="I2107" s="6" t="s">
        <v>997</v>
      </c>
      <c r="J2107" s="61" t="s">
        <v>22</v>
      </c>
      <c r="L2107" s="5" t="str">
        <f t="shared" si="636"/>
        <v>02106</v>
      </c>
      <c r="M2107" s="47" t="str">
        <f t="shared" si="637"/>
        <v>07 de junio de 2019</v>
      </c>
      <c r="N2107" s="323">
        <f t="shared" si="639"/>
        <v>7</v>
      </c>
      <c r="O2107" s="25">
        <f t="shared" si="638"/>
        <v>43617</v>
      </c>
      <c r="P2107" s="5" t="str">
        <f t="shared" si="640"/>
        <v>8.000,00</v>
      </c>
      <c r="Q2107" s="4" t="e">
        <f t="shared" ca="1" si="635"/>
        <v>#NAME?</v>
      </c>
    </row>
    <row r="2108" spans="1:17">
      <c r="A2108" s="1">
        <f t="shared" si="642"/>
        <v>2107</v>
      </c>
      <c r="C2108" s="8" t="s">
        <v>17</v>
      </c>
      <c r="D2108" s="2">
        <v>43623</v>
      </c>
      <c r="E2108" s="3">
        <v>8000</v>
      </c>
      <c r="F2108" t="s">
        <v>713</v>
      </c>
      <c r="G2108" t="s">
        <v>714</v>
      </c>
      <c r="H2108" t="s">
        <v>154</v>
      </c>
      <c r="I2108" s="6" t="s">
        <v>986</v>
      </c>
      <c r="J2108" s="61" t="s">
        <v>22</v>
      </c>
      <c r="L2108" s="5" t="str">
        <f t="shared" si="636"/>
        <v>02107</v>
      </c>
      <c r="M2108" s="47" t="str">
        <f t="shared" si="637"/>
        <v>07 de junio de 2019</v>
      </c>
      <c r="N2108" s="323">
        <f t="shared" si="639"/>
        <v>7</v>
      </c>
      <c r="O2108" s="25">
        <f t="shared" si="638"/>
        <v>43617</v>
      </c>
      <c r="P2108" s="5" t="str">
        <f t="shared" si="640"/>
        <v>8.000,00</v>
      </c>
      <c r="Q2108" s="4" t="e">
        <f t="shared" ca="1" si="635"/>
        <v>#NAME?</v>
      </c>
    </row>
    <row r="2109" spans="1:17">
      <c r="A2109" s="1">
        <f t="shared" si="642"/>
        <v>2108</v>
      </c>
      <c r="C2109" s="8" t="s">
        <v>17</v>
      </c>
      <c r="D2109" s="2">
        <v>43623</v>
      </c>
      <c r="E2109" s="3">
        <v>8000</v>
      </c>
      <c r="F2109" t="s">
        <v>32</v>
      </c>
      <c r="G2109" t="s">
        <v>33</v>
      </c>
      <c r="H2109" t="s">
        <v>34</v>
      </c>
      <c r="I2109" s="6" t="s">
        <v>970</v>
      </c>
      <c r="J2109" s="61" t="s">
        <v>22</v>
      </c>
      <c r="L2109" s="5" t="str">
        <f t="shared" si="636"/>
        <v>02108</v>
      </c>
      <c r="M2109" s="47" t="str">
        <f t="shared" si="637"/>
        <v>07 de junio de 2019</v>
      </c>
      <c r="N2109" s="323">
        <f t="shared" si="639"/>
        <v>7</v>
      </c>
      <c r="O2109" s="25">
        <f t="shared" si="638"/>
        <v>43617</v>
      </c>
      <c r="P2109" s="5" t="str">
        <f t="shared" si="640"/>
        <v>8.000,00</v>
      </c>
      <c r="Q2109" s="4" t="e">
        <f t="shared" ca="1" si="635"/>
        <v>#NAME?</v>
      </c>
    </row>
    <row r="2110" spans="1:17">
      <c r="A2110" s="1">
        <f t="shared" si="642"/>
        <v>2109</v>
      </c>
      <c r="C2110" s="8" t="s">
        <v>17</v>
      </c>
      <c r="D2110" s="2">
        <v>43626</v>
      </c>
      <c r="E2110" s="3">
        <v>3000</v>
      </c>
      <c r="F2110" t="s">
        <v>206</v>
      </c>
      <c r="G2110" t="s">
        <v>207</v>
      </c>
      <c r="H2110" t="s">
        <v>208</v>
      </c>
      <c r="I2110" s="6" t="s">
        <v>969</v>
      </c>
      <c r="J2110" s="61" t="s">
        <v>22</v>
      </c>
      <c r="L2110" s="5" t="str">
        <f t="shared" si="636"/>
        <v>02109</v>
      </c>
      <c r="M2110" s="47" t="str">
        <f t="shared" si="637"/>
        <v>10 de junio de 2019</v>
      </c>
      <c r="N2110" s="323">
        <f t="shared" si="639"/>
        <v>10</v>
      </c>
      <c r="O2110" s="25">
        <f t="shared" si="638"/>
        <v>43617</v>
      </c>
      <c r="P2110" s="5" t="str">
        <f t="shared" si="640"/>
        <v>3.000,00</v>
      </c>
      <c r="Q2110" s="4" t="e">
        <f t="shared" ca="1" si="635"/>
        <v>#NAME?</v>
      </c>
    </row>
    <row r="2111" spans="1:17">
      <c r="A2111" s="1">
        <f t="shared" si="642"/>
        <v>2110</v>
      </c>
      <c r="C2111" s="8" t="s">
        <v>17</v>
      </c>
      <c r="D2111" s="2">
        <v>43626</v>
      </c>
      <c r="E2111" s="3">
        <v>16000</v>
      </c>
      <c r="F2111" t="s">
        <v>998</v>
      </c>
      <c r="G2111" t="s">
        <v>999</v>
      </c>
      <c r="H2111" t="s">
        <v>1000</v>
      </c>
      <c r="I2111" s="6" t="s">
        <v>1001</v>
      </c>
      <c r="J2111" s="61" t="s">
        <v>22</v>
      </c>
      <c r="L2111" s="5" t="str">
        <f t="shared" ref="L2111:L2128" si="643">IF(ISBLANK(A2111),"",TEXT(A2111,"00000"))</f>
        <v>02110</v>
      </c>
      <c r="M2111" s="47" t="str">
        <f t="shared" ref="M2111:M2128" si="644">IF(ISBLANK(D2111),"",TEXT(D2111,"dd")&amp;" de "&amp;TEXT(D2111,"mmmm")&amp;" de "&amp;TEXT(YEAR(D2111),"0"))</f>
        <v>10 de junio de 2019</v>
      </c>
      <c r="N2111" s="323">
        <f t="shared" ref="N2111:N2128" si="645">DAY(D2111)</f>
        <v>10</v>
      </c>
      <c r="O2111" s="25">
        <f t="shared" ref="O2111:O2128" si="646">DATE(YEAR(D2111),MONTH(D2111),1)</f>
        <v>43617</v>
      </c>
      <c r="P2111" s="5" t="str">
        <f t="shared" ref="P2111:P2128" si="647">TEXT(E2111,"#.##0,00")</f>
        <v>16.000,00</v>
      </c>
      <c r="Q2111" s="4" t="e">
        <f t="shared" ref="Q2111:Q2128" ca="1" si="648">CONVERTIRNUM(E2111)</f>
        <v>#NAME?</v>
      </c>
    </row>
    <row r="2112" spans="1:17">
      <c r="A2112" s="1">
        <f t="shared" si="642"/>
        <v>2111</v>
      </c>
      <c r="C2112" s="8" t="s">
        <v>17</v>
      </c>
      <c r="D2112" s="2">
        <v>43626</v>
      </c>
      <c r="E2112" s="3">
        <v>10000</v>
      </c>
      <c r="F2112" t="s">
        <v>594</v>
      </c>
      <c r="G2112" t="s">
        <v>595</v>
      </c>
      <c r="H2112" t="s">
        <v>596</v>
      </c>
      <c r="I2112" s="161" t="s">
        <v>971</v>
      </c>
      <c r="J2112" s="61" t="s">
        <v>22</v>
      </c>
      <c r="L2112" s="5" t="str">
        <f t="shared" si="643"/>
        <v>02111</v>
      </c>
      <c r="M2112" s="47" t="str">
        <f t="shared" si="644"/>
        <v>10 de junio de 2019</v>
      </c>
      <c r="N2112" s="323">
        <f t="shared" si="645"/>
        <v>10</v>
      </c>
      <c r="O2112" s="25">
        <f t="shared" si="646"/>
        <v>43617</v>
      </c>
      <c r="P2112" s="5" t="str">
        <f t="shared" si="647"/>
        <v>10.000,00</v>
      </c>
      <c r="Q2112" s="4" t="e">
        <f t="shared" ca="1" si="648"/>
        <v>#NAME?</v>
      </c>
    </row>
    <row r="2113" spans="1:17">
      <c r="A2113" s="1">
        <f t="shared" si="642"/>
        <v>2112</v>
      </c>
      <c r="C2113" s="8" t="s">
        <v>17</v>
      </c>
      <c r="D2113" s="2">
        <v>43628</v>
      </c>
      <c r="E2113" s="3">
        <v>8000</v>
      </c>
      <c r="F2113" t="s">
        <v>337</v>
      </c>
      <c r="G2113" t="s">
        <v>338</v>
      </c>
      <c r="H2113" t="s">
        <v>339</v>
      </c>
      <c r="I2113" s="6" t="s">
        <v>986</v>
      </c>
      <c r="J2113" s="61" t="s">
        <v>22</v>
      </c>
      <c r="L2113" s="5" t="str">
        <f t="shared" si="643"/>
        <v>02112</v>
      </c>
      <c r="M2113" s="47" t="str">
        <f t="shared" si="644"/>
        <v>12 de junio de 2019</v>
      </c>
      <c r="N2113" s="323">
        <f t="shared" si="645"/>
        <v>12</v>
      </c>
      <c r="O2113" s="25">
        <f t="shared" si="646"/>
        <v>43617</v>
      </c>
      <c r="P2113" s="5" t="str">
        <f t="shared" si="647"/>
        <v>8.000,00</v>
      </c>
      <c r="Q2113" s="4" t="e">
        <f t="shared" ca="1" si="648"/>
        <v>#NAME?</v>
      </c>
    </row>
    <row r="2114" spans="1:17">
      <c r="A2114" s="1">
        <f t="shared" si="642"/>
        <v>2113</v>
      </c>
      <c r="C2114" s="8" t="s">
        <v>17</v>
      </c>
      <c r="D2114" s="2">
        <v>43630</v>
      </c>
      <c r="E2114" s="3">
        <v>8000</v>
      </c>
      <c r="F2114" t="s">
        <v>181</v>
      </c>
      <c r="G2114" t="s">
        <v>182</v>
      </c>
      <c r="H2114" t="s">
        <v>183</v>
      </c>
      <c r="I2114" s="6" t="s">
        <v>986</v>
      </c>
      <c r="J2114" s="61" t="s">
        <v>22</v>
      </c>
      <c r="L2114" s="5" t="str">
        <f t="shared" si="643"/>
        <v>02113</v>
      </c>
      <c r="M2114" s="47" t="str">
        <f t="shared" si="644"/>
        <v>14 de junio de 2019</v>
      </c>
      <c r="N2114" s="323">
        <f t="shared" si="645"/>
        <v>14</v>
      </c>
      <c r="O2114" s="25">
        <f t="shared" si="646"/>
        <v>43617</v>
      </c>
      <c r="P2114" s="5" t="str">
        <f t="shared" si="647"/>
        <v>8.000,00</v>
      </c>
      <c r="Q2114" s="4" t="e">
        <f t="shared" ca="1" si="648"/>
        <v>#NAME?</v>
      </c>
    </row>
    <row r="2115" spans="1:17">
      <c r="A2115" s="1">
        <f t="shared" si="642"/>
        <v>2114</v>
      </c>
      <c r="C2115" s="8" t="s">
        <v>17</v>
      </c>
      <c r="D2115" s="2">
        <v>43631</v>
      </c>
      <c r="E2115" s="3">
        <v>8000</v>
      </c>
      <c r="F2115" t="s">
        <v>114</v>
      </c>
      <c r="G2115" t="s">
        <v>115</v>
      </c>
      <c r="H2115" t="s">
        <v>105</v>
      </c>
      <c r="I2115" s="6" t="s">
        <v>1002</v>
      </c>
      <c r="J2115" s="61" t="s">
        <v>22</v>
      </c>
      <c r="L2115" s="5" t="str">
        <f t="shared" si="643"/>
        <v>02114</v>
      </c>
      <c r="M2115" s="47" t="str">
        <f t="shared" si="644"/>
        <v>15 de junio de 2019</v>
      </c>
      <c r="N2115" s="323">
        <f t="shared" si="645"/>
        <v>15</v>
      </c>
      <c r="O2115" s="25">
        <f t="shared" si="646"/>
        <v>43617</v>
      </c>
      <c r="P2115" s="5" t="str">
        <f t="shared" si="647"/>
        <v>8.000,00</v>
      </c>
      <c r="Q2115" s="4" t="e">
        <f t="shared" ca="1" si="648"/>
        <v>#NAME?</v>
      </c>
    </row>
    <row r="2116" spans="1:17">
      <c r="A2116" s="1">
        <f t="shared" si="642"/>
        <v>2115</v>
      </c>
      <c r="C2116" s="8" t="s">
        <v>17</v>
      </c>
      <c r="D2116" s="2">
        <v>43631</v>
      </c>
      <c r="E2116" s="3">
        <v>8000</v>
      </c>
      <c r="F2116" t="s">
        <v>103</v>
      </c>
      <c r="G2116" t="s">
        <v>104</v>
      </c>
      <c r="H2116" t="s">
        <v>105</v>
      </c>
      <c r="I2116" s="6" t="s">
        <v>986</v>
      </c>
      <c r="J2116" s="61" t="s">
        <v>22</v>
      </c>
      <c r="L2116" s="5" t="str">
        <f t="shared" si="643"/>
        <v>02115</v>
      </c>
      <c r="M2116" s="47" t="str">
        <f t="shared" si="644"/>
        <v>15 de junio de 2019</v>
      </c>
      <c r="N2116" s="323">
        <f t="shared" si="645"/>
        <v>15</v>
      </c>
      <c r="O2116" s="25">
        <f t="shared" si="646"/>
        <v>43617</v>
      </c>
      <c r="P2116" s="5" t="str">
        <f t="shared" si="647"/>
        <v>8.000,00</v>
      </c>
      <c r="Q2116" s="4" t="e">
        <f t="shared" ca="1" si="648"/>
        <v>#NAME?</v>
      </c>
    </row>
    <row r="2117" spans="1:17">
      <c r="A2117" s="1">
        <f t="shared" si="642"/>
        <v>2116</v>
      </c>
      <c r="C2117" s="8" t="s">
        <v>17</v>
      </c>
      <c r="D2117" s="2">
        <v>43631</v>
      </c>
      <c r="E2117" s="3">
        <v>8000</v>
      </c>
      <c r="F2117" t="s">
        <v>312</v>
      </c>
      <c r="G2117" t="s">
        <v>313</v>
      </c>
      <c r="H2117" t="s">
        <v>314</v>
      </c>
      <c r="I2117" s="6" t="s">
        <v>986</v>
      </c>
      <c r="J2117" s="61" t="s">
        <v>22</v>
      </c>
      <c r="L2117" s="5" t="str">
        <f t="shared" si="643"/>
        <v>02116</v>
      </c>
      <c r="M2117" s="47" t="str">
        <f t="shared" si="644"/>
        <v>15 de junio de 2019</v>
      </c>
      <c r="N2117" s="323">
        <f t="shared" si="645"/>
        <v>15</v>
      </c>
      <c r="O2117" s="25">
        <f t="shared" si="646"/>
        <v>43617</v>
      </c>
      <c r="P2117" s="5" t="str">
        <f t="shared" si="647"/>
        <v>8.000,00</v>
      </c>
      <c r="Q2117" s="4" t="e">
        <f t="shared" ca="1" si="648"/>
        <v>#NAME?</v>
      </c>
    </row>
    <row r="2118" spans="1:17">
      <c r="A2118" s="1">
        <f t="shared" si="642"/>
        <v>2117</v>
      </c>
      <c r="C2118" s="8" t="s">
        <v>17</v>
      </c>
      <c r="D2118" s="2">
        <v>43631</v>
      </c>
      <c r="E2118" s="3">
        <v>11000</v>
      </c>
      <c r="F2118" t="s">
        <v>144</v>
      </c>
      <c r="G2118" t="s">
        <v>661</v>
      </c>
      <c r="H2118" t="s">
        <v>146</v>
      </c>
      <c r="I2118" s="6" t="s">
        <v>984</v>
      </c>
      <c r="J2118" s="61" t="s">
        <v>22</v>
      </c>
      <c r="L2118" s="5" t="str">
        <f t="shared" si="643"/>
        <v>02117</v>
      </c>
      <c r="M2118" s="47" t="str">
        <f t="shared" si="644"/>
        <v>15 de junio de 2019</v>
      </c>
      <c r="N2118" s="323">
        <f t="shared" si="645"/>
        <v>15</v>
      </c>
      <c r="O2118" s="25">
        <f t="shared" si="646"/>
        <v>43617</v>
      </c>
      <c r="P2118" s="5" t="str">
        <f t="shared" si="647"/>
        <v>11.000,00</v>
      </c>
      <c r="Q2118" s="4" t="e">
        <f t="shared" ca="1" si="648"/>
        <v>#NAME?</v>
      </c>
    </row>
    <row r="2119" spans="1:17">
      <c r="A2119" s="1">
        <f t="shared" si="642"/>
        <v>2118</v>
      </c>
      <c r="C2119" s="8" t="s">
        <v>17</v>
      </c>
      <c r="D2119" s="2">
        <v>43633</v>
      </c>
      <c r="E2119" s="3">
        <v>8000</v>
      </c>
      <c r="F2119" t="s">
        <v>296</v>
      </c>
      <c r="G2119" t="s">
        <v>297</v>
      </c>
      <c r="H2119" t="s">
        <v>298</v>
      </c>
      <c r="I2119" s="6" t="s">
        <v>986</v>
      </c>
      <c r="J2119" s="61" t="s">
        <v>22</v>
      </c>
      <c r="L2119" s="5" t="str">
        <f t="shared" si="643"/>
        <v>02118</v>
      </c>
      <c r="M2119" s="47" t="str">
        <f t="shared" si="644"/>
        <v>17 de junio de 2019</v>
      </c>
      <c r="N2119" s="323">
        <f t="shared" si="645"/>
        <v>17</v>
      </c>
      <c r="O2119" s="25">
        <f t="shared" si="646"/>
        <v>43617</v>
      </c>
      <c r="P2119" s="5" t="str">
        <f t="shared" si="647"/>
        <v>8.000,00</v>
      </c>
      <c r="Q2119" s="4" t="e">
        <f t="shared" ca="1" si="648"/>
        <v>#NAME?</v>
      </c>
    </row>
    <row r="2120" spans="1:17">
      <c r="A2120" s="1">
        <f t="shared" si="642"/>
        <v>2119</v>
      </c>
      <c r="C2120" s="8" t="s">
        <v>17</v>
      </c>
      <c r="D2120" s="2">
        <v>43633</v>
      </c>
      <c r="E2120" s="3">
        <v>8000</v>
      </c>
      <c r="F2120" t="s">
        <v>454</v>
      </c>
      <c r="G2120" t="s">
        <v>761</v>
      </c>
      <c r="H2120" t="s">
        <v>455</v>
      </c>
      <c r="I2120" s="6" t="s">
        <v>986</v>
      </c>
      <c r="J2120" s="61" t="s">
        <v>22</v>
      </c>
      <c r="L2120" s="5" t="str">
        <f t="shared" si="643"/>
        <v>02119</v>
      </c>
      <c r="M2120" s="47" t="str">
        <f t="shared" si="644"/>
        <v>17 de junio de 2019</v>
      </c>
      <c r="N2120" s="323">
        <f t="shared" si="645"/>
        <v>17</v>
      </c>
      <c r="O2120" s="25">
        <f t="shared" si="646"/>
        <v>43617</v>
      </c>
      <c r="P2120" s="5" t="str">
        <f t="shared" si="647"/>
        <v>8.000,00</v>
      </c>
      <c r="Q2120" s="4" t="e">
        <f t="shared" ca="1" si="648"/>
        <v>#NAME?</v>
      </c>
    </row>
    <row r="2121" spans="1:17">
      <c r="A2121" s="1">
        <f t="shared" si="642"/>
        <v>2120</v>
      </c>
      <c r="C2121" s="8" t="s">
        <v>17</v>
      </c>
      <c r="D2121" s="2">
        <v>43634</v>
      </c>
      <c r="E2121" s="3">
        <v>8000</v>
      </c>
      <c r="F2121" t="s">
        <v>334</v>
      </c>
      <c r="G2121" t="s">
        <v>85</v>
      </c>
      <c r="H2121" t="s">
        <v>335</v>
      </c>
      <c r="I2121" s="6" t="s">
        <v>986</v>
      </c>
      <c r="J2121" s="61" t="s">
        <v>22</v>
      </c>
      <c r="L2121" s="5" t="str">
        <f t="shared" si="643"/>
        <v>02120</v>
      </c>
      <c r="M2121" s="47" t="str">
        <f t="shared" si="644"/>
        <v>18 de junio de 2019</v>
      </c>
      <c r="N2121" s="323">
        <f t="shared" si="645"/>
        <v>18</v>
      </c>
      <c r="O2121" s="25">
        <f t="shared" si="646"/>
        <v>43617</v>
      </c>
      <c r="P2121" s="5" t="str">
        <f t="shared" si="647"/>
        <v>8.000,00</v>
      </c>
      <c r="Q2121" s="4" t="e">
        <f t="shared" ca="1" si="648"/>
        <v>#NAME?</v>
      </c>
    </row>
    <row r="2122" spans="1:17">
      <c r="A2122" s="1">
        <f t="shared" si="642"/>
        <v>2121</v>
      </c>
      <c r="C2122" s="8" t="s">
        <v>17</v>
      </c>
      <c r="D2122" s="2">
        <v>43634</v>
      </c>
      <c r="E2122" s="3">
        <v>8000</v>
      </c>
      <c r="F2122" t="s">
        <v>84</v>
      </c>
      <c r="G2122" t="s">
        <v>85</v>
      </c>
      <c r="H2122" t="s">
        <v>86</v>
      </c>
      <c r="I2122" s="6" t="s">
        <v>986</v>
      </c>
      <c r="J2122" s="61" t="s">
        <v>22</v>
      </c>
      <c r="L2122" s="5" t="str">
        <f t="shared" si="643"/>
        <v>02121</v>
      </c>
      <c r="M2122" s="47" t="str">
        <f t="shared" si="644"/>
        <v>18 de junio de 2019</v>
      </c>
      <c r="N2122" s="323">
        <f t="shared" si="645"/>
        <v>18</v>
      </c>
      <c r="O2122" s="25">
        <f t="shared" si="646"/>
        <v>43617</v>
      </c>
      <c r="P2122" s="5" t="str">
        <f t="shared" si="647"/>
        <v>8.000,00</v>
      </c>
      <c r="Q2122" s="4" t="e">
        <f t="shared" ca="1" si="648"/>
        <v>#NAME?</v>
      </c>
    </row>
    <row r="2123" spans="1:17">
      <c r="A2123" s="1">
        <f t="shared" si="642"/>
        <v>2122</v>
      </c>
      <c r="C2123" s="8" t="s">
        <v>17</v>
      </c>
      <c r="D2123" s="2">
        <v>43636</v>
      </c>
      <c r="E2123" s="3">
        <v>8000</v>
      </c>
      <c r="F2123" t="s">
        <v>947</v>
      </c>
      <c r="G2123" t="s">
        <v>948</v>
      </c>
      <c r="H2123" t="s">
        <v>949</v>
      </c>
      <c r="I2123" s="6" t="s">
        <v>986</v>
      </c>
      <c r="J2123" s="61" t="s">
        <v>22</v>
      </c>
      <c r="L2123" s="5" t="str">
        <f t="shared" si="643"/>
        <v>02122</v>
      </c>
      <c r="M2123" s="47" t="str">
        <f t="shared" si="644"/>
        <v>20 de junio de 2019</v>
      </c>
      <c r="N2123" s="323">
        <f t="shared" si="645"/>
        <v>20</v>
      </c>
      <c r="O2123" s="25">
        <f t="shared" si="646"/>
        <v>43617</v>
      </c>
      <c r="P2123" s="5" t="str">
        <f t="shared" si="647"/>
        <v>8.000,00</v>
      </c>
      <c r="Q2123" s="4" t="e">
        <f t="shared" ca="1" si="648"/>
        <v>#NAME?</v>
      </c>
    </row>
    <row r="2124" spans="1:17" ht="15.75" thickBot="1">
      <c r="A2124" s="1">
        <f t="shared" si="642"/>
        <v>2123</v>
      </c>
      <c r="C2124" s="8" t="s">
        <v>17</v>
      </c>
      <c r="D2124" s="2">
        <v>43636</v>
      </c>
      <c r="E2124" s="3">
        <v>8000</v>
      </c>
      <c r="F2124" t="s">
        <v>633</v>
      </c>
      <c r="G2124" t="s">
        <v>634</v>
      </c>
      <c r="H2124" t="s">
        <v>635</v>
      </c>
      <c r="I2124" s="6" t="s">
        <v>986</v>
      </c>
      <c r="J2124" s="61" t="s">
        <v>22</v>
      </c>
      <c r="L2124" s="5" t="str">
        <f t="shared" si="643"/>
        <v>02123</v>
      </c>
      <c r="M2124" s="47" t="str">
        <f t="shared" si="644"/>
        <v>20 de junio de 2019</v>
      </c>
      <c r="N2124" s="323">
        <f t="shared" si="645"/>
        <v>20</v>
      </c>
      <c r="O2124" s="25">
        <f t="shared" si="646"/>
        <v>43617</v>
      </c>
      <c r="P2124" s="5" t="str">
        <f t="shared" si="647"/>
        <v>8.000,00</v>
      </c>
      <c r="Q2124" s="4" t="e">
        <f t="shared" ca="1" si="648"/>
        <v>#NAME?</v>
      </c>
    </row>
    <row r="2125" spans="1:17" ht="15.75" thickBot="1">
      <c r="A2125" s="1">
        <f t="shared" si="642"/>
        <v>2124</v>
      </c>
      <c r="C2125" s="85" t="s">
        <v>17</v>
      </c>
      <c r="D2125" s="2">
        <v>43637</v>
      </c>
      <c r="E2125" s="3">
        <v>6000</v>
      </c>
      <c r="F2125" t="s">
        <v>40</v>
      </c>
      <c r="G2125" s="18" t="s">
        <v>58</v>
      </c>
      <c r="H2125" t="s">
        <v>42</v>
      </c>
      <c r="I2125" s="6" t="s">
        <v>1003</v>
      </c>
      <c r="J2125" s="61" t="s">
        <v>22</v>
      </c>
      <c r="L2125" s="5" t="str">
        <f t="shared" si="643"/>
        <v>02124</v>
      </c>
      <c r="M2125" s="47" t="str">
        <f t="shared" si="644"/>
        <v>21 de junio de 2019</v>
      </c>
      <c r="N2125" s="323">
        <f t="shared" si="645"/>
        <v>21</v>
      </c>
      <c r="O2125" s="25">
        <f t="shared" si="646"/>
        <v>43617</v>
      </c>
      <c r="P2125" s="5" t="str">
        <f t="shared" si="647"/>
        <v>6.000,00</v>
      </c>
      <c r="Q2125" s="4" t="e">
        <f t="shared" ca="1" si="648"/>
        <v>#NAME?</v>
      </c>
    </row>
    <row r="2126" spans="1:17">
      <c r="A2126" s="1">
        <f t="shared" si="642"/>
        <v>2125</v>
      </c>
      <c r="C2126" s="8" t="s">
        <v>17</v>
      </c>
      <c r="D2126" s="2">
        <v>43638</v>
      </c>
      <c r="E2126" s="3">
        <v>8000</v>
      </c>
      <c r="F2126" t="s">
        <v>230</v>
      </c>
      <c r="G2126" t="s">
        <v>231</v>
      </c>
      <c r="H2126" t="s">
        <v>232</v>
      </c>
      <c r="I2126" s="6" t="s">
        <v>986</v>
      </c>
      <c r="J2126" s="61" t="s">
        <v>22</v>
      </c>
      <c r="L2126" s="5" t="str">
        <f t="shared" si="643"/>
        <v>02125</v>
      </c>
      <c r="M2126" s="47" t="str">
        <f t="shared" si="644"/>
        <v>22 de junio de 2019</v>
      </c>
      <c r="N2126" s="323">
        <f t="shared" si="645"/>
        <v>22</v>
      </c>
      <c r="O2126" s="25">
        <f t="shared" si="646"/>
        <v>43617</v>
      </c>
      <c r="P2126" s="5" t="str">
        <f t="shared" si="647"/>
        <v>8.000,00</v>
      </c>
      <c r="Q2126" s="4" t="e">
        <f t="shared" ca="1" si="648"/>
        <v>#NAME?</v>
      </c>
    </row>
    <row r="2127" spans="1:17">
      <c r="A2127" s="1">
        <f t="shared" si="642"/>
        <v>2126</v>
      </c>
      <c r="C2127" s="8" t="s">
        <v>17</v>
      </c>
      <c r="D2127" s="2">
        <v>43638</v>
      </c>
      <c r="E2127" s="3">
        <v>8000</v>
      </c>
      <c r="F2127" t="s">
        <v>211</v>
      </c>
      <c r="G2127" t="s">
        <v>212</v>
      </c>
      <c r="H2127" t="s">
        <v>213</v>
      </c>
      <c r="I2127" s="6" t="s">
        <v>986</v>
      </c>
      <c r="J2127" s="61" t="s">
        <v>22</v>
      </c>
      <c r="L2127" s="5" t="str">
        <f t="shared" si="643"/>
        <v>02126</v>
      </c>
      <c r="M2127" s="47" t="str">
        <f t="shared" si="644"/>
        <v>22 de junio de 2019</v>
      </c>
      <c r="N2127" s="323">
        <f t="shared" si="645"/>
        <v>22</v>
      </c>
      <c r="O2127" s="25">
        <f t="shared" si="646"/>
        <v>43617</v>
      </c>
      <c r="P2127" s="5" t="str">
        <f t="shared" si="647"/>
        <v>8.000,00</v>
      </c>
      <c r="Q2127" s="4" t="e">
        <f t="shared" ca="1" si="648"/>
        <v>#NAME?</v>
      </c>
    </row>
    <row r="2128" spans="1:17">
      <c r="A2128" s="1">
        <f t="shared" si="642"/>
        <v>2127</v>
      </c>
      <c r="C2128" s="8" t="s">
        <v>17</v>
      </c>
      <c r="D2128" s="2">
        <v>43638</v>
      </c>
      <c r="E2128" s="3">
        <v>8000</v>
      </c>
      <c r="F2128" t="s">
        <v>122</v>
      </c>
      <c r="G2128" t="s">
        <v>123</v>
      </c>
      <c r="H2128" t="s">
        <v>124</v>
      </c>
      <c r="I2128" s="6" t="s">
        <v>986</v>
      </c>
      <c r="J2128" s="61" t="s">
        <v>22</v>
      </c>
      <c r="L2128" s="5" t="str">
        <f t="shared" si="643"/>
        <v>02127</v>
      </c>
      <c r="M2128" s="47" t="str">
        <f t="shared" si="644"/>
        <v>22 de junio de 2019</v>
      </c>
      <c r="N2128" s="323">
        <f t="shared" si="645"/>
        <v>22</v>
      </c>
      <c r="O2128" s="25">
        <f t="shared" si="646"/>
        <v>43617</v>
      </c>
      <c r="P2128" s="5" t="str">
        <f t="shared" si="647"/>
        <v>8.000,00</v>
      </c>
      <c r="Q2128" s="4" t="e">
        <f t="shared" ca="1" si="648"/>
        <v>#NAME?</v>
      </c>
    </row>
    <row r="2129" spans="1:17">
      <c r="A2129" s="1">
        <f t="shared" si="642"/>
        <v>2128</v>
      </c>
      <c r="C2129" s="8" t="s">
        <v>17</v>
      </c>
      <c r="D2129" s="2">
        <v>43638</v>
      </c>
      <c r="E2129" s="3">
        <v>8000</v>
      </c>
      <c r="F2129" t="s">
        <v>1004</v>
      </c>
      <c r="G2129" t="s">
        <v>1005</v>
      </c>
      <c r="H2129" t="s">
        <v>539</v>
      </c>
      <c r="I2129" s="6" t="s">
        <v>986</v>
      </c>
      <c r="J2129" s="61" t="s">
        <v>22</v>
      </c>
      <c r="L2129" s="5" t="str">
        <f t="shared" ref="L2129:L2142" si="649">IF(ISBLANK(A2129),"",TEXT(A2129,"00000"))</f>
        <v>02128</v>
      </c>
      <c r="M2129" s="47" t="str">
        <f t="shared" ref="M2129:M2142" si="650">IF(ISBLANK(D2129),"",TEXT(D2129,"dd")&amp;" de "&amp;TEXT(D2129,"mmmm")&amp;" de "&amp;TEXT(YEAR(D2129),"0"))</f>
        <v>22 de junio de 2019</v>
      </c>
      <c r="N2129" s="323">
        <f t="shared" ref="N2129:N2144" si="651">DAY(D2129)</f>
        <v>22</v>
      </c>
      <c r="O2129" s="25">
        <f t="shared" ref="O2129:O2142" si="652">DATE(YEAR(D2129),MONTH(D2129),1)</f>
        <v>43617</v>
      </c>
      <c r="P2129" s="5" t="str">
        <f t="shared" ref="P2129:P2144" si="653">TEXT(E2129,"#.##0,00")</f>
        <v>8.000,00</v>
      </c>
      <c r="Q2129" s="4" t="e">
        <f t="shared" ref="Q2129:Q2144" ca="1" si="654">CONVERTIRNUM(E2129)</f>
        <v>#NAME?</v>
      </c>
    </row>
    <row r="2130" spans="1:17">
      <c r="A2130" s="1">
        <f t="shared" si="642"/>
        <v>2129</v>
      </c>
      <c r="C2130" s="8" t="s">
        <v>17</v>
      </c>
      <c r="D2130" s="2">
        <v>43639</v>
      </c>
      <c r="E2130" s="3">
        <v>30000</v>
      </c>
      <c r="F2130" t="s">
        <v>578</v>
      </c>
      <c r="G2130" t="s">
        <v>579</v>
      </c>
      <c r="H2130" t="s">
        <v>580</v>
      </c>
      <c r="I2130" s="6" t="s">
        <v>1006</v>
      </c>
      <c r="J2130" s="61" t="s">
        <v>22</v>
      </c>
      <c r="L2130" s="5" t="str">
        <f t="shared" si="649"/>
        <v>02129</v>
      </c>
      <c r="M2130" s="47" t="str">
        <f t="shared" si="650"/>
        <v>23 de junio de 2019</v>
      </c>
      <c r="N2130" s="323">
        <f t="shared" si="651"/>
        <v>23</v>
      </c>
      <c r="O2130" s="25">
        <f t="shared" si="652"/>
        <v>43617</v>
      </c>
      <c r="P2130" s="5" t="str">
        <f t="shared" si="653"/>
        <v>30.000,00</v>
      </c>
      <c r="Q2130" s="4" t="e">
        <f t="shared" ca="1" si="654"/>
        <v>#NAME?</v>
      </c>
    </row>
    <row r="2131" spans="1:17">
      <c r="A2131" s="1">
        <f t="shared" si="642"/>
        <v>2130</v>
      </c>
      <c r="C2131" s="8" t="s">
        <v>17</v>
      </c>
      <c r="D2131" s="2">
        <v>43642</v>
      </c>
      <c r="E2131" s="3">
        <v>8000</v>
      </c>
      <c r="F2131" t="s">
        <v>362</v>
      </c>
      <c r="G2131" t="s">
        <v>363</v>
      </c>
      <c r="H2131" t="s">
        <v>364</v>
      </c>
      <c r="I2131" s="6" t="s">
        <v>1007</v>
      </c>
      <c r="J2131" s="61" t="s">
        <v>22</v>
      </c>
      <c r="L2131" s="5" t="str">
        <f t="shared" si="649"/>
        <v>02130</v>
      </c>
      <c r="M2131" s="47" t="str">
        <f t="shared" si="650"/>
        <v>26 de junio de 2019</v>
      </c>
      <c r="N2131" s="323">
        <f t="shared" si="651"/>
        <v>26</v>
      </c>
      <c r="O2131" s="25">
        <f t="shared" si="652"/>
        <v>43617</v>
      </c>
      <c r="P2131" s="5" t="str">
        <f t="shared" si="653"/>
        <v>8.000,00</v>
      </c>
      <c r="Q2131" s="4" t="e">
        <f t="shared" ca="1" si="654"/>
        <v>#NAME?</v>
      </c>
    </row>
    <row r="2132" spans="1:17">
      <c r="A2132" s="1">
        <f t="shared" si="642"/>
        <v>2131</v>
      </c>
      <c r="C2132" s="8" t="s">
        <v>17</v>
      </c>
      <c r="D2132" s="2">
        <v>43642</v>
      </c>
      <c r="E2132" s="3">
        <v>8000</v>
      </c>
      <c r="F2132" t="s">
        <v>134</v>
      </c>
      <c r="G2132" t="s">
        <v>135</v>
      </c>
      <c r="H2132" t="s">
        <v>136</v>
      </c>
      <c r="I2132" s="6" t="s">
        <v>986</v>
      </c>
      <c r="J2132" s="61" t="s">
        <v>22</v>
      </c>
      <c r="L2132" s="5" t="str">
        <f t="shared" si="649"/>
        <v>02131</v>
      </c>
      <c r="M2132" s="47" t="str">
        <f t="shared" si="650"/>
        <v>26 de junio de 2019</v>
      </c>
      <c r="N2132" s="323">
        <f t="shared" si="651"/>
        <v>26</v>
      </c>
      <c r="O2132" s="25">
        <f t="shared" si="652"/>
        <v>43617</v>
      </c>
      <c r="P2132" s="5" t="str">
        <f t="shared" si="653"/>
        <v>8.000,00</v>
      </c>
      <c r="Q2132" s="4" t="e">
        <f t="shared" ca="1" si="654"/>
        <v>#NAME?</v>
      </c>
    </row>
    <row r="2133" spans="1:17">
      <c r="A2133" s="1">
        <f t="shared" si="642"/>
        <v>2132</v>
      </c>
      <c r="C2133" s="8" t="s">
        <v>17</v>
      </c>
      <c r="D2133" s="2">
        <v>43642</v>
      </c>
      <c r="E2133" s="3">
        <v>4500</v>
      </c>
      <c r="F2133" t="s">
        <v>126</v>
      </c>
      <c r="G2133" t="s">
        <v>127</v>
      </c>
      <c r="H2133" t="s">
        <v>128</v>
      </c>
      <c r="I2133" s="6" t="s">
        <v>1003</v>
      </c>
      <c r="J2133" s="61" t="s">
        <v>22</v>
      </c>
      <c r="L2133" s="5" t="str">
        <f t="shared" si="649"/>
        <v>02132</v>
      </c>
      <c r="M2133" s="47" t="str">
        <f t="shared" si="650"/>
        <v>26 de junio de 2019</v>
      </c>
      <c r="N2133" s="323">
        <f t="shared" si="651"/>
        <v>26</v>
      </c>
      <c r="O2133" s="25">
        <f t="shared" si="652"/>
        <v>43617</v>
      </c>
      <c r="P2133" s="5" t="str">
        <f t="shared" si="653"/>
        <v>4.500,00</v>
      </c>
      <c r="Q2133" s="4" t="e">
        <f t="shared" ca="1" si="654"/>
        <v>#NAME?</v>
      </c>
    </row>
    <row r="2134" spans="1:17" ht="15.75" thickBot="1">
      <c r="A2134" s="1">
        <f t="shared" si="642"/>
        <v>2133</v>
      </c>
      <c r="C2134" s="8" t="s">
        <v>17</v>
      </c>
      <c r="D2134" s="2">
        <v>43642</v>
      </c>
      <c r="E2134" s="3">
        <v>8000</v>
      </c>
      <c r="F2134" t="s">
        <v>118</v>
      </c>
      <c r="G2134" t="s">
        <v>119</v>
      </c>
      <c r="H2134" t="s">
        <v>120</v>
      </c>
      <c r="I2134" s="6" t="s">
        <v>986</v>
      </c>
      <c r="J2134" s="61" t="s">
        <v>22</v>
      </c>
      <c r="L2134" s="5" t="str">
        <f t="shared" si="649"/>
        <v>02133</v>
      </c>
      <c r="M2134" s="47" t="str">
        <f t="shared" si="650"/>
        <v>26 de junio de 2019</v>
      </c>
      <c r="N2134" s="323">
        <f t="shared" si="651"/>
        <v>26</v>
      </c>
      <c r="O2134" s="25">
        <f t="shared" si="652"/>
        <v>43617</v>
      </c>
      <c r="P2134" s="5" t="str">
        <f t="shared" si="653"/>
        <v>8.000,00</v>
      </c>
      <c r="Q2134" s="4" t="e">
        <f t="shared" ca="1" si="654"/>
        <v>#NAME?</v>
      </c>
    </row>
    <row r="2135" spans="1:17" ht="15.75" thickBot="1">
      <c r="A2135" s="1">
        <f t="shared" si="642"/>
        <v>2134</v>
      </c>
      <c r="C2135" s="85" t="s">
        <v>17</v>
      </c>
      <c r="D2135" s="2">
        <v>43642</v>
      </c>
      <c r="E2135" s="3">
        <v>11600</v>
      </c>
      <c r="F2135" s="23" t="s">
        <v>422</v>
      </c>
      <c r="G2135" s="18" t="s">
        <v>58</v>
      </c>
      <c r="H2135" t="s">
        <v>423</v>
      </c>
      <c r="I2135" s="6" t="s">
        <v>986</v>
      </c>
      <c r="J2135" s="61" t="s">
        <v>22</v>
      </c>
      <c r="L2135" s="5" t="str">
        <f t="shared" si="649"/>
        <v>02134</v>
      </c>
      <c r="M2135" s="47" t="str">
        <f t="shared" si="650"/>
        <v>26 de junio de 2019</v>
      </c>
      <c r="N2135" s="323">
        <f t="shared" si="651"/>
        <v>26</v>
      </c>
      <c r="O2135" s="25">
        <f t="shared" si="652"/>
        <v>43617</v>
      </c>
      <c r="P2135" s="5" t="str">
        <f t="shared" si="653"/>
        <v>11.600,00</v>
      </c>
      <c r="Q2135" s="4" t="e">
        <f t="shared" ca="1" si="654"/>
        <v>#NAME?</v>
      </c>
    </row>
    <row r="2136" spans="1:17">
      <c r="A2136" s="1">
        <f t="shared" si="642"/>
        <v>2135</v>
      </c>
      <c r="C2136" s="8" t="s">
        <v>17</v>
      </c>
      <c r="D2136" s="2">
        <v>43642</v>
      </c>
      <c r="E2136" s="3">
        <v>8000</v>
      </c>
      <c r="F2136" t="s">
        <v>284</v>
      </c>
      <c r="G2136" t="s">
        <v>687</v>
      </c>
      <c r="H2136" t="s">
        <v>285</v>
      </c>
      <c r="I2136" s="6" t="s">
        <v>986</v>
      </c>
      <c r="J2136" s="61" t="s">
        <v>22</v>
      </c>
      <c r="L2136" s="5" t="str">
        <f t="shared" si="649"/>
        <v>02135</v>
      </c>
      <c r="M2136" s="47" t="str">
        <f t="shared" si="650"/>
        <v>26 de junio de 2019</v>
      </c>
      <c r="N2136" s="323">
        <f t="shared" si="651"/>
        <v>26</v>
      </c>
      <c r="O2136" s="25">
        <f t="shared" si="652"/>
        <v>43617</v>
      </c>
      <c r="P2136" s="5" t="str">
        <f t="shared" si="653"/>
        <v>8.000,00</v>
      </c>
      <c r="Q2136" s="4" t="e">
        <f t="shared" ca="1" si="654"/>
        <v>#NAME?</v>
      </c>
    </row>
    <row r="2137" spans="1:17">
      <c r="A2137" s="1">
        <f t="shared" si="642"/>
        <v>2136</v>
      </c>
      <c r="C2137" s="8" t="s">
        <v>17</v>
      </c>
      <c r="D2137" s="2">
        <v>43642</v>
      </c>
      <c r="E2137" s="3">
        <v>8000</v>
      </c>
      <c r="F2137" t="s">
        <v>417</v>
      </c>
      <c r="G2137" t="s">
        <v>418</v>
      </c>
      <c r="H2137" t="s">
        <v>419</v>
      </c>
      <c r="I2137" s="6" t="s">
        <v>986</v>
      </c>
      <c r="J2137" s="61" t="s">
        <v>22</v>
      </c>
      <c r="L2137" s="5" t="str">
        <f t="shared" si="649"/>
        <v>02136</v>
      </c>
      <c r="M2137" s="47" t="str">
        <f t="shared" si="650"/>
        <v>26 de junio de 2019</v>
      </c>
      <c r="N2137" s="323">
        <f t="shared" si="651"/>
        <v>26</v>
      </c>
      <c r="O2137" s="25">
        <f t="shared" si="652"/>
        <v>43617</v>
      </c>
      <c r="P2137" s="5" t="str">
        <f t="shared" si="653"/>
        <v>8.000,00</v>
      </c>
      <c r="Q2137" s="4" t="e">
        <f t="shared" ca="1" si="654"/>
        <v>#NAME?</v>
      </c>
    </row>
    <row r="2138" spans="1:17">
      <c r="A2138" s="1">
        <f t="shared" si="642"/>
        <v>2137</v>
      </c>
      <c r="C2138" s="8" t="s">
        <v>17</v>
      </c>
      <c r="D2138" s="2">
        <v>43643</v>
      </c>
      <c r="E2138" s="3">
        <v>8000</v>
      </c>
      <c r="F2138" t="s">
        <v>130</v>
      </c>
      <c r="G2138" t="s">
        <v>131</v>
      </c>
      <c r="H2138" t="s">
        <v>132</v>
      </c>
      <c r="I2138" s="6" t="s">
        <v>986</v>
      </c>
      <c r="J2138" s="61" t="s">
        <v>22</v>
      </c>
      <c r="L2138" s="5" t="str">
        <f t="shared" si="649"/>
        <v>02137</v>
      </c>
      <c r="M2138" s="47" t="str">
        <f t="shared" si="650"/>
        <v>27 de junio de 2019</v>
      </c>
      <c r="N2138" s="323">
        <f t="shared" si="651"/>
        <v>27</v>
      </c>
      <c r="O2138" s="25">
        <f t="shared" si="652"/>
        <v>43617</v>
      </c>
      <c r="P2138" s="5" t="str">
        <f t="shared" si="653"/>
        <v>8.000,00</v>
      </c>
      <c r="Q2138" s="4" t="e">
        <f t="shared" ca="1" si="654"/>
        <v>#NAME?</v>
      </c>
    </row>
    <row r="2139" spans="1:17">
      <c r="A2139" s="1">
        <f t="shared" si="642"/>
        <v>2138</v>
      </c>
      <c r="C2139" s="8" t="s">
        <v>17</v>
      </c>
      <c r="D2139" s="2">
        <v>43643</v>
      </c>
      <c r="E2139" s="3">
        <v>8000</v>
      </c>
      <c r="F2139" t="s">
        <v>412</v>
      </c>
      <c r="G2139" t="s">
        <v>413</v>
      </c>
      <c r="H2139" t="s">
        <v>414</v>
      </c>
      <c r="I2139" s="6" t="s">
        <v>986</v>
      </c>
      <c r="J2139" s="61" t="s">
        <v>22</v>
      </c>
      <c r="L2139" s="5" t="str">
        <f t="shared" si="649"/>
        <v>02138</v>
      </c>
      <c r="M2139" s="47" t="str">
        <f t="shared" si="650"/>
        <v>27 de junio de 2019</v>
      </c>
      <c r="N2139" s="323">
        <f t="shared" si="651"/>
        <v>27</v>
      </c>
      <c r="O2139" s="25">
        <f t="shared" si="652"/>
        <v>43617</v>
      </c>
      <c r="P2139" s="5" t="str">
        <f t="shared" si="653"/>
        <v>8.000,00</v>
      </c>
      <c r="Q2139" s="4" t="e">
        <f t="shared" ca="1" si="654"/>
        <v>#NAME?</v>
      </c>
    </row>
    <row r="2140" spans="1:17" ht="15.75" thickBot="1">
      <c r="A2140" s="1">
        <f t="shared" si="642"/>
        <v>2139</v>
      </c>
      <c r="C2140" s="8" t="s">
        <v>17</v>
      </c>
      <c r="D2140" s="2">
        <v>43643</v>
      </c>
      <c r="E2140" s="3">
        <v>8000</v>
      </c>
      <c r="F2140" t="s">
        <v>935</v>
      </c>
      <c r="G2140" t="s">
        <v>936</v>
      </c>
      <c r="H2140" t="s">
        <v>150</v>
      </c>
      <c r="I2140" s="6" t="s">
        <v>986</v>
      </c>
      <c r="J2140" s="61" t="s">
        <v>22</v>
      </c>
      <c r="L2140" s="5" t="str">
        <f t="shared" si="649"/>
        <v>02139</v>
      </c>
      <c r="M2140" s="47" t="str">
        <f t="shared" si="650"/>
        <v>27 de junio de 2019</v>
      </c>
      <c r="N2140" s="323">
        <f t="shared" si="651"/>
        <v>27</v>
      </c>
      <c r="O2140" s="25">
        <f t="shared" si="652"/>
        <v>43617</v>
      </c>
      <c r="P2140" s="5" t="str">
        <f t="shared" si="653"/>
        <v>8.000,00</v>
      </c>
      <c r="Q2140" s="4" t="e">
        <f t="shared" ca="1" si="654"/>
        <v>#NAME?</v>
      </c>
    </row>
    <row r="2141" spans="1:17" ht="15.75" thickBot="1">
      <c r="A2141" s="1">
        <f t="shared" si="642"/>
        <v>2140</v>
      </c>
      <c r="C2141" s="8" t="s">
        <v>17</v>
      </c>
      <c r="D2141" s="2">
        <v>43643</v>
      </c>
      <c r="E2141" s="3">
        <f>5000+3000</f>
        <v>8000</v>
      </c>
      <c r="F2141" t="s">
        <v>239</v>
      </c>
      <c r="G2141" s="73" t="s">
        <v>240</v>
      </c>
      <c r="H2141" t="s">
        <v>241</v>
      </c>
      <c r="I2141" s="6" t="s">
        <v>986</v>
      </c>
      <c r="J2141" s="61" t="s">
        <v>22</v>
      </c>
      <c r="L2141" s="5" t="str">
        <f t="shared" si="649"/>
        <v>02140</v>
      </c>
      <c r="M2141" s="47" t="str">
        <f t="shared" si="650"/>
        <v>27 de junio de 2019</v>
      </c>
      <c r="N2141" s="323">
        <f t="shared" si="651"/>
        <v>27</v>
      </c>
      <c r="O2141" s="25">
        <f t="shared" si="652"/>
        <v>43617</v>
      </c>
      <c r="P2141" s="5" t="str">
        <f t="shared" si="653"/>
        <v>8.000,00</v>
      </c>
      <c r="Q2141" s="4" t="e">
        <f t="shared" ca="1" si="654"/>
        <v>#NAME?</v>
      </c>
    </row>
    <row r="2142" spans="1:17">
      <c r="A2142" s="1">
        <f t="shared" si="642"/>
        <v>2141</v>
      </c>
      <c r="C2142" s="8" t="s">
        <v>17</v>
      </c>
      <c r="D2142" s="2">
        <v>43643</v>
      </c>
      <c r="E2142" s="3">
        <v>3000</v>
      </c>
      <c r="F2142" t="s">
        <v>114</v>
      </c>
      <c r="G2142" t="s">
        <v>115</v>
      </c>
      <c r="H2142" t="s">
        <v>105</v>
      </c>
      <c r="I2142" s="6" t="s">
        <v>1003</v>
      </c>
      <c r="J2142" s="61" t="s">
        <v>22</v>
      </c>
      <c r="L2142" s="5" t="str">
        <f t="shared" si="649"/>
        <v>02141</v>
      </c>
      <c r="M2142" s="47" t="str">
        <f t="shared" si="650"/>
        <v>27 de junio de 2019</v>
      </c>
      <c r="N2142" s="323">
        <f t="shared" si="651"/>
        <v>27</v>
      </c>
      <c r="O2142" s="25">
        <f t="shared" si="652"/>
        <v>43617</v>
      </c>
      <c r="P2142" s="5" t="str">
        <f t="shared" si="653"/>
        <v>3.000,00</v>
      </c>
      <c r="Q2142" s="4" t="e">
        <f t="shared" ca="1" si="654"/>
        <v>#NAME?</v>
      </c>
    </row>
    <row r="2143" spans="1:17">
      <c r="A2143" s="1">
        <f t="shared" si="642"/>
        <v>2142</v>
      </c>
      <c r="C2143" s="8" t="s">
        <v>17</v>
      </c>
      <c r="D2143" s="2">
        <v>43643</v>
      </c>
      <c r="E2143" s="3">
        <v>8000</v>
      </c>
      <c r="F2143" t="s">
        <v>243</v>
      </c>
      <c r="G2143" t="s">
        <v>244</v>
      </c>
      <c r="H2143" t="s">
        <v>245</v>
      </c>
      <c r="I2143" s="6" t="s">
        <v>986</v>
      </c>
      <c r="J2143" s="61" t="s">
        <v>22</v>
      </c>
      <c r="L2143" s="5" t="str">
        <f>IF(ISBLANK(A2143),"",TEXT(A2143,"00000"))</f>
        <v>02142</v>
      </c>
      <c r="M2143" s="47" t="str">
        <f>IF(ISBLANK(D2143),"",TEXT(D2143,"dd")&amp;" de "&amp;TEXT(D2143,"mmmm")&amp;" de "&amp;TEXT(YEAR(D2143),"0"))</f>
        <v>27 de junio de 2019</v>
      </c>
      <c r="N2143" s="323">
        <f t="shared" si="651"/>
        <v>27</v>
      </c>
      <c r="O2143" s="25">
        <f>DATE(YEAR(D2143),MONTH(D2143),1)</f>
        <v>43617</v>
      </c>
      <c r="P2143" s="5" t="str">
        <f t="shared" si="653"/>
        <v>8.000,00</v>
      </c>
      <c r="Q2143" s="4" t="e">
        <f t="shared" ca="1" si="654"/>
        <v>#NAME?</v>
      </c>
    </row>
    <row r="2144" spans="1:17">
      <c r="A2144" s="1">
        <f t="shared" si="642"/>
        <v>2143</v>
      </c>
      <c r="C2144" s="8" t="s">
        <v>17</v>
      </c>
      <c r="D2144" s="2">
        <v>43643</v>
      </c>
      <c r="E2144" s="3">
        <v>8000</v>
      </c>
      <c r="F2144" t="s">
        <v>558</v>
      </c>
      <c r="G2144" t="s">
        <v>559</v>
      </c>
      <c r="H2144" t="s">
        <v>560</v>
      </c>
      <c r="I2144" s="6" t="s">
        <v>986</v>
      </c>
      <c r="J2144" s="61" t="s">
        <v>22</v>
      </c>
      <c r="L2144" s="5" t="str">
        <f t="shared" ref="L2144" si="655">IF(ISBLANK(A2144),"",TEXT(A2144,"00000"))</f>
        <v>02143</v>
      </c>
      <c r="M2144" s="47" t="str">
        <f t="shared" ref="M2144" si="656">IF(ISBLANK(D2144),"",TEXT(D2144,"dd")&amp;" de "&amp;TEXT(D2144,"mmmm")&amp;" de "&amp;TEXT(YEAR(D2144),"0"))</f>
        <v>27 de junio de 2019</v>
      </c>
      <c r="N2144" s="323">
        <f t="shared" si="651"/>
        <v>27</v>
      </c>
      <c r="O2144" s="25">
        <f t="shared" ref="O2144" si="657">DATE(YEAR(D2144),MONTH(D2144),1)</f>
        <v>43617</v>
      </c>
      <c r="P2144" s="5" t="str">
        <f t="shared" si="653"/>
        <v>8.000,00</v>
      </c>
      <c r="Q2144" s="4" t="e">
        <f t="shared" ca="1" si="654"/>
        <v>#NAME?</v>
      </c>
    </row>
    <row r="2145" spans="1:17">
      <c r="A2145" s="1">
        <f t="shared" si="642"/>
        <v>2144</v>
      </c>
      <c r="C2145" s="8" t="s">
        <v>17</v>
      </c>
      <c r="D2145" s="2">
        <v>43643</v>
      </c>
      <c r="E2145" s="3">
        <v>10000</v>
      </c>
      <c r="F2145" t="s">
        <v>558</v>
      </c>
      <c r="G2145" t="s">
        <v>559</v>
      </c>
      <c r="H2145" t="s">
        <v>560</v>
      </c>
      <c r="I2145" s="6" t="s">
        <v>1007</v>
      </c>
      <c r="J2145" s="61" t="s">
        <v>22</v>
      </c>
      <c r="L2145" s="5" t="str">
        <f t="shared" ref="L2145:L2166" si="658">IF(ISBLANK(A2145),"",TEXT(A2145,"00000"))</f>
        <v>02144</v>
      </c>
      <c r="M2145" s="47" t="str">
        <f t="shared" ref="M2145:M2166" si="659">IF(ISBLANK(D2145),"",TEXT(D2145,"dd")&amp;" de "&amp;TEXT(D2145,"mmmm")&amp;" de "&amp;TEXT(YEAR(D2145),"0"))</f>
        <v>27 de junio de 2019</v>
      </c>
      <c r="N2145" s="323">
        <f t="shared" ref="N2145:N2166" si="660">DAY(D2145)</f>
        <v>27</v>
      </c>
      <c r="O2145" s="25">
        <f t="shared" ref="O2145:O2166" si="661">DATE(YEAR(D2145),MONTH(D2145),1)</f>
        <v>43617</v>
      </c>
      <c r="P2145" s="5" t="str">
        <f t="shared" ref="P2145:P2166" si="662">TEXT(E2145,"#.##0,00")</f>
        <v>10.000,00</v>
      </c>
      <c r="Q2145" s="4" t="e">
        <f t="shared" ref="Q2145:Q2165" ca="1" si="663">CONVERTIRNUM(E2145)</f>
        <v>#NAME?</v>
      </c>
    </row>
    <row r="2146" spans="1:17" ht="15.75" thickBot="1">
      <c r="A2146" s="1">
        <f t="shared" si="642"/>
        <v>2145</v>
      </c>
      <c r="C2146" s="8" t="s">
        <v>17</v>
      </c>
      <c r="D2146" s="2">
        <v>43643</v>
      </c>
      <c r="E2146" s="3">
        <v>15000</v>
      </c>
      <c r="F2146" t="s">
        <v>66</v>
      </c>
      <c r="G2146" t="s">
        <v>67</v>
      </c>
      <c r="H2146" t="s">
        <v>68</v>
      </c>
      <c r="I2146" s="6" t="s">
        <v>1008</v>
      </c>
      <c r="J2146" s="61" t="s">
        <v>22</v>
      </c>
      <c r="L2146" s="5" t="str">
        <f t="shared" si="658"/>
        <v>02145</v>
      </c>
      <c r="M2146" s="47" t="str">
        <f t="shared" si="659"/>
        <v>27 de junio de 2019</v>
      </c>
      <c r="N2146" s="323">
        <f t="shared" si="660"/>
        <v>27</v>
      </c>
      <c r="O2146" s="25">
        <f t="shared" si="661"/>
        <v>43617</v>
      </c>
      <c r="P2146" s="5" t="str">
        <f t="shared" si="662"/>
        <v>15.000,00</v>
      </c>
      <c r="Q2146" s="4" t="e">
        <f t="shared" ca="1" si="663"/>
        <v>#NAME?</v>
      </c>
    </row>
    <row r="2147" spans="1:17" ht="15.75" thickBot="1">
      <c r="A2147" s="1">
        <f t="shared" si="642"/>
        <v>2146</v>
      </c>
      <c r="C2147" s="8" t="s">
        <v>17</v>
      </c>
      <c r="D2147" s="2">
        <v>43643</v>
      </c>
      <c r="E2147" s="3">
        <v>16000</v>
      </c>
      <c r="F2147" t="s">
        <v>90</v>
      </c>
      <c r="G2147" s="475" t="s">
        <v>978</v>
      </c>
      <c r="H2147" t="s">
        <v>92</v>
      </c>
      <c r="I2147" s="6" t="s">
        <v>1009</v>
      </c>
      <c r="J2147" s="61" t="s">
        <v>22</v>
      </c>
      <c r="L2147" s="5" t="str">
        <f t="shared" si="658"/>
        <v>02146</v>
      </c>
      <c r="M2147" s="47" t="str">
        <f t="shared" si="659"/>
        <v>27 de junio de 2019</v>
      </c>
      <c r="N2147" s="323">
        <f t="shared" si="660"/>
        <v>27</v>
      </c>
      <c r="O2147" s="25">
        <f t="shared" si="661"/>
        <v>43617</v>
      </c>
      <c r="P2147" s="5" t="str">
        <f t="shared" si="662"/>
        <v>16.000,00</v>
      </c>
      <c r="Q2147" s="4" t="e">
        <f t="shared" ca="1" si="663"/>
        <v>#NAME?</v>
      </c>
    </row>
    <row r="2148" spans="1:17" ht="15.75" thickBot="1">
      <c r="A2148" s="1">
        <f t="shared" si="642"/>
        <v>2147</v>
      </c>
      <c r="C2148" s="85" t="s">
        <v>17</v>
      </c>
      <c r="D2148" s="2">
        <v>43643</v>
      </c>
      <c r="E2148" s="3">
        <v>8000</v>
      </c>
      <c r="F2148" t="s">
        <v>259</v>
      </c>
      <c r="G2148" s="18" t="s">
        <v>58</v>
      </c>
      <c r="H2148" t="s">
        <v>261</v>
      </c>
      <c r="I2148" s="6" t="s">
        <v>986</v>
      </c>
      <c r="J2148" s="61" t="s">
        <v>22</v>
      </c>
      <c r="L2148" s="5" t="str">
        <f t="shared" si="658"/>
        <v>02147</v>
      </c>
      <c r="M2148" s="47" t="str">
        <f t="shared" si="659"/>
        <v>27 de junio de 2019</v>
      </c>
      <c r="N2148" s="323">
        <f t="shared" si="660"/>
        <v>27</v>
      </c>
      <c r="O2148" s="25">
        <f t="shared" si="661"/>
        <v>43617</v>
      </c>
      <c r="P2148" s="5" t="str">
        <f t="shared" si="662"/>
        <v>8.000,00</v>
      </c>
      <c r="Q2148" s="4" t="e">
        <f t="shared" ca="1" si="663"/>
        <v>#NAME?</v>
      </c>
    </row>
    <row r="2149" spans="1:17">
      <c r="A2149" s="1">
        <f t="shared" si="642"/>
        <v>2148</v>
      </c>
      <c r="C2149" s="8" t="s">
        <v>17</v>
      </c>
      <c r="D2149" s="2">
        <v>43644</v>
      </c>
      <c r="E2149" s="3">
        <v>23000</v>
      </c>
      <c r="F2149" t="s">
        <v>785</v>
      </c>
      <c r="G2149" t="s">
        <v>786</v>
      </c>
      <c r="H2149" t="s">
        <v>719</v>
      </c>
      <c r="I2149" s="6" t="s">
        <v>1010</v>
      </c>
      <c r="J2149" s="61" t="s">
        <v>22</v>
      </c>
      <c r="L2149" s="5" t="str">
        <f t="shared" si="658"/>
        <v>02148</v>
      </c>
      <c r="M2149" s="47" t="str">
        <f t="shared" si="659"/>
        <v>28 de junio de 2019</v>
      </c>
      <c r="N2149" s="323">
        <f t="shared" si="660"/>
        <v>28</v>
      </c>
      <c r="O2149" s="25">
        <f t="shared" si="661"/>
        <v>43617</v>
      </c>
      <c r="P2149" s="5" t="str">
        <f t="shared" si="662"/>
        <v>23.000,00</v>
      </c>
      <c r="Q2149" s="4" t="e">
        <f t="shared" ca="1" si="663"/>
        <v>#NAME?</v>
      </c>
    </row>
    <row r="2150" spans="1:17">
      <c r="A2150" s="1">
        <f t="shared" si="642"/>
        <v>2149</v>
      </c>
      <c r="C2150" s="8" t="s">
        <v>17</v>
      </c>
      <c r="D2150" s="2">
        <v>43644</v>
      </c>
      <c r="E2150" s="3">
        <v>10000</v>
      </c>
      <c r="F2150" t="s">
        <v>201</v>
      </c>
      <c r="G2150" t="s">
        <v>202</v>
      </c>
      <c r="H2150" t="s">
        <v>203</v>
      </c>
      <c r="I2150" s="6" t="s">
        <v>1007</v>
      </c>
      <c r="J2150" s="61" t="s">
        <v>22</v>
      </c>
      <c r="L2150" s="5" t="str">
        <f t="shared" si="658"/>
        <v>02149</v>
      </c>
      <c r="M2150" s="47" t="str">
        <f t="shared" si="659"/>
        <v>28 de junio de 2019</v>
      </c>
      <c r="N2150" s="323">
        <f t="shared" si="660"/>
        <v>28</v>
      </c>
      <c r="O2150" s="25">
        <f t="shared" si="661"/>
        <v>43617</v>
      </c>
      <c r="P2150" s="5" t="str">
        <f t="shared" si="662"/>
        <v>10.000,00</v>
      </c>
      <c r="Q2150" s="4" t="e">
        <f t="shared" ca="1" si="663"/>
        <v>#NAME?</v>
      </c>
    </row>
    <row r="2151" spans="1:17">
      <c r="A2151" s="1">
        <f t="shared" si="642"/>
        <v>2150</v>
      </c>
      <c r="C2151" s="8" t="s">
        <v>17</v>
      </c>
      <c r="D2151" s="2">
        <v>43644</v>
      </c>
      <c r="E2151" s="3">
        <v>8000</v>
      </c>
      <c r="F2151" t="s">
        <v>62</v>
      </c>
      <c r="G2151" t="s">
        <v>63</v>
      </c>
      <c r="H2151" t="s">
        <v>64</v>
      </c>
      <c r="I2151" s="6" t="s">
        <v>986</v>
      </c>
      <c r="J2151" s="61" t="s">
        <v>22</v>
      </c>
      <c r="L2151" s="5" t="str">
        <f t="shared" si="658"/>
        <v>02150</v>
      </c>
      <c r="M2151" s="47" t="str">
        <f t="shared" si="659"/>
        <v>28 de junio de 2019</v>
      </c>
      <c r="N2151" s="323">
        <f t="shared" si="660"/>
        <v>28</v>
      </c>
      <c r="O2151" s="25">
        <f t="shared" si="661"/>
        <v>43617</v>
      </c>
      <c r="P2151" s="5" t="str">
        <f t="shared" si="662"/>
        <v>8.000,00</v>
      </c>
      <c r="Q2151" s="4" t="e">
        <f t="shared" ca="1" si="663"/>
        <v>#NAME?</v>
      </c>
    </row>
    <row r="2152" spans="1:17">
      <c r="A2152" s="1">
        <f t="shared" si="642"/>
        <v>2151</v>
      </c>
      <c r="C2152" s="8" t="s">
        <v>17</v>
      </c>
      <c r="D2152" s="2">
        <v>43644</v>
      </c>
      <c r="E2152" s="3">
        <v>11000</v>
      </c>
      <c r="F2152" t="s">
        <v>197</v>
      </c>
      <c r="G2152" t="s">
        <v>198</v>
      </c>
      <c r="H2152" t="s">
        <v>199</v>
      </c>
      <c r="I2152" s="6" t="s">
        <v>984</v>
      </c>
      <c r="J2152" s="61" t="s">
        <v>22</v>
      </c>
      <c r="L2152" s="5" t="str">
        <f t="shared" si="658"/>
        <v>02151</v>
      </c>
      <c r="M2152" s="47" t="str">
        <f t="shared" si="659"/>
        <v>28 de junio de 2019</v>
      </c>
      <c r="N2152" s="323">
        <f t="shared" si="660"/>
        <v>28</v>
      </c>
      <c r="O2152" s="25">
        <f t="shared" si="661"/>
        <v>43617</v>
      </c>
      <c r="P2152" s="5" t="str">
        <f t="shared" si="662"/>
        <v>11.000,00</v>
      </c>
      <c r="Q2152" s="4" t="e">
        <f t="shared" ca="1" si="663"/>
        <v>#NAME?</v>
      </c>
    </row>
    <row r="2153" spans="1:17">
      <c r="A2153" s="1">
        <f t="shared" si="642"/>
        <v>2152</v>
      </c>
      <c r="C2153" s="8" t="s">
        <v>17</v>
      </c>
      <c r="D2153" s="2">
        <v>43644</v>
      </c>
      <c r="E2153" s="3">
        <v>30000</v>
      </c>
      <c r="F2153" t="s">
        <v>324</v>
      </c>
      <c r="G2153" t="s">
        <v>325</v>
      </c>
      <c r="H2153" t="s">
        <v>326</v>
      </c>
      <c r="I2153" s="6" t="s">
        <v>1011</v>
      </c>
      <c r="J2153" s="61" t="s">
        <v>22</v>
      </c>
      <c r="L2153" s="5" t="str">
        <f t="shared" si="658"/>
        <v>02152</v>
      </c>
      <c r="M2153" s="47" t="str">
        <f t="shared" si="659"/>
        <v>28 de junio de 2019</v>
      </c>
      <c r="N2153" s="323">
        <f t="shared" si="660"/>
        <v>28</v>
      </c>
      <c r="O2153" s="25">
        <f t="shared" si="661"/>
        <v>43617</v>
      </c>
      <c r="P2153" s="5" t="str">
        <f t="shared" si="662"/>
        <v>30.000,00</v>
      </c>
      <c r="Q2153" s="4" t="e">
        <f t="shared" ca="1" si="663"/>
        <v>#NAME?</v>
      </c>
    </row>
    <row r="2154" spans="1:17" ht="15.75" thickBot="1">
      <c r="A2154" s="1">
        <f t="shared" si="642"/>
        <v>2153</v>
      </c>
      <c r="C2154" s="8" t="s">
        <v>17</v>
      </c>
      <c r="D2154" s="2">
        <v>43644</v>
      </c>
      <c r="E2154" s="3">
        <v>5000</v>
      </c>
      <c r="F2154" t="s">
        <v>291</v>
      </c>
      <c r="G2154" t="s">
        <v>292</v>
      </c>
      <c r="H2154" t="s">
        <v>293</v>
      </c>
      <c r="I2154" s="6" t="s">
        <v>991</v>
      </c>
      <c r="J2154" s="61" t="s">
        <v>22</v>
      </c>
      <c r="L2154" s="5" t="str">
        <f t="shared" si="658"/>
        <v>02153</v>
      </c>
      <c r="M2154" s="47" t="str">
        <f t="shared" si="659"/>
        <v>28 de junio de 2019</v>
      </c>
      <c r="N2154" s="323">
        <f t="shared" si="660"/>
        <v>28</v>
      </c>
      <c r="O2154" s="25">
        <f t="shared" si="661"/>
        <v>43617</v>
      </c>
      <c r="P2154" s="5" t="str">
        <f t="shared" si="662"/>
        <v>5.000,00</v>
      </c>
      <c r="Q2154" s="4" t="e">
        <f t="shared" ca="1" si="663"/>
        <v>#NAME?</v>
      </c>
    </row>
    <row r="2155" spans="1:17" ht="15.75" thickBot="1">
      <c r="A2155" s="1">
        <f t="shared" si="642"/>
        <v>2154</v>
      </c>
      <c r="C2155" s="85" t="s">
        <v>17</v>
      </c>
      <c r="D2155" s="2">
        <v>43644</v>
      </c>
      <c r="E2155" s="162">
        <v>8000</v>
      </c>
      <c r="F2155" t="s">
        <v>492</v>
      </c>
      <c r="G2155" s="18" t="s">
        <v>58</v>
      </c>
      <c r="H2155" t="s">
        <v>493</v>
      </c>
      <c r="I2155" s="6" t="s">
        <v>986</v>
      </c>
      <c r="J2155" s="61" t="s">
        <v>22</v>
      </c>
      <c r="L2155" s="5" t="str">
        <f t="shared" si="658"/>
        <v>02154</v>
      </c>
      <c r="M2155" s="47" t="str">
        <f t="shared" si="659"/>
        <v>28 de junio de 2019</v>
      </c>
      <c r="N2155" s="323">
        <f t="shared" si="660"/>
        <v>28</v>
      </c>
      <c r="O2155" s="25">
        <f t="shared" si="661"/>
        <v>43617</v>
      </c>
      <c r="P2155" s="5" t="str">
        <f t="shared" si="662"/>
        <v>8.000,00</v>
      </c>
      <c r="Q2155" s="4" t="e">
        <f t="shared" ca="1" si="663"/>
        <v>#NAME?</v>
      </c>
    </row>
    <row r="2156" spans="1:17" ht="15.75" thickBot="1">
      <c r="A2156" s="1">
        <f t="shared" si="642"/>
        <v>2155</v>
      </c>
      <c r="C2156" s="8" t="s">
        <v>17</v>
      </c>
      <c r="D2156" s="2">
        <v>43646</v>
      </c>
      <c r="E2156" s="3">
        <f>4000+4000</f>
        <v>8000</v>
      </c>
      <c r="F2156" t="s">
        <v>252</v>
      </c>
      <c r="G2156" s="475" t="s">
        <v>958</v>
      </c>
      <c r="H2156" t="s">
        <v>254</v>
      </c>
      <c r="I2156" s="6" t="s">
        <v>1012</v>
      </c>
      <c r="J2156" s="61" t="s">
        <v>22</v>
      </c>
      <c r="L2156" s="5" t="str">
        <f t="shared" si="658"/>
        <v>02155</v>
      </c>
      <c r="M2156" s="47" t="str">
        <f t="shared" si="659"/>
        <v>30 de junio de 2019</v>
      </c>
      <c r="N2156" s="323">
        <f t="shared" si="660"/>
        <v>30</v>
      </c>
      <c r="O2156" s="25">
        <f t="shared" si="661"/>
        <v>43617</v>
      </c>
      <c r="P2156" s="5" t="str">
        <f t="shared" si="662"/>
        <v>8.000,00</v>
      </c>
      <c r="Q2156" s="4" t="e">
        <f t="shared" ca="1" si="663"/>
        <v>#NAME?</v>
      </c>
    </row>
    <row r="2157" spans="1:17">
      <c r="A2157" s="1">
        <f t="shared" si="642"/>
        <v>2156</v>
      </c>
      <c r="C2157" s="8" t="s">
        <v>17</v>
      </c>
      <c r="D2157" s="2">
        <v>43645</v>
      </c>
      <c r="E2157" s="3">
        <v>16000</v>
      </c>
      <c r="F2157" t="s">
        <v>843</v>
      </c>
      <c r="G2157" t="s">
        <v>844</v>
      </c>
      <c r="H2157" t="s">
        <v>169</v>
      </c>
      <c r="I2157" s="6" t="s">
        <v>1008</v>
      </c>
      <c r="J2157" s="61" t="s">
        <v>22</v>
      </c>
      <c r="L2157" s="5" t="str">
        <f t="shared" si="658"/>
        <v>02156</v>
      </c>
      <c r="M2157" s="47" t="str">
        <f t="shared" si="659"/>
        <v>29 de junio de 2019</v>
      </c>
      <c r="N2157" s="323">
        <f t="shared" si="660"/>
        <v>29</v>
      </c>
      <c r="O2157" s="25">
        <f t="shared" si="661"/>
        <v>43617</v>
      </c>
      <c r="P2157" s="5" t="str">
        <f t="shared" si="662"/>
        <v>16.000,00</v>
      </c>
      <c r="Q2157" s="4" t="e">
        <f t="shared" ca="1" si="663"/>
        <v>#NAME?</v>
      </c>
    </row>
    <row r="2158" spans="1:17">
      <c r="A2158" s="1">
        <f t="shared" si="642"/>
        <v>2157</v>
      </c>
      <c r="C2158" s="8" t="s">
        <v>17</v>
      </c>
      <c r="D2158" s="2">
        <v>43647</v>
      </c>
      <c r="E2158" s="3">
        <v>5000</v>
      </c>
      <c r="F2158" t="s">
        <v>401</v>
      </c>
      <c r="G2158" t="s">
        <v>402</v>
      </c>
      <c r="H2158" t="s">
        <v>403</v>
      </c>
      <c r="I2158" s="6" t="s">
        <v>1013</v>
      </c>
      <c r="J2158" s="61" t="s">
        <v>22</v>
      </c>
      <c r="L2158" s="5" t="str">
        <f t="shared" si="658"/>
        <v>02157</v>
      </c>
      <c r="M2158" s="47" t="str">
        <f t="shared" si="659"/>
        <v>01 de julio de 2019</v>
      </c>
      <c r="N2158" s="323">
        <f t="shared" si="660"/>
        <v>1</v>
      </c>
      <c r="O2158" s="25">
        <f t="shared" si="661"/>
        <v>43647</v>
      </c>
      <c r="P2158" s="5" t="str">
        <f t="shared" si="662"/>
        <v>5.000,00</v>
      </c>
      <c r="Q2158" s="4" t="e">
        <f t="shared" ca="1" si="663"/>
        <v>#NAME?</v>
      </c>
    </row>
    <row r="2159" spans="1:17">
      <c r="A2159" s="1">
        <f t="shared" si="642"/>
        <v>2158</v>
      </c>
      <c r="C2159" s="8" t="s">
        <v>17</v>
      </c>
      <c r="D2159" s="2">
        <v>43647</v>
      </c>
      <c r="E2159" s="3">
        <v>8000</v>
      </c>
      <c r="F2159" t="s">
        <v>94</v>
      </c>
      <c r="G2159" t="s">
        <v>607</v>
      </c>
      <c r="H2159" t="s">
        <v>96</v>
      </c>
      <c r="I2159" s="6" t="s">
        <v>986</v>
      </c>
      <c r="J2159" s="61" t="s">
        <v>22</v>
      </c>
      <c r="L2159" s="5" t="str">
        <f t="shared" si="658"/>
        <v>02158</v>
      </c>
      <c r="M2159" s="47" t="str">
        <f t="shared" si="659"/>
        <v>01 de julio de 2019</v>
      </c>
      <c r="N2159" s="323">
        <f t="shared" si="660"/>
        <v>1</v>
      </c>
      <c r="O2159" s="25">
        <f t="shared" si="661"/>
        <v>43647</v>
      </c>
      <c r="P2159" s="5" t="str">
        <f t="shared" si="662"/>
        <v>8.000,00</v>
      </c>
      <c r="Q2159" s="4" t="e">
        <f t="shared" ca="1" si="663"/>
        <v>#NAME?</v>
      </c>
    </row>
    <row r="2160" spans="1:17">
      <c r="A2160" s="1">
        <f t="shared" si="642"/>
        <v>2159</v>
      </c>
      <c r="C2160" s="8" t="s">
        <v>17</v>
      </c>
      <c r="D2160" s="2">
        <v>43647</v>
      </c>
      <c r="E2160" s="3">
        <v>10000</v>
      </c>
      <c r="F2160" t="s">
        <v>48</v>
      </c>
      <c r="G2160" t="s">
        <v>49</v>
      </c>
      <c r="H2160" t="s">
        <v>50</v>
      </c>
      <c r="I2160" s="6" t="s">
        <v>1007</v>
      </c>
      <c r="J2160" s="61" t="s">
        <v>22</v>
      </c>
      <c r="L2160" s="5" t="str">
        <f t="shared" si="658"/>
        <v>02159</v>
      </c>
      <c r="M2160" s="47" t="str">
        <f t="shared" si="659"/>
        <v>01 de julio de 2019</v>
      </c>
      <c r="N2160" s="323">
        <f t="shared" si="660"/>
        <v>1</v>
      </c>
      <c r="O2160" s="25">
        <f t="shared" si="661"/>
        <v>43647</v>
      </c>
      <c r="P2160" s="5" t="str">
        <f t="shared" si="662"/>
        <v>10.000,00</v>
      </c>
      <c r="Q2160" s="4" t="e">
        <f t="shared" ca="1" si="663"/>
        <v>#NAME?</v>
      </c>
    </row>
    <row r="2161" spans="1:17">
      <c r="A2161" s="1">
        <f t="shared" si="642"/>
        <v>2160</v>
      </c>
      <c r="C2161" s="8" t="s">
        <v>17</v>
      </c>
      <c r="D2161" s="2">
        <v>43647</v>
      </c>
      <c r="E2161" s="3">
        <v>10000</v>
      </c>
      <c r="F2161" t="s">
        <v>483</v>
      </c>
      <c r="G2161" t="s">
        <v>484</v>
      </c>
      <c r="H2161" t="s">
        <v>485</v>
      </c>
      <c r="I2161" s="6" t="s">
        <v>1007</v>
      </c>
      <c r="J2161" s="61" t="s">
        <v>22</v>
      </c>
      <c r="L2161" s="5" t="str">
        <f t="shared" si="658"/>
        <v>02160</v>
      </c>
      <c r="M2161" s="47" t="str">
        <f t="shared" si="659"/>
        <v>01 de julio de 2019</v>
      </c>
      <c r="N2161" s="323">
        <f t="shared" si="660"/>
        <v>1</v>
      </c>
      <c r="O2161" s="25">
        <f t="shared" si="661"/>
        <v>43647</v>
      </c>
      <c r="P2161" s="5" t="str">
        <f t="shared" si="662"/>
        <v>10.000,00</v>
      </c>
      <c r="Q2161" s="4" t="e">
        <f t="shared" ca="1" si="663"/>
        <v>#NAME?</v>
      </c>
    </row>
    <row r="2162" spans="1:17" ht="15.75" thickBot="1">
      <c r="A2162" s="1">
        <f>A2161+1</f>
        <v>2161</v>
      </c>
      <c r="C2162" s="8" t="s">
        <v>17</v>
      </c>
      <c r="D2162" s="2">
        <v>43647</v>
      </c>
      <c r="E2162" s="3">
        <v>14300</v>
      </c>
      <c r="F2162" t="s">
        <v>36</v>
      </c>
      <c r="G2162" t="s">
        <v>37</v>
      </c>
      <c r="H2162" t="s">
        <v>38</v>
      </c>
      <c r="I2162" s="6" t="s">
        <v>1014</v>
      </c>
      <c r="J2162" s="61" t="s">
        <v>22</v>
      </c>
      <c r="L2162" s="5" t="str">
        <f t="shared" si="658"/>
        <v>02161</v>
      </c>
      <c r="M2162" s="47" t="str">
        <f t="shared" si="659"/>
        <v>01 de julio de 2019</v>
      </c>
      <c r="N2162" s="323">
        <f t="shared" si="660"/>
        <v>1</v>
      </c>
      <c r="O2162" s="25">
        <f t="shared" si="661"/>
        <v>43647</v>
      </c>
      <c r="P2162" s="5" t="str">
        <f t="shared" si="662"/>
        <v>14.300,00</v>
      </c>
      <c r="Q2162" s="4" t="e">
        <f t="shared" ca="1" si="663"/>
        <v>#NAME?</v>
      </c>
    </row>
    <row r="2163" spans="1:17" ht="15.75" thickBot="1">
      <c r="A2163" s="1">
        <f t="shared" ref="A2163:A2171" si="664">A2162+1</f>
        <v>2162</v>
      </c>
      <c r="C2163" s="85" t="s">
        <v>17</v>
      </c>
      <c r="D2163" s="2">
        <v>43648</v>
      </c>
      <c r="E2163" s="3">
        <v>8000</v>
      </c>
      <c r="F2163" t="s">
        <v>319</v>
      </c>
      <c r="G2163" s="18" t="s">
        <v>58</v>
      </c>
      <c r="H2163" t="s">
        <v>320</v>
      </c>
      <c r="I2163" s="6" t="s">
        <v>986</v>
      </c>
      <c r="J2163" s="61" t="s">
        <v>22</v>
      </c>
      <c r="L2163" s="5" t="str">
        <f t="shared" si="658"/>
        <v>02162</v>
      </c>
      <c r="M2163" s="47" t="str">
        <f t="shared" si="659"/>
        <v>02 de julio de 2019</v>
      </c>
      <c r="N2163" s="323">
        <f t="shared" si="660"/>
        <v>2</v>
      </c>
      <c r="O2163" s="25">
        <f t="shared" si="661"/>
        <v>43647</v>
      </c>
      <c r="P2163" s="5" t="str">
        <f t="shared" si="662"/>
        <v>8.000,00</v>
      </c>
      <c r="Q2163" s="4" t="e">
        <f t="shared" ca="1" si="663"/>
        <v>#NAME?</v>
      </c>
    </row>
    <row r="2164" spans="1:17">
      <c r="A2164" s="1">
        <f t="shared" si="664"/>
        <v>2163</v>
      </c>
      <c r="C2164" s="8" t="s">
        <v>17</v>
      </c>
      <c r="D2164" s="2">
        <v>43648</v>
      </c>
      <c r="E2164" s="3">
        <v>10000</v>
      </c>
      <c r="F2164" t="s">
        <v>337</v>
      </c>
      <c r="G2164" t="s">
        <v>338</v>
      </c>
      <c r="H2164" t="s">
        <v>339</v>
      </c>
      <c r="I2164" s="6" t="s">
        <v>1007</v>
      </c>
      <c r="J2164" s="61" t="s">
        <v>22</v>
      </c>
      <c r="L2164" s="5" t="str">
        <f t="shared" si="658"/>
        <v>02163</v>
      </c>
      <c r="M2164" s="47" t="str">
        <f t="shared" si="659"/>
        <v>02 de julio de 2019</v>
      </c>
      <c r="N2164" s="323">
        <f t="shared" si="660"/>
        <v>2</v>
      </c>
      <c r="O2164" s="25">
        <f t="shared" si="661"/>
        <v>43647</v>
      </c>
      <c r="P2164" s="5" t="str">
        <f t="shared" si="662"/>
        <v>10.000,00</v>
      </c>
      <c r="Q2164" s="4" t="e">
        <f t="shared" ca="1" si="663"/>
        <v>#NAME?</v>
      </c>
    </row>
    <row r="2165" spans="1:17">
      <c r="A2165" s="1">
        <f t="shared" si="664"/>
        <v>2164</v>
      </c>
      <c r="C2165" s="8" t="s">
        <v>17</v>
      </c>
      <c r="D2165" s="2">
        <v>43648</v>
      </c>
      <c r="E2165" s="3">
        <v>10000</v>
      </c>
      <c r="F2165" t="s">
        <v>53</v>
      </c>
      <c r="G2165" t="s">
        <v>677</v>
      </c>
      <c r="H2165" t="s">
        <v>55</v>
      </c>
      <c r="I2165" s="6" t="s">
        <v>1007</v>
      </c>
      <c r="J2165" s="61" t="s">
        <v>22</v>
      </c>
      <c r="L2165" s="5" t="str">
        <f t="shared" si="658"/>
        <v>02164</v>
      </c>
      <c r="M2165" s="47" t="str">
        <f t="shared" si="659"/>
        <v>02 de julio de 2019</v>
      </c>
      <c r="N2165" s="323">
        <f t="shared" si="660"/>
        <v>2</v>
      </c>
      <c r="O2165" s="25">
        <f t="shared" si="661"/>
        <v>43647</v>
      </c>
      <c r="P2165" s="5" t="str">
        <f t="shared" si="662"/>
        <v>10.000,00</v>
      </c>
      <c r="Q2165" s="4" t="e">
        <f t="shared" ca="1" si="663"/>
        <v>#NAME?</v>
      </c>
    </row>
    <row r="2166" spans="1:17">
      <c r="A2166" s="1">
        <f t="shared" si="664"/>
        <v>2165</v>
      </c>
      <c r="C2166" s="8" t="s">
        <v>17</v>
      </c>
      <c r="D2166" s="2">
        <v>43648</v>
      </c>
      <c r="E2166" s="3">
        <v>10000</v>
      </c>
      <c r="F2166" t="s">
        <v>407</v>
      </c>
      <c r="G2166" t="s">
        <v>408</v>
      </c>
      <c r="H2166" t="s">
        <v>409</v>
      </c>
      <c r="I2166" s="6" t="s">
        <v>1007</v>
      </c>
      <c r="J2166" s="61" t="s">
        <v>22</v>
      </c>
      <c r="L2166" s="5" t="str">
        <f t="shared" si="658"/>
        <v>02165</v>
      </c>
      <c r="M2166" s="47" t="str">
        <f t="shared" si="659"/>
        <v>02 de julio de 2019</v>
      </c>
      <c r="N2166" s="323">
        <f t="shared" si="660"/>
        <v>2</v>
      </c>
      <c r="O2166" s="25">
        <f t="shared" si="661"/>
        <v>43647</v>
      </c>
      <c r="P2166" s="5" t="str">
        <f t="shared" si="662"/>
        <v>10.000,00</v>
      </c>
      <c r="Q2166" s="4" t="e">
        <f ca="1">CONVERTIRNUM(E2166)</f>
        <v>#NAME?</v>
      </c>
    </row>
    <row r="2167" spans="1:17">
      <c r="A2167" s="1">
        <f t="shared" si="664"/>
        <v>2166</v>
      </c>
      <c r="C2167" s="8" t="s">
        <v>17</v>
      </c>
      <c r="D2167" s="2">
        <v>43649</v>
      </c>
      <c r="E2167" s="3">
        <v>10000</v>
      </c>
      <c r="F2167" t="s">
        <v>1015</v>
      </c>
      <c r="G2167" t="s">
        <v>1016</v>
      </c>
      <c r="H2167" t="s">
        <v>59</v>
      </c>
      <c r="I2167" s="6" t="s">
        <v>1007</v>
      </c>
      <c r="J2167" s="61" t="s">
        <v>22</v>
      </c>
      <c r="L2167" s="5" t="str">
        <f t="shared" ref="L2167:L2168" si="665">IF(ISBLANK(A2167),"",TEXT(A2167,"00000"))</f>
        <v>02166</v>
      </c>
      <c r="M2167" s="47" t="str">
        <f t="shared" ref="M2167:M2168" si="666">IF(ISBLANK(D2167),"",TEXT(D2167,"dd")&amp;" de "&amp;TEXT(D2167,"mmmm")&amp;" de "&amp;TEXT(YEAR(D2167),"0"))</f>
        <v>03 de julio de 2019</v>
      </c>
      <c r="N2167" s="323">
        <f t="shared" ref="N2167:N2168" si="667">DAY(D2167)</f>
        <v>3</v>
      </c>
      <c r="O2167" s="25">
        <f t="shared" ref="O2167:O2168" si="668">DATE(YEAR(D2167),MONTH(D2167),1)</f>
        <v>43647</v>
      </c>
      <c r="P2167" s="5" t="str">
        <f t="shared" ref="P2167:P2168" si="669">TEXT(E2167,"#.##0,00")</f>
        <v>10.000,00</v>
      </c>
      <c r="Q2167" s="4" t="e">
        <f ca="1">CONVERTIRNUM(E2167)</f>
        <v>#NAME?</v>
      </c>
    </row>
    <row r="2168" spans="1:17" ht="15.75" thickBot="1">
      <c r="A2168" s="1">
        <f t="shared" si="664"/>
        <v>2167</v>
      </c>
      <c r="C2168" s="8" t="s">
        <v>17</v>
      </c>
      <c r="D2168" s="2">
        <v>43650</v>
      </c>
      <c r="E2168" s="3">
        <v>8000</v>
      </c>
      <c r="F2168" t="s">
        <v>612</v>
      </c>
      <c r="G2168" t="s">
        <v>613</v>
      </c>
      <c r="H2168" t="s">
        <v>614</v>
      </c>
      <c r="I2168" s="6" t="s">
        <v>986</v>
      </c>
      <c r="J2168" s="61" t="s">
        <v>22</v>
      </c>
      <c r="L2168" s="5" t="str">
        <f t="shared" si="665"/>
        <v>02167</v>
      </c>
      <c r="M2168" s="47" t="str">
        <f t="shared" si="666"/>
        <v>04 de julio de 2019</v>
      </c>
      <c r="N2168" s="323">
        <f t="shared" si="667"/>
        <v>4</v>
      </c>
      <c r="O2168" s="25">
        <f t="shared" si="668"/>
        <v>43647</v>
      </c>
      <c r="P2168" s="5" t="str">
        <f t="shared" si="669"/>
        <v>8.000,00</v>
      </c>
      <c r="Q2168" s="4" t="e">
        <f t="shared" ref="Q2168" ca="1" si="670">CONVERTIRNUM(E2168)</f>
        <v>#NAME?</v>
      </c>
    </row>
    <row r="2169" spans="1:17" ht="15.75" thickBot="1">
      <c r="A2169" s="1">
        <f t="shared" si="664"/>
        <v>2168</v>
      </c>
      <c r="C2169" s="8" t="s">
        <v>17</v>
      </c>
      <c r="D2169" s="2">
        <v>43650</v>
      </c>
      <c r="E2169" s="3">
        <v>8000</v>
      </c>
      <c r="F2169" t="s">
        <v>1017</v>
      </c>
      <c r="G2169" s="475" t="s">
        <v>1018</v>
      </c>
      <c r="H2169" t="s">
        <v>140</v>
      </c>
      <c r="I2169" s="6" t="s">
        <v>986</v>
      </c>
      <c r="J2169" s="61" t="s">
        <v>22</v>
      </c>
      <c r="L2169" s="5" t="str">
        <f t="shared" ref="L2169:L2188" si="671">IF(ISBLANK(A2169),"",TEXT(A2169,"00000"))</f>
        <v>02168</v>
      </c>
      <c r="M2169" s="47" t="str">
        <f t="shared" ref="M2169:M2188" si="672">IF(ISBLANK(D2169),"",TEXT(D2169,"dd")&amp;" de "&amp;TEXT(D2169,"mmmm")&amp;" de "&amp;TEXT(YEAR(D2169),"0"))</f>
        <v>04 de julio de 2019</v>
      </c>
      <c r="N2169" s="323">
        <f t="shared" ref="N2169:N2188" si="673">DAY(D2169)</f>
        <v>4</v>
      </c>
      <c r="O2169" s="25">
        <f t="shared" ref="O2169:O2188" si="674">DATE(YEAR(D2169),MONTH(D2169),1)</f>
        <v>43647</v>
      </c>
      <c r="P2169" s="5" t="str">
        <f t="shared" ref="P2169:P2188" si="675">TEXT(E2169,"#.##0,00")</f>
        <v>8.000,00</v>
      </c>
      <c r="Q2169" s="4" t="e">
        <f t="shared" ref="Q2169:Q2188" ca="1" si="676">CONVERTIRNUM(E2169)</f>
        <v>#NAME?</v>
      </c>
    </row>
    <row r="2170" spans="1:17">
      <c r="A2170" s="1">
        <f t="shared" si="664"/>
        <v>2169</v>
      </c>
      <c r="C2170" s="8" t="s">
        <v>17</v>
      </c>
      <c r="D2170" s="2">
        <v>43650</v>
      </c>
      <c r="E2170" s="3">
        <v>3000</v>
      </c>
      <c r="F2170" t="s">
        <v>433</v>
      </c>
      <c r="G2170" t="s">
        <v>434</v>
      </c>
      <c r="H2170" t="s">
        <v>435</v>
      </c>
      <c r="I2170" s="6" t="s">
        <v>991</v>
      </c>
      <c r="J2170" s="61" t="s">
        <v>22</v>
      </c>
      <c r="L2170" s="5" t="str">
        <f t="shared" si="671"/>
        <v>02169</v>
      </c>
      <c r="M2170" s="47" t="str">
        <f t="shared" si="672"/>
        <v>04 de julio de 2019</v>
      </c>
      <c r="N2170" s="323">
        <f t="shared" si="673"/>
        <v>4</v>
      </c>
      <c r="O2170" s="25">
        <f t="shared" si="674"/>
        <v>43647</v>
      </c>
      <c r="P2170" s="5" t="str">
        <f t="shared" si="675"/>
        <v>3.000,00</v>
      </c>
      <c r="Q2170" s="4" t="e">
        <f t="shared" ca="1" si="676"/>
        <v>#NAME?</v>
      </c>
    </row>
    <row r="2171" spans="1:17">
      <c r="A2171" s="1">
        <f t="shared" si="664"/>
        <v>2170</v>
      </c>
      <c r="C2171" s="8" t="s">
        <v>17</v>
      </c>
      <c r="D2171" s="2">
        <v>43653</v>
      </c>
      <c r="E2171" s="3">
        <v>10000</v>
      </c>
      <c r="F2171" t="s">
        <v>24</v>
      </c>
      <c r="G2171" t="s">
        <v>25</v>
      </c>
      <c r="H2171" t="s">
        <v>26</v>
      </c>
      <c r="I2171" s="6" t="s">
        <v>1007</v>
      </c>
      <c r="J2171" s="61" t="s">
        <v>22</v>
      </c>
      <c r="L2171" s="5" t="str">
        <f t="shared" si="671"/>
        <v>02170</v>
      </c>
      <c r="M2171" s="47" t="str">
        <f t="shared" si="672"/>
        <v>07 de julio de 2019</v>
      </c>
      <c r="N2171" s="323">
        <f t="shared" si="673"/>
        <v>7</v>
      </c>
      <c r="O2171" s="25">
        <f t="shared" si="674"/>
        <v>43647</v>
      </c>
      <c r="P2171" s="5" t="str">
        <f t="shared" si="675"/>
        <v>10.000,00</v>
      </c>
      <c r="Q2171" s="4" t="e">
        <f t="shared" ca="1" si="676"/>
        <v>#NAME?</v>
      </c>
    </row>
    <row r="2172" spans="1:17">
      <c r="A2172" s="1">
        <f>A2171+1</f>
        <v>2171</v>
      </c>
      <c r="C2172" s="8" t="s">
        <v>17</v>
      </c>
      <c r="D2172" s="2">
        <v>43653</v>
      </c>
      <c r="E2172" s="3">
        <v>10000</v>
      </c>
      <c r="F2172" t="s">
        <v>70</v>
      </c>
      <c r="G2172" t="s">
        <v>71</v>
      </c>
      <c r="H2172" t="s">
        <v>72</v>
      </c>
      <c r="I2172" s="6" t="s">
        <v>1007</v>
      </c>
      <c r="J2172" s="61" t="s">
        <v>22</v>
      </c>
      <c r="L2172" s="5" t="str">
        <f t="shared" si="671"/>
        <v>02171</v>
      </c>
      <c r="M2172" s="47" t="str">
        <f t="shared" si="672"/>
        <v>07 de julio de 2019</v>
      </c>
      <c r="N2172" s="323">
        <f t="shared" si="673"/>
        <v>7</v>
      </c>
      <c r="O2172" s="25">
        <f t="shared" si="674"/>
        <v>43647</v>
      </c>
      <c r="P2172" s="5" t="str">
        <f t="shared" si="675"/>
        <v>10.000,00</v>
      </c>
      <c r="Q2172" s="4" t="e">
        <f t="shared" ca="1" si="676"/>
        <v>#NAME?</v>
      </c>
    </row>
    <row r="2173" spans="1:17">
      <c r="A2173" s="1">
        <f t="shared" ref="A2173:A2237" si="677">A2172+1</f>
        <v>2172</v>
      </c>
      <c r="C2173" s="8" t="s">
        <v>17</v>
      </c>
      <c r="D2173" s="2">
        <v>43653</v>
      </c>
      <c r="E2173" s="3">
        <v>10000</v>
      </c>
      <c r="F2173" t="s">
        <v>454</v>
      </c>
      <c r="G2173" t="s">
        <v>761</v>
      </c>
      <c r="H2173" t="s">
        <v>455</v>
      </c>
      <c r="I2173" s="6" t="s">
        <v>1007</v>
      </c>
      <c r="J2173" s="61" t="s">
        <v>22</v>
      </c>
      <c r="L2173" s="5" t="str">
        <f t="shared" si="671"/>
        <v>02172</v>
      </c>
      <c r="M2173" s="47" t="str">
        <f t="shared" si="672"/>
        <v>07 de julio de 2019</v>
      </c>
      <c r="N2173" s="323">
        <f t="shared" si="673"/>
        <v>7</v>
      </c>
      <c r="O2173" s="25">
        <f t="shared" si="674"/>
        <v>43647</v>
      </c>
      <c r="P2173" s="5" t="str">
        <f t="shared" si="675"/>
        <v>10.000,00</v>
      </c>
      <c r="Q2173" s="4" t="e">
        <f t="shared" ca="1" si="676"/>
        <v>#NAME?</v>
      </c>
    </row>
    <row r="2174" spans="1:17">
      <c r="A2174" s="1">
        <f t="shared" si="677"/>
        <v>2173</v>
      </c>
      <c r="C2174" s="8" t="s">
        <v>17</v>
      </c>
      <c r="D2174" s="2">
        <v>43653</v>
      </c>
      <c r="E2174" s="3">
        <v>8000</v>
      </c>
      <c r="F2174" t="s">
        <v>287</v>
      </c>
      <c r="G2174" t="s">
        <v>288</v>
      </c>
      <c r="H2174" t="s">
        <v>289</v>
      </c>
      <c r="I2174" s="6" t="s">
        <v>986</v>
      </c>
      <c r="J2174" s="61" t="s">
        <v>22</v>
      </c>
      <c r="L2174" s="5" t="str">
        <f t="shared" si="671"/>
        <v>02173</v>
      </c>
      <c r="M2174" s="47" t="str">
        <f t="shared" si="672"/>
        <v>07 de julio de 2019</v>
      </c>
      <c r="N2174" s="323">
        <f t="shared" si="673"/>
        <v>7</v>
      </c>
      <c r="O2174" s="25">
        <f t="shared" si="674"/>
        <v>43647</v>
      </c>
      <c r="P2174" s="5" t="str">
        <f t="shared" si="675"/>
        <v>8.000,00</v>
      </c>
      <c r="Q2174" s="4" t="e">
        <f t="shared" ca="1" si="676"/>
        <v>#NAME?</v>
      </c>
    </row>
    <row r="2175" spans="1:17">
      <c r="A2175" s="1">
        <f t="shared" si="677"/>
        <v>2174</v>
      </c>
      <c r="C2175" s="8" t="s">
        <v>17</v>
      </c>
      <c r="D2175" s="2">
        <v>43653</v>
      </c>
      <c r="E2175" s="3">
        <v>10000</v>
      </c>
      <c r="F2175" t="s">
        <v>947</v>
      </c>
      <c r="G2175" t="s">
        <v>948</v>
      </c>
      <c r="H2175" t="s">
        <v>949</v>
      </c>
      <c r="I2175" s="6" t="s">
        <v>1007</v>
      </c>
      <c r="J2175" s="61" t="s">
        <v>22</v>
      </c>
      <c r="L2175" s="5" t="str">
        <f t="shared" si="671"/>
        <v>02174</v>
      </c>
      <c r="M2175" s="47" t="str">
        <f t="shared" si="672"/>
        <v>07 de julio de 2019</v>
      </c>
      <c r="N2175" s="323">
        <f t="shared" si="673"/>
        <v>7</v>
      </c>
      <c r="O2175" s="25">
        <f t="shared" si="674"/>
        <v>43647</v>
      </c>
      <c r="P2175" s="5" t="str">
        <f t="shared" si="675"/>
        <v>10.000,00</v>
      </c>
      <c r="Q2175" s="4" t="e">
        <f t="shared" ca="1" si="676"/>
        <v>#NAME?</v>
      </c>
    </row>
    <row r="2176" spans="1:17">
      <c r="A2176" s="1">
        <f t="shared" si="677"/>
        <v>2175</v>
      </c>
      <c r="C2176" s="8" t="s">
        <v>17</v>
      </c>
      <c r="D2176" s="2">
        <v>43654</v>
      </c>
      <c r="E2176" s="3">
        <v>10000</v>
      </c>
      <c r="F2176" t="s">
        <v>594</v>
      </c>
      <c r="G2176" t="s">
        <v>595</v>
      </c>
      <c r="H2176" t="s">
        <v>596</v>
      </c>
      <c r="I2176" s="161" t="s">
        <v>1007</v>
      </c>
      <c r="J2176" s="61" t="s">
        <v>22</v>
      </c>
      <c r="L2176" s="5" t="str">
        <f t="shared" si="671"/>
        <v>02175</v>
      </c>
      <c r="M2176" s="47" t="str">
        <f t="shared" si="672"/>
        <v>08 de julio de 2019</v>
      </c>
      <c r="N2176" s="323">
        <f t="shared" si="673"/>
        <v>8</v>
      </c>
      <c r="O2176" s="25">
        <f t="shared" si="674"/>
        <v>43647</v>
      </c>
      <c r="P2176" s="5" t="str">
        <f t="shared" si="675"/>
        <v>10.000,00</v>
      </c>
      <c r="Q2176" s="4" t="e">
        <f t="shared" ca="1" si="676"/>
        <v>#NAME?</v>
      </c>
    </row>
    <row r="2177" spans="1:17">
      <c r="A2177" s="1">
        <f t="shared" si="677"/>
        <v>2176</v>
      </c>
      <c r="C2177" s="8" t="s">
        <v>17</v>
      </c>
      <c r="D2177" s="2">
        <v>43654</v>
      </c>
      <c r="E2177" s="3">
        <v>10000</v>
      </c>
      <c r="F2177" t="s">
        <v>334</v>
      </c>
      <c r="G2177" t="s">
        <v>85</v>
      </c>
      <c r="H2177" t="s">
        <v>335</v>
      </c>
      <c r="I2177" s="161" t="s">
        <v>1007</v>
      </c>
      <c r="J2177" s="61" t="s">
        <v>22</v>
      </c>
      <c r="L2177" s="5" t="str">
        <f t="shared" si="671"/>
        <v>02176</v>
      </c>
      <c r="M2177" s="47" t="str">
        <f t="shared" si="672"/>
        <v>08 de julio de 2019</v>
      </c>
      <c r="N2177" s="323">
        <f t="shared" si="673"/>
        <v>8</v>
      </c>
      <c r="O2177" s="25">
        <f t="shared" si="674"/>
        <v>43647</v>
      </c>
      <c r="P2177" s="5" t="str">
        <f t="shared" si="675"/>
        <v>10.000,00</v>
      </c>
      <c r="Q2177" s="4" t="e">
        <f t="shared" ca="1" si="676"/>
        <v>#NAME?</v>
      </c>
    </row>
    <row r="2178" spans="1:17">
      <c r="A2178" s="1">
        <f t="shared" si="677"/>
        <v>2177</v>
      </c>
      <c r="C2178" s="8" t="s">
        <v>17</v>
      </c>
      <c r="D2178" s="2">
        <v>43654</v>
      </c>
      <c r="E2178" s="3">
        <v>10000</v>
      </c>
      <c r="F2178" t="s">
        <v>84</v>
      </c>
      <c r="G2178" t="s">
        <v>85</v>
      </c>
      <c r="H2178" t="s">
        <v>86</v>
      </c>
      <c r="I2178" s="161" t="s">
        <v>1007</v>
      </c>
      <c r="J2178" s="61" t="s">
        <v>22</v>
      </c>
      <c r="L2178" s="5" t="str">
        <f t="shared" si="671"/>
        <v>02177</v>
      </c>
      <c r="M2178" s="47" t="str">
        <f t="shared" si="672"/>
        <v>08 de julio de 2019</v>
      </c>
      <c r="N2178" s="323">
        <f t="shared" si="673"/>
        <v>8</v>
      </c>
      <c r="O2178" s="25">
        <f t="shared" si="674"/>
        <v>43647</v>
      </c>
      <c r="P2178" s="5" t="str">
        <f t="shared" si="675"/>
        <v>10.000,00</v>
      </c>
      <c r="Q2178" s="4" t="e">
        <f t="shared" ca="1" si="676"/>
        <v>#NAME?</v>
      </c>
    </row>
    <row r="2179" spans="1:17">
      <c r="A2179" s="1">
        <f t="shared" si="677"/>
        <v>2178</v>
      </c>
      <c r="C2179" s="8" t="s">
        <v>17</v>
      </c>
      <c r="D2179" s="2">
        <v>43655</v>
      </c>
      <c r="E2179" s="3">
        <v>10000</v>
      </c>
      <c r="F2179" t="s">
        <v>118</v>
      </c>
      <c r="G2179" t="s">
        <v>119</v>
      </c>
      <c r="H2179" t="s">
        <v>120</v>
      </c>
      <c r="I2179" s="161" t="s">
        <v>1007</v>
      </c>
      <c r="J2179" s="61" t="s">
        <v>22</v>
      </c>
      <c r="L2179" s="5" t="str">
        <f t="shared" si="671"/>
        <v>02178</v>
      </c>
      <c r="M2179" s="47" t="str">
        <f t="shared" si="672"/>
        <v>09 de julio de 2019</v>
      </c>
      <c r="N2179" s="323">
        <f t="shared" si="673"/>
        <v>9</v>
      </c>
      <c r="O2179" s="25">
        <f t="shared" si="674"/>
        <v>43647</v>
      </c>
      <c r="P2179" s="5" t="str">
        <f t="shared" si="675"/>
        <v>10.000,00</v>
      </c>
      <c r="Q2179" s="4" t="e">
        <f t="shared" ca="1" si="676"/>
        <v>#NAME?</v>
      </c>
    </row>
    <row r="2180" spans="1:17">
      <c r="A2180" s="1">
        <f t="shared" si="677"/>
        <v>2179</v>
      </c>
      <c r="C2180" s="8" t="s">
        <v>17</v>
      </c>
      <c r="D2180" s="2">
        <v>43655</v>
      </c>
      <c r="E2180" s="3">
        <v>6000</v>
      </c>
      <c r="F2180" t="s">
        <v>28</v>
      </c>
      <c r="G2180" t="s">
        <v>716</v>
      </c>
      <c r="H2180" t="s">
        <v>30</v>
      </c>
      <c r="I2180" s="6" t="s">
        <v>1013</v>
      </c>
      <c r="J2180" s="61" t="s">
        <v>22</v>
      </c>
      <c r="L2180" s="5" t="str">
        <f t="shared" si="671"/>
        <v>02179</v>
      </c>
      <c r="M2180" s="47" t="str">
        <f t="shared" si="672"/>
        <v>09 de julio de 2019</v>
      </c>
      <c r="N2180" s="323">
        <f t="shared" si="673"/>
        <v>9</v>
      </c>
      <c r="O2180" s="25">
        <f t="shared" si="674"/>
        <v>43647</v>
      </c>
      <c r="P2180" s="5" t="str">
        <f t="shared" si="675"/>
        <v>6.000,00</v>
      </c>
      <c r="Q2180" s="4" t="e">
        <f t="shared" ca="1" si="676"/>
        <v>#NAME?</v>
      </c>
    </row>
    <row r="2181" spans="1:17">
      <c r="A2181" s="1">
        <f t="shared" si="677"/>
        <v>2180</v>
      </c>
      <c r="C2181" s="8" t="s">
        <v>17</v>
      </c>
      <c r="D2181" s="2">
        <v>43655</v>
      </c>
      <c r="E2181" s="3">
        <v>24000</v>
      </c>
      <c r="F2181" t="s">
        <v>353</v>
      </c>
      <c r="G2181" t="s">
        <v>354</v>
      </c>
      <c r="H2181" t="s">
        <v>355</v>
      </c>
      <c r="I2181" s="6" t="s">
        <v>1019</v>
      </c>
      <c r="J2181" s="61" t="s">
        <v>22</v>
      </c>
      <c r="L2181" s="5" t="str">
        <f t="shared" si="671"/>
        <v>02180</v>
      </c>
      <c r="M2181" s="47" t="str">
        <f t="shared" si="672"/>
        <v>09 de julio de 2019</v>
      </c>
      <c r="N2181" s="323">
        <f t="shared" si="673"/>
        <v>9</v>
      </c>
      <c r="O2181" s="25">
        <f t="shared" si="674"/>
        <v>43647</v>
      </c>
      <c r="P2181" s="5" t="str">
        <f t="shared" si="675"/>
        <v>24.000,00</v>
      </c>
      <c r="Q2181" s="4" t="e">
        <f t="shared" ca="1" si="676"/>
        <v>#NAME?</v>
      </c>
    </row>
    <row r="2182" spans="1:17">
      <c r="A2182" s="1">
        <f t="shared" si="677"/>
        <v>2181</v>
      </c>
      <c r="C2182" s="8" t="s">
        <v>17</v>
      </c>
      <c r="D2182" s="2">
        <v>43655</v>
      </c>
      <c r="E2182" s="3">
        <v>2000</v>
      </c>
      <c r="F2182" t="s">
        <v>353</v>
      </c>
      <c r="G2182" t="s">
        <v>354</v>
      </c>
      <c r="H2182" t="s">
        <v>355</v>
      </c>
      <c r="I2182" s="6" t="s">
        <v>1020</v>
      </c>
      <c r="J2182" s="61" t="s">
        <v>22</v>
      </c>
      <c r="L2182" s="5" t="str">
        <f t="shared" si="671"/>
        <v>02181</v>
      </c>
      <c r="M2182" s="47" t="str">
        <f t="shared" si="672"/>
        <v>09 de julio de 2019</v>
      </c>
      <c r="N2182" s="323">
        <f t="shared" si="673"/>
        <v>9</v>
      </c>
      <c r="O2182" s="25">
        <f t="shared" si="674"/>
        <v>43647</v>
      </c>
      <c r="P2182" s="5" t="str">
        <f t="shared" si="675"/>
        <v>2.000,00</v>
      </c>
      <c r="Q2182" s="4" t="e">
        <f t="shared" ca="1" si="676"/>
        <v>#NAME?</v>
      </c>
    </row>
    <row r="2183" spans="1:17">
      <c r="A2183" s="1">
        <f t="shared" si="677"/>
        <v>2182</v>
      </c>
      <c r="C2183" s="8" t="s">
        <v>17</v>
      </c>
      <c r="D2183" s="2">
        <v>43656</v>
      </c>
      <c r="E2183" s="3">
        <v>10000</v>
      </c>
      <c r="F2183" t="s">
        <v>18</v>
      </c>
      <c r="G2183" t="s">
        <v>19</v>
      </c>
      <c r="H2183" t="s">
        <v>20</v>
      </c>
      <c r="I2183" s="6" t="s">
        <v>1021</v>
      </c>
      <c r="J2183" s="61" t="s">
        <v>22</v>
      </c>
      <c r="L2183" s="5" t="str">
        <f t="shared" si="671"/>
        <v>02182</v>
      </c>
      <c r="M2183" s="47" t="str">
        <f t="shared" si="672"/>
        <v>10 de julio de 2019</v>
      </c>
      <c r="N2183" s="323">
        <f t="shared" si="673"/>
        <v>10</v>
      </c>
      <c r="O2183" s="25">
        <f t="shared" si="674"/>
        <v>43647</v>
      </c>
      <c r="P2183" s="5" t="str">
        <f t="shared" si="675"/>
        <v>10.000,00</v>
      </c>
      <c r="Q2183" s="4" t="e">
        <f t="shared" ca="1" si="676"/>
        <v>#NAME?</v>
      </c>
    </row>
    <row r="2184" spans="1:17">
      <c r="A2184" s="1">
        <f t="shared" si="677"/>
        <v>2183</v>
      </c>
      <c r="C2184" s="8" t="s">
        <v>17</v>
      </c>
      <c r="D2184" s="2">
        <v>43656</v>
      </c>
      <c r="E2184" s="3">
        <v>10000</v>
      </c>
      <c r="F2184" t="s">
        <v>771</v>
      </c>
      <c r="G2184" t="s">
        <v>772</v>
      </c>
      <c r="H2184" t="s">
        <v>773</v>
      </c>
      <c r="I2184" s="6" t="s">
        <v>1022</v>
      </c>
      <c r="J2184" s="61" t="s">
        <v>22</v>
      </c>
      <c r="L2184" s="5" t="str">
        <f t="shared" si="671"/>
        <v>02183</v>
      </c>
      <c r="M2184" s="47" t="str">
        <f t="shared" si="672"/>
        <v>10 de julio de 2019</v>
      </c>
      <c r="N2184" s="323">
        <f t="shared" si="673"/>
        <v>10</v>
      </c>
      <c r="O2184" s="25">
        <f t="shared" si="674"/>
        <v>43647</v>
      </c>
      <c r="P2184" s="5" t="str">
        <f t="shared" si="675"/>
        <v>10.000,00</v>
      </c>
      <c r="Q2184" s="4" t="e">
        <f t="shared" ca="1" si="676"/>
        <v>#NAME?</v>
      </c>
    </row>
    <row r="2185" spans="1:17" ht="16.5" customHeight="1">
      <c r="A2185" s="1">
        <f t="shared" si="677"/>
        <v>2184</v>
      </c>
      <c r="C2185" s="8" t="s">
        <v>17</v>
      </c>
      <c r="D2185" s="2">
        <v>43656</v>
      </c>
      <c r="E2185" s="3">
        <v>10000</v>
      </c>
      <c r="F2185" t="s">
        <v>219</v>
      </c>
      <c r="G2185" t="s">
        <v>220</v>
      </c>
      <c r="H2185" t="s">
        <v>221</v>
      </c>
      <c r="I2185" s="6" t="s">
        <v>1023</v>
      </c>
      <c r="J2185" s="61" t="s">
        <v>22</v>
      </c>
      <c r="L2185" s="5" t="str">
        <f t="shared" si="671"/>
        <v>02184</v>
      </c>
      <c r="M2185" s="47" t="str">
        <f t="shared" si="672"/>
        <v>10 de julio de 2019</v>
      </c>
      <c r="N2185" s="323">
        <f t="shared" si="673"/>
        <v>10</v>
      </c>
      <c r="O2185" s="25">
        <f t="shared" si="674"/>
        <v>43647</v>
      </c>
      <c r="P2185" s="5" t="str">
        <f t="shared" si="675"/>
        <v>10.000,00</v>
      </c>
      <c r="Q2185" s="4" t="e">
        <f t="shared" ca="1" si="676"/>
        <v>#NAME?</v>
      </c>
    </row>
    <row r="2186" spans="1:17">
      <c r="A2186" s="1">
        <f t="shared" si="677"/>
        <v>2185</v>
      </c>
      <c r="C2186" s="8" t="s">
        <v>17</v>
      </c>
      <c r="D2186" s="2">
        <v>43655</v>
      </c>
      <c r="E2186" s="3">
        <v>10000</v>
      </c>
      <c r="F2186" t="s">
        <v>144</v>
      </c>
      <c r="G2186" t="s">
        <v>661</v>
      </c>
      <c r="H2186" t="s">
        <v>146</v>
      </c>
      <c r="I2186" s="161" t="s">
        <v>1007</v>
      </c>
      <c r="J2186" s="61" t="s">
        <v>22</v>
      </c>
      <c r="L2186" s="5" t="str">
        <f t="shared" si="671"/>
        <v>02185</v>
      </c>
      <c r="M2186" s="47" t="str">
        <f t="shared" si="672"/>
        <v>09 de julio de 2019</v>
      </c>
      <c r="N2186" s="323">
        <f t="shared" si="673"/>
        <v>9</v>
      </c>
      <c r="O2186" s="25">
        <f t="shared" si="674"/>
        <v>43647</v>
      </c>
      <c r="P2186" s="5" t="str">
        <f t="shared" si="675"/>
        <v>10.000,00</v>
      </c>
      <c r="Q2186" s="4" t="e">
        <f t="shared" ca="1" si="676"/>
        <v>#NAME?</v>
      </c>
    </row>
    <row r="2187" spans="1:17" ht="15.75" thickBot="1">
      <c r="A2187" s="1">
        <f t="shared" si="677"/>
        <v>2186</v>
      </c>
      <c r="C2187" s="8" t="s">
        <v>17</v>
      </c>
      <c r="D2187" s="2">
        <v>43656</v>
      </c>
      <c r="E2187" s="3">
        <v>10000</v>
      </c>
      <c r="F2187" t="s">
        <v>134</v>
      </c>
      <c r="G2187" t="s">
        <v>135</v>
      </c>
      <c r="H2187" t="s">
        <v>136</v>
      </c>
      <c r="I2187" s="161" t="s">
        <v>1007</v>
      </c>
      <c r="J2187" s="61" t="s">
        <v>22</v>
      </c>
      <c r="L2187" s="5" t="str">
        <f t="shared" si="671"/>
        <v>02186</v>
      </c>
      <c r="M2187" s="47" t="str">
        <f t="shared" si="672"/>
        <v>10 de julio de 2019</v>
      </c>
      <c r="N2187" s="323">
        <f t="shared" si="673"/>
        <v>10</v>
      </c>
      <c r="O2187" s="25">
        <f t="shared" si="674"/>
        <v>43647</v>
      </c>
      <c r="P2187" s="5" t="str">
        <f t="shared" si="675"/>
        <v>10.000,00</v>
      </c>
      <c r="Q2187" s="4" t="e">
        <f t="shared" ca="1" si="676"/>
        <v>#NAME?</v>
      </c>
    </row>
    <row r="2188" spans="1:17" ht="15.75" thickBot="1">
      <c r="A2188" s="1">
        <f t="shared" si="677"/>
        <v>2187</v>
      </c>
      <c r="C2188" s="8" t="s">
        <v>17</v>
      </c>
      <c r="D2188" s="2">
        <v>43657</v>
      </c>
      <c r="E2188" s="3">
        <f>5000+3000</f>
        <v>8000</v>
      </c>
      <c r="F2188" t="s">
        <v>239</v>
      </c>
      <c r="G2188" s="73" t="s">
        <v>240</v>
      </c>
      <c r="H2188" t="s">
        <v>241</v>
      </c>
      <c r="I2188" s="6" t="s">
        <v>1012</v>
      </c>
      <c r="J2188" s="61" t="s">
        <v>22</v>
      </c>
      <c r="L2188" s="5" t="str">
        <f t="shared" si="671"/>
        <v>02187</v>
      </c>
      <c r="M2188" s="47" t="str">
        <f t="shared" si="672"/>
        <v>11 de julio de 2019</v>
      </c>
      <c r="N2188" s="323">
        <f t="shared" si="673"/>
        <v>11</v>
      </c>
      <c r="O2188" s="25">
        <f t="shared" si="674"/>
        <v>43647</v>
      </c>
      <c r="P2188" s="5" t="str">
        <f t="shared" si="675"/>
        <v>8.000,00</v>
      </c>
      <c r="Q2188" s="4" t="e">
        <f t="shared" ca="1" si="676"/>
        <v>#NAME?</v>
      </c>
    </row>
    <row r="2189" spans="1:17" ht="15.75" thickBot="1">
      <c r="A2189" s="1">
        <f t="shared" si="677"/>
        <v>2188</v>
      </c>
      <c r="C2189" s="8" t="s">
        <v>17</v>
      </c>
      <c r="D2189" s="2">
        <v>43657</v>
      </c>
      <c r="E2189" s="3">
        <v>2000</v>
      </c>
      <c r="F2189" t="s">
        <v>239</v>
      </c>
      <c r="G2189" s="73" t="s">
        <v>240</v>
      </c>
      <c r="H2189" t="s">
        <v>241</v>
      </c>
      <c r="I2189" s="6" t="s">
        <v>1020</v>
      </c>
      <c r="J2189" s="61" t="s">
        <v>22</v>
      </c>
      <c r="L2189" s="5" t="str">
        <f t="shared" ref="L2189:L2202" si="678">IF(ISBLANK(A2189),"",TEXT(A2189,"00000"))</f>
        <v>02188</v>
      </c>
      <c r="M2189" s="47" t="str">
        <f t="shared" ref="M2189:M2202" si="679">IF(ISBLANK(D2189),"",TEXT(D2189,"dd")&amp;" de "&amp;TEXT(D2189,"mmmm")&amp;" de "&amp;TEXT(YEAR(D2189),"0"))</f>
        <v>11 de julio de 2019</v>
      </c>
      <c r="N2189" s="323">
        <f t="shared" ref="N2189:N2202" si="680">DAY(D2189)</f>
        <v>11</v>
      </c>
      <c r="O2189" s="25">
        <f t="shared" ref="O2189:O2202" si="681">DATE(YEAR(D2189),MONTH(D2189),1)</f>
        <v>43647</v>
      </c>
      <c r="P2189" s="5" t="str">
        <f t="shared" ref="P2189" si="682">TEXT(E2189,"#.##0,00")</f>
        <v>2.000,00</v>
      </c>
      <c r="Q2189" s="4" t="e">
        <f t="shared" ref="Q2189" ca="1" si="683">CONVERTIRNUM(E2189)</f>
        <v>#NAME?</v>
      </c>
    </row>
    <row r="2190" spans="1:17">
      <c r="A2190" s="1">
        <f t="shared" si="677"/>
        <v>2189</v>
      </c>
      <c r="C2190" s="8" t="s">
        <v>17</v>
      </c>
      <c r="D2190" s="2">
        <v>43657</v>
      </c>
      <c r="E2190" s="3">
        <v>18000</v>
      </c>
      <c r="F2190" t="s">
        <v>162</v>
      </c>
      <c r="G2190" t="s">
        <v>163</v>
      </c>
      <c r="H2190" t="s">
        <v>164</v>
      </c>
      <c r="I2190" s="6" t="s">
        <v>1024</v>
      </c>
      <c r="J2190" s="61" t="s">
        <v>22</v>
      </c>
      <c r="L2190" s="5" t="str">
        <f t="shared" si="678"/>
        <v>02189</v>
      </c>
      <c r="M2190" s="47" t="str">
        <f t="shared" si="679"/>
        <v>11 de julio de 2019</v>
      </c>
      <c r="N2190" s="323">
        <f t="shared" si="680"/>
        <v>11</v>
      </c>
      <c r="O2190" s="25">
        <f t="shared" si="681"/>
        <v>43647</v>
      </c>
      <c r="P2190" s="5" t="str">
        <f>TEXT(E2190,"#.##0,00")</f>
        <v>18.000,00</v>
      </c>
      <c r="Q2190" s="4" t="e">
        <f ca="1">CONVERTIRNUM(E2190)</f>
        <v>#NAME?</v>
      </c>
    </row>
    <row r="2191" spans="1:17">
      <c r="A2191" s="1">
        <f t="shared" si="677"/>
        <v>2190</v>
      </c>
      <c r="C2191" s="8" t="s">
        <v>17</v>
      </c>
      <c r="D2191" s="2">
        <v>43660</v>
      </c>
      <c r="E2191" s="3">
        <v>10000</v>
      </c>
      <c r="F2191" t="s">
        <v>107</v>
      </c>
      <c r="G2191" t="s">
        <v>108</v>
      </c>
      <c r="H2191" t="s">
        <v>109</v>
      </c>
      <c r="I2191" s="6" t="s">
        <v>1007</v>
      </c>
      <c r="J2191" s="61" t="s">
        <v>22</v>
      </c>
      <c r="L2191" s="5" t="str">
        <f t="shared" si="678"/>
        <v>02190</v>
      </c>
      <c r="M2191" s="47" t="str">
        <f t="shared" si="679"/>
        <v>14 de julio de 2019</v>
      </c>
      <c r="N2191" s="323">
        <f t="shared" si="680"/>
        <v>14</v>
      </c>
      <c r="O2191" s="25">
        <f t="shared" si="681"/>
        <v>43647</v>
      </c>
      <c r="P2191" s="5" t="str">
        <f t="shared" ref="P2191:P2202" si="684">TEXT(E2191,"#.##0,00")</f>
        <v>10.000,00</v>
      </c>
      <c r="Q2191" s="4" t="e">
        <f t="shared" ref="Q2191:Q2202" ca="1" si="685">CONVERTIRNUM(E2191)</f>
        <v>#NAME?</v>
      </c>
    </row>
    <row r="2192" spans="1:17">
      <c r="A2192" s="1">
        <f t="shared" si="677"/>
        <v>2191</v>
      </c>
      <c r="C2192" s="8" t="s">
        <v>17</v>
      </c>
      <c r="D2192" s="2">
        <v>43660</v>
      </c>
      <c r="E2192" s="3">
        <v>10000</v>
      </c>
      <c r="F2192" t="s">
        <v>312</v>
      </c>
      <c r="G2192" t="s">
        <v>313</v>
      </c>
      <c r="H2192" t="s">
        <v>314</v>
      </c>
      <c r="I2192" s="6" t="s">
        <v>1007</v>
      </c>
      <c r="J2192" s="61" t="s">
        <v>22</v>
      </c>
      <c r="L2192" s="5" t="str">
        <f t="shared" si="678"/>
        <v>02191</v>
      </c>
      <c r="M2192" s="47" t="str">
        <f t="shared" si="679"/>
        <v>14 de julio de 2019</v>
      </c>
      <c r="N2192" s="323">
        <f t="shared" si="680"/>
        <v>14</v>
      </c>
      <c r="O2192" s="25">
        <f t="shared" si="681"/>
        <v>43647</v>
      </c>
      <c r="P2192" s="5" t="str">
        <f t="shared" si="684"/>
        <v>10.000,00</v>
      </c>
      <c r="Q2192" s="4" t="e">
        <f t="shared" ca="1" si="685"/>
        <v>#NAME?</v>
      </c>
    </row>
    <row r="2193" spans="1:17">
      <c r="A2193" s="1">
        <f t="shared" si="677"/>
        <v>2192</v>
      </c>
      <c r="C2193" s="8" t="s">
        <v>17</v>
      </c>
      <c r="D2193" s="2">
        <v>43661</v>
      </c>
      <c r="E2193" s="3">
        <v>10000</v>
      </c>
      <c r="F2193" t="s">
        <v>103</v>
      </c>
      <c r="G2193" t="s">
        <v>104</v>
      </c>
      <c r="H2193" t="s">
        <v>105</v>
      </c>
      <c r="I2193" s="6" t="s">
        <v>1007</v>
      </c>
      <c r="J2193" s="61" t="s">
        <v>22</v>
      </c>
      <c r="L2193" s="5" t="str">
        <f t="shared" si="678"/>
        <v>02192</v>
      </c>
      <c r="M2193" s="47" t="str">
        <f t="shared" si="679"/>
        <v>15 de julio de 2019</v>
      </c>
      <c r="N2193" s="323">
        <f t="shared" si="680"/>
        <v>15</v>
      </c>
      <c r="O2193" s="25">
        <f t="shared" si="681"/>
        <v>43647</v>
      </c>
      <c r="P2193" s="5" t="str">
        <f t="shared" si="684"/>
        <v>10.000,00</v>
      </c>
      <c r="Q2193" s="4" t="e">
        <f t="shared" ca="1" si="685"/>
        <v>#NAME?</v>
      </c>
    </row>
    <row r="2194" spans="1:17">
      <c r="A2194" s="1">
        <f t="shared" si="677"/>
        <v>2193</v>
      </c>
      <c r="C2194" s="8" t="s">
        <v>17</v>
      </c>
      <c r="D2194" s="2">
        <v>43661</v>
      </c>
      <c r="E2194" s="3">
        <v>10000</v>
      </c>
      <c r="F2194" t="s">
        <v>122</v>
      </c>
      <c r="G2194" t="s">
        <v>123</v>
      </c>
      <c r="H2194" t="s">
        <v>124</v>
      </c>
      <c r="I2194" s="6" t="s">
        <v>1007</v>
      </c>
      <c r="J2194" s="61" t="s">
        <v>22</v>
      </c>
      <c r="L2194" s="5" t="str">
        <f t="shared" si="678"/>
        <v>02193</v>
      </c>
      <c r="M2194" s="47" t="str">
        <f t="shared" si="679"/>
        <v>15 de julio de 2019</v>
      </c>
      <c r="N2194" s="323">
        <f t="shared" si="680"/>
        <v>15</v>
      </c>
      <c r="O2194" s="25">
        <f t="shared" si="681"/>
        <v>43647</v>
      </c>
      <c r="P2194" s="5" t="str">
        <f t="shared" si="684"/>
        <v>10.000,00</v>
      </c>
      <c r="Q2194" s="4" t="e">
        <f t="shared" ca="1" si="685"/>
        <v>#NAME?</v>
      </c>
    </row>
    <row r="2195" spans="1:17">
      <c r="A2195" s="1">
        <f t="shared" si="677"/>
        <v>2194</v>
      </c>
      <c r="C2195" s="8" t="s">
        <v>17</v>
      </c>
      <c r="D2195" s="2">
        <v>43661</v>
      </c>
      <c r="E2195" s="3">
        <v>8000</v>
      </c>
      <c r="F2195" t="s">
        <v>32</v>
      </c>
      <c r="G2195" t="s">
        <v>33</v>
      </c>
      <c r="H2195" t="s">
        <v>34</v>
      </c>
      <c r="I2195" s="6" t="s">
        <v>986</v>
      </c>
      <c r="J2195" s="61" t="s">
        <v>22</v>
      </c>
      <c r="L2195" s="5" t="str">
        <f t="shared" si="678"/>
        <v>02194</v>
      </c>
      <c r="M2195" s="47" t="str">
        <f t="shared" si="679"/>
        <v>15 de julio de 2019</v>
      </c>
      <c r="N2195" s="323">
        <f t="shared" si="680"/>
        <v>15</v>
      </c>
      <c r="O2195" s="25">
        <f t="shared" si="681"/>
        <v>43647</v>
      </c>
      <c r="P2195" s="5" t="str">
        <f t="shared" si="684"/>
        <v>8.000,00</v>
      </c>
      <c r="Q2195" s="4" t="e">
        <f t="shared" ca="1" si="685"/>
        <v>#NAME?</v>
      </c>
    </row>
    <row r="2196" spans="1:17">
      <c r="A2196" s="1">
        <f t="shared" si="677"/>
        <v>2195</v>
      </c>
      <c r="C2196" s="8" t="s">
        <v>17</v>
      </c>
      <c r="D2196" s="2">
        <v>43663</v>
      </c>
      <c r="E2196" s="3">
        <v>10000</v>
      </c>
      <c r="F2196" t="s">
        <v>185</v>
      </c>
      <c r="G2196" t="s">
        <v>186</v>
      </c>
      <c r="H2196" t="s">
        <v>187</v>
      </c>
      <c r="I2196" s="6" t="s">
        <v>1007</v>
      </c>
      <c r="J2196" s="61" t="s">
        <v>22</v>
      </c>
      <c r="L2196" s="5" t="str">
        <f t="shared" si="678"/>
        <v>02195</v>
      </c>
      <c r="M2196" s="47" t="str">
        <f t="shared" si="679"/>
        <v>17 de julio de 2019</v>
      </c>
      <c r="N2196" s="323">
        <f t="shared" si="680"/>
        <v>17</v>
      </c>
      <c r="O2196" s="25">
        <f t="shared" si="681"/>
        <v>43647</v>
      </c>
      <c r="P2196" s="5" t="str">
        <f t="shared" si="684"/>
        <v>10.000,00</v>
      </c>
      <c r="Q2196" s="4" t="e">
        <f t="shared" ca="1" si="685"/>
        <v>#NAME?</v>
      </c>
    </row>
    <row r="2197" spans="1:17">
      <c r="A2197" s="1">
        <f t="shared" si="677"/>
        <v>2196</v>
      </c>
      <c r="C2197" s="8" t="s">
        <v>17</v>
      </c>
      <c r="D2197" s="2">
        <v>43664</v>
      </c>
      <c r="E2197" s="3">
        <v>10000</v>
      </c>
      <c r="F2197" t="s">
        <v>342</v>
      </c>
      <c r="G2197" t="s">
        <v>343</v>
      </c>
      <c r="H2197" t="s">
        <v>344</v>
      </c>
      <c r="I2197" s="6" t="s">
        <v>1007</v>
      </c>
      <c r="J2197" s="61" t="s">
        <v>22</v>
      </c>
      <c r="L2197" s="5" t="str">
        <f t="shared" si="678"/>
        <v>02196</v>
      </c>
      <c r="M2197" s="47" t="str">
        <f t="shared" si="679"/>
        <v>18 de julio de 2019</v>
      </c>
      <c r="N2197" s="323">
        <f t="shared" si="680"/>
        <v>18</v>
      </c>
      <c r="O2197" s="25">
        <f t="shared" si="681"/>
        <v>43647</v>
      </c>
      <c r="P2197" s="5" t="str">
        <f t="shared" si="684"/>
        <v>10.000,00</v>
      </c>
      <c r="Q2197" s="4" t="e">
        <f t="shared" ca="1" si="685"/>
        <v>#NAME?</v>
      </c>
    </row>
    <row r="2198" spans="1:17">
      <c r="A2198" s="1">
        <f t="shared" si="677"/>
        <v>2197</v>
      </c>
      <c r="C2198" s="8" t="s">
        <v>17</v>
      </c>
      <c r="D2198" s="2">
        <v>43664</v>
      </c>
      <c r="E2198" s="3">
        <v>10000</v>
      </c>
      <c r="F2198" t="s">
        <v>633</v>
      </c>
      <c r="G2198" t="s">
        <v>634</v>
      </c>
      <c r="H2198" t="s">
        <v>635</v>
      </c>
      <c r="I2198" s="6" t="s">
        <v>1007</v>
      </c>
      <c r="J2198" s="61" t="s">
        <v>22</v>
      </c>
      <c r="L2198" s="5" t="str">
        <f t="shared" si="678"/>
        <v>02197</v>
      </c>
      <c r="M2198" s="47" t="str">
        <f t="shared" si="679"/>
        <v>18 de julio de 2019</v>
      </c>
      <c r="N2198" s="323">
        <f t="shared" si="680"/>
        <v>18</v>
      </c>
      <c r="O2198" s="25">
        <f t="shared" si="681"/>
        <v>43647</v>
      </c>
      <c r="P2198" s="5" t="str">
        <f t="shared" si="684"/>
        <v>10.000,00</v>
      </c>
      <c r="Q2198" s="4" t="e">
        <f t="shared" ca="1" si="685"/>
        <v>#NAME?</v>
      </c>
    </row>
    <row r="2199" spans="1:17">
      <c r="A2199" s="1">
        <f t="shared" si="677"/>
        <v>2198</v>
      </c>
      <c r="C2199" s="8" t="s">
        <v>17</v>
      </c>
      <c r="D2199" s="2">
        <v>43664</v>
      </c>
      <c r="E2199" s="3">
        <v>10000</v>
      </c>
      <c r="F2199" t="s">
        <v>181</v>
      </c>
      <c r="G2199" t="s">
        <v>182</v>
      </c>
      <c r="H2199" t="s">
        <v>183</v>
      </c>
      <c r="I2199" s="6" t="s">
        <v>1007</v>
      </c>
      <c r="J2199" s="61" t="s">
        <v>22</v>
      </c>
      <c r="L2199" s="5" t="str">
        <f t="shared" si="678"/>
        <v>02198</v>
      </c>
      <c r="M2199" s="47" t="str">
        <f t="shared" si="679"/>
        <v>18 de julio de 2019</v>
      </c>
      <c r="N2199" s="323">
        <f t="shared" si="680"/>
        <v>18</v>
      </c>
      <c r="O2199" s="25">
        <f t="shared" si="681"/>
        <v>43647</v>
      </c>
      <c r="P2199" s="5" t="str">
        <f t="shared" si="684"/>
        <v>10.000,00</v>
      </c>
      <c r="Q2199" s="4" t="e">
        <f t="shared" ca="1" si="685"/>
        <v>#NAME?</v>
      </c>
    </row>
    <row r="2200" spans="1:17" ht="15.75" thickBot="1">
      <c r="A2200" s="1">
        <f t="shared" si="677"/>
        <v>2199</v>
      </c>
      <c r="C2200" s="8" t="s">
        <v>17</v>
      </c>
      <c r="D2200" s="2">
        <v>43664</v>
      </c>
      <c r="E2200" s="3">
        <v>20000</v>
      </c>
      <c r="F2200" t="s">
        <v>998</v>
      </c>
      <c r="G2200" t="s">
        <v>999</v>
      </c>
      <c r="H2200" t="s">
        <v>1000</v>
      </c>
      <c r="I2200" s="6" t="s">
        <v>1025</v>
      </c>
      <c r="J2200" s="61" t="s">
        <v>22</v>
      </c>
      <c r="L2200" s="5" t="str">
        <f t="shared" si="678"/>
        <v>02199</v>
      </c>
      <c r="M2200" s="47" t="str">
        <f t="shared" si="679"/>
        <v>18 de julio de 2019</v>
      </c>
      <c r="N2200" s="323">
        <f t="shared" si="680"/>
        <v>18</v>
      </c>
      <c r="O2200" s="25">
        <f t="shared" si="681"/>
        <v>43647</v>
      </c>
      <c r="P2200" s="5" t="str">
        <f t="shared" si="684"/>
        <v>20.000,00</v>
      </c>
      <c r="Q2200" s="4" t="e">
        <f t="shared" ca="1" si="685"/>
        <v>#NAME?</v>
      </c>
    </row>
    <row r="2201" spans="1:17" ht="15.75" thickBot="1">
      <c r="A2201" s="1">
        <f t="shared" si="677"/>
        <v>2200</v>
      </c>
      <c r="C2201" s="85" t="s">
        <v>17</v>
      </c>
      <c r="D2201" s="2">
        <v>43666</v>
      </c>
      <c r="E2201" s="3">
        <v>10000</v>
      </c>
      <c r="F2201" t="s">
        <v>40</v>
      </c>
      <c r="G2201" s="18" t="s">
        <v>58</v>
      </c>
      <c r="H2201" t="s">
        <v>42</v>
      </c>
      <c r="I2201" s="6" t="s">
        <v>1007</v>
      </c>
      <c r="J2201" s="61" t="s">
        <v>22</v>
      </c>
      <c r="L2201" s="5" t="str">
        <f t="shared" si="678"/>
        <v>02200</v>
      </c>
      <c r="M2201" s="47" t="str">
        <f t="shared" si="679"/>
        <v>20 de julio de 2019</v>
      </c>
      <c r="N2201" s="323">
        <f t="shared" si="680"/>
        <v>20</v>
      </c>
      <c r="O2201" s="25">
        <f t="shared" si="681"/>
        <v>43647</v>
      </c>
      <c r="P2201" s="5" t="str">
        <f t="shared" si="684"/>
        <v>10.000,00</v>
      </c>
      <c r="Q2201" s="4" t="e">
        <f t="shared" ca="1" si="685"/>
        <v>#NAME?</v>
      </c>
    </row>
    <row r="2202" spans="1:17">
      <c r="A2202" s="1">
        <f t="shared" si="677"/>
        <v>2201</v>
      </c>
      <c r="C2202" s="8" t="s">
        <v>17</v>
      </c>
      <c r="D2202" s="2">
        <v>43667</v>
      </c>
      <c r="E2202" s="3">
        <v>8000</v>
      </c>
      <c r="F2202" t="s">
        <v>296</v>
      </c>
      <c r="G2202" t="s">
        <v>297</v>
      </c>
      <c r="H2202" t="s">
        <v>298</v>
      </c>
      <c r="I2202" s="6" t="s">
        <v>1012</v>
      </c>
      <c r="J2202" s="61" t="s">
        <v>22</v>
      </c>
      <c r="L2202" s="5" t="str">
        <f t="shared" si="678"/>
        <v>02201</v>
      </c>
      <c r="M2202" s="47" t="str">
        <f t="shared" si="679"/>
        <v>21 de julio de 2019</v>
      </c>
      <c r="N2202" s="323">
        <f t="shared" si="680"/>
        <v>21</v>
      </c>
      <c r="O2202" s="25">
        <f t="shared" si="681"/>
        <v>43647</v>
      </c>
      <c r="P2202" s="5" t="str">
        <f t="shared" si="684"/>
        <v>8.000,00</v>
      </c>
      <c r="Q2202" s="4" t="e">
        <f t="shared" ca="1" si="685"/>
        <v>#NAME?</v>
      </c>
    </row>
    <row r="2203" spans="1:17" ht="15.75" thickBot="1">
      <c r="A2203" s="1">
        <f t="shared" si="677"/>
        <v>2202</v>
      </c>
      <c r="C2203" s="8" t="s">
        <v>17</v>
      </c>
      <c r="D2203" s="2">
        <v>43668</v>
      </c>
      <c r="E2203" s="3">
        <v>2000</v>
      </c>
      <c r="F2203" t="s">
        <v>296</v>
      </c>
      <c r="G2203" t="s">
        <v>297</v>
      </c>
      <c r="H2203" t="s">
        <v>298</v>
      </c>
      <c r="I2203" s="6" t="s">
        <v>1020</v>
      </c>
      <c r="J2203" s="61" t="s">
        <v>22</v>
      </c>
      <c r="L2203" s="5" t="str">
        <f t="shared" ref="L2203:L2209" si="686">IF(ISBLANK(A2203),"",TEXT(A2203,"00000"))</f>
        <v>02202</v>
      </c>
      <c r="M2203" s="47" t="str">
        <f t="shared" ref="M2203:M2209" si="687">IF(ISBLANK(D2203),"",TEXT(D2203,"dd")&amp;" de "&amp;TEXT(D2203,"mmmm")&amp;" de "&amp;TEXT(YEAR(D2203),"0"))</f>
        <v>22 de julio de 2019</v>
      </c>
      <c r="N2203" s="323">
        <f t="shared" ref="N2203:N2244" si="688">DAY(D2203)</f>
        <v>22</v>
      </c>
      <c r="O2203" s="25">
        <f t="shared" ref="O2203:O2209" si="689">DATE(YEAR(D2203),MONTH(D2203),1)</f>
        <v>43647</v>
      </c>
      <c r="P2203" s="5" t="str">
        <f t="shared" ref="P2203:P2244" si="690">TEXT(E2203,"#.##0,00")</f>
        <v>2.000,00</v>
      </c>
      <c r="Q2203" s="4" t="e">
        <f t="shared" ref="Q2203:Q2234" ca="1" si="691">CONVERTIRNUM(E2203)</f>
        <v>#NAME?</v>
      </c>
    </row>
    <row r="2204" spans="1:17" ht="15.75" thickBot="1">
      <c r="A2204" s="1">
        <f t="shared" si="677"/>
        <v>2203</v>
      </c>
      <c r="C2204" s="85" t="s">
        <v>17</v>
      </c>
      <c r="D2204" s="2">
        <v>43669</v>
      </c>
      <c r="E2204" s="3">
        <v>10000</v>
      </c>
      <c r="F2204" t="s">
        <v>319</v>
      </c>
      <c r="G2204" s="18" t="s">
        <v>58</v>
      </c>
      <c r="H2204" t="s">
        <v>320</v>
      </c>
      <c r="I2204" s="6" t="s">
        <v>1007</v>
      </c>
      <c r="J2204" s="61" t="s">
        <v>22</v>
      </c>
      <c r="L2204" s="5" t="str">
        <f t="shared" si="686"/>
        <v>02203</v>
      </c>
      <c r="M2204" s="47" t="str">
        <f t="shared" si="687"/>
        <v>23 de julio de 2019</v>
      </c>
      <c r="N2204" s="323">
        <f t="shared" si="688"/>
        <v>23</v>
      </c>
      <c r="O2204" s="25">
        <f t="shared" si="689"/>
        <v>43647</v>
      </c>
      <c r="P2204" s="5" t="str">
        <f t="shared" si="690"/>
        <v>10.000,00</v>
      </c>
      <c r="Q2204" s="4" t="e">
        <f t="shared" ca="1" si="691"/>
        <v>#NAME?</v>
      </c>
    </row>
    <row r="2205" spans="1:17">
      <c r="A2205" s="1">
        <f t="shared" si="677"/>
        <v>2204</v>
      </c>
      <c r="C2205" s="8" t="s">
        <v>17</v>
      </c>
      <c r="D2205" s="2">
        <v>43669</v>
      </c>
      <c r="E2205" s="3">
        <v>10000</v>
      </c>
      <c r="F2205" t="s">
        <v>1004</v>
      </c>
      <c r="G2205" t="s">
        <v>1005</v>
      </c>
      <c r="H2205" t="s">
        <v>539</v>
      </c>
      <c r="I2205" s="6" t="s">
        <v>1007</v>
      </c>
      <c r="J2205" s="61" t="s">
        <v>22</v>
      </c>
      <c r="L2205" s="5" t="str">
        <f t="shared" si="686"/>
        <v>02204</v>
      </c>
      <c r="M2205" s="47" t="str">
        <f t="shared" si="687"/>
        <v>23 de julio de 2019</v>
      </c>
      <c r="N2205" s="323">
        <f t="shared" si="688"/>
        <v>23</v>
      </c>
      <c r="O2205" s="25">
        <f t="shared" si="689"/>
        <v>43647</v>
      </c>
      <c r="P2205" s="5" t="str">
        <f t="shared" si="690"/>
        <v>10.000,00</v>
      </c>
      <c r="Q2205" s="4" t="e">
        <f t="shared" ca="1" si="691"/>
        <v>#NAME?</v>
      </c>
    </row>
    <row r="2206" spans="1:17" ht="15.75" thickBot="1">
      <c r="A2206" s="1">
        <f t="shared" si="677"/>
        <v>2205</v>
      </c>
      <c r="C2206" s="8" t="s">
        <v>17</v>
      </c>
      <c r="D2206" s="2">
        <v>43670</v>
      </c>
      <c r="E2206" s="3">
        <v>10000</v>
      </c>
      <c r="F2206" t="s">
        <v>126</v>
      </c>
      <c r="G2206" t="s">
        <v>127</v>
      </c>
      <c r="H2206" t="s">
        <v>128</v>
      </c>
      <c r="I2206" s="6" t="s">
        <v>1007</v>
      </c>
      <c r="J2206" s="61" t="s">
        <v>22</v>
      </c>
      <c r="L2206" s="5" t="str">
        <f t="shared" si="686"/>
        <v>02205</v>
      </c>
      <c r="M2206" s="47" t="str">
        <f t="shared" si="687"/>
        <v>24 de julio de 2019</v>
      </c>
      <c r="N2206" s="323">
        <f t="shared" si="688"/>
        <v>24</v>
      </c>
      <c r="O2206" s="25">
        <f t="shared" si="689"/>
        <v>43647</v>
      </c>
      <c r="P2206" s="5" t="str">
        <f t="shared" si="690"/>
        <v>10.000,00</v>
      </c>
      <c r="Q2206" s="4" t="e">
        <f t="shared" ca="1" si="691"/>
        <v>#NAME?</v>
      </c>
    </row>
    <row r="2207" spans="1:17" ht="15.75" thickBot="1">
      <c r="A2207" s="1">
        <f t="shared" si="677"/>
        <v>2206</v>
      </c>
      <c r="C2207" s="85" t="s">
        <v>17</v>
      </c>
      <c r="D2207" s="2">
        <v>43670</v>
      </c>
      <c r="E2207" s="3">
        <f>2*14500</f>
        <v>29000</v>
      </c>
      <c r="F2207" s="23" t="s">
        <v>422</v>
      </c>
      <c r="G2207" s="18" t="s">
        <v>58</v>
      </c>
      <c r="H2207" t="s">
        <v>423</v>
      </c>
      <c r="I2207" s="6" t="s">
        <v>1025</v>
      </c>
      <c r="J2207" s="61" t="s">
        <v>22</v>
      </c>
      <c r="L2207" s="5" t="str">
        <f t="shared" si="686"/>
        <v>02206</v>
      </c>
      <c r="M2207" s="47" t="str">
        <f t="shared" si="687"/>
        <v>24 de julio de 2019</v>
      </c>
      <c r="N2207" s="323">
        <f t="shared" si="688"/>
        <v>24</v>
      </c>
      <c r="O2207" s="25">
        <f t="shared" si="689"/>
        <v>43647</v>
      </c>
      <c r="P2207" s="5" t="str">
        <f t="shared" si="690"/>
        <v>29.000,00</v>
      </c>
      <c r="Q2207" s="4" t="e">
        <f t="shared" ca="1" si="691"/>
        <v>#NAME?</v>
      </c>
    </row>
    <row r="2208" spans="1:17" ht="15.75" thickBot="1">
      <c r="A2208" s="1">
        <f t="shared" si="677"/>
        <v>2207</v>
      </c>
      <c r="C2208" s="8" t="s">
        <v>17</v>
      </c>
      <c r="D2208" s="2">
        <v>43671</v>
      </c>
      <c r="E2208" s="3">
        <v>8000</v>
      </c>
      <c r="F2208" t="s">
        <v>594</v>
      </c>
      <c r="G2208" t="s">
        <v>595</v>
      </c>
      <c r="H2208" t="s">
        <v>596</v>
      </c>
      <c r="I2208" s="161" t="s">
        <v>986</v>
      </c>
      <c r="J2208" s="61" t="s">
        <v>22</v>
      </c>
      <c r="L2208" s="5" t="str">
        <f t="shared" si="686"/>
        <v>02207</v>
      </c>
      <c r="M2208" s="47" t="str">
        <f t="shared" si="687"/>
        <v>25 de julio de 2019</v>
      </c>
      <c r="N2208" s="323">
        <f t="shared" si="688"/>
        <v>25</v>
      </c>
      <c r="O2208" s="25">
        <f t="shared" si="689"/>
        <v>43647</v>
      </c>
      <c r="P2208" s="5" t="str">
        <f t="shared" si="690"/>
        <v>8.000,00</v>
      </c>
      <c r="Q2208" s="4" t="e">
        <f t="shared" ca="1" si="691"/>
        <v>#NAME?</v>
      </c>
    </row>
    <row r="2209" spans="1:17" ht="15.75" thickBot="1">
      <c r="A2209" s="1">
        <f t="shared" si="677"/>
        <v>2208</v>
      </c>
      <c r="C2209" s="85" t="s">
        <v>17</v>
      </c>
      <c r="D2209" s="2">
        <v>43671</v>
      </c>
      <c r="E2209" s="3">
        <v>10000</v>
      </c>
      <c r="F2209" t="s">
        <v>259</v>
      </c>
      <c r="G2209" s="18" t="s">
        <v>58</v>
      </c>
      <c r="H2209" t="s">
        <v>261</v>
      </c>
      <c r="I2209" s="6" t="s">
        <v>1007</v>
      </c>
      <c r="J2209" s="61" t="s">
        <v>22</v>
      </c>
      <c r="L2209" s="5" t="str">
        <f t="shared" si="686"/>
        <v>02208</v>
      </c>
      <c r="M2209" s="47" t="str">
        <f t="shared" si="687"/>
        <v>25 de julio de 2019</v>
      </c>
      <c r="N2209" s="323">
        <f t="shared" si="688"/>
        <v>25</v>
      </c>
      <c r="O2209" s="25">
        <f t="shared" si="689"/>
        <v>43647</v>
      </c>
      <c r="P2209" s="5" t="str">
        <f t="shared" si="690"/>
        <v>10.000,00</v>
      </c>
      <c r="Q2209" s="4" t="e">
        <f t="shared" ca="1" si="691"/>
        <v>#NAME?</v>
      </c>
    </row>
    <row r="2210" spans="1:17" ht="15.75" thickBot="1">
      <c r="A2210" s="1">
        <f t="shared" si="677"/>
        <v>2209</v>
      </c>
      <c r="C2210" s="8" t="s">
        <v>17</v>
      </c>
      <c r="D2210" s="2">
        <v>43671</v>
      </c>
      <c r="E2210" s="3">
        <v>10000</v>
      </c>
      <c r="F2210" t="s">
        <v>243</v>
      </c>
      <c r="G2210" t="s">
        <v>244</v>
      </c>
      <c r="H2210" t="s">
        <v>245</v>
      </c>
      <c r="I2210" s="6" t="s">
        <v>1007</v>
      </c>
      <c r="J2210" s="61" t="s">
        <v>22</v>
      </c>
      <c r="L2210" s="5" t="str">
        <f>IF(ISBLANK(A2210),"",TEXT(A2210,"00000"))</f>
        <v>02209</v>
      </c>
      <c r="M2210" s="47" t="str">
        <f>IF(ISBLANK(D2210),"",TEXT(D2210,"dd")&amp;" de "&amp;TEXT(D2210,"mmmm")&amp;" de "&amp;TEXT(YEAR(D2210),"0"))</f>
        <v>25 de julio de 2019</v>
      </c>
      <c r="N2210" s="323">
        <f t="shared" si="688"/>
        <v>25</v>
      </c>
      <c r="O2210" s="25">
        <f>DATE(YEAR(D2210),MONTH(D2210),1)</f>
        <v>43647</v>
      </c>
      <c r="P2210" s="5" t="str">
        <f t="shared" si="690"/>
        <v>10.000,00</v>
      </c>
      <c r="Q2210" s="4" t="e">
        <f t="shared" ca="1" si="691"/>
        <v>#NAME?</v>
      </c>
    </row>
    <row r="2211" spans="1:17" ht="15.75" thickBot="1">
      <c r="A2211" s="1">
        <f t="shared" si="677"/>
        <v>2210</v>
      </c>
      <c r="C2211" s="85" t="s">
        <v>17</v>
      </c>
      <c r="D2211" s="2">
        <v>43671</v>
      </c>
      <c r="E2211" s="162">
        <v>10000</v>
      </c>
      <c r="F2211" t="s">
        <v>492</v>
      </c>
      <c r="G2211" s="18" t="s">
        <v>58</v>
      </c>
      <c r="H2211" t="s">
        <v>493</v>
      </c>
      <c r="I2211" s="6" t="s">
        <v>1007</v>
      </c>
      <c r="J2211" s="61" t="s">
        <v>22</v>
      </c>
      <c r="L2211" s="5" t="str">
        <f t="shared" ref="L2211:L2215" si="692">IF(ISBLANK(A2211),"",TEXT(A2211,"00000"))</f>
        <v>02210</v>
      </c>
      <c r="M2211" s="47" t="str">
        <f t="shared" ref="M2211:M2215" si="693">IF(ISBLANK(D2211),"",TEXT(D2211,"dd")&amp;" de "&amp;TEXT(D2211,"mmmm")&amp;" de "&amp;TEXT(YEAR(D2211),"0"))</f>
        <v>25 de julio de 2019</v>
      </c>
      <c r="N2211" s="323">
        <f t="shared" si="688"/>
        <v>25</v>
      </c>
      <c r="O2211" s="25">
        <f t="shared" ref="O2211:O2215" si="694">DATE(YEAR(D2211),MONTH(D2211),1)</f>
        <v>43647</v>
      </c>
      <c r="P2211" s="5" t="str">
        <f t="shared" si="690"/>
        <v>10.000,00</v>
      </c>
      <c r="Q2211" s="4" t="e">
        <f t="shared" ca="1" si="691"/>
        <v>#NAME?</v>
      </c>
    </row>
    <row r="2212" spans="1:17" ht="15.75" thickBot="1">
      <c r="A2212" s="1">
        <f t="shared" si="677"/>
        <v>2211</v>
      </c>
      <c r="C2212" s="8" t="s">
        <v>17</v>
      </c>
      <c r="D2212" s="2">
        <v>43671</v>
      </c>
      <c r="E2212" s="3">
        <v>20000</v>
      </c>
      <c r="F2212" t="s">
        <v>80</v>
      </c>
      <c r="G2212" t="s">
        <v>81</v>
      </c>
      <c r="H2212" t="s">
        <v>82</v>
      </c>
      <c r="I2212" s="6" t="s">
        <v>1007</v>
      </c>
      <c r="J2212" s="61" t="s">
        <v>22</v>
      </c>
      <c r="L2212" s="5" t="str">
        <f t="shared" si="692"/>
        <v>02211</v>
      </c>
      <c r="M2212" s="47" t="str">
        <f t="shared" si="693"/>
        <v>25 de julio de 2019</v>
      </c>
      <c r="N2212" s="323">
        <f t="shared" si="688"/>
        <v>25</v>
      </c>
      <c r="O2212" s="25">
        <f t="shared" si="694"/>
        <v>43647</v>
      </c>
      <c r="P2212" s="5" t="str">
        <f t="shared" si="690"/>
        <v>20.000,00</v>
      </c>
      <c r="Q2212" s="4" t="e">
        <f t="shared" ca="1" si="691"/>
        <v>#NAME?</v>
      </c>
    </row>
    <row r="2213" spans="1:17" ht="15.75" thickBot="1">
      <c r="A2213" s="1">
        <f t="shared" si="677"/>
        <v>2212</v>
      </c>
      <c r="C2213" s="8" t="s">
        <v>17</v>
      </c>
      <c r="D2213" s="2">
        <v>43671</v>
      </c>
      <c r="E2213" s="3">
        <v>10000</v>
      </c>
      <c r="F2213" t="s">
        <v>252</v>
      </c>
      <c r="G2213" s="475" t="s">
        <v>958</v>
      </c>
      <c r="H2213" t="s">
        <v>254</v>
      </c>
      <c r="I2213" s="6" t="s">
        <v>1026</v>
      </c>
      <c r="J2213" s="61" t="s">
        <v>22</v>
      </c>
      <c r="L2213" s="5" t="str">
        <f t="shared" si="692"/>
        <v>02212</v>
      </c>
      <c r="M2213" s="47" t="str">
        <f t="shared" si="693"/>
        <v>25 de julio de 2019</v>
      </c>
      <c r="N2213" s="323">
        <f t="shared" si="688"/>
        <v>25</v>
      </c>
      <c r="O2213" s="25">
        <f t="shared" si="694"/>
        <v>43647</v>
      </c>
      <c r="P2213" s="5" t="str">
        <f t="shared" si="690"/>
        <v>10.000,00</v>
      </c>
      <c r="Q2213" s="4" t="e">
        <f t="shared" ca="1" si="691"/>
        <v>#NAME?</v>
      </c>
    </row>
    <row r="2214" spans="1:17">
      <c r="A2214" s="1">
        <f t="shared" si="677"/>
        <v>2213</v>
      </c>
      <c r="C2214" s="8" t="s">
        <v>17</v>
      </c>
      <c r="D2214" s="2">
        <v>43649</v>
      </c>
      <c r="E2214" s="3">
        <v>10000</v>
      </c>
      <c r="F2214" t="s">
        <v>713</v>
      </c>
      <c r="G2214" t="s">
        <v>714</v>
      </c>
      <c r="H2214" t="s">
        <v>154</v>
      </c>
      <c r="I2214" s="6" t="s">
        <v>1007</v>
      </c>
      <c r="J2214" s="61" t="s">
        <v>22</v>
      </c>
      <c r="L2214" s="5" t="str">
        <f t="shared" si="692"/>
        <v>02213</v>
      </c>
      <c r="M2214" s="47" t="str">
        <f t="shared" si="693"/>
        <v>03 de julio de 2019</v>
      </c>
      <c r="N2214" s="323">
        <f t="shared" si="688"/>
        <v>3</v>
      </c>
      <c r="O2214" s="25">
        <f t="shared" si="694"/>
        <v>43647</v>
      </c>
      <c r="P2214" s="5" t="str">
        <f t="shared" si="690"/>
        <v>10.000,00</v>
      </c>
      <c r="Q2214" s="4" t="e">
        <f t="shared" ca="1" si="691"/>
        <v>#NAME?</v>
      </c>
    </row>
    <row r="2215" spans="1:17">
      <c r="A2215" s="1">
        <f t="shared" si="677"/>
        <v>2214</v>
      </c>
      <c r="C2215" s="8" t="s">
        <v>17</v>
      </c>
      <c r="D2215" s="2">
        <v>43672</v>
      </c>
      <c r="E2215" s="3">
        <v>10000</v>
      </c>
      <c r="F2215" t="s">
        <v>230</v>
      </c>
      <c r="G2215" t="s">
        <v>231</v>
      </c>
      <c r="H2215" t="s">
        <v>232</v>
      </c>
      <c r="I2215" s="6" t="s">
        <v>1007</v>
      </c>
      <c r="J2215" s="61" t="s">
        <v>22</v>
      </c>
      <c r="L2215" s="5" t="str">
        <f t="shared" si="692"/>
        <v>02214</v>
      </c>
      <c r="M2215" s="47" t="str">
        <f t="shared" si="693"/>
        <v>26 de julio de 2019</v>
      </c>
      <c r="N2215" s="323">
        <f t="shared" si="688"/>
        <v>26</v>
      </c>
      <c r="O2215" s="25">
        <f t="shared" si="694"/>
        <v>43647</v>
      </c>
      <c r="P2215" s="5" t="str">
        <f t="shared" si="690"/>
        <v>10.000,00</v>
      </c>
      <c r="Q2215" s="4" t="e">
        <f t="shared" ca="1" si="691"/>
        <v>#NAME?</v>
      </c>
    </row>
    <row r="2216" spans="1:17">
      <c r="A2216" s="1">
        <f t="shared" si="677"/>
        <v>2215</v>
      </c>
      <c r="C2216" s="8" t="s">
        <v>17</v>
      </c>
      <c r="D2216" s="2">
        <v>43672</v>
      </c>
      <c r="E2216" s="3">
        <v>15000</v>
      </c>
      <c r="F2216" t="s">
        <v>44</v>
      </c>
      <c r="G2216" t="s">
        <v>45</v>
      </c>
      <c r="H2216" t="s">
        <v>46</v>
      </c>
      <c r="I2216" s="6" t="s">
        <v>1007</v>
      </c>
      <c r="J2216" s="61" t="s">
        <v>22</v>
      </c>
      <c r="L2216" s="5" t="str">
        <f>IF(ISBLANK(A2216),"",TEXT(A2216,"00000"))</f>
        <v>02215</v>
      </c>
      <c r="M2216" s="47" t="str">
        <f>IF(ISBLANK(D2216),"",TEXT(D2216,"dd")&amp;" de "&amp;TEXT(D2216,"mmmm")&amp;" de "&amp;TEXT(YEAR(D2216),"0"))</f>
        <v>26 de julio de 2019</v>
      </c>
      <c r="N2216" s="323">
        <f t="shared" si="688"/>
        <v>26</v>
      </c>
      <c r="O2216" s="25">
        <f>DATE(YEAR(D2216),MONTH(D2216),1)</f>
        <v>43647</v>
      </c>
      <c r="P2216" s="5" t="str">
        <f t="shared" si="690"/>
        <v>15.000,00</v>
      </c>
      <c r="Q2216" s="4" t="e">
        <f t="shared" ca="1" si="691"/>
        <v>#NAME?</v>
      </c>
    </row>
    <row r="2217" spans="1:17">
      <c r="A2217" s="1">
        <f t="shared" si="677"/>
        <v>2216</v>
      </c>
      <c r="C2217" s="8" t="s">
        <v>17</v>
      </c>
      <c r="D2217" s="2">
        <v>43672</v>
      </c>
      <c r="E2217" s="3">
        <v>3500</v>
      </c>
      <c r="F2217" t="s">
        <v>291</v>
      </c>
      <c r="G2217" t="s">
        <v>292</v>
      </c>
      <c r="H2217" t="s">
        <v>293</v>
      </c>
      <c r="I2217" s="6" t="s">
        <v>1013</v>
      </c>
      <c r="J2217" s="61" t="s">
        <v>22</v>
      </c>
      <c r="L2217" s="5" t="str">
        <f t="shared" ref="L2217:L2245" si="695">IF(ISBLANK(A2217),"",TEXT(A2217,"00000"))</f>
        <v>02216</v>
      </c>
      <c r="M2217" s="47" t="str">
        <f t="shared" ref="M2217:M2245" si="696">IF(ISBLANK(D2217),"",TEXT(D2217,"dd")&amp;" de "&amp;TEXT(D2217,"mmmm")&amp;" de "&amp;TEXT(YEAR(D2217),"0"))</f>
        <v>26 de julio de 2019</v>
      </c>
      <c r="N2217" s="323">
        <f t="shared" si="688"/>
        <v>26</v>
      </c>
      <c r="O2217" s="25">
        <f t="shared" ref="O2217:O2245" si="697">DATE(YEAR(D2217),MONTH(D2217),1)</f>
        <v>43647</v>
      </c>
      <c r="P2217" s="5" t="str">
        <f t="shared" si="690"/>
        <v>3.500,00</v>
      </c>
      <c r="Q2217" s="4" t="e">
        <f t="shared" ca="1" si="691"/>
        <v>#NAME?</v>
      </c>
    </row>
    <row r="2218" spans="1:17">
      <c r="A2218" s="1">
        <f t="shared" si="677"/>
        <v>2217</v>
      </c>
      <c r="C2218" s="8" t="s">
        <v>17</v>
      </c>
      <c r="D2218" s="2">
        <v>43672</v>
      </c>
      <c r="E2218" s="3">
        <v>10000</v>
      </c>
      <c r="F2218" t="s">
        <v>417</v>
      </c>
      <c r="G2218" t="s">
        <v>418</v>
      </c>
      <c r="H2218" t="s">
        <v>419</v>
      </c>
      <c r="I2218" s="6" t="s">
        <v>1007</v>
      </c>
      <c r="J2218" s="61" t="s">
        <v>22</v>
      </c>
      <c r="L2218" s="5" t="str">
        <f t="shared" si="695"/>
        <v>02217</v>
      </c>
      <c r="M2218" s="47" t="str">
        <f t="shared" si="696"/>
        <v>26 de julio de 2019</v>
      </c>
      <c r="N2218" s="323">
        <f t="shared" si="688"/>
        <v>26</v>
      </c>
      <c r="O2218" s="25">
        <f t="shared" si="697"/>
        <v>43647</v>
      </c>
      <c r="P2218" s="5" t="str">
        <f t="shared" si="690"/>
        <v>10.000,00</v>
      </c>
      <c r="Q2218" s="4" t="e">
        <f t="shared" ca="1" si="691"/>
        <v>#NAME?</v>
      </c>
    </row>
    <row r="2219" spans="1:17">
      <c r="A2219" s="1">
        <f t="shared" si="677"/>
        <v>2218</v>
      </c>
      <c r="C2219" s="8" t="s">
        <v>17</v>
      </c>
      <c r="D2219" s="2">
        <v>43673</v>
      </c>
      <c r="E2219" s="3">
        <v>6000</v>
      </c>
      <c r="F2219" t="s">
        <v>433</v>
      </c>
      <c r="G2219" t="s">
        <v>434</v>
      </c>
      <c r="H2219" t="s">
        <v>435</v>
      </c>
      <c r="I2219" s="6" t="s">
        <v>1013</v>
      </c>
      <c r="J2219" s="61" t="s">
        <v>22</v>
      </c>
      <c r="L2219" s="5" t="str">
        <f t="shared" si="695"/>
        <v>02218</v>
      </c>
      <c r="M2219" s="47" t="str">
        <f t="shared" si="696"/>
        <v>27 de julio de 2019</v>
      </c>
      <c r="N2219" s="323">
        <f t="shared" si="688"/>
        <v>27</v>
      </c>
      <c r="O2219" s="25">
        <f t="shared" si="697"/>
        <v>43647</v>
      </c>
      <c r="P2219" s="5" t="str">
        <f t="shared" si="690"/>
        <v>6.000,00</v>
      </c>
      <c r="Q2219" s="4" t="e">
        <f t="shared" ca="1" si="691"/>
        <v>#NAME?</v>
      </c>
    </row>
    <row r="2220" spans="1:17">
      <c r="A2220" s="1">
        <f t="shared" si="677"/>
        <v>2219</v>
      </c>
      <c r="C2220" s="8" t="s">
        <v>17</v>
      </c>
      <c r="D2220" s="2">
        <v>43674</v>
      </c>
      <c r="E2220" s="3">
        <v>20000</v>
      </c>
      <c r="F2220" t="s">
        <v>443</v>
      </c>
      <c r="G2220" t="s">
        <v>444</v>
      </c>
      <c r="H2220" t="s">
        <v>75</v>
      </c>
      <c r="I2220" s="6" t="s">
        <v>1025</v>
      </c>
      <c r="J2220" s="61" t="s">
        <v>22</v>
      </c>
      <c r="L2220" s="5" t="str">
        <f t="shared" si="695"/>
        <v>02219</v>
      </c>
      <c r="M2220" s="47" t="str">
        <f t="shared" si="696"/>
        <v>28 de julio de 2019</v>
      </c>
      <c r="N2220" s="323">
        <f t="shared" si="688"/>
        <v>28</v>
      </c>
      <c r="O2220" s="25">
        <f t="shared" si="697"/>
        <v>43647</v>
      </c>
      <c r="P2220" s="5" t="str">
        <f t="shared" si="690"/>
        <v>20.000,00</v>
      </c>
      <c r="Q2220" s="4" t="e">
        <f t="shared" ca="1" si="691"/>
        <v>#NAME?</v>
      </c>
    </row>
    <row r="2221" spans="1:17">
      <c r="A2221" s="1">
        <f t="shared" si="677"/>
        <v>2220</v>
      </c>
      <c r="C2221" s="8" t="s">
        <v>17</v>
      </c>
      <c r="D2221" s="2">
        <v>43675</v>
      </c>
      <c r="E2221" s="3">
        <v>20000</v>
      </c>
      <c r="F2221" t="s">
        <v>114</v>
      </c>
      <c r="G2221" t="s">
        <v>115</v>
      </c>
      <c r="H2221" t="s">
        <v>105</v>
      </c>
      <c r="I2221" s="6" t="s">
        <v>1025</v>
      </c>
      <c r="J2221" s="61" t="s">
        <v>22</v>
      </c>
      <c r="L2221" s="5" t="str">
        <f t="shared" si="695"/>
        <v>02220</v>
      </c>
      <c r="M2221" s="47" t="str">
        <f t="shared" si="696"/>
        <v>29 de julio de 2019</v>
      </c>
      <c r="N2221" s="323">
        <f t="shared" si="688"/>
        <v>29</v>
      </c>
      <c r="O2221" s="25">
        <f t="shared" si="697"/>
        <v>43647</v>
      </c>
      <c r="P2221" s="5" t="str">
        <f t="shared" si="690"/>
        <v>20.000,00</v>
      </c>
      <c r="Q2221" s="4" t="e">
        <f t="shared" ca="1" si="691"/>
        <v>#NAME?</v>
      </c>
    </row>
    <row r="2222" spans="1:17">
      <c r="A2222" s="1">
        <f t="shared" si="677"/>
        <v>2221</v>
      </c>
      <c r="C2222" s="8" t="s">
        <v>17</v>
      </c>
      <c r="D2222" s="2">
        <v>43675</v>
      </c>
      <c r="E2222" s="3">
        <v>10000</v>
      </c>
      <c r="F2222" t="s">
        <v>935</v>
      </c>
      <c r="G2222" t="s">
        <v>936</v>
      </c>
      <c r="H2222" t="s">
        <v>150</v>
      </c>
      <c r="I2222" s="6" t="s">
        <v>1007</v>
      </c>
      <c r="J2222" s="61" t="s">
        <v>22</v>
      </c>
      <c r="L2222" s="5" t="str">
        <f t="shared" si="695"/>
        <v>02221</v>
      </c>
      <c r="M2222" s="47" t="str">
        <f t="shared" si="696"/>
        <v>29 de julio de 2019</v>
      </c>
      <c r="N2222" s="323">
        <f t="shared" si="688"/>
        <v>29</v>
      </c>
      <c r="O2222" s="25">
        <f t="shared" si="697"/>
        <v>43647</v>
      </c>
      <c r="P2222" s="5" t="str">
        <f t="shared" si="690"/>
        <v>10.000,00</v>
      </c>
      <c r="Q2222" s="4" t="e">
        <f t="shared" ca="1" si="691"/>
        <v>#NAME?</v>
      </c>
    </row>
    <row r="2223" spans="1:17">
      <c r="A2223" s="1">
        <f t="shared" si="677"/>
        <v>2222</v>
      </c>
      <c r="C2223" s="8" t="s">
        <v>17</v>
      </c>
      <c r="D2223" s="2">
        <v>43675</v>
      </c>
      <c r="E2223" s="3">
        <v>10000</v>
      </c>
      <c r="F2223" t="s">
        <v>211</v>
      </c>
      <c r="G2223" t="s">
        <v>212</v>
      </c>
      <c r="H2223" t="s">
        <v>213</v>
      </c>
      <c r="I2223" s="6" t="s">
        <v>1007</v>
      </c>
      <c r="J2223" s="61" t="s">
        <v>22</v>
      </c>
      <c r="L2223" s="5" t="str">
        <f t="shared" si="695"/>
        <v>02222</v>
      </c>
      <c r="M2223" s="47" t="str">
        <f t="shared" si="696"/>
        <v>29 de julio de 2019</v>
      </c>
      <c r="N2223" s="323">
        <f t="shared" si="688"/>
        <v>29</v>
      </c>
      <c r="O2223" s="25">
        <f t="shared" si="697"/>
        <v>43647</v>
      </c>
      <c r="P2223" s="5" t="str">
        <f t="shared" si="690"/>
        <v>10.000,00</v>
      </c>
      <c r="Q2223" s="4" t="e">
        <f t="shared" ca="1" si="691"/>
        <v>#NAME?</v>
      </c>
    </row>
    <row r="2224" spans="1:17">
      <c r="A2224" s="1">
        <f t="shared" si="677"/>
        <v>2223</v>
      </c>
      <c r="C2224" s="8" t="s">
        <v>17</v>
      </c>
      <c r="D2224" s="2">
        <v>43663</v>
      </c>
      <c r="E2224" s="3">
        <v>10000</v>
      </c>
      <c r="F2224" t="s">
        <v>130</v>
      </c>
      <c r="G2224" t="s">
        <v>131</v>
      </c>
      <c r="H2224" t="s">
        <v>132</v>
      </c>
      <c r="I2224" s="6" t="s">
        <v>1007</v>
      </c>
      <c r="J2224" s="61" t="s">
        <v>22</v>
      </c>
      <c r="L2224" s="5" t="str">
        <f t="shared" si="695"/>
        <v>02223</v>
      </c>
      <c r="M2224" s="47" t="str">
        <f t="shared" si="696"/>
        <v>17 de julio de 2019</v>
      </c>
      <c r="N2224" s="323">
        <f t="shared" si="688"/>
        <v>17</v>
      </c>
      <c r="O2224" s="25">
        <f t="shared" si="697"/>
        <v>43647</v>
      </c>
      <c r="P2224" s="5" t="str">
        <f t="shared" si="690"/>
        <v>10.000,00</v>
      </c>
      <c r="Q2224" s="4" t="e">
        <f t="shared" ca="1" si="691"/>
        <v>#NAME?</v>
      </c>
    </row>
    <row r="2225" spans="1:17" ht="15.75" thickBot="1">
      <c r="A2225" s="1">
        <f t="shared" si="677"/>
        <v>2224</v>
      </c>
      <c r="C2225" s="8" t="s">
        <v>17</v>
      </c>
      <c r="D2225" s="2">
        <v>43676</v>
      </c>
      <c r="E2225" s="3">
        <v>20000</v>
      </c>
      <c r="F2225" t="s">
        <v>100</v>
      </c>
      <c r="G2225" t="s">
        <v>95</v>
      </c>
      <c r="H2225" t="s">
        <v>101</v>
      </c>
      <c r="I2225" s="6" t="s">
        <v>1025</v>
      </c>
      <c r="J2225" s="61" t="s">
        <v>22</v>
      </c>
      <c r="L2225" s="5" t="str">
        <f t="shared" si="695"/>
        <v>02224</v>
      </c>
      <c r="M2225" s="47" t="str">
        <f t="shared" si="696"/>
        <v>30 de julio de 2019</v>
      </c>
      <c r="N2225" s="323">
        <f t="shared" si="688"/>
        <v>30</v>
      </c>
      <c r="O2225" s="25">
        <f t="shared" si="697"/>
        <v>43647</v>
      </c>
      <c r="P2225" s="5" t="str">
        <f t="shared" si="690"/>
        <v>20.000,00</v>
      </c>
      <c r="Q2225" s="4" t="e">
        <f t="shared" ca="1" si="691"/>
        <v>#NAME?</v>
      </c>
    </row>
    <row r="2226" spans="1:17" ht="15.75" thickBot="1">
      <c r="A2226" s="1">
        <f t="shared" si="677"/>
        <v>2225</v>
      </c>
      <c r="C2226" s="8" t="s">
        <v>17</v>
      </c>
      <c r="D2226" s="2">
        <v>43676</v>
      </c>
      <c r="E2226" s="3">
        <v>10000</v>
      </c>
      <c r="F2226" t="s">
        <v>1017</v>
      </c>
      <c r="G2226" s="475" t="s">
        <v>1018</v>
      </c>
      <c r="H2226" t="s">
        <v>140</v>
      </c>
      <c r="I2226" s="6" t="s">
        <v>1007</v>
      </c>
      <c r="J2226" s="61" t="s">
        <v>22</v>
      </c>
      <c r="L2226" s="5" t="str">
        <f t="shared" si="695"/>
        <v>02225</v>
      </c>
      <c r="M2226" s="47" t="str">
        <f t="shared" si="696"/>
        <v>30 de julio de 2019</v>
      </c>
      <c r="N2226" s="323">
        <f t="shared" si="688"/>
        <v>30</v>
      </c>
      <c r="O2226" s="25">
        <f t="shared" si="697"/>
        <v>43647</v>
      </c>
      <c r="P2226" s="5" t="str">
        <f t="shared" si="690"/>
        <v>10.000,00</v>
      </c>
      <c r="Q2226" s="4" t="e">
        <f t="shared" ca="1" si="691"/>
        <v>#NAME?</v>
      </c>
    </row>
    <row r="2227" spans="1:17">
      <c r="A2227" s="1">
        <f t="shared" si="677"/>
        <v>2226</v>
      </c>
      <c r="C2227" s="8" t="s">
        <v>17</v>
      </c>
      <c r="D2227" s="2">
        <v>43676</v>
      </c>
      <c r="E2227" s="3">
        <v>10000</v>
      </c>
      <c r="F2227" t="s">
        <v>62</v>
      </c>
      <c r="G2227" t="s">
        <v>63</v>
      </c>
      <c r="H2227" t="s">
        <v>64</v>
      </c>
      <c r="I2227" s="6" t="s">
        <v>1007</v>
      </c>
      <c r="J2227" s="61" t="s">
        <v>22</v>
      </c>
      <c r="L2227" s="5" t="str">
        <f t="shared" si="695"/>
        <v>02226</v>
      </c>
      <c r="M2227" s="47" t="str">
        <f t="shared" si="696"/>
        <v>30 de julio de 2019</v>
      </c>
      <c r="N2227" s="323">
        <f t="shared" si="688"/>
        <v>30</v>
      </c>
      <c r="O2227" s="25">
        <f t="shared" si="697"/>
        <v>43647</v>
      </c>
      <c r="P2227" s="5" t="str">
        <f t="shared" si="690"/>
        <v>10.000,00</v>
      </c>
      <c r="Q2227" s="4" t="e">
        <f t="shared" ca="1" si="691"/>
        <v>#NAME?</v>
      </c>
    </row>
    <row r="2228" spans="1:17">
      <c r="A2228" s="1">
        <f t="shared" si="677"/>
        <v>2227</v>
      </c>
      <c r="C2228" s="8" t="s">
        <v>17</v>
      </c>
      <c r="D2228" s="2">
        <v>43677</v>
      </c>
      <c r="E2228" s="3">
        <v>18000</v>
      </c>
      <c r="F2228" t="s">
        <v>206</v>
      </c>
      <c r="G2228" t="s">
        <v>207</v>
      </c>
      <c r="H2228" t="s">
        <v>208</v>
      </c>
      <c r="I2228" s="6" t="s">
        <v>1024</v>
      </c>
      <c r="J2228" s="61" t="s">
        <v>22</v>
      </c>
      <c r="L2228" s="5" t="str">
        <f t="shared" si="695"/>
        <v>02227</v>
      </c>
      <c r="M2228" s="47" t="str">
        <f t="shared" si="696"/>
        <v>31 de julio de 2019</v>
      </c>
      <c r="N2228" s="323">
        <f t="shared" si="688"/>
        <v>31</v>
      </c>
      <c r="O2228" s="25">
        <f t="shared" si="697"/>
        <v>43647</v>
      </c>
      <c r="P2228" s="5" t="str">
        <f t="shared" si="690"/>
        <v>18.000,00</v>
      </c>
      <c r="Q2228" s="4" t="e">
        <f t="shared" ca="1" si="691"/>
        <v>#NAME?</v>
      </c>
    </row>
    <row r="2229" spans="1:17">
      <c r="A2229" s="1">
        <f t="shared" si="677"/>
        <v>2228</v>
      </c>
      <c r="C2229" s="8" t="s">
        <v>17</v>
      </c>
      <c r="D2229" s="2">
        <v>43677</v>
      </c>
      <c r="E2229" s="3">
        <v>10000</v>
      </c>
      <c r="F2229" t="s">
        <v>558</v>
      </c>
      <c r="G2229" t="s">
        <v>559</v>
      </c>
      <c r="H2229" t="s">
        <v>560</v>
      </c>
      <c r="I2229" s="6" t="s">
        <v>1026</v>
      </c>
      <c r="J2229" s="61" t="s">
        <v>22</v>
      </c>
      <c r="L2229" s="5" t="str">
        <f t="shared" si="695"/>
        <v>02228</v>
      </c>
      <c r="M2229" s="47" t="str">
        <f t="shared" si="696"/>
        <v>31 de julio de 2019</v>
      </c>
      <c r="N2229" s="323">
        <f t="shared" si="688"/>
        <v>31</v>
      </c>
      <c r="O2229" s="25">
        <f t="shared" si="697"/>
        <v>43647</v>
      </c>
      <c r="P2229" s="5" t="str">
        <f t="shared" si="690"/>
        <v>10.000,00</v>
      </c>
      <c r="Q2229" s="4" t="e">
        <f t="shared" ca="1" si="691"/>
        <v>#NAME?</v>
      </c>
    </row>
    <row r="2230" spans="1:17">
      <c r="A2230" s="1">
        <f t="shared" si="677"/>
        <v>2229</v>
      </c>
      <c r="C2230" s="8" t="s">
        <v>17</v>
      </c>
      <c r="D2230" s="2">
        <v>43678</v>
      </c>
      <c r="E2230" s="3">
        <v>10000</v>
      </c>
      <c r="F2230" t="s">
        <v>24</v>
      </c>
      <c r="G2230" t="s">
        <v>25</v>
      </c>
      <c r="H2230" t="s">
        <v>26</v>
      </c>
      <c r="I2230" s="6" t="s">
        <v>1026</v>
      </c>
      <c r="J2230" s="61" t="s">
        <v>22</v>
      </c>
      <c r="L2230" s="5" t="str">
        <f t="shared" si="695"/>
        <v>02229</v>
      </c>
      <c r="M2230" s="47" t="str">
        <f t="shared" si="696"/>
        <v>01 de agosto de 2019</v>
      </c>
      <c r="N2230" s="323">
        <f t="shared" si="688"/>
        <v>1</v>
      </c>
      <c r="O2230" s="25">
        <f t="shared" si="697"/>
        <v>43678</v>
      </c>
      <c r="P2230" s="5" t="str">
        <f t="shared" si="690"/>
        <v>10.000,00</v>
      </c>
      <c r="Q2230" s="4" t="e">
        <f t="shared" ca="1" si="691"/>
        <v>#NAME?</v>
      </c>
    </row>
    <row r="2231" spans="1:17">
      <c r="A2231" s="1">
        <f t="shared" si="677"/>
        <v>2230</v>
      </c>
      <c r="C2231" s="8" t="s">
        <v>17</v>
      </c>
      <c r="D2231" s="2">
        <v>43678</v>
      </c>
      <c r="E2231" s="3">
        <v>10000</v>
      </c>
      <c r="F2231" t="s">
        <v>337</v>
      </c>
      <c r="G2231" t="s">
        <v>338</v>
      </c>
      <c r="H2231" t="s">
        <v>339</v>
      </c>
      <c r="I2231" s="6" t="s">
        <v>1026</v>
      </c>
      <c r="J2231" s="61" t="s">
        <v>22</v>
      </c>
      <c r="L2231" s="5" t="str">
        <f t="shared" si="695"/>
        <v>02230</v>
      </c>
      <c r="M2231" s="47" t="str">
        <f t="shared" si="696"/>
        <v>01 de agosto de 2019</v>
      </c>
      <c r="N2231" s="323">
        <f t="shared" si="688"/>
        <v>1</v>
      </c>
      <c r="O2231" s="25">
        <f t="shared" si="697"/>
        <v>43678</v>
      </c>
      <c r="P2231" s="5" t="str">
        <f t="shared" si="690"/>
        <v>10.000,00</v>
      </c>
      <c r="Q2231" s="4" t="e">
        <f t="shared" ca="1" si="691"/>
        <v>#NAME?</v>
      </c>
    </row>
    <row r="2232" spans="1:17">
      <c r="A2232" s="1">
        <f t="shared" si="677"/>
        <v>2231</v>
      </c>
      <c r="C2232" s="8" t="s">
        <v>17</v>
      </c>
      <c r="D2232" s="2">
        <v>43678</v>
      </c>
      <c r="E2232" s="3">
        <v>20000</v>
      </c>
      <c r="F2232" t="s">
        <v>264</v>
      </c>
      <c r="G2232" t="s">
        <v>265</v>
      </c>
      <c r="H2232" t="s">
        <v>266</v>
      </c>
      <c r="I2232" s="6" t="s">
        <v>1025</v>
      </c>
      <c r="J2232" s="61" t="s">
        <v>22</v>
      </c>
      <c r="L2232" s="5" t="str">
        <f t="shared" si="695"/>
        <v>02231</v>
      </c>
      <c r="M2232" s="47" t="str">
        <f t="shared" si="696"/>
        <v>01 de agosto de 2019</v>
      </c>
      <c r="N2232" s="323">
        <f t="shared" si="688"/>
        <v>1</v>
      </c>
      <c r="O2232" s="25">
        <f t="shared" si="697"/>
        <v>43678</v>
      </c>
      <c r="P2232" s="5" t="str">
        <f t="shared" si="690"/>
        <v>20.000,00</v>
      </c>
      <c r="Q2232" s="4" t="e">
        <f t="shared" ca="1" si="691"/>
        <v>#NAME?</v>
      </c>
    </row>
    <row r="2233" spans="1:17">
      <c r="A2233" s="1">
        <f t="shared" si="677"/>
        <v>2232</v>
      </c>
      <c r="C2233" s="8" t="s">
        <v>17</v>
      </c>
      <c r="D2233" s="2">
        <v>43678</v>
      </c>
      <c r="E2233" s="3">
        <v>15000</v>
      </c>
      <c r="F2233" t="s">
        <v>201</v>
      </c>
      <c r="G2233" t="s">
        <v>202</v>
      </c>
      <c r="H2233" t="s">
        <v>203</v>
      </c>
      <c r="I2233" s="6" t="s">
        <v>1026</v>
      </c>
      <c r="J2233" s="61" t="s">
        <v>22</v>
      </c>
      <c r="L2233" s="5" t="str">
        <f t="shared" si="695"/>
        <v>02232</v>
      </c>
      <c r="M2233" s="47" t="str">
        <f t="shared" si="696"/>
        <v>01 de agosto de 2019</v>
      </c>
      <c r="N2233" s="323">
        <f t="shared" si="688"/>
        <v>1</v>
      </c>
      <c r="O2233" s="25">
        <f t="shared" si="697"/>
        <v>43678</v>
      </c>
      <c r="P2233" s="5" t="str">
        <f t="shared" si="690"/>
        <v>15.000,00</v>
      </c>
      <c r="Q2233" s="4" t="e">
        <f t="shared" ca="1" si="691"/>
        <v>#NAME?</v>
      </c>
    </row>
    <row r="2234" spans="1:17">
      <c r="A2234" s="1">
        <f t="shared" si="677"/>
        <v>2233</v>
      </c>
      <c r="C2234" s="8" t="s">
        <v>17</v>
      </c>
      <c r="D2234" s="2">
        <v>43679</v>
      </c>
      <c r="E2234" s="3">
        <v>10000</v>
      </c>
      <c r="F2234" t="s">
        <v>412</v>
      </c>
      <c r="G2234" t="s">
        <v>413</v>
      </c>
      <c r="H2234" t="s">
        <v>414</v>
      </c>
      <c r="I2234" s="6" t="s">
        <v>1007</v>
      </c>
      <c r="J2234" s="61" t="s">
        <v>22</v>
      </c>
      <c r="L2234" s="5" t="str">
        <f t="shared" si="695"/>
        <v>02233</v>
      </c>
      <c r="M2234" s="47" t="str">
        <f t="shared" si="696"/>
        <v>02 de agosto de 2019</v>
      </c>
      <c r="N2234" s="323">
        <f t="shared" si="688"/>
        <v>2</v>
      </c>
      <c r="O2234" s="25">
        <f t="shared" si="697"/>
        <v>43678</v>
      </c>
      <c r="P2234" s="5" t="str">
        <f t="shared" si="690"/>
        <v>10.000,00</v>
      </c>
      <c r="Q2234" s="4" t="e">
        <f t="shared" ca="1" si="691"/>
        <v>#NAME?</v>
      </c>
    </row>
    <row r="2235" spans="1:17">
      <c r="A2235" s="1">
        <f t="shared" si="677"/>
        <v>2234</v>
      </c>
      <c r="C2235" s="8" t="s">
        <v>17</v>
      </c>
      <c r="D2235" s="2">
        <v>43649</v>
      </c>
      <c r="E2235" s="3">
        <v>10000</v>
      </c>
      <c r="F2235" t="s">
        <v>407</v>
      </c>
      <c r="G2235" t="s">
        <v>408</v>
      </c>
      <c r="H2235" t="s">
        <v>409</v>
      </c>
      <c r="I2235" s="6" t="s">
        <v>1026</v>
      </c>
      <c r="J2235" s="61" t="s">
        <v>22</v>
      </c>
      <c r="L2235" s="5" t="str">
        <f t="shared" si="695"/>
        <v>02234</v>
      </c>
      <c r="M2235" s="47" t="str">
        <f t="shared" si="696"/>
        <v>03 de julio de 2019</v>
      </c>
      <c r="N2235" s="323">
        <f t="shared" si="688"/>
        <v>3</v>
      </c>
      <c r="O2235" s="25">
        <f t="shared" si="697"/>
        <v>43647</v>
      </c>
      <c r="P2235" s="5" t="str">
        <f t="shared" si="690"/>
        <v>10.000,00</v>
      </c>
      <c r="Q2235" s="4" t="e">
        <f ca="1">CONVERTIRNUM(E2235)</f>
        <v>#NAME?</v>
      </c>
    </row>
    <row r="2236" spans="1:17">
      <c r="A2236" s="1">
        <f t="shared" si="677"/>
        <v>2235</v>
      </c>
      <c r="C2236" s="8" t="s">
        <v>17</v>
      </c>
      <c r="D2236" s="2">
        <v>43681</v>
      </c>
      <c r="E2236" s="3">
        <v>6000</v>
      </c>
      <c r="F2236" t="s">
        <v>28</v>
      </c>
      <c r="G2236" t="s">
        <v>716</v>
      </c>
      <c r="H2236" t="s">
        <v>30</v>
      </c>
      <c r="I2236" s="6" t="s">
        <v>1027</v>
      </c>
      <c r="J2236" s="61" t="s">
        <v>22</v>
      </c>
      <c r="L2236" s="5" t="str">
        <f t="shared" si="695"/>
        <v>02235</v>
      </c>
      <c r="M2236" s="47" t="str">
        <f t="shared" si="696"/>
        <v>04 de agosto de 2019</v>
      </c>
      <c r="N2236" s="323">
        <f t="shared" si="688"/>
        <v>4</v>
      </c>
      <c r="O2236" s="25">
        <f t="shared" si="697"/>
        <v>43678</v>
      </c>
      <c r="P2236" s="5" t="str">
        <f t="shared" si="690"/>
        <v>6.000,00</v>
      </c>
      <c r="Q2236" s="4" t="e">
        <f t="shared" ref="Q2236:Q2251" ca="1" si="698">CONVERTIRNUM(E2236)</f>
        <v>#NAME?</v>
      </c>
    </row>
    <row r="2237" spans="1:17">
      <c r="A2237" s="1">
        <f t="shared" si="677"/>
        <v>2236</v>
      </c>
      <c r="C2237" s="8" t="s">
        <v>17</v>
      </c>
      <c r="D2237" s="2">
        <v>43682</v>
      </c>
      <c r="E2237" s="3">
        <v>10000</v>
      </c>
      <c r="F2237" t="s">
        <v>334</v>
      </c>
      <c r="G2237" t="s">
        <v>85</v>
      </c>
      <c r="H2237" t="s">
        <v>335</v>
      </c>
      <c r="I2237" s="6" t="s">
        <v>1026</v>
      </c>
      <c r="J2237" s="61" t="s">
        <v>22</v>
      </c>
      <c r="L2237" s="5" t="str">
        <f t="shared" si="695"/>
        <v>02236</v>
      </c>
      <c r="M2237" s="47" t="str">
        <f t="shared" si="696"/>
        <v>05 de agosto de 2019</v>
      </c>
      <c r="N2237" s="323">
        <f t="shared" si="688"/>
        <v>5</v>
      </c>
      <c r="O2237" s="25">
        <f t="shared" si="697"/>
        <v>43678</v>
      </c>
      <c r="P2237" s="5" t="str">
        <f t="shared" si="690"/>
        <v>10.000,00</v>
      </c>
      <c r="Q2237" s="4" t="e">
        <f t="shared" ca="1" si="698"/>
        <v>#NAME?</v>
      </c>
    </row>
    <row r="2238" spans="1:17">
      <c r="A2238" s="1">
        <f t="shared" ref="A2238:A2261" si="699">A2237+1</f>
        <v>2237</v>
      </c>
      <c r="C2238" s="8" t="s">
        <v>17</v>
      </c>
      <c r="D2238" s="2">
        <v>43682</v>
      </c>
      <c r="E2238" s="3">
        <v>10000</v>
      </c>
      <c r="F2238" t="s">
        <v>84</v>
      </c>
      <c r="G2238" t="s">
        <v>85</v>
      </c>
      <c r="H2238" t="s">
        <v>86</v>
      </c>
      <c r="I2238" s="6" t="s">
        <v>1026</v>
      </c>
      <c r="J2238" s="61" t="s">
        <v>22</v>
      </c>
      <c r="L2238" s="5" t="str">
        <f t="shared" si="695"/>
        <v>02237</v>
      </c>
      <c r="M2238" s="47" t="str">
        <f t="shared" si="696"/>
        <v>05 de agosto de 2019</v>
      </c>
      <c r="N2238" s="323">
        <f t="shared" si="688"/>
        <v>5</v>
      </c>
      <c r="O2238" s="25">
        <f t="shared" si="697"/>
        <v>43678</v>
      </c>
      <c r="P2238" s="5" t="str">
        <f t="shared" si="690"/>
        <v>10.000,00</v>
      </c>
      <c r="Q2238" s="4" t="e">
        <f t="shared" ca="1" si="698"/>
        <v>#NAME?</v>
      </c>
    </row>
    <row r="2239" spans="1:17">
      <c r="A2239" s="1">
        <f t="shared" si="699"/>
        <v>2238</v>
      </c>
      <c r="C2239" s="8" t="s">
        <v>17</v>
      </c>
      <c r="D2239" s="2">
        <v>43682</v>
      </c>
      <c r="E2239" s="3">
        <v>10000</v>
      </c>
      <c r="F2239" t="s">
        <v>48</v>
      </c>
      <c r="G2239" t="s">
        <v>49</v>
      </c>
      <c r="H2239" t="s">
        <v>50</v>
      </c>
      <c r="I2239" s="6" t="s">
        <v>1026</v>
      </c>
      <c r="J2239" s="61" t="s">
        <v>22</v>
      </c>
      <c r="L2239" s="5" t="str">
        <f t="shared" si="695"/>
        <v>02238</v>
      </c>
      <c r="M2239" s="47" t="str">
        <f t="shared" si="696"/>
        <v>05 de agosto de 2019</v>
      </c>
      <c r="N2239" s="323">
        <f t="shared" si="688"/>
        <v>5</v>
      </c>
      <c r="O2239" s="25">
        <f t="shared" si="697"/>
        <v>43678</v>
      </c>
      <c r="P2239" s="5" t="str">
        <f t="shared" si="690"/>
        <v>10.000,00</v>
      </c>
      <c r="Q2239" s="4" t="e">
        <f t="shared" ca="1" si="698"/>
        <v>#NAME?</v>
      </c>
    </row>
    <row r="2240" spans="1:17">
      <c r="A2240" s="1">
        <f t="shared" si="699"/>
        <v>2239</v>
      </c>
      <c r="C2240" s="8" t="s">
        <v>17</v>
      </c>
      <c r="D2240" s="2">
        <v>43682</v>
      </c>
      <c r="E2240" s="3">
        <v>10000</v>
      </c>
      <c r="F2240" t="s">
        <v>362</v>
      </c>
      <c r="G2240" t="s">
        <v>363</v>
      </c>
      <c r="H2240" t="s">
        <v>364</v>
      </c>
      <c r="I2240" s="6" t="s">
        <v>1026</v>
      </c>
      <c r="J2240" s="61" t="s">
        <v>22</v>
      </c>
      <c r="L2240" s="5" t="str">
        <f t="shared" si="695"/>
        <v>02239</v>
      </c>
      <c r="M2240" s="47" t="str">
        <f t="shared" si="696"/>
        <v>05 de agosto de 2019</v>
      </c>
      <c r="N2240" s="323">
        <f t="shared" si="688"/>
        <v>5</v>
      </c>
      <c r="O2240" s="25">
        <f t="shared" si="697"/>
        <v>43678</v>
      </c>
      <c r="P2240" s="5" t="str">
        <f t="shared" si="690"/>
        <v>10.000,00</v>
      </c>
      <c r="Q2240" s="4" t="e">
        <f t="shared" ca="1" si="698"/>
        <v>#NAME?</v>
      </c>
    </row>
    <row r="2241" spans="1:17">
      <c r="A2241" s="1">
        <f t="shared" si="699"/>
        <v>2240</v>
      </c>
      <c r="C2241" s="8" t="s">
        <v>17</v>
      </c>
      <c r="D2241" s="2">
        <v>43682</v>
      </c>
      <c r="E2241" s="3">
        <v>10000</v>
      </c>
      <c r="F2241" t="s">
        <v>312</v>
      </c>
      <c r="G2241" t="s">
        <v>313</v>
      </c>
      <c r="H2241" t="s">
        <v>314</v>
      </c>
      <c r="I2241" s="6" t="s">
        <v>1026</v>
      </c>
      <c r="J2241" s="61" t="s">
        <v>22</v>
      </c>
      <c r="L2241" s="5" t="str">
        <f t="shared" si="695"/>
        <v>02240</v>
      </c>
      <c r="M2241" s="47" t="str">
        <f t="shared" si="696"/>
        <v>05 de agosto de 2019</v>
      </c>
      <c r="N2241" s="323">
        <f t="shared" si="688"/>
        <v>5</v>
      </c>
      <c r="O2241" s="25">
        <f t="shared" si="697"/>
        <v>43678</v>
      </c>
      <c r="P2241" s="5" t="str">
        <f t="shared" si="690"/>
        <v>10.000,00</v>
      </c>
      <c r="Q2241" s="4" t="e">
        <f t="shared" ca="1" si="698"/>
        <v>#NAME?</v>
      </c>
    </row>
    <row r="2242" spans="1:17">
      <c r="A2242" s="1">
        <f t="shared" si="699"/>
        <v>2241</v>
      </c>
      <c r="C2242" s="8" t="s">
        <v>17</v>
      </c>
      <c r="D2242" s="2">
        <v>43682</v>
      </c>
      <c r="E2242" s="3">
        <v>10000</v>
      </c>
      <c r="F2242" t="s">
        <v>771</v>
      </c>
      <c r="G2242" t="s">
        <v>772</v>
      </c>
      <c r="H2242" t="s">
        <v>773</v>
      </c>
      <c r="I2242" s="6" t="s">
        <v>1028</v>
      </c>
      <c r="J2242" s="61" t="s">
        <v>22</v>
      </c>
      <c r="L2242" s="5" t="str">
        <f t="shared" si="695"/>
        <v>02241</v>
      </c>
      <c r="M2242" s="47" t="str">
        <f t="shared" si="696"/>
        <v>05 de agosto de 2019</v>
      </c>
      <c r="N2242" s="323">
        <f t="shared" si="688"/>
        <v>5</v>
      </c>
      <c r="O2242" s="25">
        <f t="shared" si="697"/>
        <v>43678</v>
      </c>
      <c r="P2242" s="5" t="str">
        <f t="shared" si="690"/>
        <v>10.000,00</v>
      </c>
      <c r="Q2242" s="4" t="e">
        <f t="shared" ca="1" si="698"/>
        <v>#NAME?</v>
      </c>
    </row>
    <row r="2243" spans="1:17">
      <c r="A2243" s="1">
        <f t="shared" si="699"/>
        <v>2242</v>
      </c>
      <c r="C2243" s="8" t="s">
        <v>17</v>
      </c>
      <c r="D2243" s="2">
        <v>43682</v>
      </c>
      <c r="E2243" s="3">
        <v>10000</v>
      </c>
      <c r="F2243" t="s">
        <v>18</v>
      </c>
      <c r="G2243" t="s">
        <v>19</v>
      </c>
      <c r="H2243" t="s">
        <v>20</v>
      </c>
      <c r="I2243" s="6" t="s">
        <v>1029</v>
      </c>
      <c r="J2243" s="61" t="s">
        <v>22</v>
      </c>
      <c r="L2243" s="5" t="str">
        <f t="shared" si="695"/>
        <v>02242</v>
      </c>
      <c r="M2243" s="47" t="str">
        <f t="shared" si="696"/>
        <v>05 de agosto de 2019</v>
      </c>
      <c r="N2243" s="323">
        <f t="shared" si="688"/>
        <v>5</v>
      </c>
      <c r="O2243" s="25">
        <f t="shared" si="697"/>
        <v>43678</v>
      </c>
      <c r="P2243" s="5" t="str">
        <f t="shared" si="690"/>
        <v>10.000,00</v>
      </c>
      <c r="Q2243" s="4" t="e">
        <f t="shared" ca="1" si="698"/>
        <v>#NAME?</v>
      </c>
    </row>
    <row r="2244" spans="1:17" ht="16.5" customHeight="1">
      <c r="A2244" s="1">
        <f t="shared" si="699"/>
        <v>2243</v>
      </c>
      <c r="C2244" s="8" t="s">
        <v>17</v>
      </c>
      <c r="D2244" s="2">
        <v>43682</v>
      </c>
      <c r="E2244" s="3">
        <v>10000</v>
      </c>
      <c r="F2244" t="s">
        <v>219</v>
      </c>
      <c r="G2244" t="s">
        <v>220</v>
      </c>
      <c r="H2244" t="s">
        <v>221</v>
      </c>
      <c r="I2244" s="6" t="s">
        <v>1030</v>
      </c>
      <c r="J2244" s="61" t="s">
        <v>22</v>
      </c>
      <c r="L2244" s="5" t="str">
        <f t="shared" si="695"/>
        <v>02243</v>
      </c>
      <c r="M2244" s="47" t="str">
        <f t="shared" si="696"/>
        <v>05 de agosto de 2019</v>
      </c>
      <c r="N2244" s="323">
        <f t="shared" si="688"/>
        <v>5</v>
      </c>
      <c r="O2244" s="25">
        <f t="shared" si="697"/>
        <v>43678</v>
      </c>
      <c r="P2244" s="5" t="str">
        <f t="shared" si="690"/>
        <v>10.000,00</v>
      </c>
      <c r="Q2244" s="4" t="e">
        <f t="shared" ca="1" si="698"/>
        <v>#NAME?</v>
      </c>
    </row>
    <row r="2245" spans="1:17">
      <c r="A2245" s="1">
        <f t="shared" si="699"/>
        <v>2244</v>
      </c>
      <c r="C2245" s="8" t="s">
        <v>17</v>
      </c>
      <c r="D2245" s="2">
        <v>43683</v>
      </c>
      <c r="E2245" s="3">
        <v>40000</v>
      </c>
      <c r="F2245" t="s">
        <v>80</v>
      </c>
      <c r="G2245" t="s">
        <v>81</v>
      </c>
      <c r="H2245" t="s">
        <v>82</v>
      </c>
      <c r="I2245" s="6" t="s">
        <v>1031</v>
      </c>
      <c r="J2245" s="61" t="s">
        <v>22</v>
      </c>
      <c r="L2245" s="5" t="str">
        <f t="shared" si="695"/>
        <v>02244</v>
      </c>
      <c r="M2245" s="47" t="str">
        <f t="shared" si="696"/>
        <v>06 de agosto de 2019</v>
      </c>
      <c r="N2245" s="323">
        <f t="shared" ref="N2245:N2257" si="700">DAY(D2245)</f>
        <v>6</v>
      </c>
      <c r="O2245" s="25">
        <f t="shared" si="697"/>
        <v>43678</v>
      </c>
      <c r="P2245" s="5" t="str">
        <f t="shared" ref="P2245:P2257" si="701">TEXT(E2245,"#.##0,00")</f>
        <v>40.000,00</v>
      </c>
      <c r="Q2245" s="4" t="e">
        <f t="shared" ca="1" si="698"/>
        <v>#NAME?</v>
      </c>
    </row>
    <row r="2246" spans="1:17">
      <c r="A2246" s="1">
        <f t="shared" si="699"/>
        <v>2245</v>
      </c>
      <c r="C2246" s="8" t="s">
        <v>17</v>
      </c>
      <c r="D2246" s="2">
        <v>43683</v>
      </c>
      <c r="E2246" s="3">
        <v>10000</v>
      </c>
      <c r="F2246" t="s">
        <v>291</v>
      </c>
      <c r="G2246" t="s">
        <v>292</v>
      </c>
      <c r="H2246" t="s">
        <v>293</v>
      </c>
      <c r="I2246" s="161" t="s">
        <v>1032</v>
      </c>
      <c r="J2246" s="61" t="s">
        <v>22</v>
      </c>
      <c r="L2246" s="5" t="str">
        <f t="shared" ref="L2246:L2257" si="702">IF(ISBLANK(A2246),"",TEXT(A2246,"00000"))</f>
        <v>02245</v>
      </c>
      <c r="M2246" s="47" t="str">
        <f t="shared" ref="M2246:M2257" si="703">IF(ISBLANK(D2246),"",TEXT(D2246,"dd")&amp;" de "&amp;TEXT(D2246,"mmmm")&amp;" de "&amp;TEXT(YEAR(D2246),"0"))</f>
        <v>06 de agosto de 2019</v>
      </c>
      <c r="N2246" s="323">
        <f t="shared" si="700"/>
        <v>6</v>
      </c>
      <c r="O2246" s="25">
        <f t="shared" ref="O2246:O2257" si="704">DATE(YEAR(D2246),MONTH(D2246),1)</f>
        <v>43678</v>
      </c>
      <c r="P2246" s="5" t="str">
        <f t="shared" si="701"/>
        <v>10.000,00</v>
      </c>
      <c r="Q2246" s="4" t="e">
        <f t="shared" ca="1" si="698"/>
        <v>#NAME?</v>
      </c>
    </row>
    <row r="2247" spans="1:17" ht="15.75" thickBot="1">
      <c r="A2247" s="1">
        <f t="shared" si="699"/>
        <v>2246</v>
      </c>
      <c r="C2247" s="8" t="s">
        <v>17</v>
      </c>
      <c r="D2247" s="2">
        <v>43683</v>
      </c>
      <c r="E2247" s="3">
        <v>20000</v>
      </c>
      <c r="F2247" t="s">
        <v>438</v>
      </c>
      <c r="G2247" t="s">
        <v>439</v>
      </c>
      <c r="H2247" t="s">
        <v>440</v>
      </c>
      <c r="I2247" s="6" t="s">
        <v>1033</v>
      </c>
      <c r="J2247" s="61" t="s">
        <v>22</v>
      </c>
      <c r="L2247" s="5" t="str">
        <f t="shared" si="702"/>
        <v>02246</v>
      </c>
      <c r="M2247" s="47" t="str">
        <f t="shared" si="703"/>
        <v>06 de agosto de 2019</v>
      </c>
      <c r="N2247" s="323">
        <f t="shared" si="700"/>
        <v>6</v>
      </c>
      <c r="O2247" s="25">
        <f t="shared" si="704"/>
        <v>43678</v>
      </c>
      <c r="P2247" s="5" t="str">
        <f t="shared" si="701"/>
        <v>20.000,00</v>
      </c>
      <c r="Q2247" s="4" t="e">
        <f t="shared" ca="1" si="698"/>
        <v>#NAME?</v>
      </c>
    </row>
    <row r="2248" spans="1:17" ht="15.75" thickBot="1">
      <c r="A2248" s="1">
        <f t="shared" si="699"/>
        <v>2247</v>
      </c>
      <c r="C2248" s="85" t="s">
        <v>17</v>
      </c>
      <c r="D2248" s="2">
        <v>43653</v>
      </c>
      <c r="E2248" s="3">
        <v>20000</v>
      </c>
      <c r="F2248" t="s">
        <v>40</v>
      </c>
      <c r="G2248" s="18" t="s">
        <v>58</v>
      </c>
      <c r="H2248" t="s">
        <v>42</v>
      </c>
      <c r="I2248" s="6" t="s">
        <v>1031</v>
      </c>
      <c r="J2248" s="61" t="s">
        <v>22</v>
      </c>
      <c r="L2248" s="5" t="str">
        <f t="shared" si="702"/>
        <v>02247</v>
      </c>
      <c r="M2248" s="47" t="str">
        <f t="shared" si="703"/>
        <v>07 de julio de 2019</v>
      </c>
      <c r="N2248" s="323">
        <f t="shared" si="700"/>
        <v>7</v>
      </c>
      <c r="O2248" s="25">
        <f t="shared" si="704"/>
        <v>43647</v>
      </c>
      <c r="P2248" s="5" t="str">
        <f t="shared" si="701"/>
        <v>20.000,00</v>
      </c>
      <c r="Q2248" s="4" t="e">
        <f t="shared" ca="1" si="698"/>
        <v>#NAME?</v>
      </c>
    </row>
    <row r="2249" spans="1:17">
      <c r="A2249" s="1">
        <f t="shared" si="699"/>
        <v>2248</v>
      </c>
      <c r="C2249" s="8" t="s">
        <v>17</v>
      </c>
      <c r="D2249" s="2">
        <v>43653</v>
      </c>
      <c r="E2249" s="3">
        <v>10000</v>
      </c>
      <c r="F2249" t="s">
        <v>122</v>
      </c>
      <c r="G2249" t="s">
        <v>123</v>
      </c>
      <c r="H2249" t="s">
        <v>124</v>
      </c>
      <c r="I2249" s="6" t="s">
        <v>1026</v>
      </c>
      <c r="J2249" s="61" t="s">
        <v>22</v>
      </c>
      <c r="L2249" s="5" t="str">
        <f t="shared" si="702"/>
        <v>02248</v>
      </c>
      <c r="M2249" s="47" t="str">
        <f t="shared" si="703"/>
        <v>07 de julio de 2019</v>
      </c>
      <c r="N2249" s="323">
        <f t="shared" si="700"/>
        <v>7</v>
      </c>
      <c r="O2249" s="25">
        <f t="shared" si="704"/>
        <v>43647</v>
      </c>
      <c r="P2249" s="5" t="str">
        <f t="shared" si="701"/>
        <v>10.000,00</v>
      </c>
      <c r="Q2249" s="4" t="e">
        <f t="shared" ca="1" si="698"/>
        <v>#NAME?</v>
      </c>
    </row>
    <row r="2250" spans="1:17">
      <c r="A2250" s="1">
        <f t="shared" si="699"/>
        <v>2249</v>
      </c>
      <c r="C2250" s="8" t="s">
        <v>17</v>
      </c>
      <c r="D2250" s="2">
        <v>43685</v>
      </c>
      <c r="E2250" s="3">
        <v>10000</v>
      </c>
      <c r="F2250" t="s">
        <v>483</v>
      </c>
      <c r="G2250" t="s">
        <v>484</v>
      </c>
      <c r="H2250" t="s">
        <v>485</v>
      </c>
      <c r="I2250" s="6" t="s">
        <v>1026</v>
      </c>
      <c r="J2250" s="61" t="s">
        <v>22</v>
      </c>
      <c r="L2250" s="5" t="str">
        <f t="shared" si="702"/>
        <v>02249</v>
      </c>
      <c r="M2250" s="47" t="str">
        <f t="shared" si="703"/>
        <v>08 de agosto de 2019</v>
      </c>
      <c r="N2250" s="323">
        <f t="shared" si="700"/>
        <v>8</v>
      </c>
      <c r="O2250" s="25">
        <f t="shared" si="704"/>
        <v>43678</v>
      </c>
      <c r="P2250" s="5" t="str">
        <f t="shared" si="701"/>
        <v>10.000,00</v>
      </c>
      <c r="Q2250" s="4" t="e">
        <f t="shared" ca="1" si="698"/>
        <v>#NAME?</v>
      </c>
    </row>
    <row r="2251" spans="1:17">
      <c r="A2251" s="1">
        <f t="shared" si="699"/>
        <v>2250</v>
      </c>
      <c r="C2251" s="8" t="s">
        <v>17</v>
      </c>
      <c r="D2251" s="2">
        <v>43685</v>
      </c>
      <c r="E2251" s="3">
        <v>15000</v>
      </c>
      <c r="F2251" t="s">
        <v>107</v>
      </c>
      <c r="G2251" t="s">
        <v>108</v>
      </c>
      <c r="H2251" t="s">
        <v>109</v>
      </c>
      <c r="I2251" s="6" t="s">
        <v>1026</v>
      </c>
      <c r="J2251" s="61" t="s">
        <v>22</v>
      </c>
      <c r="L2251" s="5" t="str">
        <f t="shared" si="702"/>
        <v>02250</v>
      </c>
      <c r="M2251" s="47" t="str">
        <f t="shared" si="703"/>
        <v>08 de agosto de 2019</v>
      </c>
      <c r="N2251" s="323">
        <f t="shared" si="700"/>
        <v>8</v>
      </c>
      <c r="O2251" s="25">
        <f t="shared" si="704"/>
        <v>43678</v>
      </c>
      <c r="P2251" s="5" t="str">
        <f t="shared" si="701"/>
        <v>15.000,00</v>
      </c>
      <c r="Q2251" s="4" t="e">
        <f t="shared" ca="1" si="698"/>
        <v>#NAME?</v>
      </c>
    </row>
    <row r="2252" spans="1:17">
      <c r="A2252" s="1">
        <f t="shared" si="699"/>
        <v>2251</v>
      </c>
      <c r="C2252" s="8" t="s">
        <v>17</v>
      </c>
      <c r="D2252" s="2">
        <v>43685</v>
      </c>
      <c r="E2252" s="3">
        <v>2000</v>
      </c>
      <c r="F2252" t="s">
        <v>362</v>
      </c>
      <c r="G2252" t="s">
        <v>363</v>
      </c>
      <c r="H2252" t="s">
        <v>364</v>
      </c>
      <c r="I2252" s="6" t="s">
        <v>1020</v>
      </c>
      <c r="J2252" s="61" t="s">
        <v>22</v>
      </c>
      <c r="L2252" s="5" t="str">
        <f t="shared" si="702"/>
        <v>02251</v>
      </c>
      <c r="M2252" s="47" t="str">
        <f t="shared" si="703"/>
        <v>08 de agosto de 2019</v>
      </c>
      <c r="N2252" s="323">
        <f t="shared" si="700"/>
        <v>8</v>
      </c>
      <c r="O2252" s="25">
        <f t="shared" si="704"/>
        <v>43678</v>
      </c>
      <c r="P2252" s="5" t="str">
        <f t="shared" si="701"/>
        <v>2.000,00</v>
      </c>
      <c r="Q2252" s="4" t="e">
        <f t="shared" ref="Q2252:Q2290" ca="1" si="705">CONVERTIRNUM(E2252)</f>
        <v>#NAME?</v>
      </c>
    </row>
    <row r="2253" spans="1:17">
      <c r="A2253" s="1">
        <f t="shared" si="699"/>
        <v>2252</v>
      </c>
      <c r="C2253" s="8" t="s">
        <v>17</v>
      </c>
      <c r="D2253" s="2">
        <v>43685</v>
      </c>
      <c r="E2253" s="3">
        <v>10000</v>
      </c>
      <c r="F2253" t="s">
        <v>134</v>
      </c>
      <c r="G2253" t="s">
        <v>135</v>
      </c>
      <c r="H2253" t="s">
        <v>136</v>
      </c>
      <c r="I2253" s="6" t="s">
        <v>1026</v>
      </c>
      <c r="J2253" s="61" t="s">
        <v>22</v>
      </c>
      <c r="L2253" s="5" t="str">
        <f t="shared" si="702"/>
        <v>02252</v>
      </c>
      <c r="M2253" s="47" t="str">
        <f t="shared" si="703"/>
        <v>08 de agosto de 2019</v>
      </c>
      <c r="N2253" s="323">
        <f t="shared" si="700"/>
        <v>8</v>
      </c>
      <c r="O2253" s="25">
        <f t="shared" si="704"/>
        <v>43678</v>
      </c>
      <c r="P2253" s="5" t="str">
        <f t="shared" si="701"/>
        <v>10.000,00</v>
      </c>
      <c r="Q2253" s="4" t="e">
        <f t="shared" ca="1" si="705"/>
        <v>#NAME?</v>
      </c>
    </row>
    <row r="2254" spans="1:17">
      <c r="A2254" s="1">
        <f t="shared" si="699"/>
        <v>2253</v>
      </c>
      <c r="C2254" s="8" t="s">
        <v>17</v>
      </c>
      <c r="D2254" s="2">
        <v>43685</v>
      </c>
      <c r="E2254" s="3">
        <v>10000</v>
      </c>
      <c r="F2254" t="s">
        <v>947</v>
      </c>
      <c r="G2254" t="s">
        <v>948</v>
      </c>
      <c r="H2254" t="s">
        <v>949</v>
      </c>
      <c r="I2254" s="6" t="s">
        <v>1026</v>
      </c>
      <c r="J2254" s="61" t="s">
        <v>22</v>
      </c>
      <c r="L2254" s="5" t="str">
        <f t="shared" si="702"/>
        <v>02253</v>
      </c>
      <c r="M2254" s="47" t="str">
        <f t="shared" si="703"/>
        <v>08 de agosto de 2019</v>
      </c>
      <c r="N2254" s="323">
        <f t="shared" si="700"/>
        <v>8</v>
      </c>
      <c r="O2254" s="25">
        <f t="shared" si="704"/>
        <v>43678</v>
      </c>
      <c r="P2254" s="5" t="str">
        <f t="shared" si="701"/>
        <v>10.000,00</v>
      </c>
      <c r="Q2254" s="4" t="e">
        <f t="shared" ca="1" si="705"/>
        <v>#NAME?</v>
      </c>
    </row>
    <row r="2255" spans="1:17" ht="15.75" thickBot="1">
      <c r="A2255" s="1">
        <f t="shared" si="699"/>
        <v>2254</v>
      </c>
      <c r="C2255" s="8" t="s">
        <v>17</v>
      </c>
      <c r="D2255" s="2">
        <v>43684</v>
      </c>
      <c r="E2255" s="3">
        <v>10000</v>
      </c>
      <c r="F2255" t="s">
        <v>144</v>
      </c>
      <c r="G2255" t="s">
        <v>661</v>
      </c>
      <c r="H2255" t="s">
        <v>146</v>
      </c>
      <c r="I2255" s="6" t="s">
        <v>1026</v>
      </c>
      <c r="J2255" s="61" t="s">
        <v>22</v>
      </c>
      <c r="L2255" s="5" t="str">
        <f t="shared" si="702"/>
        <v>02254</v>
      </c>
      <c r="M2255" s="47" t="str">
        <f t="shared" si="703"/>
        <v>07 de agosto de 2019</v>
      </c>
      <c r="N2255" s="323">
        <f t="shared" si="700"/>
        <v>7</v>
      </c>
      <c r="O2255" s="25">
        <f t="shared" si="704"/>
        <v>43678</v>
      </c>
      <c r="P2255" s="5" t="str">
        <f t="shared" si="701"/>
        <v>10.000,00</v>
      </c>
      <c r="Q2255" s="4" t="e">
        <f t="shared" ca="1" si="705"/>
        <v>#NAME?</v>
      </c>
    </row>
    <row r="2256" spans="1:17" ht="15.75" thickBot="1">
      <c r="A2256" s="1">
        <f t="shared" si="699"/>
        <v>2255</v>
      </c>
      <c r="C2256" s="85" t="s">
        <v>17</v>
      </c>
      <c r="D2256" s="2">
        <v>43685</v>
      </c>
      <c r="E2256" s="3">
        <v>21000</v>
      </c>
      <c r="F2256" t="s">
        <v>410</v>
      </c>
      <c r="G2256" s="18" t="s">
        <v>58</v>
      </c>
      <c r="H2256" t="s">
        <v>411</v>
      </c>
      <c r="I2256" s="6" t="s">
        <v>1034</v>
      </c>
      <c r="J2256" s="61" t="s">
        <v>22</v>
      </c>
      <c r="L2256" s="5" t="str">
        <f t="shared" si="702"/>
        <v>02255</v>
      </c>
      <c r="M2256" s="47" t="str">
        <f t="shared" si="703"/>
        <v>08 de agosto de 2019</v>
      </c>
      <c r="N2256" s="323">
        <f t="shared" si="700"/>
        <v>8</v>
      </c>
      <c r="O2256" s="25">
        <f t="shared" si="704"/>
        <v>43678</v>
      </c>
      <c r="P2256" s="5" t="str">
        <f t="shared" si="701"/>
        <v>21.000,00</v>
      </c>
      <c r="Q2256" s="4" t="e">
        <f t="shared" ca="1" si="705"/>
        <v>#NAME?</v>
      </c>
    </row>
    <row r="2257" spans="1:17">
      <c r="A2257" s="1">
        <f t="shared" si="699"/>
        <v>2256</v>
      </c>
      <c r="C2257" s="8" t="s">
        <v>17</v>
      </c>
      <c r="D2257" s="2">
        <v>43686</v>
      </c>
      <c r="E2257" s="3">
        <v>10000</v>
      </c>
      <c r="F2257" t="s">
        <v>612</v>
      </c>
      <c r="G2257" t="s">
        <v>613</v>
      </c>
      <c r="H2257" t="s">
        <v>614</v>
      </c>
      <c r="I2257" s="6" t="s">
        <v>1007</v>
      </c>
      <c r="J2257" s="61" t="s">
        <v>22</v>
      </c>
      <c r="L2257" s="5" t="str">
        <f t="shared" si="702"/>
        <v>02256</v>
      </c>
      <c r="M2257" s="47" t="str">
        <f t="shared" si="703"/>
        <v>09 de agosto de 2019</v>
      </c>
      <c r="N2257" s="323">
        <f t="shared" si="700"/>
        <v>9</v>
      </c>
      <c r="O2257" s="25">
        <f t="shared" si="704"/>
        <v>43678</v>
      </c>
      <c r="P2257" s="5" t="str">
        <f t="shared" si="701"/>
        <v>10.000,00</v>
      </c>
      <c r="Q2257" s="4" t="e">
        <f t="shared" ca="1" si="705"/>
        <v>#NAME?</v>
      </c>
    </row>
    <row r="2258" spans="1:17">
      <c r="A2258" s="1">
        <f t="shared" si="699"/>
        <v>2257</v>
      </c>
      <c r="C2258" s="8" t="s">
        <v>17</v>
      </c>
      <c r="D2258" s="2">
        <v>43686</v>
      </c>
      <c r="E2258" s="3">
        <v>15000</v>
      </c>
      <c r="F2258" t="s">
        <v>107</v>
      </c>
      <c r="G2258" t="s">
        <v>108</v>
      </c>
      <c r="H2258" t="s">
        <v>109</v>
      </c>
      <c r="I2258" s="6" t="s">
        <v>1035</v>
      </c>
      <c r="J2258" s="61" t="s">
        <v>22</v>
      </c>
      <c r="L2258" s="5" t="str">
        <f t="shared" ref="L2258:L2292" si="706">IF(ISBLANK(A2258),"",TEXT(A2258,"00000"))</f>
        <v>02257</v>
      </c>
      <c r="M2258" s="47" t="str">
        <f t="shared" ref="M2258:M2292" si="707">IF(ISBLANK(D2258),"",TEXT(D2258,"dd")&amp;" de "&amp;TEXT(D2258,"mmmm")&amp;" de "&amp;TEXT(YEAR(D2258),"0"))</f>
        <v>09 de agosto de 2019</v>
      </c>
      <c r="N2258" s="323">
        <f t="shared" ref="N2258:N2300" si="708">DAY(D2258)</f>
        <v>9</v>
      </c>
      <c r="O2258" s="25">
        <f t="shared" ref="O2258:O2292" si="709">DATE(YEAR(D2258),MONTH(D2258),1)</f>
        <v>43678</v>
      </c>
      <c r="P2258" s="5" t="str">
        <f t="shared" ref="P2258:P2300" si="710">TEXT(E2258,"#.##0,00")</f>
        <v>15.000,00</v>
      </c>
      <c r="Q2258" s="4" t="e">
        <f t="shared" ca="1" si="705"/>
        <v>#NAME?</v>
      </c>
    </row>
    <row r="2259" spans="1:17" ht="15.75" thickBot="1">
      <c r="A2259" s="1">
        <f t="shared" si="699"/>
        <v>2258</v>
      </c>
      <c r="C2259" s="8" t="s">
        <v>17</v>
      </c>
      <c r="D2259" s="2">
        <v>43687</v>
      </c>
      <c r="E2259" s="3">
        <v>10000</v>
      </c>
      <c r="F2259" t="s">
        <v>713</v>
      </c>
      <c r="G2259" t="s">
        <v>714</v>
      </c>
      <c r="H2259" t="s">
        <v>154</v>
      </c>
      <c r="I2259" s="6" t="s">
        <v>1026</v>
      </c>
      <c r="J2259" s="61" t="s">
        <v>22</v>
      </c>
      <c r="L2259" s="5" t="str">
        <f t="shared" si="706"/>
        <v>02258</v>
      </c>
      <c r="M2259" s="47" t="str">
        <f t="shared" si="707"/>
        <v>10 de agosto de 2019</v>
      </c>
      <c r="N2259" s="323">
        <f t="shared" si="708"/>
        <v>10</v>
      </c>
      <c r="O2259" s="25">
        <f t="shared" si="709"/>
        <v>43678</v>
      </c>
      <c r="P2259" s="5" t="str">
        <f t="shared" si="710"/>
        <v>10.000,00</v>
      </c>
      <c r="Q2259" s="4" t="e">
        <f t="shared" ca="1" si="705"/>
        <v>#NAME?</v>
      </c>
    </row>
    <row r="2260" spans="1:17" ht="15.75" thickBot="1">
      <c r="A2260" s="1">
        <f t="shared" si="699"/>
        <v>2259</v>
      </c>
      <c r="C2260" s="85" t="s">
        <v>17</v>
      </c>
      <c r="D2260" s="2">
        <v>43688</v>
      </c>
      <c r="E2260" s="3">
        <v>10000</v>
      </c>
      <c r="F2260" t="s">
        <v>319</v>
      </c>
      <c r="G2260" s="18" t="s">
        <v>58</v>
      </c>
      <c r="H2260" t="s">
        <v>320</v>
      </c>
      <c r="I2260" s="6" t="s">
        <v>1026</v>
      </c>
      <c r="J2260" s="61" t="s">
        <v>22</v>
      </c>
      <c r="L2260" s="5" t="str">
        <f t="shared" si="706"/>
        <v>02259</v>
      </c>
      <c r="M2260" s="47" t="str">
        <f t="shared" si="707"/>
        <v>11 de agosto de 2019</v>
      </c>
      <c r="N2260" s="323">
        <f t="shared" si="708"/>
        <v>11</v>
      </c>
      <c r="O2260" s="25">
        <f t="shared" si="709"/>
        <v>43678</v>
      </c>
      <c r="P2260" s="5" t="str">
        <f t="shared" si="710"/>
        <v>10.000,00</v>
      </c>
      <c r="Q2260" s="4" t="e">
        <f t="shared" ca="1" si="705"/>
        <v>#NAME?</v>
      </c>
    </row>
    <row r="2261" spans="1:17">
      <c r="A2261" s="1">
        <f t="shared" si="699"/>
        <v>2260</v>
      </c>
      <c r="C2261" s="8" t="s">
        <v>17</v>
      </c>
      <c r="D2261" s="2">
        <v>43689</v>
      </c>
      <c r="E2261" s="3">
        <v>10000</v>
      </c>
      <c r="F2261" t="s">
        <v>342</v>
      </c>
      <c r="G2261" t="s">
        <v>1036</v>
      </c>
      <c r="H2261" t="s">
        <v>344</v>
      </c>
      <c r="I2261" s="6" t="s">
        <v>1026</v>
      </c>
      <c r="J2261" s="61" t="s">
        <v>22</v>
      </c>
      <c r="L2261" s="5" t="str">
        <f t="shared" si="706"/>
        <v>02260</v>
      </c>
      <c r="M2261" s="47" t="str">
        <f t="shared" si="707"/>
        <v>12 de agosto de 2019</v>
      </c>
      <c r="N2261" s="323">
        <f t="shared" si="708"/>
        <v>12</v>
      </c>
      <c r="O2261" s="25">
        <f t="shared" si="709"/>
        <v>43678</v>
      </c>
      <c r="P2261" s="5" t="str">
        <f t="shared" si="710"/>
        <v>10.000,00</v>
      </c>
      <c r="Q2261" s="4" t="e">
        <f t="shared" ca="1" si="705"/>
        <v>#NAME?</v>
      </c>
    </row>
    <row r="2262" spans="1:17">
      <c r="A2262" s="1">
        <f>A2261+1</f>
        <v>2261</v>
      </c>
      <c r="C2262" s="8" t="s">
        <v>17</v>
      </c>
      <c r="D2262" s="2">
        <v>43689</v>
      </c>
      <c r="E2262" s="3">
        <v>10000</v>
      </c>
      <c r="F2262" t="s">
        <v>70</v>
      </c>
      <c r="G2262" t="s">
        <v>71</v>
      </c>
      <c r="H2262" t="s">
        <v>72</v>
      </c>
      <c r="I2262" s="6" t="s">
        <v>1026</v>
      </c>
      <c r="J2262" s="61" t="s">
        <v>22</v>
      </c>
      <c r="L2262" s="5" t="str">
        <f t="shared" si="706"/>
        <v>02261</v>
      </c>
      <c r="M2262" s="47" t="str">
        <f t="shared" si="707"/>
        <v>12 de agosto de 2019</v>
      </c>
      <c r="N2262" s="323">
        <f t="shared" si="708"/>
        <v>12</v>
      </c>
      <c r="O2262" s="25">
        <f t="shared" si="709"/>
        <v>43678</v>
      </c>
      <c r="P2262" s="5" t="str">
        <f t="shared" si="710"/>
        <v>10.000,00</v>
      </c>
      <c r="Q2262" s="4" t="e">
        <f t="shared" ca="1" si="705"/>
        <v>#NAME?</v>
      </c>
    </row>
    <row r="2263" spans="1:17">
      <c r="A2263" s="1">
        <f t="shared" ref="A2263:A2321" si="711">A2262+1</f>
        <v>2262</v>
      </c>
      <c r="C2263" s="8" t="s">
        <v>17</v>
      </c>
      <c r="D2263" s="2">
        <v>43690</v>
      </c>
      <c r="E2263" s="3">
        <v>10000</v>
      </c>
      <c r="F2263" t="s">
        <v>181</v>
      </c>
      <c r="G2263" t="s">
        <v>182</v>
      </c>
      <c r="H2263" t="s">
        <v>183</v>
      </c>
      <c r="I2263" s="6" t="s">
        <v>1026</v>
      </c>
      <c r="J2263" s="61" t="s">
        <v>22</v>
      </c>
      <c r="L2263" s="5" t="str">
        <f t="shared" si="706"/>
        <v>02262</v>
      </c>
      <c r="M2263" s="47" t="str">
        <f t="shared" si="707"/>
        <v>13 de agosto de 2019</v>
      </c>
      <c r="N2263" s="323">
        <f t="shared" si="708"/>
        <v>13</v>
      </c>
      <c r="O2263" s="25">
        <f t="shared" si="709"/>
        <v>43678</v>
      </c>
      <c r="P2263" s="5" t="str">
        <f t="shared" si="710"/>
        <v>10.000,00</v>
      </c>
      <c r="Q2263" s="4" t="e">
        <f t="shared" ca="1" si="705"/>
        <v>#NAME?</v>
      </c>
    </row>
    <row r="2264" spans="1:17">
      <c r="A2264" s="1">
        <f t="shared" si="711"/>
        <v>2263</v>
      </c>
      <c r="C2264" s="8" t="s">
        <v>17</v>
      </c>
      <c r="D2264" s="2">
        <v>43692</v>
      </c>
      <c r="E2264" s="3">
        <v>20000</v>
      </c>
      <c r="F2264" t="s">
        <v>248</v>
      </c>
      <c r="G2264" t="s">
        <v>249</v>
      </c>
      <c r="H2264" t="s">
        <v>250</v>
      </c>
      <c r="I2264" s="6" t="s">
        <v>1025</v>
      </c>
      <c r="J2264" s="61" t="s">
        <v>22</v>
      </c>
      <c r="L2264" s="5" t="str">
        <f t="shared" si="706"/>
        <v>02263</v>
      </c>
      <c r="M2264" s="47" t="str">
        <f t="shared" si="707"/>
        <v>15 de agosto de 2019</v>
      </c>
      <c r="N2264" s="323">
        <f t="shared" si="708"/>
        <v>15</v>
      </c>
      <c r="O2264" s="25">
        <f t="shared" si="709"/>
        <v>43678</v>
      </c>
      <c r="P2264" s="5" t="str">
        <f t="shared" si="710"/>
        <v>20.000,00</v>
      </c>
      <c r="Q2264" s="4" t="e">
        <f t="shared" ca="1" si="705"/>
        <v>#NAME?</v>
      </c>
    </row>
    <row r="2265" spans="1:17">
      <c r="A2265" s="1">
        <f t="shared" si="711"/>
        <v>2264</v>
      </c>
      <c r="C2265" s="8" t="s">
        <v>17</v>
      </c>
      <c r="D2265" s="2">
        <v>43692</v>
      </c>
      <c r="E2265" s="3">
        <v>25000</v>
      </c>
      <c r="F2265" t="s">
        <v>66</v>
      </c>
      <c r="G2265" t="s">
        <v>67</v>
      </c>
      <c r="H2265" t="s">
        <v>68</v>
      </c>
      <c r="I2265" s="6" t="s">
        <v>1037</v>
      </c>
      <c r="J2265" s="61" t="s">
        <v>22</v>
      </c>
      <c r="L2265" s="5" t="str">
        <f t="shared" si="706"/>
        <v>02264</v>
      </c>
      <c r="M2265" s="47" t="str">
        <f t="shared" si="707"/>
        <v>15 de agosto de 2019</v>
      </c>
      <c r="N2265" s="323">
        <f t="shared" si="708"/>
        <v>15</v>
      </c>
      <c r="O2265" s="25">
        <f t="shared" si="709"/>
        <v>43678</v>
      </c>
      <c r="P2265" s="5" t="str">
        <f t="shared" si="710"/>
        <v>25.000,00</v>
      </c>
      <c r="Q2265" s="4" t="e">
        <f t="shared" ca="1" si="705"/>
        <v>#NAME?</v>
      </c>
    </row>
    <row r="2266" spans="1:17">
      <c r="A2266" s="1">
        <f t="shared" si="711"/>
        <v>2265</v>
      </c>
      <c r="C2266" s="8" t="s">
        <v>17</v>
      </c>
      <c r="D2266" s="2">
        <v>43692</v>
      </c>
      <c r="E2266" s="3">
        <v>10000</v>
      </c>
      <c r="F2266" t="s">
        <v>130</v>
      </c>
      <c r="G2266" t="s">
        <v>131</v>
      </c>
      <c r="H2266" t="s">
        <v>132</v>
      </c>
      <c r="I2266" s="6" t="s">
        <v>1026</v>
      </c>
      <c r="J2266" s="61" t="s">
        <v>22</v>
      </c>
      <c r="L2266" s="5" t="str">
        <f t="shared" si="706"/>
        <v>02265</v>
      </c>
      <c r="M2266" s="47" t="str">
        <f t="shared" si="707"/>
        <v>15 de agosto de 2019</v>
      </c>
      <c r="N2266" s="323">
        <f t="shared" si="708"/>
        <v>15</v>
      </c>
      <c r="O2266" s="25">
        <f t="shared" si="709"/>
        <v>43678</v>
      </c>
      <c r="P2266" s="5" t="str">
        <f t="shared" si="710"/>
        <v>10.000,00</v>
      </c>
      <c r="Q2266" s="4" t="e">
        <f t="shared" ca="1" si="705"/>
        <v>#NAME?</v>
      </c>
    </row>
    <row r="2267" spans="1:17">
      <c r="A2267" s="1">
        <f t="shared" si="711"/>
        <v>2266</v>
      </c>
      <c r="C2267" s="8" t="s">
        <v>17</v>
      </c>
      <c r="D2267" s="2">
        <v>43692</v>
      </c>
      <c r="E2267" s="3">
        <v>20000</v>
      </c>
      <c r="F2267" t="s">
        <v>287</v>
      </c>
      <c r="G2267" t="s">
        <v>288</v>
      </c>
      <c r="H2267" t="s">
        <v>289</v>
      </c>
      <c r="I2267" s="6" t="s">
        <v>1025</v>
      </c>
      <c r="J2267" s="61" t="s">
        <v>22</v>
      </c>
      <c r="L2267" s="5" t="str">
        <f t="shared" si="706"/>
        <v>02266</v>
      </c>
      <c r="M2267" s="47" t="str">
        <f t="shared" si="707"/>
        <v>15 de agosto de 2019</v>
      </c>
      <c r="N2267" s="323">
        <f t="shared" si="708"/>
        <v>15</v>
      </c>
      <c r="O2267" s="25">
        <f t="shared" si="709"/>
        <v>43678</v>
      </c>
      <c r="P2267" s="5" t="str">
        <f t="shared" si="710"/>
        <v>20.000,00</v>
      </c>
      <c r="Q2267" s="4" t="e">
        <f t="shared" ca="1" si="705"/>
        <v>#NAME?</v>
      </c>
    </row>
    <row r="2268" spans="1:17">
      <c r="A2268" s="1">
        <f t="shared" si="711"/>
        <v>2267</v>
      </c>
      <c r="C2268" s="8" t="s">
        <v>17</v>
      </c>
      <c r="D2268" s="2">
        <v>43692</v>
      </c>
      <c r="E2268" s="3">
        <v>20000</v>
      </c>
      <c r="F2268" t="s">
        <v>94</v>
      </c>
      <c r="G2268" t="s">
        <v>607</v>
      </c>
      <c r="H2268" t="s">
        <v>96</v>
      </c>
      <c r="I2268" s="6" t="s">
        <v>1025</v>
      </c>
      <c r="J2268" s="61" t="s">
        <v>22</v>
      </c>
      <c r="L2268" s="5" t="str">
        <f t="shared" si="706"/>
        <v>02267</v>
      </c>
      <c r="M2268" s="47" t="str">
        <f t="shared" si="707"/>
        <v>15 de agosto de 2019</v>
      </c>
      <c r="N2268" s="323">
        <f t="shared" si="708"/>
        <v>15</v>
      </c>
      <c r="O2268" s="25">
        <f t="shared" si="709"/>
        <v>43678</v>
      </c>
      <c r="P2268" s="5" t="str">
        <f t="shared" si="710"/>
        <v>20.000,00</v>
      </c>
      <c r="Q2268" s="4" t="e">
        <f t="shared" ca="1" si="705"/>
        <v>#NAME?</v>
      </c>
    </row>
    <row r="2269" spans="1:17">
      <c r="A2269" s="1">
        <f t="shared" si="711"/>
        <v>2268</v>
      </c>
      <c r="C2269" s="8" t="s">
        <v>17</v>
      </c>
      <c r="D2269" s="2">
        <v>43654</v>
      </c>
      <c r="E2269" s="3">
        <v>8000</v>
      </c>
      <c r="F2269" t="s">
        <v>177</v>
      </c>
      <c r="G2269" t="s">
        <v>941</v>
      </c>
      <c r="H2269" t="s">
        <v>179</v>
      </c>
      <c r="I2269" s="6" t="s">
        <v>1038</v>
      </c>
      <c r="J2269" s="61" t="s">
        <v>22</v>
      </c>
      <c r="L2269" s="5" t="str">
        <f t="shared" si="706"/>
        <v>02268</v>
      </c>
      <c r="M2269" s="47" t="str">
        <f t="shared" si="707"/>
        <v>08 de julio de 2019</v>
      </c>
      <c r="N2269" s="323">
        <f t="shared" si="708"/>
        <v>8</v>
      </c>
      <c r="O2269" s="25">
        <f t="shared" si="709"/>
        <v>43647</v>
      </c>
      <c r="P2269" s="5" t="str">
        <f t="shared" si="710"/>
        <v>8.000,00</v>
      </c>
      <c r="Q2269" s="4" t="e">
        <f t="shared" ca="1" si="705"/>
        <v>#NAME?</v>
      </c>
    </row>
    <row r="2270" spans="1:17">
      <c r="A2270" s="1">
        <f t="shared" si="711"/>
        <v>2269</v>
      </c>
      <c r="C2270" s="8" t="s">
        <v>17</v>
      </c>
      <c r="D2270" s="2">
        <v>43689</v>
      </c>
      <c r="E2270" s="3">
        <v>10000</v>
      </c>
      <c r="F2270" t="s">
        <v>177</v>
      </c>
      <c r="G2270" t="s">
        <v>941</v>
      </c>
      <c r="H2270" t="s">
        <v>179</v>
      </c>
      <c r="I2270" s="6" t="s">
        <v>1039</v>
      </c>
      <c r="J2270" s="61" t="s">
        <v>22</v>
      </c>
      <c r="L2270" s="5" t="str">
        <f t="shared" si="706"/>
        <v>02269</v>
      </c>
      <c r="M2270" s="47" t="str">
        <f t="shared" si="707"/>
        <v>12 de agosto de 2019</v>
      </c>
      <c r="N2270" s="323">
        <f t="shared" si="708"/>
        <v>12</v>
      </c>
      <c r="O2270" s="25">
        <f t="shared" si="709"/>
        <v>43678</v>
      </c>
      <c r="P2270" s="5" t="str">
        <f t="shared" si="710"/>
        <v>10.000,00</v>
      </c>
      <c r="Q2270" s="4" t="e">
        <f t="shared" ca="1" si="705"/>
        <v>#NAME?</v>
      </c>
    </row>
    <row r="2271" spans="1:17">
      <c r="A2271" s="1">
        <f t="shared" si="711"/>
        <v>2270</v>
      </c>
      <c r="C2271" s="8" t="s">
        <v>17</v>
      </c>
      <c r="D2271" s="2">
        <v>43697</v>
      </c>
      <c r="E2271" s="3">
        <v>10000</v>
      </c>
      <c r="F2271" t="s">
        <v>296</v>
      </c>
      <c r="G2271" t="s">
        <v>297</v>
      </c>
      <c r="H2271" t="s">
        <v>298</v>
      </c>
      <c r="I2271" s="6" t="s">
        <v>1026</v>
      </c>
      <c r="J2271" s="61" t="s">
        <v>22</v>
      </c>
      <c r="L2271" s="5" t="str">
        <f t="shared" si="706"/>
        <v>02270</v>
      </c>
      <c r="M2271" s="47" t="str">
        <f t="shared" si="707"/>
        <v>20 de agosto de 2019</v>
      </c>
      <c r="N2271" s="323">
        <f t="shared" si="708"/>
        <v>20</v>
      </c>
      <c r="O2271" s="25">
        <f t="shared" si="709"/>
        <v>43678</v>
      </c>
      <c r="P2271" s="5" t="str">
        <f t="shared" si="710"/>
        <v>10.000,00</v>
      </c>
      <c r="Q2271" s="4" t="e">
        <f t="shared" ca="1" si="705"/>
        <v>#NAME?</v>
      </c>
    </row>
    <row r="2272" spans="1:17">
      <c r="A2272" s="1">
        <f t="shared" si="711"/>
        <v>2271</v>
      </c>
      <c r="C2272" s="8" t="s">
        <v>17</v>
      </c>
      <c r="D2272" s="2">
        <v>43698</v>
      </c>
      <c r="E2272" s="3">
        <v>10000</v>
      </c>
      <c r="F2272" t="s">
        <v>32</v>
      </c>
      <c r="G2272" t="s">
        <v>33</v>
      </c>
      <c r="H2272" t="s">
        <v>34</v>
      </c>
      <c r="I2272" s="6" t="s">
        <v>1007</v>
      </c>
      <c r="J2272" s="61" t="s">
        <v>22</v>
      </c>
      <c r="L2272" s="5" t="str">
        <f t="shared" si="706"/>
        <v>02271</v>
      </c>
      <c r="M2272" s="47" t="str">
        <f t="shared" si="707"/>
        <v>21 de agosto de 2019</v>
      </c>
      <c r="N2272" s="323">
        <f t="shared" si="708"/>
        <v>21</v>
      </c>
      <c r="O2272" s="25">
        <f t="shared" si="709"/>
        <v>43678</v>
      </c>
      <c r="P2272" s="5" t="str">
        <f t="shared" si="710"/>
        <v>10.000,00</v>
      </c>
      <c r="Q2272" s="4" t="e">
        <f t="shared" ca="1" si="705"/>
        <v>#NAME?</v>
      </c>
    </row>
    <row r="2273" spans="1:17">
      <c r="A2273" s="1">
        <f t="shared" si="711"/>
        <v>2272</v>
      </c>
      <c r="C2273" s="8" t="s">
        <v>17</v>
      </c>
      <c r="D2273" s="2">
        <v>43699</v>
      </c>
      <c r="E2273" s="3">
        <v>10000</v>
      </c>
      <c r="F2273" t="s">
        <v>633</v>
      </c>
      <c r="G2273" t="s">
        <v>634</v>
      </c>
      <c r="H2273" t="s">
        <v>635</v>
      </c>
      <c r="I2273" s="6" t="s">
        <v>1026</v>
      </c>
      <c r="J2273" s="61" t="s">
        <v>22</v>
      </c>
      <c r="L2273" s="5" t="str">
        <f t="shared" si="706"/>
        <v>02272</v>
      </c>
      <c r="M2273" s="47" t="str">
        <f t="shared" si="707"/>
        <v>22 de agosto de 2019</v>
      </c>
      <c r="N2273" s="323">
        <f t="shared" si="708"/>
        <v>22</v>
      </c>
      <c r="O2273" s="25">
        <f t="shared" si="709"/>
        <v>43678</v>
      </c>
      <c r="P2273" s="5" t="str">
        <f t="shared" si="710"/>
        <v>10.000,00</v>
      </c>
      <c r="Q2273" s="4" t="e">
        <f t="shared" ca="1" si="705"/>
        <v>#NAME?</v>
      </c>
    </row>
    <row r="2274" spans="1:17">
      <c r="A2274" s="1">
        <f t="shared" si="711"/>
        <v>2273</v>
      </c>
      <c r="C2274" s="8" t="s">
        <v>17</v>
      </c>
      <c r="D2274" s="2">
        <v>43699</v>
      </c>
      <c r="E2274" s="3">
        <v>10000</v>
      </c>
      <c r="F2274" t="s">
        <v>185</v>
      </c>
      <c r="G2274" t="s">
        <v>186</v>
      </c>
      <c r="H2274" t="s">
        <v>187</v>
      </c>
      <c r="I2274" s="6" t="s">
        <v>1026</v>
      </c>
      <c r="J2274" s="61" t="s">
        <v>22</v>
      </c>
      <c r="L2274" s="5" t="str">
        <f t="shared" si="706"/>
        <v>02273</v>
      </c>
      <c r="M2274" s="47" t="str">
        <f t="shared" si="707"/>
        <v>22 de agosto de 2019</v>
      </c>
      <c r="N2274" s="323">
        <f t="shared" si="708"/>
        <v>22</v>
      </c>
      <c r="O2274" s="25">
        <f t="shared" si="709"/>
        <v>43678</v>
      </c>
      <c r="P2274" s="5" t="str">
        <f t="shared" si="710"/>
        <v>10.000,00</v>
      </c>
      <c r="Q2274" s="4" t="e">
        <f t="shared" ca="1" si="705"/>
        <v>#NAME?</v>
      </c>
    </row>
    <row r="2275" spans="1:17">
      <c r="A2275" s="1">
        <f t="shared" si="711"/>
        <v>2274</v>
      </c>
      <c r="C2275" s="8" t="s">
        <v>17</v>
      </c>
      <c r="D2275" s="2">
        <v>43699</v>
      </c>
      <c r="E2275" s="3">
        <v>10000</v>
      </c>
      <c r="F2275" t="s">
        <v>211</v>
      </c>
      <c r="G2275" t="s">
        <v>212</v>
      </c>
      <c r="H2275" t="s">
        <v>213</v>
      </c>
      <c r="I2275" s="6" t="s">
        <v>1026</v>
      </c>
      <c r="J2275" s="61" t="s">
        <v>22</v>
      </c>
      <c r="L2275" s="5" t="str">
        <f t="shared" si="706"/>
        <v>02274</v>
      </c>
      <c r="M2275" s="47" t="str">
        <f t="shared" si="707"/>
        <v>22 de agosto de 2019</v>
      </c>
      <c r="N2275" s="323">
        <f t="shared" si="708"/>
        <v>22</v>
      </c>
      <c r="O2275" s="25">
        <f t="shared" si="709"/>
        <v>43678</v>
      </c>
      <c r="P2275" s="5" t="str">
        <f t="shared" si="710"/>
        <v>10.000,00</v>
      </c>
      <c r="Q2275" s="4" t="e">
        <f t="shared" ca="1" si="705"/>
        <v>#NAME?</v>
      </c>
    </row>
    <row r="2276" spans="1:17">
      <c r="A2276" s="1">
        <f t="shared" si="711"/>
        <v>2275</v>
      </c>
      <c r="C2276" s="8" t="s">
        <v>17</v>
      </c>
      <c r="D2276" s="2">
        <v>43700</v>
      </c>
      <c r="E2276" s="3">
        <v>5000</v>
      </c>
      <c r="F2276" t="s">
        <v>401</v>
      </c>
      <c r="G2276" t="s">
        <v>402</v>
      </c>
      <c r="H2276" t="s">
        <v>403</v>
      </c>
      <c r="I2276" s="6" t="s">
        <v>1027</v>
      </c>
      <c r="J2276" s="61" t="s">
        <v>22</v>
      </c>
      <c r="L2276" s="5" t="str">
        <f t="shared" si="706"/>
        <v>02275</v>
      </c>
      <c r="M2276" s="47" t="str">
        <f t="shared" si="707"/>
        <v>23 de agosto de 2019</v>
      </c>
      <c r="N2276" s="323">
        <f t="shared" si="708"/>
        <v>23</v>
      </c>
      <c r="O2276" s="25">
        <f t="shared" si="709"/>
        <v>43678</v>
      </c>
      <c r="P2276" s="5" t="str">
        <f t="shared" si="710"/>
        <v>5.000,00</v>
      </c>
      <c r="Q2276" s="4" t="e">
        <f t="shared" ca="1" si="705"/>
        <v>#NAME?</v>
      </c>
    </row>
    <row r="2277" spans="1:17">
      <c r="A2277" s="1">
        <f t="shared" si="711"/>
        <v>2276</v>
      </c>
      <c r="C2277" s="8" t="s">
        <v>17</v>
      </c>
      <c r="D2277" s="2">
        <v>43701</v>
      </c>
      <c r="E2277" s="3">
        <v>10000</v>
      </c>
      <c r="F2277" t="s">
        <v>126</v>
      </c>
      <c r="G2277" t="s">
        <v>127</v>
      </c>
      <c r="H2277" t="s">
        <v>128</v>
      </c>
      <c r="I2277" s="6" t="s">
        <v>1026</v>
      </c>
      <c r="J2277" s="61" t="s">
        <v>22</v>
      </c>
      <c r="L2277" s="5" t="str">
        <f t="shared" si="706"/>
        <v>02276</v>
      </c>
      <c r="M2277" s="47" t="str">
        <f t="shared" si="707"/>
        <v>24 de agosto de 2019</v>
      </c>
      <c r="N2277" s="323">
        <f t="shared" si="708"/>
        <v>24</v>
      </c>
      <c r="O2277" s="25">
        <f t="shared" si="709"/>
        <v>43678</v>
      </c>
      <c r="P2277" s="5" t="str">
        <f t="shared" si="710"/>
        <v>10.000,00</v>
      </c>
      <c r="Q2277" s="4" t="e">
        <f t="shared" ca="1" si="705"/>
        <v>#NAME?</v>
      </c>
    </row>
    <row r="2278" spans="1:17">
      <c r="A2278" s="1">
        <f t="shared" si="711"/>
        <v>2277</v>
      </c>
      <c r="C2278" s="8" t="s">
        <v>17</v>
      </c>
      <c r="D2278" s="2">
        <v>43702</v>
      </c>
      <c r="E2278" s="3">
        <v>20000</v>
      </c>
      <c r="F2278" t="s">
        <v>197</v>
      </c>
      <c r="G2278" t="s">
        <v>198</v>
      </c>
      <c r="H2278" t="s">
        <v>199</v>
      </c>
      <c r="I2278" s="6" t="s">
        <v>1025</v>
      </c>
      <c r="J2278" s="61" t="s">
        <v>22</v>
      </c>
      <c r="L2278" s="5" t="str">
        <f t="shared" si="706"/>
        <v>02277</v>
      </c>
      <c r="M2278" s="47" t="str">
        <f t="shared" si="707"/>
        <v>25 de agosto de 2019</v>
      </c>
      <c r="N2278" s="323">
        <f t="shared" si="708"/>
        <v>25</v>
      </c>
      <c r="O2278" s="25">
        <f t="shared" si="709"/>
        <v>43678</v>
      </c>
      <c r="P2278" s="5" t="str">
        <f t="shared" si="710"/>
        <v>20.000,00</v>
      </c>
      <c r="Q2278" s="4" t="e">
        <f t="shared" ca="1" si="705"/>
        <v>#NAME?</v>
      </c>
    </row>
    <row r="2279" spans="1:17">
      <c r="A2279" s="1">
        <f t="shared" si="711"/>
        <v>2278</v>
      </c>
      <c r="C2279" s="8" t="s">
        <v>17</v>
      </c>
      <c r="D2279" s="2">
        <v>43703</v>
      </c>
      <c r="E2279" s="3">
        <v>10000</v>
      </c>
      <c r="F2279" t="s">
        <v>1015</v>
      </c>
      <c r="G2279" t="s">
        <v>1016</v>
      </c>
      <c r="H2279" t="s">
        <v>59</v>
      </c>
      <c r="I2279" s="6" t="s">
        <v>1026</v>
      </c>
      <c r="J2279" s="61" t="s">
        <v>22</v>
      </c>
      <c r="L2279" s="5" t="str">
        <f t="shared" si="706"/>
        <v>02278</v>
      </c>
      <c r="M2279" s="47" t="str">
        <f t="shared" si="707"/>
        <v>26 de agosto de 2019</v>
      </c>
      <c r="N2279" s="323">
        <f t="shared" si="708"/>
        <v>26</v>
      </c>
      <c r="O2279" s="25">
        <f t="shared" si="709"/>
        <v>43678</v>
      </c>
      <c r="P2279" s="5" t="str">
        <f t="shared" si="710"/>
        <v>10.000,00</v>
      </c>
      <c r="Q2279" s="4" t="e">
        <f ca="1">CONVERTIRNUM(E2279)</f>
        <v>#NAME?</v>
      </c>
    </row>
    <row r="2280" spans="1:17">
      <c r="A2280" s="1">
        <f t="shared" si="711"/>
        <v>2279</v>
      </c>
      <c r="C2280" s="8" t="s">
        <v>17</v>
      </c>
      <c r="D2280" s="2">
        <v>43703</v>
      </c>
      <c r="E2280" s="3">
        <v>20000</v>
      </c>
      <c r="F2280" t="s">
        <v>53</v>
      </c>
      <c r="G2280" t="s">
        <v>677</v>
      </c>
      <c r="H2280" t="s">
        <v>55</v>
      </c>
      <c r="I2280" s="6" t="s">
        <v>1031</v>
      </c>
      <c r="J2280" s="61" t="s">
        <v>22</v>
      </c>
      <c r="L2280" s="5" t="str">
        <f t="shared" si="706"/>
        <v>02279</v>
      </c>
      <c r="M2280" s="47" t="str">
        <f t="shared" si="707"/>
        <v>26 de agosto de 2019</v>
      </c>
      <c r="N2280" s="323">
        <f t="shared" si="708"/>
        <v>26</v>
      </c>
      <c r="O2280" s="25">
        <f t="shared" si="709"/>
        <v>43678</v>
      </c>
      <c r="P2280" s="5" t="str">
        <f t="shared" si="710"/>
        <v>20.000,00</v>
      </c>
      <c r="Q2280" s="4" t="e">
        <f t="shared" ref="Q2280:Q2282" ca="1" si="712">CONVERTIRNUM(E2280)</f>
        <v>#NAME?</v>
      </c>
    </row>
    <row r="2281" spans="1:17">
      <c r="A2281" s="1">
        <f t="shared" si="711"/>
        <v>2280</v>
      </c>
      <c r="C2281" s="8" t="s">
        <v>17</v>
      </c>
      <c r="D2281" s="2">
        <v>43703</v>
      </c>
      <c r="E2281" s="3">
        <v>10000</v>
      </c>
      <c r="F2281" t="s">
        <v>53</v>
      </c>
      <c r="G2281" t="s">
        <v>677</v>
      </c>
      <c r="H2281" t="s">
        <v>55</v>
      </c>
      <c r="I2281" s="6" t="s">
        <v>732</v>
      </c>
      <c r="J2281" s="61" t="s">
        <v>733</v>
      </c>
      <c r="L2281" s="5" t="str">
        <f t="shared" si="706"/>
        <v>02280</v>
      </c>
      <c r="M2281" s="47" t="str">
        <f t="shared" si="707"/>
        <v>26 de agosto de 2019</v>
      </c>
      <c r="N2281" s="323">
        <f t="shared" si="708"/>
        <v>26</v>
      </c>
      <c r="O2281" s="25">
        <f t="shared" si="709"/>
        <v>43678</v>
      </c>
      <c r="P2281" s="5" t="str">
        <f t="shared" si="710"/>
        <v>10.000,00</v>
      </c>
      <c r="Q2281" s="4" t="e">
        <f t="shared" ca="1" si="712"/>
        <v>#NAME?</v>
      </c>
    </row>
    <row r="2282" spans="1:17" ht="15.75" thickBot="1">
      <c r="A2282" s="1">
        <f t="shared" si="711"/>
        <v>2281</v>
      </c>
      <c r="C2282" s="8" t="s">
        <v>17</v>
      </c>
      <c r="D2282" s="2">
        <v>43703</v>
      </c>
      <c r="E2282" s="3">
        <v>10000</v>
      </c>
      <c r="F2282" t="s">
        <v>935</v>
      </c>
      <c r="G2282" t="s">
        <v>936</v>
      </c>
      <c r="H2282" t="s">
        <v>150</v>
      </c>
      <c r="I2282" s="6" t="s">
        <v>1026</v>
      </c>
      <c r="J2282" s="61" t="s">
        <v>22</v>
      </c>
      <c r="L2282" s="5" t="str">
        <f t="shared" si="706"/>
        <v>02281</v>
      </c>
      <c r="M2282" s="47" t="str">
        <f t="shared" si="707"/>
        <v>26 de agosto de 2019</v>
      </c>
      <c r="N2282" s="323">
        <f t="shared" si="708"/>
        <v>26</v>
      </c>
      <c r="O2282" s="25">
        <f t="shared" si="709"/>
        <v>43678</v>
      </c>
      <c r="P2282" s="5" t="str">
        <f t="shared" si="710"/>
        <v>10.000,00</v>
      </c>
      <c r="Q2282" s="4" t="e">
        <f t="shared" ca="1" si="712"/>
        <v>#NAME?</v>
      </c>
    </row>
    <row r="2283" spans="1:17" ht="15.75" thickBot="1">
      <c r="A2283" s="1">
        <f t="shared" si="711"/>
        <v>2282</v>
      </c>
      <c r="C2283" s="8" t="s">
        <v>17</v>
      </c>
      <c r="D2283" s="2">
        <v>43704</v>
      </c>
      <c r="E2283" s="3">
        <v>10000</v>
      </c>
      <c r="F2283" t="s">
        <v>1017</v>
      </c>
      <c r="G2283" s="475" t="s">
        <v>1018</v>
      </c>
      <c r="H2283" t="s">
        <v>140</v>
      </c>
      <c r="I2283" s="6" t="s">
        <v>1026</v>
      </c>
      <c r="J2283" s="61" t="s">
        <v>22</v>
      </c>
      <c r="L2283" s="5" t="str">
        <f t="shared" si="706"/>
        <v>02282</v>
      </c>
      <c r="M2283" s="47" t="str">
        <f t="shared" si="707"/>
        <v>27 de agosto de 2019</v>
      </c>
      <c r="N2283" s="323">
        <f t="shared" si="708"/>
        <v>27</v>
      </c>
      <c r="O2283" s="25">
        <f t="shared" si="709"/>
        <v>43678</v>
      </c>
      <c r="P2283" s="5" t="str">
        <f t="shared" si="710"/>
        <v>10.000,00</v>
      </c>
      <c r="Q2283" s="4" t="e">
        <f t="shared" ca="1" si="705"/>
        <v>#NAME?</v>
      </c>
    </row>
    <row r="2284" spans="1:17" ht="15.75" thickBot="1">
      <c r="A2284" s="1">
        <f t="shared" si="711"/>
        <v>2283</v>
      </c>
      <c r="C2284" s="85" t="s">
        <v>17</v>
      </c>
      <c r="D2284" s="2">
        <v>43704</v>
      </c>
      <c r="E2284" s="162">
        <v>10000</v>
      </c>
      <c r="F2284" t="s">
        <v>492</v>
      </c>
      <c r="G2284" s="18" t="s">
        <v>58</v>
      </c>
      <c r="H2284" t="s">
        <v>493</v>
      </c>
      <c r="I2284" s="6" t="s">
        <v>1026</v>
      </c>
      <c r="J2284" s="61" t="s">
        <v>22</v>
      </c>
      <c r="L2284" s="5" t="str">
        <f t="shared" si="706"/>
        <v>02283</v>
      </c>
      <c r="M2284" s="47" t="str">
        <f t="shared" si="707"/>
        <v>27 de agosto de 2019</v>
      </c>
      <c r="N2284" s="323">
        <f t="shared" si="708"/>
        <v>27</v>
      </c>
      <c r="O2284" s="25">
        <f t="shared" si="709"/>
        <v>43678</v>
      </c>
      <c r="P2284" s="5" t="str">
        <f t="shared" si="710"/>
        <v>10.000,00</v>
      </c>
      <c r="Q2284" s="4" t="e">
        <f t="shared" ca="1" si="705"/>
        <v>#NAME?</v>
      </c>
    </row>
    <row r="2285" spans="1:17">
      <c r="A2285" s="1">
        <f t="shared" si="711"/>
        <v>2284</v>
      </c>
      <c r="C2285" s="8" t="s">
        <v>17</v>
      </c>
      <c r="D2285" s="2">
        <v>43704</v>
      </c>
      <c r="E2285" s="3">
        <v>10000</v>
      </c>
      <c r="F2285" t="s">
        <v>62</v>
      </c>
      <c r="G2285" t="s">
        <v>63</v>
      </c>
      <c r="H2285" t="s">
        <v>64</v>
      </c>
      <c r="I2285" s="6" t="s">
        <v>1026</v>
      </c>
      <c r="J2285" s="61" t="s">
        <v>22</v>
      </c>
      <c r="L2285" s="5" t="str">
        <f t="shared" si="706"/>
        <v>02284</v>
      </c>
      <c r="M2285" s="47" t="str">
        <f t="shared" si="707"/>
        <v>27 de agosto de 2019</v>
      </c>
      <c r="N2285" s="323">
        <f t="shared" si="708"/>
        <v>27</v>
      </c>
      <c r="O2285" s="25">
        <f t="shared" si="709"/>
        <v>43678</v>
      </c>
      <c r="P2285" s="5" t="str">
        <f t="shared" si="710"/>
        <v>10.000,00</v>
      </c>
      <c r="Q2285" s="4" t="e">
        <f t="shared" ca="1" si="705"/>
        <v>#NAME?</v>
      </c>
    </row>
    <row r="2286" spans="1:17" ht="15.75" thickBot="1">
      <c r="A2286" s="1">
        <f t="shared" si="711"/>
        <v>2285</v>
      </c>
      <c r="C2286" s="8" t="s">
        <v>17</v>
      </c>
      <c r="D2286" s="2">
        <v>43703</v>
      </c>
      <c r="E2286" s="3">
        <v>20000</v>
      </c>
      <c r="F2286" t="s">
        <v>284</v>
      </c>
      <c r="G2286" t="s">
        <v>687</v>
      </c>
      <c r="H2286" t="s">
        <v>285</v>
      </c>
      <c r="I2286" s="6" t="s">
        <v>1025</v>
      </c>
      <c r="J2286" s="61" t="s">
        <v>22</v>
      </c>
      <c r="L2286" s="5" t="str">
        <f t="shared" si="706"/>
        <v>02285</v>
      </c>
      <c r="M2286" s="47" t="str">
        <f t="shared" si="707"/>
        <v>26 de agosto de 2019</v>
      </c>
      <c r="N2286" s="323">
        <f t="shared" si="708"/>
        <v>26</v>
      </c>
      <c r="O2286" s="25">
        <f t="shared" si="709"/>
        <v>43678</v>
      </c>
      <c r="P2286" s="5" t="str">
        <f t="shared" si="710"/>
        <v>20.000,00</v>
      </c>
      <c r="Q2286" s="4" t="e">
        <f t="shared" ca="1" si="705"/>
        <v>#NAME?</v>
      </c>
    </row>
    <row r="2287" spans="1:17" ht="15.75" thickBot="1">
      <c r="A2287" s="1">
        <f t="shared" si="711"/>
        <v>2286</v>
      </c>
      <c r="C2287" s="8" t="s">
        <v>17</v>
      </c>
      <c r="D2287" s="2">
        <v>43705</v>
      </c>
      <c r="E2287" s="3">
        <v>10000</v>
      </c>
      <c r="F2287" t="s">
        <v>252</v>
      </c>
      <c r="G2287" s="475" t="s">
        <v>958</v>
      </c>
      <c r="H2287" t="s">
        <v>254</v>
      </c>
      <c r="I2287" s="6" t="s">
        <v>1035</v>
      </c>
      <c r="J2287" s="61" t="s">
        <v>22</v>
      </c>
      <c r="L2287" s="5" t="str">
        <f t="shared" si="706"/>
        <v>02286</v>
      </c>
      <c r="M2287" s="47" t="str">
        <f t="shared" si="707"/>
        <v>28 de agosto de 2019</v>
      </c>
      <c r="N2287" s="323">
        <f t="shared" si="708"/>
        <v>28</v>
      </c>
      <c r="O2287" s="25">
        <f t="shared" si="709"/>
        <v>43678</v>
      </c>
      <c r="P2287" s="5" t="str">
        <f t="shared" si="710"/>
        <v>10.000,00</v>
      </c>
      <c r="Q2287" s="4" t="e">
        <f t="shared" ca="1" si="705"/>
        <v>#NAME?</v>
      </c>
    </row>
    <row r="2288" spans="1:17">
      <c r="A2288" s="1">
        <f t="shared" si="711"/>
        <v>2287</v>
      </c>
      <c r="C2288" s="8" t="s">
        <v>17</v>
      </c>
      <c r="D2288" s="2">
        <v>43699</v>
      </c>
      <c r="E2288" s="3">
        <v>12000</v>
      </c>
      <c r="F2288" t="s">
        <v>843</v>
      </c>
      <c r="G2288" t="s">
        <v>844</v>
      </c>
      <c r="H2288" t="s">
        <v>169</v>
      </c>
      <c r="I2288" s="6" t="s">
        <v>1040</v>
      </c>
      <c r="J2288" s="61" t="s">
        <v>22</v>
      </c>
      <c r="L2288" s="5" t="str">
        <f t="shared" si="706"/>
        <v>02287</v>
      </c>
      <c r="M2288" s="47" t="str">
        <f t="shared" si="707"/>
        <v>22 de agosto de 2019</v>
      </c>
      <c r="N2288" s="323">
        <f t="shared" si="708"/>
        <v>22</v>
      </c>
      <c r="O2288" s="25">
        <f t="shared" si="709"/>
        <v>43678</v>
      </c>
      <c r="P2288" s="5" t="str">
        <f t="shared" si="710"/>
        <v>12.000,00</v>
      </c>
      <c r="Q2288" s="4" t="e">
        <f t="shared" ca="1" si="705"/>
        <v>#NAME?</v>
      </c>
    </row>
    <row r="2289" spans="1:17">
      <c r="A2289" s="1">
        <f t="shared" si="711"/>
        <v>2288</v>
      </c>
      <c r="C2289" s="8" t="s">
        <v>17</v>
      </c>
      <c r="D2289" s="2">
        <v>43704</v>
      </c>
      <c r="E2289" s="3">
        <v>10000</v>
      </c>
      <c r="F2289" t="s">
        <v>103</v>
      </c>
      <c r="G2289" t="s">
        <v>104</v>
      </c>
      <c r="H2289" t="s">
        <v>105</v>
      </c>
      <c r="I2289" s="6" t="s">
        <v>1026</v>
      </c>
      <c r="J2289" s="61" t="s">
        <v>22</v>
      </c>
      <c r="L2289" s="5" t="str">
        <f t="shared" si="706"/>
        <v>02288</v>
      </c>
      <c r="M2289" s="47" t="str">
        <f t="shared" si="707"/>
        <v>27 de agosto de 2019</v>
      </c>
      <c r="N2289" s="323">
        <f t="shared" si="708"/>
        <v>27</v>
      </c>
      <c r="O2289" s="25">
        <f t="shared" si="709"/>
        <v>43678</v>
      </c>
      <c r="P2289" s="5" t="str">
        <f t="shared" si="710"/>
        <v>10.000,00</v>
      </c>
      <c r="Q2289" s="4" t="e">
        <f t="shared" ca="1" si="705"/>
        <v>#NAME?</v>
      </c>
    </row>
    <row r="2290" spans="1:17">
      <c r="A2290" s="1">
        <f t="shared" si="711"/>
        <v>2289</v>
      </c>
      <c r="C2290" s="8" t="s">
        <v>17</v>
      </c>
      <c r="D2290" s="2">
        <v>43696</v>
      </c>
      <c r="E2290" s="3">
        <v>10000</v>
      </c>
      <c r="F2290" t="s">
        <v>1004</v>
      </c>
      <c r="G2290" t="s">
        <v>1005</v>
      </c>
      <c r="H2290" t="s">
        <v>539</v>
      </c>
      <c r="I2290" s="6" t="s">
        <v>1026</v>
      </c>
      <c r="J2290" s="61" t="s">
        <v>22</v>
      </c>
      <c r="L2290" s="5" t="str">
        <f t="shared" si="706"/>
        <v>02289</v>
      </c>
      <c r="M2290" s="47" t="str">
        <f t="shared" si="707"/>
        <v>19 de agosto de 2019</v>
      </c>
      <c r="N2290" s="323">
        <f t="shared" si="708"/>
        <v>19</v>
      </c>
      <c r="O2290" s="25">
        <f t="shared" si="709"/>
        <v>43678</v>
      </c>
      <c r="P2290" s="5" t="str">
        <f t="shared" si="710"/>
        <v>10.000,00</v>
      </c>
      <c r="Q2290" s="4" t="e">
        <f t="shared" ca="1" si="705"/>
        <v>#NAME?</v>
      </c>
    </row>
    <row r="2291" spans="1:17" ht="15.75" thickBot="1">
      <c r="A2291" s="1">
        <f t="shared" si="711"/>
        <v>2290</v>
      </c>
      <c r="C2291" s="8" t="s">
        <v>17</v>
      </c>
      <c r="D2291" s="2">
        <v>43705</v>
      </c>
      <c r="E2291" s="3">
        <v>10000</v>
      </c>
      <c r="F2291" t="s">
        <v>612</v>
      </c>
      <c r="G2291" t="s">
        <v>613</v>
      </c>
      <c r="H2291" t="s">
        <v>614</v>
      </c>
      <c r="I2291" s="6" t="s">
        <v>1026</v>
      </c>
      <c r="J2291" s="61" t="s">
        <v>22</v>
      </c>
      <c r="L2291" s="5" t="str">
        <f t="shared" si="706"/>
        <v>02290</v>
      </c>
      <c r="M2291" s="47" t="str">
        <f t="shared" si="707"/>
        <v>28 de agosto de 2019</v>
      </c>
      <c r="N2291" s="323">
        <f t="shared" si="708"/>
        <v>28</v>
      </c>
      <c r="O2291" s="25">
        <f t="shared" si="709"/>
        <v>43678</v>
      </c>
      <c r="P2291" s="5" t="str">
        <f t="shared" si="710"/>
        <v>10.000,00</v>
      </c>
      <c r="Q2291" s="4" t="e">
        <f t="shared" ref="Q2291:Q2305" ca="1" si="713">CONVERTIRNUM(E2291)</f>
        <v>#NAME?</v>
      </c>
    </row>
    <row r="2292" spans="1:17" ht="15.75" thickBot="1">
      <c r="A2292" s="1">
        <f t="shared" si="711"/>
        <v>2291</v>
      </c>
      <c r="C2292" s="8" t="s">
        <v>17</v>
      </c>
      <c r="D2292" s="2">
        <v>43705</v>
      </c>
      <c r="E2292" s="3">
        <v>10000</v>
      </c>
      <c r="F2292" t="s">
        <v>239</v>
      </c>
      <c r="G2292" s="73" t="s">
        <v>240</v>
      </c>
      <c r="H2292" t="s">
        <v>241</v>
      </c>
      <c r="I2292" s="6" t="s">
        <v>1026</v>
      </c>
      <c r="J2292" s="61" t="s">
        <v>22</v>
      </c>
      <c r="L2292" s="5" t="str">
        <f t="shared" si="706"/>
        <v>02291</v>
      </c>
      <c r="M2292" s="47" t="str">
        <f t="shared" si="707"/>
        <v>28 de agosto de 2019</v>
      </c>
      <c r="N2292" s="323">
        <f t="shared" si="708"/>
        <v>28</v>
      </c>
      <c r="O2292" s="25">
        <f t="shared" si="709"/>
        <v>43678</v>
      </c>
      <c r="P2292" s="5" t="str">
        <f t="shared" si="710"/>
        <v>10.000,00</v>
      </c>
      <c r="Q2292" s="4" t="e">
        <f t="shared" ca="1" si="713"/>
        <v>#NAME?</v>
      </c>
    </row>
    <row r="2293" spans="1:17">
      <c r="A2293" s="1">
        <f t="shared" si="711"/>
        <v>2292</v>
      </c>
      <c r="C2293" s="8" t="s">
        <v>17</v>
      </c>
      <c r="D2293" s="2">
        <v>43705</v>
      </c>
      <c r="E2293" s="3">
        <v>20000</v>
      </c>
      <c r="F2293" t="s">
        <v>243</v>
      </c>
      <c r="G2293" t="s">
        <v>244</v>
      </c>
      <c r="H2293" t="s">
        <v>245</v>
      </c>
      <c r="I2293" s="6" t="s">
        <v>1031</v>
      </c>
      <c r="J2293" s="61" t="s">
        <v>22</v>
      </c>
      <c r="L2293" s="5" t="str">
        <f>IF(ISBLANK(A2293),"",TEXT(A2293,"00000"))</f>
        <v>02292</v>
      </c>
      <c r="M2293" s="47" t="str">
        <f>IF(ISBLANK(D2293),"",TEXT(D2293,"dd")&amp;" de "&amp;TEXT(D2293,"mmmm")&amp;" de "&amp;TEXT(YEAR(D2293),"0"))</f>
        <v>28 de agosto de 2019</v>
      </c>
      <c r="N2293" s="323">
        <f t="shared" si="708"/>
        <v>28</v>
      </c>
      <c r="O2293" s="25">
        <f>DATE(YEAR(D2293),MONTH(D2293),1)</f>
        <v>43678</v>
      </c>
      <c r="P2293" s="5" t="str">
        <f t="shared" si="710"/>
        <v>20.000,00</v>
      </c>
      <c r="Q2293" s="4" t="e">
        <f t="shared" ca="1" si="713"/>
        <v>#NAME?</v>
      </c>
    </row>
    <row r="2294" spans="1:17">
      <c r="A2294" s="1">
        <f t="shared" si="711"/>
        <v>2293</v>
      </c>
      <c r="C2294" s="8" t="s">
        <v>17</v>
      </c>
      <c r="D2294" s="2">
        <v>43706</v>
      </c>
      <c r="E2294" s="3">
        <v>10000</v>
      </c>
      <c r="F2294" t="s">
        <v>417</v>
      </c>
      <c r="G2294" t="s">
        <v>418</v>
      </c>
      <c r="H2294" t="s">
        <v>419</v>
      </c>
      <c r="I2294" s="6" t="s">
        <v>1026</v>
      </c>
      <c r="J2294" s="61" t="s">
        <v>22</v>
      </c>
      <c r="L2294" s="5" t="str">
        <f t="shared" ref="L2294:L2305" si="714">IF(ISBLANK(A2294),"",TEXT(A2294,"00000"))</f>
        <v>02293</v>
      </c>
      <c r="M2294" s="47" t="str">
        <f t="shared" ref="M2294:M2305" si="715">IF(ISBLANK(D2294),"",TEXT(D2294,"dd")&amp;" de "&amp;TEXT(D2294,"mmmm")&amp;" de "&amp;TEXT(YEAR(D2294),"0"))</f>
        <v>29 de agosto de 2019</v>
      </c>
      <c r="N2294" s="323">
        <f t="shared" si="708"/>
        <v>29</v>
      </c>
      <c r="O2294" s="25">
        <f t="shared" ref="O2294:O2305" si="716">DATE(YEAR(D2294),MONTH(D2294),1)</f>
        <v>43678</v>
      </c>
      <c r="P2294" s="5" t="str">
        <f t="shared" si="710"/>
        <v>10.000,00</v>
      </c>
      <c r="Q2294" s="4" t="e">
        <f t="shared" ca="1" si="713"/>
        <v>#NAME?</v>
      </c>
    </row>
    <row r="2295" spans="1:17" ht="15.75" thickBot="1">
      <c r="A2295" s="1">
        <f t="shared" si="711"/>
        <v>2294</v>
      </c>
      <c r="C2295" s="8" t="s">
        <v>17</v>
      </c>
      <c r="D2295" s="2">
        <v>43706</v>
      </c>
      <c r="E2295" s="3">
        <v>5000</v>
      </c>
      <c r="F2295" t="s">
        <v>433</v>
      </c>
      <c r="G2295" t="s">
        <v>434</v>
      </c>
      <c r="H2295" t="s">
        <v>435</v>
      </c>
      <c r="I2295" s="6" t="s">
        <v>1027</v>
      </c>
      <c r="J2295" s="61" t="s">
        <v>22</v>
      </c>
      <c r="L2295" s="5" t="str">
        <f t="shared" si="714"/>
        <v>02294</v>
      </c>
      <c r="M2295" s="47" t="str">
        <f t="shared" si="715"/>
        <v>29 de agosto de 2019</v>
      </c>
      <c r="N2295" s="323">
        <f t="shared" si="708"/>
        <v>29</v>
      </c>
      <c r="O2295" s="25">
        <f t="shared" si="716"/>
        <v>43678</v>
      </c>
      <c r="P2295" s="5" t="str">
        <f t="shared" si="710"/>
        <v>5.000,00</v>
      </c>
      <c r="Q2295" s="4" t="e">
        <f t="shared" ca="1" si="713"/>
        <v>#NAME?</v>
      </c>
    </row>
    <row r="2296" spans="1:17" ht="15.75" thickBot="1">
      <c r="A2296" s="1">
        <f t="shared" si="711"/>
        <v>2295</v>
      </c>
      <c r="C2296" s="8" t="s">
        <v>17</v>
      </c>
      <c r="D2296" s="2">
        <v>43706</v>
      </c>
      <c r="E2296" s="3">
        <v>30000</v>
      </c>
      <c r="F2296" t="s">
        <v>90</v>
      </c>
      <c r="G2296" s="475" t="s">
        <v>978</v>
      </c>
      <c r="H2296" t="s">
        <v>92</v>
      </c>
      <c r="I2296" s="6" t="s">
        <v>1031</v>
      </c>
      <c r="J2296" s="61" t="s">
        <v>22</v>
      </c>
      <c r="L2296" s="5" t="str">
        <f t="shared" si="714"/>
        <v>02295</v>
      </c>
      <c r="M2296" s="47" t="str">
        <f t="shared" si="715"/>
        <v>29 de agosto de 2019</v>
      </c>
      <c r="N2296" s="323">
        <f t="shared" si="708"/>
        <v>29</v>
      </c>
      <c r="O2296" s="25">
        <f t="shared" si="716"/>
        <v>43678</v>
      </c>
      <c r="P2296" s="5" t="str">
        <f t="shared" si="710"/>
        <v>30.000,00</v>
      </c>
      <c r="Q2296" s="4" t="e">
        <f t="shared" ca="1" si="713"/>
        <v>#NAME?</v>
      </c>
    </row>
    <row r="2297" spans="1:17">
      <c r="A2297" s="1">
        <f t="shared" si="711"/>
        <v>2296</v>
      </c>
      <c r="C2297" s="8" t="s">
        <v>17</v>
      </c>
      <c r="D2297" s="2">
        <v>43706</v>
      </c>
      <c r="E2297" s="3">
        <v>10000</v>
      </c>
      <c r="F2297" t="s">
        <v>334</v>
      </c>
      <c r="G2297" t="s">
        <v>85</v>
      </c>
      <c r="H2297" t="s">
        <v>335</v>
      </c>
      <c r="I2297" s="6" t="s">
        <v>1035</v>
      </c>
      <c r="J2297" s="61" t="s">
        <v>22</v>
      </c>
      <c r="L2297" s="5" t="str">
        <f t="shared" si="714"/>
        <v>02296</v>
      </c>
      <c r="M2297" s="47" t="str">
        <f t="shared" si="715"/>
        <v>29 de agosto de 2019</v>
      </c>
      <c r="N2297" s="323">
        <f t="shared" si="708"/>
        <v>29</v>
      </c>
      <c r="O2297" s="25">
        <f t="shared" si="716"/>
        <v>43678</v>
      </c>
      <c r="P2297" s="5" t="str">
        <f t="shared" si="710"/>
        <v>10.000,00</v>
      </c>
      <c r="Q2297" s="4" t="e">
        <f t="shared" ca="1" si="713"/>
        <v>#NAME?</v>
      </c>
    </row>
    <row r="2298" spans="1:17">
      <c r="A2298" s="1">
        <f t="shared" si="711"/>
        <v>2297</v>
      </c>
      <c r="C2298" s="8" t="s">
        <v>17</v>
      </c>
      <c r="D2298" s="2">
        <v>43706</v>
      </c>
      <c r="E2298" s="3">
        <v>10000</v>
      </c>
      <c r="F2298" t="s">
        <v>84</v>
      </c>
      <c r="G2298" t="s">
        <v>85</v>
      </c>
      <c r="H2298" t="s">
        <v>86</v>
      </c>
      <c r="I2298" s="6" t="s">
        <v>1035</v>
      </c>
      <c r="J2298" s="61" t="s">
        <v>22</v>
      </c>
      <c r="L2298" s="5" t="str">
        <f t="shared" si="714"/>
        <v>02297</v>
      </c>
      <c r="M2298" s="47" t="str">
        <f t="shared" si="715"/>
        <v>29 de agosto de 2019</v>
      </c>
      <c r="N2298" s="323">
        <f t="shared" si="708"/>
        <v>29</v>
      </c>
      <c r="O2298" s="25">
        <f t="shared" si="716"/>
        <v>43678</v>
      </c>
      <c r="P2298" s="5" t="str">
        <f t="shared" si="710"/>
        <v>10.000,00</v>
      </c>
      <c r="Q2298" s="4" t="e">
        <f t="shared" ca="1" si="713"/>
        <v>#NAME?</v>
      </c>
    </row>
    <row r="2299" spans="1:17">
      <c r="A2299" s="1">
        <f t="shared" si="711"/>
        <v>2298</v>
      </c>
      <c r="C2299" s="8" t="s">
        <v>17</v>
      </c>
      <c r="D2299" s="2">
        <v>43707</v>
      </c>
      <c r="E2299" s="3">
        <v>10000</v>
      </c>
      <c r="F2299" t="s">
        <v>454</v>
      </c>
      <c r="G2299" t="s">
        <v>761</v>
      </c>
      <c r="H2299" t="s">
        <v>455</v>
      </c>
      <c r="I2299" s="6" t="s">
        <v>1026</v>
      </c>
      <c r="J2299" s="61" t="s">
        <v>22</v>
      </c>
      <c r="L2299" s="5" t="str">
        <f t="shared" si="714"/>
        <v>02298</v>
      </c>
      <c r="M2299" s="47" t="str">
        <f t="shared" si="715"/>
        <v>30 de agosto de 2019</v>
      </c>
      <c r="N2299" s="323">
        <f t="shared" si="708"/>
        <v>30</v>
      </c>
      <c r="O2299" s="25">
        <f t="shared" si="716"/>
        <v>43678</v>
      </c>
      <c r="P2299" s="5" t="str">
        <f t="shared" si="710"/>
        <v>10.000,00</v>
      </c>
      <c r="Q2299" s="4" t="e">
        <f t="shared" ca="1" si="713"/>
        <v>#NAME?</v>
      </c>
    </row>
    <row r="2300" spans="1:17">
      <c r="A2300" s="1">
        <f t="shared" si="711"/>
        <v>2299</v>
      </c>
      <c r="C2300" s="8" t="s">
        <v>17</v>
      </c>
      <c r="D2300" s="2">
        <v>43707</v>
      </c>
      <c r="E2300" s="3">
        <v>10000</v>
      </c>
      <c r="F2300" t="s">
        <v>118</v>
      </c>
      <c r="G2300" t="s">
        <v>119</v>
      </c>
      <c r="H2300" t="s">
        <v>120</v>
      </c>
      <c r="I2300" s="6" t="s">
        <v>1026</v>
      </c>
      <c r="J2300" s="61" t="s">
        <v>22</v>
      </c>
      <c r="L2300" s="5" t="str">
        <f t="shared" si="714"/>
        <v>02299</v>
      </c>
      <c r="M2300" s="47" t="str">
        <f t="shared" si="715"/>
        <v>30 de agosto de 2019</v>
      </c>
      <c r="N2300" s="323">
        <f t="shared" si="708"/>
        <v>30</v>
      </c>
      <c r="O2300" s="25">
        <f t="shared" si="716"/>
        <v>43678</v>
      </c>
      <c r="P2300" s="5" t="str">
        <f t="shared" si="710"/>
        <v>10.000,00</v>
      </c>
      <c r="Q2300" s="4" t="e">
        <f t="shared" ca="1" si="713"/>
        <v>#NAME?</v>
      </c>
    </row>
    <row r="2301" spans="1:17">
      <c r="A2301" s="1">
        <f>A2300+1</f>
        <v>2300</v>
      </c>
      <c r="C2301" s="8" t="s">
        <v>17</v>
      </c>
      <c r="D2301" s="2">
        <v>43707</v>
      </c>
      <c r="E2301" s="3">
        <v>24200</v>
      </c>
      <c r="F2301" t="s">
        <v>70</v>
      </c>
      <c r="G2301" t="s">
        <v>71</v>
      </c>
      <c r="H2301" t="s">
        <v>72</v>
      </c>
      <c r="I2301" s="6" t="s">
        <v>1041</v>
      </c>
      <c r="J2301" s="61" t="s">
        <v>22</v>
      </c>
      <c r="L2301" s="5" t="str">
        <f t="shared" si="714"/>
        <v>02300</v>
      </c>
      <c r="M2301" s="47" t="str">
        <f t="shared" si="715"/>
        <v>30 de agosto de 2019</v>
      </c>
      <c r="N2301" s="323">
        <f t="shared" ref="N2301:N2345" si="717">DAY(D2301)</f>
        <v>30</v>
      </c>
      <c r="O2301" s="25">
        <f t="shared" si="716"/>
        <v>43678</v>
      </c>
      <c r="P2301" s="5" t="str">
        <f t="shared" ref="P2301:P2336" si="718">TEXT(E2301,"#.##0,00")</f>
        <v>24.200,00</v>
      </c>
      <c r="Q2301" s="4" t="e">
        <f t="shared" ca="1" si="713"/>
        <v>#NAME?</v>
      </c>
    </row>
    <row r="2302" spans="1:17">
      <c r="A2302" s="1">
        <f t="shared" si="711"/>
        <v>2301</v>
      </c>
      <c r="C2302" s="8" t="s">
        <v>17</v>
      </c>
      <c r="D2302" s="2">
        <v>43707</v>
      </c>
      <c r="E2302" s="3">
        <v>10000</v>
      </c>
      <c r="F2302" t="s">
        <v>32</v>
      </c>
      <c r="G2302" t="s">
        <v>33</v>
      </c>
      <c r="H2302" t="s">
        <v>34</v>
      </c>
      <c r="I2302" s="6" t="s">
        <v>1026</v>
      </c>
      <c r="J2302" s="61" t="s">
        <v>22</v>
      </c>
      <c r="L2302" s="5" t="str">
        <f t="shared" si="714"/>
        <v>02301</v>
      </c>
      <c r="M2302" s="47" t="str">
        <f t="shared" si="715"/>
        <v>30 de agosto de 2019</v>
      </c>
      <c r="N2302" s="323">
        <f t="shared" si="717"/>
        <v>30</v>
      </c>
      <c r="O2302" s="25">
        <f t="shared" si="716"/>
        <v>43678</v>
      </c>
      <c r="P2302" s="5" t="str">
        <f t="shared" si="718"/>
        <v>10.000,00</v>
      </c>
      <c r="Q2302" s="4" t="e">
        <f t="shared" ca="1" si="713"/>
        <v>#NAME?</v>
      </c>
    </row>
    <row r="2303" spans="1:17">
      <c r="A2303" s="1">
        <f t="shared" si="711"/>
        <v>2302</v>
      </c>
      <c r="C2303" s="8" t="s">
        <v>17</v>
      </c>
      <c r="D2303" s="2">
        <v>43710</v>
      </c>
      <c r="E2303" s="3">
        <v>10000</v>
      </c>
      <c r="F2303" t="s">
        <v>412</v>
      </c>
      <c r="G2303" t="s">
        <v>413</v>
      </c>
      <c r="H2303" t="s">
        <v>414</v>
      </c>
      <c r="I2303" s="6" t="s">
        <v>1026</v>
      </c>
      <c r="J2303" s="61" t="s">
        <v>22</v>
      </c>
      <c r="L2303" s="5" t="str">
        <f t="shared" si="714"/>
        <v>02302</v>
      </c>
      <c r="M2303" s="47" t="str">
        <f t="shared" si="715"/>
        <v>02 de septiembre de 2019</v>
      </c>
      <c r="N2303" s="323">
        <f t="shared" si="717"/>
        <v>2</v>
      </c>
      <c r="O2303" s="25">
        <f t="shared" si="716"/>
        <v>43709</v>
      </c>
      <c r="P2303" s="5" t="str">
        <f t="shared" si="718"/>
        <v>10.000,00</v>
      </c>
      <c r="Q2303" s="4" t="e">
        <f t="shared" ca="1" si="713"/>
        <v>#NAME?</v>
      </c>
    </row>
    <row r="2304" spans="1:17">
      <c r="A2304" s="1">
        <f t="shared" si="711"/>
        <v>2303</v>
      </c>
      <c r="C2304" s="8" t="s">
        <v>17</v>
      </c>
      <c r="D2304" s="2">
        <v>43711</v>
      </c>
      <c r="E2304" s="3">
        <v>23400</v>
      </c>
      <c r="F2304" t="s">
        <v>201</v>
      </c>
      <c r="G2304" t="s">
        <v>202</v>
      </c>
      <c r="H2304" t="s">
        <v>203</v>
      </c>
      <c r="I2304" s="6" t="s">
        <v>1035</v>
      </c>
      <c r="J2304" s="61" t="s">
        <v>22</v>
      </c>
      <c r="L2304" s="5" t="str">
        <f t="shared" si="714"/>
        <v>02303</v>
      </c>
      <c r="M2304" s="47" t="str">
        <f t="shared" si="715"/>
        <v>03 de septiembre de 2019</v>
      </c>
      <c r="N2304" s="323">
        <f t="shared" si="717"/>
        <v>3</v>
      </c>
      <c r="O2304" s="25">
        <f t="shared" si="716"/>
        <v>43709</v>
      </c>
      <c r="P2304" s="5" t="str">
        <f t="shared" si="718"/>
        <v>23.400,00</v>
      </c>
      <c r="Q2304" s="4" t="e">
        <f t="shared" ca="1" si="713"/>
        <v>#NAME?</v>
      </c>
    </row>
    <row r="2305" spans="1:17">
      <c r="A2305" s="1">
        <f t="shared" si="711"/>
        <v>2304</v>
      </c>
      <c r="C2305" s="8" t="s">
        <v>17</v>
      </c>
      <c r="D2305" s="2">
        <v>43711</v>
      </c>
      <c r="E2305" s="3">
        <v>23400</v>
      </c>
      <c r="F2305" t="s">
        <v>947</v>
      </c>
      <c r="G2305" t="s">
        <v>948</v>
      </c>
      <c r="H2305" t="s">
        <v>949</v>
      </c>
      <c r="I2305" s="6" t="s">
        <v>1035</v>
      </c>
      <c r="J2305" s="61" t="s">
        <v>22</v>
      </c>
      <c r="L2305" s="5" t="str">
        <f t="shared" si="714"/>
        <v>02304</v>
      </c>
      <c r="M2305" s="47" t="str">
        <f t="shared" si="715"/>
        <v>03 de septiembre de 2019</v>
      </c>
      <c r="N2305" s="323">
        <f t="shared" si="717"/>
        <v>3</v>
      </c>
      <c r="O2305" s="25">
        <f t="shared" si="716"/>
        <v>43709</v>
      </c>
      <c r="P2305" s="5" t="str">
        <f t="shared" si="718"/>
        <v>23.400,00</v>
      </c>
      <c r="Q2305" s="4" t="e">
        <f t="shared" ca="1" si="713"/>
        <v>#NAME?</v>
      </c>
    </row>
    <row r="2306" spans="1:17">
      <c r="A2306" s="1">
        <f t="shared" si="711"/>
        <v>2305</v>
      </c>
      <c r="C2306" s="8" t="s">
        <v>17</v>
      </c>
      <c r="D2306" s="2">
        <v>43711</v>
      </c>
      <c r="E2306" s="3">
        <v>13400</v>
      </c>
      <c r="F2306" t="s">
        <v>243</v>
      </c>
      <c r="G2306" t="s">
        <v>244</v>
      </c>
      <c r="H2306" t="s">
        <v>245</v>
      </c>
      <c r="I2306" s="6" t="s">
        <v>1042</v>
      </c>
      <c r="J2306" s="61" t="s">
        <v>22</v>
      </c>
      <c r="L2306" s="5" t="str">
        <f>IF(ISBLANK(A2306),"",TEXT(A2306,"00000"))</f>
        <v>02305</v>
      </c>
      <c r="M2306" s="47" t="str">
        <f>IF(ISBLANK(D2306),"",TEXT(D2306,"dd")&amp;" de "&amp;TEXT(D2306,"mmmm")&amp;" de "&amp;TEXT(YEAR(D2306),"0"))</f>
        <v>03 de septiembre de 2019</v>
      </c>
      <c r="N2306" s="323">
        <f t="shared" si="717"/>
        <v>3</v>
      </c>
      <c r="O2306" s="25">
        <f>DATE(YEAR(D2306),MONTH(D2306),1)</f>
        <v>43709</v>
      </c>
      <c r="P2306" s="5" t="str">
        <f t="shared" si="718"/>
        <v>13.400,00</v>
      </c>
      <c r="Q2306" s="4" t="e">
        <f t="shared" ref="Q2306:Q2314" ca="1" si="719">CONVERTIRNUM(E2306)</f>
        <v>#NAME?</v>
      </c>
    </row>
    <row r="2307" spans="1:17">
      <c r="A2307" s="1">
        <f t="shared" si="711"/>
        <v>2306</v>
      </c>
      <c r="C2307" s="8" t="s">
        <v>17</v>
      </c>
      <c r="D2307" s="2">
        <v>43711</v>
      </c>
      <c r="E2307" s="3">
        <v>23400</v>
      </c>
      <c r="F2307" t="s">
        <v>18</v>
      </c>
      <c r="G2307" t="s">
        <v>19</v>
      </c>
      <c r="H2307" t="s">
        <v>20</v>
      </c>
      <c r="I2307" s="6" t="s">
        <v>1043</v>
      </c>
      <c r="J2307" s="61" t="s">
        <v>22</v>
      </c>
      <c r="L2307" s="5" t="str">
        <f t="shared" ref="L2307:L2313" si="720">IF(ISBLANK(A2307),"",TEXT(A2307,"00000"))</f>
        <v>02306</v>
      </c>
      <c r="M2307" s="47" t="str">
        <f t="shared" ref="M2307:M2313" si="721">IF(ISBLANK(D2307),"",TEXT(D2307,"dd")&amp;" de "&amp;TEXT(D2307,"mmmm")&amp;" de "&amp;TEXT(YEAR(D2307),"0"))</f>
        <v>03 de septiembre de 2019</v>
      </c>
      <c r="N2307" s="323">
        <f t="shared" si="717"/>
        <v>3</v>
      </c>
      <c r="O2307" s="25">
        <f t="shared" ref="O2307:O2313" si="722">DATE(YEAR(D2307),MONTH(D2307),1)</f>
        <v>43709</v>
      </c>
      <c r="P2307" s="5" t="str">
        <f t="shared" si="718"/>
        <v>23.400,00</v>
      </c>
      <c r="Q2307" s="4" t="e">
        <f t="shared" ca="1" si="719"/>
        <v>#NAME?</v>
      </c>
    </row>
    <row r="2308" spans="1:17">
      <c r="A2308" s="1">
        <f t="shared" si="711"/>
        <v>2307</v>
      </c>
      <c r="C2308" s="8" t="s">
        <v>17</v>
      </c>
      <c r="D2308" s="2">
        <v>43711</v>
      </c>
      <c r="E2308" s="3">
        <v>23400</v>
      </c>
      <c r="F2308" t="s">
        <v>438</v>
      </c>
      <c r="G2308" t="s">
        <v>439</v>
      </c>
      <c r="H2308" t="s">
        <v>440</v>
      </c>
      <c r="I2308" s="6" t="s">
        <v>1044</v>
      </c>
      <c r="J2308" s="61" t="s">
        <v>22</v>
      </c>
      <c r="L2308" s="5" t="str">
        <f t="shared" si="720"/>
        <v>02307</v>
      </c>
      <c r="M2308" s="47" t="str">
        <f t="shared" si="721"/>
        <v>03 de septiembre de 2019</v>
      </c>
      <c r="N2308" s="323">
        <f t="shared" si="717"/>
        <v>3</v>
      </c>
      <c r="O2308" s="25">
        <f t="shared" si="722"/>
        <v>43709</v>
      </c>
      <c r="P2308" s="5" t="str">
        <f t="shared" si="718"/>
        <v>23.400,00</v>
      </c>
      <c r="Q2308" s="4" t="e">
        <f t="shared" ca="1" si="719"/>
        <v>#NAME?</v>
      </c>
    </row>
    <row r="2309" spans="1:17">
      <c r="A2309" s="1">
        <f t="shared" si="711"/>
        <v>2308</v>
      </c>
      <c r="C2309" s="8" t="s">
        <v>17</v>
      </c>
      <c r="D2309" s="2">
        <v>43711</v>
      </c>
      <c r="E2309" s="3">
        <v>23400</v>
      </c>
      <c r="F2309" t="s">
        <v>24</v>
      </c>
      <c r="G2309" t="s">
        <v>25</v>
      </c>
      <c r="H2309" t="s">
        <v>26</v>
      </c>
      <c r="I2309" s="6" t="s">
        <v>1035</v>
      </c>
      <c r="J2309" s="61" t="s">
        <v>22</v>
      </c>
      <c r="L2309" s="5" t="str">
        <f t="shared" si="720"/>
        <v>02308</v>
      </c>
      <c r="M2309" s="47" t="str">
        <f t="shared" si="721"/>
        <v>03 de septiembre de 2019</v>
      </c>
      <c r="N2309" s="323">
        <f t="shared" si="717"/>
        <v>3</v>
      </c>
      <c r="O2309" s="25">
        <f t="shared" si="722"/>
        <v>43709</v>
      </c>
      <c r="P2309" s="5" t="str">
        <f t="shared" si="718"/>
        <v>23.400,00</v>
      </c>
      <c r="Q2309" s="4" t="e">
        <f t="shared" ca="1" si="719"/>
        <v>#NAME?</v>
      </c>
    </row>
    <row r="2310" spans="1:17" ht="15.75" thickBot="1">
      <c r="A2310" s="1">
        <f t="shared" si="711"/>
        <v>2309</v>
      </c>
      <c r="C2310" s="8" t="s">
        <v>17</v>
      </c>
      <c r="D2310" s="2">
        <v>43711</v>
      </c>
      <c r="E2310" s="3">
        <v>18018</v>
      </c>
      <c r="F2310" t="s">
        <v>28</v>
      </c>
      <c r="G2310" t="s">
        <v>716</v>
      </c>
      <c r="H2310" t="s">
        <v>30</v>
      </c>
      <c r="I2310" s="6" t="s">
        <v>1045</v>
      </c>
      <c r="J2310" s="61" t="s">
        <v>22</v>
      </c>
      <c r="L2310" s="5" t="str">
        <f t="shared" si="720"/>
        <v>02309</v>
      </c>
      <c r="M2310" s="47" t="str">
        <f t="shared" si="721"/>
        <v>03 de septiembre de 2019</v>
      </c>
      <c r="N2310" s="323">
        <f t="shared" si="717"/>
        <v>3</v>
      </c>
      <c r="O2310" s="25">
        <f t="shared" si="722"/>
        <v>43709</v>
      </c>
      <c r="P2310" s="5" t="str">
        <f t="shared" si="718"/>
        <v>18.018,00</v>
      </c>
      <c r="Q2310" s="4" t="e">
        <f t="shared" ca="1" si="719"/>
        <v>#NAME?</v>
      </c>
    </row>
    <row r="2311" spans="1:17" ht="15.75" thickBot="1">
      <c r="A2311" s="1">
        <f t="shared" si="711"/>
        <v>2310</v>
      </c>
      <c r="C2311" s="85" t="s">
        <v>17</v>
      </c>
      <c r="D2311" s="2">
        <v>43711</v>
      </c>
      <c r="E2311" s="162">
        <v>23500</v>
      </c>
      <c r="F2311" t="s">
        <v>492</v>
      </c>
      <c r="G2311" s="18" t="s">
        <v>58</v>
      </c>
      <c r="H2311" t="s">
        <v>493</v>
      </c>
      <c r="I2311" s="6" t="s">
        <v>1035</v>
      </c>
      <c r="J2311" s="61" t="s">
        <v>22</v>
      </c>
      <c r="L2311" s="5" t="str">
        <f t="shared" si="720"/>
        <v>02310</v>
      </c>
      <c r="M2311" s="47" t="str">
        <f t="shared" si="721"/>
        <v>03 de septiembre de 2019</v>
      </c>
      <c r="N2311" s="323">
        <f t="shared" si="717"/>
        <v>3</v>
      </c>
      <c r="O2311" s="25">
        <f t="shared" si="722"/>
        <v>43709</v>
      </c>
      <c r="P2311" s="5" t="str">
        <f t="shared" si="718"/>
        <v>23.500,00</v>
      </c>
      <c r="Q2311" s="4" t="e">
        <f t="shared" ca="1" si="719"/>
        <v>#NAME?</v>
      </c>
    </row>
    <row r="2312" spans="1:17">
      <c r="A2312" s="1">
        <f t="shared" si="711"/>
        <v>2311</v>
      </c>
      <c r="C2312" s="8" t="s">
        <v>17</v>
      </c>
      <c r="D2312" s="2">
        <v>43711</v>
      </c>
      <c r="E2312" s="3">
        <v>23400</v>
      </c>
      <c r="F2312" t="s">
        <v>713</v>
      </c>
      <c r="G2312" t="s">
        <v>714</v>
      </c>
      <c r="H2312" t="s">
        <v>154</v>
      </c>
      <c r="I2312" s="6" t="s">
        <v>1035</v>
      </c>
      <c r="J2312" s="61" t="s">
        <v>22</v>
      </c>
      <c r="L2312" s="5" t="str">
        <f t="shared" si="720"/>
        <v>02311</v>
      </c>
      <c r="M2312" s="47" t="str">
        <f t="shared" si="721"/>
        <v>03 de septiembre de 2019</v>
      </c>
      <c r="N2312" s="323">
        <f t="shared" si="717"/>
        <v>3</v>
      </c>
      <c r="O2312" s="25">
        <f t="shared" si="722"/>
        <v>43709</v>
      </c>
      <c r="P2312" s="5" t="str">
        <f t="shared" si="718"/>
        <v>23.400,00</v>
      </c>
      <c r="Q2312" s="4" t="e">
        <f t="shared" ca="1" si="719"/>
        <v>#NAME?</v>
      </c>
    </row>
    <row r="2313" spans="1:17">
      <c r="A2313" s="1">
        <f t="shared" si="711"/>
        <v>2312</v>
      </c>
      <c r="C2313" s="8" t="s">
        <v>17</v>
      </c>
      <c r="D2313" s="2">
        <v>43711</v>
      </c>
      <c r="E2313" s="3">
        <v>3400</v>
      </c>
      <c r="F2313" t="s">
        <v>80</v>
      </c>
      <c r="G2313" t="s">
        <v>81</v>
      </c>
      <c r="H2313" t="s">
        <v>82</v>
      </c>
      <c r="I2313" s="6" t="s">
        <v>1042</v>
      </c>
      <c r="J2313" s="61" t="s">
        <v>22</v>
      </c>
      <c r="L2313" s="5" t="str">
        <f t="shared" si="720"/>
        <v>02312</v>
      </c>
      <c r="M2313" s="47" t="str">
        <f t="shared" si="721"/>
        <v>03 de septiembre de 2019</v>
      </c>
      <c r="N2313" s="323">
        <f t="shared" si="717"/>
        <v>3</v>
      </c>
      <c r="O2313" s="25">
        <f t="shared" si="722"/>
        <v>43709</v>
      </c>
      <c r="P2313" s="5" t="str">
        <f t="shared" si="718"/>
        <v>3.400,00</v>
      </c>
      <c r="Q2313" s="4" t="e">
        <f t="shared" ca="1" si="719"/>
        <v>#NAME?</v>
      </c>
    </row>
    <row r="2314" spans="1:17">
      <c r="A2314" s="1">
        <f t="shared" si="711"/>
        <v>2313</v>
      </c>
      <c r="C2314" s="8" t="s">
        <v>17</v>
      </c>
      <c r="D2314" s="2">
        <v>43711</v>
      </c>
      <c r="E2314" s="3">
        <v>34000</v>
      </c>
      <c r="F2314" t="s">
        <v>44</v>
      </c>
      <c r="G2314" t="s">
        <v>45</v>
      </c>
      <c r="H2314" t="s">
        <v>46</v>
      </c>
      <c r="I2314" s="6" t="s">
        <v>1031</v>
      </c>
      <c r="J2314" s="61" t="s">
        <v>22</v>
      </c>
      <c r="L2314" s="5" t="str">
        <f>IF(ISBLANK(A2314),"",TEXT(A2314,"00000"))</f>
        <v>02313</v>
      </c>
      <c r="M2314" s="47" t="str">
        <f>IF(ISBLANK(D2314),"",TEXT(D2314,"dd")&amp;" de "&amp;TEXT(D2314,"mmmm")&amp;" de "&amp;TEXT(YEAR(D2314),"0"))</f>
        <v>03 de septiembre de 2019</v>
      </c>
      <c r="N2314" s="323">
        <f t="shared" si="717"/>
        <v>3</v>
      </c>
      <c r="O2314" s="25">
        <f>DATE(YEAR(D2314),MONTH(D2314),1)</f>
        <v>43709</v>
      </c>
      <c r="P2314" s="5" t="str">
        <f t="shared" si="718"/>
        <v>34.000,00</v>
      </c>
      <c r="Q2314" s="4" t="e">
        <f t="shared" ca="1" si="719"/>
        <v>#NAME?</v>
      </c>
    </row>
    <row r="2315" spans="1:17">
      <c r="A2315" s="1">
        <f t="shared" si="711"/>
        <v>2314</v>
      </c>
      <c r="C2315" s="8" t="s">
        <v>17</v>
      </c>
      <c r="D2315" s="2">
        <v>43711</v>
      </c>
      <c r="E2315" s="3">
        <v>23400</v>
      </c>
      <c r="F2315" t="s">
        <v>407</v>
      </c>
      <c r="G2315" t="s">
        <v>408</v>
      </c>
      <c r="H2315" t="s">
        <v>409</v>
      </c>
      <c r="I2315" s="6" t="s">
        <v>1035</v>
      </c>
      <c r="J2315" s="61" t="s">
        <v>22</v>
      </c>
      <c r="L2315" s="5" t="str">
        <f t="shared" ref="L2315:L2345" si="723">IF(ISBLANK(A2315),"",TEXT(A2315,"00000"))</f>
        <v>02314</v>
      </c>
      <c r="M2315" s="47" t="str">
        <f t="shared" ref="M2315:M2345" si="724">IF(ISBLANK(D2315),"",TEXT(D2315,"dd")&amp;" de "&amp;TEXT(D2315,"mmmm")&amp;" de "&amp;TEXT(YEAR(D2315),"0"))</f>
        <v>03 de septiembre de 2019</v>
      </c>
      <c r="N2315" s="323">
        <f t="shared" si="717"/>
        <v>3</v>
      </c>
      <c r="O2315" s="25">
        <f t="shared" ref="O2315:O2345" si="725">DATE(YEAR(D2315),MONTH(D2315),1)</f>
        <v>43709</v>
      </c>
      <c r="P2315" s="5" t="str">
        <f t="shared" si="718"/>
        <v>23.400,00</v>
      </c>
      <c r="Q2315" s="4" t="e">
        <f ca="1">CONVERTIRNUM(E2315)</f>
        <v>#NAME?</v>
      </c>
    </row>
    <row r="2316" spans="1:17" ht="15.75" thickBot="1">
      <c r="A2316" s="1">
        <f t="shared" si="711"/>
        <v>2315</v>
      </c>
      <c r="C2316" s="8" t="s">
        <v>17</v>
      </c>
      <c r="D2316" s="2">
        <v>43711</v>
      </c>
      <c r="E2316" s="3">
        <v>34000</v>
      </c>
      <c r="F2316" t="s">
        <v>230</v>
      </c>
      <c r="G2316" t="s">
        <v>231</v>
      </c>
      <c r="H2316" t="s">
        <v>232</v>
      </c>
      <c r="I2316" s="6" t="s">
        <v>1031</v>
      </c>
      <c r="J2316" s="61" t="s">
        <v>22</v>
      </c>
      <c r="L2316" s="5" t="str">
        <f t="shared" si="723"/>
        <v>02315</v>
      </c>
      <c r="M2316" s="47" t="str">
        <f t="shared" si="724"/>
        <v>03 de septiembre de 2019</v>
      </c>
      <c r="N2316" s="323">
        <f t="shared" si="717"/>
        <v>3</v>
      </c>
      <c r="O2316" s="25">
        <f t="shared" si="725"/>
        <v>43709</v>
      </c>
      <c r="P2316" s="5" t="str">
        <f t="shared" si="718"/>
        <v>34.000,00</v>
      </c>
      <c r="Q2316" s="4" t="e">
        <f t="shared" ref="Q2316:Q2336" ca="1" si="726">CONVERTIRNUM(E2316)</f>
        <v>#NAME?</v>
      </c>
    </row>
    <row r="2317" spans="1:17" ht="15.75" thickBot="1">
      <c r="A2317" s="1">
        <f t="shared" si="711"/>
        <v>2316</v>
      </c>
      <c r="C2317" s="85" t="s">
        <v>17</v>
      </c>
      <c r="D2317" s="2">
        <v>43711</v>
      </c>
      <c r="E2317" s="3">
        <v>23400</v>
      </c>
      <c r="F2317" t="s">
        <v>319</v>
      </c>
      <c r="G2317" s="18" t="s">
        <v>58</v>
      </c>
      <c r="H2317" t="s">
        <v>320</v>
      </c>
      <c r="I2317" s="6" t="s">
        <v>1035</v>
      </c>
      <c r="J2317" s="61" t="s">
        <v>22</v>
      </c>
      <c r="L2317" s="5" t="str">
        <f t="shared" si="723"/>
        <v>02316</v>
      </c>
      <c r="M2317" s="47" t="str">
        <f t="shared" si="724"/>
        <v>03 de septiembre de 2019</v>
      </c>
      <c r="N2317" s="323">
        <f t="shared" si="717"/>
        <v>3</v>
      </c>
      <c r="O2317" s="25">
        <f t="shared" si="725"/>
        <v>43709</v>
      </c>
      <c r="P2317" s="5" t="str">
        <f t="shared" si="718"/>
        <v>23.400,00</v>
      </c>
      <c r="Q2317" s="4" t="e">
        <f t="shared" ca="1" si="726"/>
        <v>#NAME?</v>
      </c>
    </row>
    <row r="2318" spans="1:17" ht="15.75" thickBot="1">
      <c r="A2318" s="1">
        <f t="shared" si="711"/>
        <v>2317</v>
      </c>
      <c r="C2318" s="85" t="s">
        <v>17</v>
      </c>
      <c r="D2318" s="2">
        <v>43712</v>
      </c>
      <c r="E2318" s="3">
        <v>10000</v>
      </c>
      <c r="F2318" t="s">
        <v>259</v>
      </c>
      <c r="G2318" s="18" t="s">
        <v>58</v>
      </c>
      <c r="H2318" t="s">
        <v>261</v>
      </c>
      <c r="I2318" s="6" t="s">
        <v>1026</v>
      </c>
      <c r="J2318" s="61" t="s">
        <v>22</v>
      </c>
      <c r="L2318" s="5" t="str">
        <f t="shared" si="723"/>
        <v>02317</v>
      </c>
      <c r="M2318" s="47" t="str">
        <f t="shared" si="724"/>
        <v>04 de septiembre de 2019</v>
      </c>
      <c r="N2318" s="323">
        <f t="shared" si="717"/>
        <v>4</v>
      </c>
      <c r="O2318" s="25">
        <f t="shared" si="725"/>
        <v>43709</v>
      </c>
      <c r="P2318" s="5" t="str">
        <f t="shared" si="718"/>
        <v>10.000,00</v>
      </c>
      <c r="Q2318" s="4" t="e">
        <f t="shared" ca="1" si="726"/>
        <v>#NAME?</v>
      </c>
    </row>
    <row r="2319" spans="1:17" ht="15.75" thickBot="1">
      <c r="A2319" s="1">
        <f t="shared" si="711"/>
        <v>2318</v>
      </c>
      <c r="C2319" s="8" t="s">
        <v>17</v>
      </c>
      <c r="D2319" s="2">
        <v>43712</v>
      </c>
      <c r="E2319" s="3">
        <v>23400</v>
      </c>
      <c r="F2319" t="s">
        <v>239</v>
      </c>
      <c r="G2319" s="73" t="s">
        <v>240</v>
      </c>
      <c r="H2319" t="s">
        <v>241</v>
      </c>
      <c r="I2319" s="6" t="s">
        <v>1035</v>
      </c>
      <c r="J2319" s="61" t="s">
        <v>22</v>
      </c>
      <c r="L2319" s="5" t="str">
        <f t="shared" si="723"/>
        <v>02318</v>
      </c>
      <c r="M2319" s="47" t="str">
        <f t="shared" si="724"/>
        <v>04 de septiembre de 2019</v>
      </c>
      <c r="N2319" s="323">
        <f t="shared" si="717"/>
        <v>4</v>
      </c>
      <c r="O2319" s="25">
        <f t="shared" si="725"/>
        <v>43709</v>
      </c>
      <c r="P2319" s="5" t="str">
        <f t="shared" si="718"/>
        <v>23.400,00</v>
      </c>
      <c r="Q2319" s="4" t="e">
        <f t="shared" ca="1" si="726"/>
        <v>#NAME?</v>
      </c>
    </row>
    <row r="2320" spans="1:17">
      <c r="A2320" s="1">
        <f t="shared" si="711"/>
        <v>2319</v>
      </c>
      <c r="C2320" s="8" t="s">
        <v>17</v>
      </c>
      <c r="D2320" s="2">
        <v>43713</v>
      </c>
      <c r="E2320" s="3">
        <v>8400</v>
      </c>
      <c r="F2320" t="s">
        <v>107</v>
      </c>
      <c r="G2320" t="s">
        <v>108</v>
      </c>
      <c r="H2320" t="s">
        <v>109</v>
      </c>
      <c r="I2320" s="6" t="s">
        <v>1042</v>
      </c>
      <c r="J2320" s="61" t="s">
        <v>22</v>
      </c>
      <c r="L2320" s="5" t="str">
        <f t="shared" si="723"/>
        <v>02319</v>
      </c>
      <c r="M2320" s="47" t="str">
        <f t="shared" si="724"/>
        <v>05 de septiembre de 2019</v>
      </c>
      <c r="N2320" s="323">
        <f t="shared" si="717"/>
        <v>5</v>
      </c>
      <c r="O2320" s="25">
        <f t="shared" si="725"/>
        <v>43709</v>
      </c>
      <c r="P2320" s="5" t="str">
        <f t="shared" si="718"/>
        <v>8.400,00</v>
      </c>
      <c r="Q2320" s="4" t="e">
        <f t="shared" ca="1" si="726"/>
        <v>#NAME?</v>
      </c>
    </row>
    <row r="2321" spans="1:17">
      <c r="A2321" s="1">
        <f t="shared" si="711"/>
        <v>2320</v>
      </c>
      <c r="C2321" s="8" t="s">
        <v>17</v>
      </c>
      <c r="D2321" s="2">
        <v>43712</v>
      </c>
      <c r="E2321" s="3">
        <v>23400</v>
      </c>
      <c r="F2321" t="s">
        <v>134</v>
      </c>
      <c r="G2321" t="s">
        <v>135</v>
      </c>
      <c r="H2321" t="s">
        <v>136</v>
      </c>
      <c r="I2321" s="6" t="s">
        <v>1035</v>
      </c>
      <c r="J2321" s="61" t="s">
        <v>22</v>
      </c>
      <c r="L2321" s="5" t="str">
        <f t="shared" si="723"/>
        <v>02320</v>
      </c>
      <c r="M2321" s="47" t="str">
        <f t="shared" si="724"/>
        <v>04 de septiembre de 2019</v>
      </c>
      <c r="N2321" s="323">
        <f t="shared" si="717"/>
        <v>4</v>
      </c>
      <c r="O2321" s="25">
        <f t="shared" si="725"/>
        <v>43709</v>
      </c>
      <c r="P2321" s="5" t="str">
        <f t="shared" si="718"/>
        <v>23.400,00</v>
      </c>
      <c r="Q2321" s="4" t="e">
        <f t="shared" ca="1" si="726"/>
        <v>#NAME?</v>
      </c>
    </row>
    <row r="2322" spans="1:17">
      <c r="A2322" s="1">
        <f>A2321+1</f>
        <v>2321</v>
      </c>
      <c r="C2322" s="8" t="s">
        <v>17</v>
      </c>
      <c r="D2322" s="2">
        <v>43713</v>
      </c>
      <c r="E2322" s="3">
        <v>18435</v>
      </c>
      <c r="F2322" t="s">
        <v>36</v>
      </c>
      <c r="G2322" t="s">
        <v>37</v>
      </c>
      <c r="H2322" t="s">
        <v>38</v>
      </c>
      <c r="I2322" s="6" t="s">
        <v>1042</v>
      </c>
      <c r="J2322" s="61" t="s">
        <v>22</v>
      </c>
      <c r="L2322" s="5" t="str">
        <f t="shared" si="723"/>
        <v>02321</v>
      </c>
      <c r="M2322" s="47" t="str">
        <f t="shared" si="724"/>
        <v>05 de septiembre de 2019</v>
      </c>
      <c r="N2322" s="323">
        <f t="shared" si="717"/>
        <v>5</v>
      </c>
      <c r="O2322" s="25">
        <f t="shared" si="725"/>
        <v>43709</v>
      </c>
      <c r="P2322" s="5" t="str">
        <f t="shared" si="718"/>
        <v>18.435,00</v>
      </c>
      <c r="Q2322" s="4" t="e">
        <f t="shared" ca="1" si="726"/>
        <v>#NAME?</v>
      </c>
    </row>
    <row r="2323" spans="1:17" ht="15.75" thickBot="1">
      <c r="A2323" s="1">
        <f t="shared" ref="A2323:A2389" si="727">A2322+1</f>
        <v>2322</v>
      </c>
      <c r="C2323" s="8" t="s">
        <v>17</v>
      </c>
      <c r="D2323" s="2">
        <v>43713</v>
      </c>
      <c r="E2323" s="3">
        <v>23400</v>
      </c>
      <c r="F2323" t="s">
        <v>48</v>
      </c>
      <c r="G2323" t="s">
        <v>49</v>
      </c>
      <c r="H2323" t="s">
        <v>50</v>
      </c>
      <c r="I2323" s="6" t="s">
        <v>1035</v>
      </c>
      <c r="J2323" s="61" t="s">
        <v>22</v>
      </c>
      <c r="L2323" s="5" t="str">
        <f t="shared" si="723"/>
        <v>02322</v>
      </c>
      <c r="M2323" s="47" t="str">
        <f t="shared" si="724"/>
        <v>05 de septiembre de 2019</v>
      </c>
      <c r="N2323" s="323">
        <f t="shared" si="717"/>
        <v>5</v>
      </c>
      <c r="O2323" s="25">
        <f t="shared" si="725"/>
        <v>43709</v>
      </c>
      <c r="P2323" s="5" t="str">
        <f t="shared" si="718"/>
        <v>23.400,00</v>
      </c>
      <c r="Q2323" s="4" t="e">
        <f t="shared" ca="1" si="726"/>
        <v>#NAME?</v>
      </c>
    </row>
    <row r="2324" spans="1:17" ht="15.75" thickBot="1">
      <c r="A2324" s="1">
        <f t="shared" si="727"/>
        <v>2323</v>
      </c>
      <c r="C2324" s="85" t="s">
        <v>17</v>
      </c>
      <c r="D2324" s="2">
        <v>43713</v>
      </c>
      <c r="E2324" s="3">
        <v>10000</v>
      </c>
      <c r="F2324" t="s">
        <v>40</v>
      </c>
      <c r="G2324" s="18" t="s">
        <v>58</v>
      </c>
      <c r="H2324" t="s">
        <v>42</v>
      </c>
      <c r="I2324" s="6" t="s">
        <v>1035</v>
      </c>
      <c r="J2324" s="61" t="s">
        <v>22</v>
      </c>
      <c r="L2324" s="5" t="str">
        <f t="shared" si="723"/>
        <v>02323</v>
      </c>
      <c r="M2324" s="47" t="str">
        <f t="shared" si="724"/>
        <v>05 de septiembre de 2019</v>
      </c>
      <c r="N2324" s="323">
        <f t="shared" si="717"/>
        <v>5</v>
      </c>
      <c r="O2324" s="25">
        <f t="shared" si="725"/>
        <v>43709</v>
      </c>
      <c r="P2324" s="5" t="str">
        <f t="shared" si="718"/>
        <v>10.000,00</v>
      </c>
      <c r="Q2324" s="4" t="e">
        <f t="shared" ca="1" si="726"/>
        <v>#NAME?</v>
      </c>
    </row>
    <row r="2325" spans="1:17" ht="15.75" thickBot="1">
      <c r="A2325" s="1">
        <f t="shared" si="727"/>
        <v>2324</v>
      </c>
      <c r="C2325" s="8" t="s">
        <v>17</v>
      </c>
      <c r="D2325" s="2">
        <v>43714</v>
      </c>
      <c r="E2325" s="3">
        <v>23400</v>
      </c>
      <c r="F2325" t="s">
        <v>312</v>
      </c>
      <c r="G2325" t="s">
        <v>313</v>
      </c>
      <c r="H2325" t="s">
        <v>314</v>
      </c>
      <c r="I2325" s="6" t="s">
        <v>1035</v>
      </c>
      <c r="J2325" s="61" t="s">
        <v>22</v>
      </c>
      <c r="L2325" s="5" t="str">
        <f t="shared" si="723"/>
        <v>02324</v>
      </c>
      <c r="M2325" s="47" t="str">
        <f t="shared" si="724"/>
        <v>06 de septiembre de 2019</v>
      </c>
      <c r="N2325" s="323">
        <f t="shared" si="717"/>
        <v>6</v>
      </c>
      <c r="O2325" s="25">
        <f t="shared" si="725"/>
        <v>43709</v>
      </c>
      <c r="P2325" s="5" t="str">
        <f t="shared" si="718"/>
        <v>23.400,00</v>
      </c>
      <c r="Q2325" s="4" t="e">
        <f t="shared" ca="1" si="726"/>
        <v>#NAME?</v>
      </c>
    </row>
    <row r="2326" spans="1:17" ht="15.75" thickBot="1">
      <c r="A2326" s="1">
        <f t="shared" si="727"/>
        <v>2325</v>
      </c>
      <c r="C2326" s="8" t="s">
        <v>17</v>
      </c>
      <c r="D2326" s="2">
        <v>43714</v>
      </c>
      <c r="E2326" s="3">
        <v>13000</v>
      </c>
      <c r="F2326" t="s">
        <v>252</v>
      </c>
      <c r="G2326" s="475" t="s">
        <v>958</v>
      </c>
      <c r="H2326" t="s">
        <v>254</v>
      </c>
      <c r="I2326" s="6" t="s">
        <v>1035</v>
      </c>
      <c r="J2326" s="61" t="s">
        <v>22</v>
      </c>
      <c r="L2326" s="5" t="str">
        <f t="shared" si="723"/>
        <v>02325</v>
      </c>
      <c r="M2326" s="47" t="str">
        <f t="shared" si="724"/>
        <v>06 de septiembre de 2019</v>
      </c>
      <c r="N2326" s="323">
        <f t="shared" si="717"/>
        <v>6</v>
      </c>
      <c r="O2326" s="25">
        <f t="shared" si="725"/>
        <v>43709</v>
      </c>
      <c r="P2326" s="5" t="str">
        <f t="shared" si="718"/>
        <v>13.000,00</v>
      </c>
      <c r="Q2326" s="4" t="e">
        <f t="shared" ca="1" si="726"/>
        <v>#NAME?</v>
      </c>
    </row>
    <row r="2327" spans="1:17">
      <c r="A2327" s="1">
        <f t="shared" si="727"/>
        <v>2326</v>
      </c>
      <c r="C2327" s="8" t="s">
        <v>17</v>
      </c>
      <c r="D2327" s="2">
        <v>43715</v>
      </c>
      <c r="E2327" s="3">
        <v>13400</v>
      </c>
      <c r="F2327" t="s">
        <v>66</v>
      </c>
      <c r="G2327" t="s">
        <v>67</v>
      </c>
      <c r="H2327" t="s">
        <v>68</v>
      </c>
      <c r="I2327" s="6" t="s">
        <v>1042</v>
      </c>
      <c r="J2327" s="61" t="s">
        <v>22</v>
      </c>
      <c r="L2327" s="5" t="str">
        <f t="shared" si="723"/>
        <v>02326</v>
      </c>
      <c r="M2327" s="47" t="str">
        <f t="shared" si="724"/>
        <v>07 de septiembre de 2019</v>
      </c>
      <c r="N2327" s="323">
        <f t="shared" si="717"/>
        <v>7</v>
      </c>
      <c r="O2327" s="25">
        <f t="shared" si="725"/>
        <v>43709</v>
      </c>
      <c r="P2327" s="5" t="str">
        <f t="shared" si="718"/>
        <v>13.400,00</v>
      </c>
      <c r="Q2327" s="4" t="e">
        <f t="shared" ca="1" si="726"/>
        <v>#NAME?</v>
      </c>
    </row>
    <row r="2328" spans="1:17">
      <c r="A2328" s="1">
        <f t="shared" si="727"/>
        <v>2327</v>
      </c>
      <c r="C2328" s="8" t="s">
        <v>17</v>
      </c>
      <c r="D2328" s="2">
        <v>43717</v>
      </c>
      <c r="E2328" s="3">
        <v>10500</v>
      </c>
      <c r="F2328" t="s">
        <v>334</v>
      </c>
      <c r="G2328" t="s">
        <v>85</v>
      </c>
      <c r="H2328" t="s">
        <v>335</v>
      </c>
      <c r="I2328" s="6" t="s">
        <v>1042</v>
      </c>
      <c r="J2328" s="61" t="s">
        <v>22</v>
      </c>
      <c r="L2328" s="5" t="str">
        <f t="shared" si="723"/>
        <v>02327</v>
      </c>
      <c r="M2328" s="47" t="str">
        <f t="shared" si="724"/>
        <v>09 de septiembre de 2019</v>
      </c>
      <c r="N2328" s="323">
        <f t="shared" si="717"/>
        <v>9</v>
      </c>
      <c r="O2328" s="25">
        <f t="shared" si="725"/>
        <v>43709</v>
      </c>
      <c r="P2328" s="5" t="str">
        <f t="shared" si="718"/>
        <v>10.500,00</v>
      </c>
      <c r="Q2328" s="4" t="e">
        <f t="shared" ca="1" si="726"/>
        <v>#NAME?</v>
      </c>
    </row>
    <row r="2329" spans="1:17">
      <c r="A2329" s="1">
        <f t="shared" si="727"/>
        <v>2328</v>
      </c>
      <c r="C2329" s="8" t="s">
        <v>17</v>
      </c>
      <c r="D2329" s="2">
        <v>43717</v>
      </c>
      <c r="E2329" s="3">
        <v>10500</v>
      </c>
      <c r="F2329" t="s">
        <v>84</v>
      </c>
      <c r="G2329" t="s">
        <v>85</v>
      </c>
      <c r="H2329" t="s">
        <v>86</v>
      </c>
      <c r="I2329" s="6" t="s">
        <v>1042</v>
      </c>
      <c r="J2329" s="61" t="s">
        <v>22</v>
      </c>
      <c r="L2329" s="5" t="str">
        <f t="shared" si="723"/>
        <v>02328</v>
      </c>
      <c r="M2329" s="47" t="str">
        <f t="shared" si="724"/>
        <v>09 de septiembre de 2019</v>
      </c>
      <c r="N2329" s="323">
        <f t="shared" si="717"/>
        <v>9</v>
      </c>
      <c r="O2329" s="25">
        <f t="shared" si="725"/>
        <v>43709</v>
      </c>
      <c r="P2329" s="5" t="str">
        <f t="shared" si="718"/>
        <v>10.500,00</v>
      </c>
      <c r="Q2329" s="4" t="e">
        <f t="shared" ca="1" si="726"/>
        <v>#NAME?</v>
      </c>
    </row>
    <row r="2330" spans="1:17">
      <c r="A2330" s="1">
        <f t="shared" si="727"/>
        <v>2329</v>
      </c>
      <c r="C2330" s="8" t="s">
        <v>17</v>
      </c>
      <c r="D2330" s="2">
        <v>43717</v>
      </c>
      <c r="E2330" s="3">
        <v>20500</v>
      </c>
      <c r="F2330" t="s">
        <v>443</v>
      </c>
      <c r="G2330" t="s">
        <v>444</v>
      </c>
      <c r="H2330" t="s">
        <v>75</v>
      </c>
      <c r="I2330" s="6" t="s">
        <v>1035</v>
      </c>
      <c r="J2330" s="61" t="s">
        <v>22</v>
      </c>
      <c r="L2330" s="5" t="str">
        <f t="shared" si="723"/>
        <v>02329</v>
      </c>
      <c r="M2330" s="47" t="str">
        <f t="shared" si="724"/>
        <v>09 de septiembre de 2019</v>
      </c>
      <c r="N2330" s="323">
        <f t="shared" si="717"/>
        <v>9</v>
      </c>
      <c r="O2330" s="25">
        <f t="shared" si="725"/>
        <v>43709</v>
      </c>
      <c r="P2330" s="5" t="str">
        <f t="shared" si="718"/>
        <v>20.500,00</v>
      </c>
      <c r="Q2330" s="4" t="e">
        <f t="shared" ca="1" si="726"/>
        <v>#NAME?</v>
      </c>
    </row>
    <row r="2331" spans="1:17">
      <c r="A2331" s="1">
        <f t="shared" si="727"/>
        <v>2330</v>
      </c>
      <c r="C2331" s="8" t="s">
        <v>17</v>
      </c>
      <c r="D2331" s="2">
        <v>43717</v>
      </c>
      <c r="E2331" s="3">
        <v>20500</v>
      </c>
      <c r="F2331" t="s">
        <v>114</v>
      </c>
      <c r="G2331" t="s">
        <v>115</v>
      </c>
      <c r="H2331" t="s">
        <v>105</v>
      </c>
      <c r="I2331" s="6" t="s">
        <v>1035</v>
      </c>
      <c r="J2331" s="61" t="s">
        <v>22</v>
      </c>
      <c r="L2331" s="5" t="str">
        <f t="shared" si="723"/>
        <v>02330</v>
      </c>
      <c r="M2331" s="47" t="str">
        <f t="shared" si="724"/>
        <v>09 de septiembre de 2019</v>
      </c>
      <c r="N2331" s="323">
        <f t="shared" si="717"/>
        <v>9</v>
      </c>
      <c r="O2331" s="25">
        <f t="shared" si="725"/>
        <v>43709</v>
      </c>
      <c r="P2331" s="5" t="str">
        <f t="shared" si="718"/>
        <v>20.500,00</v>
      </c>
      <c r="Q2331" s="4" t="e">
        <f t="shared" ca="1" si="726"/>
        <v>#NAME?</v>
      </c>
    </row>
    <row r="2332" spans="1:17">
      <c r="A2332" s="1">
        <f t="shared" si="727"/>
        <v>2331</v>
      </c>
      <c r="C2332" s="8" t="s">
        <v>17</v>
      </c>
      <c r="D2332" s="2">
        <v>43717</v>
      </c>
      <c r="E2332" s="3">
        <v>20500</v>
      </c>
      <c r="F2332" t="s">
        <v>287</v>
      </c>
      <c r="G2332" t="s">
        <v>288</v>
      </c>
      <c r="H2332" t="s">
        <v>289</v>
      </c>
      <c r="I2332" s="6" t="s">
        <v>1035</v>
      </c>
      <c r="J2332" s="61" t="s">
        <v>22</v>
      </c>
      <c r="L2332" s="5" t="str">
        <f t="shared" si="723"/>
        <v>02331</v>
      </c>
      <c r="M2332" s="47" t="str">
        <f t="shared" si="724"/>
        <v>09 de septiembre de 2019</v>
      </c>
      <c r="N2332" s="323">
        <f t="shared" si="717"/>
        <v>9</v>
      </c>
      <c r="O2332" s="25">
        <f t="shared" si="725"/>
        <v>43709</v>
      </c>
      <c r="P2332" s="5" t="str">
        <f t="shared" si="718"/>
        <v>20.500,00</v>
      </c>
      <c r="Q2332" s="4" t="e">
        <f t="shared" ca="1" si="726"/>
        <v>#NAME?</v>
      </c>
    </row>
    <row r="2333" spans="1:17">
      <c r="A2333" s="1">
        <f t="shared" si="727"/>
        <v>2332</v>
      </c>
      <c r="C2333" s="8" t="s">
        <v>17</v>
      </c>
      <c r="D2333" s="2">
        <v>43717</v>
      </c>
      <c r="E2333" s="3">
        <v>21100</v>
      </c>
      <c r="F2333" t="s">
        <v>1004</v>
      </c>
      <c r="G2333" t="s">
        <v>1005</v>
      </c>
      <c r="H2333" t="s">
        <v>539</v>
      </c>
      <c r="I2333" s="6" t="s">
        <v>1035</v>
      </c>
      <c r="J2333" s="61" t="s">
        <v>22</v>
      </c>
      <c r="L2333" s="5" t="str">
        <f t="shared" si="723"/>
        <v>02332</v>
      </c>
      <c r="M2333" s="47" t="str">
        <f t="shared" si="724"/>
        <v>09 de septiembre de 2019</v>
      </c>
      <c r="N2333" s="323">
        <f t="shared" si="717"/>
        <v>9</v>
      </c>
      <c r="O2333" s="25">
        <f t="shared" si="725"/>
        <v>43709</v>
      </c>
      <c r="P2333" s="5" t="str">
        <f t="shared" si="718"/>
        <v>21.100,00</v>
      </c>
      <c r="Q2333" s="4" t="e">
        <f t="shared" ca="1" si="726"/>
        <v>#NAME?</v>
      </c>
    </row>
    <row r="2334" spans="1:17">
      <c r="A2334" s="1">
        <f t="shared" si="727"/>
        <v>2333</v>
      </c>
      <c r="C2334" s="8" t="s">
        <v>17</v>
      </c>
      <c r="D2334" s="2">
        <v>43717</v>
      </c>
      <c r="E2334" s="3">
        <v>20500</v>
      </c>
      <c r="F2334" t="s">
        <v>633</v>
      </c>
      <c r="G2334" t="s">
        <v>634</v>
      </c>
      <c r="H2334" t="s">
        <v>635</v>
      </c>
      <c r="I2334" s="6" t="s">
        <v>1035</v>
      </c>
      <c r="J2334" s="61" t="s">
        <v>22</v>
      </c>
      <c r="L2334" s="5" t="str">
        <f t="shared" si="723"/>
        <v>02333</v>
      </c>
      <c r="M2334" s="47" t="str">
        <f t="shared" si="724"/>
        <v>09 de septiembre de 2019</v>
      </c>
      <c r="N2334" s="323">
        <f t="shared" si="717"/>
        <v>9</v>
      </c>
      <c r="O2334" s="25">
        <f t="shared" si="725"/>
        <v>43709</v>
      </c>
      <c r="P2334" s="5" t="str">
        <f t="shared" si="718"/>
        <v>20.500,00</v>
      </c>
      <c r="Q2334" s="4" t="e">
        <f t="shared" ca="1" si="726"/>
        <v>#NAME?</v>
      </c>
    </row>
    <row r="2335" spans="1:17" ht="15.75" thickBot="1">
      <c r="A2335" s="1">
        <f t="shared" si="727"/>
        <v>2334</v>
      </c>
      <c r="C2335" s="8" t="s">
        <v>17</v>
      </c>
      <c r="D2335" s="2">
        <v>43719</v>
      </c>
      <c r="E2335" s="3">
        <v>10000</v>
      </c>
      <c r="F2335" t="s">
        <v>177</v>
      </c>
      <c r="G2335" t="s">
        <v>941</v>
      </c>
      <c r="H2335" t="s">
        <v>179</v>
      </c>
      <c r="I2335" s="6" t="s">
        <v>1046</v>
      </c>
      <c r="J2335" s="61" t="s">
        <v>22</v>
      </c>
      <c r="L2335" s="5" t="str">
        <f t="shared" si="723"/>
        <v>02334</v>
      </c>
      <c r="M2335" s="47" t="str">
        <f t="shared" si="724"/>
        <v>11 de septiembre de 2019</v>
      </c>
      <c r="N2335" s="323">
        <f t="shared" si="717"/>
        <v>11</v>
      </c>
      <c r="O2335" s="25">
        <f t="shared" si="725"/>
        <v>43709</v>
      </c>
      <c r="P2335" s="5" t="str">
        <f t="shared" si="718"/>
        <v>10.000,00</v>
      </c>
      <c r="Q2335" s="4" t="e">
        <f t="shared" ca="1" si="726"/>
        <v>#NAME?</v>
      </c>
    </row>
    <row r="2336" spans="1:17" ht="15.75" thickBot="1">
      <c r="A2336" s="1">
        <f t="shared" si="727"/>
        <v>2335</v>
      </c>
      <c r="C2336" s="8" t="s">
        <v>17</v>
      </c>
      <c r="D2336" s="2">
        <v>43719</v>
      </c>
      <c r="E2336" s="597">
        <v>20500</v>
      </c>
      <c r="F2336" t="s">
        <v>103</v>
      </c>
      <c r="G2336" s="599" t="s">
        <v>1047</v>
      </c>
      <c r="H2336" t="s">
        <v>105</v>
      </c>
      <c r="I2336" s="6" t="s">
        <v>1048</v>
      </c>
      <c r="J2336" s="61" t="s">
        <v>22</v>
      </c>
      <c r="L2336" s="5" t="str">
        <f t="shared" si="723"/>
        <v>02335</v>
      </c>
      <c r="M2336" s="47" t="str">
        <f t="shared" si="724"/>
        <v>11 de septiembre de 2019</v>
      </c>
      <c r="N2336" s="323">
        <f t="shared" si="717"/>
        <v>11</v>
      </c>
      <c r="O2336" s="25">
        <f t="shared" si="725"/>
        <v>43709</v>
      </c>
      <c r="P2336" s="5" t="str">
        <f t="shared" si="718"/>
        <v>20.500,00</v>
      </c>
      <c r="Q2336" s="4" t="e">
        <f t="shared" ca="1" si="726"/>
        <v>#NAME?</v>
      </c>
    </row>
    <row r="2337" spans="1:17">
      <c r="A2337" s="1">
        <f t="shared" si="727"/>
        <v>2336</v>
      </c>
      <c r="C2337" s="8" t="s">
        <v>17</v>
      </c>
      <c r="D2337" s="2">
        <v>43719</v>
      </c>
      <c r="E2337" s="3">
        <v>24400</v>
      </c>
      <c r="F2337" t="s">
        <v>162</v>
      </c>
      <c r="G2337" t="s">
        <v>163</v>
      </c>
      <c r="H2337" t="s">
        <v>164</v>
      </c>
      <c r="I2337" s="161" t="s">
        <v>1049</v>
      </c>
      <c r="J2337" s="61" t="s">
        <v>22</v>
      </c>
      <c r="L2337" s="5" t="str">
        <f t="shared" si="723"/>
        <v>02336</v>
      </c>
      <c r="M2337" s="47" t="str">
        <f t="shared" si="724"/>
        <v>11 de septiembre de 2019</v>
      </c>
      <c r="N2337" s="323">
        <f t="shared" si="717"/>
        <v>11</v>
      </c>
      <c r="O2337" s="25">
        <f t="shared" si="725"/>
        <v>43709</v>
      </c>
      <c r="P2337" s="5" t="str">
        <f>TEXT(E2337,"#.##0,00")</f>
        <v>24.400,00</v>
      </c>
      <c r="Q2337" s="4" t="e">
        <f ca="1">CONVERTIRNUM(E2337)</f>
        <v>#NAME?</v>
      </c>
    </row>
    <row r="2338" spans="1:17">
      <c r="A2338" s="1">
        <f t="shared" si="727"/>
        <v>2337</v>
      </c>
      <c r="C2338" s="8" t="s">
        <v>17</v>
      </c>
      <c r="D2338" s="2">
        <v>43720</v>
      </c>
      <c r="E2338" s="3">
        <v>20500</v>
      </c>
      <c r="F2338" t="s">
        <v>454</v>
      </c>
      <c r="G2338" t="s">
        <v>761</v>
      </c>
      <c r="H2338" t="s">
        <v>455</v>
      </c>
      <c r="I2338" s="6" t="s">
        <v>1035</v>
      </c>
      <c r="J2338" s="61" t="s">
        <v>22</v>
      </c>
      <c r="L2338" s="5" t="str">
        <f t="shared" si="723"/>
        <v>02337</v>
      </c>
      <c r="M2338" s="47" t="str">
        <f t="shared" si="724"/>
        <v>12 de septiembre de 2019</v>
      </c>
      <c r="N2338" s="323">
        <f t="shared" si="717"/>
        <v>12</v>
      </c>
      <c r="O2338" s="25">
        <f t="shared" si="725"/>
        <v>43709</v>
      </c>
      <c r="P2338" s="5" t="str">
        <f t="shared" ref="P2338:P2369" si="728">TEXT(E2338,"#.##0,00")</f>
        <v>20.500,00</v>
      </c>
      <c r="Q2338" s="4" t="e">
        <f t="shared" ref="Q2338:Q2358" ca="1" si="729">CONVERTIRNUM(E2338)</f>
        <v>#NAME?</v>
      </c>
    </row>
    <row r="2339" spans="1:17">
      <c r="A2339" s="1">
        <f t="shared" si="727"/>
        <v>2338</v>
      </c>
      <c r="C2339" s="8" t="s">
        <v>17</v>
      </c>
      <c r="D2339" s="2">
        <v>43720</v>
      </c>
      <c r="E2339" s="3">
        <v>22000</v>
      </c>
      <c r="F2339" t="s">
        <v>337</v>
      </c>
      <c r="G2339" t="s">
        <v>338</v>
      </c>
      <c r="H2339" t="s">
        <v>339</v>
      </c>
      <c r="I2339" s="6" t="s">
        <v>1035</v>
      </c>
      <c r="J2339" s="61" t="s">
        <v>22</v>
      </c>
      <c r="L2339" s="5" t="str">
        <f t="shared" si="723"/>
        <v>02338</v>
      </c>
      <c r="M2339" s="47" t="str">
        <f t="shared" si="724"/>
        <v>12 de septiembre de 2019</v>
      </c>
      <c r="N2339" s="323">
        <f t="shared" si="717"/>
        <v>12</v>
      </c>
      <c r="O2339" s="25">
        <f t="shared" si="725"/>
        <v>43709</v>
      </c>
      <c r="P2339" s="5" t="str">
        <f t="shared" si="728"/>
        <v>22.000,00</v>
      </c>
      <c r="Q2339" s="4" t="e">
        <f t="shared" ca="1" si="729"/>
        <v>#NAME?</v>
      </c>
    </row>
    <row r="2340" spans="1:17">
      <c r="A2340" s="1">
        <f t="shared" si="727"/>
        <v>2339</v>
      </c>
      <c r="C2340" s="8" t="s">
        <v>17</v>
      </c>
      <c r="D2340" s="2">
        <v>43722</v>
      </c>
      <c r="E2340" s="3">
        <v>20500</v>
      </c>
      <c r="F2340" t="s">
        <v>342</v>
      </c>
      <c r="G2340" t="s">
        <v>1036</v>
      </c>
      <c r="H2340" t="s">
        <v>344</v>
      </c>
      <c r="I2340" s="6" t="s">
        <v>1035</v>
      </c>
      <c r="J2340" s="61" t="s">
        <v>22</v>
      </c>
      <c r="L2340" s="5" t="str">
        <f t="shared" si="723"/>
        <v>02339</v>
      </c>
      <c r="M2340" s="47" t="str">
        <f t="shared" si="724"/>
        <v>14 de septiembre de 2019</v>
      </c>
      <c r="N2340" s="323">
        <f t="shared" si="717"/>
        <v>14</v>
      </c>
      <c r="O2340" s="25">
        <f t="shared" si="725"/>
        <v>43709</v>
      </c>
      <c r="P2340" s="5" t="str">
        <f t="shared" si="728"/>
        <v>20.500,00</v>
      </c>
      <c r="Q2340" s="4" t="e">
        <f t="shared" ca="1" si="729"/>
        <v>#NAME?</v>
      </c>
    </row>
    <row r="2341" spans="1:17">
      <c r="A2341" s="1">
        <f t="shared" si="727"/>
        <v>2340</v>
      </c>
      <c r="C2341" s="8" t="s">
        <v>17</v>
      </c>
      <c r="D2341" s="2">
        <v>43722</v>
      </c>
      <c r="E2341" s="3">
        <v>20500</v>
      </c>
      <c r="F2341" t="s">
        <v>935</v>
      </c>
      <c r="G2341" t="s">
        <v>936</v>
      </c>
      <c r="H2341" t="s">
        <v>150</v>
      </c>
      <c r="I2341" s="6" t="s">
        <v>1035</v>
      </c>
      <c r="J2341" s="61" t="s">
        <v>22</v>
      </c>
      <c r="L2341" s="5" t="str">
        <f t="shared" si="723"/>
        <v>02340</v>
      </c>
      <c r="M2341" s="47" t="str">
        <f t="shared" si="724"/>
        <v>14 de septiembre de 2019</v>
      </c>
      <c r="N2341" s="323">
        <f t="shared" si="717"/>
        <v>14</v>
      </c>
      <c r="O2341" s="25">
        <f t="shared" si="725"/>
        <v>43709</v>
      </c>
      <c r="P2341" s="5" t="str">
        <f t="shared" si="728"/>
        <v>20.500,00</v>
      </c>
      <c r="Q2341" s="4" t="e">
        <f t="shared" ca="1" si="729"/>
        <v>#NAME?</v>
      </c>
    </row>
    <row r="2342" spans="1:17" ht="15.75" thickBot="1">
      <c r="A2342" s="1">
        <f t="shared" si="727"/>
        <v>2341</v>
      </c>
      <c r="C2342" s="8" t="s">
        <v>17</v>
      </c>
      <c r="D2342" s="2">
        <v>43721</v>
      </c>
      <c r="E2342" s="3">
        <v>20500</v>
      </c>
      <c r="F2342" t="s">
        <v>362</v>
      </c>
      <c r="G2342" t="s">
        <v>363</v>
      </c>
      <c r="H2342" t="s">
        <v>364</v>
      </c>
      <c r="I2342" s="6" t="s">
        <v>1035</v>
      </c>
      <c r="J2342" s="61" t="s">
        <v>22</v>
      </c>
      <c r="L2342" s="5" t="str">
        <f t="shared" si="723"/>
        <v>02341</v>
      </c>
      <c r="M2342" s="47" t="str">
        <f t="shared" si="724"/>
        <v>13 de septiembre de 2019</v>
      </c>
      <c r="N2342" s="323">
        <f t="shared" si="717"/>
        <v>13</v>
      </c>
      <c r="O2342" s="25">
        <f t="shared" si="725"/>
        <v>43709</v>
      </c>
      <c r="P2342" s="5" t="str">
        <f t="shared" si="728"/>
        <v>20.500,00</v>
      </c>
      <c r="Q2342" s="4" t="e">
        <f t="shared" ca="1" si="729"/>
        <v>#NAME?</v>
      </c>
    </row>
    <row r="2343" spans="1:17" ht="15.75" thickBot="1">
      <c r="A2343" s="1">
        <f t="shared" si="727"/>
        <v>2342</v>
      </c>
      <c r="C2343" s="8" t="s">
        <v>17</v>
      </c>
      <c r="D2343" s="2">
        <v>43722</v>
      </c>
      <c r="E2343" s="597">
        <v>20500</v>
      </c>
      <c r="F2343" t="s">
        <v>100</v>
      </c>
      <c r="G2343" t="s">
        <v>95</v>
      </c>
      <c r="H2343" t="s">
        <v>101</v>
      </c>
      <c r="I2343" s="6" t="s">
        <v>1048</v>
      </c>
      <c r="J2343" s="61" t="s">
        <v>22</v>
      </c>
      <c r="L2343" s="5" t="str">
        <f t="shared" si="723"/>
        <v>02342</v>
      </c>
      <c r="M2343" s="47" t="str">
        <f t="shared" si="724"/>
        <v>14 de septiembre de 2019</v>
      </c>
      <c r="N2343" s="323">
        <f t="shared" si="717"/>
        <v>14</v>
      </c>
      <c r="O2343" s="25">
        <f t="shared" si="725"/>
        <v>43709</v>
      </c>
      <c r="P2343" s="5" t="str">
        <f t="shared" si="728"/>
        <v>20.500,00</v>
      </c>
      <c r="Q2343" s="4" t="e">
        <f t="shared" ca="1" si="729"/>
        <v>#NAME?</v>
      </c>
    </row>
    <row r="2344" spans="1:17" ht="15.75" thickBot="1">
      <c r="A2344" s="1">
        <f t="shared" si="727"/>
        <v>2343</v>
      </c>
      <c r="C2344" s="8" t="s">
        <v>17</v>
      </c>
      <c r="D2344" s="2">
        <v>43722</v>
      </c>
      <c r="E2344" s="3">
        <v>10000</v>
      </c>
      <c r="F2344" t="s">
        <v>785</v>
      </c>
      <c r="G2344" t="s">
        <v>786</v>
      </c>
      <c r="H2344" t="s">
        <v>719</v>
      </c>
      <c r="I2344" s="6" t="s">
        <v>1026</v>
      </c>
      <c r="J2344" s="61" t="s">
        <v>22</v>
      </c>
      <c r="L2344" s="5" t="str">
        <f t="shared" si="723"/>
        <v>02343</v>
      </c>
      <c r="M2344" s="47" t="str">
        <f t="shared" si="724"/>
        <v>14 de septiembre de 2019</v>
      </c>
      <c r="N2344" s="323">
        <f t="shared" si="717"/>
        <v>14</v>
      </c>
      <c r="O2344" s="25">
        <f t="shared" si="725"/>
        <v>43709</v>
      </c>
      <c r="P2344" s="5" t="str">
        <f t="shared" si="728"/>
        <v>10.000,00</v>
      </c>
      <c r="Q2344" s="4" t="e">
        <f t="shared" ca="1" si="729"/>
        <v>#NAME?</v>
      </c>
    </row>
    <row r="2345" spans="1:17" ht="15.75" thickBot="1">
      <c r="A2345" s="1">
        <f t="shared" si="727"/>
        <v>2344</v>
      </c>
      <c r="C2345" s="8" t="s">
        <v>17</v>
      </c>
      <c r="D2345" s="2">
        <v>43722</v>
      </c>
      <c r="E2345" s="597">
        <v>20500</v>
      </c>
      <c r="F2345" t="s">
        <v>785</v>
      </c>
      <c r="G2345" t="s">
        <v>786</v>
      </c>
      <c r="H2345" t="s">
        <v>719</v>
      </c>
      <c r="I2345" s="6" t="s">
        <v>1048</v>
      </c>
      <c r="J2345" s="61" t="s">
        <v>22</v>
      </c>
      <c r="L2345" s="5" t="str">
        <f t="shared" si="723"/>
        <v>02344</v>
      </c>
      <c r="M2345" s="47" t="str">
        <f t="shared" si="724"/>
        <v>14 de septiembre de 2019</v>
      </c>
      <c r="N2345" s="323">
        <f t="shared" si="717"/>
        <v>14</v>
      </c>
      <c r="O2345" s="25">
        <f t="shared" si="725"/>
        <v>43709</v>
      </c>
      <c r="P2345" s="5" t="str">
        <f t="shared" si="728"/>
        <v>20.500,00</v>
      </c>
      <c r="Q2345" s="4" t="e">
        <f t="shared" ca="1" si="729"/>
        <v>#NAME?</v>
      </c>
    </row>
    <row r="2346" spans="1:17" ht="15.75" thickBot="1">
      <c r="A2346" s="1">
        <f t="shared" si="727"/>
        <v>2345</v>
      </c>
      <c r="C2346" s="8" t="s">
        <v>17</v>
      </c>
      <c r="D2346" s="2">
        <v>43722</v>
      </c>
      <c r="E2346" s="3">
        <v>10000</v>
      </c>
      <c r="F2346" t="s">
        <v>252</v>
      </c>
      <c r="G2346" s="475" t="s">
        <v>958</v>
      </c>
      <c r="H2346" t="s">
        <v>254</v>
      </c>
      <c r="I2346" s="6" t="s">
        <v>1050</v>
      </c>
      <c r="J2346" s="61" t="s">
        <v>22</v>
      </c>
      <c r="L2346" s="5" t="str">
        <f t="shared" ref="L2346:L2369" si="730">IF(ISBLANK(A2346),"",TEXT(A2346,"00000"))</f>
        <v>02345</v>
      </c>
      <c r="M2346" s="47" t="str">
        <f t="shared" ref="M2346:M2369" si="731">IF(ISBLANK(D2346),"",TEXT(D2346,"dd")&amp;" de "&amp;TEXT(D2346,"mmmm")&amp;" de "&amp;TEXT(YEAR(D2346),"0"))</f>
        <v>14 de septiembre de 2019</v>
      </c>
      <c r="N2346" s="323">
        <f t="shared" ref="N2346:N2369" si="732">DAY(D2346)</f>
        <v>14</v>
      </c>
      <c r="O2346" s="25">
        <f t="shared" ref="O2346:O2369" si="733">DATE(YEAR(D2346),MONTH(D2346),1)</f>
        <v>43709</v>
      </c>
      <c r="P2346" s="5" t="str">
        <f t="shared" si="728"/>
        <v>10.000,00</v>
      </c>
      <c r="Q2346" s="4" t="e">
        <f t="shared" ca="1" si="729"/>
        <v>#NAME?</v>
      </c>
    </row>
    <row r="2347" spans="1:17" ht="15.75" thickBot="1">
      <c r="A2347" s="1">
        <f t="shared" si="727"/>
        <v>2346</v>
      </c>
      <c r="C2347" s="8" t="s">
        <v>17</v>
      </c>
      <c r="D2347" s="2">
        <v>43720</v>
      </c>
      <c r="E2347" s="3">
        <v>35000</v>
      </c>
      <c r="F2347" t="s">
        <v>594</v>
      </c>
      <c r="G2347" t="s">
        <v>1051</v>
      </c>
      <c r="H2347" t="s">
        <v>596</v>
      </c>
      <c r="I2347" s="598" t="s">
        <v>1052</v>
      </c>
      <c r="J2347" s="61" t="s">
        <v>22</v>
      </c>
      <c r="L2347" s="5" t="str">
        <f t="shared" si="730"/>
        <v>02346</v>
      </c>
      <c r="M2347" s="47" t="str">
        <f t="shared" si="731"/>
        <v>12 de septiembre de 2019</v>
      </c>
      <c r="N2347" s="323">
        <f t="shared" si="732"/>
        <v>12</v>
      </c>
      <c r="O2347" s="25">
        <f t="shared" si="733"/>
        <v>43709</v>
      </c>
      <c r="P2347" s="5" t="str">
        <f t="shared" si="728"/>
        <v>35.000,00</v>
      </c>
      <c r="Q2347" s="4" t="e">
        <f t="shared" ca="1" si="729"/>
        <v>#NAME?</v>
      </c>
    </row>
    <row r="2348" spans="1:17" ht="15.75" thickBot="1">
      <c r="A2348" s="1">
        <f t="shared" si="727"/>
        <v>2347</v>
      </c>
      <c r="C2348" s="85" t="s">
        <v>17</v>
      </c>
      <c r="D2348" s="2">
        <v>43723</v>
      </c>
      <c r="E2348" s="3">
        <v>29725</v>
      </c>
      <c r="F2348" s="23" t="s">
        <v>422</v>
      </c>
      <c r="G2348" s="18" t="s">
        <v>58</v>
      </c>
      <c r="H2348" t="s">
        <v>423</v>
      </c>
      <c r="I2348" s="6" t="s">
        <v>1035</v>
      </c>
      <c r="J2348" s="61" t="s">
        <v>22</v>
      </c>
      <c r="L2348" s="5" t="str">
        <f t="shared" si="730"/>
        <v>02347</v>
      </c>
      <c r="M2348" s="47" t="str">
        <f t="shared" si="731"/>
        <v>15 de septiembre de 2019</v>
      </c>
      <c r="N2348" s="323">
        <f t="shared" si="732"/>
        <v>15</v>
      </c>
      <c r="O2348" s="25">
        <f t="shared" si="733"/>
        <v>43709</v>
      </c>
      <c r="P2348" s="5" t="str">
        <f t="shared" si="728"/>
        <v>29.725,00</v>
      </c>
      <c r="Q2348" s="4" t="e">
        <f t="shared" ca="1" si="729"/>
        <v>#NAME?</v>
      </c>
    </row>
    <row r="2349" spans="1:17" ht="15.75" thickBot="1">
      <c r="A2349" s="1">
        <f t="shared" si="727"/>
        <v>2348</v>
      </c>
      <c r="C2349" s="8" t="s">
        <v>17</v>
      </c>
      <c r="D2349" s="2">
        <v>43725</v>
      </c>
      <c r="E2349" s="3">
        <v>11000</v>
      </c>
      <c r="F2349" t="s">
        <v>53</v>
      </c>
      <c r="G2349" t="s">
        <v>677</v>
      </c>
      <c r="H2349" t="s">
        <v>55</v>
      </c>
      <c r="I2349" s="6" t="s">
        <v>1042</v>
      </c>
      <c r="J2349" s="61" t="s">
        <v>22</v>
      </c>
      <c r="L2349" s="5" t="str">
        <f t="shared" si="730"/>
        <v>02348</v>
      </c>
      <c r="M2349" s="47" t="str">
        <f t="shared" si="731"/>
        <v>17 de septiembre de 2019</v>
      </c>
      <c r="N2349" s="323">
        <f t="shared" si="732"/>
        <v>17</v>
      </c>
      <c r="O2349" s="25">
        <f t="shared" si="733"/>
        <v>43709</v>
      </c>
      <c r="P2349" s="5" t="str">
        <f t="shared" si="728"/>
        <v>11.000,00</v>
      </c>
      <c r="Q2349" s="4" t="e">
        <f t="shared" ca="1" si="729"/>
        <v>#NAME?</v>
      </c>
    </row>
    <row r="2350" spans="1:17" ht="15.75" thickBot="1">
      <c r="A2350" s="1">
        <f t="shared" si="727"/>
        <v>2349</v>
      </c>
      <c r="C2350" s="8" t="s">
        <v>17</v>
      </c>
      <c r="D2350" s="2">
        <v>43726</v>
      </c>
      <c r="E2350" s="597">
        <v>21600</v>
      </c>
      <c r="F2350" t="s">
        <v>126</v>
      </c>
      <c r="G2350" t="s">
        <v>127</v>
      </c>
      <c r="H2350" t="s">
        <v>128</v>
      </c>
      <c r="I2350" s="6" t="s">
        <v>1048</v>
      </c>
      <c r="J2350" s="61" t="s">
        <v>22</v>
      </c>
      <c r="L2350" s="5" t="str">
        <f t="shared" si="730"/>
        <v>02349</v>
      </c>
      <c r="M2350" s="47" t="str">
        <f t="shared" si="731"/>
        <v>18 de septiembre de 2019</v>
      </c>
      <c r="N2350" s="323">
        <f t="shared" si="732"/>
        <v>18</v>
      </c>
      <c r="O2350" s="25">
        <f t="shared" si="733"/>
        <v>43709</v>
      </c>
      <c r="P2350" s="5" t="str">
        <f t="shared" si="728"/>
        <v>21.600,00</v>
      </c>
      <c r="Q2350" s="4" t="e">
        <f t="shared" ca="1" si="729"/>
        <v>#NAME?</v>
      </c>
    </row>
    <row r="2351" spans="1:17" ht="15.75" thickBot="1">
      <c r="A2351" s="1">
        <f t="shared" si="727"/>
        <v>2350</v>
      </c>
      <c r="C2351" s="8" t="s">
        <v>17</v>
      </c>
      <c r="D2351" s="2">
        <v>43726</v>
      </c>
      <c r="E2351" s="3">
        <v>21600</v>
      </c>
      <c r="F2351" t="s">
        <v>771</v>
      </c>
      <c r="G2351" t="s">
        <v>772</v>
      </c>
      <c r="H2351" t="s">
        <v>773</v>
      </c>
      <c r="I2351" s="6" t="s">
        <v>1053</v>
      </c>
      <c r="J2351" s="61" t="s">
        <v>22</v>
      </c>
      <c r="L2351" s="5" t="str">
        <f t="shared" si="730"/>
        <v>02350</v>
      </c>
      <c r="M2351" s="47" t="str">
        <f t="shared" si="731"/>
        <v>18 de septiembre de 2019</v>
      </c>
      <c r="N2351" s="323">
        <f t="shared" si="732"/>
        <v>18</v>
      </c>
      <c r="O2351" s="25">
        <f t="shared" si="733"/>
        <v>43709</v>
      </c>
      <c r="P2351" s="5" t="str">
        <f t="shared" si="728"/>
        <v>21.600,00</v>
      </c>
      <c r="Q2351" s="4" t="e">
        <f t="shared" ca="1" si="729"/>
        <v>#NAME?</v>
      </c>
    </row>
    <row r="2352" spans="1:17" ht="15.75" thickBot="1">
      <c r="A2352" s="1">
        <f t="shared" si="727"/>
        <v>2351</v>
      </c>
      <c r="C2352" s="8" t="s">
        <v>17</v>
      </c>
      <c r="D2352" s="2">
        <v>43727</v>
      </c>
      <c r="E2352" s="3">
        <v>21600</v>
      </c>
      <c r="F2352" t="s">
        <v>1017</v>
      </c>
      <c r="G2352" s="475" t="s">
        <v>1018</v>
      </c>
      <c r="H2352" t="s">
        <v>140</v>
      </c>
      <c r="I2352" s="6" t="s">
        <v>1035</v>
      </c>
      <c r="J2352" s="61" t="s">
        <v>22</v>
      </c>
      <c r="L2352" s="5" t="str">
        <f t="shared" si="730"/>
        <v>02351</v>
      </c>
      <c r="M2352" s="47" t="str">
        <f t="shared" si="731"/>
        <v>19 de septiembre de 2019</v>
      </c>
      <c r="N2352" s="323">
        <f t="shared" si="732"/>
        <v>19</v>
      </c>
      <c r="O2352" s="25">
        <f t="shared" si="733"/>
        <v>43709</v>
      </c>
      <c r="P2352" s="5" t="str">
        <f t="shared" si="728"/>
        <v>21.600,00</v>
      </c>
      <c r="Q2352" s="4" t="e">
        <f t="shared" ca="1" si="729"/>
        <v>#NAME?</v>
      </c>
    </row>
    <row r="2353" spans="1:17">
      <c r="A2353" s="1">
        <f t="shared" si="727"/>
        <v>2352</v>
      </c>
      <c r="C2353" s="8" t="s">
        <v>17</v>
      </c>
      <c r="D2353" s="2">
        <v>43727</v>
      </c>
      <c r="E2353" s="3">
        <v>21600</v>
      </c>
      <c r="F2353" t="s">
        <v>417</v>
      </c>
      <c r="G2353" t="s">
        <v>418</v>
      </c>
      <c r="H2353" t="s">
        <v>419</v>
      </c>
      <c r="I2353" s="6" t="s">
        <v>1035</v>
      </c>
      <c r="J2353" s="61" t="s">
        <v>22</v>
      </c>
      <c r="L2353" s="5" t="str">
        <f t="shared" si="730"/>
        <v>02352</v>
      </c>
      <c r="M2353" s="47" t="str">
        <f t="shared" si="731"/>
        <v>19 de septiembre de 2019</v>
      </c>
      <c r="N2353" s="323">
        <f t="shared" si="732"/>
        <v>19</v>
      </c>
      <c r="O2353" s="25">
        <f t="shared" si="733"/>
        <v>43709</v>
      </c>
      <c r="P2353" s="5" t="str">
        <f t="shared" si="728"/>
        <v>21.600,00</v>
      </c>
      <c r="Q2353" s="4" t="e">
        <f t="shared" ca="1" si="729"/>
        <v>#NAME?</v>
      </c>
    </row>
    <row r="2354" spans="1:17">
      <c r="A2354" s="1">
        <f t="shared" si="727"/>
        <v>2353</v>
      </c>
      <c r="C2354" s="8" t="s">
        <v>17</v>
      </c>
      <c r="D2354" s="2">
        <v>43727</v>
      </c>
      <c r="E2354" s="3">
        <v>22000</v>
      </c>
      <c r="F2354" t="s">
        <v>62</v>
      </c>
      <c r="G2354" t="s">
        <v>63</v>
      </c>
      <c r="H2354" t="s">
        <v>64</v>
      </c>
      <c r="I2354" s="6" t="s">
        <v>1035</v>
      </c>
      <c r="J2354" s="61" t="s">
        <v>22</v>
      </c>
      <c r="L2354" s="5" t="str">
        <f t="shared" si="730"/>
        <v>02353</v>
      </c>
      <c r="M2354" s="47" t="str">
        <f t="shared" si="731"/>
        <v>19 de septiembre de 2019</v>
      </c>
      <c r="N2354" s="323">
        <f t="shared" si="732"/>
        <v>19</v>
      </c>
      <c r="O2354" s="25">
        <f t="shared" si="733"/>
        <v>43709</v>
      </c>
      <c r="P2354" s="5" t="str">
        <f t="shared" si="728"/>
        <v>22.000,00</v>
      </c>
      <c r="Q2354" s="4" t="e">
        <f t="shared" ca="1" si="729"/>
        <v>#NAME?</v>
      </c>
    </row>
    <row r="2355" spans="1:17">
      <c r="A2355" s="1">
        <f t="shared" si="727"/>
        <v>2354</v>
      </c>
      <c r="C2355" s="8" t="s">
        <v>17</v>
      </c>
      <c r="D2355" s="2">
        <v>43727</v>
      </c>
      <c r="E2355" s="3">
        <v>21600</v>
      </c>
      <c r="F2355" t="s">
        <v>296</v>
      </c>
      <c r="G2355" t="s">
        <v>297</v>
      </c>
      <c r="H2355" t="s">
        <v>298</v>
      </c>
      <c r="I2355" s="6" t="s">
        <v>1035</v>
      </c>
      <c r="J2355" s="61" t="s">
        <v>22</v>
      </c>
      <c r="L2355" s="5" t="str">
        <f t="shared" si="730"/>
        <v>02354</v>
      </c>
      <c r="M2355" s="47" t="str">
        <f t="shared" si="731"/>
        <v>19 de septiembre de 2019</v>
      </c>
      <c r="N2355" s="323">
        <f t="shared" si="732"/>
        <v>19</v>
      </c>
      <c r="O2355" s="25">
        <f t="shared" si="733"/>
        <v>43709</v>
      </c>
      <c r="P2355" s="5" t="str">
        <f t="shared" si="728"/>
        <v>21.600,00</v>
      </c>
      <c r="Q2355" s="4" t="e">
        <f t="shared" ca="1" si="729"/>
        <v>#NAME?</v>
      </c>
    </row>
    <row r="2356" spans="1:17">
      <c r="A2356" s="1">
        <f t="shared" si="727"/>
        <v>2355</v>
      </c>
      <c r="C2356" s="8" t="s">
        <v>17</v>
      </c>
      <c r="D2356" s="2">
        <v>43730</v>
      </c>
      <c r="E2356" s="3">
        <v>21600</v>
      </c>
      <c r="F2356" t="s">
        <v>843</v>
      </c>
      <c r="G2356" t="s">
        <v>844</v>
      </c>
      <c r="H2356" t="s">
        <v>169</v>
      </c>
      <c r="I2356" s="6" t="s">
        <v>1035</v>
      </c>
      <c r="J2356" s="61" t="s">
        <v>22</v>
      </c>
      <c r="L2356" s="5" t="str">
        <f t="shared" si="730"/>
        <v>02355</v>
      </c>
      <c r="M2356" s="47" t="str">
        <f t="shared" si="731"/>
        <v>22 de septiembre de 2019</v>
      </c>
      <c r="N2356" s="323">
        <f t="shared" si="732"/>
        <v>22</v>
      </c>
      <c r="O2356" s="25">
        <f t="shared" si="733"/>
        <v>43709</v>
      </c>
      <c r="P2356" s="5" t="str">
        <f t="shared" si="728"/>
        <v>21.600,00</v>
      </c>
      <c r="Q2356" s="4" t="e">
        <f t="shared" ca="1" si="729"/>
        <v>#NAME?</v>
      </c>
    </row>
    <row r="2357" spans="1:17">
      <c r="A2357" s="1">
        <f t="shared" si="727"/>
        <v>2356</v>
      </c>
      <c r="C2357" s="8" t="s">
        <v>17</v>
      </c>
      <c r="D2357" s="2">
        <v>43731</v>
      </c>
      <c r="E2357" s="3">
        <v>19800</v>
      </c>
      <c r="F2357" t="s">
        <v>185</v>
      </c>
      <c r="G2357" t="s">
        <v>186</v>
      </c>
      <c r="H2357" t="s">
        <v>187</v>
      </c>
      <c r="I2357" s="6" t="s">
        <v>1035</v>
      </c>
      <c r="J2357" s="61" t="s">
        <v>22</v>
      </c>
      <c r="L2357" s="5" t="str">
        <f t="shared" si="730"/>
        <v>02356</v>
      </c>
      <c r="M2357" s="47" t="str">
        <f t="shared" si="731"/>
        <v>23 de septiembre de 2019</v>
      </c>
      <c r="N2357" s="323">
        <f t="shared" si="732"/>
        <v>23</v>
      </c>
      <c r="O2357" s="25">
        <f t="shared" si="733"/>
        <v>43709</v>
      </c>
      <c r="P2357" s="5" t="str">
        <f t="shared" si="728"/>
        <v>19.800,00</v>
      </c>
      <c r="Q2357" s="4" t="e">
        <f t="shared" ca="1" si="729"/>
        <v>#NAME?</v>
      </c>
    </row>
    <row r="2358" spans="1:17">
      <c r="A2358" s="1">
        <f t="shared" si="727"/>
        <v>2357</v>
      </c>
      <c r="C2358" s="8" t="s">
        <v>17</v>
      </c>
      <c r="D2358" s="2">
        <v>43731</v>
      </c>
      <c r="E2358" s="3">
        <v>19800</v>
      </c>
      <c r="F2358" t="s">
        <v>130</v>
      </c>
      <c r="G2358" t="s">
        <v>1054</v>
      </c>
      <c r="H2358" t="s">
        <v>132</v>
      </c>
      <c r="I2358" s="6" t="s">
        <v>1035</v>
      </c>
      <c r="J2358" s="61" t="s">
        <v>22</v>
      </c>
      <c r="L2358" s="5" t="str">
        <f t="shared" si="730"/>
        <v>02357</v>
      </c>
      <c r="M2358" s="47" t="str">
        <f t="shared" si="731"/>
        <v>23 de septiembre de 2019</v>
      </c>
      <c r="N2358" s="323">
        <f t="shared" si="732"/>
        <v>23</v>
      </c>
      <c r="O2358" s="25">
        <f t="shared" si="733"/>
        <v>43709</v>
      </c>
      <c r="P2358" s="5" t="str">
        <f t="shared" si="728"/>
        <v>19.800,00</v>
      </c>
      <c r="Q2358" s="4" t="e">
        <f t="shared" ca="1" si="729"/>
        <v>#NAME?</v>
      </c>
    </row>
    <row r="2359" spans="1:17">
      <c r="A2359" s="1">
        <f t="shared" si="727"/>
        <v>2358</v>
      </c>
      <c r="C2359" s="8" t="s">
        <v>17</v>
      </c>
      <c r="D2359" s="2">
        <v>43731</v>
      </c>
      <c r="E2359" s="3">
        <v>19800</v>
      </c>
      <c r="F2359" t="s">
        <v>1015</v>
      </c>
      <c r="G2359" t="s">
        <v>1016</v>
      </c>
      <c r="H2359" t="s">
        <v>59</v>
      </c>
      <c r="I2359" s="6" t="s">
        <v>1035</v>
      </c>
      <c r="J2359" s="61" t="s">
        <v>22</v>
      </c>
      <c r="L2359" s="5" t="str">
        <f t="shared" si="730"/>
        <v>02358</v>
      </c>
      <c r="M2359" s="47" t="str">
        <f t="shared" si="731"/>
        <v>23 de septiembre de 2019</v>
      </c>
      <c r="N2359" s="323">
        <f t="shared" si="732"/>
        <v>23</v>
      </c>
      <c r="O2359" s="25">
        <f t="shared" si="733"/>
        <v>43709</v>
      </c>
      <c r="P2359" s="5" t="str">
        <f t="shared" si="728"/>
        <v>19.800,00</v>
      </c>
      <c r="Q2359" s="4" t="e">
        <f ca="1">CONVERTIRNUM(E2359)</f>
        <v>#NAME?</v>
      </c>
    </row>
    <row r="2360" spans="1:17" ht="16.5" customHeight="1">
      <c r="A2360" s="1">
        <f t="shared" si="727"/>
        <v>2359</v>
      </c>
      <c r="C2360" s="8" t="s">
        <v>17</v>
      </c>
      <c r="D2360" s="2">
        <v>43731</v>
      </c>
      <c r="E2360" s="3">
        <v>19800</v>
      </c>
      <c r="F2360" t="s">
        <v>219</v>
      </c>
      <c r="G2360" t="s">
        <v>220</v>
      </c>
      <c r="H2360" t="s">
        <v>221</v>
      </c>
      <c r="I2360" s="6" t="s">
        <v>1055</v>
      </c>
      <c r="J2360" s="61" t="s">
        <v>22</v>
      </c>
      <c r="L2360" s="5" t="str">
        <f t="shared" si="730"/>
        <v>02359</v>
      </c>
      <c r="M2360" s="47" t="str">
        <f t="shared" si="731"/>
        <v>23 de septiembre de 2019</v>
      </c>
      <c r="N2360" s="323">
        <f t="shared" si="732"/>
        <v>23</v>
      </c>
      <c r="O2360" s="25">
        <f t="shared" si="733"/>
        <v>43709</v>
      </c>
      <c r="P2360" s="5" t="str">
        <f t="shared" si="728"/>
        <v>19.800,00</v>
      </c>
      <c r="Q2360" s="4" t="e">
        <f t="shared" ref="Q2360:Q2373" ca="1" si="734">CONVERTIRNUM(E2360)</f>
        <v>#NAME?</v>
      </c>
    </row>
    <row r="2361" spans="1:17">
      <c r="A2361" s="1">
        <f t="shared" si="727"/>
        <v>2360</v>
      </c>
      <c r="C2361" s="8" t="s">
        <v>17</v>
      </c>
      <c r="D2361" s="2">
        <v>43731</v>
      </c>
      <c r="E2361" s="3">
        <v>19800</v>
      </c>
      <c r="F2361" t="s">
        <v>483</v>
      </c>
      <c r="G2361" t="s">
        <v>484</v>
      </c>
      <c r="H2361" t="s">
        <v>485</v>
      </c>
      <c r="I2361" s="6" t="s">
        <v>1035</v>
      </c>
      <c r="J2361" s="61" t="s">
        <v>22</v>
      </c>
      <c r="L2361" s="5" t="str">
        <f t="shared" si="730"/>
        <v>02360</v>
      </c>
      <c r="M2361" s="47" t="str">
        <f t="shared" si="731"/>
        <v>23 de septiembre de 2019</v>
      </c>
      <c r="N2361" s="323">
        <f t="shared" si="732"/>
        <v>23</v>
      </c>
      <c r="O2361" s="25">
        <f t="shared" si="733"/>
        <v>43709</v>
      </c>
      <c r="P2361" s="5" t="str">
        <f t="shared" si="728"/>
        <v>19.800,00</v>
      </c>
      <c r="Q2361" s="4" t="e">
        <f t="shared" ca="1" si="734"/>
        <v>#NAME?</v>
      </c>
    </row>
    <row r="2362" spans="1:17">
      <c r="A2362" s="1">
        <f t="shared" si="727"/>
        <v>2361</v>
      </c>
      <c r="C2362" s="8" t="s">
        <v>17</v>
      </c>
      <c r="D2362" s="2">
        <v>43731</v>
      </c>
      <c r="E2362" s="3">
        <v>19800</v>
      </c>
      <c r="F2362" t="s">
        <v>324</v>
      </c>
      <c r="G2362" t="s">
        <v>325</v>
      </c>
      <c r="H2362" t="s">
        <v>326</v>
      </c>
      <c r="I2362" s="6" t="s">
        <v>1035</v>
      </c>
      <c r="J2362" s="61" t="s">
        <v>22</v>
      </c>
      <c r="L2362" s="5" t="str">
        <f t="shared" si="730"/>
        <v>02361</v>
      </c>
      <c r="M2362" s="47" t="str">
        <f t="shared" si="731"/>
        <v>23 de septiembre de 2019</v>
      </c>
      <c r="N2362" s="323">
        <f t="shared" si="732"/>
        <v>23</v>
      </c>
      <c r="O2362" s="25">
        <f t="shared" si="733"/>
        <v>43709</v>
      </c>
      <c r="P2362" s="5" t="str">
        <f t="shared" si="728"/>
        <v>19.800,00</v>
      </c>
      <c r="Q2362" s="4" t="e">
        <f t="shared" ca="1" si="734"/>
        <v>#NAME?</v>
      </c>
    </row>
    <row r="2363" spans="1:17">
      <c r="A2363" s="1">
        <f t="shared" si="727"/>
        <v>2362</v>
      </c>
      <c r="C2363" s="8" t="s">
        <v>17</v>
      </c>
      <c r="D2363" s="2">
        <v>43731</v>
      </c>
      <c r="E2363" s="3">
        <v>19800</v>
      </c>
      <c r="F2363" t="s">
        <v>284</v>
      </c>
      <c r="G2363" t="s">
        <v>687</v>
      </c>
      <c r="H2363" t="s">
        <v>285</v>
      </c>
      <c r="I2363" s="6" t="s">
        <v>1035</v>
      </c>
      <c r="J2363" s="61" t="s">
        <v>22</v>
      </c>
      <c r="L2363" s="5" t="str">
        <f t="shared" si="730"/>
        <v>02362</v>
      </c>
      <c r="M2363" s="47" t="str">
        <f t="shared" si="731"/>
        <v>23 de septiembre de 2019</v>
      </c>
      <c r="N2363" s="323">
        <f t="shared" si="732"/>
        <v>23</v>
      </c>
      <c r="O2363" s="25">
        <f t="shared" si="733"/>
        <v>43709</v>
      </c>
      <c r="P2363" s="5" t="str">
        <f t="shared" si="728"/>
        <v>19.800,00</v>
      </c>
      <c r="Q2363" s="4" t="e">
        <f t="shared" ca="1" si="734"/>
        <v>#NAME?</v>
      </c>
    </row>
    <row r="2364" spans="1:17">
      <c r="A2364" s="1">
        <f t="shared" si="727"/>
        <v>2363</v>
      </c>
      <c r="C2364" s="8" t="s">
        <v>17</v>
      </c>
      <c r="D2364" s="2">
        <v>43732</v>
      </c>
      <c r="E2364" s="3">
        <v>21600</v>
      </c>
      <c r="F2364" t="s">
        <v>264</v>
      </c>
      <c r="G2364" t="s">
        <v>265</v>
      </c>
      <c r="H2364" t="s">
        <v>266</v>
      </c>
      <c r="I2364" s="6" t="s">
        <v>1035</v>
      </c>
      <c r="J2364" s="61" t="s">
        <v>22</v>
      </c>
      <c r="L2364" s="5" t="str">
        <f t="shared" si="730"/>
        <v>02363</v>
      </c>
      <c r="M2364" s="47" t="str">
        <f t="shared" si="731"/>
        <v>24 de septiembre de 2019</v>
      </c>
      <c r="N2364" s="323">
        <f t="shared" si="732"/>
        <v>24</v>
      </c>
      <c r="O2364" s="25">
        <f t="shared" si="733"/>
        <v>43709</v>
      </c>
      <c r="P2364" s="5" t="str">
        <f t="shared" si="728"/>
        <v>21.600,00</v>
      </c>
      <c r="Q2364" s="4" t="e">
        <f t="shared" ca="1" si="734"/>
        <v>#NAME?</v>
      </c>
    </row>
    <row r="2365" spans="1:17">
      <c r="A2365" s="1">
        <f t="shared" si="727"/>
        <v>2364</v>
      </c>
      <c r="C2365" s="8" t="s">
        <v>17</v>
      </c>
      <c r="D2365" s="2">
        <v>43733</v>
      </c>
      <c r="E2365" s="3">
        <v>39600</v>
      </c>
      <c r="F2365" t="s">
        <v>998</v>
      </c>
      <c r="G2365" t="s">
        <v>999</v>
      </c>
      <c r="H2365" t="s">
        <v>1000</v>
      </c>
      <c r="I2365" s="6" t="s">
        <v>1041</v>
      </c>
      <c r="J2365" s="61" t="s">
        <v>22</v>
      </c>
      <c r="L2365" s="5" t="str">
        <f t="shared" si="730"/>
        <v>02364</v>
      </c>
      <c r="M2365" s="47" t="str">
        <f t="shared" si="731"/>
        <v>25 de septiembre de 2019</v>
      </c>
      <c r="N2365" s="323">
        <f t="shared" si="732"/>
        <v>25</v>
      </c>
      <c r="O2365" s="25">
        <f t="shared" si="733"/>
        <v>43709</v>
      </c>
      <c r="P2365" s="5" t="str">
        <f t="shared" si="728"/>
        <v>39.600,00</v>
      </c>
      <c r="Q2365" s="4" t="e">
        <f t="shared" ca="1" si="734"/>
        <v>#NAME?</v>
      </c>
    </row>
    <row r="2366" spans="1:17">
      <c r="A2366" s="1">
        <f t="shared" si="727"/>
        <v>2365</v>
      </c>
      <c r="C2366" s="8" t="s">
        <v>17</v>
      </c>
      <c r="D2366" s="2">
        <v>43734</v>
      </c>
      <c r="E2366" s="3">
        <v>20000</v>
      </c>
      <c r="F2366" t="s">
        <v>558</v>
      </c>
      <c r="G2366" t="s">
        <v>559</v>
      </c>
      <c r="H2366" t="s">
        <v>560</v>
      </c>
      <c r="I2366" s="6" t="s">
        <v>1035</v>
      </c>
      <c r="J2366" s="61" t="s">
        <v>22</v>
      </c>
      <c r="L2366" s="5" t="str">
        <f t="shared" si="730"/>
        <v>02365</v>
      </c>
      <c r="M2366" s="47" t="str">
        <f t="shared" si="731"/>
        <v>26 de septiembre de 2019</v>
      </c>
      <c r="N2366" s="323">
        <f t="shared" si="732"/>
        <v>26</v>
      </c>
      <c r="O2366" s="25">
        <f t="shared" si="733"/>
        <v>43709</v>
      </c>
      <c r="P2366" s="5" t="str">
        <f t="shared" si="728"/>
        <v>20.000,00</v>
      </c>
      <c r="Q2366" s="4" t="e">
        <f t="shared" ca="1" si="734"/>
        <v>#NAME?</v>
      </c>
    </row>
    <row r="2367" spans="1:17">
      <c r="A2367" s="1">
        <f t="shared" si="727"/>
        <v>2366</v>
      </c>
      <c r="C2367" s="8" t="s">
        <v>17</v>
      </c>
      <c r="D2367" s="2">
        <v>43735</v>
      </c>
      <c r="E2367" s="3">
        <v>19800</v>
      </c>
      <c r="F2367" t="s">
        <v>122</v>
      </c>
      <c r="G2367" t="s">
        <v>123</v>
      </c>
      <c r="H2367" t="s">
        <v>124</v>
      </c>
      <c r="I2367" s="6" t="s">
        <v>1035</v>
      </c>
      <c r="J2367" s="61" t="s">
        <v>22</v>
      </c>
      <c r="L2367" s="5" t="str">
        <f t="shared" si="730"/>
        <v>02366</v>
      </c>
      <c r="M2367" s="47" t="str">
        <f t="shared" si="731"/>
        <v>27 de septiembre de 2019</v>
      </c>
      <c r="N2367" s="323">
        <f t="shared" si="732"/>
        <v>27</v>
      </c>
      <c r="O2367" s="25">
        <f t="shared" si="733"/>
        <v>43709</v>
      </c>
      <c r="P2367" s="5" t="str">
        <f t="shared" si="728"/>
        <v>19.800,00</v>
      </c>
      <c r="Q2367" s="4" t="e">
        <f t="shared" ca="1" si="734"/>
        <v>#NAME?</v>
      </c>
    </row>
    <row r="2368" spans="1:17">
      <c r="A2368" s="1">
        <f t="shared" si="727"/>
        <v>2367</v>
      </c>
      <c r="C2368" s="8" t="s">
        <v>17</v>
      </c>
      <c r="D2368" s="2">
        <v>43735</v>
      </c>
      <c r="E2368" s="3">
        <v>20000</v>
      </c>
      <c r="F2368" t="s">
        <v>181</v>
      </c>
      <c r="G2368" t="s">
        <v>182</v>
      </c>
      <c r="H2368" t="s">
        <v>183</v>
      </c>
      <c r="I2368" s="6" t="s">
        <v>1035</v>
      </c>
      <c r="J2368" s="61" t="s">
        <v>22</v>
      </c>
      <c r="L2368" s="5" t="str">
        <f t="shared" si="730"/>
        <v>02367</v>
      </c>
      <c r="M2368" s="47" t="str">
        <f t="shared" si="731"/>
        <v>27 de septiembre de 2019</v>
      </c>
      <c r="N2368" s="323">
        <f t="shared" si="732"/>
        <v>27</v>
      </c>
      <c r="O2368" s="25">
        <f t="shared" si="733"/>
        <v>43709</v>
      </c>
      <c r="P2368" s="5" t="str">
        <f t="shared" si="728"/>
        <v>20.000,00</v>
      </c>
      <c r="Q2368" s="4" t="e">
        <f t="shared" ca="1" si="734"/>
        <v>#NAME?</v>
      </c>
    </row>
    <row r="2369" spans="1:17" ht="15.75" thickBot="1">
      <c r="A2369" s="1">
        <f t="shared" si="727"/>
        <v>2368</v>
      </c>
      <c r="C2369" s="8" t="s">
        <v>17</v>
      </c>
      <c r="D2369" s="2">
        <v>43735</v>
      </c>
      <c r="E2369" s="3">
        <v>19800</v>
      </c>
      <c r="F2369" t="s">
        <v>412</v>
      </c>
      <c r="G2369" t="s">
        <v>413</v>
      </c>
      <c r="H2369" t="s">
        <v>414</v>
      </c>
      <c r="I2369" s="6" t="s">
        <v>1035</v>
      </c>
      <c r="J2369" s="61" t="s">
        <v>22</v>
      </c>
      <c r="L2369" s="5" t="str">
        <f t="shared" si="730"/>
        <v>02368</v>
      </c>
      <c r="M2369" s="47" t="str">
        <f t="shared" si="731"/>
        <v>27 de septiembre de 2019</v>
      </c>
      <c r="N2369" s="323">
        <f t="shared" si="732"/>
        <v>27</v>
      </c>
      <c r="O2369" s="25">
        <f t="shared" si="733"/>
        <v>43709</v>
      </c>
      <c r="P2369" s="5" t="str">
        <f t="shared" si="728"/>
        <v>19.800,00</v>
      </c>
      <c r="Q2369" s="4" t="e">
        <f t="shared" ca="1" si="734"/>
        <v>#NAME?</v>
      </c>
    </row>
    <row r="2370" spans="1:17" ht="15.75" thickBot="1">
      <c r="A2370" s="1">
        <f t="shared" si="727"/>
        <v>2369</v>
      </c>
      <c r="C2370" s="8" t="s">
        <v>17</v>
      </c>
      <c r="D2370" s="2">
        <v>43736</v>
      </c>
      <c r="E2370" s="597">
        <v>19800</v>
      </c>
      <c r="F2370" t="s">
        <v>126</v>
      </c>
      <c r="G2370" t="s">
        <v>127</v>
      </c>
      <c r="H2370" t="s">
        <v>128</v>
      </c>
      <c r="I2370" s="6" t="s">
        <v>1056</v>
      </c>
      <c r="J2370" s="61" t="s">
        <v>22</v>
      </c>
      <c r="L2370" s="5" t="str">
        <f t="shared" ref="L2370:L2373" si="735">IF(ISBLANK(A2370),"",TEXT(A2370,"00000"))</f>
        <v>02369</v>
      </c>
      <c r="M2370" s="47" t="str">
        <f t="shared" ref="M2370:M2373" si="736">IF(ISBLANK(D2370),"",TEXT(D2370,"dd")&amp;" de "&amp;TEXT(D2370,"mmmm")&amp;" de "&amp;TEXT(YEAR(D2370),"0"))</f>
        <v>28 de septiembre de 2019</v>
      </c>
      <c r="N2370" s="323">
        <f t="shared" ref="N2370:N2373" si="737">DAY(D2370)</f>
        <v>28</v>
      </c>
      <c r="O2370" s="25">
        <f t="shared" ref="O2370:O2373" si="738">DATE(YEAR(D2370),MONTH(D2370),1)</f>
        <v>43709</v>
      </c>
      <c r="P2370" s="5" t="str">
        <f t="shared" ref="P2370:P2373" si="739">TEXT(E2370,"#.##0,00")</f>
        <v>19.800,00</v>
      </c>
      <c r="Q2370" s="4" t="e">
        <f t="shared" ca="1" si="734"/>
        <v>#NAME?</v>
      </c>
    </row>
    <row r="2371" spans="1:17">
      <c r="A2371" s="1">
        <f t="shared" si="727"/>
        <v>2370</v>
      </c>
      <c r="C2371" s="8" t="s">
        <v>17</v>
      </c>
      <c r="D2371" s="2">
        <v>43736</v>
      </c>
      <c r="E2371" s="3">
        <v>19800</v>
      </c>
      <c r="F2371" t="s">
        <v>118</v>
      </c>
      <c r="G2371" t="s">
        <v>119</v>
      </c>
      <c r="H2371" t="s">
        <v>120</v>
      </c>
      <c r="I2371" s="6" t="s">
        <v>1035</v>
      </c>
      <c r="J2371" s="61" t="s">
        <v>22</v>
      </c>
      <c r="L2371" s="5" t="str">
        <f t="shared" si="735"/>
        <v>02370</v>
      </c>
      <c r="M2371" s="47" t="str">
        <f t="shared" si="736"/>
        <v>28 de septiembre de 2019</v>
      </c>
      <c r="N2371" s="323">
        <f t="shared" si="737"/>
        <v>28</v>
      </c>
      <c r="O2371" s="25">
        <f t="shared" si="738"/>
        <v>43709</v>
      </c>
      <c r="P2371" s="5" t="str">
        <f t="shared" si="739"/>
        <v>19.800,00</v>
      </c>
      <c r="Q2371" s="4" t="e">
        <f t="shared" ca="1" si="734"/>
        <v>#NAME?</v>
      </c>
    </row>
    <row r="2372" spans="1:17" ht="15.75" thickBot="1">
      <c r="A2372" s="1">
        <f t="shared" si="727"/>
        <v>2371</v>
      </c>
      <c r="C2372" s="8" t="s">
        <v>17</v>
      </c>
      <c r="D2372" s="2">
        <v>43736</v>
      </c>
      <c r="E2372" s="3">
        <v>19800</v>
      </c>
      <c r="F2372" t="s">
        <v>94</v>
      </c>
      <c r="G2372" t="s">
        <v>607</v>
      </c>
      <c r="H2372" t="s">
        <v>96</v>
      </c>
      <c r="I2372" s="6" t="s">
        <v>1035</v>
      </c>
      <c r="J2372" s="61" t="s">
        <v>22</v>
      </c>
      <c r="L2372" s="5" t="str">
        <f t="shared" si="735"/>
        <v>02371</v>
      </c>
      <c r="M2372" s="47" t="str">
        <f t="shared" si="736"/>
        <v>28 de septiembre de 2019</v>
      </c>
      <c r="N2372" s="323">
        <f t="shared" si="737"/>
        <v>28</v>
      </c>
      <c r="O2372" s="25">
        <f t="shared" si="738"/>
        <v>43709</v>
      </c>
      <c r="P2372" s="5" t="str">
        <f t="shared" si="739"/>
        <v>19.800,00</v>
      </c>
      <c r="Q2372" s="4" t="e">
        <f t="shared" ca="1" si="734"/>
        <v>#NAME?</v>
      </c>
    </row>
    <row r="2373" spans="1:17" ht="15.75" thickBot="1">
      <c r="A2373" s="1">
        <f t="shared" si="727"/>
        <v>2372</v>
      </c>
      <c r="C2373" s="8" t="s">
        <v>17</v>
      </c>
      <c r="D2373" s="2">
        <v>43737</v>
      </c>
      <c r="E2373" s="3">
        <v>4800</v>
      </c>
      <c r="F2373" t="s">
        <v>90</v>
      </c>
      <c r="G2373" s="475" t="s">
        <v>978</v>
      </c>
      <c r="H2373" t="s">
        <v>92</v>
      </c>
      <c r="I2373" s="6" t="s">
        <v>1057</v>
      </c>
      <c r="J2373" s="61" t="s">
        <v>22</v>
      </c>
      <c r="L2373" s="5" t="str">
        <f t="shared" si="735"/>
        <v>02372</v>
      </c>
      <c r="M2373" s="47" t="str">
        <f t="shared" si="736"/>
        <v>29 de septiembre de 2019</v>
      </c>
      <c r="N2373" s="323">
        <f t="shared" si="737"/>
        <v>29</v>
      </c>
      <c r="O2373" s="25">
        <f t="shared" si="738"/>
        <v>43709</v>
      </c>
      <c r="P2373" s="5" t="str">
        <f t="shared" si="739"/>
        <v>4.800,00</v>
      </c>
      <c r="Q2373" s="4" t="e">
        <f t="shared" ca="1" si="734"/>
        <v>#NAME?</v>
      </c>
    </row>
    <row r="2374" spans="1:17" ht="15.75" thickBot="1">
      <c r="A2374" s="1">
        <f t="shared" si="727"/>
        <v>2373</v>
      </c>
      <c r="C2374" s="8" t="s">
        <v>17</v>
      </c>
      <c r="D2374" s="2">
        <v>43737</v>
      </c>
      <c r="E2374" s="3">
        <v>15200</v>
      </c>
      <c r="F2374" t="s">
        <v>90</v>
      </c>
      <c r="G2374" s="475" t="s">
        <v>978</v>
      </c>
      <c r="H2374" t="s">
        <v>92</v>
      </c>
      <c r="I2374" s="6" t="s">
        <v>1058</v>
      </c>
      <c r="J2374" s="61" t="s">
        <v>1059</v>
      </c>
      <c r="L2374" s="5" t="str">
        <f t="shared" ref="L2374:L2411" si="740">IF(ISBLANK(A2374),"",TEXT(A2374,"00000"))</f>
        <v>02373</v>
      </c>
      <c r="M2374" s="47" t="str">
        <f t="shared" ref="M2374:M2411" si="741">IF(ISBLANK(D2374),"",TEXT(D2374,"dd")&amp;" de "&amp;TEXT(D2374,"mmmm")&amp;" de "&amp;TEXT(YEAR(D2374),"0"))</f>
        <v>29 de septiembre de 2019</v>
      </c>
      <c r="N2374" s="323">
        <f t="shared" ref="N2374:N2421" si="742">DAY(D2374)</f>
        <v>29</v>
      </c>
      <c r="O2374" s="25">
        <f t="shared" ref="O2374:O2411" si="743">DATE(YEAR(D2374),MONTH(D2374),1)</f>
        <v>43709</v>
      </c>
      <c r="P2374" s="5" t="str">
        <f t="shared" ref="P2374:P2421" si="744">TEXT(E2374,"#.##0,00")</f>
        <v>15.200,00</v>
      </c>
      <c r="Q2374" s="4" t="e">
        <f t="shared" ref="Q2374:Q2377" ca="1" si="745">CONVERTIRNUM(E2374)</f>
        <v>#NAME?</v>
      </c>
    </row>
    <row r="2375" spans="1:17" ht="15.75" thickBot="1">
      <c r="A2375" s="1">
        <f t="shared" si="727"/>
        <v>2374</v>
      </c>
      <c r="C2375" s="8" t="s">
        <v>17</v>
      </c>
      <c r="D2375" s="2">
        <v>43738</v>
      </c>
      <c r="E2375" s="3">
        <v>21100</v>
      </c>
      <c r="F2375" t="s">
        <v>32</v>
      </c>
      <c r="G2375" t="s">
        <v>33</v>
      </c>
      <c r="H2375" t="s">
        <v>34</v>
      </c>
      <c r="I2375" s="6" t="s">
        <v>1035</v>
      </c>
      <c r="J2375" s="61" t="s">
        <v>22</v>
      </c>
      <c r="L2375" s="5" t="str">
        <f t="shared" si="740"/>
        <v>02374</v>
      </c>
      <c r="M2375" s="47" t="str">
        <f t="shared" si="741"/>
        <v>30 de septiembre de 2019</v>
      </c>
      <c r="N2375" s="323">
        <f t="shared" si="742"/>
        <v>30</v>
      </c>
      <c r="O2375" s="25">
        <f t="shared" si="743"/>
        <v>43709</v>
      </c>
      <c r="P2375" s="5" t="str">
        <f t="shared" si="744"/>
        <v>21.100,00</v>
      </c>
      <c r="Q2375" s="4" t="e">
        <f t="shared" ca="1" si="745"/>
        <v>#NAME?</v>
      </c>
    </row>
    <row r="2376" spans="1:17" ht="15.75" thickBot="1">
      <c r="A2376" s="1">
        <f t="shared" si="727"/>
        <v>2375</v>
      </c>
      <c r="C2376" s="85" t="s">
        <v>17</v>
      </c>
      <c r="D2376" s="2">
        <v>43738</v>
      </c>
      <c r="E2376" s="3">
        <v>21100</v>
      </c>
      <c r="F2376" t="s">
        <v>259</v>
      </c>
      <c r="G2376" s="18" t="s">
        <v>58</v>
      </c>
      <c r="H2376" t="s">
        <v>261</v>
      </c>
      <c r="I2376" s="6" t="s">
        <v>1035</v>
      </c>
      <c r="J2376" s="61" t="s">
        <v>22</v>
      </c>
      <c r="L2376" s="5" t="str">
        <f t="shared" si="740"/>
        <v>02375</v>
      </c>
      <c r="M2376" s="47" t="str">
        <f t="shared" si="741"/>
        <v>30 de septiembre de 2019</v>
      </c>
      <c r="N2376" s="323">
        <f t="shared" si="742"/>
        <v>30</v>
      </c>
      <c r="O2376" s="25">
        <f t="shared" si="743"/>
        <v>43709</v>
      </c>
      <c r="P2376" s="5" t="str">
        <f t="shared" si="744"/>
        <v>21.100,00</v>
      </c>
      <c r="Q2376" s="4" t="e">
        <f t="shared" ca="1" si="745"/>
        <v>#NAME?</v>
      </c>
    </row>
    <row r="2377" spans="1:17">
      <c r="A2377" s="1">
        <f t="shared" si="727"/>
        <v>2376</v>
      </c>
      <c r="C2377" s="8" t="s">
        <v>17</v>
      </c>
      <c r="D2377" s="2">
        <v>43738</v>
      </c>
      <c r="E2377" s="3">
        <v>21100</v>
      </c>
      <c r="F2377" t="s">
        <v>211</v>
      </c>
      <c r="G2377" t="s">
        <v>212</v>
      </c>
      <c r="H2377" t="s">
        <v>213</v>
      </c>
      <c r="I2377" s="6" t="s">
        <v>1035</v>
      </c>
      <c r="J2377" s="61" t="s">
        <v>22</v>
      </c>
      <c r="L2377" s="5" t="str">
        <f t="shared" si="740"/>
        <v>02376</v>
      </c>
      <c r="M2377" s="47" t="str">
        <f t="shared" si="741"/>
        <v>30 de septiembre de 2019</v>
      </c>
      <c r="N2377" s="323">
        <f t="shared" si="742"/>
        <v>30</v>
      </c>
      <c r="O2377" s="25">
        <f t="shared" si="743"/>
        <v>43709</v>
      </c>
      <c r="P2377" s="5" t="str">
        <f t="shared" si="744"/>
        <v>21.100,00</v>
      </c>
      <c r="Q2377" s="4" t="e">
        <f t="shared" ca="1" si="745"/>
        <v>#NAME?</v>
      </c>
    </row>
    <row r="2378" spans="1:17">
      <c r="A2378" s="1">
        <f t="shared" si="727"/>
        <v>2377</v>
      </c>
      <c r="B2378" s="8"/>
      <c r="C2378" s="8" t="s">
        <v>17</v>
      </c>
      <c r="D2378" s="2">
        <v>43739</v>
      </c>
      <c r="E2378" s="3">
        <v>21100</v>
      </c>
      <c r="F2378" t="s">
        <v>407</v>
      </c>
      <c r="G2378" t="s">
        <v>408</v>
      </c>
      <c r="H2378" t="s">
        <v>409</v>
      </c>
      <c r="I2378" s="6" t="s">
        <v>1060</v>
      </c>
      <c r="J2378" s="61" t="s">
        <v>22</v>
      </c>
      <c r="L2378" s="5" t="str">
        <f t="shared" si="740"/>
        <v>02377</v>
      </c>
      <c r="M2378" s="47" t="str">
        <f t="shared" si="741"/>
        <v>01 de octubre de 2019</v>
      </c>
      <c r="N2378" s="323">
        <f t="shared" si="742"/>
        <v>1</v>
      </c>
      <c r="O2378" s="25">
        <f t="shared" si="743"/>
        <v>43739</v>
      </c>
      <c r="P2378" s="5" t="str">
        <f t="shared" si="744"/>
        <v>21.100,00</v>
      </c>
      <c r="Q2378" s="4" t="e">
        <f ca="1">CONVERTIRNUM(E2378)</f>
        <v>#NAME?</v>
      </c>
    </row>
    <row r="2379" spans="1:17">
      <c r="A2379" s="1">
        <f t="shared" si="727"/>
        <v>2378</v>
      </c>
      <c r="B2379" s="8"/>
      <c r="C2379" s="8" t="s">
        <v>17</v>
      </c>
      <c r="D2379" s="2">
        <v>43739</v>
      </c>
      <c r="E2379" s="3">
        <v>20000</v>
      </c>
      <c r="F2379" t="s">
        <v>401</v>
      </c>
      <c r="G2379" t="s">
        <v>402</v>
      </c>
      <c r="H2379" t="s">
        <v>403</v>
      </c>
      <c r="I2379" s="6" t="s">
        <v>1061</v>
      </c>
      <c r="J2379" s="61" t="s">
        <v>22</v>
      </c>
      <c r="L2379" s="5" t="str">
        <f t="shared" si="740"/>
        <v>02378</v>
      </c>
      <c r="M2379" s="47" t="str">
        <f t="shared" si="741"/>
        <v>01 de octubre de 2019</v>
      </c>
      <c r="N2379" s="323">
        <f t="shared" si="742"/>
        <v>1</v>
      </c>
      <c r="O2379" s="25">
        <f t="shared" si="743"/>
        <v>43739</v>
      </c>
      <c r="P2379" s="5" t="str">
        <f t="shared" si="744"/>
        <v>20.000,00</v>
      </c>
      <c r="Q2379" s="4" t="e">
        <f t="shared" ref="Q2379:Q2423" ca="1" si="746">CONVERTIRNUM(E2379)</f>
        <v>#NAME?</v>
      </c>
    </row>
    <row r="2380" spans="1:17">
      <c r="A2380" s="1">
        <f t="shared" si="727"/>
        <v>2379</v>
      </c>
      <c r="B2380" s="8"/>
      <c r="C2380" s="8" t="s">
        <v>17</v>
      </c>
      <c r="D2380" s="2">
        <v>43739</v>
      </c>
      <c r="E2380" s="3">
        <v>21100</v>
      </c>
      <c r="F2380" t="s">
        <v>334</v>
      </c>
      <c r="G2380" t="s">
        <v>85</v>
      </c>
      <c r="H2380" t="s">
        <v>335</v>
      </c>
      <c r="I2380" s="6" t="s">
        <v>1060</v>
      </c>
      <c r="J2380" s="61" t="s">
        <v>22</v>
      </c>
      <c r="L2380" s="5" t="str">
        <f t="shared" si="740"/>
        <v>02379</v>
      </c>
      <c r="M2380" s="47" t="str">
        <f t="shared" si="741"/>
        <v>01 de octubre de 2019</v>
      </c>
      <c r="N2380" s="323">
        <f t="shared" si="742"/>
        <v>1</v>
      </c>
      <c r="O2380" s="25">
        <f t="shared" si="743"/>
        <v>43739</v>
      </c>
      <c r="P2380" s="5" t="str">
        <f t="shared" si="744"/>
        <v>21.100,00</v>
      </c>
      <c r="Q2380" s="4" t="e">
        <f t="shared" ca="1" si="746"/>
        <v>#NAME?</v>
      </c>
    </row>
    <row r="2381" spans="1:17">
      <c r="A2381" s="1">
        <f t="shared" si="727"/>
        <v>2380</v>
      </c>
      <c r="B2381" s="8"/>
      <c r="C2381" s="8" t="s">
        <v>17</v>
      </c>
      <c r="D2381" s="2">
        <v>43739</v>
      </c>
      <c r="E2381" s="3">
        <v>21100</v>
      </c>
      <c r="F2381" t="s">
        <v>84</v>
      </c>
      <c r="G2381" t="s">
        <v>85</v>
      </c>
      <c r="H2381" t="s">
        <v>86</v>
      </c>
      <c r="I2381" s="6" t="s">
        <v>1060</v>
      </c>
      <c r="J2381" s="61" t="s">
        <v>22</v>
      </c>
      <c r="L2381" s="5" t="str">
        <f t="shared" si="740"/>
        <v>02380</v>
      </c>
      <c r="M2381" s="47" t="str">
        <f t="shared" si="741"/>
        <v>01 de octubre de 2019</v>
      </c>
      <c r="N2381" s="323">
        <f t="shared" si="742"/>
        <v>1</v>
      </c>
      <c r="O2381" s="25">
        <f t="shared" si="743"/>
        <v>43739</v>
      </c>
      <c r="P2381" s="5" t="str">
        <f t="shared" si="744"/>
        <v>21.100,00</v>
      </c>
      <c r="Q2381" s="4" t="e">
        <f t="shared" ca="1" si="746"/>
        <v>#NAME?</v>
      </c>
    </row>
    <row r="2382" spans="1:17">
      <c r="A2382" s="1">
        <f t="shared" si="727"/>
        <v>2381</v>
      </c>
      <c r="B2382" s="8"/>
      <c r="C2382" s="8" t="s">
        <v>17</v>
      </c>
      <c r="D2382" s="2">
        <v>43740</v>
      </c>
      <c r="E2382" s="3">
        <v>21100</v>
      </c>
      <c r="F2382" t="s">
        <v>417</v>
      </c>
      <c r="G2382" t="s">
        <v>418</v>
      </c>
      <c r="H2382" t="s">
        <v>419</v>
      </c>
      <c r="I2382" s="6" t="s">
        <v>1060</v>
      </c>
      <c r="J2382" s="61" t="s">
        <v>22</v>
      </c>
      <c r="L2382" s="5" t="str">
        <f t="shared" si="740"/>
        <v>02381</v>
      </c>
      <c r="M2382" s="47" t="str">
        <f t="shared" si="741"/>
        <v>02 de octubre de 2019</v>
      </c>
      <c r="N2382" s="323">
        <f t="shared" si="742"/>
        <v>2</v>
      </c>
      <c r="O2382" s="25">
        <f t="shared" si="743"/>
        <v>43739</v>
      </c>
      <c r="P2382" s="5" t="str">
        <f t="shared" si="744"/>
        <v>21.100,00</v>
      </c>
      <c r="Q2382" s="4" t="e">
        <f t="shared" ca="1" si="746"/>
        <v>#NAME?</v>
      </c>
    </row>
    <row r="2383" spans="1:17">
      <c r="A2383" s="1">
        <f t="shared" si="727"/>
        <v>2382</v>
      </c>
      <c r="B2383" s="8"/>
      <c r="C2383" s="8" t="s">
        <v>17</v>
      </c>
      <c r="D2383" s="2">
        <v>43740</v>
      </c>
      <c r="E2383" s="3">
        <v>21100</v>
      </c>
      <c r="F2383" t="s">
        <v>713</v>
      </c>
      <c r="G2383" t="s">
        <v>714</v>
      </c>
      <c r="H2383" t="s">
        <v>154</v>
      </c>
      <c r="I2383" s="6" t="s">
        <v>1060</v>
      </c>
      <c r="J2383" s="61" t="s">
        <v>22</v>
      </c>
      <c r="L2383" s="5" t="str">
        <f t="shared" si="740"/>
        <v>02382</v>
      </c>
      <c r="M2383" s="47" t="str">
        <f t="shared" si="741"/>
        <v>02 de octubre de 2019</v>
      </c>
      <c r="N2383" s="323">
        <f t="shared" si="742"/>
        <v>2</v>
      </c>
      <c r="O2383" s="25">
        <f t="shared" si="743"/>
        <v>43739</v>
      </c>
      <c r="P2383" s="5" t="str">
        <f t="shared" si="744"/>
        <v>21.100,00</v>
      </c>
      <c r="Q2383" s="4" t="e">
        <f t="shared" ca="1" si="746"/>
        <v>#NAME?</v>
      </c>
    </row>
    <row r="2384" spans="1:17">
      <c r="A2384" s="1">
        <f t="shared" si="727"/>
        <v>2383</v>
      </c>
      <c r="B2384" s="8"/>
      <c r="C2384" s="8" t="s">
        <v>17</v>
      </c>
      <c r="D2384" s="2">
        <v>43740</v>
      </c>
      <c r="E2384" s="3">
        <v>21100</v>
      </c>
      <c r="F2384" t="s">
        <v>947</v>
      </c>
      <c r="G2384" t="s">
        <v>948</v>
      </c>
      <c r="H2384" t="s">
        <v>949</v>
      </c>
      <c r="I2384" s="6" t="s">
        <v>1060</v>
      </c>
      <c r="J2384" s="61" t="s">
        <v>22</v>
      </c>
      <c r="L2384" s="5" t="str">
        <f t="shared" si="740"/>
        <v>02383</v>
      </c>
      <c r="M2384" s="47" t="str">
        <f t="shared" si="741"/>
        <v>02 de octubre de 2019</v>
      </c>
      <c r="N2384" s="323">
        <f t="shared" si="742"/>
        <v>2</v>
      </c>
      <c r="O2384" s="25">
        <f t="shared" si="743"/>
        <v>43739</v>
      </c>
      <c r="P2384" s="5" t="str">
        <f t="shared" si="744"/>
        <v>21.100,00</v>
      </c>
      <c r="Q2384" s="4" t="e">
        <f t="shared" ca="1" si="746"/>
        <v>#NAME?</v>
      </c>
    </row>
    <row r="2385" spans="1:17">
      <c r="A2385" s="1">
        <f t="shared" si="727"/>
        <v>2384</v>
      </c>
      <c r="B2385" s="8"/>
      <c r="C2385" s="8" t="s">
        <v>17</v>
      </c>
      <c r="D2385" s="2">
        <v>43740</v>
      </c>
      <c r="E2385" s="3">
        <v>20482.22</v>
      </c>
      <c r="F2385" t="s">
        <v>197</v>
      </c>
      <c r="G2385" t="s">
        <v>198</v>
      </c>
      <c r="H2385" t="s">
        <v>199</v>
      </c>
      <c r="I2385" s="6" t="s">
        <v>1035</v>
      </c>
      <c r="J2385" s="61" t="s">
        <v>22</v>
      </c>
      <c r="L2385" s="5" t="str">
        <f t="shared" si="740"/>
        <v>02384</v>
      </c>
      <c r="M2385" s="47" t="str">
        <f t="shared" si="741"/>
        <v>02 de octubre de 2019</v>
      </c>
      <c r="N2385" s="323">
        <f t="shared" si="742"/>
        <v>2</v>
      </c>
      <c r="O2385" s="25">
        <f t="shared" si="743"/>
        <v>43739</v>
      </c>
      <c r="P2385" s="5" t="str">
        <f t="shared" si="744"/>
        <v>20.482,22</v>
      </c>
      <c r="Q2385" s="4" t="e">
        <f t="shared" ca="1" si="746"/>
        <v>#NAME?</v>
      </c>
    </row>
    <row r="2386" spans="1:17">
      <c r="A2386" s="1">
        <f t="shared" si="727"/>
        <v>2385</v>
      </c>
      <c r="B2386" s="8"/>
      <c r="C2386" s="8" t="s">
        <v>17</v>
      </c>
      <c r="D2386" s="2">
        <v>43740</v>
      </c>
      <c r="E2386" s="3">
        <v>21100</v>
      </c>
      <c r="F2386" t="s">
        <v>18</v>
      </c>
      <c r="G2386" t="s">
        <v>19</v>
      </c>
      <c r="H2386" t="s">
        <v>20</v>
      </c>
      <c r="I2386" s="6" t="s">
        <v>1062</v>
      </c>
      <c r="J2386" s="61" t="s">
        <v>22</v>
      </c>
      <c r="L2386" s="5" t="str">
        <f t="shared" si="740"/>
        <v>02385</v>
      </c>
      <c r="M2386" s="47" t="str">
        <f t="shared" si="741"/>
        <v>02 de octubre de 2019</v>
      </c>
      <c r="N2386" s="323">
        <f t="shared" si="742"/>
        <v>2</v>
      </c>
      <c r="O2386" s="25">
        <f t="shared" si="743"/>
        <v>43739</v>
      </c>
      <c r="P2386" s="5" t="str">
        <f t="shared" si="744"/>
        <v>21.100,00</v>
      </c>
      <c r="Q2386" s="4" t="e">
        <f t="shared" ca="1" si="746"/>
        <v>#NAME?</v>
      </c>
    </row>
    <row r="2387" spans="1:17">
      <c r="A2387" s="1">
        <f t="shared" ref="A2387" si="747">A2386+1</f>
        <v>2386</v>
      </c>
      <c r="B2387" s="8"/>
      <c r="C2387" s="8" t="s">
        <v>17</v>
      </c>
      <c r="D2387" s="2">
        <v>43740</v>
      </c>
      <c r="E2387" s="3">
        <v>21100</v>
      </c>
      <c r="F2387" t="s">
        <v>438</v>
      </c>
      <c r="G2387" t="s">
        <v>439</v>
      </c>
      <c r="H2387" t="s">
        <v>440</v>
      </c>
      <c r="I2387" s="6" t="s">
        <v>1063</v>
      </c>
      <c r="J2387" s="61" t="s">
        <v>22</v>
      </c>
      <c r="L2387" s="5" t="str">
        <f t="shared" si="740"/>
        <v>02386</v>
      </c>
      <c r="M2387" s="47" t="str">
        <f t="shared" si="741"/>
        <v>02 de octubre de 2019</v>
      </c>
      <c r="N2387" s="323">
        <f t="shared" si="742"/>
        <v>2</v>
      </c>
      <c r="O2387" s="25">
        <f t="shared" si="743"/>
        <v>43739</v>
      </c>
      <c r="P2387" s="5" t="str">
        <f t="shared" si="744"/>
        <v>21.100,00</v>
      </c>
      <c r="Q2387" s="4" t="e">
        <f t="shared" ca="1" si="746"/>
        <v>#NAME?</v>
      </c>
    </row>
    <row r="2388" spans="1:17">
      <c r="A2388" s="1">
        <f t="shared" si="727"/>
        <v>2387</v>
      </c>
      <c r="B2388" s="8"/>
      <c r="C2388" s="8" t="s">
        <v>17</v>
      </c>
      <c r="D2388" s="2">
        <v>43740</v>
      </c>
      <c r="E2388" s="3">
        <v>21100</v>
      </c>
      <c r="F2388" t="s">
        <v>771</v>
      </c>
      <c r="G2388" t="s">
        <v>772</v>
      </c>
      <c r="H2388" t="s">
        <v>773</v>
      </c>
      <c r="I2388" s="6" t="s">
        <v>1064</v>
      </c>
      <c r="J2388" s="61" t="s">
        <v>22</v>
      </c>
      <c r="L2388" s="5" t="str">
        <f t="shared" si="740"/>
        <v>02387</v>
      </c>
      <c r="M2388" s="47" t="str">
        <f t="shared" si="741"/>
        <v>02 de octubre de 2019</v>
      </c>
      <c r="N2388" s="323">
        <f t="shared" si="742"/>
        <v>2</v>
      </c>
      <c r="O2388" s="25">
        <f t="shared" si="743"/>
        <v>43739</v>
      </c>
      <c r="P2388" s="5" t="str">
        <f t="shared" si="744"/>
        <v>21.100,00</v>
      </c>
      <c r="Q2388" s="4" t="e">
        <f t="shared" ca="1" si="746"/>
        <v>#NAME?</v>
      </c>
    </row>
    <row r="2389" spans="1:17">
      <c r="A2389" s="1">
        <f t="shared" si="727"/>
        <v>2388</v>
      </c>
      <c r="B2389" s="8"/>
      <c r="C2389" s="8" t="s">
        <v>17</v>
      </c>
      <c r="D2389" s="2">
        <v>43740</v>
      </c>
      <c r="E2389" s="3">
        <v>11100</v>
      </c>
      <c r="F2389" t="s">
        <v>66</v>
      </c>
      <c r="G2389" t="s">
        <v>67</v>
      </c>
      <c r="H2389" t="s">
        <v>68</v>
      </c>
      <c r="I2389" s="6" t="s">
        <v>1065</v>
      </c>
      <c r="J2389" s="61" t="s">
        <v>22</v>
      </c>
      <c r="L2389" s="5" t="str">
        <f t="shared" si="740"/>
        <v>02388</v>
      </c>
      <c r="M2389" s="47" t="str">
        <f t="shared" si="741"/>
        <v>02 de octubre de 2019</v>
      </c>
      <c r="N2389" s="323">
        <f t="shared" si="742"/>
        <v>2</v>
      </c>
      <c r="O2389" s="25">
        <f t="shared" si="743"/>
        <v>43739</v>
      </c>
      <c r="P2389" s="5" t="str">
        <f t="shared" si="744"/>
        <v>11.100,00</v>
      </c>
      <c r="Q2389" s="4" t="e">
        <f t="shared" ca="1" si="746"/>
        <v>#NAME?</v>
      </c>
    </row>
    <row r="2390" spans="1:17">
      <c r="A2390" s="1">
        <f>A2389+1</f>
        <v>2389</v>
      </c>
      <c r="B2390" s="8"/>
      <c r="C2390" s="8" t="s">
        <v>17</v>
      </c>
      <c r="D2390" s="2">
        <v>43740</v>
      </c>
      <c r="E2390" s="3">
        <v>20300</v>
      </c>
      <c r="F2390" t="s">
        <v>70</v>
      </c>
      <c r="G2390" t="s">
        <v>71</v>
      </c>
      <c r="H2390" t="s">
        <v>72</v>
      </c>
      <c r="I2390" s="6" t="s">
        <v>1065</v>
      </c>
      <c r="J2390" s="61" t="s">
        <v>22</v>
      </c>
      <c r="L2390" s="5" t="str">
        <f t="shared" si="740"/>
        <v>02389</v>
      </c>
      <c r="M2390" s="47" t="str">
        <f t="shared" si="741"/>
        <v>02 de octubre de 2019</v>
      </c>
      <c r="N2390" s="323">
        <f t="shared" si="742"/>
        <v>2</v>
      </c>
      <c r="O2390" s="25">
        <f t="shared" si="743"/>
        <v>43739</v>
      </c>
      <c r="P2390" s="5" t="str">
        <f t="shared" si="744"/>
        <v>20.300,00</v>
      </c>
      <c r="Q2390" s="4" t="e">
        <f t="shared" ca="1" si="746"/>
        <v>#NAME?</v>
      </c>
    </row>
    <row r="2391" spans="1:17">
      <c r="A2391" s="1">
        <f t="shared" ref="A2391:A2396" si="748">A2390+1</f>
        <v>2390</v>
      </c>
      <c r="B2391" s="8"/>
      <c r="C2391" s="8" t="s">
        <v>17</v>
      </c>
      <c r="D2391" s="2">
        <v>43740</v>
      </c>
      <c r="E2391" s="3">
        <v>21100</v>
      </c>
      <c r="F2391" t="s">
        <v>134</v>
      </c>
      <c r="G2391" t="s">
        <v>135</v>
      </c>
      <c r="H2391" t="s">
        <v>136</v>
      </c>
      <c r="I2391" s="6" t="s">
        <v>1060</v>
      </c>
      <c r="J2391" s="61" t="s">
        <v>22</v>
      </c>
      <c r="L2391" s="5" t="str">
        <f t="shared" si="740"/>
        <v>02390</v>
      </c>
      <c r="M2391" s="47" t="str">
        <f t="shared" si="741"/>
        <v>02 de octubre de 2019</v>
      </c>
      <c r="N2391" s="323">
        <f t="shared" si="742"/>
        <v>2</v>
      </c>
      <c r="O2391" s="25">
        <f t="shared" si="743"/>
        <v>43739</v>
      </c>
      <c r="P2391" s="5" t="str">
        <f t="shared" si="744"/>
        <v>21.100,00</v>
      </c>
      <c r="Q2391" s="4" t="e">
        <f t="shared" ca="1" si="746"/>
        <v>#NAME?</v>
      </c>
    </row>
    <row r="2392" spans="1:17">
      <c r="A2392" s="1">
        <f t="shared" si="748"/>
        <v>2391</v>
      </c>
      <c r="B2392" s="8"/>
      <c r="C2392" s="8" t="s">
        <v>17</v>
      </c>
      <c r="D2392" s="2">
        <v>43741</v>
      </c>
      <c r="E2392" s="3">
        <f>20255+845</f>
        <v>21100</v>
      </c>
      <c r="F2392" t="s">
        <v>201</v>
      </c>
      <c r="G2392" t="s">
        <v>202</v>
      </c>
      <c r="H2392" t="s">
        <v>203</v>
      </c>
      <c r="I2392" s="6" t="s">
        <v>1060</v>
      </c>
      <c r="J2392" s="61" t="s">
        <v>22</v>
      </c>
      <c r="L2392" s="5" t="str">
        <f t="shared" si="740"/>
        <v>02391</v>
      </c>
      <c r="M2392" s="47" t="str">
        <f t="shared" si="741"/>
        <v>03 de octubre de 2019</v>
      </c>
      <c r="N2392" s="323">
        <f t="shared" si="742"/>
        <v>3</v>
      </c>
      <c r="O2392" s="25">
        <f t="shared" si="743"/>
        <v>43739</v>
      </c>
      <c r="P2392" s="5" t="str">
        <f t="shared" si="744"/>
        <v>21.100,00</v>
      </c>
      <c r="Q2392" s="4" t="e">
        <f t="shared" ca="1" si="746"/>
        <v>#NAME?</v>
      </c>
    </row>
    <row r="2393" spans="1:17">
      <c r="A2393" s="1">
        <f t="shared" si="748"/>
        <v>2392</v>
      </c>
      <c r="B2393" s="8"/>
      <c r="C2393" s="8" t="s">
        <v>17</v>
      </c>
      <c r="D2393" s="2">
        <v>43741</v>
      </c>
      <c r="E2393" s="3">
        <v>42200</v>
      </c>
      <c r="F2393" t="s">
        <v>248</v>
      </c>
      <c r="G2393" t="s">
        <v>249</v>
      </c>
      <c r="H2393" t="s">
        <v>250</v>
      </c>
      <c r="I2393" s="6" t="s">
        <v>1066</v>
      </c>
      <c r="J2393" s="61" t="s">
        <v>22</v>
      </c>
      <c r="L2393" s="5" t="str">
        <f t="shared" si="740"/>
        <v>02392</v>
      </c>
      <c r="M2393" s="47" t="str">
        <f t="shared" si="741"/>
        <v>03 de octubre de 2019</v>
      </c>
      <c r="N2393" s="323">
        <f t="shared" si="742"/>
        <v>3</v>
      </c>
      <c r="O2393" s="25">
        <f t="shared" si="743"/>
        <v>43739</v>
      </c>
      <c r="P2393" s="5" t="str">
        <f t="shared" si="744"/>
        <v>42.200,00</v>
      </c>
      <c r="Q2393" s="4" t="e">
        <f t="shared" ca="1" si="746"/>
        <v>#NAME?</v>
      </c>
    </row>
    <row r="2394" spans="1:17">
      <c r="A2394" s="1">
        <f t="shared" si="748"/>
        <v>2393</v>
      </c>
      <c r="B2394" s="8"/>
      <c r="C2394" s="8" t="s">
        <v>17</v>
      </c>
      <c r="D2394" s="2">
        <v>43741</v>
      </c>
      <c r="E2394" s="3">
        <v>44000</v>
      </c>
      <c r="F2394" t="s">
        <v>612</v>
      </c>
      <c r="G2394" t="s">
        <v>613</v>
      </c>
      <c r="H2394" t="s">
        <v>614</v>
      </c>
      <c r="I2394" s="6" t="s">
        <v>1066</v>
      </c>
      <c r="J2394" s="61" t="s">
        <v>22</v>
      </c>
      <c r="L2394" s="5" t="str">
        <f t="shared" si="740"/>
        <v>02393</v>
      </c>
      <c r="M2394" s="47" t="str">
        <f t="shared" si="741"/>
        <v>03 de octubre de 2019</v>
      </c>
      <c r="N2394" s="323">
        <f t="shared" si="742"/>
        <v>3</v>
      </c>
      <c r="O2394" s="25">
        <f t="shared" si="743"/>
        <v>43739</v>
      </c>
      <c r="P2394" s="5" t="str">
        <f t="shared" si="744"/>
        <v>44.000,00</v>
      </c>
      <c r="Q2394" s="4" t="e">
        <f t="shared" ca="1" si="746"/>
        <v>#NAME?</v>
      </c>
    </row>
    <row r="2395" spans="1:17" ht="15.75" thickBot="1">
      <c r="A2395" s="1">
        <f t="shared" si="748"/>
        <v>2394</v>
      </c>
      <c r="B2395" s="8"/>
      <c r="C2395" s="8" t="s">
        <v>17</v>
      </c>
      <c r="D2395" s="2">
        <v>43741</v>
      </c>
      <c r="E2395" s="3">
        <v>30000</v>
      </c>
      <c r="F2395" t="s">
        <v>80</v>
      </c>
      <c r="G2395" t="s">
        <v>81</v>
      </c>
      <c r="H2395" t="s">
        <v>82</v>
      </c>
      <c r="I2395" s="6" t="s">
        <v>1060</v>
      </c>
      <c r="J2395" s="61" t="s">
        <v>22</v>
      </c>
      <c r="L2395" s="5" t="str">
        <f t="shared" si="740"/>
        <v>02394</v>
      </c>
      <c r="M2395" s="47" t="str">
        <f t="shared" si="741"/>
        <v>03 de octubre de 2019</v>
      </c>
      <c r="N2395" s="323">
        <f t="shared" si="742"/>
        <v>3</v>
      </c>
      <c r="O2395" s="25">
        <f t="shared" si="743"/>
        <v>43739</v>
      </c>
      <c r="P2395" s="5" t="str">
        <f t="shared" si="744"/>
        <v>30.000,00</v>
      </c>
      <c r="Q2395" s="4" t="e">
        <f t="shared" ca="1" si="746"/>
        <v>#NAME?</v>
      </c>
    </row>
    <row r="2396" spans="1:17" ht="15.75" thickBot="1">
      <c r="A2396" s="1">
        <f t="shared" si="748"/>
        <v>2395</v>
      </c>
      <c r="B2396" s="8"/>
      <c r="C2396" s="85" t="s">
        <v>17</v>
      </c>
      <c r="D2396" s="2">
        <v>43742</v>
      </c>
      <c r="E2396" s="162">
        <v>21100</v>
      </c>
      <c r="F2396" t="s">
        <v>492</v>
      </c>
      <c r="G2396" s="18" t="s">
        <v>58</v>
      </c>
      <c r="H2396" t="s">
        <v>493</v>
      </c>
      <c r="I2396" s="6" t="s">
        <v>1060</v>
      </c>
      <c r="J2396" s="61" t="s">
        <v>22</v>
      </c>
      <c r="L2396" s="5" t="str">
        <f t="shared" si="740"/>
        <v>02395</v>
      </c>
      <c r="M2396" s="47" t="str">
        <f t="shared" si="741"/>
        <v>04 de octubre de 2019</v>
      </c>
      <c r="N2396" s="323">
        <f t="shared" si="742"/>
        <v>4</v>
      </c>
      <c r="O2396" s="25">
        <f t="shared" si="743"/>
        <v>43739</v>
      </c>
      <c r="P2396" s="5" t="str">
        <f t="shared" si="744"/>
        <v>21.100,00</v>
      </c>
      <c r="Q2396" s="4" t="e">
        <f t="shared" ca="1" si="746"/>
        <v>#NAME?</v>
      </c>
    </row>
    <row r="2397" spans="1:17">
      <c r="A2397" s="1">
        <f>A2396+1</f>
        <v>2396</v>
      </c>
      <c r="B2397" s="8"/>
      <c r="C2397" s="8" t="s">
        <v>17</v>
      </c>
      <c r="D2397" s="2">
        <v>43742</v>
      </c>
      <c r="E2397" s="3">
        <v>21100</v>
      </c>
      <c r="F2397" t="s">
        <v>36</v>
      </c>
      <c r="G2397" t="s">
        <v>37</v>
      </c>
      <c r="H2397" t="s">
        <v>38</v>
      </c>
      <c r="I2397" s="6" t="s">
        <v>1060</v>
      </c>
      <c r="J2397" s="61" t="s">
        <v>22</v>
      </c>
      <c r="L2397" s="5" t="str">
        <f t="shared" si="740"/>
        <v>02396</v>
      </c>
      <c r="M2397" s="47" t="str">
        <f t="shared" si="741"/>
        <v>04 de octubre de 2019</v>
      </c>
      <c r="N2397" s="323">
        <f t="shared" si="742"/>
        <v>4</v>
      </c>
      <c r="O2397" s="25">
        <f t="shared" si="743"/>
        <v>43739</v>
      </c>
      <c r="P2397" s="5" t="str">
        <f t="shared" si="744"/>
        <v>21.100,00</v>
      </c>
      <c r="Q2397" s="4" t="e">
        <f t="shared" ca="1" si="746"/>
        <v>#NAME?</v>
      </c>
    </row>
    <row r="2398" spans="1:17">
      <c r="A2398" s="1">
        <f t="shared" ref="A2398:A2430" si="749">A2397+1</f>
        <v>2397</v>
      </c>
      <c r="B2398" s="8"/>
      <c r="C2398" s="8" t="s">
        <v>17</v>
      </c>
      <c r="D2398" s="2">
        <v>43742</v>
      </c>
      <c r="E2398" s="3">
        <v>21100</v>
      </c>
      <c r="F2398" t="s">
        <v>48</v>
      </c>
      <c r="G2398" t="s">
        <v>49</v>
      </c>
      <c r="H2398" t="s">
        <v>50</v>
      </c>
      <c r="I2398" s="6" t="s">
        <v>1060</v>
      </c>
      <c r="J2398" s="61" t="s">
        <v>22</v>
      </c>
      <c r="L2398" s="5" t="str">
        <f t="shared" si="740"/>
        <v>02397</v>
      </c>
      <c r="M2398" s="47" t="str">
        <f t="shared" si="741"/>
        <v>04 de octubre de 2019</v>
      </c>
      <c r="N2398" s="323">
        <f t="shared" si="742"/>
        <v>4</v>
      </c>
      <c r="O2398" s="25">
        <f t="shared" si="743"/>
        <v>43739</v>
      </c>
      <c r="P2398" s="5" t="str">
        <f t="shared" si="744"/>
        <v>21.100,00</v>
      </c>
      <c r="Q2398" s="4" t="e">
        <f t="shared" ca="1" si="746"/>
        <v>#NAME?</v>
      </c>
    </row>
    <row r="2399" spans="1:17" ht="15.75" thickBot="1">
      <c r="A2399" s="1">
        <f t="shared" si="749"/>
        <v>2398</v>
      </c>
      <c r="B2399" s="8"/>
      <c r="C2399" s="8" t="s">
        <v>17</v>
      </c>
      <c r="D2399" s="2">
        <v>43743</v>
      </c>
      <c r="E2399" s="3">
        <v>21100</v>
      </c>
      <c r="F2399" t="s">
        <v>24</v>
      </c>
      <c r="G2399" t="s">
        <v>25</v>
      </c>
      <c r="H2399" t="s">
        <v>26</v>
      </c>
      <c r="I2399" s="6" t="s">
        <v>1060</v>
      </c>
      <c r="J2399" s="61" t="s">
        <v>22</v>
      </c>
      <c r="L2399" s="5" t="str">
        <f t="shared" si="740"/>
        <v>02398</v>
      </c>
      <c r="M2399" s="47" t="str">
        <f t="shared" si="741"/>
        <v>05 de octubre de 2019</v>
      </c>
      <c r="N2399" s="323">
        <f t="shared" si="742"/>
        <v>5</v>
      </c>
      <c r="O2399" s="25">
        <f t="shared" si="743"/>
        <v>43739</v>
      </c>
      <c r="P2399" s="5" t="str">
        <f t="shared" si="744"/>
        <v>21.100,00</v>
      </c>
      <c r="Q2399" s="4" t="e">
        <f t="shared" ca="1" si="746"/>
        <v>#NAME?</v>
      </c>
    </row>
    <row r="2400" spans="1:17" ht="15.75" thickBot="1">
      <c r="A2400" s="1">
        <f t="shared" si="749"/>
        <v>2399</v>
      </c>
      <c r="B2400" s="8"/>
      <c r="C2400" s="85" t="s">
        <v>17</v>
      </c>
      <c r="D2400" s="2">
        <v>43742</v>
      </c>
      <c r="E2400" s="3">
        <f>20000+1100</f>
        <v>21100</v>
      </c>
      <c r="F2400" t="s">
        <v>319</v>
      </c>
      <c r="G2400" s="18" t="s">
        <v>58</v>
      </c>
      <c r="H2400" t="s">
        <v>320</v>
      </c>
      <c r="I2400" s="6" t="s">
        <v>1060</v>
      </c>
      <c r="J2400" s="61" t="s">
        <v>22</v>
      </c>
      <c r="L2400" s="5" t="str">
        <f t="shared" si="740"/>
        <v>02399</v>
      </c>
      <c r="M2400" s="47" t="str">
        <f t="shared" si="741"/>
        <v>04 de octubre de 2019</v>
      </c>
      <c r="N2400" s="323">
        <f t="shared" si="742"/>
        <v>4</v>
      </c>
      <c r="O2400" s="25">
        <f t="shared" si="743"/>
        <v>43739</v>
      </c>
      <c r="P2400" s="5" t="str">
        <f t="shared" si="744"/>
        <v>21.100,00</v>
      </c>
      <c r="Q2400" s="4" t="e">
        <f t="shared" ca="1" si="746"/>
        <v>#NAME?</v>
      </c>
    </row>
    <row r="2401" spans="1:17" ht="15.75" thickBot="1">
      <c r="A2401" s="1">
        <f t="shared" si="749"/>
        <v>2400</v>
      </c>
      <c r="B2401" s="8"/>
      <c r="C2401" s="8" t="s">
        <v>17</v>
      </c>
      <c r="D2401" s="2">
        <v>43745</v>
      </c>
      <c r="E2401" s="597">
        <v>20300</v>
      </c>
      <c r="F2401" t="s">
        <v>103</v>
      </c>
      <c r="G2401" s="599" t="s">
        <v>1047</v>
      </c>
      <c r="H2401" t="s">
        <v>105</v>
      </c>
      <c r="I2401" s="6" t="s">
        <v>1056</v>
      </c>
      <c r="J2401" s="61" t="s">
        <v>22</v>
      </c>
      <c r="L2401" s="5" t="str">
        <f t="shared" si="740"/>
        <v>02400</v>
      </c>
      <c r="M2401" s="47" t="str">
        <f t="shared" si="741"/>
        <v>07 de octubre de 2019</v>
      </c>
      <c r="N2401" s="323">
        <f t="shared" si="742"/>
        <v>7</v>
      </c>
      <c r="O2401" s="25">
        <f t="shared" si="743"/>
        <v>43739</v>
      </c>
      <c r="P2401" s="5" t="str">
        <f t="shared" si="744"/>
        <v>20.300,00</v>
      </c>
      <c r="Q2401" s="4" t="e">
        <f t="shared" ca="1" si="746"/>
        <v>#NAME?</v>
      </c>
    </row>
    <row r="2402" spans="1:17" ht="15.75" thickBot="1">
      <c r="A2402" s="1">
        <f t="shared" si="749"/>
        <v>2401</v>
      </c>
      <c r="B2402" s="8"/>
      <c r="C2402" s="85" t="s">
        <v>17</v>
      </c>
      <c r="D2402" s="2">
        <v>43747</v>
      </c>
      <c r="E2402" s="3">
        <v>29435</v>
      </c>
      <c r="F2402" s="23" t="s">
        <v>422</v>
      </c>
      <c r="G2402" s="18" t="s">
        <v>58</v>
      </c>
      <c r="H2402" t="s">
        <v>423</v>
      </c>
      <c r="I2402" s="6" t="s">
        <v>1060</v>
      </c>
      <c r="J2402" s="61" t="s">
        <v>22</v>
      </c>
      <c r="L2402" s="5" t="str">
        <f t="shared" si="740"/>
        <v>02401</v>
      </c>
      <c r="M2402" s="47" t="str">
        <f t="shared" si="741"/>
        <v>09 de octubre de 2019</v>
      </c>
      <c r="N2402" s="323">
        <f t="shared" si="742"/>
        <v>9</v>
      </c>
      <c r="O2402" s="25">
        <f t="shared" si="743"/>
        <v>43739</v>
      </c>
      <c r="P2402" s="5" t="str">
        <f t="shared" si="744"/>
        <v>29.435,00</v>
      </c>
      <c r="Q2402" s="4" t="e">
        <f t="shared" ca="1" si="746"/>
        <v>#NAME?</v>
      </c>
    </row>
    <row r="2403" spans="1:17">
      <c r="A2403" s="1">
        <f t="shared" si="749"/>
        <v>2402</v>
      </c>
      <c r="B2403" s="8"/>
      <c r="C2403" s="8" t="s">
        <v>17</v>
      </c>
      <c r="D2403" s="2">
        <v>43747</v>
      </c>
      <c r="E2403" s="3">
        <v>20300</v>
      </c>
      <c r="F2403" t="s">
        <v>177</v>
      </c>
      <c r="G2403" t="s">
        <v>941</v>
      </c>
      <c r="H2403" t="s">
        <v>179</v>
      </c>
      <c r="I2403" s="6" t="s">
        <v>1067</v>
      </c>
      <c r="J2403" s="61" t="s">
        <v>22</v>
      </c>
      <c r="L2403" s="5" t="str">
        <f t="shared" si="740"/>
        <v>02402</v>
      </c>
      <c r="M2403" s="47" t="str">
        <f t="shared" si="741"/>
        <v>09 de octubre de 2019</v>
      </c>
      <c r="N2403" s="323">
        <f t="shared" si="742"/>
        <v>9</v>
      </c>
      <c r="O2403" s="25">
        <f t="shared" si="743"/>
        <v>43739</v>
      </c>
      <c r="P2403" s="5" t="str">
        <f t="shared" si="744"/>
        <v>20.300,00</v>
      </c>
      <c r="Q2403" s="4" t="e">
        <f t="shared" ca="1" si="746"/>
        <v>#NAME?</v>
      </c>
    </row>
    <row r="2404" spans="1:17">
      <c r="A2404" s="1">
        <f t="shared" si="749"/>
        <v>2403</v>
      </c>
      <c r="B2404" s="8"/>
      <c r="C2404" s="8" t="s">
        <v>17</v>
      </c>
      <c r="D2404" s="2">
        <v>43748</v>
      </c>
      <c r="E2404" s="3">
        <v>20300</v>
      </c>
      <c r="F2404" t="s">
        <v>53</v>
      </c>
      <c r="G2404" t="s">
        <v>677</v>
      </c>
      <c r="H2404" t="s">
        <v>55</v>
      </c>
      <c r="I2404" s="6" t="s">
        <v>1060</v>
      </c>
      <c r="J2404" s="61" t="s">
        <v>22</v>
      </c>
      <c r="L2404" s="5" t="str">
        <f t="shared" si="740"/>
        <v>02403</v>
      </c>
      <c r="M2404" s="47" t="str">
        <f t="shared" si="741"/>
        <v>10 de octubre de 2019</v>
      </c>
      <c r="N2404" s="323">
        <f t="shared" si="742"/>
        <v>10</v>
      </c>
      <c r="O2404" s="25">
        <f t="shared" si="743"/>
        <v>43739</v>
      </c>
      <c r="P2404" s="5" t="str">
        <f t="shared" si="744"/>
        <v>20.300,00</v>
      </c>
      <c r="Q2404" s="4" t="e">
        <f t="shared" ca="1" si="746"/>
        <v>#NAME?</v>
      </c>
    </row>
    <row r="2405" spans="1:17">
      <c r="A2405" s="1">
        <f t="shared" si="749"/>
        <v>2404</v>
      </c>
      <c r="B2405" s="8"/>
      <c r="C2405" s="8" t="s">
        <v>17</v>
      </c>
      <c r="D2405" s="2">
        <v>43748</v>
      </c>
      <c r="E2405" s="3">
        <v>24700</v>
      </c>
      <c r="F2405" t="s">
        <v>53</v>
      </c>
      <c r="G2405" t="s">
        <v>677</v>
      </c>
      <c r="H2405" t="s">
        <v>55</v>
      </c>
      <c r="I2405" s="6" t="s">
        <v>732</v>
      </c>
      <c r="J2405" s="61" t="s">
        <v>733</v>
      </c>
      <c r="L2405" s="5" t="str">
        <f t="shared" si="740"/>
        <v>02404</v>
      </c>
      <c r="M2405" s="47" t="str">
        <f t="shared" si="741"/>
        <v>10 de octubre de 2019</v>
      </c>
      <c r="N2405" s="323">
        <f t="shared" si="742"/>
        <v>10</v>
      </c>
      <c r="O2405" s="25">
        <f t="shared" si="743"/>
        <v>43739</v>
      </c>
      <c r="P2405" s="5" t="str">
        <f t="shared" si="744"/>
        <v>24.700,00</v>
      </c>
      <c r="Q2405" s="4" t="e">
        <f t="shared" ca="1" si="746"/>
        <v>#NAME?</v>
      </c>
    </row>
    <row r="2406" spans="1:17">
      <c r="A2406" s="1">
        <f t="shared" si="749"/>
        <v>2405</v>
      </c>
      <c r="B2406" s="8"/>
      <c r="C2406" s="8" t="s">
        <v>17</v>
      </c>
      <c r="D2406" s="2">
        <v>43748</v>
      </c>
      <c r="E2406" s="3">
        <v>23300</v>
      </c>
      <c r="F2406" t="s">
        <v>312</v>
      </c>
      <c r="G2406" t="s">
        <v>313</v>
      </c>
      <c r="H2406" t="s">
        <v>314</v>
      </c>
      <c r="I2406" s="6" t="s">
        <v>1060</v>
      </c>
      <c r="J2406" s="61" t="s">
        <v>22</v>
      </c>
      <c r="L2406" s="5" t="str">
        <f t="shared" si="740"/>
        <v>02405</v>
      </c>
      <c r="M2406" s="47" t="str">
        <f t="shared" si="741"/>
        <v>10 de octubre de 2019</v>
      </c>
      <c r="N2406" s="323">
        <f t="shared" si="742"/>
        <v>10</v>
      </c>
      <c r="O2406" s="25">
        <f t="shared" si="743"/>
        <v>43739</v>
      </c>
      <c r="P2406" s="5" t="str">
        <f t="shared" si="744"/>
        <v>23.300,00</v>
      </c>
      <c r="Q2406" s="4" t="e">
        <f t="shared" ca="1" si="746"/>
        <v>#NAME?</v>
      </c>
    </row>
    <row r="2407" spans="1:17">
      <c r="A2407" s="1">
        <f t="shared" si="749"/>
        <v>2406</v>
      </c>
      <c r="B2407" s="8"/>
      <c r="C2407" s="8" t="s">
        <v>17</v>
      </c>
      <c r="D2407" s="2">
        <v>43749</v>
      </c>
      <c r="E2407" s="3">
        <v>20000</v>
      </c>
      <c r="F2407" t="s">
        <v>337</v>
      </c>
      <c r="G2407" t="s">
        <v>338</v>
      </c>
      <c r="H2407" t="s">
        <v>339</v>
      </c>
      <c r="I2407" s="6" t="s">
        <v>1060</v>
      </c>
      <c r="J2407" s="61" t="s">
        <v>22</v>
      </c>
      <c r="L2407" s="5" t="str">
        <f t="shared" si="740"/>
        <v>02406</v>
      </c>
      <c r="M2407" s="47" t="str">
        <f t="shared" si="741"/>
        <v>11 de octubre de 2019</v>
      </c>
      <c r="N2407" s="323">
        <f t="shared" si="742"/>
        <v>11</v>
      </c>
      <c r="O2407" s="25">
        <f t="shared" si="743"/>
        <v>43739</v>
      </c>
      <c r="P2407" s="5" t="str">
        <f t="shared" si="744"/>
        <v>20.000,00</v>
      </c>
      <c r="Q2407" s="4" t="e">
        <f t="shared" ca="1" si="746"/>
        <v>#NAME?</v>
      </c>
    </row>
    <row r="2408" spans="1:17" ht="15.75" thickBot="1">
      <c r="A2408" s="1">
        <f t="shared" si="749"/>
        <v>2407</v>
      </c>
      <c r="B2408" s="8"/>
      <c r="C2408" s="8" t="s">
        <v>17</v>
      </c>
      <c r="D2408" s="2">
        <v>43749</v>
      </c>
      <c r="E2408" s="3">
        <v>15000</v>
      </c>
      <c r="F2408" t="s">
        <v>28</v>
      </c>
      <c r="G2408" t="s">
        <v>716</v>
      </c>
      <c r="H2408" t="s">
        <v>30</v>
      </c>
      <c r="I2408" s="6" t="s">
        <v>1068</v>
      </c>
      <c r="J2408" s="61" t="s">
        <v>22</v>
      </c>
      <c r="L2408" s="5" t="str">
        <f t="shared" si="740"/>
        <v>02407</v>
      </c>
      <c r="M2408" s="47" t="str">
        <f t="shared" si="741"/>
        <v>11 de octubre de 2019</v>
      </c>
      <c r="N2408" s="323">
        <f t="shared" si="742"/>
        <v>11</v>
      </c>
      <c r="O2408" s="25">
        <f t="shared" si="743"/>
        <v>43739</v>
      </c>
      <c r="P2408" s="5" t="str">
        <f t="shared" si="744"/>
        <v>15.000,00</v>
      </c>
      <c r="Q2408" s="4" t="e">
        <f t="shared" ca="1" si="746"/>
        <v>#NAME?</v>
      </c>
    </row>
    <row r="2409" spans="1:17" ht="15.75" thickBot="1">
      <c r="A2409" s="1">
        <f t="shared" si="749"/>
        <v>2408</v>
      </c>
      <c r="B2409" s="8"/>
      <c r="C2409" s="8" t="s">
        <v>17</v>
      </c>
      <c r="D2409" s="2">
        <v>43749</v>
      </c>
      <c r="E2409" s="3">
        <v>11000</v>
      </c>
      <c r="F2409" t="s">
        <v>252</v>
      </c>
      <c r="G2409" s="475" t="s">
        <v>958</v>
      </c>
      <c r="H2409" t="s">
        <v>254</v>
      </c>
      <c r="I2409" s="6" t="s">
        <v>1065</v>
      </c>
      <c r="J2409" s="61" t="s">
        <v>22</v>
      </c>
      <c r="L2409" s="5" t="str">
        <f t="shared" si="740"/>
        <v>02408</v>
      </c>
      <c r="M2409" s="47" t="str">
        <f t="shared" si="741"/>
        <v>11 de octubre de 2019</v>
      </c>
      <c r="N2409" s="323">
        <f t="shared" si="742"/>
        <v>11</v>
      </c>
      <c r="O2409" s="25">
        <f t="shared" si="743"/>
        <v>43739</v>
      </c>
      <c r="P2409" s="5" t="str">
        <f t="shared" si="744"/>
        <v>11.000,00</v>
      </c>
      <c r="Q2409" s="4" t="e">
        <f t="shared" ca="1" si="746"/>
        <v>#NAME?</v>
      </c>
    </row>
    <row r="2410" spans="1:17" ht="15.75" thickBot="1">
      <c r="A2410" s="1">
        <f t="shared" si="749"/>
        <v>2409</v>
      </c>
      <c r="B2410" s="8"/>
      <c r="C2410" s="85" t="s">
        <v>17</v>
      </c>
      <c r="D2410" s="2">
        <v>43750</v>
      </c>
      <c r="E2410" s="3">
        <v>90000</v>
      </c>
      <c r="F2410" t="s">
        <v>1069</v>
      </c>
      <c r="G2410" s="18" t="s">
        <v>58</v>
      </c>
      <c r="H2410" t="s">
        <v>481</v>
      </c>
      <c r="I2410" s="6" t="s">
        <v>1070</v>
      </c>
      <c r="J2410" s="61" t="s">
        <v>22</v>
      </c>
      <c r="L2410" s="5" t="str">
        <f t="shared" si="740"/>
        <v>02409</v>
      </c>
      <c r="M2410" s="47" t="str">
        <f t="shared" si="741"/>
        <v>12 de octubre de 2019</v>
      </c>
      <c r="N2410" s="323">
        <f t="shared" si="742"/>
        <v>12</v>
      </c>
      <c r="O2410" s="25">
        <f t="shared" si="743"/>
        <v>43739</v>
      </c>
      <c r="P2410" s="5" t="str">
        <f t="shared" si="744"/>
        <v>90.000,00</v>
      </c>
      <c r="Q2410" s="4" t="e">
        <f t="shared" ca="1" si="746"/>
        <v>#NAME?</v>
      </c>
    </row>
    <row r="2411" spans="1:17">
      <c r="A2411" s="1">
        <f t="shared" si="749"/>
        <v>2410</v>
      </c>
      <c r="B2411" s="8"/>
      <c r="C2411" s="8" t="s">
        <v>17</v>
      </c>
      <c r="D2411" s="2">
        <v>43751</v>
      </c>
      <c r="E2411" s="3">
        <v>20000</v>
      </c>
      <c r="F2411" t="s">
        <v>483</v>
      </c>
      <c r="G2411" t="s">
        <v>484</v>
      </c>
      <c r="H2411" t="s">
        <v>485</v>
      </c>
      <c r="I2411" s="6" t="s">
        <v>1060</v>
      </c>
      <c r="J2411" s="61" t="s">
        <v>22</v>
      </c>
      <c r="L2411" s="5" t="str">
        <f t="shared" si="740"/>
        <v>02410</v>
      </c>
      <c r="M2411" s="47" t="str">
        <f t="shared" si="741"/>
        <v>13 de octubre de 2019</v>
      </c>
      <c r="N2411" s="323">
        <f t="shared" si="742"/>
        <v>13</v>
      </c>
      <c r="O2411" s="25">
        <f t="shared" si="743"/>
        <v>43739</v>
      </c>
      <c r="P2411" s="5" t="str">
        <f t="shared" si="744"/>
        <v>20.000,00</v>
      </c>
      <c r="Q2411" s="4" t="e">
        <f t="shared" ca="1" si="746"/>
        <v>#NAME?</v>
      </c>
    </row>
    <row r="2412" spans="1:17">
      <c r="A2412" s="1">
        <f t="shared" si="749"/>
        <v>2411</v>
      </c>
      <c r="B2412" s="8"/>
      <c r="C2412" s="8" t="s">
        <v>17</v>
      </c>
      <c r="D2412" s="2">
        <v>43752</v>
      </c>
      <c r="E2412" s="3">
        <v>25000</v>
      </c>
      <c r="F2412" t="s">
        <v>44</v>
      </c>
      <c r="G2412" t="s">
        <v>45</v>
      </c>
      <c r="H2412" t="s">
        <v>46</v>
      </c>
      <c r="I2412" s="6" t="s">
        <v>1060</v>
      </c>
      <c r="J2412" s="61" t="s">
        <v>22</v>
      </c>
      <c r="L2412" s="5" t="str">
        <f>IF(ISBLANK(A2412),"",TEXT(A2412,"00000"))</f>
        <v>02411</v>
      </c>
      <c r="M2412" s="47" t="str">
        <f>IF(ISBLANK(D2412),"",TEXT(D2412,"dd")&amp;" de "&amp;TEXT(D2412,"mmmm")&amp;" de "&amp;TEXT(YEAR(D2412),"0"))</f>
        <v>14 de octubre de 2019</v>
      </c>
      <c r="N2412" s="323">
        <f t="shared" si="742"/>
        <v>14</v>
      </c>
      <c r="O2412" s="25">
        <f>DATE(YEAR(D2412),MONTH(D2412),1)</f>
        <v>43739</v>
      </c>
      <c r="P2412" s="5" t="str">
        <f t="shared" si="744"/>
        <v>25.000,00</v>
      </c>
      <c r="Q2412" s="4" t="e">
        <f t="shared" ca="1" si="746"/>
        <v>#NAME?</v>
      </c>
    </row>
    <row r="2413" spans="1:17">
      <c r="A2413" s="1">
        <f t="shared" si="749"/>
        <v>2412</v>
      </c>
      <c r="B2413" s="8"/>
      <c r="C2413" s="8" t="s">
        <v>17</v>
      </c>
      <c r="D2413" s="2">
        <v>43752</v>
      </c>
      <c r="E2413" s="3">
        <v>19800</v>
      </c>
      <c r="F2413" t="s">
        <v>1004</v>
      </c>
      <c r="G2413" t="s">
        <v>1005</v>
      </c>
      <c r="H2413" t="s">
        <v>539</v>
      </c>
      <c r="I2413" s="6" t="s">
        <v>1060</v>
      </c>
      <c r="J2413" s="61" t="s">
        <v>22</v>
      </c>
      <c r="L2413" s="5" t="str">
        <f t="shared" ref="L2413:L2423" si="750">IF(ISBLANK(A2413),"",TEXT(A2413,"00000"))</f>
        <v>02412</v>
      </c>
      <c r="M2413" s="47" t="str">
        <f t="shared" ref="M2413:M2423" si="751">IF(ISBLANK(D2413),"",TEXT(D2413,"dd")&amp;" de "&amp;TEXT(D2413,"mmmm")&amp;" de "&amp;TEXT(YEAR(D2413),"0"))</f>
        <v>14 de octubre de 2019</v>
      </c>
      <c r="N2413" s="323">
        <f t="shared" si="742"/>
        <v>14</v>
      </c>
      <c r="O2413" s="25">
        <f t="shared" ref="O2413:O2423" si="752">DATE(YEAR(D2413),MONTH(D2413),1)</f>
        <v>43739</v>
      </c>
      <c r="P2413" s="5" t="str">
        <f t="shared" si="744"/>
        <v>19.800,00</v>
      </c>
      <c r="Q2413" s="4" t="e">
        <f t="shared" ca="1" si="746"/>
        <v>#NAME?</v>
      </c>
    </row>
    <row r="2414" spans="1:17">
      <c r="A2414" s="1">
        <f t="shared" si="749"/>
        <v>2413</v>
      </c>
      <c r="B2414" s="8"/>
      <c r="C2414" s="8" t="s">
        <v>17</v>
      </c>
      <c r="D2414" s="2">
        <v>43752</v>
      </c>
      <c r="E2414" s="3">
        <v>19800</v>
      </c>
      <c r="F2414" t="s">
        <v>935</v>
      </c>
      <c r="G2414" t="s">
        <v>936</v>
      </c>
      <c r="H2414" t="s">
        <v>150</v>
      </c>
      <c r="I2414" s="6" t="s">
        <v>1060</v>
      </c>
      <c r="J2414" s="61" t="s">
        <v>22</v>
      </c>
      <c r="L2414" s="5" t="str">
        <f t="shared" si="750"/>
        <v>02413</v>
      </c>
      <c r="M2414" s="47" t="str">
        <f t="shared" si="751"/>
        <v>14 de octubre de 2019</v>
      </c>
      <c r="N2414" s="323">
        <f t="shared" si="742"/>
        <v>14</v>
      </c>
      <c r="O2414" s="25">
        <f t="shared" si="752"/>
        <v>43739</v>
      </c>
      <c r="P2414" s="5" t="str">
        <f t="shared" si="744"/>
        <v>19.800,00</v>
      </c>
      <c r="Q2414" s="4" t="e">
        <f t="shared" ca="1" si="746"/>
        <v>#NAME?</v>
      </c>
    </row>
    <row r="2415" spans="1:17">
      <c r="A2415" s="1">
        <f t="shared" si="749"/>
        <v>2414</v>
      </c>
      <c r="B2415" s="8"/>
      <c r="C2415" s="8" t="s">
        <v>17</v>
      </c>
      <c r="D2415" s="2">
        <v>43752</v>
      </c>
      <c r="E2415" s="3">
        <v>19800</v>
      </c>
      <c r="F2415" t="s">
        <v>443</v>
      </c>
      <c r="G2415" t="s">
        <v>444</v>
      </c>
      <c r="H2415" t="s">
        <v>75</v>
      </c>
      <c r="I2415" s="6" t="s">
        <v>1060</v>
      </c>
      <c r="J2415" s="61" t="s">
        <v>22</v>
      </c>
      <c r="L2415" s="5" t="str">
        <f t="shared" si="750"/>
        <v>02414</v>
      </c>
      <c r="M2415" s="47" t="str">
        <f t="shared" si="751"/>
        <v>14 de octubre de 2019</v>
      </c>
      <c r="N2415" s="323">
        <f t="shared" si="742"/>
        <v>14</v>
      </c>
      <c r="O2415" s="25">
        <f t="shared" si="752"/>
        <v>43739</v>
      </c>
      <c r="P2415" s="5" t="str">
        <f t="shared" si="744"/>
        <v>19.800,00</v>
      </c>
      <c r="Q2415" s="4" t="e">
        <f t="shared" ca="1" si="746"/>
        <v>#NAME?</v>
      </c>
    </row>
    <row r="2416" spans="1:17">
      <c r="A2416" s="1">
        <f t="shared" si="749"/>
        <v>2415</v>
      </c>
      <c r="B2416" s="8"/>
      <c r="C2416" s="8" t="s">
        <v>17</v>
      </c>
      <c r="D2416" s="2">
        <v>43752</v>
      </c>
      <c r="E2416" s="3">
        <v>19800</v>
      </c>
      <c r="F2416" t="s">
        <v>62</v>
      </c>
      <c r="G2416" t="s">
        <v>63</v>
      </c>
      <c r="H2416" t="s">
        <v>64</v>
      </c>
      <c r="I2416" s="6" t="s">
        <v>1060</v>
      </c>
      <c r="J2416" s="61" t="s">
        <v>22</v>
      </c>
      <c r="L2416" s="5" t="str">
        <f t="shared" si="750"/>
        <v>02415</v>
      </c>
      <c r="M2416" s="47" t="str">
        <f t="shared" si="751"/>
        <v>14 de octubre de 2019</v>
      </c>
      <c r="N2416" s="323">
        <f t="shared" si="742"/>
        <v>14</v>
      </c>
      <c r="O2416" s="25">
        <f t="shared" si="752"/>
        <v>43739</v>
      </c>
      <c r="P2416" s="5" t="str">
        <f t="shared" si="744"/>
        <v>19.800,00</v>
      </c>
      <c r="Q2416" s="4" t="e">
        <f t="shared" ca="1" si="746"/>
        <v>#NAME?</v>
      </c>
    </row>
    <row r="2417" spans="1:17">
      <c r="A2417" s="1">
        <f t="shared" si="749"/>
        <v>2416</v>
      </c>
      <c r="B2417" s="8"/>
      <c r="C2417" s="8" t="s">
        <v>17</v>
      </c>
      <c r="D2417" s="2">
        <v>43752</v>
      </c>
      <c r="E2417" s="3">
        <v>20000</v>
      </c>
      <c r="F2417" t="s">
        <v>181</v>
      </c>
      <c r="G2417" t="s">
        <v>182</v>
      </c>
      <c r="H2417" t="s">
        <v>183</v>
      </c>
      <c r="I2417" s="6" t="s">
        <v>1060</v>
      </c>
      <c r="J2417" s="61" t="s">
        <v>22</v>
      </c>
      <c r="L2417" s="5" t="str">
        <f t="shared" si="750"/>
        <v>02416</v>
      </c>
      <c r="M2417" s="47" t="str">
        <f t="shared" si="751"/>
        <v>14 de octubre de 2019</v>
      </c>
      <c r="N2417" s="323">
        <f t="shared" si="742"/>
        <v>14</v>
      </c>
      <c r="O2417" s="25">
        <f t="shared" si="752"/>
        <v>43739</v>
      </c>
      <c r="P2417" s="5" t="str">
        <f t="shared" si="744"/>
        <v>20.000,00</v>
      </c>
      <c r="Q2417" s="4" t="e">
        <f t="shared" ca="1" si="746"/>
        <v>#NAME?</v>
      </c>
    </row>
    <row r="2418" spans="1:17">
      <c r="A2418" s="319">
        <f t="shared" si="749"/>
        <v>2417</v>
      </c>
      <c r="B2418" s="574"/>
      <c r="C2418" s="12" t="s">
        <v>225</v>
      </c>
      <c r="D2418" s="17">
        <v>43752</v>
      </c>
      <c r="E2418" s="13">
        <v>25000</v>
      </c>
      <c r="F2418" s="14" t="s">
        <v>107</v>
      </c>
      <c r="G2418" s="14" t="s">
        <v>108</v>
      </c>
      <c r="H2418" s="14" t="s">
        <v>109</v>
      </c>
      <c r="I2418" s="15" t="s">
        <v>1071</v>
      </c>
      <c r="J2418" s="62" t="s">
        <v>932</v>
      </c>
      <c r="K2418" s="16"/>
      <c r="L2418" s="5" t="str">
        <f t="shared" si="750"/>
        <v>02417</v>
      </c>
      <c r="M2418" s="47" t="str">
        <f t="shared" si="751"/>
        <v>14 de octubre de 2019</v>
      </c>
      <c r="N2418" s="323">
        <f t="shared" si="742"/>
        <v>14</v>
      </c>
      <c r="O2418" s="25">
        <f t="shared" si="752"/>
        <v>43739</v>
      </c>
      <c r="P2418" s="5" t="str">
        <f t="shared" si="744"/>
        <v>25.000,00</v>
      </c>
      <c r="Q2418" s="4" t="e">
        <f t="shared" ca="1" si="746"/>
        <v>#NAME?</v>
      </c>
    </row>
    <row r="2419" spans="1:17">
      <c r="A2419" s="1">
        <f t="shared" si="749"/>
        <v>2418</v>
      </c>
      <c r="B2419" s="8"/>
      <c r="C2419" s="8" t="s">
        <v>17</v>
      </c>
      <c r="D2419" s="2">
        <v>43753</v>
      </c>
      <c r="E2419" s="3">
        <v>40000</v>
      </c>
      <c r="F2419" t="s">
        <v>100</v>
      </c>
      <c r="G2419" t="s">
        <v>95</v>
      </c>
      <c r="H2419" t="s">
        <v>101</v>
      </c>
      <c r="I2419" s="6" t="s">
        <v>1060</v>
      </c>
      <c r="J2419" s="61" t="s">
        <v>22</v>
      </c>
      <c r="L2419" s="5" t="str">
        <f t="shared" si="750"/>
        <v>02418</v>
      </c>
      <c r="M2419" s="47" t="str">
        <f t="shared" si="751"/>
        <v>15 de octubre de 2019</v>
      </c>
      <c r="N2419" s="323">
        <f t="shared" si="742"/>
        <v>15</v>
      </c>
      <c r="O2419" s="25">
        <f t="shared" si="752"/>
        <v>43739</v>
      </c>
      <c r="P2419" s="5" t="str">
        <f t="shared" si="744"/>
        <v>40.000,00</v>
      </c>
      <c r="Q2419" s="4" t="e">
        <f t="shared" ca="1" si="746"/>
        <v>#NAME?</v>
      </c>
    </row>
    <row r="2420" spans="1:17">
      <c r="A2420" s="1">
        <f t="shared" si="749"/>
        <v>2419</v>
      </c>
      <c r="B2420" s="8"/>
      <c r="C2420" s="8" t="s">
        <v>17</v>
      </c>
      <c r="D2420" s="2">
        <v>43754</v>
      </c>
      <c r="E2420" s="3">
        <v>19800</v>
      </c>
      <c r="F2420" t="s">
        <v>342</v>
      </c>
      <c r="G2420" t="s">
        <v>1036</v>
      </c>
      <c r="H2420" t="s">
        <v>344</v>
      </c>
      <c r="I2420" s="6" t="s">
        <v>1060</v>
      </c>
      <c r="J2420" s="61" t="s">
        <v>22</v>
      </c>
      <c r="L2420" s="5" t="str">
        <f t="shared" si="750"/>
        <v>02419</v>
      </c>
      <c r="M2420" s="47" t="str">
        <f t="shared" si="751"/>
        <v>16 de octubre de 2019</v>
      </c>
      <c r="N2420" s="323">
        <f t="shared" si="742"/>
        <v>16</v>
      </c>
      <c r="O2420" s="25">
        <f t="shared" si="752"/>
        <v>43739</v>
      </c>
      <c r="P2420" s="5" t="str">
        <f t="shared" si="744"/>
        <v>19.800,00</v>
      </c>
      <c r="Q2420" s="4" t="e">
        <f t="shared" ca="1" si="746"/>
        <v>#NAME?</v>
      </c>
    </row>
    <row r="2421" spans="1:17" ht="15.75" thickBot="1">
      <c r="A2421" s="1">
        <f t="shared" si="749"/>
        <v>2420</v>
      </c>
      <c r="B2421" s="8"/>
      <c r="C2421" s="8" t="s">
        <v>17</v>
      </c>
      <c r="D2421" s="2">
        <v>43754</v>
      </c>
      <c r="E2421" s="3">
        <v>19800</v>
      </c>
      <c r="F2421" t="s">
        <v>362</v>
      </c>
      <c r="G2421" t="s">
        <v>363</v>
      </c>
      <c r="H2421" t="s">
        <v>364</v>
      </c>
      <c r="I2421" s="6" t="s">
        <v>1060</v>
      </c>
      <c r="J2421" s="61" t="s">
        <v>22</v>
      </c>
      <c r="L2421" s="5" t="str">
        <f t="shared" si="750"/>
        <v>02420</v>
      </c>
      <c r="M2421" s="47" t="str">
        <f t="shared" si="751"/>
        <v>16 de octubre de 2019</v>
      </c>
      <c r="N2421" s="323">
        <f t="shared" si="742"/>
        <v>16</v>
      </c>
      <c r="O2421" s="25">
        <f t="shared" si="752"/>
        <v>43739</v>
      </c>
      <c r="P2421" s="5" t="str">
        <f t="shared" si="744"/>
        <v>19.800,00</v>
      </c>
      <c r="Q2421" s="4" t="e">
        <f t="shared" ca="1" si="746"/>
        <v>#NAME?</v>
      </c>
    </row>
    <row r="2422" spans="1:17" ht="15.75" thickBot="1">
      <c r="A2422" s="1">
        <f t="shared" si="749"/>
        <v>2421</v>
      </c>
      <c r="B2422" s="8"/>
      <c r="C2422" s="85" t="s">
        <v>17</v>
      </c>
      <c r="D2422" s="2">
        <v>43754</v>
      </c>
      <c r="E2422" s="3">
        <v>19800</v>
      </c>
      <c r="F2422" t="s">
        <v>259</v>
      </c>
      <c r="G2422" s="18" t="s">
        <v>58</v>
      </c>
      <c r="H2422" t="s">
        <v>261</v>
      </c>
      <c r="I2422" s="6" t="s">
        <v>1060</v>
      </c>
      <c r="J2422" s="61" t="s">
        <v>22</v>
      </c>
      <c r="L2422" s="5" t="str">
        <f t="shared" si="750"/>
        <v>02421</v>
      </c>
      <c r="M2422" s="47" t="str">
        <f t="shared" si="751"/>
        <v>16 de octubre de 2019</v>
      </c>
      <c r="N2422" s="323">
        <f t="shared" ref="N2422:N2428" si="753">DAY(D2422)</f>
        <v>16</v>
      </c>
      <c r="O2422" s="25">
        <f t="shared" si="752"/>
        <v>43739</v>
      </c>
      <c r="P2422" s="5" t="str">
        <f t="shared" ref="P2422:P2428" si="754">TEXT(E2422,"#.##0,00")</f>
        <v>19.800,00</v>
      </c>
      <c r="Q2422" s="4" t="e">
        <f t="shared" ca="1" si="746"/>
        <v>#NAME?</v>
      </c>
    </row>
    <row r="2423" spans="1:17">
      <c r="A2423" s="1">
        <f t="shared" si="749"/>
        <v>2422</v>
      </c>
      <c r="B2423" s="8"/>
      <c r="C2423" s="8" t="s">
        <v>17</v>
      </c>
      <c r="D2423" s="2">
        <v>43755</v>
      </c>
      <c r="E2423" s="3">
        <v>19800</v>
      </c>
      <c r="F2423" t="s">
        <v>296</v>
      </c>
      <c r="G2423" t="s">
        <v>297</v>
      </c>
      <c r="H2423" t="s">
        <v>298</v>
      </c>
      <c r="I2423" s="6" t="s">
        <v>1060</v>
      </c>
      <c r="J2423" s="61" t="s">
        <v>22</v>
      </c>
      <c r="L2423" s="5" t="str">
        <f t="shared" si="750"/>
        <v>02422</v>
      </c>
      <c r="M2423" s="47" t="str">
        <f t="shared" si="751"/>
        <v>17 de octubre de 2019</v>
      </c>
      <c r="N2423" s="323">
        <f t="shared" si="753"/>
        <v>17</v>
      </c>
      <c r="O2423" s="25">
        <f t="shared" si="752"/>
        <v>43739</v>
      </c>
      <c r="P2423" s="5" t="str">
        <f t="shared" si="754"/>
        <v>19.800,00</v>
      </c>
      <c r="Q2423" s="4" t="e">
        <f t="shared" ca="1" si="746"/>
        <v>#NAME?</v>
      </c>
    </row>
    <row r="2424" spans="1:17">
      <c r="A2424" s="1">
        <f t="shared" si="749"/>
        <v>2423</v>
      </c>
      <c r="B2424" s="8"/>
      <c r="C2424" s="8" t="s">
        <v>17</v>
      </c>
      <c r="D2424" s="2">
        <v>43755</v>
      </c>
      <c r="E2424" s="3">
        <v>25000</v>
      </c>
      <c r="F2424" t="s">
        <v>107</v>
      </c>
      <c r="G2424" t="s">
        <v>108</v>
      </c>
      <c r="H2424" t="s">
        <v>109</v>
      </c>
      <c r="I2424" s="6" t="s">
        <v>1050</v>
      </c>
      <c r="J2424" s="61" t="s">
        <v>22</v>
      </c>
      <c r="L2424" s="5" t="str">
        <f t="shared" ref="L2424:L2428" si="755">IF(ISBLANK(A2424),"",TEXT(A2424,"00000"))</f>
        <v>02423</v>
      </c>
      <c r="M2424" s="47" t="str">
        <f t="shared" ref="M2424:M2428" si="756">IF(ISBLANK(D2424),"",TEXT(D2424,"dd")&amp;" de "&amp;TEXT(D2424,"mmmm")&amp;" de "&amp;TEXT(YEAR(D2424),"0"))</f>
        <v>17 de octubre de 2019</v>
      </c>
      <c r="N2424" s="323">
        <f t="shared" si="753"/>
        <v>17</v>
      </c>
      <c r="O2424" s="25">
        <f t="shared" ref="O2424:O2428" si="757">DATE(YEAR(D2424),MONTH(D2424),1)</f>
        <v>43739</v>
      </c>
      <c r="P2424" s="5" t="str">
        <f t="shared" si="754"/>
        <v>25.000,00</v>
      </c>
      <c r="Q2424" s="4" t="e">
        <f t="shared" ref="Q2424:Q2428" ca="1" si="758">CONVERTIRNUM(E2424)</f>
        <v>#NAME?</v>
      </c>
    </row>
    <row r="2425" spans="1:17">
      <c r="A2425" s="1">
        <f t="shared" si="749"/>
        <v>2424</v>
      </c>
      <c r="B2425" s="8"/>
      <c r="C2425" s="8" t="s">
        <v>17</v>
      </c>
      <c r="D2425" s="2">
        <v>43755</v>
      </c>
      <c r="E2425" s="3">
        <v>19800</v>
      </c>
      <c r="F2425" t="s">
        <v>114</v>
      </c>
      <c r="G2425" t="s">
        <v>115</v>
      </c>
      <c r="H2425" t="s">
        <v>105</v>
      </c>
      <c r="I2425" s="6" t="s">
        <v>1060</v>
      </c>
      <c r="J2425" s="61" t="s">
        <v>22</v>
      </c>
      <c r="L2425" s="5" t="str">
        <f t="shared" si="755"/>
        <v>02424</v>
      </c>
      <c r="M2425" s="47" t="str">
        <f t="shared" si="756"/>
        <v>17 de octubre de 2019</v>
      </c>
      <c r="N2425" s="323">
        <f t="shared" si="753"/>
        <v>17</v>
      </c>
      <c r="O2425" s="25">
        <f t="shared" si="757"/>
        <v>43739</v>
      </c>
      <c r="P2425" s="5" t="str">
        <f t="shared" si="754"/>
        <v>19.800,00</v>
      </c>
      <c r="Q2425" s="4" t="e">
        <f t="shared" ca="1" si="758"/>
        <v>#NAME?</v>
      </c>
    </row>
    <row r="2426" spans="1:17">
      <c r="A2426" s="1">
        <f t="shared" si="749"/>
        <v>2425</v>
      </c>
      <c r="B2426" s="8"/>
      <c r="C2426" s="8" t="s">
        <v>17</v>
      </c>
      <c r="D2426" s="2">
        <v>43755</v>
      </c>
      <c r="E2426" s="3">
        <v>19800</v>
      </c>
      <c r="F2426" t="s">
        <v>324</v>
      </c>
      <c r="G2426" t="s">
        <v>325</v>
      </c>
      <c r="H2426" t="s">
        <v>326</v>
      </c>
      <c r="I2426" s="6" t="s">
        <v>1060</v>
      </c>
      <c r="J2426" s="61" t="s">
        <v>22</v>
      </c>
      <c r="L2426" s="5" t="str">
        <f t="shared" si="755"/>
        <v>02425</v>
      </c>
      <c r="M2426" s="47" t="str">
        <f t="shared" si="756"/>
        <v>17 de octubre de 2019</v>
      </c>
      <c r="N2426" s="323">
        <f t="shared" si="753"/>
        <v>17</v>
      </c>
      <c r="O2426" s="25">
        <f t="shared" si="757"/>
        <v>43739</v>
      </c>
      <c r="P2426" s="5" t="str">
        <f t="shared" si="754"/>
        <v>19.800,00</v>
      </c>
      <c r="Q2426" s="4" t="e">
        <f t="shared" ca="1" si="758"/>
        <v>#NAME?</v>
      </c>
    </row>
    <row r="2427" spans="1:17">
      <c r="A2427" s="1">
        <f t="shared" si="749"/>
        <v>2426</v>
      </c>
      <c r="B2427" s="8"/>
      <c r="C2427" s="8" t="s">
        <v>17</v>
      </c>
      <c r="D2427" s="2">
        <v>43757</v>
      </c>
      <c r="E2427" s="3">
        <v>20000</v>
      </c>
      <c r="F2427" t="s">
        <v>230</v>
      </c>
      <c r="G2427" t="s">
        <v>231</v>
      </c>
      <c r="H2427" t="s">
        <v>232</v>
      </c>
      <c r="I2427" s="6" t="s">
        <v>1050</v>
      </c>
      <c r="J2427" s="61" t="s">
        <v>22</v>
      </c>
      <c r="L2427" s="5" t="str">
        <f t="shared" si="755"/>
        <v>02426</v>
      </c>
      <c r="M2427" s="47" t="str">
        <f t="shared" si="756"/>
        <v>19 de octubre de 2019</v>
      </c>
      <c r="N2427" s="323">
        <f t="shared" si="753"/>
        <v>19</v>
      </c>
      <c r="O2427" s="25">
        <f t="shared" si="757"/>
        <v>43739</v>
      </c>
      <c r="P2427" s="5" t="str">
        <f t="shared" si="754"/>
        <v>20.000,00</v>
      </c>
      <c r="Q2427" s="4" t="e">
        <f t="shared" ca="1" si="758"/>
        <v>#NAME?</v>
      </c>
    </row>
    <row r="2428" spans="1:17">
      <c r="A2428" s="1">
        <f t="shared" si="749"/>
        <v>2427</v>
      </c>
      <c r="B2428" s="8"/>
      <c r="C2428" s="8" t="s">
        <v>17</v>
      </c>
      <c r="D2428" s="2">
        <v>43758</v>
      </c>
      <c r="E2428" s="3">
        <v>30000</v>
      </c>
      <c r="F2428" t="s">
        <v>483</v>
      </c>
      <c r="G2428" t="s">
        <v>484</v>
      </c>
      <c r="H2428" t="s">
        <v>485</v>
      </c>
      <c r="I2428" s="6" t="s">
        <v>1060</v>
      </c>
      <c r="J2428" s="61" t="s">
        <v>22</v>
      </c>
      <c r="L2428" s="5" t="str">
        <f t="shared" si="755"/>
        <v>02427</v>
      </c>
      <c r="M2428" s="47" t="str">
        <f t="shared" si="756"/>
        <v>20 de octubre de 2019</v>
      </c>
      <c r="N2428" s="323">
        <f t="shared" si="753"/>
        <v>20</v>
      </c>
      <c r="O2428" s="25">
        <f t="shared" si="757"/>
        <v>43739</v>
      </c>
      <c r="P2428" s="5" t="str">
        <f t="shared" si="754"/>
        <v>30.000,00</v>
      </c>
      <c r="Q2428" s="4" t="e">
        <f t="shared" ca="1" si="758"/>
        <v>#NAME?</v>
      </c>
    </row>
    <row r="2429" spans="1:17">
      <c r="A2429" s="1">
        <f t="shared" si="749"/>
        <v>2428</v>
      </c>
      <c r="B2429" s="8"/>
      <c r="C2429" s="8" t="s">
        <v>17</v>
      </c>
      <c r="D2429" s="2">
        <v>43758</v>
      </c>
      <c r="E2429" s="3">
        <v>27200</v>
      </c>
      <c r="F2429" t="s">
        <v>114</v>
      </c>
      <c r="G2429" t="s">
        <v>115</v>
      </c>
      <c r="H2429" t="s">
        <v>105</v>
      </c>
      <c r="I2429" s="6" t="s">
        <v>1060</v>
      </c>
      <c r="J2429" s="61" t="s">
        <v>22</v>
      </c>
      <c r="L2429" s="5" t="str">
        <f t="shared" ref="L2429:L2461" si="759">IF(ISBLANK(A2429),"",TEXT(A2429,"00000"))</f>
        <v>02428</v>
      </c>
      <c r="M2429" s="47" t="str">
        <f t="shared" ref="M2429:M2461" si="760">IF(ISBLANK(D2429),"",TEXT(D2429,"dd")&amp;" de "&amp;TEXT(D2429,"mmmm")&amp;" de "&amp;TEXT(YEAR(D2429),"0"))</f>
        <v>20 de octubre de 2019</v>
      </c>
      <c r="N2429" s="323">
        <f t="shared" ref="N2429:N2479" si="761">DAY(D2429)</f>
        <v>20</v>
      </c>
      <c r="O2429" s="25">
        <f t="shared" ref="O2429:O2461" si="762">DATE(YEAR(D2429),MONTH(D2429),1)</f>
        <v>43739</v>
      </c>
      <c r="P2429" s="5" t="str">
        <f t="shared" ref="P2429:P2455" si="763">TEXT(E2429,"#.##0,00")</f>
        <v>27.200,00</v>
      </c>
      <c r="Q2429" s="4" t="e">
        <f t="shared" ref="Q2429:Q2446" ca="1" si="764">CONVERTIRNUM(E2429)</f>
        <v>#NAME?</v>
      </c>
    </row>
    <row r="2430" spans="1:17">
      <c r="A2430" s="1">
        <f t="shared" si="749"/>
        <v>2429</v>
      </c>
      <c r="B2430" s="8"/>
      <c r="C2430" s="8" t="s">
        <v>17</v>
      </c>
      <c r="D2430" s="2">
        <v>43758</v>
      </c>
      <c r="E2430" s="3">
        <v>27200</v>
      </c>
      <c r="F2430" t="s">
        <v>324</v>
      </c>
      <c r="G2430" t="s">
        <v>325</v>
      </c>
      <c r="H2430" t="s">
        <v>326</v>
      </c>
      <c r="I2430" s="6" t="s">
        <v>1060</v>
      </c>
      <c r="J2430" s="61" t="s">
        <v>22</v>
      </c>
      <c r="L2430" s="5" t="str">
        <f t="shared" si="759"/>
        <v>02429</v>
      </c>
      <c r="M2430" s="47" t="str">
        <f t="shared" si="760"/>
        <v>20 de octubre de 2019</v>
      </c>
      <c r="N2430" s="323">
        <f t="shared" si="761"/>
        <v>20</v>
      </c>
      <c r="O2430" s="25">
        <f t="shared" si="762"/>
        <v>43739</v>
      </c>
      <c r="P2430" s="5" t="str">
        <f t="shared" si="763"/>
        <v>27.200,00</v>
      </c>
      <c r="Q2430" s="4" t="e">
        <f t="shared" ca="1" si="764"/>
        <v>#NAME?</v>
      </c>
    </row>
    <row r="2431" spans="1:17">
      <c r="A2431" s="1">
        <f>A2430+1</f>
        <v>2430</v>
      </c>
      <c r="B2431" s="8"/>
      <c r="C2431" s="8" t="s">
        <v>17</v>
      </c>
      <c r="D2431" s="2">
        <v>43758</v>
      </c>
      <c r="E2431" s="3">
        <v>28200</v>
      </c>
      <c r="F2431" t="s">
        <v>70</v>
      </c>
      <c r="G2431" t="s">
        <v>71</v>
      </c>
      <c r="H2431" t="s">
        <v>72</v>
      </c>
      <c r="I2431" s="6" t="s">
        <v>1065</v>
      </c>
      <c r="J2431" s="61" t="s">
        <v>22</v>
      </c>
      <c r="L2431" s="5" t="str">
        <f t="shared" si="759"/>
        <v>02430</v>
      </c>
      <c r="M2431" s="47" t="str">
        <f t="shared" si="760"/>
        <v>20 de octubre de 2019</v>
      </c>
      <c r="N2431" s="323">
        <f t="shared" si="761"/>
        <v>20</v>
      </c>
      <c r="O2431" s="25">
        <f t="shared" si="762"/>
        <v>43739</v>
      </c>
      <c r="P2431" s="5" t="str">
        <f t="shared" si="763"/>
        <v>28.200,00</v>
      </c>
      <c r="Q2431" s="4" t="e">
        <f t="shared" ca="1" si="764"/>
        <v>#NAME?</v>
      </c>
    </row>
    <row r="2432" spans="1:17">
      <c r="A2432" s="1">
        <f t="shared" ref="A2432:A2437" si="765">A2431+1</f>
        <v>2431</v>
      </c>
      <c r="B2432" s="8"/>
      <c r="C2432" s="8" t="s">
        <v>17</v>
      </c>
      <c r="D2432" s="2">
        <v>43758</v>
      </c>
      <c r="E2432" s="3">
        <v>25900</v>
      </c>
      <c r="F2432" t="s">
        <v>438</v>
      </c>
      <c r="G2432" t="s">
        <v>439</v>
      </c>
      <c r="H2432" t="s">
        <v>440</v>
      </c>
      <c r="I2432" s="6" t="s">
        <v>1072</v>
      </c>
      <c r="J2432" s="61" t="s">
        <v>22</v>
      </c>
      <c r="L2432" s="5" t="str">
        <f t="shared" si="759"/>
        <v>02431</v>
      </c>
      <c r="M2432" s="47" t="str">
        <f t="shared" si="760"/>
        <v>20 de octubre de 2019</v>
      </c>
      <c r="N2432" s="323">
        <f t="shared" si="761"/>
        <v>20</v>
      </c>
      <c r="O2432" s="25">
        <f t="shared" si="762"/>
        <v>43739</v>
      </c>
      <c r="P2432" s="5" t="str">
        <f t="shared" si="763"/>
        <v>25.900,00</v>
      </c>
      <c r="Q2432" s="4" t="e">
        <f t="shared" ca="1" si="764"/>
        <v>#NAME?</v>
      </c>
    </row>
    <row r="2433" spans="1:17">
      <c r="A2433" s="1">
        <f t="shared" si="765"/>
        <v>2432</v>
      </c>
      <c r="B2433" s="8"/>
      <c r="C2433" s="8" t="s">
        <v>17</v>
      </c>
      <c r="D2433" s="2">
        <v>43758</v>
      </c>
      <c r="E2433" s="3">
        <v>27000</v>
      </c>
      <c r="F2433" t="s">
        <v>230</v>
      </c>
      <c r="G2433" t="s">
        <v>231</v>
      </c>
      <c r="H2433" t="s">
        <v>232</v>
      </c>
      <c r="I2433" s="6" t="s">
        <v>1065</v>
      </c>
      <c r="J2433" s="61" t="s">
        <v>22</v>
      </c>
      <c r="L2433" s="5" t="str">
        <f t="shared" si="759"/>
        <v>02432</v>
      </c>
      <c r="M2433" s="47" t="str">
        <f t="shared" si="760"/>
        <v>20 de octubre de 2019</v>
      </c>
      <c r="N2433" s="323">
        <f t="shared" si="761"/>
        <v>20</v>
      </c>
      <c r="O2433" s="25">
        <f t="shared" si="762"/>
        <v>43739</v>
      </c>
      <c r="P2433" s="5" t="str">
        <f t="shared" si="763"/>
        <v>27.000,00</v>
      </c>
      <c r="Q2433" s="4" t="e">
        <f t="shared" ca="1" si="764"/>
        <v>#NAME?</v>
      </c>
    </row>
    <row r="2434" spans="1:17" ht="16.5" customHeight="1">
      <c r="A2434" s="1">
        <f t="shared" si="765"/>
        <v>2433</v>
      </c>
      <c r="B2434" s="8"/>
      <c r="C2434" s="8" t="s">
        <v>17</v>
      </c>
      <c r="D2434" s="2">
        <v>43759</v>
      </c>
      <c r="E2434" s="3">
        <v>47000</v>
      </c>
      <c r="F2434" t="s">
        <v>219</v>
      </c>
      <c r="G2434" t="s">
        <v>220</v>
      </c>
      <c r="H2434" t="s">
        <v>221</v>
      </c>
      <c r="I2434" s="6" t="s">
        <v>1073</v>
      </c>
      <c r="J2434" s="61" t="s">
        <v>22</v>
      </c>
      <c r="L2434" s="5" t="str">
        <f t="shared" si="759"/>
        <v>02433</v>
      </c>
      <c r="M2434" s="47" t="str">
        <f t="shared" si="760"/>
        <v>21 de octubre de 2019</v>
      </c>
      <c r="N2434" s="323">
        <f t="shared" si="761"/>
        <v>21</v>
      </c>
      <c r="O2434" s="25">
        <f t="shared" si="762"/>
        <v>43739</v>
      </c>
      <c r="P2434" s="5" t="str">
        <f t="shared" si="763"/>
        <v>47.000,00</v>
      </c>
      <c r="Q2434" s="4" t="e">
        <f t="shared" ca="1" si="764"/>
        <v>#NAME?</v>
      </c>
    </row>
    <row r="2435" spans="1:17">
      <c r="A2435" s="1">
        <f t="shared" si="765"/>
        <v>2434</v>
      </c>
      <c r="B2435" s="8"/>
      <c r="C2435" s="8" t="s">
        <v>17</v>
      </c>
      <c r="D2435" s="2">
        <v>43759</v>
      </c>
      <c r="E2435" s="3">
        <v>7000</v>
      </c>
      <c r="F2435" t="s">
        <v>100</v>
      </c>
      <c r="G2435" t="s">
        <v>95</v>
      </c>
      <c r="H2435" t="s">
        <v>101</v>
      </c>
      <c r="I2435" s="6" t="s">
        <v>1065</v>
      </c>
      <c r="J2435" s="61" t="s">
        <v>22</v>
      </c>
      <c r="L2435" s="5" t="str">
        <f t="shared" si="759"/>
        <v>02434</v>
      </c>
      <c r="M2435" s="47" t="str">
        <f t="shared" si="760"/>
        <v>21 de octubre de 2019</v>
      </c>
      <c r="N2435" s="323">
        <f t="shared" si="761"/>
        <v>21</v>
      </c>
      <c r="O2435" s="25">
        <f t="shared" si="762"/>
        <v>43739</v>
      </c>
      <c r="P2435" s="5" t="str">
        <f t="shared" si="763"/>
        <v>7.000,00</v>
      </c>
      <c r="Q2435" s="4" t="e">
        <f t="shared" ca="1" si="764"/>
        <v>#NAME?</v>
      </c>
    </row>
    <row r="2436" spans="1:17">
      <c r="A2436" s="1">
        <f t="shared" si="765"/>
        <v>2435</v>
      </c>
      <c r="B2436" s="8"/>
      <c r="C2436" s="8" t="s">
        <v>17</v>
      </c>
      <c r="D2436" s="2">
        <v>43759</v>
      </c>
      <c r="E2436" s="3">
        <v>23000</v>
      </c>
      <c r="F2436" t="s">
        <v>107</v>
      </c>
      <c r="G2436" t="s">
        <v>108</v>
      </c>
      <c r="H2436" t="s">
        <v>109</v>
      </c>
      <c r="I2436" s="6" t="s">
        <v>1065</v>
      </c>
      <c r="J2436" s="61" t="s">
        <v>22</v>
      </c>
      <c r="L2436" s="5" t="str">
        <f t="shared" si="759"/>
        <v>02435</v>
      </c>
      <c r="M2436" s="47" t="str">
        <f t="shared" si="760"/>
        <v>21 de octubre de 2019</v>
      </c>
      <c r="N2436" s="323">
        <f t="shared" si="761"/>
        <v>21</v>
      </c>
      <c r="O2436" s="25">
        <f t="shared" si="762"/>
        <v>43739</v>
      </c>
      <c r="P2436" s="5" t="str">
        <f t="shared" si="763"/>
        <v>23.000,00</v>
      </c>
      <c r="Q2436" s="4" t="e">
        <f t="shared" ca="1" si="764"/>
        <v>#NAME?</v>
      </c>
    </row>
    <row r="2437" spans="1:17">
      <c r="A2437" s="1">
        <f t="shared" si="765"/>
        <v>2436</v>
      </c>
      <c r="B2437" s="8"/>
      <c r="C2437" s="8" t="s">
        <v>17</v>
      </c>
      <c r="D2437" s="2">
        <v>43759</v>
      </c>
      <c r="E2437" s="3">
        <v>28800</v>
      </c>
      <c r="F2437" t="s">
        <v>1004</v>
      </c>
      <c r="G2437" t="s">
        <v>1005</v>
      </c>
      <c r="H2437" t="s">
        <v>539</v>
      </c>
      <c r="I2437" s="6" t="s">
        <v>1065</v>
      </c>
      <c r="J2437" s="61" t="s">
        <v>22</v>
      </c>
      <c r="L2437" s="5" t="str">
        <f t="shared" si="759"/>
        <v>02436</v>
      </c>
      <c r="M2437" s="47" t="str">
        <f t="shared" si="760"/>
        <v>21 de octubre de 2019</v>
      </c>
      <c r="N2437" s="323">
        <f t="shared" si="761"/>
        <v>21</v>
      </c>
      <c r="O2437" s="25">
        <f t="shared" si="762"/>
        <v>43739</v>
      </c>
      <c r="P2437" s="5" t="str">
        <f t="shared" si="763"/>
        <v>28.800,00</v>
      </c>
      <c r="Q2437" s="4" t="e">
        <f t="shared" ca="1" si="764"/>
        <v>#NAME?</v>
      </c>
    </row>
    <row r="2438" spans="1:17">
      <c r="A2438" s="1">
        <f>A2437+1</f>
        <v>2437</v>
      </c>
      <c r="B2438" s="8"/>
      <c r="C2438" s="8" t="s">
        <v>17</v>
      </c>
      <c r="D2438" s="2">
        <v>43759</v>
      </c>
      <c r="E2438" s="3">
        <v>25900</v>
      </c>
      <c r="F2438" t="s">
        <v>36</v>
      </c>
      <c r="G2438" t="s">
        <v>37</v>
      </c>
      <c r="H2438" t="s">
        <v>38</v>
      </c>
      <c r="I2438" s="6" t="s">
        <v>1065</v>
      </c>
      <c r="J2438" s="61" t="s">
        <v>22</v>
      </c>
      <c r="L2438" s="5" t="str">
        <f t="shared" si="759"/>
        <v>02437</v>
      </c>
      <c r="M2438" s="47" t="str">
        <f t="shared" si="760"/>
        <v>21 de octubre de 2019</v>
      </c>
      <c r="N2438" s="323">
        <f t="shared" si="761"/>
        <v>21</v>
      </c>
      <c r="O2438" s="25">
        <f t="shared" si="762"/>
        <v>43739</v>
      </c>
      <c r="P2438" s="5" t="str">
        <f t="shared" si="763"/>
        <v>25.900,00</v>
      </c>
      <c r="Q2438" s="4" t="e">
        <f t="shared" ca="1" si="764"/>
        <v>#NAME?</v>
      </c>
    </row>
    <row r="2439" spans="1:17">
      <c r="A2439" s="1">
        <f t="shared" ref="A2439:A2482" si="766">A2438+1</f>
        <v>2438</v>
      </c>
      <c r="B2439" s="8"/>
      <c r="C2439" s="8" t="s">
        <v>17</v>
      </c>
      <c r="D2439" s="2">
        <v>43759</v>
      </c>
      <c r="E2439" s="3">
        <v>25900</v>
      </c>
      <c r="F2439" t="s">
        <v>24</v>
      </c>
      <c r="G2439" t="s">
        <v>25</v>
      </c>
      <c r="H2439" t="s">
        <v>26</v>
      </c>
      <c r="I2439" s="6" t="s">
        <v>1065</v>
      </c>
      <c r="J2439" s="61" t="s">
        <v>22</v>
      </c>
      <c r="L2439" s="5" t="str">
        <f t="shared" si="759"/>
        <v>02438</v>
      </c>
      <c r="M2439" s="47" t="str">
        <f t="shared" si="760"/>
        <v>21 de octubre de 2019</v>
      </c>
      <c r="N2439" s="323">
        <f t="shared" si="761"/>
        <v>21</v>
      </c>
      <c r="O2439" s="25">
        <f t="shared" si="762"/>
        <v>43739</v>
      </c>
      <c r="P2439" s="5" t="str">
        <f t="shared" si="763"/>
        <v>25.900,00</v>
      </c>
      <c r="Q2439" s="4" t="e">
        <f t="shared" ca="1" si="764"/>
        <v>#NAME?</v>
      </c>
    </row>
    <row r="2440" spans="1:17" ht="15.75" thickBot="1">
      <c r="A2440" s="1">
        <f t="shared" si="766"/>
        <v>2439</v>
      </c>
      <c r="B2440" s="8"/>
      <c r="C2440" s="8" t="s">
        <v>17</v>
      </c>
      <c r="D2440" s="2">
        <v>43759</v>
      </c>
      <c r="E2440" s="3">
        <v>28200</v>
      </c>
      <c r="F2440" t="s">
        <v>201</v>
      </c>
      <c r="G2440" t="s">
        <v>202</v>
      </c>
      <c r="H2440" t="s">
        <v>203</v>
      </c>
      <c r="I2440" s="6" t="s">
        <v>1074</v>
      </c>
      <c r="J2440" s="61" t="s">
        <v>22</v>
      </c>
      <c r="L2440" s="5" t="str">
        <f t="shared" si="759"/>
        <v>02439</v>
      </c>
      <c r="M2440" s="47" t="str">
        <f t="shared" si="760"/>
        <v>21 de octubre de 2019</v>
      </c>
      <c r="N2440" s="323">
        <f t="shared" si="761"/>
        <v>21</v>
      </c>
      <c r="O2440" s="25">
        <f t="shared" si="762"/>
        <v>43739</v>
      </c>
      <c r="P2440" s="5" t="str">
        <f t="shared" si="763"/>
        <v>28.200,00</v>
      </c>
      <c r="Q2440" s="4" t="e">
        <f t="shared" ca="1" si="764"/>
        <v>#NAME?</v>
      </c>
    </row>
    <row r="2441" spans="1:17" ht="15.75" thickBot="1">
      <c r="A2441" s="1">
        <f t="shared" si="766"/>
        <v>2440</v>
      </c>
      <c r="B2441" s="8"/>
      <c r="C2441" s="85" t="s">
        <v>17</v>
      </c>
      <c r="D2441" s="2">
        <v>43759</v>
      </c>
      <c r="E2441" s="162">
        <v>27000</v>
      </c>
      <c r="F2441" t="s">
        <v>492</v>
      </c>
      <c r="G2441" s="18" t="s">
        <v>58</v>
      </c>
      <c r="H2441" t="s">
        <v>493</v>
      </c>
      <c r="I2441" s="6" t="s">
        <v>1065</v>
      </c>
      <c r="J2441" s="61" t="s">
        <v>22</v>
      </c>
      <c r="L2441" s="5" t="str">
        <f t="shared" si="759"/>
        <v>02440</v>
      </c>
      <c r="M2441" s="47" t="str">
        <f t="shared" si="760"/>
        <v>21 de octubre de 2019</v>
      </c>
      <c r="N2441" s="323">
        <f t="shared" si="761"/>
        <v>21</v>
      </c>
      <c r="O2441" s="25">
        <f t="shared" si="762"/>
        <v>43739</v>
      </c>
      <c r="P2441" s="5" t="str">
        <f t="shared" si="763"/>
        <v>27.000,00</v>
      </c>
      <c r="Q2441" s="4" t="e">
        <f t="shared" ca="1" si="764"/>
        <v>#NAME?</v>
      </c>
    </row>
    <row r="2442" spans="1:17" ht="15.75" thickBot="1">
      <c r="A2442" s="1">
        <f t="shared" si="766"/>
        <v>2441</v>
      </c>
      <c r="B2442" s="8"/>
      <c r="C2442" s="8" t="s">
        <v>17</v>
      </c>
      <c r="D2442" s="2">
        <v>43759</v>
      </c>
      <c r="E2442" s="3">
        <v>29800</v>
      </c>
      <c r="F2442" t="s">
        <v>206</v>
      </c>
      <c r="G2442" t="s">
        <v>207</v>
      </c>
      <c r="H2442" t="s">
        <v>208</v>
      </c>
      <c r="I2442" s="6" t="s">
        <v>1031</v>
      </c>
      <c r="J2442" s="61" t="s">
        <v>22</v>
      </c>
      <c r="L2442" s="5" t="str">
        <f t="shared" si="759"/>
        <v>02441</v>
      </c>
      <c r="M2442" s="47" t="str">
        <f t="shared" si="760"/>
        <v>21 de octubre de 2019</v>
      </c>
      <c r="N2442" s="323">
        <f t="shared" si="761"/>
        <v>21</v>
      </c>
      <c r="O2442" s="25">
        <f t="shared" si="762"/>
        <v>43739</v>
      </c>
      <c r="P2442" s="5" t="str">
        <f t="shared" si="763"/>
        <v>29.800,00</v>
      </c>
      <c r="Q2442" s="4" t="e">
        <f t="shared" ca="1" si="764"/>
        <v>#NAME?</v>
      </c>
    </row>
    <row r="2443" spans="1:17" ht="15.75" thickBot="1">
      <c r="A2443" s="1">
        <f t="shared" si="766"/>
        <v>2442</v>
      </c>
      <c r="B2443" s="8"/>
      <c r="C2443" s="8" t="s">
        <v>17</v>
      </c>
      <c r="D2443" s="2">
        <v>43759</v>
      </c>
      <c r="E2443" s="597">
        <v>26700</v>
      </c>
      <c r="F2443" t="s">
        <v>103</v>
      </c>
      <c r="G2443" s="599" t="s">
        <v>1047</v>
      </c>
      <c r="H2443" t="s">
        <v>105</v>
      </c>
      <c r="I2443" s="6" t="s">
        <v>1075</v>
      </c>
      <c r="J2443" s="61" t="s">
        <v>22</v>
      </c>
      <c r="L2443" s="5" t="str">
        <f t="shared" si="759"/>
        <v>02442</v>
      </c>
      <c r="M2443" s="47" t="str">
        <f t="shared" si="760"/>
        <v>21 de octubre de 2019</v>
      </c>
      <c r="N2443" s="323">
        <f t="shared" si="761"/>
        <v>21</v>
      </c>
      <c r="O2443" s="25">
        <f t="shared" si="762"/>
        <v>43739</v>
      </c>
      <c r="P2443" s="5" t="str">
        <f t="shared" si="763"/>
        <v>26.700,00</v>
      </c>
      <c r="Q2443" s="4" t="e">
        <f t="shared" ca="1" si="764"/>
        <v>#NAME?</v>
      </c>
    </row>
    <row r="2444" spans="1:17">
      <c r="A2444" s="1">
        <f t="shared" si="766"/>
        <v>2443</v>
      </c>
      <c r="B2444" s="8"/>
      <c r="C2444" s="8" t="s">
        <v>17</v>
      </c>
      <c r="D2444" s="2">
        <v>43759</v>
      </c>
      <c r="E2444" s="3">
        <v>25900</v>
      </c>
      <c r="F2444" t="s">
        <v>771</v>
      </c>
      <c r="G2444" t="s">
        <v>772</v>
      </c>
      <c r="H2444" t="s">
        <v>773</v>
      </c>
      <c r="I2444" s="6" t="s">
        <v>1076</v>
      </c>
      <c r="J2444" s="61" t="s">
        <v>22</v>
      </c>
      <c r="L2444" s="5" t="str">
        <f t="shared" si="759"/>
        <v>02443</v>
      </c>
      <c r="M2444" s="47" t="str">
        <f t="shared" si="760"/>
        <v>21 de octubre de 2019</v>
      </c>
      <c r="N2444" s="323">
        <f t="shared" si="761"/>
        <v>21</v>
      </c>
      <c r="O2444" s="25">
        <f t="shared" si="762"/>
        <v>43739</v>
      </c>
      <c r="P2444" s="5" t="str">
        <f t="shared" si="763"/>
        <v>25.900,00</v>
      </c>
      <c r="Q2444" s="4" t="e">
        <f t="shared" ca="1" si="764"/>
        <v>#NAME?</v>
      </c>
    </row>
    <row r="2445" spans="1:17">
      <c r="A2445" s="1">
        <f t="shared" si="766"/>
        <v>2444</v>
      </c>
      <c r="B2445" s="8"/>
      <c r="C2445" s="8" t="s">
        <v>17</v>
      </c>
      <c r="D2445" s="2">
        <v>43760</v>
      </c>
      <c r="E2445" s="3">
        <v>28065</v>
      </c>
      <c r="F2445" t="s">
        <v>53</v>
      </c>
      <c r="G2445" t="s">
        <v>677</v>
      </c>
      <c r="H2445" t="s">
        <v>55</v>
      </c>
      <c r="I2445" s="6" t="s">
        <v>1065</v>
      </c>
      <c r="J2445" s="61" t="s">
        <v>22</v>
      </c>
      <c r="L2445" s="5" t="str">
        <f t="shared" si="759"/>
        <v>02444</v>
      </c>
      <c r="M2445" s="47" t="str">
        <f t="shared" si="760"/>
        <v>22 de octubre de 2019</v>
      </c>
      <c r="N2445" s="323">
        <f t="shared" si="761"/>
        <v>22</v>
      </c>
      <c r="O2445" s="25">
        <f t="shared" si="762"/>
        <v>43739</v>
      </c>
      <c r="P2445" s="5" t="str">
        <f t="shared" si="763"/>
        <v>28.065,00</v>
      </c>
      <c r="Q2445" s="4" t="e">
        <f t="shared" ca="1" si="764"/>
        <v>#NAME?</v>
      </c>
    </row>
    <row r="2446" spans="1:17" ht="15.75" thickBot="1">
      <c r="A2446" s="1">
        <f t="shared" si="766"/>
        <v>2445</v>
      </c>
      <c r="B2446" s="8"/>
      <c r="C2446" s="8" t="s">
        <v>17</v>
      </c>
      <c r="D2446" s="2">
        <v>43760</v>
      </c>
      <c r="E2446" s="3">
        <v>30000</v>
      </c>
      <c r="F2446" t="s">
        <v>48</v>
      </c>
      <c r="G2446" t="s">
        <v>49</v>
      </c>
      <c r="H2446" t="s">
        <v>50</v>
      </c>
      <c r="I2446" s="6" t="s">
        <v>1065</v>
      </c>
      <c r="J2446" s="61" t="s">
        <v>22</v>
      </c>
      <c r="L2446" s="5" t="str">
        <f t="shared" si="759"/>
        <v>02445</v>
      </c>
      <c r="M2446" s="47" t="str">
        <f t="shared" si="760"/>
        <v>22 de octubre de 2019</v>
      </c>
      <c r="N2446" s="323">
        <f t="shared" si="761"/>
        <v>22</v>
      </c>
      <c r="O2446" s="25">
        <f t="shared" si="762"/>
        <v>43739</v>
      </c>
      <c r="P2446" s="5" t="str">
        <f t="shared" si="763"/>
        <v>30.000,00</v>
      </c>
      <c r="Q2446" s="4" t="e">
        <f t="shared" ca="1" si="764"/>
        <v>#NAME?</v>
      </c>
    </row>
    <row r="2447" spans="1:17" ht="15.75" thickBot="1">
      <c r="A2447" s="1">
        <f t="shared" si="766"/>
        <v>2446</v>
      </c>
      <c r="B2447" s="8"/>
      <c r="C2447" s="8" t="s">
        <v>17</v>
      </c>
      <c r="D2447" s="2">
        <v>43760</v>
      </c>
      <c r="E2447" s="3">
        <v>47000</v>
      </c>
      <c r="F2447" t="s">
        <v>239</v>
      </c>
      <c r="G2447" s="73" t="s">
        <v>240</v>
      </c>
      <c r="H2447" t="s">
        <v>241</v>
      </c>
      <c r="I2447" s="6" t="s">
        <v>1060</v>
      </c>
      <c r="J2447" s="61" t="s">
        <v>22</v>
      </c>
      <c r="L2447" s="5" t="str">
        <f t="shared" si="759"/>
        <v>02446</v>
      </c>
      <c r="M2447" s="47" t="str">
        <f t="shared" si="760"/>
        <v>22 de octubre de 2019</v>
      </c>
      <c r="N2447" s="323">
        <f t="shared" si="761"/>
        <v>22</v>
      </c>
      <c r="O2447" s="25">
        <f t="shared" si="762"/>
        <v>43739</v>
      </c>
      <c r="P2447" s="5" t="str">
        <f t="shared" si="763"/>
        <v>47.000,00</v>
      </c>
      <c r="Q2447" s="4" t="e">
        <f t="shared" ref="Q2447:Q2455" ca="1" si="767">CONVERTIRNUM(E2447)</f>
        <v>#NAME?</v>
      </c>
    </row>
    <row r="2448" spans="1:17">
      <c r="A2448" s="1">
        <f t="shared" si="766"/>
        <v>2447</v>
      </c>
      <c r="B2448" s="8"/>
      <c r="C2448" s="8" t="s">
        <v>17</v>
      </c>
      <c r="D2448" s="2">
        <v>43760</v>
      </c>
      <c r="E2448" s="3">
        <v>25900</v>
      </c>
      <c r="F2448" t="s">
        <v>713</v>
      </c>
      <c r="G2448" t="s">
        <v>714</v>
      </c>
      <c r="H2448" t="s">
        <v>154</v>
      </c>
      <c r="I2448" s="6" t="s">
        <v>1065</v>
      </c>
      <c r="J2448" s="61" t="s">
        <v>22</v>
      </c>
      <c r="L2448" s="5" t="str">
        <f t="shared" si="759"/>
        <v>02447</v>
      </c>
      <c r="M2448" s="47" t="str">
        <f t="shared" si="760"/>
        <v>22 de octubre de 2019</v>
      </c>
      <c r="N2448" s="323">
        <f t="shared" si="761"/>
        <v>22</v>
      </c>
      <c r="O2448" s="25">
        <f t="shared" si="762"/>
        <v>43739</v>
      </c>
      <c r="P2448" s="5" t="str">
        <f t="shared" si="763"/>
        <v>25.900,00</v>
      </c>
      <c r="Q2448" s="4" t="e">
        <f t="shared" ca="1" si="767"/>
        <v>#NAME?</v>
      </c>
    </row>
    <row r="2449" spans="1:17" ht="15.75" thickBot="1">
      <c r="A2449" s="1">
        <f t="shared" si="766"/>
        <v>2448</v>
      </c>
      <c r="B2449" s="8"/>
      <c r="C2449" s="8" t="s">
        <v>17</v>
      </c>
      <c r="D2449" s="2">
        <v>43760</v>
      </c>
      <c r="E2449" s="3">
        <v>25900</v>
      </c>
      <c r="F2449" t="s">
        <v>66</v>
      </c>
      <c r="G2449" t="s">
        <v>67</v>
      </c>
      <c r="H2449" t="s">
        <v>68</v>
      </c>
      <c r="I2449" s="6" t="s">
        <v>1065</v>
      </c>
      <c r="J2449" s="61" t="s">
        <v>22</v>
      </c>
      <c r="L2449" s="5" t="str">
        <f t="shared" si="759"/>
        <v>02448</v>
      </c>
      <c r="M2449" s="47" t="str">
        <f t="shared" si="760"/>
        <v>22 de octubre de 2019</v>
      </c>
      <c r="N2449" s="323">
        <f t="shared" si="761"/>
        <v>22</v>
      </c>
      <c r="O2449" s="25">
        <f t="shared" si="762"/>
        <v>43739</v>
      </c>
      <c r="P2449" s="5" t="str">
        <f t="shared" si="763"/>
        <v>25.900,00</v>
      </c>
      <c r="Q2449" s="4" t="e">
        <f t="shared" ca="1" si="767"/>
        <v>#NAME?</v>
      </c>
    </row>
    <row r="2450" spans="1:17" ht="15.75" thickBot="1">
      <c r="A2450" s="1">
        <f t="shared" si="766"/>
        <v>2449</v>
      </c>
      <c r="C2450" s="8" t="s">
        <v>17</v>
      </c>
      <c r="D2450" s="2">
        <v>43761</v>
      </c>
      <c r="E2450" s="3">
        <v>47000</v>
      </c>
      <c r="F2450" t="s">
        <v>1017</v>
      </c>
      <c r="G2450" s="475" t="s">
        <v>1018</v>
      </c>
      <c r="H2450" t="s">
        <v>140</v>
      </c>
      <c r="I2450" s="6" t="s">
        <v>1060</v>
      </c>
      <c r="J2450" s="61" t="s">
        <v>22</v>
      </c>
      <c r="L2450" s="5" t="str">
        <f t="shared" si="759"/>
        <v>02449</v>
      </c>
      <c r="M2450" s="47" t="str">
        <f t="shared" si="760"/>
        <v>23 de octubre de 2019</v>
      </c>
      <c r="N2450" s="323">
        <f t="shared" si="761"/>
        <v>23</v>
      </c>
      <c r="O2450" s="25">
        <f t="shared" si="762"/>
        <v>43739</v>
      </c>
      <c r="P2450" s="5" t="str">
        <f t="shared" si="763"/>
        <v>47.000,00</v>
      </c>
      <c r="Q2450" s="4" t="e">
        <f t="shared" ca="1" si="767"/>
        <v>#NAME?</v>
      </c>
    </row>
    <row r="2451" spans="1:17">
      <c r="A2451" s="1">
        <f t="shared" si="766"/>
        <v>2450</v>
      </c>
      <c r="C2451" s="8" t="s">
        <v>17</v>
      </c>
      <c r="D2451" s="2">
        <v>43761</v>
      </c>
      <c r="E2451" s="3">
        <v>27200</v>
      </c>
      <c r="F2451" t="s">
        <v>62</v>
      </c>
      <c r="G2451" t="s">
        <v>63</v>
      </c>
      <c r="H2451" t="s">
        <v>64</v>
      </c>
      <c r="I2451" s="6" t="s">
        <v>1065</v>
      </c>
      <c r="J2451" s="61" t="s">
        <v>22</v>
      </c>
      <c r="L2451" s="5" t="str">
        <f t="shared" si="759"/>
        <v>02450</v>
      </c>
      <c r="M2451" s="47" t="str">
        <f t="shared" si="760"/>
        <v>23 de octubre de 2019</v>
      </c>
      <c r="N2451" s="323">
        <f t="shared" si="761"/>
        <v>23</v>
      </c>
      <c r="O2451" s="25">
        <f t="shared" si="762"/>
        <v>43739</v>
      </c>
      <c r="P2451" s="5" t="str">
        <f t="shared" si="763"/>
        <v>27.200,00</v>
      </c>
      <c r="Q2451" s="4" t="e">
        <f t="shared" ca="1" si="767"/>
        <v>#NAME?</v>
      </c>
    </row>
    <row r="2452" spans="1:17" ht="15.75" thickBot="1">
      <c r="A2452" s="1">
        <f t="shared" si="766"/>
        <v>2451</v>
      </c>
      <c r="C2452" s="8" t="s">
        <v>17</v>
      </c>
      <c r="D2452" s="2">
        <v>43761</v>
      </c>
      <c r="E2452" s="3">
        <v>47000</v>
      </c>
      <c r="F2452" t="s">
        <v>122</v>
      </c>
      <c r="G2452" t="s">
        <v>123</v>
      </c>
      <c r="H2452" t="s">
        <v>124</v>
      </c>
      <c r="I2452" s="6" t="s">
        <v>1060</v>
      </c>
      <c r="J2452" s="61" t="s">
        <v>22</v>
      </c>
      <c r="L2452" s="5" t="str">
        <f t="shared" si="759"/>
        <v>02451</v>
      </c>
      <c r="M2452" s="47" t="str">
        <f t="shared" si="760"/>
        <v>23 de octubre de 2019</v>
      </c>
      <c r="N2452" s="323">
        <f t="shared" si="761"/>
        <v>23</v>
      </c>
      <c r="O2452" s="25">
        <f t="shared" si="762"/>
        <v>43739</v>
      </c>
      <c r="P2452" s="5" t="str">
        <f t="shared" si="763"/>
        <v>47.000,00</v>
      </c>
      <c r="Q2452" s="4" t="e">
        <f t="shared" ca="1" si="767"/>
        <v>#NAME?</v>
      </c>
    </row>
    <row r="2453" spans="1:17" ht="15.75" thickBot="1">
      <c r="A2453" s="1">
        <f t="shared" si="766"/>
        <v>2452</v>
      </c>
      <c r="C2453" s="85" t="s">
        <v>17</v>
      </c>
      <c r="D2453" s="2">
        <v>43761</v>
      </c>
      <c r="E2453" s="3">
        <v>47000</v>
      </c>
      <c r="F2453" t="s">
        <v>40</v>
      </c>
      <c r="G2453" s="18" t="s">
        <v>58</v>
      </c>
      <c r="H2453" t="s">
        <v>42</v>
      </c>
      <c r="I2453" s="6" t="s">
        <v>1060</v>
      </c>
      <c r="J2453" s="61" t="s">
        <v>22</v>
      </c>
      <c r="L2453" s="5" t="str">
        <f t="shared" si="759"/>
        <v>02452</v>
      </c>
      <c r="M2453" s="47" t="str">
        <f t="shared" si="760"/>
        <v>23 de octubre de 2019</v>
      </c>
      <c r="N2453" s="323">
        <f t="shared" si="761"/>
        <v>23</v>
      </c>
      <c r="O2453" s="25">
        <f t="shared" si="762"/>
        <v>43739</v>
      </c>
      <c r="P2453" s="5" t="str">
        <f t="shared" si="763"/>
        <v>47.000,00</v>
      </c>
      <c r="Q2453" s="4" t="e">
        <f t="shared" ca="1" si="767"/>
        <v>#NAME?</v>
      </c>
    </row>
    <row r="2454" spans="1:17">
      <c r="A2454" s="1">
        <f t="shared" si="766"/>
        <v>2453</v>
      </c>
      <c r="C2454" s="8" t="s">
        <v>17</v>
      </c>
      <c r="D2454" s="2">
        <v>43762</v>
      </c>
      <c r="E2454" s="3">
        <v>17000</v>
      </c>
      <c r="F2454" t="s">
        <v>80</v>
      </c>
      <c r="G2454" t="s">
        <v>81</v>
      </c>
      <c r="H2454" t="s">
        <v>82</v>
      </c>
      <c r="I2454" s="6" t="s">
        <v>1065</v>
      </c>
      <c r="J2454" s="61" t="s">
        <v>22</v>
      </c>
      <c r="L2454" s="5" t="str">
        <f t="shared" si="759"/>
        <v>02453</v>
      </c>
      <c r="M2454" s="47" t="str">
        <f t="shared" si="760"/>
        <v>24 de octubre de 2019</v>
      </c>
      <c r="N2454" s="323">
        <f t="shared" si="761"/>
        <v>24</v>
      </c>
      <c r="O2454" s="25">
        <f t="shared" si="762"/>
        <v>43739</v>
      </c>
      <c r="P2454" s="5" t="str">
        <f t="shared" si="763"/>
        <v>17.000,00</v>
      </c>
      <c r="Q2454" s="4" t="e">
        <f t="shared" ca="1" si="767"/>
        <v>#NAME?</v>
      </c>
    </row>
    <row r="2455" spans="1:17">
      <c r="A2455" s="1">
        <f t="shared" si="766"/>
        <v>2454</v>
      </c>
      <c r="C2455" s="8" t="s">
        <v>17</v>
      </c>
      <c r="D2455" s="2">
        <v>43762</v>
      </c>
      <c r="E2455" s="3">
        <v>27000</v>
      </c>
      <c r="F2455" t="s">
        <v>337</v>
      </c>
      <c r="G2455" t="s">
        <v>338</v>
      </c>
      <c r="H2455" t="s">
        <v>339</v>
      </c>
      <c r="I2455" s="6" t="s">
        <v>1065</v>
      </c>
      <c r="J2455" s="61" t="s">
        <v>22</v>
      </c>
      <c r="L2455" s="5" t="str">
        <f t="shared" si="759"/>
        <v>02454</v>
      </c>
      <c r="M2455" s="47" t="str">
        <f t="shared" si="760"/>
        <v>24 de octubre de 2019</v>
      </c>
      <c r="N2455" s="323">
        <f t="shared" si="761"/>
        <v>24</v>
      </c>
      <c r="O2455" s="25">
        <f t="shared" si="762"/>
        <v>43739</v>
      </c>
      <c r="P2455" s="5" t="str">
        <f t="shared" si="763"/>
        <v>27.000,00</v>
      </c>
      <c r="Q2455" s="4" t="e">
        <f t="shared" ca="1" si="767"/>
        <v>#NAME?</v>
      </c>
    </row>
    <row r="2456" spans="1:17">
      <c r="A2456" s="1">
        <f t="shared" si="766"/>
        <v>2455</v>
      </c>
      <c r="C2456" s="8" t="s">
        <v>17</v>
      </c>
      <c r="D2456" s="2">
        <v>43762</v>
      </c>
      <c r="E2456" s="3">
        <v>48000</v>
      </c>
      <c r="F2456" t="s">
        <v>162</v>
      </c>
      <c r="G2456" t="s">
        <v>163</v>
      </c>
      <c r="H2456" t="s">
        <v>164</v>
      </c>
      <c r="I2456" s="6" t="s">
        <v>1060</v>
      </c>
      <c r="J2456" s="61" t="s">
        <v>22</v>
      </c>
      <c r="L2456" s="5" t="str">
        <f t="shared" si="759"/>
        <v>02455</v>
      </c>
      <c r="M2456" s="47" t="str">
        <f t="shared" si="760"/>
        <v>24 de octubre de 2019</v>
      </c>
      <c r="N2456" s="323">
        <f t="shared" si="761"/>
        <v>24</v>
      </c>
      <c r="O2456" s="25">
        <f t="shared" si="762"/>
        <v>43739</v>
      </c>
      <c r="P2456" s="5" t="str">
        <f>TEXT(E2456,"#.##0,00")</f>
        <v>48.000,00</v>
      </c>
      <c r="Q2456" s="4" t="e">
        <f ca="1">CONVERTIRNUM(E2456)</f>
        <v>#NAME?</v>
      </c>
    </row>
    <row r="2457" spans="1:17">
      <c r="A2457" s="1">
        <f t="shared" si="766"/>
        <v>2456</v>
      </c>
      <c r="C2457" s="8" t="s">
        <v>17</v>
      </c>
      <c r="D2457" s="2">
        <v>43762</v>
      </c>
      <c r="E2457" s="3">
        <v>25900</v>
      </c>
      <c r="F2457" t="s">
        <v>947</v>
      </c>
      <c r="G2457" t="s">
        <v>948</v>
      </c>
      <c r="H2457" t="s">
        <v>949</v>
      </c>
      <c r="I2457" s="6" t="s">
        <v>1065</v>
      </c>
      <c r="J2457" s="61" t="s">
        <v>22</v>
      </c>
      <c r="L2457" s="5" t="str">
        <f t="shared" si="759"/>
        <v>02456</v>
      </c>
      <c r="M2457" s="47" t="str">
        <f t="shared" si="760"/>
        <v>24 de octubre de 2019</v>
      </c>
      <c r="N2457" s="323">
        <f t="shared" si="761"/>
        <v>24</v>
      </c>
      <c r="O2457" s="25">
        <f t="shared" si="762"/>
        <v>43739</v>
      </c>
      <c r="P2457" s="5" t="str">
        <f t="shared" ref="P2457:P2481" si="768">TEXT(E2457,"#.##0,00")</f>
        <v>25.900,00</v>
      </c>
      <c r="Q2457" s="4" t="e">
        <f t="shared" ref="Q2457:Q2469" ca="1" si="769">CONVERTIRNUM(E2457)</f>
        <v>#NAME?</v>
      </c>
    </row>
    <row r="2458" spans="1:17">
      <c r="A2458" s="1">
        <f t="shared" si="766"/>
        <v>2457</v>
      </c>
      <c r="C2458" s="8" t="s">
        <v>17</v>
      </c>
      <c r="D2458" s="2">
        <v>43763</v>
      </c>
      <c r="E2458" s="3">
        <v>27200</v>
      </c>
      <c r="F2458" t="s">
        <v>342</v>
      </c>
      <c r="G2458" t="s">
        <v>1036</v>
      </c>
      <c r="H2458" t="s">
        <v>344</v>
      </c>
      <c r="I2458" s="6" t="s">
        <v>1065</v>
      </c>
      <c r="J2458" s="61" t="s">
        <v>22</v>
      </c>
      <c r="L2458" s="5" t="str">
        <f t="shared" si="759"/>
        <v>02457</v>
      </c>
      <c r="M2458" s="47" t="str">
        <f t="shared" si="760"/>
        <v>25 de octubre de 2019</v>
      </c>
      <c r="N2458" s="323">
        <f t="shared" si="761"/>
        <v>25</v>
      </c>
      <c r="O2458" s="25">
        <f t="shared" si="762"/>
        <v>43739</v>
      </c>
      <c r="P2458" s="5" t="str">
        <f t="shared" si="768"/>
        <v>27.200,00</v>
      </c>
      <c r="Q2458" s="4" t="e">
        <f t="shared" ca="1" si="769"/>
        <v>#NAME?</v>
      </c>
    </row>
    <row r="2459" spans="1:17">
      <c r="A2459" s="1">
        <f t="shared" si="766"/>
        <v>2458</v>
      </c>
      <c r="C2459" s="8" t="s">
        <v>17</v>
      </c>
      <c r="D2459" s="2">
        <v>43763</v>
      </c>
      <c r="E2459" s="3">
        <v>47000</v>
      </c>
      <c r="F2459" t="s">
        <v>412</v>
      </c>
      <c r="G2459" t="s">
        <v>413</v>
      </c>
      <c r="H2459" t="s">
        <v>414</v>
      </c>
      <c r="I2459" s="6" t="s">
        <v>1060</v>
      </c>
      <c r="J2459" s="61" t="s">
        <v>22</v>
      </c>
      <c r="L2459" s="5" t="str">
        <f t="shared" si="759"/>
        <v>02458</v>
      </c>
      <c r="M2459" s="47" t="str">
        <f t="shared" si="760"/>
        <v>25 de octubre de 2019</v>
      </c>
      <c r="N2459" s="323">
        <f t="shared" si="761"/>
        <v>25</v>
      </c>
      <c r="O2459" s="25">
        <f t="shared" si="762"/>
        <v>43739</v>
      </c>
      <c r="P2459" s="5" t="str">
        <f t="shared" si="768"/>
        <v>47.000,00</v>
      </c>
      <c r="Q2459" s="4" t="e">
        <f t="shared" ca="1" si="769"/>
        <v>#NAME?</v>
      </c>
    </row>
    <row r="2460" spans="1:17">
      <c r="A2460" s="1">
        <f t="shared" si="766"/>
        <v>2459</v>
      </c>
      <c r="C2460" s="8" t="s">
        <v>17</v>
      </c>
      <c r="D2460" s="2">
        <v>43763</v>
      </c>
      <c r="E2460" s="3">
        <v>47000</v>
      </c>
      <c r="F2460" t="s">
        <v>454</v>
      </c>
      <c r="G2460" t="s">
        <v>761</v>
      </c>
      <c r="H2460" t="s">
        <v>455</v>
      </c>
      <c r="I2460" s="6" t="s">
        <v>1060</v>
      </c>
      <c r="J2460" s="61" t="s">
        <v>22</v>
      </c>
      <c r="L2460" s="5" t="str">
        <f t="shared" si="759"/>
        <v>02459</v>
      </c>
      <c r="M2460" s="47" t="str">
        <f t="shared" si="760"/>
        <v>25 de octubre de 2019</v>
      </c>
      <c r="N2460" s="323">
        <f t="shared" si="761"/>
        <v>25</v>
      </c>
      <c r="O2460" s="25">
        <f t="shared" si="762"/>
        <v>43739</v>
      </c>
      <c r="P2460" s="5" t="str">
        <f t="shared" si="768"/>
        <v>47.000,00</v>
      </c>
      <c r="Q2460" s="4" t="e">
        <f t="shared" ca="1" si="769"/>
        <v>#NAME?</v>
      </c>
    </row>
    <row r="2461" spans="1:17">
      <c r="A2461" s="1">
        <f t="shared" si="766"/>
        <v>2460</v>
      </c>
      <c r="C2461" s="8" t="s">
        <v>17</v>
      </c>
      <c r="D2461" s="2">
        <v>43764</v>
      </c>
      <c r="E2461" s="3">
        <v>20000</v>
      </c>
      <c r="F2461" t="s">
        <v>433</v>
      </c>
      <c r="G2461" t="s">
        <v>434</v>
      </c>
      <c r="H2461" t="s">
        <v>435</v>
      </c>
      <c r="I2461" s="6" t="s">
        <v>1061</v>
      </c>
      <c r="J2461" s="61" t="s">
        <v>22</v>
      </c>
      <c r="L2461" s="5" t="str">
        <f t="shared" si="759"/>
        <v>02460</v>
      </c>
      <c r="M2461" s="47" t="str">
        <f t="shared" si="760"/>
        <v>26 de octubre de 2019</v>
      </c>
      <c r="N2461" s="323">
        <f t="shared" si="761"/>
        <v>26</v>
      </c>
      <c r="O2461" s="25">
        <f t="shared" si="762"/>
        <v>43739</v>
      </c>
      <c r="P2461" s="5" t="str">
        <f t="shared" si="768"/>
        <v>20.000,00</v>
      </c>
      <c r="Q2461" s="4" t="e">
        <f t="shared" ca="1" si="769"/>
        <v>#NAME?</v>
      </c>
    </row>
    <row r="2462" spans="1:17">
      <c r="A2462" s="1">
        <f t="shared" si="766"/>
        <v>2461</v>
      </c>
      <c r="C2462" s="8" t="s">
        <v>17</v>
      </c>
      <c r="D2462" s="2">
        <v>43765</v>
      </c>
      <c r="E2462" s="3">
        <v>69000</v>
      </c>
      <c r="F2462" t="s">
        <v>44</v>
      </c>
      <c r="G2462" t="s">
        <v>45</v>
      </c>
      <c r="H2462" t="s">
        <v>46</v>
      </c>
      <c r="I2462" s="6" t="s">
        <v>1077</v>
      </c>
      <c r="J2462" s="61" t="s">
        <v>22</v>
      </c>
      <c r="L2462" s="5" t="str">
        <f>IF(ISBLANK(A2462),"",TEXT(A2462,"00000"))</f>
        <v>02461</v>
      </c>
      <c r="M2462" s="47" t="str">
        <f>IF(ISBLANK(D2462),"",TEXT(D2462,"dd")&amp;" de "&amp;TEXT(D2462,"mmmm")&amp;" de "&amp;TEXT(YEAR(D2462),"0"))</f>
        <v>27 de octubre de 2019</v>
      </c>
      <c r="N2462" s="323">
        <f t="shared" si="761"/>
        <v>27</v>
      </c>
      <c r="O2462" s="25">
        <f>DATE(YEAR(D2462),MONTH(D2462),1)</f>
        <v>43739</v>
      </c>
      <c r="P2462" s="5" t="str">
        <f t="shared" si="768"/>
        <v>69.000,00</v>
      </c>
      <c r="Q2462" s="4" t="e">
        <f t="shared" ca="1" si="769"/>
        <v>#NAME?</v>
      </c>
    </row>
    <row r="2463" spans="1:17">
      <c r="A2463" s="1">
        <f t="shared" si="766"/>
        <v>2462</v>
      </c>
      <c r="C2463" s="8" t="s">
        <v>17</v>
      </c>
      <c r="D2463" s="2">
        <v>43765</v>
      </c>
      <c r="E2463" s="3">
        <v>42500</v>
      </c>
      <c r="F2463" t="s">
        <v>594</v>
      </c>
      <c r="G2463" t="s">
        <v>1051</v>
      </c>
      <c r="H2463" t="s">
        <v>596</v>
      </c>
      <c r="I2463" s="6" t="s">
        <v>1065</v>
      </c>
      <c r="J2463" s="61" t="s">
        <v>22</v>
      </c>
      <c r="L2463" s="5" t="str">
        <f t="shared" ref="L2463:L2473" si="770">IF(ISBLANK(A2463),"",TEXT(A2463,"00000"))</f>
        <v>02462</v>
      </c>
      <c r="M2463" s="47" t="str">
        <f t="shared" ref="M2463:M2473" si="771">IF(ISBLANK(D2463),"",TEXT(D2463,"dd")&amp;" de "&amp;TEXT(D2463,"mmmm")&amp;" de "&amp;TEXT(YEAR(D2463),"0"))</f>
        <v>27 de octubre de 2019</v>
      </c>
      <c r="N2463" s="323">
        <f t="shared" si="761"/>
        <v>27</v>
      </c>
      <c r="O2463" s="25">
        <f t="shared" ref="O2463:O2473" si="772">DATE(YEAR(D2463),MONTH(D2463),1)</f>
        <v>43739</v>
      </c>
      <c r="P2463" s="5" t="str">
        <f t="shared" si="768"/>
        <v>42.500,00</v>
      </c>
      <c r="Q2463" s="4" t="e">
        <f t="shared" ca="1" si="769"/>
        <v>#NAME?</v>
      </c>
    </row>
    <row r="2464" spans="1:17">
      <c r="A2464" s="1">
        <f t="shared" si="766"/>
        <v>2463</v>
      </c>
      <c r="C2464" s="8" t="s">
        <v>17</v>
      </c>
      <c r="D2464" s="2">
        <v>43766</v>
      </c>
      <c r="E2464" s="3">
        <v>52000</v>
      </c>
      <c r="F2464" t="s">
        <v>185</v>
      </c>
      <c r="G2464" t="s">
        <v>186</v>
      </c>
      <c r="H2464" t="s">
        <v>187</v>
      </c>
      <c r="I2464" s="6" t="s">
        <v>1060</v>
      </c>
      <c r="J2464" s="61" t="s">
        <v>22</v>
      </c>
      <c r="L2464" s="5" t="str">
        <f t="shared" si="770"/>
        <v>02463</v>
      </c>
      <c r="M2464" s="47" t="str">
        <f t="shared" si="771"/>
        <v>28 de octubre de 2019</v>
      </c>
      <c r="N2464" s="323">
        <f t="shared" si="761"/>
        <v>28</v>
      </c>
      <c r="O2464" s="25">
        <f t="shared" si="772"/>
        <v>43739</v>
      </c>
      <c r="P2464" s="5" t="str">
        <f t="shared" si="768"/>
        <v>52.000,00</v>
      </c>
      <c r="Q2464" s="4" t="e">
        <f t="shared" ca="1" si="769"/>
        <v>#NAME?</v>
      </c>
    </row>
    <row r="2465" spans="1:17">
      <c r="A2465" s="1">
        <f t="shared" si="766"/>
        <v>2464</v>
      </c>
      <c r="C2465" s="8" t="s">
        <v>17</v>
      </c>
      <c r="D2465" s="2">
        <v>43766</v>
      </c>
      <c r="E2465" s="3">
        <v>31450</v>
      </c>
      <c r="F2465" t="s">
        <v>935</v>
      </c>
      <c r="G2465" t="s">
        <v>936</v>
      </c>
      <c r="H2465" t="s">
        <v>150</v>
      </c>
      <c r="I2465" s="6" t="s">
        <v>1065</v>
      </c>
      <c r="J2465" s="61" t="s">
        <v>22</v>
      </c>
      <c r="L2465" s="5" t="str">
        <f t="shared" si="770"/>
        <v>02464</v>
      </c>
      <c r="M2465" s="47" t="str">
        <f t="shared" si="771"/>
        <v>28 de octubre de 2019</v>
      </c>
      <c r="N2465" s="323">
        <f t="shared" si="761"/>
        <v>28</v>
      </c>
      <c r="O2465" s="25">
        <f t="shared" si="772"/>
        <v>43739</v>
      </c>
      <c r="P2465" s="5" t="str">
        <f t="shared" si="768"/>
        <v>31.450,00</v>
      </c>
      <c r="Q2465" s="4" t="e">
        <f t="shared" ca="1" si="769"/>
        <v>#NAME?</v>
      </c>
    </row>
    <row r="2466" spans="1:17">
      <c r="A2466" s="1">
        <f t="shared" si="766"/>
        <v>2465</v>
      </c>
      <c r="C2466" s="8" t="s">
        <v>17</v>
      </c>
      <c r="D2466" s="2">
        <v>43761</v>
      </c>
      <c r="E2466" s="3">
        <v>25900</v>
      </c>
      <c r="F2466" t="s">
        <v>134</v>
      </c>
      <c r="G2466" t="s">
        <v>135</v>
      </c>
      <c r="H2466" t="s">
        <v>136</v>
      </c>
      <c r="I2466" s="6" t="s">
        <v>1065</v>
      </c>
      <c r="J2466" s="61" t="s">
        <v>22</v>
      </c>
      <c r="L2466" s="5" t="str">
        <f t="shared" si="770"/>
        <v>02465</v>
      </c>
      <c r="M2466" s="47" t="str">
        <f t="shared" si="771"/>
        <v>23 de octubre de 2019</v>
      </c>
      <c r="N2466" s="323">
        <f t="shared" si="761"/>
        <v>23</v>
      </c>
      <c r="O2466" s="25">
        <f t="shared" si="772"/>
        <v>43739</v>
      </c>
      <c r="P2466" s="5" t="str">
        <f t="shared" si="768"/>
        <v>25.900,00</v>
      </c>
      <c r="Q2466" s="4" t="e">
        <f t="shared" ca="1" si="769"/>
        <v>#NAME?</v>
      </c>
    </row>
    <row r="2467" spans="1:17">
      <c r="A2467" s="1">
        <f t="shared" si="766"/>
        <v>2466</v>
      </c>
      <c r="C2467" s="8" t="s">
        <v>17</v>
      </c>
      <c r="D2467" s="2">
        <v>43766</v>
      </c>
      <c r="E2467" s="3">
        <v>29250</v>
      </c>
      <c r="F2467" t="s">
        <v>612</v>
      </c>
      <c r="G2467" t="s">
        <v>613</v>
      </c>
      <c r="H2467" t="s">
        <v>614</v>
      </c>
      <c r="I2467" s="6" t="s">
        <v>1065</v>
      </c>
      <c r="J2467" s="61" t="s">
        <v>22</v>
      </c>
      <c r="L2467" s="5" t="str">
        <f t="shared" si="770"/>
        <v>02466</v>
      </c>
      <c r="M2467" s="47" t="str">
        <f t="shared" si="771"/>
        <v>28 de octubre de 2019</v>
      </c>
      <c r="N2467" s="323">
        <f t="shared" si="761"/>
        <v>28</v>
      </c>
      <c r="O2467" s="25">
        <f t="shared" si="772"/>
        <v>43739</v>
      </c>
      <c r="P2467" s="5" t="str">
        <f t="shared" si="768"/>
        <v>29.250,00</v>
      </c>
      <c r="Q2467" s="4" t="e">
        <f t="shared" ca="1" si="769"/>
        <v>#NAME?</v>
      </c>
    </row>
    <row r="2468" spans="1:17">
      <c r="A2468" s="1">
        <f t="shared" si="766"/>
        <v>2467</v>
      </c>
      <c r="C2468" s="8" t="s">
        <v>17</v>
      </c>
      <c r="D2468" s="2">
        <v>43766</v>
      </c>
      <c r="E2468" s="3">
        <v>51250</v>
      </c>
      <c r="F2468" t="s">
        <v>197</v>
      </c>
      <c r="G2468" t="s">
        <v>198</v>
      </c>
      <c r="H2468" t="s">
        <v>199</v>
      </c>
      <c r="I2468" s="6" t="s">
        <v>1060</v>
      </c>
      <c r="J2468" s="61" t="s">
        <v>22</v>
      </c>
      <c r="L2468" s="5" t="str">
        <f t="shared" si="770"/>
        <v>02467</v>
      </c>
      <c r="M2468" s="47" t="str">
        <f t="shared" si="771"/>
        <v>28 de octubre de 2019</v>
      </c>
      <c r="N2468" s="323">
        <f t="shared" si="761"/>
        <v>28</v>
      </c>
      <c r="O2468" s="25">
        <f t="shared" si="772"/>
        <v>43739</v>
      </c>
      <c r="P2468" s="5" t="str">
        <f t="shared" si="768"/>
        <v>51.250,00</v>
      </c>
      <c r="Q2468" s="4" t="e">
        <f t="shared" ca="1" si="769"/>
        <v>#NAME?</v>
      </c>
    </row>
    <row r="2469" spans="1:17">
      <c r="A2469" s="1">
        <f t="shared" si="766"/>
        <v>2468</v>
      </c>
      <c r="C2469" s="8" t="s">
        <v>17</v>
      </c>
      <c r="D2469" s="2">
        <v>43767</v>
      </c>
      <c r="E2469" s="3">
        <v>30150</v>
      </c>
      <c r="F2469" t="s">
        <v>248</v>
      </c>
      <c r="G2469" t="s">
        <v>249</v>
      </c>
      <c r="H2469" t="s">
        <v>250</v>
      </c>
      <c r="I2469" s="6" t="s">
        <v>1065</v>
      </c>
      <c r="J2469" s="61" t="s">
        <v>22</v>
      </c>
      <c r="L2469" s="5" t="str">
        <f t="shared" si="770"/>
        <v>02468</v>
      </c>
      <c r="M2469" s="47" t="str">
        <f t="shared" si="771"/>
        <v>29 de octubre de 2019</v>
      </c>
      <c r="N2469" s="323">
        <f t="shared" si="761"/>
        <v>29</v>
      </c>
      <c r="O2469" s="25">
        <f t="shared" si="772"/>
        <v>43739</v>
      </c>
      <c r="P2469" s="5" t="str">
        <f t="shared" si="768"/>
        <v>30.150,00</v>
      </c>
      <c r="Q2469" s="4" t="e">
        <f t="shared" ca="1" si="769"/>
        <v>#NAME?</v>
      </c>
    </row>
    <row r="2470" spans="1:17" ht="15.75" thickBot="1">
      <c r="A2470" s="1">
        <f t="shared" si="766"/>
        <v>2469</v>
      </c>
      <c r="C2470" s="8" t="s">
        <v>17</v>
      </c>
      <c r="D2470" s="2">
        <v>43767</v>
      </c>
      <c r="E2470" s="3">
        <v>81400</v>
      </c>
      <c r="F2470" t="s">
        <v>407</v>
      </c>
      <c r="G2470" t="s">
        <v>408</v>
      </c>
      <c r="H2470" t="s">
        <v>409</v>
      </c>
      <c r="I2470" s="6" t="s">
        <v>1078</v>
      </c>
      <c r="J2470" s="61" t="s">
        <v>22</v>
      </c>
      <c r="L2470" s="5" t="str">
        <f t="shared" si="770"/>
        <v>02469</v>
      </c>
      <c r="M2470" s="47" t="str">
        <f t="shared" si="771"/>
        <v>29 de octubre de 2019</v>
      </c>
      <c r="N2470" s="323">
        <f t="shared" si="761"/>
        <v>29</v>
      </c>
      <c r="O2470" s="25">
        <f t="shared" si="772"/>
        <v>43739</v>
      </c>
      <c r="P2470" s="5" t="str">
        <f t="shared" si="768"/>
        <v>81.400,00</v>
      </c>
      <c r="Q2470" s="4" t="e">
        <f ca="1">CONVERTIRNUM(E2470)</f>
        <v>#NAME?</v>
      </c>
    </row>
    <row r="2471" spans="1:17" ht="15.75" thickBot="1">
      <c r="A2471" s="1">
        <f t="shared" si="766"/>
        <v>2470</v>
      </c>
      <c r="C2471" s="8" t="s">
        <v>17</v>
      </c>
      <c r="D2471" s="2">
        <v>43767</v>
      </c>
      <c r="E2471" s="3">
        <v>60000</v>
      </c>
      <c r="F2471" t="s">
        <v>90</v>
      </c>
      <c r="G2471" s="475" t="s">
        <v>978</v>
      </c>
      <c r="H2471" t="s">
        <v>92</v>
      </c>
      <c r="I2471" s="6" t="s">
        <v>1060</v>
      </c>
      <c r="J2471" s="61" t="s">
        <v>22</v>
      </c>
      <c r="L2471" s="5" t="str">
        <f t="shared" si="770"/>
        <v>02470</v>
      </c>
      <c r="M2471" s="47" t="str">
        <f t="shared" si="771"/>
        <v>29 de octubre de 2019</v>
      </c>
      <c r="N2471" s="323">
        <f t="shared" si="761"/>
        <v>29</v>
      </c>
      <c r="O2471" s="25">
        <f t="shared" si="772"/>
        <v>43739</v>
      </c>
      <c r="P2471" s="5" t="str">
        <f t="shared" si="768"/>
        <v>60.000,00</v>
      </c>
      <c r="Q2471" s="4" t="e">
        <f t="shared" ref="Q2471:Q2474" ca="1" si="773">CONVERTIRNUM(E2471)</f>
        <v>#NAME?</v>
      </c>
    </row>
    <row r="2472" spans="1:17">
      <c r="A2472" s="1">
        <f t="shared" si="766"/>
        <v>2471</v>
      </c>
      <c r="C2472" s="8" t="s">
        <v>17</v>
      </c>
      <c r="D2472" s="2">
        <v>43767</v>
      </c>
      <c r="E2472" s="3">
        <v>31500</v>
      </c>
      <c r="F2472" t="s">
        <v>998</v>
      </c>
      <c r="G2472" t="s">
        <v>999</v>
      </c>
      <c r="H2472" t="s">
        <v>1000</v>
      </c>
      <c r="I2472" s="6" t="s">
        <v>1065</v>
      </c>
      <c r="J2472" s="61" t="s">
        <v>22</v>
      </c>
      <c r="L2472" s="5" t="str">
        <f t="shared" si="770"/>
        <v>02471</v>
      </c>
      <c r="M2472" s="47" t="str">
        <f t="shared" si="771"/>
        <v>29 de octubre de 2019</v>
      </c>
      <c r="N2472" s="323">
        <f t="shared" si="761"/>
        <v>29</v>
      </c>
      <c r="O2472" s="25">
        <f t="shared" si="772"/>
        <v>43739</v>
      </c>
      <c r="P2472" s="5" t="str">
        <f t="shared" si="768"/>
        <v>31.500,00</v>
      </c>
      <c r="Q2472" s="4" t="e">
        <f t="shared" ca="1" si="773"/>
        <v>#NAME?</v>
      </c>
    </row>
    <row r="2473" spans="1:17">
      <c r="A2473" s="1">
        <f t="shared" si="766"/>
        <v>2472</v>
      </c>
      <c r="C2473" s="8" t="s">
        <v>17</v>
      </c>
      <c r="D2473" s="2">
        <v>43767</v>
      </c>
      <c r="E2473" s="3">
        <v>50000</v>
      </c>
      <c r="F2473" t="s">
        <v>291</v>
      </c>
      <c r="G2473" t="s">
        <v>292</v>
      </c>
      <c r="H2473" t="s">
        <v>293</v>
      </c>
      <c r="I2473" s="161" t="s">
        <v>1079</v>
      </c>
      <c r="J2473" s="61" t="s">
        <v>22</v>
      </c>
      <c r="L2473" s="5" t="str">
        <f t="shared" si="770"/>
        <v>02472</v>
      </c>
      <c r="M2473" s="47" t="str">
        <f t="shared" si="771"/>
        <v>29 de octubre de 2019</v>
      </c>
      <c r="N2473" s="323">
        <f t="shared" si="761"/>
        <v>29</v>
      </c>
      <c r="O2473" s="25">
        <f t="shared" si="772"/>
        <v>43739</v>
      </c>
      <c r="P2473" s="5" t="str">
        <f t="shared" si="768"/>
        <v>50.000,00</v>
      </c>
      <c r="Q2473" s="4" t="e">
        <f t="shared" ca="1" si="773"/>
        <v>#NAME?</v>
      </c>
    </row>
    <row r="2474" spans="1:17">
      <c r="A2474" s="1">
        <f t="shared" si="766"/>
        <v>2473</v>
      </c>
      <c r="C2474" s="8" t="s">
        <v>17</v>
      </c>
      <c r="D2474" s="2">
        <v>43767</v>
      </c>
      <c r="E2474" s="3">
        <v>51250</v>
      </c>
      <c r="F2474" t="s">
        <v>243</v>
      </c>
      <c r="G2474" t="s">
        <v>244</v>
      </c>
      <c r="H2474" t="s">
        <v>245</v>
      </c>
      <c r="I2474" s="6" t="s">
        <v>1060</v>
      </c>
      <c r="J2474" s="61" t="s">
        <v>22</v>
      </c>
      <c r="L2474" s="5" t="str">
        <f>IF(ISBLANK(A2474),"",TEXT(A2474,"00000"))</f>
        <v>02473</v>
      </c>
      <c r="M2474" s="47" t="str">
        <f>IF(ISBLANK(D2474),"",TEXT(D2474,"dd")&amp;" de "&amp;TEXT(D2474,"mmmm")&amp;" de "&amp;TEXT(YEAR(D2474),"0"))</f>
        <v>29 de octubre de 2019</v>
      </c>
      <c r="N2474" s="323">
        <f t="shared" si="761"/>
        <v>29</v>
      </c>
      <c r="O2474" s="25">
        <f>DATE(YEAR(D2474),MONTH(D2474),1)</f>
        <v>43739</v>
      </c>
      <c r="P2474" s="5" t="str">
        <f t="shared" si="768"/>
        <v>51.250,00</v>
      </c>
      <c r="Q2474" s="4" t="e">
        <f t="shared" ca="1" si="773"/>
        <v>#NAME?</v>
      </c>
    </row>
    <row r="2475" spans="1:17" ht="15.75" thickBot="1">
      <c r="A2475" s="1">
        <f t="shared" si="766"/>
        <v>2474</v>
      </c>
      <c r="C2475" s="8" t="s">
        <v>17</v>
      </c>
      <c r="D2475" s="2">
        <v>43767</v>
      </c>
      <c r="E2475" s="3">
        <v>51250</v>
      </c>
      <c r="F2475" t="s">
        <v>1015</v>
      </c>
      <c r="G2475" t="s">
        <v>1016</v>
      </c>
      <c r="H2475" t="s">
        <v>59</v>
      </c>
      <c r="I2475" s="6" t="s">
        <v>1060</v>
      </c>
      <c r="J2475" s="61" t="s">
        <v>22</v>
      </c>
      <c r="L2475" s="5" t="str">
        <f t="shared" ref="L2475:L2481" si="774">IF(ISBLANK(A2475),"",TEXT(A2475,"00000"))</f>
        <v>02474</v>
      </c>
      <c r="M2475" s="47" t="str">
        <f t="shared" ref="M2475:M2481" si="775">IF(ISBLANK(D2475),"",TEXT(D2475,"dd")&amp;" de "&amp;TEXT(D2475,"mmmm")&amp;" de "&amp;TEXT(YEAR(D2475),"0"))</f>
        <v>29 de octubre de 2019</v>
      </c>
      <c r="N2475" s="323">
        <f t="shared" si="761"/>
        <v>29</v>
      </c>
      <c r="O2475" s="25">
        <f t="shared" ref="O2475:O2481" si="776">DATE(YEAR(D2475),MONTH(D2475),1)</f>
        <v>43739</v>
      </c>
      <c r="P2475" s="5" t="str">
        <f t="shared" si="768"/>
        <v>51.250,00</v>
      </c>
      <c r="Q2475" s="4" t="e">
        <f ca="1">CONVERTIRNUM(E2475)</f>
        <v>#NAME?</v>
      </c>
    </row>
    <row r="2476" spans="1:17" ht="15.75" thickBot="1">
      <c r="A2476" s="1">
        <f t="shared" si="766"/>
        <v>2475</v>
      </c>
      <c r="B2476" s="8"/>
      <c r="C2476" s="85" t="s">
        <v>17</v>
      </c>
      <c r="D2476" s="2">
        <v>43761</v>
      </c>
      <c r="E2476" s="3">
        <v>38715</v>
      </c>
      <c r="F2476" s="23" t="s">
        <v>422</v>
      </c>
      <c r="G2476" s="18" t="s">
        <v>58</v>
      </c>
      <c r="H2476" t="s">
        <v>423</v>
      </c>
      <c r="I2476" s="6" t="s">
        <v>1065</v>
      </c>
      <c r="J2476" s="61" t="s">
        <v>22</v>
      </c>
      <c r="L2476" s="5" t="str">
        <f t="shared" si="774"/>
        <v>02475</v>
      </c>
      <c r="M2476" s="47" t="str">
        <f t="shared" si="775"/>
        <v>23 de octubre de 2019</v>
      </c>
      <c r="N2476" s="323">
        <f t="shared" si="761"/>
        <v>23</v>
      </c>
      <c r="O2476" s="25">
        <f t="shared" si="776"/>
        <v>43739</v>
      </c>
      <c r="P2476" s="5" t="str">
        <f t="shared" si="768"/>
        <v>38.715,00</v>
      </c>
      <c r="Q2476" s="4" t="e">
        <f t="shared" ref="Q2476:Q2481" ca="1" si="777">CONVERTIRNUM(E2476)</f>
        <v>#NAME?</v>
      </c>
    </row>
    <row r="2477" spans="1:17">
      <c r="A2477" s="1">
        <f t="shared" si="766"/>
        <v>2476</v>
      </c>
      <c r="B2477" s="8"/>
      <c r="C2477" s="8" t="s">
        <v>17</v>
      </c>
      <c r="D2477" s="2">
        <v>43766</v>
      </c>
      <c r="E2477" s="3">
        <v>31450</v>
      </c>
      <c r="F2477" t="s">
        <v>296</v>
      </c>
      <c r="G2477" t="s">
        <v>297</v>
      </c>
      <c r="H2477" t="s">
        <v>298</v>
      </c>
      <c r="I2477" s="6" t="s">
        <v>1065</v>
      </c>
      <c r="J2477" s="61" t="s">
        <v>22</v>
      </c>
      <c r="L2477" s="5" t="str">
        <f t="shared" si="774"/>
        <v>02476</v>
      </c>
      <c r="M2477" s="47" t="str">
        <f t="shared" si="775"/>
        <v>28 de octubre de 2019</v>
      </c>
      <c r="N2477" s="323">
        <f t="shared" si="761"/>
        <v>28</v>
      </c>
      <c r="O2477" s="25">
        <f t="shared" si="776"/>
        <v>43739</v>
      </c>
      <c r="P2477" s="5" t="str">
        <f t="shared" si="768"/>
        <v>31.450,00</v>
      </c>
      <c r="Q2477" s="4" t="e">
        <f t="shared" ca="1" si="777"/>
        <v>#NAME?</v>
      </c>
    </row>
    <row r="2478" spans="1:17">
      <c r="A2478" s="1">
        <f t="shared" si="766"/>
        <v>2477</v>
      </c>
      <c r="B2478" s="8"/>
      <c r="C2478" s="8" t="s">
        <v>17</v>
      </c>
      <c r="D2478" s="51">
        <v>43765</v>
      </c>
      <c r="E2478" s="3">
        <v>31000</v>
      </c>
      <c r="F2478" t="s">
        <v>181</v>
      </c>
      <c r="G2478" t="s">
        <v>182</v>
      </c>
      <c r="H2478" t="s">
        <v>183</v>
      </c>
      <c r="I2478" s="6" t="s">
        <v>1080</v>
      </c>
      <c r="J2478" s="61" t="s">
        <v>22</v>
      </c>
      <c r="L2478" s="5" t="str">
        <f t="shared" si="774"/>
        <v>02477</v>
      </c>
      <c r="M2478" s="47" t="str">
        <f t="shared" si="775"/>
        <v>27 de octubre de 2019</v>
      </c>
      <c r="N2478" s="323">
        <f t="shared" si="761"/>
        <v>27</v>
      </c>
      <c r="O2478" s="25">
        <f t="shared" si="776"/>
        <v>43739</v>
      </c>
      <c r="P2478" s="5" t="str">
        <f t="shared" si="768"/>
        <v>31.000,00</v>
      </c>
      <c r="Q2478" s="4" t="e">
        <f t="shared" ca="1" si="777"/>
        <v>#NAME?</v>
      </c>
    </row>
    <row r="2479" spans="1:17">
      <c r="A2479" s="1">
        <f t="shared" si="766"/>
        <v>2478</v>
      </c>
      <c r="B2479" s="8"/>
      <c r="C2479" s="8" t="s">
        <v>17</v>
      </c>
      <c r="D2479" s="2">
        <v>43768</v>
      </c>
      <c r="E2479" s="3">
        <v>47000</v>
      </c>
      <c r="F2479" t="s">
        <v>181</v>
      </c>
      <c r="G2479" t="s">
        <v>182</v>
      </c>
      <c r="H2479" t="s">
        <v>183</v>
      </c>
      <c r="I2479" s="6" t="s">
        <v>1081</v>
      </c>
      <c r="J2479" s="61" t="s">
        <v>22</v>
      </c>
      <c r="L2479" s="5" t="str">
        <f t="shared" si="774"/>
        <v>02478</v>
      </c>
      <c r="M2479" s="47" t="str">
        <f t="shared" si="775"/>
        <v>30 de octubre de 2019</v>
      </c>
      <c r="N2479" s="323">
        <f t="shared" si="761"/>
        <v>30</v>
      </c>
      <c r="O2479" s="25">
        <f t="shared" si="776"/>
        <v>43739</v>
      </c>
      <c r="P2479" s="5" t="str">
        <f t="shared" si="768"/>
        <v>47.000,00</v>
      </c>
      <c r="Q2479" s="4" t="e">
        <f t="shared" ca="1" si="777"/>
        <v>#NAME?</v>
      </c>
    </row>
    <row r="2480" spans="1:17" ht="15.75" thickBot="1">
      <c r="A2480" s="1">
        <f t="shared" si="766"/>
        <v>2479</v>
      </c>
      <c r="B2480" s="8"/>
      <c r="C2480" s="8" t="s">
        <v>17</v>
      </c>
      <c r="D2480" s="2">
        <v>43768</v>
      </c>
      <c r="E2480" s="3">
        <v>51250</v>
      </c>
      <c r="F2480" t="s">
        <v>24</v>
      </c>
      <c r="G2480" t="s">
        <v>25</v>
      </c>
      <c r="H2480" t="s">
        <v>26</v>
      </c>
      <c r="I2480" s="6" t="s">
        <v>1082</v>
      </c>
      <c r="J2480" s="61" t="s">
        <v>22</v>
      </c>
      <c r="L2480" s="5" t="str">
        <f t="shared" si="774"/>
        <v>02479</v>
      </c>
      <c r="M2480" s="47" t="str">
        <f t="shared" si="775"/>
        <v>30 de octubre de 2019</v>
      </c>
      <c r="N2480" s="323">
        <f t="shared" ref="N2480:N2481" si="778">DAY(D2480)</f>
        <v>30</v>
      </c>
      <c r="O2480" s="25">
        <f t="shared" si="776"/>
        <v>43739</v>
      </c>
      <c r="P2480" s="5" t="str">
        <f t="shared" si="768"/>
        <v>51.250,00</v>
      </c>
      <c r="Q2480" s="4" t="e">
        <f t="shared" ca="1" si="777"/>
        <v>#NAME?</v>
      </c>
    </row>
    <row r="2481" spans="1:17" ht="15.75" thickBot="1">
      <c r="A2481" s="1">
        <f t="shared" si="766"/>
        <v>2480</v>
      </c>
      <c r="B2481" s="8"/>
      <c r="C2481" s="8" t="s">
        <v>17</v>
      </c>
      <c r="D2481" s="2">
        <v>43768</v>
      </c>
      <c r="E2481" s="3">
        <v>23000</v>
      </c>
      <c r="F2481" t="s">
        <v>252</v>
      </c>
      <c r="G2481" s="475" t="s">
        <v>958</v>
      </c>
      <c r="H2481" t="s">
        <v>254</v>
      </c>
      <c r="I2481" s="6" t="s">
        <v>1080</v>
      </c>
      <c r="J2481" s="61" t="s">
        <v>22</v>
      </c>
      <c r="L2481" s="5" t="str">
        <f t="shared" si="774"/>
        <v>02480</v>
      </c>
      <c r="M2481" s="47" t="str">
        <f t="shared" si="775"/>
        <v>30 de octubre de 2019</v>
      </c>
      <c r="N2481" s="323">
        <f t="shared" si="778"/>
        <v>30</v>
      </c>
      <c r="O2481" s="25">
        <f t="shared" si="776"/>
        <v>43739</v>
      </c>
      <c r="P2481" s="5" t="str">
        <f t="shared" si="768"/>
        <v>23.000,00</v>
      </c>
      <c r="Q2481" s="4" t="e">
        <f t="shared" ca="1" si="777"/>
        <v>#NAME?</v>
      </c>
    </row>
    <row r="2482" spans="1:17" ht="15.75" thickBot="1">
      <c r="A2482" s="1">
        <f t="shared" si="766"/>
        <v>2481</v>
      </c>
      <c r="B2482" s="8"/>
      <c r="C2482" s="8" t="s">
        <v>17</v>
      </c>
      <c r="D2482" s="2">
        <v>43768</v>
      </c>
      <c r="E2482" s="3">
        <v>7250</v>
      </c>
      <c r="F2482" t="s">
        <v>252</v>
      </c>
      <c r="G2482" s="475" t="s">
        <v>958</v>
      </c>
      <c r="H2482" t="s">
        <v>254</v>
      </c>
      <c r="I2482" s="6" t="s">
        <v>1080</v>
      </c>
      <c r="J2482" s="61" t="s">
        <v>22</v>
      </c>
      <c r="L2482" s="5" t="str">
        <f t="shared" ref="L2482:L2486" si="779">IF(ISBLANK(A2482),"",TEXT(A2482,"00000"))</f>
        <v>02481</v>
      </c>
      <c r="M2482" s="47" t="str">
        <f t="shared" ref="M2482:M2486" si="780">IF(ISBLANK(D2482),"",TEXT(D2482,"dd")&amp;" de "&amp;TEXT(D2482,"mmmm")&amp;" de "&amp;TEXT(YEAR(D2482),"0"))</f>
        <v>30 de octubre de 2019</v>
      </c>
      <c r="N2482" s="323">
        <f t="shared" ref="N2482:N2486" si="781">DAY(D2482)</f>
        <v>30</v>
      </c>
      <c r="O2482" s="25">
        <f t="shared" ref="O2482:O2486" si="782">DATE(YEAR(D2482),MONTH(D2482),1)</f>
        <v>43739</v>
      </c>
      <c r="P2482" s="5" t="str">
        <f t="shared" ref="P2482:P2486" si="783">TEXT(E2482,"#.##0,00")</f>
        <v>7.250,00</v>
      </c>
      <c r="Q2482" s="4" t="e">
        <f t="shared" ref="Q2482:Q2486" ca="1" si="784">CONVERTIRNUM(E2482)</f>
        <v>#NAME?</v>
      </c>
    </row>
    <row r="2483" spans="1:17">
      <c r="A2483" s="1">
        <f>A2482+1</f>
        <v>2482</v>
      </c>
      <c r="B2483" s="8"/>
      <c r="C2483" s="8" t="s">
        <v>17</v>
      </c>
      <c r="D2483" s="2">
        <v>43768</v>
      </c>
      <c r="E2483" s="3">
        <v>51250</v>
      </c>
      <c r="F2483" t="s">
        <v>36</v>
      </c>
      <c r="G2483" t="s">
        <v>37</v>
      </c>
      <c r="H2483" t="s">
        <v>38</v>
      </c>
      <c r="I2483" s="6" t="s">
        <v>1082</v>
      </c>
      <c r="J2483" s="61" t="s">
        <v>22</v>
      </c>
      <c r="L2483" s="5" t="str">
        <f t="shared" si="779"/>
        <v>02482</v>
      </c>
      <c r="M2483" s="47" t="str">
        <f t="shared" si="780"/>
        <v>30 de octubre de 2019</v>
      </c>
      <c r="N2483" s="323">
        <f t="shared" si="781"/>
        <v>30</v>
      </c>
      <c r="O2483" s="25">
        <f t="shared" si="782"/>
        <v>43739</v>
      </c>
      <c r="P2483" s="5" t="str">
        <f t="shared" si="783"/>
        <v>51.250,00</v>
      </c>
      <c r="Q2483" s="4" t="e">
        <f t="shared" ca="1" si="784"/>
        <v>#NAME?</v>
      </c>
    </row>
    <row r="2484" spans="1:17">
      <c r="A2484" s="1">
        <f t="shared" ref="A2484:A2516" si="785">A2483+1</f>
        <v>2483</v>
      </c>
      <c r="B2484" s="8"/>
      <c r="C2484" s="8" t="s">
        <v>17</v>
      </c>
      <c r="D2484" s="2">
        <v>43768</v>
      </c>
      <c r="E2484" s="3">
        <v>51250</v>
      </c>
      <c r="F2484" t="s">
        <v>118</v>
      </c>
      <c r="G2484" t="s">
        <v>119</v>
      </c>
      <c r="H2484" t="s">
        <v>120</v>
      </c>
      <c r="I2484" s="6" t="s">
        <v>1060</v>
      </c>
      <c r="J2484" s="61" t="s">
        <v>22</v>
      </c>
      <c r="L2484" s="5" t="str">
        <f t="shared" si="779"/>
        <v>02483</v>
      </c>
      <c r="M2484" s="47" t="str">
        <f t="shared" si="780"/>
        <v>30 de octubre de 2019</v>
      </c>
      <c r="N2484" s="323">
        <f t="shared" si="781"/>
        <v>30</v>
      </c>
      <c r="O2484" s="25">
        <f t="shared" si="782"/>
        <v>43739</v>
      </c>
      <c r="P2484" s="5" t="str">
        <f t="shared" si="783"/>
        <v>51.250,00</v>
      </c>
      <c r="Q2484" s="4" t="e">
        <f t="shared" ca="1" si="784"/>
        <v>#NAME?</v>
      </c>
    </row>
    <row r="2485" spans="1:17">
      <c r="A2485" s="1">
        <f t="shared" si="785"/>
        <v>2484</v>
      </c>
      <c r="B2485" s="8"/>
      <c r="C2485" s="8" t="s">
        <v>17</v>
      </c>
      <c r="D2485" s="2">
        <v>43768</v>
      </c>
      <c r="E2485" s="3">
        <v>51250</v>
      </c>
      <c r="F2485" t="s">
        <v>211</v>
      </c>
      <c r="G2485" t="s">
        <v>212</v>
      </c>
      <c r="H2485" t="s">
        <v>213</v>
      </c>
      <c r="I2485" s="6" t="s">
        <v>1060</v>
      </c>
      <c r="J2485" s="61" t="s">
        <v>22</v>
      </c>
      <c r="L2485" s="5" t="str">
        <f t="shared" si="779"/>
        <v>02484</v>
      </c>
      <c r="M2485" s="47" t="str">
        <f t="shared" si="780"/>
        <v>30 de octubre de 2019</v>
      </c>
      <c r="N2485" s="323">
        <f t="shared" si="781"/>
        <v>30</v>
      </c>
      <c r="O2485" s="25">
        <f t="shared" si="782"/>
        <v>43739</v>
      </c>
      <c r="P2485" s="5" t="str">
        <f t="shared" si="783"/>
        <v>51.250,00</v>
      </c>
      <c r="Q2485" s="4" t="e">
        <f t="shared" ca="1" si="784"/>
        <v>#NAME?</v>
      </c>
    </row>
    <row r="2486" spans="1:17">
      <c r="A2486" s="1">
        <f t="shared" si="785"/>
        <v>2485</v>
      </c>
      <c r="B2486" s="8"/>
      <c r="C2486" s="8" t="s">
        <v>17</v>
      </c>
      <c r="D2486" s="2">
        <v>43768</v>
      </c>
      <c r="E2486" s="3">
        <v>30150</v>
      </c>
      <c r="F2486" t="s">
        <v>84</v>
      </c>
      <c r="G2486" t="s">
        <v>85</v>
      </c>
      <c r="H2486" t="s">
        <v>86</v>
      </c>
      <c r="I2486" s="6" t="s">
        <v>1065</v>
      </c>
      <c r="J2486" s="61" t="s">
        <v>22</v>
      </c>
      <c r="L2486" s="5" t="str">
        <f t="shared" si="779"/>
        <v>02485</v>
      </c>
      <c r="M2486" s="47" t="str">
        <f t="shared" si="780"/>
        <v>30 de octubre de 2019</v>
      </c>
      <c r="N2486" s="323">
        <f t="shared" si="781"/>
        <v>30</v>
      </c>
      <c r="O2486" s="25">
        <f t="shared" si="782"/>
        <v>43739</v>
      </c>
      <c r="P2486" s="5" t="str">
        <f t="shared" si="783"/>
        <v>30.150,00</v>
      </c>
      <c r="Q2486" s="4" t="e">
        <f t="shared" ca="1" si="784"/>
        <v>#NAME?</v>
      </c>
    </row>
    <row r="2487" spans="1:17">
      <c r="A2487" s="1">
        <f t="shared" si="785"/>
        <v>2486</v>
      </c>
      <c r="B2487" s="8"/>
      <c r="C2487" s="8" t="s">
        <v>17</v>
      </c>
      <c r="D2487" s="2">
        <v>43768</v>
      </c>
      <c r="E2487" s="3">
        <v>51250</v>
      </c>
      <c r="F2487" t="s">
        <v>84</v>
      </c>
      <c r="G2487" t="s">
        <v>85</v>
      </c>
      <c r="H2487" t="s">
        <v>86</v>
      </c>
      <c r="I2487" s="6" t="s">
        <v>1082</v>
      </c>
      <c r="J2487" s="61" t="s">
        <v>22</v>
      </c>
      <c r="L2487" s="5" t="str">
        <f t="shared" ref="L2487:L2511" si="786">IF(ISBLANK(A2487),"",TEXT(A2487,"00000"))</f>
        <v>02486</v>
      </c>
      <c r="M2487" s="47" t="str">
        <f t="shared" ref="M2487:M2511" si="787">IF(ISBLANK(D2487),"",TEXT(D2487,"dd")&amp;" de "&amp;TEXT(D2487,"mmmm")&amp;" de "&amp;TEXT(YEAR(D2487),"0"))</f>
        <v>30 de octubre de 2019</v>
      </c>
      <c r="N2487" s="323">
        <f t="shared" ref="N2487:N2526" si="788">DAY(D2487)</f>
        <v>30</v>
      </c>
      <c r="O2487" s="25">
        <f t="shared" ref="O2487:O2511" si="789">DATE(YEAR(D2487),MONTH(D2487),1)</f>
        <v>43739</v>
      </c>
      <c r="P2487" s="5" t="str">
        <f t="shared" ref="P2487:P2526" si="790">TEXT(E2487,"#.##0,00")</f>
        <v>51.250,00</v>
      </c>
      <c r="Q2487" s="4" t="e">
        <f t="shared" ref="Q2487:Q2526" ca="1" si="791">CONVERTIRNUM(E2487)</f>
        <v>#NAME?</v>
      </c>
    </row>
    <row r="2488" spans="1:17">
      <c r="A2488" s="1">
        <f t="shared" si="785"/>
        <v>2487</v>
      </c>
      <c r="B2488" s="8"/>
      <c r="C2488" s="8" t="s">
        <v>17</v>
      </c>
      <c r="D2488" s="2">
        <v>43768</v>
      </c>
      <c r="E2488" s="3">
        <v>51250</v>
      </c>
      <c r="F2488" t="s">
        <v>843</v>
      </c>
      <c r="G2488" t="s">
        <v>844</v>
      </c>
      <c r="H2488" t="s">
        <v>169</v>
      </c>
      <c r="I2488" s="6" t="s">
        <v>1060</v>
      </c>
      <c r="J2488" s="61" t="s">
        <v>22</v>
      </c>
      <c r="L2488" s="5" t="str">
        <f t="shared" si="786"/>
        <v>02487</v>
      </c>
      <c r="M2488" s="47" t="str">
        <f t="shared" si="787"/>
        <v>30 de octubre de 2019</v>
      </c>
      <c r="N2488" s="323">
        <f t="shared" si="788"/>
        <v>30</v>
      </c>
      <c r="O2488" s="25">
        <f t="shared" si="789"/>
        <v>43739</v>
      </c>
      <c r="P2488" s="5" t="str">
        <f t="shared" si="790"/>
        <v>51.250,00</v>
      </c>
      <c r="Q2488" s="4" t="e">
        <f t="shared" ca="1" si="791"/>
        <v>#NAME?</v>
      </c>
    </row>
    <row r="2489" spans="1:17">
      <c r="A2489" s="1">
        <f t="shared" si="785"/>
        <v>2488</v>
      </c>
      <c r="B2489" s="8"/>
      <c r="C2489" s="8" t="s">
        <v>17</v>
      </c>
      <c r="D2489" s="2">
        <v>43768</v>
      </c>
      <c r="E2489" s="3">
        <v>51250</v>
      </c>
      <c r="F2489" t="s">
        <v>633</v>
      </c>
      <c r="G2489" t="s">
        <v>634</v>
      </c>
      <c r="H2489" t="s">
        <v>635</v>
      </c>
      <c r="I2489" s="6" t="s">
        <v>1060</v>
      </c>
      <c r="J2489" s="61" t="s">
        <v>22</v>
      </c>
      <c r="L2489" s="5" t="str">
        <f t="shared" si="786"/>
        <v>02488</v>
      </c>
      <c r="M2489" s="47" t="str">
        <f t="shared" si="787"/>
        <v>30 de octubre de 2019</v>
      </c>
      <c r="N2489" s="323">
        <f t="shared" si="788"/>
        <v>30</v>
      </c>
      <c r="O2489" s="25">
        <f t="shared" si="789"/>
        <v>43739</v>
      </c>
      <c r="P2489" s="5" t="str">
        <f t="shared" si="790"/>
        <v>51.250,00</v>
      </c>
      <c r="Q2489" s="4" t="e">
        <f t="shared" ca="1" si="791"/>
        <v>#NAME?</v>
      </c>
    </row>
    <row r="2490" spans="1:17">
      <c r="A2490" s="1">
        <f t="shared" si="785"/>
        <v>2489</v>
      </c>
      <c r="B2490" s="8"/>
      <c r="C2490" s="8" t="s">
        <v>17</v>
      </c>
      <c r="D2490" s="2">
        <v>43768</v>
      </c>
      <c r="E2490" s="3">
        <v>51250</v>
      </c>
      <c r="F2490" t="s">
        <v>130</v>
      </c>
      <c r="G2490" t="s">
        <v>1054</v>
      </c>
      <c r="H2490" t="s">
        <v>132</v>
      </c>
      <c r="I2490" s="6" t="s">
        <v>1060</v>
      </c>
      <c r="J2490" s="61" t="s">
        <v>22</v>
      </c>
      <c r="L2490" s="5" t="str">
        <f t="shared" si="786"/>
        <v>02489</v>
      </c>
      <c r="M2490" s="47" t="str">
        <f t="shared" si="787"/>
        <v>30 de octubre de 2019</v>
      </c>
      <c r="N2490" s="323">
        <f t="shared" si="788"/>
        <v>30</v>
      </c>
      <c r="O2490" s="25">
        <f t="shared" si="789"/>
        <v>43739</v>
      </c>
      <c r="P2490" s="5" t="str">
        <f t="shared" si="790"/>
        <v>51.250,00</v>
      </c>
      <c r="Q2490" s="4" t="e">
        <f t="shared" ca="1" si="791"/>
        <v>#NAME?</v>
      </c>
    </row>
    <row r="2491" spans="1:17">
      <c r="A2491" s="1">
        <f t="shared" si="785"/>
        <v>2490</v>
      </c>
      <c r="B2491" s="8"/>
      <c r="C2491" s="8" t="s">
        <v>17</v>
      </c>
      <c r="D2491" s="2">
        <v>43768</v>
      </c>
      <c r="E2491" s="3">
        <v>51250</v>
      </c>
      <c r="F2491" t="s">
        <v>264</v>
      </c>
      <c r="G2491" t="s">
        <v>265</v>
      </c>
      <c r="H2491" t="s">
        <v>266</v>
      </c>
      <c r="I2491" s="6" t="s">
        <v>1060</v>
      </c>
      <c r="J2491" s="61" t="s">
        <v>22</v>
      </c>
      <c r="L2491" s="5" t="str">
        <f t="shared" si="786"/>
        <v>02490</v>
      </c>
      <c r="M2491" s="47" t="str">
        <f t="shared" si="787"/>
        <v>30 de octubre de 2019</v>
      </c>
      <c r="N2491" s="323">
        <f t="shared" si="788"/>
        <v>30</v>
      </c>
      <c r="O2491" s="25">
        <f t="shared" si="789"/>
        <v>43739</v>
      </c>
      <c r="P2491" s="5" t="str">
        <f t="shared" si="790"/>
        <v>51.250,00</v>
      </c>
      <c r="Q2491" s="4" t="e">
        <f t="shared" ca="1" si="791"/>
        <v>#NAME?</v>
      </c>
    </row>
    <row r="2492" spans="1:17">
      <c r="A2492" s="1">
        <f t="shared" si="785"/>
        <v>2491</v>
      </c>
      <c r="B2492" s="8"/>
      <c r="C2492" s="8" t="s">
        <v>17</v>
      </c>
      <c r="D2492" s="2">
        <v>43769</v>
      </c>
      <c r="E2492" s="3">
        <v>51250</v>
      </c>
      <c r="F2492" t="s">
        <v>94</v>
      </c>
      <c r="G2492" t="s">
        <v>607</v>
      </c>
      <c r="H2492" t="s">
        <v>96</v>
      </c>
      <c r="I2492" s="6" t="s">
        <v>1060</v>
      </c>
      <c r="J2492" s="61" t="s">
        <v>22</v>
      </c>
      <c r="L2492" s="5" t="str">
        <f t="shared" si="786"/>
        <v>02491</v>
      </c>
      <c r="M2492" s="47" t="str">
        <f t="shared" si="787"/>
        <v>31 de octubre de 2019</v>
      </c>
      <c r="N2492" s="323">
        <f t="shared" si="788"/>
        <v>31</v>
      </c>
      <c r="O2492" s="25">
        <f t="shared" si="789"/>
        <v>43739</v>
      </c>
      <c r="P2492" s="5" t="str">
        <f t="shared" si="790"/>
        <v>51.250,00</v>
      </c>
      <c r="Q2492" s="4" t="e">
        <f t="shared" ca="1" si="791"/>
        <v>#NAME?</v>
      </c>
    </row>
    <row r="2493" spans="1:17">
      <c r="A2493" s="1">
        <f t="shared" si="785"/>
        <v>2492</v>
      </c>
      <c r="B2493" s="8"/>
      <c r="C2493" s="8" t="s">
        <v>17</v>
      </c>
      <c r="D2493" s="2">
        <v>43769</v>
      </c>
      <c r="E2493" s="3">
        <v>27965</v>
      </c>
      <c r="F2493" t="s">
        <v>312</v>
      </c>
      <c r="G2493" t="s">
        <v>313</v>
      </c>
      <c r="H2493" t="s">
        <v>314</v>
      </c>
      <c r="I2493" s="6" t="s">
        <v>1080</v>
      </c>
      <c r="J2493" s="61" t="s">
        <v>22</v>
      </c>
      <c r="L2493" s="5" t="str">
        <f t="shared" si="786"/>
        <v>02492</v>
      </c>
      <c r="M2493" s="47" t="str">
        <f t="shared" si="787"/>
        <v>31 de octubre de 2019</v>
      </c>
      <c r="N2493" s="323">
        <f t="shared" si="788"/>
        <v>31</v>
      </c>
      <c r="O2493" s="25">
        <f t="shared" si="789"/>
        <v>43739</v>
      </c>
      <c r="P2493" s="5" t="str">
        <f t="shared" si="790"/>
        <v>27.965,00</v>
      </c>
      <c r="Q2493" s="4" t="e">
        <f t="shared" ca="1" si="791"/>
        <v>#NAME?</v>
      </c>
    </row>
    <row r="2494" spans="1:17">
      <c r="A2494" s="1">
        <f t="shared" si="785"/>
        <v>2493</v>
      </c>
      <c r="B2494" s="8"/>
      <c r="C2494" s="8" t="s">
        <v>17</v>
      </c>
      <c r="D2494" s="2">
        <v>43770</v>
      </c>
      <c r="E2494" s="3">
        <v>40000</v>
      </c>
      <c r="F2494" t="s">
        <v>126</v>
      </c>
      <c r="G2494" t="s">
        <v>127</v>
      </c>
      <c r="H2494" t="s">
        <v>128</v>
      </c>
      <c r="I2494" s="6" t="s">
        <v>1083</v>
      </c>
      <c r="J2494" s="61" t="s">
        <v>22</v>
      </c>
      <c r="L2494" s="5" t="str">
        <f t="shared" si="786"/>
        <v>02493</v>
      </c>
      <c r="M2494" s="47" t="str">
        <f t="shared" si="787"/>
        <v>01 de noviembre de 2019</v>
      </c>
      <c r="N2494" s="323">
        <f t="shared" si="788"/>
        <v>1</v>
      </c>
      <c r="O2494" s="25">
        <f t="shared" si="789"/>
        <v>43770</v>
      </c>
      <c r="P2494" s="5" t="str">
        <f t="shared" si="790"/>
        <v>40.000,00</v>
      </c>
      <c r="Q2494" s="4" t="e">
        <f t="shared" ca="1" si="791"/>
        <v>#NAME?</v>
      </c>
    </row>
    <row r="2495" spans="1:17">
      <c r="A2495" s="1">
        <f t="shared" si="785"/>
        <v>2494</v>
      </c>
      <c r="B2495" s="8"/>
      <c r="C2495" s="8" t="s">
        <v>17</v>
      </c>
      <c r="D2495" s="2">
        <v>43772</v>
      </c>
      <c r="E2495" s="3">
        <v>51250</v>
      </c>
      <c r="F2495" t="s">
        <v>62</v>
      </c>
      <c r="G2495" t="s">
        <v>63</v>
      </c>
      <c r="H2495" t="s">
        <v>64</v>
      </c>
      <c r="I2495" s="6" t="s">
        <v>1082</v>
      </c>
      <c r="J2495" s="61" t="s">
        <v>22</v>
      </c>
      <c r="L2495" s="5" t="str">
        <f t="shared" si="786"/>
        <v>02494</v>
      </c>
      <c r="M2495" s="47" t="str">
        <f t="shared" si="787"/>
        <v>03 de noviembre de 2019</v>
      </c>
      <c r="N2495" s="323">
        <f t="shared" si="788"/>
        <v>3</v>
      </c>
      <c r="O2495" s="25">
        <f t="shared" si="789"/>
        <v>43770</v>
      </c>
      <c r="P2495" s="5" t="str">
        <f t="shared" si="790"/>
        <v>51.250,00</v>
      </c>
      <c r="Q2495" s="4" t="e">
        <f t="shared" ca="1" si="791"/>
        <v>#NAME?</v>
      </c>
    </row>
    <row r="2496" spans="1:17">
      <c r="A2496" s="1">
        <f t="shared" si="785"/>
        <v>2495</v>
      </c>
      <c r="C2496" s="8" t="s">
        <v>17</v>
      </c>
      <c r="D2496" s="2">
        <v>43772</v>
      </c>
      <c r="E2496" s="3">
        <v>51250</v>
      </c>
      <c r="F2496" t="s">
        <v>284</v>
      </c>
      <c r="G2496" t="s">
        <v>687</v>
      </c>
      <c r="H2496" t="s">
        <v>285</v>
      </c>
      <c r="I2496" s="6" t="s">
        <v>1060</v>
      </c>
      <c r="J2496" s="61" t="s">
        <v>22</v>
      </c>
      <c r="L2496" s="5" t="str">
        <f t="shared" si="786"/>
        <v>02495</v>
      </c>
      <c r="M2496" s="47" t="str">
        <f t="shared" si="787"/>
        <v>03 de noviembre de 2019</v>
      </c>
      <c r="N2496" s="323">
        <f t="shared" si="788"/>
        <v>3</v>
      </c>
      <c r="O2496" s="25">
        <f t="shared" si="789"/>
        <v>43770</v>
      </c>
      <c r="P2496" s="5" t="str">
        <f t="shared" si="790"/>
        <v>51.250,00</v>
      </c>
      <c r="Q2496" s="4" t="e">
        <f t="shared" ca="1" si="791"/>
        <v>#NAME?</v>
      </c>
    </row>
    <row r="2497" spans="1:17" ht="15.75" thickBot="1">
      <c r="A2497" s="1">
        <f t="shared" si="785"/>
        <v>2496</v>
      </c>
      <c r="B2497" s="8"/>
      <c r="C2497" s="8" t="s">
        <v>17</v>
      </c>
      <c r="D2497" s="2">
        <v>43773</v>
      </c>
      <c r="E2497" s="3">
        <v>60000</v>
      </c>
      <c r="F2497" t="s">
        <v>100</v>
      </c>
      <c r="G2497" t="s">
        <v>95</v>
      </c>
      <c r="H2497" t="s">
        <v>101</v>
      </c>
      <c r="I2497" s="6" t="s">
        <v>1082</v>
      </c>
      <c r="J2497" s="61" t="s">
        <v>22</v>
      </c>
      <c r="L2497" s="5" t="str">
        <f t="shared" si="786"/>
        <v>02496</v>
      </c>
      <c r="M2497" s="47" t="str">
        <f t="shared" si="787"/>
        <v>04 de noviembre de 2019</v>
      </c>
      <c r="N2497" s="323">
        <f t="shared" si="788"/>
        <v>4</v>
      </c>
      <c r="O2497" s="25">
        <f t="shared" si="789"/>
        <v>43770</v>
      </c>
      <c r="P2497" s="5" t="str">
        <f t="shared" si="790"/>
        <v>60.000,00</v>
      </c>
      <c r="Q2497" s="4" t="e">
        <f t="shared" ca="1" si="791"/>
        <v>#NAME?</v>
      </c>
    </row>
    <row r="2498" spans="1:17" ht="15.75" thickBot="1">
      <c r="A2498" s="1">
        <f t="shared" si="785"/>
        <v>2497</v>
      </c>
      <c r="B2498" s="8"/>
      <c r="C2498" s="85" t="s">
        <v>17</v>
      </c>
      <c r="D2498" s="2">
        <v>43773</v>
      </c>
      <c r="E2498" s="162">
        <v>56300</v>
      </c>
      <c r="F2498" t="s">
        <v>492</v>
      </c>
      <c r="G2498" s="18" t="s">
        <v>58</v>
      </c>
      <c r="H2498" t="s">
        <v>493</v>
      </c>
      <c r="I2498" s="6" t="s">
        <v>1082</v>
      </c>
      <c r="J2498" s="61" t="s">
        <v>22</v>
      </c>
      <c r="L2498" s="5" t="str">
        <f t="shared" si="786"/>
        <v>02497</v>
      </c>
      <c r="M2498" s="47" t="str">
        <f t="shared" si="787"/>
        <v>04 de noviembre de 2019</v>
      </c>
      <c r="N2498" s="323">
        <f t="shared" si="788"/>
        <v>4</v>
      </c>
      <c r="O2498" s="25">
        <f t="shared" si="789"/>
        <v>43770</v>
      </c>
      <c r="P2498" s="5" t="str">
        <f t="shared" si="790"/>
        <v>56.300,00</v>
      </c>
      <c r="Q2498" s="4" t="e">
        <f t="shared" ca="1" si="791"/>
        <v>#NAME?</v>
      </c>
    </row>
    <row r="2499" spans="1:17">
      <c r="A2499" s="1">
        <f t="shared" si="785"/>
        <v>2498</v>
      </c>
      <c r="B2499" s="8"/>
      <c r="C2499" s="8" t="s">
        <v>17</v>
      </c>
      <c r="D2499" s="2">
        <v>43768</v>
      </c>
      <c r="E2499" s="3">
        <v>4250</v>
      </c>
      <c r="F2499" t="s">
        <v>181</v>
      </c>
      <c r="G2499" t="s">
        <v>182</v>
      </c>
      <c r="H2499" t="s">
        <v>183</v>
      </c>
      <c r="I2499" s="6" t="s">
        <v>1084</v>
      </c>
      <c r="J2499" s="61" t="s">
        <v>22</v>
      </c>
      <c r="L2499" s="5" t="str">
        <f t="shared" si="786"/>
        <v>02498</v>
      </c>
      <c r="M2499" s="47" t="str">
        <f t="shared" si="787"/>
        <v>30 de octubre de 2019</v>
      </c>
      <c r="N2499" s="323">
        <f t="shared" si="788"/>
        <v>30</v>
      </c>
      <c r="O2499" s="25">
        <f t="shared" si="789"/>
        <v>43739</v>
      </c>
      <c r="P2499" s="5" t="str">
        <f t="shared" si="790"/>
        <v>4.250,00</v>
      </c>
      <c r="Q2499" s="4" t="e">
        <f t="shared" ca="1" si="791"/>
        <v>#NAME?</v>
      </c>
    </row>
    <row r="2500" spans="1:17">
      <c r="A2500" s="1">
        <f t="shared" si="785"/>
        <v>2499</v>
      </c>
      <c r="B2500" s="8"/>
      <c r="C2500" s="8" t="s">
        <v>17</v>
      </c>
      <c r="D2500" s="2">
        <v>43773</v>
      </c>
      <c r="E2500" s="3">
        <v>56250</v>
      </c>
      <c r="F2500" t="s">
        <v>206</v>
      </c>
      <c r="G2500" t="s">
        <v>207</v>
      </c>
      <c r="H2500" t="s">
        <v>208</v>
      </c>
      <c r="I2500" s="6" t="s">
        <v>1060</v>
      </c>
      <c r="J2500" s="61" t="s">
        <v>22</v>
      </c>
      <c r="L2500" s="5" t="str">
        <f t="shared" si="786"/>
        <v>02499</v>
      </c>
      <c r="M2500" s="47" t="str">
        <f t="shared" si="787"/>
        <v>04 de noviembre de 2019</v>
      </c>
      <c r="N2500" s="323">
        <f t="shared" si="788"/>
        <v>4</v>
      </c>
      <c r="O2500" s="25">
        <f t="shared" si="789"/>
        <v>43770</v>
      </c>
      <c r="P2500" s="5" t="str">
        <f t="shared" si="790"/>
        <v>56.250,00</v>
      </c>
      <c r="Q2500" s="4" t="e">
        <f t="shared" ca="1" si="791"/>
        <v>#NAME?</v>
      </c>
    </row>
    <row r="2501" spans="1:17">
      <c r="A2501" s="1">
        <f t="shared" si="785"/>
        <v>2500</v>
      </c>
      <c r="B2501" s="8"/>
      <c r="C2501" s="8" t="s">
        <v>17</v>
      </c>
      <c r="D2501" s="2">
        <v>43774</v>
      </c>
      <c r="E2501" s="3">
        <v>60000</v>
      </c>
      <c r="F2501" t="s">
        <v>80</v>
      </c>
      <c r="G2501" t="s">
        <v>81</v>
      </c>
      <c r="H2501" t="s">
        <v>82</v>
      </c>
      <c r="I2501" s="6" t="s">
        <v>1082</v>
      </c>
      <c r="J2501" s="61" t="s">
        <v>22</v>
      </c>
      <c r="L2501" s="5" t="str">
        <f t="shared" si="786"/>
        <v>02500</v>
      </c>
      <c r="M2501" s="47" t="str">
        <f t="shared" si="787"/>
        <v>05 de noviembre de 2019</v>
      </c>
      <c r="N2501" s="323">
        <f t="shared" si="788"/>
        <v>5</v>
      </c>
      <c r="O2501" s="25">
        <f t="shared" si="789"/>
        <v>43770</v>
      </c>
      <c r="P2501" s="5" t="str">
        <f t="shared" si="790"/>
        <v>60.000,00</v>
      </c>
      <c r="Q2501" s="4" t="e">
        <f t="shared" ca="1" si="791"/>
        <v>#NAME?</v>
      </c>
    </row>
    <row r="2502" spans="1:17">
      <c r="A2502" s="1">
        <f t="shared" si="785"/>
        <v>2501</v>
      </c>
      <c r="B2502" s="8"/>
      <c r="C2502" s="8" t="s">
        <v>17</v>
      </c>
      <c r="D2502" s="2">
        <v>43774</v>
      </c>
      <c r="E2502" s="3">
        <v>56250</v>
      </c>
      <c r="F2502" t="s">
        <v>201</v>
      </c>
      <c r="G2502" t="s">
        <v>202</v>
      </c>
      <c r="H2502" t="s">
        <v>203</v>
      </c>
      <c r="I2502" s="6" t="s">
        <v>1085</v>
      </c>
      <c r="J2502" s="61" t="s">
        <v>22</v>
      </c>
      <c r="L2502" s="5" t="str">
        <f t="shared" si="786"/>
        <v>02501</v>
      </c>
      <c r="M2502" s="47" t="str">
        <f t="shared" si="787"/>
        <v>05 de noviembre de 2019</v>
      </c>
      <c r="N2502" s="323">
        <f t="shared" si="788"/>
        <v>5</v>
      </c>
      <c r="O2502" s="25">
        <f t="shared" si="789"/>
        <v>43770</v>
      </c>
      <c r="P2502" s="5" t="str">
        <f t="shared" si="790"/>
        <v>56.250,00</v>
      </c>
      <c r="Q2502" s="4" t="e">
        <f t="shared" ca="1" si="791"/>
        <v>#NAME?</v>
      </c>
    </row>
    <row r="2503" spans="1:17">
      <c r="A2503" s="1">
        <f t="shared" si="785"/>
        <v>2502</v>
      </c>
      <c r="B2503" s="8"/>
      <c r="C2503" s="8" t="s">
        <v>17</v>
      </c>
      <c r="D2503" s="2">
        <v>43774</v>
      </c>
      <c r="E2503" s="3">
        <v>67481</v>
      </c>
      <c r="F2503" t="s">
        <v>107</v>
      </c>
      <c r="G2503" t="s">
        <v>108</v>
      </c>
      <c r="H2503" t="s">
        <v>109</v>
      </c>
      <c r="I2503" s="6" t="s">
        <v>1082</v>
      </c>
      <c r="J2503" s="61" t="s">
        <v>22</v>
      </c>
      <c r="L2503" s="5" t="str">
        <f t="shared" si="786"/>
        <v>02502</v>
      </c>
      <c r="M2503" s="47" t="str">
        <f t="shared" si="787"/>
        <v>05 de noviembre de 2019</v>
      </c>
      <c r="N2503" s="323">
        <f t="shared" si="788"/>
        <v>5</v>
      </c>
      <c r="O2503" s="25">
        <f t="shared" si="789"/>
        <v>43770</v>
      </c>
      <c r="P2503" s="5" t="str">
        <f t="shared" si="790"/>
        <v>67.481,00</v>
      </c>
      <c r="Q2503" s="4" t="e">
        <f t="shared" ca="1" si="791"/>
        <v>#NAME?</v>
      </c>
    </row>
    <row r="2504" spans="1:17">
      <c r="A2504" s="1">
        <f t="shared" si="785"/>
        <v>2503</v>
      </c>
      <c r="B2504" s="8"/>
      <c r="C2504" s="8" t="s">
        <v>17</v>
      </c>
      <c r="D2504" s="2">
        <v>43770</v>
      </c>
      <c r="E2504" s="3">
        <v>51250</v>
      </c>
      <c r="F2504" t="s">
        <v>771</v>
      </c>
      <c r="G2504" t="s">
        <v>772</v>
      </c>
      <c r="H2504" t="s">
        <v>773</v>
      </c>
      <c r="I2504" s="6" t="s">
        <v>1086</v>
      </c>
      <c r="J2504" s="61" t="s">
        <v>22</v>
      </c>
      <c r="L2504" s="5" t="str">
        <f t="shared" si="786"/>
        <v>02503</v>
      </c>
      <c r="M2504" s="47" t="str">
        <f t="shared" si="787"/>
        <v>01 de noviembre de 2019</v>
      </c>
      <c r="N2504" s="323">
        <f t="shared" si="788"/>
        <v>1</v>
      </c>
      <c r="O2504" s="25">
        <f t="shared" si="789"/>
        <v>43770</v>
      </c>
      <c r="P2504" s="5" t="str">
        <f t="shared" si="790"/>
        <v>51.250,00</v>
      </c>
      <c r="Q2504" s="4" t="e">
        <f t="shared" ca="1" si="791"/>
        <v>#NAME?</v>
      </c>
    </row>
    <row r="2505" spans="1:17">
      <c r="A2505" s="1">
        <f t="shared" si="785"/>
        <v>2504</v>
      </c>
      <c r="B2505" s="8"/>
      <c r="C2505" s="8" t="s">
        <v>17</v>
      </c>
      <c r="D2505" s="2">
        <v>43774</v>
      </c>
      <c r="E2505" s="3">
        <v>33750</v>
      </c>
      <c r="F2505" t="s">
        <v>334</v>
      </c>
      <c r="G2505" t="s">
        <v>85</v>
      </c>
      <c r="H2505" t="s">
        <v>335</v>
      </c>
      <c r="I2505" s="6" t="s">
        <v>1087</v>
      </c>
      <c r="J2505" s="61" t="s">
        <v>22</v>
      </c>
      <c r="L2505" s="5" t="str">
        <f t="shared" si="786"/>
        <v>02504</v>
      </c>
      <c r="M2505" s="47" t="str">
        <f t="shared" si="787"/>
        <v>05 de noviembre de 2019</v>
      </c>
      <c r="N2505" s="323">
        <f t="shared" si="788"/>
        <v>5</v>
      </c>
      <c r="O2505" s="25">
        <f t="shared" si="789"/>
        <v>43770</v>
      </c>
      <c r="P2505" s="5" t="str">
        <f t="shared" si="790"/>
        <v>33.750,00</v>
      </c>
      <c r="Q2505" s="4" t="e">
        <f t="shared" ca="1" si="791"/>
        <v>#NAME?</v>
      </c>
    </row>
    <row r="2506" spans="1:17">
      <c r="A2506" s="1">
        <f t="shared" si="785"/>
        <v>2505</v>
      </c>
      <c r="B2506" s="8"/>
      <c r="C2506" s="8" t="s">
        <v>17</v>
      </c>
      <c r="D2506" s="2">
        <v>43774</v>
      </c>
      <c r="E2506" s="3">
        <v>112500</v>
      </c>
      <c r="F2506" t="s">
        <v>558</v>
      </c>
      <c r="G2506" t="s">
        <v>559</v>
      </c>
      <c r="H2506" t="s">
        <v>560</v>
      </c>
      <c r="I2506" s="6" t="s">
        <v>1088</v>
      </c>
      <c r="J2506" s="61" t="s">
        <v>22</v>
      </c>
      <c r="L2506" s="5" t="str">
        <f t="shared" si="786"/>
        <v>02505</v>
      </c>
      <c r="M2506" s="47" t="str">
        <f t="shared" si="787"/>
        <v>05 de noviembre de 2019</v>
      </c>
      <c r="N2506" s="323">
        <f t="shared" si="788"/>
        <v>5</v>
      </c>
      <c r="O2506" s="25">
        <f t="shared" si="789"/>
        <v>43770</v>
      </c>
      <c r="P2506" s="5" t="str">
        <f t="shared" si="790"/>
        <v>112.500,00</v>
      </c>
      <c r="Q2506" s="4" t="e">
        <f t="shared" ca="1" si="791"/>
        <v>#NAME?</v>
      </c>
    </row>
    <row r="2507" spans="1:17">
      <c r="A2507" s="1">
        <f t="shared" si="785"/>
        <v>2506</v>
      </c>
      <c r="B2507" s="8"/>
      <c r="C2507" s="8" t="s">
        <v>17</v>
      </c>
      <c r="D2507" s="2">
        <v>43774</v>
      </c>
      <c r="E2507" s="3">
        <v>56250</v>
      </c>
      <c r="F2507" t="s">
        <v>114</v>
      </c>
      <c r="G2507" t="s">
        <v>115</v>
      </c>
      <c r="H2507" t="s">
        <v>105</v>
      </c>
      <c r="I2507" s="6" t="s">
        <v>1082</v>
      </c>
      <c r="J2507" s="61" t="s">
        <v>22</v>
      </c>
      <c r="L2507" s="5" t="str">
        <f t="shared" si="786"/>
        <v>02506</v>
      </c>
      <c r="M2507" s="47" t="str">
        <f t="shared" si="787"/>
        <v>05 de noviembre de 2019</v>
      </c>
      <c r="N2507" s="323">
        <f t="shared" si="788"/>
        <v>5</v>
      </c>
      <c r="O2507" s="25">
        <f t="shared" si="789"/>
        <v>43770</v>
      </c>
      <c r="P2507" s="5" t="str">
        <f t="shared" si="790"/>
        <v>56.250,00</v>
      </c>
      <c r="Q2507" s="4" t="e">
        <f t="shared" ca="1" si="791"/>
        <v>#NAME?</v>
      </c>
    </row>
    <row r="2508" spans="1:17">
      <c r="A2508" s="1">
        <f t="shared" si="785"/>
        <v>2507</v>
      </c>
      <c r="B2508" s="8"/>
      <c r="C2508" s="8" t="s">
        <v>17</v>
      </c>
      <c r="D2508" s="2">
        <v>43774</v>
      </c>
      <c r="E2508" s="3">
        <v>56250</v>
      </c>
      <c r="F2508" t="s">
        <v>324</v>
      </c>
      <c r="G2508" t="s">
        <v>325</v>
      </c>
      <c r="H2508" t="s">
        <v>326</v>
      </c>
      <c r="I2508" s="6" t="s">
        <v>1082</v>
      </c>
      <c r="J2508" s="61" t="s">
        <v>22</v>
      </c>
      <c r="L2508" s="5" t="str">
        <f t="shared" si="786"/>
        <v>02507</v>
      </c>
      <c r="M2508" s="47" t="str">
        <f t="shared" si="787"/>
        <v>05 de noviembre de 2019</v>
      </c>
      <c r="N2508" s="323">
        <f t="shared" si="788"/>
        <v>5</v>
      </c>
      <c r="O2508" s="25">
        <f t="shared" si="789"/>
        <v>43770</v>
      </c>
      <c r="P2508" s="5" t="str">
        <f t="shared" si="790"/>
        <v>56.250,00</v>
      </c>
      <c r="Q2508" s="4" t="e">
        <f t="shared" ca="1" si="791"/>
        <v>#NAME?</v>
      </c>
    </row>
    <row r="2509" spans="1:17">
      <c r="A2509" s="1">
        <f t="shared" si="785"/>
        <v>2508</v>
      </c>
      <c r="B2509" s="8"/>
      <c r="C2509" s="8" t="s">
        <v>17</v>
      </c>
      <c r="D2509" s="2">
        <v>43775</v>
      </c>
      <c r="E2509" s="3">
        <v>60000</v>
      </c>
      <c r="F2509" t="s">
        <v>483</v>
      </c>
      <c r="G2509" t="s">
        <v>484</v>
      </c>
      <c r="H2509" t="s">
        <v>485</v>
      </c>
      <c r="I2509" s="6" t="s">
        <v>1082</v>
      </c>
      <c r="J2509" s="61" t="s">
        <v>22</v>
      </c>
      <c r="L2509" s="5" t="str">
        <f t="shared" si="786"/>
        <v>02508</v>
      </c>
      <c r="M2509" s="47" t="str">
        <f t="shared" si="787"/>
        <v>06 de noviembre de 2019</v>
      </c>
      <c r="N2509" s="323">
        <f t="shared" si="788"/>
        <v>6</v>
      </c>
      <c r="O2509" s="25">
        <f t="shared" si="789"/>
        <v>43770</v>
      </c>
      <c r="P2509" s="5" t="str">
        <f t="shared" si="790"/>
        <v>60.000,00</v>
      </c>
      <c r="Q2509" s="4" t="e">
        <f t="shared" ca="1" si="791"/>
        <v>#NAME?</v>
      </c>
    </row>
    <row r="2510" spans="1:17" ht="15.75" thickBot="1">
      <c r="A2510" s="1">
        <f t="shared" si="785"/>
        <v>2509</v>
      </c>
      <c r="B2510" s="8"/>
      <c r="C2510" s="8" t="s">
        <v>17</v>
      </c>
      <c r="D2510" s="2">
        <v>43775</v>
      </c>
      <c r="E2510" s="3">
        <v>100000</v>
      </c>
      <c r="F2510" t="s">
        <v>443</v>
      </c>
      <c r="G2510" t="s">
        <v>444</v>
      </c>
      <c r="H2510" t="s">
        <v>75</v>
      </c>
      <c r="I2510" s="6" t="s">
        <v>1089</v>
      </c>
      <c r="J2510" s="61" t="s">
        <v>22</v>
      </c>
      <c r="L2510" s="5" t="str">
        <f t="shared" si="786"/>
        <v>02509</v>
      </c>
      <c r="M2510" s="47" t="str">
        <f t="shared" si="787"/>
        <v>06 de noviembre de 2019</v>
      </c>
      <c r="N2510" s="323">
        <f t="shared" si="788"/>
        <v>6</v>
      </c>
      <c r="O2510" s="25">
        <f t="shared" si="789"/>
        <v>43770</v>
      </c>
      <c r="P2510" s="5" t="str">
        <f t="shared" si="790"/>
        <v>100.000,00</v>
      </c>
      <c r="Q2510" s="4" t="e">
        <f t="shared" ca="1" si="791"/>
        <v>#NAME?</v>
      </c>
    </row>
    <row r="2511" spans="1:17" ht="15.75" thickBot="1">
      <c r="A2511" s="1">
        <f t="shared" si="785"/>
        <v>2510</v>
      </c>
      <c r="B2511" s="8"/>
      <c r="C2511" s="8" t="s">
        <v>17</v>
      </c>
      <c r="D2511" s="2">
        <v>43775</v>
      </c>
      <c r="E2511" s="597">
        <f>1.4*25800</f>
        <v>36120</v>
      </c>
      <c r="F2511" t="s">
        <v>103</v>
      </c>
      <c r="G2511" s="599" t="s">
        <v>1047</v>
      </c>
      <c r="H2511" t="s">
        <v>105</v>
      </c>
      <c r="I2511" s="6" t="s">
        <v>1090</v>
      </c>
      <c r="J2511" s="61" t="s">
        <v>22</v>
      </c>
      <c r="L2511" s="5" t="str">
        <f t="shared" si="786"/>
        <v>02510</v>
      </c>
      <c r="M2511" s="47" t="str">
        <f t="shared" si="787"/>
        <v>06 de noviembre de 2019</v>
      </c>
      <c r="N2511" s="323">
        <f t="shared" si="788"/>
        <v>6</v>
      </c>
      <c r="O2511" s="25">
        <f t="shared" si="789"/>
        <v>43770</v>
      </c>
      <c r="P2511" s="5" t="str">
        <f t="shared" si="790"/>
        <v>36.120,00</v>
      </c>
      <c r="Q2511" s="4" t="e">
        <f t="shared" ca="1" si="791"/>
        <v>#NAME?</v>
      </c>
    </row>
    <row r="2512" spans="1:17" ht="15.75" thickBot="1">
      <c r="A2512" s="1">
        <f t="shared" si="785"/>
        <v>2511</v>
      </c>
      <c r="B2512" s="8"/>
      <c r="C2512" s="8" t="s">
        <v>17</v>
      </c>
      <c r="D2512" s="2">
        <v>43776</v>
      </c>
      <c r="E2512" s="3">
        <v>10000</v>
      </c>
      <c r="F2512" t="s">
        <v>44</v>
      </c>
      <c r="G2512" t="s">
        <v>45</v>
      </c>
      <c r="H2512" t="s">
        <v>46</v>
      </c>
      <c r="I2512" s="6" t="s">
        <v>1084</v>
      </c>
      <c r="J2512" s="61" t="s">
        <v>22</v>
      </c>
      <c r="L2512" s="5" t="str">
        <f>IF(ISBLANK(A2512),"",TEXT(A2512,"00000"))</f>
        <v>02511</v>
      </c>
      <c r="M2512" s="47" t="str">
        <f>IF(ISBLANK(D2512),"",TEXT(D2512,"dd")&amp;" de "&amp;TEXT(D2512,"mmmm")&amp;" de "&amp;TEXT(YEAR(D2512),"0"))</f>
        <v>07 de noviembre de 2019</v>
      </c>
      <c r="N2512" s="323">
        <f t="shared" si="788"/>
        <v>7</v>
      </c>
      <c r="O2512" s="25">
        <f>DATE(YEAR(D2512),MONTH(D2512),1)</f>
        <v>43770</v>
      </c>
      <c r="P2512" s="5" t="str">
        <f t="shared" si="790"/>
        <v>10.000,00</v>
      </c>
      <c r="Q2512" s="4" t="e">
        <f t="shared" ca="1" si="791"/>
        <v>#NAME?</v>
      </c>
    </row>
    <row r="2513" spans="1:17" ht="15.75" thickBot="1">
      <c r="A2513" s="1">
        <f t="shared" si="785"/>
        <v>2512</v>
      </c>
      <c r="B2513" s="8"/>
      <c r="C2513" s="8" t="s">
        <v>17</v>
      </c>
      <c r="D2513" s="2">
        <v>43776</v>
      </c>
      <c r="E2513" s="3">
        <v>13000</v>
      </c>
      <c r="F2513" t="s">
        <v>252</v>
      </c>
      <c r="G2513" s="475" t="s">
        <v>958</v>
      </c>
      <c r="H2513" t="s">
        <v>254</v>
      </c>
      <c r="I2513" s="6" t="s">
        <v>1081</v>
      </c>
      <c r="J2513" s="61" t="s">
        <v>22</v>
      </c>
      <c r="L2513" s="5" t="str">
        <f t="shared" ref="L2513:L2528" si="792">IF(ISBLANK(A2513),"",TEXT(A2513,"00000"))</f>
        <v>02512</v>
      </c>
      <c r="M2513" s="47" t="str">
        <f t="shared" ref="M2513:M2528" si="793">IF(ISBLANK(D2513),"",TEXT(D2513,"dd")&amp;" de "&amp;TEXT(D2513,"mmmm")&amp;" de "&amp;TEXT(YEAR(D2513),"0"))</f>
        <v>07 de noviembre de 2019</v>
      </c>
      <c r="N2513" s="323">
        <f t="shared" si="788"/>
        <v>7</v>
      </c>
      <c r="O2513" s="25">
        <f t="shared" ref="O2513:O2528" si="794">DATE(YEAR(D2513),MONTH(D2513),1)</f>
        <v>43770</v>
      </c>
      <c r="P2513" s="5" t="str">
        <f t="shared" si="790"/>
        <v>13.000,00</v>
      </c>
      <c r="Q2513" s="4" t="e">
        <f t="shared" ca="1" si="791"/>
        <v>#NAME?</v>
      </c>
    </row>
    <row r="2514" spans="1:17">
      <c r="A2514" s="1">
        <f t="shared" si="785"/>
        <v>2513</v>
      </c>
      <c r="B2514" s="8"/>
      <c r="C2514" s="8" t="s">
        <v>17</v>
      </c>
      <c r="D2514" s="2">
        <v>43776</v>
      </c>
      <c r="E2514" s="3">
        <v>56250</v>
      </c>
      <c r="F2514" t="s">
        <v>48</v>
      </c>
      <c r="G2514" t="s">
        <v>49</v>
      </c>
      <c r="H2514" t="s">
        <v>50</v>
      </c>
      <c r="I2514" s="6" t="s">
        <v>1082</v>
      </c>
      <c r="J2514" s="61" t="s">
        <v>22</v>
      </c>
      <c r="L2514" s="5" t="str">
        <f t="shared" si="792"/>
        <v>02513</v>
      </c>
      <c r="M2514" s="47" t="str">
        <f t="shared" si="793"/>
        <v>07 de noviembre de 2019</v>
      </c>
      <c r="N2514" s="323">
        <f t="shared" si="788"/>
        <v>7</v>
      </c>
      <c r="O2514" s="25">
        <f t="shared" si="794"/>
        <v>43770</v>
      </c>
      <c r="P2514" s="5" t="str">
        <f t="shared" si="790"/>
        <v>56.250,00</v>
      </c>
      <c r="Q2514" s="4" t="e">
        <f t="shared" ca="1" si="791"/>
        <v>#NAME?</v>
      </c>
    </row>
    <row r="2515" spans="1:17">
      <c r="A2515" s="1">
        <f t="shared" si="785"/>
        <v>2514</v>
      </c>
      <c r="B2515" s="8"/>
      <c r="C2515" s="8" t="s">
        <v>17</v>
      </c>
      <c r="D2515" s="2">
        <v>43776</v>
      </c>
      <c r="E2515" s="3">
        <v>56250</v>
      </c>
      <c r="F2515" t="s">
        <v>947</v>
      </c>
      <c r="G2515" t="s">
        <v>948</v>
      </c>
      <c r="H2515" t="s">
        <v>949</v>
      </c>
      <c r="I2515" s="6" t="s">
        <v>1082</v>
      </c>
      <c r="J2515" s="61" t="s">
        <v>22</v>
      </c>
      <c r="L2515" s="5" t="str">
        <f t="shared" si="792"/>
        <v>02514</v>
      </c>
      <c r="M2515" s="47" t="str">
        <f t="shared" si="793"/>
        <v>07 de noviembre de 2019</v>
      </c>
      <c r="N2515" s="323">
        <f t="shared" si="788"/>
        <v>7</v>
      </c>
      <c r="O2515" s="25">
        <f t="shared" si="794"/>
        <v>43770</v>
      </c>
      <c r="P2515" s="5" t="str">
        <f t="shared" si="790"/>
        <v>56.250,00</v>
      </c>
      <c r="Q2515" s="4" t="e">
        <f t="shared" ca="1" si="791"/>
        <v>#NAME?</v>
      </c>
    </row>
    <row r="2516" spans="1:17">
      <c r="A2516" s="1">
        <f t="shared" si="785"/>
        <v>2515</v>
      </c>
      <c r="B2516" s="8"/>
      <c r="C2516" s="8" t="s">
        <v>17</v>
      </c>
      <c r="D2516" s="2">
        <v>43776</v>
      </c>
      <c r="E2516" s="3">
        <v>92710</v>
      </c>
      <c r="F2516" t="s">
        <v>362</v>
      </c>
      <c r="G2516" t="s">
        <v>363</v>
      </c>
      <c r="H2516" t="s">
        <v>364</v>
      </c>
      <c r="I2516" s="6" t="s">
        <v>1091</v>
      </c>
      <c r="J2516" s="61" t="s">
        <v>22</v>
      </c>
      <c r="L2516" s="5" t="str">
        <f t="shared" si="792"/>
        <v>02515</v>
      </c>
      <c r="M2516" s="47" t="str">
        <f t="shared" si="793"/>
        <v>07 de noviembre de 2019</v>
      </c>
      <c r="N2516" s="323">
        <f t="shared" si="788"/>
        <v>7</v>
      </c>
      <c r="O2516" s="25">
        <f t="shared" si="794"/>
        <v>43770</v>
      </c>
      <c r="P2516" s="5" t="str">
        <f t="shared" si="790"/>
        <v>92.710,00</v>
      </c>
      <c r="Q2516" s="4" t="e">
        <f t="shared" ca="1" si="791"/>
        <v>#NAME?</v>
      </c>
    </row>
    <row r="2517" spans="1:17" ht="15.75" thickBot="1">
      <c r="A2517" s="1">
        <f>A2516+1</f>
        <v>2516</v>
      </c>
      <c r="B2517" s="8"/>
      <c r="C2517" s="8" t="s">
        <v>17</v>
      </c>
      <c r="D2517" s="2">
        <v>43776</v>
      </c>
      <c r="E2517" s="3">
        <v>56250</v>
      </c>
      <c r="F2517" t="s">
        <v>70</v>
      </c>
      <c r="G2517" t="s">
        <v>71</v>
      </c>
      <c r="H2517" t="s">
        <v>72</v>
      </c>
      <c r="I2517" s="6" t="s">
        <v>1082</v>
      </c>
      <c r="J2517" s="61" t="s">
        <v>22</v>
      </c>
      <c r="L2517" s="5" t="str">
        <f t="shared" si="792"/>
        <v>02516</v>
      </c>
      <c r="M2517" s="47" t="str">
        <f t="shared" si="793"/>
        <v>07 de noviembre de 2019</v>
      </c>
      <c r="N2517" s="323">
        <f t="shared" si="788"/>
        <v>7</v>
      </c>
      <c r="O2517" s="25">
        <f t="shared" si="794"/>
        <v>43770</v>
      </c>
      <c r="P2517" s="5" t="str">
        <f t="shared" si="790"/>
        <v>56.250,00</v>
      </c>
      <c r="Q2517" s="4" t="e">
        <f t="shared" ca="1" si="791"/>
        <v>#NAME?</v>
      </c>
    </row>
    <row r="2518" spans="1:17" ht="15.75" thickBot="1">
      <c r="A2518" s="1">
        <f t="shared" ref="A2518:A2534" si="795">A2517+1</f>
        <v>2517</v>
      </c>
      <c r="C2518" s="85" t="s">
        <v>17</v>
      </c>
      <c r="D2518" s="2">
        <v>43778</v>
      </c>
      <c r="E2518" s="3">
        <v>56250</v>
      </c>
      <c r="F2518" t="s">
        <v>40</v>
      </c>
      <c r="G2518" s="18" t="s">
        <v>58</v>
      </c>
      <c r="H2518" t="s">
        <v>42</v>
      </c>
      <c r="I2518" s="6" t="s">
        <v>1082</v>
      </c>
      <c r="J2518" s="61" t="s">
        <v>22</v>
      </c>
      <c r="L2518" s="5" t="str">
        <f t="shared" si="792"/>
        <v>02517</v>
      </c>
      <c r="M2518" s="47" t="str">
        <f t="shared" si="793"/>
        <v>09 de noviembre de 2019</v>
      </c>
      <c r="N2518" s="323">
        <f t="shared" si="788"/>
        <v>9</v>
      </c>
      <c r="O2518" s="25">
        <f t="shared" si="794"/>
        <v>43770</v>
      </c>
      <c r="P2518" s="5" t="str">
        <f t="shared" si="790"/>
        <v>56.250,00</v>
      </c>
      <c r="Q2518" s="4" t="e">
        <f t="shared" ca="1" si="791"/>
        <v>#NAME?</v>
      </c>
    </row>
    <row r="2519" spans="1:17">
      <c r="A2519" s="1">
        <f t="shared" si="795"/>
        <v>2518</v>
      </c>
      <c r="B2519" s="8"/>
      <c r="C2519" s="8" t="s">
        <v>17</v>
      </c>
      <c r="D2519" s="2">
        <v>43778</v>
      </c>
      <c r="E2519" s="3">
        <v>48000</v>
      </c>
      <c r="F2519" t="s">
        <v>28</v>
      </c>
      <c r="G2519" t="s">
        <v>716</v>
      </c>
      <c r="H2519" t="s">
        <v>30</v>
      </c>
      <c r="I2519" s="6" t="s">
        <v>1087</v>
      </c>
      <c r="J2519" s="61" t="s">
        <v>22</v>
      </c>
      <c r="L2519" s="5" t="str">
        <f t="shared" si="792"/>
        <v>02518</v>
      </c>
      <c r="M2519" s="47" t="str">
        <f t="shared" si="793"/>
        <v>09 de noviembre de 2019</v>
      </c>
      <c r="N2519" s="323">
        <f t="shared" si="788"/>
        <v>9</v>
      </c>
      <c r="O2519" s="25">
        <f t="shared" si="794"/>
        <v>43770</v>
      </c>
      <c r="P2519" s="5" t="str">
        <f t="shared" si="790"/>
        <v>48.000,00</v>
      </c>
      <c r="Q2519" s="4" t="e">
        <f t="shared" ca="1" si="791"/>
        <v>#NAME?</v>
      </c>
    </row>
    <row r="2520" spans="1:17" ht="15.75" thickBot="1">
      <c r="A2520" s="1">
        <f t="shared" si="795"/>
        <v>2519</v>
      </c>
      <c r="B2520" s="8"/>
      <c r="C2520" s="8" t="s">
        <v>17</v>
      </c>
      <c r="D2520" s="2">
        <v>43778</v>
      </c>
      <c r="E2520" s="3">
        <v>56250</v>
      </c>
      <c r="F2520" t="s">
        <v>342</v>
      </c>
      <c r="G2520" t="s">
        <v>1036</v>
      </c>
      <c r="H2520" t="s">
        <v>344</v>
      </c>
      <c r="I2520" s="6" t="s">
        <v>1082</v>
      </c>
      <c r="J2520" s="61" t="s">
        <v>22</v>
      </c>
      <c r="L2520" s="5" t="str">
        <f t="shared" si="792"/>
        <v>02519</v>
      </c>
      <c r="M2520" s="47" t="str">
        <f t="shared" si="793"/>
        <v>09 de noviembre de 2019</v>
      </c>
      <c r="N2520" s="323">
        <f t="shared" si="788"/>
        <v>9</v>
      </c>
      <c r="O2520" s="25">
        <f t="shared" si="794"/>
        <v>43770</v>
      </c>
      <c r="P2520" s="5" t="str">
        <f t="shared" si="790"/>
        <v>56.250,00</v>
      </c>
      <c r="Q2520" s="4" t="e">
        <f t="shared" ca="1" si="791"/>
        <v>#NAME?</v>
      </c>
    </row>
    <row r="2521" spans="1:17" ht="15.75" thickBot="1">
      <c r="A2521" s="1">
        <f t="shared" si="795"/>
        <v>2520</v>
      </c>
      <c r="B2521" s="8"/>
      <c r="C2521" s="85" t="s">
        <v>17</v>
      </c>
      <c r="D2521" s="2">
        <v>43778</v>
      </c>
      <c r="E2521" s="3">
        <v>40000</v>
      </c>
      <c r="F2521" t="s">
        <v>259</v>
      </c>
      <c r="G2521" s="18" t="s">
        <v>58</v>
      </c>
      <c r="H2521" t="s">
        <v>261</v>
      </c>
      <c r="I2521" s="6" t="s">
        <v>1065</v>
      </c>
      <c r="J2521" s="61" t="s">
        <v>22</v>
      </c>
      <c r="L2521" s="5" t="str">
        <f t="shared" si="792"/>
        <v>02520</v>
      </c>
      <c r="M2521" s="47" t="str">
        <f t="shared" si="793"/>
        <v>09 de noviembre de 2019</v>
      </c>
      <c r="N2521" s="323">
        <f t="shared" si="788"/>
        <v>9</v>
      </c>
      <c r="O2521" s="25">
        <f t="shared" si="794"/>
        <v>43770</v>
      </c>
      <c r="P2521" s="5" t="str">
        <f t="shared" si="790"/>
        <v>40.000,00</v>
      </c>
      <c r="Q2521" s="4" t="e">
        <f t="shared" ca="1" si="791"/>
        <v>#NAME?</v>
      </c>
    </row>
    <row r="2522" spans="1:17">
      <c r="A2522" s="1">
        <f t="shared" si="795"/>
        <v>2521</v>
      </c>
      <c r="B2522" s="8"/>
      <c r="C2522" s="8" t="s">
        <v>17</v>
      </c>
      <c r="D2522" s="2">
        <v>43778</v>
      </c>
      <c r="E2522" s="3">
        <v>56250</v>
      </c>
      <c r="F2522" t="s">
        <v>454</v>
      </c>
      <c r="G2522" t="s">
        <v>761</v>
      </c>
      <c r="H2522" t="s">
        <v>455</v>
      </c>
      <c r="I2522" s="6" t="s">
        <v>1082</v>
      </c>
      <c r="J2522" s="61" t="s">
        <v>22</v>
      </c>
      <c r="L2522" s="5" t="str">
        <f t="shared" si="792"/>
        <v>02521</v>
      </c>
      <c r="M2522" s="47" t="str">
        <f t="shared" si="793"/>
        <v>09 de noviembre de 2019</v>
      </c>
      <c r="N2522" s="323">
        <f t="shared" si="788"/>
        <v>9</v>
      </c>
      <c r="O2522" s="25">
        <f t="shared" si="794"/>
        <v>43770</v>
      </c>
      <c r="P2522" s="5" t="str">
        <f t="shared" si="790"/>
        <v>56.250,00</v>
      </c>
      <c r="Q2522" s="4" t="e">
        <f t="shared" ca="1" si="791"/>
        <v>#NAME?</v>
      </c>
    </row>
    <row r="2523" spans="1:17">
      <c r="A2523" s="1">
        <f t="shared" si="795"/>
        <v>2522</v>
      </c>
      <c r="B2523" s="8"/>
      <c r="C2523" s="8" t="s">
        <v>17</v>
      </c>
      <c r="D2523" s="2">
        <v>43779</v>
      </c>
      <c r="E2523" s="3">
        <v>60000</v>
      </c>
      <c r="F2523" t="s">
        <v>1004</v>
      </c>
      <c r="G2523" t="s">
        <v>1005</v>
      </c>
      <c r="H2523" t="s">
        <v>539</v>
      </c>
      <c r="I2523" s="6" t="s">
        <v>1082</v>
      </c>
      <c r="J2523" s="61" t="s">
        <v>22</v>
      </c>
      <c r="L2523" s="5" t="str">
        <f t="shared" si="792"/>
        <v>02522</v>
      </c>
      <c r="M2523" s="47" t="str">
        <f t="shared" si="793"/>
        <v>10 de noviembre de 2019</v>
      </c>
      <c r="N2523" s="323">
        <f t="shared" si="788"/>
        <v>10</v>
      </c>
      <c r="O2523" s="25">
        <f t="shared" si="794"/>
        <v>43770</v>
      </c>
      <c r="P2523" s="5" t="str">
        <f t="shared" si="790"/>
        <v>60.000,00</v>
      </c>
      <c r="Q2523" s="4" t="e">
        <f t="shared" ca="1" si="791"/>
        <v>#NAME?</v>
      </c>
    </row>
    <row r="2524" spans="1:17">
      <c r="A2524" s="1">
        <f t="shared" si="795"/>
        <v>2523</v>
      </c>
      <c r="B2524" s="8"/>
      <c r="C2524" s="8" t="s">
        <v>17</v>
      </c>
      <c r="D2524" s="2">
        <v>43779</v>
      </c>
      <c r="E2524" s="3">
        <f>56250*2</f>
        <v>112500</v>
      </c>
      <c r="F2524" t="s">
        <v>785</v>
      </c>
      <c r="G2524" t="s">
        <v>786</v>
      </c>
      <c r="H2524" t="s">
        <v>719</v>
      </c>
      <c r="I2524" s="6" t="s">
        <v>1088</v>
      </c>
      <c r="J2524" s="61" t="s">
        <v>22</v>
      </c>
      <c r="L2524" s="5" t="str">
        <f t="shared" si="792"/>
        <v>02523</v>
      </c>
      <c r="M2524" s="47" t="str">
        <f t="shared" si="793"/>
        <v>10 de noviembre de 2019</v>
      </c>
      <c r="N2524" s="323">
        <f t="shared" si="788"/>
        <v>10</v>
      </c>
      <c r="O2524" s="25">
        <f t="shared" si="794"/>
        <v>43770</v>
      </c>
      <c r="P2524" s="5" t="str">
        <f t="shared" si="790"/>
        <v>112.500,00</v>
      </c>
      <c r="Q2524" s="4" t="e">
        <f t="shared" ca="1" si="791"/>
        <v>#NAME?</v>
      </c>
    </row>
    <row r="2525" spans="1:17">
      <c r="A2525" s="1">
        <f t="shared" si="795"/>
        <v>2524</v>
      </c>
      <c r="B2525" s="8"/>
      <c r="C2525" s="8" t="s">
        <v>17</v>
      </c>
      <c r="D2525" s="2">
        <v>43779</v>
      </c>
      <c r="E2525" s="3">
        <v>56250</v>
      </c>
      <c r="F2525" t="s">
        <v>337</v>
      </c>
      <c r="G2525" t="s">
        <v>338</v>
      </c>
      <c r="H2525" t="s">
        <v>339</v>
      </c>
      <c r="I2525" s="6" t="s">
        <v>1082</v>
      </c>
      <c r="J2525" s="61" t="s">
        <v>22</v>
      </c>
      <c r="L2525" s="5" t="str">
        <f t="shared" si="792"/>
        <v>02524</v>
      </c>
      <c r="M2525" s="47" t="str">
        <f t="shared" si="793"/>
        <v>10 de noviembre de 2019</v>
      </c>
      <c r="N2525" s="323">
        <f t="shared" si="788"/>
        <v>10</v>
      </c>
      <c r="O2525" s="25">
        <f t="shared" si="794"/>
        <v>43770</v>
      </c>
      <c r="P2525" s="5" t="str">
        <f t="shared" si="790"/>
        <v>56.250,00</v>
      </c>
      <c r="Q2525" s="4" t="e">
        <f t="shared" ca="1" si="791"/>
        <v>#NAME?</v>
      </c>
    </row>
    <row r="2526" spans="1:17">
      <c r="A2526" s="1">
        <f t="shared" si="795"/>
        <v>2525</v>
      </c>
      <c r="B2526" s="8"/>
      <c r="C2526" s="8" t="s">
        <v>17</v>
      </c>
      <c r="D2526" s="2">
        <v>43779</v>
      </c>
      <c r="E2526" s="3">
        <v>56250</v>
      </c>
      <c r="F2526" t="s">
        <v>594</v>
      </c>
      <c r="G2526" t="s">
        <v>1051</v>
      </c>
      <c r="H2526" t="s">
        <v>596</v>
      </c>
      <c r="I2526" s="6" t="s">
        <v>1082</v>
      </c>
      <c r="J2526" s="61" t="s">
        <v>22</v>
      </c>
      <c r="L2526" s="5" t="str">
        <f t="shared" si="792"/>
        <v>02525</v>
      </c>
      <c r="M2526" s="47" t="str">
        <f t="shared" si="793"/>
        <v>10 de noviembre de 2019</v>
      </c>
      <c r="N2526" s="323">
        <f t="shared" si="788"/>
        <v>10</v>
      </c>
      <c r="O2526" s="25">
        <f t="shared" si="794"/>
        <v>43770</v>
      </c>
      <c r="P2526" s="5" t="str">
        <f t="shared" si="790"/>
        <v>56.250,00</v>
      </c>
      <c r="Q2526" s="4" t="e">
        <f t="shared" ca="1" si="791"/>
        <v>#NAME?</v>
      </c>
    </row>
    <row r="2527" spans="1:17" ht="15.75" thickBot="1">
      <c r="A2527" s="1">
        <f t="shared" si="795"/>
        <v>2526</v>
      </c>
      <c r="B2527" s="8"/>
      <c r="C2527" s="8" t="s">
        <v>17</v>
      </c>
      <c r="D2527" s="2">
        <v>43779</v>
      </c>
      <c r="E2527" s="3">
        <v>56250</v>
      </c>
      <c r="F2527" t="s">
        <v>312</v>
      </c>
      <c r="G2527" t="s">
        <v>313</v>
      </c>
      <c r="H2527" t="s">
        <v>314</v>
      </c>
      <c r="I2527" s="6" t="s">
        <v>1082</v>
      </c>
      <c r="J2527" s="61" t="s">
        <v>22</v>
      </c>
      <c r="L2527" s="5" t="str">
        <f t="shared" si="792"/>
        <v>02526</v>
      </c>
      <c r="M2527" s="47" t="str">
        <f t="shared" si="793"/>
        <v>10 de noviembre de 2019</v>
      </c>
      <c r="N2527" s="323">
        <f t="shared" ref="N2527:N2544" si="796">DAY(D2527)</f>
        <v>10</v>
      </c>
      <c r="O2527" s="25">
        <f t="shared" si="794"/>
        <v>43770</v>
      </c>
      <c r="P2527" s="5" t="str">
        <f t="shared" ref="P2527:P2544" si="797">TEXT(E2527,"#.##0,00")</f>
        <v>56.250,00</v>
      </c>
      <c r="Q2527" s="4" t="e">
        <f t="shared" ref="Q2527:Q2544" ca="1" si="798">CONVERTIRNUM(E2527)</f>
        <v>#NAME?</v>
      </c>
    </row>
    <row r="2528" spans="1:17" ht="15.75" thickBot="1">
      <c r="A2528" s="1">
        <f t="shared" si="795"/>
        <v>2527</v>
      </c>
      <c r="B2528" s="8"/>
      <c r="C2528" s="85" t="s">
        <v>17</v>
      </c>
      <c r="D2528" s="2">
        <v>43779</v>
      </c>
      <c r="E2528" s="3">
        <v>56250</v>
      </c>
      <c r="F2528" t="s">
        <v>319</v>
      </c>
      <c r="G2528" s="18" t="s">
        <v>58</v>
      </c>
      <c r="H2528" t="s">
        <v>320</v>
      </c>
      <c r="I2528" s="6" t="s">
        <v>1082</v>
      </c>
      <c r="J2528" s="61" t="s">
        <v>22</v>
      </c>
      <c r="L2528" s="5" t="str">
        <f t="shared" si="792"/>
        <v>02527</v>
      </c>
      <c r="M2528" s="47" t="str">
        <f t="shared" si="793"/>
        <v>10 de noviembre de 2019</v>
      </c>
      <c r="N2528" s="323">
        <f t="shared" si="796"/>
        <v>10</v>
      </c>
      <c r="O2528" s="25">
        <f t="shared" si="794"/>
        <v>43770</v>
      </c>
      <c r="P2528" s="5" t="str">
        <f t="shared" si="797"/>
        <v>56.250,00</v>
      </c>
      <c r="Q2528" s="4" t="e">
        <f t="shared" ca="1" si="798"/>
        <v>#NAME?</v>
      </c>
    </row>
    <row r="2529" spans="1:17">
      <c r="A2529" s="1">
        <f t="shared" si="795"/>
        <v>2528</v>
      </c>
      <c r="C2529" s="8" t="s">
        <v>17</v>
      </c>
      <c r="D2529" s="2">
        <v>43779</v>
      </c>
      <c r="E2529" s="3">
        <v>56250</v>
      </c>
      <c r="F2529" t="s">
        <v>243</v>
      </c>
      <c r="G2529" t="s">
        <v>244</v>
      </c>
      <c r="H2529" t="s">
        <v>245</v>
      </c>
      <c r="I2529" s="6" t="s">
        <v>1082</v>
      </c>
      <c r="J2529" s="61" t="s">
        <v>22</v>
      </c>
      <c r="L2529" s="5" t="str">
        <f>IF(ISBLANK(A2529),"",TEXT(A2529,"00000"))</f>
        <v>02528</v>
      </c>
      <c r="M2529" s="47" t="str">
        <f>IF(ISBLANK(D2529),"",TEXT(D2529,"dd")&amp;" de "&amp;TEXT(D2529,"mmmm")&amp;" de "&amp;TEXT(YEAR(D2529),"0"))</f>
        <v>10 de noviembre de 2019</v>
      </c>
      <c r="N2529" s="323">
        <f t="shared" si="796"/>
        <v>10</v>
      </c>
      <c r="O2529" s="25">
        <f>DATE(YEAR(D2529),MONTH(D2529),1)</f>
        <v>43770</v>
      </c>
      <c r="P2529" s="5" t="str">
        <f t="shared" si="797"/>
        <v>56.250,00</v>
      </c>
      <c r="Q2529" s="4" t="e">
        <f t="shared" ca="1" si="798"/>
        <v>#NAME?</v>
      </c>
    </row>
    <row r="2530" spans="1:17">
      <c r="A2530" s="1">
        <f t="shared" si="795"/>
        <v>2529</v>
      </c>
      <c r="C2530" s="8" t="s">
        <v>17</v>
      </c>
      <c r="D2530" s="2">
        <v>43779</v>
      </c>
      <c r="E2530" s="3">
        <v>56250</v>
      </c>
      <c r="F2530" t="s">
        <v>66</v>
      </c>
      <c r="G2530" t="s">
        <v>67</v>
      </c>
      <c r="H2530" t="s">
        <v>68</v>
      </c>
      <c r="I2530" s="6" t="s">
        <v>1082</v>
      </c>
      <c r="J2530" s="61" t="s">
        <v>22</v>
      </c>
      <c r="L2530" s="5" t="str">
        <f t="shared" ref="L2530:L2544" si="799">IF(ISBLANK(A2530),"",TEXT(A2530,"00000"))</f>
        <v>02529</v>
      </c>
      <c r="M2530" s="47" t="str">
        <f t="shared" ref="M2530:M2544" si="800">IF(ISBLANK(D2530),"",TEXT(D2530,"dd")&amp;" de "&amp;TEXT(D2530,"mmmm")&amp;" de "&amp;TEXT(YEAR(D2530),"0"))</f>
        <v>10 de noviembre de 2019</v>
      </c>
      <c r="N2530" s="323">
        <f t="shared" si="796"/>
        <v>10</v>
      </c>
      <c r="O2530" s="25">
        <f t="shared" ref="O2530:O2544" si="801">DATE(YEAR(D2530),MONTH(D2530),1)</f>
        <v>43770</v>
      </c>
      <c r="P2530" s="5" t="str">
        <f t="shared" si="797"/>
        <v>56.250,00</v>
      </c>
      <c r="Q2530" s="4" t="e">
        <f t="shared" ca="1" si="798"/>
        <v>#NAME?</v>
      </c>
    </row>
    <row r="2531" spans="1:17">
      <c r="A2531" s="1">
        <f t="shared" si="795"/>
        <v>2530</v>
      </c>
      <c r="B2531" s="8"/>
      <c r="C2531" s="8" t="s">
        <v>17</v>
      </c>
      <c r="D2531" s="2">
        <v>43780</v>
      </c>
      <c r="E2531" s="3">
        <v>56000</v>
      </c>
      <c r="F2531" t="s">
        <v>126</v>
      </c>
      <c r="G2531" t="s">
        <v>127</v>
      </c>
      <c r="H2531" t="s">
        <v>128</v>
      </c>
      <c r="I2531" s="6" t="s">
        <v>1084</v>
      </c>
      <c r="J2531" s="61" t="s">
        <v>22</v>
      </c>
      <c r="L2531" s="5" t="str">
        <f t="shared" si="799"/>
        <v>02530</v>
      </c>
      <c r="M2531" s="47" t="str">
        <f t="shared" si="800"/>
        <v>11 de noviembre de 2019</v>
      </c>
      <c r="N2531" s="323">
        <f t="shared" si="796"/>
        <v>11</v>
      </c>
      <c r="O2531" s="25">
        <f t="shared" si="801"/>
        <v>43770</v>
      </c>
      <c r="P2531" s="5" t="str">
        <f t="shared" si="797"/>
        <v>56.000,00</v>
      </c>
      <c r="Q2531" s="4" t="e">
        <f t="shared" ca="1" si="798"/>
        <v>#NAME?</v>
      </c>
    </row>
    <row r="2532" spans="1:17" ht="15.75" thickBot="1">
      <c r="A2532" s="1">
        <f t="shared" si="795"/>
        <v>2531</v>
      </c>
      <c r="B2532" s="8"/>
      <c r="C2532" s="8" t="s">
        <v>17</v>
      </c>
      <c r="D2532" s="2">
        <v>43781</v>
      </c>
      <c r="E2532" s="3">
        <v>75000</v>
      </c>
      <c r="F2532" t="s">
        <v>53</v>
      </c>
      <c r="G2532" t="s">
        <v>677</v>
      </c>
      <c r="H2532" t="s">
        <v>55</v>
      </c>
      <c r="I2532" s="6" t="s">
        <v>1082</v>
      </c>
      <c r="J2532" s="61" t="s">
        <v>22</v>
      </c>
      <c r="L2532" s="5" t="str">
        <f t="shared" si="799"/>
        <v>02531</v>
      </c>
      <c r="M2532" s="47" t="str">
        <f t="shared" si="800"/>
        <v>12 de noviembre de 2019</v>
      </c>
      <c r="N2532" s="323">
        <f t="shared" si="796"/>
        <v>12</v>
      </c>
      <c r="O2532" s="25">
        <f t="shared" si="801"/>
        <v>43770</v>
      </c>
      <c r="P2532" s="5" t="str">
        <f t="shared" si="797"/>
        <v>75.000,00</v>
      </c>
      <c r="Q2532" s="4" t="e">
        <f t="shared" ca="1" si="798"/>
        <v>#NAME?</v>
      </c>
    </row>
    <row r="2533" spans="1:17" ht="15.75" thickBot="1">
      <c r="A2533" s="1">
        <f t="shared" si="795"/>
        <v>2532</v>
      </c>
      <c r="B2533" s="8"/>
      <c r="C2533" s="8" t="s">
        <v>17</v>
      </c>
      <c r="D2533" s="2">
        <v>43782</v>
      </c>
      <c r="E2533" s="597">
        <f>5*25800</f>
        <v>129000</v>
      </c>
      <c r="F2533" t="s">
        <v>122</v>
      </c>
      <c r="G2533" t="s">
        <v>123</v>
      </c>
      <c r="H2533" t="s">
        <v>124</v>
      </c>
      <c r="I2533" s="6" t="s">
        <v>1092</v>
      </c>
      <c r="J2533" s="61" t="s">
        <v>22</v>
      </c>
      <c r="L2533" s="5" t="str">
        <f t="shared" si="799"/>
        <v>02532</v>
      </c>
      <c r="M2533" s="47" t="str">
        <f t="shared" si="800"/>
        <v>13 de noviembre de 2019</v>
      </c>
      <c r="N2533" s="323">
        <f t="shared" si="796"/>
        <v>13</v>
      </c>
      <c r="O2533" s="25">
        <f t="shared" si="801"/>
        <v>43770</v>
      </c>
      <c r="P2533" s="5" t="str">
        <f t="shared" si="797"/>
        <v>129.000,00</v>
      </c>
      <c r="Q2533" s="4" t="e">
        <f t="shared" ca="1" si="798"/>
        <v>#NAME?</v>
      </c>
    </row>
    <row r="2534" spans="1:17">
      <c r="A2534" s="1">
        <f t="shared" si="795"/>
        <v>2533</v>
      </c>
      <c r="B2534" s="8"/>
      <c r="C2534" s="8" t="s">
        <v>17</v>
      </c>
      <c r="D2534" s="2">
        <v>43782</v>
      </c>
      <c r="E2534" s="3">
        <v>64500</v>
      </c>
      <c r="F2534" t="s">
        <v>177</v>
      </c>
      <c r="G2534" t="s">
        <v>941</v>
      </c>
      <c r="H2534" t="s">
        <v>179</v>
      </c>
      <c r="I2534" s="6" t="s">
        <v>1093</v>
      </c>
      <c r="J2534" s="61" t="s">
        <v>22</v>
      </c>
      <c r="L2534" s="5" t="str">
        <f t="shared" si="799"/>
        <v>02533</v>
      </c>
      <c r="M2534" s="47" t="str">
        <f t="shared" si="800"/>
        <v>13 de noviembre de 2019</v>
      </c>
      <c r="N2534" s="323">
        <f t="shared" si="796"/>
        <v>13</v>
      </c>
      <c r="O2534" s="25">
        <f t="shared" si="801"/>
        <v>43770</v>
      </c>
      <c r="P2534" s="5" t="str">
        <f t="shared" si="797"/>
        <v>64.500,00</v>
      </c>
      <c r="Q2534" s="4" t="e">
        <f t="shared" ca="1" si="798"/>
        <v>#NAME?</v>
      </c>
    </row>
    <row r="2535" spans="1:17">
      <c r="A2535" s="1">
        <f>A2534+1</f>
        <v>2534</v>
      </c>
      <c r="B2535" s="8"/>
      <c r="C2535" s="8" t="s">
        <v>17</v>
      </c>
      <c r="D2535" s="2">
        <v>43782</v>
      </c>
      <c r="E2535" s="3">
        <v>107900</v>
      </c>
      <c r="F2535" t="s">
        <v>18</v>
      </c>
      <c r="G2535" t="s">
        <v>19</v>
      </c>
      <c r="H2535" t="s">
        <v>20</v>
      </c>
      <c r="I2535" s="6" t="s">
        <v>1094</v>
      </c>
      <c r="J2535" s="61" t="s">
        <v>22</v>
      </c>
      <c r="L2535" s="5" t="str">
        <f t="shared" si="799"/>
        <v>02534</v>
      </c>
      <c r="M2535" s="47" t="str">
        <f t="shared" si="800"/>
        <v>13 de noviembre de 2019</v>
      </c>
      <c r="N2535" s="323">
        <f t="shared" si="796"/>
        <v>13</v>
      </c>
      <c r="O2535" s="25">
        <f t="shared" si="801"/>
        <v>43770</v>
      </c>
      <c r="P2535" s="5" t="str">
        <f t="shared" si="797"/>
        <v>107.900,00</v>
      </c>
      <c r="Q2535" s="4" t="e">
        <f t="shared" ca="1" si="798"/>
        <v>#NAME?</v>
      </c>
    </row>
    <row r="2536" spans="1:17" ht="15.75" thickBot="1">
      <c r="A2536" s="1">
        <f t="shared" ref="A2536:A2539" si="802">A2535+1</f>
        <v>2535</v>
      </c>
      <c r="B2536" s="8"/>
      <c r="C2536" s="8" t="s">
        <v>17</v>
      </c>
      <c r="D2536" s="2">
        <v>43784</v>
      </c>
      <c r="E2536" s="3">
        <v>64500</v>
      </c>
      <c r="F2536" t="s">
        <v>185</v>
      </c>
      <c r="G2536" t="s">
        <v>186</v>
      </c>
      <c r="H2536" t="s">
        <v>187</v>
      </c>
      <c r="I2536" s="6" t="s">
        <v>1082</v>
      </c>
      <c r="J2536" s="61" t="s">
        <v>22</v>
      </c>
      <c r="L2536" s="5" t="str">
        <f t="shared" si="799"/>
        <v>02535</v>
      </c>
      <c r="M2536" s="47" t="str">
        <f t="shared" si="800"/>
        <v>15 de noviembre de 2019</v>
      </c>
      <c r="N2536" s="323">
        <f t="shared" si="796"/>
        <v>15</v>
      </c>
      <c r="O2536" s="25">
        <f t="shared" si="801"/>
        <v>43770</v>
      </c>
      <c r="P2536" s="5" t="str">
        <f t="shared" si="797"/>
        <v>64.500,00</v>
      </c>
      <c r="Q2536" s="4" t="e">
        <f t="shared" ca="1" si="798"/>
        <v>#NAME?</v>
      </c>
    </row>
    <row r="2537" spans="1:17" ht="15.75" thickBot="1">
      <c r="A2537" s="1">
        <f t="shared" si="802"/>
        <v>2536</v>
      </c>
      <c r="B2537" s="8"/>
      <c r="C2537" s="8" t="s">
        <v>17</v>
      </c>
      <c r="D2537" s="2">
        <v>43784</v>
      </c>
      <c r="E2537" s="3">
        <v>18000</v>
      </c>
      <c r="F2537" t="s">
        <v>252</v>
      </c>
      <c r="G2537" s="475" t="s">
        <v>958</v>
      </c>
      <c r="H2537" t="s">
        <v>254</v>
      </c>
      <c r="I2537" s="6" t="s">
        <v>1095</v>
      </c>
      <c r="J2537" s="61" t="s">
        <v>22</v>
      </c>
      <c r="L2537" s="5" t="str">
        <f t="shared" si="799"/>
        <v>02536</v>
      </c>
      <c r="M2537" s="47" t="str">
        <f t="shared" si="800"/>
        <v>15 de noviembre de 2019</v>
      </c>
      <c r="N2537" s="323">
        <f t="shared" si="796"/>
        <v>15</v>
      </c>
      <c r="O2537" s="25">
        <f t="shared" si="801"/>
        <v>43770</v>
      </c>
      <c r="P2537" s="5" t="str">
        <f t="shared" si="797"/>
        <v>18.000,00</v>
      </c>
      <c r="Q2537" s="4" t="e">
        <f t="shared" ca="1" si="798"/>
        <v>#NAME?</v>
      </c>
    </row>
    <row r="2538" spans="1:17">
      <c r="A2538" s="1">
        <f t="shared" si="802"/>
        <v>2537</v>
      </c>
      <c r="B2538" s="8"/>
      <c r="C2538" s="8" t="s">
        <v>17</v>
      </c>
      <c r="D2538" s="2">
        <v>43784</v>
      </c>
      <c r="E2538" s="3">
        <v>64500</v>
      </c>
      <c r="F2538" t="s">
        <v>130</v>
      </c>
      <c r="G2538" t="s">
        <v>1054</v>
      </c>
      <c r="H2538" t="s">
        <v>132</v>
      </c>
      <c r="I2538" s="6" t="s">
        <v>1082</v>
      </c>
      <c r="J2538" s="61" t="s">
        <v>22</v>
      </c>
      <c r="L2538" s="5" t="str">
        <f t="shared" si="799"/>
        <v>02537</v>
      </c>
      <c r="M2538" s="47" t="str">
        <f t="shared" si="800"/>
        <v>15 de noviembre de 2019</v>
      </c>
      <c r="N2538" s="323">
        <f t="shared" si="796"/>
        <v>15</v>
      </c>
      <c r="O2538" s="25">
        <f t="shared" si="801"/>
        <v>43770</v>
      </c>
      <c r="P2538" s="5" t="str">
        <f t="shared" si="797"/>
        <v>64.500,00</v>
      </c>
      <c r="Q2538" s="4" t="e">
        <f t="shared" ca="1" si="798"/>
        <v>#NAME?</v>
      </c>
    </row>
    <row r="2539" spans="1:17">
      <c r="A2539" s="1">
        <f t="shared" si="802"/>
        <v>2538</v>
      </c>
      <c r="B2539" s="8"/>
      <c r="C2539" s="8" t="s">
        <v>17</v>
      </c>
      <c r="D2539" s="2">
        <v>43786</v>
      </c>
      <c r="E2539" s="3">
        <v>64500</v>
      </c>
      <c r="F2539" t="s">
        <v>935</v>
      </c>
      <c r="G2539" t="s">
        <v>936</v>
      </c>
      <c r="H2539" t="s">
        <v>150</v>
      </c>
      <c r="I2539" s="6" t="s">
        <v>1082</v>
      </c>
      <c r="J2539" s="61" t="s">
        <v>22</v>
      </c>
      <c r="L2539" s="5" t="str">
        <f t="shared" si="799"/>
        <v>02538</v>
      </c>
      <c r="M2539" s="47" t="str">
        <f t="shared" si="800"/>
        <v>17 de noviembre de 2019</v>
      </c>
      <c r="N2539" s="323">
        <f t="shared" si="796"/>
        <v>17</v>
      </c>
      <c r="O2539" s="25">
        <f t="shared" si="801"/>
        <v>43770</v>
      </c>
      <c r="P2539" s="5" t="str">
        <f t="shared" si="797"/>
        <v>64.500,00</v>
      </c>
      <c r="Q2539" s="4" t="e">
        <f t="shared" ca="1" si="798"/>
        <v>#NAME?</v>
      </c>
    </row>
    <row r="2540" spans="1:17">
      <c r="A2540" s="1">
        <f>A2539+1</f>
        <v>2539</v>
      </c>
      <c r="B2540" s="8"/>
      <c r="C2540" s="8" t="s">
        <v>17</v>
      </c>
      <c r="D2540" s="2">
        <v>43786</v>
      </c>
      <c r="E2540" s="3">
        <v>64500</v>
      </c>
      <c r="F2540" t="s">
        <v>296</v>
      </c>
      <c r="G2540" t="s">
        <v>297</v>
      </c>
      <c r="H2540" t="s">
        <v>298</v>
      </c>
      <c r="I2540" s="6" t="s">
        <v>1082</v>
      </c>
      <c r="J2540" s="61" t="s">
        <v>22</v>
      </c>
      <c r="L2540" s="5" t="str">
        <f t="shared" si="799"/>
        <v>02539</v>
      </c>
      <c r="M2540" s="47" t="str">
        <f t="shared" si="800"/>
        <v>17 de noviembre de 2019</v>
      </c>
      <c r="N2540" s="323">
        <f t="shared" si="796"/>
        <v>17</v>
      </c>
      <c r="O2540" s="25">
        <f t="shared" si="801"/>
        <v>43770</v>
      </c>
      <c r="P2540" s="5" t="str">
        <f t="shared" si="797"/>
        <v>64.500,00</v>
      </c>
      <c r="Q2540" s="4" t="e">
        <f t="shared" ca="1" si="798"/>
        <v>#NAME?</v>
      </c>
    </row>
    <row r="2541" spans="1:17" ht="15.75" thickBot="1">
      <c r="A2541" s="1">
        <f t="shared" ref="A2541" si="803">A2540+1</f>
        <v>2540</v>
      </c>
      <c r="B2541" s="8"/>
      <c r="C2541" s="8" t="s">
        <v>17</v>
      </c>
      <c r="D2541" s="2">
        <v>43786</v>
      </c>
      <c r="E2541" s="3">
        <v>64500</v>
      </c>
      <c r="F2541" t="s">
        <v>633</v>
      </c>
      <c r="G2541" t="s">
        <v>634</v>
      </c>
      <c r="H2541" t="s">
        <v>635</v>
      </c>
      <c r="I2541" s="6" t="s">
        <v>1082</v>
      </c>
      <c r="J2541" s="61" t="s">
        <v>22</v>
      </c>
      <c r="L2541" s="5" t="str">
        <f t="shared" si="799"/>
        <v>02540</v>
      </c>
      <c r="M2541" s="47" t="str">
        <f t="shared" si="800"/>
        <v>17 de noviembre de 2019</v>
      </c>
      <c r="N2541" s="323">
        <f t="shared" si="796"/>
        <v>17</v>
      </c>
      <c r="O2541" s="25">
        <f t="shared" si="801"/>
        <v>43770</v>
      </c>
      <c r="P2541" s="5" t="str">
        <f t="shared" si="797"/>
        <v>64.500,00</v>
      </c>
      <c r="Q2541" s="4" t="e">
        <f t="shared" ca="1" si="798"/>
        <v>#NAME?</v>
      </c>
    </row>
    <row r="2542" spans="1:17" ht="15.75" thickBot="1">
      <c r="A2542" s="1">
        <f>A2541+1</f>
        <v>2541</v>
      </c>
      <c r="B2542" s="8"/>
      <c r="C2542" s="8" t="s">
        <v>17</v>
      </c>
      <c r="D2542" s="2">
        <v>43786</v>
      </c>
      <c r="E2542" s="3">
        <v>64500</v>
      </c>
      <c r="F2542" t="s">
        <v>239</v>
      </c>
      <c r="G2542" s="73" t="s">
        <v>240</v>
      </c>
      <c r="H2542" t="s">
        <v>241</v>
      </c>
      <c r="I2542" s="6" t="s">
        <v>1082</v>
      </c>
      <c r="J2542" s="61" t="s">
        <v>22</v>
      </c>
      <c r="L2542" s="5" t="str">
        <f t="shared" si="799"/>
        <v>02541</v>
      </c>
      <c r="M2542" s="47" t="str">
        <f t="shared" si="800"/>
        <v>17 de noviembre de 2019</v>
      </c>
      <c r="N2542" s="323">
        <f t="shared" si="796"/>
        <v>17</v>
      </c>
      <c r="O2542" s="25">
        <f t="shared" si="801"/>
        <v>43770</v>
      </c>
      <c r="P2542" s="5" t="str">
        <f t="shared" si="797"/>
        <v>64.500,00</v>
      </c>
      <c r="Q2542" s="4" t="e">
        <f t="shared" ca="1" si="798"/>
        <v>#NAME?</v>
      </c>
    </row>
    <row r="2543" spans="1:17">
      <c r="A2543" s="1">
        <f t="shared" ref="A2543:A2549" si="804">A2542+1</f>
        <v>2542</v>
      </c>
      <c r="B2543" s="8"/>
      <c r="C2543" s="8" t="s">
        <v>17</v>
      </c>
      <c r="D2543" s="2">
        <v>43787</v>
      </c>
      <c r="E2543" s="3">
        <v>73500</v>
      </c>
      <c r="F2543" t="s">
        <v>438</v>
      </c>
      <c r="G2543" t="s">
        <v>439</v>
      </c>
      <c r="H2543" t="s">
        <v>440</v>
      </c>
      <c r="I2543" s="6" t="s">
        <v>1096</v>
      </c>
      <c r="J2543" s="61" t="s">
        <v>22</v>
      </c>
      <c r="L2543" s="5" t="str">
        <f t="shared" si="799"/>
        <v>02542</v>
      </c>
      <c r="M2543" s="47" t="str">
        <f t="shared" si="800"/>
        <v>18 de noviembre de 2019</v>
      </c>
      <c r="N2543" s="323">
        <f t="shared" si="796"/>
        <v>18</v>
      </c>
      <c r="O2543" s="25">
        <f t="shared" si="801"/>
        <v>43770</v>
      </c>
      <c r="P2543" s="5" t="str">
        <f t="shared" si="797"/>
        <v>73.500,00</v>
      </c>
      <c r="Q2543" s="4" t="e">
        <f t="shared" ca="1" si="798"/>
        <v>#NAME?</v>
      </c>
    </row>
    <row r="2544" spans="1:17">
      <c r="A2544" s="1">
        <f t="shared" si="804"/>
        <v>2543</v>
      </c>
      <c r="B2544" s="8"/>
      <c r="C2544" s="8" t="s">
        <v>17</v>
      </c>
      <c r="D2544" s="2">
        <v>43788</v>
      </c>
      <c r="E2544" s="3">
        <v>73500</v>
      </c>
      <c r="F2544" t="s">
        <v>248</v>
      </c>
      <c r="G2544" t="s">
        <v>249</v>
      </c>
      <c r="H2544" t="s">
        <v>250</v>
      </c>
      <c r="I2544" s="6" t="s">
        <v>1082</v>
      </c>
      <c r="J2544" s="61" t="s">
        <v>22</v>
      </c>
      <c r="L2544" s="5" t="str">
        <f t="shared" si="799"/>
        <v>02543</v>
      </c>
      <c r="M2544" s="47" t="str">
        <f t="shared" si="800"/>
        <v>19 de noviembre de 2019</v>
      </c>
      <c r="N2544" s="323">
        <f t="shared" si="796"/>
        <v>19</v>
      </c>
      <c r="O2544" s="25">
        <f t="shared" si="801"/>
        <v>43770</v>
      </c>
      <c r="P2544" s="5" t="str">
        <f t="shared" si="797"/>
        <v>73.500,00</v>
      </c>
      <c r="Q2544" s="4" t="e">
        <f t="shared" ca="1" si="798"/>
        <v>#NAME?</v>
      </c>
    </row>
    <row r="2545" spans="1:17">
      <c r="A2545" s="1">
        <f t="shared" si="804"/>
        <v>2544</v>
      </c>
      <c r="B2545" s="8"/>
      <c r="C2545" s="8" t="s">
        <v>17</v>
      </c>
      <c r="D2545" s="2">
        <v>43788</v>
      </c>
      <c r="E2545" s="3">
        <v>200000</v>
      </c>
      <c r="F2545" t="s">
        <v>66</v>
      </c>
      <c r="G2545" t="s">
        <v>67</v>
      </c>
      <c r="H2545" t="s">
        <v>68</v>
      </c>
      <c r="I2545" s="6" t="s">
        <v>1097</v>
      </c>
      <c r="J2545" s="61" t="s">
        <v>22</v>
      </c>
      <c r="L2545" s="5" t="str">
        <f t="shared" ref="L2545:L2556" si="805">IF(ISBLANK(A2545),"",TEXT(A2545,"00000"))</f>
        <v>02544</v>
      </c>
      <c r="M2545" s="47" t="str">
        <f t="shared" ref="M2545:M2556" si="806">IF(ISBLANK(D2545),"",TEXT(D2545,"dd")&amp;" de "&amp;TEXT(D2545,"mmmm")&amp;" de "&amp;TEXT(YEAR(D2545),"0"))</f>
        <v>19 de noviembre de 2019</v>
      </c>
      <c r="N2545" s="323">
        <f t="shared" ref="N2545:N2570" si="807">DAY(D2545)</f>
        <v>19</v>
      </c>
      <c r="O2545" s="25">
        <f t="shared" ref="O2545:O2556" si="808">DATE(YEAR(D2545),MONTH(D2545),1)</f>
        <v>43770</v>
      </c>
      <c r="P2545" s="5" t="str">
        <f t="shared" ref="P2545:P2570" si="809">TEXT(E2545,"#.##0,00")</f>
        <v>200.000,00</v>
      </c>
      <c r="Q2545" s="4" t="e">
        <f t="shared" ref="Q2545:Q2562" ca="1" si="810">CONVERTIRNUM(E2545)</f>
        <v>#NAME?</v>
      </c>
    </row>
    <row r="2546" spans="1:17">
      <c r="A2546" s="1">
        <f t="shared" si="804"/>
        <v>2545</v>
      </c>
      <c r="B2546" s="8"/>
      <c r="C2546" s="8" t="s">
        <v>17</v>
      </c>
      <c r="D2546" s="2">
        <v>43789</v>
      </c>
      <c r="E2546" s="3">
        <v>147000</v>
      </c>
      <c r="F2546" t="s">
        <v>287</v>
      </c>
      <c r="G2546" t="s">
        <v>288</v>
      </c>
      <c r="H2546" t="s">
        <v>289</v>
      </c>
      <c r="I2546" s="6" t="s">
        <v>1088</v>
      </c>
      <c r="J2546" s="61" t="s">
        <v>22</v>
      </c>
      <c r="L2546" s="5" t="str">
        <f t="shared" si="805"/>
        <v>02545</v>
      </c>
      <c r="M2546" s="47" t="str">
        <f t="shared" si="806"/>
        <v>20 de noviembre de 2019</v>
      </c>
      <c r="N2546" s="323">
        <f t="shared" si="807"/>
        <v>20</v>
      </c>
      <c r="O2546" s="25">
        <f t="shared" si="808"/>
        <v>43770</v>
      </c>
      <c r="P2546" s="5" t="str">
        <f t="shared" si="809"/>
        <v>147.000,00</v>
      </c>
      <c r="Q2546" s="4" t="e">
        <f t="shared" ca="1" si="810"/>
        <v>#NAME?</v>
      </c>
    </row>
    <row r="2547" spans="1:17" ht="15.75" thickBot="1">
      <c r="A2547" s="1">
        <f t="shared" si="804"/>
        <v>2546</v>
      </c>
      <c r="B2547" s="8"/>
      <c r="C2547" s="8" t="s">
        <v>17</v>
      </c>
      <c r="D2547" s="2">
        <v>43790</v>
      </c>
      <c r="E2547" s="3">
        <v>73500</v>
      </c>
      <c r="F2547" t="s">
        <v>713</v>
      </c>
      <c r="G2547" t="s">
        <v>714</v>
      </c>
      <c r="H2547" t="s">
        <v>154</v>
      </c>
      <c r="I2547" s="6" t="s">
        <v>1082</v>
      </c>
      <c r="J2547" s="61" t="s">
        <v>22</v>
      </c>
      <c r="L2547" s="5" t="str">
        <f t="shared" si="805"/>
        <v>02546</v>
      </c>
      <c r="M2547" s="47" t="str">
        <f t="shared" si="806"/>
        <v>21 de noviembre de 2019</v>
      </c>
      <c r="N2547" s="323">
        <f t="shared" si="807"/>
        <v>21</v>
      </c>
      <c r="O2547" s="25">
        <f t="shared" si="808"/>
        <v>43770</v>
      </c>
      <c r="P2547" s="5" t="str">
        <f t="shared" si="809"/>
        <v>73.500,00</v>
      </c>
      <c r="Q2547" s="4" t="e">
        <f t="shared" ca="1" si="810"/>
        <v>#NAME?</v>
      </c>
    </row>
    <row r="2548" spans="1:17" ht="15.75" thickBot="1">
      <c r="A2548" s="1">
        <f t="shared" si="804"/>
        <v>2547</v>
      </c>
      <c r="B2548" s="8"/>
      <c r="C2548" s="8" t="s">
        <v>17</v>
      </c>
      <c r="D2548" s="2">
        <v>43790</v>
      </c>
      <c r="E2548" s="3">
        <v>73500</v>
      </c>
      <c r="F2548" t="s">
        <v>1017</v>
      </c>
      <c r="G2548" s="475" t="s">
        <v>1018</v>
      </c>
      <c r="H2548" t="s">
        <v>140</v>
      </c>
      <c r="I2548" s="6" t="s">
        <v>1082</v>
      </c>
      <c r="J2548" s="61" t="s">
        <v>22</v>
      </c>
      <c r="L2548" s="5" t="str">
        <f t="shared" si="805"/>
        <v>02547</v>
      </c>
      <c r="M2548" s="47" t="str">
        <f t="shared" si="806"/>
        <v>21 de noviembre de 2019</v>
      </c>
      <c r="N2548" s="323">
        <f t="shared" si="807"/>
        <v>21</v>
      </c>
      <c r="O2548" s="25">
        <f t="shared" si="808"/>
        <v>43770</v>
      </c>
      <c r="P2548" s="5" t="str">
        <f t="shared" si="809"/>
        <v>73.500,00</v>
      </c>
      <c r="Q2548" s="4" t="e">
        <f t="shared" ca="1" si="810"/>
        <v>#NAME?</v>
      </c>
    </row>
    <row r="2549" spans="1:17">
      <c r="A2549" s="1">
        <f t="shared" si="804"/>
        <v>2548</v>
      </c>
      <c r="B2549" s="8"/>
      <c r="C2549" s="8" t="s">
        <v>17</v>
      </c>
      <c r="D2549" s="2">
        <v>43790</v>
      </c>
      <c r="E2549" s="3">
        <v>73500</v>
      </c>
      <c r="F2549" t="s">
        <v>134</v>
      </c>
      <c r="G2549" t="s">
        <v>135</v>
      </c>
      <c r="H2549" t="s">
        <v>136</v>
      </c>
      <c r="I2549" s="6" t="s">
        <v>1082</v>
      </c>
      <c r="J2549" s="61" t="s">
        <v>22</v>
      </c>
      <c r="L2549" s="5" t="str">
        <f t="shared" si="805"/>
        <v>02548</v>
      </c>
      <c r="M2549" s="47" t="str">
        <f t="shared" si="806"/>
        <v>21 de noviembre de 2019</v>
      </c>
      <c r="N2549" s="323">
        <f t="shared" si="807"/>
        <v>21</v>
      </c>
      <c r="O2549" s="25">
        <f t="shared" si="808"/>
        <v>43770</v>
      </c>
      <c r="P2549" s="5" t="str">
        <f t="shared" si="809"/>
        <v>73.500,00</v>
      </c>
      <c r="Q2549" s="4" t="e">
        <f t="shared" ca="1" si="810"/>
        <v>#NAME?</v>
      </c>
    </row>
    <row r="2550" spans="1:17">
      <c r="A2550" s="1">
        <f>A2549+1</f>
        <v>2549</v>
      </c>
      <c r="B2550" s="8"/>
      <c r="C2550" s="8" t="s">
        <v>17</v>
      </c>
      <c r="D2550" s="2">
        <v>43791</v>
      </c>
      <c r="E2550" s="3">
        <v>25000</v>
      </c>
      <c r="F2550" t="s">
        <v>401</v>
      </c>
      <c r="G2550" t="s">
        <v>402</v>
      </c>
      <c r="H2550" t="s">
        <v>403</v>
      </c>
      <c r="I2550" s="6" t="s">
        <v>1087</v>
      </c>
      <c r="J2550" s="61" t="s">
        <v>22</v>
      </c>
      <c r="L2550" s="5" t="str">
        <f t="shared" si="805"/>
        <v>02549</v>
      </c>
      <c r="M2550" s="47" t="str">
        <f t="shared" si="806"/>
        <v>22 de noviembre de 2019</v>
      </c>
      <c r="N2550" s="323">
        <f t="shared" si="807"/>
        <v>22</v>
      </c>
      <c r="O2550" s="25">
        <f t="shared" si="808"/>
        <v>43770</v>
      </c>
      <c r="P2550" s="5" t="str">
        <f t="shared" si="809"/>
        <v>25.000,00</v>
      </c>
      <c r="Q2550" s="4" t="e">
        <f t="shared" ca="1" si="810"/>
        <v>#NAME?</v>
      </c>
    </row>
    <row r="2551" spans="1:17">
      <c r="A2551" s="1">
        <f t="shared" ref="A2551:A2553" si="811">A2550+1</f>
        <v>2550</v>
      </c>
      <c r="B2551" s="8"/>
      <c r="C2551" s="8" t="s">
        <v>17</v>
      </c>
      <c r="D2551" s="2">
        <v>43791</v>
      </c>
      <c r="E2551" s="3">
        <v>73500</v>
      </c>
      <c r="F2551" t="s">
        <v>612</v>
      </c>
      <c r="G2551" t="s">
        <v>613</v>
      </c>
      <c r="H2551" t="s">
        <v>614</v>
      </c>
      <c r="I2551" s="6" t="s">
        <v>1082</v>
      </c>
      <c r="J2551" s="61" t="s">
        <v>22</v>
      </c>
      <c r="L2551" s="5" t="str">
        <f t="shared" si="805"/>
        <v>02550</v>
      </c>
      <c r="M2551" s="47" t="str">
        <f t="shared" si="806"/>
        <v>22 de noviembre de 2019</v>
      </c>
      <c r="N2551" s="323">
        <f t="shared" si="807"/>
        <v>22</v>
      </c>
      <c r="O2551" s="25">
        <f t="shared" si="808"/>
        <v>43770</v>
      </c>
      <c r="P2551" s="5" t="str">
        <f t="shared" si="809"/>
        <v>73.500,00</v>
      </c>
      <c r="Q2551" s="4" t="e">
        <f t="shared" ca="1" si="810"/>
        <v>#NAME?</v>
      </c>
    </row>
    <row r="2552" spans="1:17">
      <c r="A2552" s="1">
        <f t="shared" si="811"/>
        <v>2551</v>
      </c>
      <c r="B2552" s="8"/>
      <c r="C2552" s="8" t="s">
        <v>17</v>
      </c>
      <c r="D2552" s="2">
        <v>43793</v>
      </c>
      <c r="E2552" s="3">
        <v>73500</v>
      </c>
      <c r="F2552" t="s">
        <v>843</v>
      </c>
      <c r="G2552" t="s">
        <v>844</v>
      </c>
      <c r="H2552" t="s">
        <v>169</v>
      </c>
      <c r="I2552" s="6" t="s">
        <v>1082</v>
      </c>
      <c r="J2552" s="61" t="s">
        <v>22</v>
      </c>
      <c r="L2552" s="5" t="str">
        <f t="shared" si="805"/>
        <v>02551</v>
      </c>
      <c r="M2552" s="47" t="str">
        <f t="shared" si="806"/>
        <v>24 de noviembre de 2019</v>
      </c>
      <c r="N2552" s="323">
        <f t="shared" si="807"/>
        <v>24</v>
      </c>
      <c r="O2552" s="25">
        <f t="shared" si="808"/>
        <v>43770</v>
      </c>
      <c r="P2552" s="5" t="str">
        <f t="shared" si="809"/>
        <v>73.500,00</v>
      </c>
      <c r="Q2552" s="4" t="e">
        <f t="shared" ca="1" si="810"/>
        <v>#NAME?</v>
      </c>
    </row>
    <row r="2553" spans="1:17" ht="16.5" customHeight="1">
      <c r="A2553" s="1">
        <f t="shared" si="811"/>
        <v>2552</v>
      </c>
      <c r="B2553" s="8"/>
      <c r="C2553" s="8" t="s">
        <v>17</v>
      </c>
      <c r="D2553" s="2">
        <v>43793</v>
      </c>
      <c r="E2553" s="3">
        <v>73500</v>
      </c>
      <c r="F2553" t="s">
        <v>219</v>
      </c>
      <c r="G2553" t="s">
        <v>220</v>
      </c>
      <c r="H2553" t="s">
        <v>221</v>
      </c>
      <c r="I2553" s="6" t="s">
        <v>1098</v>
      </c>
      <c r="J2553" s="61" t="s">
        <v>22</v>
      </c>
      <c r="L2553" s="5" t="str">
        <f t="shared" si="805"/>
        <v>02552</v>
      </c>
      <c r="M2553" s="47" t="str">
        <f t="shared" si="806"/>
        <v>24 de noviembre de 2019</v>
      </c>
      <c r="N2553" s="323">
        <f t="shared" si="807"/>
        <v>24</v>
      </c>
      <c r="O2553" s="25">
        <f t="shared" si="808"/>
        <v>43770</v>
      </c>
      <c r="P2553" s="5" t="str">
        <f t="shared" si="809"/>
        <v>73.500,00</v>
      </c>
      <c r="Q2553" s="4" t="e">
        <f t="shared" ca="1" si="810"/>
        <v>#NAME?</v>
      </c>
    </row>
    <row r="2554" spans="1:17">
      <c r="A2554" s="1">
        <f>A2553+1</f>
        <v>2553</v>
      </c>
      <c r="B2554" s="8"/>
      <c r="C2554" s="8" t="s">
        <v>17</v>
      </c>
      <c r="D2554" s="2">
        <v>43794</v>
      </c>
      <c r="E2554" s="3">
        <v>81750</v>
      </c>
      <c r="F2554" t="s">
        <v>211</v>
      </c>
      <c r="G2554" t="s">
        <v>212</v>
      </c>
      <c r="H2554" t="s">
        <v>213</v>
      </c>
      <c r="I2554" s="6" t="s">
        <v>1082</v>
      </c>
      <c r="J2554" s="61" t="s">
        <v>22</v>
      </c>
      <c r="L2554" s="5" t="str">
        <f t="shared" si="805"/>
        <v>02553</v>
      </c>
      <c r="M2554" s="47" t="str">
        <f t="shared" si="806"/>
        <v>25 de noviembre de 2019</v>
      </c>
      <c r="N2554" s="323">
        <f t="shared" si="807"/>
        <v>25</v>
      </c>
      <c r="O2554" s="25">
        <f t="shared" si="808"/>
        <v>43770</v>
      </c>
      <c r="P2554" s="5" t="str">
        <f t="shared" si="809"/>
        <v>81.750,00</v>
      </c>
      <c r="Q2554" s="4" t="e">
        <f t="shared" ca="1" si="810"/>
        <v>#NAME?</v>
      </c>
    </row>
    <row r="2555" spans="1:17" ht="15.75" thickBot="1">
      <c r="A2555" s="1">
        <f t="shared" ref="A2555:A2566" si="812">A2554+1</f>
        <v>2554</v>
      </c>
      <c r="B2555" s="8"/>
      <c r="C2555" s="8" t="s">
        <v>17</v>
      </c>
      <c r="D2555" s="2">
        <v>43793</v>
      </c>
      <c r="E2555" s="3">
        <v>73500</v>
      </c>
      <c r="F2555" t="s">
        <v>998</v>
      </c>
      <c r="G2555" t="s">
        <v>999</v>
      </c>
      <c r="H2555" t="s">
        <v>1000</v>
      </c>
      <c r="I2555" s="6" t="s">
        <v>1082</v>
      </c>
      <c r="J2555" s="61" t="s">
        <v>22</v>
      </c>
      <c r="L2555" s="5" t="str">
        <f t="shared" si="805"/>
        <v>02554</v>
      </c>
      <c r="M2555" s="47" t="str">
        <f t="shared" si="806"/>
        <v>24 de noviembre de 2019</v>
      </c>
      <c r="N2555" s="323">
        <f t="shared" si="807"/>
        <v>24</v>
      </c>
      <c r="O2555" s="25">
        <f t="shared" si="808"/>
        <v>43770</v>
      </c>
      <c r="P2555" s="5" t="str">
        <f t="shared" si="809"/>
        <v>73.500,00</v>
      </c>
      <c r="Q2555" s="4" t="e">
        <f t="shared" ca="1" si="810"/>
        <v>#NAME?</v>
      </c>
    </row>
    <row r="2556" spans="1:17" ht="15.75" thickBot="1">
      <c r="A2556" s="1">
        <f t="shared" si="812"/>
        <v>2555</v>
      </c>
      <c r="B2556" s="8"/>
      <c r="C2556" s="8" t="s">
        <v>17</v>
      </c>
      <c r="D2556" s="2">
        <v>43784</v>
      </c>
      <c r="E2556" s="597">
        <f>1.1*25800</f>
        <v>28380.000000000004</v>
      </c>
      <c r="F2556" t="s">
        <v>103</v>
      </c>
      <c r="G2556" s="599" t="s">
        <v>1047</v>
      </c>
      <c r="H2556" t="s">
        <v>105</v>
      </c>
      <c r="I2556" s="6" t="s">
        <v>1099</v>
      </c>
      <c r="J2556" s="61" t="s">
        <v>22</v>
      </c>
      <c r="L2556" s="5" t="str">
        <f t="shared" si="805"/>
        <v>02555</v>
      </c>
      <c r="M2556" s="47" t="str">
        <f t="shared" si="806"/>
        <v>15 de noviembre de 2019</v>
      </c>
      <c r="N2556" s="323">
        <f t="shared" si="807"/>
        <v>15</v>
      </c>
      <c r="O2556" s="25">
        <f t="shared" si="808"/>
        <v>43770</v>
      </c>
      <c r="P2556" s="5" t="str">
        <f t="shared" si="809"/>
        <v>28.380,00</v>
      </c>
      <c r="Q2556" s="4" t="e">
        <f t="shared" ca="1" si="810"/>
        <v>#NAME?</v>
      </c>
    </row>
    <row r="2557" spans="1:17" ht="15.75" thickBot="1">
      <c r="A2557" s="1">
        <f t="shared" si="812"/>
        <v>2556</v>
      </c>
      <c r="B2557" s="8"/>
      <c r="C2557" s="8" t="s">
        <v>17</v>
      </c>
      <c r="D2557" s="2">
        <v>43795</v>
      </c>
      <c r="E2557" s="3">
        <v>100000</v>
      </c>
      <c r="F2557" t="s">
        <v>44</v>
      </c>
      <c r="G2557" t="s">
        <v>45</v>
      </c>
      <c r="H2557" t="s">
        <v>46</v>
      </c>
      <c r="I2557" s="6" t="s">
        <v>1100</v>
      </c>
      <c r="J2557" s="61" t="s">
        <v>22</v>
      </c>
      <c r="L2557" s="5" t="str">
        <f>IF(ISBLANK(A2557),"",TEXT(A2557,"00000"))</f>
        <v>02556</v>
      </c>
      <c r="M2557" s="47" t="str">
        <f>IF(ISBLANK(D2557),"",TEXT(D2557,"dd")&amp;" de "&amp;TEXT(D2557,"mmmm")&amp;" de "&amp;TEXT(YEAR(D2557),"0"))</f>
        <v>26 de noviembre de 2019</v>
      </c>
      <c r="N2557" s="323">
        <f t="shared" si="807"/>
        <v>26</v>
      </c>
      <c r="O2557" s="25">
        <f>DATE(YEAR(D2557),MONTH(D2557),1)</f>
        <v>43770</v>
      </c>
      <c r="P2557" s="5" t="str">
        <f t="shared" si="809"/>
        <v>100.000,00</v>
      </c>
      <c r="Q2557" s="4" t="e">
        <f t="shared" ca="1" si="810"/>
        <v>#NAME?</v>
      </c>
    </row>
    <row r="2558" spans="1:17" ht="15.75" thickBot="1">
      <c r="A2558" s="1">
        <f t="shared" si="812"/>
        <v>2557</v>
      </c>
      <c r="B2558" s="8"/>
      <c r="C2558" s="8" t="s">
        <v>17</v>
      </c>
      <c r="D2558" s="2">
        <v>43795</v>
      </c>
      <c r="E2558" s="3">
        <f>241049-E2559</f>
        <v>159299</v>
      </c>
      <c r="F2558" t="s">
        <v>215</v>
      </c>
      <c r="G2558" s="475" t="s">
        <v>1101</v>
      </c>
      <c r="H2558" t="s">
        <v>217</v>
      </c>
      <c r="I2558" s="6" t="s">
        <v>1102</v>
      </c>
      <c r="J2558" s="61" t="s">
        <v>22</v>
      </c>
      <c r="L2558" s="5" t="str">
        <f t="shared" ref="L2558:L2602" si="813">IF(ISBLANK(A2558),"",TEXT(A2558,"00000"))</f>
        <v>02557</v>
      </c>
      <c r="M2558" s="47" t="str">
        <f t="shared" ref="M2558:M2602" si="814">IF(ISBLANK(D2558),"",TEXT(D2558,"dd")&amp;" de "&amp;TEXT(D2558,"mmmm")&amp;" de "&amp;TEXT(YEAR(D2558),"0"))</f>
        <v>26 de noviembre de 2019</v>
      </c>
      <c r="N2558" s="323">
        <f t="shared" si="807"/>
        <v>26</v>
      </c>
      <c r="O2558" s="25">
        <f t="shared" ref="O2558:O2602" si="815">DATE(YEAR(D2558),MONTH(D2558),1)</f>
        <v>43770</v>
      </c>
      <c r="P2558" s="5" t="str">
        <f t="shared" si="809"/>
        <v>159.299,00</v>
      </c>
      <c r="Q2558" s="4" t="e">
        <f t="shared" ca="1" si="810"/>
        <v>#NAME?</v>
      </c>
    </row>
    <row r="2559" spans="1:17" ht="15.75" thickBot="1">
      <c r="A2559" s="1">
        <f t="shared" si="812"/>
        <v>2558</v>
      </c>
      <c r="B2559" s="8"/>
      <c r="C2559" s="8" t="s">
        <v>17</v>
      </c>
      <c r="D2559" s="2">
        <v>43795</v>
      </c>
      <c r="E2559" s="3">
        <v>81750</v>
      </c>
      <c r="F2559" t="s">
        <v>215</v>
      </c>
      <c r="G2559" s="475" t="s">
        <v>1101</v>
      </c>
      <c r="H2559" t="s">
        <v>217</v>
      </c>
      <c r="I2559" s="6" t="s">
        <v>1082</v>
      </c>
      <c r="J2559" s="61" t="s">
        <v>22</v>
      </c>
      <c r="L2559" s="5" t="str">
        <f t="shared" si="813"/>
        <v>02558</v>
      </c>
      <c r="M2559" s="47" t="str">
        <f t="shared" si="814"/>
        <v>26 de noviembre de 2019</v>
      </c>
      <c r="N2559" s="323">
        <f t="shared" si="807"/>
        <v>26</v>
      </c>
      <c r="O2559" s="25">
        <f t="shared" si="815"/>
        <v>43770</v>
      </c>
      <c r="P2559" s="5" t="str">
        <f t="shared" si="809"/>
        <v>81.750,00</v>
      </c>
      <c r="Q2559" s="4" t="e">
        <f t="shared" ca="1" si="810"/>
        <v>#NAME?</v>
      </c>
    </row>
    <row r="2560" spans="1:17" ht="15.75" thickBot="1">
      <c r="A2560" s="1">
        <f t="shared" si="812"/>
        <v>2559</v>
      </c>
      <c r="B2560" s="8"/>
      <c r="C2560" s="8" t="s">
        <v>17</v>
      </c>
      <c r="D2560" s="2">
        <v>43797</v>
      </c>
      <c r="E2560" s="3">
        <v>81750</v>
      </c>
      <c r="F2560" t="s">
        <v>947</v>
      </c>
      <c r="G2560" t="s">
        <v>948</v>
      </c>
      <c r="H2560" t="s">
        <v>949</v>
      </c>
      <c r="I2560" s="6" t="s">
        <v>1100</v>
      </c>
      <c r="J2560" s="61" t="s">
        <v>22</v>
      </c>
      <c r="L2560" s="5" t="str">
        <f t="shared" si="813"/>
        <v>02559</v>
      </c>
      <c r="M2560" s="47" t="str">
        <f t="shared" si="814"/>
        <v>28 de noviembre de 2019</v>
      </c>
      <c r="N2560" s="323">
        <f t="shared" si="807"/>
        <v>28</v>
      </c>
      <c r="O2560" s="25">
        <f t="shared" si="815"/>
        <v>43770</v>
      </c>
      <c r="P2560" s="5" t="str">
        <f t="shared" si="809"/>
        <v>81.750,00</v>
      </c>
      <c r="Q2560" s="4" t="e">
        <f t="shared" ca="1" si="810"/>
        <v>#NAME?</v>
      </c>
    </row>
    <row r="2561" spans="1:17" ht="15.75" thickBot="1">
      <c r="A2561" s="1">
        <f t="shared" si="812"/>
        <v>2560</v>
      </c>
      <c r="C2561" s="8" t="s">
        <v>17</v>
      </c>
      <c r="D2561" s="2">
        <v>43797</v>
      </c>
      <c r="E2561" s="3">
        <v>100000</v>
      </c>
      <c r="F2561" t="s">
        <v>90</v>
      </c>
      <c r="G2561" s="475" t="s">
        <v>978</v>
      </c>
      <c r="H2561" t="s">
        <v>92</v>
      </c>
      <c r="I2561" s="6" t="s">
        <v>1082</v>
      </c>
      <c r="J2561" s="61" t="s">
        <v>22</v>
      </c>
      <c r="L2561" s="5" t="str">
        <f t="shared" si="813"/>
        <v>02560</v>
      </c>
      <c r="M2561" s="47" t="str">
        <f t="shared" si="814"/>
        <v>28 de noviembre de 2019</v>
      </c>
      <c r="N2561" s="323">
        <f t="shared" si="807"/>
        <v>28</v>
      </c>
      <c r="O2561" s="25">
        <f t="shared" si="815"/>
        <v>43770</v>
      </c>
      <c r="P2561" s="5" t="str">
        <f t="shared" si="809"/>
        <v>100.000,00</v>
      </c>
      <c r="Q2561" s="4" t="e">
        <f t="shared" ca="1" si="810"/>
        <v>#NAME?</v>
      </c>
    </row>
    <row r="2562" spans="1:17" ht="15.75" thickBot="1">
      <c r="A2562" s="1">
        <f t="shared" si="812"/>
        <v>2561</v>
      </c>
      <c r="B2562" s="8"/>
      <c r="C2562" s="85" t="s">
        <v>17</v>
      </c>
      <c r="D2562" s="2">
        <v>43798</v>
      </c>
      <c r="E2562" s="3">
        <v>118540</v>
      </c>
      <c r="F2562" s="23" t="s">
        <v>422</v>
      </c>
      <c r="G2562" s="18" t="s">
        <v>58</v>
      </c>
      <c r="H2562" t="s">
        <v>423</v>
      </c>
      <c r="I2562" s="6" t="s">
        <v>1082</v>
      </c>
      <c r="J2562" s="61" t="s">
        <v>22</v>
      </c>
      <c r="L2562" s="5" t="str">
        <f t="shared" si="813"/>
        <v>02561</v>
      </c>
      <c r="M2562" s="47" t="str">
        <f t="shared" si="814"/>
        <v>29 de noviembre de 2019</v>
      </c>
      <c r="N2562" s="323">
        <f t="shared" si="807"/>
        <v>29</v>
      </c>
      <c r="O2562" s="25">
        <f t="shared" si="815"/>
        <v>43770</v>
      </c>
      <c r="P2562" s="5" t="str">
        <f t="shared" si="809"/>
        <v>118.540,00</v>
      </c>
      <c r="Q2562" s="4" t="e">
        <f t="shared" ca="1" si="810"/>
        <v>#NAME?</v>
      </c>
    </row>
    <row r="2563" spans="1:17">
      <c r="A2563" s="1">
        <f t="shared" si="812"/>
        <v>2562</v>
      </c>
      <c r="C2563" s="8" t="s">
        <v>17</v>
      </c>
      <c r="D2563" s="2">
        <v>43798</v>
      </c>
      <c r="E2563" s="3">
        <v>81750</v>
      </c>
      <c r="F2563" t="s">
        <v>407</v>
      </c>
      <c r="G2563" t="s">
        <v>408</v>
      </c>
      <c r="H2563" t="s">
        <v>409</v>
      </c>
      <c r="I2563" s="6" t="s">
        <v>1100</v>
      </c>
      <c r="J2563" s="61" t="s">
        <v>22</v>
      </c>
      <c r="L2563" s="5" t="str">
        <f t="shared" si="813"/>
        <v>02562</v>
      </c>
      <c r="M2563" s="47" t="str">
        <f t="shared" si="814"/>
        <v>29 de noviembre de 2019</v>
      </c>
      <c r="N2563" s="323">
        <f t="shared" si="807"/>
        <v>29</v>
      </c>
      <c r="O2563" s="25">
        <f t="shared" si="815"/>
        <v>43770</v>
      </c>
      <c r="P2563" s="5" t="str">
        <f t="shared" si="809"/>
        <v>81.750,00</v>
      </c>
      <c r="Q2563" s="4" t="e">
        <f ca="1">CONVERTIRNUM(E2563)</f>
        <v>#NAME?</v>
      </c>
    </row>
    <row r="2564" spans="1:17">
      <c r="A2564" s="1">
        <f t="shared" si="812"/>
        <v>2563</v>
      </c>
      <c r="C2564" s="8" t="s">
        <v>17</v>
      </c>
      <c r="D2564" s="2">
        <v>43798</v>
      </c>
      <c r="E2564" s="3">
        <v>81750</v>
      </c>
      <c r="F2564" t="s">
        <v>94</v>
      </c>
      <c r="G2564" t="s">
        <v>607</v>
      </c>
      <c r="H2564" t="s">
        <v>96</v>
      </c>
      <c r="I2564" s="6" t="s">
        <v>1082</v>
      </c>
      <c r="J2564" s="61" t="s">
        <v>22</v>
      </c>
      <c r="L2564" s="5" t="str">
        <f t="shared" si="813"/>
        <v>02563</v>
      </c>
      <c r="M2564" s="47" t="str">
        <f t="shared" si="814"/>
        <v>29 de noviembre de 2019</v>
      </c>
      <c r="N2564" s="323">
        <f t="shared" si="807"/>
        <v>29</v>
      </c>
      <c r="O2564" s="25">
        <f t="shared" si="815"/>
        <v>43770</v>
      </c>
      <c r="P2564" s="5" t="str">
        <f t="shared" si="809"/>
        <v>81.750,00</v>
      </c>
      <c r="Q2564" s="4" t="e">
        <f t="shared" ref="Q2564:Q2584" ca="1" si="816">CONVERTIRNUM(E2564)</f>
        <v>#NAME?</v>
      </c>
    </row>
    <row r="2565" spans="1:17">
      <c r="A2565" s="1">
        <f t="shared" si="812"/>
        <v>2564</v>
      </c>
      <c r="C2565" s="8" t="s">
        <v>17</v>
      </c>
      <c r="D2565" s="2">
        <v>43798</v>
      </c>
      <c r="E2565" s="3">
        <v>81750</v>
      </c>
      <c r="F2565" t="s">
        <v>594</v>
      </c>
      <c r="G2565" t="s">
        <v>1051</v>
      </c>
      <c r="H2565" t="s">
        <v>596</v>
      </c>
      <c r="I2565" s="6" t="s">
        <v>1100</v>
      </c>
      <c r="J2565" s="61" t="s">
        <v>22</v>
      </c>
      <c r="L2565" s="5" t="str">
        <f t="shared" si="813"/>
        <v>02564</v>
      </c>
      <c r="M2565" s="47" t="str">
        <f t="shared" si="814"/>
        <v>29 de noviembre de 2019</v>
      </c>
      <c r="N2565" s="323">
        <f t="shared" si="807"/>
        <v>29</v>
      </c>
      <c r="O2565" s="25">
        <f t="shared" si="815"/>
        <v>43770</v>
      </c>
      <c r="P2565" s="5" t="str">
        <f t="shared" si="809"/>
        <v>81.750,00</v>
      </c>
      <c r="Q2565" s="4" t="e">
        <f t="shared" ca="1" si="816"/>
        <v>#NAME?</v>
      </c>
    </row>
    <row r="2566" spans="1:17">
      <c r="A2566" s="1">
        <f t="shared" si="812"/>
        <v>2565</v>
      </c>
      <c r="C2566" s="8" t="s">
        <v>17</v>
      </c>
      <c r="D2566" s="2">
        <v>43793</v>
      </c>
      <c r="E2566" s="3">
        <v>73500</v>
      </c>
      <c r="F2566" t="s">
        <v>264</v>
      </c>
      <c r="G2566" t="s">
        <v>265</v>
      </c>
      <c r="H2566" t="s">
        <v>266</v>
      </c>
      <c r="I2566" s="6" t="s">
        <v>1082</v>
      </c>
      <c r="J2566" s="61" t="s">
        <v>22</v>
      </c>
      <c r="L2566" s="5" t="str">
        <f t="shared" si="813"/>
        <v>02565</v>
      </c>
      <c r="M2566" s="47" t="str">
        <f t="shared" si="814"/>
        <v>24 de noviembre de 2019</v>
      </c>
      <c r="N2566" s="323">
        <f t="shared" si="807"/>
        <v>24</v>
      </c>
      <c r="O2566" s="25">
        <f t="shared" si="815"/>
        <v>43770</v>
      </c>
      <c r="P2566" s="5" t="str">
        <f t="shared" si="809"/>
        <v>73.500,00</v>
      </c>
      <c r="Q2566" s="4" t="e">
        <f t="shared" ca="1" si="816"/>
        <v>#NAME?</v>
      </c>
    </row>
    <row r="2567" spans="1:17">
      <c r="A2567" s="1">
        <f>A2566+1</f>
        <v>2566</v>
      </c>
      <c r="C2567" s="8" t="s">
        <v>17</v>
      </c>
      <c r="D2567" s="2">
        <v>43798</v>
      </c>
      <c r="E2567" s="3">
        <v>81750</v>
      </c>
      <c r="F2567" t="s">
        <v>36</v>
      </c>
      <c r="G2567" t="s">
        <v>37</v>
      </c>
      <c r="H2567" t="s">
        <v>38</v>
      </c>
      <c r="I2567" s="6" t="s">
        <v>1100</v>
      </c>
      <c r="J2567" s="61" t="s">
        <v>22</v>
      </c>
      <c r="L2567" s="5" t="str">
        <f t="shared" si="813"/>
        <v>02566</v>
      </c>
      <c r="M2567" s="47" t="str">
        <f t="shared" si="814"/>
        <v>29 de noviembre de 2019</v>
      </c>
      <c r="N2567" s="323">
        <f t="shared" si="807"/>
        <v>29</v>
      </c>
      <c r="O2567" s="25">
        <f t="shared" si="815"/>
        <v>43770</v>
      </c>
      <c r="P2567" s="5" t="str">
        <f t="shared" si="809"/>
        <v>81.750,00</v>
      </c>
      <c r="Q2567" s="4" t="e">
        <f t="shared" ca="1" si="816"/>
        <v>#NAME?</v>
      </c>
    </row>
    <row r="2568" spans="1:17">
      <c r="A2568" s="1">
        <f>A2567+1</f>
        <v>2567</v>
      </c>
      <c r="C2568" s="8" t="s">
        <v>17</v>
      </c>
      <c r="D2568" s="2">
        <v>43799</v>
      </c>
      <c r="E2568" s="3">
        <v>81750</v>
      </c>
      <c r="F2568" t="s">
        <v>18</v>
      </c>
      <c r="G2568" t="s">
        <v>19</v>
      </c>
      <c r="H2568" t="s">
        <v>20</v>
      </c>
      <c r="I2568" s="6" t="s">
        <v>1103</v>
      </c>
      <c r="J2568" s="61" t="s">
        <v>22</v>
      </c>
      <c r="L2568" s="5" t="str">
        <f t="shared" si="813"/>
        <v>02567</v>
      </c>
      <c r="M2568" s="47" t="str">
        <f t="shared" si="814"/>
        <v>30 de noviembre de 2019</v>
      </c>
      <c r="N2568" s="323">
        <f t="shared" si="807"/>
        <v>30</v>
      </c>
      <c r="O2568" s="25">
        <f t="shared" si="815"/>
        <v>43770</v>
      </c>
      <c r="P2568" s="5" t="str">
        <f t="shared" si="809"/>
        <v>81.750,00</v>
      </c>
      <c r="Q2568" s="4" t="e">
        <f t="shared" ca="1" si="816"/>
        <v>#NAME?</v>
      </c>
    </row>
    <row r="2569" spans="1:17">
      <c r="A2569" s="1">
        <f t="shared" ref="A2569" si="817">A2568+1</f>
        <v>2568</v>
      </c>
      <c r="C2569" s="8" t="s">
        <v>17</v>
      </c>
      <c r="D2569" s="2">
        <v>43799</v>
      </c>
      <c r="E2569" s="3">
        <v>81750</v>
      </c>
      <c r="F2569" t="s">
        <v>771</v>
      </c>
      <c r="G2569" t="s">
        <v>772</v>
      </c>
      <c r="H2569" t="s">
        <v>773</v>
      </c>
      <c r="I2569" s="6" t="s">
        <v>1104</v>
      </c>
      <c r="J2569" s="61" t="s">
        <v>22</v>
      </c>
      <c r="L2569" s="5" t="str">
        <f t="shared" si="813"/>
        <v>02568</v>
      </c>
      <c r="M2569" s="47" t="str">
        <f t="shared" si="814"/>
        <v>30 de noviembre de 2019</v>
      </c>
      <c r="N2569" s="323">
        <f t="shared" si="807"/>
        <v>30</v>
      </c>
      <c r="O2569" s="25">
        <f t="shared" si="815"/>
        <v>43770</v>
      </c>
      <c r="P2569" s="5" t="str">
        <f t="shared" si="809"/>
        <v>81.750,00</v>
      </c>
      <c r="Q2569" s="4" t="e">
        <f t="shared" ca="1" si="816"/>
        <v>#NAME?</v>
      </c>
    </row>
    <row r="2570" spans="1:17">
      <c r="A2570" s="1">
        <f>A2569+1</f>
        <v>2569</v>
      </c>
      <c r="C2570" s="8" t="s">
        <v>17</v>
      </c>
      <c r="D2570" s="2">
        <v>43799</v>
      </c>
      <c r="E2570" s="3">
        <v>81750</v>
      </c>
      <c r="F2570" t="s">
        <v>24</v>
      </c>
      <c r="G2570" t="s">
        <v>25</v>
      </c>
      <c r="H2570" t="s">
        <v>26</v>
      </c>
      <c r="I2570" s="6" t="s">
        <v>1100</v>
      </c>
      <c r="J2570" s="61" t="s">
        <v>22</v>
      </c>
      <c r="L2570" s="5" t="str">
        <f t="shared" si="813"/>
        <v>02569</v>
      </c>
      <c r="M2570" s="47" t="str">
        <f t="shared" si="814"/>
        <v>30 de noviembre de 2019</v>
      </c>
      <c r="N2570" s="323">
        <f t="shared" si="807"/>
        <v>30</v>
      </c>
      <c r="O2570" s="25">
        <f t="shared" si="815"/>
        <v>43770</v>
      </c>
      <c r="P2570" s="5" t="str">
        <f t="shared" si="809"/>
        <v>81.750,00</v>
      </c>
      <c r="Q2570" s="4" t="e">
        <f t="shared" ca="1" si="816"/>
        <v>#NAME?</v>
      </c>
    </row>
    <row r="2571" spans="1:17">
      <c r="A2571" s="1">
        <f t="shared" ref="A2571:A2576" si="818">A2570+1</f>
        <v>2570</v>
      </c>
      <c r="C2571" s="8" t="s">
        <v>17</v>
      </c>
      <c r="D2571" s="2">
        <v>43799</v>
      </c>
      <c r="E2571" s="3">
        <v>81750</v>
      </c>
      <c r="F2571" t="s">
        <v>134</v>
      </c>
      <c r="G2571" t="s">
        <v>135</v>
      </c>
      <c r="H2571" t="s">
        <v>136</v>
      </c>
      <c r="I2571" s="6" t="s">
        <v>1100</v>
      </c>
      <c r="J2571" s="61" t="s">
        <v>22</v>
      </c>
      <c r="L2571" s="5" t="str">
        <f t="shared" si="813"/>
        <v>02570</v>
      </c>
      <c r="M2571" s="47" t="str">
        <f t="shared" si="814"/>
        <v>30 de noviembre de 2019</v>
      </c>
      <c r="N2571" s="323">
        <f t="shared" ref="N2571:N2602" si="819">DAY(D2571)</f>
        <v>30</v>
      </c>
      <c r="O2571" s="25">
        <f t="shared" si="815"/>
        <v>43770</v>
      </c>
      <c r="P2571" s="5" t="str">
        <f t="shared" ref="P2571:P2589" si="820">TEXT(E2571,"#.##0,00")</f>
        <v>81.750,00</v>
      </c>
      <c r="Q2571" s="4" t="e">
        <f t="shared" ca="1" si="816"/>
        <v>#NAME?</v>
      </c>
    </row>
    <row r="2572" spans="1:17">
      <c r="A2572" s="1">
        <f t="shared" si="818"/>
        <v>2571</v>
      </c>
      <c r="C2572" s="8" t="s">
        <v>17</v>
      </c>
      <c r="D2572" s="2">
        <v>43799</v>
      </c>
      <c r="E2572" s="3">
        <v>81750</v>
      </c>
      <c r="F2572" t="s">
        <v>454</v>
      </c>
      <c r="G2572" t="s">
        <v>761</v>
      </c>
      <c r="H2572" t="s">
        <v>455</v>
      </c>
      <c r="I2572" s="6" t="s">
        <v>1100</v>
      </c>
      <c r="J2572" s="61" t="s">
        <v>22</v>
      </c>
      <c r="L2572" s="5" t="str">
        <f t="shared" si="813"/>
        <v>02571</v>
      </c>
      <c r="M2572" s="47" t="str">
        <f t="shared" si="814"/>
        <v>30 de noviembre de 2019</v>
      </c>
      <c r="N2572" s="323">
        <f t="shared" si="819"/>
        <v>30</v>
      </c>
      <c r="O2572" s="25">
        <f t="shared" si="815"/>
        <v>43770</v>
      </c>
      <c r="P2572" s="5" t="str">
        <f t="shared" si="820"/>
        <v>81.750,00</v>
      </c>
      <c r="Q2572" s="4" t="e">
        <f t="shared" ca="1" si="816"/>
        <v>#NAME?</v>
      </c>
    </row>
    <row r="2573" spans="1:17">
      <c r="A2573" s="1">
        <f t="shared" si="818"/>
        <v>2572</v>
      </c>
      <c r="C2573" s="8" t="s">
        <v>17</v>
      </c>
      <c r="D2573" s="2">
        <v>43800</v>
      </c>
      <c r="E2573" s="3">
        <v>32700</v>
      </c>
      <c r="F2573" t="s">
        <v>334</v>
      </c>
      <c r="G2573" t="s">
        <v>85</v>
      </c>
      <c r="H2573" t="s">
        <v>335</v>
      </c>
      <c r="I2573" s="6" t="s">
        <v>1105</v>
      </c>
      <c r="J2573" s="61" t="s">
        <v>22</v>
      </c>
      <c r="L2573" s="5" t="str">
        <f t="shared" si="813"/>
        <v>02572</v>
      </c>
      <c r="M2573" s="47" t="str">
        <f t="shared" si="814"/>
        <v>01 de diciembre de 2019</v>
      </c>
      <c r="N2573" s="323">
        <f t="shared" si="819"/>
        <v>1</v>
      </c>
      <c r="O2573" s="25">
        <f t="shared" si="815"/>
        <v>43800</v>
      </c>
      <c r="P2573" s="5" t="str">
        <f t="shared" si="820"/>
        <v>32.700,00</v>
      </c>
      <c r="Q2573" s="4" t="e">
        <f t="shared" ca="1" si="816"/>
        <v>#NAME?</v>
      </c>
    </row>
    <row r="2574" spans="1:17">
      <c r="A2574" s="1">
        <f t="shared" si="818"/>
        <v>2573</v>
      </c>
      <c r="C2574" s="8" t="s">
        <v>17</v>
      </c>
      <c r="D2574" s="2">
        <v>43800</v>
      </c>
      <c r="E2574" s="3">
        <v>81750</v>
      </c>
      <c r="F2574" t="s">
        <v>84</v>
      </c>
      <c r="G2574" t="s">
        <v>85</v>
      </c>
      <c r="H2574" t="s">
        <v>86</v>
      </c>
      <c r="I2574" s="6" t="s">
        <v>1100</v>
      </c>
      <c r="J2574" s="61" t="s">
        <v>22</v>
      </c>
      <c r="L2574" s="5" t="str">
        <f t="shared" si="813"/>
        <v>02573</v>
      </c>
      <c r="M2574" s="47" t="str">
        <f t="shared" si="814"/>
        <v>01 de diciembre de 2019</v>
      </c>
      <c r="N2574" s="323">
        <f t="shared" si="819"/>
        <v>1</v>
      </c>
      <c r="O2574" s="25">
        <f t="shared" si="815"/>
        <v>43800</v>
      </c>
      <c r="P2574" s="5" t="str">
        <f t="shared" si="820"/>
        <v>81.750,00</v>
      </c>
      <c r="Q2574" s="4" t="e">
        <f t="shared" ca="1" si="816"/>
        <v>#NAME?</v>
      </c>
    </row>
    <row r="2575" spans="1:17">
      <c r="A2575" s="1">
        <f t="shared" si="818"/>
        <v>2574</v>
      </c>
      <c r="C2575" s="8" t="s">
        <v>17</v>
      </c>
      <c r="D2575" s="2">
        <v>43800</v>
      </c>
      <c r="E2575" s="3">
        <v>255250</v>
      </c>
      <c r="F2575" t="s">
        <v>353</v>
      </c>
      <c r="G2575" t="s">
        <v>354</v>
      </c>
      <c r="H2575" t="s">
        <v>355</v>
      </c>
      <c r="I2575" s="6" t="s">
        <v>1106</v>
      </c>
      <c r="J2575" s="61" t="s">
        <v>22</v>
      </c>
      <c r="L2575" s="5" t="str">
        <f t="shared" si="813"/>
        <v>02574</v>
      </c>
      <c r="M2575" s="47" t="str">
        <f t="shared" si="814"/>
        <v>01 de diciembre de 2019</v>
      </c>
      <c r="N2575" s="323">
        <f t="shared" si="819"/>
        <v>1</v>
      </c>
      <c r="O2575" s="25">
        <f t="shared" si="815"/>
        <v>43800</v>
      </c>
      <c r="P2575" s="5" t="str">
        <f t="shared" si="820"/>
        <v>255.250,00</v>
      </c>
      <c r="Q2575" s="4" t="e">
        <f t="shared" ca="1" si="816"/>
        <v>#NAME?</v>
      </c>
    </row>
    <row r="2576" spans="1:17">
      <c r="A2576" s="1">
        <f t="shared" si="818"/>
        <v>2575</v>
      </c>
      <c r="C2576" s="8" t="s">
        <v>17</v>
      </c>
      <c r="D2576" s="2">
        <v>43800</v>
      </c>
      <c r="E2576" s="3">
        <v>81750</v>
      </c>
      <c r="F2576" t="s">
        <v>230</v>
      </c>
      <c r="G2576" t="s">
        <v>231</v>
      </c>
      <c r="H2576" t="s">
        <v>232</v>
      </c>
      <c r="I2576" s="6" t="s">
        <v>1082</v>
      </c>
      <c r="J2576" s="61" t="s">
        <v>22</v>
      </c>
      <c r="L2576" s="5" t="str">
        <f t="shared" si="813"/>
        <v>02575</v>
      </c>
      <c r="M2576" s="47" t="str">
        <f t="shared" si="814"/>
        <v>01 de diciembre de 2019</v>
      </c>
      <c r="N2576" s="323">
        <f t="shared" si="819"/>
        <v>1</v>
      </c>
      <c r="O2576" s="25">
        <f t="shared" si="815"/>
        <v>43800</v>
      </c>
      <c r="P2576" s="5" t="str">
        <f t="shared" si="820"/>
        <v>81.750,00</v>
      </c>
      <c r="Q2576" s="4" t="e">
        <f t="shared" ca="1" si="816"/>
        <v>#NAME?</v>
      </c>
    </row>
    <row r="2577" spans="1:17">
      <c r="A2577" s="1">
        <f>A2576+1</f>
        <v>2576</v>
      </c>
      <c r="C2577" s="8" t="s">
        <v>17</v>
      </c>
      <c r="D2577" s="2">
        <v>43800</v>
      </c>
      <c r="E2577" s="3">
        <v>81750</v>
      </c>
      <c r="F2577" t="s">
        <v>70</v>
      </c>
      <c r="G2577" t="s">
        <v>71</v>
      </c>
      <c r="H2577" t="s">
        <v>72</v>
      </c>
      <c r="I2577" s="6" t="s">
        <v>1100</v>
      </c>
      <c r="J2577" s="61" t="s">
        <v>22</v>
      </c>
      <c r="L2577" s="5" t="str">
        <f t="shared" si="813"/>
        <v>02576</v>
      </c>
      <c r="M2577" s="47" t="str">
        <f t="shared" si="814"/>
        <v>01 de diciembre de 2019</v>
      </c>
      <c r="N2577" s="323">
        <f t="shared" si="819"/>
        <v>1</v>
      </c>
      <c r="O2577" s="25">
        <f t="shared" si="815"/>
        <v>43800</v>
      </c>
      <c r="P2577" s="5" t="str">
        <f t="shared" si="820"/>
        <v>81.750,00</v>
      </c>
      <c r="Q2577" s="4" t="e">
        <f t="shared" ca="1" si="816"/>
        <v>#NAME?</v>
      </c>
    </row>
    <row r="2578" spans="1:17">
      <c r="A2578" s="1">
        <f t="shared" ref="A2578:A2580" si="821">A2577+1</f>
        <v>2577</v>
      </c>
      <c r="C2578" s="8" t="s">
        <v>17</v>
      </c>
      <c r="D2578" s="2">
        <v>43800</v>
      </c>
      <c r="E2578" s="3">
        <v>81750</v>
      </c>
      <c r="F2578" t="s">
        <v>935</v>
      </c>
      <c r="G2578" t="s">
        <v>936</v>
      </c>
      <c r="H2578" t="s">
        <v>150</v>
      </c>
      <c r="I2578" s="6" t="s">
        <v>1100</v>
      </c>
      <c r="J2578" s="61" t="s">
        <v>22</v>
      </c>
      <c r="L2578" s="5" t="str">
        <f t="shared" si="813"/>
        <v>02577</v>
      </c>
      <c r="M2578" s="47" t="str">
        <f t="shared" si="814"/>
        <v>01 de diciembre de 2019</v>
      </c>
      <c r="N2578" s="323">
        <f t="shared" si="819"/>
        <v>1</v>
      </c>
      <c r="O2578" s="25">
        <f t="shared" si="815"/>
        <v>43800</v>
      </c>
      <c r="P2578" s="5" t="str">
        <f t="shared" si="820"/>
        <v>81.750,00</v>
      </c>
      <c r="Q2578" s="4" t="e">
        <f t="shared" ca="1" si="816"/>
        <v>#NAME?</v>
      </c>
    </row>
    <row r="2579" spans="1:17">
      <c r="A2579" s="1">
        <f t="shared" si="821"/>
        <v>2578</v>
      </c>
      <c r="C2579" s="8" t="s">
        <v>17</v>
      </c>
      <c r="D2579" s="2">
        <v>43800</v>
      </c>
      <c r="E2579" s="3">
        <v>81750</v>
      </c>
      <c r="F2579" t="s">
        <v>114</v>
      </c>
      <c r="G2579" t="s">
        <v>115</v>
      </c>
      <c r="H2579" t="s">
        <v>105</v>
      </c>
      <c r="I2579" s="6" t="s">
        <v>1100</v>
      </c>
      <c r="J2579" s="61" t="s">
        <v>22</v>
      </c>
      <c r="L2579" s="5" t="str">
        <f t="shared" si="813"/>
        <v>02578</v>
      </c>
      <c r="M2579" s="47" t="str">
        <f t="shared" si="814"/>
        <v>01 de diciembre de 2019</v>
      </c>
      <c r="N2579" s="323">
        <f t="shared" si="819"/>
        <v>1</v>
      </c>
      <c r="O2579" s="25">
        <f t="shared" si="815"/>
        <v>43800</v>
      </c>
      <c r="P2579" s="5" t="str">
        <f t="shared" si="820"/>
        <v>81.750,00</v>
      </c>
      <c r="Q2579" s="4" t="e">
        <f t="shared" ca="1" si="816"/>
        <v>#NAME?</v>
      </c>
    </row>
    <row r="2580" spans="1:17">
      <c r="A2580" s="1">
        <f t="shared" si="821"/>
        <v>2579</v>
      </c>
      <c r="C2580" s="8" t="s">
        <v>17</v>
      </c>
      <c r="D2580" s="2">
        <v>43800</v>
      </c>
      <c r="E2580" s="3">
        <v>81750</v>
      </c>
      <c r="F2580" t="s">
        <v>324</v>
      </c>
      <c r="G2580" t="s">
        <v>325</v>
      </c>
      <c r="H2580" t="s">
        <v>326</v>
      </c>
      <c r="I2580" s="6" t="s">
        <v>1100</v>
      </c>
      <c r="J2580" s="61" t="s">
        <v>22</v>
      </c>
      <c r="L2580" s="5" t="str">
        <f t="shared" si="813"/>
        <v>02579</v>
      </c>
      <c r="M2580" s="47" t="str">
        <f t="shared" si="814"/>
        <v>01 de diciembre de 2019</v>
      </c>
      <c r="N2580" s="323">
        <f t="shared" si="819"/>
        <v>1</v>
      </c>
      <c r="O2580" s="25">
        <f t="shared" si="815"/>
        <v>43800</v>
      </c>
      <c r="P2580" s="5" t="str">
        <f t="shared" si="820"/>
        <v>81.750,00</v>
      </c>
      <c r="Q2580" s="4" t="e">
        <f t="shared" ca="1" si="816"/>
        <v>#NAME?</v>
      </c>
    </row>
    <row r="2581" spans="1:17">
      <c r="A2581" s="1">
        <f>A2580+1</f>
        <v>2580</v>
      </c>
      <c r="C2581" s="8" t="s">
        <v>17</v>
      </c>
      <c r="D2581" s="2">
        <v>43800</v>
      </c>
      <c r="E2581" s="3">
        <v>81750</v>
      </c>
      <c r="F2581" t="s">
        <v>201</v>
      </c>
      <c r="G2581" t="s">
        <v>202</v>
      </c>
      <c r="H2581" t="s">
        <v>203</v>
      </c>
      <c r="I2581" s="6" t="s">
        <v>1107</v>
      </c>
      <c r="J2581" s="61" t="s">
        <v>22</v>
      </c>
      <c r="L2581" s="5" t="str">
        <f t="shared" si="813"/>
        <v>02580</v>
      </c>
      <c r="M2581" s="47" t="str">
        <f t="shared" si="814"/>
        <v>01 de diciembre de 2019</v>
      </c>
      <c r="N2581" s="323">
        <f t="shared" si="819"/>
        <v>1</v>
      </c>
      <c r="O2581" s="25">
        <f t="shared" si="815"/>
        <v>43800</v>
      </c>
      <c r="P2581" s="5" t="str">
        <f t="shared" si="820"/>
        <v>81.750,00</v>
      </c>
      <c r="Q2581" s="4" t="e">
        <f t="shared" ca="1" si="816"/>
        <v>#NAME?</v>
      </c>
    </row>
    <row r="2582" spans="1:17" ht="15.75" thickBot="1">
      <c r="A2582" s="1">
        <f>A2581+1</f>
        <v>2581</v>
      </c>
      <c r="C2582" s="8" t="s">
        <v>17</v>
      </c>
      <c r="D2582" s="2">
        <v>43800</v>
      </c>
      <c r="E2582" s="3">
        <v>81750</v>
      </c>
      <c r="F2582" t="s">
        <v>1004</v>
      </c>
      <c r="G2582" t="s">
        <v>1005</v>
      </c>
      <c r="H2582" t="s">
        <v>539</v>
      </c>
      <c r="I2582" s="6" t="s">
        <v>1100</v>
      </c>
      <c r="J2582" s="61" t="s">
        <v>22</v>
      </c>
      <c r="L2582" s="5" t="str">
        <f t="shared" si="813"/>
        <v>02581</v>
      </c>
      <c r="M2582" s="47" t="str">
        <f t="shared" si="814"/>
        <v>01 de diciembre de 2019</v>
      </c>
      <c r="N2582" s="323">
        <f t="shared" si="819"/>
        <v>1</v>
      </c>
      <c r="O2582" s="25">
        <f t="shared" si="815"/>
        <v>43800</v>
      </c>
      <c r="P2582" s="5" t="str">
        <f t="shared" si="820"/>
        <v>81.750,00</v>
      </c>
      <c r="Q2582" s="4" t="e">
        <f t="shared" ca="1" si="816"/>
        <v>#NAME?</v>
      </c>
    </row>
    <row r="2583" spans="1:17" ht="15.75" thickBot="1">
      <c r="A2583" s="1">
        <f t="shared" ref="A2583:A2585" si="822">A2582+1</f>
        <v>2582</v>
      </c>
      <c r="B2583" s="8"/>
      <c r="C2583" s="85" t="s">
        <v>17</v>
      </c>
      <c r="D2583" s="2">
        <v>43800</v>
      </c>
      <c r="E2583" s="162">
        <v>81750</v>
      </c>
      <c r="F2583" t="s">
        <v>492</v>
      </c>
      <c r="G2583" s="18" t="s">
        <v>58</v>
      </c>
      <c r="H2583" t="s">
        <v>493</v>
      </c>
      <c r="I2583" s="6" t="s">
        <v>1100</v>
      </c>
      <c r="J2583" s="61" t="s">
        <v>22</v>
      </c>
      <c r="L2583" s="5" t="str">
        <f t="shared" si="813"/>
        <v>02582</v>
      </c>
      <c r="M2583" s="47" t="str">
        <f t="shared" si="814"/>
        <v>01 de diciembre de 2019</v>
      </c>
      <c r="N2583" s="323">
        <f t="shared" si="819"/>
        <v>1</v>
      </c>
      <c r="O2583" s="25">
        <f t="shared" si="815"/>
        <v>43800</v>
      </c>
      <c r="P2583" s="5" t="str">
        <f t="shared" si="820"/>
        <v>81.750,00</v>
      </c>
      <c r="Q2583" s="4" t="e">
        <f t="shared" ca="1" si="816"/>
        <v>#NAME?</v>
      </c>
    </row>
    <row r="2584" spans="1:17">
      <c r="A2584" s="1">
        <f t="shared" si="822"/>
        <v>2583</v>
      </c>
      <c r="B2584" s="8"/>
      <c r="C2584" s="8" t="s">
        <v>17</v>
      </c>
      <c r="D2584" s="2">
        <v>43800</v>
      </c>
      <c r="E2584" s="3">
        <v>81750</v>
      </c>
      <c r="F2584" t="s">
        <v>362</v>
      </c>
      <c r="G2584" t="s">
        <v>363</v>
      </c>
      <c r="H2584" t="s">
        <v>364</v>
      </c>
      <c r="I2584" s="6" t="s">
        <v>1100</v>
      </c>
      <c r="J2584" s="61" t="s">
        <v>22</v>
      </c>
      <c r="L2584" s="5" t="str">
        <f t="shared" si="813"/>
        <v>02583</v>
      </c>
      <c r="M2584" s="47" t="str">
        <f t="shared" si="814"/>
        <v>01 de diciembre de 2019</v>
      </c>
      <c r="N2584" s="323">
        <f t="shared" si="819"/>
        <v>1</v>
      </c>
      <c r="O2584" s="25">
        <f t="shared" si="815"/>
        <v>43800</v>
      </c>
      <c r="P2584" s="5" t="str">
        <f t="shared" si="820"/>
        <v>81.750,00</v>
      </c>
      <c r="Q2584" s="4" t="e">
        <f t="shared" ca="1" si="816"/>
        <v>#NAME?</v>
      </c>
    </row>
    <row r="2585" spans="1:17">
      <c r="A2585" s="1">
        <f t="shared" si="822"/>
        <v>2584</v>
      </c>
      <c r="B2585" s="8"/>
      <c r="C2585" s="8" t="s">
        <v>17</v>
      </c>
      <c r="D2585" s="2">
        <v>43800</v>
      </c>
      <c r="E2585" s="3">
        <f>81750*2</f>
        <v>163500</v>
      </c>
      <c r="F2585" t="s">
        <v>1015</v>
      </c>
      <c r="G2585" t="s">
        <v>1016</v>
      </c>
      <c r="H2585" t="s">
        <v>59</v>
      </c>
      <c r="I2585" s="6" t="s">
        <v>1108</v>
      </c>
      <c r="J2585" s="61" t="s">
        <v>22</v>
      </c>
      <c r="L2585" s="5" t="str">
        <f t="shared" si="813"/>
        <v>02584</v>
      </c>
      <c r="M2585" s="47" t="str">
        <f t="shared" si="814"/>
        <v>01 de diciembre de 2019</v>
      </c>
      <c r="N2585" s="323">
        <f t="shared" si="819"/>
        <v>1</v>
      </c>
      <c r="O2585" s="25">
        <f t="shared" si="815"/>
        <v>43800</v>
      </c>
      <c r="P2585" s="5" t="str">
        <f t="shared" si="820"/>
        <v>163.500,00</v>
      </c>
      <c r="Q2585" s="4" t="e">
        <f ca="1">CONVERTIRNUM(E2585)</f>
        <v>#NAME?</v>
      </c>
    </row>
    <row r="2586" spans="1:17" ht="15.75" thickBot="1">
      <c r="A2586" s="1">
        <f>A2585+1</f>
        <v>2585</v>
      </c>
      <c r="B2586" s="8"/>
      <c r="C2586" s="8" t="s">
        <v>17</v>
      </c>
      <c r="D2586" s="2">
        <v>43800</v>
      </c>
      <c r="E2586" s="3">
        <f>40000*2</f>
        <v>80000</v>
      </c>
      <c r="F2586" t="s">
        <v>118</v>
      </c>
      <c r="G2586" t="s">
        <v>119</v>
      </c>
      <c r="H2586" t="s">
        <v>120</v>
      </c>
      <c r="I2586" s="6" t="s">
        <v>1109</v>
      </c>
      <c r="J2586" s="61" t="s">
        <v>22</v>
      </c>
      <c r="L2586" s="5" t="str">
        <f t="shared" si="813"/>
        <v>02585</v>
      </c>
      <c r="M2586" s="47" t="str">
        <f t="shared" si="814"/>
        <v>01 de diciembre de 2019</v>
      </c>
      <c r="N2586" s="323">
        <f t="shared" si="819"/>
        <v>1</v>
      </c>
      <c r="O2586" s="25">
        <f t="shared" si="815"/>
        <v>43800</v>
      </c>
      <c r="P2586" s="5" t="str">
        <f t="shared" si="820"/>
        <v>80.000,00</v>
      </c>
      <c r="Q2586" s="4" t="e">
        <f t="shared" ref="Q2586:Q2589" ca="1" si="823">CONVERTIRNUM(E2586)</f>
        <v>#NAME?</v>
      </c>
    </row>
    <row r="2587" spans="1:17" ht="15.75" thickBot="1">
      <c r="A2587" s="1">
        <f>A2586+1</f>
        <v>2586</v>
      </c>
      <c r="B2587" s="8"/>
      <c r="C2587" s="8" t="s">
        <v>17</v>
      </c>
      <c r="D2587" s="2">
        <v>43800</v>
      </c>
      <c r="E2587" s="3">
        <v>81750</v>
      </c>
      <c r="F2587" t="s">
        <v>239</v>
      </c>
      <c r="G2587" s="73" t="s">
        <v>240</v>
      </c>
      <c r="H2587" t="s">
        <v>241</v>
      </c>
      <c r="I2587" s="6" t="s">
        <v>1100</v>
      </c>
      <c r="J2587" s="61" t="s">
        <v>22</v>
      </c>
      <c r="L2587" s="5" t="str">
        <f t="shared" si="813"/>
        <v>02586</v>
      </c>
      <c r="M2587" s="47" t="str">
        <f t="shared" si="814"/>
        <v>01 de diciembre de 2019</v>
      </c>
      <c r="N2587" s="323">
        <f t="shared" si="819"/>
        <v>1</v>
      </c>
      <c r="O2587" s="25">
        <f t="shared" si="815"/>
        <v>43800</v>
      </c>
      <c r="P2587" s="5" t="str">
        <f t="shared" si="820"/>
        <v>81.750,00</v>
      </c>
      <c r="Q2587" s="4" t="e">
        <f t="shared" ca="1" si="823"/>
        <v>#NAME?</v>
      </c>
    </row>
    <row r="2588" spans="1:17" ht="15.75" thickBot="1">
      <c r="A2588" s="1">
        <f>A2587+1</f>
        <v>2587</v>
      </c>
      <c r="B2588" s="8"/>
      <c r="C2588" s="8" t="s">
        <v>17</v>
      </c>
      <c r="D2588" s="2">
        <v>43800</v>
      </c>
      <c r="E2588" s="3">
        <v>81750</v>
      </c>
      <c r="F2588" t="s">
        <v>62</v>
      </c>
      <c r="G2588" t="s">
        <v>63</v>
      </c>
      <c r="H2588" t="s">
        <v>64</v>
      </c>
      <c r="I2588" s="6" t="s">
        <v>1100</v>
      </c>
      <c r="J2588" s="61" t="s">
        <v>22</v>
      </c>
      <c r="L2588" s="5" t="str">
        <f t="shared" si="813"/>
        <v>02587</v>
      </c>
      <c r="M2588" s="47" t="str">
        <f t="shared" si="814"/>
        <v>01 de diciembre de 2019</v>
      </c>
      <c r="N2588" s="323">
        <f t="shared" si="819"/>
        <v>1</v>
      </c>
      <c r="O2588" s="25">
        <f t="shared" si="815"/>
        <v>43800</v>
      </c>
      <c r="P2588" s="5" t="str">
        <f t="shared" si="820"/>
        <v>81.750,00</v>
      </c>
      <c r="Q2588" s="4" t="e">
        <f t="shared" ca="1" si="823"/>
        <v>#NAME?</v>
      </c>
    </row>
    <row r="2589" spans="1:17" ht="15.75" thickBot="1">
      <c r="A2589" s="1">
        <f t="shared" ref="A2589:A2590" si="824">A2588+1</f>
        <v>2588</v>
      </c>
      <c r="B2589" s="8"/>
      <c r="C2589" s="8" t="s">
        <v>17</v>
      </c>
      <c r="D2589" s="2">
        <v>43800</v>
      </c>
      <c r="E2589" s="3">
        <v>21000</v>
      </c>
      <c r="F2589" t="s">
        <v>252</v>
      </c>
      <c r="G2589" s="475" t="s">
        <v>958</v>
      </c>
      <c r="H2589" t="s">
        <v>254</v>
      </c>
      <c r="I2589" s="6" t="s">
        <v>1084</v>
      </c>
      <c r="J2589" s="61" t="s">
        <v>22</v>
      </c>
      <c r="L2589" s="5" t="str">
        <f t="shared" si="813"/>
        <v>02588</v>
      </c>
      <c r="M2589" s="47" t="str">
        <f t="shared" si="814"/>
        <v>01 de diciembre de 2019</v>
      </c>
      <c r="N2589" s="323">
        <f t="shared" si="819"/>
        <v>1</v>
      </c>
      <c r="O2589" s="25">
        <f t="shared" si="815"/>
        <v>43800</v>
      </c>
      <c r="P2589" s="5" t="str">
        <f t="shared" si="820"/>
        <v>21.000,00</v>
      </c>
      <c r="Q2589" s="4" t="e">
        <f t="shared" ca="1" si="823"/>
        <v>#NAME?</v>
      </c>
    </row>
    <row r="2590" spans="1:17">
      <c r="A2590" s="1">
        <f t="shared" si="824"/>
        <v>2589</v>
      </c>
      <c r="B2590" s="8"/>
      <c r="C2590" s="8" t="s">
        <v>17</v>
      </c>
      <c r="D2590" s="2">
        <v>43800</v>
      </c>
      <c r="E2590" s="3">
        <v>81750</v>
      </c>
      <c r="F2590" t="s">
        <v>162</v>
      </c>
      <c r="G2590" t="s">
        <v>163</v>
      </c>
      <c r="H2590" t="s">
        <v>164</v>
      </c>
      <c r="I2590" s="6" t="s">
        <v>1082</v>
      </c>
      <c r="J2590" s="61" t="s">
        <v>22</v>
      </c>
      <c r="L2590" s="5" t="str">
        <f t="shared" si="813"/>
        <v>02589</v>
      </c>
      <c r="M2590" s="47" t="str">
        <f t="shared" si="814"/>
        <v>01 de diciembre de 2019</v>
      </c>
      <c r="N2590" s="323">
        <f t="shared" si="819"/>
        <v>1</v>
      </c>
      <c r="O2590" s="25">
        <f t="shared" si="815"/>
        <v>43800</v>
      </c>
      <c r="P2590" s="5" t="str">
        <f>TEXT(E2590,"#.##0,00")</f>
        <v>81.750,00</v>
      </c>
      <c r="Q2590" s="4" t="e">
        <f ca="1">CONVERTIRNUM(E2590)</f>
        <v>#NAME?</v>
      </c>
    </row>
    <row r="2591" spans="1:17">
      <c r="A2591" s="1">
        <f>A2590+1</f>
        <v>2590</v>
      </c>
      <c r="B2591" s="8"/>
      <c r="C2591" s="8" t="s">
        <v>17</v>
      </c>
      <c r="D2591" s="2">
        <v>43802</v>
      </c>
      <c r="E2591" s="3">
        <v>300000</v>
      </c>
      <c r="F2591" t="s">
        <v>80</v>
      </c>
      <c r="G2591" t="s">
        <v>81</v>
      </c>
      <c r="H2591" t="s">
        <v>82</v>
      </c>
      <c r="I2591" s="6" t="s">
        <v>1097</v>
      </c>
      <c r="J2591" s="61" t="s">
        <v>22</v>
      </c>
      <c r="L2591" s="5" t="str">
        <f t="shared" si="813"/>
        <v>02590</v>
      </c>
      <c r="M2591" s="47" t="str">
        <f t="shared" si="814"/>
        <v>03 de diciembre de 2019</v>
      </c>
      <c r="N2591" s="323">
        <f t="shared" si="819"/>
        <v>3</v>
      </c>
      <c r="O2591" s="25">
        <f t="shared" si="815"/>
        <v>43800</v>
      </c>
      <c r="P2591" s="5" t="str">
        <f t="shared" ref="P2591:P2602" si="825">TEXT(E2591,"#.##0,00")</f>
        <v>300.000,00</v>
      </c>
      <c r="Q2591" s="4" t="e">
        <f t="shared" ref="Q2591:Q2602" ca="1" si="826">CONVERTIRNUM(E2591)</f>
        <v>#NAME?</v>
      </c>
    </row>
    <row r="2592" spans="1:17">
      <c r="A2592" s="1">
        <f t="shared" ref="A2592:A2593" si="827">A2591+1</f>
        <v>2591</v>
      </c>
      <c r="B2592" s="8"/>
      <c r="C2592" s="8" t="s">
        <v>17</v>
      </c>
      <c r="D2592" s="2">
        <v>43802</v>
      </c>
      <c r="E2592" s="3">
        <v>97500</v>
      </c>
      <c r="F2592" t="s">
        <v>713</v>
      </c>
      <c r="G2592" t="s">
        <v>714</v>
      </c>
      <c r="H2592" t="s">
        <v>154</v>
      </c>
      <c r="I2592" s="6" t="s">
        <v>1100</v>
      </c>
      <c r="J2592" s="61" t="s">
        <v>22</v>
      </c>
      <c r="L2592" s="5" t="str">
        <f t="shared" si="813"/>
        <v>02591</v>
      </c>
      <c r="M2592" s="47" t="str">
        <f t="shared" si="814"/>
        <v>03 de diciembre de 2019</v>
      </c>
      <c r="N2592" s="323">
        <f t="shared" si="819"/>
        <v>3</v>
      </c>
      <c r="O2592" s="25">
        <f t="shared" si="815"/>
        <v>43800</v>
      </c>
      <c r="P2592" s="5" t="str">
        <f t="shared" si="825"/>
        <v>97.500,00</v>
      </c>
      <c r="Q2592" s="4" t="e">
        <f t="shared" ca="1" si="826"/>
        <v>#NAME?</v>
      </c>
    </row>
    <row r="2593" spans="1:17">
      <c r="A2593" s="1">
        <f t="shared" si="827"/>
        <v>2592</v>
      </c>
      <c r="B2593" s="8"/>
      <c r="C2593" s="8" t="s">
        <v>17</v>
      </c>
      <c r="D2593" s="2">
        <v>43802</v>
      </c>
      <c r="E2593" s="3">
        <v>97500</v>
      </c>
      <c r="F2593" t="s">
        <v>284</v>
      </c>
      <c r="G2593" t="s">
        <v>687</v>
      </c>
      <c r="H2593" t="s">
        <v>285</v>
      </c>
      <c r="I2593" s="6" t="s">
        <v>1082</v>
      </c>
      <c r="J2593" s="61" t="s">
        <v>22</v>
      </c>
      <c r="L2593" s="5" t="str">
        <f t="shared" si="813"/>
        <v>02592</v>
      </c>
      <c r="M2593" s="47" t="str">
        <f t="shared" si="814"/>
        <v>03 de diciembre de 2019</v>
      </c>
      <c r="N2593" s="323">
        <f t="shared" si="819"/>
        <v>3</v>
      </c>
      <c r="O2593" s="25">
        <f t="shared" si="815"/>
        <v>43800</v>
      </c>
      <c r="P2593" s="5" t="str">
        <f t="shared" si="825"/>
        <v>97.500,00</v>
      </c>
      <c r="Q2593" s="4" t="e">
        <f t="shared" ca="1" si="826"/>
        <v>#NAME?</v>
      </c>
    </row>
    <row r="2594" spans="1:17" ht="15.75" thickBot="1">
      <c r="A2594" s="1">
        <f>A2593+1</f>
        <v>2593</v>
      </c>
      <c r="B2594" s="8"/>
      <c r="C2594" s="8" t="s">
        <v>17</v>
      </c>
      <c r="D2594" s="2">
        <v>43803</v>
      </c>
      <c r="E2594" s="3">
        <v>40000</v>
      </c>
      <c r="F2594" t="s">
        <v>433</v>
      </c>
      <c r="G2594" t="s">
        <v>434</v>
      </c>
      <c r="H2594" t="s">
        <v>435</v>
      </c>
      <c r="I2594" s="6" t="s">
        <v>1109</v>
      </c>
      <c r="J2594" s="61" t="s">
        <v>22</v>
      </c>
      <c r="L2594" s="5" t="str">
        <f t="shared" si="813"/>
        <v>02593</v>
      </c>
      <c r="M2594" s="47" t="str">
        <f t="shared" si="814"/>
        <v>04 de diciembre de 2019</v>
      </c>
      <c r="N2594" s="323">
        <f t="shared" si="819"/>
        <v>4</v>
      </c>
      <c r="O2594" s="25">
        <f t="shared" si="815"/>
        <v>43800</v>
      </c>
      <c r="P2594" s="5" t="str">
        <f t="shared" si="825"/>
        <v>40.000,00</v>
      </c>
      <c r="Q2594" s="4" t="e">
        <f t="shared" ca="1" si="826"/>
        <v>#NAME?</v>
      </c>
    </row>
    <row r="2595" spans="1:17" ht="15.75" thickBot="1">
      <c r="A2595" s="1">
        <f t="shared" ref="A2595:A2596" si="828">A2594+1</f>
        <v>2594</v>
      </c>
      <c r="B2595" s="8"/>
      <c r="C2595" s="85" t="s">
        <v>17</v>
      </c>
      <c r="D2595" s="2">
        <v>43803</v>
      </c>
      <c r="E2595" s="3">
        <v>97500</v>
      </c>
      <c r="F2595" t="s">
        <v>259</v>
      </c>
      <c r="G2595" s="18" t="s">
        <v>58</v>
      </c>
      <c r="H2595" t="s">
        <v>261</v>
      </c>
      <c r="I2595" s="6" t="s">
        <v>1082</v>
      </c>
      <c r="J2595" s="61" t="s">
        <v>22</v>
      </c>
      <c r="L2595" s="5" t="str">
        <f t="shared" si="813"/>
        <v>02594</v>
      </c>
      <c r="M2595" s="47" t="str">
        <f t="shared" si="814"/>
        <v>04 de diciembre de 2019</v>
      </c>
      <c r="N2595" s="323">
        <f t="shared" si="819"/>
        <v>4</v>
      </c>
      <c r="O2595" s="25">
        <f t="shared" si="815"/>
        <v>43800</v>
      </c>
      <c r="P2595" s="5" t="str">
        <f t="shared" si="825"/>
        <v>97.500,00</v>
      </c>
      <c r="Q2595" s="4" t="e">
        <f t="shared" ca="1" si="826"/>
        <v>#NAME?</v>
      </c>
    </row>
    <row r="2596" spans="1:17" ht="15.75" thickBot="1">
      <c r="A2596" s="1">
        <f t="shared" si="828"/>
        <v>2595</v>
      </c>
      <c r="B2596" s="8"/>
      <c r="C2596" s="85" t="s">
        <v>17</v>
      </c>
      <c r="D2596" s="2">
        <v>43803</v>
      </c>
      <c r="E2596" s="3">
        <v>20000</v>
      </c>
      <c r="F2596" t="s">
        <v>303</v>
      </c>
      <c r="G2596" s="18" t="s">
        <v>58</v>
      </c>
      <c r="H2596" t="s">
        <v>304</v>
      </c>
      <c r="I2596" s="6" t="s">
        <v>1087</v>
      </c>
      <c r="J2596" s="61" t="s">
        <v>22</v>
      </c>
      <c r="L2596" s="5" t="str">
        <f t="shared" si="813"/>
        <v>02595</v>
      </c>
      <c r="M2596" s="47" t="str">
        <f t="shared" si="814"/>
        <v>04 de diciembre de 2019</v>
      </c>
      <c r="N2596" s="323">
        <f t="shared" si="819"/>
        <v>4</v>
      </c>
      <c r="O2596" s="25">
        <f t="shared" si="815"/>
        <v>43800</v>
      </c>
      <c r="P2596" s="5" t="str">
        <f t="shared" si="825"/>
        <v>20.000,00</v>
      </c>
      <c r="Q2596" s="4" t="e">
        <f t="shared" ca="1" si="826"/>
        <v>#NAME?</v>
      </c>
    </row>
    <row r="2597" spans="1:17">
      <c r="A2597" s="1">
        <f>A2596+1</f>
        <v>2596</v>
      </c>
      <c r="B2597" s="8"/>
      <c r="C2597" s="8" t="s">
        <v>17</v>
      </c>
      <c r="D2597" s="2">
        <v>43804</v>
      </c>
      <c r="E2597" s="3">
        <v>35000</v>
      </c>
      <c r="F2597" t="s">
        <v>28</v>
      </c>
      <c r="G2597" t="s">
        <v>716</v>
      </c>
      <c r="H2597" t="s">
        <v>30</v>
      </c>
      <c r="I2597" s="6" t="s">
        <v>1105</v>
      </c>
      <c r="J2597" s="61" t="s">
        <v>22</v>
      </c>
      <c r="L2597" s="5" t="str">
        <f t="shared" si="813"/>
        <v>02596</v>
      </c>
      <c r="M2597" s="47" t="str">
        <f t="shared" si="814"/>
        <v>05 de diciembre de 2019</v>
      </c>
      <c r="N2597" s="323">
        <f t="shared" si="819"/>
        <v>5</v>
      </c>
      <c r="O2597" s="25">
        <f t="shared" si="815"/>
        <v>43800</v>
      </c>
      <c r="P2597" s="5" t="str">
        <f t="shared" si="825"/>
        <v>35.000,00</v>
      </c>
      <c r="Q2597" s="4" t="e">
        <f t="shared" ca="1" si="826"/>
        <v>#NAME?</v>
      </c>
    </row>
    <row r="2598" spans="1:17">
      <c r="A2598" s="1">
        <f t="shared" ref="A2598" si="829">A2597+1</f>
        <v>2597</v>
      </c>
      <c r="B2598" s="8"/>
      <c r="C2598" s="8" t="s">
        <v>17</v>
      </c>
      <c r="D2598" s="2">
        <v>43805</v>
      </c>
      <c r="E2598" s="3">
        <v>97500</v>
      </c>
      <c r="F2598" t="s">
        <v>103</v>
      </c>
      <c r="G2598" s="599" t="s">
        <v>1047</v>
      </c>
      <c r="H2598" t="s">
        <v>105</v>
      </c>
      <c r="I2598" s="6" t="s">
        <v>1100</v>
      </c>
      <c r="J2598" s="61" t="s">
        <v>22</v>
      </c>
      <c r="L2598" s="5" t="str">
        <f t="shared" si="813"/>
        <v>02597</v>
      </c>
      <c r="M2598" s="47" t="str">
        <f t="shared" si="814"/>
        <v>06 de diciembre de 2019</v>
      </c>
      <c r="N2598" s="323">
        <f t="shared" si="819"/>
        <v>6</v>
      </c>
      <c r="O2598" s="25">
        <f t="shared" si="815"/>
        <v>43800</v>
      </c>
      <c r="P2598" s="5" t="str">
        <f t="shared" si="825"/>
        <v>97.500,00</v>
      </c>
      <c r="Q2598" s="4" t="e">
        <f t="shared" ca="1" si="826"/>
        <v>#NAME?</v>
      </c>
    </row>
    <row r="2599" spans="1:17">
      <c r="A2599" s="1">
        <f>A2598+1</f>
        <v>2598</v>
      </c>
      <c r="B2599" s="8"/>
      <c r="C2599" s="8" t="s">
        <v>17</v>
      </c>
      <c r="D2599" s="2">
        <v>43805</v>
      </c>
      <c r="E2599" s="3">
        <v>97500</v>
      </c>
      <c r="F2599" t="s">
        <v>32</v>
      </c>
      <c r="G2599" t="s">
        <v>33</v>
      </c>
      <c r="H2599" t="s">
        <v>34</v>
      </c>
      <c r="I2599" s="6" t="s">
        <v>1079</v>
      </c>
      <c r="J2599" s="61" t="s">
        <v>22</v>
      </c>
      <c r="L2599" s="5" t="str">
        <f t="shared" si="813"/>
        <v>02598</v>
      </c>
      <c r="M2599" s="47" t="str">
        <f t="shared" si="814"/>
        <v>06 de diciembre de 2019</v>
      </c>
      <c r="N2599" s="323">
        <f t="shared" si="819"/>
        <v>6</v>
      </c>
      <c r="O2599" s="25">
        <f t="shared" si="815"/>
        <v>43800</v>
      </c>
      <c r="P2599" s="5" t="str">
        <f t="shared" si="825"/>
        <v>97.500,00</v>
      </c>
      <c r="Q2599" s="4" t="e">
        <f t="shared" ca="1" si="826"/>
        <v>#NAME?</v>
      </c>
    </row>
    <row r="2600" spans="1:17">
      <c r="A2600" s="1">
        <f>A2599+1</f>
        <v>2599</v>
      </c>
      <c r="B2600" s="8"/>
      <c r="C2600" s="8" t="s">
        <v>17</v>
      </c>
      <c r="D2600" s="2">
        <v>43805</v>
      </c>
      <c r="E2600" s="3">
        <v>97500</v>
      </c>
      <c r="F2600" t="s">
        <v>312</v>
      </c>
      <c r="G2600" t="s">
        <v>313</v>
      </c>
      <c r="H2600" t="s">
        <v>314</v>
      </c>
      <c r="I2600" s="6" t="s">
        <v>1100</v>
      </c>
      <c r="J2600" s="61" t="s">
        <v>22</v>
      </c>
      <c r="L2600" s="5" t="str">
        <f t="shared" si="813"/>
        <v>02599</v>
      </c>
      <c r="M2600" s="47" t="str">
        <f t="shared" si="814"/>
        <v>06 de diciembre de 2019</v>
      </c>
      <c r="N2600" s="323">
        <f t="shared" si="819"/>
        <v>6</v>
      </c>
      <c r="O2600" s="25">
        <f t="shared" si="815"/>
        <v>43800</v>
      </c>
      <c r="P2600" s="5" t="str">
        <f t="shared" si="825"/>
        <v>97.500,00</v>
      </c>
      <c r="Q2600" s="4" t="e">
        <f t="shared" ca="1" si="826"/>
        <v>#NAME?</v>
      </c>
    </row>
    <row r="2601" spans="1:17">
      <c r="A2601" s="319">
        <f t="shared" ref="A2601" si="830">A2600+1</f>
        <v>2600</v>
      </c>
      <c r="B2601" s="12"/>
      <c r="C2601" s="12" t="s">
        <v>225</v>
      </c>
      <c r="D2601" s="17">
        <v>43806</v>
      </c>
      <c r="E2601" s="13">
        <v>195000</v>
      </c>
      <c r="F2601" s="14" t="s">
        <v>998</v>
      </c>
      <c r="G2601" s="14" t="s">
        <v>999</v>
      </c>
      <c r="H2601" s="14" t="s">
        <v>1000</v>
      </c>
      <c r="I2601" s="15" t="s">
        <v>1110</v>
      </c>
      <c r="J2601" s="62" t="s">
        <v>426</v>
      </c>
      <c r="K2601" s="16"/>
      <c r="L2601" s="5" t="str">
        <f t="shared" si="813"/>
        <v>02600</v>
      </c>
      <c r="M2601" s="47" t="str">
        <f t="shared" si="814"/>
        <v>07 de diciembre de 2019</v>
      </c>
      <c r="N2601" s="323">
        <f t="shared" si="819"/>
        <v>7</v>
      </c>
      <c r="O2601" s="25">
        <f t="shared" si="815"/>
        <v>43800</v>
      </c>
      <c r="P2601" s="5" t="str">
        <f t="shared" si="825"/>
        <v>195.000,00</v>
      </c>
      <c r="Q2601" s="4" t="e">
        <f t="shared" ca="1" si="826"/>
        <v>#NAME?</v>
      </c>
    </row>
    <row r="2602" spans="1:17">
      <c r="A2602" s="1">
        <f>A2601+1</f>
        <v>2601</v>
      </c>
      <c r="B2602" s="8"/>
      <c r="C2602" s="8" t="s">
        <v>17</v>
      </c>
      <c r="D2602" s="2">
        <v>43806</v>
      </c>
      <c r="E2602" s="3">
        <v>148000</v>
      </c>
      <c r="F2602" t="s">
        <v>107</v>
      </c>
      <c r="G2602" t="s">
        <v>108</v>
      </c>
      <c r="H2602" t="s">
        <v>109</v>
      </c>
      <c r="I2602" s="6" t="s">
        <v>1100</v>
      </c>
      <c r="J2602" s="61" t="s">
        <v>22</v>
      </c>
      <c r="L2602" s="5" t="str">
        <f t="shared" si="813"/>
        <v>02601</v>
      </c>
      <c r="M2602" s="47" t="str">
        <f t="shared" si="814"/>
        <v>07 de diciembre de 2019</v>
      </c>
      <c r="N2602" s="323">
        <f t="shared" si="819"/>
        <v>7</v>
      </c>
      <c r="O2602" s="25">
        <f t="shared" si="815"/>
        <v>43800</v>
      </c>
      <c r="P2602" s="5" t="str">
        <f t="shared" si="825"/>
        <v>148.000,00</v>
      </c>
      <c r="Q2602" s="4" t="e">
        <f t="shared" ca="1" si="826"/>
        <v>#NAME?</v>
      </c>
    </row>
    <row r="2603" spans="1:17">
      <c r="A2603" s="1">
        <f>A2602+1</f>
        <v>2602</v>
      </c>
      <c r="B2603" s="8"/>
      <c r="C2603" s="8" t="s">
        <v>17</v>
      </c>
      <c r="D2603" s="2">
        <v>43806</v>
      </c>
      <c r="E2603" s="3">
        <v>195000</v>
      </c>
      <c r="F2603" t="s">
        <v>998</v>
      </c>
      <c r="G2603" t="s">
        <v>999</v>
      </c>
      <c r="H2603" t="s">
        <v>1000</v>
      </c>
      <c r="I2603" s="6" t="s">
        <v>1097</v>
      </c>
      <c r="J2603" s="61" t="s">
        <v>22</v>
      </c>
      <c r="L2603" s="5" t="str">
        <f t="shared" ref="L2603:L2608" si="831">IF(ISBLANK(A2603),"",TEXT(A2603,"00000"))</f>
        <v>02602</v>
      </c>
      <c r="M2603" s="47" t="str">
        <f t="shared" ref="M2603:M2608" si="832">IF(ISBLANK(D2603),"",TEXT(D2603,"dd")&amp;" de "&amp;TEXT(D2603,"mmmm")&amp;" de "&amp;TEXT(YEAR(D2603),"0"))</f>
        <v>07 de diciembre de 2019</v>
      </c>
      <c r="N2603" s="323">
        <f t="shared" ref="N2603:N2608" si="833">DAY(D2603)</f>
        <v>7</v>
      </c>
      <c r="O2603" s="25">
        <f t="shared" ref="O2603:O2608" si="834">DATE(YEAR(D2603),MONTH(D2603),1)</f>
        <v>43800</v>
      </c>
      <c r="P2603" s="5" t="str">
        <f t="shared" ref="P2603:P2608" si="835">TEXT(E2603,"#.##0,00")</f>
        <v>195.000,00</v>
      </c>
      <c r="Q2603" s="4" t="e">
        <f t="shared" ref="Q2603:Q2608" ca="1" si="836">CONVERTIRNUM(E2603)</f>
        <v>#NAME?</v>
      </c>
    </row>
    <row r="2604" spans="1:17">
      <c r="A2604" s="1">
        <f t="shared" ref="A2604:A2605" si="837">A2603+1</f>
        <v>2603</v>
      </c>
      <c r="B2604" s="8"/>
      <c r="C2604" s="8" t="s">
        <v>17</v>
      </c>
      <c r="D2604" s="2">
        <v>43808</v>
      </c>
      <c r="E2604" s="3">
        <v>105500</v>
      </c>
      <c r="F2604" t="s">
        <v>126</v>
      </c>
      <c r="G2604" t="s">
        <v>127</v>
      </c>
      <c r="H2604" t="s">
        <v>128</v>
      </c>
      <c r="I2604" s="6" t="s">
        <v>1100</v>
      </c>
      <c r="J2604" s="61" t="s">
        <v>22</v>
      </c>
      <c r="L2604" s="5" t="str">
        <f t="shared" si="831"/>
        <v>02603</v>
      </c>
      <c r="M2604" s="47" t="str">
        <f t="shared" si="832"/>
        <v>09 de diciembre de 2019</v>
      </c>
      <c r="N2604" s="323">
        <f t="shared" si="833"/>
        <v>9</v>
      </c>
      <c r="O2604" s="25">
        <f t="shared" si="834"/>
        <v>43800</v>
      </c>
      <c r="P2604" s="5" t="str">
        <f t="shared" si="835"/>
        <v>105.500,00</v>
      </c>
      <c r="Q2604" s="4" t="e">
        <f t="shared" ca="1" si="836"/>
        <v>#NAME?</v>
      </c>
    </row>
    <row r="2605" spans="1:17" ht="15.75" thickBot="1">
      <c r="A2605" s="1">
        <f t="shared" si="837"/>
        <v>2604</v>
      </c>
      <c r="B2605" s="8"/>
      <c r="C2605" s="8" t="s">
        <v>17</v>
      </c>
      <c r="D2605" s="2">
        <v>43808</v>
      </c>
      <c r="E2605" s="3">
        <v>105250</v>
      </c>
      <c r="F2605" t="s">
        <v>53</v>
      </c>
      <c r="G2605" t="s">
        <v>677</v>
      </c>
      <c r="H2605" t="s">
        <v>55</v>
      </c>
      <c r="I2605" s="6" t="s">
        <v>1100</v>
      </c>
      <c r="J2605" s="61" t="s">
        <v>22</v>
      </c>
      <c r="L2605" s="5" t="str">
        <f t="shared" si="831"/>
        <v>02604</v>
      </c>
      <c r="M2605" s="47" t="str">
        <f t="shared" si="832"/>
        <v>09 de diciembre de 2019</v>
      </c>
      <c r="N2605" s="323">
        <f t="shared" si="833"/>
        <v>9</v>
      </c>
      <c r="O2605" s="25">
        <f t="shared" si="834"/>
        <v>43800</v>
      </c>
      <c r="P2605" s="5" t="str">
        <f t="shared" si="835"/>
        <v>105.250,00</v>
      </c>
      <c r="Q2605" s="4" t="e">
        <f t="shared" ca="1" si="836"/>
        <v>#NAME?</v>
      </c>
    </row>
    <row r="2606" spans="1:17" ht="15.75" thickBot="1">
      <c r="A2606" s="1">
        <f>A2605+1</f>
        <v>2605</v>
      </c>
      <c r="C2606" s="85" t="s">
        <v>17</v>
      </c>
      <c r="D2606" s="2">
        <v>43802</v>
      </c>
      <c r="E2606" s="3">
        <v>97500</v>
      </c>
      <c r="F2606" t="s">
        <v>40</v>
      </c>
      <c r="G2606" s="18" t="s">
        <v>58</v>
      </c>
      <c r="H2606" t="s">
        <v>42</v>
      </c>
      <c r="I2606" t="s">
        <v>1100</v>
      </c>
      <c r="J2606" s="61" t="s">
        <v>22</v>
      </c>
      <c r="L2606" s="5" t="str">
        <f t="shared" si="831"/>
        <v>02605</v>
      </c>
      <c r="M2606" s="47" t="str">
        <f t="shared" si="832"/>
        <v>03 de diciembre de 2019</v>
      </c>
      <c r="N2606" s="323">
        <f t="shared" si="833"/>
        <v>3</v>
      </c>
      <c r="O2606" s="25">
        <f t="shared" si="834"/>
        <v>43800</v>
      </c>
      <c r="P2606" s="5" t="str">
        <f t="shared" si="835"/>
        <v>97.500,00</v>
      </c>
      <c r="Q2606" s="4" t="e">
        <f t="shared" ca="1" si="836"/>
        <v>#NAME?</v>
      </c>
    </row>
    <row r="2607" spans="1:17" ht="16.5" customHeight="1">
      <c r="A2607" s="1">
        <f>A2606+1</f>
        <v>2606</v>
      </c>
      <c r="B2607" s="8"/>
      <c r="C2607" s="8" t="s">
        <v>17</v>
      </c>
      <c r="D2607" s="2">
        <v>43809</v>
      </c>
      <c r="E2607" s="3">
        <v>105250</v>
      </c>
      <c r="F2607" t="s">
        <v>219</v>
      </c>
      <c r="G2607" t="s">
        <v>220</v>
      </c>
      <c r="H2607" t="s">
        <v>221</v>
      </c>
      <c r="I2607" s="6" t="s">
        <v>1111</v>
      </c>
      <c r="J2607" s="61" t="s">
        <v>22</v>
      </c>
      <c r="L2607" s="5" t="str">
        <f t="shared" si="831"/>
        <v>02606</v>
      </c>
      <c r="M2607" s="47" t="str">
        <f t="shared" si="832"/>
        <v>10 de diciembre de 2019</v>
      </c>
      <c r="N2607" s="323">
        <f t="shared" si="833"/>
        <v>10</v>
      </c>
      <c r="O2607" s="25">
        <f t="shared" si="834"/>
        <v>43800</v>
      </c>
      <c r="P2607" s="5" t="str">
        <f t="shared" si="835"/>
        <v>105.250,00</v>
      </c>
      <c r="Q2607" s="4" t="e">
        <f t="shared" ca="1" si="836"/>
        <v>#NAME?</v>
      </c>
    </row>
    <row r="2608" spans="1:17">
      <c r="A2608" s="1">
        <f t="shared" ref="A2608:A2609" si="838">A2607+1</f>
        <v>2607</v>
      </c>
      <c r="B2608" s="8"/>
      <c r="C2608" s="8" t="s">
        <v>17</v>
      </c>
      <c r="D2608" s="2">
        <v>43810</v>
      </c>
      <c r="E2608" s="3">
        <v>105250</v>
      </c>
      <c r="F2608" t="s">
        <v>438</v>
      </c>
      <c r="G2608" t="s">
        <v>439</v>
      </c>
      <c r="H2608" t="s">
        <v>440</v>
      </c>
      <c r="I2608" s="6" t="s">
        <v>1112</v>
      </c>
      <c r="J2608" s="61" t="s">
        <v>22</v>
      </c>
      <c r="L2608" s="5" t="str">
        <f t="shared" si="831"/>
        <v>02607</v>
      </c>
      <c r="M2608" s="47" t="str">
        <f t="shared" si="832"/>
        <v>11 de diciembre de 2019</v>
      </c>
      <c r="N2608" s="323">
        <f t="shared" si="833"/>
        <v>11</v>
      </c>
      <c r="O2608" s="25">
        <f t="shared" si="834"/>
        <v>43800</v>
      </c>
      <c r="P2608" s="5" t="str">
        <f t="shared" si="835"/>
        <v>105.250,00</v>
      </c>
      <c r="Q2608" s="4" t="e">
        <f t="shared" ca="1" si="836"/>
        <v>#NAME?</v>
      </c>
    </row>
    <row r="2609" spans="1:17" ht="15.75" thickBot="1">
      <c r="A2609" s="1">
        <f t="shared" si="838"/>
        <v>2608</v>
      </c>
      <c r="B2609" s="8"/>
      <c r="C2609" s="8" t="s">
        <v>17</v>
      </c>
      <c r="D2609" s="2">
        <v>43810</v>
      </c>
      <c r="E2609" s="3">
        <v>2387000</v>
      </c>
      <c r="F2609" t="s">
        <v>1113</v>
      </c>
      <c r="G2609" t="s">
        <v>1114</v>
      </c>
      <c r="H2609" t="s">
        <v>1115</v>
      </c>
      <c r="I2609" s="6" t="s">
        <v>1116</v>
      </c>
      <c r="J2609" s="61" t="s">
        <v>22</v>
      </c>
      <c r="L2609" s="5" t="str">
        <f t="shared" ref="L2609" si="839">IF(ISBLANK(A2609),"",TEXT(A2609,"00000"))</f>
        <v>02608</v>
      </c>
      <c r="M2609" s="47" t="str">
        <f t="shared" ref="M2609" si="840">IF(ISBLANK(D2609),"",TEXT(D2609,"dd")&amp;" de "&amp;TEXT(D2609,"mmmm")&amp;" de "&amp;TEXT(YEAR(D2609),"0"))</f>
        <v>11 de diciembre de 2019</v>
      </c>
      <c r="N2609" s="323">
        <f t="shared" ref="N2609" si="841">DAY(D2609)</f>
        <v>11</v>
      </c>
      <c r="O2609" s="25">
        <f t="shared" ref="O2609" si="842">DATE(YEAR(D2609),MONTH(D2609),1)</f>
        <v>43800</v>
      </c>
      <c r="P2609" s="5" t="str">
        <f t="shared" ref="P2609" si="843">TEXT(E2609,"#.##0,00")</f>
        <v>2.387.000,00</v>
      </c>
      <c r="Q2609" s="4" t="e">
        <f t="shared" ref="Q2609" ca="1" si="844">CONVERTIRNUM(E2609)</f>
        <v>#NAME?</v>
      </c>
    </row>
    <row r="2610" spans="1:17" ht="15.75" thickBot="1">
      <c r="A2610" s="648">
        <f>A2609+1</f>
        <v>2609</v>
      </c>
      <c r="B2610" s="649"/>
      <c r="C2610" s="649" t="s">
        <v>225</v>
      </c>
      <c r="D2610" s="650">
        <v>43810</v>
      </c>
      <c r="E2610" s="651">
        <v>2387000</v>
      </c>
      <c r="F2610" s="652" t="s">
        <v>1113</v>
      </c>
      <c r="G2610" s="652" t="s">
        <v>1114</v>
      </c>
      <c r="H2610" s="652" t="s">
        <v>1115</v>
      </c>
      <c r="I2610" s="653" t="s">
        <v>1117</v>
      </c>
      <c r="J2610" s="654" t="s">
        <v>1118</v>
      </c>
      <c r="K2610" s="655"/>
      <c r="L2610" s="5" t="str">
        <f t="shared" ref="L2610:L2629" si="845">IF(ISBLANK(A2610),"",TEXT(A2610,"00000"))</f>
        <v>02609</v>
      </c>
      <c r="M2610" s="47" t="str">
        <f t="shared" ref="M2610:M2629" si="846">IF(ISBLANK(D2610),"",TEXT(D2610,"dd")&amp;" de "&amp;TEXT(D2610,"mmmm")&amp;" de "&amp;TEXT(YEAR(D2610),"0"))</f>
        <v>11 de diciembre de 2019</v>
      </c>
      <c r="N2610" s="323">
        <f t="shared" ref="N2610:N2629" si="847">DAY(D2610)</f>
        <v>11</v>
      </c>
      <c r="O2610" s="25">
        <f t="shared" ref="O2610:O2629" si="848">DATE(YEAR(D2610),MONTH(D2610),1)</f>
        <v>43800</v>
      </c>
      <c r="P2610" s="5" t="str">
        <f t="shared" ref="P2610:P2629" si="849">TEXT(E2610,"#.##0,00")</f>
        <v>2.387.000,00</v>
      </c>
      <c r="Q2610" s="4" t="e">
        <f t="shared" ref="Q2610:Q2629" ca="1" si="850">CONVERTIRNUM(E2610)</f>
        <v>#NAME?</v>
      </c>
    </row>
    <row r="2611" spans="1:17">
      <c r="A2611" s="1">
        <f t="shared" ref="A2611:A2613" si="851">A2610+1</f>
        <v>2610</v>
      </c>
      <c r="C2611" s="8" t="s">
        <v>17</v>
      </c>
      <c r="D2611" s="2">
        <v>43811</v>
      </c>
      <c r="E2611" s="3">
        <v>60000</v>
      </c>
      <c r="F2611" t="s">
        <v>412</v>
      </c>
      <c r="G2611" t="s">
        <v>413</v>
      </c>
      <c r="H2611" t="s">
        <v>414</v>
      </c>
      <c r="I2611" s="6" t="s">
        <v>1082</v>
      </c>
      <c r="J2611" s="61" t="s">
        <v>22</v>
      </c>
      <c r="L2611" s="5" t="str">
        <f t="shared" si="845"/>
        <v>02610</v>
      </c>
      <c r="M2611" s="47" t="str">
        <f t="shared" si="846"/>
        <v>12 de diciembre de 2019</v>
      </c>
      <c r="N2611" s="323">
        <f t="shared" si="847"/>
        <v>12</v>
      </c>
      <c r="O2611" s="25">
        <f t="shared" si="848"/>
        <v>43800</v>
      </c>
      <c r="P2611" s="5" t="str">
        <f t="shared" si="849"/>
        <v>60.000,00</v>
      </c>
      <c r="Q2611" s="4" t="e">
        <f t="shared" ca="1" si="850"/>
        <v>#NAME?</v>
      </c>
    </row>
    <row r="2612" spans="1:17">
      <c r="A2612" s="1">
        <f t="shared" si="851"/>
        <v>2611</v>
      </c>
      <c r="B2612" s="8"/>
      <c r="C2612" s="8" t="s">
        <v>17</v>
      </c>
      <c r="D2612" s="2">
        <v>43811</v>
      </c>
      <c r="E2612" s="3">
        <v>105250</v>
      </c>
      <c r="F2612" t="s">
        <v>558</v>
      </c>
      <c r="G2612" t="s">
        <v>559</v>
      </c>
      <c r="H2612" t="s">
        <v>560</v>
      </c>
      <c r="I2612" s="6" t="s">
        <v>1100</v>
      </c>
      <c r="J2612" s="61" t="s">
        <v>22</v>
      </c>
      <c r="L2612" s="5" t="str">
        <f t="shared" si="845"/>
        <v>02611</v>
      </c>
      <c r="M2612" s="47" t="str">
        <f t="shared" si="846"/>
        <v>12 de diciembre de 2019</v>
      </c>
      <c r="N2612" s="323">
        <f t="shared" si="847"/>
        <v>12</v>
      </c>
      <c r="O2612" s="25">
        <f t="shared" si="848"/>
        <v>43800</v>
      </c>
      <c r="P2612" s="5" t="str">
        <f t="shared" si="849"/>
        <v>105.250,00</v>
      </c>
      <c r="Q2612" s="4" t="e">
        <f t="shared" ca="1" si="850"/>
        <v>#NAME?</v>
      </c>
    </row>
    <row r="2613" spans="1:17" ht="15.75" thickBot="1">
      <c r="A2613" s="1">
        <f t="shared" si="851"/>
        <v>2612</v>
      </c>
      <c r="B2613" s="8"/>
      <c r="C2613" s="8" t="s">
        <v>17</v>
      </c>
      <c r="D2613" s="2">
        <v>43811</v>
      </c>
      <c r="E2613" s="3">
        <v>105250</v>
      </c>
      <c r="F2613" t="s">
        <v>483</v>
      </c>
      <c r="G2613" t="s">
        <v>484</v>
      </c>
      <c r="H2613" t="s">
        <v>485</v>
      </c>
      <c r="I2613" s="6" t="s">
        <v>1100</v>
      </c>
      <c r="J2613" s="61" t="s">
        <v>22</v>
      </c>
      <c r="L2613" s="5" t="str">
        <f t="shared" si="845"/>
        <v>02612</v>
      </c>
      <c r="M2613" s="47" t="str">
        <f t="shared" si="846"/>
        <v>12 de diciembre de 2019</v>
      </c>
      <c r="N2613" s="323">
        <f t="shared" si="847"/>
        <v>12</v>
      </c>
      <c r="O2613" s="25">
        <f t="shared" si="848"/>
        <v>43800</v>
      </c>
      <c r="P2613" s="5" t="str">
        <f t="shared" si="849"/>
        <v>105.250,00</v>
      </c>
      <c r="Q2613" s="4" t="e">
        <f t="shared" ca="1" si="850"/>
        <v>#NAME?</v>
      </c>
    </row>
    <row r="2614" spans="1:17" ht="15.75" thickBot="1">
      <c r="A2614" s="1">
        <f>A2613+1</f>
        <v>2613</v>
      </c>
      <c r="B2614" s="8"/>
      <c r="C2614" s="85" t="s">
        <v>17</v>
      </c>
      <c r="D2614" s="2">
        <v>43807</v>
      </c>
      <c r="E2614" s="3">
        <v>141375</v>
      </c>
      <c r="F2614" s="23" t="s">
        <v>422</v>
      </c>
      <c r="G2614" s="18" t="s">
        <v>58</v>
      </c>
      <c r="H2614" t="s">
        <v>423</v>
      </c>
      <c r="I2614" s="6" t="s">
        <v>1100</v>
      </c>
      <c r="J2614" s="61" t="s">
        <v>22</v>
      </c>
      <c r="L2614" s="5" t="str">
        <f t="shared" si="845"/>
        <v>02613</v>
      </c>
      <c r="M2614" s="47" t="str">
        <f t="shared" si="846"/>
        <v>08 de diciembre de 2019</v>
      </c>
      <c r="N2614" s="323">
        <f t="shared" si="847"/>
        <v>8</v>
      </c>
      <c r="O2614" s="25">
        <f t="shared" si="848"/>
        <v>43800</v>
      </c>
      <c r="P2614" s="5" t="str">
        <f t="shared" si="849"/>
        <v>141.375,00</v>
      </c>
      <c r="Q2614" s="4" t="e">
        <f t="shared" ca="1" si="850"/>
        <v>#NAME?</v>
      </c>
    </row>
    <row r="2615" spans="1:17">
      <c r="A2615" s="1">
        <f t="shared" ref="A2615:A2616" si="852">A2614+1</f>
        <v>2614</v>
      </c>
      <c r="B2615" s="8"/>
      <c r="C2615" s="8" t="s">
        <v>17</v>
      </c>
      <c r="D2615" s="2">
        <v>43812</v>
      </c>
      <c r="E2615" s="3">
        <v>105250</v>
      </c>
      <c r="F2615" t="s">
        <v>342</v>
      </c>
      <c r="G2615" t="s">
        <v>1036</v>
      </c>
      <c r="H2615" t="s">
        <v>344</v>
      </c>
      <c r="I2615" s="6" t="s">
        <v>1100</v>
      </c>
      <c r="J2615" s="61" t="s">
        <v>22</v>
      </c>
      <c r="L2615" s="5" t="str">
        <f t="shared" si="845"/>
        <v>02614</v>
      </c>
      <c r="M2615" s="47" t="str">
        <f t="shared" si="846"/>
        <v>13 de diciembre de 2019</v>
      </c>
      <c r="N2615" s="323">
        <f t="shared" si="847"/>
        <v>13</v>
      </c>
      <c r="O2615" s="25">
        <f t="shared" si="848"/>
        <v>43800</v>
      </c>
      <c r="P2615" s="5" t="str">
        <f t="shared" si="849"/>
        <v>105.250,00</v>
      </c>
      <c r="Q2615" s="4" t="e">
        <f t="shared" ca="1" si="850"/>
        <v>#NAME?</v>
      </c>
    </row>
    <row r="2616" spans="1:17">
      <c r="A2616" s="1">
        <f t="shared" si="852"/>
        <v>2615</v>
      </c>
      <c r="B2616" s="8"/>
      <c r="C2616" s="8" t="s">
        <v>17</v>
      </c>
      <c r="D2616" s="2">
        <v>43812</v>
      </c>
      <c r="E2616" s="3">
        <v>210500</v>
      </c>
      <c r="F2616" t="s">
        <v>100</v>
      </c>
      <c r="G2616" t="s">
        <v>95</v>
      </c>
      <c r="H2616" t="s">
        <v>101</v>
      </c>
      <c r="I2616" s="6" t="s">
        <v>1100</v>
      </c>
      <c r="J2616" s="61" t="s">
        <v>22</v>
      </c>
      <c r="L2616" s="5" t="str">
        <f t="shared" si="845"/>
        <v>02615</v>
      </c>
      <c r="M2616" s="47" t="str">
        <f t="shared" si="846"/>
        <v>13 de diciembre de 2019</v>
      </c>
      <c r="N2616" s="323">
        <f t="shared" si="847"/>
        <v>13</v>
      </c>
      <c r="O2616" s="25">
        <f t="shared" si="848"/>
        <v>43800</v>
      </c>
      <c r="P2616" s="5" t="str">
        <f t="shared" si="849"/>
        <v>210.500,00</v>
      </c>
      <c r="Q2616" s="4" t="e">
        <f t="shared" ca="1" si="850"/>
        <v>#NAME?</v>
      </c>
    </row>
    <row r="2617" spans="1:17">
      <c r="A2617" s="1">
        <f>A2616+1</f>
        <v>2616</v>
      </c>
      <c r="B2617" s="8"/>
      <c r="C2617" s="8" t="s">
        <v>17</v>
      </c>
      <c r="D2617" s="2">
        <v>43812</v>
      </c>
      <c r="E2617" s="3">
        <v>105250</v>
      </c>
      <c r="F2617" t="s">
        <v>177</v>
      </c>
      <c r="G2617" t="s">
        <v>941</v>
      </c>
      <c r="H2617" t="s">
        <v>179</v>
      </c>
      <c r="I2617" s="6" t="s">
        <v>1119</v>
      </c>
      <c r="J2617" s="61" t="s">
        <v>22</v>
      </c>
      <c r="L2617" s="5" t="str">
        <f t="shared" si="845"/>
        <v>02616</v>
      </c>
      <c r="M2617" s="47" t="str">
        <f t="shared" si="846"/>
        <v>13 de diciembre de 2019</v>
      </c>
      <c r="N2617" s="323">
        <f t="shared" si="847"/>
        <v>13</v>
      </c>
      <c r="O2617" s="25">
        <f t="shared" si="848"/>
        <v>43800</v>
      </c>
      <c r="P2617" s="5" t="str">
        <f t="shared" si="849"/>
        <v>105.250,00</v>
      </c>
      <c r="Q2617" s="4" t="e">
        <f t="shared" ca="1" si="850"/>
        <v>#NAME?</v>
      </c>
    </row>
    <row r="2618" spans="1:17">
      <c r="A2618" s="1">
        <f>A2617+1</f>
        <v>2617</v>
      </c>
      <c r="B2618" s="8"/>
      <c r="C2618" s="8" t="s">
        <v>17</v>
      </c>
      <c r="D2618" s="2">
        <v>43816</v>
      </c>
      <c r="E2618" s="3">
        <v>105250</v>
      </c>
      <c r="F2618" t="s">
        <v>185</v>
      </c>
      <c r="G2618" t="s">
        <v>186</v>
      </c>
      <c r="H2618" t="s">
        <v>187</v>
      </c>
      <c r="I2618" s="6" t="s">
        <v>1100</v>
      </c>
      <c r="J2618" s="61" t="s">
        <v>22</v>
      </c>
      <c r="L2618" s="5" t="str">
        <f t="shared" si="845"/>
        <v>02617</v>
      </c>
      <c r="M2618" s="47" t="str">
        <f t="shared" si="846"/>
        <v>17 de diciembre de 2019</v>
      </c>
      <c r="N2618" s="323">
        <f t="shared" si="847"/>
        <v>17</v>
      </c>
      <c r="O2618" s="25">
        <f t="shared" si="848"/>
        <v>43800</v>
      </c>
      <c r="P2618" s="5" t="str">
        <f t="shared" si="849"/>
        <v>105.250,00</v>
      </c>
      <c r="Q2618" s="4" t="e">
        <f t="shared" ca="1" si="850"/>
        <v>#NAME?</v>
      </c>
    </row>
    <row r="2619" spans="1:17">
      <c r="A2619" s="1">
        <f t="shared" ref="A2619" si="853">A2618+1</f>
        <v>2618</v>
      </c>
      <c r="B2619" s="8"/>
      <c r="C2619" s="8" t="s">
        <v>17</v>
      </c>
      <c r="D2619" s="2">
        <v>43804</v>
      </c>
      <c r="E2619" s="3">
        <v>97500</v>
      </c>
      <c r="F2619" t="s">
        <v>48</v>
      </c>
      <c r="G2619" t="s">
        <v>49</v>
      </c>
      <c r="H2619" t="s">
        <v>50</v>
      </c>
      <c r="I2619" s="6" t="s">
        <v>1100</v>
      </c>
      <c r="J2619" s="61" t="s">
        <v>22</v>
      </c>
      <c r="L2619" s="5" t="str">
        <f t="shared" si="845"/>
        <v>02618</v>
      </c>
      <c r="M2619" s="47" t="str">
        <f t="shared" si="846"/>
        <v>05 de diciembre de 2019</v>
      </c>
      <c r="N2619" s="323">
        <f t="shared" si="847"/>
        <v>5</v>
      </c>
      <c r="O2619" s="25">
        <f t="shared" si="848"/>
        <v>43800</v>
      </c>
      <c r="P2619" s="5" t="str">
        <f t="shared" si="849"/>
        <v>97.500,00</v>
      </c>
      <c r="Q2619" s="4" t="e">
        <f t="shared" ca="1" si="850"/>
        <v>#NAME?</v>
      </c>
    </row>
    <row r="2620" spans="1:17">
      <c r="A2620" s="1">
        <f>A2619+1</f>
        <v>2619</v>
      </c>
      <c r="B2620" s="8"/>
      <c r="C2620" s="8" t="s">
        <v>17</v>
      </c>
      <c r="D2620" s="2">
        <v>43805</v>
      </c>
      <c r="E2620" s="3">
        <v>97500</v>
      </c>
      <c r="F2620" t="s">
        <v>337</v>
      </c>
      <c r="G2620" t="s">
        <v>338</v>
      </c>
      <c r="H2620" t="s">
        <v>339</v>
      </c>
      <c r="I2620" s="6" t="s">
        <v>1100</v>
      </c>
      <c r="J2620" s="61" t="s">
        <v>22</v>
      </c>
      <c r="L2620" s="5" t="str">
        <f t="shared" si="845"/>
        <v>02619</v>
      </c>
      <c r="M2620" s="47" t="str">
        <f t="shared" si="846"/>
        <v>06 de diciembre de 2019</v>
      </c>
      <c r="N2620" s="323">
        <f t="shared" si="847"/>
        <v>6</v>
      </c>
      <c r="O2620" s="25">
        <f t="shared" si="848"/>
        <v>43800</v>
      </c>
      <c r="P2620" s="5" t="str">
        <f t="shared" si="849"/>
        <v>97.500,00</v>
      </c>
      <c r="Q2620" s="4" t="e">
        <f t="shared" ca="1" si="850"/>
        <v>#NAME?</v>
      </c>
    </row>
    <row r="2621" spans="1:17">
      <c r="A2621" s="1">
        <f>A2620+1</f>
        <v>2620</v>
      </c>
      <c r="B2621" s="8"/>
      <c r="C2621" s="8" t="s">
        <v>17</v>
      </c>
      <c r="D2621" s="2">
        <v>43818</v>
      </c>
      <c r="E2621" s="3">
        <v>105250</v>
      </c>
      <c r="F2621" t="s">
        <v>296</v>
      </c>
      <c r="G2621" t="s">
        <v>297</v>
      </c>
      <c r="H2621" t="s">
        <v>298</v>
      </c>
      <c r="I2621" s="6" t="s">
        <v>1100</v>
      </c>
      <c r="J2621" s="61" t="s">
        <v>22</v>
      </c>
      <c r="L2621" s="5" t="str">
        <f t="shared" si="845"/>
        <v>02620</v>
      </c>
      <c r="M2621" s="47" t="str">
        <f t="shared" si="846"/>
        <v>19 de diciembre de 2019</v>
      </c>
      <c r="N2621" s="323">
        <f t="shared" si="847"/>
        <v>19</v>
      </c>
      <c r="O2621" s="25">
        <f t="shared" si="848"/>
        <v>43800</v>
      </c>
      <c r="P2621" s="5" t="str">
        <f t="shared" si="849"/>
        <v>105.250,00</v>
      </c>
      <c r="Q2621" s="4" t="e">
        <f t="shared" ca="1" si="850"/>
        <v>#NAME?</v>
      </c>
    </row>
    <row r="2622" spans="1:17" ht="15.75" thickBot="1">
      <c r="A2622" s="1">
        <f t="shared" ref="A2622:A2623" si="854">A2621+1</f>
        <v>2621</v>
      </c>
      <c r="B2622" s="8"/>
      <c r="C2622" s="8" t="s">
        <v>17</v>
      </c>
      <c r="D2622" s="2">
        <v>43819</v>
      </c>
      <c r="E2622" s="3">
        <v>106000</v>
      </c>
      <c r="F2622" t="s">
        <v>443</v>
      </c>
      <c r="G2622" t="s">
        <v>444</v>
      </c>
      <c r="H2622" t="s">
        <v>75</v>
      </c>
      <c r="I2622" s="6" t="s">
        <v>1120</v>
      </c>
      <c r="J2622" s="61" t="s">
        <v>22</v>
      </c>
      <c r="L2622" s="5" t="str">
        <f t="shared" si="845"/>
        <v>02621</v>
      </c>
      <c r="M2622" s="47" t="str">
        <f t="shared" si="846"/>
        <v>20 de diciembre de 2019</v>
      </c>
      <c r="N2622" s="323">
        <f t="shared" si="847"/>
        <v>20</v>
      </c>
      <c r="O2622" s="25">
        <f t="shared" si="848"/>
        <v>43800</v>
      </c>
      <c r="P2622" s="5" t="str">
        <f t="shared" si="849"/>
        <v>106.000,00</v>
      </c>
      <c r="Q2622" s="4" t="e">
        <f t="shared" ca="1" si="850"/>
        <v>#NAME?</v>
      </c>
    </row>
    <row r="2623" spans="1:17" ht="15.75" thickBot="1">
      <c r="A2623" s="1">
        <f t="shared" si="854"/>
        <v>2622</v>
      </c>
      <c r="B2623" s="8"/>
      <c r="C2623" s="8" t="s">
        <v>17</v>
      </c>
      <c r="D2623" s="2">
        <v>43819</v>
      </c>
      <c r="E2623" s="3">
        <v>105250</v>
      </c>
      <c r="F2623" t="s">
        <v>1017</v>
      </c>
      <c r="G2623" s="475" t="s">
        <v>1018</v>
      </c>
      <c r="H2623" t="s">
        <v>140</v>
      </c>
      <c r="I2623" s="6" t="s">
        <v>1100</v>
      </c>
      <c r="J2623" s="61" t="s">
        <v>22</v>
      </c>
      <c r="L2623" s="5" t="str">
        <f t="shared" si="845"/>
        <v>02622</v>
      </c>
      <c r="M2623" s="47" t="str">
        <f t="shared" si="846"/>
        <v>20 de diciembre de 2019</v>
      </c>
      <c r="N2623" s="323">
        <f t="shared" si="847"/>
        <v>20</v>
      </c>
      <c r="O2623" s="25">
        <f t="shared" si="848"/>
        <v>43800</v>
      </c>
      <c r="P2623" s="5" t="str">
        <f t="shared" si="849"/>
        <v>105.250,00</v>
      </c>
      <c r="Q2623" s="4" t="e">
        <f t="shared" ca="1" si="850"/>
        <v>#NAME?</v>
      </c>
    </row>
    <row r="2624" spans="1:17">
      <c r="A2624" s="1">
        <f>A2623+1</f>
        <v>2623</v>
      </c>
      <c r="B2624" s="8"/>
      <c r="C2624" s="8" t="s">
        <v>17</v>
      </c>
      <c r="D2624" s="2">
        <v>43818</v>
      </c>
      <c r="E2624" s="3">
        <v>105250</v>
      </c>
      <c r="F2624" t="s">
        <v>284</v>
      </c>
      <c r="G2624" t="s">
        <v>687</v>
      </c>
      <c r="H2624" t="s">
        <v>285</v>
      </c>
      <c r="I2624" s="6" t="s">
        <v>1100</v>
      </c>
      <c r="J2624" s="61" t="s">
        <v>22</v>
      </c>
      <c r="L2624" s="5" t="str">
        <f t="shared" si="845"/>
        <v>02623</v>
      </c>
      <c r="M2624" s="47" t="str">
        <f t="shared" si="846"/>
        <v>19 de diciembre de 2019</v>
      </c>
      <c r="N2624" s="323">
        <f t="shared" si="847"/>
        <v>19</v>
      </c>
      <c r="O2624" s="25">
        <f t="shared" si="848"/>
        <v>43800</v>
      </c>
      <c r="P2624" s="5" t="str">
        <f t="shared" si="849"/>
        <v>105.250,00</v>
      </c>
      <c r="Q2624" s="4" t="e">
        <f t="shared" ca="1" si="850"/>
        <v>#NAME?</v>
      </c>
    </row>
    <row r="2625" spans="1:17">
      <c r="A2625" s="319">
        <f t="shared" ref="A2625:A2629" si="855">A2624+1</f>
        <v>2624</v>
      </c>
      <c r="B2625" s="12"/>
      <c r="C2625" s="12" t="s">
        <v>225</v>
      </c>
      <c r="D2625" s="17">
        <v>43820</v>
      </c>
      <c r="E2625" s="13">
        <v>105250</v>
      </c>
      <c r="F2625" s="14" t="s">
        <v>215</v>
      </c>
      <c r="G2625" s="14" t="s">
        <v>1101</v>
      </c>
      <c r="H2625" s="14" t="s">
        <v>217</v>
      </c>
      <c r="I2625" s="15" t="s">
        <v>1100</v>
      </c>
      <c r="J2625" s="62" t="s">
        <v>426</v>
      </c>
      <c r="K2625" s="16"/>
      <c r="L2625" s="5" t="str">
        <f t="shared" si="845"/>
        <v>02624</v>
      </c>
      <c r="M2625" s="47" t="str">
        <f t="shared" si="846"/>
        <v>21 de diciembre de 2019</v>
      </c>
      <c r="N2625" s="323">
        <f t="shared" si="847"/>
        <v>21</v>
      </c>
      <c r="O2625" s="25">
        <f t="shared" si="848"/>
        <v>43800</v>
      </c>
      <c r="P2625" s="5" t="str">
        <f t="shared" si="849"/>
        <v>105.250,00</v>
      </c>
      <c r="Q2625" s="4" t="e">
        <f t="shared" ca="1" si="850"/>
        <v>#NAME?</v>
      </c>
    </row>
    <row r="2626" spans="1:17" ht="15.75" thickBot="1">
      <c r="A2626" s="1">
        <f t="shared" si="855"/>
        <v>2625</v>
      </c>
      <c r="B2626" s="8"/>
      <c r="C2626" s="8" t="s">
        <v>17</v>
      </c>
      <c r="D2626" s="2">
        <v>43820</v>
      </c>
      <c r="E2626" s="3">
        <v>105250</v>
      </c>
      <c r="F2626" t="s">
        <v>843</v>
      </c>
      <c r="G2626" t="s">
        <v>844</v>
      </c>
      <c r="H2626" t="s">
        <v>169</v>
      </c>
      <c r="I2626" s="6" t="s">
        <v>1100</v>
      </c>
      <c r="J2626" s="61" t="s">
        <v>22</v>
      </c>
      <c r="L2626" s="5" t="str">
        <f t="shared" si="845"/>
        <v>02625</v>
      </c>
      <c r="M2626" s="47" t="str">
        <f t="shared" si="846"/>
        <v>21 de diciembre de 2019</v>
      </c>
      <c r="N2626" s="323">
        <f t="shared" si="847"/>
        <v>21</v>
      </c>
      <c r="O2626" s="25">
        <f t="shared" si="848"/>
        <v>43800</v>
      </c>
      <c r="P2626" s="5" t="str">
        <f t="shared" si="849"/>
        <v>105.250,00</v>
      </c>
      <c r="Q2626" s="4" t="e">
        <f t="shared" ca="1" si="850"/>
        <v>#NAME?</v>
      </c>
    </row>
    <row r="2627" spans="1:17" ht="15.75" thickBot="1">
      <c r="A2627" s="1">
        <f t="shared" si="855"/>
        <v>2626</v>
      </c>
      <c r="B2627" s="8"/>
      <c r="C2627" s="85" t="s">
        <v>17</v>
      </c>
      <c r="D2627" s="2">
        <v>43822</v>
      </c>
      <c r="E2627" s="3">
        <f>210000+500</f>
        <v>210500</v>
      </c>
      <c r="F2627" t="s">
        <v>319</v>
      </c>
      <c r="G2627" s="18" t="s">
        <v>58</v>
      </c>
      <c r="H2627" t="s">
        <v>320</v>
      </c>
      <c r="I2627" s="6" t="s">
        <v>1097</v>
      </c>
      <c r="J2627" s="61" t="s">
        <v>22</v>
      </c>
      <c r="L2627" s="5" t="str">
        <f t="shared" si="845"/>
        <v>02626</v>
      </c>
      <c r="M2627" s="47" t="str">
        <f t="shared" si="846"/>
        <v>23 de diciembre de 2019</v>
      </c>
      <c r="N2627" s="323">
        <f t="shared" si="847"/>
        <v>23</v>
      </c>
      <c r="O2627" s="25">
        <f t="shared" si="848"/>
        <v>43800</v>
      </c>
      <c r="P2627" s="5" t="str">
        <f t="shared" si="849"/>
        <v>210.500,00</v>
      </c>
      <c r="Q2627" s="4" t="e">
        <f t="shared" ca="1" si="850"/>
        <v>#NAME?</v>
      </c>
    </row>
    <row r="2628" spans="1:17" ht="15.75" thickBot="1">
      <c r="A2628" s="1">
        <f t="shared" si="855"/>
        <v>2627</v>
      </c>
      <c r="B2628" s="8"/>
      <c r="C2628" s="8" t="s">
        <v>17</v>
      </c>
      <c r="D2628" s="2">
        <v>43812</v>
      </c>
      <c r="E2628" s="3">
        <v>20000</v>
      </c>
      <c r="F2628" t="s">
        <v>252</v>
      </c>
      <c r="G2628" s="475" t="s">
        <v>958</v>
      </c>
      <c r="H2628" t="s">
        <v>254</v>
      </c>
      <c r="I2628" s="6" t="s">
        <v>1105</v>
      </c>
      <c r="J2628" s="61" t="s">
        <v>22</v>
      </c>
      <c r="L2628" s="5" t="str">
        <f t="shared" si="845"/>
        <v>02627</v>
      </c>
      <c r="M2628" s="47" t="str">
        <f t="shared" si="846"/>
        <v>13 de diciembre de 2019</v>
      </c>
      <c r="N2628" s="323">
        <f t="shared" si="847"/>
        <v>13</v>
      </c>
      <c r="O2628" s="25">
        <f t="shared" si="848"/>
        <v>43800</v>
      </c>
      <c r="P2628" s="5" t="str">
        <f t="shared" si="849"/>
        <v>20.000,00</v>
      </c>
      <c r="Q2628" s="4" t="e">
        <f t="shared" ca="1" si="850"/>
        <v>#NAME?</v>
      </c>
    </row>
    <row r="2629" spans="1:17" ht="15.75" thickBot="1">
      <c r="A2629" s="1">
        <f t="shared" si="855"/>
        <v>2628</v>
      </c>
      <c r="B2629" s="8"/>
      <c r="C2629" s="8" t="s">
        <v>17</v>
      </c>
      <c r="D2629" s="2">
        <v>43825</v>
      </c>
      <c r="E2629" s="3">
        <v>105250</v>
      </c>
      <c r="F2629" t="s">
        <v>633</v>
      </c>
      <c r="G2629" t="s">
        <v>634</v>
      </c>
      <c r="H2629" t="s">
        <v>635</v>
      </c>
      <c r="I2629" s="6" t="s">
        <v>1100</v>
      </c>
      <c r="J2629" s="61" t="s">
        <v>22</v>
      </c>
      <c r="L2629" s="5" t="str">
        <f t="shared" si="845"/>
        <v>02628</v>
      </c>
      <c r="M2629" s="47" t="str">
        <f t="shared" si="846"/>
        <v>26 de diciembre de 2019</v>
      </c>
      <c r="N2629" s="323">
        <f t="shared" si="847"/>
        <v>26</v>
      </c>
      <c r="O2629" s="25">
        <f t="shared" si="848"/>
        <v>43800</v>
      </c>
      <c r="P2629" s="5" t="str">
        <f t="shared" si="849"/>
        <v>105.250,00</v>
      </c>
      <c r="Q2629" s="4" t="e">
        <f t="shared" ca="1" si="850"/>
        <v>#NAME?</v>
      </c>
    </row>
    <row r="2630" spans="1:17" ht="15.75" thickBot="1">
      <c r="A2630" s="1">
        <f>A2629+1</f>
        <v>2629</v>
      </c>
      <c r="B2630" s="8"/>
      <c r="C2630" s="8" t="s">
        <v>17</v>
      </c>
      <c r="D2630" s="2">
        <v>43825</v>
      </c>
      <c r="E2630" s="3">
        <v>20000</v>
      </c>
      <c r="F2630" t="s">
        <v>252</v>
      </c>
      <c r="G2630" s="475" t="s">
        <v>958</v>
      </c>
      <c r="H2630" t="s">
        <v>254</v>
      </c>
      <c r="I2630" s="6" t="s">
        <v>1105</v>
      </c>
      <c r="J2630" s="61" t="s">
        <v>22</v>
      </c>
      <c r="L2630" s="5" t="str">
        <f t="shared" ref="L2630:L2644" si="856">IF(ISBLANK(A2630),"",TEXT(A2630,"00000"))</f>
        <v>02629</v>
      </c>
      <c r="M2630" s="47" t="str">
        <f t="shared" ref="M2630:M2644" si="857">IF(ISBLANK(D2630),"",TEXT(D2630,"dd")&amp;" de "&amp;TEXT(D2630,"mmmm")&amp;" de "&amp;TEXT(YEAR(D2630),"0"))</f>
        <v>26 de diciembre de 2019</v>
      </c>
      <c r="N2630" s="323">
        <f t="shared" ref="N2630:N2658" si="858">DAY(D2630)</f>
        <v>26</v>
      </c>
      <c r="O2630" s="25">
        <f t="shared" ref="O2630:O2644" si="859">DATE(YEAR(D2630),MONTH(D2630),1)</f>
        <v>43800</v>
      </c>
      <c r="P2630" s="5" t="str">
        <f t="shared" ref="P2630:P2651" si="860">TEXT(E2630,"#.##0,00")</f>
        <v>20.000,00</v>
      </c>
      <c r="Q2630" s="4" t="e">
        <f t="shared" ref="Q2630:Q2631" ca="1" si="861">CONVERTIRNUM(E2630)</f>
        <v>#NAME?</v>
      </c>
    </row>
    <row r="2631" spans="1:17">
      <c r="A2631" s="1">
        <f>A2630+1</f>
        <v>2630</v>
      </c>
      <c r="B2631" s="8"/>
      <c r="C2631" s="8" t="s">
        <v>17</v>
      </c>
      <c r="D2631" s="2">
        <v>43820</v>
      </c>
      <c r="E2631" s="3">
        <v>105250</v>
      </c>
      <c r="F2631" t="s">
        <v>211</v>
      </c>
      <c r="G2631" t="s">
        <v>212</v>
      </c>
      <c r="H2631" t="s">
        <v>213</v>
      </c>
      <c r="I2631" s="6" t="s">
        <v>1100</v>
      </c>
      <c r="J2631" s="61" t="s">
        <v>22</v>
      </c>
      <c r="L2631" s="5" t="str">
        <f t="shared" si="856"/>
        <v>02630</v>
      </c>
      <c r="M2631" s="47" t="str">
        <f t="shared" si="857"/>
        <v>21 de diciembre de 2019</v>
      </c>
      <c r="N2631" s="323">
        <f t="shared" si="858"/>
        <v>21</v>
      </c>
      <c r="O2631" s="25">
        <f t="shared" si="859"/>
        <v>43800</v>
      </c>
      <c r="P2631" s="5" t="str">
        <f t="shared" si="860"/>
        <v>105.250,00</v>
      </c>
      <c r="Q2631" s="4" t="e">
        <f t="shared" ca="1" si="861"/>
        <v>#NAME?</v>
      </c>
    </row>
    <row r="2632" spans="1:17">
      <c r="A2632" s="1">
        <f t="shared" ref="A2632:A2633" si="862">A2631+1</f>
        <v>2631</v>
      </c>
      <c r="B2632" s="8"/>
      <c r="C2632" s="8" t="s">
        <v>17</v>
      </c>
      <c r="D2632" s="2">
        <v>43829</v>
      </c>
      <c r="E2632" s="3">
        <v>105250</v>
      </c>
      <c r="F2632" t="s">
        <v>407</v>
      </c>
      <c r="G2632" t="s">
        <v>408</v>
      </c>
      <c r="H2632" t="s">
        <v>409</v>
      </c>
      <c r="I2632" s="6" t="s">
        <v>1121</v>
      </c>
      <c r="J2632" s="61" t="s">
        <v>22</v>
      </c>
      <c r="L2632" s="5" t="str">
        <f t="shared" si="856"/>
        <v>02631</v>
      </c>
      <c r="M2632" s="47" t="str">
        <f t="shared" si="857"/>
        <v>30 de diciembre de 2019</v>
      </c>
      <c r="N2632" s="323">
        <f t="shared" si="858"/>
        <v>30</v>
      </c>
      <c r="O2632" s="25">
        <f t="shared" si="859"/>
        <v>43800</v>
      </c>
      <c r="P2632" s="5" t="str">
        <f t="shared" si="860"/>
        <v>105.250,00</v>
      </c>
      <c r="Q2632" s="4" t="e">
        <f ca="1">CONVERTIRNUM(E2632)</f>
        <v>#NAME?</v>
      </c>
    </row>
    <row r="2633" spans="1:17">
      <c r="A2633" s="1">
        <f t="shared" si="862"/>
        <v>2632</v>
      </c>
      <c r="B2633" s="8"/>
      <c r="C2633" s="8" t="s">
        <v>17</v>
      </c>
      <c r="D2633" s="2">
        <v>43829</v>
      </c>
      <c r="E2633" s="3">
        <v>105250</v>
      </c>
      <c r="F2633" t="s">
        <v>94</v>
      </c>
      <c r="G2633" t="s">
        <v>607</v>
      </c>
      <c r="H2633" t="s">
        <v>96</v>
      </c>
      <c r="I2633" s="6" t="s">
        <v>1100</v>
      </c>
      <c r="J2633" s="61" t="s">
        <v>22</v>
      </c>
      <c r="L2633" s="5" t="str">
        <f t="shared" si="856"/>
        <v>02632</v>
      </c>
      <c r="M2633" s="47" t="str">
        <f t="shared" si="857"/>
        <v>30 de diciembre de 2019</v>
      </c>
      <c r="N2633" s="323">
        <f t="shared" si="858"/>
        <v>30</v>
      </c>
      <c r="O2633" s="25">
        <f t="shared" si="859"/>
        <v>43800</v>
      </c>
      <c r="P2633" s="5" t="str">
        <f t="shared" si="860"/>
        <v>105.250,00</v>
      </c>
      <c r="Q2633" s="4" t="e">
        <f t="shared" ref="Q2633:Q2651" ca="1" si="863">CONVERTIRNUM(E2633)</f>
        <v>#NAME?</v>
      </c>
    </row>
    <row r="2634" spans="1:17">
      <c r="A2634" s="1">
        <f>A2633+1</f>
        <v>2633</v>
      </c>
      <c r="B2634" s="8"/>
      <c r="C2634" s="8" t="s">
        <v>17</v>
      </c>
      <c r="D2634" s="2">
        <v>43807</v>
      </c>
      <c r="E2634" s="3">
        <v>97500</v>
      </c>
      <c r="F2634" t="s">
        <v>181</v>
      </c>
      <c r="G2634" t="s">
        <v>182</v>
      </c>
      <c r="H2634" t="s">
        <v>183</v>
      </c>
      <c r="I2634" s="6" t="s">
        <v>1122</v>
      </c>
      <c r="J2634" s="61" t="s">
        <v>22</v>
      </c>
      <c r="L2634" s="5" t="str">
        <f t="shared" si="856"/>
        <v>02633</v>
      </c>
      <c r="M2634" s="47" t="str">
        <f t="shared" si="857"/>
        <v>08 de diciembre de 2019</v>
      </c>
      <c r="N2634" s="323">
        <f t="shared" si="858"/>
        <v>8</v>
      </c>
      <c r="O2634" s="25">
        <f t="shared" si="859"/>
        <v>43800</v>
      </c>
      <c r="P2634" s="5" t="str">
        <f t="shared" si="860"/>
        <v>97.500,00</v>
      </c>
      <c r="Q2634" s="4" t="e">
        <f t="shared" ca="1" si="863"/>
        <v>#NAME?</v>
      </c>
    </row>
    <row r="2635" spans="1:17">
      <c r="A2635" s="1">
        <f>A2634+1</f>
        <v>2634</v>
      </c>
      <c r="C2635" s="8" t="s">
        <v>17</v>
      </c>
      <c r="D2635" s="2">
        <v>43831</v>
      </c>
      <c r="E2635" s="3">
        <v>60000</v>
      </c>
      <c r="F2635" t="s">
        <v>412</v>
      </c>
      <c r="G2635" t="s">
        <v>413</v>
      </c>
      <c r="H2635" t="s">
        <v>414</v>
      </c>
      <c r="I2635" s="6" t="s">
        <v>1105</v>
      </c>
      <c r="J2635" s="61" t="s">
        <v>22</v>
      </c>
      <c r="L2635" s="5" t="str">
        <f t="shared" si="856"/>
        <v>02634</v>
      </c>
      <c r="M2635" s="47" t="str">
        <f t="shared" si="857"/>
        <v>01 de enero de 2020</v>
      </c>
      <c r="N2635" s="323">
        <f t="shared" si="858"/>
        <v>1</v>
      </c>
      <c r="O2635" s="25">
        <f t="shared" si="859"/>
        <v>43831</v>
      </c>
      <c r="P2635" s="5" t="str">
        <f t="shared" si="860"/>
        <v>60.000,00</v>
      </c>
      <c r="Q2635" s="4" t="e">
        <f t="shared" ca="1" si="863"/>
        <v>#NAME?</v>
      </c>
    </row>
    <row r="2636" spans="1:17">
      <c r="A2636" s="1">
        <f>A2635+1</f>
        <v>2635</v>
      </c>
      <c r="C2636" s="8" t="s">
        <v>17</v>
      </c>
      <c r="D2636" s="2">
        <v>43834</v>
      </c>
      <c r="E2636" s="3">
        <v>136250</v>
      </c>
      <c r="F2636" t="s">
        <v>70</v>
      </c>
      <c r="G2636" t="s">
        <v>71</v>
      </c>
      <c r="H2636" t="s">
        <v>72</v>
      </c>
      <c r="I2636" s="6" t="s">
        <v>1121</v>
      </c>
      <c r="J2636" s="61" t="s">
        <v>22</v>
      </c>
      <c r="L2636" s="5" t="str">
        <f t="shared" si="856"/>
        <v>02635</v>
      </c>
      <c r="M2636" s="47" t="str">
        <f t="shared" si="857"/>
        <v>04 de enero de 2020</v>
      </c>
      <c r="N2636" s="323">
        <f t="shared" si="858"/>
        <v>4</v>
      </c>
      <c r="O2636" s="25">
        <f t="shared" si="859"/>
        <v>43831</v>
      </c>
      <c r="P2636" s="5" t="str">
        <f t="shared" si="860"/>
        <v>136.250,00</v>
      </c>
      <c r="Q2636" s="4" t="e">
        <f t="shared" ca="1" si="863"/>
        <v>#NAME?</v>
      </c>
    </row>
    <row r="2637" spans="1:17">
      <c r="A2637" s="1">
        <f t="shared" ref="A2637" si="864">A2636+1</f>
        <v>2636</v>
      </c>
      <c r="C2637" s="8" t="s">
        <v>17</v>
      </c>
      <c r="D2637" s="2">
        <v>43834</v>
      </c>
      <c r="E2637" s="3">
        <v>136250</v>
      </c>
      <c r="F2637" t="s">
        <v>103</v>
      </c>
      <c r="G2637" s="599" t="s">
        <v>1047</v>
      </c>
      <c r="H2637" t="s">
        <v>105</v>
      </c>
      <c r="I2637" s="6" t="s">
        <v>1121</v>
      </c>
      <c r="J2637" s="61" t="s">
        <v>22</v>
      </c>
      <c r="L2637" s="5" t="str">
        <f t="shared" si="856"/>
        <v>02636</v>
      </c>
      <c r="M2637" s="47" t="str">
        <f t="shared" si="857"/>
        <v>04 de enero de 2020</v>
      </c>
      <c r="N2637" s="323">
        <f t="shared" si="858"/>
        <v>4</v>
      </c>
      <c r="O2637" s="25">
        <f t="shared" si="859"/>
        <v>43831</v>
      </c>
      <c r="P2637" s="5" t="str">
        <f t="shared" si="860"/>
        <v>136.250,00</v>
      </c>
      <c r="Q2637" s="4" t="e">
        <f t="shared" ca="1" si="863"/>
        <v>#NAME?</v>
      </c>
    </row>
    <row r="2638" spans="1:17" ht="15.75" thickBot="1">
      <c r="A2638" s="1">
        <f>A2637+1</f>
        <v>2637</v>
      </c>
      <c r="C2638" s="8" t="s">
        <v>17</v>
      </c>
      <c r="D2638" s="2">
        <v>43834</v>
      </c>
      <c r="E2638" s="3">
        <v>136250</v>
      </c>
      <c r="F2638" t="s">
        <v>1004</v>
      </c>
      <c r="G2638" t="s">
        <v>1005</v>
      </c>
      <c r="H2638" t="s">
        <v>539</v>
      </c>
      <c r="I2638" s="6" t="s">
        <v>1121</v>
      </c>
      <c r="J2638" s="61" t="s">
        <v>22</v>
      </c>
      <c r="L2638" s="5" t="str">
        <f t="shared" si="856"/>
        <v>02637</v>
      </c>
      <c r="M2638" s="47" t="str">
        <f t="shared" si="857"/>
        <v>04 de enero de 2020</v>
      </c>
      <c r="N2638" s="323">
        <f t="shared" si="858"/>
        <v>4</v>
      </c>
      <c r="O2638" s="25">
        <f t="shared" si="859"/>
        <v>43831</v>
      </c>
      <c r="P2638" s="5" t="str">
        <f t="shared" si="860"/>
        <v>136.250,00</v>
      </c>
      <c r="Q2638" s="4" t="e">
        <f t="shared" ca="1" si="863"/>
        <v>#NAME?</v>
      </c>
    </row>
    <row r="2639" spans="1:17" ht="15.75" thickBot="1">
      <c r="A2639" s="1">
        <f t="shared" ref="A2639" si="865">A2638+1</f>
        <v>2638</v>
      </c>
      <c r="B2639" s="8"/>
      <c r="C2639" s="85" t="s">
        <v>17</v>
      </c>
      <c r="D2639" s="2">
        <v>43834</v>
      </c>
      <c r="E2639" s="3">
        <v>136250</v>
      </c>
      <c r="F2639" t="s">
        <v>259</v>
      </c>
      <c r="G2639" s="18" t="s">
        <v>58</v>
      </c>
      <c r="H2639" t="s">
        <v>261</v>
      </c>
      <c r="I2639" s="6" t="s">
        <v>1100</v>
      </c>
      <c r="J2639" s="61" t="s">
        <v>22</v>
      </c>
      <c r="L2639" s="5" t="str">
        <f t="shared" si="856"/>
        <v>02638</v>
      </c>
      <c r="M2639" s="47" t="str">
        <f t="shared" si="857"/>
        <v>04 de enero de 2020</v>
      </c>
      <c r="N2639" s="323">
        <f t="shared" si="858"/>
        <v>4</v>
      </c>
      <c r="O2639" s="25">
        <f t="shared" si="859"/>
        <v>43831</v>
      </c>
      <c r="P2639" s="5" t="str">
        <f t="shared" si="860"/>
        <v>136.250,00</v>
      </c>
      <c r="Q2639" s="4" t="e">
        <f t="shared" ca="1" si="863"/>
        <v>#NAME?</v>
      </c>
    </row>
    <row r="2640" spans="1:17">
      <c r="A2640" s="656">
        <f>A2639+1</f>
        <v>2639</v>
      </c>
      <c r="C2640" s="8" t="s">
        <v>17</v>
      </c>
      <c r="D2640" s="2">
        <v>43834</v>
      </c>
      <c r="E2640" s="3">
        <v>136250</v>
      </c>
      <c r="F2640" t="s">
        <v>454</v>
      </c>
      <c r="G2640" t="s">
        <v>761</v>
      </c>
      <c r="H2640" t="s">
        <v>455</v>
      </c>
      <c r="I2640" s="6" t="s">
        <v>1121</v>
      </c>
      <c r="J2640" s="61" t="s">
        <v>22</v>
      </c>
      <c r="L2640" s="5" t="str">
        <f t="shared" si="856"/>
        <v>02639</v>
      </c>
      <c r="M2640" s="47" t="str">
        <f t="shared" si="857"/>
        <v>04 de enero de 2020</v>
      </c>
      <c r="N2640" s="323">
        <f t="shared" si="858"/>
        <v>4</v>
      </c>
      <c r="O2640" s="25">
        <f t="shared" si="859"/>
        <v>43831</v>
      </c>
      <c r="P2640" s="5" t="str">
        <f t="shared" si="860"/>
        <v>136.250,00</v>
      </c>
      <c r="Q2640" s="4" t="e">
        <f t="shared" ca="1" si="863"/>
        <v>#NAME?</v>
      </c>
    </row>
    <row r="2641" spans="1:17">
      <c r="A2641" s="1">
        <f>A2640+1</f>
        <v>2640</v>
      </c>
      <c r="C2641" s="8" t="s">
        <v>17</v>
      </c>
      <c r="D2641" s="2">
        <v>43834</v>
      </c>
      <c r="E2641" s="3">
        <v>136250</v>
      </c>
      <c r="F2641" t="s">
        <v>18</v>
      </c>
      <c r="G2641" t="s">
        <v>19</v>
      </c>
      <c r="H2641" t="s">
        <v>20</v>
      </c>
      <c r="I2641" t="s">
        <v>1123</v>
      </c>
      <c r="J2641" s="61" t="s">
        <v>22</v>
      </c>
      <c r="L2641" s="5" t="str">
        <f t="shared" si="856"/>
        <v>02640</v>
      </c>
      <c r="M2641" s="47" t="str">
        <f t="shared" si="857"/>
        <v>04 de enero de 2020</v>
      </c>
      <c r="N2641" s="323">
        <f t="shared" si="858"/>
        <v>4</v>
      </c>
      <c r="O2641" s="25">
        <f t="shared" si="859"/>
        <v>43831</v>
      </c>
      <c r="P2641" s="5" t="str">
        <f t="shared" si="860"/>
        <v>136.250,00</v>
      </c>
      <c r="Q2641" s="4" t="e">
        <f t="shared" ca="1" si="863"/>
        <v>#NAME?</v>
      </c>
    </row>
    <row r="2642" spans="1:17">
      <c r="A2642" s="1">
        <f>A2641+1</f>
        <v>2641</v>
      </c>
      <c r="C2642" s="8" t="s">
        <v>17</v>
      </c>
      <c r="D2642" s="2">
        <v>43834</v>
      </c>
      <c r="E2642" s="3">
        <v>136250</v>
      </c>
      <c r="F2642" t="s">
        <v>438</v>
      </c>
      <c r="G2642" t="s">
        <v>439</v>
      </c>
      <c r="H2642" t="s">
        <v>440</v>
      </c>
      <c r="I2642" s="6" t="s">
        <v>1124</v>
      </c>
      <c r="J2642" s="61" t="s">
        <v>22</v>
      </c>
      <c r="L2642" s="5" t="str">
        <f t="shared" si="856"/>
        <v>02641</v>
      </c>
      <c r="M2642" s="47" t="str">
        <f t="shared" si="857"/>
        <v>04 de enero de 2020</v>
      </c>
      <c r="N2642" s="323">
        <f t="shared" si="858"/>
        <v>4</v>
      </c>
      <c r="O2642" s="25">
        <f t="shared" si="859"/>
        <v>43831</v>
      </c>
      <c r="P2642" s="5" t="str">
        <f t="shared" si="860"/>
        <v>136.250,00</v>
      </c>
      <c r="Q2642" s="4" t="e">
        <f t="shared" ca="1" si="863"/>
        <v>#NAME?</v>
      </c>
    </row>
    <row r="2643" spans="1:17">
      <c r="A2643" s="1">
        <f t="shared" ref="A2643:A2645" si="866">A2642+1</f>
        <v>2642</v>
      </c>
      <c r="C2643" s="8" t="s">
        <v>17</v>
      </c>
      <c r="D2643" s="2">
        <v>43833</v>
      </c>
      <c r="E2643" s="3">
        <v>105250</v>
      </c>
      <c r="F2643" t="s">
        <v>947</v>
      </c>
      <c r="G2643" t="s">
        <v>948</v>
      </c>
      <c r="H2643" t="s">
        <v>949</v>
      </c>
      <c r="I2643" s="6" t="s">
        <v>1125</v>
      </c>
      <c r="J2643" s="61" t="s">
        <v>22</v>
      </c>
      <c r="L2643" s="5" t="str">
        <f t="shared" si="856"/>
        <v>02642</v>
      </c>
      <c r="M2643" s="47" t="str">
        <f t="shared" si="857"/>
        <v>03 de enero de 2020</v>
      </c>
      <c r="N2643" s="323">
        <f t="shared" si="858"/>
        <v>3</v>
      </c>
      <c r="O2643" s="25">
        <f t="shared" si="859"/>
        <v>43831</v>
      </c>
      <c r="P2643" s="5" t="str">
        <f t="shared" si="860"/>
        <v>105.250,00</v>
      </c>
      <c r="Q2643" s="4" t="e">
        <f t="shared" ca="1" si="863"/>
        <v>#NAME?</v>
      </c>
    </row>
    <row r="2644" spans="1:17">
      <c r="A2644" s="1">
        <f t="shared" si="866"/>
        <v>2643</v>
      </c>
      <c r="C2644" s="8" t="s">
        <v>17</v>
      </c>
      <c r="D2644" s="2">
        <v>43834</v>
      </c>
      <c r="E2644" s="3">
        <v>31000</v>
      </c>
      <c r="F2644" t="s">
        <v>947</v>
      </c>
      <c r="G2644" t="s">
        <v>948</v>
      </c>
      <c r="H2644" t="s">
        <v>949</v>
      </c>
      <c r="I2644" s="6" t="s">
        <v>1126</v>
      </c>
      <c r="J2644" s="61" t="s">
        <v>22</v>
      </c>
      <c r="L2644" s="5" t="str">
        <f t="shared" si="856"/>
        <v>02643</v>
      </c>
      <c r="M2644" s="47" t="str">
        <f t="shared" si="857"/>
        <v>04 de enero de 2020</v>
      </c>
      <c r="N2644" s="323">
        <f t="shared" si="858"/>
        <v>4</v>
      </c>
      <c r="O2644" s="25">
        <f t="shared" si="859"/>
        <v>43831</v>
      </c>
      <c r="P2644" s="5" t="str">
        <f t="shared" si="860"/>
        <v>31.000,00</v>
      </c>
      <c r="Q2644" s="4" t="e">
        <f t="shared" ca="1" si="863"/>
        <v>#NAME?</v>
      </c>
    </row>
    <row r="2645" spans="1:17">
      <c r="A2645" s="1">
        <f t="shared" si="866"/>
        <v>2644</v>
      </c>
      <c r="B2645" s="8"/>
      <c r="C2645" s="8" t="s">
        <v>17</v>
      </c>
      <c r="D2645" s="2">
        <v>43834</v>
      </c>
      <c r="E2645" s="3">
        <v>136250</v>
      </c>
      <c r="F2645" t="s">
        <v>243</v>
      </c>
      <c r="G2645" t="s">
        <v>244</v>
      </c>
      <c r="H2645" t="s">
        <v>245</v>
      </c>
      <c r="I2645" s="6" t="s">
        <v>1121</v>
      </c>
      <c r="J2645" s="61" t="s">
        <v>22</v>
      </c>
      <c r="L2645" s="5" t="str">
        <f>IF(ISBLANK(A2645),"",TEXT(A2645,"00000"))</f>
        <v>02644</v>
      </c>
      <c r="M2645" s="47" t="str">
        <f>IF(ISBLANK(D2645),"",TEXT(D2645,"dd")&amp;" de "&amp;TEXT(D2645,"mmmm")&amp;" de "&amp;TEXT(YEAR(D2645),"0"))</f>
        <v>04 de enero de 2020</v>
      </c>
      <c r="N2645" s="323">
        <f t="shared" si="858"/>
        <v>4</v>
      </c>
      <c r="O2645" s="25">
        <f>DATE(YEAR(D2645),MONTH(D2645),1)</f>
        <v>43831</v>
      </c>
      <c r="P2645" s="5" t="str">
        <f t="shared" si="860"/>
        <v>136.250,00</v>
      </c>
      <c r="Q2645" s="4" t="e">
        <f t="shared" ca="1" si="863"/>
        <v>#NAME?</v>
      </c>
    </row>
    <row r="2646" spans="1:17">
      <c r="A2646" s="1">
        <f>A2645+1</f>
        <v>2645</v>
      </c>
      <c r="C2646" s="8" t="s">
        <v>17</v>
      </c>
      <c r="D2646" s="2">
        <v>43835</v>
      </c>
      <c r="E2646" s="3">
        <v>136250</v>
      </c>
      <c r="F2646" t="s">
        <v>24</v>
      </c>
      <c r="G2646" t="s">
        <v>25</v>
      </c>
      <c r="H2646" t="s">
        <v>26</v>
      </c>
      <c r="I2646" s="6" t="s">
        <v>1121</v>
      </c>
      <c r="J2646" s="61" t="s">
        <v>22</v>
      </c>
      <c r="L2646" s="5" t="str">
        <f t="shared" ref="L2646:L2680" si="867">IF(ISBLANK(A2646),"",TEXT(A2646,"00000"))</f>
        <v>02645</v>
      </c>
      <c r="M2646" s="47" t="str">
        <f t="shared" ref="M2646:M2680" si="868">IF(ISBLANK(D2646),"",TEXT(D2646,"dd")&amp;" de "&amp;TEXT(D2646,"mmmm")&amp;" de "&amp;TEXT(YEAR(D2646),"0"))</f>
        <v>05 de enero de 2020</v>
      </c>
      <c r="N2646" s="323">
        <f t="shared" si="858"/>
        <v>5</v>
      </c>
      <c r="O2646" s="25">
        <f t="shared" ref="O2646:O2680" si="869">DATE(YEAR(D2646),MONTH(D2646),1)</f>
        <v>43831</v>
      </c>
      <c r="P2646" s="5" t="str">
        <f t="shared" si="860"/>
        <v>136.250,00</v>
      </c>
      <c r="Q2646" s="4" t="e">
        <f t="shared" ca="1" si="863"/>
        <v>#NAME?</v>
      </c>
    </row>
    <row r="2647" spans="1:17">
      <c r="A2647" s="1">
        <f t="shared" ref="A2647" si="870">A2646+1</f>
        <v>2646</v>
      </c>
      <c r="C2647" s="8" t="s">
        <v>17</v>
      </c>
      <c r="D2647" s="2">
        <v>43835</v>
      </c>
      <c r="E2647" s="3">
        <v>136250</v>
      </c>
      <c r="F2647" t="s">
        <v>362</v>
      </c>
      <c r="G2647" t="s">
        <v>363</v>
      </c>
      <c r="H2647" t="s">
        <v>364</v>
      </c>
      <c r="I2647" s="6" t="s">
        <v>1121</v>
      </c>
      <c r="J2647" s="61" t="s">
        <v>22</v>
      </c>
      <c r="L2647" s="5" t="str">
        <f t="shared" si="867"/>
        <v>02646</v>
      </c>
      <c r="M2647" s="47" t="str">
        <f t="shared" si="868"/>
        <v>05 de enero de 2020</v>
      </c>
      <c r="N2647" s="323">
        <f t="shared" si="858"/>
        <v>5</v>
      </c>
      <c r="O2647" s="25">
        <f t="shared" si="869"/>
        <v>43831</v>
      </c>
      <c r="P2647" s="5" t="str">
        <f t="shared" si="860"/>
        <v>136.250,00</v>
      </c>
      <c r="Q2647" s="4" t="e">
        <f t="shared" ca="1" si="863"/>
        <v>#NAME?</v>
      </c>
    </row>
    <row r="2648" spans="1:17">
      <c r="A2648" s="1">
        <f>A2647+1</f>
        <v>2647</v>
      </c>
      <c r="C2648" s="8" t="s">
        <v>17</v>
      </c>
      <c r="D2648" s="2">
        <v>43832</v>
      </c>
      <c r="E2648" s="3">
        <v>105250</v>
      </c>
      <c r="F2648" t="s">
        <v>177</v>
      </c>
      <c r="G2648" t="s">
        <v>941</v>
      </c>
      <c r="H2648" t="s">
        <v>179</v>
      </c>
      <c r="I2648" s="6" t="s">
        <v>1127</v>
      </c>
      <c r="J2648" s="61" t="s">
        <v>22</v>
      </c>
      <c r="L2648" s="5" t="str">
        <f t="shared" si="867"/>
        <v>02647</v>
      </c>
      <c r="M2648" s="47" t="str">
        <f t="shared" si="868"/>
        <v>02 de enero de 2020</v>
      </c>
      <c r="N2648" s="323">
        <f t="shared" si="858"/>
        <v>2</v>
      </c>
      <c r="O2648" s="25">
        <f t="shared" si="869"/>
        <v>43831</v>
      </c>
      <c r="P2648" s="5" t="str">
        <f t="shared" si="860"/>
        <v>105.250,00</v>
      </c>
      <c r="Q2648" s="4" t="e">
        <f t="shared" ca="1" si="863"/>
        <v>#NAME?</v>
      </c>
    </row>
    <row r="2649" spans="1:17">
      <c r="A2649" s="1">
        <f>A2648+1</f>
        <v>2648</v>
      </c>
      <c r="C2649" s="8" t="s">
        <v>17</v>
      </c>
      <c r="D2649" s="2">
        <v>43836</v>
      </c>
      <c r="E2649" s="3">
        <v>136250</v>
      </c>
      <c r="F2649" t="s">
        <v>36</v>
      </c>
      <c r="G2649" t="s">
        <v>37</v>
      </c>
      <c r="H2649" t="s">
        <v>38</v>
      </c>
      <c r="I2649" s="6" t="s">
        <v>1121</v>
      </c>
      <c r="J2649" s="61" t="s">
        <v>22</v>
      </c>
      <c r="L2649" s="5" t="str">
        <f t="shared" si="867"/>
        <v>02648</v>
      </c>
      <c r="M2649" s="47" t="str">
        <f t="shared" si="868"/>
        <v>06 de enero de 2020</v>
      </c>
      <c r="N2649" s="323">
        <f t="shared" si="858"/>
        <v>6</v>
      </c>
      <c r="O2649" s="25">
        <f t="shared" si="869"/>
        <v>43831</v>
      </c>
      <c r="P2649" s="5" t="str">
        <f t="shared" si="860"/>
        <v>136.250,00</v>
      </c>
      <c r="Q2649" s="4" t="e">
        <f t="shared" ca="1" si="863"/>
        <v>#NAME?</v>
      </c>
    </row>
    <row r="2650" spans="1:17" ht="15.75" thickBot="1">
      <c r="A2650" s="1">
        <f t="shared" ref="A2650" si="871">A2649+1</f>
        <v>2649</v>
      </c>
      <c r="C2650" s="8" t="s">
        <v>17</v>
      </c>
      <c r="D2650" s="2">
        <v>43836</v>
      </c>
      <c r="E2650" s="3">
        <v>137000</v>
      </c>
      <c r="F2650" t="s">
        <v>443</v>
      </c>
      <c r="G2650" t="s">
        <v>444</v>
      </c>
      <c r="H2650" t="s">
        <v>75</v>
      </c>
      <c r="I2650" s="6" t="s">
        <v>1128</v>
      </c>
      <c r="J2650" s="61" t="s">
        <v>22</v>
      </c>
      <c r="L2650" s="5" t="str">
        <f t="shared" si="867"/>
        <v>02649</v>
      </c>
      <c r="M2650" s="47" t="str">
        <f t="shared" si="868"/>
        <v>06 de enero de 2020</v>
      </c>
      <c r="N2650" s="323">
        <f t="shared" si="858"/>
        <v>6</v>
      </c>
      <c r="O2650" s="25">
        <f t="shared" si="869"/>
        <v>43831</v>
      </c>
      <c r="P2650" s="5" t="str">
        <f t="shared" si="860"/>
        <v>137.000,00</v>
      </c>
      <c r="Q2650" s="4" t="e">
        <f t="shared" ca="1" si="863"/>
        <v>#NAME?</v>
      </c>
    </row>
    <row r="2651" spans="1:17" ht="15.75" thickBot="1">
      <c r="A2651" s="1">
        <f t="shared" ref="A2651:A2662" si="872">A2650+1</f>
        <v>2650</v>
      </c>
      <c r="C2651" s="85" t="s">
        <v>17</v>
      </c>
      <c r="D2651" s="2">
        <v>43836</v>
      </c>
      <c r="E2651" s="3">
        <v>136250</v>
      </c>
      <c r="F2651" t="s">
        <v>40</v>
      </c>
      <c r="G2651" s="18" t="s">
        <v>58</v>
      </c>
      <c r="H2651" t="s">
        <v>42</v>
      </c>
      <c r="I2651" s="6" t="s">
        <v>1121</v>
      </c>
      <c r="J2651" s="61" t="s">
        <v>22</v>
      </c>
      <c r="L2651" s="5" t="str">
        <f t="shared" si="867"/>
        <v>02650</v>
      </c>
      <c r="M2651" s="47" t="str">
        <f t="shared" si="868"/>
        <v>06 de enero de 2020</v>
      </c>
      <c r="N2651" s="323">
        <f t="shared" si="858"/>
        <v>6</v>
      </c>
      <c r="O2651" s="25">
        <f t="shared" si="869"/>
        <v>43831</v>
      </c>
      <c r="P2651" s="5" t="str">
        <f t="shared" si="860"/>
        <v>136.250,00</v>
      </c>
      <c r="Q2651" s="4" t="e">
        <f t="shared" ca="1" si="863"/>
        <v>#NAME?</v>
      </c>
    </row>
    <row r="2652" spans="1:17">
      <c r="A2652" s="1">
        <f t="shared" si="872"/>
        <v>2651</v>
      </c>
      <c r="C2652" s="8" t="s">
        <v>17</v>
      </c>
      <c r="D2652" s="2">
        <v>43836</v>
      </c>
      <c r="E2652" s="3">
        <v>137000</v>
      </c>
      <c r="F2652" t="s">
        <v>162</v>
      </c>
      <c r="G2652" t="s">
        <v>163</v>
      </c>
      <c r="H2652" t="s">
        <v>164</v>
      </c>
      <c r="I2652" s="6" t="s">
        <v>1100</v>
      </c>
      <c r="J2652" s="61" t="s">
        <v>22</v>
      </c>
      <c r="L2652" s="5" t="str">
        <f t="shared" si="867"/>
        <v>02651</v>
      </c>
      <c r="M2652" s="47" t="str">
        <f t="shared" si="868"/>
        <v>06 de enero de 2020</v>
      </c>
      <c r="N2652" s="323">
        <f t="shared" si="858"/>
        <v>6</v>
      </c>
      <c r="O2652" s="25">
        <f t="shared" si="869"/>
        <v>43831</v>
      </c>
      <c r="P2652" s="5" t="str">
        <f>TEXT(E2652,"#.##0,00")</f>
        <v>137.000,00</v>
      </c>
      <c r="Q2652" s="4" t="e">
        <f ca="1">CONVERTIRNUM(E2652)</f>
        <v>#NAME?</v>
      </c>
    </row>
    <row r="2653" spans="1:17">
      <c r="A2653" s="1">
        <f t="shared" si="872"/>
        <v>2652</v>
      </c>
      <c r="C2653" s="8" t="s">
        <v>17</v>
      </c>
      <c r="D2653" s="2">
        <v>43837</v>
      </c>
      <c r="E2653" s="3">
        <v>175000</v>
      </c>
      <c r="F2653" t="s">
        <v>48</v>
      </c>
      <c r="G2653" t="s">
        <v>49</v>
      </c>
      <c r="H2653" t="s">
        <v>50</v>
      </c>
      <c r="I2653" s="6" t="s">
        <v>1129</v>
      </c>
      <c r="J2653" s="61" t="s">
        <v>22</v>
      </c>
      <c r="L2653" s="5" t="str">
        <f t="shared" si="867"/>
        <v>02652</v>
      </c>
      <c r="M2653" s="47" t="str">
        <f t="shared" si="868"/>
        <v>07 de enero de 2020</v>
      </c>
      <c r="N2653" s="323">
        <f t="shared" si="858"/>
        <v>7</v>
      </c>
      <c r="O2653" s="25">
        <f t="shared" si="869"/>
        <v>43831</v>
      </c>
      <c r="P2653" s="5" t="str">
        <f t="shared" ref="P2653:P2680" si="873">TEXT(E2653,"#.##0,00")</f>
        <v>175.000,00</v>
      </c>
      <c r="Q2653" s="4" t="e">
        <f t="shared" ref="Q2653:Q2680" ca="1" si="874">CONVERTIRNUM(E2653)</f>
        <v>#NAME?</v>
      </c>
    </row>
    <row r="2654" spans="1:17">
      <c r="A2654" s="1">
        <f t="shared" si="872"/>
        <v>2653</v>
      </c>
      <c r="C2654" s="8" t="s">
        <v>17</v>
      </c>
      <c r="D2654" s="2">
        <v>43838</v>
      </c>
      <c r="E2654" s="3">
        <v>136250</v>
      </c>
      <c r="F2654" t="s">
        <v>312</v>
      </c>
      <c r="G2654" t="s">
        <v>313</v>
      </c>
      <c r="H2654" t="s">
        <v>314</v>
      </c>
      <c r="I2654" s="6" t="s">
        <v>1121</v>
      </c>
      <c r="J2654" s="61" t="s">
        <v>22</v>
      </c>
      <c r="L2654" s="5" t="str">
        <f t="shared" si="867"/>
        <v>02653</v>
      </c>
      <c r="M2654" s="47" t="str">
        <f t="shared" si="868"/>
        <v>08 de enero de 2020</v>
      </c>
      <c r="N2654" s="323">
        <f t="shared" si="858"/>
        <v>8</v>
      </c>
      <c r="O2654" s="25">
        <f t="shared" si="869"/>
        <v>43831</v>
      </c>
      <c r="P2654" s="5" t="str">
        <f t="shared" si="873"/>
        <v>136.250,00</v>
      </c>
      <c r="Q2654" s="4" t="e">
        <f t="shared" ca="1" si="874"/>
        <v>#NAME?</v>
      </c>
    </row>
    <row r="2655" spans="1:17">
      <c r="A2655" s="1">
        <f t="shared" si="872"/>
        <v>2654</v>
      </c>
      <c r="C2655" s="8" t="s">
        <v>17</v>
      </c>
      <c r="D2655" s="2">
        <v>43839</v>
      </c>
      <c r="E2655" s="3">
        <v>136250</v>
      </c>
      <c r="F2655" t="s">
        <v>134</v>
      </c>
      <c r="G2655" t="s">
        <v>135</v>
      </c>
      <c r="H2655" t="s">
        <v>136</v>
      </c>
      <c r="I2655" s="6" t="s">
        <v>1121</v>
      </c>
      <c r="J2655" s="61" t="s">
        <v>22</v>
      </c>
      <c r="L2655" s="5" t="str">
        <f t="shared" si="867"/>
        <v>02654</v>
      </c>
      <c r="M2655" s="47" t="str">
        <f t="shared" si="868"/>
        <v>09 de enero de 2020</v>
      </c>
      <c r="N2655" s="323">
        <f t="shared" si="858"/>
        <v>9</v>
      </c>
      <c r="O2655" s="25">
        <f t="shared" si="869"/>
        <v>43831</v>
      </c>
      <c r="P2655" s="5" t="str">
        <f t="shared" si="873"/>
        <v>136.250,00</v>
      </c>
      <c r="Q2655" s="4" t="e">
        <f t="shared" ca="1" si="874"/>
        <v>#NAME?</v>
      </c>
    </row>
    <row r="2656" spans="1:17">
      <c r="A2656" s="1">
        <f t="shared" si="872"/>
        <v>2655</v>
      </c>
      <c r="C2656" s="8" t="s">
        <v>17</v>
      </c>
      <c r="D2656" s="2">
        <v>43839</v>
      </c>
      <c r="E2656" s="3">
        <v>136250</v>
      </c>
      <c r="F2656" t="s">
        <v>107</v>
      </c>
      <c r="G2656" t="s">
        <v>108</v>
      </c>
      <c r="H2656" t="s">
        <v>109</v>
      </c>
      <c r="I2656" s="6" t="s">
        <v>1121</v>
      </c>
      <c r="J2656" s="61" t="s">
        <v>22</v>
      </c>
      <c r="L2656" s="5" t="str">
        <f t="shared" si="867"/>
        <v>02655</v>
      </c>
      <c r="M2656" s="47" t="str">
        <f t="shared" si="868"/>
        <v>09 de enero de 2020</v>
      </c>
      <c r="N2656" s="323">
        <f t="shared" si="858"/>
        <v>9</v>
      </c>
      <c r="O2656" s="25">
        <f t="shared" si="869"/>
        <v>43831</v>
      </c>
      <c r="P2656" s="5" t="str">
        <f t="shared" si="873"/>
        <v>136.250,00</v>
      </c>
      <c r="Q2656" s="4" t="e">
        <f t="shared" ca="1" si="874"/>
        <v>#NAME?</v>
      </c>
    </row>
    <row r="2657" spans="1:17">
      <c r="A2657" s="1">
        <f t="shared" si="872"/>
        <v>2656</v>
      </c>
      <c r="C2657" s="8" t="s">
        <v>17</v>
      </c>
      <c r="D2657" s="2">
        <v>43839</v>
      </c>
      <c r="E2657" s="3">
        <v>136250</v>
      </c>
      <c r="F2657" t="s">
        <v>201</v>
      </c>
      <c r="G2657" t="s">
        <v>202</v>
      </c>
      <c r="H2657" t="s">
        <v>203</v>
      </c>
      <c r="I2657" s="6" t="s">
        <v>1130</v>
      </c>
      <c r="J2657" s="61" t="s">
        <v>22</v>
      </c>
      <c r="L2657" s="5" t="str">
        <f t="shared" si="867"/>
        <v>02656</v>
      </c>
      <c r="M2657" s="47" t="str">
        <f t="shared" si="868"/>
        <v>09 de enero de 2020</v>
      </c>
      <c r="N2657" s="323">
        <f t="shared" si="858"/>
        <v>9</v>
      </c>
      <c r="O2657" s="25">
        <f t="shared" si="869"/>
        <v>43831</v>
      </c>
      <c r="P2657" s="5" t="str">
        <f t="shared" si="873"/>
        <v>136.250,00</v>
      </c>
      <c r="Q2657" s="4" t="e">
        <f t="shared" ca="1" si="874"/>
        <v>#NAME?</v>
      </c>
    </row>
    <row r="2658" spans="1:17">
      <c r="A2658" s="1">
        <f t="shared" si="872"/>
        <v>2657</v>
      </c>
      <c r="C2658" s="8" t="s">
        <v>17</v>
      </c>
      <c r="D2658" s="2">
        <v>43839</v>
      </c>
      <c r="E2658" s="3">
        <v>136250</v>
      </c>
      <c r="F2658" t="s">
        <v>62</v>
      </c>
      <c r="G2658" t="s">
        <v>63</v>
      </c>
      <c r="H2658" t="s">
        <v>64</v>
      </c>
      <c r="I2658" s="6" t="s">
        <v>1121</v>
      </c>
      <c r="J2658" s="61" t="s">
        <v>22</v>
      </c>
      <c r="L2658" s="5" t="str">
        <f t="shared" si="867"/>
        <v>02657</v>
      </c>
      <c r="M2658" s="47" t="str">
        <f t="shared" si="868"/>
        <v>09 de enero de 2020</v>
      </c>
      <c r="N2658" s="323">
        <f t="shared" si="858"/>
        <v>9</v>
      </c>
      <c r="O2658" s="25">
        <f t="shared" si="869"/>
        <v>43831</v>
      </c>
      <c r="P2658" s="5" t="str">
        <f t="shared" si="873"/>
        <v>136.250,00</v>
      </c>
      <c r="Q2658" s="4" t="e">
        <f t="shared" ca="1" si="874"/>
        <v>#NAME?</v>
      </c>
    </row>
    <row r="2659" spans="1:17">
      <c r="A2659" s="1">
        <f t="shared" si="872"/>
        <v>2658</v>
      </c>
      <c r="C2659" s="8" t="s">
        <v>17</v>
      </c>
      <c r="D2659" s="2">
        <v>43839</v>
      </c>
      <c r="E2659" s="3">
        <v>136250</v>
      </c>
      <c r="F2659" t="s">
        <v>438</v>
      </c>
      <c r="G2659" t="s">
        <v>439</v>
      </c>
      <c r="H2659" t="s">
        <v>440</v>
      </c>
      <c r="I2659" s="6" t="s">
        <v>1131</v>
      </c>
      <c r="J2659" s="61" t="s">
        <v>22</v>
      </c>
      <c r="L2659" s="5" t="str">
        <f t="shared" si="867"/>
        <v>02658</v>
      </c>
      <c r="M2659" s="47" t="str">
        <f t="shared" si="868"/>
        <v>09 de enero de 2020</v>
      </c>
      <c r="N2659" s="323">
        <f t="shared" ref="N2659:N2680" si="875">DAY(D2659)</f>
        <v>9</v>
      </c>
      <c r="O2659" s="25">
        <f t="shared" si="869"/>
        <v>43831</v>
      </c>
      <c r="P2659" s="5" t="str">
        <f t="shared" si="873"/>
        <v>136.250,00</v>
      </c>
      <c r="Q2659" s="4" t="e">
        <f t="shared" ca="1" si="874"/>
        <v>#NAME?</v>
      </c>
    </row>
    <row r="2660" spans="1:17" ht="15.75" thickBot="1">
      <c r="A2660" s="1">
        <f t="shared" si="872"/>
        <v>2659</v>
      </c>
      <c r="C2660" s="8" t="s">
        <v>17</v>
      </c>
      <c r="D2660" s="2">
        <v>43839</v>
      </c>
      <c r="E2660" s="3">
        <v>136250</v>
      </c>
      <c r="F2660" t="s">
        <v>66</v>
      </c>
      <c r="G2660" t="s">
        <v>67</v>
      </c>
      <c r="H2660" t="s">
        <v>68</v>
      </c>
      <c r="I2660" s="6" t="s">
        <v>1121</v>
      </c>
      <c r="J2660" s="61" t="s">
        <v>22</v>
      </c>
      <c r="L2660" s="5" t="str">
        <f t="shared" si="867"/>
        <v>02659</v>
      </c>
      <c r="M2660" s="47" t="str">
        <f t="shared" si="868"/>
        <v>09 de enero de 2020</v>
      </c>
      <c r="N2660" s="323">
        <f t="shared" si="875"/>
        <v>9</v>
      </c>
      <c r="O2660" s="25">
        <f t="shared" si="869"/>
        <v>43831</v>
      </c>
      <c r="P2660" s="5" t="str">
        <f t="shared" si="873"/>
        <v>136.250,00</v>
      </c>
      <c r="Q2660" s="4" t="e">
        <f t="shared" ca="1" si="874"/>
        <v>#NAME?</v>
      </c>
    </row>
    <row r="2661" spans="1:17" ht="15.75" thickBot="1">
      <c r="A2661" s="1">
        <f t="shared" si="872"/>
        <v>2660</v>
      </c>
      <c r="B2661" s="8"/>
      <c r="C2661" s="85" t="s">
        <v>17</v>
      </c>
      <c r="D2661" s="2">
        <v>43840</v>
      </c>
      <c r="E2661" s="3">
        <v>197575</v>
      </c>
      <c r="F2661" s="23" t="s">
        <v>422</v>
      </c>
      <c r="G2661" s="18" t="s">
        <v>58</v>
      </c>
      <c r="H2661" t="s">
        <v>423</v>
      </c>
      <c r="I2661" s="6" t="s">
        <v>1121</v>
      </c>
      <c r="J2661" s="61" t="s">
        <v>22</v>
      </c>
      <c r="L2661" s="5" t="str">
        <f t="shared" si="867"/>
        <v>02660</v>
      </c>
      <c r="M2661" s="47" t="str">
        <f t="shared" si="868"/>
        <v>10 de enero de 2020</v>
      </c>
      <c r="N2661" s="323">
        <f t="shared" si="875"/>
        <v>10</v>
      </c>
      <c r="O2661" s="25">
        <f t="shared" si="869"/>
        <v>43831</v>
      </c>
      <c r="P2661" s="5" t="str">
        <f t="shared" si="873"/>
        <v>197.575,00</v>
      </c>
      <c r="Q2661" s="4" t="e">
        <f t="shared" ca="1" si="874"/>
        <v>#NAME?</v>
      </c>
    </row>
    <row r="2662" spans="1:17">
      <c r="A2662" s="1">
        <f t="shared" si="872"/>
        <v>2661</v>
      </c>
      <c r="B2662" s="8"/>
      <c r="C2662" s="8" t="s">
        <v>17</v>
      </c>
      <c r="D2662" s="2">
        <v>43841</v>
      </c>
      <c r="E2662" s="3">
        <v>136250</v>
      </c>
      <c r="F2662" t="s">
        <v>713</v>
      </c>
      <c r="G2662" t="s">
        <v>714</v>
      </c>
      <c r="H2662" t="s">
        <v>154</v>
      </c>
      <c r="I2662" s="6" t="s">
        <v>1121</v>
      </c>
      <c r="J2662" s="61" t="s">
        <v>22</v>
      </c>
      <c r="L2662" s="5" t="str">
        <f t="shared" si="867"/>
        <v>02661</v>
      </c>
      <c r="M2662" s="47" t="str">
        <f t="shared" si="868"/>
        <v>11 de enero de 2020</v>
      </c>
      <c r="N2662" s="323">
        <f t="shared" si="875"/>
        <v>11</v>
      </c>
      <c r="O2662" s="25">
        <f t="shared" si="869"/>
        <v>43831</v>
      </c>
      <c r="P2662" s="5" t="str">
        <f t="shared" si="873"/>
        <v>136.250,00</v>
      </c>
      <c r="Q2662" s="4" t="e">
        <f t="shared" ca="1" si="874"/>
        <v>#NAME?</v>
      </c>
    </row>
    <row r="2663" spans="1:17">
      <c r="A2663" s="1">
        <f>A2662+1</f>
        <v>2662</v>
      </c>
      <c r="B2663" s="8"/>
      <c r="C2663" s="8" t="s">
        <v>17</v>
      </c>
      <c r="D2663" s="2">
        <v>43840</v>
      </c>
      <c r="E2663" s="3">
        <v>80000</v>
      </c>
      <c r="F2663" t="s">
        <v>28</v>
      </c>
      <c r="G2663" t="s">
        <v>716</v>
      </c>
      <c r="H2663" t="s">
        <v>30</v>
      </c>
      <c r="I2663" s="6" t="s">
        <v>1132</v>
      </c>
      <c r="J2663" s="61" t="s">
        <v>22</v>
      </c>
      <c r="L2663" s="5" t="str">
        <f t="shared" si="867"/>
        <v>02662</v>
      </c>
      <c r="M2663" s="47" t="str">
        <f t="shared" si="868"/>
        <v>10 de enero de 2020</v>
      </c>
      <c r="N2663" s="323">
        <f t="shared" si="875"/>
        <v>10</v>
      </c>
      <c r="O2663" s="25">
        <f t="shared" si="869"/>
        <v>43831</v>
      </c>
      <c r="P2663" s="5" t="str">
        <f t="shared" si="873"/>
        <v>80.000,00</v>
      </c>
      <c r="Q2663" s="4" t="e">
        <f t="shared" ca="1" si="874"/>
        <v>#NAME?</v>
      </c>
    </row>
    <row r="2664" spans="1:17">
      <c r="A2664" s="1">
        <f t="shared" ref="A2664" si="876">A2663+1</f>
        <v>2663</v>
      </c>
      <c r="B2664" s="8"/>
      <c r="C2664" s="8" t="s">
        <v>17</v>
      </c>
      <c r="D2664" s="2">
        <v>43841</v>
      </c>
      <c r="E2664" s="3">
        <v>136250</v>
      </c>
      <c r="F2664" t="s">
        <v>342</v>
      </c>
      <c r="G2664" t="s">
        <v>1036</v>
      </c>
      <c r="H2664" t="s">
        <v>344</v>
      </c>
      <c r="I2664" s="6" t="s">
        <v>1121</v>
      </c>
      <c r="J2664" s="61" t="s">
        <v>22</v>
      </c>
      <c r="L2664" s="5" t="str">
        <f t="shared" si="867"/>
        <v>02663</v>
      </c>
      <c r="M2664" s="47" t="str">
        <f t="shared" si="868"/>
        <v>11 de enero de 2020</v>
      </c>
      <c r="N2664" s="323">
        <f t="shared" si="875"/>
        <v>11</v>
      </c>
      <c r="O2664" s="25">
        <f t="shared" si="869"/>
        <v>43831</v>
      </c>
      <c r="P2664" s="5" t="str">
        <f t="shared" si="873"/>
        <v>136.250,00</v>
      </c>
      <c r="Q2664" s="4" t="e">
        <f t="shared" ca="1" si="874"/>
        <v>#NAME?</v>
      </c>
    </row>
    <row r="2665" spans="1:17">
      <c r="A2665" s="1">
        <f>A2664+1</f>
        <v>2664</v>
      </c>
      <c r="B2665" s="8"/>
      <c r="C2665" s="8" t="s">
        <v>17</v>
      </c>
      <c r="D2665" s="2">
        <v>43841</v>
      </c>
      <c r="E2665" s="3">
        <v>136250</v>
      </c>
      <c r="F2665" t="s">
        <v>114</v>
      </c>
      <c r="G2665" t="s">
        <v>115</v>
      </c>
      <c r="H2665" t="s">
        <v>105</v>
      </c>
      <c r="I2665" s="6" t="s">
        <v>1121</v>
      </c>
      <c r="J2665" s="61" t="s">
        <v>22</v>
      </c>
      <c r="L2665" s="5" t="str">
        <f t="shared" si="867"/>
        <v>02664</v>
      </c>
      <c r="M2665" s="47" t="str">
        <f t="shared" si="868"/>
        <v>11 de enero de 2020</v>
      </c>
      <c r="N2665" s="323">
        <f t="shared" si="875"/>
        <v>11</v>
      </c>
      <c r="O2665" s="25">
        <f t="shared" si="869"/>
        <v>43831</v>
      </c>
      <c r="P2665" s="5" t="str">
        <f t="shared" si="873"/>
        <v>136.250,00</v>
      </c>
      <c r="Q2665" s="4" t="e">
        <f t="shared" ca="1" si="874"/>
        <v>#NAME?</v>
      </c>
    </row>
    <row r="2666" spans="1:17">
      <c r="A2666" s="1">
        <f>A2665+1</f>
        <v>2665</v>
      </c>
      <c r="B2666" s="8"/>
      <c r="C2666" s="8" t="s">
        <v>17</v>
      </c>
      <c r="D2666" s="2">
        <v>43841</v>
      </c>
      <c r="E2666" s="3">
        <v>210000</v>
      </c>
      <c r="F2666" t="s">
        <v>578</v>
      </c>
      <c r="G2666" t="s">
        <v>579</v>
      </c>
      <c r="H2666" t="s">
        <v>580</v>
      </c>
      <c r="I2666" s="6" t="s">
        <v>1133</v>
      </c>
      <c r="J2666" s="61" t="s">
        <v>22</v>
      </c>
      <c r="L2666" s="5" t="str">
        <f t="shared" si="867"/>
        <v>02665</v>
      </c>
      <c r="M2666" s="47" t="str">
        <f t="shared" si="868"/>
        <v>11 de enero de 2020</v>
      </c>
      <c r="N2666" s="323">
        <f t="shared" si="875"/>
        <v>11</v>
      </c>
      <c r="O2666" s="25">
        <f t="shared" si="869"/>
        <v>43831</v>
      </c>
      <c r="P2666" s="5" t="str">
        <f t="shared" si="873"/>
        <v>210.000,00</v>
      </c>
      <c r="Q2666" s="4" t="e">
        <f t="shared" ca="1" si="874"/>
        <v>#NAME?</v>
      </c>
    </row>
    <row r="2667" spans="1:17" ht="15.75" thickBot="1">
      <c r="A2667" s="1">
        <f>A2666+1</f>
        <v>2666</v>
      </c>
      <c r="B2667" s="8"/>
      <c r="C2667" s="8" t="s">
        <v>17</v>
      </c>
      <c r="D2667" s="2">
        <v>43841</v>
      </c>
      <c r="E2667" s="3">
        <v>136250</v>
      </c>
      <c r="F2667" t="s">
        <v>181</v>
      </c>
      <c r="G2667" t="s">
        <v>182</v>
      </c>
      <c r="H2667" t="s">
        <v>183</v>
      </c>
      <c r="I2667" s="6" t="s">
        <v>1121</v>
      </c>
      <c r="J2667" s="61" t="s">
        <v>22</v>
      </c>
      <c r="L2667" s="5" t="str">
        <f t="shared" si="867"/>
        <v>02666</v>
      </c>
      <c r="M2667" s="47" t="str">
        <f t="shared" si="868"/>
        <v>11 de enero de 2020</v>
      </c>
      <c r="N2667" s="323">
        <f t="shared" si="875"/>
        <v>11</v>
      </c>
      <c r="O2667" s="25">
        <f t="shared" si="869"/>
        <v>43831</v>
      </c>
      <c r="P2667" s="5" t="str">
        <f t="shared" si="873"/>
        <v>136.250,00</v>
      </c>
      <c r="Q2667" s="4" t="e">
        <f t="shared" ca="1" si="874"/>
        <v>#NAME?</v>
      </c>
    </row>
    <row r="2668" spans="1:17" ht="15.75" thickBot="1">
      <c r="A2668" s="1">
        <f t="shared" ref="A2668" si="877">A2667+1</f>
        <v>2667</v>
      </c>
      <c r="B2668" s="8"/>
      <c r="C2668" s="85" t="s">
        <v>17</v>
      </c>
      <c r="D2668" s="2">
        <v>43843</v>
      </c>
      <c r="E2668" s="162">
        <v>136250</v>
      </c>
      <c r="F2668" t="s">
        <v>492</v>
      </c>
      <c r="G2668" s="18" t="s">
        <v>58</v>
      </c>
      <c r="H2668" t="s">
        <v>493</v>
      </c>
      <c r="I2668" s="6" t="s">
        <v>1121</v>
      </c>
      <c r="J2668" s="61" t="s">
        <v>22</v>
      </c>
      <c r="L2668" s="5" t="str">
        <f t="shared" si="867"/>
        <v>02667</v>
      </c>
      <c r="M2668" s="47" t="str">
        <f t="shared" si="868"/>
        <v>13 de enero de 2020</v>
      </c>
      <c r="N2668" s="323">
        <f t="shared" si="875"/>
        <v>13</v>
      </c>
      <c r="O2668" s="25">
        <f t="shared" si="869"/>
        <v>43831</v>
      </c>
      <c r="P2668" s="5" t="str">
        <f t="shared" si="873"/>
        <v>136.250,00</v>
      </c>
      <c r="Q2668" s="4" t="e">
        <f t="shared" ca="1" si="874"/>
        <v>#NAME?</v>
      </c>
    </row>
    <row r="2669" spans="1:17" ht="15.75" thickBot="1">
      <c r="A2669" s="1">
        <f>A2668+1</f>
        <v>2668</v>
      </c>
      <c r="B2669" s="8"/>
      <c r="C2669" s="8" t="s">
        <v>17</v>
      </c>
      <c r="D2669" s="2">
        <v>43845</v>
      </c>
      <c r="E2669" s="3">
        <v>136250</v>
      </c>
      <c r="F2669" t="s">
        <v>843</v>
      </c>
      <c r="G2669" t="s">
        <v>844</v>
      </c>
      <c r="H2669" t="s">
        <v>169</v>
      </c>
      <c r="I2669" s="6" t="s">
        <v>1121</v>
      </c>
      <c r="J2669" s="61" t="s">
        <v>22</v>
      </c>
      <c r="L2669" s="5" t="str">
        <f t="shared" si="867"/>
        <v>02668</v>
      </c>
      <c r="M2669" s="47" t="str">
        <f t="shared" si="868"/>
        <v>15 de enero de 2020</v>
      </c>
      <c r="N2669" s="323">
        <f t="shared" si="875"/>
        <v>15</v>
      </c>
      <c r="O2669" s="25">
        <f t="shared" si="869"/>
        <v>43831</v>
      </c>
      <c r="P2669" s="5" t="str">
        <f t="shared" si="873"/>
        <v>136.250,00</v>
      </c>
      <c r="Q2669" s="4" t="e">
        <f t="shared" ca="1" si="874"/>
        <v>#NAME?</v>
      </c>
    </row>
    <row r="2670" spans="1:17" ht="15.75" thickBot="1">
      <c r="A2670" s="1">
        <f>A2669+1</f>
        <v>2669</v>
      </c>
      <c r="B2670" s="8"/>
      <c r="C2670" s="8" t="s">
        <v>17</v>
      </c>
      <c r="D2670" s="2">
        <v>43845</v>
      </c>
      <c r="E2670" s="3">
        <v>30000</v>
      </c>
      <c r="F2670" t="s">
        <v>252</v>
      </c>
      <c r="G2670" s="475" t="s">
        <v>958</v>
      </c>
      <c r="H2670" t="s">
        <v>254</v>
      </c>
      <c r="I2670" s="6" t="s">
        <v>1134</v>
      </c>
      <c r="J2670" s="61" t="s">
        <v>22</v>
      </c>
      <c r="L2670" s="5" t="str">
        <f t="shared" si="867"/>
        <v>02669</v>
      </c>
      <c r="M2670" s="47" t="str">
        <f t="shared" si="868"/>
        <v>15 de enero de 2020</v>
      </c>
      <c r="N2670" s="323">
        <f t="shared" si="875"/>
        <v>15</v>
      </c>
      <c r="O2670" s="25">
        <f t="shared" si="869"/>
        <v>43831</v>
      </c>
      <c r="P2670" s="5" t="str">
        <f t="shared" si="873"/>
        <v>30.000,00</v>
      </c>
      <c r="Q2670" s="4" t="e">
        <f t="shared" ca="1" si="874"/>
        <v>#NAME?</v>
      </c>
    </row>
    <row r="2671" spans="1:17">
      <c r="A2671" s="1">
        <f>A2670+1</f>
        <v>2670</v>
      </c>
      <c r="C2671" s="8" t="s">
        <v>17</v>
      </c>
      <c r="D2671" s="2">
        <v>43847</v>
      </c>
      <c r="E2671" s="3">
        <v>136250</v>
      </c>
      <c r="F2671" t="s">
        <v>935</v>
      </c>
      <c r="G2671" t="s">
        <v>936</v>
      </c>
      <c r="H2671" t="s">
        <v>150</v>
      </c>
      <c r="I2671" s="6" t="s">
        <v>1121</v>
      </c>
      <c r="J2671" s="61" t="s">
        <v>22</v>
      </c>
      <c r="L2671" s="5" t="str">
        <f t="shared" si="867"/>
        <v>02670</v>
      </c>
      <c r="M2671" s="47" t="str">
        <f t="shared" si="868"/>
        <v>17 de enero de 2020</v>
      </c>
      <c r="N2671" s="323">
        <f t="shared" si="875"/>
        <v>17</v>
      </c>
      <c r="O2671" s="25">
        <f t="shared" si="869"/>
        <v>43831</v>
      </c>
      <c r="P2671" s="5" t="str">
        <f t="shared" si="873"/>
        <v>136.250,00</v>
      </c>
      <c r="Q2671" s="4" t="e">
        <f t="shared" ca="1" si="874"/>
        <v>#NAME?</v>
      </c>
    </row>
    <row r="2672" spans="1:17">
      <c r="A2672" s="1">
        <f t="shared" ref="A2672:A2677" si="878">A2671+1</f>
        <v>2671</v>
      </c>
      <c r="C2672" s="8" t="s">
        <v>17</v>
      </c>
      <c r="D2672" s="2">
        <v>43851</v>
      </c>
      <c r="E2672" s="3">
        <v>136250</v>
      </c>
      <c r="F2672" t="s">
        <v>483</v>
      </c>
      <c r="G2672" t="s">
        <v>484</v>
      </c>
      <c r="H2672" t="s">
        <v>485</v>
      </c>
      <c r="I2672" s="6" t="s">
        <v>1121</v>
      </c>
      <c r="J2672" s="61" t="s">
        <v>22</v>
      </c>
      <c r="L2672" s="5" t="str">
        <f t="shared" si="867"/>
        <v>02671</v>
      </c>
      <c r="M2672" s="47" t="str">
        <f t="shared" si="868"/>
        <v>21 de enero de 2020</v>
      </c>
      <c r="N2672" s="323">
        <f t="shared" si="875"/>
        <v>21</v>
      </c>
      <c r="O2672" s="25">
        <f t="shared" si="869"/>
        <v>43831</v>
      </c>
      <c r="P2672" s="5" t="str">
        <f t="shared" si="873"/>
        <v>136.250,00</v>
      </c>
      <c r="Q2672" s="4" t="e">
        <f t="shared" ca="1" si="874"/>
        <v>#NAME?</v>
      </c>
    </row>
    <row r="2673" spans="1:17">
      <c r="A2673" s="1">
        <f t="shared" si="878"/>
        <v>2672</v>
      </c>
      <c r="C2673" s="8" t="s">
        <v>17</v>
      </c>
      <c r="D2673" s="2">
        <v>43851</v>
      </c>
      <c r="E2673" s="3">
        <v>273000</v>
      </c>
      <c r="F2673" t="s">
        <v>230</v>
      </c>
      <c r="G2673" t="s">
        <v>231</v>
      </c>
      <c r="H2673" t="s">
        <v>232</v>
      </c>
      <c r="I2673" s="6" t="s">
        <v>1097</v>
      </c>
      <c r="J2673" s="61" t="s">
        <v>22</v>
      </c>
      <c r="L2673" s="5" t="str">
        <f t="shared" si="867"/>
        <v>02672</v>
      </c>
      <c r="M2673" s="47" t="str">
        <f t="shared" si="868"/>
        <v>21 de enero de 2020</v>
      </c>
      <c r="N2673" s="323">
        <f t="shared" si="875"/>
        <v>21</v>
      </c>
      <c r="O2673" s="25">
        <f t="shared" si="869"/>
        <v>43831</v>
      </c>
      <c r="P2673" s="5" t="str">
        <f t="shared" si="873"/>
        <v>273.000,00</v>
      </c>
      <c r="Q2673" s="4" t="e">
        <f t="shared" ca="1" si="874"/>
        <v>#NAME?</v>
      </c>
    </row>
    <row r="2674" spans="1:17">
      <c r="A2674" s="1">
        <f t="shared" si="878"/>
        <v>2673</v>
      </c>
      <c r="C2674" s="8" t="s">
        <v>17</v>
      </c>
      <c r="D2674" s="2">
        <v>43852</v>
      </c>
      <c r="E2674" s="3">
        <v>136250</v>
      </c>
      <c r="F2674" t="s">
        <v>100</v>
      </c>
      <c r="G2674" t="s">
        <v>95</v>
      </c>
      <c r="H2674" t="s">
        <v>101</v>
      </c>
      <c r="I2674" s="6" t="s">
        <v>1121</v>
      </c>
      <c r="J2674" s="61" t="s">
        <v>22</v>
      </c>
      <c r="L2674" s="5" t="str">
        <f t="shared" si="867"/>
        <v>02673</v>
      </c>
      <c r="M2674" s="47" t="str">
        <f t="shared" si="868"/>
        <v>22 de enero de 2020</v>
      </c>
      <c r="N2674" s="323">
        <f t="shared" si="875"/>
        <v>22</v>
      </c>
      <c r="O2674" s="25">
        <f t="shared" si="869"/>
        <v>43831</v>
      </c>
      <c r="P2674" s="5" t="str">
        <f t="shared" si="873"/>
        <v>136.250,00</v>
      </c>
      <c r="Q2674" s="4" t="e">
        <f t="shared" ca="1" si="874"/>
        <v>#NAME?</v>
      </c>
    </row>
    <row r="2675" spans="1:17">
      <c r="A2675" s="1">
        <f t="shared" si="878"/>
        <v>2674</v>
      </c>
      <c r="C2675" s="8" t="s">
        <v>17</v>
      </c>
      <c r="D2675" s="2">
        <v>43837</v>
      </c>
      <c r="E2675" s="3">
        <v>136250</v>
      </c>
      <c r="F2675" t="s">
        <v>264</v>
      </c>
      <c r="G2675" t="s">
        <v>265</v>
      </c>
      <c r="H2675" t="s">
        <v>266</v>
      </c>
      <c r="I2675" s="6" t="s">
        <v>1082</v>
      </c>
      <c r="J2675" s="61" t="s">
        <v>22</v>
      </c>
      <c r="L2675" s="5" t="str">
        <f t="shared" si="867"/>
        <v>02674</v>
      </c>
      <c r="M2675" s="47" t="str">
        <f t="shared" si="868"/>
        <v>07 de enero de 2020</v>
      </c>
      <c r="N2675" s="323">
        <f t="shared" si="875"/>
        <v>7</v>
      </c>
      <c r="O2675" s="25">
        <f t="shared" si="869"/>
        <v>43831</v>
      </c>
      <c r="P2675" s="5" t="str">
        <f t="shared" si="873"/>
        <v>136.250,00</v>
      </c>
      <c r="Q2675" s="4" t="e">
        <f t="shared" ca="1" si="874"/>
        <v>#NAME?</v>
      </c>
    </row>
    <row r="2676" spans="1:17">
      <c r="A2676" s="1">
        <f t="shared" si="878"/>
        <v>2675</v>
      </c>
      <c r="C2676" s="8" t="s">
        <v>17</v>
      </c>
      <c r="D2676" s="2">
        <v>43834</v>
      </c>
      <c r="E2676" s="3">
        <v>54500</v>
      </c>
      <c r="F2676" t="s">
        <v>334</v>
      </c>
      <c r="G2676" t="s">
        <v>85</v>
      </c>
      <c r="H2676" t="s">
        <v>335</v>
      </c>
      <c r="I2676" s="6" t="s">
        <v>1105</v>
      </c>
      <c r="J2676" s="61" t="s">
        <v>22</v>
      </c>
      <c r="L2676" s="5" t="str">
        <f t="shared" si="867"/>
        <v>02675</v>
      </c>
      <c r="M2676" s="47" t="str">
        <f t="shared" si="868"/>
        <v>04 de enero de 2020</v>
      </c>
      <c r="N2676" s="323">
        <f t="shared" si="875"/>
        <v>4</v>
      </c>
      <c r="O2676" s="25">
        <f t="shared" si="869"/>
        <v>43831</v>
      </c>
      <c r="P2676" s="5" t="str">
        <f t="shared" si="873"/>
        <v>54.500,00</v>
      </c>
      <c r="Q2676" s="4" t="e">
        <f t="shared" ca="1" si="874"/>
        <v>#NAME?</v>
      </c>
    </row>
    <row r="2677" spans="1:17">
      <c r="A2677" s="1">
        <f t="shared" si="878"/>
        <v>2676</v>
      </c>
      <c r="C2677" s="8" t="s">
        <v>17</v>
      </c>
      <c r="D2677" s="2">
        <v>43834</v>
      </c>
      <c r="E2677" s="3">
        <v>136250</v>
      </c>
      <c r="F2677" t="s">
        <v>84</v>
      </c>
      <c r="G2677" t="s">
        <v>85</v>
      </c>
      <c r="H2677" t="s">
        <v>86</v>
      </c>
      <c r="I2677" s="6" t="s">
        <v>1100</v>
      </c>
      <c r="J2677" s="61" t="s">
        <v>22</v>
      </c>
      <c r="L2677" s="5" t="str">
        <f t="shared" si="867"/>
        <v>02676</v>
      </c>
      <c r="M2677" s="47" t="str">
        <f t="shared" si="868"/>
        <v>04 de enero de 2020</v>
      </c>
      <c r="N2677" s="323">
        <f t="shared" si="875"/>
        <v>4</v>
      </c>
      <c r="O2677" s="25">
        <f t="shared" si="869"/>
        <v>43831</v>
      </c>
      <c r="P2677" s="5" t="str">
        <f t="shared" si="873"/>
        <v>136.250,00</v>
      </c>
      <c r="Q2677" s="4" t="e">
        <f t="shared" ca="1" si="874"/>
        <v>#NAME?</v>
      </c>
    </row>
    <row r="2678" spans="1:17">
      <c r="A2678" s="1">
        <f>A2677+1</f>
        <v>2677</v>
      </c>
      <c r="C2678" s="8" t="s">
        <v>17</v>
      </c>
      <c r="D2678" s="2">
        <v>43852</v>
      </c>
      <c r="E2678" s="3">
        <v>105250</v>
      </c>
      <c r="F2678" t="s">
        <v>287</v>
      </c>
      <c r="G2678" t="s">
        <v>288</v>
      </c>
      <c r="H2678" t="s">
        <v>289</v>
      </c>
      <c r="I2678" s="6" t="s">
        <v>1135</v>
      </c>
      <c r="J2678" s="61" t="s">
        <v>22</v>
      </c>
      <c r="L2678" s="5" t="str">
        <f t="shared" si="867"/>
        <v>02677</v>
      </c>
      <c r="M2678" s="47" t="str">
        <f t="shared" si="868"/>
        <v>22 de enero de 2020</v>
      </c>
      <c r="N2678" s="323">
        <f t="shared" si="875"/>
        <v>22</v>
      </c>
      <c r="O2678" s="25">
        <f t="shared" si="869"/>
        <v>43831</v>
      </c>
      <c r="P2678" s="5" t="str">
        <f t="shared" si="873"/>
        <v>105.250,00</v>
      </c>
      <c r="Q2678" s="4" t="e">
        <f t="shared" ca="1" si="874"/>
        <v>#NAME?</v>
      </c>
    </row>
    <row r="2679" spans="1:17">
      <c r="A2679" s="1">
        <f>A2678+1</f>
        <v>2678</v>
      </c>
      <c r="C2679" s="8" t="s">
        <v>17</v>
      </c>
      <c r="D2679" s="2">
        <v>43852</v>
      </c>
      <c r="E2679" s="3">
        <v>136000</v>
      </c>
      <c r="F2679" t="s">
        <v>118</v>
      </c>
      <c r="G2679" t="s">
        <v>119</v>
      </c>
      <c r="H2679" t="s">
        <v>120</v>
      </c>
      <c r="I2679" s="6" t="s">
        <v>1132</v>
      </c>
      <c r="J2679" s="61" t="s">
        <v>22</v>
      </c>
      <c r="L2679" s="5" t="str">
        <f t="shared" si="867"/>
        <v>02678</v>
      </c>
      <c r="M2679" s="47" t="str">
        <f t="shared" si="868"/>
        <v>22 de enero de 2020</v>
      </c>
      <c r="N2679" s="323">
        <f t="shared" si="875"/>
        <v>22</v>
      </c>
      <c r="O2679" s="25">
        <f t="shared" si="869"/>
        <v>43831</v>
      </c>
      <c r="P2679" s="5" t="str">
        <f t="shared" si="873"/>
        <v>136.000,00</v>
      </c>
      <c r="Q2679" s="4" t="e">
        <f t="shared" ca="1" si="874"/>
        <v>#NAME?</v>
      </c>
    </row>
    <row r="2680" spans="1:17">
      <c r="A2680" s="1">
        <f>A2679+1</f>
        <v>2679</v>
      </c>
      <c r="C2680" s="8" t="s">
        <v>17</v>
      </c>
      <c r="D2680" s="2">
        <v>43852</v>
      </c>
      <c r="E2680" s="3">
        <v>136250</v>
      </c>
      <c r="F2680" t="s">
        <v>771</v>
      </c>
      <c r="G2680" t="s">
        <v>772</v>
      </c>
      <c r="H2680" t="s">
        <v>773</v>
      </c>
      <c r="I2680" s="6" t="s">
        <v>1136</v>
      </c>
      <c r="J2680" s="61" t="s">
        <v>22</v>
      </c>
      <c r="L2680" s="5" t="str">
        <f t="shared" si="867"/>
        <v>02679</v>
      </c>
      <c r="M2680" s="47" t="str">
        <f t="shared" si="868"/>
        <v>22 de enero de 2020</v>
      </c>
      <c r="N2680" s="323">
        <f t="shared" si="875"/>
        <v>22</v>
      </c>
      <c r="O2680" s="25">
        <f t="shared" si="869"/>
        <v>43831</v>
      </c>
      <c r="P2680" s="5" t="str">
        <f t="shared" si="873"/>
        <v>136.250,00</v>
      </c>
      <c r="Q2680" s="4" t="e">
        <f t="shared" ca="1" si="874"/>
        <v>#NAME?</v>
      </c>
    </row>
    <row r="2681" spans="1:17" ht="15.75" thickBot="1">
      <c r="A2681" s="1">
        <f>A2680+1</f>
        <v>2680</v>
      </c>
      <c r="C2681" s="8" t="s">
        <v>17</v>
      </c>
      <c r="D2681" s="2">
        <v>43852</v>
      </c>
      <c r="E2681" s="3">
        <v>64405.8</v>
      </c>
      <c r="F2681" t="s">
        <v>771</v>
      </c>
      <c r="G2681" t="s">
        <v>772</v>
      </c>
      <c r="H2681" t="s">
        <v>773</v>
      </c>
      <c r="I2681" s="6" t="s">
        <v>1137</v>
      </c>
      <c r="J2681" s="61" t="s">
        <v>22</v>
      </c>
      <c r="L2681" s="5" t="str">
        <f t="shared" ref="L2681" si="879">IF(ISBLANK(A2681),"",TEXT(A2681,"00000"))</f>
        <v>02680</v>
      </c>
      <c r="M2681" s="47" t="str">
        <f t="shared" ref="M2681" si="880">IF(ISBLANK(D2681),"",TEXT(D2681,"dd")&amp;" de "&amp;TEXT(D2681,"mmmm")&amp;" de "&amp;TEXT(YEAR(D2681),"0"))</f>
        <v>22 de enero de 2020</v>
      </c>
      <c r="N2681" s="323">
        <f t="shared" ref="N2681" si="881">DAY(D2681)</f>
        <v>22</v>
      </c>
      <c r="O2681" s="25">
        <f t="shared" ref="O2681" si="882">DATE(YEAR(D2681),MONTH(D2681),1)</f>
        <v>43831</v>
      </c>
      <c r="P2681" s="5" t="str">
        <f t="shared" ref="P2681" si="883">TEXT(E2681,"#.##0,00")</f>
        <v>64.405,80</v>
      </c>
      <c r="Q2681" s="4" t="e">
        <f t="shared" ref="Q2681" ca="1" si="884">CONVERTIRNUM(E2681)</f>
        <v>#NAME?</v>
      </c>
    </row>
    <row r="2682" spans="1:17" ht="15.75" thickBot="1">
      <c r="A2682" s="1">
        <f>A2681+1</f>
        <v>2681</v>
      </c>
      <c r="C2682" s="8" t="s">
        <v>17</v>
      </c>
      <c r="D2682" s="2">
        <v>43853</v>
      </c>
      <c r="E2682" s="3">
        <v>136250</v>
      </c>
      <c r="F2682" t="s">
        <v>239</v>
      </c>
      <c r="G2682" s="73" t="s">
        <v>240</v>
      </c>
      <c r="H2682" t="s">
        <v>241</v>
      </c>
      <c r="I2682" s="6" t="s">
        <v>1121</v>
      </c>
      <c r="J2682" s="61" t="s">
        <v>22</v>
      </c>
      <c r="L2682" s="5" t="str">
        <f t="shared" ref="L2682:L2683" si="885">IF(ISBLANK(A2682),"",TEXT(A2682,"00000"))</f>
        <v>02681</v>
      </c>
      <c r="M2682" s="47" t="str">
        <f t="shared" ref="M2682:M2683" si="886">IF(ISBLANK(D2682),"",TEXT(D2682,"dd")&amp;" de "&amp;TEXT(D2682,"mmmm")&amp;" de "&amp;TEXT(YEAR(D2682),"0"))</f>
        <v>23 de enero de 2020</v>
      </c>
      <c r="N2682" s="323">
        <f t="shared" ref="N2682:N2683" si="887">DAY(D2682)</f>
        <v>23</v>
      </c>
      <c r="O2682" s="25">
        <f t="shared" ref="O2682:O2683" si="888">DATE(YEAR(D2682),MONTH(D2682),1)</f>
        <v>43831</v>
      </c>
      <c r="P2682" s="5" t="str">
        <f t="shared" ref="P2682:P2683" si="889">TEXT(E2682,"#.##0,00")</f>
        <v>136.250,00</v>
      </c>
      <c r="Q2682" s="4" t="e">
        <f t="shared" ref="Q2682:Q2683" ca="1" si="890">CONVERTIRNUM(E2682)</f>
        <v>#NAME?</v>
      </c>
    </row>
    <row r="2683" spans="1:17">
      <c r="A2683" s="1">
        <f t="shared" ref="A2683:A2686" si="891">A2682+1</f>
        <v>2682</v>
      </c>
      <c r="C2683" s="8" t="s">
        <v>17</v>
      </c>
      <c r="D2683" s="2">
        <v>43853</v>
      </c>
      <c r="E2683" s="3">
        <v>136250</v>
      </c>
      <c r="F2683" t="s">
        <v>558</v>
      </c>
      <c r="G2683" t="s">
        <v>559</v>
      </c>
      <c r="H2683" t="s">
        <v>560</v>
      </c>
      <c r="I2683" s="6" t="s">
        <v>1121</v>
      </c>
      <c r="J2683" s="61" t="s">
        <v>22</v>
      </c>
      <c r="L2683" s="5" t="str">
        <f t="shared" si="885"/>
        <v>02682</v>
      </c>
      <c r="M2683" s="47" t="str">
        <f t="shared" si="886"/>
        <v>23 de enero de 2020</v>
      </c>
      <c r="N2683" s="323">
        <f t="shared" si="887"/>
        <v>23</v>
      </c>
      <c r="O2683" s="25">
        <f t="shared" si="888"/>
        <v>43831</v>
      </c>
      <c r="P2683" s="5" t="str">
        <f t="shared" si="889"/>
        <v>136.250,00</v>
      </c>
      <c r="Q2683" s="4" t="e">
        <f t="shared" ca="1" si="890"/>
        <v>#NAME?</v>
      </c>
    </row>
    <row r="2684" spans="1:17" ht="15.75" thickBot="1">
      <c r="A2684" s="1">
        <f t="shared" si="891"/>
        <v>2683</v>
      </c>
      <c r="C2684" s="8" t="s">
        <v>17</v>
      </c>
      <c r="D2684" s="2">
        <v>43853</v>
      </c>
      <c r="E2684" s="3">
        <v>136250</v>
      </c>
      <c r="F2684" t="s">
        <v>1138</v>
      </c>
      <c r="G2684" t="s">
        <v>1139</v>
      </c>
      <c r="H2684" t="s">
        <v>1115</v>
      </c>
      <c r="I2684" s="6" t="s">
        <v>1121</v>
      </c>
      <c r="J2684" s="61" t="s">
        <v>22</v>
      </c>
      <c r="L2684" s="5" t="str">
        <f t="shared" ref="L2684:L2686" si="892">IF(ISBLANK(A2684),"",TEXT(A2684,"00000"))</f>
        <v>02683</v>
      </c>
      <c r="M2684" s="47" t="str">
        <f t="shared" ref="M2684:M2686" si="893">IF(ISBLANK(D2684),"",TEXT(D2684,"dd")&amp;" de "&amp;TEXT(D2684,"mmmm")&amp;" de "&amp;TEXT(YEAR(D2684),"0"))</f>
        <v>23 de enero de 2020</v>
      </c>
      <c r="N2684" s="323">
        <f t="shared" ref="N2684:N2686" si="894">DAY(D2684)</f>
        <v>23</v>
      </c>
      <c r="O2684" s="25">
        <f t="shared" ref="O2684:O2686" si="895">DATE(YEAR(D2684),MONTH(D2684),1)</f>
        <v>43831</v>
      </c>
      <c r="P2684" s="5" t="str">
        <f t="shared" ref="P2684:P2686" si="896">TEXT(E2684,"#.##0,00")</f>
        <v>136.250,00</v>
      </c>
      <c r="Q2684" s="4" t="e">
        <f t="shared" ref="Q2684:Q2686" ca="1" si="897">CONVERTIRNUM(E2684)</f>
        <v>#NAME?</v>
      </c>
    </row>
    <row r="2685" spans="1:17" ht="15.75" thickBot="1">
      <c r="A2685" s="1">
        <f t="shared" si="891"/>
        <v>2684</v>
      </c>
      <c r="C2685" s="8" t="s">
        <v>17</v>
      </c>
      <c r="D2685" s="2">
        <v>43853</v>
      </c>
      <c r="E2685" s="3">
        <v>136250</v>
      </c>
      <c r="F2685" t="s">
        <v>1017</v>
      </c>
      <c r="G2685" s="475" t="s">
        <v>1018</v>
      </c>
      <c r="H2685" t="s">
        <v>140</v>
      </c>
      <c r="I2685" s="6" t="s">
        <v>1121</v>
      </c>
      <c r="J2685" s="61" t="s">
        <v>22</v>
      </c>
      <c r="L2685" s="5" t="str">
        <f t="shared" si="892"/>
        <v>02684</v>
      </c>
      <c r="M2685" s="47" t="str">
        <f t="shared" si="893"/>
        <v>23 de enero de 2020</v>
      </c>
      <c r="N2685" s="323">
        <f t="shared" si="894"/>
        <v>23</v>
      </c>
      <c r="O2685" s="25">
        <f t="shared" si="895"/>
        <v>43831</v>
      </c>
      <c r="P2685" s="5" t="str">
        <f t="shared" si="896"/>
        <v>136.250,00</v>
      </c>
      <c r="Q2685" s="4" t="e">
        <f t="shared" ca="1" si="897"/>
        <v>#NAME?</v>
      </c>
    </row>
    <row r="2686" spans="1:17" ht="15.75" thickBot="1">
      <c r="A2686" s="319">
        <f t="shared" si="891"/>
        <v>2685</v>
      </c>
      <c r="B2686" s="12"/>
      <c r="C2686" s="12" t="s">
        <v>225</v>
      </c>
      <c r="D2686" s="17">
        <v>43854</v>
      </c>
      <c r="E2686" s="660">
        <f>1*74200+70000</f>
        <v>144200</v>
      </c>
      <c r="F2686" s="14" t="s">
        <v>126</v>
      </c>
      <c r="G2686" s="14" t="s">
        <v>127</v>
      </c>
      <c r="H2686" s="14" t="s">
        <v>128</v>
      </c>
      <c r="I2686" s="15" t="s">
        <v>1100</v>
      </c>
      <c r="J2686" s="62" t="s">
        <v>426</v>
      </c>
      <c r="K2686" s="16"/>
      <c r="L2686" s="5" t="str">
        <f t="shared" si="892"/>
        <v>02685</v>
      </c>
      <c r="M2686" s="47" t="str">
        <f t="shared" si="893"/>
        <v>24 de enero de 2020</v>
      </c>
      <c r="N2686" s="323">
        <f t="shared" si="894"/>
        <v>24</v>
      </c>
      <c r="O2686" s="25">
        <f t="shared" si="895"/>
        <v>43831</v>
      </c>
      <c r="P2686" s="5" t="str">
        <f t="shared" si="896"/>
        <v>144.200,00</v>
      </c>
      <c r="Q2686" s="4" t="e">
        <f t="shared" ca="1" si="897"/>
        <v>#NAME?</v>
      </c>
    </row>
    <row r="2687" spans="1:17" ht="15.75" thickBot="1">
      <c r="A2687" s="1">
        <f>A2686+1</f>
        <v>2686</v>
      </c>
      <c r="B2687" s="8"/>
      <c r="C2687" s="8" t="s">
        <v>17</v>
      </c>
      <c r="D2687" s="2">
        <v>43854</v>
      </c>
      <c r="E2687" s="597">
        <f>1*74200+70000</f>
        <v>144200</v>
      </c>
      <c r="F2687" t="s">
        <v>126</v>
      </c>
      <c r="G2687" t="s">
        <v>127</v>
      </c>
      <c r="H2687" t="s">
        <v>128</v>
      </c>
      <c r="I2687" s="6" t="s">
        <v>1140</v>
      </c>
      <c r="J2687" s="61" t="s">
        <v>22</v>
      </c>
      <c r="L2687" s="5" t="str">
        <f t="shared" ref="L2687:L2690" si="898">IF(ISBLANK(A2687),"",TEXT(A2687,"00000"))</f>
        <v>02686</v>
      </c>
      <c r="M2687" s="47" t="str">
        <f t="shared" ref="M2687:M2690" si="899">IF(ISBLANK(D2687),"",TEXT(D2687,"dd")&amp;" de "&amp;TEXT(D2687,"mmmm")&amp;" de "&amp;TEXT(YEAR(D2687),"0"))</f>
        <v>24 de enero de 2020</v>
      </c>
      <c r="N2687" s="323">
        <f t="shared" ref="N2687:N2701" si="900">DAY(D2687)</f>
        <v>24</v>
      </c>
      <c r="O2687" s="25">
        <f t="shared" ref="O2687:O2690" si="901">DATE(YEAR(D2687),MONTH(D2687),1)</f>
        <v>43831</v>
      </c>
      <c r="P2687" s="5" t="str">
        <f t="shared" ref="P2687:P2701" si="902">TEXT(E2687,"#.##0,00")</f>
        <v>144.200,00</v>
      </c>
      <c r="Q2687" s="4" t="e">
        <f t="shared" ref="Q2687:Q2691" ca="1" si="903">CONVERTIRNUM(E2687)</f>
        <v>#NAME?</v>
      </c>
    </row>
    <row r="2688" spans="1:17">
      <c r="A2688" s="1">
        <f>A2687+1</f>
        <v>2687</v>
      </c>
      <c r="B2688" s="8"/>
      <c r="C2688" s="8" t="s">
        <v>17</v>
      </c>
      <c r="D2688" s="2">
        <v>43853</v>
      </c>
      <c r="E2688" s="3">
        <v>136250</v>
      </c>
      <c r="F2688" t="s">
        <v>337</v>
      </c>
      <c r="G2688" t="s">
        <v>338</v>
      </c>
      <c r="H2688" t="s">
        <v>339</v>
      </c>
      <c r="I2688" s="6" t="s">
        <v>1121</v>
      </c>
      <c r="J2688" s="61" t="s">
        <v>22</v>
      </c>
      <c r="L2688" s="5" t="str">
        <f t="shared" si="898"/>
        <v>02687</v>
      </c>
      <c r="M2688" s="47" t="str">
        <f t="shared" si="899"/>
        <v>23 de enero de 2020</v>
      </c>
      <c r="N2688" s="323">
        <f t="shared" si="900"/>
        <v>23</v>
      </c>
      <c r="O2688" s="25">
        <f t="shared" si="901"/>
        <v>43831</v>
      </c>
      <c r="P2688" s="5" t="str">
        <f t="shared" si="902"/>
        <v>136.250,00</v>
      </c>
      <c r="Q2688" s="4" t="e">
        <f t="shared" ca="1" si="903"/>
        <v>#NAME?</v>
      </c>
    </row>
    <row r="2689" spans="1:17">
      <c r="A2689" s="1">
        <f t="shared" ref="A2689" si="904">A2688+1</f>
        <v>2688</v>
      </c>
      <c r="B2689" s="8"/>
      <c r="C2689" s="8" t="s">
        <v>17</v>
      </c>
      <c r="D2689" s="2">
        <v>43853</v>
      </c>
      <c r="E2689" s="3">
        <v>136250</v>
      </c>
      <c r="F2689" t="s">
        <v>122</v>
      </c>
      <c r="G2689" t="s">
        <v>123</v>
      </c>
      <c r="H2689" t="s">
        <v>124</v>
      </c>
      <c r="I2689" s="6" t="s">
        <v>1121</v>
      </c>
      <c r="J2689" s="61" t="s">
        <v>22</v>
      </c>
      <c r="L2689" s="5" t="str">
        <f t="shared" si="898"/>
        <v>02688</v>
      </c>
      <c r="M2689" s="47" t="str">
        <f t="shared" si="899"/>
        <v>23 de enero de 2020</v>
      </c>
      <c r="N2689" s="323">
        <f t="shared" si="900"/>
        <v>23</v>
      </c>
      <c r="O2689" s="25">
        <f t="shared" si="901"/>
        <v>43831</v>
      </c>
      <c r="P2689" s="5" t="str">
        <f t="shared" si="902"/>
        <v>136.250,00</v>
      </c>
      <c r="Q2689" s="4" t="e">
        <f t="shared" ca="1" si="903"/>
        <v>#NAME?</v>
      </c>
    </row>
    <row r="2690" spans="1:17" ht="16.5" customHeight="1">
      <c r="A2690" s="1">
        <f>A2689+1</f>
        <v>2689</v>
      </c>
      <c r="B2690" s="8"/>
      <c r="C2690" s="8" t="s">
        <v>17</v>
      </c>
      <c r="D2690" s="2">
        <v>43853</v>
      </c>
      <c r="E2690" s="3">
        <v>137000</v>
      </c>
      <c r="F2690" t="s">
        <v>219</v>
      </c>
      <c r="G2690" t="s">
        <v>220</v>
      </c>
      <c r="H2690" t="s">
        <v>221</v>
      </c>
      <c r="I2690" s="6" t="s">
        <v>1121</v>
      </c>
      <c r="J2690" s="61" t="s">
        <v>22</v>
      </c>
      <c r="L2690" s="5" t="str">
        <f t="shared" si="898"/>
        <v>02689</v>
      </c>
      <c r="M2690" s="47" t="str">
        <f t="shared" si="899"/>
        <v>23 de enero de 2020</v>
      </c>
      <c r="N2690" s="323">
        <f t="shared" si="900"/>
        <v>23</v>
      </c>
      <c r="O2690" s="25">
        <f t="shared" si="901"/>
        <v>43831</v>
      </c>
      <c r="P2690" s="5" t="str">
        <f t="shared" si="902"/>
        <v>137.000,00</v>
      </c>
      <c r="Q2690" s="4" t="e">
        <f t="shared" ca="1" si="903"/>
        <v>#NAME?</v>
      </c>
    </row>
    <row r="2691" spans="1:17">
      <c r="A2691" s="1">
        <f t="shared" ref="A2691:A2692" si="905">A2690+1</f>
        <v>2690</v>
      </c>
      <c r="B2691" s="8"/>
      <c r="C2691" s="8" t="s">
        <v>17</v>
      </c>
      <c r="D2691" s="2">
        <v>43855</v>
      </c>
      <c r="E2691" s="3">
        <v>135000</v>
      </c>
      <c r="F2691" t="s">
        <v>44</v>
      </c>
      <c r="G2691" t="s">
        <v>45</v>
      </c>
      <c r="H2691" t="s">
        <v>46</v>
      </c>
      <c r="I2691" s="6" t="s">
        <v>1121</v>
      </c>
      <c r="J2691" s="61" t="s">
        <v>22</v>
      </c>
      <c r="L2691" s="5" t="str">
        <f>IF(ISBLANK(A2691),"",TEXT(A2691,"00000"))</f>
        <v>02690</v>
      </c>
      <c r="M2691" s="47" t="str">
        <f>IF(ISBLANK(D2691),"",TEXT(D2691,"dd")&amp;" de "&amp;TEXT(D2691,"mmmm")&amp;" de "&amp;TEXT(YEAR(D2691),"0"))</f>
        <v>25 de enero de 2020</v>
      </c>
      <c r="N2691" s="323">
        <f t="shared" si="900"/>
        <v>25</v>
      </c>
      <c r="O2691" s="25">
        <f>DATE(YEAR(D2691),MONTH(D2691),1)</f>
        <v>43831</v>
      </c>
      <c r="P2691" s="5" t="str">
        <f t="shared" si="902"/>
        <v>135.000,00</v>
      </c>
      <c r="Q2691" s="4" t="e">
        <f t="shared" ca="1" si="903"/>
        <v>#NAME?</v>
      </c>
    </row>
    <row r="2692" spans="1:17">
      <c r="A2692" s="1">
        <f t="shared" si="905"/>
        <v>2691</v>
      </c>
      <c r="B2692" s="8"/>
      <c r="C2692" s="8" t="s">
        <v>17</v>
      </c>
      <c r="D2692" s="2">
        <v>43857</v>
      </c>
      <c r="E2692" s="3">
        <v>136250</v>
      </c>
      <c r="F2692" t="s">
        <v>1015</v>
      </c>
      <c r="G2692" t="s">
        <v>1016</v>
      </c>
      <c r="H2692" t="s">
        <v>59</v>
      </c>
      <c r="I2692" s="6" t="s">
        <v>1121</v>
      </c>
      <c r="J2692" s="61" t="s">
        <v>22</v>
      </c>
      <c r="L2692" s="5" t="str">
        <f t="shared" ref="L2692:L2701" si="906">IF(ISBLANK(A2692),"",TEXT(A2692,"00000"))</f>
        <v>02691</v>
      </c>
      <c r="M2692" s="47" t="str">
        <f t="shared" ref="M2692:M2701" si="907">IF(ISBLANK(D2692),"",TEXT(D2692,"dd")&amp;" de "&amp;TEXT(D2692,"mmmm")&amp;" de "&amp;TEXT(YEAR(D2692),"0"))</f>
        <v>27 de enero de 2020</v>
      </c>
      <c r="N2692" s="323">
        <f t="shared" si="900"/>
        <v>27</v>
      </c>
      <c r="O2692" s="25">
        <f t="shared" ref="O2692:O2701" si="908">DATE(YEAR(D2692),MONTH(D2692),1)</f>
        <v>43831</v>
      </c>
      <c r="P2692" s="5" t="str">
        <f t="shared" si="902"/>
        <v>136.250,00</v>
      </c>
      <c r="Q2692" s="4" t="e">
        <f ca="1">CONVERTIRNUM(E2692)</f>
        <v>#NAME?</v>
      </c>
    </row>
    <row r="2693" spans="1:17">
      <c r="A2693" s="1">
        <f>A2692+1</f>
        <v>2692</v>
      </c>
      <c r="B2693" s="8"/>
      <c r="C2693" s="8" t="s">
        <v>17</v>
      </c>
      <c r="D2693" s="2">
        <v>43857</v>
      </c>
      <c r="E2693" s="3">
        <v>136250</v>
      </c>
      <c r="F2693" t="s">
        <v>324</v>
      </c>
      <c r="G2693" t="s">
        <v>325</v>
      </c>
      <c r="H2693" t="s">
        <v>326</v>
      </c>
      <c r="I2693" s="6" t="s">
        <v>1121</v>
      </c>
      <c r="J2693" s="61" t="s">
        <v>22</v>
      </c>
      <c r="L2693" s="5" t="str">
        <f t="shared" si="906"/>
        <v>02692</v>
      </c>
      <c r="M2693" s="47" t="str">
        <f t="shared" si="907"/>
        <v>27 de enero de 2020</v>
      </c>
      <c r="N2693" s="323">
        <f t="shared" si="900"/>
        <v>27</v>
      </c>
      <c r="O2693" s="25">
        <f t="shared" si="908"/>
        <v>43831</v>
      </c>
      <c r="P2693" s="5" t="str">
        <f t="shared" si="902"/>
        <v>136.250,00</v>
      </c>
      <c r="Q2693" s="4" t="e">
        <f t="shared" ref="Q2693:Q2701" ca="1" si="909">CONVERTIRNUM(E2693)</f>
        <v>#NAME?</v>
      </c>
    </row>
    <row r="2694" spans="1:17">
      <c r="A2694" s="1">
        <f>A2693+1</f>
        <v>2693</v>
      </c>
      <c r="B2694" s="8"/>
      <c r="C2694" s="8" t="s">
        <v>17</v>
      </c>
      <c r="D2694" s="2">
        <v>43856</v>
      </c>
      <c r="E2694" s="3">
        <v>136250</v>
      </c>
      <c r="F2694" t="s">
        <v>296</v>
      </c>
      <c r="G2694" t="s">
        <v>297</v>
      </c>
      <c r="H2694" t="s">
        <v>298</v>
      </c>
      <c r="I2694" s="6" t="s">
        <v>1121</v>
      </c>
      <c r="J2694" s="61" t="s">
        <v>22</v>
      </c>
      <c r="L2694" s="5" t="str">
        <f t="shared" si="906"/>
        <v>02693</v>
      </c>
      <c r="M2694" s="47" t="str">
        <f t="shared" si="907"/>
        <v>26 de enero de 2020</v>
      </c>
      <c r="N2694" s="323">
        <f t="shared" si="900"/>
        <v>26</v>
      </c>
      <c r="O2694" s="25">
        <f t="shared" si="908"/>
        <v>43831</v>
      </c>
      <c r="P2694" s="5" t="str">
        <f t="shared" si="902"/>
        <v>136.250,00</v>
      </c>
      <c r="Q2694" s="4" t="e">
        <f t="shared" ca="1" si="909"/>
        <v>#NAME?</v>
      </c>
    </row>
    <row r="2695" spans="1:17">
      <c r="A2695" s="1">
        <f>A2694+1</f>
        <v>2694</v>
      </c>
      <c r="B2695" s="8"/>
      <c r="C2695" s="8" t="s">
        <v>17</v>
      </c>
      <c r="D2695" s="2">
        <v>43859</v>
      </c>
      <c r="E2695" s="3">
        <v>136250</v>
      </c>
      <c r="F2695" t="s">
        <v>264</v>
      </c>
      <c r="G2695" t="s">
        <v>265</v>
      </c>
      <c r="H2695" t="s">
        <v>266</v>
      </c>
      <c r="I2695" s="6" t="s">
        <v>1121</v>
      </c>
      <c r="J2695" s="61" t="s">
        <v>22</v>
      </c>
      <c r="L2695" s="5" t="str">
        <f t="shared" si="906"/>
        <v>02694</v>
      </c>
      <c r="M2695" s="47" t="str">
        <f t="shared" si="907"/>
        <v>29 de enero de 2020</v>
      </c>
      <c r="N2695" s="323">
        <f t="shared" si="900"/>
        <v>29</v>
      </c>
      <c r="O2695" s="25">
        <f t="shared" si="908"/>
        <v>43831</v>
      </c>
      <c r="P2695" s="5" t="str">
        <f t="shared" si="902"/>
        <v>136.250,00</v>
      </c>
      <c r="Q2695" s="4" t="e">
        <f t="shared" ca="1" si="909"/>
        <v>#NAME?</v>
      </c>
    </row>
    <row r="2696" spans="1:17" ht="15.75" thickBot="1">
      <c r="A2696" s="1">
        <f t="shared" ref="A2696" si="910">A2695+1</f>
        <v>2695</v>
      </c>
      <c r="B2696" s="8"/>
      <c r="C2696" s="8" t="s">
        <v>17</v>
      </c>
      <c r="D2696" s="2">
        <v>43860</v>
      </c>
      <c r="E2696" s="3">
        <v>136250</v>
      </c>
      <c r="F2696" t="s">
        <v>94</v>
      </c>
      <c r="G2696" t="s">
        <v>607</v>
      </c>
      <c r="H2696" t="s">
        <v>96</v>
      </c>
      <c r="I2696" s="6" t="s">
        <v>1100</v>
      </c>
      <c r="J2696" s="61" t="s">
        <v>22</v>
      </c>
      <c r="L2696" s="5" t="str">
        <f t="shared" si="906"/>
        <v>02695</v>
      </c>
      <c r="M2696" s="47" t="str">
        <f t="shared" si="907"/>
        <v>30 de enero de 2020</v>
      </c>
      <c r="N2696" s="323">
        <f t="shared" si="900"/>
        <v>30</v>
      </c>
      <c r="O2696" s="25">
        <f t="shared" si="908"/>
        <v>43831</v>
      </c>
      <c r="P2696" s="5" t="str">
        <f t="shared" si="902"/>
        <v>136.250,00</v>
      </c>
      <c r="Q2696" s="4" t="e">
        <f t="shared" ca="1" si="909"/>
        <v>#NAME?</v>
      </c>
    </row>
    <row r="2697" spans="1:17" ht="15.75" thickBot="1">
      <c r="A2697" s="1">
        <f>A2696+1</f>
        <v>2696</v>
      </c>
      <c r="B2697" s="8"/>
      <c r="C2697" s="8" t="s">
        <v>17</v>
      </c>
      <c r="D2697" s="2">
        <v>43861</v>
      </c>
      <c r="E2697" s="3">
        <v>300000</v>
      </c>
      <c r="F2697" t="s">
        <v>90</v>
      </c>
      <c r="G2697" s="475" t="s">
        <v>978</v>
      </c>
      <c r="H2697" t="s">
        <v>92</v>
      </c>
      <c r="I2697" s="6" t="s">
        <v>1097</v>
      </c>
      <c r="J2697" s="61" t="s">
        <v>22</v>
      </c>
      <c r="L2697" s="5" t="str">
        <f t="shared" si="906"/>
        <v>02696</v>
      </c>
      <c r="M2697" s="47" t="str">
        <f t="shared" si="907"/>
        <v>31 de enero de 2020</v>
      </c>
      <c r="N2697" s="323">
        <f t="shared" si="900"/>
        <v>31</v>
      </c>
      <c r="O2697" s="25">
        <f t="shared" si="908"/>
        <v>43831</v>
      </c>
      <c r="P2697" s="5" t="str">
        <f t="shared" si="902"/>
        <v>300.000,00</v>
      </c>
      <c r="Q2697" s="4" t="e">
        <f t="shared" ca="1" si="909"/>
        <v>#NAME?</v>
      </c>
    </row>
    <row r="2698" spans="1:17">
      <c r="A2698" s="1">
        <f t="shared" ref="A2698" si="911">A2697+1</f>
        <v>2697</v>
      </c>
      <c r="B2698" s="8"/>
      <c r="C2698" s="8" t="s">
        <v>17</v>
      </c>
      <c r="D2698" s="2">
        <v>43860</v>
      </c>
      <c r="E2698" s="3">
        <v>136250</v>
      </c>
      <c r="F2698" t="s">
        <v>633</v>
      </c>
      <c r="G2698" t="s">
        <v>634</v>
      </c>
      <c r="H2698" t="s">
        <v>635</v>
      </c>
      <c r="I2698" s="6" t="s">
        <v>1121</v>
      </c>
      <c r="J2698" s="61" t="s">
        <v>22</v>
      </c>
      <c r="L2698" s="5" t="str">
        <f t="shared" si="906"/>
        <v>02697</v>
      </c>
      <c r="M2698" s="47" t="str">
        <f t="shared" si="907"/>
        <v>30 de enero de 2020</v>
      </c>
      <c r="N2698" s="323">
        <f t="shared" si="900"/>
        <v>30</v>
      </c>
      <c r="O2698" s="25">
        <f t="shared" si="908"/>
        <v>43831</v>
      </c>
      <c r="P2698" s="5" t="str">
        <f t="shared" si="902"/>
        <v>136.250,00</v>
      </c>
      <c r="Q2698" s="4" t="e">
        <f t="shared" ca="1" si="909"/>
        <v>#NAME?</v>
      </c>
    </row>
    <row r="2699" spans="1:17">
      <c r="A2699" s="1">
        <f t="shared" ref="A2699:A2705" si="912">A2698+1</f>
        <v>2698</v>
      </c>
      <c r="B2699" s="8"/>
      <c r="C2699" s="8" t="s">
        <v>17</v>
      </c>
      <c r="D2699" s="2">
        <v>43862</v>
      </c>
      <c r="E2699" s="3">
        <v>136250</v>
      </c>
      <c r="F2699" t="s">
        <v>177</v>
      </c>
      <c r="G2699" t="s">
        <v>941</v>
      </c>
      <c r="H2699" t="s">
        <v>179</v>
      </c>
      <c r="I2699" s="6" t="s">
        <v>1141</v>
      </c>
      <c r="J2699" s="61" t="s">
        <v>22</v>
      </c>
      <c r="L2699" s="5" t="str">
        <f t="shared" si="906"/>
        <v>02698</v>
      </c>
      <c r="M2699" s="47" t="str">
        <f t="shared" si="907"/>
        <v>01 de febrero de 2020</v>
      </c>
      <c r="N2699" s="323">
        <f t="shared" si="900"/>
        <v>1</v>
      </c>
      <c r="O2699" s="25">
        <f t="shared" si="908"/>
        <v>43862</v>
      </c>
      <c r="P2699" s="5" t="str">
        <f t="shared" si="902"/>
        <v>136.250,00</v>
      </c>
      <c r="Q2699" s="4" t="e">
        <f t="shared" ca="1" si="909"/>
        <v>#NAME?</v>
      </c>
    </row>
    <row r="2700" spans="1:17">
      <c r="A2700" s="1">
        <f t="shared" si="912"/>
        <v>2699</v>
      </c>
      <c r="B2700" s="8"/>
      <c r="C2700" s="8" t="s">
        <v>17</v>
      </c>
      <c r="D2700" s="2">
        <v>43862</v>
      </c>
      <c r="E2700" s="3">
        <v>136250</v>
      </c>
      <c r="F2700" t="s">
        <v>211</v>
      </c>
      <c r="G2700" t="s">
        <v>212</v>
      </c>
      <c r="H2700" t="s">
        <v>213</v>
      </c>
      <c r="I2700" s="6" t="s">
        <v>1121</v>
      </c>
      <c r="J2700" s="61" t="s">
        <v>22</v>
      </c>
      <c r="L2700" s="5" t="str">
        <f t="shared" si="906"/>
        <v>02699</v>
      </c>
      <c r="M2700" s="47" t="str">
        <f t="shared" si="907"/>
        <v>01 de febrero de 2020</v>
      </c>
      <c r="N2700" s="323">
        <f t="shared" si="900"/>
        <v>1</v>
      </c>
      <c r="O2700" s="25">
        <f t="shared" si="908"/>
        <v>43862</v>
      </c>
      <c r="P2700" s="5" t="str">
        <f t="shared" si="902"/>
        <v>136.250,00</v>
      </c>
      <c r="Q2700" s="4" t="e">
        <f t="shared" ca="1" si="909"/>
        <v>#NAME?</v>
      </c>
    </row>
    <row r="2701" spans="1:17">
      <c r="A2701" s="1">
        <f t="shared" si="912"/>
        <v>2700</v>
      </c>
      <c r="B2701" s="8"/>
      <c r="C2701" s="8" t="s">
        <v>17</v>
      </c>
      <c r="D2701" s="2">
        <v>43863</v>
      </c>
      <c r="E2701" s="3">
        <v>136250</v>
      </c>
      <c r="F2701" t="s">
        <v>114</v>
      </c>
      <c r="G2701" t="s">
        <v>115</v>
      </c>
      <c r="H2701" t="s">
        <v>105</v>
      </c>
      <c r="I2701" s="6" t="s">
        <v>1142</v>
      </c>
      <c r="J2701" s="61" t="s">
        <v>22</v>
      </c>
      <c r="L2701" s="5" t="str">
        <f t="shared" si="906"/>
        <v>02700</v>
      </c>
      <c r="M2701" s="47" t="str">
        <f t="shared" si="907"/>
        <v>02 de febrero de 2020</v>
      </c>
      <c r="N2701" s="323">
        <f t="shared" si="900"/>
        <v>2</v>
      </c>
      <c r="O2701" s="25">
        <f t="shared" si="908"/>
        <v>43862</v>
      </c>
      <c r="P2701" s="5" t="str">
        <f t="shared" si="902"/>
        <v>136.250,00</v>
      </c>
      <c r="Q2701" s="4" t="e">
        <f t="shared" ca="1" si="909"/>
        <v>#NAME?</v>
      </c>
    </row>
    <row r="2702" spans="1:17">
      <c r="A2702" s="1">
        <f t="shared" si="912"/>
        <v>2701</v>
      </c>
      <c r="B2702" s="8"/>
      <c r="C2702" s="8" t="s">
        <v>17</v>
      </c>
      <c r="D2702" s="2">
        <v>43863</v>
      </c>
      <c r="E2702" s="3">
        <v>136250</v>
      </c>
      <c r="F2702" t="s">
        <v>324</v>
      </c>
      <c r="G2702" t="s">
        <v>325</v>
      </c>
      <c r="H2702" t="s">
        <v>326</v>
      </c>
      <c r="I2702" s="6" t="s">
        <v>1142</v>
      </c>
      <c r="J2702" s="61" t="s">
        <v>22</v>
      </c>
      <c r="L2702" s="5" t="str">
        <f t="shared" ref="L2702:L2717" si="913">IF(ISBLANK(A2702),"",TEXT(A2702,"00000"))</f>
        <v>02701</v>
      </c>
      <c r="M2702" s="47" t="str">
        <f t="shared" ref="M2702:M2717" si="914">IF(ISBLANK(D2702),"",TEXT(D2702,"dd")&amp;" de "&amp;TEXT(D2702,"mmmm")&amp;" de "&amp;TEXT(YEAR(D2702),"0"))</f>
        <v>02 de febrero de 2020</v>
      </c>
      <c r="N2702" s="323">
        <f t="shared" ref="N2702:N2717" si="915">DAY(D2702)</f>
        <v>2</v>
      </c>
      <c r="O2702" s="25">
        <f t="shared" ref="O2702:O2717" si="916">DATE(YEAR(D2702),MONTH(D2702),1)</f>
        <v>43862</v>
      </c>
      <c r="P2702" s="5" t="str">
        <f t="shared" ref="P2702:P2717" si="917">TEXT(E2702,"#.##0,00")</f>
        <v>136.250,00</v>
      </c>
      <c r="Q2702" s="4" t="e">
        <f t="shared" ref="Q2702:Q2708" ca="1" si="918">CONVERTIRNUM(E2702)</f>
        <v>#NAME?</v>
      </c>
    </row>
    <row r="2703" spans="1:17">
      <c r="A2703" s="1">
        <f t="shared" si="912"/>
        <v>2702</v>
      </c>
      <c r="B2703" s="8"/>
      <c r="C2703" s="8" t="s">
        <v>17</v>
      </c>
      <c r="D2703" s="2">
        <v>43863</v>
      </c>
      <c r="E2703" s="3">
        <v>136250</v>
      </c>
      <c r="F2703" t="s">
        <v>24</v>
      </c>
      <c r="G2703" t="s">
        <v>25</v>
      </c>
      <c r="H2703" t="s">
        <v>26</v>
      </c>
      <c r="I2703" s="6" t="s">
        <v>1142</v>
      </c>
      <c r="J2703" s="61" t="s">
        <v>22</v>
      </c>
      <c r="L2703" s="5" t="str">
        <f t="shared" si="913"/>
        <v>02702</v>
      </c>
      <c r="M2703" s="47" t="str">
        <f t="shared" si="914"/>
        <v>02 de febrero de 2020</v>
      </c>
      <c r="N2703" s="323">
        <f t="shared" si="915"/>
        <v>2</v>
      </c>
      <c r="O2703" s="25">
        <f t="shared" si="916"/>
        <v>43862</v>
      </c>
      <c r="P2703" s="5" t="str">
        <f t="shared" si="917"/>
        <v>136.250,00</v>
      </c>
      <c r="Q2703" s="4" t="e">
        <f t="shared" ca="1" si="918"/>
        <v>#NAME?</v>
      </c>
    </row>
    <row r="2704" spans="1:17">
      <c r="A2704" s="1">
        <f t="shared" si="912"/>
        <v>2703</v>
      </c>
      <c r="B2704" s="8"/>
      <c r="C2704" s="8" t="s">
        <v>17</v>
      </c>
      <c r="D2704" s="2">
        <v>43863</v>
      </c>
      <c r="E2704" s="3">
        <v>136250</v>
      </c>
      <c r="F2704" t="s">
        <v>36</v>
      </c>
      <c r="G2704" t="s">
        <v>37</v>
      </c>
      <c r="H2704" t="s">
        <v>38</v>
      </c>
      <c r="I2704" s="6" t="s">
        <v>1142</v>
      </c>
      <c r="J2704" s="61" t="s">
        <v>22</v>
      </c>
      <c r="L2704" s="5" t="str">
        <f t="shared" si="913"/>
        <v>02703</v>
      </c>
      <c r="M2704" s="47" t="str">
        <f t="shared" si="914"/>
        <v>02 de febrero de 2020</v>
      </c>
      <c r="N2704" s="323">
        <f t="shared" si="915"/>
        <v>2</v>
      </c>
      <c r="O2704" s="25">
        <f t="shared" si="916"/>
        <v>43862</v>
      </c>
      <c r="P2704" s="5" t="str">
        <f t="shared" si="917"/>
        <v>136.250,00</v>
      </c>
      <c r="Q2704" s="4" t="e">
        <f t="shared" ca="1" si="918"/>
        <v>#NAME?</v>
      </c>
    </row>
    <row r="2705" spans="1:17">
      <c r="A2705" s="1">
        <f t="shared" si="912"/>
        <v>2704</v>
      </c>
      <c r="B2705" s="8"/>
      <c r="C2705" s="8" t="s">
        <v>17</v>
      </c>
      <c r="D2705" s="2">
        <v>43863</v>
      </c>
      <c r="E2705" s="3">
        <v>136250</v>
      </c>
      <c r="F2705" t="s">
        <v>100</v>
      </c>
      <c r="G2705" t="s">
        <v>95</v>
      </c>
      <c r="H2705" t="s">
        <v>101</v>
      </c>
      <c r="I2705" s="6" t="s">
        <v>1142</v>
      </c>
      <c r="J2705" s="61" t="s">
        <v>22</v>
      </c>
      <c r="L2705" s="5" t="str">
        <f t="shared" si="913"/>
        <v>02704</v>
      </c>
      <c r="M2705" s="47" t="str">
        <f t="shared" si="914"/>
        <v>02 de febrero de 2020</v>
      </c>
      <c r="N2705" s="323">
        <f t="shared" si="915"/>
        <v>2</v>
      </c>
      <c r="O2705" s="25">
        <f t="shared" si="916"/>
        <v>43862</v>
      </c>
      <c r="P2705" s="5" t="str">
        <f t="shared" si="917"/>
        <v>136.250,00</v>
      </c>
      <c r="Q2705" s="4" t="e">
        <f t="shared" ca="1" si="918"/>
        <v>#NAME?</v>
      </c>
    </row>
    <row r="2706" spans="1:17" ht="15.75" thickBot="1">
      <c r="A2706" s="1">
        <f t="shared" ref="A2706" si="919">A2705+1</f>
        <v>2705</v>
      </c>
      <c r="B2706" s="8"/>
      <c r="C2706" s="8" t="s">
        <v>17</v>
      </c>
      <c r="D2706" s="2">
        <v>43863</v>
      </c>
      <c r="E2706" s="3">
        <v>272500</v>
      </c>
      <c r="F2706" t="s">
        <v>130</v>
      </c>
      <c r="G2706" t="s">
        <v>1054</v>
      </c>
      <c r="H2706" t="s">
        <v>132</v>
      </c>
      <c r="I2706" s="6" t="s">
        <v>1097</v>
      </c>
      <c r="J2706" s="61" t="s">
        <v>22</v>
      </c>
      <c r="L2706" s="5" t="str">
        <f t="shared" si="913"/>
        <v>02705</v>
      </c>
      <c r="M2706" s="47" t="str">
        <f t="shared" si="914"/>
        <v>02 de febrero de 2020</v>
      </c>
      <c r="N2706" s="323">
        <f t="shared" si="915"/>
        <v>2</v>
      </c>
      <c r="O2706" s="25">
        <f t="shared" si="916"/>
        <v>43862</v>
      </c>
      <c r="P2706" s="5" t="str">
        <f t="shared" si="917"/>
        <v>272.500,00</v>
      </c>
      <c r="Q2706" s="4" t="e">
        <f t="shared" ca="1" si="918"/>
        <v>#NAME?</v>
      </c>
    </row>
    <row r="2707" spans="1:17" ht="15.75" thickBot="1">
      <c r="A2707" s="1">
        <f>A2706+1</f>
        <v>2706</v>
      </c>
      <c r="B2707" s="8"/>
      <c r="C2707" s="8" t="s">
        <v>17</v>
      </c>
      <c r="D2707" s="2">
        <v>43863</v>
      </c>
      <c r="E2707" s="3">
        <v>107000</v>
      </c>
      <c r="F2707" t="s">
        <v>252</v>
      </c>
      <c r="G2707" s="475" t="s">
        <v>958</v>
      </c>
      <c r="H2707" t="s">
        <v>254</v>
      </c>
      <c r="I2707" s="6" t="s">
        <v>1143</v>
      </c>
      <c r="J2707" s="61" t="s">
        <v>22</v>
      </c>
      <c r="L2707" s="5" t="str">
        <f t="shared" si="913"/>
        <v>02706</v>
      </c>
      <c r="M2707" s="47" t="str">
        <f t="shared" si="914"/>
        <v>02 de febrero de 2020</v>
      </c>
      <c r="N2707" s="323">
        <f t="shared" si="915"/>
        <v>2</v>
      </c>
      <c r="O2707" s="25">
        <f t="shared" si="916"/>
        <v>43862</v>
      </c>
      <c r="P2707" s="5" t="str">
        <f t="shared" si="917"/>
        <v>107.000,00</v>
      </c>
      <c r="Q2707" s="4" t="e">
        <f t="shared" ca="1" si="918"/>
        <v>#NAME?</v>
      </c>
    </row>
    <row r="2708" spans="1:17">
      <c r="A2708" s="1">
        <f>A2707+1</f>
        <v>2707</v>
      </c>
      <c r="C2708" s="8" t="s">
        <v>17</v>
      </c>
      <c r="D2708" s="2">
        <v>43863</v>
      </c>
      <c r="E2708" s="3">
        <v>135700</v>
      </c>
      <c r="F2708" t="s">
        <v>48</v>
      </c>
      <c r="G2708" t="s">
        <v>49</v>
      </c>
      <c r="H2708" t="s">
        <v>50</v>
      </c>
      <c r="I2708" s="6" t="s">
        <v>1144</v>
      </c>
      <c r="J2708" s="61" t="s">
        <v>22</v>
      </c>
      <c r="L2708" s="5" t="str">
        <f t="shared" si="913"/>
        <v>02707</v>
      </c>
      <c r="M2708" s="47" t="str">
        <f t="shared" si="914"/>
        <v>02 de febrero de 2020</v>
      </c>
      <c r="N2708" s="323">
        <f t="shared" si="915"/>
        <v>2</v>
      </c>
      <c r="O2708" s="25">
        <f t="shared" si="916"/>
        <v>43862</v>
      </c>
      <c r="P2708" s="5" t="str">
        <f t="shared" si="917"/>
        <v>135.700,00</v>
      </c>
      <c r="Q2708" s="4" t="e">
        <f t="shared" ca="1" si="918"/>
        <v>#NAME?</v>
      </c>
    </row>
    <row r="2709" spans="1:17">
      <c r="A2709" s="1">
        <f>A2708+1</f>
        <v>2708</v>
      </c>
      <c r="C2709" s="8" t="s">
        <v>17</v>
      </c>
      <c r="D2709" s="2">
        <v>43864</v>
      </c>
      <c r="E2709" s="3">
        <v>136250</v>
      </c>
      <c r="F2709" t="s">
        <v>407</v>
      </c>
      <c r="G2709" t="s">
        <v>408</v>
      </c>
      <c r="H2709" t="s">
        <v>409</v>
      </c>
      <c r="I2709" s="6" t="s">
        <v>1142</v>
      </c>
      <c r="J2709" s="61" t="s">
        <v>22</v>
      </c>
      <c r="L2709" s="5" t="str">
        <f t="shared" si="913"/>
        <v>02708</v>
      </c>
      <c r="M2709" s="47" t="str">
        <f t="shared" si="914"/>
        <v>03 de febrero de 2020</v>
      </c>
      <c r="N2709" s="323">
        <f t="shared" si="915"/>
        <v>3</v>
      </c>
      <c r="O2709" s="25">
        <f t="shared" si="916"/>
        <v>43862</v>
      </c>
      <c r="P2709" s="5" t="str">
        <f t="shared" si="917"/>
        <v>136.250,00</v>
      </c>
      <c r="Q2709" s="4" t="e">
        <f ca="1">CONVERTIRNUM(E2709)</f>
        <v>#NAME?</v>
      </c>
    </row>
    <row r="2710" spans="1:17">
      <c r="A2710" s="1">
        <f t="shared" ref="A2710" si="920">A2709+1</f>
        <v>2709</v>
      </c>
      <c r="C2710" s="8" t="s">
        <v>17</v>
      </c>
      <c r="D2710" s="2">
        <v>43864</v>
      </c>
      <c r="E2710" s="3">
        <v>136250</v>
      </c>
      <c r="F2710" t="s">
        <v>134</v>
      </c>
      <c r="G2710" t="s">
        <v>135</v>
      </c>
      <c r="H2710" t="s">
        <v>136</v>
      </c>
      <c r="I2710" s="6" t="s">
        <v>1142</v>
      </c>
      <c r="J2710" s="61" t="s">
        <v>22</v>
      </c>
      <c r="L2710" s="5" t="str">
        <f t="shared" si="913"/>
        <v>02709</v>
      </c>
      <c r="M2710" s="47" t="str">
        <f t="shared" si="914"/>
        <v>03 de febrero de 2020</v>
      </c>
      <c r="N2710" s="323">
        <f t="shared" si="915"/>
        <v>3</v>
      </c>
      <c r="O2710" s="25">
        <f t="shared" si="916"/>
        <v>43862</v>
      </c>
      <c r="P2710" s="5" t="str">
        <f t="shared" si="917"/>
        <v>136.250,00</v>
      </c>
      <c r="Q2710" s="4" t="e">
        <f t="shared" ref="Q2710:Q2717" ca="1" si="921">CONVERTIRNUM(E2710)</f>
        <v>#NAME?</v>
      </c>
    </row>
    <row r="2711" spans="1:17">
      <c r="A2711" s="1">
        <f t="shared" ref="A2711:A2718" si="922">A2710+1</f>
        <v>2710</v>
      </c>
      <c r="C2711" s="8" t="s">
        <v>17</v>
      </c>
      <c r="D2711" s="2">
        <v>43864</v>
      </c>
      <c r="E2711" s="3">
        <v>136250</v>
      </c>
      <c r="F2711" t="s">
        <v>18</v>
      </c>
      <c r="G2711" t="s">
        <v>19</v>
      </c>
      <c r="H2711" t="s">
        <v>20</v>
      </c>
      <c r="I2711" t="s">
        <v>1145</v>
      </c>
      <c r="J2711" s="61" t="s">
        <v>22</v>
      </c>
      <c r="L2711" s="5" t="str">
        <f t="shared" si="913"/>
        <v>02710</v>
      </c>
      <c r="M2711" s="47" t="str">
        <f t="shared" si="914"/>
        <v>03 de febrero de 2020</v>
      </c>
      <c r="N2711" s="323">
        <f t="shared" si="915"/>
        <v>3</v>
      </c>
      <c r="O2711" s="25">
        <f t="shared" si="916"/>
        <v>43862</v>
      </c>
      <c r="P2711" s="5" t="str">
        <f t="shared" si="917"/>
        <v>136.250,00</v>
      </c>
      <c r="Q2711" s="4" t="e">
        <f t="shared" ca="1" si="921"/>
        <v>#NAME?</v>
      </c>
    </row>
    <row r="2712" spans="1:17">
      <c r="A2712" s="1">
        <f t="shared" si="922"/>
        <v>2711</v>
      </c>
      <c r="C2712" s="8" t="s">
        <v>17</v>
      </c>
      <c r="D2712" s="2">
        <v>43864</v>
      </c>
      <c r="E2712" s="3">
        <v>150000</v>
      </c>
      <c r="F2712" t="s">
        <v>80</v>
      </c>
      <c r="G2712" t="s">
        <v>81</v>
      </c>
      <c r="H2712" t="s">
        <v>82</v>
      </c>
      <c r="I2712" s="6" t="s">
        <v>1142</v>
      </c>
      <c r="J2712" s="61" t="s">
        <v>22</v>
      </c>
      <c r="L2712" s="5" t="str">
        <f t="shared" si="913"/>
        <v>02711</v>
      </c>
      <c r="M2712" s="47" t="str">
        <f t="shared" si="914"/>
        <v>03 de febrero de 2020</v>
      </c>
      <c r="N2712" s="323">
        <f t="shared" si="915"/>
        <v>3</v>
      </c>
      <c r="O2712" s="25">
        <f t="shared" si="916"/>
        <v>43862</v>
      </c>
      <c r="P2712" s="5" t="str">
        <f t="shared" si="917"/>
        <v>150.000,00</v>
      </c>
      <c r="Q2712" s="4" t="e">
        <f t="shared" ca="1" si="921"/>
        <v>#NAME?</v>
      </c>
    </row>
    <row r="2713" spans="1:17">
      <c r="A2713" s="1">
        <f t="shared" si="922"/>
        <v>2712</v>
      </c>
      <c r="C2713" s="8" t="s">
        <v>17</v>
      </c>
      <c r="D2713" s="2">
        <v>43865</v>
      </c>
      <c r="E2713" s="3">
        <v>100000</v>
      </c>
      <c r="F2713" t="s">
        <v>412</v>
      </c>
      <c r="G2713" t="s">
        <v>413</v>
      </c>
      <c r="H2713" t="s">
        <v>414</v>
      </c>
      <c r="I2713" s="6" t="s">
        <v>1132</v>
      </c>
      <c r="J2713" s="61" t="s">
        <v>22</v>
      </c>
      <c r="L2713" s="5" t="str">
        <f t="shared" si="913"/>
        <v>02712</v>
      </c>
      <c r="M2713" s="47" t="str">
        <f t="shared" si="914"/>
        <v>04 de febrero de 2020</v>
      </c>
      <c r="N2713" s="323">
        <f t="shared" si="915"/>
        <v>4</v>
      </c>
      <c r="O2713" s="25">
        <f t="shared" si="916"/>
        <v>43862</v>
      </c>
      <c r="P2713" s="5" t="str">
        <f t="shared" si="917"/>
        <v>100.000,00</v>
      </c>
      <c r="Q2713" s="4" t="e">
        <f t="shared" ca="1" si="921"/>
        <v>#NAME?</v>
      </c>
    </row>
    <row r="2714" spans="1:17" ht="16.5" customHeight="1">
      <c r="A2714" s="1">
        <f t="shared" si="922"/>
        <v>2713</v>
      </c>
      <c r="C2714" s="8" t="s">
        <v>17</v>
      </c>
      <c r="D2714" s="2">
        <v>43865</v>
      </c>
      <c r="E2714" s="3">
        <v>137000</v>
      </c>
      <c r="F2714" t="s">
        <v>219</v>
      </c>
      <c r="G2714" t="s">
        <v>220</v>
      </c>
      <c r="H2714" t="s">
        <v>221</v>
      </c>
      <c r="I2714" s="6" t="s">
        <v>1142</v>
      </c>
      <c r="J2714" s="61" t="s">
        <v>22</v>
      </c>
      <c r="L2714" s="5" t="str">
        <f t="shared" si="913"/>
        <v>02713</v>
      </c>
      <c r="M2714" s="47" t="str">
        <f t="shared" si="914"/>
        <v>04 de febrero de 2020</v>
      </c>
      <c r="N2714" s="323">
        <f t="shared" si="915"/>
        <v>4</v>
      </c>
      <c r="O2714" s="25">
        <f t="shared" si="916"/>
        <v>43862</v>
      </c>
      <c r="P2714" s="5" t="str">
        <f t="shared" si="917"/>
        <v>137.000,00</v>
      </c>
      <c r="Q2714" s="4" t="e">
        <f t="shared" ca="1" si="921"/>
        <v>#NAME?</v>
      </c>
    </row>
    <row r="2715" spans="1:17">
      <c r="A2715" s="1">
        <f t="shared" si="922"/>
        <v>2714</v>
      </c>
      <c r="C2715" s="8" t="s">
        <v>17</v>
      </c>
      <c r="D2715" s="2">
        <v>43865</v>
      </c>
      <c r="E2715" s="3">
        <v>60500</v>
      </c>
      <c r="F2715" t="s">
        <v>334</v>
      </c>
      <c r="G2715" t="s">
        <v>85</v>
      </c>
      <c r="H2715" t="s">
        <v>335</v>
      </c>
      <c r="I2715" s="6" t="s">
        <v>1146</v>
      </c>
      <c r="J2715" s="61" t="s">
        <v>22</v>
      </c>
      <c r="L2715" s="5" t="str">
        <f t="shared" si="913"/>
        <v>02714</v>
      </c>
      <c r="M2715" s="47" t="str">
        <f t="shared" si="914"/>
        <v>04 de febrero de 2020</v>
      </c>
      <c r="N2715" s="323">
        <f t="shared" si="915"/>
        <v>4</v>
      </c>
      <c r="O2715" s="25">
        <f t="shared" si="916"/>
        <v>43862</v>
      </c>
      <c r="P2715" s="5" t="str">
        <f t="shared" si="917"/>
        <v>60.500,00</v>
      </c>
      <c r="Q2715" s="4" t="e">
        <f t="shared" ca="1" si="921"/>
        <v>#NAME?</v>
      </c>
    </row>
    <row r="2716" spans="1:17">
      <c r="A2716" s="1">
        <f t="shared" si="922"/>
        <v>2715</v>
      </c>
      <c r="C2716" s="8" t="s">
        <v>17</v>
      </c>
      <c r="D2716" s="2">
        <v>43865</v>
      </c>
      <c r="E2716" s="3">
        <v>136250</v>
      </c>
      <c r="F2716" t="s">
        <v>84</v>
      </c>
      <c r="G2716" t="s">
        <v>85</v>
      </c>
      <c r="H2716" t="s">
        <v>86</v>
      </c>
      <c r="I2716" s="6" t="s">
        <v>1142</v>
      </c>
      <c r="J2716" s="61" t="s">
        <v>22</v>
      </c>
      <c r="L2716" s="5" t="str">
        <f t="shared" si="913"/>
        <v>02715</v>
      </c>
      <c r="M2716" s="47" t="str">
        <f t="shared" si="914"/>
        <v>04 de febrero de 2020</v>
      </c>
      <c r="N2716" s="323">
        <f t="shared" si="915"/>
        <v>4</v>
      </c>
      <c r="O2716" s="25">
        <f t="shared" si="916"/>
        <v>43862</v>
      </c>
      <c r="P2716" s="5" t="str">
        <f t="shared" si="917"/>
        <v>136.250,00</v>
      </c>
      <c r="Q2716" s="4" t="e">
        <f t="shared" ca="1" si="921"/>
        <v>#NAME?</v>
      </c>
    </row>
    <row r="2717" spans="1:17">
      <c r="A2717" s="1">
        <f>A2716+1</f>
        <v>2716</v>
      </c>
      <c r="C2717" s="8" t="s">
        <v>17</v>
      </c>
      <c r="D2717" s="2">
        <v>43837</v>
      </c>
      <c r="E2717" s="3">
        <v>150000</v>
      </c>
      <c r="F2717" t="s">
        <v>53</v>
      </c>
      <c r="G2717" t="s">
        <v>677</v>
      </c>
      <c r="H2717" t="s">
        <v>55</v>
      </c>
      <c r="I2717" s="6" t="s">
        <v>1147</v>
      </c>
      <c r="J2717" s="61" t="s">
        <v>22</v>
      </c>
      <c r="L2717" s="5" t="str">
        <f t="shared" si="913"/>
        <v>02716</v>
      </c>
      <c r="M2717" s="47" t="str">
        <f t="shared" si="914"/>
        <v>07 de enero de 2020</v>
      </c>
      <c r="N2717" s="323">
        <f t="shared" si="915"/>
        <v>7</v>
      </c>
      <c r="O2717" s="25">
        <f t="shared" si="916"/>
        <v>43831</v>
      </c>
      <c r="P2717" s="5" t="str">
        <f t="shared" si="917"/>
        <v>150.000,00</v>
      </c>
      <c r="Q2717" s="4" t="e">
        <f t="shared" ca="1" si="921"/>
        <v>#NAME?</v>
      </c>
    </row>
    <row r="2718" spans="1:17">
      <c r="A2718" s="1">
        <f t="shared" si="922"/>
        <v>2717</v>
      </c>
      <c r="C2718" s="8" t="s">
        <v>17</v>
      </c>
      <c r="D2718" s="2">
        <v>43865</v>
      </c>
      <c r="E2718" s="3">
        <v>150000</v>
      </c>
      <c r="F2718" t="s">
        <v>53</v>
      </c>
      <c r="G2718" t="s">
        <v>677</v>
      </c>
      <c r="H2718" t="s">
        <v>55</v>
      </c>
      <c r="I2718" s="6" t="s">
        <v>1148</v>
      </c>
      <c r="J2718" s="61" t="s">
        <v>22</v>
      </c>
      <c r="L2718" s="5" t="str">
        <f t="shared" ref="L2718:L2737" si="923">IF(ISBLANK(A2718),"",TEXT(A2718,"00000"))</f>
        <v>02717</v>
      </c>
      <c r="M2718" s="47" t="str">
        <f t="shared" ref="M2718:M2737" si="924">IF(ISBLANK(D2718),"",TEXT(D2718,"dd")&amp;" de "&amp;TEXT(D2718,"mmmm")&amp;" de "&amp;TEXT(YEAR(D2718),"0"))</f>
        <v>04 de febrero de 2020</v>
      </c>
      <c r="N2718" s="323">
        <f t="shared" ref="N2718:N2752" si="925">DAY(D2718)</f>
        <v>4</v>
      </c>
      <c r="O2718" s="25">
        <f t="shared" ref="O2718:O2737" si="926">DATE(YEAR(D2718),MONTH(D2718),1)</f>
        <v>43862</v>
      </c>
      <c r="P2718" s="5" t="str">
        <f t="shared" ref="P2718:P2720" si="927">TEXT(E2718,"#.##0,00")</f>
        <v>150.000,00</v>
      </c>
      <c r="Q2718" s="4" t="e">
        <f t="shared" ref="Q2718:Q2720" ca="1" si="928">CONVERTIRNUM(E2718)</f>
        <v>#NAME?</v>
      </c>
    </row>
    <row r="2719" spans="1:17">
      <c r="A2719" s="1">
        <f>A2718+1</f>
        <v>2718</v>
      </c>
      <c r="C2719" s="8" t="s">
        <v>17</v>
      </c>
      <c r="D2719" s="2">
        <v>43866</v>
      </c>
      <c r="E2719" s="3">
        <v>136250</v>
      </c>
      <c r="F2719" t="s">
        <v>1004</v>
      </c>
      <c r="G2719" t="s">
        <v>1005</v>
      </c>
      <c r="H2719" t="s">
        <v>539</v>
      </c>
      <c r="I2719" s="6" t="s">
        <v>1142</v>
      </c>
      <c r="J2719" s="61" t="s">
        <v>22</v>
      </c>
      <c r="L2719" s="5" t="str">
        <f t="shared" si="923"/>
        <v>02718</v>
      </c>
      <c r="M2719" s="47" t="str">
        <f t="shared" si="924"/>
        <v>05 de febrero de 2020</v>
      </c>
      <c r="N2719" s="323">
        <f t="shared" si="925"/>
        <v>5</v>
      </c>
      <c r="O2719" s="25">
        <f t="shared" si="926"/>
        <v>43862</v>
      </c>
      <c r="P2719" s="5" t="str">
        <f t="shared" si="927"/>
        <v>136.250,00</v>
      </c>
      <c r="Q2719" s="4" t="e">
        <f t="shared" ca="1" si="928"/>
        <v>#NAME?</v>
      </c>
    </row>
    <row r="2720" spans="1:17">
      <c r="A2720" s="1">
        <f>A2719+1</f>
        <v>2719</v>
      </c>
      <c r="C2720" s="8" t="s">
        <v>17</v>
      </c>
      <c r="D2720" s="2">
        <v>43866</v>
      </c>
      <c r="E2720" s="3">
        <v>136250</v>
      </c>
      <c r="F2720" t="s">
        <v>70</v>
      </c>
      <c r="G2720" t="s">
        <v>71</v>
      </c>
      <c r="H2720" t="s">
        <v>72</v>
      </c>
      <c r="I2720" s="6" t="s">
        <v>1142</v>
      </c>
      <c r="J2720" s="61" t="s">
        <v>22</v>
      </c>
      <c r="L2720" s="5" t="str">
        <f t="shared" si="923"/>
        <v>02719</v>
      </c>
      <c r="M2720" s="47" t="str">
        <f t="shared" si="924"/>
        <v>05 de febrero de 2020</v>
      </c>
      <c r="N2720" s="323">
        <f t="shared" si="925"/>
        <v>5</v>
      </c>
      <c r="O2720" s="25">
        <f t="shared" si="926"/>
        <v>43862</v>
      </c>
      <c r="P2720" s="5" t="str">
        <f t="shared" si="927"/>
        <v>136.250,00</v>
      </c>
      <c r="Q2720" s="4" t="e">
        <f t="shared" ca="1" si="928"/>
        <v>#NAME?</v>
      </c>
    </row>
    <row r="2721" spans="1:17">
      <c r="A2721" s="1">
        <f t="shared" ref="A2721:A2723" si="929">A2720+1</f>
        <v>2720</v>
      </c>
      <c r="C2721" s="8" t="s">
        <v>17</v>
      </c>
      <c r="D2721" s="2">
        <v>43866</v>
      </c>
      <c r="E2721" s="3">
        <v>136250</v>
      </c>
      <c r="F2721" t="s">
        <v>162</v>
      </c>
      <c r="G2721" t="s">
        <v>163</v>
      </c>
      <c r="H2721" t="s">
        <v>164</v>
      </c>
      <c r="I2721" s="6" t="s">
        <v>1121</v>
      </c>
      <c r="J2721" s="61" t="s">
        <v>22</v>
      </c>
      <c r="L2721" s="5" t="str">
        <f t="shared" si="923"/>
        <v>02720</v>
      </c>
      <c r="M2721" s="47" t="str">
        <f t="shared" si="924"/>
        <v>05 de febrero de 2020</v>
      </c>
      <c r="N2721" s="323">
        <f t="shared" si="925"/>
        <v>5</v>
      </c>
      <c r="O2721" s="25">
        <f t="shared" si="926"/>
        <v>43862</v>
      </c>
      <c r="P2721" s="5" t="str">
        <f>TEXT(E2721,"#.##0,00")</f>
        <v>136.250,00</v>
      </c>
      <c r="Q2721" s="4" t="e">
        <f ca="1">CONVERTIRNUM(E2721)</f>
        <v>#NAME?</v>
      </c>
    </row>
    <row r="2722" spans="1:17">
      <c r="A2722" s="1">
        <f t="shared" si="929"/>
        <v>2721</v>
      </c>
      <c r="C2722" s="8" t="s">
        <v>17</v>
      </c>
      <c r="D2722" s="2">
        <v>43866</v>
      </c>
      <c r="E2722" s="3">
        <v>136250</v>
      </c>
      <c r="F2722" t="s">
        <v>713</v>
      </c>
      <c r="G2722" t="s">
        <v>714</v>
      </c>
      <c r="H2722" t="s">
        <v>154</v>
      </c>
      <c r="I2722" s="6" t="s">
        <v>1142</v>
      </c>
      <c r="J2722" s="61" t="s">
        <v>22</v>
      </c>
      <c r="L2722" s="5" t="str">
        <f t="shared" si="923"/>
        <v>02721</v>
      </c>
      <c r="M2722" s="47" t="str">
        <f t="shared" si="924"/>
        <v>05 de febrero de 2020</v>
      </c>
      <c r="N2722" s="323">
        <f t="shared" si="925"/>
        <v>5</v>
      </c>
      <c r="O2722" s="25">
        <f t="shared" si="926"/>
        <v>43862</v>
      </c>
      <c r="P2722" s="5" t="str">
        <f t="shared" ref="P2722:P2752" si="930">TEXT(E2722,"#.##0,00")</f>
        <v>136.250,00</v>
      </c>
      <c r="Q2722" s="4" t="e">
        <f t="shared" ref="Q2722:Q2749" ca="1" si="931">CONVERTIRNUM(E2722)</f>
        <v>#NAME?</v>
      </c>
    </row>
    <row r="2723" spans="1:17">
      <c r="A2723" s="1">
        <f t="shared" si="929"/>
        <v>2722</v>
      </c>
      <c r="C2723" s="8" t="s">
        <v>17</v>
      </c>
      <c r="D2723" s="2">
        <v>43866</v>
      </c>
      <c r="E2723" s="597">
        <f>73400*10</f>
        <v>734000</v>
      </c>
      <c r="F2723" t="s">
        <v>785</v>
      </c>
      <c r="G2723" t="s">
        <v>786</v>
      </c>
      <c r="H2723" t="s">
        <v>719</v>
      </c>
      <c r="I2723" s="6" t="s">
        <v>1149</v>
      </c>
      <c r="J2723" s="61" t="s">
        <v>22</v>
      </c>
      <c r="L2723" s="5" t="str">
        <f t="shared" si="923"/>
        <v>02722</v>
      </c>
      <c r="M2723" s="47" t="str">
        <f t="shared" si="924"/>
        <v>05 de febrero de 2020</v>
      </c>
      <c r="N2723" s="323">
        <f t="shared" si="925"/>
        <v>5</v>
      </c>
      <c r="O2723" s="25">
        <f t="shared" si="926"/>
        <v>43862</v>
      </c>
      <c r="P2723" s="5" t="str">
        <f t="shared" si="930"/>
        <v>734.000,00</v>
      </c>
      <c r="Q2723" s="4" t="e">
        <f t="shared" ca="1" si="931"/>
        <v>#NAME?</v>
      </c>
    </row>
    <row r="2724" spans="1:17">
      <c r="A2724" s="1">
        <f>A2723+1</f>
        <v>2723</v>
      </c>
      <c r="C2724" s="8" t="s">
        <v>17</v>
      </c>
      <c r="D2724" s="2">
        <v>43866</v>
      </c>
      <c r="E2724" s="597">
        <f>73400*2+20000</f>
        <v>166800</v>
      </c>
      <c r="F2724" t="s">
        <v>401</v>
      </c>
      <c r="G2724" t="s">
        <v>402</v>
      </c>
      <c r="H2724" t="s">
        <v>403</v>
      </c>
      <c r="I2724" s="6" t="s">
        <v>1150</v>
      </c>
      <c r="J2724" s="61" t="s">
        <v>22</v>
      </c>
      <c r="L2724" s="5" t="str">
        <f t="shared" si="923"/>
        <v>02723</v>
      </c>
      <c r="M2724" s="47" t="str">
        <f t="shared" si="924"/>
        <v>05 de febrero de 2020</v>
      </c>
      <c r="N2724" s="323">
        <f t="shared" si="925"/>
        <v>5</v>
      </c>
      <c r="O2724" s="25">
        <f t="shared" si="926"/>
        <v>43862</v>
      </c>
      <c r="P2724" s="5" t="str">
        <f t="shared" si="930"/>
        <v>166.800,00</v>
      </c>
      <c r="Q2724" s="4" t="e">
        <f t="shared" ca="1" si="931"/>
        <v>#NAME?</v>
      </c>
    </row>
    <row r="2725" spans="1:17">
      <c r="A2725" s="1">
        <f t="shared" ref="A2725:A2728" si="932">A2724+1</f>
        <v>2724</v>
      </c>
      <c r="C2725" s="8" t="s">
        <v>17</v>
      </c>
      <c r="D2725" s="2">
        <v>43867</v>
      </c>
      <c r="E2725" s="3">
        <v>136250</v>
      </c>
      <c r="F2725" t="s">
        <v>483</v>
      </c>
      <c r="G2725" t="s">
        <v>484</v>
      </c>
      <c r="H2725" t="s">
        <v>485</v>
      </c>
      <c r="I2725" s="6" t="s">
        <v>1142</v>
      </c>
      <c r="J2725" s="61" t="s">
        <v>22</v>
      </c>
      <c r="L2725" s="5" t="str">
        <f t="shared" si="923"/>
        <v>02724</v>
      </c>
      <c r="M2725" s="47" t="str">
        <f t="shared" si="924"/>
        <v>06 de febrero de 2020</v>
      </c>
      <c r="N2725" s="323">
        <f t="shared" si="925"/>
        <v>6</v>
      </c>
      <c r="O2725" s="25">
        <f t="shared" si="926"/>
        <v>43862</v>
      </c>
      <c r="P2725" s="5" t="str">
        <f t="shared" si="930"/>
        <v>136.250,00</v>
      </c>
      <c r="Q2725" s="4" t="e">
        <f t="shared" ca="1" si="931"/>
        <v>#NAME?</v>
      </c>
    </row>
    <row r="2726" spans="1:17">
      <c r="A2726" s="1">
        <f t="shared" si="932"/>
        <v>2725</v>
      </c>
      <c r="C2726" s="8" t="s">
        <v>17</v>
      </c>
      <c r="D2726" s="2">
        <v>43867</v>
      </c>
      <c r="E2726" s="3">
        <v>136250</v>
      </c>
      <c r="F2726" t="s">
        <v>201</v>
      </c>
      <c r="G2726" t="s">
        <v>202</v>
      </c>
      <c r="H2726" t="s">
        <v>203</v>
      </c>
      <c r="I2726" s="6" t="s">
        <v>1151</v>
      </c>
      <c r="J2726" s="61" t="s">
        <v>22</v>
      </c>
      <c r="L2726" s="5" t="str">
        <f t="shared" si="923"/>
        <v>02725</v>
      </c>
      <c r="M2726" s="47" t="str">
        <f t="shared" si="924"/>
        <v>06 de febrero de 2020</v>
      </c>
      <c r="N2726" s="323">
        <f t="shared" si="925"/>
        <v>6</v>
      </c>
      <c r="O2726" s="25">
        <f t="shared" si="926"/>
        <v>43862</v>
      </c>
      <c r="P2726" s="5" t="str">
        <f t="shared" si="930"/>
        <v>136.250,00</v>
      </c>
      <c r="Q2726" s="4" t="e">
        <f t="shared" ca="1" si="931"/>
        <v>#NAME?</v>
      </c>
    </row>
    <row r="2727" spans="1:17">
      <c r="A2727" s="1">
        <f t="shared" si="932"/>
        <v>2726</v>
      </c>
      <c r="C2727" s="8" t="s">
        <v>17</v>
      </c>
      <c r="D2727" s="2">
        <v>43867</v>
      </c>
      <c r="E2727" s="3">
        <v>408750</v>
      </c>
      <c r="F2727" t="s">
        <v>612</v>
      </c>
      <c r="G2727" t="s">
        <v>613</v>
      </c>
      <c r="H2727" t="s">
        <v>614</v>
      </c>
      <c r="I2727" s="6" t="s">
        <v>1152</v>
      </c>
      <c r="J2727" s="61" t="s">
        <v>22</v>
      </c>
      <c r="L2727" s="5" t="str">
        <f t="shared" si="923"/>
        <v>02726</v>
      </c>
      <c r="M2727" s="47" t="str">
        <f t="shared" si="924"/>
        <v>06 de febrero de 2020</v>
      </c>
      <c r="N2727" s="323">
        <f t="shared" si="925"/>
        <v>6</v>
      </c>
      <c r="O2727" s="25">
        <f t="shared" si="926"/>
        <v>43862</v>
      </c>
      <c r="P2727" s="5" t="str">
        <f t="shared" si="930"/>
        <v>408.750,00</v>
      </c>
      <c r="Q2727" s="4" t="e">
        <f t="shared" ca="1" si="931"/>
        <v>#NAME?</v>
      </c>
    </row>
    <row r="2728" spans="1:17">
      <c r="A2728" s="1">
        <f t="shared" si="932"/>
        <v>2727</v>
      </c>
      <c r="C2728" s="8" t="s">
        <v>17</v>
      </c>
      <c r="D2728" s="2">
        <v>43867</v>
      </c>
      <c r="E2728" s="3">
        <v>129000</v>
      </c>
      <c r="F2728" t="s">
        <v>443</v>
      </c>
      <c r="G2728" t="s">
        <v>444</v>
      </c>
      <c r="H2728" t="s">
        <v>75</v>
      </c>
      <c r="I2728" s="6" t="s">
        <v>1153</v>
      </c>
      <c r="J2728" s="61" t="s">
        <v>22</v>
      </c>
      <c r="L2728" s="5" t="str">
        <f t="shared" si="923"/>
        <v>02727</v>
      </c>
      <c r="M2728" s="47" t="str">
        <f t="shared" si="924"/>
        <v>06 de febrero de 2020</v>
      </c>
      <c r="N2728" s="323">
        <f t="shared" si="925"/>
        <v>6</v>
      </c>
      <c r="O2728" s="25">
        <f t="shared" si="926"/>
        <v>43862</v>
      </c>
      <c r="P2728" s="5" t="str">
        <f t="shared" si="930"/>
        <v>129.000,00</v>
      </c>
      <c r="Q2728" s="4" t="e">
        <f t="shared" ca="1" si="931"/>
        <v>#NAME?</v>
      </c>
    </row>
    <row r="2729" spans="1:17">
      <c r="A2729" s="1">
        <f>A2728+1</f>
        <v>2728</v>
      </c>
      <c r="C2729" s="8" t="s">
        <v>17</v>
      </c>
      <c r="D2729" s="2">
        <v>43867</v>
      </c>
      <c r="E2729" s="3">
        <v>136250</v>
      </c>
      <c r="F2729" t="s">
        <v>239</v>
      </c>
      <c r="G2729" s="73" t="s">
        <v>240</v>
      </c>
      <c r="H2729" t="s">
        <v>241</v>
      </c>
      <c r="I2729" s="6" t="s">
        <v>1142</v>
      </c>
      <c r="J2729" s="61" t="s">
        <v>22</v>
      </c>
      <c r="L2729" s="5" t="str">
        <f t="shared" si="923"/>
        <v>02728</v>
      </c>
      <c r="M2729" s="47" t="str">
        <f t="shared" si="924"/>
        <v>06 de febrero de 2020</v>
      </c>
      <c r="N2729" s="323">
        <f t="shared" si="925"/>
        <v>6</v>
      </c>
      <c r="O2729" s="25">
        <f t="shared" si="926"/>
        <v>43862</v>
      </c>
      <c r="P2729" s="5" t="str">
        <f t="shared" si="930"/>
        <v>136.250,00</v>
      </c>
      <c r="Q2729" s="4" t="e">
        <f t="shared" ca="1" si="931"/>
        <v>#NAME?</v>
      </c>
    </row>
    <row r="2730" spans="1:17">
      <c r="A2730" s="1">
        <f t="shared" ref="A2730:A2732" si="933">A2729+1</f>
        <v>2729</v>
      </c>
      <c r="C2730" s="8" t="s">
        <v>17</v>
      </c>
      <c r="D2730" s="2">
        <v>43867</v>
      </c>
      <c r="E2730" s="597">
        <f>73400*2+36000</f>
        <v>182800</v>
      </c>
      <c r="F2730" t="s">
        <v>291</v>
      </c>
      <c r="G2730" t="s">
        <v>292</v>
      </c>
      <c r="H2730" t="s">
        <v>293</v>
      </c>
      <c r="I2730" s="161" t="s">
        <v>1132</v>
      </c>
      <c r="J2730" s="61" t="s">
        <v>22</v>
      </c>
      <c r="L2730" s="5" t="str">
        <f t="shared" si="923"/>
        <v>02729</v>
      </c>
      <c r="M2730" s="47" t="str">
        <f t="shared" si="924"/>
        <v>06 de febrero de 2020</v>
      </c>
      <c r="N2730" s="323">
        <f t="shared" si="925"/>
        <v>6</v>
      </c>
      <c r="O2730" s="25">
        <f t="shared" si="926"/>
        <v>43862</v>
      </c>
      <c r="P2730" s="5" t="str">
        <f t="shared" si="930"/>
        <v>182.800,00</v>
      </c>
      <c r="Q2730" s="4" t="e">
        <f t="shared" ca="1" si="931"/>
        <v>#NAME?</v>
      </c>
    </row>
    <row r="2731" spans="1:17">
      <c r="A2731" s="1">
        <f t="shared" si="933"/>
        <v>2730</v>
      </c>
      <c r="B2731" s="8"/>
      <c r="C2731" s="85" t="s">
        <v>17</v>
      </c>
      <c r="D2731" s="2">
        <v>43867</v>
      </c>
      <c r="E2731" s="162">
        <v>136250</v>
      </c>
      <c r="F2731" t="s">
        <v>492</v>
      </c>
      <c r="G2731" s="18" t="s">
        <v>58</v>
      </c>
      <c r="H2731" t="s">
        <v>493</v>
      </c>
      <c r="I2731" s="6" t="s">
        <v>1142</v>
      </c>
      <c r="J2731" s="61" t="s">
        <v>22</v>
      </c>
      <c r="L2731" s="5" t="str">
        <f t="shared" si="923"/>
        <v>02730</v>
      </c>
      <c r="M2731" s="47" t="str">
        <f t="shared" si="924"/>
        <v>06 de febrero de 2020</v>
      </c>
      <c r="N2731" s="323">
        <f t="shared" si="925"/>
        <v>6</v>
      </c>
      <c r="O2731" s="25">
        <f t="shared" si="926"/>
        <v>43862</v>
      </c>
      <c r="P2731" s="5" t="str">
        <f t="shared" si="930"/>
        <v>136.250,00</v>
      </c>
      <c r="Q2731" s="4" t="e">
        <f t="shared" ca="1" si="931"/>
        <v>#NAME?</v>
      </c>
    </row>
    <row r="2732" spans="1:17">
      <c r="A2732" s="1">
        <f t="shared" si="933"/>
        <v>2731</v>
      </c>
      <c r="C2732" s="8" t="s">
        <v>17</v>
      </c>
      <c r="D2732" s="2">
        <v>43867</v>
      </c>
      <c r="E2732" s="3">
        <v>136250</v>
      </c>
      <c r="F2732" t="s">
        <v>62</v>
      </c>
      <c r="G2732" t="s">
        <v>63</v>
      </c>
      <c r="H2732" t="s">
        <v>64</v>
      </c>
      <c r="I2732" s="6" t="s">
        <v>1142</v>
      </c>
      <c r="J2732" s="61" t="s">
        <v>22</v>
      </c>
      <c r="L2732" s="5" t="str">
        <f t="shared" si="923"/>
        <v>02731</v>
      </c>
      <c r="M2732" s="47" t="str">
        <f t="shared" si="924"/>
        <v>06 de febrero de 2020</v>
      </c>
      <c r="N2732" s="323">
        <f t="shared" si="925"/>
        <v>6</v>
      </c>
      <c r="O2732" s="25">
        <f t="shared" si="926"/>
        <v>43862</v>
      </c>
      <c r="P2732" s="5" t="str">
        <f t="shared" si="930"/>
        <v>136.250,00</v>
      </c>
      <c r="Q2732" s="4" t="e">
        <f t="shared" ca="1" si="931"/>
        <v>#NAME?</v>
      </c>
    </row>
    <row r="2733" spans="1:17">
      <c r="A2733" s="1">
        <f>A2732+1</f>
        <v>2732</v>
      </c>
      <c r="C2733" s="8" t="s">
        <v>17</v>
      </c>
      <c r="D2733" s="2">
        <v>43867</v>
      </c>
      <c r="E2733" s="3">
        <v>300000</v>
      </c>
      <c r="F2733" t="s">
        <v>66</v>
      </c>
      <c r="G2733" t="s">
        <v>67</v>
      </c>
      <c r="H2733" t="s">
        <v>68</v>
      </c>
      <c r="I2733" s="6" t="s">
        <v>1154</v>
      </c>
      <c r="J2733" s="61" t="s">
        <v>22</v>
      </c>
      <c r="L2733" s="5" t="str">
        <f t="shared" si="923"/>
        <v>02732</v>
      </c>
      <c r="M2733" s="47" t="str">
        <f t="shared" si="924"/>
        <v>06 de febrero de 2020</v>
      </c>
      <c r="N2733" s="323">
        <f t="shared" si="925"/>
        <v>6</v>
      </c>
      <c r="O2733" s="25">
        <f t="shared" si="926"/>
        <v>43862</v>
      </c>
      <c r="P2733" s="5" t="str">
        <f t="shared" si="930"/>
        <v>300.000,00</v>
      </c>
      <c r="Q2733" s="4" t="e">
        <f t="shared" ca="1" si="931"/>
        <v>#NAME?</v>
      </c>
    </row>
    <row r="2734" spans="1:17">
      <c r="A2734" s="1">
        <f t="shared" ref="A2734" si="934">A2733+1</f>
        <v>2733</v>
      </c>
      <c r="B2734" s="8"/>
      <c r="C2734" s="85" t="s">
        <v>17</v>
      </c>
      <c r="D2734" s="2">
        <v>43868</v>
      </c>
      <c r="E2734" s="3">
        <v>197575</v>
      </c>
      <c r="F2734" s="23" t="s">
        <v>422</v>
      </c>
      <c r="G2734" s="18" t="s">
        <v>58</v>
      </c>
      <c r="H2734" t="s">
        <v>423</v>
      </c>
      <c r="I2734" s="6" t="s">
        <v>1142</v>
      </c>
      <c r="J2734" s="61" t="s">
        <v>22</v>
      </c>
      <c r="L2734" s="5" t="str">
        <f t="shared" si="923"/>
        <v>02733</v>
      </c>
      <c r="M2734" s="47" t="str">
        <f t="shared" si="924"/>
        <v>07 de febrero de 2020</v>
      </c>
      <c r="N2734" s="323">
        <f t="shared" si="925"/>
        <v>7</v>
      </c>
      <c r="O2734" s="25">
        <f t="shared" si="926"/>
        <v>43862</v>
      </c>
      <c r="P2734" s="5" t="str">
        <f t="shared" si="930"/>
        <v>197.575,00</v>
      </c>
      <c r="Q2734" s="4" t="e">
        <f t="shared" ca="1" si="931"/>
        <v>#NAME?</v>
      </c>
    </row>
    <row r="2735" spans="1:17">
      <c r="A2735" s="1">
        <f>A2734+1</f>
        <v>2734</v>
      </c>
      <c r="B2735" s="8"/>
      <c r="C2735" s="8" t="s">
        <v>17</v>
      </c>
      <c r="D2735" s="2">
        <v>43868</v>
      </c>
      <c r="E2735" s="3">
        <v>80000</v>
      </c>
      <c r="F2735" t="s">
        <v>28</v>
      </c>
      <c r="G2735" t="s">
        <v>716</v>
      </c>
      <c r="H2735" t="s">
        <v>30</v>
      </c>
      <c r="I2735" s="6" t="s">
        <v>1146</v>
      </c>
      <c r="J2735" s="61" t="s">
        <v>22</v>
      </c>
      <c r="L2735" s="5" t="str">
        <f t="shared" si="923"/>
        <v>02734</v>
      </c>
      <c r="M2735" s="47" t="str">
        <f t="shared" si="924"/>
        <v>07 de febrero de 2020</v>
      </c>
      <c r="N2735" s="323">
        <f t="shared" si="925"/>
        <v>7</v>
      </c>
      <c r="O2735" s="25">
        <f t="shared" si="926"/>
        <v>43862</v>
      </c>
      <c r="P2735" s="5" t="str">
        <f t="shared" si="930"/>
        <v>80.000,00</v>
      </c>
      <c r="Q2735" s="4" t="e">
        <f t="shared" ca="1" si="931"/>
        <v>#NAME?</v>
      </c>
    </row>
    <row r="2736" spans="1:17">
      <c r="A2736" s="1">
        <f t="shared" ref="A2736" si="935">A2735+1</f>
        <v>2735</v>
      </c>
      <c r="C2736" s="8" t="s">
        <v>17</v>
      </c>
      <c r="D2736" s="2">
        <v>43868</v>
      </c>
      <c r="E2736" s="3">
        <v>210000</v>
      </c>
      <c r="F2736" t="s">
        <v>107</v>
      </c>
      <c r="G2736" t="s">
        <v>108</v>
      </c>
      <c r="H2736" t="s">
        <v>109</v>
      </c>
      <c r="I2736" s="6" t="s">
        <v>1142</v>
      </c>
      <c r="J2736" s="61" t="s">
        <v>22</v>
      </c>
      <c r="L2736" s="5" t="str">
        <f t="shared" si="923"/>
        <v>02735</v>
      </c>
      <c r="M2736" s="47" t="str">
        <f t="shared" si="924"/>
        <v>07 de febrero de 2020</v>
      </c>
      <c r="N2736" s="323">
        <f t="shared" si="925"/>
        <v>7</v>
      </c>
      <c r="O2736" s="25">
        <f t="shared" si="926"/>
        <v>43862</v>
      </c>
      <c r="P2736" s="5" t="str">
        <f t="shared" si="930"/>
        <v>210.000,00</v>
      </c>
      <c r="Q2736" s="4" t="e">
        <f t="shared" ca="1" si="931"/>
        <v>#NAME?</v>
      </c>
    </row>
    <row r="2737" spans="1:17">
      <c r="A2737" s="1">
        <f>A2736+1</f>
        <v>2736</v>
      </c>
      <c r="C2737" s="8" t="s">
        <v>17</v>
      </c>
      <c r="D2737" s="2">
        <v>43868</v>
      </c>
      <c r="E2737" s="3">
        <f>122550+13700</f>
        <v>136250</v>
      </c>
      <c r="F2737" t="s">
        <v>284</v>
      </c>
      <c r="G2737" t="s">
        <v>687</v>
      </c>
      <c r="H2737" t="s">
        <v>285</v>
      </c>
      <c r="I2737" s="6" t="s">
        <v>1121</v>
      </c>
      <c r="J2737" s="61" t="s">
        <v>22</v>
      </c>
      <c r="L2737" s="5" t="str">
        <f t="shared" si="923"/>
        <v>02736</v>
      </c>
      <c r="M2737" s="47" t="str">
        <f t="shared" si="924"/>
        <v>07 de febrero de 2020</v>
      </c>
      <c r="N2737" s="323">
        <f t="shared" si="925"/>
        <v>7</v>
      </c>
      <c r="O2737" s="25">
        <f t="shared" si="926"/>
        <v>43862</v>
      </c>
      <c r="P2737" s="5" t="str">
        <f t="shared" si="930"/>
        <v>136.250,00</v>
      </c>
      <c r="Q2737" s="4" t="e">
        <f t="shared" ca="1" si="931"/>
        <v>#NAME?</v>
      </c>
    </row>
    <row r="2738" spans="1:17">
      <c r="A2738" s="1">
        <f t="shared" ref="A2738:A2739" si="936">A2737+1</f>
        <v>2737</v>
      </c>
      <c r="B2738" s="8"/>
      <c r="C2738" s="8" t="s">
        <v>17</v>
      </c>
      <c r="D2738" s="2">
        <v>43869</v>
      </c>
      <c r="E2738" s="3">
        <v>140000</v>
      </c>
      <c r="F2738" t="s">
        <v>44</v>
      </c>
      <c r="G2738" t="s">
        <v>45</v>
      </c>
      <c r="H2738" t="s">
        <v>46</v>
      </c>
      <c r="I2738" s="6" t="s">
        <v>1142</v>
      </c>
      <c r="J2738" s="61" t="s">
        <v>22</v>
      </c>
      <c r="L2738" s="5" t="str">
        <f>IF(ISBLANK(A2738),"",TEXT(A2738,"00000"))</f>
        <v>02737</v>
      </c>
      <c r="M2738" s="47" t="str">
        <f>IF(ISBLANK(D2738),"",TEXT(D2738,"dd")&amp;" de "&amp;TEXT(D2738,"mmmm")&amp;" de "&amp;TEXT(YEAR(D2738),"0"))</f>
        <v>08 de febrero de 2020</v>
      </c>
      <c r="N2738" s="323">
        <f t="shared" si="925"/>
        <v>8</v>
      </c>
      <c r="O2738" s="25">
        <f>DATE(YEAR(D2738),MONTH(D2738),1)</f>
        <v>43862</v>
      </c>
      <c r="P2738" s="5" t="str">
        <f t="shared" si="930"/>
        <v>140.000,00</v>
      </c>
      <c r="Q2738" s="4" t="e">
        <f t="shared" ca="1" si="931"/>
        <v>#NAME?</v>
      </c>
    </row>
    <row r="2739" spans="1:17">
      <c r="A2739" s="1">
        <f t="shared" si="936"/>
        <v>2738</v>
      </c>
      <c r="C2739" s="8" t="s">
        <v>17</v>
      </c>
      <c r="D2739" s="2">
        <v>43869</v>
      </c>
      <c r="E2739" s="3">
        <v>136250</v>
      </c>
      <c r="F2739" t="s">
        <v>103</v>
      </c>
      <c r="G2739" s="599" t="s">
        <v>1047</v>
      </c>
      <c r="H2739" t="s">
        <v>105</v>
      </c>
      <c r="I2739" s="6" t="s">
        <v>1142</v>
      </c>
      <c r="J2739" s="61" t="s">
        <v>22</v>
      </c>
      <c r="L2739" s="5" t="str">
        <f t="shared" ref="L2739:L2752" si="937">IF(ISBLANK(A2739),"",TEXT(A2739,"00000"))</f>
        <v>02738</v>
      </c>
      <c r="M2739" s="47" t="str">
        <f t="shared" ref="M2739:M2752" si="938">IF(ISBLANK(D2739),"",TEXT(D2739,"dd")&amp;" de "&amp;TEXT(D2739,"mmmm")&amp;" de "&amp;TEXT(YEAR(D2739),"0"))</f>
        <v>08 de febrero de 2020</v>
      </c>
      <c r="N2739" s="323">
        <f t="shared" si="925"/>
        <v>8</v>
      </c>
      <c r="O2739" s="25">
        <f t="shared" ref="O2739:O2752" si="939">DATE(YEAR(D2739),MONTH(D2739),1)</f>
        <v>43862</v>
      </c>
      <c r="P2739" s="5" t="str">
        <f t="shared" si="930"/>
        <v>136.250,00</v>
      </c>
      <c r="Q2739" s="4" t="e">
        <f t="shared" ca="1" si="931"/>
        <v>#NAME?</v>
      </c>
    </row>
    <row r="2740" spans="1:17">
      <c r="A2740" s="1">
        <f>A2739+1</f>
        <v>2739</v>
      </c>
      <c r="C2740" s="8" t="s">
        <v>17</v>
      </c>
      <c r="D2740" s="2">
        <v>43869</v>
      </c>
      <c r="E2740" s="3">
        <v>140000</v>
      </c>
      <c r="F2740" t="s">
        <v>558</v>
      </c>
      <c r="G2740" t="s">
        <v>559</v>
      </c>
      <c r="H2740" t="s">
        <v>560</v>
      </c>
      <c r="I2740" s="6" t="s">
        <v>1142</v>
      </c>
      <c r="J2740" s="61" t="s">
        <v>22</v>
      </c>
      <c r="L2740" s="5" t="str">
        <f t="shared" si="937"/>
        <v>02739</v>
      </c>
      <c r="M2740" s="47" t="str">
        <f t="shared" si="938"/>
        <v>08 de febrero de 2020</v>
      </c>
      <c r="N2740" s="323">
        <f t="shared" si="925"/>
        <v>8</v>
      </c>
      <c r="O2740" s="25">
        <f t="shared" si="939"/>
        <v>43862</v>
      </c>
      <c r="P2740" s="5" t="str">
        <f t="shared" si="930"/>
        <v>140.000,00</v>
      </c>
      <c r="Q2740" s="4" t="e">
        <f t="shared" ca="1" si="931"/>
        <v>#NAME?</v>
      </c>
    </row>
    <row r="2741" spans="1:17">
      <c r="A2741" s="1">
        <f>A2740+1</f>
        <v>2740</v>
      </c>
      <c r="B2741" s="8"/>
      <c r="C2741" s="85" t="s">
        <v>17</v>
      </c>
      <c r="D2741" s="2">
        <v>43869</v>
      </c>
      <c r="E2741" s="3">
        <v>136250</v>
      </c>
      <c r="F2741" t="s">
        <v>259</v>
      </c>
      <c r="G2741" s="18" t="s">
        <v>58</v>
      </c>
      <c r="H2741" t="s">
        <v>261</v>
      </c>
      <c r="I2741" s="6" t="s">
        <v>1121</v>
      </c>
      <c r="J2741" s="61" t="s">
        <v>22</v>
      </c>
      <c r="L2741" s="5" t="str">
        <f t="shared" si="937"/>
        <v>02740</v>
      </c>
      <c r="M2741" s="47" t="str">
        <f t="shared" si="938"/>
        <v>08 de febrero de 2020</v>
      </c>
      <c r="N2741" s="323">
        <f t="shared" si="925"/>
        <v>8</v>
      </c>
      <c r="O2741" s="25">
        <f t="shared" si="939"/>
        <v>43862</v>
      </c>
      <c r="P2741" s="5" t="str">
        <f t="shared" si="930"/>
        <v>136.250,00</v>
      </c>
      <c r="Q2741" s="4" t="e">
        <f t="shared" ca="1" si="931"/>
        <v>#NAME?</v>
      </c>
    </row>
    <row r="2742" spans="1:17">
      <c r="A2742" s="1">
        <f t="shared" ref="A2742" si="940">A2741+1</f>
        <v>2741</v>
      </c>
      <c r="B2742" s="8"/>
      <c r="C2742" s="8" t="s">
        <v>17</v>
      </c>
      <c r="D2742" s="2">
        <v>43871</v>
      </c>
      <c r="E2742" s="3">
        <v>136250</v>
      </c>
      <c r="F2742" t="s">
        <v>342</v>
      </c>
      <c r="G2742" t="s">
        <v>1036</v>
      </c>
      <c r="H2742" t="s">
        <v>344</v>
      </c>
      <c r="I2742" s="6" t="s">
        <v>1142</v>
      </c>
      <c r="J2742" s="61" t="s">
        <v>22</v>
      </c>
      <c r="L2742" s="5" t="str">
        <f t="shared" si="937"/>
        <v>02741</v>
      </c>
      <c r="M2742" s="47" t="str">
        <f t="shared" si="938"/>
        <v>10 de febrero de 2020</v>
      </c>
      <c r="N2742" s="323">
        <f t="shared" si="925"/>
        <v>10</v>
      </c>
      <c r="O2742" s="25">
        <f t="shared" si="939"/>
        <v>43862</v>
      </c>
      <c r="P2742" s="5" t="str">
        <f t="shared" si="930"/>
        <v>136.250,00</v>
      </c>
      <c r="Q2742" s="4" t="e">
        <f t="shared" ca="1" si="931"/>
        <v>#NAME?</v>
      </c>
    </row>
    <row r="2743" spans="1:17">
      <c r="A2743" s="1">
        <f>A2742+1</f>
        <v>2742</v>
      </c>
      <c r="B2743" s="8"/>
      <c r="C2743" s="8" t="s">
        <v>17</v>
      </c>
      <c r="D2743" s="2">
        <v>43872</v>
      </c>
      <c r="E2743" s="597">
        <f>1*73500+50000+5000</f>
        <v>128500</v>
      </c>
      <c r="F2743" t="s">
        <v>126</v>
      </c>
      <c r="G2743" t="s">
        <v>127</v>
      </c>
      <c r="H2743" t="s">
        <v>128</v>
      </c>
      <c r="I2743" s="6" t="s">
        <v>1153</v>
      </c>
      <c r="J2743" s="61" t="s">
        <v>22</v>
      </c>
      <c r="L2743" s="5" t="str">
        <f t="shared" si="937"/>
        <v>02742</v>
      </c>
      <c r="M2743" s="47" t="str">
        <f t="shared" si="938"/>
        <v>11 de febrero de 2020</v>
      </c>
      <c r="N2743" s="323">
        <f t="shared" si="925"/>
        <v>11</v>
      </c>
      <c r="O2743" s="25">
        <f t="shared" si="939"/>
        <v>43862</v>
      </c>
      <c r="P2743" s="5" t="str">
        <f t="shared" si="930"/>
        <v>128.500,00</v>
      </c>
      <c r="Q2743" s="4" t="e">
        <f t="shared" ca="1" si="931"/>
        <v>#NAME?</v>
      </c>
    </row>
    <row r="2744" spans="1:17">
      <c r="A2744" s="1">
        <f t="shared" ref="A2744" si="941">A2743+1</f>
        <v>2743</v>
      </c>
      <c r="C2744" s="85" t="s">
        <v>17</v>
      </c>
      <c r="D2744" s="2">
        <v>43871</v>
      </c>
      <c r="E2744" s="3">
        <v>136250</v>
      </c>
      <c r="F2744" t="s">
        <v>40</v>
      </c>
      <c r="G2744" s="18" t="s">
        <v>58</v>
      </c>
      <c r="H2744" t="s">
        <v>42</v>
      </c>
      <c r="I2744" s="6" t="s">
        <v>1142</v>
      </c>
      <c r="J2744" s="61" t="s">
        <v>22</v>
      </c>
      <c r="L2744" s="5" t="str">
        <f t="shared" si="937"/>
        <v>02743</v>
      </c>
      <c r="M2744" s="47" t="str">
        <f t="shared" si="938"/>
        <v>10 de febrero de 2020</v>
      </c>
      <c r="N2744" s="323">
        <f t="shared" si="925"/>
        <v>10</v>
      </c>
      <c r="O2744" s="25">
        <f t="shared" si="939"/>
        <v>43862</v>
      </c>
      <c r="P2744" s="5" t="str">
        <f t="shared" si="930"/>
        <v>136.250,00</v>
      </c>
      <c r="Q2744" s="4" t="e">
        <f t="shared" ca="1" si="931"/>
        <v>#NAME?</v>
      </c>
    </row>
    <row r="2745" spans="1:17">
      <c r="A2745" s="1">
        <f>A2744+1</f>
        <v>2744</v>
      </c>
      <c r="B2745" s="8"/>
      <c r="C2745" s="8" t="s">
        <v>17</v>
      </c>
      <c r="D2745" s="2">
        <v>43872</v>
      </c>
      <c r="E2745" s="3">
        <v>30000</v>
      </c>
      <c r="F2745" t="s">
        <v>433</v>
      </c>
      <c r="G2745" t="s">
        <v>434</v>
      </c>
      <c r="H2745" t="s">
        <v>435</v>
      </c>
      <c r="I2745" s="6" t="s">
        <v>1132</v>
      </c>
      <c r="J2745" s="61" t="s">
        <v>22</v>
      </c>
      <c r="L2745" s="5" t="str">
        <f t="shared" si="937"/>
        <v>02744</v>
      </c>
      <c r="M2745" s="47" t="str">
        <f t="shared" si="938"/>
        <v>11 de febrero de 2020</v>
      </c>
      <c r="N2745" s="323">
        <f t="shared" si="925"/>
        <v>11</v>
      </c>
      <c r="O2745" s="25">
        <f t="shared" si="939"/>
        <v>43862</v>
      </c>
      <c r="P2745" s="5" t="str">
        <f t="shared" si="930"/>
        <v>30.000,00</v>
      </c>
      <c r="Q2745" s="4" t="e">
        <f t="shared" ca="1" si="931"/>
        <v>#NAME?</v>
      </c>
    </row>
    <row r="2746" spans="1:17">
      <c r="A2746" s="1">
        <f t="shared" ref="A2746" si="942">A2745+1</f>
        <v>2745</v>
      </c>
      <c r="B2746" s="8"/>
      <c r="C2746" s="85" t="s">
        <v>17</v>
      </c>
      <c r="D2746" s="2">
        <v>43872</v>
      </c>
      <c r="E2746" s="3">
        <v>136250</v>
      </c>
      <c r="F2746" t="s">
        <v>319</v>
      </c>
      <c r="G2746" s="18" t="s">
        <v>58</v>
      </c>
      <c r="H2746" t="s">
        <v>320</v>
      </c>
      <c r="I2746" s="6" t="s">
        <v>1142</v>
      </c>
      <c r="J2746" s="61" t="s">
        <v>22</v>
      </c>
      <c r="L2746" s="5" t="str">
        <f t="shared" si="937"/>
        <v>02745</v>
      </c>
      <c r="M2746" s="47" t="str">
        <f t="shared" si="938"/>
        <v>11 de febrero de 2020</v>
      </c>
      <c r="N2746" s="323">
        <f t="shared" si="925"/>
        <v>11</v>
      </c>
      <c r="O2746" s="25">
        <f t="shared" si="939"/>
        <v>43862</v>
      </c>
      <c r="P2746" s="5" t="str">
        <f t="shared" si="930"/>
        <v>136.250,00</v>
      </c>
      <c r="Q2746" s="4" t="e">
        <f t="shared" ca="1" si="931"/>
        <v>#NAME?</v>
      </c>
    </row>
    <row r="2747" spans="1:17">
      <c r="A2747" s="656">
        <f>A2746+1</f>
        <v>2746</v>
      </c>
      <c r="B2747" s="8"/>
      <c r="C2747" s="8" t="s">
        <v>17</v>
      </c>
      <c r="D2747" s="2">
        <v>43872</v>
      </c>
      <c r="E2747" s="3">
        <v>136250</v>
      </c>
      <c r="F2747" t="s">
        <v>454</v>
      </c>
      <c r="G2747" t="s">
        <v>761</v>
      </c>
      <c r="H2747" t="s">
        <v>455</v>
      </c>
      <c r="I2747" s="6" t="s">
        <v>1142</v>
      </c>
      <c r="J2747" s="61" t="s">
        <v>22</v>
      </c>
      <c r="L2747" s="5" t="str">
        <f t="shared" si="937"/>
        <v>02746</v>
      </c>
      <c r="M2747" s="47" t="str">
        <f t="shared" si="938"/>
        <v>11 de febrero de 2020</v>
      </c>
      <c r="N2747" s="323">
        <f t="shared" si="925"/>
        <v>11</v>
      </c>
      <c r="O2747" s="25">
        <f t="shared" si="939"/>
        <v>43862</v>
      </c>
      <c r="P2747" s="5" t="str">
        <f t="shared" si="930"/>
        <v>136.250,00</v>
      </c>
      <c r="Q2747" s="4" t="e">
        <f t="shared" ca="1" si="931"/>
        <v>#NAME?</v>
      </c>
    </row>
    <row r="2748" spans="1:17">
      <c r="A2748" s="1">
        <f>A2747+1</f>
        <v>2747</v>
      </c>
      <c r="B2748" s="8"/>
      <c r="C2748" s="8" t="s">
        <v>17</v>
      </c>
      <c r="D2748" s="2">
        <v>43874</v>
      </c>
      <c r="E2748" s="3">
        <v>136250</v>
      </c>
      <c r="F2748" t="s">
        <v>1138</v>
      </c>
      <c r="G2748" t="s">
        <v>1139</v>
      </c>
      <c r="H2748" t="s">
        <v>1115</v>
      </c>
      <c r="I2748" s="6" t="s">
        <v>1142</v>
      </c>
      <c r="J2748" s="61" t="s">
        <v>22</v>
      </c>
      <c r="L2748" s="5" t="str">
        <f t="shared" si="937"/>
        <v>02747</v>
      </c>
      <c r="M2748" s="47" t="str">
        <f t="shared" si="938"/>
        <v>13 de febrero de 2020</v>
      </c>
      <c r="N2748" s="323">
        <f t="shared" si="925"/>
        <v>13</v>
      </c>
      <c r="O2748" s="25">
        <f t="shared" si="939"/>
        <v>43862</v>
      </c>
      <c r="P2748" s="5" t="str">
        <f t="shared" si="930"/>
        <v>136.250,00</v>
      </c>
      <c r="Q2748" s="4" t="e">
        <f t="shared" ref="Q2748:Q2752" ca="1" si="943">CONVERTIRNUM(E2748)</f>
        <v>#NAME?</v>
      </c>
    </row>
    <row r="2749" spans="1:17">
      <c r="A2749" s="1">
        <f>A2748+1</f>
        <v>2748</v>
      </c>
      <c r="B2749" s="8"/>
      <c r="C2749" s="8" t="s">
        <v>17</v>
      </c>
      <c r="D2749" s="2">
        <v>43874</v>
      </c>
      <c r="E2749" s="3">
        <v>136250</v>
      </c>
      <c r="F2749" t="s">
        <v>337</v>
      </c>
      <c r="G2749" t="s">
        <v>338</v>
      </c>
      <c r="H2749" t="s">
        <v>339</v>
      </c>
      <c r="I2749" s="6" t="s">
        <v>1142</v>
      </c>
      <c r="J2749" s="61" t="s">
        <v>22</v>
      </c>
      <c r="L2749" s="5" t="str">
        <f t="shared" si="937"/>
        <v>02748</v>
      </c>
      <c r="M2749" s="47" t="str">
        <f t="shared" si="938"/>
        <v>13 de febrero de 2020</v>
      </c>
      <c r="N2749" s="323">
        <f t="shared" si="925"/>
        <v>13</v>
      </c>
      <c r="O2749" s="25">
        <f t="shared" si="939"/>
        <v>43862</v>
      </c>
      <c r="P2749" s="5" t="str">
        <f t="shared" si="930"/>
        <v>136.250,00</v>
      </c>
      <c r="Q2749" s="4" t="e">
        <f t="shared" ca="1" si="943"/>
        <v>#NAME?</v>
      </c>
    </row>
    <row r="2750" spans="1:17">
      <c r="A2750" s="1">
        <f>A2749+1</f>
        <v>2749</v>
      </c>
      <c r="B2750" s="8"/>
      <c r="C2750" s="8" t="s">
        <v>17</v>
      </c>
      <c r="D2750" s="2">
        <v>43874</v>
      </c>
      <c r="E2750" s="3">
        <v>136250</v>
      </c>
      <c r="F2750" t="s">
        <v>947</v>
      </c>
      <c r="G2750" t="s">
        <v>948</v>
      </c>
      <c r="H2750" t="s">
        <v>949</v>
      </c>
      <c r="I2750" s="6" t="s">
        <v>1142</v>
      </c>
      <c r="J2750" s="61" t="s">
        <v>22</v>
      </c>
      <c r="L2750" s="5" t="str">
        <f t="shared" si="937"/>
        <v>02749</v>
      </c>
      <c r="M2750" s="47" t="str">
        <f t="shared" si="938"/>
        <v>13 de febrero de 2020</v>
      </c>
      <c r="N2750" s="323">
        <f t="shared" si="925"/>
        <v>13</v>
      </c>
      <c r="O2750" s="25">
        <f t="shared" si="939"/>
        <v>43862</v>
      </c>
      <c r="P2750" s="5" t="str">
        <f t="shared" si="930"/>
        <v>136.250,00</v>
      </c>
      <c r="Q2750" s="4" t="e">
        <f t="shared" ca="1" si="943"/>
        <v>#NAME?</v>
      </c>
    </row>
    <row r="2751" spans="1:17">
      <c r="A2751" s="1">
        <f>A2750+1</f>
        <v>2750</v>
      </c>
      <c r="B2751" s="8"/>
      <c r="C2751" s="8" t="s">
        <v>17</v>
      </c>
      <c r="D2751" s="2">
        <v>43876</v>
      </c>
      <c r="E2751" s="3">
        <v>175000</v>
      </c>
      <c r="F2751" t="s">
        <v>998</v>
      </c>
      <c r="G2751" t="s">
        <v>999</v>
      </c>
      <c r="H2751" t="s">
        <v>1000</v>
      </c>
      <c r="I2751" s="6" t="s">
        <v>1155</v>
      </c>
      <c r="J2751" s="61" t="s">
        <v>22</v>
      </c>
      <c r="L2751" s="5" t="str">
        <f t="shared" si="937"/>
        <v>02750</v>
      </c>
      <c r="M2751" s="47" t="str">
        <f t="shared" si="938"/>
        <v>15 de febrero de 2020</v>
      </c>
      <c r="N2751" s="323">
        <f t="shared" si="925"/>
        <v>15</v>
      </c>
      <c r="O2751" s="25">
        <f t="shared" si="939"/>
        <v>43862</v>
      </c>
      <c r="P2751" s="5" t="str">
        <f t="shared" si="930"/>
        <v>175.000,00</v>
      </c>
      <c r="Q2751" s="4" t="e">
        <f t="shared" ca="1" si="943"/>
        <v>#NAME?</v>
      </c>
    </row>
    <row r="2752" spans="1:17" ht="15.75">
      <c r="A2752" s="1">
        <f>A2751+1</f>
        <v>2751</v>
      </c>
      <c r="B2752" s="8"/>
      <c r="C2752" s="8" t="s">
        <v>17</v>
      </c>
      <c r="D2752" s="2">
        <v>43876</v>
      </c>
      <c r="E2752" s="3">
        <v>136250</v>
      </c>
      <c r="F2752" t="s">
        <v>181</v>
      </c>
      <c r="G2752" t="s">
        <v>182</v>
      </c>
      <c r="H2752" t="s">
        <v>183</v>
      </c>
      <c r="I2752" s="6" t="s">
        <v>1142</v>
      </c>
      <c r="J2752" s="61" t="s">
        <v>22</v>
      </c>
      <c r="L2752" s="5" t="str">
        <f t="shared" si="937"/>
        <v>02751</v>
      </c>
      <c r="M2752" s="47" t="str">
        <f t="shared" si="938"/>
        <v>15 de febrero de 2020</v>
      </c>
      <c r="N2752" s="323">
        <f t="shared" si="925"/>
        <v>15</v>
      </c>
      <c r="O2752" s="25">
        <f t="shared" si="939"/>
        <v>43862</v>
      </c>
      <c r="P2752" s="5" t="str">
        <f t="shared" si="930"/>
        <v>136.250,00</v>
      </c>
      <c r="Q2752" s="4" t="e">
        <f t="shared" ca="1" si="943"/>
        <v>#NAME?</v>
      </c>
    </row>
  </sheetData>
  <autoFilter ref="A1:Q2724" xr:uid="{00000000-0009-0000-0000-000000000000}"/>
  <sortState xmlns:xlrd2="http://schemas.microsoft.com/office/spreadsheetml/2017/richdata2" ref="A2:N204">
    <sortCondition ref="A203"/>
  </sortState>
  <conditionalFormatting sqref="G79">
    <cfRule type="expression" dxfId="825" priority="837" stopIfTrue="1">
      <formula>ISBLANK(G79)</formula>
    </cfRule>
    <cfRule type="expression" dxfId="824" priority="838">
      <formula>IFERROR(FIND("@",G79),-1)&lt;0</formula>
    </cfRule>
  </conditionalFormatting>
  <conditionalFormatting sqref="G179">
    <cfRule type="expression" dxfId="823" priority="835" stopIfTrue="1">
      <formula>ISBLANK(G179)</formula>
    </cfRule>
    <cfRule type="expression" dxfId="822" priority="836">
      <formula>IFERROR(FIND("@",G179),-1)&lt;0</formula>
    </cfRule>
  </conditionalFormatting>
  <conditionalFormatting sqref="G13">
    <cfRule type="expression" dxfId="821" priority="833" stopIfTrue="1">
      <formula>ISBLANK(G13)</formula>
    </cfRule>
    <cfRule type="expression" dxfId="820" priority="834">
      <formula>IFERROR(FIND("@",G13),-1)&lt;0</formula>
    </cfRule>
  </conditionalFormatting>
  <conditionalFormatting sqref="G56">
    <cfRule type="expression" dxfId="819" priority="831" stopIfTrue="1">
      <formula>ISBLANK(G56)</formula>
    </cfRule>
    <cfRule type="expression" dxfId="818" priority="832">
      <formula>IFERROR(FIND("@",G56),-1)&lt;0</formula>
    </cfRule>
  </conditionalFormatting>
  <conditionalFormatting sqref="G139">
    <cfRule type="expression" dxfId="817" priority="829" stopIfTrue="1">
      <formula>ISBLANK(G139)</formula>
    </cfRule>
    <cfRule type="expression" dxfId="816" priority="830">
      <formula>IFERROR(FIND("@",G139),-1)&lt;0</formula>
    </cfRule>
  </conditionalFormatting>
  <conditionalFormatting sqref="G163">
    <cfRule type="expression" dxfId="815" priority="827" stopIfTrue="1">
      <formula>ISBLANK(G163)</formula>
    </cfRule>
    <cfRule type="expression" dxfId="814" priority="828">
      <formula>IFERROR(FIND("@",G163),-1)&lt;0</formula>
    </cfRule>
  </conditionalFormatting>
  <conditionalFormatting sqref="G190">
    <cfRule type="expression" dxfId="813" priority="825" stopIfTrue="1">
      <formula>ISBLANK(G190)</formula>
    </cfRule>
    <cfRule type="expression" dxfId="812" priority="826">
      <formula>IFERROR(FIND("@",G190),-1)&lt;0</formula>
    </cfRule>
  </conditionalFormatting>
  <conditionalFormatting sqref="G191:G192">
    <cfRule type="expression" dxfId="811" priority="823" stopIfTrue="1">
      <formula>ISBLANK(G191)</formula>
    </cfRule>
    <cfRule type="expression" dxfId="810" priority="824">
      <formula>IFERROR(FIND("@",G191),-1)&lt;0</formula>
    </cfRule>
  </conditionalFormatting>
  <conditionalFormatting sqref="G184">
    <cfRule type="expression" dxfId="809" priority="821" stopIfTrue="1">
      <formula>ISBLANK(G184)</formula>
    </cfRule>
    <cfRule type="expression" dxfId="808" priority="822">
      <formula>IFERROR(FIND("@",G184),-1)&lt;0</formula>
    </cfRule>
  </conditionalFormatting>
  <conditionalFormatting sqref="G47">
    <cfRule type="expression" dxfId="807" priority="819" stopIfTrue="1">
      <formula>ISBLANK(G47)</formula>
    </cfRule>
    <cfRule type="expression" dxfId="806" priority="820">
      <formula>IFERROR(FIND("@",G47),-1)&lt;0</formula>
    </cfRule>
  </conditionalFormatting>
  <conditionalFormatting sqref="G93">
    <cfRule type="expression" dxfId="805" priority="817" stopIfTrue="1">
      <formula>ISBLANK(G93)</formula>
    </cfRule>
    <cfRule type="expression" dxfId="804" priority="818">
      <formula>IFERROR(FIND("@",G93),-1)&lt;0</formula>
    </cfRule>
  </conditionalFormatting>
  <conditionalFormatting sqref="G150">
    <cfRule type="expression" dxfId="803" priority="815" stopIfTrue="1">
      <formula>ISBLANK(G150)</formula>
    </cfRule>
    <cfRule type="expression" dxfId="802" priority="816">
      <formula>IFERROR(FIND("@",G150),-1)&lt;0</formula>
    </cfRule>
  </conditionalFormatting>
  <conditionalFormatting sqref="G53">
    <cfRule type="expression" dxfId="801" priority="813" stopIfTrue="1">
      <formula>ISBLANK(G53)</formula>
    </cfRule>
    <cfRule type="expression" dxfId="800" priority="814">
      <formula>IFERROR(FIND("@",G53),-1)&lt;0</formula>
    </cfRule>
  </conditionalFormatting>
  <conditionalFormatting sqref="G86">
    <cfRule type="expression" dxfId="799" priority="811" stopIfTrue="1">
      <formula>ISBLANK(G86)</formula>
    </cfRule>
    <cfRule type="expression" dxfId="798" priority="812">
      <formula>IFERROR(FIND("@",G86),-1)&lt;0</formula>
    </cfRule>
  </conditionalFormatting>
  <conditionalFormatting sqref="G125">
    <cfRule type="expression" dxfId="797" priority="809" stopIfTrue="1">
      <formula>ISBLANK(G125)</formula>
    </cfRule>
    <cfRule type="expression" dxfId="796" priority="810">
      <formula>IFERROR(FIND("@",G125),-1)&lt;0</formula>
    </cfRule>
  </conditionalFormatting>
  <conditionalFormatting sqref="G174">
    <cfRule type="expression" dxfId="795" priority="807" stopIfTrue="1">
      <formula>ISBLANK(G174)</formula>
    </cfRule>
    <cfRule type="expression" dxfId="794" priority="808">
      <formula>IFERROR(FIND("@",G174),-1)&lt;0</formula>
    </cfRule>
  </conditionalFormatting>
  <conditionalFormatting sqref="G117">
    <cfRule type="expression" dxfId="793" priority="805" stopIfTrue="1">
      <formula>ISBLANK(G117)</formula>
    </cfRule>
    <cfRule type="expression" dxfId="792" priority="806">
      <formula>IFERROR(FIND("@",G117),-1)&lt;0</formula>
    </cfRule>
  </conditionalFormatting>
  <conditionalFormatting sqref="G193">
    <cfRule type="expression" dxfId="791" priority="803" stopIfTrue="1">
      <formula>ISBLANK(G193)</formula>
    </cfRule>
    <cfRule type="expression" dxfId="790" priority="804">
      <formula>IFERROR(FIND("@",G193),-1)&lt;0</formula>
    </cfRule>
  </conditionalFormatting>
  <conditionalFormatting sqref="G12">
    <cfRule type="expression" dxfId="789" priority="801" stopIfTrue="1">
      <formula>ISBLANK(G12)</formula>
    </cfRule>
    <cfRule type="expression" dxfId="788" priority="802">
      <formula>IFERROR(FIND("@",G12),-1)&lt;0</formula>
    </cfRule>
  </conditionalFormatting>
  <conditionalFormatting sqref="G66">
    <cfRule type="expression" dxfId="787" priority="799" stopIfTrue="1">
      <formula>ISBLANK(G66)</formula>
    </cfRule>
    <cfRule type="expression" dxfId="786" priority="800">
      <formula>IFERROR(FIND("@",G66),-1)&lt;0</formula>
    </cfRule>
  </conditionalFormatting>
  <conditionalFormatting sqref="G129">
    <cfRule type="expression" dxfId="785" priority="797" stopIfTrue="1">
      <formula>ISBLANK(G129)</formula>
    </cfRule>
    <cfRule type="expression" dxfId="784" priority="798">
      <formula>IFERROR(FIND("@",G129),-1)&lt;0</formula>
    </cfRule>
  </conditionalFormatting>
  <conditionalFormatting sqref="G161">
    <cfRule type="expression" dxfId="783" priority="795" stopIfTrue="1">
      <formula>ISBLANK(G161)</formula>
    </cfRule>
    <cfRule type="expression" dxfId="782" priority="796">
      <formula>IFERROR(FIND("@",G161),-1)&lt;0</formula>
    </cfRule>
  </conditionalFormatting>
  <conditionalFormatting sqref="G67">
    <cfRule type="expression" dxfId="781" priority="793" stopIfTrue="1">
      <formula>ISBLANK(G67)</formula>
    </cfRule>
    <cfRule type="expression" dxfId="780" priority="794">
      <formula>IFERROR(FIND("@",G67),-1)&lt;0</formula>
    </cfRule>
  </conditionalFormatting>
  <conditionalFormatting sqref="G130">
    <cfRule type="expression" dxfId="779" priority="791" stopIfTrue="1">
      <formula>ISBLANK(G130)</formula>
    </cfRule>
    <cfRule type="expression" dxfId="778" priority="792">
      <formula>IFERROR(FIND("@",G130),-1)&lt;0</formula>
    </cfRule>
  </conditionalFormatting>
  <conditionalFormatting sqref="G168">
    <cfRule type="expression" dxfId="777" priority="789" stopIfTrue="1">
      <formula>ISBLANK(G168)</formula>
    </cfRule>
    <cfRule type="expression" dxfId="776" priority="790">
      <formula>IFERROR(FIND("@",G168),-1)&lt;0</formula>
    </cfRule>
  </conditionalFormatting>
  <conditionalFormatting sqref="G199">
    <cfRule type="expression" dxfId="775" priority="787" stopIfTrue="1">
      <formula>ISBLANK(G199)</formula>
    </cfRule>
    <cfRule type="expression" dxfId="774" priority="788">
      <formula>IFERROR(FIND("@",G199),-1)&lt;0</formula>
    </cfRule>
  </conditionalFormatting>
  <conditionalFormatting sqref="G200">
    <cfRule type="expression" dxfId="773" priority="785" stopIfTrue="1">
      <formula>ISBLANK(G200)</formula>
    </cfRule>
    <cfRule type="expression" dxfId="772" priority="786">
      <formula>IFERROR(FIND("@",G200),-1)&lt;0</formula>
    </cfRule>
  </conditionalFormatting>
  <conditionalFormatting sqref="G201">
    <cfRule type="expression" dxfId="771" priority="783" stopIfTrue="1">
      <formula>ISBLANK(G201)</formula>
    </cfRule>
    <cfRule type="expression" dxfId="770" priority="784">
      <formula>IFERROR(FIND("@",G201),-1)&lt;0</formula>
    </cfRule>
  </conditionalFormatting>
  <conditionalFormatting sqref="G89">
    <cfRule type="expression" dxfId="769" priority="781" stopIfTrue="1">
      <formula>ISBLANK(G89)</formula>
    </cfRule>
    <cfRule type="expression" dxfId="768" priority="782">
      <formula>IFERROR(FIND("@",G89),-1)&lt;0</formula>
    </cfRule>
  </conditionalFormatting>
  <conditionalFormatting sqref="G207">
    <cfRule type="expression" dxfId="767" priority="779" stopIfTrue="1">
      <formula>ISBLANK(G207)</formula>
    </cfRule>
    <cfRule type="expression" dxfId="766" priority="780">
      <formula>IFERROR(FIND("@",G207),-1)&lt;0</formula>
    </cfRule>
  </conditionalFormatting>
  <conditionalFormatting sqref="G211">
    <cfRule type="expression" dxfId="765" priority="777" stopIfTrue="1">
      <formula>ISBLANK(G211)</formula>
    </cfRule>
    <cfRule type="expression" dxfId="764" priority="778">
      <formula>IFERROR(FIND("@",G211),-1)&lt;0</formula>
    </cfRule>
  </conditionalFormatting>
  <conditionalFormatting sqref="G212">
    <cfRule type="expression" dxfId="763" priority="775" stopIfTrue="1">
      <formula>ISBLANK(G212)</formula>
    </cfRule>
    <cfRule type="expression" dxfId="762" priority="776">
      <formula>IFERROR(FIND("@",G212),-1)&lt;0</formula>
    </cfRule>
  </conditionalFormatting>
  <conditionalFormatting sqref="G214">
    <cfRule type="expression" dxfId="761" priority="773" stopIfTrue="1">
      <formula>ISBLANK(G214)</formula>
    </cfRule>
    <cfRule type="expression" dxfId="760" priority="774">
      <formula>IFERROR(FIND("@",G214),-1)&lt;0</formula>
    </cfRule>
  </conditionalFormatting>
  <conditionalFormatting sqref="G236">
    <cfRule type="expression" dxfId="759" priority="769" stopIfTrue="1">
      <formula>ISBLANK(G236)</formula>
    </cfRule>
    <cfRule type="expression" dxfId="758" priority="770">
      <formula>IFERROR(FIND("@",G236),-1)&lt;0</formula>
    </cfRule>
  </conditionalFormatting>
  <conditionalFormatting sqref="G243">
    <cfRule type="expression" dxfId="757" priority="767" stopIfTrue="1">
      <formula>ISBLANK(G243)</formula>
    </cfRule>
    <cfRule type="expression" dxfId="756" priority="768">
      <formula>IFERROR(FIND("@",G243),-1)&lt;0</formula>
    </cfRule>
  </conditionalFormatting>
  <conditionalFormatting sqref="G244">
    <cfRule type="expression" dxfId="755" priority="765" stopIfTrue="1">
      <formula>ISBLANK(G244)</formula>
    </cfRule>
    <cfRule type="expression" dxfId="754" priority="766">
      <formula>IFERROR(FIND("@",G244),-1)&lt;0</formula>
    </cfRule>
  </conditionalFormatting>
  <conditionalFormatting sqref="G245">
    <cfRule type="expression" dxfId="753" priority="763" stopIfTrue="1">
      <formula>ISBLANK(G245)</formula>
    </cfRule>
    <cfRule type="expression" dxfId="752" priority="764">
      <formula>IFERROR(FIND("@",G245),-1)&lt;0</formula>
    </cfRule>
  </conditionalFormatting>
  <conditionalFormatting sqref="G284">
    <cfRule type="expression" dxfId="751" priority="761" stopIfTrue="1">
      <formula>ISBLANK(G284)</formula>
    </cfRule>
    <cfRule type="expression" dxfId="750" priority="762">
      <formula>IFERROR(FIND("@",G284),-1)&lt;0</formula>
    </cfRule>
  </conditionalFormatting>
  <conditionalFormatting sqref="G286">
    <cfRule type="expression" dxfId="749" priority="759" stopIfTrue="1">
      <formula>ISBLANK(G286)</formula>
    </cfRule>
    <cfRule type="expression" dxfId="748" priority="760">
      <formula>IFERROR(FIND("@",G286),-1)&lt;0</formula>
    </cfRule>
  </conditionalFormatting>
  <conditionalFormatting sqref="G290">
    <cfRule type="expression" dxfId="747" priority="757" stopIfTrue="1">
      <formula>ISBLANK(G290)</formula>
    </cfRule>
    <cfRule type="expression" dxfId="746" priority="758">
      <formula>IFERROR(FIND("@",G290),-1)&lt;0</formula>
    </cfRule>
  </conditionalFormatting>
  <conditionalFormatting sqref="G297">
    <cfRule type="expression" dxfId="745" priority="755" stopIfTrue="1">
      <formula>ISBLANK(G297)</formula>
    </cfRule>
    <cfRule type="expression" dxfId="744" priority="756">
      <formula>IFERROR(FIND("@",G297),-1)&lt;0</formula>
    </cfRule>
  </conditionalFormatting>
  <conditionalFormatting sqref="G310:G311">
    <cfRule type="expression" dxfId="743" priority="749" stopIfTrue="1">
      <formula>ISBLANK(G310)</formula>
    </cfRule>
    <cfRule type="expression" dxfId="742" priority="750">
      <formula>IFERROR(FIND("@",G310),-1)&lt;0</formula>
    </cfRule>
  </conditionalFormatting>
  <conditionalFormatting sqref="G313">
    <cfRule type="expression" dxfId="741" priority="745" stopIfTrue="1">
      <formula>ISBLANK(G313)</formula>
    </cfRule>
    <cfRule type="expression" dxfId="740" priority="746">
      <formula>IFERROR(FIND("@",G313),-1)&lt;0</formula>
    </cfRule>
  </conditionalFormatting>
  <conditionalFormatting sqref="G332">
    <cfRule type="expression" dxfId="739" priority="741" stopIfTrue="1">
      <formula>ISBLANK(G332)</formula>
    </cfRule>
    <cfRule type="expression" dxfId="738" priority="742">
      <formula>IFERROR(FIND("@",G332),-1)&lt;0</formula>
    </cfRule>
  </conditionalFormatting>
  <conditionalFormatting sqref="G343">
    <cfRule type="expression" dxfId="737" priority="739" stopIfTrue="1">
      <formula>ISBLANK(G343)</formula>
    </cfRule>
    <cfRule type="expression" dxfId="736" priority="740">
      <formula>IFERROR(FIND("@",G343),-1)&lt;0</formula>
    </cfRule>
  </conditionalFormatting>
  <conditionalFormatting sqref="G350">
    <cfRule type="expression" dxfId="735" priority="737" stopIfTrue="1">
      <formula>ISBLANK(G350)</formula>
    </cfRule>
    <cfRule type="expression" dxfId="734" priority="738">
      <formula>IFERROR(FIND("@",G350),-1)&lt;0</formula>
    </cfRule>
  </conditionalFormatting>
  <conditionalFormatting sqref="G351">
    <cfRule type="expression" dxfId="733" priority="735" stopIfTrue="1">
      <formula>ISBLANK(G351)</formula>
    </cfRule>
    <cfRule type="expression" dxfId="732" priority="736">
      <formula>IFERROR(FIND("@",G351),-1)&lt;0</formula>
    </cfRule>
  </conditionalFormatting>
  <conditionalFormatting sqref="G355">
    <cfRule type="expression" dxfId="731" priority="733" stopIfTrue="1">
      <formula>ISBLANK(G355)</formula>
    </cfRule>
    <cfRule type="expression" dxfId="730" priority="734">
      <formula>IFERROR(FIND("@",G355),-1)&lt;0</formula>
    </cfRule>
  </conditionalFormatting>
  <conditionalFormatting sqref="G370">
    <cfRule type="expression" dxfId="729" priority="731" stopIfTrue="1">
      <formula>ISBLANK(G370)</formula>
    </cfRule>
    <cfRule type="expression" dxfId="728" priority="732">
      <formula>IFERROR(FIND("@",G370),-1)&lt;0</formula>
    </cfRule>
  </conditionalFormatting>
  <conditionalFormatting sqref="G408">
    <cfRule type="expression" dxfId="727" priority="729" stopIfTrue="1">
      <formula>ISBLANK(G408)</formula>
    </cfRule>
    <cfRule type="expression" dxfId="726" priority="730">
      <formula>IFERROR(FIND("@",G408),-1)&lt;0</formula>
    </cfRule>
  </conditionalFormatting>
  <conditionalFormatting sqref="G409">
    <cfRule type="expression" dxfId="725" priority="727" stopIfTrue="1">
      <formula>ISBLANK(G409)</formula>
    </cfRule>
    <cfRule type="expression" dxfId="724" priority="728">
      <formula>IFERROR(FIND("@",G409),-1)&lt;0</formula>
    </cfRule>
  </conditionalFormatting>
  <conditionalFormatting sqref="G412">
    <cfRule type="expression" dxfId="723" priority="725" stopIfTrue="1">
      <formula>ISBLANK(G412)</formula>
    </cfRule>
    <cfRule type="expression" dxfId="722" priority="726">
      <formula>IFERROR(FIND("@",G412),-1)&lt;0</formula>
    </cfRule>
  </conditionalFormatting>
  <conditionalFormatting sqref="G419">
    <cfRule type="expression" dxfId="721" priority="723" stopIfTrue="1">
      <formula>ISBLANK(G419)</formula>
    </cfRule>
    <cfRule type="expression" dxfId="720" priority="724">
      <formula>IFERROR(FIND("@",G419),-1)&lt;0</formula>
    </cfRule>
  </conditionalFormatting>
  <conditionalFormatting sqref="G420">
    <cfRule type="expression" dxfId="719" priority="721" stopIfTrue="1">
      <formula>ISBLANK(G420)</formula>
    </cfRule>
    <cfRule type="expression" dxfId="718" priority="722">
      <formula>IFERROR(FIND("@",G420),-1)&lt;0</formula>
    </cfRule>
  </conditionalFormatting>
  <conditionalFormatting sqref="G421">
    <cfRule type="expression" dxfId="717" priority="719" stopIfTrue="1">
      <formula>ISBLANK(G421)</formula>
    </cfRule>
    <cfRule type="expression" dxfId="716" priority="720">
      <formula>IFERROR(FIND("@",G421),-1)&lt;0</formula>
    </cfRule>
  </conditionalFormatting>
  <conditionalFormatting sqref="G449">
    <cfRule type="expression" dxfId="715" priority="715" stopIfTrue="1">
      <formula>ISBLANK(G449)</formula>
    </cfRule>
    <cfRule type="expression" dxfId="714" priority="716">
      <formula>IFERROR(FIND("@",G449),-1)&lt;0</formula>
    </cfRule>
  </conditionalFormatting>
  <conditionalFormatting sqref="G450">
    <cfRule type="expression" dxfId="713" priority="713" stopIfTrue="1">
      <formula>ISBLANK(G450)</formula>
    </cfRule>
    <cfRule type="expression" dxfId="712" priority="714">
      <formula>IFERROR(FIND("@",G450),-1)&lt;0</formula>
    </cfRule>
  </conditionalFormatting>
  <conditionalFormatting sqref="G470">
    <cfRule type="expression" dxfId="711" priority="711" stopIfTrue="1">
      <formula>ISBLANK(G470)</formula>
    </cfRule>
    <cfRule type="expression" dxfId="710" priority="712">
      <formula>IFERROR(FIND("@",G470),-1)&lt;0</formula>
    </cfRule>
  </conditionalFormatting>
  <conditionalFormatting sqref="G477">
    <cfRule type="expression" dxfId="709" priority="709" stopIfTrue="1">
      <formula>ISBLANK(G477)</formula>
    </cfRule>
    <cfRule type="expression" dxfId="708" priority="710">
      <formula>IFERROR(FIND("@",G477),-1)&lt;0</formula>
    </cfRule>
  </conditionalFormatting>
  <conditionalFormatting sqref="G482">
    <cfRule type="expression" dxfId="707" priority="707" stopIfTrue="1">
      <formula>ISBLANK(G482)</formula>
    </cfRule>
    <cfRule type="expression" dxfId="706" priority="708">
      <formula>IFERROR(FIND("@",G482),-1)&lt;0</formula>
    </cfRule>
  </conditionalFormatting>
  <conditionalFormatting sqref="G485">
    <cfRule type="expression" dxfId="705" priority="705" stopIfTrue="1">
      <formula>ISBLANK(G485)</formula>
    </cfRule>
    <cfRule type="expression" dxfId="704" priority="706">
      <formula>IFERROR(FIND("@",G485),-1)&lt;0</formula>
    </cfRule>
  </conditionalFormatting>
  <conditionalFormatting sqref="G487:G488">
    <cfRule type="expression" dxfId="703" priority="703" stopIfTrue="1">
      <formula>ISBLANK(G487)</formula>
    </cfRule>
    <cfRule type="expression" dxfId="702" priority="704">
      <formula>IFERROR(FIND("@",G487),-1)&lt;0</formula>
    </cfRule>
  </conditionalFormatting>
  <conditionalFormatting sqref="G493:G494">
    <cfRule type="expression" dxfId="701" priority="701" stopIfTrue="1">
      <formula>ISBLANK(G493)</formula>
    </cfRule>
    <cfRule type="expression" dxfId="700" priority="702">
      <formula>IFERROR(FIND("@",G493),-1)&lt;0</formula>
    </cfRule>
  </conditionalFormatting>
  <conditionalFormatting sqref="G495">
    <cfRule type="expression" dxfId="699" priority="699" stopIfTrue="1">
      <formula>ISBLANK(G495)</formula>
    </cfRule>
    <cfRule type="expression" dxfId="698" priority="700">
      <formula>IFERROR(FIND("@",G495),-1)&lt;0</formula>
    </cfRule>
  </conditionalFormatting>
  <conditionalFormatting sqref="G496">
    <cfRule type="expression" dxfId="697" priority="695" stopIfTrue="1">
      <formula>ISBLANK(G496)</formula>
    </cfRule>
    <cfRule type="expression" dxfId="696" priority="696">
      <formula>IFERROR(FIND("@",G496),-1)&lt;0</formula>
    </cfRule>
  </conditionalFormatting>
  <conditionalFormatting sqref="G501">
    <cfRule type="expression" dxfId="695" priority="693" stopIfTrue="1">
      <formula>ISBLANK(G501)</formula>
    </cfRule>
    <cfRule type="expression" dxfId="694" priority="694">
      <formula>IFERROR(FIND("@",G501),-1)&lt;0</formula>
    </cfRule>
  </conditionalFormatting>
  <conditionalFormatting sqref="G526">
    <cfRule type="expression" dxfId="693" priority="691" stopIfTrue="1">
      <formula>ISBLANK(G526)</formula>
    </cfRule>
    <cfRule type="expression" dxfId="692" priority="692">
      <formula>IFERROR(FIND("@",G526),-1)&lt;0</formula>
    </cfRule>
  </conditionalFormatting>
  <conditionalFormatting sqref="G534">
    <cfRule type="expression" dxfId="691" priority="689" stopIfTrue="1">
      <formula>ISBLANK(G534)</formula>
    </cfRule>
    <cfRule type="expression" dxfId="690" priority="690">
      <formula>IFERROR(FIND("@",G534),-1)&lt;0</formula>
    </cfRule>
  </conditionalFormatting>
  <conditionalFormatting sqref="G539">
    <cfRule type="expression" dxfId="689" priority="685" stopIfTrue="1">
      <formula>ISBLANK(G539)</formula>
    </cfRule>
    <cfRule type="expression" dxfId="688" priority="686">
      <formula>IFERROR(FIND("@",G539),-1)&lt;0</formula>
    </cfRule>
  </conditionalFormatting>
  <conditionalFormatting sqref="G541">
    <cfRule type="expression" dxfId="687" priority="683" stopIfTrue="1">
      <formula>ISBLANK(G541)</formula>
    </cfRule>
    <cfRule type="expression" dxfId="686" priority="684">
      <formula>IFERROR(FIND("@",G541),-1)&lt;0</formula>
    </cfRule>
  </conditionalFormatting>
  <conditionalFormatting sqref="G542">
    <cfRule type="expression" dxfId="685" priority="681" stopIfTrue="1">
      <formula>ISBLANK(G542)</formula>
    </cfRule>
    <cfRule type="expression" dxfId="684" priority="682">
      <formula>IFERROR(FIND("@",G542),-1)&lt;0</formula>
    </cfRule>
  </conditionalFormatting>
  <conditionalFormatting sqref="G551">
    <cfRule type="expression" dxfId="683" priority="679" stopIfTrue="1">
      <formula>ISBLANK(G551)</formula>
    </cfRule>
    <cfRule type="expression" dxfId="682" priority="680">
      <formula>IFERROR(FIND("@",G551),-1)&lt;0</formula>
    </cfRule>
  </conditionalFormatting>
  <conditionalFormatting sqref="G557">
    <cfRule type="expression" dxfId="681" priority="677" stopIfTrue="1">
      <formula>ISBLANK(G557)</formula>
    </cfRule>
    <cfRule type="expression" dxfId="680" priority="678">
      <formula>IFERROR(FIND("@",G557),-1)&lt;0</formula>
    </cfRule>
  </conditionalFormatting>
  <conditionalFormatting sqref="G562">
    <cfRule type="expression" dxfId="679" priority="675" stopIfTrue="1">
      <formula>ISBLANK(G562)</formula>
    </cfRule>
    <cfRule type="expression" dxfId="678" priority="676">
      <formula>IFERROR(FIND("@",G562),-1)&lt;0</formula>
    </cfRule>
  </conditionalFormatting>
  <conditionalFormatting sqref="G564">
    <cfRule type="expression" dxfId="677" priority="673" stopIfTrue="1">
      <formula>ISBLANK(G564)</formula>
    </cfRule>
    <cfRule type="expression" dxfId="676" priority="674">
      <formula>IFERROR(FIND("@",G564),-1)&lt;0</formula>
    </cfRule>
  </conditionalFormatting>
  <conditionalFormatting sqref="G570">
    <cfRule type="expression" dxfId="675" priority="671" stopIfTrue="1">
      <formula>ISBLANK(G570)</formula>
    </cfRule>
    <cfRule type="expression" dxfId="674" priority="672">
      <formula>IFERROR(FIND("@",G570),-1)&lt;0</formula>
    </cfRule>
  </conditionalFormatting>
  <conditionalFormatting sqref="G586">
    <cfRule type="expression" dxfId="673" priority="669" stopIfTrue="1">
      <formula>ISBLANK(G586)</formula>
    </cfRule>
    <cfRule type="expression" dxfId="672" priority="670">
      <formula>IFERROR(FIND("@",G586),-1)&lt;0</formula>
    </cfRule>
  </conditionalFormatting>
  <conditionalFormatting sqref="G587">
    <cfRule type="expression" dxfId="671" priority="667" stopIfTrue="1">
      <formula>ISBLANK(G587)</formula>
    </cfRule>
    <cfRule type="expression" dxfId="670" priority="668">
      <formula>IFERROR(FIND("@",G587),-1)&lt;0</formula>
    </cfRule>
  </conditionalFormatting>
  <conditionalFormatting sqref="G590">
    <cfRule type="expression" dxfId="669" priority="665" stopIfTrue="1">
      <formula>ISBLANK(G590)</formula>
    </cfRule>
    <cfRule type="expression" dxfId="668" priority="666">
      <formula>IFERROR(FIND("@",G590),-1)&lt;0</formula>
    </cfRule>
  </conditionalFormatting>
  <conditionalFormatting sqref="G591">
    <cfRule type="expression" dxfId="667" priority="663" stopIfTrue="1">
      <formula>ISBLANK(G591)</formula>
    </cfRule>
    <cfRule type="expression" dxfId="666" priority="664">
      <formula>IFERROR(FIND("@",G591),-1)&lt;0</formula>
    </cfRule>
  </conditionalFormatting>
  <conditionalFormatting sqref="G596">
    <cfRule type="expression" dxfId="665" priority="661" stopIfTrue="1">
      <formula>ISBLANK(G596)</formula>
    </cfRule>
    <cfRule type="expression" dxfId="664" priority="662">
      <formula>IFERROR(FIND("@",G596),-1)&lt;0</formula>
    </cfRule>
  </conditionalFormatting>
  <conditionalFormatting sqref="G603">
    <cfRule type="expression" dxfId="663" priority="659" stopIfTrue="1">
      <formula>ISBLANK(G603)</formula>
    </cfRule>
    <cfRule type="expression" dxfId="662" priority="660">
      <formula>IFERROR(FIND("@",G603),-1)&lt;0</formula>
    </cfRule>
  </conditionalFormatting>
  <conditionalFormatting sqref="G613">
    <cfRule type="expression" dxfId="661" priority="657" stopIfTrue="1">
      <formula>ISBLANK(G613)</formula>
    </cfRule>
    <cfRule type="expression" dxfId="660" priority="658">
      <formula>IFERROR(FIND("@",G613),-1)&lt;0</formula>
    </cfRule>
  </conditionalFormatting>
  <conditionalFormatting sqref="G618">
    <cfRule type="expression" dxfId="659" priority="655" stopIfTrue="1">
      <formula>ISBLANK(G618)</formula>
    </cfRule>
    <cfRule type="expression" dxfId="658" priority="656">
      <formula>IFERROR(FIND("@",G618),-1)&lt;0</formula>
    </cfRule>
  </conditionalFormatting>
  <conditionalFormatting sqref="G633">
    <cfRule type="expression" dxfId="657" priority="651" stopIfTrue="1">
      <formula>ISBLANK(G633)</formula>
    </cfRule>
    <cfRule type="expression" dxfId="656" priority="652">
      <formula>IFERROR(FIND("@",G633),-1)&lt;0</formula>
    </cfRule>
  </conditionalFormatting>
  <conditionalFormatting sqref="G637">
    <cfRule type="expression" dxfId="655" priority="649" stopIfTrue="1">
      <formula>ISBLANK(G637)</formula>
    </cfRule>
    <cfRule type="expression" dxfId="654" priority="650">
      <formula>IFERROR(FIND("@",G637),-1)&lt;0</formula>
    </cfRule>
  </conditionalFormatting>
  <conditionalFormatting sqref="G641">
    <cfRule type="expression" dxfId="653" priority="647" stopIfTrue="1">
      <formula>ISBLANK(G641)</formula>
    </cfRule>
    <cfRule type="expression" dxfId="652" priority="648">
      <formula>IFERROR(FIND("@",G641),-1)&lt;0</formula>
    </cfRule>
  </conditionalFormatting>
  <conditionalFormatting sqref="G642">
    <cfRule type="expression" dxfId="651" priority="645" stopIfTrue="1">
      <formula>ISBLANK(G642)</formula>
    </cfRule>
    <cfRule type="expression" dxfId="650" priority="646">
      <formula>IFERROR(FIND("@",G642),-1)&lt;0</formula>
    </cfRule>
  </conditionalFormatting>
  <conditionalFormatting sqref="G649">
    <cfRule type="expression" dxfId="649" priority="643" stopIfTrue="1">
      <formula>ISBLANK(G649)</formula>
    </cfRule>
    <cfRule type="expression" dxfId="648" priority="644">
      <formula>IFERROR(FIND("@",G649),-1)&lt;0</formula>
    </cfRule>
  </conditionalFormatting>
  <conditionalFormatting sqref="G668">
    <cfRule type="expression" dxfId="647" priority="641" stopIfTrue="1">
      <formula>ISBLANK(G668)</formula>
    </cfRule>
    <cfRule type="expression" dxfId="646" priority="642">
      <formula>IFERROR(FIND("@",G668),-1)&lt;0</formula>
    </cfRule>
  </conditionalFormatting>
  <conditionalFormatting sqref="G670">
    <cfRule type="expression" dxfId="645" priority="639" stopIfTrue="1">
      <formula>ISBLANK(G670)</formula>
    </cfRule>
    <cfRule type="expression" dxfId="644" priority="640">
      <formula>IFERROR(FIND("@",G670),-1)&lt;0</formula>
    </cfRule>
  </conditionalFormatting>
  <conditionalFormatting sqref="G672">
    <cfRule type="expression" dxfId="643" priority="637" stopIfTrue="1">
      <formula>ISBLANK(G672)</formula>
    </cfRule>
    <cfRule type="expression" dxfId="642" priority="638">
      <formula>IFERROR(FIND("@",G672),-1)&lt;0</formula>
    </cfRule>
  </conditionalFormatting>
  <conditionalFormatting sqref="G673">
    <cfRule type="expression" dxfId="641" priority="635" stopIfTrue="1">
      <formula>ISBLANK(G673)</formula>
    </cfRule>
    <cfRule type="expression" dxfId="640" priority="636">
      <formula>IFERROR(FIND("@",G673),-1)&lt;0</formula>
    </cfRule>
  </conditionalFormatting>
  <conditionalFormatting sqref="G679">
    <cfRule type="expression" dxfId="639" priority="631" stopIfTrue="1">
      <formula>ISBLANK(G679)</formula>
    </cfRule>
    <cfRule type="expression" dxfId="638" priority="632">
      <formula>IFERROR(FIND("@",G679),-1)&lt;0</formula>
    </cfRule>
  </conditionalFormatting>
  <conditionalFormatting sqref="G684">
    <cfRule type="expression" dxfId="637" priority="629" stopIfTrue="1">
      <formula>ISBLANK(G684)</formula>
    </cfRule>
    <cfRule type="expression" dxfId="636" priority="630">
      <formula>IFERROR(FIND("@",G684),-1)&lt;0</formula>
    </cfRule>
  </conditionalFormatting>
  <conditionalFormatting sqref="G687">
    <cfRule type="expression" dxfId="635" priority="627" stopIfTrue="1">
      <formula>ISBLANK(G687)</formula>
    </cfRule>
    <cfRule type="expression" dxfId="634" priority="628">
      <formula>IFERROR(FIND("@",G687),-1)&lt;0</formula>
    </cfRule>
  </conditionalFormatting>
  <conditionalFormatting sqref="G702">
    <cfRule type="expression" dxfId="633" priority="625" stopIfTrue="1">
      <formula>ISBLANK(G702)</formula>
    </cfRule>
    <cfRule type="expression" dxfId="632" priority="626">
      <formula>IFERROR(FIND("@",G702),-1)&lt;0</formula>
    </cfRule>
  </conditionalFormatting>
  <conditionalFormatting sqref="G705">
    <cfRule type="expression" dxfId="631" priority="623" stopIfTrue="1">
      <formula>ISBLANK(G705)</formula>
    </cfRule>
    <cfRule type="expression" dxfId="630" priority="624">
      <formula>IFERROR(FIND("@",G705),-1)&lt;0</formula>
    </cfRule>
  </conditionalFormatting>
  <conditionalFormatting sqref="G721">
    <cfRule type="expression" dxfId="629" priority="620" stopIfTrue="1">
      <formula>ISBLANK(G721)</formula>
    </cfRule>
    <cfRule type="expression" dxfId="628" priority="621">
      <formula>IFERROR(FIND("@",G721),-1)&lt;0</formula>
    </cfRule>
  </conditionalFormatting>
  <conditionalFormatting sqref="G728">
    <cfRule type="expression" dxfId="627" priority="618" stopIfTrue="1">
      <formula>ISBLANK(G728)</formula>
    </cfRule>
    <cfRule type="expression" dxfId="626" priority="619">
      <formula>IFERROR(FIND("@",G728),-1)&lt;0</formula>
    </cfRule>
  </conditionalFormatting>
  <conditionalFormatting sqref="G739">
    <cfRule type="expression" dxfId="625" priority="616" stopIfTrue="1">
      <formula>ISBLANK(G739)</formula>
    </cfRule>
    <cfRule type="expression" dxfId="624" priority="617">
      <formula>IFERROR(FIND("@",G739),-1)&lt;0</formula>
    </cfRule>
  </conditionalFormatting>
  <conditionalFormatting sqref="G743">
    <cfRule type="expression" dxfId="623" priority="614" stopIfTrue="1">
      <formula>ISBLANK(G743)</formula>
    </cfRule>
    <cfRule type="expression" dxfId="622" priority="615">
      <formula>IFERROR(FIND("@",G743),-1)&lt;0</formula>
    </cfRule>
  </conditionalFormatting>
  <conditionalFormatting sqref="G748">
    <cfRule type="expression" dxfId="621" priority="612" stopIfTrue="1">
      <formula>ISBLANK(G748)</formula>
    </cfRule>
    <cfRule type="expression" dxfId="620" priority="613">
      <formula>IFERROR(FIND("@",G748),-1)&lt;0</formula>
    </cfRule>
  </conditionalFormatting>
  <conditionalFormatting sqref="G750">
    <cfRule type="expression" dxfId="619" priority="610" stopIfTrue="1">
      <formula>ISBLANK(G750)</formula>
    </cfRule>
    <cfRule type="expression" dxfId="618" priority="611">
      <formula>IFERROR(FIND("@",G750),-1)&lt;0</formula>
    </cfRule>
  </conditionalFormatting>
  <conditionalFormatting sqref="G760">
    <cfRule type="expression" dxfId="617" priority="608" stopIfTrue="1">
      <formula>ISBLANK(G760)</formula>
    </cfRule>
    <cfRule type="expression" dxfId="616" priority="609">
      <formula>IFERROR(FIND("@",G760),-1)&lt;0</formula>
    </cfRule>
  </conditionalFormatting>
  <conditionalFormatting sqref="G773">
    <cfRule type="expression" dxfId="615" priority="606" stopIfTrue="1">
      <formula>ISBLANK(G773)</formula>
    </cfRule>
    <cfRule type="expression" dxfId="614" priority="607">
      <formula>IFERROR(FIND("@",G773),-1)&lt;0</formula>
    </cfRule>
  </conditionalFormatting>
  <conditionalFormatting sqref="G779">
    <cfRule type="expression" dxfId="613" priority="604" stopIfTrue="1">
      <formula>ISBLANK(G779)</formula>
    </cfRule>
    <cfRule type="expression" dxfId="612" priority="605">
      <formula>IFERROR(FIND("@",G779),-1)&lt;0</formula>
    </cfRule>
  </conditionalFormatting>
  <conditionalFormatting sqref="G782">
    <cfRule type="expression" dxfId="611" priority="600" stopIfTrue="1">
      <formula>ISBLANK(G782)</formula>
    </cfRule>
    <cfRule type="expression" dxfId="610" priority="601">
      <formula>IFERROR(FIND("@",G782),-1)&lt;0</formula>
    </cfRule>
  </conditionalFormatting>
  <conditionalFormatting sqref="G789">
    <cfRule type="expression" dxfId="609" priority="598" stopIfTrue="1">
      <formula>ISBLANK(G789)</formula>
    </cfRule>
    <cfRule type="expression" dxfId="608" priority="599">
      <formula>IFERROR(FIND("@",G789),-1)&lt;0</formula>
    </cfRule>
  </conditionalFormatting>
  <conditionalFormatting sqref="G790">
    <cfRule type="expression" dxfId="607" priority="596" stopIfTrue="1">
      <formula>ISBLANK(G790)</formula>
    </cfRule>
    <cfRule type="expression" dxfId="606" priority="597">
      <formula>IFERROR(FIND("@",G790),-1)&lt;0</formula>
    </cfRule>
  </conditionalFormatting>
  <conditionalFormatting sqref="G797">
    <cfRule type="expression" dxfId="605" priority="594" stopIfTrue="1">
      <formula>ISBLANK(G797)</formula>
    </cfRule>
    <cfRule type="expression" dxfId="604" priority="595">
      <formula>IFERROR(FIND("@",G797),-1)&lt;0</formula>
    </cfRule>
  </conditionalFormatting>
  <conditionalFormatting sqref="G798:G799">
    <cfRule type="expression" dxfId="603" priority="592" stopIfTrue="1">
      <formula>ISBLANK(G798)</formula>
    </cfRule>
    <cfRule type="expression" dxfId="602" priority="593">
      <formula>IFERROR(FIND("@",G798),-1)&lt;0</formula>
    </cfRule>
  </conditionalFormatting>
  <conditionalFormatting sqref="G810">
    <cfRule type="expression" dxfId="601" priority="590" stopIfTrue="1">
      <formula>ISBLANK(G810)</formula>
    </cfRule>
    <cfRule type="expression" dxfId="600" priority="591">
      <formula>IFERROR(FIND("@",G810),-1)&lt;0</formula>
    </cfRule>
  </conditionalFormatting>
  <conditionalFormatting sqref="G815">
    <cfRule type="expression" dxfId="599" priority="588" stopIfTrue="1">
      <formula>ISBLANK(G815)</formula>
    </cfRule>
    <cfRule type="expression" dxfId="598" priority="589">
      <formula>IFERROR(FIND("@",G815),-1)&lt;0</formula>
    </cfRule>
  </conditionalFormatting>
  <conditionalFormatting sqref="G827">
    <cfRule type="expression" dxfId="597" priority="586" stopIfTrue="1">
      <formula>ISBLANK(G827)</formula>
    </cfRule>
    <cfRule type="expression" dxfId="596" priority="587">
      <formula>IFERROR(FIND("@",G827),-1)&lt;0</formula>
    </cfRule>
  </conditionalFormatting>
  <conditionalFormatting sqref="G834">
    <cfRule type="expression" dxfId="595" priority="584" stopIfTrue="1">
      <formula>ISBLANK(G834)</formula>
    </cfRule>
    <cfRule type="expression" dxfId="594" priority="585">
      <formula>IFERROR(FIND("@",G834),-1)&lt;0</formula>
    </cfRule>
  </conditionalFormatting>
  <conditionalFormatting sqref="G842">
    <cfRule type="expression" dxfId="593" priority="582" stopIfTrue="1">
      <formula>ISBLANK(G842)</formula>
    </cfRule>
    <cfRule type="expression" dxfId="592" priority="583">
      <formula>IFERROR(FIND("@",G842),-1)&lt;0</formula>
    </cfRule>
  </conditionalFormatting>
  <conditionalFormatting sqref="G854">
    <cfRule type="expression" dxfId="591" priority="580" stopIfTrue="1">
      <formula>ISBLANK(G854)</formula>
    </cfRule>
    <cfRule type="expression" dxfId="590" priority="581">
      <formula>IFERROR(FIND("@",G854),-1)&lt;0</formula>
    </cfRule>
  </conditionalFormatting>
  <conditionalFormatting sqref="G855">
    <cfRule type="expression" dxfId="589" priority="578" stopIfTrue="1">
      <formula>ISBLANK(G855)</formula>
    </cfRule>
    <cfRule type="expression" dxfId="588" priority="579">
      <formula>IFERROR(FIND("@",G855),-1)&lt;0</formula>
    </cfRule>
  </conditionalFormatting>
  <conditionalFormatting sqref="G864">
    <cfRule type="expression" dxfId="587" priority="576" stopIfTrue="1">
      <formula>ISBLANK(G864)</formula>
    </cfRule>
    <cfRule type="expression" dxfId="586" priority="577">
      <formula>IFERROR(FIND("@",G864),-1)&lt;0</formula>
    </cfRule>
  </conditionalFormatting>
  <conditionalFormatting sqref="G871">
    <cfRule type="expression" dxfId="585" priority="572" stopIfTrue="1">
      <formula>ISBLANK(G871)</formula>
    </cfRule>
    <cfRule type="expression" dxfId="584" priority="573">
      <formula>IFERROR(FIND("@",G871),-1)&lt;0</formula>
    </cfRule>
  </conditionalFormatting>
  <conditionalFormatting sqref="G886">
    <cfRule type="expression" dxfId="583" priority="570" stopIfTrue="1">
      <formula>ISBLANK(G886)</formula>
    </cfRule>
    <cfRule type="expression" dxfId="582" priority="571">
      <formula>IFERROR(FIND("@",G886),-1)&lt;0</formula>
    </cfRule>
  </conditionalFormatting>
  <conditionalFormatting sqref="G888">
    <cfRule type="expression" dxfId="581" priority="568" stopIfTrue="1">
      <formula>ISBLANK(G888)</formula>
    </cfRule>
    <cfRule type="expression" dxfId="580" priority="569">
      <formula>IFERROR(FIND("@",G888),-1)&lt;0</formula>
    </cfRule>
  </conditionalFormatting>
  <conditionalFormatting sqref="G899">
    <cfRule type="expression" dxfId="579" priority="566" stopIfTrue="1">
      <formula>ISBLANK(G899)</formula>
    </cfRule>
    <cfRule type="expression" dxfId="578" priority="567">
      <formula>IFERROR(FIND("@",G899),-1)&lt;0</formula>
    </cfRule>
  </conditionalFormatting>
  <conditionalFormatting sqref="G900">
    <cfRule type="expression" dxfId="577" priority="564" stopIfTrue="1">
      <formula>ISBLANK(G900)</formula>
    </cfRule>
    <cfRule type="expression" dxfId="576" priority="565">
      <formula>IFERROR(FIND("@",G900),-1)&lt;0</formula>
    </cfRule>
  </conditionalFormatting>
  <conditionalFormatting sqref="G902">
    <cfRule type="expression" dxfId="575" priority="562" stopIfTrue="1">
      <formula>ISBLANK(G902)</formula>
    </cfRule>
    <cfRule type="expression" dxfId="574" priority="563">
      <formula>IFERROR(FIND("@",G902),-1)&lt;0</formula>
    </cfRule>
  </conditionalFormatting>
  <conditionalFormatting sqref="G909">
    <cfRule type="expression" dxfId="573" priority="556" stopIfTrue="1">
      <formula>ISBLANK(G909)</formula>
    </cfRule>
    <cfRule type="expression" dxfId="572" priority="557">
      <formula>IFERROR(FIND("@",G909),-1)&lt;0</formula>
    </cfRule>
  </conditionalFormatting>
  <conditionalFormatting sqref="G916">
    <cfRule type="expression" dxfId="571" priority="554" stopIfTrue="1">
      <formula>ISBLANK(G916)</formula>
    </cfRule>
    <cfRule type="expression" dxfId="570" priority="555">
      <formula>IFERROR(FIND("@",G916),-1)&lt;0</formula>
    </cfRule>
  </conditionalFormatting>
  <conditionalFormatting sqref="G921">
    <cfRule type="expression" dxfId="569" priority="552" stopIfTrue="1">
      <formula>ISBLANK(G921)</formula>
    </cfRule>
    <cfRule type="expression" dxfId="568" priority="553">
      <formula>IFERROR(FIND("@",G921),-1)&lt;0</formula>
    </cfRule>
  </conditionalFormatting>
  <conditionalFormatting sqref="G930">
    <cfRule type="expression" dxfId="567" priority="549" stopIfTrue="1">
      <formula>ISBLANK(G930)</formula>
    </cfRule>
    <cfRule type="expression" dxfId="566" priority="550">
      <formula>IFERROR(FIND("@",G930),-1)&lt;0</formula>
    </cfRule>
  </conditionalFormatting>
  <conditionalFormatting sqref="G944">
    <cfRule type="expression" dxfId="565" priority="545" stopIfTrue="1">
      <formula>ISBLANK(G944)</formula>
    </cfRule>
    <cfRule type="expression" dxfId="564" priority="546">
      <formula>IFERROR(FIND("@",G944),-1)&lt;0</formula>
    </cfRule>
  </conditionalFormatting>
  <conditionalFormatting sqref="G958">
    <cfRule type="expression" dxfId="563" priority="543" stopIfTrue="1">
      <formula>ISBLANK(G958)</formula>
    </cfRule>
    <cfRule type="expression" dxfId="562" priority="544">
      <formula>IFERROR(FIND("@",G958),-1)&lt;0</formula>
    </cfRule>
  </conditionalFormatting>
  <conditionalFormatting sqref="G959">
    <cfRule type="expression" dxfId="561" priority="541" stopIfTrue="1">
      <formula>ISBLANK(G959)</formula>
    </cfRule>
    <cfRule type="expression" dxfId="560" priority="542">
      <formula>IFERROR(FIND("@",G959),-1)&lt;0</formula>
    </cfRule>
  </conditionalFormatting>
  <conditionalFormatting sqref="G961">
    <cfRule type="expression" dxfId="559" priority="539" stopIfTrue="1">
      <formula>ISBLANK(G961)</formula>
    </cfRule>
    <cfRule type="expression" dxfId="558" priority="540">
      <formula>IFERROR(FIND("@",G961),-1)&lt;0</formula>
    </cfRule>
  </conditionalFormatting>
  <conditionalFormatting sqref="G967">
    <cfRule type="expression" dxfId="557" priority="537" stopIfTrue="1">
      <formula>ISBLANK(G967)</formula>
    </cfRule>
    <cfRule type="expression" dxfId="556" priority="538">
      <formula>IFERROR(FIND("@",G967),-1)&lt;0</formula>
    </cfRule>
  </conditionalFormatting>
  <conditionalFormatting sqref="G971:G972">
    <cfRule type="expression" dxfId="555" priority="535" stopIfTrue="1">
      <formula>ISBLANK(G971)</formula>
    </cfRule>
    <cfRule type="expression" dxfId="554" priority="536">
      <formula>IFERROR(FIND("@",G971),-1)&lt;0</formula>
    </cfRule>
  </conditionalFormatting>
  <conditionalFormatting sqref="G983">
    <cfRule type="expression" dxfId="553" priority="533" stopIfTrue="1">
      <formula>ISBLANK(G983)</formula>
    </cfRule>
    <cfRule type="expression" dxfId="552" priority="534">
      <formula>IFERROR(FIND("@",G983),-1)&lt;0</formula>
    </cfRule>
  </conditionalFormatting>
  <conditionalFormatting sqref="G998">
    <cfRule type="expression" dxfId="551" priority="531" stopIfTrue="1">
      <formula>ISBLANK(G998)</formula>
    </cfRule>
    <cfRule type="expression" dxfId="550" priority="532">
      <formula>IFERROR(FIND("@",G998),-1)&lt;0</formula>
    </cfRule>
  </conditionalFormatting>
  <conditionalFormatting sqref="G1010">
    <cfRule type="expression" dxfId="549" priority="529" stopIfTrue="1">
      <formula>ISBLANK(G1010)</formula>
    </cfRule>
    <cfRule type="expression" dxfId="548" priority="530">
      <formula>IFERROR(FIND("@",G1010),-1)&lt;0</formula>
    </cfRule>
  </conditionalFormatting>
  <conditionalFormatting sqref="G1017">
    <cfRule type="expression" dxfId="547" priority="527" stopIfTrue="1">
      <formula>ISBLANK(G1017)</formula>
    </cfRule>
    <cfRule type="expression" dxfId="546" priority="528">
      <formula>IFERROR(FIND("@",G1017),-1)&lt;0</formula>
    </cfRule>
  </conditionalFormatting>
  <conditionalFormatting sqref="G1018">
    <cfRule type="expression" dxfId="545" priority="525" stopIfTrue="1">
      <formula>ISBLANK(G1018)</formula>
    </cfRule>
    <cfRule type="expression" dxfId="544" priority="526">
      <formula>IFERROR(FIND("@",G1018),-1)&lt;0</formula>
    </cfRule>
  </conditionalFormatting>
  <conditionalFormatting sqref="G1023">
    <cfRule type="expression" dxfId="543" priority="523" stopIfTrue="1">
      <formula>ISBLANK(G1023)</formula>
    </cfRule>
    <cfRule type="expression" dxfId="542" priority="524">
      <formula>IFERROR(FIND("@",G1023),-1)&lt;0</formula>
    </cfRule>
  </conditionalFormatting>
  <conditionalFormatting sqref="G1024">
    <cfRule type="expression" dxfId="541" priority="521" stopIfTrue="1">
      <formula>ISBLANK(G1024)</formula>
    </cfRule>
    <cfRule type="expression" dxfId="540" priority="522">
      <formula>IFERROR(FIND("@",G1024),-1)&lt;0</formula>
    </cfRule>
  </conditionalFormatting>
  <conditionalFormatting sqref="G1029">
    <cfRule type="expression" dxfId="539" priority="519" stopIfTrue="1">
      <formula>ISBLANK(G1029)</formula>
    </cfRule>
    <cfRule type="expression" dxfId="538" priority="520">
      <formula>IFERROR(FIND("@",G1029),-1)&lt;0</formula>
    </cfRule>
  </conditionalFormatting>
  <conditionalFormatting sqref="G1030">
    <cfRule type="expression" dxfId="537" priority="517" stopIfTrue="1">
      <formula>ISBLANK(G1030)</formula>
    </cfRule>
    <cfRule type="expression" dxfId="536" priority="518">
      <formula>IFERROR(FIND("@",G1030),-1)&lt;0</formula>
    </cfRule>
  </conditionalFormatting>
  <conditionalFormatting sqref="G1033">
    <cfRule type="expression" dxfId="535" priority="515" stopIfTrue="1">
      <formula>ISBLANK(G1033)</formula>
    </cfRule>
    <cfRule type="expression" dxfId="534" priority="516">
      <formula>IFERROR(FIND("@",G1033),-1)&lt;0</formula>
    </cfRule>
  </conditionalFormatting>
  <conditionalFormatting sqref="G1041">
    <cfRule type="expression" dxfId="533" priority="513" stopIfTrue="1">
      <formula>ISBLANK(G1041)</formula>
    </cfRule>
    <cfRule type="expression" dxfId="532" priority="514">
      <formula>IFERROR(FIND("@",G1041),-1)&lt;0</formula>
    </cfRule>
  </conditionalFormatting>
  <conditionalFormatting sqref="G1047">
    <cfRule type="expression" dxfId="531" priority="511" stopIfTrue="1">
      <formula>ISBLANK(G1047)</formula>
    </cfRule>
    <cfRule type="expression" dxfId="530" priority="512">
      <formula>IFERROR(FIND("@",G1047),-1)&lt;0</formula>
    </cfRule>
  </conditionalFormatting>
  <conditionalFormatting sqref="G1048">
    <cfRule type="expression" dxfId="529" priority="509" stopIfTrue="1">
      <formula>ISBLANK(G1048)</formula>
    </cfRule>
    <cfRule type="expression" dxfId="528" priority="510">
      <formula>IFERROR(FIND("@",G1048),-1)&lt;0</formula>
    </cfRule>
  </conditionalFormatting>
  <conditionalFormatting sqref="G1051">
    <cfRule type="expression" dxfId="527" priority="507" stopIfTrue="1">
      <formula>ISBLANK(G1051)</formula>
    </cfRule>
    <cfRule type="expression" dxfId="526" priority="508">
      <formula>IFERROR(FIND("@",G1051),-1)&lt;0</formula>
    </cfRule>
  </conditionalFormatting>
  <conditionalFormatting sqref="G1061">
    <cfRule type="expression" dxfId="525" priority="505" stopIfTrue="1">
      <formula>ISBLANK(G1061)</formula>
    </cfRule>
    <cfRule type="expression" dxfId="524" priority="506">
      <formula>IFERROR(FIND("@",G1061),-1)&lt;0</formula>
    </cfRule>
  </conditionalFormatting>
  <conditionalFormatting sqref="G1066">
    <cfRule type="expression" dxfId="523" priority="503" stopIfTrue="1">
      <formula>ISBLANK(G1066)</formula>
    </cfRule>
    <cfRule type="expression" dxfId="522" priority="504">
      <formula>IFERROR(FIND("@",G1066),-1)&lt;0</formula>
    </cfRule>
  </conditionalFormatting>
  <conditionalFormatting sqref="G1075">
    <cfRule type="expression" dxfId="521" priority="501" stopIfTrue="1">
      <formula>ISBLANK(G1075)</formula>
    </cfRule>
    <cfRule type="expression" dxfId="520" priority="502">
      <formula>IFERROR(FIND("@",G1075),-1)&lt;0</formula>
    </cfRule>
  </conditionalFormatting>
  <conditionalFormatting sqref="G1091">
    <cfRule type="expression" dxfId="519" priority="499" stopIfTrue="1">
      <formula>ISBLANK(G1091)</formula>
    </cfRule>
    <cfRule type="expression" dxfId="518" priority="500">
      <formula>IFERROR(FIND("@",G1091),-1)&lt;0</formula>
    </cfRule>
  </conditionalFormatting>
  <conditionalFormatting sqref="G1099:G1100">
    <cfRule type="expression" dxfId="517" priority="497" stopIfTrue="1">
      <formula>ISBLANK(G1099)</formula>
    </cfRule>
    <cfRule type="expression" dxfId="516" priority="498">
      <formula>IFERROR(FIND("@",G1099),-1)&lt;0</formula>
    </cfRule>
  </conditionalFormatting>
  <conditionalFormatting sqref="G1105">
    <cfRule type="expression" dxfId="515" priority="491" stopIfTrue="1">
      <formula>ISBLANK(G1105)</formula>
    </cfRule>
    <cfRule type="expression" dxfId="514" priority="492">
      <formula>IFERROR(FIND("@",G1105),-1)&lt;0</formula>
    </cfRule>
  </conditionalFormatting>
  <conditionalFormatting sqref="G1111">
    <cfRule type="expression" dxfId="513" priority="489" stopIfTrue="1">
      <formula>ISBLANK(G1111)</formula>
    </cfRule>
    <cfRule type="expression" dxfId="512" priority="490">
      <formula>IFERROR(FIND("@",G1111),-1)&lt;0</formula>
    </cfRule>
  </conditionalFormatting>
  <conditionalFormatting sqref="G1112">
    <cfRule type="expression" dxfId="511" priority="487" stopIfTrue="1">
      <formula>ISBLANK(G1112)</formula>
    </cfRule>
    <cfRule type="expression" dxfId="510" priority="488">
      <formula>IFERROR(FIND("@",G1112),-1)&lt;0</formula>
    </cfRule>
  </conditionalFormatting>
  <conditionalFormatting sqref="G1115:G1116">
    <cfRule type="expression" dxfId="509" priority="485" stopIfTrue="1">
      <formula>ISBLANK(G1115)</formula>
    </cfRule>
    <cfRule type="expression" dxfId="508" priority="486">
      <formula>IFERROR(FIND("@",G1115),-1)&lt;0</formula>
    </cfRule>
  </conditionalFormatting>
  <conditionalFormatting sqref="G1131">
    <cfRule type="expression" dxfId="507" priority="483" stopIfTrue="1">
      <formula>ISBLANK(G1131)</formula>
    </cfRule>
    <cfRule type="expression" dxfId="506" priority="484">
      <formula>IFERROR(FIND("@",G1131),-1)&lt;0</formula>
    </cfRule>
  </conditionalFormatting>
  <conditionalFormatting sqref="G1137">
    <cfRule type="expression" dxfId="505" priority="481" stopIfTrue="1">
      <formula>ISBLANK(G1137)</formula>
    </cfRule>
    <cfRule type="expression" dxfId="504" priority="482">
      <formula>IFERROR(FIND("@",G1137),-1)&lt;0</formula>
    </cfRule>
  </conditionalFormatting>
  <conditionalFormatting sqref="G1139">
    <cfRule type="expression" dxfId="503" priority="479" stopIfTrue="1">
      <formula>ISBLANK(G1139)</formula>
    </cfRule>
    <cfRule type="expression" dxfId="502" priority="480">
      <formula>IFERROR(FIND("@",G1139),-1)&lt;0</formula>
    </cfRule>
  </conditionalFormatting>
  <conditionalFormatting sqref="G1143">
    <cfRule type="expression" dxfId="501" priority="477" stopIfTrue="1">
      <formula>ISBLANK(G1143)</formula>
    </cfRule>
    <cfRule type="expression" dxfId="500" priority="478">
      <formula>IFERROR(FIND("@",G1143),-1)&lt;0</formula>
    </cfRule>
  </conditionalFormatting>
  <conditionalFormatting sqref="G1160">
    <cfRule type="expression" dxfId="499" priority="475" stopIfTrue="1">
      <formula>ISBLANK(G1160)</formula>
    </cfRule>
    <cfRule type="expression" dxfId="498" priority="476">
      <formula>IFERROR(FIND("@",G1160),-1)&lt;0</formula>
    </cfRule>
  </conditionalFormatting>
  <conditionalFormatting sqref="G1161">
    <cfRule type="expression" dxfId="497" priority="473" stopIfTrue="1">
      <formula>ISBLANK(G1161)</formula>
    </cfRule>
    <cfRule type="expression" dxfId="496" priority="474">
      <formula>IFERROR(FIND("@",G1161),-1)&lt;0</formula>
    </cfRule>
  </conditionalFormatting>
  <conditionalFormatting sqref="G1169">
    <cfRule type="expression" dxfId="495" priority="471" stopIfTrue="1">
      <formula>ISBLANK(G1169)</formula>
    </cfRule>
    <cfRule type="expression" dxfId="494" priority="472">
      <formula>IFERROR(FIND("@",G1169),-1)&lt;0</formula>
    </cfRule>
  </conditionalFormatting>
  <conditionalFormatting sqref="G1186">
    <cfRule type="expression" dxfId="493" priority="469" stopIfTrue="1">
      <formula>ISBLANK(G1186)</formula>
    </cfRule>
    <cfRule type="expression" dxfId="492" priority="470">
      <formula>IFERROR(FIND("@",G1186),-1)&lt;0</formula>
    </cfRule>
  </conditionalFormatting>
  <conditionalFormatting sqref="G1190">
    <cfRule type="expression" dxfId="491" priority="467" stopIfTrue="1">
      <formula>ISBLANK(G1190)</formula>
    </cfRule>
    <cfRule type="expression" dxfId="490" priority="468">
      <formula>IFERROR(FIND("@",G1190),-1)&lt;0</formula>
    </cfRule>
  </conditionalFormatting>
  <conditionalFormatting sqref="G1206">
    <cfRule type="expression" dxfId="489" priority="465" stopIfTrue="1">
      <formula>ISBLANK(G1206)</formula>
    </cfRule>
    <cfRule type="expression" dxfId="488" priority="466">
      <formula>IFERROR(FIND("@",G1206),-1)&lt;0</formula>
    </cfRule>
  </conditionalFormatting>
  <conditionalFormatting sqref="G1213">
    <cfRule type="expression" dxfId="487" priority="463" stopIfTrue="1">
      <formula>ISBLANK(G1213)</formula>
    </cfRule>
    <cfRule type="expression" dxfId="486" priority="464">
      <formula>IFERROR(FIND("@",G1213),-1)&lt;0</formula>
    </cfRule>
  </conditionalFormatting>
  <conditionalFormatting sqref="G1216">
    <cfRule type="expression" dxfId="485" priority="461" stopIfTrue="1">
      <formula>ISBLANK(G1216)</formula>
    </cfRule>
    <cfRule type="expression" dxfId="484" priority="462">
      <formula>IFERROR(FIND("@",G1216),-1)&lt;0</formula>
    </cfRule>
  </conditionalFormatting>
  <conditionalFormatting sqref="G1218">
    <cfRule type="expression" dxfId="483" priority="459" stopIfTrue="1">
      <formula>ISBLANK(G1218)</formula>
    </cfRule>
    <cfRule type="expression" dxfId="482" priority="460">
      <formula>IFERROR(FIND("@",G1218),-1)&lt;0</formula>
    </cfRule>
  </conditionalFormatting>
  <conditionalFormatting sqref="G1228">
    <cfRule type="expression" dxfId="481" priority="457" stopIfTrue="1">
      <formula>ISBLANK(G1228)</formula>
    </cfRule>
    <cfRule type="expression" dxfId="480" priority="458">
      <formula>IFERROR(FIND("@",G1228),-1)&lt;0</formula>
    </cfRule>
  </conditionalFormatting>
  <conditionalFormatting sqref="G1229">
    <cfRule type="expression" dxfId="479" priority="455" stopIfTrue="1">
      <formula>ISBLANK(G1229)</formula>
    </cfRule>
    <cfRule type="expression" dxfId="478" priority="456">
      <formula>IFERROR(FIND("@",G1229),-1)&lt;0</formula>
    </cfRule>
  </conditionalFormatting>
  <conditionalFormatting sqref="G1233">
    <cfRule type="expression" dxfId="477" priority="453" stopIfTrue="1">
      <formula>ISBLANK(G1233)</formula>
    </cfRule>
    <cfRule type="expression" dxfId="476" priority="454">
      <formula>IFERROR(FIND("@",G1233),-1)&lt;0</formula>
    </cfRule>
  </conditionalFormatting>
  <conditionalFormatting sqref="G1239">
    <cfRule type="expression" dxfId="475" priority="451" stopIfTrue="1">
      <formula>ISBLANK(G1239)</formula>
    </cfRule>
    <cfRule type="expression" dxfId="474" priority="452">
      <formula>IFERROR(FIND("@",G1239),-1)&lt;0</formula>
    </cfRule>
  </conditionalFormatting>
  <conditionalFormatting sqref="G1248">
    <cfRule type="expression" dxfId="473" priority="449" stopIfTrue="1">
      <formula>ISBLANK(G1248)</formula>
    </cfRule>
    <cfRule type="expression" dxfId="472" priority="450">
      <formula>IFERROR(FIND("@",G1248),-1)&lt;0</formula>
    </cfRule>
  </conditionalFormatting>
  <conditionalFormatting sqref="G1263">
    <cfRule type="expression" dxfId="471" priority="447" stopIfTrue="1">
      <formula>ISBLANK(G1263)</formula>
    </cfRule>
    <cfRule type="expression" dxfId="470" priority="448">
      <formula>IFERROR(FIND("@",G1263),-1)&lt;0</formula>
    </cfRule>
  </conditionalFormatting>
  <conditionalFormatting sqref="G1264">
    <cfRule type="expression" dxfId="469" priority="445" stopIfTrue="1">
      <formula>ISBLANK(G1264)</formula>
    </cfRule>
    <cfRule type="expression" dxfId="468" priority="446">
      <formula>IFERROR(FIND("@",G1264),-1)&lt;0</formula>
    </cfRule>
  </conditionalFormatting>
  <conditionalFormatting sqref="G1271">
    <cfRule type="expression" dxfId="467" priority="443" stopIfTrue="1">
      <formula>ISBLANK(G1271)</formula>
    </cfRule>
    <cfRule type="expression" dxfId="466" priority="444">
      <formula>IFERROR(FIND("@",G1271),-1)&lt;0</formula>
    </cfRule>
  </conditionalFormatting>
  <conditionalFormatting sqref="G1275:G1276">
    <cfRule type="expression" dxfId="465" priority="441" stopIfTrue="1">
      <formula>ISBLANK(G1275)</formula>
    </cfRule>
    <cfRule type="expression" dxfId="464" priority="442">
      <formula>IFERROR(FIND("@",G1275),-1)&lt;0</formula>
    </cfRule>
  </conditionalFormatting>
  <conditionalFormatting sqref="G1277">
    <cfRule type="expression" dxfId="463" priority="439" stopIfTrue="1">
      <formula>ISBLANK(G1277)</formula>
    </cfRule>
    <cfRule type="expression" dxfId="462" priority="440">
      <formula>IFERROR(FIND("@",G1277),-1)&lt;0</formula>
    </cfRule>
  </conditionalFormatting>
  <conditionalFormatting sqref="G1284">
    <cfRule type="expression" dxfId="461" priority="437" stopIfTrue="1">
      <formula>ISBLANK(G1284)</formula>
    </cfRule>
    <cfRule type="expression" dxfId="460" priority="438">
      <formula>IFERROR(FIND("@",G1284),-1)&lt;0</formula>
    </cfRule>
  </conditionalFormatting>
  <conditionalFormatting sqref="G1290">
    <cfRule type="expression" dxfId="459" priority="435" stopIfTrue="1">
      <formula>ISBLANK(G1290)</formula>
    </cfRule>
    <cfRule type="expression" dxfId="458" priority="436">
      <formula>IFERROR(FIND("@",G1290),-1)&lt;0</formula>
    </cfRule>
  </conditionalFormatting>
  <conditionalFormatting sqref="G1311:G1312">
    <cfRule type="expression" dxfId="457" priority="433" stopIfTrue="1">
      <formula>ISBLANK(G1311)</formula>
    </cfRule>
    <cfRule type="expression" dxfId="456" priority="434">
      <formula>IFERROR(FIND("@",G1311),-1)&lt;0</formula>
    </cfRule>
  </conditionalFormatting>
  <conditionalFormatting sqref="G1315:G1316">
    <cfRule type="expression" dxfId="455" priority="431" stopIfTrue="1">
      <formula>ISBLANK(G1315)</formula>
    </cfRule>
    <cfRule type="expression" dxfId="454" priority="432">
      <formula>IFERROR(FIND("@",G1315),-1)&lt;0</formula>
    </cfRule>
  </conditionalFormatting>
  <conditionalFormatting sqref="G1319:G1320">
    <cfRule type="expression" dxfId="453" priority="429" stopIfTrue="1">
      <formula>ISBLANK(G1319)</formula>
    </cfRule>
    <cfRule type="expression" dxfId="452" priority="430">
      <formula>IFERROR(FIND("@",G1319),-1)&lt;0</formula>
    </cfRule>
  </conditionalFormatting>
  <conditionalFormatting sqref="G1335">
    <cfRule type="expression" dxfId="451" priority="427" stopIfTrue="1">
      <formula>ISBLANK(G1335)</formula>
    </cfRule>
    <cfRule type="expression" dxfId="450" priority="428">
      <formula>IFERROR(FIND("@",G1335),-1)&lt;0</formula>
    </cfRule>
  </conditionalFormatting>
  <conditionalFormatting sqref="G1349">
    <cfRule type="expression" dxfId="449" priority="425" stopIfTrue="1">
      <formula>ISBLANK(G1349)</formula>
    </cfRule>
    <cfRule type="expression" dxfId="448" priority="426">
      <formula>IFERROR(FIND("@",G1349),-1)&lt;0</formula>
    </cfRule>
  </conditionalFormatting>
  <conditionalFormatting sqref="G1350">
    <cfRule type="expression" dxfId="447" priority="423" stopIfTrue="1">
      <formula>ISBLANK(G1350)</formula>
    </cfRule>
    <cfRule type="expression" dxfId="446" priority="424">
      <formula>IFERROR(FIND("@",G1350),-1)&lt;0</formula>
    </cfRule>
  </conditionalFormatting>
  <conditionalFormatting sqref="G1365">
    <cfRule type="expression" dxfId="445" priority="421" stopIfTrue="1">
      <formula>ISBLANK(G1365)</formula>
    </cfRule>
    <cfRule type="expression" dxfId="444" priority="422">
      <formula>IFERROR(FIND("@",G1365),-1)&lt;0</formula>
    </cfRule>
  </conditionalFormatting>
  <conditionalFormatting sqref="G1368">
    <cfRule type="expression" dxfId="443" priority="419" stopIfTrue="1">
      <formula>ISBLANK(G1368)</formula>
    </cfRule>
    <cfRule type="expression" dxfId="442" priority="420">
      <formula>IFERROR(FIND("@",G1368),-1)&lt;0</formula>
    </cfRule>
  </conditionalFormatting>
  <conditionalFormatting sqref="G1373">
    <cfRule type="expression" dxfId="441" priority="417" stopIfTrue="1">
      <formula>ISBLANK(G1373)</formula>
    </cfRule>
    <cfRule type="expression" dxfId="440" priority="418">
      <formula>IFERROR(FIND("@",G1373),-1)&lt;0</formula>
    </cfRule>
  </conditionalFormatting>
  <conditionalFormatting sqref="G1383">
    <cfRule type="expression" dxfId="439" priority="415" stopIfTrue="1">
      <formula>ISBLANK(G1383)</formula>
    </cfRule>
    <cfRule type="expression" dxfId="438" priority="416">
      <formula>IFERROR(FIND("@",G1383),-1)&lt;0</formula>
    </cfRule>
  </conditionalFormatting>
  <conditionalFormatting sqref="G1387">
    <cfRule type="expression" dxfId="437" priority="413" stopIfTrue="1">
      <formula>ISBLANK(G1387)</formula>
    </cfRule>
    <cfRule type="expression" dxfId="436" priority="414">
      <formula>IFERROR(FIND("@",G1387),-1)&lt;0</formula>
    </cfRule>
  </conditionalFormatting>
  <conditionalFormatting sqref="G1388">
    <cfRule type="expression" dxfId="435" priority="411" stopIfTrue="1">
      <formula>ISBLANK(G1388)</formula>
    </cfRule>
    <cfRule type="expression" dxfId="434" priority="412">
      <formula>IFERROR(FIND("@",G1388),-1)&lt;0</formula>
    </cfRule>
  </conditionalFormatting>
  <conditionalFormatting sqref="G1394">
    <cfRule type="expression" dxfId="433" priority="409" stopIfTrue="1">
      <formula>ISBLANK(G1394)</formula>
    </cfRule>
    <cfRule type="expression" dxfId="432" priority="410">
      <formula>IFERROR(FIND("@",G1394),-1)&lt;0</formula>
    </cfRule>
  </conditionalFormatting>
  <conditionalFormatting sqref="G1396">
    <cfRule type="expression" dxfId="431" priority="407" stopIfTrue="1">
      <formula>ISBLANK(G1396)</formula>
    </cfRule>
    <cfRule type="expression" dxfId="430" priority="408">
      <formula>IFERROR(FIND("@",G1396),-1)&lt;0</formula>
    </cfRule>
  </conditionalFormatting>
  <conditionalFormatting sqref="G1400">
    <cfRule type="expression" dxfId="429" priority="405" stopIfTrue="1">
      <formula>ISBLANK(G1400)</formula>
    </cfRule>
    <cfRule type="expression" dxfId="428" priority="406">
      <formula>IFERROR(FIND("@",G1400),-1)&lt;0</formula>
    </cfRule>
  </conditionalFormatting>
  <conditionalFormatting sqref="G1407">
    <cfRule type="expression" dxfId="427" priority="403" stopIfTrue="1">
      <formula>ISBLANK(G1407)</formula>
    </cfRule>
    <cfRule type="expression" dxfId="426" priority="404">
      <formula>IFERROR(FIND("@",G1407),-1)&lt;0</formula>
    </cfRule>
  </conditionalFormatting>
  <conditionalFormatting sqref="G1413">
    <cfRule type="expression" dxfId="425" priority="401" stopIfTrue="1">
      <formula>ISBLANK(G1413)</formula>
    </cfRule>
    <cfRule type="expression" dxfId="424" priority="402">
      <formula>IFERROR(FIND("@",G1413),-1)&lt;0</formula>
    </cfRule>
  </conditionalFormatting>
  <conditionalFormatting sqref="G1420">
    <cfRule type="expression" dxfId="423" priority="399" stopIfTrue="1">
      <formula>ISBLANK(G1420)</formula>
    </cfRule>
    <cfRule type="expression" dxfId="422" priority="400">
      <formula>IFERROR(FIND("@",G1420),-1)&lt;0</formula>
    </cfRule>
  </conditionalFormatting>
  <conditionalFormatting sqref="G1421">
    <cfRule type="expression" dxfId="421" priority="397" stopIfTrue="1">
      <formula>ISBLANK(G1421)</formula>
    </cfRule>
    <cfRule type="expression" dxfId="420" priority="398">
      <formula>IFERROR(FIND("@",G1421),-1)&lt;0</formula>
    </cfRule>
  </conditionalFormatting>
  <conditionalFormatting sqref="G1438">
    <cfRule type="expression" dxfId="419" priority="395" stopIfTrue="1">
      <formula>ISBLANK(G1438)</formula>
    </cfRule>
    <cfRule type="expression" dxfId="418" priority="396">
      <formula>IFERROR(FIND("@",G1438),-1)&lt;0</formula>
    </cfRule>
  </conditionalFormatting>
  <conditionalFormatting sqref="G1450">
    <cfRule type="expression" dxfId="417" priority="393" stopIfTrue="1">
      <formula>ISBLANK(G1450)</formula>
    </cfRule>
    <cfRule type="expression" dxfId="416" priority="394">
      <formula>IFERROR(FIND("@",G1450),-1)&lt;0</formula>
    </cfRule>
  </conditionalFormatting>
  <conditionalFormatting sqref="G1451:G1452">
    <cfRule type="expression" dxfId="415" priority="391" stopIfTrue="1">
      <formula>ISBLANK(G1451)</formula>
    </cfRule>
    <cfRule type="expression" dxfId="414" priority="392">
      <formula>IFERROR(FIND("@",G1451),-1)&lt;0</formula>
    </cfRule>
  </conditionalFormatting>
  <conditionalFormatting sqref="G1458">
    <cfRule type="expression" dxfId="413" priority="389" stopIfTrue="1">
      <formula>ISBLANK(G1458)</formula>
    </cfRule>
    <cfRule type="expression" dxfId="412" priority="390">
      <formula>IFERROR(FIND("@",G1458),-1)&lt;0</formula>
    </cfRule>
  </conditionalFormatting>
  <conditionalFormatting sqref="G1459">
    <cfRule type="expression" dxfId="411" priority="387" stopIfTrue="1">
      <formula>ISBLANK(G1459)</formula>
    </cfRule>
    <cfRule type="expression" dxfId="410" priority="388">
      <formula>IFERROR(FIND("@",G1459),-1)&lt;0</formula>
    </cfRule>
  </conditionalFormatting>
  <conditionalFormatting sqref="G1460">
    <cfRule type="expression" dxfId="409" priority="385" stopIfTrue="1">
      <formula>ISBLANK(G1460)</formula>
    </cfRule>
    <cfRule type="expression" dxfId="408" priority="386">
      <formula>IFERROR(FIND("@",G1460),-1)&lt;0</formula>
    </cfRule>
  </conditionalFormatting>
  <conditionalFormatting sqref="G1462">
    <cfRule type="expression" dxfId="407" priority="383" stopIfTrue="1">
      <formula>ISBLANK(G1462)</formula>
    </cfRule>
    <cfRule type="expression" dxfId="406" priority="384">
      <formula>IFERROR(FIND("@",G1462),-1)&lt;0</formula>
    </cfRule>
  </conditionalFormatting>
  <conditionalFormatting sqref="G1468">
    <cfRule type="expression" dxfId="405" priority="381" stopIfTrue="1">
      <formula>ISBLANK(G1468)</formula>
    </cfRule>
    <cfRule type="expression" dxfId="404" priority="382">
      <formula>IFERROR(FIND("@",G1468),-1)&lt;0</formula>
    </cfRule>
  </conditionalFormatting>
  <conditionalFormatting sqref="G1474">
    <cfRule type="expression" dxfId="403" priority="379" stopIfTrue="1">
      <formula>ISBLANK(G1474)</formula>
    </cfRule>
    <cfRule type="expression" dxfId="402" priority="380">
      <formula>IFERROR(FIND("@",G1474),-1)&lt;0</formula>
    </cfRule>
  </conditionalFormatting>
  <conditionalFormatting sqref="G1475">
    <cfRule type="expression" dxfId="401" priority="377" stopIfTrue="1">
      <formula>ISBLANK(G1475)</formula>
    </cfRule>
    <cfRule type="expression" dxfId="400" priority="378">
      <formula>IFERROR(FIND("@",G1475),-1)&lt;0</formula>
    </cfRule>
  </conditionalFormatting>
  <conditionalFormatting sqref="G1494">
    <cfRule type="expression" dxfId="399" priority="375" stopIfTrue="1">
      <formula>ISBLANK(G1494)</formula>
    </cfRule>
    <cfRule type="expression" dxfId="398" priority="376">
      <formula>IFERROR(FIND("@",G1494),-1)&lt;0</formula>
    </cfRule>
  </conditionalFormatting>
  <conditionalFormatting sqref="G1510:G1511">
    <cfRule type="expression" dxfId="397" priority="373" stopIfTrue="1">
      <formula>ISBLANK(G1510)</formula>
    </cfRule>
    <cfRule type="expression" dxfId="396" priority="374">
      <formula>IFERROR(FIND("@",G1510),-1)&lt;0</formula>
    </cfRule>
  </conditionalFormatting>
  <conditionalFormatting sqref="G1528:G1529">
    <cfRule type="expression" dxfId="395" priority="371" stopIfTrue="1">
      <formula>ISBLANK(G1528)</formula>
    </cfRule>
    <cfRule type="expression" dxfId="394" priority="372">
      <formula>IFERROR(FIND("@",G1528),-1)&lt;0</formula>
    </cfRule>
  </conditionalFormatting>
  <conditionalFormatting sqref="G1538:G1539">
    <cfRule type="expression" dxfId="393" priority="369" stopIfTrue="1">
      <formula>ISBLANK(G1538)</formula>
    </cfRule>
    <cfRule type="expression" dxfId="392" priority="370">
      <formula>IFERROR(FIND("@",G1538),-1)&lt;0</formula>
    </cfRule>
  </conditionalFormatting>
  <conditionalFormatting sqref="G1543:G1544">
    <cfRule type="expression" dxfId="391" priority="367" stopIfTrue="1">
      <formula>ISBLANK(G1543)</formula>
    </cfRule>
    <cfRule type="expression" dxfId="390" priority="368">
      <formula>IFERROR(FIND("@",G1543),-1)&lt;0</formula>
    </cfRule>
  </conditionalFormatting>
  <conditionalFormatting sqref="G1547">
    <cfRule type="expression" dxfId="389" priority="365" stopIfTrue="1">
      <formula>ISBLANK(G1547)</formula>
    </cfRule>
    <cfRule type="expression" dxfId="388" priority="366">
      <formula>IFERROR(FIND("@",G1547),-1)&lt;0</formula>
    </cfRule>
  </conditionalFormatting>
  <conditionalFormatting sqref="G1551">
    <cfRule type="expression" dxfId="387" priority="363" stopIfTrue="1">
      <formula>ISBLANK(G1551)</formula>
    </cfRule>
    <cfRule type="expression" dxfId="386" priority="364">
      <formula>IFERROR(FIND("@",G1551),-1)&lt;0</formula>
    </cfRule>
  </conditionalFormatting>
  <conditionalFormatting sqref="G1553">
    <cfRule type="expression" dxfId="385" priority="361" stopIfTrue="1">
      <formula>ISBLANK(G1553)</formula>
    </cfRule>
    <cfRule type="expression" dxfId="384" priority="362">
      <formula>IFERROR(FIND("@",G1553),-1)&lt;0</formula>
    </cfRule>
  </conditionalFormatting>
  <conditionalFormatting sqref="G1563">
    <cfRule type="expression" dxfId="383" priority="359" stopIfTrue="1">
      <formula>ISBLANK(G1563)</formula>
    </cfRule>
    <cfRule type="expression" dxfId="382" priority="360">
      <formula>IFERROR(FIND("@",G1563),-1)&lt;0</formula>
    </cfRule>
  </conditionalFormatting>
  <conditionalFormatting sqref="G1564">
    <cfRule type="expression" dxfId="381" priority="357" stopIfTrue="1">
      <formula>ISBLANK(G1564)</formula>
    </cfRule>
    <cfRule type="expression" dxfId="380" priority="358">
      <formula>IFERROR(FIND("@",G1564),-1)&lt;0</formula>
    </cfRule>
  </conditionalFormatting>
  <conditionalFormatting sqref="G1565">
    <cfRule type="expression" dxfId="379" priority="355" stopIfTrue="1">
      <formula>ISBLANK(G1565)</formula>
    </cfRule>
    <cfRule type="expression" dxfId="378" priority="356">
      <formula>IFERROR(FIND("@",G1565),-1)&lt;0</formula>
    </cfRule>
  </conditionalFormatting>
  <conditionalFormatting sqref="G1572">
    <cfRule type="expression" dxfId="377" priority="353" stopIfTrue="1">
      <formula>ISBLANK(G1572)</formula>
    </cfRule>
    <cfRule type="expression" dxfId="376" priority="354">
      <formula>IFERROR(FIND("@",G1572),-1)&lt;0</formula>
    </cfRule>
  </conditionalFormatting>
  <conditionalFormatting sqref="G1578">
    <cfRule type="expression" dxfId="375" priority="351" stopIfTrue="1">
      <formula>ISBLANK(G1578)</formula>
    </cfRule>
    <cfRule type="expression" dxfId="374" priority="352">
      <formula>IFERROR(FIND("@",G1578),-1)&lt;0</formula>
    </cfRule>
  </conditionalFormatting>
  <conditionalFormatting sqref="G1581">
    <cfRule type="expression" dxfId="373" priority="349" stopIfTrue="1">
      <formula>ISBLANK(G1581)</formula>
    </cfRule>
    <cfRule type="expression" dxfId="372" priority="350">
      <formula>IFERROR(FIND("@",G1581),-1)&lt;0</formula>
    </cfRule>
  </conditionalFormatting>
  <conditionalFormatting sqref="G1596">
    <cfRule type="expression" dxfId="371" priority="347" stopIfTrue="1">
      <formula>ISBLANK(G1596)</formula>
    </cfRule>
    <cfRule type="expression" dxfId="370" priority="348">
      <formula>IFERROR(FIND("@",G1596),-1)&lt;0</formula>
    </cfRule>
  </conditionalFormatting>
  <conditionalFormatting sqref="G1597">
    <cfRule type="expression" dxfId="369" priority="345" stopIfTrue="1">
      <formula>ISBLANK(G1597)</formula>
    </cfRule>
    <cfRule type="expression" dxfId="368" priority="346">
      <formula>IFERROR(FIND("@",G1597),-1)&lt;0</formula>
    </cfRule>
  </conditionalFormatting>
  <conditionalFormatting sqref="G1604">
    <cfRule type="expression" dxfId="367" priority="343" stopIfTrue="1">
      <formula>ISBLANK(G1604)</formula>
    </cfRule>
    <cfRule type="expression" dxfId="366" priority="344">
      <formula>IFERROR(FIND("@",G1604),-1)&lt;0</formula>
    </cfRule>
  </conditionalFormatting>
  <conditionalFormatting sqref="G1613">
    <cfRule type="expression" dxfId="365" priority="339" stopIfTrue="1">
      <formula>ISBLANK(G1613)</formula>
    </cfRule>
    <cfRule type="expression" dxfId="364" priority="340">
      <formula>IFERROR(FIND("@",G1613),-1)&lt;0</formula>
    </cfRule>
  </conditionalFormatting>
  <conditionalFormatting sqref="G1614">
    <cfRule type="expression" dxfId="363" priority="337" stopIfTrue="1">
      <formula>ISBLANK(G1614)</formula>
    </cfRule>
    <cfRule type="expression" dxfId="362" priority="338">
      <formula>IFERROR(FIND("@",G1614),-1)&lt;0</formula>
    </cfRule>
  </conditionalFormatting>
  <conditionalFormatting sqref="G1617">
    <cfRule type="expression" dxfId="361" priority="335" stopIfTrue="1">
      <formula>ISBLANK(G1617)</formula>
    </cfRule>
    <cfRule type="expression" dxfId="360" priority="336">
      <formula>IFERROR(FIND("@",G1617),-1)&lt;0</formula>
    </cfRule>
  </conditionalFormatting>
  <conditionalFormatting sqref="G1618">
    <cfRule type="expression" dxfId="359" priority="333" stopIfTrue="1">
      <formula>ISBLANK(G1618)</formula>
    </cfRule>
    <cfRule type="expression" dxfId="358" priority="334">
      <formula>IFERROR(FIND("@",G1618),-1)&lt;0</formula>
    </cfRule>
  </conditionalFormatting>
  <conditionalFormatting sqref="G1619">
    <cfRule type="expression" dxfId="357" priority="331" stopIfTrue="1">
      <formula>ISBLANK(G1619)</formula>
    </cfRule>
    <cfRule type="expression" dxfId="356" priority="332">
      <formula>IFERROR(FIND("@",G1619),-1)&lt;0</formula>
    </cfRule>
  </conditionalFormatting>
  <conditionalFormatting sqref="G1623">
    <cfRule type="expression" dxfId="355" priority="329" stopIfTrue="1">
      <formula>ISBLANK(G1623)</formula>
    </cfRule>
    <cfRule type="expression" dxfId="354" priority="330">
      <formula>IFERROR(FIND("@",G1623),-1)&lt;0</formula>
    </cfRule>
  </conditionalFormatting>
  <conditionalFormatting sqref="G1644">
    <cfRule type="expression" dxfId="353" priority="327" stopIfTrue="1">
      <formula>ISBLANK(G1644)</formula>
    </cfRule>
    <cfRule type="expression" dxfId="352" priority="328">
      <formula>IFERROR(FIND("@",G1644),-1)&lt;0</formula>
    </cfRule>
  </conditionalFormatting>
  <conditionalFormatting sqref="G1651">
    <cfRule type="expression" dxfId="351" priority="325" stopIfTrue="1">
      <formula>ISBLANK(G1651)</formula>
    </cfRule>
    <cfRule type="expression" dxfId="350" priority="326">
      <formula>IFERROR(FIND("@",G1651),-1)&lt;0</formula>
    </cfRule>
  </conditionalFormatting>
  <conditionalFormatting sqref="G1659">
    <cfRule type="expression" dxfId="349" priority="323" stopIfTrue="1">
      <formula>ISBLANK(G1659)</formula>
    </cfRule>
    <cfRule type="expression" dxfId="348" priority="324">
      <formula>IFERROR(FIND("@",G1659),-1)&lt;0</formula>
    </cfRule>
  </conditionalFormatting>
  <conditionalFormatting sqref="G1660">
    <cfRule type="expression" dxfId="347" priority="321" stopIfTrue="1">
      <formula>ISBLANK(G1660)</formula>
    </cfRule>
    <cfRule type="expression" dxfId="346" priority="322">
      <formula>IFERROR(FIND("@",G1660),-1)&lt;0</formula>
    </cfRule>
  </conditionalFormatting>
  <conditionalFormatting sqref="G1669">
    <cfRule type="expression" dxfId="345" priority="319" stopIfTrue="1">
      <formula>ISBLANK(G1669)</formula>
    </cfRule>
    <cfRule type="expression" dxfId="344" priority="320">
      <formula>IFERROR(FIND("@",G1669),-1)&lt;0</formula>
    </cfRule>
  </conditionalFormatting>
  <conditionalFormatting sqref="G1676">
    <cfRule type="expression" dxfId="343" priority="317" stopIfTrue="1">
      <formula>ISBLANK(G1676)</formula>
    </cfRule>
    <cfRule type="expression" dxfId="342" priority="318">
      <formula>IFERROR(FIND("@",G1676),-1)&lt;0</formula>
    </cfRule>
  </conditionalFormatting>
  <conditionalFormatting sqref="G1685">
    <cfRule type="expression" dxfId="341" priority="315" stopIfTrue="1">
      <formula>ISBLANK(G1685)</formula>
    </cfRule>
    <cfRule type="expression" dxfId="340" priority="316">
      <formula>IFERROR(FIND("@",G1685),-1)&lt;0</formula>
    </cfRule>
  </conditionalFormatting>
  <conditionalFormatting sqref="G1691">
    <cfRule type="expression" dxfId="339" priority="313" stopIfTrue="1">
      <formula>ISBLANK(G1691)</formula>
    </cfRule>
    <cfRule type="expression" dxfId="338" priority="314">
      <formula>IFERROR(FIND("@",G1691),-1)&lt;0</formula>
    </cfRule>
  </conditionalFormatting>
  <conditionalFormatting sqref="G1698:G1699">
    <cfRule type="expression" dxfId="337" priority="311" stopIfTrue="1">
      <formula>ISBLANK(G1698)</formula>
    </cfRule>
    <cfRule type="expression" dxfId="336" priority="312">
      <formula>IFERROR(FIND("@",G1698),-1)&lt;0</formula>
    </cfRule>
  </conditionalFormatting>
  <conditionalFormatting sqref="G1704">
    <cfRule type="expression" dxfId="335" priority="309" stopIfTrue="1">
      <formula>ISBLANK(G1704)</formula>
    </cfRule>
    <cfRule type="expression" dxfId="334" priority="310">
      <formula>IFERROR(FIND("@",G1704),-1)&lt;0</formula>
    </cfRule>
  </conditionalFormatting>
  <conditionalFormatting sqref="G1709">
    <cfRule type="expression" dxfId="333" priority="307" stopIfTrue="1">
      <formula>ISBLANK(G1709)</formula>
    </cfRule>
    <cfRule type="expression" dxfId="332" priority="308">
      <formula>IFERROR(FIND("@",G1709),-1)&lt;0</formula>
    </cfRule>
  </conditionalFormatting>
  <conditionalFormatting sqref="G1718">
    <cfRule type="expression" dxfId="331" priority="305" stopIfTrue="1">
      <formula>ISBLANK(G1718)</formula>
    </cfRule>
    <cfRule type="expression" dxfId="330" priority="306">
      <formula>IFERROR(FIND("@",G1718),-1)&lt;0</formula>
    </cfRule>
  </conditionalFormatting>
  <conditionalFormatting sqref="G1723">
    <cfRule type="expression" dxfId="329" priority="303" stopIfTrue="1">
      <formula>ISBLANK(G1723)</formula>
    </cfRule>
    <cfRule type="expression" dxfId="328" priority="304">
      <formula>IFERROR(FIND("@",G1723),-1)&lt;0</formula>
    </cfRule>
  </conditionalFormatting>
  <conditionalFormatting sqref="G1727">
    <cfRule type="expression" dxfId="327" priority="301" stopIfTrue="1">
      <formula>ISBLANK(G1727)</formula>
    </cfRule>
    <cfRule type="expression" dxfId="326" priority="302">
      <formula>IFERROR(FIND("@",G1727),-1)&lt;0</formula>
    </cfRule>
  </conditionalFormatting>
  <conditionalFormatting sqref="G1729">
    <cfRule type="expression" dxfId="325" priority="299" stopIfTrue="1">
      <formula>ISBLANK(G1729)</formula>
    </cfRule>
    <cfRule type="expression" dxfId="324" priority="300">
      <formula>IFERROR(FIND("@",G1729),-1)&lt;0</formula>
    </cfRule>
  </conditionalFormatting>
  <conditionalFormatting sqref="G1736">
    <cfRule type="expression" dxfId="323" priority="297" stopIfTrue="1">
      <formula>ISBLANK(G1736)</formula>
    </cfRule>
    <cfRule type="expression" dxfId="322" priority="298">
      <formula>IFERROR(FIND("@",G1736),-1)&lt;0</formula>
    </cfRule>
  </conditionalFormatting>
  <conditionalFormatting sqref="G1757">
    <cfRule type="expression" dxfId="321" priority="295" stopIfTrue="1">
      <formula>ISBLANK(G1757)</formula>
    </cfRule>
    <cfRule type="expression" dxfId="320" priority="296">
      <formula>IFERROR(FIND("@",G1757),-1)&lt;0</formula>
    </cfRule>
  </conditionalFormatting>
  <conditionalFormatting sqref="G1758">
    <cfRule type="expression" dxfId="319" priority="293" stopIfTrue="1">
      <formula>ISBLANK(G1758)</formula>
    </cfRule>
    <cfRule type="expression" dxfId="318" priority="294">
      <formula>IFERROR(FIND("@",G1758),-1)&lt;0</formula>
    </cfRule>
  </conditionalFormatting>
  <conditionalFormatting sqref="G1759">
    <cfRule type="expression" dxfId="317" priority="291" stopIfTrue="1">
      <formula>ISBLANK(G1759)</formula>
    </cfRule>
    <cfRule type="expression" dxfId="316" priority="292">
      <formula>IFERROR(FIND("@",G1759),-1)&lt;0</formula>
    </cfRule>
  </conditionalFormatting>
  <conditionalFormatting sqref="G1770">
    <cfRule type="expression" dxfId="315" priority="289" stopIfTrue="1">
      <formula>ISBLANK(G1770)</formula>
    </cfRule>
    <cfRule type="expression" dxfId="314" priority="290">
      <formula>IFERROR(FIND("@",G1770),-1)&lt;0</formula>
    </cfRule>
  </conditionalFormatting>
  <conditionalFormatting sqref="G1774">
    <cfRule type="expression" dxfId="313" priority="287" stopIfTrue="1">
      <formula>ISBLANK(G1774)</formula>
    </cfRule>
    <cfRule type="expression" dxfId="312" priority="288">
      <formula>IFERROR(FIND("@",G1774),-1)&lt;0</formula>
    </cfRule>
  </conditionalFormatting>
  <conditionalFormatting sqref="G1781">
    <cfRule type="expression" dxfId="311" priority="285" stopIfTrue="1">
      <formula>ISBLANK(G1781)</formula>
    </cfRule>
    <cfRule type="expression" dxfId="310" priority="286">
      <formula>IFERROR(FIND("@",G1781),-1)&lt;0</formula>
    </cfRule>
  </conditionalFormatting>
  <conditionalFormatting sqref="G1783">
    <cfRule type="expression" dxfId="309" priority="283" stopIfTrue="1">
      <formula>ISBLANK(G1783)</formula>
    </cfRule>
    <cfRule type="expression" dxfId="308" priority="284">
      <formula>IFERROR(FIND("@",G1783),-1)&lt;0</formula>
    </cfRule>
  </conditionalFormatting>
  <conditionalFormatting sqref="G1800">
    <cfRule type="expression" dxfId="307" priority="281" stopIfTrue="1">
      <formula>ISBLANK(G1800)</formula>
    </cfRule>
    <cfRule type="expression" dxfId="306" priority="282">
      <formula>IFERROR(FIND("@",G1800),-1)&lt;0</formula>
    </cfRule>
  </conditionalFormatting>
  <conditionalFormatting sqref="G1801">
    <cfRule type="expression" dxfId="305" priority="279" stopIfTrue="1">
      <formula>ISBLANK(G1801)</formula>
    </cfRule>
    <cfRule type="expression" dxfId="304" priority="280">
      <formula>IFERROR(FIND("@",G1801),-1)&lt;0</formula>
    </cfRule>
  </conditionalFormatting>
  <conditionalFormatting sqref="G1806">
    <cfRule type="expression" dxfId="303" priority="277" stopIfTrue="1">
      <formula>ISBLANK(G1806)</formula>
    </cfRule>
    <cfRule type="expression" dxfId="302" priority="278">
      <formula>IFERROR(FIND("@",G1806),-1)&lt;0</formula>
    </cfRule>
  </conditionalFormatting>
  <conditionalFormatting sqref="G1813">
    <cfRule type="expression" dxfId="301" priority="275" stopIfTrue="1">
      <formula>ISBLANK(G1813)</formula>
    </cfRule>
    <cfRule type="expression" dxfId="300" priority="276">
      <formula>IFERROR(FIND("@",G1813),-1)&lt;0</formula>
    </cfRule>
  </conditionalFormatting>
  <conditionalFormatting sqref="G1820">
    <cfRule type="expression" dxfId="299" priority="273" stopIfTrue="1">
      <formula>ISBLANK(G1820)</formula>
    </cfRule>
    <cfRule type="expression" dxfId="298" priority="274">
      <formula>IFERROR(FIND("@",G1820),-1)&lt;0</formula>
    </cfRule>
  </conditionalFormatting>
  <conditionalFormatting sqref="G1824">
    <cfRule type="expression" dxfId="297" priority="271" stopIfTrue="1">
      <formula>ISBLANK(G1824)</formula>
    </cfRule>
    <cfRule type="expression" dxfId="296" priority="272">
      <formula>IFERROR(FIND("@",G1824),-1)&lt;0</formula>
    </cfRule>
  </conditionalFormatting>
  <conditionalFormatting sqref="G1829">
    <cfRule type="expression" dxfId="295" priority="269" stopIfTrue="1">
      <formula>ISBLANK(G1829)</formula>
    </cfRule>
    <cfRule type="expression" dxfId="294" priority="270">
      <formula>IFERROR(FIND("@",G1829),-1)&lt;0</formula>
    </cfRule>
  </conditionalFormatting>
  <conditionalFormatting sqref="G1832">
    <cfRule type="expression" dxfId="293" priority="267" stopIfTrue="1">
      <formula>ISBLANK(G1832)</formula>
    </cfRule>
    <cfRule type="expression" dxfId="292" priority="268">
      <formula>IFERROR(FIND("@",G1832),-1)&lt;0</formula>
    </cfRule>
  </conditionalFormatting>
  <conditionalFormatting sqref="G1835">
    <cfRule type="expression" dxfId="291" priority="265" stopIfTrue="1">
      <formula>ISBLANK(G1835)</formula>
    </cfRule>
    <cfRule type="expression" dxfId="290" priority="266">
      <formula>IFERROR(FIND("@",G1835),-1)&lt;0</formula>
    </cfRule>
  </conditionalFormatting>
  <conditionalFormatting sqref="G1842">
    <cfRule type="expression" dxfId="289" priority="263" stopIfTrue="1">
      <formula>ISBLANK(G1842)</formula>
    </cfRule>
    <cfRule type="expression" dxfId="288" priority="264">
      <formula>IFERROR(FIND("@",G1842),-1)&lt;0</formula>
    </cfRule>
  </conditionalFormatting>
  <conditionalFormatting sqref="G1851">
    <cfRule type="expression" dxfId="287" priority="261" stopIfTrue="1">
      <formula>ISBLANK(G1851)</formula>
    </cfRule>
    <cfRule type="expression" dxfId="286" priority="262">
      <formula>IFERROR(FIND("@",G1851),-1)&lt;0</formula>
    </cfRule>
  </conditionalFormatting>
  <conditionalFormatting sqref="G1854">
    <cfRule type="expression" dxfId="285" priority="259" stopIfTrue="1">
      <formula>ISBLANK(G1854)</formula>
    </cfRule>
    <cfRule type="expression" dxfId="284" priority="260">
      <formula>IFERROR(FIND("@",G1854),-1)&lt;0</formula>
    </cfRule>
  </conditionalFormatting>
  <conditionalFormatting sqref="G1865">
    <cfRule type="expression" dxfId="283" priority="257" stopIfTrue="1">
      <formula>ISBLANK(G1865)</formula>
    </cfRule>
    <cfRule type="expression" dxfId="282" priority="258">
      <formula>IFERROR(FIND("@",G1865),-1)&lt;0</formula>
    </cfRule>
  </conditionalFormatting>
  <conditionalFormatting sqref="G1868">
    <cfRule type="expression" dxfId="281" priority="255" stopIfTrue="1">
      <formula>ISBLANK(G1868)</formula>
    </cfRule>
    <cfRule type="expression" dxfId="280" priority="256">
      <formula>IFERROR(FIND("@",G1868),-1)&lt;0</formula>
    </cfRule>
  </conditionalFormatting>
  <conditionalFormatting sqref="G1875">
    <cfRule type="expression" dxfId="279" priority="253" stopIfTrue="1">
      <formula>ISBLANK(G1875)</formula>
    </cfRule>
    <cfRule type="expression" dxfId="278" priority="254">
      <formula>IFERROR(FIND("@",G1875),-1)&lt;0</formula>
    </cfRule>
  </conditionalFormatting>
  <conditionalFormatting sqref="G1877">
    <cfRule type="expression" dxfId="277" priority="251" stopIfTrue="1">
      <formula>ISBLANK(G1877)</formula>
    </cfRule>
    <cfRule type="expression" dxfId="276" priority="252">
      <formula>IFERROR(FIND("@",G1877),-1)&lt;0</formula>
    </cfRule>
  </conditionalFormatting>
  <conditionalFormatting sqref="G1888">
    <cfRule type="expression" dxfId="275" priority="249" stopIfTrue="1">
      <formula>ISBLANK(G1888)</formula>
    </cfRule>
    <cfRule type="expression" dxfId="274" priority="250">
      <formula>IFERROR(FIND("@",G1888),-1)&lt;0</formula>
    </cfRule>
  </conditionalFormatting>
  <conditionalFormatting sqref="G1895">
    <cfRule type="expression" dxfId="273" priority="247" stopIfTrue="1">
      <formula>ISBLANK(G1895)</formula>
    </cfRule>
    <cfRule type="expression" dxfId="272" priority="248">
      <formula>IFERROR(FIND("@",G1895),-1)&lt;0</formula>
    </cfRule>
  </conditionalFormatting>
  <conditionalFormatting sqref="G1896">
    <cfRule type="expression" dxfId="271" priority="245" stopIfTrue="1">
      <formula>ISBLANK(G1896)</formula>
    </cfRule>
    <cfRule type="expression" dxfId="270" priority="246">
      <formula>IFERROR(FIND("@",G1896),-1)&lt;0</formula>
    </cfRule>
  </conditionalFormatting>
  <conditionalFormatting sqref="G1912">
    <cfRule type="expression" dxfId="269" priority="243" stopIfTrue="1">
      <formula>ISBLANK(G1912)</formula>
    </cfRule>
    <cfRule type="expression" dxfId="268" priority="244">
      <formula>IFERROR(FIND("@",G1912),-1)&lt;0</formula>
    </cfRule>
  </conditionalFormatting>
  <conditionalFormatting sqref="G1914">
    <cfRule type="expression" dxfId="267" priority="241" stopIfTrue="1">
      <formula>ISBLANK(G1914)</formula>
    </cfRule>
    <cfRule type="expression" dxfId="266" priority="242">
      <formula>IFERROR(FIND("@",G1914),-1)&lt;0</formula>
    </cfRule>
  </conditionalFormatting>
  <conditionalFormatting sqref="G1923">
    <cfRule type="expression" dxfId="265" priority="239" stopIfTrue="1">
      <formula>ISBLANK(G1923)</formula>
    </cfRule>
    <cfRule type="expression" dxfId="264" priority="240">
      <formula>IFERROR(FIND("@",G1923),-1)&lt;0</formula>
    </cfRule>
  </conditionalFormatting>
  <conditionalFormatting sqref="G1939">
    <cfRule type="expression" dxfId="263" priority="237" stopIfTrue="1">
      <formula>ISBLANK(G1939)</formula>
    </cfRule>
    <cfRule type="expression" dxfId="262" priority="238">
      <formula>IFERROR(FIND("@",G1939),-1)&lt;0</formula>
    </cfRule>
  </conditionalFormatting>
  <conditionalFormatting sqref="G1942">
    <cfRule type="expression" dxfId="261" priority="235" stopIfTrue="1">
      <formula>ISBLANK(G1942)</formula>
    </cfRule>
    <cfRule type="expression" dxfId="260" priority="236">
      <formula>IFERROR(FIND("@",G1942),-1)&lt;0</formula>
    </cfRule>
  </conditionalFormatting>
  <conditionalFormatting sqref="G1944">
    <cfRule type="expression" dxfId="259" priority="233" stopIfTrue="1">
      <formula>ISBLANK(G1944)</formula>
    </cfRule>
    <cfRule type="expression" dxfId="258" priority="234">
      <formula>IFERROR(FIND("@",G1944),-1)&lt;0</formula>
    </cfRule>
  </conditionalFormatting>
  <conditionalFormatting sqref="G1945">
    <cfRule type="expression" dxfId="257" priority="231" stopIfTrue="1">
      <formula>ISBLANK(G1945)</formula>
    </cfRule>
    <cfRule type="expression" dxfId="256" priority="232">
      <formula>IFERROR(FIND("@",G1945),-1)&lt;0</formula>
    </cfRule>
  </conditionalFormatting>
  <conditionalFormatting sqref="G1960">
    <cfRule type="expression" dxfId="255" priority="229" stopIfTrue="1">
      <formula>ISBLANK(G1960)</formula>
    </cfRule>
    <cfRule type="expression" dxfId="254" priority="230">
      <formula>IFERROR(FIND("@",G1960),-1)&lt;0</formula>
    </cfRule>
  </conditionalFormatting>
  <conditionalFormatting sqref="G1964">
    <cfRule type="expression" dxfId="253" priority="227" stopIfTrue="1">
      <formula>ISBLANK(G1964)</formula>
    </cfRule>
    <cfRule type="expression" dxfId="252" priority="228">
      <formula>IFERROR(FIND("@",G1964),-1)&lt;0</formula>
    </cfRule>
  </conditionalFormatting>
  <conditionalFormatting sqref="G1992">
    <cfRule type="expression" dxfId="251" priority="225" stopIfTrue="1">
      <formula>ISBLANK(G1992)</formula>
    </cfRule>
    <cfRule type="expression" dxfId="250" priority="226">
      <formula>IFERROR(FIND("@",G1992),-1)&lt;0</formula>
    </cfRule>
  </conditionalFormatting>
  <conditionalFormatting sqref="G1996">
    <cfRule type="expression" dxfId="249" priority="223" stopIfTrue="1">
      <formula>ISBLANK(G1996)</formula>
    </cfRule>
    <cfRule type="expression" dxfId="248" priority="224">
      <formula>IFERROR(FIND("@",G1996),-1)&lt;0</formula>
    </cfRule>
  </conditionalFormatting>
  <conditionalFormatting sqref="G1999">
    <cfRule type="expression" dxfId="247" priority="221" stopIfTrue="1">
      <formula>ISBLANK(G1999)</formula>
    </cfRule>
    <cfRule type="expression" dxfId="246" priority="222">
      <formula>IFERROR(FIND("@",G1999),-1)&lt;0</formula>
    </cfRule>
  </conditionalFormatting>
  <conditionalFormatting sqref="G2001">
    <cfRule type="expression" dxfId="245" priority="219" stopIfTrue="1">
      <formula>ISBLANK(G2001)</formula>
    </cfRule>
    <cfRule type="expression" dxfId="244" priority="220">
      <formula>IFERROR(FIND("@",G2001),-1)&lt;0</formula>
    </cfRule>
  </conditionalFormatting>
  <conditionalFormatting sqref="G2003">
    <cfRule type="expression" dxfId="243" priority="217" stopIfTrue="1">
      <formula>ISBLANK(G2003)</formula>
    </cfRule>
    <cfRule type="expression" dxfId="242" priority="218">
      <formula>IFERROR(FIND("@",G2003),-1)&lt;0</formula>
    </cfRule>
  </conditionalFormatting>
  <conditionalFormatting sqref="G2007">
    <cfRule type="expression" dxfId="241" priority="215" stopIfTrue="1">
      <formula>ISBLANK(G2007)</formula>
    </cfRule>
    <cfRule type="expression" dxfId="240" priority="216">
      <formula>IFERROR(FIND("@",G2007),-1)&lt;0</formula>
    </cfRule>
  </conditionalFormatting>
  <conditionalFormatting sqref="G2033">
    <cfRule type="expression" dxfId="239" priority="213" stopIfTrue="1">
      <formula>ISBLANK(G2033)</formula>
    </cfRule>
    <cfRule type="expression" dxfId="238" priority="214">
      <formula>IFERROR(FIND("@",G2033),-1)&lt;0</formula>
    </cfRule>
  </conditionalFormatting>
  <conditionalFormatting sqref="G2038">
    <cfRule type="expression" dxfId="237" priority="211" stopIfTrue="1">
      <formula>ISBLANK(G2038)</formula>
    </cfRule>
    <cfRule type="expression" dxfId="236" priority="212">
      <formula>IFERROR(FIND("@",G2038),-1)&lt;0</formula>
    </cfRule>
  </conditionalFormatting>
  <conditionalFormatting sqref="G2039">
    <cfRule type="expression" dxfId="235" priority="209" stopIfTrue="1">
      <formula>ISBLANK(G2039)</formula>
    </cfRule>
    <cfRule type="expression" dxfId="234" priority="210">
      <formula>IFERROR(FIND("@",G2039),-1)&lt;0</formula>
    </cfRule>
  </conditionalFormatting>
  <conditionalFormatting sqref="G2042">
    <cfRule type="expression" dxfId="233" priority="207" stopIfTrue="1">
      <formula>ISBLANK(G2042)</formula>
    </cfRule>
    <cfRule type="expression" dxfId="232" priority="208">
      <formula>IFERROR(FIND("@",G2042),-1)&lt;0</formula>
    </cfRule>
  </conditionalFormatting>
  <conditionalFormatting sqref="G2043">
    <cfRule type="expression" dxfId="231" priority="205" stopIfTrue="1">
      <formula>ISBLANK(G2043)</formula>
    </cfRule>
    <cfRule type="expression" dxfId="230" priority="206">
      <formula>IFERROR(FIND("@",G2043),-1)&lt;0</formula>
    </cfRule>
  </conditionalFormatting>
  <conditionalFormatting sqref="G2045">
    <cfRule type="expression" dxfId="229" priority="203" stopIfTrue="1">
      <formula>ISBLANK(G2045)</formula>
    </cfRule>
    <cfRule type="expression" dxfId="228" priority="204">
      <formula>IFERROR(FIND("@",G2045),-1)&lt;0</formula>
    </cfRule>
  </conditionalFormatting>
  <conditionalFormatting sqref="G2051">
    <cfRule type="expression" dxfId="227" priority="201" stopIfTrue="1">
      <formula>ISBLANK(G2051)</formula>
    </cfRule>
    <cfRule type="expression" dxfId="226" priority="202">
      <formula>IFERROR(FIND("@",G2051),-1)&lt;0</formula>
    </cfRule>
  </conditionalFormatting>
  <conditionalFormatting sqref="G2052">
    <cfRule type="expression" dxfId="225" priority="199" stopIfTrue="1">
      <formula>ISBLANK(G2052)</formula>
    </cfRule>
    <cfRule type="expression" dxfId="224" priority="200">
      <formula>IFERROR(FIND("@",G2052),-1)&lt;0</formula>
    </cfRule>
  </conditionalFormatting>
  <conditionalFormatting sqref="G2055">
    <cfRule type="expression" dxfId="223" priority="197" stopIfTrue="1">
      <formula>ISBLANK(G2055)</formula>
    </cfRule>
    <cfRule type="expression" dxfId="222" priority="198">
      <formula>IFERROR(FIND("@",G2055),-1)&lt;0</formula>
    </cfRule>
  </conditionalFormatting>
  <conditionalFormatting sqref="G2066">
    <cfRule type="expression" dxfId="221" priority="195" stopIfTrue="1">
      <formula>ISBLANK(G2066)</formula>
    </cfRule>
    <cfRule type="expression" dxfId="220" priority="196">
      <formula>IFERROR(FIND("@",G2066),-1)&lt;0</formula>
    </cfRule>
  </conditionalFormatting>
  <conditionalFormatting sqref="G2072">
    <cfRule type="expression" dxfId="219" priority="193" stopIfTrue="1">
      <formula>ISBLANK(G2072)</formula>
    </cfRule>
    <cfRule type="expression" dxfId="218" priority="194">
      <formula>IFERROR(FIND("@",G2072),-1)&lt;0</formula>
    </cfRule>
  </conditionalFormatting>
  <conditionalFormatting sqref="G2080">
    <cfRule type="expression" dxfId="217" priority="191" stopIfTrue="1">
      <formula>ISBLANK(G2080)</formula>
    </cfRule>
    <cfRule type="expression" dxfId="216" priority="192">
      <formula>IFERROR(FIND("@",G2080),-1)&lt;0</formula>
    </cfRule>
  </conditionalFormatting>
  <conditionalFormatting sqref="G2085">
    <cfRule type="expression" dxfId="215" priority="187" stopIfTrue="1">
      <formula>ISBLANK(G2085)</formula>
    </cfRule>
    <cfRule type="expression" dxfId="214" priority="188">
      <formula>IFERROR(FIND("@",G2085),-1)&lt;0</formula>
    </cfRule>
  </conditionalFormatting>
  <conditionalFormatting sqref="G2092">
    <cfRule type="expression" dxfId="213" priority="185" stopIfTrue="1">
      <formula>ISBLANK(G2092)</formula>
    </cfRule>
    <cfRule type="expression" dxfId="212" priority="186">
      <formula>IFERROR(FIND("@",G2092),-1)&lt;0</formula>
    </cfRule>
  </conditionalFormatting>
  <conditionalFormatting sqref="G2113">
    <cfRule type="expression" dxfId="211" priority="183" stopIfTrue="1">
      <formula>ISBLANK(G2113)</formula>
    </cfRule>
    <cfRule type="expression" dxfId="210" priority="184">
      <formula>IFERROR(FIND("@",G2113),-1)&lt;0</formula>
    </cfRule>
  </conditionalFormatting>
  <conditionalFormatting sqref="G2114">
    <cfRule type="expression" dxfId="209" priority="181" stopIfTrue="1">
      <formula>ISBLANK(G2114)</formula>
    </cfRule>
    <cfRule type="expression" dxfId="208" priority="182">
      <formula>IFERROR(FIND("@",G2114),-1)&lt;0</formula>
    </cfRule>
  </conditionalFormatting>
  <conditionalFormatting sqref="G2127">
    <cfRule type="expression" dxfId="207" priority="179" stopIfTrue="1">
      <formula>ISBLANK(G2127)</formula>
    </cfRule>
    <cfRule type="expression" dxfId="206" priority="180">
      <formula>IFERROR(FIND("@",G2127),-1)&lt;0</formula>
    </cfRule>
  </conditionalFormatting>
  <conditionalFormatting sqref="G2130">
    <cfRule type="expression" dxfId="205" priority="177" stopIfTrue="1">
      <formula>ISBLANK(G2130)</formula>
    </cfRule>
    <cfRule type="expression" dxfId="204" priority="178">
      <formula>IFERROR(FIND("@",G2130),-1)&lt;0</formula>
    </cfRule>
  </conditionalFormatting>
  <conditionalFormatting sqref="G2137">
    <cfRule type="expression" dxfId="203" priority="175" stopIfTrue="1">
      <formula>ISBLANK(G2137)</formula>
    </cfRule>
    <cfRule type="expression" dxfId="202" priority="176">
      <formula>IFERROR(FIND("@",G2137),-1)&lt;0</formula>
    </cfRule>
  </conditionalFormatting>
  <conditionalFormatting sqref="G2139">
    <cfRule type="expression" dxfId="201" priority="173" stopIfTrue="1">
      <formula>ISBLANK(G2139)</formula>
    </cfRule>
    <cfRule type="expression" dxfId="200" priority="174">
      <formula>IFERROR(FIND("@",G2139),-1)&lt;0</formula>
    </cfRule>
  </conditionalFormatting>
  <conditionalFormatting sqref="G2146">
    <cfRule type="expression" dxfId="199" priority="171" stopIfTrue="1">
      <formula>ISBLANK(G2146)</formula>
    </cfRule>
    <cfRule type="expression" dxfId="198" priority="172">
      <formula>IFERROR(FIND("@",G2146),-1)&lt;0</formula>
    </cfRule>
  </conditionalFormatting>
  <conditionalFormatting sqref="G2149">
    <cfRule type="expression" dxfId="197" priority="169" stopIfTrue="1">
      <formula>ISBLANK(G2149)</formula>
    </cfRule>
    <cfRule type="expression" dxfId="196" priority="170">
      <formula>IFERROR(FIND("@",G2149),-1)&lt;0</formula>
    </cfRule>
  </conditionalFormatting>
  <conditionalFormatting sqref="G2151">
    <cfRule type="expression" dxfId="195" priority="167" stopIfTrue="1">
      <formula>ISBLANK(G2151)</formula>
    </cfRule>
    <cfRule type="expression" dxfId="194" priority="168">
      <formula>IFERROR(FIND("@",G2151),-1)&lt;0</formula>
    </cfRule>
  </conditionalFormatting>
  <conditionalFormatting sqref="G2158">
    <cfRule type="expression" dxfId="193" priority="165" stopIfTrue="1">
      <formula>ISBLANK(G2158)</formula>
    </cfRule>
    <cfRule type="expression" dxfId="192" priority="166">
      <formula>IFERROR(FIND("@",G2158),-1)&lt;0</formula>
    </cfRule>
  </conditionalFormatting>
  <conditionalFormatting sqref="G2164">
    <cfRule type="expression" dxfId="191" priority="163" stopIfTrue="1">
      <formula>ISBLANK(G2164)</formula>
    </cfRule>
    <cfRule type="expression" dxfId="190" priority="164">
      <formula>IFERROR(FIND("@",G2164),-1)&lt;0</formula>
    </cfRule>
  </conditionalFormatting>
  <conditionalFormatting sqref="G2166">
    <cfRule type="expression" dxfId="189" priority="161" stopIfTrue="1">
      <formula>ISBLANK(G2166)</formula>
    </cfRule>
    <cfRule type="expression" dxfId="188" priority="162">
      <formula>IFERROR(FIND("@",G2166),-1)&lt;0</formula>
    </cfRule>
  </conditionalFormatting>
  <conditionalFormatting sqref="G2167">
    <cfRule type="expression" dxfId="187" priority="159" stopIfTrue="1">
      <formula>ISBLANK(G2167)</formula>
    </cfRule>
    <cfRule type="expression" dxfId="186" priority="160">
      <formula>IFERROR(FIND("@",G2167),-1)&lt;0</formula>
    </cfRule>
  </conditionalFormatting>
  <conditionalFormatting sqref="G2199">
    <cfRule type="expression" dxfId="185" priority="157" stopIfTrue="1">
      <formula>ISBLANK(G2199)</formula>
    </cfRule>
    <cfRule type="expression" dxfId="184" priority="158">
      <formula>IFERROR(FIND("@",G2199),-1)&lt;0</formula>
    </cfRule>
  </conditionalFormatting>
  <conditionalFormatting sqref="G2218">
    <cfRule type="expression" dxfId="183" priority="155" stopIfTrue="1">
      <formula>ISBLANK(G2218)</formula>
    </cfRule>
    <cfRule type="expression" dxfId="182" priority="156">
      <formula>IFERROR(FIND("@",G2218),-1)&lt;0</formula>
    </cfRule>
  </conditionalFormatting>
  <conditionalFormatting sqref="G2223">
    <cfRule type="expression" dxfId="181" priority="153" stopIfTrue="1">
      <formula>ISBLANK(G2223)</formula>
    </cfRule>
    <cfRule type="expression" dxfId="180" priority="154">
      <formula>IFERROR(FIND("@",G2223),-1)&lt;0</formula>
    </cfRule>
  </conditionalFormatting>
  <conditionalFormatting sqref="G2227">
    <cfRule type="expression" dxfId="179" priority="151" stopIfTrue="1">
      <formula>ISBLANK(G2227)</formula>
    </cfRule>
    <cfRule type="expression" dxfId="178" priority="152">
      <formula>IFERROR(FIND("@",G2227),-1)&lt;0</formula>
    </cfRule>
  </conditionalFormatting>
  <conditionalFormatting sqref="G2231">
    <cfRule type="expression" dxfId="177" priority="149" stopIfTrue="1">
      <formula>ISBLANK(G2231)</formula>
    </cfRule>
    <cfRule type="expression" dxfId="176" priority="150">
      <formula>IFERROR(FIND("@",G2231),-1)&lt;0</formula>
    </cfRule>
  </conditionalFormatting>
  <conditionalFormatting sqref="G2232">
    <cfRule type="expression" dxfId="175" priority="147" stopIfTrue="1">
      <formula>ISBLANK(G2232)</formula>
    </cfRule>
    <cfRule type="expression" dxfId="174" priority="148">
      <formula>IFERROR(FIND("@",G2232),-1)&lt;0</formula>
    </cfRule>
  </conditionalFormatting>
  <conditionalFormatting sqref="G2234">
    <cfRule type="expression" dxfId="173" priority="145" stopIfTrue="1">
      <formula>ISBLANK(G2234)</formula>
    </cfRule>
    <cfRule type="expression" dxfId="172" priority="146">
      <formula>IFERROR(FIND("@",G2234),-1)&lt;0</formula>
    </cfRule>
  </conditionalFormatting>
  <conditionalFormatting sqref="G2235">
    <cfRule type="expression" dxfId="171" priority="143" stopIfTrue="1">
      <formula>ISBLANK(G2235)</formula>
    </cfRule>
    <cfRule type="expression" dxfId="170" priority="144">
      <formula>IFERROR(FIND("@",G2235),-1)&lt;0</formula>
    </cfRule>
  </conditionalFormatting>
  <conditionalFormatting sqref="G2263">
    <cfRule type="expression" dxfId="169" priority="141" stopIfTrue="1">
      <formula>ISBLANK(G2263)</formula>
    </cfRule>
    <cfRule type="expression" dxfId="168" priority="142">
      <formula>IFERROR(FIND("@",G2263),-1)&lt;0</formula>
    </cfRule>
  </conditionalFormatting>
  <conditionalFormatting sqref="G2265">
    <cfRule type="expression" dxfId="167" priority="139" stopIfTrue="1">
      <formula>ISBLANK(G2265)</formula>
    </cfRule>
    <cfRule type="expression" dxfId="166" priority="140">
      <formula>IFERROR(FIND("@",G2265),-1)&lt;0</formula>
    </cfRule>
  </conditionalFormatting>
  <conditionalFormatting sqref="G2275">
    <cfRule type="expression" dxfId="165" priority="137" stopIfTrue="1">
      <formula>ISBLANK(G2275)</formula>
    </cfRule>
    <cfRule type="expression" dxfId="164" priority="138">
      <formula>IFERROR(FIND("@",G2275),-1)&lt;0</formula>
    </cfRule>
  </conditionalFormatting>
  <conditionalFormatting sqref="G2276">
    <cfRule type="expression" dxfId="163" priority="135" stopIfTrue="1">
      <formula>ISBLANK(G2276)</formula>
    </cfRule>
    <cfRule type="expression" dxfId="162" priority="136">
      <formula>IFERROR(FIND("@",G2276),-1)&lt;0</formula>
    </cfRule>
  </conditionalFormatting>
  <conditionalFormatting sqref="G2285">
    <cfRule type="expression" dxfId="161" priority="133" stopIfTrue="1">
      <formula>ISBLANK(G2285)</formula>
    </cfRule>
    <cfRule type="expression" dxfId="160" priority="134">
      <formula>IFERROR(FIND("@",G2285),-1)&lt;0</formula>
    </cfRule>
  </conditionalFormatting>
  <conditionalFormatting sqref="G2294">
    <cfRule type="expression" dxfId="159" priority="131" stopIfTrue="1">
      <formula>ISBLANK(G2294)</formula>
    </cfRule>
    <cfRule type="expression" dxfId="158" priority="132">
      <formula>IFERROR(FIND("@",G2294),-1)&lt;0</formula>
    </cfRule>
  </conditionalFormatting>
  <conditionalFormatting sqref="G2279">
    <cfRule type="expression" dxfId="157" priority="129" stopIfTrue="1">
      <formula>ISBLANK(G2279)</formula>
    </cfRule>
    <cfRule type="expression" dxfId="156" priority="130">
      <formula>IFERROR(FIND("@",G2279),-1)&lt;0</formula>
    </cfRule>
  </conditionalFormatting>
  <conditionalFormatting sqref="G2303">
    <cfRule type="expression" dxfId="155" priority="127" stopIfTrue="1">
      <formula>ISBLANK(G2303)</formula>
    </cfRule>
    <cfRule type="expression" dxfId="154" priority="128">
      <formula>IFERROR(FIND("@",G2303),-1)&lt;0</formula>
    </cfRule>
  </conditionalFormatting>
  <conditionalFormatting sqref="G2315">
    <cfRule type="expression" dxfId="153" priority="125" stopIfTrue="1">
      <formula>ISBLANK(G2315)</formula>
    </cfRule>
    <cfRule type="expression" dxfId="152" priority="126">
      <formula>IFERROR(FIND("@",G2315),-1)&lt;0</formula>
    </cfRule>
  </conditionalFormatting>
  <conditionalFormatting sqref="G2327">
    <cfRule type="expression" dxfId="151" priority="123" stopIfTrue="1">
      <formula>ISBLANK(G2327)</formula>
    </cfRule>
    <cfRule type="expression" dxfId="150" priority="124">
      <formula>IFERROR(FIND("@",G2327),-1)&lt;0</formula>
    </cfRule>
  </conditionalFormatting>
  <conditionalFormatting sqref="G2339">
    <cfRule type="expression" dxfId="149" priority="121" stopIfTrue="1">
      <formula>ISBLANK(G2339)</formula>
    </cfRule>
    <cfRule type="expression" dxfId="148" priority="122">
      <formula>IFERROR(FIND("@",G2339),-1)&lt;0</formula>
    </cfRule>
  </conditionalFormatting>
  <conditionalFormatting sqref="G2344:G2345">
    <cfRule type="expression" dxfId="147" priority="119" stopIfTrue="1">
      <formula>ISBLANK(G2344)</formula>
    </cfRule>
    <cfRule type="expression" dxfId="146" priority="120">
      <formula>IFERROR(FIND("@",G2344),-1)&lt;0</formula>
    </cfRule>
  </conditionalFormatting>
  <conditionalFormatting sqref="G2353">
    <cfRule type="expression" dxfId="145" priority="117" stopIfTrue="1">
      <formula>ISBLANK(G2353)</formula>
    </cfRule>
    <cfRule type="expression" dxfId="144" priority="118">
      <formula>IFERROR(FIND("@",G2353),-1)&lt;0</formula>
    </cfRule>
  </conditionalFormatting>
  <conditionalFormatting sqref="G2354">
    <cfRule type="expression" dxfId="143" priority="115" stopIfTrue="1">
      <formula>ISBLANK(G2354)</formula>
    </cfRule>
    <cfRule type="expression" dxfId="142" priority="116">
      <formula>IFERROR(FIND("@",G2354),-1)&lt;0</formula>
    </cfRule>
  </conditionalFormatting>
  <conditionalFormatting sqref="G2359">
    <cfRule type="expression" dxfId="141" priority="113" stopIfTrue="1">
      <formula>ISBLANK(G2359)</formula>
    </cfRule>
    <cfRule type="expression" dxfId="140" priority="114">
      <formula>IFERROR(FIND("@",G2359),-1)&lt;0</formula>
    </cfRule>
  </conditionalFormatting>
  <conditionalFormatting sqref="G2364">
    <cfRule type="expression" dxfId="139" priority="111" stopIfTrue="1">
      <formula>ISBLANK(G2364)</formula>
    </cfRule>
    <cfRule type="expression" dxfId="138" priority="112">
      <formula>IFERROR(FIND("@",G2364),-1)&lt;0</formula>
    </cfRule>
  </conditionalFormatting>
  <conditionalFormatting sqref="G2368">
    <cfRule type="expression" dxfId="137" priority="109" stopIfTrue="1">
      <formula>ISBLANK(G2368)</formula>
    </cfRule>
    <cfRule type="expression" dxfId="136" priority="110">
      <formula>IFERROR(FIND("@",G2368),-1)&lt;0</formula>
    </cfRule>
  </conditionalFormatting>
  <conditionalFormatting sqref="G2369">
    <cfRule type="expression" dxfId="135" priority="107" stopIfTrue="1">
      <formula>ISBLANK(G2369)</formula>
    </cfRule>
    <cfRule type="expression" dxfId="134" priority="108">
      <formula>IFERROR(FIND("@",G2369),-1)&lt;0</formula>
    </cfRule>
  </conditionalFormatting>
  <conditionalFormatting sqref="G2377">
    <cfRule type="expression" dxfId="133" priority="105" stopIfTrue="1">
      <formula>ISBLANK(G2377)</formula>
    </cfRule>
    <cfRule type="expression" dxfId="132" priority="106">
      <formula>IFERROR(FIND("@",G2377),-1)&lt;0</formula>
    </cfRule>
  </conditionalFormatting>
  <conditionalFormatting sqref="G2378">
    <cfRule type="expression" dxfId="131" priority="103" stopIfTrue="1">
      <formula>ISBLANK(G2378)</formula>
    </cfRule>
    <cfRule type="expression" dxfId="130" priority="104">
      <formula>IFERROR(FIND("@",G2378),-1)&lt;0</formula>
    </cfRule>
  </conditionalFormatting>
  <conditionalFormatting sqref="G2379">
    <cfRule type="expression" dxfId="129" priority="101" stopIfTrue="1">
      <formula>ISBLANK(G2379)</formula>
    </cfRule>
    <cfRule type="expression" dxfId="128" priority="102">
      <formula>IFERROR(FIND("@",G2379),-1)&lt;0</formula>
    </cfRule>
  </conditionalFormatting>
  <conditionalFormatting sqref="G2382">
    <cfRule type="expression" dxfId="127" priority="99" stopIfTrue="1">
      <formula>ISBLANK(G2382)</formula>
    </cfRule>
    <cfRule type="expression" dxfId="126" priority="100">
      <formula>IFERROR(FIND("@",G2382),-1)&lt;0</formula>
    </cfRule>
  </conditionalFormatting>
  <conditionalFormatting sqref="G2389">
    <cfRule type="expression" dxfId="125" priority="97" stopIfTrue="1">
      <formula>ISBLANK(G2389)</formula>
    </cfRule>
    <cfRule type="expression" dxfId="124" priority="98">
      <formula>IFERROR(FIND("@",G2389),-1)&lt;0</formula>
    </cfRule>
  </conditionalFormatting>
  <conditionalFormatting sqref="G2407">
    <cfRule type="expression" dxfId="123" priority="95" stopIfTrue="1">
      <formula>ISBLANK(G2407)</formula>
    </cfRule>
    <cfRule type="expression" dxfId="122" priority="96">
      <formula>IFERROR(FIND("@",G2407),-1)&lt;0</formula>
    </cfRule>
  </conditionalFormatting>
  <conditionalFormatting sqref="G2416">
    <cfRule type="expression" dxfId="121" priority="93" stopIfTrue="1">
      <formula>ISBLANK(G2416)</formula>
    </cfRule>
    <cfRule type="expression" dxfId="120" priority="94">
      <formula>IFERROR(FIND("@",G2416),-1)&lt;0</formula>
    </cfRule>
  </conditionalFormatting>
  <conditionalFormatting sqref="G2417">
    <cfRule type="expression" dxfId="119" priority="91" stopIfTrue="1">
      <formula>ISBLANK(G2417)</formula>
    </cfRule>
    <cfRule type="expression" dxfId="118" priority="92">
      <formula>IFERROR(FIND("@",G2417),-1)&lt;0</formula>
    </cfRule>
  </conditionalFormatting>
  <conditionalFormatting sqref="G2449">
    <cfRule type="expression" dxfId="117" priority="89" stopIfTrue="1">
      <formula>ISBLANK(G2449)</formula>
    </cfRule>
    <cfRule type="expression" dxfId="116" priority="90">
      <formula>IFERROR(FIND("@",G2449),-1)&lt;0</formula>
    </cfRule>
  </conditionalFormatting>
  <conditionalFormatting sqref="G2451">
    <cfRule type="expression" dxfId="115" priority="87" stopIfTrue="1">
      <formula>ISBLANK(G2451)</formula>
    </cfRule>
    <cfRule type="expression" dxfId="114" priority="88">
      <formula>IFERROR(FIND("@",G2451),-1)&lt;0</formula>
    </cfRule>
  </conditionalFormatting>
  <conditionalFormatting sqref="G2455">
    <cfRule type="expression" dxfId="113" priority="85" stopIfTrue="1">
      <formula>ISBLANK(G2455)</formula>
    </cfRule>
    <cfRule type="expression" dxfId="112" priority="86">
      <formula>IFERROR(FIND("@",G2455),-1)&lt;0</formula>
    </cfRule>
  </conditionalFormatting>
  <conditionalFormatting sqref="G2459">
    <cfRule type="expression" dxfId="111" priority="83" stopIfTrue="1">
      <formula>ISBLANK(G2459)</formula>
    </cfRule>
    <cfRule type="expression" dxfId="110" priority="84">
      <formula>IFERROR(FIND("@",G2459),-1)&lt;0</formula>
    </cfRule>
  </conditionalFormatting>
  <conditionalFormatting sqref="G2470">
    <cfRule type="expression" dxfId="109" priority="81" stopIfTrue="1">
      <formula>ISBLANK(G2470)</formula>
    </cfRule>
    <cfRule type="expression" dxfId="108" priority="82">
      <formula>IFERROR(FIND("@",G2470),-1)&lt;0</formula>
    </cfRule>
  </conditionalFormatting>
  <conditionalFormatting sqref="G2475">
    <cfRule type="expression" dxfId="107" priority="79" stopIfTrue="1">
      <formula>ISBLANK(G2475)</formula>
    </cfRule>
    <cfRule type="expression" dxfId="106" priority="80">
      <formula>IFERROR(FIND("@",G2475),-1)&lt;0</formula>
    </cfRule>
  </conditionalFormatting>
  <conditionalFormatting sqref="G2478:G2479">
    <cfRule type="expression" dxfId="105" priority="77" stopIfTrue="1">
      <formula>ISBLANK(G2478)</formula>
    </cfRule>
    <cfRule type="expression" dxfId="104" priority="78">
      <formula>IFERROR(FIND("@",G2478),-1)&lt;0</formula>
    </cfRule>
  </conditionalFormatting>
  <conditionalFormatting sqref="G2485">
    <cfRule type="expression" dxfId="103" priority="75" stopIfTrue="1">
      <formula>ISBLANK(G2485)</formula>
    </cfRule>
    <cfRule type="expression" dxfId="102" priority="76">
      <formula>IFERROR(FIND("@",G2485),-1)&lt;0</formula>
    </cfRule>
  </conditionalFormatting>
  <conditionalFormatting sqref="G2491">
    <cfRule type="expression" dxfId="101" priority="73" stopIfTrue="1">
      <formula>ISBLANK(G2491)</formula>
    </cfRule>
    <cfRule type="expression" dxfId="100" priority="74">
      <formula>IFERROR(FIND("@",G2491),-1)&lt;0</formula>
    </cfRule>
  </conditionalFormatting>
  <conditionalFormatting sqref="G2495">
    <cfRule type="expression" dxfId="99" priority="71" stopIfTrue="1">
      <formula>ISBLANK(G2495)</formula>
    </cfRule>
    <cfRule type="expression" dxfId="98" priority="72">
      <formula>IFERROR(FIND("@",G2495),-1)&lt;0</formula>
    </cfRule>
  </conditionalFormatting>
  <conditionalFormatting sqref="G2499">
    <cfRule type="expression" dxfId="97" priority="69" stopIfTrue="1">
      <formula>ISBLANK(G2499)</formula>
    </cfRule>
    <cfRule type="expression" dxfId="96" priority="70">
      <formula>IFERROR(FIND("@",G2499),-1)&lt;0</formula>
    </cfRule>
  </conditionalFormatting>
  <conditionalFormatting sqref="G2524">
    <cfRule type="expression" dxfId="95" priority="67" stopIfTrue="1">
      <formula>ISBLANK(G2524)</formula>
    </cfRule>
    <cfRule type="expression" dxfId="94" priority="68">
      <formula>IFERROR(FIND("@",G2524),-1)&lt;0</formula>
    </cfRule>
  </conditionalFormatting>
  <conditionalFormatting sqref="G2525">
    <cfRule type="expression" dxfId="93" priority="65" stopIfTrue="1">
      <formula>ISBLANK(G2525)</formula>
    </cfRule>
    <cfRule type="expression" dxfId="92" priority="66">
      <formula>IFERROR(FIND("@",G2525),-1)&lt;0</formula>
    </cfRule>
  </conditionalFormatting>
  <conditionalFormatting sqref="G2530">
    <cfRule type="expression" dxfId="91" priority="63" stopIfTrue="1">
      <formula>ISBLANK(G2530)</formula>
    </cfRule>
    <cfRule type="expression" dxfId="90" priority="64">
      <formula>IFERROR(FIND("@",G2530),-1)&lt;0</formula>
    </cfRule>
  </conditionalFormatting>
  <conditionalFormatting sqref="G2545">
    <cfRule type="expression" dxfId="89" priority="61" stopIfTrue="1">
      <formula>ISBLANK(G2545)</formula>
    </cfRule>
    <cfRule type="expression" dxfId="88" priority="62">
      <formula>IFERROR(FIND("@",G2545),-1)&lt;0</formula>
    </cfRule>
  </conditionalFormatting>
  <conditionalFormatting sqref="G2550">
    <cfRule type="expression" dxfId="87" priority="57" stopIfTrue="1">
      <formula>ISBLANK(G2550)</formula>
    </cfRule>
    <cfRule type="expression" dxfId="86" priority="58">
      <formula>IFERROR(FIND("@",G2550),-1)&lt;0</formula>
    </cfRule>
  </conditionalFormatting>
  <conditionalFormatting sqref="G2554">
    <cfRule type="expression" dxfId="85" priority="55" stopIfTrue="1">
      <formula>ISBLANK(G2554)</formula>
    </cfRule>
    <cfRule type="expression" dxfId="84" priority="56">
      <formula>IFERROR(FIND("@",G2554),-1)&lt;0</formula>
    </cfRule>
  </conditionalFormatting>
  <conditionalFormatting sqref="G2563">
    <cfRule type="expression" dxfId="83" priority="53" stopIfTrue="1">
      <formula>ISBLANK(G2563)</formula>
    </cfRule>
    <cfRule type="expression" dxfId="82" priority="54">
      <formula>IFERROR(FIND("@",G2563),-1)&lt;0</formula>
    </cfRule>
  </conditionalFormatting>
  <conditionalFormatting sqref="G2566">
    <cfRule type="expression" dxfId="81" priority="51" stopIfTrue="1">
      <formula>ISBLANK(G2566)</formula>
    </cfRule>
    <cfRule type="expression" dxfId="80" priority="52">
      <formula>IFERROR(FIND("@",G2566),-1)&lt;0</formula>
    </cfRule>
  </conditionalFormatting>
  <conditionalFormatting sqref="G2585">
    <cfRule type="expression" dxfId="79" priority="49" stopIfTrue="1">
      <formula>ISBLANK(G2585)</formula>
    </cfRule>
    <cfRule type="expression" dxfId="78" priority="50">
      <formula>IFERROR(FIND("@",G2585),-1)&lt;0</formula>
    </cfRule>
  </conditionalFormatting>
  <conditionalFormatting sqref="G2588">
    <cfRule type="expression" dxfId="77" priority="47" stopIfTrue="1">
      <formula>ISBLANK(G2588)</formula>
    </cfRule>
    <cfRule type="expression" dxfId="76" priority="48">
      <formula>IFERROR(FIND("@",G2588),-1)&lt;0</formula>
    </cfRule>
  </conditionalFormatting>
  <conditionalFormatting sqref="G2611">
    <cfRule type="expression" dxfId="75" priority="45" stopIfTrue="1">
      <formula>ISBLANK(G2611)</formula>
    </cfRule>
    <cfRule type="expression" dxfId="74" priority="46">
      <formula>IFERROR(FIND("@",G2611),-1)&lt;0</formula>
    </cfRule>
  </conditionalFormatting>
  <conditionalFormatting sqref="G2620">
    <cfRule type="expression" dxfId="73" priority="43" stopIfTrue="1">
      <formula>ISBLANK(G2620)</formula>
    </cfRule>
    <cfRule type="expression" dxfId="72" priority="44">
      <formula>IFERROR(FIND("@",G2620),-1)&lt;0</formula>
    </cfRule>
  </conditionalFormatting>
  <conditionalFormatting sqref="G2631">
    <cfRule type="expression" dxfId="71" priority="41" stopIfTrue="1">
      <formula>ISBLANK(G2631)</formula>
    </cfRule>
    <cfRule type="expression" dxfId="70" priority="42">
      <formula>IFERROR(FIND("@",G2631),-1)&lt;0</formula>
    </cfRule>
  </conditionalFormatting>
  <conditionalFormatting sqref="G2632">
    <cfRule type="expression" dxfId="69" priority="39" stopIfTrue="1">
      <formula>ISBLANK(G2632)</formula>
    </cfRule>
    <cfRule type="expression" dxfId="68" priority="40">
      <formula>IFERROR(FIND("@",G2632),-1)&lt;0</formula>
    </cfRule>
  </conditionalFormatting>
  <conditionalFormatting sqref="G2634">
    <cfRule type="expression" dxfId="67" priority="37" stopIfTrue="1">
      <formula>ISBLANK(G2634)</formula>
    </cfRule>
    <cfRule type="expression" dxfId="66" priority="38">
      <formula>IFERROR(FIND("@",G2634),-1)&lt;0</formula>
    </cfRule>
  </conditionalFormatting>
  <conditionalFormatting sqref="G2635">
    <cfRule type="expression" dxfId="65" priority="35" stopIfTrue="1">
      <formula>ISBLANK(G2635)</formula>
    </cfRule>
    <cfRule type="expression" dxfId="64" priority="36">
      <formula>IFERROR(FIND("@",G2635),-1)&lt;0</formula>
    </cfRule>
  </conditionalFormatting>
  <conditionalFormatting sqref="G2658">
    <cfRule type="expression" dxfId="63" priority="33" stopIfTrue="1">
      <formula>ISBLANK(G2658)</formula>
    </cfRule>
    <cfRule type="expression" dxfId="62" priority="34">
      <formula>IFERROR(FIND("@",G2658),-1)&lt;0</formula>
    </cfRule>
  </conditionalFormatting>
  <conditionalFormatting sqref="G2660">
    <cfRule type="expression" dxfId="61" priority="31" stopIfTrue="1">
      <formula>ISBLANK(G2660)</formula>
    </cfRule>
    <cfRule type="expression" dxfId="60" priority="32">
      <formula>IFERROR(FIND("@",G2660),-1)&lt;0</formula>
    </cfRule>
  </conditionalFormatting>
  <conditionalFormatting sqref="G2666">
    <cfRule type="expression" dxfId="59" priority="29" stopIfTrue="1">
      <formula>ISBLANK(G2666)</formula>
    </cfRule>
    <cfRule type="expression" dxfId="58" priority="30">
      <formula>IFERROR(FIND("@",G2666),-1)&lt;0</formula>
    </cfRule>
  </conditionalFormatting>
  <conditionalFormatting sqref="G2667">
    <cfRule type="expression" dxfId="57" priority="27" stopIfTrue="1">
      <formula>ISBLANK(G2667)</formula>
    </cfRule>
    <cfRule type="expression" dxfId="56" priority="28">
      <formula>IFERROR(FIND("@",G2667),-1)&lt;0</formula>
    </cfRule>
  </conditionalFormatting>
  <conditionalFormatting sqref="G2675">
    <cfRule type="expression" dxfId="55" priority="25" stopIfTrue="1">
      <formula>ISBLANK(G2675)</formula>
    </cfRule>
    <cfRule type="expression" dxfId="54" priority="26">
      <formula>IFERROR(FIND("@",G2675),-1)&lt;0</formula>
    </cfRule>
  </conditionalFormatting>
  <conditionalFormatting sqref="G2688">
    <cfRule type="expression" dxfId="53" priority="23" stopIfTrue="1">
      <formula>ISBLANK(G2688)</formula>
    </cfRule>
    <cfRule type="expression" dxfId="52" priority="24">
      <formula>IFERROR(FIND("@",G2688),-1)&lt;0</formula>
    </cfRule>
  </conditionalFormatting>
  <conditionalFormatting sqref="G2692">
    <cfRule type="expression" dxfId="51" priority="21" stopIfTrue="1">
      <formula>ISBLANK(G2692)</formula>
    </cfRule>
    <cfRule type="expression" dxfId="50" priority="22">
      <formula>IFERROR(FIND("@",G2692),-1)&lt;0</formula>
    </cfRule>
  </conditionalFormatting>
  <conditionalFormatting sqref="G2695">
    <cfRule type="expression" dxfId="49" priority="19" stopIfTrue="1">
      <formula>ISBLANK(G2695)</formula>
    </cfRule>
    <cfRule type="expression" dxfId="48" priority="20">
      <formula>IFERROR(FIND("@",G2695),-1)&lt;0</formula>
    </cfRule>
  </conditionalFormatting>
  <conditionalFormatting sqref="G2700">
    <cfRule type="expression" dxfId="47" priority="17" stopIfTrue="1">
      <formula>ISBLANK(G2700)</formula>
    </cfRule>
    <cfRule type="expression" dxfId="46" priority="18">
      <formula>IFERROR(FIND("@",G2700),-1)&lt;0</formula>
    </cfRule>
  </conditionalFormatting>
  <conditionalFormatting sqref="G2709">
    <cfRule type="expression" dxfId="45" priority="15" stopIfTrue="1">
      <formula>ISBLANK(G2709)</formula>
    </cfRule>
    <cfRule type="expression" dxfId="44" priority="16">
      <formula>IFERROR(FIND("@",G2709),-1)&lt;0</formula>
    </cfRule>
  </conditionalFormatting>
  <conditionalFormatting sqref="G2713">
    <cfRule type="expression" dxfId="43" priority="13" stopIfTrue="1">
      <formula>ISBLANK(G2713)</formula>
    </cfRule>
    <cfRule type="expression" dxfId="42" priority="14">
      <formula>IFERROR(FIND("@",G2713),-1)&lt;0</formula>
    </cfRule>
  </conditionalFormatting>
  <conditionalFormatting sqref="G2723">
    <cfRule type="expression" dxfId="41" priority="11" stopIfTrue="1">
      <formula>ISBLANK(G2723)</formula>
    </cfRule>
    <cfRule type="expression" dxfId="40" priority="12">
      <formula>IFERROR(FIND("@",G2723),-1)&lt;0</formula>
    </cfRule>
  </conditionalFormatting>
  <conditionalFormatting sqref="G2724">
    <cfRule type="expression" dxfId="39" priority="9" stopIfTrue="1">
      <formula>ISBLANK(G2724)</formula>
    </cfRule>
    <cfRule type="expression" dxfId="38" priority="10">
      <formula>IFERROR(FIND("@",G2724),-1)&lt;0</formula>
    </cfRule>
  </conditionalFormatting>
  <conditionalFormatting sqref="G2732">
    <cfRule type="expression" dxfId="37" priority="7" stopIfTrue="1">
      <formula>ISBLANK(G2732)</formula>
    </cfRule>
    <cfRule type="expression" dxfId="36" priority="8">
      <formula>IFERROR(FIND("@",G2732),-1)&lt;0</formula>
    </cfRule>
  </conditionalFormatting>
  <conditionalFormatting sqref="G2733">
    <cfRule type="expression" dxfId="35" priority="5" stopIfTrue="1">
      <formula>ISBLANK(G2733)</formula>
    </cfRule>
    <cfRule type="expression" dxfId="34" priority="6">
      <formula>IFERROR(FIND("@",G2733),-1)&lt;0</formula>
    </cfRule>
  </conditionalFormatting>
  <conditionalFormatting sqref="G2749">
    <cfRule type="expression" dxfId="33" priority="3" stopIfTrue="1">
      <formula>ISBLANK(G2749)</formula>
    </cfRule>
    <cfRule type="expression" dxfId="32" priority="4">
      <formula>IFERROR(FIND("@",G2749),-1)&lt;0</formula>
    </cfRule>
  </conditionalFormatting>
  <conditionalFormatting sqref="G2752">
    <cfRule type="expression" dxfId="31" priority="1" stopIfTrue="1">
      <formula>ISBLANK(G2752)</formula>
    </cfRule>
    <cfRule type="expression" dxfId="30" priority="2">
      <formula>IFERROR(FIND("@",G2752),-1)&lt;0</formula>
    </cfRule>
  </conditionalFormatting>
  <hyperlinks>
    <hyperlink ref="G1667" r:id="rId1" xr:uid="{00000000-0004-0000-0000-000000000000}"/>
    <hyperlink ref="G1870" r:id="rId2" xr:uid="{00000000-0004-0000-0000-000001000000}"/>
    <hyperlink ref="G1952" r:id="rId3" xr:uid="{00000000-0004-0000-0000-000002000000}"/>
    <hyperlink ref="G1958" r:id="rId4" xr:uid="{00000000-0004-0000-0000-000003000000}"/>
    <hyperlink ref="G2008" r:id="rId5" xr:uid="{00000000-0004-0000-0000-000004000000}"/>
    <hyperlink ref="G2069" r:id="rId6" xr:uid="{00000000-0004-0000-0000-000005000000}"/>
    <hyperlink ref="G2106" r:id="rId7" xr:uid="{00000000-0004-0000-0000-000006000000}"/>
    <hyperlink ref="G2144" r:id="rId8" xr:uid="{00000000-0004-0000-0000-000007000000}"/>
    <hyperlink ref="G2145" r:id="rId9" xr:uid="{00000000-0004-0000-0000-000008000000}"/>
    <hyperlink ref="G2185" r:id="rId10" xr:uid="{00000000-0004-0000-0000-000009000000}"/>
    <hyperlink ref="G2229" r:id="rId11" xr:uid="{00000000-0004-0000-0000-00000A000000}"/>
    <hyperlink ref="G2244" r:id="rId12" xr:uid="{00000000-0004-0000-0000-00000B000000}"/>
    <hyperlink ref="G2360" r:id="rId13" xr:uid="{00000000-0004-0000-0000-00000C000000}"/>
    <hyperlink ref="G2366" r:id="rId14" xr:uid="{00000000-0004-0000-0000-00000D000000}"/>
    <hyperlink ref="G2434" r:id="rId15" xr:uid="{00000000-0004-0000-0000-00000E000000}"/>
    <hyperlink ref="G2506" r:id="rId16" xr:uid="{00000000-0004-0000-0000-00000F000000}"/>
    <hyperlink ref="G2553" r:id="rId17" xr:uid="{00000000-0004-0000-0000-000010000000}"/>
    <hyperlink ref="G2607" r:id="rId18" xr:uid="{00000000-0004-0000-0000-000011000000}"/>
    <hyperlink ref="G2612" r:id="rId19" xr:uid="{00000000-0004-0000-0000-000012000000}"/>
    <hyperlink ref="G2683" r:id="rId20" xr:uid="{00000000-0004-0000-0000-000013000000}"/>
    <hyperlink ref="G2690" r:id="rId21" xr:uid="{00000000-0004-0000-0000-000014000000}"/>
    <hyperlink ref="G2714" r:id="rId22" xr:uid="{00000000-0004-0000-0000-000015000000}"/>
    <hyperlink ref="G2740" r:id="rId23" xr:uid="{00000000-0004-0000-0000-000016000000}"/>
  </hyperlinks>
  <pageMargins left="0.7" right="0.7" top="0.75" bottom="0.75" header="0.3" footer="0.3"/>
  <pageSetup orientation="portrait" r:id="rId24"/>
  <legacyDrawing r:id="rId25"/>
  <extLst>
    <ext xmlns:x14="http://schemas.microsoft.com/office/spreadsheetml/2009/9/main" uri="{78C0D931-6437-407d-A8EE-F0AAD7539E65}">
      <x14:conditionalFormattings>
        <x14:conditionalFormatting xmlns:xm="http://schemas.microsoft.com/office/excel/2006/main">
          <x14:cfRule type="expression" priority="551" id="{D7644C08-9ECB-43EA-B8F8-BBDD6A5D2E53}">
            <xm:f>('RESUMEN VIGILANCIA'!$C$1="û")</xm:f>
            <x14:dxf>
              <fill>
                <patternFill>
                  <bgColor rgb="FFFF0000"/>
                </patternFill>
              </fill>
            </x14:dxf>
          </x14:cfRule>
          <xm:sqref>E1</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6"/>
  <dimension ref="A1:BB150"/>
  <sheetViews>
    <sheetView showGridLines="0" zoomScale="86" zoomScaleNormal="86" workbookViewId="0">
      <pane xSplit="3" ySplit="1" topLeftCell="AJ51" activePane="bottomRight" state="frozen"/>
      <selection pane="bottomRight" activeCell="AP125" sqref="AP125"/>
      <selection pane="bottomLeft" activeCell="D2603" sqref="D2603"/>
      <selection pane="topRight" activeCell="D2603" sqref="D2603"/>
    </sheetView>
  </sheetViews>
  <sheetFormatPr defaultColWidth="11.42578125" defaultRowHeight="14.25"/>
  <cols>
    <col min="1" max="1" width="27.5703125" style="45" bestFit="1" customWidth="1"/>
    <col min="2" max="2" width="22" style="45" customWidth="1"/>
    <col min="3" max="3" width="3.85546875" style="46" bestFit="1" customWidth="1"/>
    <col min="4" max="28" width="11.7109375" style="27" hidden="1" customWidth="1"/>
    <col min="29" max="52" width="11.7109375" style="27" customWidth="1"/>
    <col min="53" max="53" width="11.42578125" style="437"/>
    <col min="54" max="54" width="6.140625" style="45" customWidth="1"/>
    <col min="55" max="16384" width="11.42578125" style="45"/>
  </cols>
  <sheetData>
    <row r="1" spans="1:53" s="29" customFormat="1" ht="20.100000000000001" customHeight="1">
      <c r="A1" s="625" t="s">
        <v>5</v>
      </c>
      <c r="B1" s="625" t="s">
        <v>7</v>
      </c>
      <c r="C1" s="626" t="str">
        <f>IF(SUMIF(Vigilancia!$J:$J,"Vigilancia",Vigilancia!$E:$E)=BA141,"ü","û")</f>
        <v>ü</v>
      </c>
      <c r="D1" s="646">
        <v>2016</v>
      </c>
      <c r="E1" s="627">
        <v>42736</v>
      </c>
      <c r="F1" s="627">
        <f>EDATE(E1,1)</f>
        <v>42767</v>
      </c>
      <c r="G1" s="627">
        <f t="shared" ref="G1:AB1" si="0">EDATE(F1,1)</f>
        <v>42795</v>
      </c>
      <c r="H1" s="627">
        <f t="shared" si="0"/>
        <v>42826</v>
      </c>
      <c r="I1" s="627">
        <f t="shared" si="0"/>
        <v>42856</v>
      </c>
      <c r="J1" s="627">
        <f t="shared" si="0"/>
        <v>42887</v>
      </c>
      <c r="K1" s="627">
        <f t="shared" si="0"/>
        <v>42917</v>
      </c>
      <c r="L1" s="627">
        <f t="shared" si="0"/>
        <v>42948</v>
      </c>
      <c r="M1" s="627">
        <f t="shared" si="0"/>
        <v>42979</v>
      </c>
      <c r="N1" s="627">
        <f t="shared" si="0"/>
        <v>43009</v>
      </c>
      <c r="O1" s="627">
        <f t="shared" si="0"/>
        <v>43040</v>
      </c>
      <c r="P1" s="627">
        <f t="shared" si="0"/>
        <v>43070</v>
      </c>
      <c r="Q1" s="627">
        <f t="shared" si="0"/>
        <v>43101</v>
      </c>
      <c r="R1" s="627">
        <f t="shared" si="0"/>
        <v>43132</v>
      </c>
      <c r="S1" s="627">
        <f t="shared" si="0"/>
        <v>43160</v>
      </c>
      <c r="T1" s="627">
        <f t="shared" si="0"/>
        <v>43191</v>
      </c>
      <c r="U1" s="627">
        <f t="shared" si="0"/>
        <v>43221</v>
      </c>
      <c r="V1" s="627">
        <f t="shared" si="0"/>
        <v>43252</v>
      </c>
      <c r="W1" s="627">
        <f t="shared" si="0"/>
        <v>43282</v>
      </c>
      <c r="X1" s="627">
        <f t="shared" si="0"/>
        <v>43313</v>
      </c>
      <c r="Y1" s="627">
        <f t="shared" si="0"/>
        <v>43344</v>
      </c>
      <c r="Z1" s="627">
        <f t="shared" si="0"/>
        <v>43374</v>
      </c>
      <c r="AA1" s="627">
        <f t="shared" si="0"/>
        <v>43405</v>
      </c>
      <c r="AB1" s="627">
        <f t="shared" si="0"/>
        <v>43435</v>
      </c>
      <c r="AC1" s="627">
        <f t="shared" ref="AC1" si="1">EDATE(AB1,1)</f>
        <v>43466</v>
      </c>
      <c r="AD1" s="627">
        <f t="shared" ref="AD1" si="2">EDATE(AC1,1)</f>
        <v>43497</v>
      </c>
      <c r="AE1" s="627">
        <f t="shared" ref="AE1" si="3">EDATE(AD1,1)</f>
        <v>43525</v>
      </c>
      <c r="AF1" s="627">
        <f t="shared" ref="AF1" si="4">EDATE(AE1,1)</f>
        <v>43556</v>
      </c>
      <c r="AG1" s="627">
        <f t="shared" ref="AG1" si="5">EDATE(AF1,1)</f>
        <v>43586</v>
      </c>
      <c r="AH1" s="627">
        <f t="shared" ref="AH1" si="6">EDATE(AG1,1)</f>
        <v>43617</v>
      </c>
      <c r="AI1" s="627">
        <f t="shared" ref="AI1" si="7">EDATE(AH1,1)</f>
        <v>43647</v>
      </c>
      <c r="AJ1" s="627">
        <f t="shared" ref="AJ1" si="8">EDATE(AI1,1)</f>
        <v>43678</v>
      </c>
      <c r="AK1" s="627">
        <f t="shared" ref="AK1" si="9">EDATE(AJ1,1)</f>
        <v>43709</v>
      </c>
      <c r="AL1" s="627">
        <f t="shared" ref="AL1" si="10">EDATE(AK1,1)</f>
        <v>43739</v>
      </c>
      <c r="AM1" s="627">
        <f t="shared" ref="AM1" si="11">EDATE(AL1,1)</f>
        <v>43770</v>
      </c>
      <c r="AN1" s="627">
        <f t="shared" ref="AN1" si="12">EDATE(AM1,1)</f>
        <v>43800</v>
      </c>
      <c r="AO1" s="627">
        <f t="shared" ref="AO1" si="13">EDATE(AN1,1)</f>
        <v>43831</v>
      </c>
      <c r="AP1" s="627">
        <f t="shared" ref="AP1" si="14">EDATE(AO1,1)</f>
        <v>43862</v>
      </c>
      <c r="AQ1" s="627">
        <f t="shared" ref="AQ1" si="15">EDATE(AP1,1)</f>
        <v>43891</v>
      </c>
      <c r="AR1" s="627">
        <f t="shared" ref="AR1" si="16">EDATE(AQ1,1)</f>
        <v>43922</v>
      </c>
      <c r="AS1" s="627">
        <f t="shared" ref="AS1" si="17">EDATE(AR1,1)</f>
        <v>43952</v>
      </c>
      <c r="AT1" s="627">
        <f t="shared" ref="AT1" si="18">EDATE(AS1,1)</f>
        <v>43983</v>
      </c>
      <c r="AU1" s="627">
        <f t="shared" ref="AU1" si="19">EDATE(AT1,1)</f>
        <v>44013</v>
      </c>
      <c r="AV1" s="627">
        <f t="shared" ref="AV1" si="20">EDATE(AU1,1)</f>
        <v>44044</v>
      </c>
      <c r="AW1" s="627">
        <f t="shared" ref="AW1" si="21">EDATE(AV1,1)</f>
        <v>44075</v>
      </c>
      <c r="AX1" s="627">
        <f t="shared" ref="AX1" si="22">EDATE(AW1,1)</f>
        <v>44105</v>
      </c>
      <c r="AY1" s="627">
        <f t="shared" ref="AY1" si="23">EDATE(AX1,1)</f>
        <v>44136</v>
      </c>
      <c r="AZ1" s="627">
        <f t="shared" ref="AZ1" si="24">EDATE(AY1,1)</f>
        <v>44166</v>
      </c>
      <c r="BA1" s="627" t="s">
        <v>1156</v>
      </c>
    </row>
    <row r="2" spans="1:53" s="29" customFormat="1" ht="20.100000000000001" customHeight="1">
      <c r="A2" s="30" t="str">
        <f>Vecinos!A2</f>
        <v>Familia Scabuzzo Gómez</v>
      </c>
      <c r="B2" s="31" t="str">
        <f>Vecinos!C2</f>
        <v>Av. "I" Nro. 146-20</v>
      </c>
      <c r="C2" s="32" t="str">
        <f>IF(SUMIFS(Vigilancia!$E:$E,Vigilancia!$F:$F,A2,Vigilancia!$J:$J,"Vigilancia")=BA2,"ü","û")</f>
        <v>ü</v>
      </c>
      <c r="D2" s="180"/>
      <c r="E2" s="181">
        <f>17000/100000</f>
        <v>0.17</v>
      </c>
      <c r="F2" s="182">
        <f>17000/100000</f>
        <v>0.17</v>
      </c>
      <c r="G2" s="182">
        <f>17000/100000</f>
        <v>0.17</v>
      </c>
      <c r="H2" s="182">
        <f>17000/100000</f>
        <v>0.17</v>
      </c>
      <c r="I2" s="183">
        <f>17000/100000</f>
        <v>0.17</v>
      </c>
      <c r="J2" s="182">
        <f>26000/100000</f>
        <v>0.26</v>
      </c>
      <c r="K2" s="182">
        <f>35000/100000</f>
        <v>0.35</v>
      </c>
      <c r="L2" s="182">
        <f>35000/100000</f>
        <v>0.35</v>
      </c>
      <c r="M2" s="182">
        <f>35000/100000</f>
        <v>0.35</v>
      </c>
      <c r="N2" s="182">
        <f>35000/100000</f>
        <v>0.35</v>
      </c>
      <c r="O2" s="182">
        <f>50000/100000</f>
        <v>0.5</v>
      </c>
      <c r="P2" s="180">
        <f>50000/100000</f>
        <v>0.5</v>
      </c>
      <c r="Q2" s="184">
        <f>80000/100000</f>
        <v>0.8</v>
      </c>
      <c r="R2" s="185">
        <f>80000/100000</f>
        <v>0.8</v>
      </c>
      <c r="S2" s="186">
        <f>140000/100000</f>
        <v>1.4</v>
      </c>
      <c r="T2" s="186">
        <f>140000/100000</f>
        <v>1.4</v>
      </c>
      <c r="U2" s="186">
        <f>400000/100000</f>
        <v>4</v>
      </c>
      <c r="V2" s="186">
        <f>400000/100000+225000/100000</f>
        <v>6.25</v>
      </c>
      <c r="W2" s="186">
        <f>1000000/100000</f>
        <v>10</v>
      </c>
      <c r="X2" s="186">
        <f>1200000/100000</f>
        <v>12</v>
      </c>
      <c r="Y2" s="186">
        <v>320</v>
      </c>
      <c r="Z2" s="352">
        <v>320</v>
      </c>
      <c r="AA2" s="352">
        <f>30+290+30</f>
        <v>350</v>
      </c>
      <c r="AB2" s="378">
        <f>30+770</f>
        <v>800</v>
      </c>
      <c r="AC2" s="392">
        <f>800+2200</f>
        <v>3000</v>
      </c>
      <c r="AD2" s="393">
        <v>3000</v>
      </c>
      <c r="AE2" s="394">
        <v>3000</v>
      </c>
      <c r="AF2" s="400">
        <f>3000+2000</f>
        <v>5000</v>
      </c>
      <c r="AG2" s="400">
        <v>8000</v>
      </c>
      <c r="AH2" s="394">
        <v>8000</v>
      </c>
      <c r="AI2" s="394">
        <v>10000</v>
      </c>
      <c r="AJ2" s="394">
        <v>10000</v>
      </c>
      <c r="AK2" s="394">
        <v>21100</v>
      </c>
      <c r="AL2" s="394">
        <f>(21100+30150)/1</f>
        <v>51250</v>
      </c>
      <c r="AM2" s="394">
        <v>73500</v>
      </c>
      <c r="AN2" s="395"/>
      <c r="AO2" s="392"/>
      <c r="AP2" s="393"/>
      <c r="AQ2" s="394"/>
      <c r="AR2" s="400"/>
      <c r="AS2" s="400"/>
      <c r="AT2" s="394"/>
      <c r="AU2" s="394"/>
      <c r="AV2" s="394"/>
      <c r="AW2" s="394"/>
      <c r="AX2" s="394"/>
      <c r="AY2" s="394"/>
      <c r="AZ2" s="395"/>
      <c r="BA2" s="424">
        <f>SUM(D2:AZ2)</f>
        <v>197680.16</v>
      </c>
    </row>
    <row r="3" spans="1:53" s="29" customFormat="1" ht="20.100000000000001" customHeight="1">
      <c r="A3" s="33" t="str">
        <f>Vecinos!A3</f>
        <v>Familia Hoyte Rafmari</v>
      </c>
      <c r="B3" s="34" t="str">
        <f>Vecinos!C3</f>
        <v>Av. "I" Nro. 146-30</v>
      </c>
      <c r="C3" s="35" t="str">
        <f>IF(SUMIFS(Vigilancia!$E:$E,Vigilancia!$F:$F,A3,Vigilancia!$J:$J,"Vigilancia")=BA3,"ü","û")</f>
        <v>ü</v>
      </c>
      <c r="D3" s="187"/>
      <c r="E3" s="188">
        <f>10500/100000</f>
        <v>0.105</v>
      </c>
      <c r="F3" s="189">
        <f>10500/100000</f>
        <v>0.105</v>
      </c>
      <c r="G3" s="189">
        <f>10500/100000</f>
        <v>0.105</v>
      </c>
      <c r="H3" s="189"/>
      <c r="I3" s="189"/>
      <c r="J3" s="189"/>
      <c r="K3" s="189"/>
      <c r="L3" s="189"/>
      <c r="M3" s="189"/>
      <c r="N3" s="189"/>
      <c r="O3" s="189"/>
      <c r="P3" s="187"/>
      <c r="Q3" s="190"/>
      <c r="R3" s="191"/>
      <c r="S3" s="191"/>
      <c r="T3" s="191"/>
      <c r="U3" s="191"/>
      <c r="V3" s="191"/>
      <c r="W3" s="191"/>
      <c r="X3" s="191"/>
      <c r="Y3" s="191"/>
      <c r="Z3" s="191"/>
      <c r="AA3" s="191"/>
      <c r="AB3" s="187"/>
      <c r="AC3" s="396"/>
      <c r="AD3" s="397"/>
      <c r="AE3" s="397"/>
      <c r="AF3" s="397"/>
      <c r="AG3" s="397"/>
      <c r="AH3" s="397"/>
      <c r="AI3" s="397"/>
      <c r="AJ3" s="397"/>
      <c r="AK3" s="397"/>
      <c r="AL3" s="397"/>
      <c r="AM3" s="397"/>
      <c r="AN3" s="398"/>
      <c r="AO3" s="396"/>
      <c r="AP3" s="397"/>
      <c r="AQ3" s="397"/>
      <c r="AR3" s="397"/>
      <c r="AS3" s="397"/>
      <c r="AT3" s="397"/>
      <c r="AU3" s="397"/>
      <c r="AV3" s="397"/>
      <c r="AW3" s="397"/>
      <c r="AX3" s="397"/>
      <c r="AY3" s="397"/>
      <c r="AZ3" s="398"/>
      <c r="BA3" s="425">
        <f t="shared" ref="BA3:BA67" si="25">SUM(D3:AZ3)</f>
        <v>0.315</v>
      </c>
    </row>
    <row r="4" spans="1:53" s="29" customFormat="1" ht="20.100000000000001" customHeight="1">
      <c r="A4" s="30" t="str">
        <f>Vecinos!A4</f>
        <v>Familia Il Grande Franceschi</v>
      </c>
      <c r="B4" s="31" t="str">
        <f>Vecinos!C4</f>
        <v>Av. "I" Nro. 146-40</v>
      </c>
      <c r="C4" s="36" t="str">
        <f>IF(SUMIFS(Vigilancia!$E:$E,Vigilancia!$F:$F,A4,Vigilancia!$J:$J,"Vigilancia")=BA4,"ü","û")</f>
        <v>ü</v>
      </c>
      <c r="D4" s="180"/>
      <c r="E4" s="181">
        <f t="shared" ref="E4:H6" si="26">17000/100000</f>
        <v>0.17</v>
      </c>
      <c r="F4" s="182">
        <f t="shared" si="26"/>
        <v>0.17</v>
      </c>
      <c r="G4" s="182">
        <f t="shared" si="26"/>
        <v>0.17</v>
      </c>
      <c r="H4" s="182">
        <f t="shared" si="26"/>
        <v>0.17</v>
      </c>
      <c r="I4" s="182">
        <f t="shared" ref="I4:J7" si="27">26000/100000</f>
        <v>0.26</v>
      </c>
      <c r="J4" s="182">
        <f t="shared" si="27"/>
        <v>0.26</v>
      </c>
      <c r="K4" s="182">
        <f>35000/100000</f>
        <v>0.35</v>
      </c>
      <c r="L4" s="182">
        <f>1000/100000+34000/100000</f>
        <v>0.35000000000000003</v>
      </c>
      <c r="M4" s="182">
        <f>1000/100000+34000/100000</f>
        <v>0.35000000000000003</v>
      </c>
      <c r="N4" s="182">
        <f>35000/100000</f>
        <v>0.35</v>
      </c>
      <c r="O4" s="182">
        <f>50000/100000</f>
        <v>0.5</v>
      </c>
      <c r="P4" s="180">
        <f>1000/100000+20000/100000+29000/100000</f>
        <v>0.5</v>
      </c>
      <c r="Q4" s="184">
        <f t="shared" ref="Q4:R8" si="28">80000/100000</f>
        <v>0.8</v>
      </c>
      <c r="R4" s="185">
        <f t="shared" si="28"/>
        <v>0.8</v>
      </c>
      <c r="S4" s="185">
        <f>21000/100000+119000/100000</f>
        <v>1.4</v>
      </c>
      <c r="T4" s="185">
        <f>140000/100000</f>
        <v>1.4</v>
      </c>
      <c r="U4" s="185">
        <f>400000/100000</f>
        <v>4</v>
      </c>
      <c r="V4" s="192">
        <f>400000/100000+225000/100000</f>
        <v>6.25</v>
      </c>
      <c r="W4" s="185">
        <f>1000000/100000</f>
        <v>10</v>
      </c>
      <c r="X4" s="185">
        <f>1200000/100000</f>
        <v>12</v>
      </c>
      <c r="Y4" s="192">
        <f>1000/100000+320</f>
        <v>320.01</v>
      </c>
      <c r="Z4" s="185">
        <v>320</v>
      </c>
      <c r="AA4" s="185">
        <v>320</v>
      </c>
      <c r="AB4" s="180">
        <v>800</v>
      </c>
      <c r="AC4" s="399">
        <v>3000</v>
      </c>
      <c r="AD4" s="400">
        <v>3000</v>
      </c>
      <c r="AE4" s="400">
        <v>3000</v>
      </c>
      <c r="AF4" s="400">
        <f>3000+2000</f>
        <v>5000</v>
      </c>
      <c r="AG4" s="400">
        <f>1000+4000+3000</f>
        <v>8000</v>
      </c>
      <c r="AH4" s="400">
        <v>8000</v>
      </c>
      <c r="AI4" s="400">
        <v>10000</v>
      </c>
      <c r="AJ4" s="400">
        <v>10000</v>
      </c>
      <c r="AK4" s="400">
        <v>20482.22</v>
      </c>
      <c r="AL4" s="400">
        <v>51250</v>
      </c>
      <c r="AM4" s="400"/>
      <c r="AN4" s="401"/>
      <c r="AO4" s="399"/>
      <c r="AP4" s="400"/>
      <c r="AQ4" s="400"/>
      <c r="AR4" s="400"/>
      <c r="AS4" s="400"/>
      <c r="AT4" s="400"/>
      <c r="AU4" s="400"/>
      <c r="AV4" s="400"/>
      <c r="AW4" s="400"/>
      <c r="AX4" s="400"/>
      <c r="AY4" s="400"/>
      <c r="AZ4" s="401"/>
      <c r="BA4" s="426">
        <f t="shared" si="25"/>
        <v>123532.48000000001</v>
      </c>
    </row>
    <row r="5" spans="1:53" s="29" customFormat="1" ht="20.100000000000001" customHeight="1">
      <c r="A5" s="30" t="str">
        <f>Vecinos!A5</f>
        <v>Jocsan Orta Correa</v>
      </c>
      <c r="B5" s="31" t="str">
        <f>Vecinos!C5</f>
        <v>Av. "L" anexo de Los Tronquitos</v>
      </c>
      <c r="C5" s="36" t="str">
        <f>IF(SUMIFS(Vigilancia!$E:$E,Vigilancia!$F:$F,A5,Vigilancia!$J:$J,"Vigilancia")=BA5,"ü","û")</f>
        <v>ü</v>
      </c>
      <c r="D5" s="215"/>
      <c r="E5" s="216"/>
      <c r="F5" s="217"/>
      <c r="G5" s="217"/>
      <c r="H5" s="217"/>
      <c r="I5" s="217"/>
      <c r="J5" s="217"/>
      <c r="K5" s="217"/>
      <c r="L5" s="217"/>
      <c r="M5" s="217"/>
      <c r="N5" s="217"/>
      <c r="O5" s="217"/>
      <c r="P5" s="215"/>
      <c r="Q5" s="211"/>
      <c r="R5" s="212"/>
      <c r="S5" s="212"/>
      <c r="T5" s="212"/>
      <c r="U5" s="212"/>
      <c r="V5" s="212"/>
      <c r="W5" s="212"/>
      <c r="X5" s="212"/>
      <c r="Y5" s="212"/>
      <c r="Z5" s="212"/>
      <c r="AA5" s="212"/>
      <c r="AB5" s="208"/>
      <c r="AC5" s="512"/>
      <c r="AD5" s="513"/>
      <c r="AE5" s="513"/>
      <c r="AF5" s="513"/>
      <c r="AG5" s="400">
        <v>8000</v>
      </c>
      <c r="AH5" s="400">
        <v>8000</v>
      </c>
      <c r="AI5" s="400">
        <v>10000</v>
      </c>
      <c r="AJ5" s="400">
        <v>10000</v>
      </c>
      <c r="AK5" s="400">
        <v>19800</v>
      </c>
      <c r="AL5" s="509">
        <f>19800+31500</f>
        <v>51300</v>
      </c>
      <c r="AM5" s="400">
        <v>73500</v>
      </c>
      <c r="AN5" s="401">
        <v>97500</v>
      </c>
      <c r="AO5" s="399">
        <f>97500+38750</f>
        <v>136250</v>
      </c>
      <c r="AP5" s="400">
        <v>136250</v>
      </c>
      <c r="AQ5" s="400"/>
      <c r="AR5" s="400"/>
      <c r="AS5" s="400"/>
      <c r="AT5" s="400"/>
      <c r="AU5" s="400"/>
      <c r="AV5" s="400"/>
      <c r="AW5" s="400"/>
      <c r="AX5" s="400"/>
      <c r="AY5" s="400"/>
      <c r="AZ5" s="401"/>
      <c r="BA5" s="426">
        <f t="shared" si="25"/>
        <v>550600</v>
      </c>
    </row>
    <row r="6" spans="1:53" s="29" customFormat="1" ht="20.100000000000001" customHeight="1">
      <c r="A6" s="30" t="str">
        <f>Vecinos!A6</f>
        <v>Sra. Reina Meléndez</v>
      </c>
      <c r="B6" s="31" t="str">
        <f>Vecinos!C6</f>
        <v>Av. "M" Nro. 145-10</v>
      </c>
      <c r="C6" s="36" t="str">
        <f>IF(SUMIFS(Vigilancia!$E:$E,Vigilancia!$F:$F,A6,Vigilancia!$J:$J,"Vigilancia")=BA6,"ü","û")</f>
        <v>ü</v>
      </c>
      <c r="D6" s="180"/>
      <c r="E6" s="181">
        <f t="shared" si="26"/>
        <v>0.17</v>
      </c>
      <c r="F6" s="182">
        <f t="shared" si="26"/>
        <v>0.17</v>
      </c>
      <c r="G6" s="182">
        <f t="shared" si="26"/>
        <v>0.17</v>
      </c>
      <c r="H6" s="182">
        <f t="shared" si="26"/>
        <v>0.17</v>
      </c>
      <c r="I6" s="182">
        <f t="shared" si="27"/>
        <v>0.26</v>
      </c>
      <c r="J6" s="182">
        <f t="shared" si="27"/>
        <v>0.26</v>
      </c>
      <c r="K6" s="182">
        <f>13000/100000+22000/100000</f>
        <v>0.35</v>
      </c>
      <c r="L6" s="182">
        <f t="shared" ref="L6:N7" si="29">35000/100000</f>
        <v>0.35</v>
      </c>
      <c r="M6" s="182">
        <f t="shared" si="29"/>
        <v>0.35</v>
      </c>
      <c r="N6" s="182">
        <f t="shared" si="29"/>
        <v>0.35</v>
      </c>
      <c r="O6" s="182">
        <f>50000/100000</f>
        <v>0.5</v>
      </c>
      <c r="P6" s="180">
        <f>50000/100000</f>
        <v>0.5</v>
      </c>
      <c r="Q6" s="184">
        <f t="shared" si="28"/>
        <v>0.8</v>
      </c>
      <c r="R6" s="185">
        <f t="shared" si="28"/>
        <v>0.8</v>
      </c>
      <c r="S6" s="185">
        <f t="shared" ref="S6:T8" si="30">140000/100000</f>
        <v>1.4</v>
      </c>
      <c r="T6" s="185">
        <f t="shared" si="30"/>
        <v>1.4</v>
      </c>
      <c r="U6" s="185">
        <f>140000/100000+260000/100000</f>
        <v>4</v>
      </c>
      <c r="V6" s="185">
        <f>400000/100000+225000/100000</f>
        <v>6.25</v>
      </c>
      <c r="W6" s="185">
        <f>1000000/100000</f>
        <v>10</v>
      </c>
      <c r="X6" s="185">
        <f>1200000/100000</f>
        <v>12</v>
      </c>
      <c r="Y6" s="185">
        <v>320</v>
      </c>
      <c r="Z6" s="185">
        <v>320</v>
      </c>
      <c r="AA6" s="185">
        <v>320</v>
      </c>
      <c r="AB6" s="180">
        <v>800</v>
      </c>
      <c r="AC6" s="399">
        <v>3000</v>
      </c>
      <c r="AD6" s="400">
        <v>3000</v>
      </c>
      <c r="AE6" s="400">
        <v>3000</v>
      </c>
      <c r="AF6" s="400">
        <v>5000</v>
      </c>
      <c r="AG6" s="400">
        <f>5000+3000</f>
        <v>8000</v>
      </c>
      <c r="AH6" s="400">
        <v>8000</v>
      </c>
      <c r="AI6" s="400">
        <v>10000</v>
      </c>
      <c r="AJ6" s="400">
        <v>10000</v>
      </c>
      <c r="AK6" s="400">
        <v>22000</v>
      </c>
      <c r="AL6" s="400">
        <f>20000+27000</f>
        <v>47000</v>
      </c>
      <c r="AM6" s="405">
        <v>56250</v>
      </c>
      <c r="AN6" s="401">
        <v>97500</v>
      </c>
      <c r="AO6" s="399">
        <v>136250</v>
      </c>
      <c r="AP6" s="400">
        <v>136250</v>
      </c>
      <c r="AQ6" s="400"/>
      <c r="AR6" s="400"/>
      <c r="AS6" s="400"/>
      <c r="AT6" s="400"/>
      <c r="AU6" s="400"/>
      <c r="AV6" s="400"/>
      <c r="AW6" s="400"/>
      <c r="AX6" s="400"/>
      <c r="AY6" s="400"/>
      <c r="AZ6" s="401"/>
      <c r="BA6" s="426">
        <f t="shared" si="25"/>
        <v>547050.25</v>
      </c>
    </row>
    <row r="7" spans="1:53" s="29" customFormat="1" ht="20.100000000000001" customHeight="1">
      <c r="A7" s="30" t="str">
        <f>Vecinos!A7</f>
        <v>Familia Barreto Pérez</v>
      </c>
      <c r="B7" s="31" t="str">
        <f>Vecinos!C7</f>
        <v>Av. "M" Nro. 146-15</v>
      </c>
      <c r="C7" s="36" t="str">
        <f>IF(SUMIFS(Vigilancia!$E:$E,Vigilancia!$F:$F,A7,Vigilancia!$J:$J,"Vigilancia")=BA7,"ü","û")</f>
        <v>ü</v>
      </c>
      <c r="D7" s="180"/>
      <c r="E7" s="181">
        <f>10500/100000+6500/100000</f>
        <v>0.16999999999999998</v>
      </c>
      <c r="F7" s="182">
        <f>17000/100000</f>
        <v>0.17</v>
      </c>
      <c r="G7" s="182">
        <f>17000/100000</f>
        <v>0.17</v>
      </c>
      <c r="H7" s="182">
        <f>17000/100000</f>
        <v>0.17</v>
      </c>
      <c r="I7" s="182">
        <f t="shared" si="27"/>
        <v>0.26</v>
      </c>
      <c r="J7" s="182">
        <f t="shared" si="27"/>
        <v>0.26</v>
      </c>
      <c r="K7" s="182">
        <f>35000/100000</f>
        <v>0.35</v>
      </c>
      <c r="L7" s="182">
        <f t="shared" si="29"/>
        <v>0.35</v>
      </c>
      <c r="M7" s="182">
        <f t="shared" si="29"/>
        <v>0.35</v>
      </c>
      <c r="N7" s="182">
        <f t="shared" si="29"/>
        <v>0.35</v>
      </c>
      <c r="O7" s="182">
        <f>50000/100000</f>
        <v>0.5</v>
      </c>
      <c r="P7" s="180">
        <f>50000/100000</f>
        <v>0.5</v>
      </c>
      <c r="Q7" s="184">
        <f t="shared" si="28"/>
        <v>0.8</v>
      </c>
      <c r="R7" s="185">
        <f t="shared" si="28"/>
        <v>0.8</v>
      </c>
      <c r="S7" s="185">
        <f t="shared" si="30"/>
        <v>1.4</v>
      </c>
      <c r="T7" s="185">
        <f t="shared" si="30"/>
        <v>1.4</v>
      </c>
      <c r="U7" s="185">
        <f>400000/100000</f>
        <v>4</v>
      </c>
      <c r="V7" s="185">
        <f>400000/100000+225000/100000</f>
        <v>6.25</v>
      </c>
      <c r="W7" s="185">
        <f>1000000/100000</f>
        <v>10</v>
      </c>
      <c r="X7" s="185">
        <f>1200000/100000</f>
        <v>12</v>
      </c>
      <c r="Y7" s="185">
        <v>320</v>
      </c>
      <c r="Z7" s="185">
        <v>320</v>
      </c>
      <c r="AA7" s="185">
        <v>320</v>
      </c>
      <c r="AB7" s="180">
        <v>800</v>
      </c>
      <c r="AC7" s="399">
        <v>3000</v>
      </c>
      <c r="AD7" s="400">
        <v>3000</v>
      </c>
      <c r="AE7" s="400">
        <v>3000</v>
      </c>
      <c r="AF7" s="400">
        <v>5000</v>
      </c>
      <c r="AG7" s="400">
        <v>8000</v>
      </c>
      <c r="AH7" s="400">
        <v>8000</v>
      </c>
      <c r="AI7" s="400">
        <v>10000</v>
      </c>
      <c r="AJ7" s="400">
        <v>10000</v>
      </c>
      <c r="AK7" s="400">
        <v>22000</v>
      </c>
      <c r="AL7" s="400">
        <f>19800+27200</f>
        <v>47000</v>
      </c>
      <c r="AM7" s="400">
        <v>51250</v>
      </c>
      <c r="AN7" s="401">
        <v>81750</v>
      </c>
      <c r="AO7" s="399">
        <v>136250</v>
      </c>
      <c r="AP7" s="400">
        <v>136250</v>
      </c>
      <c r="AQ7" s="400"/>
      <c r="AR7" s="400"/>
      <c r="AS7" s="400"/>
      <c r="AT7" s="400"/>
      <c r="AU7" s="400"/>
      <c r="AV7" s="400"/>
      <c r="AW7" s="400"/>
      <c r="AX7" s="400"/>
      <c r="AY7" s="400"/>
      <c r="AZ7" s="401"/>
      <c r="BA7" s="426">
        <f t="shared" si="25"/>
        <v>526300.25</v>
      </c>
    </row>
    <row r="8" spans="1:53" s="29" customFormat="1" ht="20.100000000000001" customHeight="1">
      <c r="A8" s="33" t="str">
        <f>Vecinos!A8</f>
        <v>Familia Flores Montagne</v>
      </c>
      <c r="B8" s="34" t="str">
        <f>Vecinos!C8</f>
        <v>Av. "M" Nro. 146-20</v>
      </c>
      <c r="C8" s="35" t="str">
        <f>IF(SUMIFS(Vigilancia!$E:$E,Vigilancia!$F:$F,A8,Vigilancia!$J:$J,"Vigilancia")=BA8,"ü","û")</f>
        <v>ü</v>
      </c>
      <c r="D8" s="187"/>
      <c r="E8" s="188">
        <f>2000/100000</f>
        <v>0.02</v>
      </c>
      <c r="F8" s="189">
        <f>2000/100000</f>
        <v>0.02</v>
      </c>
      <c r="G8" s="189">
        <f>3000/100000</f>
        <v>0.03</v>
      </c>
      <c r="H8" s="189">
        <f>3000/100000</f>
        <v>0.03</v>
      </c>
      <c r="I8" s="189">
        <f>4000/100000</f>
        <v>0.04</v>
      </c>
      <c r="J8" s="189">
        <f>4000/100000</f>
        <v>0.04</v>
      </c>
      <c r="K8" s="189">
        <f>4000/100000</f>
        <v>0.04</v>
      </c>
      <c r="L8" s="189">
        <f>4000/100000</f>
        <v>0.04</v>
      </c>
      <c r="M8" s="189">
        <f>3000/100000</f>
        <v>0.03</v>
      </c>
      <c r="N8" s="189">
        <f>5000/100000</f>
        <v>0.05</v>
      </c>
      <c r="O8" s="194" t="s">
        <v>490</v>
      </c>
      <c r="P8" s="195" t="s">
        <v>490</v>
      </c>
      <c r="Q8" s="184">
        <f t="shared" si="28"/>
        <v>0.8</v>
      </c>
      <c r="R8" s="185">
        <f t="shared" si="28"/>
        <v>0.8</v>
      </c>
      <c r="S8" s="185">
        <f t="shared" si="30"/>
        <v>1.4</v>
      </c>
      <c r="T8" s="185">
        <f t="shared" si="30"/>
        <v>1.4</v>
      </c>
      <c r="U8" s="185">
        <f>400000/100000</f>
        <v>4</v>
      </c>
      <c r="V8" s="185">
        <f>625000/100000</f>
        <v>6.25</v>
      </c>
      <c r="W8" s="185">
        <f>1000000/100000</f>
        <v>10</v>
      </c>
      <c r="X8" s="185">
        <f>1200000/100000</f>
        <v>12</v>
      </c>
      <c r="Y8" s="185">
        <v>320</v>
      </c>
      <c r="Z8" s="185">
        <v>320</v>
      </c>
      <c r="AA8" s="185">
        <v>320</v>
      </c>
      <c r="AB8" s="180">
        <v>800</v>
      </c>
      <c r="AC8" s="399">
        <f>2200+800</f>
        <v>3000</v>
      </c>
      <c r="AD8" s="400">
        <v>3000</v>
      </c>
      <c r="AE8" s="400">
        <v>3000</v>
      </c>
      <c r="AF8" s="400">
        <v>5000</v>
      </c>
      <c r="AG8" s="400">
        <v>8000</v>
      </c>
      <c r="AH8" s="400">
        <v>8000</v>
      </c>
      <c r="AI8" s="400">
        <v>10000</v>
      </c>
      <c r="AJ8" s="400">
        <v>10000</v>
      </c>
      <c r="AK8" s="400">
        <v>19800</v>
      </c>
      <c r="AL8" s="400">
        <v>51250</v>
      </c>
      <c r="AM8" s="400">
        <v>81750</v>
      </c>
      <c r="AN8" s="401">
        <v>105250</v>
      </c>
      <c r="AO8" s="399">
        <v>136250</v>
      </c>
      <c r="AP8" s="400"/>
      <c r="AQ8" s="400"/>
      <c r="AR8" s="400"/>
      <c r="AS8" s="400"/>
      <c r="AT8" s="400"/>
      <c r="AU8" s="400"/>
      <c r="AV8" s="400"/>
      <c r="AW8" s="400"/>
      <c r="AX8" s="400"/>
      <c r="AY8" s="400"/>
      <c r="AZ8" s="401"/>
      <c r="BA8" s="426">
        <f t="shared" si="25"/>
        <v>446096.99</v>
      </c>
    </row>
    <row r="9" spans="1:53" s="29" customFormat="1" ht="20.100000000000001" customHeight="1">
      <c r="A9" s="30" t="str">
        <f>Vecinos!A9</f>
        <v>Judith Lazo</v>
      </c>
      <c r="B9" s="31" t="str">
        <f>Vecinos!C9</f>
        <v>Av. "M" Nro. 146-25</v>
      </c>
      <c r="C9" s="36" t="str">
        <f>IF(SUMIFS(Vigilancia!$E:$E,Vigilancia!$F:$F,A9,Vigilancia!$J:$J,"Vigilancia")=BA9,"ü","û")</f>
        <v>ü</v>
      </c>
      <c r="D9" s="180"/>
      <c r="E9" s="181"/>
      <c r="F9" s="182"/>
      <c r="G9" s="182"/>
      <c r="H9" s="182"/>
      <c r="I9" s="182"/>
      <c r="J9" s="182"/>
      <c r="K9" s="182"/>
      <c r="L9" s="182"/>
      <c r="M9" s="182"/>
      <c r="N9" s="182"/>
      <c r="O9" s="182"/>
      <c r="P9" s="180"/>
      <c r="Q9" s="184"/>
      <c r="R9" s="185"/>
      <c r="S9" s="185"/>
      <c r="T9" s="185"/>
      <c r="U9" s="185"/>
      <c r="V9" s="185"/>
      <c r="W9" s="185"/>
      <c r="X9" s="185"/>
      <c r="Y9" s="185"/>
      <c r="Z9" s="185"/>
      <c r="AA9" s="185"/>
      <c r="AB9" s="180"/>
      <c r="AC9" s="399"/>
      <c r="AD9" s="400"/>
      <c r="AE9" s="400"/>
      <c r="AF9" s="400"/>
      <c r="AG9" s="400"/>
      <c r="AH9" s="400"/>
      <c r="AI9" s="400"/>
      <c r="AJ9" s="400"/>
      <c r="AK9" s="400"/>
      <c r="AL9" s="400"/>
      <c r="AM9" s="400"/>
      <c r="AN9" s="401"/>
      <c r="AO9" s="399"/>
      <c r="AP9" s="400"/>
      <c r="AQ9" s="400"/>
      <c r="AR9" s="400"/>
      <c r="AS9" s="400"/>
      <c r="AT9" s="400"/>
      <c r="AU9" s="400"/>
      <c r="AV9" s="400"/>
      <c r="AW9" s="400"/>
      <c r="AX9" s="400"/>
      <c r="AY9" s="400"/>
      <c r="AZ9" s="401"/>
      <c r="BA9" s="426">
        <f t="shared" si="25"/>
        <v>0</v>
      </c>
    </row>
    <row r="10" spans="1:53" s="29" customFormat="1" ht="20.100000000000001" customHeight="1">
      <c r="A10" s="59" t="str">
        <f>Vecinos!A10</f>
        <v>La Casita Encantada</v>
      </c>
      <c r="B10" s="60" t="str">
        <f>Vecinos!C10</f>
        <v>Av. "M" Nro. 146-30</v>
      </c>
      <c r="C10" s="36" t="str">
        <f>IF(SUMIFS(Vigilancia!$E:$E,Vigilancia!$F:$F,A10,Vigilancia!$J:$J,"Vigilancia")=BA10,"ü","û")</f>
        <v>ü</v>
      </c>
      <c r="D10" s="180"/>
      <c r="E10" s="196">
        <f>12000/100000</f>
        <v>0.12</v>
      </c>
      <c r="F10" s="182">
        <f>20000/100000</f>
        <v>0.2</v>
      </c>
      <c r="G10" s="182">
        <f>20000/100000</f>
        <v>0.2</v>
      </c>
      <c r="H10" s="182">
        <f>20000/100000</f>
        <v>0.2</v>
      </c>
      <c r="I10" s="182">
        <f>30000/100000</f>
        <v>0.3</v>
      </c>
      <c r="J10" s="182">
        <f>30000/100000</f>
        <v>0.3</v>
      </c>
      <c r="K10" s="182">
        <f>30000/100000+10000/100000</f>
        <v>0.4</v>
      </c>
      <c r="L10" s="182">
        <f>40000/100000</f>
        <v>0.4</v>
      </c>
      <c r="M10" s="182">
        <f>40000/100000</f>
        <v>0.4</v>
      </c>
      <c r="N10" s="182">
        <f>40000/100000</f>
        <v>0.4</v>
      </c>
      <c r="O10" s="182">
        <f>54000/100000</f>
        <v>0.54</v>
      </c>
      <c r="P10" s="180">
        <f>54000/100000</f>
        <v>0.54</v>
      </c>
      <c r="Q10" s="184">
        <f>86400/100000</f>
        <v>0.86399999999999999</v>
      </c>
      <c r="R10" s="185">
        <f>86400/100000</f>
        <v>0.86399999999999999</v>
      </c>
      <c r="S10" s="185">
        <f>155000/100000</f>
        <v>1.55</v>
      </c>
      <c r="T10" s="185">
        <f>155000/100000</f>
        <v>1.55</v>
      </c>
      <c r="U10" s="197">
        <f>400000/100000</f>
        <v>4</v>
      </c>
      <c r="V10" s="185">
        <f>690000/100000</f>
        <v>6.9</v>
      </c>
      <c r="W10" s="185">
        <f>1100000/100000</f>
        <v>11</v>
      </c>
      <c r="X10" s="192">
        <f>1100000/100000+2.2</f>
        <v>13.2</v>
      </c>
      <c r="Y10" s="185">
        <v>320</v>
      </c>
      <c r="Z10" s="185">
        <f>320+35</f>
        <v>355</v>
      </c>
      <c r="AA10" s="192">
        <f>35+320</f>
        <v>355</v>
      </c>
      <c r="AB10" s="180">
        <f>35+765</f>
        <v>800</v>
      </c>
      <c r="AC10" s="402" t="s">
        <v>1157</v>
      </c>
      <c r="AD10" s="403"/>
      <c r="AE10" s="403"/>
      <c r="AF10" s="403"/>
      <c r="AG10" s="403"/>
      <c r="AH10" s="403"/>
      <c r="AI10" s="403"/>
      <c r="AJ10" s="403"/>
      <c r="AK10" s="403"/>
      <c r="AL10" s="403"/>
      <c r="AM10" s="403"/>
      <c r="AN10" s="414"/>
      <c r="AO10" s="402"/>
      <c r="AP10" s="403"/>
      <c r="AQ10" s="403"/>
      <c r="AR10" s="403"/>
      <c r="AS10" s="403"/>
      <c r="AT10" s="403"/>
      <c r="AU10" s="403"/>
      <c r="AV10" s="403"/>
      <c r="AW10" s="403"/>
      <c r="AX10" s="403"/>
      <c r="AY10" s="403"/>
      <c r="AZ10" s="414"/>
      <c r="BA10" s="572">
        <f t="shared" si="25"/>
        <v>1873.9279999999999</v>
      </c>
    </row>
    <row r="11" spans="1:53" s="29" customFormat="1" ht="20.100000000000001" customHeight="1">
      <c r="A11" s="30" t="str">
        <f>Vecinos!A11</f>
        <v>Familia Calzadilla Trujillo</v>
      </c>
      <c r="B11" s="31" t="str">
        <f>Vecinos!C11</f>
        <v>Av. "M" Nro. 146-30</v>
      </c>
      <c r="C11" s="36" t="str">
        <f>IF(SUMIFS(Vigilancia!$E:$E,Vigilancia!$F:$F,A11,Vigilancia!$J:$J,"Vigilancia")=BA11,"ü","û")</f>
        <v>ü</v>
      </c>
      <c r="D11" s="215"/>
      <c r="E11" s="216"/>
      <c r="F11" s="217"/>
      <c r="G11" s="217"/>
      <c r="H11" s="217"/>
      <c r="I11" s="217"/>
      <c r="J11" s="217"/>
      <c r="K11" s="217"/>
      <c r="L11" s="217"/>
      <c r="M11" s="217"/>
      <c r="N11" s="217"/>
      <c r="O11" s="217"/>
      <c r="P11" s="215"/>
      <c r="Q11" s="218"/>
      <c r="R11" s="219"/>
      <c r="S11" s="219"/>
      <c r="T11" s="219"/>
      <c r="U11" s="219"/>
      <c r="V11" s="219"/>
      <c r="W11" s="219"/>
      <c r="X11" s="219"/>
      <c r="Y11" s="219"/>
      <c r="Z11" s="219"/>
      <c r="AA11" s="219"/>
      <c r="AB11" s="215"/>
      <c r="AC11" s="404">
        <v>3000</v>
      </c>
      <c r="AD11" s="400">
        <v>3000</v>
      </c>
      <c r="AE11" s="400">
        <v>3000</v>
      </c>
      <c r="AF11" s="400">
        <v>5000</v>
      </c>
      <c r="AG11" s="400">
        <f>1000+7000</f>
        <v>8000</v>
      </c>
      <c r="AH11" s="400">
        <v>8000</v>
      </c>
      <c r="AI11" s="536" t="s">
        <v>1158</v>
      </c>
      <c r="AJ11" s="403"/>
      <c r="AK11" s="403"/>
      <c r="AL11" s="403"/>
      <c r="AM11" s="403"/>
      <c r="AN11" s="414"/>
      <c r="AO11" s="402"/>
      <c r="AP11" s="403"/>
      <c r="AQ11" s="403"/>
      <c r="AR11" s="403"/>
      <c r="AS11" s="403"/>
      <c r="AT11" s="403"/>
      <c r="AU11" s="536"/>
      <c r="AV11" s="403"/>
      <c r="AW11" s="403"/>
      <c r="AX11" s="403"/>
      <c r="AY11" s="403"/>
      <c r="AZ11" s="414"/>
      <c r="BA11" s="429">
        <f t="shared" si="25"/>
        <v>30000</v>
      </c>
    </row>
    <row r="12" spans="1:53" s="29" customFormat="1" ht="20.100000000000001" customHeight="1">
      <c r="A12" s="30" t="str">
        <f>Vecinos!A12</f>
        <v>Santiago Varela</v>
      </c>
      <c r="B12" s="31" t="str">
        <f>Vecinos!C12</f>
        <v>Av. "M" Nro. 146-30</v>
      </c>
      <c r="C12" s="36" t="str">
        <f>IF(SUMIFS(Vigilancia!$E:$E,Vigilancia!$F:$F,A12,Vigilancia!$J:$J,"Vigilancia")=BA12,"ü","û")</f>
        <v>ü</v>
      </c>
      <c r="D12" s="215"/>
      <c r="E12" s="216"/>
      <c r="F12" s="217"/>
      <c r="G12" s="217"/>
      <c r="H12" s="217"/>
      <c r="I12" s="217"/>
      <c r="J12" s="217"/>
      <c r="K12" s="217"/>
      <c r="L12" s="217"/>
      <c r="M12" s="217"/>
      <c r="N12" s="217"/>
      <c r="O12" s="217"/>
      <c r="P12" s="215"/>
      <c r="Q12" s="218"/>
      <c r="R12" s="219"/>
      <c r="S12" s="219"/>
      <c r="T12" s="219"/>
      <c r="U12" s="219"/>
      <c r="V12" s="219"/>
      <c r="W12" s="219"/>
      <c r="X12" s="219"/>
      <c r="Y12" s="219"/>
      <c r="Z12" s="219"/>
      <c r="AA12" s="219"/>
      <c r="AB12" s="215"/>
      <c r="AC12" s="512"/>
      <c r="AD12" s="513"/>
      <c r="AE12" s="513"/>
      <c r="AF12" s="513"/>
      <c r="AG12" s="513"/>
      <c r="AH12" s="513"/>
      <c r="AI12" s="400">
        <v>10000</v>
      </c>
      <c r="AJ12" s="400">
        <v>10000</v>
      </c>
      <c r="AK12" s="400">
        <v>19800</v>
      </c>
      <c r="AL12" s="400">
        <v>51250</v>
      </c>
      <c r="AM12" s="400">
        <v>81750</v>
      </c>
      <c r="AN12" s="401">
        <v>81750</v>
      </c>
      <c r="AO12" s="404">
        <v>136250</v>
      </c>
      <c r="AP12" s="400"/>
      <c r="AQ12" s="400"/>
      <c r="AR12" s="400"/>
      <c r="AS12" s="400"/>
      <c r="AT12" s="400"/>
      <c r="AU12" s="400"/>
      <c r="AV12" s="400"/>
      <c r="AW12" s="400"/>
      <c r="AX12" s="400"/>
      <c r="AY12" s="400"/>
      <c r="AZ12" s="401"/>
      <c r="BA12" s="426">
        <f t="shared" si="25"/>
        <v>390800</v>
      </c>
    </row>
    <row r="13" spans="1:53" s="29" customFormat="1" ht="20.100000000000001" customHeight="1">
      <c r="A13" s="30" t="str">
        <f>Vecinos!A13</f>
        <v>Ely Saúl Rivero Gómez</v>
      </c>
      <c r="B13" s="31" t="str">
        <f>Vecinos!C13</f>
        <v>Av. "Ñ" Nro. 145-25</v>
      </c>
      <c r="C13" s="36" t="str">
        <f>IF(SUMIFS(Vigilancia!$E:$E,Vigilancia!$F:$F,A13,Vigilancia!$J:$J,"Vigilancia")=BA13,"ü","û")</f>
        <v>ü</v>
      </c>
      <c r="D13" s="180"/>
      <c r="E13" s="181">
        <f>17000/100000</f>
        <v>0.17</v>
      </c>
      <c r="F13" s="182">
        <f>17000/100000</f>
        <v>0.17</v>
      </c>
      <c r="G13" s="182">
        <f>17000/100000</f>
        <v>0.17</v>
      </c>
      <c r="H13" s="182">
        <f>17000/100000</f>
        <v>0.17</v>
      </c>
      <c r="I13" s="182">
        <f>26000/100000</f>
        <v>0.26</v>
      </c>
      <c r="J13" s="182">
        <f>26000/100000</f>
        <v>0.26</v>
      </c>
      <c r="K13" s="182">
        <f>26000/100000+9000/100000</f>
        <v>0.35</v>
      </c>
      <c r="L13" s="182">
        <f>35000/100000</f>
        <v>0.35</v>
      </c>
      <c r="M13" s="182">
        <f>35000/100000</f>
        <v>0.35</v>
      </c>
      <c r="N13" s="182">
        <f>35000/100000</f>
        <v>0.35</v>
      </c>
      <c r="O13" s="182">
        <f>50000/100000</f>
        <v>0.5</v>
      </c>
      <c r="P13" s="180">
        <f>50000/100000</f>
        <v>0.5</v>
      </c>
      <c r="Q13" s="184">
        <f>80000/100000</f>
        <v>0.8</v>
      </c>
      <c r="R13" s="185">
        <f>80000/100000</f>
        <v>0.8</v>
      </c>
      <c r="S13" s="185">
        <f>140000/100000</f>
        <v>1.4</v>
      </c>
      <c r="T13" s="185">
        <f>140000/100000</f>
        <v>1.4</v>
      </c>
      <c r="U13" s="185">
        <f>400000/100000</f>
        <v>4</v>
      </c>
      <c r="V13" s="185">
        <f>400000/100000+225000/100000</f>
        <v>6.25</v>
      </c>
      <c r="W13" s="185">
        <f>1000000/100000</f>
        <v>10</v>
      </c>
      <c r="X13" s="192">
        <f>990000/100000+210000/100000</f>
        <v>12</v>
      </c>
      <c r="Y13" s="185">
        <v>320</v>
      </c>
      <c r="Z13" s="185">
        <v>320</v>
      </c>
      <c r="AA13" s="185">
        <v>320</v>
      </c>
      <c r="AB13" s="180">
        <v>800</v>
      </c>
      <c r="AC13" s="404">
        <f>800+2200</f>
        <v>3000</v>
      </c>
      <c r="AD13" s="400">
        <v>3000</v>
      </c>
      <c r="AE13" s="400">
        <v>3000</v>
      </c>
      <c r="AF13" s="400">
        <v>5000</v>
      </c>
      <c r="AG13" s="400">
        <v>8000</v>
      </c>
      <c r="AH13" s="400">
        <v>8000</v>
      </c>
      <c r="AI13" s="400">
        <v>10000</v>
      </c>
      <c r="AJ13" s="400">
        <v>10000</v>
      </c>
      <c r="AK13" s="400">
        <v>23400</v>
      </c>
      <c r="AL13" s="400">
        <f>21100+25900</f>
        <v>47000</v>
      </c>
      <c r="AM13" s="400">
        <v>73500</v>
      </c>
      <c r="AN13" s="401">
        <v>105250</v>
      </c>
      <c r="AO13" s="404">
        <v>136250</v>
      </c>
      <c r="AP13" s="400">
        <v>136250</v>
      </c>
      <c r="AQ13" s="400"/>
      <c r="AR13" s="400"/>
      <c r="AS13" s="400"/>
      <c r="AT13" s="400"/>
      <c r="AU13" s="400"/>
      <c r="AV13" s="400"/>
      <c r="AW13" s="400"/>
      <c r="AX13" s="400"/>
      <c r="AY13" s="400"/>
      <c r="AZ13" s="401"/>
      <c r="BA13" s="426">
        <f t="shared" si="25"/>
        <v>573450.25</v>
      </c>
    </row>
    <row r="14" spans="1:53" s="29" customFormat="1" ht="20.100000000000001" customHeight="1">
      <c r="A14" s="30" t="str">
        <f>Vecinos!A14</f>
        <v>Familia González López</v>
      </c>
      <c r="B14" s="31" t="str">
        <f>Vecinos!C14</f>
        <v>Av. "Ñ" Nro. 145-27</v>
      </c>
      <c r="C14" s="36" t="str">
        <f>IF(SUMIFS(Vigilancia!$E:$E,Vigilancia!$F:$F,A14,Vigilancia!$J:$J,"Vigilancia")=BA14,"ü","û")</f>
        <v>ü</v>
      </c>
      <c r="D14" s="180"/>
      <c r="E14" s="181"/>
      <c r="F14" s="182"/>
      <c r="G14" s="182"/>
      <c r="H14" s="182"/>
      <c r="I14" s="182"/>
      <c r="J14" s="182"/>
      <c r="K14" s="182"/>
      <c r="L14" s="182"/>
      <c r="M14" s="182"/>
      <c r="N14" s="182"/>
      <c r="O14" s="182"/>
      <c r="P14" s="180"/>
      <c r="Q14" s="184"/>
      <c r="R14" s="185"/>
      <c r="S14" s="185"/>
      <c r="T14" s="185"/>
      <c r="U14" s="185"/>
      <c r="V14" s="185"/>
      <c r="W14" s="185"/>
      <c r="X14" s="185"/>
      <c r="Y14" s="185"/>
      <c r="Z14" s="185"/>
      <c r="AA14" s="185"/>
      <c r="AB14" s="180"/>
      <c r="AC14" s="399"/>
      <c r="AD14" s="400"/>
      <c r="AE14" s="400"/>
      <c r="AF14" s="400"/>
      <c r="AG14" s="400"/>
      <c r="AH14" s="400"/>
      <c r="AI14" s="400"/>
      <c r="AJ14" s="400"/>
      <c r="AK14" s="400"/>
      <c r="AL14" s="400"/>
      <c r="AM14" s="400"/>
      <c r="AN14" s="401"/>
      <c r="AO14" s="399"/>
      <c r="AP14" s="400"/>
      <c r="AQ14" s="400"/>
      <c r="AR14" s="400"/>
      <c r="AS14" s="400"/>
      <c r="AT14" s="400"/>
      <c r="AU14" s="400"/>
      <c r="AV14" s="400"/>
      <c r="AW14" s="400"/>
      <c r="AX14" s="400"/>
      <c r="AY14" s="400"/>
      <c r="AZ14" s="401"/>
      <c r="BA14" s="426">
        <f t="shared" si="25"/>
        <v>0</v>
      </c>
    </row>
    <row r="15" spans="1:53" s="29" customFormat="1" ht="20.100000000000001" customHeight="1">
      <c r="A15" s="30" t="str">
        <f>Vecinos!A15</f>
        <v>Familia Coronel</v>
      </c>
      <c r="B15" s="31" t="str">
        <f>Vecinos!C15</f>
        <v>Av. "O" Nro. 146-10</v>
      </c>
      <c r="C15" s="36" t="str">
        <f>IF(SUMIFS(Vigilancia!$E:$E,Vigilancia!$F:$F,A15,Vigilancia!$J:$J,"Vigilancia")=BA15,"ü","û")</f>
        <v>ü</v>
      </c>
      <c r="D15" s="180"/>
      <c r="E15" s="181"/>
      <c r="F15" s="182"/>
      <c r="G15" s="182"/>
      <c r="H15" s="182"/>
      <c r="I15" s="182"/>
      <c r="J15" s="182"/>
      <c r="K15" s="182"/>
      <c r="L15" s="182"/>
      <c r="M15" s="182"/>
      <c r="N15" s="182"/>
      <c r="O15" s="182"/>
      <c r="P15" s="180"/>
      <c r="Q15" s="184"/>
      <c r="R15" s="185"/>
      <c r="S15" s="185"/>
      <c r="T15" s="185"/>
      <c r="U15" s="185"/>
      <c r="V15" s="185"/>
      <c r="W15" s="185"/>
      <c r="X15" s="185"/>
      <c r="Y15" s="185"/>
      <c r="Z15" s="185"/>
      <c r="AA15" s="185"/>
      <c r="AB15" s="180"/>
      <c r="AC15" s="399"/>
      <c r="AD15" s="400"/>
      <c r="AE15" s="400"/>
      <c r="AF15" s="400"/>
      <c r="AG15" s="400"/>
      <c r="AH15" s="400"/>
      <c r="AI15" s="400"/>
      <c r="AJ15" s="400"/>
      <c r="AK15" s="400"/>
      <c r="AL15" s="400"/>
      <c r="AM15" s="400"/>
      <c r="AN15" s="401"/>
      <c r="AO15" s="399"/>
      <c r="AP15" s="400"/>
      <c r="AQ15" s="400"/>
      <c r="AR15" s="400"/>
      <c r="AS15" s="400"/>
      <c r="AT15" s="400"/>
      <c r="AU15" s="400"/>
      <c r="AV15" s="400"/>
      <c r="AW15" s="400"/>
      <c r="AX15" s="400"/>
      <c r="AY15" s="400"/>
      <c r="AZ15" s="401"/>
      <c r="BA15" s="426">
        <f t="shared" si="25"/>
        <v>0</v>
      </c>
    </row>
    <row r="16" spans="1:53" s="29" customFormat="1" ht="20.100000000000001" customHeight="1">
      <c r="A16" s="33" t="str">
        <f>Vecinos!A16</f>
        <v>Familia Hurtado</v>
      </c>
      <c r="B16" s="34" t="str">
        <f>Vecinos!C16</f>
        <v>Av. "O" Nro. 146-11</v>
      </c>
      <c r="C16" s="35" t="str">
        <f>IF(SUMIFS(Vigilancia!$E:$E,Vigilancia!$F:$F,A16,Vigilancia!$J:$J,"Vigilancia")=BA16,"ü","û")</f>
        <v>ü</v>
      </c>
      <c r="D16" s="187"/>
      <c r="E16" s="188">
        <f>10500/100000</f>
        <v>0.105</v>
      </c>
      <c r="F16" s="189">
        <f>10500/100000+6500/100000</f>
        <v>0.16999999999999998</v>
      </c>
      <c r="G16" s="189">
        <f>10500/100000</f>
        <v>0.105</v>
      </c>
      <c r="H16" s="182">
        <f>17000/100000</f>
        <v>0.17</v>
      </c>
      <c r="I16" s="182">
        <f>20000/100000+6000/100000</f>
        <v>0.26</v>
      </c>
      <c r="J16" s="182">
        <f>26000/100000</f>
        <v>0.26</v>
      </c>
      <c r="K16" s="182">
        <f>20000/100000+15000/100000</f>
        <v>0.35</v>
      </c>
      <c r="L16" s="182">
        <f t="shared" ref="L16:N17" si="31">35000/100000</f>
        <v>0.35</v>
      </c>
      <c r="M16" s="182">
        <f t="shared" si="31"/>
        <v>0.35</v>
      </c>
      <c r="N16" s="182">
        <f t="shared" si="31"/>
        <v>0.35</v>
      </c>
      <c r="O16" s="182">
        <f>30000/100000+20000/100000</f>
        <v>0.5</v>
      </c>
      <c r="P16" s="180">
        <f>50000/100000</f>
        <v>0.5</v>
      </c>
      <c r="Q16" s="184">
        <f>30000/100000+50000/100000</f>
        <v>0.8</v>
      </c>
      <c r="R16" s="185">
        <f>50000/100000+30000/100000</f>
        <v>0.8</v>
      </c>
      <c r="S16" s="185">
        <f>140000/100000</f>
        <v>1.4</v>
      </c>
      <c r="T16" s="185">
        <f>140000/100000</f>
        <v>1.4</v>
      </c>
      <c r="U16" s="185">
        <f>400000/100000</f>
        <v>4</v>
      </c>
      <c r="V16" s="185">
        <f>400000/100000+225000/100000</f>
        <v>6.25</v>
      </c>
      <c r="W16" s="185">
        <f>1000000/100000</f>
        <v>10</v>
      </c>
      <c r="X16" s="192">
        <f>1000000/100000+2</f>
        <v>12</v>
      </c>
      <c r="Y16" s="185">
        <v>320</v>
      </c>
      <c r="Z16" s="185">
        <v>320</v>
      </c>
      <c r="AA16" s="185">
        <v>320</v>
      </c>
      <c r="AB16" s="180">
        <v>800</v>
      </c>
      <c r="AC16" s="399">
        <v>3000</v>
      </c>
      <c r="AD16" s="400">
        <v>3000</v>
      </c>
      <c r="AE16" s="400">
        <v>3000</v>
      </c>
      <c r="AF16" s="400">
        <f>3000+2000</f>
        <v>5000</v>
      </c>
      <c r="AG16" s="400">
        <v>8000</v>
      </c>
      <c r="AH16" s="400">
        <v>8000</v>
      </c>
      <c r="AI16" s="400">
        <v>10000</v>
      </c>
      <c r="AJ16" s="400">
        <v>10000</v>
      </c>
      <c r="AK16" s="400">
        <v>20300</v>
      </c>
      <c r="AL16" s="400">
        <v>64500</v>
      </c>
      <c r="AM16" s="400">
        <v>105250</v>
      </c>
      <c r="AN16" s="401">
        <v>105250</v>
      </c>
      <c r="AO16" s="404">
        <v>136250</v>
      </c>
      <c r="AP16" s="400"/>
      <c r="AQ16" s="400"/>
      <c r="AR16" s="400"/>
      <c r="AS16" s="400"/>
      <c r="AT16" s="400"/>
      <c r="AU16" s="400"/>
      <c r="AV16" s="400"/>
      <c r="AW16" s="400"/>
      <c r="AX16" s="400"/>
      <c r="AY16" s="400"/>
      <c r="AZ16" s="401"/>
      <c r="BA16" s="426">
        <f t="shared" si="25"/>
        <v>483350.12</v>
      </c>
    </row>
    <row r="17" spans="1:53" s="29" customFormat="1" ht="20.100000000000001" customHeight="1">
      <c r="A17" s="30" t="str">
        <f>Vecinos!A17</f>
        <v>Ana de González</v>
      </c>
      <c r="B17" s="31" t="str">
        <f>Vecinos!C17</f>
        <v>Av. "O" Nro. 146-17</v>
      </c>
      <c r="C17" s="36" t="str">
        <f>IF(SUMIFS(Vigilancia!$E:$E,Vigilancia!$F:$F,A17,Vigilancia!$J:$J,"Vigilancia")=BA17,"ü","û")</f>
        <v>ü</v>
      </c>
      <c r="D17" s="180"/>
      <c r="E17" s="181">
        <f>17000/100000</f>
        <v>0.17</v>
      </c>
      <c r="F17" s="182">
        <f>17000/100000</f>
        <v>0.17</v>
      </c>
      <c r="G17" s="182">
        <f>17000/100000</f>
        <v>0.17</v>
      </c>
      <c r="H17" s="182">
        <f>17000/100000</f>
        <v>0.17</v>
      </c>
      <c r="I17" s="182">
        <f>17000/100000+9000/100000</f>
        <v>0.26</v>
      </c>
      <c r="J17" s="182">
        <f>17000/100000+9000/100000</f>
        <v>0.26</v>
      </c>
      <c r="K17" s="182">
        <f>26000/100000+9000/100000</f>
        <v>0.35</v>
      </c>
      <c r="L17" s="182">
        <f t="shared" si="31"/>
        <v>0.35</v>
      </c>
      <c r="M17" s="182">
        <f t="shared" si="31"/>
        <v>0.35</v>
      </c>
      <c r="N17" s="182">
        <f t="shared" si="31"/>
        <v>0.35</v>
      </c>
      <c r="O17" s="182">
        <f>50000/100000</f>
        <v>0.5</v>
      </c>
      <c r="P17" s="180">
        <f>50000/100000</f>
        <v>0.5</v>
      </c>
      <c r="Q17" s="184">
        <f>80000/100000</f>
        <v>0.8</v>
      </c>
      <c r="R17" s="185">
        <f>80000/100000</f>
        <v>0.8</v>
      </c>
      <c r="S17" s="185">
        <f>140000/100000</f>
        <v>1.4</v>
      </c>
      <c r="T17" s="185">
        <f>140000/100000</f>
        <v>1.4</v>
      </c>
      <c r="U17" s="185">
        <f>400000/100000</f>
        <v>4</v>
      </c>
      <c r="V17" s="185">
        <f>625000/100000</f>
        <v>6.25</v>
      </c>
      <c r="W17" s="185">
        <f>1000000/100000</f>
        <v>10</v>
      </c>
      <c r="X17" s="185">
        <v>12</v>
      </c>
      <c r="Y17" s="185">
        <v>320</v>
      </c>
      <c r="Z17" s="185">
        <v>320</v>
      </c>
      <c r="AA17" s="185">
        <v>320</v>
      </c>
      <c r="AB17" s="180">
        <v>800</v>
      </c>
      <c r="AC17" s="399">
        <v>3000</v>
      </c>
      <c r="AD17" s="400">
        <v>3000</v>
      </c>
      <c r="AE17" s="400">
        <v>3000</v>
      </c>
      <c r="AF17" s="400">
        <f>3000+2000</f>
        <v>5000</v>
      </c>
      <c r="AG17" s="400">
        <v>8000</v>
      </c>
      <c r="AH17" s="411">
        <v>2000</v>
      </c>
      <c r="AI17" s="400">
        <v>10000</v>
      </c>
      <c r="AJ17" s="400">
        <v>10000</v>
      </c>
      <c r="AK17" s="509">
        <v>21600</v>
      </c>
      <c r="AL17" s="400">
        <v>51250</v>
      </c>
      <c r="AM17" s="400">
        <v>73500</v>
      </c>
      <c r="AN17" s="401">
        <v>136250</v>
      </c>
      <c r="AO17" s="404">
        <v>136250</v>
      </c>
      <c r="AP17" s="400"/>
      <c r="AQ17" s="400"/>
      <c r="AR17" s="400"/>
      <c r="AS17" s="400"/>
      <c r="AT17" s="400"/>
      <c r="AU17" s="400"/>
      <c r="AV17" s="400"/>
      <c r="AW17" s="400"/>
      <c r="AX17" s="400"/>
      <c r="AY17" s="400"/>
      <c r="AZ17" s="401"/>
      <c r="BA17" s="426">
        <f t="shared" si="25"/>
        <v>464650.25</v>
      </c>
    </row>
    <row r="18" spans="1:53" s="29" customFormat="1" ht="20.100000000000001" customHeight="1">
      <c r="A18" s="30" t="str">
        <f>Vecinos!A18</f>
        <v>María Luisa Gornés</v>
      </c>
      <c r="B18" s="31" t="str">
        <f>Vecinos!C18</f>
        <v>Calle Guacara Nro. 87-05</v>
      </c>
      <c r="C18" s="36" t="str">
        <f>IF(SUMIFS(Vigilancia!$E:$E,Vigilancia!$F:$F,A18,Vigilancia!$J:$J,"Vigilancia")=BA18,"ü","û")</f>
        <v>ü</v>
      </c>
      <c r="D18" s="180"/>
      <c r="E18" s="181"/>
      <c r="F18" s="182"/>
      <c r="G18" s="182"/>
      <c r="H18" s="182"/>
      <c r="I18" s="182"/>
      <c r="J18" s="182"/>
      <c r="K18" s="182"/>
      <c r="L18" s="182"/>
      <c r="M18" s="182"/>
      <c r="N18" s="182"/>
      <c r="O18" s="182"/>
      <c r="P18" s="180"/>
      <c r="Q18" s="184"/>
      <c r="R18" s="185"/>
      <c r="S18" s="185"/>
      <c r="T18" s="185"/>
      <c r="U18" s="185"/>
      <c r="V18" s="185"/>
      <c r="W18" s="185"/>
      <c r="X18" s="185"/>
      <c r="Y18" s="185"/>
      <c r="Z18" s="185"/>
      <c r="AA18" s="185"/>
      <c r="AB18" s="180"/>
      <c r="AC18" s="399"/>
      <c r="AD18" s="400"/>
      <c r="AE18" s="400"/>
      <c r="AF18" s="400"/>
      <c r="AG18" s="400"/>
      <c r="AH18" s="400"/>
      <c r="AI18" s="400"/>
      <c r="AJ18" s="400"/>
      <c r="AK18" s="400"/>
      <c r="AL18" s="400"/>
      <c r="AM18" s="400"/>
      <c r="AN18" s="401"/>
      <c r="AO18" s="399"/>
      <c r="AP18" s="400"/>
      <c r="AQ18" s="400"/>
      <c r="AR18" s="400"/>
      <c r="AS18" s="400"/>
      <c r="AT18" s="400"/>
      <c r="AU18" s="400"/>
      <c r="AV18" s="400"/>
      <c r="AW18" s="400"/>
      <c r="AX18" s="400"/>
      <c r="AY18" s="400"/>
      <c r="AZ18" s="401"/>
      <c r="BA18" s="426">
        <f t="shared" si="25"/>
        <v>0</v>
      </c>
    </row>
    <row r="19" spans="1:53" s="29" customFormat="1" ht="20.100000000000001" customHeight="1">
      <c r="A19" s="30" t="str">
        <f>Vecinos!A19</f>
        <v>Familia Aponte . Anexo</v>
      </c>
      <c r="B19" s="31" t="str">
        <f>Vecinos!C19</f>
        <v>Calle Guacara Nro. 87-05</v>
      </c>
      <c r="C19" s="36" t="str">
        <f>IF(SUMIFS(Vigilancia!$E:$E,Vigilancia!$F:$F,A19,Vigilancia!$J:$J,"Vigilancia")=BA19,"ü","û")</f>
        <v>ü</v>
      </c>
      <c r="D19" s="180"/>
      <c r="E19" s="181"/>
      <c r="F19" s="182"/>
      <c r="G19" s="182"/>
      <c r="H19" s="182"/>
      <c r="I19" s="182"/>
      <c r="J19" s="182"/>
      <c r="K19" s="182"/>
      <c r="L19" s="182"/>
      <c r="M19" s="182"/>
      <c r="N19" s="182"/>
      <c r="O19" s="182"/>
      <c r="P19" s="180"/>
      <c r="Q19" s="184"/>
      <c r="R19" s="185"/>
      <c r="S19" s="185"/>
      <c r="T19" s="185"/>
      <c r="U19" s="185"/>
      <c r="V19" s="185"/>
      <c r="W19" s="185"/>
      <c r="X19" s="185"/>
      <c r="Y19" s="185"/>
      <c r="Z19" s="185"/>
      <c r="AA19" s="185"/>
      <c r="AB19" s="180"/>
      <c r="AC19" s="399"/>
      <c r="AD19" s="400"/>
      <c r="AE19" s="400"/>
      <c r="AF19" s="400"/>
      <c r="AG19" s="400"/>
      <c r="AH19" s="400"/>
      <c r="AI19" s="400"/>
      <c r="AJ19" s="400"/>
      <c r="AK19" s="400"/>
      <c r="AL19" s="400"/>
      <c r="AM19" s="400"/>
      <c r="AN19" s="401"/>
      <c r="AO19" s="399"/>
      <c r="AP19" s="400"/>
      <c r="AQ19" s="400"/>
      <c r="AR19" s="400"/>
      <c r="AS19" s="400"/>
      <c r="AT19" s="400"/>
      <c r="AU19" s="400"/>
      <c r="AV19" s="400"/>
      <c r="AW19" s="400"/>
      <c r="AX19" s="400"/>
      <c r="AY19" s="400"/>
      <c r="AZ19" s="401"/>
      <c r="BA19" s="426">
        <f t="shared" si="25"/>
        <v>0</v>
      </c>
    </row>
    <row r="20" spans="1:53" s="29" customFormat="1" ht="20.100000000000001" customHeight="1">
      <c r="A20" s="33" t="str">
        <f>Vecinos!A20</f>
        <v>Familia Franco Gómez</v>
      </c>
      <c r="B20" s="34" t="str">
        <f>Vecinos!C20</f>
        <v>Calle Guacara Nro. 87-07</v>
      </c>
      <c r="C20" s="35" t="str">
        <f>IF(SUMIFS(Vigilancia!$E:$E,Vigilancia!$F:$F,A20,Vigilancia!$J:$J,"Vigilancia")=BA20,"ü","û")</f>
        <v>ü</v>
      </c>
      <c r="D20" s="187"/>
      <c r="E20" s="188">
        <f t="shared" ref="E20:K20" si="32">17000/100000</f>
        <v>0.17</v>
      </c>
      <c r="F20" s="189">
        <f t="shared" si="32"/>
        <v>0.17</v>
      </c>
      <c r="G20" s="189">
        <f t="shared" si="32"/>
        <v>0.17</v>
      </c>
      <c r="H20" s="189">
        <f t="shared" si="32"/>
        <v>0.17</v>
      </c>
      <c r="I20" s="189">
        <f t="shared" si="32"/>
        <v>0.17</v>
      </c>
      <c r="J20" s="189">
        <f t="shared" si="32"/>
        <v>0.17</v>
      </c>
      <c r="K20" s="189">
        <f t="shared" si="32"/>
        <v>0.17</v>
      </c>
      <c r="L20" s="189">
        <f>20000/100000</f>
        <v>0.2</v>
      </c>
      <c r="M20" s="189">
        <f>25000/100000</f>
        <v>0.25</v>
      </c>
      <c r="N20" s="189">
        <f>25000/100000</f>
        <v>0.25</v>
      </c>
      <c r="O20" s="189">
        <f>25000/100000</f>
        <v>0.25</v>
      </c>
      <c r="P20" s="187">
        <f>25000/100000</f>
        <v>0.25</v>
      </c>
      <c r="Q20" s="184">
        <f>80000/100000</f>
        <v>0.8</v>
      </c>
      <c r="R20" s="185">
        <f>80000/100000</f>
        <v>0.8</v>
      </c>
      <c r="S20" s="185">
        <f>140000/100000</f>
        <v>1.4</v>
      </c>
      <c r="T20" s="185">
        <f>140000/100000</f>
        <v>1.4</v>
      </c>
      <c r="U20" s="193">
        <f>10000/100000+190000/100000</f>
        <v>2</v>
      </c>
      <c r="V20" s="185">
        <f>400000/100000+225000/100000</f>
        <v>6.25</v>
      </c>
      <c r="W20" s="185">
        <f>1000000/100000</f>
        <v>10</v>
      </c>
      <c r="X20" s="185">
        <f>1200000/100000</f>
        <v>12</v>
      </c>
      <c r="Y20" s="185">
        <v>160</v>
      </c>
      <c r="Z20" s="185">
        <v>320</v>
      </c>
      <c r="AA20" s="185">
        <v>320</v>
      </c>
      <c r="AB20" s="180">
        <v>800</v>
      </c>
      <c r="AC20" s="404">
        <f>800+1600+600</f>
        <v>3000</v>
      </c>
      <c r="AD20" s="400">
        <v>3000</v>
      </c>
      <c r="AE20" s="400">
        <v>3000</v>
      </c>
      <c r="AF20" s="400">
        <f>3000+2000</f>
        <v>5000</v>
      </c>
      <c r="AG20" s="400">
        <f>5000+3000</f>
        <v>8000</v>
      </c>
      <c r="AH20" s="400">
        <v>8000</v>
      </c>
      <c r="AI20" s="400">
        <v>10000</v>
      </c>
      <c r="AJ20" s="400">
        <v>10000</v>
      </c>
      <c r="AK20" s="400">
        <f>10000+10500</f>
        <v>20500</v>
      </c>
      <c r="AL20" s="397">
        <f>21100</f>
        <v>21100</v>
      </c>
      <c r="AM20" s="397">
        <v>33750</v>
      </c>
      <c r="AN20" s="398">
        <v>32700</v>
      </c>
      <c r="AO20" s="396">
        <v>54500</v>
      </c>
      <c r="AP20" s="397">
        <v>60500</v>
      </c>
      <c r="AQ20" s="397"/>
      <c r="AR20" s="397"/>
      <c r="AS20" s="397"/>
      <c r="AT20" s="397"/>
      <c r="AU20" s="397"/>
      <c r="AV20" s="397"/>
      <c r="AW20" s="397"/>
      <c r="AX20" s="397"/>
      <c r="AY20" s="397"/>
      <c r="AZ20" s="398"/>
      <c r="BA20" s="426">
        <f t="shared" si="25"/>
        <v>274687.04000000004</v>
      </c>
    </row>
    <row r="21" spans="1:53" s="29" customFormat="1" ht="20.100000000000001" customHeight="1">
      <c r="A21" s="37" t="str">
        <f>Vecinos!A21</f>
        <v>Doris Valderrama</v>
      </c>
      <c r="B21" s="38" t="str">
        <f>Vecinos!C21</f>
        <v>Calle Guacara Nro. 87-15</v>
      </c>
      <c r="C21" s="39" t="str">
        <f>IF(SUMIFS(Vigilancia!$E:$E,Vigilancia!$F:$F,A21,Vigilancia!$J:$J,"Vigilancia")=BA21,"ü","û")</f>
        <v>ü</v>
      </c>
      <c r="D21" s="198"/>
      <c r="E21" s="199"/>
      <c r="F21" s="200"/>
      <c r="G21" s="200"/>
      <c r="H21" s="200"/>
      <c r="I21" s="200"/>
      <c r="J21" s="200"/>
      <c r="K21" s="200"/>
      <c r="L21" s="200"/>
      <c r="M21" s="200"/>
      <c r="N21" s="200"/>
      <c r="O21" s="200"/>
      <c r="P21" s="198"/>
      <c r="Q21" s="201"/>
      <c r="R21" s="202"/>
      <c r="S21" s="202"/>
      <c r="T21" s="202"/>
      <c r="U21" s="202"/>
      <c r="V21" s="202"/>
      <c r="W21" s="202"/>
      <c r="X21" s="202"/>
      <c r="Y21" s="202"/>
      <c r="Z21" s="202"/>
      <c r="AA21" s="202"/>
      <c r="AB21" s="198"/>
      <c r="AC21" s="407"/>
      <c r="AD21" s="408"/>
      <c r="AE21" s="408"/>
      <c r="AF21" s="408"/>
      <c r="AG21" s="408"/>
      <c r="AH21" s="408"/>
      <c r="AI21" s="408"/>
      <c r="AJ21" s="408"/>
      <c r="AK21" s="408"/>
      <c r="AL21" s="408"/>
      <c r="AM21" s="408"/>
      <c r="AN21" s="409"/>
      <c r="AO21" s="407"/>
      <c r="AP21" s="408"/>
      <c r="AQ21" s="408"/>
      <c r="AR21" s="408"/>
      <c r="AS21" s="408"/>
      <c r="AT21" s="408"/>
      <c r="AU21" s="408"/>
      <c r="AV21" s="408"/>
      <c r="AW21" s="408"/>
      <c r="AX21" s="408"/>
      <c r="AY21" s="408"/>
      <c r="AZ21" s="409"/>
      <c r="BA21" s="427">
        <f t="shared" si="25"/>
        <v>0</v>
      </c>
    </row>
    <row r="22" spans="1:53" s="29" customFormat="1" ht="20.100000000000001" customHeight="1">
      <c r="A22" s="37" t="str">
        <f>Vecinos!A22</f>
        <v>Familia Delgado</v>
      </c>
      <c r="B22" s="38" t="str">
        <f>Vecinos!C22</f>
        <v>Calle Guacara Nro. 87-19</v>
      </c>
      <c r="C22" s="39" t="str">
        <f>IF(SUMIFS(Vigilancia!$E:$E,Vigilancia!$F:$F,A22,Vigilancia!$J:$J,"Vigilancia")=BA22,"ü","û")</f>
        <v>ü</v>
      </c>
      <c r="D22" s="198"/>
      <c r="E22" s="199"/>
      <c r="F22" s="200"/>
      <c r="G22" s="200"/>
      <c r="H22" s="200"/>
      <c r="I22" s="200"/>
      <c r="J22" s="200"/>
      <c r="K22" s="200"/>
      <c r="L22" s="200"/>
      <c r="M22" s="200"/>
      <c r="N22" s="200"/>
      <c r="O22" s="200"/>
      <c r="P22" s="198"/>
      <c r="Q22" s="201"/>
      <c r="R22" s="202"/>
      <c r="S22" s="202"/>
      <c r="T22" s="202"/>
      <c r="U22" s="202"/>
      <c r="V22" s="202"/>
      <c r="W22" s="202"/>
      <c r="X22" s="202"/>
      <c r="Y22" s="202"/>
      <c r="Z22" s="202"/>
      <c r="AA22" s="202"/>
      <c r="AB22" s="198"/>
      <c r="AC22" s="407"/>
      <c r="AD22" s="408"/>
      <c r="AE22" s="408"/>
      <c r="AF22" s="408"/>
      <c r="AG22" s="408"/>
      <c r="AH22" s="408"/>
      <c r="AI22" s="408"/>
      <c r="AJ22" s="408"/>
      <c r="AK22" s="408"/>
      <c r="AL22" s="408"/>
      <c r="AM22" s="408"/>
      <c r="AN22" s="409"/>
      <c r="AO22" s="407"/>
      <c r="AP22" s="408"/>
      <c r="AQ22" s="408"/>
      <c r="AR22" s="408"/>
      <c r="AS22" s="408"/>
      <c r="AT22" s="408"/>
      <c r="AU22" s="408"/>
      <c r="AV22" s="408"/>
      <c r="AW22" s="408"/>
      <c r="AX22" s="408"/>
      <c r="AY22" s="408"/>
      <c r="AZ22" s="409"/>
      <c r="BA22" s="427">
        <f t="shared" si="25"/>
        <v>0</v>
      </c>
    </row>
    <row r="23" spans="1:53" s="29" customFormat="1" ht="20.100000000000001" customHeight="1">
      <c r="A23" s="37" t="str">
        <f>Vecinos!A23</f>
        <v>Familia Pereira</v>
      </c>
      <c r="B23" s="38" t="str">
        <f>Vecinos!C23</f>
        <v>Calle Guacara Nro. 87-27</v>
      </c>
      <c r="C23" s="39" t="str">
        <f>IF(SUMIFS(Vigilancia!$E:$E,Vigilancia!$F:$F,A23,Vigilancia!$J:$J,"Vigilancia")=BA23,"ü","û")</f>
        <v>ü</v>
      </c>
      <c r="D23" s="198"/>
      <c r="E23" s="199"/>
      <c r="F23" s="200"/>
      <c r="G23" s="200"/>
      <c r="H23" s="200"/>
      <c r="I23" s="200"/>
      <c r="J23" s="200"/>
      <c r="K23" s="200"/>
      <c r="L23" s="200"/>
      <c r="M23" s="200"/>
      <c r="N23" s="200"/>
      <c r="O23" s="200"/>
      <c r="P23" s="198"/>
      <c r="Q23" s="201"/>
      <c r="R23" s="202"/>
      <c r="S23" s="202"/>
      <c r="T23" s="202"/>
      <c r="U23" s="202"/>
      <c r="V23" s="202"/>
      <c r="W23" s="202"/>
      <c r="X23" s="202"/>
      <c r="Y23" s="202"/>
      <c r="Z23" s="202"/>
      <c r="AA23" s="202"/>
      <c r="AB23" s="198"/>
      <c r="AC23" s="407"/>
      <c r="AD23" s="408"/>
      <c r="AE23" s="408"/>
      <c r="AF23" s="408"/>
      <c r="AG23" s="408"/>
      <c r="AH23" s="408"/>
      <c r="AI23" s="408"/>
      <c r="AJ23" s="408"/>
      <c r="AK23" s="408"/>
      <c r="AL23" s="408"/>
      <c r="AM23" s="408"/>
      <c r="AN23" s="409"/>
      <c r="AO23" s="407"/>
      <c r="AP23" s="408"/>
      <c r="AQ23" s="408"/>
      <c r="AR23" s="408"/>
      <c r="AS23" s="408"/>
      <c r="AT23" s="408"/>
      <c r="AU23" s="408"/>
      <c r="AV23" s="408"/>
      <c r="AW23" s="408"/>
      <c r="AX23" s="408"/>
      <c r="AY23" s="408"/>
      <c r="AZ23" s="409"/>
      <c r="BA23" s="427">
        <f t="shared" si="25"/>
        <v>0</v>
      </c>
    </row>
    <row r="24" spans="1:53" s="29" customFormat="1" ht="20.100000000000001" customHeight="1">
      <c r="A24" s="37" t="str">
        <f>Vecinos!A24</f>
        <v>Familia Padrón C. Bollingher</v>
      </c>
      <c r="B24" s="38" t="str">
        <f>Vecinos!C24</f>
        <v>Calle Guacara Nro. 87-30</v>
      </c>
      <c r="C24" s="39" t="str">
        <f>IF(SUMIFS(Vigilancia!$E:$E,Vigilancia!$F:$F,A24,Vigilancia!$J:$J,"Vigilancia")=BA24,"ü","û")</f>
        <v>ü</v>
      </c>
      <c r="D24" s="198"/>
      <c r="E24" s="199"/>
      <c r="F24" s="200"/>
      <c r="G24" s="200"/>
      <c r="H24" s="200"/>
      <c r="I24" s="200"/>
      <c r="J24" s="200"/>
      <c r="K24" s="200"/>
      <c r="L24" s="200"/>
      <c r="M24" s="200"/>
      <c r="N24" s="200"/>
      <c r="O24" s="200"/>
      <c r="P24" s="198"/>
      <c r="Q24" s="201"/>
      <c r="R24" s="202"/>
      <c r="S24" s="202"/>
      <c r="T24" s="202"/>
      <c r="U24" s="202"/>
      <c r="V24" s="202"/>
      <c r="W24" s="202"/>
      <c r="X24" s="202"/>
      <c r="Y24" s="202"/>
      <c r="Z24" s="202"/>
      <c r="AA24" s="202"/>
      <c r="AB24" s="198"/>
      <c r="AC24" s="407"/>
      <c r="AD24" s="408"/>
      <c r="AE24" s="408"/>
      <c r="AF24" s="408"/>
      <c r="AG24" s="408"/>
      <c r="AH24" s="408"/>
      <c r="AI24" s="408"/>
      <c r="AJ24" s="408"/>
      <c r="AK24" s="408"/>
      <c r="AL24" s="408"/>
      <c r="AM24" s="408"/>
      <c r="AN24" s="409"/>
      <c r="AO24" s="407"/>
      <c r="AP24" s="408"/>
      <c r="AQ24" s="408"/>
      <c r="AR24" s="408"/>
      <c r="AS24" s="408"/>
      <c r="AT24" s="408"/>
      <c r="AU24" s="408"/>
      <c r="AV24" s="408"/>
      <c r="AW24" s="408"/>
      <c r="AX24" s="408"/>
      <c r="AY24" s="408"/>
      <c r="AZ24" s="409"/>
      <c r="BA24" s="427">
        <f t="shared" si="25"/>
        <v>0</v>
      </c>
    </row>
    <row r="25" spans="1:53" s="29" customFormat="1" ht="20.100000000000001" customHeight="1">
      <c r="A25" s="37" t="str">
        <f>Vecinos!A25</f>
        <v>Familia Morillo</v>
      </c>
      <c r="B25" s="38" t="str">
        <f>Vecinos!C25</f>
        <v>Calle Guacara Nro. 87-35</v>
      </c>
      <c r="C25" s="39" t="str">
        <f>IF(SUMIFS(Vigilancia!$E:$E,Vigilancia!$F:$F,A25,Vigilancia!$J:$J,"Vigilancia")=BA25,"ü","û")</f>
        <v>ü</v>
      </c>
      <c r="D25" s="198"/>
      <c r="E25" s="199"/>
      <c r="F25" s="200"/>
      <c r="G25" s="200"/>
      <c r="H25" s="200"/>
      <c r="I25" s="200"/>
      <c r="J25" s="200"/>
      <c r="K25" s="200"/>
      <c r="L25" s="200"/>
      <c r="M25" s="200"/>
      <c r="N25" s="200"/>
      <c r="O25" s="200"/>
      <c r="P25" s="198"/>
      <c r="Q25" s="201"/>
      <c r="R25" s="202"/>
      <c r="S25" s="202"/>
      <c r="T25" s="202"/>
      <c r="U25" s="202"/>
      <c r="V25" s="202"/>
      <c r="W25" s="202"/>
      <c r="X25" s="202"/>
      <c r="Y25" s="202"/>
      <c r="Z25" s="202"/>
      <c r="AA25" s="202"/>
      <c r="AB25" s="198"/>
      <c r="AC25" s="407"/>
      <c r="AD25" s="408"/>
      <c r="AE25" s="408"/>
      <c r="AF25" s="408"/>
      <c r="AG25" s="408"/>
      <c r="AH25" s="408"/>
      <c r="AI25" s="408"/>
      <c r="AJ25" s="408"/>
      <c r="AK25" s="408"/>
      <c r="AL25" s="408"/>
      <c r="AM25" s="408"/>
      <c r="AN25" s="409"/>
      <c r="AO25" s="407"/>
      <c r="AP25" s="408"/>
      <c r="AQ25" s="408"/>
      <c r="AR25" s="408"/>
      <c r="AS25" s="408"/>
      <c r="AT25" s="408"/>
      <c r="AU25" s="408"/>
      <c r="AV25" s="408"/>
      <c r="AW25" s="408"/>
      <c r="AX25" s="408"/>
      <c r="AY25" s="408"/>
      <c r="AZ25" s="409"/>
      <c r="BA25" s="427">
        <f t="shared" si="25"/>
        <v>0</v>
      </c>
    </row>
    <row r="26" spans="1:53" s="29" customFormat="1" ht="20.100000000000001" customHeight="1">
      <c r="A26" s="37" t="str">
        <f>Vecinos!A26</f>
        <v>Familia Gorrín Gianfrancesco</v>
      </c>
      <c r="B26" s="38" t="str">
        <f>Vecinos!C26</f>
        <v>Calle Guacara Nro. 87-40</v>
      </c>
      <c r="C26" s="39" t="str">
        <f>IF(SUMIFS(Vigilancia!$E:$E,Vigilancia!$F:$F,A26,Vigilancia!$J:$J,"Vigilancia")=BA26,"ü","û")</f>
        <v>ü</v>
      </c>
      <c r="D26" s="198"/>
      <c r="E26" s="199"/>
      <c r="F26" s="200"/>
      <c r="G26" s="200"/>
      <c r="H26" s="200"/>
      <c r="I26" s="200"/>
      <c r="J26" s="200"/>
      <c r="K26" s="200"/>
      <c r="L26" s="200"/>
      <c r="M26" s="200"/>
      <c r="N26" s="200"/>
      <c r="O26" s="200"/>
      <c r="P26" s="198"/>
      <c r="Q26" s="201"/>
      <c r="R26" s="202"/>
      <c r="S26" s="202"/>
      <c r="T26" s="202"/>
      <c r="U26" s="202"/>
      <c r="V26" s="202"/>
      <c r="W26" s="202"/>
      <c r="X26" s="202"/>
      <c r="Y26" s="202"/>
      <c r="Z26" s="202"/>
      <c r="AA26" s="202"/>
      <c r="AB26" s="198"/>
      <c r="AC26" s="407"/>
      <c r="AD26" s="408"/>
      <c r="AE26" s="408"/>
      <c r="AF26" s="408"/>
      <c r="AG26" s="408"/>
      <c r="AH26" s="408"/>
      <c r="AI26" s="408"/>
      <c r="AJ26" s="408"/>
      <c r="AK26" s="408"/>
      <c r="AL26" s="408"/>
      <c r="AM26" s="408"/>
      <c r="AN26" s="409"/>
      <c r="AO26" s="407"/>
      <c r="AP26" s="408"/>
      <c r="AQ26" s="408"/>
      <c r="AR26" s="408"/>
      <c r="AS26" s="408"/>
      <c r="AT26" s="408"/>
      <c r="AU26" s="408"/>
      <c r="AV26" s="408"/>
      <c r="AW26" s="408"/>
      <c r="AX26" s="408"/>
      <c r="AY26" s="408"/>
      <c r="AZ26" s="409"/>
      <c r="BA26" s="427">
        <f t="shared" si="25"/>
        <v>0</v>
      </c>
    </row>
    <row r="27" spans="1:53" s="29" customFormat="1" ht="20.100000000000001" customHeight="1">
      <c r="A27" s="37" t="str">
        <f>Vecinos!A27</f>
        <v>Familia Moretti</v>
      </c>
      <c r="B27" s="38" t="str">
        <f>Vecinos!C27</f>
        <v>Calle Guacara Nro. 87-51</v>
      </c>
      <c r="C27" s="39" t="str">
        <f>IF(SUMIFS(Vigilancia!$E:$E,Vigilancia!$F:$F,A27,Vigilancia!$J:$J,"Vigilancia")=BA27,"ü","û")</f>
        <v>ü</v>
      </c>
      <c r="D27" s="198"/>
      <c r="E27" s="199"/>
      <c r="F27" s="200"/>
      <c r="G27" s="200"/>
      <c r="H27" s="200"/>
      <c r="I27" s="200"/>
      <c r="J27" s="200"/>
      <c r="K27" s="200"/>
      <c r="L27" s="200"/>
      <c r="M27" s="200"/>
      <c r="N27" s="200"/>
      <c r="O27" s="200"/>
      <c r="P27" s="198"/>
      <c r="Q27" s="201"/>
      <c r="R27" s="202"/>
      <c r="S27" s="202"/>
      <c r="T27" s="202"/>
      <c r="U27" s="202"/>
      <c r="V27" s="202"/>
      <c r="W27" s="202"/>
      <c r="X27" s="202"/>
      <c r="Y27" s="202"/>
      <c r="Z27" s="202"/>
      <c r="AA27" s="202"/>
      <c r="AB27" s="198"/>
      <c r="AC27" s="407"/>
      <c r="AD27" s="408"/>
      <c r="AE27" s="408"/>
      <c r="AF27" s="408"/>
      <c r="AG27" s="408"/>
      <c r="AH27" s="408"/>
      <c r="AI27" s="408"/>
      <c r="AJ27" s="408"/>
      <c r="AK27" s="408"/>
      <c r="AL27" s="408"/>
      <c r="AM27" s="408"/>
      <c r="AN27" s="409"/>
      <c r="AO27" s="407"/>
      <c r="AP27" s="408"/>
      <c r="AQ27" s="408"/>
      <c r="AR27" s="408"/>
      <c r="AS27" s="408"/>
      <c r="AT27" s="408"/>
      <c r="AU27" s="408"/>
      <c r="AV27" s="408"/>
      <c r="AW27" s="408"/>
      <c r="AX27" s="408"/>
      <c r="AY27" s="408"/>
      <c r="AZ27" s="409"/>
      <c r="BA27" s="427">
        <f t="shared" si="25"/>
        <v>0</v>
      </c>
    </row>
    <row r="28" spans="1:53" s="29" customFormat="1" ht="20.100000000000001" customHeight="1">
      <c r="A28" s="37" t="str">
        <f>Vecinos!A28</f>
        <v>Familia Ramírez (Guacara)</v>
      </c>
      <c r="B28" s="38" t="str">
        <f>Vecinos!C28</f>
        <v>Calle Guacara Nro. 87-59</v>
      </c>
      <c r="C28" s="39" t="str">
        <f>IF(SUMIFS(Vigilancia!$E:$E,Vigilancia!$F:$F,A28,Vigilancia!$J:$J,"Vigilancia")=BA28,"ü","û")</f>
        <v>ü</v>
      </c>
      <c r="D28" s="198"/>
      <c r="E28" s="199"/>
      <c r="F28" s="200"/>
      <c r="G28" s="200"/>
      <c r="H28" s="200"/>
      <c r="I28" s="200"/>
      <c r="J28" s="200"/>
      <c r="K28" s="200"/>
      <c r="L28" s="200"/>
      <c r="M28" s="200"/>
      <c r="N28" s="200"/>
      <c r="O28" s="200"/>
      <c r="P28" s="198"/>
      <c r="Q28" s="201"/>
      <c r="R28" s="202"/>
      <c r="S28" s="202"/>
      <c r="T28" s="202"/>
      <c r="U28" s="202"/>
      <c r="V28" s="202"/>
      <c r="W28" s="202"/>
      <c r="X28" s="202"/>
      <c r="Y28" s="202"/>
      <c r="Z28" s="202"/>
      <c r="AA28" s="202"/>
      <c r="AB28" s="198"/>
      <c r="AC28" s="407"/>
      <c r="AD28" s="408"/>
      <c r="AE28" s="408"/>
      <c r="AF28" s="408"/>
      <c r="AG28" s="408"/>
      <c r="AH28" s="408"/>
      <c r="AI28" s="408"/>
      <c r="AJ28" s="408"/>
      <c r="AK28" s="408"/>
      <c r="AL28" s="408"/>
      <c r="AM28" s="408"/>
      <c r="AN28" s="409"/>
      <c r="AO28" s="407"/>
      <c r="AP28" s="408"/>
      <c r="AQ28" s="408"/>
      <c r="AR28" s="408"/>
      <c r="AS28" s="408"/>
      <c r="AT28" s="408"/>
      <c r="AU28" s="408"/>
      <c r="AV28" s="408"/>
      <c r="AW28" s="408"/>
      <c r="AX28" s="408"/>
      <c r="AY28" s="408"/>
      <c r="AZ28" s="409"/>
      <c r="BA28" s="427">
        <f t="shared" si="25"/>
        <v>0</v>
      </c>
    </row>
    <row r="29" spans="1:53" s="29" customFormat="1" ht="20.100000000000001" customHeight="1">
      <c r="A29" s="37" t="str">
        <f>Vecinos!A29</f>
        <v>Familia De Sousa Pereira</v>
      </c>
      <c r="B29" s="38" t="str">
        <f>Vecinos!C29</f>
        <v>Calle Guacara Nro. 87-65</v>
      </c>
      <c r="C29" s="39" t="str">
        <f>IF(SUMIFS(Vigilancia!$E:$E,Vigilancia!$F:$F,A29,Vigilancia!$J:$J,"Vigilancia")=BA29,"ü","û")</f>
        <v>ü</v>
      </c>
      <c r="D29" s="198"/>
      <c r="E29" s="199"/>
      <c r="F29" s="200"/>
      <c r="G29" s="200"/>
      <c r="H29" s="200"/>
      <c r="I29" s="200"/>
      <c r="J29" s="200"/>
      <c r="K29" s="200"/>
      <c r="L29" s="200"/>
      <c r="M29" s="200"/>
      <c r="N29" s="200"/>
      <c r="O29" s="200"/>
      <c r="P29" s="198"/>
      <c r="Q29" s="201"/>
      <c r="R29" s="202"/>
      <c r="S29" s="202"/>
      <c r="T29" s="202"/>
      <c r="U29" s="202"/>
      <c r="V29" s="202"/>
      <c r="W29" s="202"/>
      <c r="X29" s="202"/>
      <c r="Y29" s="202"/>
      <c r="Z29" s="202"/>
      <c r="AA29" s="202"/>
      <c r="AB29" s="198"/>
      <c r="AC29" s="407"/>
      <c r="AD29" s="408"/>
      <c r="AE29" s="408"/>
      <c r="AF29" s="408"/>
      <c r="AG29" s="408"/>
      <c r="AH29" s="408"/>
      <c r="AI29" s="408"/>
      <c r="AJ29" s="408"/>
      <c r="AK29" s="408"/>
      <c r="AL29" s="408"/>
      <c r="AM29" s="408"/>
      <c r="AN29" s="409"/>
      <c r="AO29" s="407"/>
      <c r="AP29" s="408"/>
      <c r="AQ29" s="408"/>
      <c r="AR29" s="408"/>
      <c r="AS29" s="408"/>
      <c r="AT29" s="408"/>
      <c r="AU29" s="408"/>
      <c r="AV29" s="408"/>
      <c r="AW29" s="408"/>
      <c r="AX29" s="408"/>
      <c r="AY29" s="408"/>
      <c r="AZ29" s="409"/>
      <c r="BA29" s="427">
        <f t="shared" si="25"/>
        <v>0</v>
      </c>
    </row>
    <row r="30" spans="1:53" s="29" customFormat="1" ht="20.100000000000001" customHeight="1">
      <c r="A30" s="37" t="str">
        <f>Vecinos!A30</f>
        <v>Familia De Libero Marinelli</v>
      </c>
      <c r="B30" s="38" t="str">
        <f>Vecinos!C30</f>
        <v>Calle Guacara Nro. 87-70</v>
      </c>
      <c r="C30" s="39" t="str">
        <f>IF(SUMIFS(Vigilancia!$E:$E,Vigilancia!$F:$F,A30,Vigilancia!$J:$J,"Vigilancia")=BA30,"ü","û")</f>
        <v>ü</v>
      </c>
      <c r="D30" s="198"/>
      <c r="E30" s="199"/>
      <c r="F30" s="200"/>
      <c r="G30" s="200"/>
      <c r="H30" s="200"/>
      <c r="I30" s="200"/>
      <c r="J30" s="200"/>
      <c r="K30" s="200"/>
      <c r="L30" s="200"/>
      <c r="M30" s="200"/>
      <c r="N30" s="200"/>
      <c r="O30" s="200"/>
      <c r="P30" s="198"/>
      <c r="Q30" s="201"/>
      <c r="R30" s="202"/>
      <c r="S30" s="202"/>
      <c r="T30" s="202"/>
      <c r="U30" s="202"/>
      <c r="V30" s="202"/>
      <c r="W30" s="202"/>
      <c r="X30" s="202"/>
      <c r="Y30" s="202"/>
      <c r="Z30" s="202"/>
      <c r="AA30" s="202"/>
      <c r="AB30" s="198"/>
      <c r="AC30" s="407"/>
      <c r="AD30" s="408"/>
      <c r="AE30" s="408"/>
      <c r="AF30" s="408"/>
      <c r="AG30" s="408"/>
      <c r="AH30" s="408"/>
      <c r="AI30" s="408"/>
      <c r="AJ30" s="408"/>
      <c r="AK30" s="408"/>
      <c r="AL30" s="408"/>
      <c r="AM30" s="408"/>
      <c r="AN30" s="409"/>
      <c r="AO30" s="407"/>
      <c r="AP30" s="408"/>
      <c r="AQ30" s="408"/>
      <c r="AR30" s="408"/>
      <c r="AS30" s="408"/>
      <c r="AT30" s="408"/>
      <c r="AU30" s="408"/>
      <c r="AV30" s="408"/>
      <c r="AW30" s="408"/>
      <c r="AX30" s="408"/>
      <c r="AY30" s="408"/>
      <c r="AZ30" s="409"/>
      <c r="BA30" s="427">
        <f t="shared" si="25"/>
        <v>0</v>
      </c>
    </row>
    <row r="31" spans="1:53" s="29" customFormat="1" ht="20.100000000000001" customHeight="1">
      <c r="A31" s="37" t="str">
        <f>Vecinos!A31</f>
        <v>Familia Martínez</v>
      </c>
      <c r="B31" s="38" t="str">
        <f>Vecinos!C31</f>
        <v>Calle Guacara Nro. 87-80</v>
      </c>
      <c r="C31" s="39" t="str">
        <f>IF(SUMIFS(Vigilancia!$E:$E,Vigilancia!$F:$F,A31,Vigilancia!$J:$J,"Vigilancia")=BA31,"ü","û")</f>
        <v>ü</v>
      </c>
      <c r="D31" s="198"/>
      <c r="E31" s="199"/>
      <c r="F31" s="200"/>
      <c r="G31" s="200"/>
      <c r="H31" s="200"/>
      <c r="I31" s="200"/>
      <c r="J31" s="200"/>
      <c r="K31" s="200"/>
      <c r="L31" s="200"/>
      <c r="M31" s="200"/>
      <c r="N31" s="200"/>
      <c r="O31" s="200"/>
      <c r="P31" s="198"/>
      <c r="Q31" s="201"/>
      <c r="R31" s="202"/>
      <c r="S31" s="202"/>
      <c r="T31" s="202"/>
      <c r="U31" s="202"/>
      <c r="V31" s="202"/>
      <c r="W31" s="202"/>
      <c r="X31" s="202"/>
      <c r="Y31" s="202"/>
      <c r="Z31" s="202"/>
      <c r="AA31" s="202"/>
      <c r="AB31" s="198"/>
      <c r="AC31" s="407"/>
      <c r="AD31" s="408"/>
      <c r="AE31" s="408"/>
      <c r="AF31" s="408"/>
      <c r="AG31" s="408"/>
      <c r="AH31" s="408"/>
      <c r="AI31" s="408"/>
      <c r="AJ31" s="408"/>
      <c r="AK31" s="408"/>
      <c r="AL31" s="408"/>
      <c r="AM31" s="408"/>
      <c r="AN31" s="409"/>
      <c r="AO31" s="407"/>
      <c r="AP31" s="408"/>
      <c r="AQ31" s="408"/>
      <c r="AR31" s="408"/>
      <c r="AS31" s="408"/>
      <c r="AT31" s="408"/>
      <c r="AU31" s="408"/>
      <c r="AV31" s="408"/>
      <c r="AW31" s="408"/>
      <c r="AX31" s="408"/>
      <c r="AY31" s="408"/>
      <c r="AZ31" s="409"/>
      <c r="BA31" s="427">
        <f t="shared" si="25"/>
        <v>0</v>
      </c>
    </row>
    <row r="32" spans="1:53" s="29" customFormat="1" ht="20.100000000000001" customHeight="1">
      <c r="A32" s="37" t="str">
        <f>Vecinos!A32</f>
        <v>Familia Suarez</v>
      </c>
      <c r="B32" s="38" t="str">
        <f>Vecinos!C32</f>
        <v>Calle Guacara Nro. 87-82</v>
      </c>
      <c r="C32" s="39" t="str">
        <f>IF(SUMIFS(Vigilancia!$E:$E,Vigilancia!$F:$F,A32,Vigilancia!$J:$J,"Vigilancia")=BA32,"ü","û")</f>
        <v>ü</v>
      </c>
      <c r="D32" s="198"/>
      <c r="E32" s="199"/>
      <c r="F32" s="200"/>
      <c r="G32" s="200"/>
      <c r="H32" s="200"/>
      <c r="I32" s="200"/>
      <c r="J32" s="200"/>
      <c r="K32" s="200"/>
      <c r="L32" s="200"/>
      <c r="M32" s="200"/>
      <c r="N32" s="200"/>
      <c r="O32" s="200"/>
      <c r="P32" s="198"/>
      <c r="Q32" s="201"/>
      <c r="R32" s="202"/>
      <c r="S32" s="202"/>
      <c r="T32" s="202"/>
      <c r="U32" s="202"/>
      <c r="V32" s="202"/>
      <c r="W32" s="202"/>
      <c r="X32" s="202"/>
      <c r="Y32" s="202"/>
      <c r="Z32" s="202"/>
      <c r="AA32" s="202"/>
      <c r="AB32" s="198"/>
      <c r="AC32" s="407"/>
      <c r="AD32" s="408"/>
      <c r="AE32" s="408"/>
      <c r="AF32" s="408"/>
      <c r="AG32" s="408"/>
      <c r="AH32" s="408"/>
      <c r="AI32" s="408"/>
      <c r="AJ32" s="408"/>
      <c r="AK32" s="408"/>
      <c r="AL32" s="408"/>
      <c r="AM32" s="408"/>
      <c r="AN32" s="409"/>
      <c r="AO32" s="407"/>
      <c r="AP32" s="408"/>
      <c r="AQ32" s="408"/>
      <c r="AR32" s="408"/>
      <c r="AS32" s="408"/>
      <c r="AT32" s="408"/>
      <c r="AU32" s="408"/>
      <c r="AV32" s="408"/>
      <c r="AW32" s="408"/>
      <c r="AX32" s="408"/>
      <c r="AY32" s="408"/>
      <c r="AZ32" s="409"/>
      <c r="BA32" s="427">
        <f t="shared" si="25"/>
        <v>0</v>
      </c>
    </row>
    <row r="33" spans="1:53" s="29" customFormat="1" ht="20.100000000000001" customHeight="1">
      <c r="A33" s="380" t="str">
        <f>Vecinos!A33</f>
        <v>Chin Chun Ya (Goya)</v>
      </c>
      <c r="B33" s="381" t="str">
        <f>Vecinos!C33</f>
        <v>Calle Guacara Nro. 87-86</v>
      </c>
      <c r="C33" s="382" t="str">
        <f>IF(SUMIFS(Vigilancia!$E:$E,Vigilancia!$F:$F,A33,Vigilancia!$J:$J,"Vigilancia")=BA33,"ü","û")</f>
        <v>ü</v>
      </c>
      <c r="D33" s="187"/>
      <c r="E33" s="188">
        <f>5000/100000</f>
        <v>0.05</v>
      </c>
      <c r="F33" s="189">
        <f>5000/100000</f>
        <v>0.05</v>
      </c>
      <c r="G33" s="189">
        <f>7000/100000</f>
        <v>7.0000000000000007E-2</v>
      </c>
      <c r="H33" s="189">
        <f>7000/100000</f>
        <v>7.0000000000000007E-2</v>
      </c>
      <c r="I33" s="189">
        <f>7000/100000</f>
        <v>7.0000000000000007E-2</v>
      </c>
      <c r="J33" s="189">
        <f>10000/100000</f>
        <v>0.1</v>
      </c>
      <c r="K33" s="189">
        <f>10000/100000</f>
        <v>0.1</v>
      </c>
      <c r="L33" s="189">
        <f>15000/100000</f>
        <v>0.15</v>
      </c>
      <c r="M33" s="189">
        <f>15000/100000</f>
        <v>0.15</v>
      </c>
      <c r="N33" s="189">
        <f>15000/100000</f>
        <v>0.15</v>
      </c>
      <c r="O33" s="189">
        <f>35000/100000</f>
        <v>0.35</v>
      </c>
      <c r="P33" s="187">
        <f>35000/100000</f>
        <v>0.35</v>
      </c>
      <c r="Q33" s="190">
        <f>35000/100000</f>
        <v>0.35</v>
      </c>
      <c r="R33" s="191">
        <f>80000/100000</f>
        <v>0.8</v>
      </c>
      <c r="S33" s="191">
        <f>20000/100000+80000/100000</f>
        <v>1</v>
      </c>
      <c r="T33" s="191">
        <f>20000/100000+80000/100000</f>
        <v>1</v>
      </c>
      <c r="U33" s="191">
        <f>200000/100000</f>
        <v>2</v>
      </c>
      <c r="V33" s="192">
        <f>400000/100000+225000/100000</f>
        <v>6.25</v>
      </c>
      <c r="W33" s="192">
        <f>850000/100000+150000/100000</f>
        <v>10</v>
      </c>
      <c r="X33" s="192">
        <f>1200000/100000</f>
        <v>12</v>
      </c>
      <c r="Y33" s="192">
        <v>320</v>
      </c>
      <c r="Z33" s="192">
        <v>320</v>
      </c>
      <c r="AA33" s="192">
        <v>320</v>
      </c>
      <c r="AB33" s="366">
        <v>800</v>
      </c>
      <c r="AC33" s="404">
        <f>800+2200</f>
        <v>3000</v>
      </c>
      <c r="AD33" s="405">
        <v>3000</v>
      </c>
      <c r="AE33" s="400">
        <v>3000</v>
      </c>
      <c r="AF33" s="400">
        <f>3000+2000</f>
        <v>5000</v>
      </c>
      <c r="AG33" s="412">
        <v>5000</v>
      </c>
      <c r="AH33" s="405">
        <v>8000</v>
      </c>
      <c r="AI33" s="405">
        <v>10000</v>
      </c>
      <c r="AJ33" s="405">
        <v>10000</v>
      </c>
      <c r="AK33" s="400">
        <v>23400</v>
      </c>
      <c r="AL33" s="509">
        <f>21100+30000</f>
        <v>51100</v>
      </c>
      <c r="AM33" s="405">
        <v>56250</v>
      </c>
      <c r="AN33" s="410">
        <v>97500</v>
      </c>
      <c r="AO33" s="404">
        <v>136250</v>
      </c>
      <c r="AP33" s="405">
        <f>38750+97500</f>
        <v>136250</v>
      </c>
      <c r="AQ33" s="400">
        <f>38200</f>
        <v>38200</v>
      </c>
      <c r="AR33" s="400"/>
      <c r="AS33" s="400"/>
      <c r="AT33" s="400"/>
      <c r="AU33" s="405"/>
      <c r="AV33" s="405"/>
      <c r="AW33" s="405"/>
      <c r="AX33" s="405"/>
      <c r="AY33" s="405"/>
      <c r="AZ33" s="410"/>
      <c r="BA33" s="428">
        <f t="shared" si="25"/>
        <v>587745.06000000006</v>
      </c>
    </row>
    <row r="34" spans="1:53" s="29" customFormat="1" ht="20.100000000000001" customHeight="1">
      <c r="A34" s="30" t="str">
        <f>Vecinos!A34</f>
        <v>Teresita Román</v>
      </c>
      <c r="B34" s="31" t="str">
        <f>Vecinos!C34</f>
        <v>Calle Guacara Nro. 87-90</v>
      </c>
      <c r="C34" s="36" t="str">
        <f>IF(SUMIFS(Vigilancia!$E:$E,Vigilancia!$F:$F,A34,Vigilancia!$J:$J,"Vigilancia")=BA34,"ü","û")</f>
        <v>ü</v>
      </c>
      <c r="D34" s="180"/>
      <c r="E34" s="181"/>
      <c r="F34" s="182"/>
      <c r="G34" s="182"/>
      <c r="H34" s="182"/>
      <c r="I34" s="182"/>
      <c r="J34" s="182"/>
      <c r="K34" s="182"/>
      <c r="L34" s="182"/>
      <c r="M34" s="182"/>
      <c r="N34" s="182"/>
      <c r="O34" s="182"/>
      <c r="P34" s="180"/>
      <c r="Q34" s="184"/>
      <c r="R34" s="185"/>
      <c r="S34" s="185"/>
      <c r="T34" s="185"/>
      <c r="U34" s="185"/>
      <c r="V34" s="185"/>
      <c r="W34" s="185"/>
      <c r="X34" s="185"/>
      <c r="Y34" s="185"/>
      <c r="Z34" s="185"/>
      <c r="AA34" s="185"/>
      <c r="AB34" s="180"/>
      <c r="AC34" s="399"/>
      <c r="AD34" s="400"/>
      <c r="AE34" s="400"/>
      <c r="AF34" s="400"/>
      <c r="AG34" s="400"/>
      <c r="AH34" s="400"/>
      <c r="AI34" s="400"/>
      <c r="AJ34" s="400"/>
      <c r="AK34" s="400"/>
      <c r="AL34" s="400"/>
      <c r="AM34" s="400"/>
      <c r="AN34" s="401"/>
      <c r="AO34" s="399"/>
      <c r="AP34" s="400"/>
      <c r="AQ34" s="400"/>
      <c r="AR34" s="400"/>
      <c r="AS34" s="400"/>
      <c r="AT34" s="400"/>
      <c r="AU34" s="400"/>
      <c r="AV34" s="400"/>
      <c r="AW34" s="400"/>
      <c r="AX34" s="400"/>
      <c r="AY34" s="400"/>
      <c r="AZ34" s="401"/>
      <c r="BA34" s="426">
        <f t="shared" si="25"/>
        <v>0</v>
      </c>
    </row>
    <row r="35" spans="1:53" s="29" customFormat="1">
      <c r="A35" s="30" t="str">
        <f>Vecinos!A35</f>
        <v>Familia Puerta Burguillos</v>
      </c>
      <c r="B35" s="31" t="str">
        <f>Vecinos!C35</f>
        <v>Calle Guacara Nro. 87-100</v>
      </c>
      <c r="C35" s="36" t="str">
        <f>IF(SUMIFS(Vigilancia!$E:$E,Vigilancia!$F:$F,A35,Vigilancia!$J:$J,"Vigilancia")=BA35,"ü","û")</f>
        <v>ü</v>
      </c>
      <c r="D35" s="180"/>
      <c r="E35" s="181">
        <f>17000/100000</f>
        <v>0.17</v>
      </c>
      <c r="F35" s="182">
        <f>17000/100000</f>
        <v>0.17</v>
      </c>
      <c r="G35" s="182">
        <f>14200/100000+2800/100000</f>
        <v>0.16999999999999998</v>
      </c>
      <c r="H35" s="182">
        <f>17000/100000</f>
        <v>0.17</v>
      </c>
      <c r="I35" s="182">
        <f>26000/100000</f>
        <v>0.26</v>
      </c>
      <c r="J35" s="182">
        <f>26000/100000</f>
        <v>0.26</v>
      </c>
      <c r="K35" s="182">
        <f>26000/100000+9000/100000</f>
        <v>0.35</v>
      </c>
      <c r="L35" s="182">
        <f>13000/100000-9000/100000+31000/100000</f>
        <v>0.35</v>
      </c>
      <c r="M35" s="182">
        <f>35000/100000</f>
        <v>0.35</v>
      </c>
      <c r="N35" s="182">
        <f>35000/100000</f>
        <v>0.35</v>
      </c>
      <c r="O35" s="182">
        <f>50000/100000</f>
        <v>0.5</v>
      </c>
      <c r="P35" s="180">
        <f>50000/100000</f>
        <v>0.5</v>
      </c>
      <c r="Q35" s="184">
        <f>80000/100000</f>
        <v>0.8</v>
      </c>
      <c r="R35" s="185">
        <f>80000/100000</f>
        <v>0.8</v>
      </c>
      <c r="S35" s="185">
        <f>80000/100000+60000/100000</f>
        <v>1.4</v>
      </c>
      <c r="T35" s="185">
        <f>140000/100000</f>
        <v>1.4</v>
      </c>
      <c r="U35" s="185">
        <f>250000/100000+150000/100000</f>
        <v>4</v>
      </c>
      <c r="V35" s="185">
        <f>400000/100000+225000/100000</f>
        <v>6.25</v>
      </c>
      <c r="W35" s="192">
        <f>850000/100000+150000/100000</f>
        <v>10</v>
      </c>
      <c r="X35" s="185">
        <v>12</v>
      </c>
      <c r="Y35" s="185">
        <v>320</v>
      </c>
      <c r="Z35" s="185">
        <v>320</v>
      </c>
      <c r="AA35" s="185">
        <v>320</v>
      </c>
      <c r="AB35" s="366">
        <f>300+500</f>
        <v>800</v>
      </c>
      <c r="AC35" s="399">
        <v>3000</v>
      </c>
      <c r="AD35" s="400">
        <v>3000</v>
      </c>
      <c r="AE35" s="400">
        <v>3000</v>
      </c>
      <c r="AF35" s="400">
        <f>3000+2000</f>
        <v>5000</v>
      </c>
      <c r="AG35" s="400">
        <f>5000+3000</f>
        <v>8000</v>
      </c>
      <c r="AH35" s="509">
        <v>10000</v>
      </c>
      <c r="AI35" s="400">
        <v>10000</v>
      </c>
      <c r="AJ35" s="405">
        <v>10000</v>
      </c>
      <c r="AK35" s="400">
        <v>20500</v>
      </c>
      <c r="AL35" s="400">
        <f>40000+7000</f>
        <v>47000</v>
      </c>
      <c r="AM35" s="400">
        <v>60000</v>
      </c>
      <c r="AN35" s="401">
        <v>210500</v>
      </c>
      <c r="AO35" s="399">
        <v>136250</v>
      </c>
      <c r="AP35" s="400">
        <v>136250</v>
      </c>
      <c r="AQ35" s="400"/>
      <c r="AR35" s="400"/>
      <c r="AS35" s="400"/>
      <c r="AT35" s="400"/>
      <c r="AU35" s="400"/>
      <c r="AV35" s="405"/>
      <c r="AW35" s="400"/>
      <c r="AX35" s="400"/>
      <c r="AY35" s="400"/>
      <c r="AZ35" s="401"/>
      <c r="BA35" s="426">
        <f t="shared" si="25"/>
        <v>664300.25</v>
      </c>
    </row>
    <row r="36" spans="1:53" s="29" customFormat="1" ht="20.100000000000001" customHeight="1">
      <c r="A36" s="33" t="str">
        <f>Vecinos!A36</f>
        <v>Familia Méndez Parra</v>
      </c>
      <c r="B36" s="34" t="str">
        <f>Vecinos!C36</f>
        <v>Calle Guacara Nro. 88-19</v>
      </c>
      <c r="C36" s="35" t="str">
        <f>IF(SUMIFS(Vigilancia!$E:$E,Vigilancia!$F:$F,A36,Vigilancia!$J:$J,"Vigilancia")=BA36,"ü","û")</f>
        <v>ü</v>
      </c>
      <c r="D36" s="187"/>
      <c r="E36" s="188">
        <f>4500/100000+10000/100000</f>
        <v>0.14500000000000002</v>
      </c>
      <c r="F36" s="189">
        <f>10500/100000</f>
        <v>0.105</v>
      </c>
      <c r="G36" s="189">
        <f>10500/100000</f>
        <v>0.105</v>
      </c>
      <c r="H36" s="189">
        <f>10500/100000</f>
        <v>0.105</v>
      </c>
      <c r="I36" s="189">
        <f>20000/100000</f>
        <v>0.2</v>
      </c>
      <c r="J36" s="189">
        <f>20000/100000</f>
        <v>0.2</v>
      </c>
      <c r="K36" s="189">
        <f>25000/100000</f>
        <v>0.25</v>
      </c>
      <c r="L36" s="189">
        <f t="shared" ref="L36:N37" si="33">20000/100000</f>
        <v>0.2</v>
      </c>
      <c r="M36" s="189">
        <f t="shared" si="33"/>
        <v>0.2</v>
      </c>
      <c r="N36" s="189">
        <f t="shared" si="33"/>
        <v>0.2</v>
      </c>
      <c r="O36" s="189">
        <f>32000/100000</f>
        <v>0.32</v>
      </c>
      <c r="P36" s="187">
        <f>30000/100000</f>
        <v>0.3</v>
      </c>
      <c r="Q36" s="190">
        <f>50000/100000</f>
        <v>0.5</v>
      </c>
      <c r="R36" s="191">
        <f>50000/100000</f>
        <v>0.5</v>
      </c>
      <c r="S36" s="191">
        <f>50000/100000+50000/100000</f>
        <v>1</v>
      </c>
      <c r="T36" s="191">
        <f>100000/100000</f>
        <v>1</v>
      </c>
      <c r="U36" s="191">
        <f>200000/100000</f>
        <v>2</v>
      </c>
      <c r="V36" s="191">
        <f>600000/100000</f>
        <v>6</v>
      </c>
      <c r="W36" s="191">
        <f>600000/100000</f>
        <v>6</v>
      </c>
      <c r="X36" s="191">
        <v>8</v>
      </c>
      <c r="Y36" s="191">
        <v>270</v>
      </c>
      <c r="Z36" s="191">
        <v>260</v>
      </c>
      <c r="AA36" s="191">
        <v>260</v>
      </c>
      <c r="AB36" s="456"/>
      <c r="AC36" s="396">
        <v>600</v>
      </c>
      <c r="AD36" s="397">
        <v>2300</v>
      </c>
      <c r="AE36" s="397">
        <v>2200</v>
      </c>
      <c r="AF36" s="397">
        <f>2200</f>
        <v>2200</v>
      </c>
      <c r="AG36" s="397">
        <v>5000</v>
      </c>
      <c r="AH36" s="397">
        <v>5000</v>
      </c>
      <c r="AI36" s="397">
        <v>6000</v>
      </c>
      <c r="AJ36" s="397">
        <v>6000</v>
      </c>
      <c r="AK36" s="397">
        <v>18018</v>
      </c>
      <c r="AL36" s="397">
        <v>15000</v>
      </c>
      <c r="AM36" s="397">
        <v>48000</v>
      </c>
      <c r="AN36" s="398">
        <v>35000</v>
      </c>
      <c r="AO36" s="396">
        <v>80000</v>
      </c>
      <c r="AP36" s="397">
        <v>80000</v>
      </c>
      <c r="AQ36" s="397"/>
      <c r="AR36" s="397"/>
      <c r="AS36" s="397"/>
      <c r="AT36" s="397"/>
      <c r="AU36" s="397"/>
      <c r="AV36" s="397"/>
      <c r="AW36" s="397"/>
      <c r="AX36" s="397"/>
      <c r="AY36" s="397"/>
      <c r="AZ36" s="398"/>
      <c r="BA36" s="425">
        <f t="shared" si="25"/>
        <v>306135.33</v>
      </c>
    </row>
    <row r="37" spans="1:53" s="29" customFormat="1" ht="20.100000000000001" customHeight="1">
      <c r="A37" s="33" t="str">
        <f>Vecinos!A37</f>
        <v>Victoria Francischiello</v>
      </c>
      <c r="B37" s="34" t="str">
        <f>Vecinos!C37</f>
        <v>Calle Guacara Nro. 88-25</v>
      </c>
      <c r="C37" s="35" t="str">
        <f>IF(SUMIFS(Vigilancia!$E:$E,Vigilancia!$F:$F,A37,Vigilancia!$J:$J,"Vigilancia")=BA37,"ü","û")</f>
        <v>ü</v>
      </c>
      <c r="D37" s="187"/>
      <c r="E37" s="188">
        <f>7960/100000+2040/100000</f>
        <v>0.1</v>
      </c>
      <c r="F37" s="189">
        <f>10000/100000</f>
        <v>0.1</v>
      </c>
      <c r="G37" s="189">
        <f>10000/100000</f>
        <v>0.1</v>
      </c>
      <c r="H37" s="189">
        <f>10000/100000</f>
        <v>0.1</v>
      </c>
      <c r="I37" s="189">
        <f>20000/100000</f>
        <v>0.2</v>
      </c>
      <c r="J37" s="189">
        <f>20000/100000</f>
        <v>0.2</v>
      </c>
      <c r="K37" s="189">
        <f>20000/100000</f>
        <v>0.2</v>
      </c>
      <c r="L37" s="189">
        <f t="shared" si="33"/>
        <v>0.2</v>
      </c>
      <c r="M37" s="189">
        <f t="shared" si="33"/>
        <v>0.2</v>
      </c>
      <c r="N37" s="189">
        <f t="shared" si="33"/>
        <v>0.2</v>
      </c>
      <c r="O37" s="189">
        <f>15000/100000</f>
        <v>0.15</v>
      </c>
      <c r="P37" s="187">
        <f>45000/100000</f>
        <v>0.45</v>
      </c>
      <c r="Q37" s="190">
        <f>50000/100000</f>
        <v>0.5</v>
      </c>
      <c r="R37" s="191">
        <f>80000/100000</f>
        <v>0.8</v>
      </c>
      <c r="S37" s="191">
        <f>100000/100000</f>
        <v>1</v>
      </c>
      <c r="T37" s="191">
        <f>100000/100000</f>
        <v>1</v>
      </c>
      <c r="U37" s="191">
        <f>250000/100000</f>
        <v>2.5</v>
      </c>
      <c r="V37" s="191">
        <f>400000/100000</f>
        <v>4</v>
      </c>
      <c r="W37" s="192">
        <f>1000000/100000</f>
        <v>10</v>
      </c>
      <c r="X37" s="192">
        <v>12</v>
      </c>
      <c r="Y37" s="192">
        <v>320</v>
      </c>
      <c r="Z37" s="192">
        <v>320</v>
      </c>
      <c r="AA37" s="192">
        <v>320</v>
      </c>
      <c r="AB37" s="366">
        <v>800</v>
      </c>
      <c r="AC37" s="404">
        <v>3000</v>
      </c>
      <c r="AD37" s="405">
        <v>3000</v>
      </c>
      <c r="AE37" s="405">
        <v>3000</v>
      </c>
      <c r="AF37" s="405">
        <v>5000</v>
      </c>
      <c r="AG37" s="405">
        <v>8000</v>
      </c>
      <c r="AH37" s="405">
        <v>8000</v>
      </c>
      <c r="AI37" s="400">
        <v>10000</v>
      </c>
      <c r="AJ37" s="405">
        <v>10000</v>
      </c>
      <c r="AK37" s="405">
        <v>19800</v>
      </c>
      <c r="AL37" s="405">
        <v>51250</v>
      </c>
      <c r="AM37" s="397">
        <v>40000</v>
      </c>
      <c r="AN37" s="398">
        <v>40000</v>
      </c>
      <c r="AO37" s="396">
        <v>136000</v>
      </c>
      <c r="AP37" s="397"/>
      <c r="AQ37" s="397"/>
      <c r="AR37" s="397"/>
      <c r="AS37" s="397"/>
      <c r="AT37" s="397"/>
      <c r="AU37" s="397"/>
      <c r="AV37" s="397"/>
      <c r="AW37" s="397"/>
      <c r="AX37" s="397"/>
      <c r="AY37" s="397"/>
      <c r="AZ37" s="398"/>
      <c r="BA37" s="425">
        <f t="shared" si="25"/>
        <v>338844</v>
      </c>
    </row>
    <row r="38" spans="1:53" s="29" customFormat="1" ht="20.100000000000001" customHeight="1">
      <c r="A38" s="30" t="str">
        <f>Vecinos!A38</f>
        <v>Familia Cegarra Villamizar</v>
      </c>
      <c r="B38" s="31" t="str">
        <f>Vecinos!C38</f>
        <v>Calle Guacara Nro. 88-35</v>
      </c>
      <c r="C38" s="36" t="str">
        <f>IF(SUMIFS(Vigilancia!$E:$E,Vigilancia!$F:$F,A38,Vigilancia!$J:$J,"Vigilancia")=BA38,"ü","û")</f>
        <v>ü</v>
      </c>
      <c r="D38" s="180"/>
      <c r="E38" s="181">
        <f>17000/100000</f>
        <v>0.17</v>
      </c>
      <c r="F38" s="182">
        <f>17000/100000</f>
        <v>0.17</v>
      </c>
      <c r="G38" s="182">
        <f>17000/100000</f>
        <v>0.17</v>
      </c>
      <c r="H38" s="182">
        <f>17000/100000</f>
        <v>0.17</v>
      </c>
      <c r="I38" s="182">
        <f t="shared" ref="I38:J40" si="34">26000/100000</f>
        <v>0.26</v>
      </c>
      <c r="J38" s="182">
        <f t="shared" si="34"/>
        <v>0.26</v>
      </c>
      <c r="K38" s="189">
        <f>30000/100000</f>
        <v>0.3</v>
      </c>
      <c r="L38" s="189">
        <f>30000/100000</f>
        <v>0.3</v>
      </c>
      <c r="M38" s="182">
        <f t="shared" ref="M38:N40" si="35">35000/100000</f>
        <v>0.35</v>
      </c>
      <c r="N38" s="182">
        <f t="shared" si="35"/>
        <v>0.35</v>
      </c>
      <c r="O38" s="182">
        <f>50000/100000</f>
        <v>0.5</v>
      </c>
      <c r="P38" s="180">
        <f>50000/100000</f>
        <v>0.5</v>
      </c>
      <c r="Q38" s="184">
        <f>80000/100000</f>
        <v>0.8</v>
      </c>
      <c r="R38" s="185">
        <f>80000/100000</f>
        <v>0.8</v>
      </c>
      <c r="S38" s="185">
        <f>80000/100000+60000/100000</f>
        <v>1.4</v>
      </c>
      <c r="T38" s="185">
        <f>80000/100000+60000/100000</f>
        <v>1.4</v>
      </c>
      <c r="U38" s="185">
        <f>400000/100000</f>
        <v>4</v>
      </c>
      <c r="V38" s="185">
        <f>625000/100000</f>
        <v>6.25</v>
      </c>
      <c r="W38" s="192">
        <f>850000/100000+1.5</f>
        <v>10</v>
      </c>
      <c r="X38" s="192">
        <f>850000/100000+3.5</f>
        <v>12</v>
      </c>
      <c r="Y38" s="185">
        <v>320</v>
      </c>
      <c r="Z38" s="185">
        <v>320</v>
      </c>
      <c r="AA38" s="185">
        <v>320</v>
      </c>
      <c r="AB38" s="180">
        <v>800</v>
      </c>
      <c r="AC38" s="399">
        <v>3000</v>
      </c>
      <c r="AD38" s="400">
        <v>3000</v>
      </c>
      <c r="AE38" s="400">
        <v>3000</v>
      </c>
      <c r="AF38" s="411">
        <f>3000+1880</f>
        <v>4880</v>
      </c>
      <c r="AG38" s="400">
        <v>8000</v>
      </c>
      <c r="AH38" s="400">
        <v>8000</v>
      </c>
      <c r="AI38" s="400">
        <f>8000+2000</f>
        <v>10000</v>
      </c>
      <c r="AJ38" s="400">
        <v>10000</v>
      </c>
      <c r="AK38" s="400">
        <v>81750</v>
      </c>
      <c r="AL38" s="400">
        <v>81750</v>
      </c>
      <c r="AM38" s="400">
        <v>81750</v>
      </c>
      <c r="AN38" s="401"/>
      <c r="AO38" s="399"/>
      <c r="AP38" s="400"/>
      <c r="AQ38" s="400"/>
      <c r="AR38" s="400"/>
      <c r="AS38" s="400"/>
      <c r="AT38" s="400"/>
      <c r="AU38" s="400"/>
      <c r="AV38" s="400"/>
      <c r="AW38" s="400"/>
      <c r="AX38" s="400"/>
      <c r="AY38" s="400"/>
      <c r="AZ38" s="401"/>
      <c r="BA38" s="426">
        <f t="shared" si="25"/>
        <v>296930.15000000002</v>
      </c>
    </row>
    <row r="39" spans="1:53" s="29" customFormat="1" ht="20.100000000000001" customHeight="1">
      <c r="A39" s="30" t="str">
        <f>Vecinos!A39</f>
        <v>Familia Del Negro Palermo</v>
      </c>
      <c r="B39" s="31" t="str">
        <f>Vecinos!C39</f>
        <v>Calle Guacara Nro. 88-45</v>
      </c>
      <c r="C39" s="36" t="str">
        <f>IF(SUMIFS(Vigilancia!$E:$E,Vigilancia!$F:$F,A39,Vigilancia!$J:$J,"Vigilancia")=BA39,"ü","û")</f>
        <v>ü</v>
      </c>
      <c r="D39" s="180"/>
      <c r="E39" s="181">
        <f>10500/100000+6500/100000</f>
        <v>0.16999999999999998</v>
      </c>
      <c r="F39" s="182">
        <f>17000/100000</f>
        <v>0.17</v>
      </c>
      <c r="G39" s="182">
        <f>17000/100000</f>
        <v>0.17</v>
      </c>
      <c r="H39" s="182">
        <f>17000/100000</f>
        <v>0.17</v>
      </c>
      <c r="I39" s="182">
        <f t="shared" si="34"/>
        <v>0.26</v>
      </c>
      <c r="J39" s="182">
        <f t="shared" si="34"/>
        <v>0.26</v>
      </c>
      <c r="K39" s="182">
        <f>26000/100000+9000/100000</f>
        <v>0.35</v>
      </c>
      <c r="L39" s="182">
        <f>35000/100000</f>
        <v>0.35</v>
      </c>
      <c r="M39" s="182">
        <f t="shared" si="35"/>
        <v>0.35</v>
      </c>
      <c r="N39" s="182">
        <f t="shared" si="35"/>
        <v>0.35</v>
      </c>
      <c r="O39" s="182">
        <f>50000/100000</f>
        <v>0.5</v>
      </c>
      <c r="P39" s="180">
        <f>50000/100000</f>
        <v>0.5</v>
      </c>
      <c r="Q39" s="184">
        <f>80000/100000</f>
        <v>0.8</v>
      </c>
      <c r="R39" s="185">
        <f>80000/100000</f>
        <v>0.8</v>
      </c>
      <c r="S39" s="185">
        <f>140000/100000</f>
        <v>1.4</v>
      </c>
      <c r="T39" s="185">
        <f>140000/100000</f>
        <v>1.4</v>
      </c>
      <c r="U39" s="185">
        <f>400000/100000</f>
        <v>4</v>
      </c>
      <c r="V39" s="185">
        <f>400000/100000+225000/100000</f>
        <v>6.25</v>
      </c>
      <c r="W39" s="185">
        <f>1000000/100000</f>
        <v>10</v>
      </c>
      <c r="X39" s="185">
        <f>1200000/100000</f>
        <v>12</v>
      </c>
      <c r="Y39" s="185">
        <v>320</v>
      </c>
      <c r="Z39" s="185">
        <v>320</v>
      </c>
      <c r="AA39" s="185">
        <v>320</v>
      </c>
      <c r="AB39" s="366">
        <f>662.95+137.05</f>
        <v>800</v>
      </c>
      <c r="AC39" s="404">
        <f>800+2200</f>
        <v>3000</v>
      </c>
      <c r="AD39" s="400">
        <v>3000</v>
      </c>
      <c r="AE39" s="400">
        <v>3000</v>
      </c>
      <c r="AF39" s="400">
        <v>5000</v>
      </c>
      <c r="AG39" s="400">
        <v>8000</v>
      </c>
      <c r="AH39" s="400">
        <v>8000</v>
      </c>
      <c r="AI39" s="400">
        <v>10000</v>
      </c>
      <c r="AJ39" s="400">
        <v>10000</v>
      </c>
      <c r="AK39" s="400">
        <v>23400</v>
      </c>
      <c r="AL39" s="400">
        <f>21100+43400</f>
        <v>64500</v>
      </c>
      <c r="AM39" s="400">
        <v>64500</v>
      </c>
      <c r="AN39" s="401">
        <v>81750</v>
      </c>
      <c r="AO39" s="404">
        <v>136250</v>
      </c>
      <c r="AP39" s="400">
        <v>136250</v>
      </c>
      <c r="AQ39" s="400"/>
      <c r="AR39" s="400"/>
      <c r="AS39" s="400"/>
      <c r="AT39" s="400"/>
      <c r="AU39" s="400"/>
      <c r="AV39" s="400"/>
      <c r="AW39" s="400"/>
      <c r="AX39" s="400"/>
      <c r="AY39" s="400"/>
      <c r="AZ39" s="401"/>
      <c r="BA39" s="426">
        <f t="shared" si="25"/>
        <v>558450.25</v>
      </c>
    </row>
    <row r="40" spans="1:53" s="29" customFormat="1" ht="20.100000000000001" customHeight="1">
      <c r="A40" s="30" t="str">
        <f>Vecinos!A40</f>
        <v>Familia Hatem Medina</v>
      </c>
      <c r="B40" s="31" t="str">
        <f>Vecinos!C40</f>
        <v>Calle Guacara Nro. 88-51</v>
      </c>
      <c r="C40" s="36" t="str">
        <f>IF(SUMIFS(Vigilancia!$E:$E,Vigilancia!$F:$F,A40,Vigilancia!$J:$J,"Vigilancia")=BA40,"ü","û")</f>
        <v>ü</v>
      </c>
      <c r="D40" s="180"/>
      <c r="E40" s="196">
        <f>10500/100000</f>
        <v>0.105</v>
      </c>
      <c r="F40" s="183">
        <f>16000/100000</f>
        <v>0.16</v>
      </c>
      <c r="G40" s="183">
        <f>16000/100000</f>
        <v>0.16</v>
      </c>
      <c r="H40" s="183">
        <f>2000/100000+10000/100000+5100/100000</f>
        <v>0.17100000000000001</v>
      </c>
      <c r="I40" s="182">
        <f t="shared" si="34"/>
        <v>0.26</v>
      </c>
      <c r="J40" s="182">
        <f t="shared" si="34"/>
        <v>0.26</v>
      </c>
      <c r="K40" s="182">
        <f>30000/100000</f>
        <v>0.3</v>
      </c>
      <c r="L40" s="182">
        <f>30000/100000</f>
        <v>0.3</v>
      </c>
      <c r="M40" s="182">
        <f t="shared" si="35"/>
        <v>0.35</v>
      </c>
      <c r="N40" s="182">
        <f t="shared" si="35"/>
        <v>0.35</v>
      </c>
      <c r="O40" s="182">
        <f>1000/100000+4850/100000+44150/100000</f>
        <v>0.5</v>
      </c>
      <c r="P40" s="180">
        <f>50000/100000</f>
        <v>0.5</v>
      </c>
      <c r="Q40" s="184">
        <f>5850/100000+74150/100000</f>
        <v>0.8</v>
      </c>
      <c r="R40" s="185">
        <f>80000/100000</f>
        <v>0.8</v>
      </c>
      <c r="S40" s="185">
        <f>80000/100000+60000/100000</f>
        <v>1.4</v>
      </c>
      <c r="T40" s="185">
        <f>80000/100000+20000/100000+40000/100000</f>
        <v>1.4</v>
      </c>
      <c r="U40" s="185">
        <f>400000/100000</f>
        <v>4</v>
      </c>
      <c r="V40" s="185">
        <f>400000/100000+225000/100000</f>
        <v>6.25</v>
      </c>
      <c r="W40" s="185">
        <f>400000/100000+450000/100000+150000/100000</f>
        <v>10</v>
      </c>
      <c r="X40" s="185">
        <v>12</v>
      </c>
      <c r="Y40" s="192">
        <f>12+308</f>
        <v>320</v>
      </c>
      <c r="Z40" s="185">
        <v>320</v>
      </c>
      <c r="AA40" s="185">
        <v>320</v>
      </c>
      <c r="AB40" s="366">
        <f>320+480</f>
        <v>800</v>
      </c>
      <c r="AC40" s="404">
        <f>2000+500-480+980</f>
        <v>3000</v>
      </c>
      <c r="AD40" s="400">
        <f>1500-980+2480</f>
        <v>3000</v>
      </c>
      <c r="AE40" s="400">
        <v>3000</v>
      </c>
      <c r="AF40" s="400">
        <f>3000+520+3520-2040</f>
        <v>5000</v>
      </c>
      <c r="AG40" s="400">
        <v>8000</v>
      </c>
      <c r="AH40" s="509">
        <f>2040+10000</f>
        <v>12040</v>
      </c>
      <c r="AI40" s="400">
        <v>10000</v>
      </c>
      <c r="AJ40" s="405">
        <v>10000</v>
      </c>
      <c r="AK40" s="400">
        <v>19800</v>
      </c>
      <c r="AL40" s="400">
        <f>19800+27200</f>
        <v>47000</v>
      </c>
      <c r="AM40" s="400">
        <v>56250</v>
      </c>
      <c r="AN40" s="401">
        <v>81750</v>
      </c>
      <c r="AO40" s="404">
        <v>136250</v>
      </c>
      <c r="AP40" s="400">
        <v>136250</v>
      </c>
      <c r="AQ40" s="400"/>
      <c r="AR40" s="400"/>
      <c r="AS40" s="400"/>
      <c r="AT40" s="400"/>
      <c r="AU40" s="400"/>
      <c r="AV40" s="405"/>
      <c r="AW40" s="400"/>
      <c r="AX40" s="400"/>
      <c r="AY40" s="400"/>
      <c r="AZ40" s="401"/>
      <c r="BA40" s="426">
        <f t="shared" si="25"/>
        <v>533140.06599999999</v>
      </c>
    </row>
    <row r="41" spans="1:53" s="29" customFormat="1" ht="20.100000000000001" customHeight="1">
      <c r="A41" s="30" t="str">
        <f>Vecinos!A41</f>
        <v>Familia Leung</v>
      </c>
      <c r="B41" s="31" t="str">
        <f>Vecinos!C41</f>
        <v>Calle Guacara Nro. 88-55</v>
      </c>
      <c r="C41" s="36" t="str">
        <f>IF(SUMIFS(Vigilancia!$E:$E,Vigilancia!$F:$F,A41,Vigilancia!$J:$J,"Vigilancia")=BA41,"ü","û")</f>
        <v>ü</v>
      </c>
      <c r="D41" s="180"/>
      <c r="E41" s="181">
        <f>17000/100000</f>
        <v>0.17</v>
      </c>
      <c r="F41" s="182">
        <f>17000/100000</f>
        <v>0.17</v>
      </c>
      <c r="G41" s="182">
        <f>17000/100000</f>
        <v>0.17</v>
      </c>
      <c r="H41" s="182">
        <f>17000/100000</f>
        <v>0.17</v>
      </c>
      <c r="I41" s="182">
        <f>26000/100000</f>
        <v>0.26</v>
      </c>
      <c r="J41" s="203" t="s">
        <v>490</v>
      </c>
      <c r="K41" s="203" t="s">
        <v>490</v>
      </c>
      <c r="L41" s="203" t="s">
        <v>490</v>
      </c>
      <c r="M41" s="203" t="s">
        <v>490</v>
      </c>
      <c r="N41" s="203" t="s">
        <v>490</v>
      </c>
      <c r="O41" s="203" t="s">
        <v>490</v>
      </c>
      <c r="P41" s="204" t="s">
        <v>490</v>
      </c>
      <c r="Q41" s="184">
        <f>80000/100000</f>
        <v>0.8</v>
      </c>
      <c r="R41" s="185">
        <f>80000/100000</f>
        <v>0.8</v>
      </c>
      <c r="S41" s="185">
        <f>140000/100000</f>
        <v>1.4</v>
      </c>
      <c r="T41" s="185">
        <f>140000/100000</f>
        <v>1.4</v>
      </c>
      <c r="U41" s="185">
        <f>400000/100000</f>
        <v>4</v>
      </c>
      <c r="V41" s="193">
        <f>400000/100000</f>
        <v>4</v>
      </c>
      <c r="W41" s="185">
        <v>10</v>
      </c>
      <c r="X41" s="185">
        <v>12</v>
      </c>
      <c r="Y41" s="185">
        <v>320</v>
      </c>
      <c r="Z41" s="185">
        <f>320+10</f>
        <v>330</v>
      </c>
      <c r="AA41" s="185">
        <v>320</v>
      </c>
      <c r="AB41" s="366">
        <f>10+790</f>
        <v>800</v>
      </c>
      <c r="AC41" s="399">
        <v>3000</v>
      </c>
      <c r="AD41" s="400">
        <v>3000</v>
      </c>
      <c r="AE41" s="400">
        <v>3000</v>
      </c>
      <c r="AF41" s="400">
        <v>5000</v>
      </c>
      <c r="AG41" s="403"/>
      <c r="AH41" s="403"/>
      <c r="AI41" s="403"/>
      <c r="AJ41" s="403"/>
      <c r="AK41" s="403"/>
      <c r="AL41" s="403"/>
      <c r="AM41" s="403"/>
      <c r="AN41" s="414"/>
      <c r="AO41" s="413"/>
      <c r="AP41" s="403"/>
      <c r="AQ41" s="403"/>
      <c r="AR41" s="403"/>
      <c r="AS41" s="403"/>
      <c r="AT41" s="403"/>
      <c r="AU41" s="403"/>
      <c r="AV41" s="403"/>
      <c r="AW41" s="403"/>
      <c r="AX41" s="403"/>
      <c r="AY41" s="403"/>
      <c r="AZ41" s="414"/>
      <c r="BA41" s="429">
        <f t="shared" si="25"/>
        <v>15805.34</v>
      </c>
    </row>
    <row r="42" spans="1:53" s="29" customFormat="1" ht="20.100000000000001" customHeight="1">
      <c r="A42" s="30" t="str">
        <f>Vecinos!A42</f>
        <v>Familia Zhen</v>
      </c>
      <c r="B42" s="31" t="str">
        <f>Vecinos!C42</f>
        <v>Calle Guacara Nro. 88-55</v>
      </c>
      <c r="C42" s="36" t="str">
        <f>IF(SUMIFS(Vigilancia!$E:$E,Vigilancia!$F:$F,A42,Vigilancia!$J:$J,"Vigilancia")=BA42,"ü","û")</f>
        <v>ü</v>
      </c>
      <c r="D42" s="208"/>
      <c r="E42" s="209"/>
      <c r="F42" s="210"/>
      <c r="G42" s="210"/>
      <c r="H42" s="210"/>
      <c r="I42" s="210"/>
      <c r="J42" s="210"/>
      <c r="K42" s="210"/>
      <c r="L42" s="210"/>
      <c r="M42" s="210"/>
      <c r="N42" s="210"/>
      <c r="O42" s="210"/>
      <c r="P42" s="208"/>
      <c r="Q42" s="211"/>
      <c r="R42" s="212"/>
      <c r="S42" s="212"/>
      <c r="T42" s="212"/>
      <c r="U42" s="212"/>
      <c r="V42" s="212"/>
      <c r="W42" s="212"/>
      <c r="X42" s="212"/>
      <c r="Y42" s="212"/>
      <c r="Z42" s="212"/>
      <c r="AA42" s="212"/>
      <c r="AB42" s="477"/>
      <c r="AC42" s="478"/>
      <c r="AD42" s="212"/>
      <c r="AE42" s="212"/>
      <c r="AF42" s="212"/>
      <c r="AG42" s="400">
        <v>8000</v>
      </c>
      <c r="AH42" s="400">
        <v>8000</v>
      </c>
      <c r="AI42" s="400">
        <v>10000</v>
      </c>
      <c r="AJ42" s="400">
        <v>10000</v>
      </c>
      <c r="AK42" s="400">
        <v>20300</v>
      </c>
      <c r="AL42" s="400">
        <f>20300+13400</f>
        <v>33700</v>
      </c>
      <c r="AM42" s="400"/>
      <c r="AN42" s="401"/>
      <c r="AO42" s="399"/>
      <c r="AP42" s="400"/>
      <c r="AQ42" s="400"/>
      <c r="AR42" s="400"/>
      <c r="AS42" s="400"/>
      <c r="AT42" s="400"/>
      <c r="AU42" s="400"/>
      <c r="AV42" s="400"/>
      <c r="AW42" s="400"/>
      <c r="AX42" s="400"/>
      <c r="AY42" s="400"/>
      <c r="AZ42" s="401"/>
      <c r="BA42" s="426">
        <f t="shared" si="25"/>
        <v>90000</v>
      </c>
    </row>
    <row r="43" spans="1:53" s="29" customFormat="1" ht="20.100000000000001" customHeight="1">
      <c r="A43" s="30" t="str">
        <f>Vecinos!A43</f>
        <v>Amparo Acosta</v>
      </c>
      <c r="B43" s="31" t="str">
        <f>Vecinos!C43</f>
        <v>Calle Guacara Nro. 88-65</v>
      </c>
      <c r="C43" s="36" t="str">
        <f>IF(SUMIFS(Vigilancia!$E:$E,Vigilancia!$F:$F,A43,Vigilancia!$J:$J,"Vigilancia")=BA43,"ü","û")</f>
        <v>ü</v>
      </c>
      <c r="D43" s="180"/>
      <c r="E43" s="181"/>
      <c r="F43" s="182"/>
      <c r="G43" s="182"/>
      <c r="H43" s="182"/>
      <c r="I43" s="182"/>
      <c r="J43" s="182"/>
      <c r="K43" s="182"/>
      <c r="L43" s="182"/>
      <c r="M43" s="182"/>
      <c r="N43" s="182"/>
      <c r="O43" s="182"/>
      <c r="P43" s="180"/>
      <c r="Q43" s="184"/>
      <c r="R43" s="185"/>
      <c r="S43" s="185"/>
      <c r="T43" s="185"/>
      <c r="U43" s="185"/>
      <c r="V43" s="185"/>
      <c r="W43" s="185">
        <f>1000000/100000</f>
        <v>10</v>
      </c>
      <c r="X43" s="185">
        <v>12</v>
      </c>
      <c r="Y43" s="185">
        <v>320</v>
      </c>
      <c r="Z43" s="185">
        <v>320</v>
      </c>
      <c r="AA43" s="185">
        <f>320+10</f>
        <v>330</v>
      </c>
      <c r="AB43" s="366">
        <f>10+790</f>
        <v>800</v>
      </c>
      <c r="AC43" s="404">
        <f>800+2200</f>
        <v>3000</v>
      </c>
      <c r="AD43" s="400">
        <v>3000</v>
      </c>
      <c r="AE43" s="400">
        <v>3000</v>
      </c>
      <c r="AF43" s="400">
        <f>3000+2000</f>
        <v>5000</v>
      </c>
      <c r="AG43" s="400">
        <f>5000+3000</f>
        <v>8000</v>
      </c>
      <c r="AH43" s="400">
        <v>8000</v>
      </c>
      <c r="AI43" s="400">
        <v>10000</v>
      </c>
      <c r="AJ43" s="400">
        <v>10000</v>
      </c>
      <c r="AK43" s="400">
        <v>20500</v>
      </c>
      <c r="AL43" s="400">
        <v>47000</v>
      </c>
      <c r="AM43" s="400">
        <v>56250</v>
      </c>
      <c r="AN43" s="401">
        <v>81750</v>
      </c>
      <c r="AO43" s="404">
        <v>136250</v>
      </c>
      <c r="AP43" s="400">
        <v>136250</v>
      </c>
      <c r="AQ43" s="400"/>
      <c r="AR43" s="400"/>
      <c r="AS43" s="400"/>
      <c r="AT43" s="400"/>
      <c r="AU43" s="400"/>
      <c r="AV43" s="400"/>
      <c r="AW43" s="400"/>
      <c r="AX43" s="400"/>
      <c r="AY43" s="400"/>
      <c r="AZ43" s="401"/>
      <c r="BA43" s="426">
        <f t="shared" si="25"/>
        <v>529792</v>
      </c>
    </row>
    <row r="44" spans="1:53" s="29" customFormat="1" ht="20.100000000000001" customHeight="1">
      <c r="A44" s="59" t="str">
        <f>Vecinos!A44</f>
        <v>Familia Fernández Parés</v>
      </c>
      <c r="B44" s="60" t="str">
        <f>Vecinos!C44</f>
        <v>Calle Guacara Nro. 88-75</v>
      </c>
      <c r="C44" s="36" t="str">
        <f>IF(SUMIFS(Vigilancia!$E:$E,Vigilancia!$F:$F,A44,Vigilancia!$J:$J,"Vigilancia")=BA44,"ü","û")</f>
        <v>ü</v>
      </c>
      <c r="D44" s="180"/>
      <c r="E44" s="181">
        <f>17000/100000</f>
        <v>0.17</v>
      </c>
      <c r="F44" s="182">
        <f>17000/100000</f>
        <v>0.17</v>
      </c>
      <c r="G44" s="182">
        <f>17000/100000</f>
        <v>0.17</v>
      </c>
      <c r="H44" s="182">
        <f>17000/100000</f>
        <v>0.17</v>
      </c>
      <c r="I44" s="182">
        <f>26000/100000</f>
        <v>0.26</v>
      </c>
      <c r="J44" s="182">
        <f>26000/100000</f>
        <v>0.26</v>
      </c>
      <c r="K44" s="182">
        <f>35000/100000</f>
        <v>0.35</v>
      </c>
      <c r="L44" s="182">
        <f>1000/100000+34000/100000</f>
        <v>0.35000000000000003</v>
      </c>
      <c r="M44" s="182">
        <f>1000/100000+34000/100000</f>
        <v>0.35000000000000003</v>
      </c>
      <c r="N44" s="182">
        <f>1000/100000+34000/100000</f>
        <v>0.35000000000000003</v>
      </c>
      <c r="O44" s="182">
        <f>50000/100000</f>
        <v>0.5</v>
      </c>
      <c r="P44" s="180">
        <f>50000/100000</f>
        <v>0.5</v>
      </c>
      <c r="Q44" s="184">
        <f>80000/100000</f>
        <v>0.8</v>
      </c>
      <c r="R44" s="185">
        <f>80000/100000</f>
        <v>0.8</v>
      </c>
      <c r="S44" s="193">
        <f>35000/100000</f>
        <v>0.35</v>
      </c>
      <c r="T44" s="193"/>
      <c r="U44" s="205" t="s">
        <v>1159</v>
      </c>
      <c r="V44" s="206"/>
      <c r="W44" s="206"/>
      <c r="X44" s="206"/>
      <c r="Y44" s="206"/>
      <c r="Z44" s="206"/>
      <c r="AA44" s="206"/>
      <c r="AB44" s="207"/>
      <c r="AC44" s="413"/>
      <c r="AD44" s="403"/>
      <c r="AE44" s="403"/>
      <c r="AF44" s="403"/>
      <c r="AG44" s="403"/>
      <c r="AH44" s="403"/>
      <c r="AI44" s="403"/>
      <c r="AJ44" s="403"/>
      <c r="AK44" s="403"/>
      <c r="AL44" s="403"/>
      <c r="AM44" s="403"/>
      <c r="AN44" s="414"/>
      <c r="AO44" s="413"/>
      <c r="AP44" s="403"/>
      <c r="AQ44" s="403"/>
      <c r="AR44" s="403"/>
      <c r="AS44" s="403"/>
      <c r="AT44" s="403"/>
      <c r="AU44" s="403"/>
      <c r="AV44" s="403"/>
      <c r="AW44" s="403"/>
      <c r="AX44" s="403"/>
      <c r="AY44" s="403"/>
      <c r="AZ44" s="414"/>
      <c r="BA44" s="429">
        <f t="shared" si="25"/>
        <v>5.55</v>
      </c>
    </row>
    <row r="45" spans="1:53" s="29" customFormat="1" ht="20.100000000000001" customHeight="1">
      <c r="A45" s="59" t="str">
        <f>Vecinos!A45</f>
        <v>Isbeth Palacios</v>
      </c>
      <c r="B45" s="60" t="str">
        <f>Vecinos!C45</f>
        <v>Calle Guacara Nro. 88-75</v>
      </c>
      <c r="C45" s="36" t="str">
        <f>IF(SUMIFS(Vigilancia!$E:$E,Vigilancia!$F:$F,A45,Vigilancia!$J:$J,"Vigilancia")=BA45,"ü","û")</f>
        <v>ü</v>
      </c>
      <c r="D45" s="180"/>
      <c r="E45" s="181"/>
      <c r="F45" s="182"/>
      <c r="G45" s="182"/>
      <c r="H45" s="182"/>
      <c r="I45" s="182"/>
      <c r="J45" s="182"/>
      <c r="K45" s="182"/>
      <c r="L45" s="182"/>
      <c r="M45" s="182"/>
      <c r="N45" s="182"/>
      <c r="O45" s="182"/>
      <c r="P45" s="180"/>
      <c r="Q45" s="184"/>
      <c r="R45" s="185"/>
      <c r="S45" s="193"/>
      <c r="T45" s="193"/>
      <c r="U45" s="192">
        <f>400000/100000</f>
        <v>4</v>
      </c>
      <c r="V45" s="192">
        <f>400000/100000+225000/100000</f>
        <v>6.25</v>
      </c>
      <c r="W45" s="192">
        <f>850000/100000+150000/100000</f>
        <v>10</v>
      </c>
      <c r="X45" s="192">
        <f>1200000/100000</f>
        <v>12</v>
      </c>
      <c r="Y45" s="192"/>
      <c r="Z45" s="192"/>
      <c r="AA45" s="206"/>
      <c r="AB45" s="207"/>
      <c r="AC45" s="413"/>
      <c r="AD45" s="403"/>
      <c r="AE45" s="403"/>
      <c r="AF45" s="403"/>
      <c r="AG45" s="403"/>
      <c r="AH45" s="403"/>
      <c r="AI45" s="403"/>
      <c r="AJ45" s="403"/>
      <c r="AK45" s="403"/>
      <c r="AL45" s="403"/>
      <c r="AM45" s="403"/>
      <c r="AN45" s="414"/>
      <c r="AO45" s="413"/>
      <c r="AP45" s="403"/>
      <c r="AQ45" s="403"/>
      <c r="AR45" s="403"/>
      <c r="AS45" s="403"/>
      <c r="AT45" s="403"/>
      <c r="AU45" s="403"/>
      <c r="AV45" s="403"/>
      <c r="AW45" s="403"/>
      <c r="AX45" s="403"/>
      <c r="AY45" s="403"/>
      <c r="AZ45" s="414"/>
      <c r="BA45" s="429">
        <f t="shared" si="25"/>
        <v>32.25</v>
      </c>
    </row>
    <row r="46" spans="1:53" s="29" customFormat="1" ht="20.100000000000001" customHeight="1">
      <c r="A46" s="30" t="str">
        <f>Vecinos!A46</f>
        <v>Andrea Valor</v>
      </c>
      <c r="B46" s="31" t="str">
        <f>Vecinos!C46</f>
        <v>Calle Guacara Nro. 88-75</v>
      </c>
      <c r="C46" s="36" t="str">
        <f>IF(SUMIFS(Vigilancia!$E:$E,Vigilancia!$F:$F,A46,Vigilancia!$J:$J,"Vigilancia")=BA46,"ü","û")</f>
        <v>ü</v>
      </c>
      <c r="D46" s="208"/>
      <c r="E46" s="209"/>
      <c r="F46" s="210"/>
      <c r="G46" s="210"/>
      <c r="H46" s="210"/>
      <c r="I46" s="210"/>
      <c r="J46" s="210"/>
      <c r="K46" s="210"/>
      <c r="L46" s="210"/>
      <c r="M46" s="210"/>
      <c r="N46" s="210"/>
      <c r="O46" s="210"/>
      <c r="P46" s="208"/>
      <c r="Q46" s="211"/>
      <c r="R46" s="212"/>
      <c r="S46" s="212"/>
      <c r="T46" s="212"/>
      <c r="U46" s="212"/>
      <c r="V46" s="212"/>
      <c r="W46" s="212"/>
      <c r="X46" s="212"/>
      <c r="Y46" s="212"/>
      <c r="Z46" s="212"/>
      <c r="AA46" s="212"/>
      <c r="AB46" s="477"/>
      <c r="AC46" s="478"/>
      <c r="AD46" s="212"/>
      <c r="AE46" s="400">
        <v>3000</v>
      </c>
      <c r="AF46" s="400">
        <f>3000+2000</f>
        <v>5000</v>
      </c>
      <c r="AG46" s="400">
        <v>8000</v>
      </c>
      <c r="AH46" s="400">
        <v>8000</v>
      </c>
      <c r="AI46" s="400">
        <v>10000</v>
      </c>
      <c r="AJ46" s="400">
        <v>10000</v>
      </c>
      <c r="AK46" s="400">
        <v>20500</v>
      </c>
      <c r="AL46" s="400">
        <f>19800+31450</f>
        <v>51250</v>
      </c>
      <c r="AM46" s="405">
        <v>64500</v>
      </c>
      <c r="AN46" s="401">
        <v>81750</v>
      </c>
      <c r="AO46" s="399">
        <v>136250</v>
      </c>
      <c r="AP46" s="400"/>
      <c r="AQ46" s="400"/>
      <c r="AR46" s="400"/>
      <c r="AS46" s="400"/>
      <c r="AT46" s="400"/>
      <c r="AU46" s="400"/>
      <c r="AV46" s="400"/>
      <c r="AW46" s="400"/>
      <c r="AX46" s="400"/>
      <c r="AY46" s="400"/>
      <c r="AZ46" s="401"/>
      <c r="BA46" s="426">
        <f t="shared" si="25"/>
        <v>398250</v>
      </c>
    </row>
    <row r="47" spans="1:53" s="29" customFormat="1" ht="20.100000000000001" customHeight="1">
      <c r="A47" s="33" t="str">
        <f>Vecinos!A47</f>
        <v>Familia Machado Stoppa</v>
      </c>
      <c r="B47" s="34" t="str">
        <f>Vecinos!C47</f>
        <v>Calle Guacara Nro. 88-85</v>
      </c>
      <c r="C47" s="35" t="str">
        <f>IF(SUMIFS(Vigilancia!$E:$E,Vigilancia!$F:$F,A47,Vigilancia!$J:$J,"Vigilancia")=BA47,"ü","û")</f>
        <v>ü</v>
      </c>
      <c r="D47" s="187"/>
      <c r="E47" s="188">
        <f>15000/100000</f>
        <v>0.15</v>
      </c>
      <c r="F47" s="189">
        <f>15000/100000</f>
        <v>0.15</v>
      </c>
      <c r="G47" s="189">
        <f>15000/100000</f>
        <v>0.15</v>
      </c>
      <c r="H47" s="189">
        <f>22000/100000</f>
        <v>0.22</v>
      </c>
      <c r="I47" s="189">
        <f>22000/100000</f>
        <v>0.22</v>
      </c>
      <c r="J47" s="189">
        <f>22000/100000</f>
        <v>0.22</v>
      </c>
      <c r="K47" s="189">
        <f>25000/100000</f>
        <v>0.25</v>
      </c>
      <c r="L47" s="189">
        <f>30000/100000</f>
        <v>0.3</v>
      </c>
      <c r="M47" s="189">
        <f>30000/100000</f>
        <v>0.3</v>
      </c>
      <c r="N47" s="189">
        <f>30000/100000</f>
        <v>0.3</v>
      </c>
      <c r="O47" s="189">
        <f>40000/100000</f>
        <v>0.4</v>
      </c>
      <c r="P47" s="187">
        <f>40000/100000</f>
        <v>0.4</v>
      </c>
      <c r="Q47" s="190">
        <f>70000/100000</f>
        <v>0.7</v>
      </c>
      <c r="R47" s="191">
        <f>70000/100000</f>
        <v>0.7</v>
      </c>
      <c r="S47" s="191">
        <f>70000/100000</f>
        <v>0.7</v>
      </c>
      <c r="T47" s="191">
        <f>70000/100000</f>
        <v>0.7</v>
      </c>
      <c r="U47" s="185">
        <f>400000/100000</f>
        <v>4</v>
      </c>
      <c r="V47" s="185">
        <f>400000/100000+225000/100000</f>
        <v>6.25</v>
      </c>
      <c r="W47" s="185">
        <f>400000/100000+600000/100000</f>
        <v>10</v>
      </c>
      <c r="X47" s="192">
        <f>400000/100000+800000/100000</f>
        <v>12</v>
      </c>
      <c r="Y47" s="185">
        <v>320</v>
      </c>
      <c r="Z47" s="185">
        <v>350</v>
      </c>
      <c r="AA47" s="185">
        <v>320</v>
      </c>
      <c r="AB47" s="180">
        <v>800</v>
      </c>
      <c r="AC47" s="404">
        <f>800+2200</f>
        <v>3000</v>
      </c>
      <c r="AD47" s="400">
        <v>3000</v>
      </c>
      <c r="AE47" s="400">
        <v>3000</v>
      </c>
      <c r="AF47" s="400">
        <f>3000+2000</f>
        <v>5000</v>
      </c>
      <c r="AG47" s="400">
        <v>8000</v>
      </c>
      <c r="AH47" s="400">
        <v>8000</v>
      </c>
      <c r="AI47" s="400">
        <v>10000</v>
      </c>
      <c r="AJ47" s="400">
        <v>10000</v>
      </c>
      <c r="AK47" s="400">
        <v>20500</v>
      </c>
      <c r="AL47" s="400">
        <f>19800+27200</f>
        <v>47000</v>
      </c>
      <c r="AM47" s="400">
        <v>56250</v>
      </c>
      <c r="AN47" s="401">
        <v>105250</v>
      </c>
      <c r="AO47" s="404">
        <v>136250</v>
      </c>
      <c r="AP47" s="400">
        <v>136250</v>
      </c>
      <c r="AQ47" s="400"/>
      <c r="AR47" s="400"/>
      <c r="AS47" s="400"/>
      <c r="AT47" s="400"/>
      <c r="AU47" s="400"/>
      <c r="AV47" s="400"/>
      <c r="AW47" s="400"/>
      <c r="AX47" s="400"/>
      <c r="AY47" s="400"/>
      <c r="AZ47" s="401"/>
      <c r="BA47" s="426">
        <f t="shared" si="25"/>
        <v>553328.11</v>
      </c>
    </row>
    <row r="48" spans="1:53" s="29" customFormat="1" ht="20.100000000000001" customHeight="1">
      <c r="A48" s="33" t="str">
        <f>Vecinos!A48</f>
        <v>Familia Zavarce Barón</v>
      </c>
      <c r="B48" s="34" t="str">
        <f>Vecinos!C48</f>
        <v>Calle Guacara Nro. 88-91</v>
      </c>
      <c r="C48" s="35" t="str">
        <f>IF(SUMIFS(Vigilancia!$E:$E,Vigilancia!$F:$F,A48,Vigilancia!$J:$J,"Vigilancia")=BA48,"ü","û")</f>
        <v>ü</v>
      </c>
      <c r="D48" s="187"/>
      <c r="E48" s="188">
        <f>10000/100000</f>
        <v>0.1</v>
      </c>
      <c r="F48" s="189">
        <f>10000/100000</f>
        <v>0.1</v>
      </c>
      <c r="G48" s="189">
        <f>14000/100000</f>
        <v>0.14000000000000001</v>
      </c>
      <c r="H48" s="189">
        <f>17000/100000</f>
        <v>0.17</v>
      </c>
      <c r="I48" s="189">
        <f>10000/100000</f>
        <v>0.1</v>
      </c>
      <c r="J48" s="189">
        <f>10000/100000</f>
        <v>0.1</v>
      </c>
      <c r="K48" s="189">
        <f>10000/100000</f>
        <v>0.1</v>
      </c>
      <c r="L48" s="189">
        <f>10000/100000</f>
        <v>0.1</v>
      </c>
      <c r="M48" s="189"/>
      <c r="N48" s="189"/>
      <c r="O48" s="189"/>
      <c r="P48" s="187"/>
      <c r="Q48" s="184">
        <f>80000/100000</f>
        <v>0.8</v>
      </c>
      <c r="R48" s="185">
        <f>80000/100000</f>
        <v>0.8</v>
      </c>
      <c r="S48" s="185">
        <f>140000/100000</f>
        <v>1.4</v>
      </c>
      <c r="T48" s="185">
        <f>140000/100000</f>
        <v>1.4</v>
      </c>
      <c r="U48" s="185">
        <f>60000/100000+340000/100000</f>
        <v>4</v>
      </c>
      <c r="V48" s="185">
        <f>625000/100000</f>
        <v>6.25</v>
      </c>
      <c r="W48" s="192">
        <f>850000/100000+150000/100000</f>
        <v>10</v>
      </c>
      <c r="X48" s="185">
        <v>12</v>
      </c>
      <c r="Y48" s="185">
        <v>320</v>
      </c>
      <c r="Z48" s="185">
        <v>320</v>
      </c>
      <c r="AA48" s="185">
        <v>320</v>
      </c>
      <c r="AB48" s="180">
        <v>800</v>
      </c>
      <c r="AC48" s="399">
        <v>3000</v>
      </c>
      <c r="AD48" s="400">
        <v>3000</v>
      </c>
      <c r="AE48" s="400">
        <v>3000</v>
      </c>
      <c r="AF48" s="400">
        <v>5000</v>
      </c>
      <c r="AG48" s="400">
        <v>8000</v>
      </c>
      <c r="AH48" s="400">
        <v>8000</v>
      </c>
      <c r="AI48" s="400">
        <v>10000</v>
      </c>
      <c r="AJ48" s="400">
        <v>10000</v>
      </c>
      <c r="AK48" s="400">
        <v>19800</v>
      </c>
      <c r="AL48" s="400">
        <v>51250</v>
      </c>
      <c r="AM48" s="400">
        <v>97500</v>
      </c>
      <c r="AN48" s="401">
        <v>105250</v>
      </c>
      <c r="AO48" s="399">
        <f>122550+13700</f>
        <v>136250</v>
      </c>
      <c r="AP48" s="400"/>
      <c r="AQ48" s="400"/>
      <c r="AR48" s="400"/>
      <c r="AS48" s="400"/>
      <c r="AT48" s="400"/>
      <c r="AU48" s="400"/>
      <c r="AV48" s="400"/>
      <c r="AW48" s="400"/>
      <c r="AX48" s="400"/>
      <c r="AY48" s="400"/>
      <c r="AZ48" s="401"/>
      <c r="BA48" s="426">
        <f t="shared" si="25"/>
        <v>461847.56</v>
      </c>
    </row>
    <row r="49" spans="1:53" s="29" customFormat="1" ht="20.100000000000001" customHeight="1">
      <c r="A49" s="30" t="str">
        <f>Vecinos!A49</f>
        <v>Familia Chávez Moncada</v>
      </c>
      <c r="B49" s="31" t="str">
        <f>Vecinos!C49</f>
        <v>Calle Guacara Nro. 88-95</v>
      </c>
      <c r="C49" s="36" t="str">
        <f>IF(SUMIFS(Vigilancia!$E:$E,Vigilancia!$F:$F,A49,Vigilancia!$J:$J,"Vigilancia")=BA49,"ü","û")</f>
        <v>ü</v>
      </c>
      <c r="D49" s="180"/>
      <c r="E49" s="181"/>
      <c r="F49" s="182"/>
      <c r="G49" s="182"/>
      <c r="H49" s="182"/>
      <c r="I49" s="182"/>
      <c r="J49" s="182"/>
      <c r="K49" s="182"/>
      <c r="L49" s="182"/>
      <c r="M49" s="182"/>
      <c r="N49" s="182"/>
      <c r="O49" s="182"/>
      <c r="P49" s="180"/>
      <c r="Q49" s="184"/>
      <c r="R49" s="185"/>
      <c r="S49" s="185"/>
      <c r="T49" s="185"/>
      <c r="U49" s="185"/>
      <c r="V49" s="185"/>
      <c r="W49" s="185"/>
      <c r="X49" s="185"/>
      <c r="Y49" s="185"/>
      <c r="Z49" s="185"/>
      <c r="AA49" s="185"/>
      <c r="AB49" s="180"/>
      <c r="AC49" s="399"/>
      <c r="AD49" s="400"/>
      <c r="AE49" s="400"/>
      <c r="AF49" s="400"/>
      <c r="AG49" s="400"/>
      <c r="AH49" s="400"/>
      <c r="AI49" s="400"/>
      <c r="AJ49" s="400"/>
      <c r="AK49" s="400"/>
      <c r="AL49" s="400"/>
      <c r="AM49" s="400">
        <v>2281750</v>
      </c>
      <c r="AN49" s="401">
        <v>105250</v>
      </c>
      <c r="AO49" s="537" t="s">
        <v>1158</v>
      </c>
      <c r="AP49" s="403"/>
      <c r="AQ49" s="403"/>
      <c r="AR49" s="403"/>
      <c r="AS49" s="403"/>
      <c r="AT49" s="403"/>
      <c r="AU49" s="403"/>
      <c r="AV49" s="403"/>
      <c r="AW49" s="403"/>
      <c r="AX49" s="403"/>
      <c r="AY49" s="403"/>
      <c r="AZ49" s="414"/>
      <c r="BA49" s="429">
        <f t="shared" si="25"/>
        <v>2387000</v>
      </c>
    </row>
    <row r="50" spans="1:53" s="29" customFormat="1" ht="20.100000000000001" customHeight="1">
      <c r="A50" s="30" t="str">
        <f>Vecinos!A50</f>
        <v>Familia Brito Viana</v>
      </c>
      <c r="B50" s="31" t="str">
        <f>Vecinos!C50</f>
        <v>Calle Guacara Nro. 88-95</v>
      </c>
      <c r="C50" s="36" t="str">
        <f>IF(SUMIFS(Vigilancia!$E:$E,Vigilancia!$F:$F,A50,Vigilancia!$J:$J,"Vigilancia")=BA50,"ü","û")</f>
        <v>ü</v>
      </c>
      <c r="D50" s="215"/>
      <c r="E50" s="216"/>
      <c r="F50" s="217"/>
      <c r="G50" s="217"/>
      <c r="H50" s="217"/>
      <c r="I50" s="217"/>
      <c r="J50" s="217"/>
      <c r="K50" s="217"/>
      <c r="L50" s="217"/>
      <c r="M50" s="217"/>
      <c r="N50" s="217"/>
      <c r="O50" s="217"/>
      <c r="P50" s="215"/>
      <c r="Q50" s="218"/>
      <c r="R50" s="219"/>
      <c r="S50" s="219"/>
      <c r="T50" s="219"/>
      <c r="U50" s="219"/>
      <c r="V50" s="219"/>
      <c r="W50" s="219"/>
      <c r="X50" s="219"/>
      <c r="Y50" s="219"/>
      <c r="Z50" s="219"/>
      <c r="AA50" s="219"/>
      <c r="AB50" s="215"/>
      <c r="AC50" s="506"/>
      <c r="AD50" s="507"/>
      <c r="AE50" s="507"/>
      <c r="AF50" s="507"/>
      <c r="AG50" s="507"/>
      <c r="AH50" s="507"/>
      <c r="AI50" s="507"/>
      <c r="AJ50" s="507"/>
      <c r="AK50" s="507"/>
      <c r="AL50" s="507"/>
      <c r="AM50" s="507"/>
      <c r="AN50" s="658"/>
      <c r="AO50" s="404">
        <v>136250</v>
      </c>
      <c r="AP50" s="405">
        <v>136250</v>
      </c>
      <c r="AQ50" s="405"/>
      <c r="AR50" s="405"/>
      <c r="AS50" s="400"/>
      <c r="AT50" s="400"/>
      <c r="AU50" s="400"/>
      <c r="AV50" s="400"/>
      <c r="AW50" s="400"/>
      <c r="AX50" s="400"/>
      <c r="AY50" s="400"/>
      <c r="AZ50" s="401"/>
      <c r="BA50" s="426">
        <f t="shared" ref="BA50" si="36">SUM(D50:AZ50)</f>
        <v>272500</v>
      </c>
    </row>
    <row r="51" spans="1:53" s="29" customFormat="1" ht="20.100000000000001" customHeight="1">
      <c r="A51" s="59" t="str">
        <f>Vecinos!A51</f>
        <v>Familia Zampini Scaccia</v>
      </c>
      <c r="B51" s="60" t="str">
        <f>Vecinos!C51</f>
        <v>Calle Guacara Nro. 88-A-10</v>
      </c>
      <c r="C51" s="36" t="str">
        <f>IF(SUMIFS(Vigilancia!$E:$E,Vigilancia!$F:$F,A51,Vigilancia!$J:$J,"Vigilancia")=BA51,"ü","û")</f>
        <v>ü</v>
      </c>
      <c r="D51" s="180"/>
      <c r="E51" s="181"/>
      <c r="F51" s="182"/>
      <c r="G51" s="182"/>
      <c r="H51" s="182"/>
      <c r="I51" s="182"/>
      <c r="J51" s="182"/>
      <c r="K51" s="182"/>
      <c r="L51" s="182"/>
      <c r="M51" s="182"/>
      <c r="N51" s="182"/>
      <c r="O51" s="182"/>
      <c r="P51" s="180"/>
      <c r="Q51" s="184"/>
      <c r="R51" s="185"/>
      <c r="S51" s="185"/>
      <c r="T51" s="185"/>
      <c r="U51" s="185"/>
      <c r="V51" s="185"/>
      <c r="W51" s="213" t="s">
        <v>1158</v>
      </c>
      <c r="X51" s="214"/>
      <c r="Y51" s="206"/>
      <c r="Z51" s="206"/>
      <c r="AA51" s="206"/>
      <c r="AB51" s="207"/>
      <c r="AC51" s="413"/>
      <c r="AD51" s="403"/>
      <c r="AE51" s="403"/>
      <c r="AF51" s="403"/>
      <c r="AG51" s="403"/>
      <c r="AH51" s="403"/>
      <c r="AI51" s="403"/>
      <c r="AJ51" s="403"/>
      <c r="AK51" s="403"/>
      <c r="AL51" s="403"/>
      <c r="AM51" s="403"/>
      <c r="AN51" s="414"/>
      <c r="AO51" s="413"/>
      <c r="AP51" s="403"/>
      <c r="AQ51" s="403"/>
      <c r="AR51" s="403"/>
      <c r="AS51" s="403"/>
      <c r="AT51" s="403"/>
      <c r="AU51" s="403"/>
      <c r="AV51" s="403"/>
      <c r="AW51" s="403"/>
      <c r="AX51" s="403"/>
      <c r="AY51" s="403"/>
      <c r="AZ51" s="414"/>
      <c r="BA51" s="429">
        <f t="shared" si="25"/>
        <v>0</v>
      </c>
    </row>
    <row r="52" spans="1:53" s="29" customFormat="1" ht="20.100000000000001" customHeight="1">
      <c r="A52" s="30" t="str">
        <f>Vecinos!A52</f>
        <v>Familia Wu Acevedo</v>
      </c>
      <c r="B52" s="31" t="str">
        <f>Vecinos!C52</f>
        <v>Calle Guacara Nro. 88-A-10</v>
      </c>
      <c r="C52" s="36" t="str">
        <f>IF(SUMIFS(Vigilancia!$E:$E,Vigilancia!$F:$F,A52,Vigilancia!$J:$J,"Vigilancia")=BA52,"ü","û")</f>
        <v>ü</v>
      </c>
      <c r="D52" s="215"/>
      <c r="E52" s="216"/>
      <c r="F52" s="217"/>
      <c r="G52" s="217"/>
      <c r="H52" s="217"/>
      <c r="I52" s="217"/>
      <c r="J52" s="217"/>
      <c r="K52" s="217"/>
      <c r="L52" s="217"/>
      <c r="M52" s="217"/>
      <c r="N52" s="217"/>
      <c r="O52" s="217"/>
      <c r="P52" s="215"/>
      <c r="Q52" s="218"/>
      <c r="R52" s="219"/>
      <c r="S52" s="219"/>
      <c r="T52" s="219"/>
      <c r="U52" s="219"/>
      <c r="V52" s="219"/>
      <c r="W52" s="182">
        <f>1000000/100000</f>
        <v>10</v>
      </c>
      <c r="X52" s="182">
        <f>1200000/100000</f>
        <v>12</v>
      </c>
      <c r="Y52" s="185">
        <v>320</v>
      </c>
      <c r="Z52" s="185">
        <v>320</v>
      </c>
      <c r="AA52" s="185">
        <v>320</v>
      </c>
      <c r="AB52" s="180">
        <v>1000</v>
      </c>
      <c r="AC52" s="404">
        <f>800+2200</f>
        <v>3000</v>
      </c>
      <c r="AD52" s="400">
        <v>3000</v>
      </c>
      <c r="AE52" s="400">
        <v>3000</v>
      </c>
      <c r="AF52" s="400">
        <v>5000</v>
      </c>
      <c r="AG52" s="509">
        <v>10000</v>
      </c>
      <c r="AH52" s="509">
        <v>10000</v>
      </c>
      <c r="AI52" s="400">
        <v>10000</v>
      </c>
      <c r="AJ52" s="400">
        <v>10000</v>
      </c>
      <c r="AK52" s="400">
        <v>21600</v>
      </c>
      <c r="AL52" s="400">
        <f>21100+25900</f>
        <v>47000</v>
      </c>
      <c r="AM52" s="400">
        <v>51250</v>
      </c>
      <c r="AN52" s="401">
        <v>81750</v>
      </c>
      <c r="AO52" s="404">
        <v>136250</v>
      </c>
      <c r="AP52" s="400">
        <f>64405.8</f>
        <v>64405.8</v>
      </c>
      <c r="AQ52" s="400"/>
      <c r="AR52" s="400"/>
      <c r="AS52" s="400"/>
      <c r="AT52" s="400"/>
      <c r="AU52" s="400"/>
      <c r="AV52" s="400"/>
      <c r="AW52" s="400"/>
      <c r="AX52" s="400"/>
      <c r="AY52" s="400"/>
      <c r="AZ52" s="401"/>
      <c r="BA52" s="426">
        <f t="shared" si="25"/>
        <v>458237.8</v>
      </c>
    </row>
    <row r="53" spans="1:53" s="29" customFormat="1" ht="20.100000000000001" customHeight="1">
      <c r="A53" s="30" t="str">
        <f>Vecinos!A53</f>
        <v>Familia Arcia Polanco</v>
      </c>
      <c r="B53" s="31" t="str">
        <f>Vecinos!C53</f>
        <v>Calle Guacara Nro. 89-20</v>
      </c>
      <c r="C53" s="36" t="str">
        <f>IF(SUMIFS(Vigilancia!$E:$E,Vigilancia!$F:$F,A53,Vigilancia!$J:$J,"Vigilancia")=BA53,"ü","û")</f>
        <v>ü</v>
      </c>
      <c r="D53" s="180"/>
      <c r="E53" s="181">
        <f>10500/100000+6500/100000</f>
        <v>0.16999999999999998</v>
      </c>
      <c r="F53" s="182">
        <f t="shared" ref="F53:H55" si="37">17000/100000</f>
        <v>0.17</v>
      </c>
      <c r="G53" s="182">
        <f t="shared" si="37"/>
        <v>0.17</v>
      </c>
      <c r="H53" s="182">
        <f t="shared" si="37"/>
        <v>0.17</v>
      </c>
      <c r="I53" s="182">
        <f t="shared" ref="I53:J55" si="38">26000/100000</f>
        <v>0.26</v>
      </c>
      <c r="J53" s="182">
        <f t="shared" si="38"/>
        <v>0.26</v>
      </c>
      <c r="K53" s="182">
        <f>26000/100000+9000/100000</f>
        <v>0.35</v>
      </c>
      <c r="L53" s="182">
        <f t="shared" ref="L53:N55" si="39">35000/100000</f>
        <v>0.35</v>
      </c>
      <c r="M53" s="182">
        <f t="shared" si="39"/>
        <v>0.35</v>
      </c>
      <c r="N53" s="182">
        <f t="shared" si="39"/>
        <v>0.35</v>
      </c>
      <c r="O53" s="182">
        <f>50000/100000</f>
        <v>0.5</v>
      </c>
      <c r="P53" s="180">
        <f>50000/100000</f>
        <v>0.5</v>
      </c>
      <c r="Q53" s="184">
        <f>50000/100000+30000/100000</f>
        <v>0.8</v>
      </c>
      <c r="R53" s="185">
        <f>80000/100000</f>
        <v>0.8</v>
      </c>
      <c r="S53" s="185">
        <f>140000/100000</f>
        <v>1.4</v>
      </c>
      <c r="T53" s="185">
        <f>140000/100000</f>
        <v>1.4</v>
      </c>
      <c r="U53" s="185">
        <f>400000/100000</f>
        <v>4</v>
      </c>
      <c r="V53" s="185">
        <f>400000/100000+225000/100000</f>
        <v>6.25</v>
      </c>
      <c r="W53" s="220">
        <f>1000000/100000</f>
        <v>10</v>
      </c>
      <c r="X53" s="182">
        <f>1200000/100000</f>
        <v>12</v>
      </c>
      <c r="Y53" s="185">
        <v>320</v>
      </c>
      <c r="Z53" s="185">
        <v>320</v>
      </c>
      <c r="AA53" s="185">
        <v>320</v>
      </c>
      <c r="AB53" s="180">
        <v>800</v>
      </c>
      <c r="AC53" s="404">
        <f>800+2200</f>
        <v>3000</v>
      </c>
      <c r="AD53" s="400">
        <v>3000</v>
      </c>
      <c r="AE53" s="400">
        <v>3000</v>
      </c>
      <c r="AF53" s="400">
        <f>3000+2000</f>
        <v>5000</v>
      </c>
      <c r="AG53" s="400">
        <f>5000+3000</f>
        <v>8000</v>
      </c>
      <c r="AH53" s="400">
        <f>5000+3000</f>
        <v>8000</v>
      </c>
      <c r="AI53" s="400">
        <v>10000</v>
      </c>
      <c r="AJ53" s="400">
        <v>10000</v>
      </c>
      <c r="AK53" s="400">
        <v>23400</v>
      </c>
      <c r="AL53" s="405">
        <f>800+20300+28200</f>
        <v>49300</v>
      </c>
      <c r="AM53" s="400">
        <v>56250</v>
      </c>
      <c r="AN53" s="401">
        <v>81750</v>
      </c>
      <c r="AO53" s="404">
        <v>136250</v>
      </c>
      <c r="AP53" s="400">
        <v>136250</v>
      </c>
      <c r="AQ53" s="400"/>
      <c r="AR53" s="400"/>
      <c r="AS53" s="400"/>
      <c r="AT53" s="400"/>
      <c r="AU53" s="400"/>
      <c r="AV53" s="400"/>
      <c r="AW53" s="400"/>
      <c r="AX53" s="400"/>
      <c r="AY53" s="400"/>
      <c r="AZ53" s="401"/>
      <c r="BA53" s="426">
        <f t="shared" si="25"/>
        <v>535000.25</v>
      </c>
    </row>
    <row r="54" spans="1:53" s="29" customFormat="1" ht="20.100000000000001" customHeight="1">
      <c r="A54" s="30" t="str">
        <f>Vecinos!A54</f>
        <v>Familia Lomeña Agudo</v>
      </c>
      <c r="B54" s="31" t="str">
        <f>Vecinos!C54</f>
        <v>Calle Guacara Nro. 89-30</v>
      </c>
      <c r="C54" s="36" t="str">
        <f>IF(SUMIFS(Vigilancia!$E:$E,Vigilancia!$F:$F,A54,Vigilancia!$J:$J,"Vigilancia")=BA54,"ü","û")</f>
        <v>ü</v>
      </c>
      <c r="D54" s="180"/>
      <c r="E54" s="181">
        <f>17000/100000</f>
        <v>0.17</v>
      </c>
      <c r="F54" s="182">
        <f t="shared" si="37"/>
        <v>0.17</v>
      </c>
      <c r="G54" s="182">
        <f t="shared" si="37"/>
        <v>0.17</v>
      </c>
      <c r="H54" s="182">
        <f t="shared" si="37"/>
        <v>0.17</v>
      </c>
      <c r="I54" s="182">
        <f t="shared" si="38"/>
        <v>0.26</v>
      </c>
      <c r="J54" s="182">
        <f t="shared" si="38"/>
        <v>0.26</v>
      </c>
      <c r="K54" s="182">
        <f>26000/100000+9000/100000</f>
        <v>0.35</v>
      </c>
      <c r="L54" s="182">
        <f t="shared" si="39"/>
        <v>0.35</v>
      </c>
      <c r="M54" s="182">
        <f t="shared" si="39"/>
        <v>0.35</v>
      </c>
      <c r="N54" s="182">
        <f t="shared" si="39"/>
        <v>0.35</v>
      </c>
      <c r="O54" s="182">
        <f>50000/100000</f>
        <v>0.5</v>
      </c>
      <c r="P54" s="180">
        <f>50000/100000</f>
        <v>0.5</v>
      </c>
      <c r="Q54" s="184">
        <f>80000/100000</f>
        <v>0.8</v>
      </c>
      <c r="R54" s="185">
        <f>80000/100000</f>
        <v>0.8</v>
      </c>
      <c r="S54" s="185">
        <f>130000/100000+10000/100000</f>
        <v>1.4000000000000001</v>
      </c>
      <c r="T54" s="185">
        <f>140000/100000</f>
        <v>1.4</v>
      </c>
      <c r="U54" s="185">
        <f>400000/100000</f>
        <v>4</v>
      </c>
      <c r="V54" s="185">
        <f>200000/100000+425000/100000</f>
        <v>6.25</v>
      </c>
      <c r="W54" s="182">
        <f>1000000/100000-425000/100000+650000/100000</f>
        <v>12.25</v>
      </c>
      <c r="X54" s="182">
        <f>1200000/100000</f>
        <v>12</v>
      </c>
      <c r="Y54" s="192">
        <f>0.2+350</f>
        <v>350.2</v>
      </c>
      <c r="Z54" s="185">
        <v>320</v>
      </c>
      <c r="AA54" s="185">
        <v>350</v>
      </c>
      <c r="AB54" s="180">
        <v>800</v>
      </c>
      <c r="AC54" s="404">
        <f>800+2200</f>
        <v>3000</v>
      </c>
      <c r="AD54" s="400">
        <v>3000</v>
      </c>
      <c r="AE54" s="400">
        <v>4500</v>
      </c>
      <c r="AF54" s="400">
        <f>4000-4000+5000</f>
        <v>5000</v>
      </c>
      <c r="AG54" s="400">
        <v>8000</v>
      </c>
      <c r="AH54" s="509">
        <v>10000</v>
      </c>
      <c r="AI54" s="400">
        <v>10000</v>
      </c>
      <c r="AJ54" s="509">
        <v>15000</v>
      </c>
      <c r="AK54" s="400">
        <f>15000+8400</f>
        <v>23400</v>
      </c>
      <c r="AL54" s="405">
        <f>25000+23000</f>
        <v>48000</v>
      </c>
      <c r="AM54" s="509">
        <v>67481</v>
      </c>
      <c r="AN54" s="619">
        <v>148000</v>
      </c>
      <c r="AO54" s="404">
        <v>136250</v>
      </c>
      <c r="AP54" s="400">
        <v>210000</v>
      </c>
      <c r="AQ54" s="400"/>
      <c r="AR54" s="400"/>
      <c r="AS54" s="400"/>
      <c r="AT54" s="400"/>
      <c r="AU54" s="400"/>
      <c r="AV54" s="400"/>
      <c r="AW54" s="400"/>
      <c r="AX54" s="400"/>
      <c r="AY54" s="400"/>
      <c r="AZ54" s="401"/>
      <c r="BA54" s="426">
        <f t="shared" si="25"/>
        <v>693493.7</v>
      </c>
    </row>
    <row r="55" spans="1:53" s="29" customFormat="1" ht="20.100000000000001" customHeight="1">
      <c r="A55" s="30" t="str">
        <f>Vecinos!A55</f>
        <v>Familia Manrique Riera</v>
      </c>
      <c r="B55" s="31" t="str">
        <f>Vecinos!C55</f>
        <v>Calle Guacara Nro. 89-40</v>
      </c>
      <c r="C55" s="36" t="str">
        <f>IF(SUMIFS(Vigilancia!$E:$E,Vigilancia!$F:$F,A55,Vigilancia!$J:$J,"Vigilancia")=BA55,"ü","û")</f>
        <v>ü</v>
      </c>
      <c r="D55" s="180"/>
      <c r="E55" s="181">
        <f>14000/100000+3000/100000</f>
        <v>0.17</v>
      </c>
      <c r="F55" s="182">
        <f t="shared" si="37"/>
        <v>0.17</v>
      </c>
      <c r="G55" s="182">
        <f t="shared" si="37"/>
        <v>0.17</v>
      </c>
      <c r="H55" s="182">
        <f t="shared" si="37"/>
        <v>0.17</v>
      </c>
      <c r="I55" s="182">
        <f t="shared" si="38"/>
        <v>0.26</v>
      </c>
      <c r="J55" s="182">
        <f t="shared" si="38"/>
        <v>0.26</v>
      </c>
      <c r="K55" s="182">
        <f>35000/100000</f>
        <v>0.35</v>
      </c>
      <c r="L55" s="182">
        <f t="shared" si="39"/>
        <v>0.35</v>
      </c>
      <c r="M55" s="182">
        <f t="shared" si="39"/>
        <v>0.35</v>
      </c>
      <c r="N55" s="182">
        <f t="shared" si="39"/>
        <v>0.35</v>
      </c>
      <c r="O55" s="182">
        <f>35000/100000+15000/100000</f>
        <v>0.5</v>
      </c>
      <c r="P55" s="180">
        <f>20000/100000</f>
        <v>0.2</v>
      </c>
      <c r="Q55" s="184">
        <f>80000/100000</f>
        <v>0.8</v>
      </c>
      <c r="R55" s="185">
        <f>80000/100000</f>
        <v>0.8</v>
      </c>
      <c r="S55" s="185">
        <f>140000/100000</f>
        <v>1.4</v>
      </c>
      <c r="T55" s="185">
        <f>140000/100000</f>
        <v>1.4</v>
      </c>
      <c r="U55" s="185">
        <f>400000/100000</f>
        <v>4</v>
      </c>
      <c r="V55" s="185">
        <f>650000/100000</f>
        <v>6.5</v>
      </c>
      <c r="W55" s="221">
        <f>1000000/100000</f>
        <v>10</v>
      </c>
      <c r="X55" s="182">
        <v>12</v>
      </c>
      <c r="Y55" s="185">
        <v>320</v>
      </c>
      <c r="Z55" s="185">
        <v>320</v>
      </c>
      <c r="AA55" s="185">
        <v>320</v>
      </c>
      <c r="AB55" s="180">
        <v>800</v>
      </c>
      <c r="AC55" s="404">
        <f>800+2200</f>
        <v>3000</v>
      </c>
      <c r="AD55" s="400">
        <v>3000</v>
      </c>
      <c r="AE55" s="400">
        <v>3000</v>
      </c>
      <c r="AF55" s="400">
        <v>5000</v>
      </c>
      <c r="AG55" s="400">
        <f>5000+3000</f>
        <v>8000</v>
      </c>
      <c r="AH55" s="400">
        <v>8000</v>
      </c>
      <c r="AI55" s="400">
        <f>8000+2000</f>
        <v>10000</v>
      </c>
      <c r="AJ55" s="400">
        <v>10000</v>
      </c>
      <c r="AK55" s="400">
        <v>23400</v>
      </c>
      <c r="AL55" s="400">
        <v>47000</v>
      </c>
      <c r="AM55" s="400">
        <v>64500</v>
      </c>
      <c r="AN55" s="401">
        <v>81750</v>
      </c>
      <c r="AO55" s="404">
        <v>136250</v>
      </c>
      <c r="AP55" s="400">
        <v>136250</v>
      </c>
      <c r="AQ55" s="400"/>
      <c r="AR55" s="400"/>
      <c r="AS55" s="400"/>
      <c r="AT55" s="400"/>
      <c r="AU55" s="400"/>
      <c r="AV55" s="400"/>
      <c r="AW55" s="400"/>
      <c r="AX55" s="400"/>
      <c r="AY55" s="400"/>
      <c r="AZ55" s="401"/>
      <c r="BA55" s="426">
        <f t="shared" si="25"/>
        <v>540950.19999999995</v>
      </c>
    </row>
    <row r="56" spans="1:53" s="29" customFormat="1" ht="20.100000000000001" customHeight="1">
      <c r="A56" s="33" t="str">
        <f>Vecinos!A56</f>
        <v>Familia Romero</v>
      </c>
      <c r="B56" s="34" t="str">
        <f>Vecinos!C56</f>
        <v>Calle Guacara Nro. 89-50</v>
      </c>
      <c r="C56" s="35" t="str">
        <f>IF(SUMIFS(Vigilancia!$E:$E,Vigilancia!$F:$F,A56,Vigilancia!$J:$J,"Vigilancia")=BA56,"ü","û")</f>
        <v>ü</v>
      </c>
      <c r="D56" s="187"/>
      <c r="E56" s="188"/>
      <c r="F56" s="189"/>
      <c r="G56" s="189"/>
      <c r="H56" s="189"/>
      <c r="I56" s="189"/>
      <c r="J56" s="189"/>
      <c r="K56" s="189"/>
      <c r="L56" s="189"/>
      <c r="M56" s="189"/>
      <c r="N56" s="189"/>
      <c r="O56" s="189"/>
      <c r="P56" s="187">
        <f>50000/100000</f>
        <v>0.5</v>
      </c>
      <c r="Q56" s="190">
        <f>50000/100000</f>
        <v>0.5</v>
      </c>
      <c r="R56" s="191">
        <f>50000/100000</f>
        <v>0.5</v>
      </c>
      <c r="S56" s="191">
        <f>50000/100000</f>
        <v>0.5</v>
      </c>
      <c r="T56" s="191">
        <f>50000/100000</f>
        <v>0.5</v>
      </c>
      <c r="U56" s="191">
        <f>400000/100000</f>
        <v>4</v>
      </c>
      <c r="V56" s="191">
        <f>400000/100000</f>
        <v>4</v>
      </c>
      <c r="W56" s="191">
        <f>850000/100000+150000/100000</f>
        <v>10</v>
      </c>
      <c r="X56" s="191">
        <f>1000000/100000</f>
        <v>10</v>
      </c>
      <c r="Y56" s="191">
        <v>160</v>
      </c>
      <c r="Z56" s="191">
        <v>160</v>
      </c>
      <c r="AA56" s="377"/>
      <c r="AB56" s="187">
        <v>800</v>
      </c>
      <c r="AC56" s="396">
        <v>3000</v>
      </c>
      <c r="AD56" s="397">
        <v>3000</v>
      </c>
      <c r="AE56" s="397">
        <v>3000</v>
      </c>
      <c r="AF56" s="397">
        <f>3000+2000</f>
        <v>5000</v>
      </c>
      <c r="AG56" s="397">
        <v>8000</v>
      </c>
      <c r="AH56" s="397">
        <v>8000</v>
      </c>
      <c r="AI56" s="397">
        <v>10000</v>
      </c>
      <c r="AJ56" s="397">
        <v>10000</v>
      </c>
      <c r="AK56" s="397">
        <v>20500</v>
      </c>
      <c r="AL56" s="397">
        <f>4500+42500</f>
        <v>47000</v>
      </c>
      <c r="AM56" s="397">
        <v>56250</v>
      </c>
      <c r="AN56" s="398">
        <v>81750</v>
      </c>
      <c r="AO56" s="396"/>
      <c r="AP56" s="397"/>
      <c r="AQ56" s="397"/>
      <c r="AR56" s="397"/>
      <c r="AS56" s="397"/>
      <c r="AT56" s="397"/>
      <c r="AU56" s="397"/>
      <c r="AV56" s="397"/>
      <c r="AW56" s="397"/>
      <c r="AX56" s="397"/>
      <c r="AY56" s="397"/>
      <c r="AZ56" s="398"/>
      <c r="BA56" s="425">
        <f t="shared" si="25"/>
        <v>256650.5</v>
      </c>
    </row>
    <row r="57" spans="1:53" s="29" customFormat="1" ht="20.100000000000001" customHeight="1">
      <c r="A57" s="30" t="str">
        <f>Vecinos!A57</f>
        <v>Familia Durvelle Serrano</v>
      </c>
      <c r="B57" s="31" t="str">
        <f>Vecinos!C57</f>
        <v>Calle Guacara Nro. 89-60</v>
      </c>
      <c r="C57" s="36" t="str">
        <f>IF(SUMIFS(Vigilancia!$E:$E,Vigilancia!$F:$F,A57,Vigilancia!$J:$J,"Vigilancia")=BA57,"ü","û")</f>
        <v>ü</v>
      </c>
      <c r="D57" s="180"/>
      <c r="E57" s="196">
        <f>10000/100000</f>
        <v>0.1</v>
      </c>
      <c r="F57" s="182">
        <f t="shared" ref="F57:H59" si="40">17000/100000</f>
        <v>0.17</v>
      </c>
      <c r="G57" s="182">
        <f t="shared" si="40"/>
        <v>0.17</v>
      </c>
      <c r="H57" s="182">
        <f t="shared" si="40"/>
        <v>0.17</v>
      </c>
      <c r="I57" s="182">
        <f>26000/100000</f>
        <v>0.26</v>
      </c>
      <c r="J57" s="182">
        <f>27000/100000</f>
        <v>0.27</v>
      </c>
      <c r="K57" s="182">
        <f>27000/100000+9000/100000</f>
        <v>0.36</v>
      </c>
      <c r="L57" s="182">
        <f>35000/100000</f>
        <v>0.35</v>
      </c>
      <c r="M57" s="182">
        <f>35000/100000</f>
        <v>0.35</v>
      </c>
      <c r="N57" s="182">
        <f>35000/100000</f>
        <v>0.35</v>
      </c>
      <c r="O57" s="182">
        <f>35000/100000+15000/100000</f>
        <v>0.5</v>
      </c>
      <c r="P57" s="180">
        <f>50000/100000</f>
        <v>0.5</v>
      </c>
      <c r="Q57" s="184">
        <f>50000/100000+50000/100000</f>
        <v>1</v>
      </c>
      <c r="R57" s="185">
        <f>100000/100000</f>
        <v>1</v>
      </c>
      <c r="S57" s="185">
        <f>200000/100000</f>
        <v>2</v>
      </c>
      <c r="T57" s="185">
        <f>250000/100000</f>
        <v>2.5</v>
      </c>
      <c r="U57" s="185">
        <f>300000/100000+100000/100000</f>
        <v>4</v>
      </c>
      <c r="V57" s="185">
        <f>400000/100000+225000/100000</f>
        <v>6.25</v>
      </c>
      <c r="W57" s="185">
        <f>200000/100000+800000/100000</f>
        <v>10</v>
      </c>
      <c r="X57" s="192">
        <f>215000/100000+1500000/100000-515000/100000</f>
        <v>11.999999999999998</v>
      </c>
      <c r="Y57" s="192">
        <f>515000/100000+400</f>
        <v>405.15</v>
      </c>
      <c r="Z57" s="185">
        <v>500</v>
      </c>
      <c r="AA57" s="185">
        <v>500</v>
      </c>
      <c r="AB57" s="180">
        <v>1000</v>
      </c>
      <c r="AC57" s="404">
        <f>1000+3000</f>
        <v>4000</v>
      </c>
      <c r="AD57" s="400">
        <v>4000</v>
      </c>
      <c r="AE57" s="400">
        <v>6000</v>
      </c>
      <c r="AF57" s="400">
        <v>5000</v>
      </c>
      <c r="AG57" s="400">
        <f>5000+3000</f>
        <v>8000</v>
      </c>
      <c r="AH57" s="400">
        <v>8000</v>
      </c>
      <c r="AI57" s="400">
        <v>15000</v>
      </c>
      <c r="AJ57" s="400">
        <v>10000</v>
      </c>
      <c r="AK57" s="400">
        <v>24000</v>
      </c>
      <c r="AL57" s="405">
        <f>25000+22000</f>
        <v>47000</v>
      </c>
      <c r="AM57" s="400">
        <f>47000+10000</f>
        <v>57000</v>
      </c>
      <c r="AN57" s="613">
        <f>100000-1250</f>
        <v>98750</v>
      </c>
      <c r="AO57" s="661">
        <f>135000+1250</f>
        <v>136250</v>
      </c>
      <c r="AP57" s="400">
        <v>140000</v>
      </c>
      <c r="AQ57" s="400"/>
      <c r="AR57" s="400"/>
      <c r="AS57" s="400"/>
      <c r="AT57" s="400"/>
      <c r="AU57" s="400"/>
      <c r="AV57" s="400"/>
      <c r="AW57" s="400"/>
      <c r="AX57" s="400"/>
      <c r="AY57" s="400"/>
      <c r="AZ57" s="401"/>
      <c r="BA57" s="426">
        <f t="shared" si="25"/>
        <v>565447.44999999995</v>
      </c>
    </row>
    <row r="58" spans="1:53" s="29" customFormat="1" ht="20.100000000000001" customHeight="1">
      <c r="A58" s="30" t="str">
        <f>Vecinos!A58</f>
        <v>Yuraima Rodríguez</v>
      </c>
      <c r="B58" s="31" t="str">
        <f>Vecinos!C58</f>
        <v>Calle Guacara Nro. 89-70</v>
      </c>
      <c r="C58" s="36" t="str">
        <f>IF(SUMIFS(Vigilancia!$E:$E,Vigilancia!$F:$F,A58,Vigilancia!$J:$J,"Vigilancia")=BA58,"ü","û")</f>
        <v>ü</v>
      </c>
      <c r="D58" s="180"/>
      <c r="E58" s="181">
        <f>17000/100000</f>
        <v>0.17</v>
      </c>
      <c r="F58" s="182">
        <f t="shared" si="40"/>
        <v>0.17</v>
      </c>
      <c r="G58" s="182">
        <f t="shared" si="40"/>
        <v>0.17</v>
      </c>
      <c r="H58" s="182">
        <f t="shared" si="40"/>
        <v>0.17</v>
      </c>
      <c r="I58" s="182"/>
      <c r="J58" s="182"/>
      <c r="K58" s="182"/>
      <c r="L58" s="182"/>
      <c r="M58" s="182"/>
      <c r="N58" s="182"/>
      <c r="O58" s="182"/>
      <c r="P58" s="180"/>
      <c r="Q58" s="184"/>
      <c r="R58" s="185"/>
      <c r="S58" s="185"/>
      <c r="T58" s="185"/>
      <c r="U58" s="185">
        <f>400000/100000</f>
        <v>4</v>
      </c>
      <c r="V58" s="193">
        <f>400000/100000</f>
        <v>4</v>
      </c>
      <c r="W58" s="185">
        <f>1000000/100000</f>
        <v>10</v>
      </c>
      <c r="X58" s="185">
        <f>1200000/100000</f>
        <v>12</v>
      </c>
      <c r="Y58" s="185">
        <v>320</v>
      </c>
      <c r="Z58" s="185">
        <v>320</v>
      </c>
      <c r="AA58" s="185">
        <v>320</v>
      </c>
      <c r="AB58" s="180">
        <v>800</v>
      </c>
      <c r="AC58" s="399">
        <v>3000</v>
      </c>
      <c r="AD58" s="400">
        <v>3000</v>
      </c>
      <c r="AE58" s="400">
        <v>3000</v>
      </c>
      <c r="AF58" s="400">
        <v>5000</v>
      </c>
      <c r="AG58" s="400">
        <v>8000</v>
      </c>
      <c r="AH58" s="400">
        <v>8000</v>
      </c>
      <c r="AI58" s="400"/>
      <c r="AJ58" s="400"/>
      <c r="AK58" s="400"/>
      <c r="AL58" s="400"/>
      <c r="AM58" s="400"/>
      <c r="AN58" s="401"/>
      <c r="AO58" s="399"/>
      <c r="AP58" s="400"/>
      <c r="AQ58" s="400"/>
      <c r="AR58" s="400"/>
      <c r="AS58" s="400"/>
      <c r="AT58" s="400"/>
      <c r="AU58" s="400"/>
      <c r="AV58" s="400"/>
      <c r="AW58" s="400"/>
      <c r="AX58" s="400"/>
      <c r="AY58" s="400"/>
      <c r="AZ58" s="401"/>
      <c r="BA58" s="426">
        <f t="shared" si="25"/>
        <v>31790.68</v>
      </c>
    </row>
    <row r="59" spans="1:53" s="29" customFormat="1" ht="20.100000000000001" customHeight="1">
      <c r="A59" s="30" t="str">
        <f>Vecinos!A59</f>
        <v>Familia Nava Gordon</v>
      </c>
      <c r="B59" s="31" t="str">
        <f>Vecinos!C59</f>
        <v>Calle Guacara Nro. 89-78</v>
      </c>
      <c r="C59" s="36" t="str">
        <f>IF(SUMIFS(Vigilancia!$E:$E,Vigilancia!$F:$F,A59,Vigilancia!$J:$J,"Vigilancia")=BA59,"ü","û")</f>
        <v>ü</v>
      </c>
      <c r="D59" s="180"/>
      <c r="E59" s="181">
        <f>17000/100000</f>
        <v>0.17</v>
      </c>
      <c r="F59" s="182">
        <f t="shared" si="40"/>
        <v>0.17</v>
      </c>
      <c r="G59" s="182">
        <f t="shared" si="40"/>
        <v>0.17</v>
      </c>
      <c r="H59" s="182">
        <f t="shared" si="40"/>
        <v>0.17</v>
      </c>
      <c r="I59" s="182">
        <f>26000/100000</f>
        <v>0.26</v>
      </c>
      <c r="J59" s="182">
        <f>26000/100000</f>
        <v>0.26</v>
      </c>
      <c r="K59" s="182">
        <f>2000/100000+33000/100000</f>
        <v>0.35000000000000003</v>
      </c>
      <c r="L59" s="182">
        <f t="shared" ref="L59:N60" si="41">35000/100000</f>
        <v>0.35</v>
      </c>
      <c r="M59" s="182">
        <f t="shared" si="41"/>
        <v>0.35</v>
      </c>
      <c r="N59" s="182">
        <f t="shared" si="41"/>
        <v>0.35</v>
      </c>
      <c r="O59" s="182">
        <f>50000/100000</f>
        <v>0.5</v>
      </c>
      <c r="P59" s="180">
        <f>50000/100000</f>
        <v>0.5</v>
      </c>
      <c r="Q59" s="184">
        <f>80000/100000</f>
        <v>0.8</v>
      </c>
      <c r="R59" s="185">
        <f>80000/100000</f>
        <v>0.8</v>
      </c>
      <c r="S59" s="185">
        <f>140000/100000</f>
        <v>1.4</v>
      </c>
      <c r="T59" s="185">
        <f>140000/100000</f>
        <v>1.4</v>
      </c>
      <c r="U59" s="185">
        <f>400000/100000</f>
        <v>4</v>
      </c>
      <c r="V59" s="185">
        <f>400/100000+399600/100000+225000/100000</f>
        <v>6.25</v>
      </c>
      <c r="W59" s="185">
        <f>850000/100000+150000/100000</f>
        <v>10</v>
      </c>
      <c r="X59" s="185">
        <f>1200000/100000</f>
        <v>12</v>
      </c>
      <c r="Y59" s="185">
        <v>320</v>
      </c>
      <c r="Z59" s="185">
        <v>320</v>
      </c>
      <c r="AA59" s="192">
        <f>40+280</f>
        <v>320</v>
      </c>
      <c r="AB59" s="180">
        <f>40+760</f>
        <v>800</v>
      </c>
      <c r="AC59" s="399">
        <v>3000</v>
      </c>
      <c r="AD59" s="405">
        <f>40+3000</f>
        <v>3040</v>
      </c>
      <c r="AE59" s="400">
        <v>3000</v>
      </c>
      <c r="AF59" s="400">
        <v>5000</v>
      </c>
      <c r="AG59" s="400">
        <v>8000</v>
      </c>
      <c r="AH59" s="400">
        <v>8000</v>
      </c>
      <c r="AI59" s="400">
        <v>10000</v>
      </c>
      <c r="AJ59" s="509">
        <v>15000</v>
      </c>
      <c r="AK59" s="400">
        <v>23400</v>
      </c>
      <c r="AL59" s="400">
        <f>20255+845+25900</f>
        <v>47000</v>
      </c>
      <c r="AM59" s="400">
        <v>56250</v>
      </c>
      <c r="AN59" s="410">
        <f>2300+79450</f>
        <v>81750</v>
      </c>
      <c r="AO59" s="399">
        <f>2300+133950</f>
        <v>136250</v>
      </c>
      <c r="AP59" s="405">
        <f>2300+133950</f>
        <v>136250</v>
      </c>
      <c r="AQ59" s="400">
        <f>2300</f>
        <v>2300</v>
      </c>
      <c r="AR59" s="400"/>
      <c r="AS59" s="400"/>
      <c r="AT59" s="400"/>
      <c r="AU59" s="400"/>
      <c r="AV59" s="400"/>
      <c r="AW59" s="400"/>
      <c r="AX59" s="400"/>
      <c r="AY59" s="400"/>
      <c r="AZ59" s="401"/>
      <c r="BA59" s="426">
        <f t="shared" si="25"/>
        <v>540040.25</v>
      </c>
    </row>
    <row r="60" spans="1:53" s="29" customFormat="1" ht="20.100000000000001" customHeight="1">
      <c r="A60" s="30" t="str">
        <f>Vecinos!A60</f>
        <v>Familia González Arévalo</v>
      </c>
      <c r="B60" s="31" t="str">
        <f>Vecinos!C60</f>
        <v>Calle Guacara Nro. 89-86</v>
      </c>
      <c r="C60" s="36" t="str">
        <f>IF(SUMIFS(Vigilancia!$E:$E,Vigilancia!$F:$F,A60,Vigilancia!$J:$J,"Vigilancia")=BA60,"ü","û")</f>
        <v>ü</v>
      </c>
      <c r="D60" s="180"/>
      <c r="E60" s="196">
        <f>10500/100000</f>
        <v>0.105</v>
      </c>
      <c r="F60" s="182">
        <f>17000/100000</f>
        <v>0.17</v>
      </c>
      <c r="G60" s="182">
        <f>22000/100000</f>
        <v>0.22</v>
      </c>
      <c r="H60" s="182">
        <f>22000/100000</f>
        <v>0.22</v>
      </c>
      <c r="I60" s="182">
        <f>22000/100000</f>
        <v>0.22</v>
      </c>
      <c r="J60" s="182">
        <f>26000/100000</f>
        <v>0.26</v>
      </c>
      <c r="K60" s="182">
        <f>26000/100000+9000/100000</f>
        <v>0.35</v>
      </c>
      <c r="L60" s="182">
        <f t="shared" si="41"/>
        <v>0.35</v>
      </c>
      <c r="M60" s="182">
        <f t="shared" si="41"/>
        <v>0.35</v>
      </c>
      <c r="N60" s="182">
        <f t="shared" si="41"/>
        <v>0.35</v>
      </c>
      <c r="O60" s="182">
        <f>50000/100000</f>
        <v>0.5</v>
      </c>
      <c r="P60" s="180">
        <f>50000/100000</f>
        <v>0.5</v>
      </c>
      <c r="Q60" s="184">
        <f>80000/100000</f>
        <v>0.8</v>
      </c>
      <c r="R60" s="185">
        <f>80000/100000</f>
        <v>0.8</v>
      </c>
      <c r="S60" s="185">
        <f>140000/100000</f>
        <v>1.4</v>
      </c>
      <c r="T60" s="185">
        <f>140000/100000</f>
        <v>1.4</v>
      </c>
      <c r="U60" s="185">
        <f>140000/100000+260000/100000</f>
        <v>4</v>
      </c>
      <c r="V60" s="185">
        <f>400000/100000+225000/100000</f>
        <v>6.25</v>
      </c>
      <c r="W60" s="192">
        <f>850000/100000+150000/100000</f>
        <v>10</v>
      </c>
      <c r="X60" s="185">
        <v>12</v>
      </c>
      <c r="Y60" s="185">
        <v>320</v>
      </c>
      <c r="Z60" s="185">
        <v>320</v>
      </c>
      <c r="AA60" s="192">
        <v>320</v>
      </c>
      <c r="AB60" s="354">
        <f>320+450</f>
        <v>770</v>
      </c>
      <c r="AC60" s="404">
        <f>800+2200</f>
        <v>3000</v>
      </c>
      <c r="AD60" s="400">
        <f>3000</f>
        <v>3000</v>
      </c>
      <c r="AE60" s="400">
        <v>3000</v>
      </c>
      <c r="AF60" s="400">
        <f>3000+2000</f>
        <v>5000</v>
      </c>
      <c r="AG60" s="400">
        <f>5000+3000</f>
        <v>8000</v>
      </c>
      <c r="AH60" s="400">
        <v>8000</v>
      </c>
      <c r="AI60" s="405">
        <v>10000</v>
      </c>
      <c r="AJ60" s="405">
        <f>5000+5000</f>
        <v>10000</v>
      </c>
      <c r="AK60" s="400">
        <f>10000+13400</f>
        <v>23400</v>
      </c>
      <c r="AL60" s="405">
        <f>10000+11100+25900</f>
        <v>47000</v>
      </c>
      <c r="AM60" s="405">
        <v>56250</v>
      </c>
      <c r="AN60" s="410">
        <f>100000+100000</f>
        <v>200000</v>
      </c>
      <c r="AO60" s="404">
        <v>136250</v>
      </c>
      <c r="AP60" s="400">
        <v>150000</v>
      </c>
      <c r="AQ60" s="400">
        <v>150000</v>
      </c>
      <c r="AR60" s="400"/>
      <c r="AS60" s="400"/>
      <c r="AT60" s="400"/>
      <c r="AU60" s="405"/>
      <c r="AV60" s="400"/>
      <c r="AW60" s="400"/>
      <c r="AX60" s="400"/>
      <c r="AY60" s="405"/>
      <c r="AZ60" s="410"/>
      <c r="BA60" s="426">
        <f t="shared" si="25"/>
        <v>814670.245</v>
      </c>
    </row>
    <row r="61" spans="1:53" s="29" customFormat="1" ht="20.100000000000001" customHeight="1">
      <c r="A61" s="33" t="str">
        <f>Vecinos!A61</f>
        <v>Héctor Hernández</v>
      </c>
      <c r="B61" s="34" t="str">
        <f>Vecinos!C61</f>
        <v>Calle Guacara Nro. 89-94</v>
      </c>
      <c r="C61" s="35" t="str">
        <f>IF(SUMIFS(Vigilancia!$E:$E,Vigilancia!$F:$F,A61,Vigilancia!$J:$J,"Vigilancia")=BA61,"ü","û")</f>
        <v>ü</v>
      </c>
      <c r="D61" s="187"/>
      <c r="E61" s="188">
        <f>6000/100000+4000/100000</f>
        <v>0.1</v>
      </c>
      <c r="F61" s="189">
        <f>10000/100000</f>
        <v>0.1</v>
      </c>
      <c r="G61" s="189">
        <f>10000/100000</f>
        <v>0.1</v>
      </c>
      <c r="H61" s="189">
        <f>10000/100000</f>
        <v>0.1</v>
      </c>
      <c r="I61" s="189"/>
      <c r="J61" s="189"/>
      <c r="K61" s="189">
        <f>15000/100000</f>
        <v>0.15</v>
      </c>
      <c r="L61" s="189">
        <f>15000/100000</f>
        <v>0.15</v>
      </c>
      <c r="M61" s="189">
        <f>20000/100000</f>
        <v>0.2</v>
      </c>
      <c r="N61" s="189">
        <f>25000/100000</f>
        <v>0.25</v>
      </c>
      <c r="O61" s="189">
        <f>30000/100000</f>
        <v>0.3</v>
      </c>
      <c r="P61" s="187">
        <f>30000/100000</f>
        <v>0.3</v>
      </c>
      <c r="Q61" s="190">
        <f>30000/100000</f>
        <v>0.3</v>
      </c>
      <c r="R61" s="191">
        <f>30000/100000</f>
        <v>0.3</v>
      </c>
      <c r="S61" s="191">
        <f>70000/100000</f>
        <v>0.7</v>
      </c>
      <c r="T61" s="191">
        <f>80000/100000</f>
        <v>0.8</v>
      </c>
      <c r="U61" s="191">
        <f>200000/100000</f>
        <v>2</v>
      </c>
      <c r="V61" s="191">
        <f>400000/100000+225000/100000</f>
        <v>6.25</v>
      </c>
      <c r="W61" s="192">
        <f>1000000/100000</f>
        <v>10</v>
      </c>
      <c r="X61" s="192">
        <f>1200000/100000</f>
        <v>12</v>
      </c>
      <c r="Y61" s="192">
        <v>320</v>
      </c>
      <c r="Z61" s="192">
        <v>320</v>
      </c>
      <c r="AA61" s="192">
        <v>320</v>
      </c>
      <c r="AB61" s="366">
        <v>800</v>
      </c>
      <c r="AC61" s="404">
        <f>800+2200</f>
        <v>3000</v>
      </c>
      <c r="AD61" s="405">
        <v>3000</v>
      </c>
      <c r="AE61" s="400">
        <v>3000</v>
      </c>
      <c r="AF61" s="400">
        <f>3000+2000</f>
        <v>5000</v>
      </c>
      <c r="AG61" s="400">
        <f>5000+3000</f>
        <v>8000</v>
      </c>
      <c r="AH61" s="405">
        <v>8000</v>
      </c>
      <c r="AI61" s="400">
        <v>10000</v>
      </c>
      <c r="AJ61" s="405">
        <v>10000</v>
      </c>
      <c r="AK61" s="400">
        <f>10000+10500</f>
        <v>20500</v>
      </c>
      <c r="AL61" s="405">
        <f>21100+30150</f>
        <v>51250</v>
      </c>
      <c r="AM61" s="405">
        <v>51250</v>
      </c>
      <c r="AN61" s="410">
        <v>81750</v>
      </c>
      <c r="AO61" s="404">
        <v>136250</v>
      </c>
      <c r="AP61" s="405">
        <v>136250</v>
      </c>
      <c r="AQ61" s="400"/>
      <c r="AR61" s="400"/>
      <c r="AS61" s="400"/>
      <c r="AT61" s="405"/>
      <c r="AU61" s="400"/>
      <c r="AV61" s="400"/>
      <c r="AW61" s="400"/>
      <c r="AX61" s="400"/>
      <c r="AY61" s="405"/>
      <c r="AZ61" s="410"/>
      <c r="BA61" s="428">
        <f t="shared" si="25"/>
        <v>529044.1</v>
      </c>
    </row>
    <row r="62" spans="1:53" s="29" customFormat="1" ht="20.100000000000001" customHeight="1">
      <c r="A62" s="30" t="str">
        <f>Vecinos!A62</f>
        <v>Familia Soto Urdaneta</v>
      </c>
      <c r="B62" s="31" t="str">
        <f>Vecinos!C62</f>
        <v>Calle Guacara Nro. 89-102</v>
      </c>
      <c r="C62" s="36" t="str">
        <f>IF(SUMIFS(Vigilancia!$E:$E,Vigilancia!$F:$F,A62,Vigilancia!$J:$J,"Vigilancia")=BA62,"ü","û")</f>
        <v>ü</v>
      </c>
      <c r="D62" s="180"/>
      <c r="E62" s="181"/>
      <c r="F62" s="182"/>
      <c r="G62" s="182"/>
      <c r="H62" s="182"/>
      <c r="I62" s="182"/>
      <c r="J62" s="182"/>
      <c r="K62" s="182"/>
      <c r="L62" s="182"/>
      <c r="M62" s="182"/>
      <c r="N62" s="182"/>
      <c r="O62" s="182"/>
      <c r="P62" s="180"/>
      <c r="Q62" s="184"/>
      <c r="R62" s="185"/>
      <c r="S62" s="185"/>
      <c r="T62" s="185"/>
      <c r="U62" s="185"/>
      <c r="V62" s="185"/>
      <c r="W62" s="185"/>
      <c r="X62" s="185"/>
      <c r="Y62" s="185"/>
      <c r="Z62" s="185"/>
      <c r="AA62" s="185"/>
      <c r="AB62" s="180"/>
      <c r="AC62" s="399">
        <v>3000</v>
      </c>
      <c r="AD62" s="400">
        <v>3000</v>
      </c>
      <c r="AE62" s="400">
        <v>4000</v>
      </c>
      <c r="AF62" s="400">
        <v>5000</v>
      </c>
      <c r="AG62" s="400">
        <v>8000</v>
      </c>
      <c r="AH62" s="400">
        <v>8000</v>
      </c>
      <c r="AI62" s="400">
        <v>10000</v>
      </c>
      <c r="AJ62" s="400">
        <v>10000</v>
      </c>
      <c r="AK62" s="400">
        <v>23400</v>
      </c>
      <c r="AL62" s="400">
        <f>21100+25900</f>
        <v>47000</v>
      </c>
      <c r="AM62" s="400">
        <v>56250</v>
      </c>
      <c r="AN62" s="401">
        <v>81750</v>
      </c>
      <c r="AO62" s="399">
        <f>105250+31000</f>
        <v>136250</v>
      </c>
      <c r="AP62" s="400">
        <v>136250</v>
      </c>
      <c r="AQ62" s="400"/>
      <c r="AR62" s="400"/>
      <c r="AS62" s="400"/>
      <c r="AT62" s="400"/>
      <c r="AU62" s="400"/>
      <c r="AV62" s="400"/>
      <c r="AW62" s="400"/>
      <c r="AX62" s="400"/>
      <c r="AY62" s="400"/>
      <c r="AZ62" s="401"/>
      <c r="BA62" s="426">
        <f t="shared" si="25"/>
        <v>531900</v>
      </c>
    </row>
    <row r="63" spans="1:53" s="29" customFormat="1" ht="20.100000000000001" customHeight="1">
      <c r="A63" s="30" t="str">
        <f>Vecinos!A63</f>
        <v>Familia Aparicio. Anexo</v>
      </c>
      <c r="B63" s="31" t="str">
        <f>Vecinos!C63</f>
        <v>Calle Guacara Nro. 89-129</v>
      </c>
      <c r="C63" s="36" t="str">
        <f>IF(SUMIFS(Vigilancia!$E:$E,Vigilancia!$F:$F,A63,Vigilancia!$J:$J,"Vigilancia")=BA63,"ü","û")</f>
        <v>ü</v>
      </c>
      <c r="D63" s="180"/>
      <c r="E63" s="181"/>
      <c r="F63" s="182"/>
      <c r="G63" s="182"/>
      <c r="H63" s="182"/>
      <c r="I63" s="182"/>
      <c r="J63" s="182"/>
      <c r="K63" s="182"/>
      <c r="L63" s="182"/>
      <c r="M63" s="182"/>
      <c r="N63" s="182"/>
      <c r="O63" s="182"/>
      <c r="P63" s="180"/>
      <c r="Q63" s="184"/>
      <c r="R63" s="185"/>
      <c r="S63" s="185"/>
      <c r="T63" s="185"/>
      <c r="U63" s="185"/>
      <c r="V63" s="185"/>
      <c r="W63" s="185"/>
      <c r="X63" s="185"/>
      <c r="Y63" s="185"/>
      <c r="Z63" s="185"/>
      <c r="AA63" s="185"/>
      <c r="AB63" s="180"/>
      <c r="AC63" s="399"/>
      <c r="AD63" s="400"/>
      <c r="AE63" s="400"/>
      <c r="AF63" s="400"/>
      <c r="AG63" s="400"/>
      <c r="AH63" s="400"/>
      <c r="AI63" s="400"/>
      <c r="AJ63" s="400"/>
      <c r="AK63" s="400"/>
      <c r="AL63" s="400"/>
      <c r="AM63" s="400"/>
      <c r="AN63" s="401"/>
      <c r="AO63" s="399"/>
      <c r="AP63" s="400"/>
      <c r="AQ63" s="400"/>
      <c r="AR63" s="400"/>
      <c r="AS63" s="400"/>
      <c r="AT63" s="400"/>
      <c r="AU63" s="400"/>
      <c r="AV63" s="400"/>
      <c r="AW63" s="400"/>
      <c r="AX63" s="400"/>
      <c r="AY63" s="400"/>
      <c r="AZ63" s="401"/>
      <c r="BA63" s="426">
        <f t="shared" si="25"/>
        <v>0</v>
      </c>
    </row>
    <row r="64" spans="1:53" s="29" customFormat="1" ht="20.100000000000001" customHeight="1">
      <c r="A64" s="30" t="str">
        <f>Vecinos!A64</f>
        <v>Beatriz Lara</v>
      </c>
      <c r="B64" s="31" t="str">
        <f>Vecinos!C64</f>
        <v>Calle Guacara Nro. 89-130</v>
      </c>
      <c r="C64" s="36" t="str">
        <f>IF(SUMIFS(Vigilancia!$E:$E,Vigilancia!$F:$F,A64,Vigilancia!$J:$J,"Vigilancia")=BA64,"ü","û")</f>
        <v>ü</v>
      </c>
      <c r="D64" s="180"/>
      <c r="E64" s="181">
        <f>17000/100000</f>
        <v>0.17</v>
      </c>
      <c r="F64" s="182">
        <f>17000/100000</f>
        <v>0.17</v>
      </c>
      <c r="G64" s="182">
        <f>17000/100000</f>
        <v>0.17</v>
      </c>
      <c r="H64" s="182">
        <f>17000/100000</f>
        <v>0.17</v>
      </c>
      <c r="I64" s="182">
        <f>26000/100000</f>
        <v>0.26</v>
      </c>
      <c r="J64" s="182">
        <f>26000/100000</f>
        <v>0.26</v>
      </c>
      <c r="K64" s="182">
        <f t="shared" ref="K64:N66" si="42">35000/100000</f>
        <v>0.35</v>
      </c>
      <c r="L64" s="182">
        <f t="shared" si="42"/>
        <v>0.35</v>
      </c>
      <c r="M64" s="182">
        <f t="shared" si="42"/>
        <v>0.35</v>
      </c>
      <c r="N64" s="182">
        <f t="shared" si="42"/>
        <v>0.35</v>
      </c>
      <c r="O64" s="182">
        <f t="shared" ref="O64:P66" si="43">50000/100000</f>
        <v>0.5</v>
      </c>
      <c r="P64" s="180">
        <f t="shared" si="43"/>
        <v>0.5</v>
      </c>
      <c r="Q64" s="184">
        <f t="shared" ref="Q64:R66" si="44">80000/100000</f>
        <v>0.8</v>
      </c>
      <c r="R64" s="185">
        <f t="shared" si="44"/>
        <v>0.8</v>
      </c>
      <c r="S64" s="185">
        <f>140000/100000</f>
        <v>1.4</v>
      </c>
      <c r="T64" s="185">
        <f>140000/100000</f>
        <v>1.4</v>
      </c>
      <c r="U64" s="185">
        <f>400000/100000</f>
        <v>4</v>
      </c>
      <c r="V64" s="185">
        <f>400000/100000+250000/100000</f>
        <v>6.5</v>
      </c>
      <c r="W64" s="185">
        <f>1000000/100000</f>
        <v>10</v>
      </c>
      <c r="X64" s="185">
        <f>1200000/100000</f>
        <v>12</v>
      </c>
      <c r="Y64" s="185">
        <v>320</v>
      </c>
      <c r="Z64" s="185">
        <v>320</v>
      </c>
      <c r="AA64" s="185">
        <v>320</v>
      </c>
      <c r="AB64" s="180">
        <v>800</v>
      </c>
      <c r="AC64" s="404">
        <f>800+2200</f>
        <v>3000</v>
      </c>
      <c r="AD64" s="400">
        <v>3000</v>
      </c>
      <c r="AE64" s="400">
        <v>3000</v>
      </c>
      <c r="AF64" s="400">
        <v>5000</v>
      </c>
      <c r="AG64" s="400">
        <f>5000+3000</f>
        <v>8000</v>
      </c>
      <c r="AH64" s="400">
        <v>8000</v>
      </c>
      <c r="AI64" s="400">
        <v>10000</v>
      </c>
      <c r="AJ64" s="400">
        <v>10000</v>
      </c>
      <c r="AK64" s="400">
        <v>20500</v>
      </c>
      <c r="AL64" s="400">
        <f>20300+26700</f>
        <v>47000</v>
      </c>
      <c r="AM64" s="400">
        <f>1.4*25800+1.1*25800</f>
        <v>64500</v>
      </c>
      <c r="AN64" s="401">
        <v>97500</v>
      </c>
      <c r="AO64" s="404">
        <v>136250</v>
      </c>
      <c r="AP64" s="400">
        <v>136250</v>
      </c>
      <c r="AQ64" s="400"/>
      <c r="AR64" s="400"/>
      <c r="AS64" s="400"/>
      <c r="AT64" s="400"/>
      <c r="AU64" s="400"/>
      <c r="AV64" s="400"/>
      <c r="AW64" s="400"/>
      <c r="AX64" s="400"/>
      <c r="AY64" s="400"/>
      <c r="AZ64" s="401"/>
      <c r="BA64" s="426">
        <f t="shared" si="25"/>
        <v>553800.5</v>
      </c>
    </row>
    <row r="65" spans="1:53" s="29" customFormat="1" ht="20.100000000000001" customHeight="1">
      <c r="A65" s="81" t="str">
        <f>Vecinos!A65</f>
        <v>Familia Zavarce Pérez</v>
      </c>
      <c r="B65" s="31" t="str">
        <f>Vecinos!C65</f>
        <v>Calle Guacara Nro. 90-35</v>
      </c>
      <c r="C65" s="36" t="str">
        <f>IF(SUMIFS(Vigilancia!$E:$E,Vigilancia!$F:$F,A65,Vigilancia!$J:$J,"Vigilancia")=BA65,"ü","û")</f>
        <v>ü</v>
      </c>
      <c r="D65" s="180"/>
      <c r="E65" s="181">
        <f>17000/100000</f>
        <v>0.17</v>
      </c>
      <c r="F65" s="182">
        <f>17000/100000</f>
        <v>0.17</v>
      </c>
      <c r="G65" s="182">
        <f>3000/100000+14000/100000</f>
        <v>0.17</v>
      </c>
      <c r="H65" s="182">
        <f>17000/100000</f>
        <v>0.17</v>
      </c>
      <c r="I65" s="182">
        <f>17000/100000+9000/100000</f>
        <v>0.26</v>
      </c>
      <c r="J65" s="182">
        <f>26000/100000</f>
        <v>0.26</v>
      </c>
      <c r="K65" s="182">
        <f t="shared" si="42"/>
        <v>0.35</v>
      </c>
      <c r="L65" s="182">
        <f t="shared" si="42"/>
        <v>0.35</v>
      </c>
      <c r="M65" s="182">
        <f t="shared" si="42"/>
        <v>0.35</v>
      </c>
      <c r="N65" s="182">
        <f t="shared" si="42"/>
        <v>0.35</v>
      </c>
      <c r="O65" s="182">
        <f t="shared" si="43"/>
        <v>0.5</v>
      </c>
      <c r="P65" s="180">
        <f t="shared" si="43"/>
        <v>0.5</v>
      </c>
      <c r="Q65" s="184">
        <f t="shared" si="44"/>
        <v>0.8</v>
      </c>
      <c r="R65" s="185">
        <f t="shared" si="44"/>
        <v>0.8</v>
      </c>
      <c r="S65" s="185">
        <f>140000/100000</f>
        <v>1.4</v>
      </c>
      <c r="T65" s="185">
        <f>40000/100000+100000/100000</f>
        <v>1.4</v>
      </c>
      <c r="U65" s="185">
        <f>400000/100000</f>
        <v>4</v>
      </c>
      <c r="V65" s="185">
        <f>625000/100000</f>
        <v>6.25</v>
      </c>
      <c r="W65" s="185">
        <f>1000000/100000</f>
        <v>10</v>
      </c>
      <c r="X65" s="185">
        <v>12</v>
      </c>
      <c r="Y65" s="185">
        <v>320</v>
      </c>
      <c r="Z65" s="185">
        <v>320</v>
      </c>
      <c r="AA65" s="185">
        <v>320</v>
      </c>
      <c r="AB65" s="180">
        <v>800</v>
      </c>
      <c r="AC65" s="404">
        <f>800+2200</f>
        <v>3000</v>
      </c>
      <c r="AD65" s="400">
        <v>3000</v>
      </c>
      <c r="AE65" s="400">
        <v>3000</v>
      </c>
      <c r="AF65" s="400">
        <v>5000</v>
      </c>
      <c r="AG65" s="400">
        <v>8000</v>
      </c>
      <c r="AH65" s="400">
        <v>8000</v>
      </c>
      <c r="AI65" s="400">
        <v>10000</v>
      </c>
      <c r="AJ65" s="400">
        <v>10000</v>
      </c>
      <c r="AK65" s="400">
        <v>23400</v>
      </c>
      <c r="AL65" s="400">
        <f>20000+1100</f>
        <v>21100</v>
      </c>
      <c r="AM65" s="400">
        <v>56250</v>
      </c>
      <c r="AN65" s="401">
        <f>104750+500</f>
        <v>105250</v>
      </c>
      <c r="AO65" s="404">
        <v>105250</v>
      </c>
      <c r="AP65" s="400">
        <v>136250</v>
      </c>
      <c r="AQ65" s="400"/>
      <c r="AR65" s="400"/>
      <c r="AS65" s="400"/>
      <c r="AT65" s="400"/>
      <c r="AU65" s="400"/>
      <c r="AV65" s="400"/>
      <c r="AW65" s="400"/>
      <c r="AX65" s="400"/>
      <c r="AY65" s="400"/>
      <c r="AZ65" s="401"/>
      <c r="BA65" s="426">
        <f t="shared" si="25"/>
        <v>499300.25</v>
      </c>
    </row>
    <row r="66" spans="1:53" s="29" customFormat="1" ht="20.100000000000001" customHeight="1">
      <c r="A66" s="81" t="str">
        <f>Vecinos!A66</f>
        <v>Familia Castro Jiménez</v>
      </c>
      <c r="B66" s="31" t="str">
        <f>Vecinos!C66</f>
        <v>Calle Guacara Nro. 90-51</v>
      </c>
      <c r="C66" s="36" t="str">
        <f>IF(SUMIFS(Vigilancia!$E:$E,Vigilancia!$F:$F,A66,Vigilancia!$J:$J,"Vigilancia")=BA66,"ü","û")</f>
        <v>ü</v>
      </c>
      <c r="D66" s="180"/>
      <c r="E66" s="181">
        <f>10500/100000+6500/100000</f>
        <v>0.16999999999999998</v>
      </c>
      <c r="F66" s="182">
        <f>17000/100000</f>
        <v>0.17</v>
      </c>
      <c r="G66" s="182">
        <f>17000/100000</f>
        <v>0.17</v>
      </c>
      <c r="H66" s="182">
        <f>17000/100000</f>
        <v>0.17</v>
      </c>
      <c r="I66" s="182">
        <f>26000/100000</f>
        <v>0.26</v>
      </c>
      <c r="J66" s="182">
        <f>26000/100000</f>
        <v>0.26</v>
      </c>
      <c r="K66" s="182">
        <f t="shared" si="42"/>
        <v>0.35</v>
      </c>
      <c r="L66" s="182">
        <f t="shared" si="42"/>
        <v>0.35</v>
      </c>
      <c r="M66" s="182">
        <f t="shared" si="42"/>
        <v>0.35</v>
      </c>
      <c r="N66" s="182">
        <f t="shared" si="42"/>
        <v>0.35</v>
      </c>
      <c r="O66" s="182">
        <f t="shared" si="43"/>
        <v>0.5</v>
      </c>
      <c r="P66" s="180">
        <f t="shared" si="43"/>
        <v>0.5</v>
      </c>
      <c r="Q66" s="184">
        <f t="shared" si="44"/>
        <v>0.8</v>
      </c>
      <c r="R66" s="185">
        <f t="shared" si="44"/>
        <v>0.8</v>
      </c>
      <c r="S66" s="185">
        <f>150000/100000</f>
        <v>1.5</v>
      </c>
      <c r="T66" s="185">
        <f>150000/100000</f>
        <v>1.5</v>
      </c>
      <c r="U66" s="185">
        <f>400000/100000</f>
        <v>4</v>
      </c>
      <c r="V66" s="185">
        <f>400000/100000+225000/100000</f>
        <v>6.25</v>
      </c>
      <c r="W66" s="185">
        <f>1000000/100000</f>
        <v>10</v>
      </c>
      <c r="X66" s="185">
        <v>12</v>
      </c>
      <c r="Y66" s="185">
        <v>320</v>
      </c>
      <c r="Z66" s="185">
        <v>320</v>
      </c>
      <c r="AA66" s="185">
        <v>320</v>
      </c>
      <c r="AB66" s="180">
        <v>800</v>
      </c>
      <c r="AC66" s="399">
        <f>1000+2000</f>
        <v>3000</v>
      </c>
      <c r="AD66" s="400">
        <v>3000</v>
      </c>
      <c r="AE66" s="400">
        <v>3000</v>
      </c>
      <c r="AF66" s="400">
        <v>5000</v>
      </c>
      <c r="AG66" s="400">
        <v>8000</v>
      </c>
      <c r="AH66" s="400">
        <v>8000</v>
      </c>
      <c r="AI66" s="400">
        <v>10000</v>
      </c>
      <c r="AJ66" s="400">
        <v>10000</v>
      </c>
      <c r="AK66" s="575">
        <f>10000+11000</f>
        <v>21000</v>
      </c>
      <c r="AL66" s="509">
        <f>20300+28065</f>
        <v>48365</v>
      </c>
      <c r="AM66" s="509">
        <v>75000</v>
      </c>
      <c r="AN66" s="401">
        <v>105250</v>
      </c>
      <c r="AO66" s="399">
        <v>150000</v>
      </c>
      <c r="AP66" s="400">
        <v>150000</v>
      </c>
      <c r="AQ66" s="400"/>
      <c r="AR66" s="400"/>
      <c r="AS66" s="400"/>
      <c r="AT66" s="400"/>
      <c r="AU66" s="400"/>
      <c r="AV66" s="400"/>
      <c r="AW66" s="400"/>
      <c r="AX66" s="400"/>
      <c r="AY66" s="400"/>
      <c r="AZ66" s="401"/>
      <c r="BA66" s="426">
        <f t="shared" si="25"/>
        <v>601415.44999999995</v>
      </c>
    </row>
    <row r="67" spans="1:53" s="29" customFormat="1" ht="20.100000000000001" customHeight="1">
      <c r="A67" s="33" t="str">
        <f>Vecinos!A67</f>
        <v>Familia Triana González</v>
      </c>
      <c r="B67" s="34" t="str">
        <f>Vecinos!C67</f>
        <v>Calle Guacara Nro. 90-61</v>
      </c>
      <c r="C67" s="35" t="str">
        <f>IF(SUMIFS(Vigilancia!$E:$E,Vigilancia!$F:$F,A67,Vigilancia!$J:$J,"Vigilancia")=BA67,"ü","û")</f>
        <v>ü</v>
      </c>
      <c r="D67" s="187"/>
      <c r="E67" s="188">
        <f>2000/100000</f>
        <v>0.02</v>
      </c>
      <c r="F67" s="189">
        <f>2000/100000</f>
        <v>0.02</v>
      </c>
      <c r="G67" s="189">
        <f>2000/100000</f>
        <v>0.02</v>
      </c>
      <c r="H67" s="189">
        <f>2000/100000</f>
        <v>0.02</v>
      </c>
      <c r="I67" s="189">
        <f>2000/100000</f>
        <v>0.02</v>
      </c>
      <c r="J67" s="189"/>
      <c r="K67" s="189"/>
      <c r="L67" s="189"/>
      <c r="M67" s="189"/>
      <c r="N67" s="189"/>
      <c r="O67" s="189"/>
      <c r="P67" s="187"/>
      <c r="Q67" s="190"/>
      <c r="R67" s="191"/>
      <c r="S67" s="191"/>
      <c r="T67" s="191">
        <f>140000/100000</f>
        <v>1.4</v>
      </c>
      <c r="U67" s="191">
        <f>100000/100000</f>
        <v>1</v>
      </c>
      <c r="V67" s="191">
        <f>100000/100000</f>
        <v>1</v>
      </c>
      <c r="W67" s="191">
        <f>200000/100000</f>
        <v>2</v>
      </c>
      <c r="X67" s="191">
        <v>12</v>
      </c>
      <c r="Y67" s="191">
        <v>100</v>
      </c>
      <c r="Z67" s="191">
        <v>100</v>
      </c>
      <c r="AA67" s="191">
        <v>320</v>
      </c>
      <c r="AB67" s="187">
        <v>800</v>
      </c>
      <c r="AC67" s="396">
        <v>3000</v>
      </c>
      <c r="AD67" s="397">
        <v>3000</v>
      </c>
      <c r="AE67" s="397">
        <v>3000</v>
      </c>
      <c r="AF67" s="397">
        <v>5000</v>
      </c>
      <c r="AG67" s="397">
        <v>4880</v>
      </c>
      <c r="AH67" s="397">
        <v>8000</v>
      </c>
      <c r="AI67" s="397">
        <v>10000</v>
      </c>
      <c r="AJ67" s="397">
        <v>10000</v>
      </c>
      <c r="AK67" s="397">
        <v>23500</v>
      </c>
      <c r="AL67" s="397">
        <f>21100+27000</f>
        <v>48100</v>
      </c>
      <c r="AM67" s="397">
        <v>56300</v>
      </c>
      <c r="AN67" s="398">
        <v>81750</v>
      </c>
      <c r="AO67" s="396">
        <v>136250</v>
      </c>
      <c r="AP67" s="397">
        <v>136250</v>
      </c>
      <c r="AQ67" s="397"/>
      <c r="AR67" s="397"/>
      <c r="AS67" s="397"/>
      <c r="AT67" s="397"/>
      <c r="AU67" s="397"/>
      <c r="AV67" s="397"/>
      <c r="AW67" s="397"/>
      <c r="AX67" s="397"/>
      <c r="AY67" s="397"/>
      <c r="AZ67" s="398"/>
      <c r="BA67" s="425">
        <f t="shared" si="25"/>
        <v>530367.5</v>
      </c>
    </row>
    <row r="68" spans="1:53" s="29" customFormat="1" ht="20.100000000000001" customHeight="1">
      <c r="A68" s="30" t="str">
        <f>Vecinos!A68</f>
        <v>Neira Chacón</v>
      </c>
      <c r="B68" s="31" t="str">
        <f>Vecinos!C68</f>
        <v>Calle Guacara Nro. 90-71</v>
      </c>
      <c r="C68" s="36" t="str">
        <f>IF(SUMIFS(Vigilancia!$E:$E,Vigilancia!$F:$F,A68,Vigilancia!$J:$J,"Vigilancia")=BA68,"ü","û")</f>
        <v>ü</v>
      </c>
      <c r="D68" s="180"/>
      <c r="E68" s="181"/>
      <c r="F68" s="182"/>
      <c r="G68" s="182"/>
      <c r="H68" s="182"/>
      <c r="I68" s="182"/>
      <c r="J68" s="182"/>
      <c r="K68" s="182"/>
      <c r="L68" s="182"/>
      <c r="M68" s="182"/>
      <c r="N68" s="182"/>
      <c r="O68" s="182"/>
      <c r="P68" s="180"/>
      <c r="Q68" s="184"/>
      <c r="R68" s="185"/>
      <c r="S68" s="185"/>
      <c r="T68" s="185"/>
      <c r="U68" s="185"/>
      <c r="V68" s="185"/>
      <c r="W68" s="185"/>
      <c r="X68" s="185"/>
      <c r="Y68" s="185"/>
      <c r="Z68" s="185"/>
      <c r="AA68" s="185"/>
      <c r="AB68" s="180"/>
      <c r="AC68" s="399"/>
      <c r="AD68" s="400"/>
      <c r="AE68" s="400"/>
      <c r="AF68" s="400"/>
      <c r="AG68" s="400"/>
      <c r="AH68" s="400"/>
      <c r="AI68" s="400"/>
      <c r="AJ68" s="400"/>
      <c r="AK68" s="400"/>
      <c r="AL68" s="400"/>
      <c r="AM68" s="400"/>
      <c r="AN68" s="401"/>
      <c r="AO68" s="399"/>
      <c r="AP68" s="400"/>
      <c r="AQ68" s="400"/>
      <c r="AR68" s="400"/>
      <c r="AS68" s="400"/>
      <c r="AT68" s="400"/>
      <c r="AU68" s="400"/>
      <c r="AV68" s="400"/>
      <c r="AW68" s="400"/>
      <c r="AX68" s="400"/>
      <c r="AY68" s="400"/>
      <c r="AZ68" s="401"/>
      <c r="BA68" s="426">
        <f t="shared" ref="BA68:BA131" si="45">SUM(D68:AZ68)</f>
        <v>0</v>
      </c>
    </row>
    <row r="69" spans="1:53" s="29" customFormat="1" ht="20.100000000000001" customHeight="1">
      <c r="A69" s="30" t="str">
        <f>Vecinos!A69</f>
        <v>Wu Hung Fung</v>
      </c>
      <c r="B69" s="31" t="str">
        <f>Vecinos!C69</f>
        <v>Calle Guacara Nro. 90-81</v>
      </c>
      <c r="C69" s="36" t="str">
        <f>IF(SUMIFS(Vigilancia!$E:$E,Vigilancia!$F:$F,A69,Vigilancia!$J:$J,"Vigilancia")=BA69,"ü","û")</f>
        <v>ü</v>
      </c>
      <c r="D69" s="180"/>
      <c r="E69" s="181">
        <f>17000/100000</f>
        <v>0.17</v>
      </c>
      <c r="F69" s="182">
        <f>17000/100000</f>
        <v>0.17</v>
      </c>
      <c r="G69" s="182">
        <f>19000/100000</f>
        <v>0.19</v>
      </c>
      <c r="H69" s="182">
        <f>17000/100000</f>
        <v>0.17</v>
      </c>
      <c r="I69" s="182">
        <f>17000/100000+9000/100000</f>
        <v>0.26</v>
      </c>
      <c r="J69" s="182">
        <f>26000/100000</f>
        <v>0.26</v>
      </c>
      <c r="K69" s="182">
        <f>26000/100000+9000/100000</f>
        <v>0.35</v>
      </c>
      <c r="L69" s="182">
        <f>35000/100000</f>
        <v>0.35</v>
      </c>
      <c r="M69" s="182">
        <f>35000/100000</f>
        <v>0.35</v>
      </c>
      <c r="N69" s="182">
        <f>35000/100000</f>
        <v>0.35</v>
      </c>
      <c r="O69" s="182">
        <f>50000/100000</f>
        <v>0.5</v>
      </c>
      <c r="P69" s="180">
        <f>50000/100000</f>
        <v>0.5</v>
      </c>
      <c r="Q69" s="184">
        <f>80000/100000</f>
        <v>0.8</v>
      </c>
      <c r="R69" s="185">
        <f>100000/100000</f>
        <v>1</v>
      </c>
      <c r="S69" s="185">
        <f>140000/100000</f>
        <v>1.4</v>
      </c>
      <c r="T69" s="185">
        <f>140000/100000</f>
        <v>1.4</v>
      </c>
      <c r="U69" s="185">
        <f>400000/100000</f>
        <v>4</v>
      </c>
      <c r="V69" s="185">
        <f>400000/100000+225000/100000</f>
        <v>6.25</v>
      </c>
      <c r="W69" s="185">
        <f>200000/100000+650000/100000+150000/100000</f>
        <v>10</v>
      </c>
      <c r="X69" s="192">
        <f>200000/100000-150000/100000+11.5</f>
        <v>12</v>
      </c>
      <c r="Y69" s="185">
        <v>320</v>
      </c>
      <c r="Z69" s="192">
        <f>500-320-11.5+152</f>
        <v>320.5</v>
      </c>
      <c r="AA69" s="192">
        <v>320</v>
      </c>
      <c r="AB69" s="180">
        <v>800</v>
      </c>
      <c r="AC69" s="404">
        <f>528+1500+972</f>
        <v>3000</v>
      </c>
      <c r="AD69" s="400">
        <v>5000</v>
      </c>
      <c r="AE69" s="400">
        <v>5000</v>
      </c>
      <c r="AF69" s="400">
        <v>5000</v>
      </c>
      <c r="AG69" s="400">
        <v>8000</v>
      </c>
      <c r="AH69" s="400">
        <f>7000+1000</f>
        <v>8000</v>
      </c>
      <c r="AI69" s="509">
        <v>15000</v>
      </c>
      <c r="AJ69" s="509">
        <v>15000</v>
      </c>
      <c r="AK69" s="400">
        <f>15000+4800</f>
        <v>19800</v>
      </c>
      <c r="AL69" s="400">
        <v>60000</v>
      </c>
      <c r="AM69" s="400">
        <v>100000</v>
      </c>
      <c r="AN69" s="401">
        <v>150000</v>
      </c>
      <c r="AO69" s="404">
        <v>150000</v>
      </c>
      <c r="AP69" s="400"/>
      <c r="AQ69" s="400"/>
      <c r="AR69" s="400"/>
      <c r="AS69" s="400"/>
      <c r="AT69" s="400"/>
      <c r="AU69" s="400"/>
      <c r="AV69" s="400"/>
      <c r="AW69" s="400"/>
      <c r="AX69" s="400"/>
      <c r="AY69" s="400"/>
      <c r="AZ69" s="401"/>
      <c r="BA69" s="426">
        <f t="shared" si="45"/>
        <v>545600.97</v>
      </c>
    </row>
    <row r="70" spans="1:53" s="29" customFormat="1" ht="20.100000000000001" customHeight="1">
      <c r="A70" s="33" t="str">
        <f>Vecinos!A70</f>
        <v>Familia Santos Carrillo</v>
      </c>
      <c r="B70" s="34" t="str">
        <f>Vecinos!C70</f>
        <v>Calle Guacara Nro. 90-93</v>
      </c>
      <c r="C70" s="35" t="str">
        <f>IF(SUMIFS(Vigilancia!$E:$E,Vigilancia!$F:$F,A70,Vigilancia!$J:$J,"Vigilancia")=BA70,"ü","û")</f>
        <v>ü</v>
      </c>
      <c r="D70" s="187">
        <f>4000/100000</f>
        <v>0.04</v>
      </c>
      <c r="E70" s="188">
        <f t="shared" ref="E70:J70" si="46">3000/100000</f>
        <v>0.03</v>
      </c>
      <c r="F70" s="189">
        <f t="shared" si="46"/>
        <v>0.03</v>
      </c>
      <c r="G70" s="189">
        <f t="shared" si="46"/>
        <v>0.03</v>
      </c>
      <c r="H70" s="189">
        <f t="shared" si="46"/>
        <v>0.03</v>
      </c>
      <c r="I70" s="189">
        <f t="shared" si="46"/>
        <v>0.03</v>
      </c>
      <c r="J70" s="189">
        <f t="shared" si="46"/>
        <v>0.03</v>
      </c>
      <c r="K70" s="189">
        <f>6000/100000</f>
        <v>0.06</v>
      </c>
      <c r="L70" s="189">
        <f>6500/100000</f>
        <v>6.5000000000000002E-2</v>
      </c>
      <c r="M70" s="189">
        <f>14900/100000</f>
        <v>0.14899999999999999</v>
      </c>
      <c r="N70" s="189">
        <f>20000/100000</f>
        <v>0.2</v>
      </c>
      <c r="O70" s="189">
        <f>18000/100000</f>
        <v>0.18</v>
      </c>
      <c r="P70" s="187">
        <f>20000/100000</f>
        <v>0.2</v>
      </c>
      <c r="Q70" s="190">
        <f>20000/100000</f>
        <v>0.2</v>
      </c>
      <c r="R70" s="191">
        <f>20000/100000</f>
        <v>0.2</v>
      </c>
      <c r="S70" s="191">
        <f>140000/100000</f>
        <v>1.4</v>
      </c>
      <c r="T70" s="191">
        <f>140000/100000</f>
        <v>1.4</v>
      </c>
      <c r="U70" s="191"/>
      <c r="V70" s="191"/>
      <c r="W70" s="191"/>
      <c r="X70" s="191"/>
      <c r="Y70" s="191"/>
      <c r="Z70" s="191"/>
      <c r="AA70" s="191"/>
      <c r="AB70" s="187"/>
      <c r="AC70" s="396"/>
      <c r="AD70" s="397"/>
      <c r="AE70" s="397"/>
      <c r="AF70" s="397"/>
      <c r="AG70" s="397"/>
      <c r="AH70" s="397"/>
      <c r="AI70" s="397"/>
      <c r="AJ70" s="397"/>
      <c r="AK70" s="397"/>
      <c r="AL70" s="397"/>
      <c r="AM70" s="397"/>
      <c r="AN70" s="398"/>
      <c r="AO70" s="396"/>
      <c r="AP70" s="397"/>
      <c r="AQ70" s="397"/>
      <c r="AR70" s="397"/>
      <c r="AS70" s="397"/>
      <c r="AT70" s="397"/>
      <c r="AU70" s="397"/>
      <c r="AV70" s="397"/>
      <c r="AW70" s="397"/>
      <c r="AX70" s="397"/>
      <c r="AY70" s="397"/>
      <c r="AZ70" s="398"/>
      <c r="BA70" s="425">
        <f t="shared" si="45"/>
        <v>4.2739999999999991</v>
      </c>
    </row>
    <row r="71" spans="1:53" s="29" customFormat="1" ht="20.100000000000001" customHeight="1">
      <c r="A71" s="33" t="str">
        <f>Vecinos!A71</f>
        <v>Familia García Hurtado</v>
      </c>
      <c r="B71" s="34" t="str">
        <f>Vecinos!C71</f>
        <v>Calle Guacara Nro. 90-110</v>
      </c>
      <c r="C71" s="35" t="str">
        <f>IF(SUMIFS(Vigilancia!$E:$E,Vigilancia!$F:$F,A71,Vigilancia!$J:$J,"Vigilancia")=BA71,"ü","û")</f>
        <v>ü</v>
      </c>
      <c r="D71" s="187"/>
      <c r="E71" s="188">
        <f>10000/100000</f>
        <v>0.1</v>
      </c>
      <c r="F71" s="189">
        <f>10000/100000</f>
        <v>0.1</v>
      </c>
      <c r="G71" s="189"/>
      <c r="H71" s="189"/>
      <c r="I71" s="189"/>
      <c r="J71" s="189"/>
      <c r="K71" s="189"/>
      <c r="L71" s="189"/>
      <c r="M71" s="189"/>
      <c r="N71" s="189"/>
      <c r="O71" s="189"/>
      <c r="P71" s="187"/>
      <c r="Q71" s="190"/>
      <c r="R71" s="191"/>
      <c r="S71" s="191"/>
      <c r="T71" s="191"/>
      <c r="U71" s="191"/>
      <c r="V71" s="191"/>
      <c r="W71" s="191"/>
      <c r="X71" s="191"/>
      <c r="Y71" s="191"/>
      <c r="Z71" s="191"/>
      <c r="AA71" s="191"/>
      <c r="AB71" s="187"/>
      <c r="AC71" s="396"/>
      <c r="AD71" s="397"/>
      <c r="AE71" s="397"/>
      <c r="AF71" s="397"/>
      <c r="AG71" s="397"/>
      <c r="AH71" s="397"/>
      <c r="AI71" s="397"/>
      <c r="AJ71" s="397"/>
      <c r="AK71" s="397"/>
      <c r="AL71" s="397"/>
      <c r="AM71" s="397"/>
      <c r="AN71" s="398"/>
      <c r="AO71" s="396"/>
      <c r="AP71" s="397"/>
      <c r="AQ71" s="397"/>
      <c r="AR71" s="397"/>
      <c r="AS71" s="397"/>
      <c r="AT71" s="397"/>
      <c r="AU71" s="397"/>
      <c r="AV71" s="397"/>
      <c r="AW71" s="397"/>
      <c r="AX71" s="397"/>
      <c r="AY71" s="397"/>
      <c r="AZ71" s="398"/>
      <c r="BA71" s="425">
        <f t="shared" si="45"/>
        <v>0.2</v>
      </c>
    </row>
    <row r="72" spans="1:53" s="29" customFormat="1" ht="20.100000000000001" customHeight="1">
      <c r="A72" s="30" t="str">
        <f>Vecinos!A72</f>
        <v>Familia Rodríguez Chiappeta</v>
      </c>
      <c r="B72" s="31" t="str">
        <f>Vecinos!C72</f>
        <v>Calle Guacara Nro. 90-120</v>
      </c>
      <c r="C72" s="36" t="str">
        <f>IF(SUMIFS(Vigilancia!$E:$E,Vigilancia!$F:$F,A72,Vigilancia!$J:$J,"Vigilancia")=BA72,"ü","û")</f>
        <v>ü</v>
      </c>
      <c r="D72" s="180"/>
      <c r="E72" s="181"/>
      <c r="F72" s="182"/>
      <c r="G72" s="182"/>
      <c r="H72" s="182"/>
      <c r="I72" s="182"/>
      <c r="J72" s="182"/>
      <c r="K72" s="182"/>
      <c r="L72" s="182"/>
      <c r="M72" s="182"/>
      <c r="N72" s="182"/>
      <c r="O72" s="182"/>
      <c r="P72" s="180"/>
      <c r="Q72" s="184"/>
      <c r="R72" s="185"/>
      <c r="S72" s="185"/>
      <c r="T72" s="185"/>
      <c r="U72" s="185"/>
      <c r="V72" s="185"/>
      <c r="W72" s="185"/>
      <c r="X72" s="185"/>
      <c r="Y72" s="185"/>
      <c r="Z72" s="185"/>
      <c r="AA72" s="185"/>
      <c r="AB72" s="180"/>
      <c r="AC72" s="399"/>
      <c r="AD72" s="400"/>
      <c r="AE72" s="400"/>
      <c r="AF72" s="400"/>
      <c r="AG72" s="400"/>
      <c r="AH72" s="400"/>
      <c r="AI72" s="400"/>
      <c r="AJ72" s="400"/>
      <c r="AK72" s="400"/>
      <c r="AL72" s="400"/>
      <c r="AM72" s="400"/>
      <c r="AN72" s="401"/>
      <c r="AO72" s="399"/>
      <c r="AP72" s="400"/>
      <c r="AQ72" s="400"/>
      <c r="AR72" s="400"/>
      <c r="AS72" s="400"/>
      <c r="AT72" s="400"/>
      <c r="AU72" s="400"/>
      <c r="AV72" s="400"/>
      <c r="AW72" s="400"/>
      <c r="AX72" s="400"/>
      <c r="AY72" s="400"/>
      <c r="AZ72" s="401"/>
      <c r="BA72" s="426">
        <f t="shared" si="45"/>
        <v>0</v>
      </c>
    </row>
    <row r="73" spans="1:53" s="29" customFormat="1" ht="20.100000000000001" customHeight="1">
      <c r="A73" s="30" t="str">
        <f>Vecinos!A73</f>
        <v>Familia Ledezma Hernández</v>
      </c>
      <c r="B73" s="31" t="str">
        <f>Vecinos!C73</f>
        <v>Calle Guacara Nro. 145-30</v>
      </c>
      <c r="C73" s="36" t="str">
        <f>IF(SUMIFS(Vigilancia!$E:$E,Vigilancia!$F:$F,A73,Vigilancia!$J:$J,"Vigilancia")=BA73,"ü","û")</f>
        <v>ü</v>
      </c>
      <c r="D73" s="180"/>
      <c r="E73" s="181"/>
      <c r="F73" s="182"/>
      <c r="G73" s="182"/>
      <c r="H73" s="182"/>
      <c r="I73" s="182"/>
      <c r="J73" s="182"/>
      <c r="K73" s="182"/>
      <c r="L73" s="182"/>
      <c r="M73" s="182"/>
      <c r="N73" s="182"/>
      <c r="O73" s="182"/>
      <c r="P73" s="180"/>
      <c r="Q73" s="184"/>
      <c r="R73" s="185"/>
      <c r="S73" s="185"/>
      <c r="T73" s="185"/>
      <c r="U73" s="185"/>
      <c r="V73" s="185"/>
      <c r="W73" s="185"/>
      <c r="X73" s="185"/>
      <c r="Y73" s="185"/>
      <c r="Z73" s="185"/>
      <c r="AA73" s="185"/>
      <c r="AB73" s="180"/>
      <c r="AC73" s="399"/>
      <c r="AD73" s="400"/>
      <c r="AE73" s="400"/>
      <c r="AF73" s="400"/>
      <c r="AG73" s="400"/>
      <c r="AH73" s="400"/>
      <c r="AI73" s="400"/>
      <c r="AJ73" s="400"/>
      <c r="AK73" s="400"/>
      <c r="AL73" s="400"/>
      <c r="AM73" s="400"/>
      <c r="AN73" s="401"/>
      <c r="AO73" s="399"/>
      <c r="AP73" s="400"/>
      <c r="AQ73" s="400"/>
      <c r="AR73" s="400"/>
      <c r="AS73" s="400"/>
      <c r="AT73" s="400"/>
      <c r="AU73" s="400"/>
      <c r="AV73" s="400"/>
      <c r="AW73" s="400"/>
      <c r="AX73" s="400"/>
      <c r="AY73" s="400"/>
      <c r="AZ73" s="401"/>
      <c r="BA73" s="426">
        <f t="shared" si="45"/>
        <v>0</v>
      </c>
    </row>
    <row r="74" spans="1:53" s="29" customFormat="1" ht="20.100000000000001" customHeight="1">
      <c r="A74" s="29" t="str">
        <f>Vecinos!A74</f>
        <v>Familia Narváez Caldera</v>
      </c>
      <c r="B74" s="31" t="str">
        <f>Vecinos!C74</f>
        <v>Calle Güigüe Nro. 87-A-11</v>
      </c>
      <c r="C74" s="36" t="str">
        <f>IF(SUMIFS(Vigilancia!$E:$E,Vigilancia!$F:$F,A74,Vigilancia!$J:$J,"Vigilancia")=BA74,"ü","û")</f>
        <v>ü</v>
      </c>
      <c r="D74" s="180"/>
      <c r="E74" s="181">
        <f>10000/100000+7000/100000</f>
        <v>0.17</v>
      </c>
      <c r="F74" s="182">
        <f>17000/100000</f>
        <v>0.17</v>
      </c>
      <c r="G74" s="182">
        <f>17000/100000</f>
        <v>0.17</v>
      </c>
      <c r="H74" s="182">
        <f>17000/100000</f>
        <v>0.17</v>
      </c>
      <c r="I74" s="182">
        <f>26000/100000</f>
        <v>0.26</v>
      </c>
      <c r="J74" s="182">
        <f>26000/100000</f>
        <v>0.26</v>
      </c>
      <c r="K74" s="182">
        <f>26000/100000+9000/100000</f>
        <v>0.35</v>
      </c>
      <c r="L74" s="182">
        <f>35000/100000</f>
        <v>0.35</v>
      </c>
      <c r="M74" s="182">
        <f>35000/100000</f>
        <v>0.35</v>
      </c>
      <c r="N74" s="182">
        <f>35000/100000</f>
        <v>0.35</v>
      </c>
      <c r="O74" s="182">
        <f>35000/100000+15000/100000</f>
        <v>0.5</v>
      </c>
      <c r="P74" s="180">
        <f>50000/100000</f>
        <v>0.5</v>
      </c>
      <c r="Q74" s="184">
        <f>80000/100000</f>
        <v>0.8</v>
      </c>
      <c r="R74" s="185">
        <f>80000/100000</f>
        <v>0.8</v>
      </c>
      <c r="S74" s="185">
        <f>140000/100000</f>
        <v>1.4</v>
      </c>
      <c r="T74" s="185">
        <f>140000/100000</f>
        <v>1.4</v>
      </c>
      <c r="U74" s="185">
        <f>400000/100000</f>
        <v>4</v>
      </c>
      <c r="V74" s="185">
        <f>225000/100000+400000/100000</f>
        <v>6.25</v>
      </c>
      <c r="W74" s="185">
        <f>850000/100000+150000/100000</f>
        <v>10</v>
      </c>
      <c r="X74" s="185">
        <f>1200000/100000</f>
        <v>12</v>
      </c>
      <c r="Y74" s="185">
        <v>320</v>
      </c>
      <c r="Z74" s="185">
        <v>320</v>
      </c>
      <c r="AA74" s="185">
        <v>320</v>
      </c>
      <c r="AB74" s="180">
        <v>800</v>
      </c>
      <c r="AC74" s="399">
        <v>3000</v>
      </c>
      <c r="AD74" s="400">
        <v>3000</v>
      </c>
      <c r="AE74" s="400">
        <v>3000</v>
      </c>
      <c r="AF74" s="400">
        <v>5000</v>
      </c>
      <c r="AG74" s="400">
        <v>8000</v>
      </c>
      <c r="AH74" s="400">
        <v>8000</v>
      </c>
      <c r="AI74" s="400">
        <v>10000</v>
      </c>
      <c r="AJ74" s="400">
        <v>10000</v>
      </c>
      <c r="AK74" s="400">
        <f>10000+13400</f>
        <v>23400</v>
      </c>
      <c r="AL74" s="400">
        <v>51250</v>
      </c>
      <c r="AM74" s="400">
        <v>56250</v>
      </c>
      <c r="AN74" s="401"/>
      <c r="AO74" s="399">
        <v>136250</v>
      </c>
      <c r="AP74" s="400"/>
      <c r="AQ74" s="400"/>
      <c r="AR74" s="400"/>
      <c r="AS74" s="400"/>
      <c r="AT74" s="400"/>
      <c r="AU74" s="400"/>
      <c r="AV74" s="400"/>
      <c r="AW74" s="400"/>
      <c r="AX74" s="400"/>
      <c r="AY74" s="400"/>
      <c r="AZ74" s="401"/>
      <c r="BA74" s="426">
        <f t="shared" si="45"/>
        <v>318950.25</v>
      </c>
    </row>
    <row r="75" spans="1:53" s="29" customFormat="1" ht="20.100000000000001" customHeight="1">
      <c r="A75" s="68" t="str">
        <f>Vecinos!A75</f>
        <v>Claudia González</v>
      </c>
      <c r="B75" s="69" t="str">
        <f>Vecinos!C75</f>
        <v>Calle Güigüe Nro. 88-06</v>
      </c>
      <c r="C75" s="35" t="str">
        <f>IF(SUMIFS(Vigilancia!$E:$E,Vigilancia!$F:$F,A75,Vigilancia!$J:$J,"Vigilancia")=BA75,"ü","û")</f>
        <v>ü</v>
      </c>
      <c r="D75" s="187"/>
      <c r="E75" s="188"/>
      <c r="F75" s="189"/>
      <c r="G75" s="189"/>
      <c r="H75" s="189"/>
      <c r="I75" s="189"/>
      <c r="J75" s="189"/>
      <c r="K75" s="189"/>
      <c r="L75" s="189"/>
      <c r="M75" s="189"/>
      <c r="N75" s="189"/>
      <c r="O75" s="222" t="s">
        <v>1158</v>
      </c>
      <c r="P75" s="223"/>
      <c r="Q75" s="224"/>
      <c r="R75" s="225"/>
      <c r="S75" s="225"/>
      <c r="T75" s="225"/>
      <c r="U75" s="225"/>
      <c r="V75" s="225"/>
      <c r="W75" s="225"/>
      <c r="X75" s="225"/>
      <c r="Y75" s="225"/>
      <c r="Z75" s="225"/>
      <c r="AA75" s="225"/>
      <c r="AB75" s="223"/>
      <c r="AC75" s="415"/>
      <c r="AD75" s="416"/>
      <c r="AE75" s="416"/>
      <c r="AF75" s="416"/>
      <c r="AG75" s="416"/>
      <c r="AH75" s="416"/>
      <c r="AI75" s="416"/>
      <c r="AJ75" s="416"/>
      <c r="AK75" s="416"/>
      <c r="AL75" s="416"/>
      <c r="AM75" s="416"/>
      <c r="AN75" s="417"/>
      <c r="AO75" s="415"/>
      <c r="AP75" s="416"/>
      <c r="AQ75" s="416"/>
      <c r="AR75" s="416"/>
      <c r="AS75" s="416"/>
      <c r="AT75" s="416"/>
      <c r="AU75" s="416"/>
      <c r="AV75" s="416"/>
      <c r="AW75" s="416"/>
      <c r="AX75" s="416"/>
      <c r="AY75" s="416"/>
      <c r="AZ75" s="417"/>
      <c r="BA75" s="430">
        <f t="shared" si="45"/>
        <v>0</v>
      </c>
    </row>
    <row r="76" spans="1:53" s="29" customFormat="1" ht="20.100000000000001" customHeight="1">
      <c r="A76" s="30" t="str">
        <f>Vecinos!A76</f>
        <v>Familia Ozar Rivero</v>
      </c>
      <c r="B76" s="31" t="str">
        <f>Vecinos!C76</f>
        <v>Calle Güigüe Nro. 88-06</v>
      </c>
      <c r="C76" s="36" t="str">
        <f>IF(SUMIFS(Vigilancia!$E:$E,Vigilancia!$F:$F,A76,Vigilancia!$J:$J,"Vigilancia")=BA76,"ü","û")</f>
        <v>ü</v>
      </c>
      <c r="D76" s="208"/>
      <c r="E76" s="209"/>
      <c r="F76" s="210"/>
      <c r="G76" s="210"/>
      <c r="H76" s="210"/>
      <c r="I76" s="210"/>
      <c r="J76" s="210"/>
      <c r="K76" s="210"/>
      <c r="L76" s="210"/>
      <c r="M76" s="210"/>
      <c r="N76" s="210">
        <f>35000/100000</f>
        <v>0.35</v>
      </c>
      <c r="O76" s="182">
        <f>50000/100000</f>
        <v>0.5</v>
      </c>
      <c r="P76" s="180">
        <f>50000/100000</f>
        <v>0.5</v>
      </c>
      <c r="Q76" s="184">
        <f>80000/100000</f>
        <v>0.8</v>
      </c>
      <c r="R76" s="193">
        <f>65000/100000</f>
        <v>0.65</v>
      </c>
      <c r="S76" s="185">
        <f t="shared" ref="S76:T78" si="47">140000/100000</f>
        <v>1.4</v>
      </c>
      <c r="T76" s="185">
        <f t="shared" si="47"/>
        <v>1.4</v>
      </c>
      <c r="U76" s="185">
        <f>400000/100000</f>
        <v>4</v>
      </c>
      <c r="V76" s="185">
        <f>400000/100000+225000/100000</f>
        <v>6.25</v>
      </c>
      <c r="W76" s="185">
        <f>200000/100000+650000/100000+150000/100000</f>
        <v>10</v>
      </c>
      <c r="X76" s="185">
        <f>1200000/100000</f>
        <v>12</v>
      </c>
      <c r="Y76" s="185">
        <v>320</v>
      </c>
      <c r="Z76" s="185">
        <v>320</v>
      </c>
      <c r="AA76" s="185">
        <v>320</v>
      </c>
      <c r="AB76" s="180">
        <v>800</v>
      </c>
      <c r="AC76" s="399">
        <f>800+760+1440</f>
        <v>3000</v>
      </c>
      <c r="AD76" s="400">
        <v>3000</v>
      </c>
      <c r="AE76" s="400">
        <f>1560+1440</f>
        <v>3000</v>
      </c>
      <c r="AF76" s="400">
        <v>5000</v>
      </c>
      <c r="AG76" s="400">
        <v>8000</v>
      </c>
      <c r="AH76" s="400">
        <v>8000</v>
      </c>
      <c r="AI76" s="405">
        <f>8000+2000</f>
        <v>10000</v>
      </c>
      <c r="AJ76" s="400">
        <v>10000</v>
      </c>
      <c r="AK76" s="400">
        <v>22000</v>
      </c>
      <c r="AL76" s="400">
        <f>22000+29250</f>
        <v>51250</v>
      </c>
      <c r="AM76" s="400">
        <v>73500</v>
      </c>
      <c r="AN76" s="401">
        <v>136250</v>
      </c>
      <c r="AO76" s="399">
        <v>136250</v>
      </c>
      <c r="AP76" s="400">
        <v>136250</v>
      </c>
      <c r="AQ76" s="400"/>
      <c r="AR76" s="400"/>
      <c r="AS76" s="400"/>
      <c r="AT76" s="400"/>
      <c r="AU76" s="405"/>
      <c r="AV76" s="400"/>
      <c r="AW76" s="400"/>
      <c r="AX76" s="400"/>
      <c r="AY76" s="400"/>
      <c r="AZ76" s="401"/>
      <c r="BA76" s="426">
        <f t="shared" si="45"/>
        <v>607297.85</v>
      </c>
    </row>
    <row r="77" spans="1:53" s="29" customFormat="1" ht="20.100000000000001" customHeight="1">
      <c r="A77" s="30" t="str">
        <f>Vecinos!A77</f>
        <v>Familia Delgado Hidalgo</v>
      </c>
      <c r="B77" s="31" t="str">
        <f>Vecinos!C77</f>
        <v>Calle Güigüe Nro. 88-10</v>
      </c>
      <c r="C77" s="36" t="str">
        <f>IF(SUMIFS(Vigilancia!$E:$E,Vigilancia!$F:$F,A77,Vigilancia!$J:$J,"Vigilancia")=BA77,"ü","û")</f>
        <v>ü</v>
      </c>
      <c r="D77" s="180"/>
      <c r="E77" s="181">
        <f>17000/100000</f>
        <v>0.17</v>
      </c>
      <c r="F77" s="182">
        <f>17000/100000</f>
        <v>0.17</v>
      </c>
      <c r="G77" s="182">
        <f>17000/100000</f>
        <v>0.17</v>
      </c>
      <c r="H77" s="182">
        <f>17000/100000</f>
        <v>0.17</v>
      </c>
      <c r="I77" s="182">
        <f>26000/100000</f>
        <v>0.26</v>
      </c>
      <c r="J77" s="182">
        <f>26000/100000</f>
        <v>0.26</v>
      </c>
      <c r="K77" s="182">
        <f>35000/100000</f>
        <v>0.35</v>
      </c>
      <c r="L77" s="182">
        <f>35000/100000</f>
        <v>0.35</v>
      </c>
      <c r="M77" s="182">
        <f>35000/100000</f>
        <v>0.35</v>
      </c>
      <c r="N77" s="182">
        <f>35000/100000</f>
        <v>0.35</v>
      </c>
      <c r="O77" s="182">
        <f>50000/100000</f>
        <v>0.5</v>
      </c>
      <c r="P77" s="180">
        <f>50000/100000</f>
        <v>0.5</v>
      </c>
      <c r="Q77" s="184">
        <f>80000/100000</f>
        <v>0.8</v>
      </c>
      <c r="R77" s="185">
        <f>80000/100000</f>
        <v>0.8</v>
      </c>
      <c r="S77" s="185">
        <f t="shared" si="47"/>
        <v>1.4</v>
      </c>
      <c r="T77" s="185">
        <f t="shared" si="47"/>
        <v>1.4</v>
      </c>
      <c r="U77" s="185">
        <f>400000/100000</f>
        <v>4</v>
      </c>
      <c r="V77" s="185">
        <f>400000/100000+225000/100000</f>
        <v>6.25</v>
      </c>
      <c r="W77" s="185">
        <f>850000/100000+150000/100000</f>
        <v>10</v>
      </c>
      <c r="X77" s="185">
        <f>1200000/100000</f>
        <v>12</v>
      </c>
      <c r="Y77" s="185">
        <v>320</v>
      </c>
      <c r="Z77" s="185">
        <v>320</v>
      </c>
      <c r="AA77" s="185">
        <v>320</v>
      </c>
      <c r="AB77" s="180">
        <v>800</v>
      </c>
      <c r="AC77" s="399">
        <f>800+2200</f>
        <v>3000</v>
      </c>
      <c r="AD77" s="400">
        <v>3000</v>
      </c>
      <c r="AE77" s="400">
        <v>3000</v>
      </c>
      <c r="AF77" s="400">
        <v>5000</v>
      </c>
      <c r="AG77" s="400">
        <f>5000+3000</f>
        <v>8000</v>
      </c>
      <c r="AH77" s="400">
        <v>8000</v>
      </c>
      <c r="AI77" s="405">
        <f>8000+2000</f>
        <v>10000</v>
      </c>
      <c r="AJ77" s="400">
        <v>10000</v>
      </c>
      <c r="AK77" s="400">
        <v>20500</v>
      </c>
      <c r="AL77" s="400">
        <f>19800+36460</f>
        <v>56260</v>
      </c>
      <c r="AM77" s="400">
        <v>56250</v>
      </c>
      <c r="AN77" s="401">
        <v>81750</v>
      </c>
      <c r="AO77" s="399">
        <v>136250</v>
      </c>
      <c r="AP77" s="400"/>
      <c r="AQ77" s="400"/>
      <c r="AR77" s="400"/>
      <c r="AS77" s="400"/>
      <c r="AT77" s="400"/>
      <c r="AU77" s="405"/>
      <c r="AV77" s="400"/>
      <c r="AW77" s="400"/>
      <c r="AX77" s="400"/>
      <c r="AY77" s="400"/>
      <c r="AZ77" s="401"/>
      <c r="BA77" s="426">
        <f t="shared" si="45"/>
        <v>402810.25</v>
      </c>
    </row>
    <row r="78" spans="1:53" s="29" customFormat="1" ht="20.100000000000001" customHeight="1">
      <c r="A78" s="30" t="str">
        <f>Vecinos!A78</f>
        <v>Familia Costermani Terrer</v>
      </c>
      <c r="B78" s="31" t="str">
        <f>Vecinos!C78</f>
        <v>Calle Güigüe Nro. 88-11</v>
      </c>
      <c r="C78" s="36" t="str">
        <f>IF(SUMIFS(Vigilancia!$E:$E,Vigilancia!$F:$F,A78,Vigilancia!$J:$J,"Vigilancia")=BA78,"ü","û")</f>
        <v>ü</v>
      </c>
      <c r="D78" s="180"/>
      <c r="E78" s="181"/>
      <c r="F78" s="182"/>
      <c r="G78" s="182"/>
      <c r="H78" s="182"/>
      <c r="I78" s="182"/>
      <c r="J78" s="182"/>
      <c r="K78" s="182"/>
      <c r="L78" s="182"/>
      <c r="M78" s="182"/>
      <c r="N78" s="182"/>
      <c r="O78" s="182"/>
      <c r="P78" s="180"/>
      <c r="Q78" s="184"/>
      <c r="R78" s="185">
        <f>80000/100000</f>
        <v>0.8</v>
      </c>
      <c r="S78" s="185">
        <f t="shared" si="47"/>
        <v>1.4</v>
      </c>
      <c r="T78" s="185">
        <f t="shared" si="47"/>
        <v>1.4</v>
      </c>
      <c r="U78" s="185">
        <f>400000/100000</f>
        <v>4</v>
      </c>
      <c r="V78" s="185">
        <f>400000/100000+250000/100000</f>
        <v>6.5</v>
      </c>
      <c r="W78" s="185">
        <f>1000000/100000</f>
        <v>10</v>
      </c>
      <c r="X78" s="185">
        <f>1200000/100000</f>
        <v>12</v>
      </c>
      <c r="Y78" s="185">
        <v>320</v>
      </c>
      <c r="Z78" s="185">
        <v>320</v>
      </c>
      <c r="AA78" s="185">
        <v>320</v>
      </c>
      <c r="AB78" s="180">
        <v>800</v>
      </c>
      <c r="AC78" s="399">
        <v>3000</v>
      </c>
      <c r="AD78" s="400">
        <v>3000</v>
      </c>
      <c r="AE78" s="400">
        <v>3000</v>
      </c>
      <c r="AF78" s="400">
        <v>5000</v>
      </c>
      <c r="AG78" s="400">
        <v>8000</v>
      </c>
      <c r="AH78" s="400">
        <v>8000</v>
      </c>
      <c r="AI78" s="400">
        <v>10000</v>
      </c>
      <c r="AJ78" s="400">
        <v>10000</v>
      </c>
      <c r="AK78" s="400">
        <v>20500</v>
      </c>
      <c r="AL78" s="400">
        <v>51250</v>
      </c>
      <c r="AM78" s="405">
        <v>64500</v>
      </c>
      <c r="AN78" s="401">
        <v>105250</v>
      </c>
      <c r="AO78" s="399">
        <v>136250</v>
      </c>
      <c r="AP78" s="400"/>
      <c r="AQ78" s="400"/>
      <c r="AR78" s="400"/>
      <c r="AS78" s="400"/>
      <c r="AT78" s="400"/>
      <c r="AU78" s="400"/>
      <c r="AV78" s="400"/>
      <c r="AW78" s="400"/>
      <c r="AX78" s="400"/>
      <c r="AY78" s="400"/>
      <c r="AZ78" s="401"/>
      <c r="BA78" s="426">
        <f t="shared" si="45"/>
        <v>429546.1</v>
      </c>
    </row>
    <row r="79" spans="1:53" s="29" customFormat="1" ht="20.100000000000001" customHeight="1">
      <c r="A79" s="33" t="str">
        <f>Vecinos!A79</f>
        <v>Familia Chávez Hernández</v>
      </c>
      <c r="B79" s="34" t="str">
        <f>Vecinos!C79</f>
        <v>Calle Güigüe Nro. 88-20</v>
      </c>
      <c r="C79" s="35" t="str">
        <f>IF(SUMIFS(Vigilancia!$E:$E,Vigilancia!$F:$F,A79,Vigilancia!$J:$J,"Vigilancia")=BA79,"ü","û")</f>
        <v>ü</v>
      </c>
      <c r="D79" s="187">
        <f>6000/100000</f>
        <v>0.06</v>
      </c>
      <c r="E79" s="188">
        <f t="shared" ref="E79:N79" si="48">3000/100000</f>
        <v>0.03</v>
      </c>
      <c r="F79" s="189">
        <f t="shared" si="48"/>
        <v>0.03</v>
      </c>
      <c r="G79" s="189">
        <f t="shared" si="48"/>
        <v>0.03</v>
      </c>
      <c r="H79" s="189">
        <f t="shared" si="48"/>
        <v>0.03</v>
      </c>
      <c r="I79" s="189">
        <f t="shared" si="48"/>
        <v>0.03</v>
      </c>
      <c r="J79" s="189">
        <f t="shared" si="48"/>
        <v>0.03</v>
      </c>
      <c r="K79" s="189">
        <f t="shared" si="48"/>
        <v>0.03</v>
      </c>
      <c r="L79" s="189">
        <f t="shared" si="48"/>
        <v>0.03</v>
      </c>
      <c r="M79" s="189">
        <f t="shared" si="48"/>
        <v>0.03</v>
      </c>
      <c r="N79" s="189">
        <f t="shared" si="48"/>
        <v>0.03</v>
      </c>
      <c r="O79" s="189">
        <f>10000/100000</f>
        <v>0.1</v>
      </c>
      <c r="P79" s="187">
        <f>10000/100000</f>
        <v>0.1</v>
      </c>
      <c r="Q79" s="190">
        <f>10000/100000</f>
        <v>0.1</v>
      </c>
      <c r="R79" s="191">
        <f>10000/100000</f>
        <v>0.1</v>
      </c>
      <c r="S79" s="191">
        <f>30000/100000</f>
        <v>0.3</v>
      </c>
      <c r="T79" s="191">
        <f>30000/100000</f>
        <v>0.3</v>
      </c>
      <c r="U79" s="191">
        <f>50000/100000</f>
        <v>0.5</v>
      </c>
      <c r="V79" s="191">
        <f>50000/100000</f>
        <v>0.5</v>
      </c>
      <c r="W79" s="191">
        <f>100000/100000</f>
        <v>1</v>
      </c>
      <c r="X79" s="191">
        <v>12</v>
      </c>
      <c r="Y79" s="191">
        <v>100</v>
      </c>
      <c r="Z79" s="191">
        <v>100</v>
      </c>
      <c r="AA79" s="191">
        <v>100</v>
      </c>
      <c r="AB79" s="187">
        <v>100</v>
      </c>
      <c r="AC79" s="396">
        <v>300</v>
      </c>
      <c r="AD79" s="397">
        <v>300</v>
      </c>
      <c r="AE79" s="397">
        <v>300</v>
      </c>
      <c r="AF79" s="397">
        <v>300</v>
      </c>
      <c r="AG79" s="397">
        <v>1000</v>
      </c>
      <c r="AH79" s="397">
        <v>3000</v>
      </c>
      <c r="AI79" s="397">
        <v>6000</v>
      </c>
      <c r="AJ79" s="397">
        <v>5000</v>
      </c>
      <c r="AK79" s="397">
        <v>10000</v>
      </c>
      <c r="AL79" s="397">
        <v>10000</v>
      </c>
      <c r="AM79" s="397">
        <v>20000</v>
      </c>
      <c r="AN79" s="398">
        <v>20000</v>
      </c>
      <c r="AO79" s="396">
        <v>30000</v>
      </c>
      <c r="AP79" s="397"/>
      <c r="AQ79" s="397"/>
      <c r="AR79" s="397"/>
      <c r="AS79" s="397"/>
      <c r="AT79" s="397"/>
      <c r="AU79" s="397"/>
      <c r="AV79" s="397"/>
      <c r="AW79" s="397"/>
      <c r="AX79" s="397"/>
      <c r="AY79" s="397"/>
      <c r="AZ79" s="398"/>
      <c r="BA79" s="425">
        <f t="shared" si="45"/>
        <v>106615.36</v>
      </c>
    </row>
    <row r="80" spans="1:53" s="29" customFormat="1" ht="20.100000000000001" customHeight="1">
      <c r="A80" s="33" t="str">
        <f>Vecinos!A80</f>
        <v>Ma. de Jesus Alonso</v>
      </c>
      <c r="B80" s="34" t="str">
        <f>Vecinos!C80</f>
        <v>Calle Güigüe Nro. 88-30</v>
      </c>
      <c r="C80" s="35" t="str">
        <f>IF(SUMIFS(Vigilancia!$E:$E,Vigilancia!$F:$F,A80,Vigilancia!$J:$J,"Vigilancia")=BA80,"ü","û")</f>
        <v>ü</v>
      </c>
      <c r="D80" s="187"/>
      <c r="E80" s="188">
        <f>3000/100000</f>
        <v>0.03</v>
      </c>
      <c r="F80" s="189">
        <f>3000/100000</f>
        <v>0.03</v>
      </c>
      <c r="G80" s="189">
        <f>4000/100000</f>
        <v>0.04</v>
      </c>
      <c r="H80" s="189">
        <f>3000/100000</f>
        <v>0.03</v>
      </c>
      <c r="I80" s="189">
        <f>3000/100000</f>
        <v>0.03</v>
      </c>
      <c r="J80" s="189">
        <f>3000/100000</f>
        <v>0.03</v>
      </c>
      <c r="K80" s="189">
        <f>5000/100000</f>
        <v>0.05</v>
      </c>
      <c r="L80" s="189">
        <f>5000/100000</f>
        <v>0.05</v>
      </c>
      <c r="M80" s="189">
        <f>10000/100000</f>
        <v>0.1</v>
      </c>
      <c r="N80" s="189">
        <f>10000/100000</f>
        <v>0.1</v>
      </c>
      <c r="O80" s="189">
        <f>10000/100000</f>
        <v>0.1</v>
      </c>
      <c r="P80" s="187">
        <f>10000/100000</f>
        <v>0.1</v>
      </c>
      <c r="Q80" s="190">
        <f>10000/100000</f>
        <v>0.1</v>
      </c>
      <c r="R80" s="191">
        <f>10000/100000+20000/100000</f>
        <v>0.30000000000000004</v>
      </c>
      <c r="S80" s="191">
        <f>100000/100000+40000/100000</f>
        <v>1.4</v>
      </c>
      <c r="T80" s="191">
        <f>100000/100000+40000/100000</f>
        <v>1.4</v>
      </c>
      <c r="U80" s="191">
        <f>100000/100000+300000/100000</f>
        <v>4</v>
      </c>
      <c r="V80" s="191">
        <f>400000/100000+225000/100000</f>
        <v>6.25</v>
      </c>
      <c r="W80" s="192">
        <f>1000000/100000</f>
        <v>10</v>
      </c>
      <c r="X80" s="192">
        <v>12</v>
      </c>
      <c r="Y80" s="192">
        <v>320</v>
      </c>
      <c r="Z80" s="192">
        <v>320</v>
      </c>
      <c r="AA80" s="192">
        <v>400</v>
      </c>
      <c r="AB80" s="366">
        <v>800</v>
      </c>
      <c r="AC80" s="404">
        <v>3000</v>
      </c>
      <c r="AD80" s="405">
        <v>3000</v>
      </c>
      <c r="AE80" s="405">
        <v>3000</v>
      </c>
      <c r="AF80" s="405">
        <v>5000</v>
      </c>
      <c r="AG80" s="405">
        <f>5000+3000</f>
        <v>8000</v>
      </c>
      <c r="AH80" s="405">
        <v>8000</v>
      </c>
      <c r="AI80" s="405">
        <v>10000</v>
      </c>
      <c r="AJ80" s="405">
        <v>10000</v>
      </c>
      <c r="AK80" s="405"/>
      <c r="AL80" s="405"/>
      <c r="AM80" s="405"/>
      <c r="AN80" s="410"/>
      <c r="AO80" s="404"/>
      <c r="AP80" s="405"/>
      <c r="AQ80" s="405"/>
      <c r="AR80" s="405"/>
      <c r="AS80" s="405"/>
      <c r="AT80" s="405"/>
      <c r="AU80" s="405"/>
      <c r="AV80" s="405"/>
      <c r="AW80" s="405"/>
      <c r="AX80" s="405"/>
      <c r="AY80" s="405"/>
      <c r="AZ80" s="410"/>
      <c r="BA80" s="428">
        <f t="shared" si="45"/>
        <v>51876.14</v>
      </c>
    </row>
    <row r="81" spans="1:53" s="29" customFormat="1" ht="20.100000000000001" customHeight="1">
      <c r="A81" s="33" t="str">
        <f>Vecinos!A81</f>
        <v>Familia Moyetones</v>
      </c>
      <c r="B81" s="34" t="str">
        <f>Vecinos!C81</f>
        <v>Calle Güigüe Nro. 88-36</v>
      </c>
      <c r="C81" s="35" t="str">
        <f>IF(SUMIFS(Vigilancia!$E:$E,Vigilancia!$F:$F,A81,Vigilancia!$J:$J,"Vigilancia")=BA81,"ü","û")</f>
        <v>ü</v>
      </c>
      <c r="D81" s="187"/>
      <c r="E81" s="188"/>
      <c r="F81" s="189"/>
      <c r="G81" s="189"/>
      <c r="H81" s="189"/>
      <c r="I81" s="189"/>
      <c r="J81" s="189"/>
      <c r="K81" s="189"/>
      <c r="L81" s="189"/>
      <c r="M81" s="189"/>
      <c r="N81" s="189"/>
      <c r="O81" s="189"/>
      <c r="P81" s="187"/>
      <c r="Q81" s="190"/>
      <c r="R81" s="191"/>
      <c r="S81" s="191"/>
      <c r="T81" s="191"/>
      <c r="U81" s="191"/>
      <c r="V81" s="191"/>
      <c r="W81" s="191"/>
      <c r="X81" s="191"/>
      <c r="Y81" s="191"/>
      <c r="Z81" s="191"/>
      <c r="AA81" s="191"/>
      <c r="AB81" s="187"/>
      <c r="AC81" s="396"/>
      <c r="AD81" s="397"/>
      <c r="AE81" s="397"/>
      <c r="AF81" s="397"/>
      <c r="AG81" s="397"/>
      <c r="AH81" s="397"/>
      <c r="AI81" s="397"/>
      <c r="AJ81" s="397"/>
      <c r="AK81" s="397"/>
      <c r="AL81" s="397"/>
      <c r="AM81" s="397"/>
      <c r="AN81" s="398"/>
      <c r="AO81" s="396"/>
      <c r="AP81" s="397"/>
      <c r="AQ81" s="397"/>
      <c r="AR81" s="397"/>
      <c r="AS81" s="397"/>
      <c r="AT81" s="397"/>
      <c r="AU81" s="397"/>
      <c r="AV81" s="397"/>
      <c r="AW81" s="397"/>
      <c r="AX81" s="397"/>
      <c r="AY81" s="397"/>
      <c r="AZ81" s="398"/>
      <c r="BA81" s="425">
        <f t="shared" si="45"/>
        <v>0</v>
      </c>
    </row>
    <row r="82" spans="1:53" s="29" customFormat="1" ht="20.100000000000001" customHeight="1">
      <c r="A82" s="33" t="str">
        <f>Vecinos!A82</f>
        <v>Familia Rivero</v>
      </c>
      <c r="B82" s="34" t="str">
        <f>Vecinos!C82</f>
        <v>Calle Güigüe Nro. 88-40</v>
      </c>
      <c r="C82" s="35" t="str">
        <f>IF(SUMIFS(Vigilancia!$E:$E,Vigilancia!$F:$F,A82,Vigilancia!$J:$J,"Vigilancia")=BA82,"ü","û")</f>
        <v>ü</v>
      </c>
      <c r="D82" s="187"/>
      <c r="E82" s="188">
        <f>3000/100000</f>
        <v>0.03</v>
      </c>
      <c r="F82" s="189">
        <f>3000/100000</f>
        <v>0.03</v>
      </c>
      <c r="G82" s="189">
        <f>3000/100000</f>
        <v>0.03</v>
      </c>
      <c r="H82" s="189">
        <f>3000/100000</f>
        <v>0.03</v>
      </c>
      <c r="I82" s="189">
        <f>5000/100000</f>
        <v>0.05</v>
      </c>
      <c r="J82" s="189">
        <f>5000/100000</f>
        <v>0.05</v>
      </c>
      <c r="K82" s="189">
        <f>5000/100000</f>
        <v>0.05</v>
      </c>
      <c r="L82" s="189">
        <f>10000/100000</f>
        <v>0.1</v>
      </c>
      <c r="M82" s="189">
        <f>20000/100000</f>
        <v>0.2</v>
      </c>
      <c r="N82" s="189">
        <f>20000/100000</f>
        <v>0.2</v>
      </c>
      <c r="O82" s="189">
        <f>25000/100000</f>
        <v>0.25</v>
      </c>
      <c r="P82" s="187">
        <f t="shared" ref="P82:U82" si="49">30000/100000</f>
        <v>0.3</v>
      </c>
      <c r="Q82" s="190">
        <f t="shared" si="49"/>
        <v>0.3</v>
      </c>
      <c r="R82" s="191">
        <f t="shared" si="49"/>
        <v>0.3</v>
      </c>
      <c r="S82" s="191">
        <f t="shared" si="49"/>
        <v>0.3</v>
      </c>
      <c r="T82" s="191">
        <f t="shared" si="49"/>
        <v>0.3</v>
      </c>
      <c r="U82" s="191">
        <f t="shared" si="49"/>
        <v>0.3</v>
      </c>
      <c r="V82" s="191">
        <f>40000/100000</f>
        <v>0.4</v>
      </c>
      <c r="W82" s="191">
        <v>10</v>
      </c>
      <c r="X82" s="191">
        <v>12</v>
      </c>
      <c r="Y82" s="191">
        <f>100-22</f>
        <v>78</v>
      </c>
      <c r="Z82" s="191"/>
      <c r="AA82" s="191"/>
      <c r="AB82" s="187"/>
      <c r="AC82" s="396"/>
      <c r="AD82" s="397"/>
      <c r="AE82" s="397"/>
      <c r="AF82" s="397"/>
      <c r="AG82" s="397"/>
      <c r="AH82" s="397"/>
      <c r="AI82" s="397"/>
      <c r="AJ82" s="397"/>
      <c r="AK82" s="397"/>
      <c r="AL82" s="397"/>
      <c r="AM82" s="397">
        <v>20000</v>
      </c>
      <c r="AN82" s="398"/>
      <c r="AO82" s="396"/>
      <c r="AP82" s="397"/>
      <c r="AQ82" s="397"/>
      <c r="AR82" s="397"/>
      <c r="AS82" s="397"/>
      <c r="AT82" s="397"/>
      <c r="AU82" s="397"/>
      <c r="AV82" s="397"/>
      <c r="AW82" s="397"/>
      <c r="AX82" s="397"/>
      <c r="AY82" s="397"/>
      <c r="AZ82" s="398"/>
      <c r="BA82" s="425">
        <f t="shared" si="45"/>
        <v>20103.22</v>
      </c>
    </row>
    <row r="83" spans="1:53" s="29" customFormat="1" ht="20.100000000000001" customHeight="1">
      <c r="A83" s="33" t="str">
        <f>Vecinos!A83</f>
        <v>Thanya Albornoz</v>
      </c>
      <c r="B83" s="34" t="str">
        <f>Vecinos!C83</f>
        <v>Calle Güigüe Nro. 88-42</v>
      </c>
      <c r="C83" s="35" t="str">
        <f>IF(SUMIFS(Vigilancia!$E:$E,Vigilancia!$F:$F,A83,Vigilancia!$J:$J,"Vigilancia")=BA83,"ü","û")</f>
        <v>ü</v>
      </c>
      <c r="D83" s="187"/>
      <c r="E83" s="188"/>
      <c r="F83" s="189"/>
      <c r="G83" s="189"/>
      <c r="H83" s="189"/>
      <c r="I83" s="189"/>
      <c r="J83" s="189"/>
      <c r="K83" s="189"/>
      <c r="L83" s="189"/>
      <c r="M83" s="189"/>
      <c r="N83" s="189"/>
      <c r="O83" s="189"/>
      <c r="P83" s="187"/>
      <c r="Q83" s="190"/>
      <c r="R83" s="191"/>
      <c r="S83" s="191"/>
      <c r="T83" s="191"/>
      <c r="U83" s="191"/>
      <c r="V83" s="191"/>
      <c r="W83" s="191"/>
      <c r="X83" s="191"/>
      <c r="Y83" s="191"/>
      <c r="Z83" s="191"/>
      <c r="AA83" s="191"/>
      <c r="AB83" s="187"/>
      <c r="AC83" s="396"/>
      <c r="AD83" s="397"/>
      <c r="AE83" s="397"/>
      <c r="AF83" s="397"/>
      <c r="AG83" s="397"/>
      <c r="AH83" s="397"/>
      <c r="AI83" s="397"/>
      <c r="AJ83" s="397"/>
      <c r="AK83" s="397"/>
      <c r="AL83" s="397"/>
      <c r="AM83" s="397"/>
      <c r="AN83" s="398"/>
      <c r="AO83" s="396"/>
      <c r="AP83" s="397"/>
      <c r="AQ83" s="397"/>
      <c r="AR83" s="397"/>
      <c r="AS83" s="397"/>
      <c r="AT83" s="397"/>
      <c r="AU83" s="397"/>
      <c r="AV83" s="397"/>
      <c r="AW83" s="397"/>
      <c r="AX83" s="397"/>
      <c r="AY83" s="397"/>
      <c r="AZ83" s="398"/>
      <c r="BA83" s="425">
        <f t="shared" si="45"/>
        <v>0</v>
      </c>
    </row>
    <row r="84" spans="1:53" s="29" customFormat="1" ht="20.100000000000001" customHeight="1">
      <c r="A84" s="30" t="str">
        <f>Vecinos!A84</f>
        <v>Familia Colosso Delgado</v>
      </c>
      <c r="B84" s="31" t="str">
        <f>Vecinos!C84</f>
        <v>Calle Güigüe Nro. 88-44</v>
      </c>
      <c r="C84" s="36" t="str">
        <f>IF(SUMIFS(Vigilancia!$E:$E,Vigilancia!$F:$F,A84,Vigilancia!$J:$J,"Vigilancia")=BA84,"ü","û")</f>
        <v>ü</v>
      </c>
      <c r="D84" s="180"/>
      <c r="E84" s="181">
        <f>10500/100000+6500/100000</f>
        <v>0.16999999999999998</v>
      </c>
      <c r="F84" s="182">
        <f t="shared" ref="F84:H85" si="50">17000/100000</f>
        <v>0.17</v>
      </c>
      <c r="G84" s="182">
        <f t="shared" si="50"/>
        <v>0.17</v>
      </c>
      <c r="H84" s="182">
        <f t="shared" si="50"/>
        <v>0.17</v>
      </c>
      <c r="I84" s="182">
        <f>26000/100000</f>
        <v>0.26</v>
      </c>
      <c r="J84" s="182">
        <f>26000/100000</f>
        <v>0.26</v>
      </c>
      <c r="K84" s="182">
        <f>26000/100000+9000/100000</f>
        <v>0.35</v>
      </c>
      <c r="L84" s="182">
        <f t="shared" ref="L84:N87" si="51">35000/100000</f>
        <v>0.35</v>
      </c>
      <c r="M84" s="182">
        <f t="shared" si="51"/>
        <v>0.35</v>
      </c>
      <c r="N84" s="182">
        <f t="shared" si="51"/>
        <v>0.35</v>
      </c>
      <c r="O84" s="182">
        <f t="shared" ref="O84:P87" si="52">50000/100000</f>
        <v>0.5</v>
      </c>
      <c r="P84" s="180">
        <f t="shared" si="52"/>
        <v>0.5</v>
      </c>
      <c r="Q84" s="184">
        <f t="shared" ref="Q84:R87" si="53">80000/100000</f>
        <v>0.8</v>
      </c>
      <c r="R84" s="185">
        <f t="shared" si="53"/>
        <v>0.8</v>
      </c>
      <c r="S84" s="185">
        <f>140000/100000</f>
        <v>1.4</v>
      </c>
      <c r="T84" s="185">
        <f>140000/100000</f>
        <v>1.4</v>
      </c>
      <c r="U84" s="185">
        <f>400000/100000</f>
        <v>4</v>
      </c>
      <c r="V84" s="185">
        <f>400000/100000+225000/100000</f>
        <v>6.25</v>
      </c>
      <c r="W84" s="185">
        <f>850000/100000+150000/100000</f>
        <v>10</v>
      </c>
      <c r="X84" s="185">
        <f>1200000/100000</f>
        <v>12</v>
      </c>
      <c r="Y84" s="185">
        <v>320</v>
      </c>
      <c r="Z84" s="185">
        <v>320</v>
      </c>
      <c r="AA84" s="185">
        <v>320</v>
      </c>
      <c r="AB84" s="366">
        <f>320+480</f>
        <v>800</v>
      </c>
      <c r="AC84" s="404">
        <f>800+2200</f>
        <v>3000</v>
      </c>
      <c r="AD84" s="400">
        <v>3000</v>
      </c>
      <c r="AE84" s="400">
        <v>3000</v>
      </c>
      <c r="AF84" s="400">
        <f>3000+2000</f>
        <v>5000</v>
      </c>
      <c r="AG84" s="400">
        <v>8000</v>
      </c>
      <c r="AH84" s="400">
        <v>8000</v>
      </c>
      <c r="AI84" s="400">
        <v>10000</v>
      </c>
      <c r="AJ84" s="400">
        <v>10000</v>
      </c>
      <c r="AK84" s="400">
        <v>23400</v>
      </c>
      <c r="AL84" s="400">
        <f>21100+25900</f>
        <v>47000</v>
      </c>
      <c r="AM84" s="400">
        <v>51250</v>
      </c>
      <c r="AN84" s="401">
        <v>81750</v>
      </c>
      <c r="AO84" s="399">
        <v>136250</v>
      </c>
      <c r="AP84" s="400">
        <v>136250</v>
      </c>
      <c r="AQ84" s="400"/>
      <c r="AR84" s="400"/>
      <c r="AS84" s="400"/>
      <c r="AT84" s="400"/>
      <c r="AU84" s="400"/>
      <c r="AV84" s="400"/>
      <c r="AW84" s="400"/>
      <c r="AX84" s="400"/>
      <c r="AY84" s="400"/>
      <c r="AZ84" s="401"/>
      <c r="BA84" s="426">
        <f t="shared" si="45"/>
        <v>527700.25</v>
      </c>
    </row>
    <row r="85" spans="1:53" s="29" customFormat="1" ht="20.100000000000001" customHeight="1">
      <c r="A85" s="30" t="str">
        <f>Vecinos!A85</f>
        <v>Familia Jiménez Navarro</v>
      </c>
      <c r="B85" s="31" t="str">
        <f>Vecinos!C85</f>
        <v>Calle Güigüe Nro. 88-50</v>
      </c>
      <c r="C85" s="36" t="str">
        <f>IF(SUMIFS(Vigilancia!$E:$E,Vigilancia!$F:$F,A85,Vigilancia!$J:$J,"Vigilancia")=BA85,"ü","û")</f>
        <v>ü</v>
      </c>
      <c r="D85" s="180"/>
      <c r="E85" s="181">
        <f>17000/100000</f>
        <v>0.17</v>
      </c>
      <c r="F85" s="182">
        <f t="shared" si="50"/>
        <v>0.17</v>
      </c>
      <c r="G85" s="182">
        <f t="shared" si="50"/>
        <v>0.17</v>
      </c>
      <c r="H85" s="182">
        <f t="shared" si="50"/>
        <v>0.17</v>
      </c>
      <c r="I85" s="182">
        <f>26000/100000</f>
        <v>0.26</v>
      </c>
      <c r="J85" s="226"/>
      <c r="K85" s="182">
        <f>35000/100000</f>
        <v>0.35</v>
      </c>
      <c r="L85" s="182">
        <f t="shared" si="51"/>
        <v>0.35</v>
      </c>
      <c r="M85" s="182">
        <f t="shared" si="51"/>
        <v>0.35</v>
      </c>
      <c r="N85" s="182">
        <f t="shared" si="51"/>
        <v>0.35</v>
      </c>
      <c r="O85" s="182">
        <f t="shared" si="52"/>
        <v>0.5</v>
      </c>
      <c r="P85" s="180">
        <f t="shared" si="52"/>
        <v>0.5</v>
      </c>
      <c r="Q85" s="184">
        <f t="shared" si="53"/>
        <v>0.8</v>
      </c>
      <c r="R85" s="185">
        <f t="shared" si="53"/>
        <v>0.8</v>
      </c>
      <c r="S85" s="185">
        <f>140000/100000</f>
        <v>1.4</v>
      </c>
      <c r="T85" s="185">
        <f>300000/100000</f>
        <v>3</v>
      </c>
      <c r="U85" s="185">
        <f>400000/100000</f>
        <v>4</v>
      </c>
      <c r="V85" s="185">
        <f>1000000/100000</f>
        <v>10</v>
      </c>
      <c r="W85" s="185">
        <f>1000000/100000</f>
        <v>10</v>
      </c>
      <c r="X85" s="185">
        <v>12</v>
      </c>
      <c r="Y85" s="185">
        <v>320</v>
      </c>
      <c r="Z85" s="185">
        <v>320</v>
      </c>
      <c r="AA85" s="185">
        <v>320</v>
      </c>
      <c r="AB85" s="180">
        <v>800</v>
      </c>
      <c r="AC85" s="399">
        <v>3000</v>
      </c>
      <c r="AD85" s="400">
        <v>3000</v>
      </c>
      <c r="AE85" s="400">
        <v>3000</v>
      </c>
      <c r="AF85" s="400">
        <v>5000</v>
      </c>
      <c r="AG85" s="400">
        <f>5000+3000</f>
        <v>8000</v>
      </c>
      <c r="AH85" s="400">
        <v>8000</v>
      </c>
      <c r="AI85" s="400">
        <v>10000</v>
      </c>
      <c r="AJ85" s="400">
        <v>10000</v>
      </c>
      <c r="AK85" s="400">
        <v>24000</v>
      </c>
      <c r="AL85" s="400">
        <f>20000+27000</f>
        <v>47000</v>
      </c>
      <c r="AM85" s="400">
        <v>81750</v>
      </c>
      <c r="AN85" s="401">
        <v>136500</v>
      </c>
      <c r="AO85" s="399">
        <v>136500</v>
      </c>
      <c r="AP85" s="400"/>
      <c r="AQ85" s="400"/>
      <c r="AR85" s="400"/>
      <c r="AS85" s="400"/>
      <c r="AT85" s="400"/>
      <c r="AU85" s="400"/>
      <c r="AV85" s="400"/>
      <c r="AW85" s="400"/>
      <c r="AX85" s="400"/>
      <c r="AY85" s="400"/>
      <c r="AZ85" s="401"/>
      <c r="BA85" s="426">
        <f t="shared" si="45"/>
        <v>477555.33999999997</v>
      </c>
    </row>
    <row r="86" spans="1:53" s="29" customFormat="1" ht="20.100000000000001" customHeight="1">
      <c r="A86" s="33" t="str">
        <f>Vecinos!A86</f>
        <v>Dra. Lilia Magallanes</v>
      </c>
      <c r="B86" s="34" t="str">
        <f>Vecinos!C86</f>
        <v>Calle Güigüe Nro. 88-51</v>
      </c>
      <c r="C86" s="35" t="str">
        <f>IF(SUMIFS(Vigilancia!$E:$E,Vigilancia!$F:$F,A86,Vigilancia!$J:$J,"Vigilancia")=BA86,"ü","û")</f>
        <v>ü</v>
      </c>
      <c r="D86" s="187"/>
      <c r="E86" s="188">
        <f>5000/100000</f>
        <v>0.05</v>
      </c>
      <c r="F86" s="189">
        <f>5000/100000</f>
        <v>0.05</v>
      </c>
      <c r="G86" s="189">
        <f>7000/100000</f>
        <v>7.0000000000000007E-2</v>
      </c>
      <c r="H86" s="189">
        <f>10000/100000</f>
        <v>0.1</v>
      </c>
      <c r="I86" s="189">
        <f>20000/100000</f>
        <v>0.2</v>
      </c>
      <c r="J86" s="189">
        <f>20000/100000</f>
        <v>0.2</v>
      </c>
      <c r="K86" s="189">
        <f>30000/100000</f>
        <v>0.3</v>
      </c>
      <c r="L86" s="182">
        <f t="shared" si="51"/>
        <v>0.35</v>
      </c>
      <c r="M86" s="182">
        <f t="shared" si="51"/>
        <v>0.35</v>
      </c>
      <c r="N86" s="182">
        <f t="shared" si="51"/>
        <v>0.35</v>
      </c>
      <c r="O86" s="182">
        <f t="shared" si="52"/>
        <v>0.5</v>
      </c>
      <c r="P86" s="180">
        <f t="shared" si="52"/>
        <v>0.5</v>
      </c>
      <c r="Q86" s="184">
        <f t="shared" si="53"/>
        <v>0.8</v>
      </c>
      <c r="R86" s="185">
        <f t="shared" si="53"/>
        <v>0.8</v>
      </c>
      <c r="S86" s="185">
        <f>40000/100000+100000/100000</f>
        <v>1.4</v>
      </c>
      <c r="T86" s="185">
        <f>140000/100000</f>
        <v>1.4</v>
      </c>
      <c r="U86" s="185">
        <f>400000/100000</f>
        <v>4</v>
      </c>
      <c r="V86" s="185">
        <f>625000/100000</f>
        <v>6.25</v>
      </c>
      <c r="W86" s="192">
        <f>1000000/100000</f>
        <v>10</v>
      </c>
      <c r="X86" s="192">
        <v>12</v>
      </c>
      <c r="Y86" s="192">
        <f>0.05+320</f>
        <v>320.05</v>
      </c>
      <c r="Z86" s="185">
        <v>320</v>
      </c>
      <c r="AA86" s="185">
        <v>320</v>
      </c>
      <c r="AB86" s="180">
        <v>800</v>
      </c>
      <c r="AC86" s="399">
        <v>3000</v>
      </c>
      <c r="AD86" s="400">
        <v>3000</v>
      </c>
      <c r="AE86" s="400">
        <v>3000</v>
      </c>
      <c r="AF86" s="400">
        <v>5000</v>
      </c>
      <c r="AG86" s="400">
        <v>8000</v>
      </c>
      <c r="AH86" s="400">
        <v>8000</v>
      </c>
      <c r="AI86" s="400">
        <v>10000</v>
      </c>
      <c r="AJ86" s="400">
        <v>10000</v>
      </c>
      <c r="AK86" s="400">
        <v>23400</v>
      </c>
      <c r="AL86" s="509">
        <f>20300+3000+27965</f>
        <v>51265</v>
      </c>
      <c r="AM86" s="400">
        <v>56250</v>
      </c>
      <c r="AN86" s="401">
        <v>97500</v>
      </c>
      <c r="AO86" s="399">
        <v>136250</v>
      </c>
      <c r="AP86" s="400"/>
      <c r="AQ86" s="400"/>
      <c r="AR86" s="400"/>
      <c r="AS86" s="400"/>
      <c r="AT86" s="400"/>
      <c r="AU86" s="400"/>
      <c r="AV86" s="400"/>
      <c r="AW86" s="400"/>
      <c r="AX86" s="400"/>
      <c r="AY86" s="400"/>
      <c r="AZ86" s="401"/>
      <c r="BA86" s="426">
        <f t="shared" si="45"/>
        <v>416464.72</v>
      </c>
    </row>
    <row r="87" spans="1:53" s="29" customFormat="1" ht="20.100000000000001" customHeight="1">
      <c r="A87" s="30" t="str">
        <f>Vecinos!A87</f>
        <v>Familia Navarro Assing</v>
      </c>
      <c r="B87" s="31" t="str">
        <f>Vecinos!C87</f>
        <v>Calle Güigüe Nro. 88-54</v>
      </c>
      <c r="C87" s="36" t="str">
        <f>IF(SUMIFS(Vigilancia!$E:$E,Vigilancia!$F:$F,A87,Vigilancia!$J:$J,"Vigilancia")=BA87,"ü","û")</f>
        <v>ü</v>
      </c>
      <c r="D87" s="180"/>
      <c r="E87" s="181">
        <f>17000/100000</f>
        <v>0.17</v>
      </c>
      <c r="F87" s="182">
        <f>17000/100000</f>
        <v>0.17</v>
      </c>
      <c r="G87" s="182">
        <f>17000/100000</f>
        <v>0.17</v>
      </c>
      <c r="H87" s="182">
        <f>17000/100000</f>
        <v>0.17</v>
      </c>
      <c r="I87" s="182">
        <f>22000/100000+4000/100000</f>
        <v>0.26</v>
      </c>
      <c r="J87" s="182">
        <f>26000/100000</f>
        <v>0.26</v>
      </c>
      <c r="K87" s="182">
        <f>35000/100000</f>
        <v>0.35</v>
      </c>
      <c r="L87" s="182">
        <f t="shared" si="51"/>
        <v>0.35</v>
      </c>
      <c r="M87" s="182">
        <f t="shared" si="51"/>
        <v>0.35</v>
      </c>
      <c r="N87" s="182">
        <f t="shared" si="51"/>
        <v>0.35</v>
      </c>
      <c r="O87" s="182">
        <f t="shared" si="52"/>
        <v>0.5</v>
      </c>
      <c r="P87" s="180">
        <f t="shared" si="52"/>
        <v>0.5</v>
      </c>
      <c r="Q87" s="184">
        <f t="shared" si="53"/>
        <v>0.8</v>
      </c>
      <c r="R87" s="185">
        <f t="shared" si="53"/>
        <v>0.8</v>
      </c>
      <c r="S87" s="185">
        <f>140000/100000</f>
        <v>1.4</v>
      </c>
      <c r="T87" s="185">
        <f>140000/100000</f>
        <v>1.4</v>
      </c>
      <c r="U87" s="185">
        <f>400000/100000</f>
        <v>4</v>
      </c>
      <c r="V87" s="185">
        <f>400000/100000+250000/100000</f>
        <v>6.5</v>
      </c>
      <c r="W87" s="185">
        <f>1000000/100000</f>
        <v>10</v>
      </c>
      <c r="X87" s="185">
        <v>12</v>
      </c>
      <c r="Y87" s="185">
        <v>320</v>
      </c>
      <c r="Z87" s="185">
        <v>320</v>
      </c>
      <c r="AA87" s="185">
        <v>320</v>
      </c>
      <c r="AB87" s="180">
        <v>800</v>
      </c>
      <c r="AC87" s="404">
        <f>800+2200</f>
        <v>3000</v>
      </c>
      <c r="AD87" s="400">
        <v>3000</v>
      </c>
      <c r="AE87" s="400">
        <v>3000</v>
      </c>
      <c r="AF87" s="400">
        <f>500+4500</f>
        <v>5000</v>
      </c>
      <c r="AG87" s="405">
        <v>8000</v>
      </c>
      <c r="AH87" s="405">
        <f>500+3000+4500</f>
        <v>8000</v>
      </c>
      <c r="AI87" s="400">
        <v>10000</v>
      </c>
      <c r="AJ87" s="400">
        <v>10000</v>
      </c>
      <c r="AK87" s="400">
        <v>21600</v>
      </c>
      <c r="AL87" s="400">
        <f>19800+31450</f>
        <v>51250</v>
      </c>
      <c r="AM87" s="509">
        <f>8550+56000</f>
        <v>64550</v>
      </c>
      <c r="AN87" s="401">
        <v>105500</v>
      </c>
      <c r="AO87" s="404">
        <v>136250</v>
      </c>
      <c r="AP87" s="405">
        <f>7950+73500+50000+5000</f>
        <v>136450</v>
      </c>
      <c r="AQ87" s="400"/>
      <c r="AR87" s="400"/>
      <c r="AS87" s="405"/>
      <c r="AT87" s="405"/>
      <c r="AU87" s="400"/>
      <c r="AV87" s="400"/>
      <c r="AW87" s="400"/>
      <c r="AX87" s="400"/>
      <c r="AY87" s="400"/>
      <c r="AZ87" s="401"/>
      <c r="BA87" s="426">
        <f t="shared" si="45"/>
        <v>567400.5</v>
      </c>
    </row>
    <row r="88" spans="1:53" s="29" customFormat="1" ht="20.100000000000001" customHeight="1">
      <c r="A88" s="33" t="str">
        <f>Vecinos!A88</f>
        <v>Familia Rodríguez Aular</v>
      </c>
      <c r="B88" s="34" t="str">
        <f>Vecinos!C88</f>
        <v>Calle Güigüe Nro. 88-58</v>
      </c>
      <c r="C88" s="35" t="str">
        <f>IF(SUMIFS(Vigilancia!$E:$E,Vigilancia!$F:$F,A88,Vigilancia!$J:$J,"Vigilancia")=BA88,"ü","û")</f>
        <v>ü</v>
      </c>
      <c r="D88" s="187"/>
      <c r="E88" s="188">
        <f>10500/100000</f>
        <v>0.105</v>
      </c>
      <c r="F88" s="189">
        <f>12000/100000</f>
        <v>0.12</v>
      </c>
      <c r="G88" s="189">
        <f>12000/100000</f>
        <v>0.12</v>
      </c>
      <c r="H88" s="189">
        <f>12000/100000</f>
        <v>0.12</v>
      </c>
      <c r="I88" s="189">
        <f>12000/100000</f>
        <v>0.12</v>
      </c>
      <c r="J88" s="189">
        <f>15000/100000</f>
        <v>0.15</v>
      </c>
      <c r="K88" s="189">
        <f>15000/100000</f>
        <v>0.15</v>
      </c>
      <c r="L88" s="189">
        <f>18000/100000</f>
        <v>0.18</v>
      </c>
      <c r="M88" s="189">
        <f>20000/100000</f>
        <v>0.2</v>
      </c>
      <c r="N88" s="189">
        <f>20000/100000</f>
        <v>0.2</v>
      </c>
      <c r="O88" s="189">
        <f>30000/100000</f>
        <v>0.3</v>
      </c>
      <c r="P88" s="187">
        <f>40000/100000</f>
        <v>0.4</v>
      </c>
      <c r="Q88" s="190">
        <f>40000/100000</f>
        <v>0.4</v>
      </c>
      <c r="R88" s="191">
        <f>80000/100000</f>
        <v>0.8</v>
      </c>
      <c r="S88" s="191">
        <f>120000/100000</f>
        <v>1.2</v>
      </c>
      <c r="T88" s="191">
        <f>140000/100000</f>
        <v>1.4</v>
      </c>
      <c r="U88" s="191">
        <f>200000/100000</f>
        <v>2</v>
      </c>
      <c r="V88" s="191">
        <f>400000/100000</f>
        <v>4</v>
      </c>
      <c r="W88" s="191">
        <f>1000000/100000</f>
        <v>10</v>
      </c>
      <c r="X88" s="191">
        <v>12</v>
      </c>
      <c r="Y88" s="377"/>
      <c r="Z88" s="192">
        <v>320</v>
      </c>
      <c r="AA88" s="192">
        <v>320</v>
      </c>
      <c r="AB88" s="366">
        <v>800</v>
      </c>
      <c r="AC88" s="404">
        <f>800+2200</f>
        <v>3000</v>
      </c>
      <c r="AD88" s="405">
        <v>3000</v>
      </c>
      <c r="AE88" s="405">
        <v>3000</v>
      </c>
      <c r="AF88" s="405">
        <v>5000</v>
      </c>
      <c r="AG88" s="405">
        <v>8000</v>
      </c>
      <c r="AH88" s="405">
        <v>8000</v>
      </c>
      <c r="AI88" s="405">
        <v>10000</v>
      </c>
      <c r="AJ88" s="400">
        <v>10000</v>
      </c>
      <c r="AK88" s="400">
        <v>19800</v>
      </c>
      <c r="AL88" s="405">
        <v>51250</v>
      </c>
      <c r="AM88" s="405">
        <v>64500</v>
      </c>
      <c r="AN88" s="410">
        <v>136250</v>
      </c>
      <c r="AO88" s="404">
        <v>136250</v>
      </c>
      <c r="AP88" s="405"/>
      <c r="AQ88" s="405"/>
      <c r="AR88" s="405"/>
      <c r="AS88" s="405"/>
      <c r="AT88" s="405"/>
      <c r="AU88" s="405"/>
      <c r="AV88" s="400"/>
      <c r="AW88" s="405"/>
      <c r="AX88" s="405"/>
      <c r="AY88" s="405"/>
      <c r="AZ88" s="410"/>
      <c r="BA88" s="428">
        <f t="shared" si="45"/>
        <v>459523.96499999997</v>
      </c>
    </row>
    <row r="89" spans="1:53" s="29" customFormat="1" ht="20.100000000000001" customHeight="1">
      <c r="A89" s="30" t="str">
        <f>Vecinos!A89</f>
        <v>Familia Ramírez</v>
      </c>
      <c r="B89" s="31" t="str">
        <f>Vecinos!C89</f>
        <v>Calle Güigüe Nro. 88-61</v>
      </c>
      <c r="C89" s="36" t="str">
        <f>IF(SUMIFS(Vigilancia!$E:$E,Vigilancia!$F:$F,A89,Vigilancia!$J:$J,"Vigilancia")=BA89,"ü","û")</f>
        <v>ü</v>
      </c>
      <c r="D89" s="180"/>
      <c r="E89" s="181"/>
      <c r="F89" s="182"/>
      <c r="G89" s="182"/>
      <c r="H89" s="182"/>
      <c r="I89" s="182"/>
      <c r="J89" s="182"/>
      <c r="K89" s="182"/>
      <c r="L89" s="182"/>
      <c r="M89" s="182"/>
      <c r="N89" s="182"/>
      <c r="O89" s="182"/>
      <c r="P89" s="180"/>
      <c r="Q89" s="184"/>
      <c r="R89" s="185"/>
      <c r="S89" s="185"/>
      <c r="T89" s="185"/>
      <c r="U89" s="185"/>
      <c r="V89" s="185"/>
      <c r="W89" s="185"/>
      <c r="X89" s="185"/>
      <c r="Y89" s="185"/>
      <c r="Z89" s="185"/>
      <c r="AA89" s="185"/>
      <c r="AB89" s="180"/>
      <c r="AC89" s="399"/>
      <c r="AD89" s="400"/>
      <c r="AE89" s="400"/>
      <c r="AF89" s="400"/>
      <c r="AG89" s="400"/>
      <c r="AH89" s="400"/>
      <c r="AI89" s="400"/>
      <c r="AJ89" s="400"/>
      <c r="AK89" s="400"/>
      <c r="AL89" s="400"/>
      <c r="AM89" s="400"/>
      <c r="AN89" s="401"/>
      <c r="AO89" s="399"/>
      <c r="AP89" s="400"/>
      <c r="AQ89" s="400"/>
      <c r="AR89" s="400"/>
      <c r="AS89" s="400"/>
      <c r="AT89" s="400"/>
      <c r="AU89" s="400"/>
      <c r="AV89" s="400"/>
      <c r="AW89" s="400"/>
      <c r="AX89" s="400"/>
      <c r="AY89" s="400"/>
      <c r="AZ89" s="401"/>
      <c r="BA89" s="426">
        <f t="shared" si="45"/>
        <v>0</v>
      </c>
    </row>
    <row r="90" spans="1:53" s="29" customFormat="1" ht="20.100000000000001" customHeight="1">
      <c r="A90" s="33" t="str">
        <f>Vecinos!A90</f>
        <v>Familia Martínez Boada</v>
      </c>
      <c r="B90" s="34" t="str">
        <f>Vecinos!C90</f>
        <v>Calle Güigüe Nro. 88-62</v>
      </c>
      <c r="C90" s="35" t="str">
        <f>IF(SUMIFS(Vigilancia!$E:$E,Vigilancia!$F:$F,A90,Vigilancia!$J:$J,"Vigilancia")=BA90,"ü","û")</f>
        <v>ü</v>
      </c>
      <c r="D90" s="187"/>
      <c r="E90" s="188">
        <f>10500/100000+6500/100000</f>
        <v>0.16999999999999998</v>
      </c>
      <c r="F90" s="189">
        <f>13613/100000+3387/100000</f>
        <v>0.16999999999999998</v>
      </c>
      <c r="G90" s="189">
        <f>17000/100000</f>
        <v>0.17</v>
      </c>
      <c r="H90" s="189">
        <f>17000/100000</f>
        <v>0.17</v>
      </c>
      <c r="I90" s="189">
        <f>26000/100000</f>
        <v>0.26</v>
      </c>
      <c r="J90" s="189">
        <f>26000/100000</f>
        <v>0.26</v>
      </c>
      <c r="K90" s="189">
        <f>35000/100000</f>
        <v>0.35</v>
      </c>
      <c r="L90" s="189">
        <f>35000/100000</f>
        <v>0.35</v>
      </c>
      <c r="M90" s="194" t="s">
        <v>490</v>
      </c>
      <c r="N90" s="194" t="s">
        <v>490</v>
      </c>
      <c r="O90" s="194" t="s">
        <v>490</v>
      </c>
      <c r="P90" s="476" t="s">
        <v>490</v>
      </c>
      <c r="Q90" s="190">
        <f>75000/100000</f>
        <v>0.75</v>
      </c>
      <c r="R90" s="191">
        <f>75000/100000</f>
        <v>0.75</v>
      </c>
      <c r="S90" s="191">
        <f>100000/100000</f>
        <v>1</v>
      </c>
      <c r="T90" s="191">
        <f>100000/100000</f>
        <v>1</v>
      </c>
      <c r="U90" s="191">
        <f>100000/100000</f>
        <v>1</v>
      </c>
      <c r="V90" s="191">
        <f>600000/100000</f>
        <v>6</v>
      </c>
      <c r="W90" s="191">
        <f>600000/100000</f>
        <v>6</v>
      </c>
      <c r="X90" s="191">
        <v>12</v>
      </c>
      <c r="Y90" s="191">
        <v>320</v>
      </c>
      <c r="Z90" s="191">
        <f>350-320-12+250</f>
        <v>268</v>
      </c>
      <c r="AA90" s="191">
        <v>320</v>
      </c>
      <c r="AB90" s="187">
        <v>680</v>
      </c>
      <c r="AC90" s="396">
        <v>2000</v>
      </c>
      <c r="AD90" s="397">
        <v>2000</v>
      </c>
      <c r="AE90" s="397">
        <v>3000</v>
      </c>
      <c r="AF90" s="397">
        <v>3000</v>
      </c>
      <c r="AG90" s="397">
        <v>8000</v>
      </c>
      <c r="AH90" s="397">
        <v>8000</v>
      </c>
      <c r="AI90" s="397">
        <v>10000</v>
      </c>
      <c r="AJ90" s="397">
        <v>10000</v>
      </c>
      <c r="AK90" s="397">
        <v>21100</v>
      </c>
      <c r="AL90" s="397">
        <v>32500</v>
      </c>
      <c r="AM90" s="397">
        <v>32500</v>
      </c>
      <c r="AN90" s="398">
        <v>32500</v>
      </c>
      <c r="AO90" s="396"/>
      <c r="AP90" s="397"/>
      <c r="AQ90" s="397"/>
      <c r="AR90" s="397"/>
      <c r="AS90" s="397"/>
      <c r="AT90" s="397"/>
      <c r="AU90" s="397"/>
      <c r="AV90" s="397"/>
      <c r="AW90" s="397"/>
      <c r="AX90" s="397"/>
      <c r="AY90" s="397"/>
      <c r="AZ90" s="398"/>
      <c r="BA90" s="425">
        <f t="shared" si="45"/>
        <v>166218.4</v>
      </c>
    </row>
    <row r="91" spans="1:53" s="29" customFormat="1" ht="20.100000000000001" customHeight="1">
      <c r="A91" s="30" t="str">
        <f>Vecinos!A91</f>
        <v>Familia Gascón Domínguez</v>
      </c>
      <c r="B91" s="31" t="str">
        <f>Vecinos!C91</f>
        <v>Calle Güigüe Nro. 88-70</v>
      </c>
      <c r="C91" s="36" t="str">
        <f>IF(SUMIFS(Vigilancia!$E:$E,Vigilancia!$F:$F,A91,Vigilancia!$J:$J,"Vigilancia")=BA91,"ü","û")</f>
        <v>ü</v>
      </c>
      <c r="D91" s="187"/>
      <c r="E91" s="188">
        <f>10000/100000</f>
        <v>0.1</v>
      </c>
      <c r="F91" s="189">
        <f>10000/100000</f>
        <v>0.1</v>
      </c>
      <c r="G91" s="189">
        <f>10000/100000</f>
        <v>0.1</v>
      </c>
      <c r="H91" s="182">
        <f>17000/100000</f>
        <v>0.17</v>
      </c>
      <c r="I91" s="182">
        <f>26000/100000</f>
        <v>0.26</v>
      </c>
      <c r="J91" s="182">
        <f>26000/100000</f>
        <v>0.26</v>
      </c>
      <c r="K91" s="182">
        <f>35000/100000</f>
        <v>0.35</v>
      </c>
      <c r="L91" s="182">
        <f>35000/100000</f>
        <v>0.35</v>
      </c>
      <c r="M91" s="182">
        <f>35000/100000</f>
        <v>0.35</v>
      </c>
      <c r="N91" s="182">
        <f>35000/100000</f>
        <v>0.35</v>
      </c>
      <c r="O91" s="182">
        <f>50000/100000</f>
        <v>0.5</v>
      </c>
      <c r="P91" s="180">
        <f>50000/100000</f>
        <v>0.5</v>
      </c>
      <c r="Q91" s="184">
        <f>80000/100000</f>
        <v>0.8</v>
      </c>
      <c r="R91" s="185">
        <f>80000/100000</f>
        <v>0.8</v>
      </c>
      <c r="S91" s="185">
        <f>140000/100000</f>
        <v>1.4</v>
      </c>
      <c r="T91" s="185">
        <f>140000/100000</f>
        <v>1.4</v>
      </c>
      <c r="U91" s="185">
        <f>400000/100000</f>
        <v>4</v>
      </c>
      <c r="V91" s="185">
        <f>625000/100000</f>
        <v>6.25</v>
      </c>
      <c r="W91" s="185">
        <f>1000000/100000</f>
        <v>10</v>
      </c>
      <c r="X91" s="185">
        <v>12</v>
      </c>
      <c r="Y91" s="185">
        <v>320</v>
      </c>
      <c r="Z91" s="185">
        <v>320</v>
      </c>
      <c r="AA91" s="185">
        <v>320</v>
      </c>
      <c r="AB91" s="180">
        <v>800</v>
      </c>
      <c r="AC91" s="399">
        <v>3000</v>
      </c>
      <c r="AD91" s="400">
        <v>3000</v>
      </c>
      <c r="AE91" s="405">
        <v>3000</v>
      </c>
      <c r="AF91" s="400">
        <v>5000</v>
      </c>
      <c r="AG91" s="400">
        <v>8000</v>
      </c>
      <c r="AH91" s="400">
        <v>8000</v>
      </c>
      <c r="AI91" s="400">
        <f>8000+2000</f>
        <v>10000</v>
      </c>
      <c r="AJ91" s="400">
        <v>10000</v>
      </c>
      <c r="AK91" s="400">
        <v>21600</v>
      </c>
      <c r="AL91" s="400">
        <f>19800+31450</f>
        <v>51250</v>
      </c>
      <c r="AM91" s="405">
        <v>64500</v>
      </c>
      <c r="AN91" s="401">
        <v>105250</v>
      </c>
      <c r="AO91" s="399">
        <v>136250</v>
      </c>
      <c r="AP91" s="400"/>
      <c r="AQ91" s="405"/>
      <c r="AR91" s="400"/>
      <c r="AS91" s="400"/>
      <c r="AT91" s="400"/>
      <c r="AU91" s="400"/>
      <c r="AV91" s="400"/>
      <c r="AW91" s="400"/>
      <c r="AX91" s="400"/>
      <c r="AY91" s="400"/>
      <c r="AZ91" s="401"/>
      <c r="BA91" s="426">
        <f t="shared" si="45"/>
        <v>430650.04000000004</v>
      </c>
    </row>
    <row r="92" spans="1:53" s="29" customFormat="1" ht="20.100000000000001" customHeight="1">
      <c r="A92" s="30" t="str">
        <f>Vecinos!A92</f>
        <v>Colegio El Trigal</v>
      </c>
      <c r="B92" s="31" t="str">
        <f>Vecinos!C92</f>
        <v>Calle Güigüe Nros. 88-71 y 88-81</v>
      </c>
      <c r="C92" s="36" t="str">
        <f>IF(SUMIFS(Vigilancia!$E:$E,Vigilancia!$F:$F,A92,Vigilancia!$J:$J,"Vigilancia")=BA92,"ü","û")</f>
        <v>ü</v>
      </c>
      <c r="D92" s="180"/>
      <c r="E92" s="181">
        <f>10000/100000+20000/100000</f>
        <v>0.30000000000000004</v>
      </c>
      <c r="F92" s="182">
        <f>30000/100000</f>
        <v>0.3</v>
      </c>
      <c r="G92" s="182">
        <f>30000/100000</f>
        <v>0.3</v>
      </c>
      <c r="H92" s="182">
        <f>30000/100000</f>
        <v>0.3</v>
      </c>
      <c r="I92" s="182">
        <f>40000/100000</f>
        <v>0.4</v>
      </c>
      <c r="J92" s="182">
        <f>40000/100000</f>
        <v>0.4</v>
      </c>
      <c r="K92" s="182">
        <f>54000/100000</f>
        <v>0.54</v>
      </c>
      <c r="L92" s="182">
        <f>54000/100000</f>
        <v>0.54</v>
      </c>
      <c r="M92" s="182">
        <f>54000/100000</f>
        <v>0.54</v>
      </c>
      <c r="N92" s="182">
        <f>54000/100000</f>
        <v>0.54</v>
      </c>
      <c r="O92" s="182">
        <f>71000/100000</f>
        <v>0.71</v>
      </c>
      <c r="P92" s="180">
        <f>71000/100000</f>
        <v>0.71</v>
      </c>
      <c r="Q92" s="184">
        <f>113600/100000</f>
        <v>1.1359999999999999</v>
      </c>
      <c r="R92" s="185">
        <f>113600/100000</f>
        <v>1.1359999999999999</v>
      </c>
      <c r="S92" s="185">
        <f>200000/100000</f>
        <v>2</v>
      </c>
      <c r="T92" s="185">
        <f>200000/100000</f>
        <v>2</v>
      </c>
      <c r="U92" s="185">
        <f>580000/100000</f>
        <v>5.8</v>
      </c>
      <c r="V92" s="185">
        <f>905000/100000</f>
        <v>9.0500000000000007</v>
      </c>
      <c r="W92" s="185">
        <f>1450000/100000</f>
        <v>14.5</v>
      </c>
      <c r="X92" s="185">
        <f>1740000/100000</f>
        <v>17.399999999999999</v>
      </c>
      <c r="Y92" s="185">
        <v>465</v>
      </c>
      <c r="Z92" s="185">
        <v>465</v>
      </c>
      <c r="AA92" s="185">
        <v>465</v>
      </c>
      <c r="AB92" s="180">
        <v>1160</v>
      </c>
      <c r="AC92" s="399">
        <f>1160+3190</f>
        <v>4350</v>
      </c>
      <c r="AD92" s="400">
        <v>4350</v>
      </c>
      <c r="AE92" s="400">
        <v>4350</v>
      </c>
      <c r="AF92" s="400">
        <f>4350+2900</f>
        <v>7250</v>
      </c>
      <c r="AG92" s="400">
        <v>11600</v>
      </c>
      <c r="AH92" s="400">
        <v>11600</v>
      </c>
      <c r="AI92" s="400">
        <v>14500</v>
      </c>
      <c r="AJ92" s="405">
        <v>14500</v>
      </c>
      <c r="AK92" s="400">
        <v>29725</v>
      </c>
      <c r="AL92" s="400">
        <f>29435+38715</f>
        <v>68150</v>
      </c>
      <c r="AM92" s="400">
        <v>118540</v>
      </c>
      <c r="AN92" s="401">
        <v>141375</v>
      </c>
      <c r="AO92" s="399">
        <v>197575</v>
      </c>
      <c r="AP92" s="400">
        <v>197575</v>
      </c>
      <c r="AQ92" s="400"/>
      <c r="AR92" s="400"/>
      <c r="AS92" s="400"/>
      <c r="AT92" s="400"/>
      <c r="AU92" s="400"/>
      <c r="AV92" s="405"/>
      <c r="AW92" s="400"/>
      <c r="AX92" s="400"/>
      <c r="AY92" s="400"/>
      <c r="AZ92" s="401"/>
      <c r="BA92" s="426">
        <f t="shared" si="45"/>
        <v>828053.60199999996</v>
      </c>
    </row>
    <row r="93" spans="1:53" s="29" customFormat="1" ht="20.100000000000001" customHeight="1">
      <c r="A93" s="33" t="str">
        <f>Vecinos!A93</f>
        <v>Zoraida Khair</v>
      </c>
      <c r="B93" s="34" t="str">
        <f>Vecinos!C93</f>
        <v>Calle Güigüe Nro. 88-80</v>
      </c>
      <c r="C93" s="35" t="str">
        <f>IF(SUMIFS(Vigilancia!$E:$E,Vigilancia!$F:$F,A93,Vigilancia!$J:$J,"Vigilancia")=BA93,"ü","û")</f>
        <v>ü</v>
      </c>
      <c r="D93" s="187"/>
      <c r="E93" s="188"/>
      <c r="F93" s="189">
        <f>6000/100000</f>
        <v>0.06</v>
      </c>
      <c r="G93" s="189"/>
      <c r="H93" s="189"/>
      <c r="I93" s="189">
        <f>10000/100000</f>
        <v>0.1</v>
      </c>
      <c r="J93" s="189">
        <f>25000/100000</f>
        <v>0.25</v>
      </c>
      <c r="K93" s="189">
        <f>25000/100000</f>
        <v>0.25</v>
      </c>
      <c r="L93" s="189">
        <f>25000/100000</f>
        <v>0.25</v>
      </c>
      <c r="M93" s="189">
        <f>25000/100000</f>
        <v>0.25</v>
      </c>
      <c r="N93" s="189">
        <f>40000/100000</f>
        <v>0.4</v>
      </c>
      <c r="O93" s="189">
        <f>40000/100000</f>
        <v>0.4</v>
      </c>
      <c r="P93" s="187">
        <f>40000/100000</f>
        <v>0.4</v>
      </c>
      <c r="Q93" s="190">
        <f>100000/100000</f>
        <v>1</v>
      </c>
      <c r="R93" s="191">
        <f>100000/100000</f>
        <v>1</v>
      </c>
      <c r="S93" s="191">
        <f>100000/100000</f>
        <v>1</v>
      </c>
      <c r="T93" s="191">
        <f>100000/100000</f>
        <v>1</v>
      </c>
      <c r="U93" s="191">
        <f>400000/100000</f>
        <v>4</v>
      </c>
      <c r="V93" s="191">
        <f>625000/100000</f>
        <v>6.25</v>
      </c>
      <c r="W93" s="191">
        <f>1000000/100000</f>
        <v>10</v>
      </c>
      <c r="X93" s="191">
        <f>400000/100000+800000/100000</f>
        <v>12</v>
      </c>
      <c r="Y93" s="191">
        <f>400000/100000+316</f>
        <v>320</v>
      </c>
      <c r="Z93" s="191">
        <v>320</v>
      </c>
      <c r="AA93" s="191">
        <v>320</v>
      </c>
      <c r="AB93" s="187">
        <v>800</v>
      </c>
      <c r="AC93" s="396">
        <v>3000</v>
      </c>
      <c r="AD93" s="397">
        <v>3000</v>
      </c>
      <c r="AE93" s="397">
        <f>345.55+2020</f>
        <v>2365.5500000000002</v>
      </c>
      <c r="AF93" s="397">
        <v>5000</v>
      </c>
      <c r="AG93" s="397">
        <f>4000+4000</f>
        <v>8000</v>
      </c>
      <c r="AH93" s="397">
        <v>8000</v>
      </c>
      <c r="AI93" s="397">
        <v>8000</v>
      </c>
      <c r="AJ93" s="397">
        <v>10000</v>
      </c>
      <c r="AK93" s="397">
        <f>10000+13000</f>
        <v>23000</v>
      </c>
      <c r="AL93" s="397">
        <f>10000+11000+23000+7250</f>
        <v>51250</v>
      </c>
      <c r="AM93" s="397">
        <f>13000+18000+21000</f>
        <v>52000</v>
      </c>
      <c r="AN93" s="398">
        <f>20000+20000</f>
        <v>40000</v>
      </c>
      <c r="AO93" s="396">
        <f>30000+107000</f>
        <v>137000</v>
      </c>
      <c r="AP93" s="397"/>
      <c r="AQ93" s="397"/>
      <c r="AR93" s="397"/>
      <c r="AS93" s="397"/>
      <c r="AT93" s="397"/>
      <c r="AU93" s="397"/>
      <c r="AV93" s="397"/>
      <c r="AW93" s="397"/>
      <c r="AX93" s="397"/>
      <c r="AY93" s="397"/>
      <c r="AZ93" s="398"/>
      <c r="BA93" s="425">
        <f t="shared" si="45"/>
        <v>352414.16000000003</v>
      </c>
    </row>
    <row r="94" spans="1:53" s="29" customFormat="1" ht="20.100000000000001" customHeight="1">
      <c r="A94" s="30" t="str">
        <f>Vecinos!A94</f>
        <v>Familia Matta Palomino</v>
      </c>
      <c r="B94" s="31" t="str">
        <f>Vecinos!C94</f>
        <v>Calle Güigüe Nro. 88-90</v>
      </c>
      <c r="C94" s="36" t="str">
        <f>IF(SUMIFS(Vigilancia!$E:$E,Vigilancia!$F:$F,A94,Vigilancia!$J:$J,"Vigilancia")=BA94,"ü","û")</f>
        <v>ü</v>
      </c>
      <c r="D94" s="180"/>
      <c r="E94" s="181">
        <f>17000/100000</f>
        <v>0.17</v>
      </c>
      <c r="F94" s="182">
        <f>17000/100000</f>
        <v>0.17</v>
      </c>
      <c r="G94" s="183">
        <f>16000/100000</f>
        <v>0.16</v>
      </c>
      <c r="H94" s="183">
        <f>16000/100000</f>
        <v>0.16</v>
      </c>
      <c r="I94" s="182">
        <f>26000/100000</f>
        <v>0.26</v>
      </c>
      <c r="J94" s="182">
        <f>26000/100000</f>
        <v>0.26</v>
      </c>
      <c r="K94" s="182">
        <f>35000/100000</f>
        <v>0.35</v>
      </c>
      <c r="L94" s="182">
        <f>35000/100000</f>
        <v>0.35</v>
      </c>
      <c r="M94" s="182">
        <f>2000/100000+33000/100000</f>
        <v>0.35000000000000003</v>
      </c>
      <c r="N94" s="182">
        <f>35000/100000</f>
        <v>0.35</v>
      </c>
      <c r="O94" s="182">
        <f>50000/100000</f>
        <v>0.5</v>
      </c>
      <c r="P94" s="180">
        <f>50000/100000</f>
        <v>0.5</v>
      </c>
      <c r="Q94" s="184">
        <f>80000/100000</f>
        <v>0.8</v>
      </c>
      <c r="R94" s="185">
        <f>80000/100000</f>
        <v>0.8</v>
      </c>
      <c r="S94" s="185">
        <f>140000/100000</f>
        <v>1.4</v>
      </c>
      <c r="T94" s="185">
        <f>140000/100000</f>
        <v>1.4</v>
      </c>
      <c r="U94" s="185">
        <f>400000/100000</f>
        <v>4</v>
      </c>
      <c r="V94" s="185">
        <f>625000/100000</f>
        <v>6.25</v>
      </c>
      <c r="W94" s="185">
        <f>850000/100000+150000/100000</f>
        <v>10</v>
      </c>
      <c r="X94" s="185">
        <f>1200000/100000</f>
        <v>12</v>
      </c>
      <c r="Y94" s="185">
        <v>320</v>
      </c>
      <c r="Z94" s="185">
        <v>320</v>
      </c>
      <c r="AA94" s="185">
        <v>320</v>
      </c>
      <c r="AB94" s="180">
        <v>800</v>
      </c>
      <c r="AC94" s="399">
        <v>3000</v>
      </c>
      <c r="AD94" s="400">
        <v>3000</v>
      </c>
      <c r="AE94" s="400">
        <v>3000</v>
      </c>
      <c r="AF94" s="400">
        <v>5000</v>
      </c>
      <c r="AG94" s="400">
        <v>8000</v>
      </c>
      <c r="AH94" s="400">
        <v>8000</v>
      </c>
      <c r="AI94" s="400">
        <v>10000</v>
      </c>
      <c r="AJ94" s="400">
        <v>10000</v>
      </c>
      <c r="AK94" s="400">
        <v>21100</v>
      </c>
      <c r="AL94" s="400">
        <f>19800+36450+3550</f>
        <v>59800</v>
      </c>
      <c r="AM94" s="400">
        <v>97500</v>
      </c>
      <c r="AN94" s="401">
        <v>136250</v>
      </c>
      <c r="AO94" s="399">
        <v>136250</v>
      </c>
      <c r="AP94" s="400"/>
      <c r="AQ94" s="400"/>
      <c r="AR94" s="400"/>
      <c r="AS94" s="400"/>
      <c r="AT94" s="400"/>
      <c r="AU94" s="400"/>
      <c r="AV94" s="400"/>
      <c r="AW94" s="400"/>
      <c r="AX94" s="400"/>
      <c r="AY94" s="400"/>
      <c r="AZ94" s="401"/>
      <c r="BA94" s="426">
        <f t="shared" si="45"/>
        <v>502700.23</v>
      </c>
    </row>
    <row r="95" spans="1:53" s="29" customFormat="1" ht="20.100000000000001" customHeight="1">
      <c r="A95" s="30" t="str">
        <f>Vecinos!A95</f>
        <v>Familia Castillo Rodríguez</v>
      </c>
      <c r="B95" s="31" t="str">
        <f>Vecinos!C95</f>
        <v>Calle Güigüe Nro. 88-91</v>
      </c>
      <c r="C95" s="36" t="str">
        <f>IF(SUMIFS(Vigilancia!$E:$E,Vigilancia!$F:$F,A95,Vigilancia!$J:$J,"Vigilancia")=BA95,"ü","û")</f>
        <v>ü</v>
      </c>
      <c r="D95" s="180"/>
      <c r="E95" s="181">
        <f>17000/100000</f>
        <v>0.17</v>
      </c>
      <c r="F95" s="182">
        <f>17000/100000</f>
        <v>0.17</v>
      </c>
      <c r="G95" s="226"/>
      <c r="H95" s="226"/>
      <c r="I95" s="182">
        <f>26000/100000</f>
        <v>0.26</v>
      </c>
      <c r="J95" s="182">
        <f>26000/100000</f>
        <v>0.26</v>
      </c>
      <c r="K95" s="227">
        <f>26000/100000</f>
        <v>0.26</v>
      </c>
      <c r="L95" s="182"/>
      <c r="M95" s="182"/>
      <c r="N95" s="182"/>
      <c r="O95" s="182"/>
      <c r="P95" s="180"/>
      <c r="Q95" s="184"/>
      <c r="R95" s="185"/>
      <c r="S95" s="185"/>
      <c r="T95" s="185"/>
      <c r="U95" s="185"/>
      <c r="V95" s="185"/>
      <c r="W95" s="185"/>
      <c r="X95" s="185"/>
      <c r="Y95" s="185"/>
      <c r="Z95" s="185"/>
      <c r="AA95" s="185"/>
      <c r="AB95" s="180"/>
      <c r="AC95" s="399"/>
      <c r="AD95" s="400"/>
      <c r="AE95" s="400"/>
      <c r="AF95" s="400"/>
      <c r="AG95" s="400"/>
      <c r="AH95" s="400"/>
      <c r="AI95" s="400"/>
      <c r="AJ95" s="400"/>
      <c r="AK95" s="400"/>
      <c r="AL95" s="400">
        <v>159299</v>
      </c>
      <c r="AM95" s="400">
        <v>81750</v>
      </c>
      <c r="AN95" s="401"/>
      <c r="AO95" s="399"/>
      <c r="AP95" s="400"/>
      <c r="AQ95" s="400"/>
      <c r="AR95" s="400"/>
      <c r="AS95" s="400"/>
      <c r="AT95" s="400"/>
      <c r="AU95" s="400"/>
      <c r="AV95" s="400"/>
      <c r="AW95" s="400"/>
      <c r="AX95" s="400"/>
      <c r="AY95" s="400"/>
      <c r="AZ95" s="401"/>
      <c r="BA95" s="426">
        <f t="shared" si="45"/>
        <v>241050.12</v>
      </c>
    </row>
    <row r="96" spans="1:53" s="29" customFormat="1" ht="20.100000000000001" customHeight="1">
      <c r="A96" s="30" t="str">
        <f>Vecinos!A96</f>
        <v>Familia Hernández Castillo</v>
      </c>
      <c r="B96" s="31" t="str">
        <f>Vecinos!C96</f>
        <v>Calle Güigüe Nro. 88-94</v>
      </c>
      <c r="C96" s="36" t="str">
        <f>IF(SUMIFS(Vigilancia!$E:$E,Vigilancia!$F:$F,A96,Vigilancia!$J:$J,"Vigilancia")=BA96,"ü","û")</f>
        <v>ü</v>
      </c>
      <c r="D96" s="180"/>
      <c r="E96" s="181"/>
      <c r="F96" s="182"/>
      <c r="G96" s="182"/>
      <c r="H96" s="182"/>
      <c r="I96" s="182"/>
      <c r="J96" s="182"/>
      <c r="K96" s="182"/>
      <c r="L96" s="182"/>
      <c r="M96" s="182"/>
      <c r="N96" s="182"/>
      <c r="O96" s="182"/>
      <c r="P96" s="180"/>
      <c r="Q96" s="184"/>
      <c r="R96" s="185"/>
      <c r="S96" s="185"/>
      <c r="T96" s="185"/>
      <c r="U96" s="185"/>
      <c r="V96" s="185"/>
      <c r="W96" s="185"/>
      <c r="X96" s="185"/>
      <c r="Y96" s="185"/>
      <c r="Z96" s="185"/>
      <c r="AA96" s="185"/>
      <c r="AB96" s="180"/>
      <c r="AC96" s="399"/>
      <c r="AD96" s="400"/>
      <c r="AE96" s="400"/>
      <c r="AF96" s="400"/>
      <c r="AG96" s="400"/>
      <c r="AH96" s="400"/>
      <c r="AI96" s="400"/>
      <c r="AJ96" s="400"/>
      <c r="AK96" s="400"/>
      <c r="AL96" s="400"/>
      <c r="AM96" s="400"/>
      <c r="AN96" s="401"/>
      <c r="AO96" s="399"/>
      <c r="AP96" s="400"/>
      <c r="AQ96" s="400"/>
      <c r="AR96" s="400"/>
      <c r="AS96" s="400"/>
      <c r="AT96" s="400"/>
      <c r="AU96" s="400"/>
      <c r="AV96" s="400"/>
      <c r="AW96" s="400"/>
      <c r="AX96" s="400"/>
      <c r="AY96" s="400"/>
      <c r="AZ96" s="401"/>
      <c r="BA96" s="426">
        <f t="shared" si="45"/>
        <v>0</v>
      </c>
    </row>
    <row r="97" spans="1:53" s="29" customFormat="1" ht="20.100000000000001" customHeight="1">
      <c r="A97" s="30" t="str">
        <f>Vecinos!A97</f>
        <v>Familia Castillo Mena</v>
      </c>
      <c r="B97" s="31" t="str">
        <f>Vecinos!C97</f>
        <v>Calle Güigüe Nro. 88-101</v>
      </c>
      <c r="C97" s="36" t="str">
        <f>IF(SUMIFS(Vigilancia!$E:$E,Vigilancia!$F:$F,A97,Vigilancia!$J:$J,"Vigilancia")=BA97,"ü","û")</f>
        <v>ü</v>
      </c>
      <c r="D97" s="180"/>
      <c r="E97" s="181">
        <f>17000/100000</f>
        <v>0.17</v>
      </c>
      <c r="F97" s="182">
        <f>17000/100000</f>
        <v>0.17</v>
      </c>
      <c r="G97" s="182">
        <f>17000/100000</f>
        <v>0.17</v>
      </c>
      <c r="H97" s="182">
        <f>17000/100000</f>
        <v>0.17</v>
      </c>
      <c r="I97" s="182">
        <f>26000/100000</f>
        <v>0.26</v>
      </c>
      <c r="J97" s="182">
        <f>26000/100000</f>
        <v>0.26</v>
      </c>
      <c r="K97" s="182">
        <f>35000/100000</f>
        <v>0.35</v>
      </c>
      <c r="L97" s="182">
        <f>35000/100000</f>
        <v>0.35</v>
      </c>
      <c r="M97" s="182">
        <f>35000/100000</f>
        <v>0.35</v>
      </c>
      <c r="N97" s="182">
        <f>35000/100000</f>
        <v>0.35</v>
      </c>
      <c r="O97" s="182">
        <f>50000/100000</f>
        <v>0.5</v>
      </c>
      <c r="P97" s="180">
        <f>50000/100000</f>
        <v>0.5</v>
      </c>
      <c r="Q97" s="184">
        <f>80000/100000</f>
        <v>0.8</v>
      </c>
      <c r="R97" s="185">
        <f>80000/100000</f>
        <v>0.8</v>
      </c>
      <c r="S97" s="185">
        <f>140000/100000</f>
        <v>1.4</v>
      </c>
      <c r="T97" s="185">
        <f>140000/100000</f>
        <v>1.4</v>
      </c>
      <c r="U97" s="185">
        <f>400000/100000</f>
        <v>4</v>
      </c>
      <c r="V97" s="185">
        <f>625000/100000</f>
        <v>6.25</v>
      </c>
      <c r="W97" s="192">
        <f>1075000/100000-625000/100000+550000/100000</f>
        <v>10</v>
      </c>
      <c r="X97" s="185">
        <v>12</v>
      </c>
      <c r="Y97" s="185">
        <v>320</v>
      </c>
      <c r="Z97" s="185">
        <v>320</v>
      </c>
      <c r="AA97" s="185">
        <v>320</v>
      </c>
      <c r="AB97" s="180">
        <v>800</v>
      </c>
      <c r="AC97" s="404">
        <f>800+2200</f>
        <v>3000</v>
      </c>
      <c r="AD97" s="400">
        <v>3000</v>
      </c>
      <c r="AE97" s="400">
        <v>3000</v>
      </c>
      <c r="AF97" s="400">
        <v>5000</v>
      </c>
      <c r="AG97" s="400">
        <v>8000</v>
      </c>
      <c r="AH97" s="400">
        <v>8000</v>
      </c>
      <c r="AI97" s="400">
        <v>10000</v>
      </c>
      <c r="AJ97" s="400">
        <v>10000</v>
      </c>
      <c r="AK97" s="400">
        <v>21100</v>
      </c>
      <c r="AL97" s="400">
        <v>51250</v>
      </c>
      <c r="AM97" s="400">
        <v>81750</v>
      </c>
      <c r="AN97" s="401">
        <v>105250</v>
      </c>
      <c r="AO97" s="404">
        <v>136250</v>
      </c>
      <c r="AP97" s="400"/>
      <c r="AQ97" s="400"/>
      <c r="AR97" s="400"/>
      <c r="AS97" s="400"/>
      <c r="AT97" s="400"/>
      <c r="AU97" s="400"/>
      <c r="AV97" s="400"/>
      <c r="AW97" s="400"/>
      <c r="AX97" s="400"/>
      <c r="AY97" s="400"/>
      <c r="AZ97" s="401"/>
      <c r="BA97" s="426">
        <f t="shared" si="45"/>
        <v>447400.25</v>
      </c>
    </row>
    <row r="98" spans="1:53" s="29" customFormat="1" ht="20.100000000000001" customHeight="1">
      <c r="A98" s="30" t="str">
        <f>Vecinos!A98</f>
        <v>Familia Centeno Rizzo</v>
      </c>
      <c r="B98" s="31" t="str">
        <f>Vecinos!C98</f>
        <v>Calle Güigüe Nro. 88-102</v>
      </c>
      <c r="C98" s="36" t="str">
        <f>IF(SUMIFS(Vigilancia!$E:$E,Vigilancia!$F:$F,A98,Vigilancia!$J:$J,"Vigilancia")=BA98,"ü","û")</f>
        <v>ü</v>
      </c>
      <c r="D98" s="180"/>
      <c r="E98" s="181"/>
      <c r="F98" s="182"/>
      <c r="G98" s="182"/>
      <c r="H98" s="182"/>
      <c r="I98" s="182"/>
      <c r="J98" s="182"/>
      <c r="K98" s="182"/>
      <c r="L98" s="182"/>
      <c r="M98" s="182"/>
      <c r="N98" s="182"/>
      <c r="O98" s="182"/>
      <c r="P98" s="180"/>
      <c r="Q98" s="184"/>
      <c r="R98" s="185"/>
      <c r="S98" s="185"/>
      <c r="T98" s="185"/>
      <c r="U98" s="185"/>
      <c r="V98" s="185"/>
      <c r="W98" s="185"/>
      <c r="X98" s="185"/>
      <c r="Y98" s="185"/>
      <c r="Z98" s="185"/>
      <c r="AA98" s="185"/>
      <c r="AB98" s="180"/>
      <c r="AC98" s="399"/>
      <c r="AD98" s="400"/>
      <c r="AE98" s="400"/>
      <c r="AF98" s="400"/>
      <c r="AG98" s="400"/>
      <c r="AH98" s="400"/>
      <c r="AI98" s="400"/>
      <c r="AJ98" s="400"/>
      <c r="AK98" s="400"/>
      <c r="AL98" s="400"/>
      <c r="AM98" s="400"/>
      <c r="AN98" s="401"/>
      <c r="AO98" s="399"/>
      <c r="AP98" s="400"/>
      <c r="AQ98" s="400"/>
      <c r="AR98" s="400"/>
      <c r="AS98" s="400"/>
      <c r="AT98" s="400"/>
      <c r="AU98" s="400"/>
      <c r="AV98" s="400"/>
      <c r="AW98" s="400"/>
      <c r="AX98" s="400"/>
      <c r="AY98" s="400"/>
      <c r="AZ98" s="401"/>
      <c r="BA98" s="426">
        <f t="shared" si="45"/>
        <v>0</v>
      </c>
    </row>
    <row r="99" spans="1:53" s="29" customFormat="1" ht="20.100000000000001" customHeight="1">
      <c r="A99" s="33" t="str">
        <f>Vecinos!A99</f>
        <v>Familia Pérez Malpica</v>
      </c>
      <c r="B99" s="34" t="str">
        <f>Vecinos!C99</f>
        <v>Calle Güigüe Nro. 88-110</v>
      </c>
      <c r="C99" s="35" t="str">
        <f>IF(SUMIFS(Vigilancia!$E:$E,Vigilancia!$F:$F,A99,Vigilancia!$J:$J,"Vigilancia")=BA99,"ü","û")</f>
        <v>ü</v>
      </c>
      <c r="D99" s="187"/>
      <c r="E99" s="188">
        <f>2000/100000</f>
        <v>0.02</v>
      </c>
      <c r="F99" s="189"/>
      <c r="G99" s="189"/>
      <c r="H99" s="189"/>
      <c r="I99" s="189"/>
      <c r="J99" s="189"/>
      <c r="K99" s="189"/>
      <c r="L99" s="189"/>
      <c r="M99" s="189"/>
      <c r="N99" s="189"/>
      <c r="O99" s="189"/>
      <c r="P99" s="187"/>
      <c r="Q99" s="190"/>
      <c r="R99" s="191"/>
      <c r="S99" s="191"/>
      <c r="T99" s="191"/>
      <c r="U99" s="191"/>
      <c r="V99" s="191"/>
      <c r="W99" s="191"/>
      <c r="X99" s="191"/>
      <c r="Y99" s="191"/>
      <c r="Z99" s="191"/>
      <c r="AA99" s="191"/>
      <c r="AB99" s="187"/>
      <c r="AC99" s="396"/>
      <c r="AD99" s="397"/>
      <c r="AE99" s="397"/>
      <c r="AF99" s="397"/>
      <c r="AG99" s="397"/>
      <c r="AH99" s="397"/>
      <c r="AI99" s="397"/>
      <c r="AJ99" s="397"/>
      <c r="AK99" s="397"/>
      <c r="AL99" s="397"/>
      <c r="AM99" s="397"/>
      <c r="AN99" s="398"/>
      <c r="AO99" s="396"/>
      <c r="AP99" s="397"/>
      <c r="AQ99" s="397"/>
      <c r="AR99" s="397"/>
      <c r="AS99" s="397"/>
      <c r="AT99" s="397"/>
      <c r="AU99" s="397"/>
      <c r="AV99" s="397"/>
      <c r="AW99" s="397"/>
      <c r="AX99" s="397"/>
      <c r="AY99" s="397"/>
      <c r="AZ99" s="398"/>
      <c r="BA99" s="425">
        <f t="shared" si="45"/>
        <v>0.02</v>
      </c>
    </row>
    <row r="100" spans="1:53" s="29" customFormat="1" ht="20.100000000000001" customHeight="1">
      <c r="A100" s="30" t="str">
        <f>Vecinos!A100</f>
        <v>Familia Astor Zamora</v>
      </c>
      <c r="B100" s="31" t="str">
        <f>Vecinos!C100</f>
        <v>Calle Güigüe Nro. 88-111</v>
      </c>
      <c r="C100" s="36" t="str">
        <f>IF(SUMIFS(Vigilancia!$E:$E,Vigilancia!$F:$F,A100,Vigilancia!$J:$J,"Vigilancia")=BA100,"ü","û")</f>
        <v>ü</v>
      </c>
      <c r="D100" s="180"/>
      <c r="E100" s="181">
        <f t="shared" ref="E100:H103" si="54">17000/100000</f>
        <v>0.17</v>
      </c>
      <c r="F100" s="182">
        <f t="shared" si="54"/>
        <v>0.17</v>
      </c>
      <c r="G100" s="182">
        <f t="shared" si="54"/>
        <v>0.17</v>
      </c>
      <c r="H100" s="182">
        <f t="shared" si="54"/>
        <v>0.17</v>
      </c>
      <c r="I100" s="182">
        <f t="shared" ref="I100:J103" si="55">26000/100000</f>
        <v>0.26</v>
      </c>
      <c r="J100" s="182">
        <f t="shared" si="55"/>
        <v>0.26</v>
      </c>
      <c r="K100" s="182">
        <f>35000/100000</f>
        <v>0.35</v>
      </c>
      <c r="L100" s="182">
        <f>35000/100000</f>
        <v>0.35</v>
      </c>
      <c r="M100" s="182"/>
      <c r="N100" s="182"/>
      <c r="O100" s="182"/>
      <c r="P100" s="180"/>
      <c r="Q100" s="184">
        <f>80000/100000</f>
        <v>0.8</v>
      </c>
      <c r="R100" s="185">
        <f>80000/100000</f>
        <v>0.8</v>
      </c>
      <c r="S100" s="185">
        <f t="shared" ref="S100:T103" si="56">140000/100000</f>
        <v>1.4</v>
      </c>
      <c r="T100" s="185">
        <f t="shared" si="56"/>
        <v>1.4</v>
      </c>
      <c r="U100" s="185">
        <f>400000/100000</f>
        <v>4</v>
      </c>
      <c r="V100" s="193">
        <v>3.25</v>
      </c>
      <c r="W100" s="185">
        <v>10</v>
      </c>
      <c r="X100" s="185">
        <v>12</v>
      </c>
      <c r="Y100" s="185">
        <v>320</v>
      </c>
      <c r="Z100" s="185">
        <v>320</v>
      </c>
      <c r="AA100" s="185">
        <v>320</v>
      </c>
      <c r="AB100" s="180">
        <v>800</v>
      </c>
      <c r="AC100" s="399">
        <v>3000</v>
      </c>
      <c r="AD100" s="400">
        <v>3000</v>
      </c>
      <c r="AE100" s="400">
        <v>3000</v>
      </c>
      <c r="AF100" s="400">
        <v>5000</v>
      </c>
      <c r="AG100" s="400">
        <f>5000+3000</f>
        <v>8000</v>
      </c>
      <c r="AH100" s="400">
        <v>8000</v>
      </c>
      <c r="AI100" s="400">
        <v>10000</v>
      </c>
      <c r="AJ100" s="400">
        <v>10000</v>
      </c>
      <c r="AK100" s="400">
        <v>19800</v>
      </c>
      <c r="AL100" s="400">
        <v>56250</v>
      </c>
      <c r="AM100" s="400"/>
      <c r="AN100" s="401"/>
      <c r="AO100" s="399"/>
      <c r="AP100" s="400"/>
      <c r="AQ100" s="400"/>
      <c r="AR100" s="400"/>
      <c r="AS100" s="400"/>
      <c r="AT100" s="400"/>
      <c r="AU100" s="400"/>
      <c r="AV100" s="400"/>
      <c r="AW100" s="400"/>
      <c r="AX100" s="400"/>
      <c r="AY100" s="400"/>
      <c r="AZ100" s="401"/>
      <c r="BA100" s="426">
        <f t="shared" si="45"/>
        <v>127845.55</v>
      </c>
    </row>
    <row r="101" spans="1:53" s="29" customFormat="1" ht="20.100000000000001" customHeight="1">
      <c r="A101" s="30" t="str">
        <f>Vecinos!A101</f>
        <v>Familia Díaz González</v>
      </c>
      <c r="B101" s="31" t="str">
        <f>Vecinos!C101</f>
        <v>Calle Güigüe Nro. 88-116</v>
      </c>
      <c r="C101" s="36" t="str">
        <f>IF(SUMIFS(Vigilancia!$E:$E,Vigilancia!$F:$F,A101,Vigilancia!$J:$J,"Vigilancia")=BA101,"ü","û")</f>
        <v>ü</v>
      </c>
      <c r="D101" s="180"/>
      <c r="E101" s="181">
        <f t="shared" si="54"/>
        <v>0.17</v>
      </c>
      <c r="F101" s="182">
        <f t="shared" si="54"/>
        <v>0.17</v>
      </c>
      <c r="G101" s="182">
        <f t="shared" si="54"/>
        <v>0.17</v>
      </c>
      <c r="H101" s="182">
        <f t="shared" si="54"/>
        <v>0.17</v>
      </c>
      <c r="I101" s="182">
        <f t="shared" si="55"/>
        <v>0.26</v>
      </c>
      <c r="J101" s="182">
        <f t="shared" si="55"/>
        <v>0.26</v>
      </c>
      <c r="K101" s="182">
        <f>26000/100000+9000/100000</f>
        <v>0.35</v>
      </c>
      <c r="L101" s="182">
        <f t="shared" ref="L101:N103" si="57">35000/100000</f>
        <v>0.35</v>
      </c>
      <c r="M101" s="182">
        <f t="shared" si="57"/>
        <v>0.35</v>
      </c>
      <c r="N101" s="182">
        <f t="shared" si="57"/>
        <v>0.35</v>
      </c>
      <c r="O101" s="182">
        <f>50000/100000</f>
        <v>0.5</v>
      </c>
      <c r="P101" s="180">
        <f>50000/100000</f>
        <v>0.5</v>
      </c>
      <c r="Q101" s="184">
        <f>80000/100000</f>
        <v>0.8</v>
      </c>
      <c r="R101" s="185">
        <f>80000/100000</f>
        <v>0.8</v>
      </c>
      <c r="S101" s="185">
        <f t="shared" si="56"/>
        <v>1.4</v>
      </c>
      <c r="T101" s="185">
        <f t="shared" si="56"/>
        <v>1.4</v>
      </c>
      <c r="U101" s="185">
        <f>400000/100000</f>
        <v>4</v>
      </c>
      <c r="V101" s="185">
        <f>625000/100000</f>
        <v>6.25</v>
      </c>
      <c r="W101" s="185">
        <f>1000000/100000</f>
        <v>10</v>
      </c>
      <c r="X101" s="185">
        <f>1200000/100000</f>
        <v>12</v>
      </c>
      <c r="Y101" s="185">
        <v>320</v>
      </c>
      <c r="Z101" s="185">
        <v>320</v>
      </c>
      <c r="AA101" s="185">
        <v>320</v>
      </c>
      <c r="AB101" s="180">
        <v>800</v>
      </c>
      <c r="AC101" s="399">
        <v>3000</v>
      </c>
      <c r="AD101" s="400">
        <v>3000</v>
      </c>
      <c r="AE101" s="400">
        <v>3000</v>
      </c>
      <c r="AF101" s="400">
        <v>5000</v>
      </c>
      <c r="AG101" s="400">
        <v>8000</v>
      </c>
      <c r="AH101" s="400">
        <v>8000</v>
      </c>
      <c r="AI101" s="400">
        <v>10000</v>
      </c>
      <c r="AJ101" s="400">
        <v>10000</v>
      </c>
      <c r="AK101" s="400">
        <v>19800</v>
      </c>
      <c r="AL101" s="400">
        <v>47000</v>
      </c>
      <c r="AM101" s="400">
        <v>64500</v>
      </c>
      <c r="AN101" s="401">
        <v>64500</v>
      </c>
      <c r="AO101" s="399">
        <v>136250</v>
      </c>
      <c r="AP101" s="400"/>
      <c r="AQ101" s="400"/>
      <c r="AR101" s="400"/>
      <c r="AS101" s="400"/>
      <c r="AT101" s="400"/>
      <c r="AU101" s="400"/>
      <c r="AV101" s="400"/>
      <c r="AW101" s="400"/>
      <c r="AX101" s="400"/>
      <c r="AY101" s="400"/>
      <c r="AZ101" s="401"/>
      <c r="BA101" s="426">
        <f t="shared" si="45"/>
        <v>383850.25</v>
      </c>
    </row>
    <row r="102" spans="1:53" s="29" customFormat="1" ht="20.100000000000001" customHeight="1">
      <c r="A102" s="30" t="str">
        <f>Vecinos!A102</f>
        <v>Familia Loponte Arteaga</v>
      </c>
      <c r="B102" s="31" t="str">
        <f>Vecinos!C102</f>
        <v>Calle Güigüe Nro. 88-120</v>
      </c>
      <c r="C102" s="36" t="str">
        <f>IF(SUMIFS(Vigilancia!$E:$E,Vigilancia!$F:$F,A102,Vigilancia!$J:$J,"Vigilancia")=BA102,"ü","û")</f>
        <v>ü</v>
      </c>
      <c r="D102" s="180"/>
      <c r="E102" s="196">
        <f>10500/100000</f>
        <v>0.105</v>
      </c>
      <c r="F102" s="182">
        <f t="shared" si="54"/>
        <v>0.17</v>
      </c>
      <c r="G102" s="182">
        <f t="shared" si="54"/>
        <v>0.17</v>
      </c>
      <c r="H102" s="182">
        <f t="shared" si="54"/>
        <v>0.17</v>
      </c>
      <c r="I102" s="182">
        <f t="shared" si="55"/>
        <v>0.26</v>
      </c>
      <c r="J102" s="182">
        <f t="shared" si="55"/>
        <v>0.26</v>
      </c>
      <c r="K102" s="227">
        <f>26000/100000</f>
        <v>0.26</v>
      </c>
      <c r="L102" s="182">
        <f t="shared" si="57"/>
        <v>0.35</v>
      </c>
      <c r="M102" s="182">
        <f t="shared" si="57"/>
        <v>0.35</v>
      </c>
      <c r="N102" s="182">
        <f t="shared" si="57"/>
        <v>0.35</v>
      </c>
      <c r="O102" s="182">
        <f>35000/100000+15000/100000</f>
        <v>0.5</v>
      </c>
      <c r="P102" s="180">
        <f>50000/100000</f>
        <v>0.5</v>
      </c>
      <c r="Q102" s="184">
        <f>50000/100000+30000/100000</f>
        <v>0.8</v>
      </c>
      <c r="R102" s="185">
        <f>80000/100000</f>
        <v>0.8</v>
      </c>
      <c r="S102" s="185">
        <f t="shared" si="56"/>
        <v>1.4</v>
      </c>
      <c r="T102" s="185">
        <f t="shared" si="56"/>
        <v>1.4</v>
      </c>
      <c r="U102" s="185">
        <f>400000/100000</f>
        <v>4</v>
      </c>
      <c r="V102" s="185">
        <f>400000/100000+225000/100000</f>
        <v>6.25</v>
      </c>
      <c r="W102" s="185">
        <f>400000/100000+600000/100000</f>
        <v>10</v>
      </c>
      <c r="X102" s="185">
        <f>1000000/100000+200000/100000</f>
        <v>12</v>
      </c>
      <c r="Y102" s="192">
        <f>1200000/100000+27+281</f>
        <v>320</v>
      </c>
      <c r="Z102" s="192">
        <v>320</v>
      </c>
      <c r="AA102" s="185">
        <v>320</v>
      </c>
      <c r="AB102" s="370">
        <f>320+180</f>
        <v>500</v>
      </c>
      <c r="AC102" s="404">
        <f>800+2200</f>
        <v>3000</v>
      </c>
      <c r="AD102" s="400">
        <f>300+2700</f>
        <v>3000</v>
      </c>
      <c r="AE102" s="400">
        <f>800+2200</f>
        <v>3000</v>
      </c>
      <c r="AF102" s="400">
        <f>3000+2000</f>
        <v>5000</v>
      </c>
      <c r="AG102" s="400">
        <f>3000+2000+3000</f>
        <v>8000</v>
      </c>
      <c r="AH102" s="400">
        <f>5000-3000+6000</f>
        <v>8000</v>
      </c>
      <c r="AI102" s="400">
        <v>10000</v>
      </c>
      <c r="AJ102" s="400">
        <v>10000</v>
      </c>
      <c r="AK102" s="575">
        <f>10000+10000</f>
        <v>20000</v>
      </c>
      <c r="AL102" s="400">
        <v>47000</v>
      </c>
      <c r="AM102" s="400">
        <v>56250</v>
      </c>
      <c r="AN102" s="401">
        <v>97500</v>
      </c>
      <c r="AO102" s="404">
        <v>136250</v>
      </c>
      <c r="AP102" s="400">
        <v>136250</v>
      </c>
      <c r="AQ102" s="400"/>
      <c r="AR102" s="400"/>
      <c r="AS102" s="400"/>
      <c r="AT102" s="400"/>
      <c r="AU102" s="400"/>
      <c r="AV102" s="400"/>
      <c r="AW102" s="400"/>
      <c r="AX102" s="400"/>
      <c r="AY102" s="400"/>
      <c r="AZ102" s="401"/>
      <c r="BA102" s="426">
        <f t="shared" si="45"/>
        <v>544750.09499999997</v>
      </c>
    </row>
    <row r="103" spans="1:53" s="29" customFormat="1" ht="20.100000000000001" customHeight="1">
      <c r="A103" s="59" t="str">
        <f>Vecinos!A103</f>
        <v>Familia Sayago Peñaranda</v>
      </c>
      <c r="B103" s="60" t="str">
        <f>Vecinos!C103</f>
        <v>Calle Güigüe Nro. 89-04</v>
      </c>
      <c r="C103" s="36" t="str">
        <f>IF(SUMIFS(Vigilancia!$E:$E,Vigilancia!$F:$F,A103,Vigilancia!$J:$J,"Vigilancia")=BA103,"ü","û")</f>
        <v>ü</v>
      </c>
      <c r="D103" s="180"/>
      <c r="E103" s="181">
        <f>17000/100000</f>
        <v>0.17</v>
      </c>
      <c r="F103" s="182">
        <f t="shared" si="54"/>
        <v>0.17</v>
      </c>
      <c r="G103" s="182">
        <f t="shared" si="54"/>
        <v>0.17</v>
      </c>
      <c r="H103" s="182">
        <f t="shared" si="54"/>
        <v>0.17</v>
      </c>
      <c r="I103" s="182">
        <f t="shared" si="55"/>
        <v>0.26</v>
      </c>
      <c r="J103" s="182">
        <f t="shared" si="55"/>
        <v>0.26</v>
      </c>
      <c r="K103" s="182">
        <f>35000/100000</f>
        <v>0.35</v>
      </c>
      <c r="L103" s="182">
        <f t="shared" si="57"/>
        <v>0.35</v>
      </c>
      <c r="M103" s="182">
        <f t="shared" si="57"/>
        <v>0.35</v>
      </c>
      <c r="N103" s="182">
        <f t="shared" si="57"/>
        <v>0.35</v>
      </c>
      <c r="O103" s="182">
        <f>35600/100000+14400/100000</f>
        <v>0.5</v>
      </c>
      <c r="P103" s="180">
        <f>34800/100000+15200/100000</f>
        <v>0.5</v>
      </c>
      <c r="Q103" s="184">
        <f>80000/100000</f>
        <v>0.8</v>
      </c>
      <c r="R103" s="185">
        <f>80000/100000</f>
        <v>0.8</v>
      </c>
      <c r="S103" s="185">
        <f t="shared" si="56"/>
        <v>1.4</v>
      </c>
      <c r="T103" s="185">
        <f t="shared" si="56"/>
        <v>1.4</v>
      </c>
      <c r="U103" s="225"/>
      <c r="V103" s="225"/>
      <c r="W103" s="225"/>
      <c r="X103" s="225"/>
      <c r="Y103" s="225"/>
      <c r="Z103" s="225"/>
      <c r="AA103" s="225"/>
      <c r="AB103" s="223"/>
      <c r="AC103" s="415"/>
      <c r="AD103" s="416"/>
      <c r="AE103" s="416"/>
      <c r="AF103" s="416"/>
      <c r="AG103" s="416"/>
      <c r="AH103" s="416"/>
      <c r="AI103" s="416"/>
      <c r="AJ103" s="416"/>
      <c r="AK103" s="416"/>
      <c r="AL103" s="416"/>
      <c r="AM103" s="416"/>
      <c r="AN103" s="417"/>
      <c r="AO103" s="415"/>
      <c r="AP103" s="416"/>
      <c r="AQ103" s="416"/>
      <c r="AR103" s="416"/>
      <c r="AS103" s="416"/>
      <c r="AT103" s="416"/>
      <c r="AU103" s="416"/>
      <c r="AV103" s="416"/>
      <c r="AW103" s="416"/>
      <c r="AX103" s="416"/>
      <c r="AY103" s="416"/>
      <c r="AZ103" s="417"/>
      <c r="BA103" s="430">
        <f t="shared" si="45"/>
        <v>8</v>
      </c>
    </row>
    <row r="104" spans="1:53" s="29" customFormat="1" ht="20.100000000000001" customHeight="1">
      <c r="A104" s="30" t="str">
        <f>Vecinos!A104</f>
        <v>Carmen Moreno</v>
      </c>
      <c r="B104" s="31" t="str">
        <f>Vecinos!C104</f>
        <v>Calle Güigüe Nro. 89-04</v>
      </c>
      <c r="C104" s="36" t="str">
        <f>IF(SUMIFS(Vigilancia!$E:$E,Vigilancia!$F:$F,A104,Vigilancia!$J:$J,"Vigilancia")=BA104,"ü","û")</f>
        <v>ü</v>
      </c>
      <c r="D104" s="208"/>
      <c r="E104" s="209"/>
      <c r="F104" s="210"/>
      <c r="G104" s="210"/>
      <c r="H104" s="210"/>
      <c r="I104" s="210"/>
      <c r="J104" s="210"/>
      <c r="K104" s="210"/>
      <c r="L104" s="210"/>
      <c r="M104" s="210"/>
      <c r="N104" s="210"/>
      <c r="O104" s="210"/>
      <c r="P104" s="208"/>
      <c r="Q104" s="211"/>
      <c r="R104" s="212"/>
      <c r="S104" s="212"/>
      <c r="T104" s="212"/>
      <c r="U104" s="185">
        <f>400000/100000</f>
        <v>4</v>
      </c>
      <c r="V104" s="185">
        <f>400000/100000+225000/100000</f>
        <v>6.25</v>
      </c>
      <c r="W104" s="185">
        <f>850000/100000+150000/100000</f>
        <v>10</v>
      </c>
      <c r="X104" s="185">
        <f>1200000/100000</f>
        <v>12</v>
      </c>
      <c r="Y104" s="185">
        <v>320</v>
      </c>
      <c r="Z104" s="192">
        <v>320</v>
      </c>
      <c r="AA104" s="185">
        <v>320</v>
      </c>
      <c r="AB104" s="180">
        <v>800</v>
      </c>
      <c r="AC104" s="404">
        <f>800+2200</f>
        <v>3000</v>
      </c>
      <c r="AD104" s="400">
        <v>3000</v>
      </c>
      <c r="AE104" s="400">
        <v>3000</v>
      </c>
      <c r="AF104" s="400">
        <f>3000+2000</f>
        <v>5000</v>
      </c>
      <c r="AG104" s="400">
        <v>8000</v>
      </c>
      <c r="AH104" s="400">
        <v>8000</v>
      </c>
      <c r="AI104" s="400">
        <v>10000</v>
      </c>
      <c r="AJ104" s="400">
        <v>10000</v>
      </c>
      <c r="AK104" s="400">
        <v>23400</v>
      </c>
      <c r="AL104" s="400">
        <f>21100+25900</f>
        <v>47000</v>
      </c>
      <c r="AM104" s="400">
        <v>73500</v>
      </c>
      <c r="AN104" s="401">
        <v>97500</v>
      </c>
      <c r="AO104" s="404">
        <v>136250</v>
      </c>
      <c r="AP104" s="400">
        <v>136250</v>
      </c>
      <c r="AQ104" s="400"/>
      <c r="AR104" s="400"/>
      <c r="AS104" s="400"/>
      <c r="AT104" s="400"/>
      <c r="AU104" s="400"/>
      <c r="AV104" s="400"/>
      <c r="AW104" s="400"/>
      <c r="AX104" s="400"/>
      <c r="AY104" s="400"/>
      <c r="AZ104" s="401"/>
      <c r="BA104" s="426">
        <f t="shared" si="45"/>
        <v>565692.25</v>
      </c>
    </row>
    <row r="105" spans="1:53" s="29" customFormat="1" ht="20.100000000000001" customHeight="1">
      <c r="A105" s="30" t="str">
        <f>Vecinos!A105</f>
        <v>Familia Acosta Carpio</v>
      </c>
      <c r="B105" s="31" t="str">
        <f>Vecinos!C105</f>
        <v>Calle Güigüe Nro. 89-10</v>
      </c>
      <c r="C105" s="36" t="str">
        <f>IF(SUMIFS(Vigilancia!$E:$E,Vigilancia!$F:$F,A105,Vigilancia!$J:$J,"Vigilancia")=BA105,"ü","û")</f>
        <v>ü</v>
      </c>
      <c r="D105" s="180"/>
      <c r="E105" s="181">
        <f>17000/100000</f>
        <v>0.17</v>
      </c>
      <c r="F105" s="182">
        <f>17000/100000</f>
        <v>0.17</v>
      </c>
      <c r="G105" s="182">
        <f>17000/100000</f>
        <v>0.17</v>
      </c>
      <c r="H105" s="182">
        <f>17000/100000</f>
        <v>0.17</v>
      </c>
      <c r="I105" s="182">
        <f>26000/100000</f>
        <v>0.26</v>
      </c>
      <c r="J105" s="182">
        <f>13000/100000+13000/100000</f>
        <v>0.26</v>
      </c>
      <c r="K105" s="182">
        <f>35000/100000</f>
        <v>0.35</v>
      </c>
      <c r="L105" s="182">
        <f>35000/100000</f>
        <v>0.35</v>
      </c>
      <c r="M105" s="182">
        <f>35000/100000</f>
        <v>0.35</v>
      </c>
      <c r="N105" s="182">
        <f>35000/100000</f>
        <v>0.35</v>
      </c>
      <c r="O105" s="182">
        <f>50000/100000</f>
        <v>0.5</v>
      </c>
      <c r="P105" s="180">
        <f>50000/100000</f>
        <v>0.5</v>
      </c>
      <c r="Q105" s="184">
        <f>80000/100000</f>
        <v>0.8</v>
      </c>
      <c r="R105" s="185">
        <f>80000/100000</f>
        <v>0.8</v>
      </c>
      <c r="S105" s="185">
        <f>140000/100000</f>
        <v>1.4</v>
      </c>
      <c r="T105" s="185">
        <f>140000/100000</f>
        <v>1.4</v>
      </c>
      <c r="U105" s="185">
        <f>400000/100000</f>
        <v>4</v>
      </c>
      <c r="V105" s="185">
        <f>625000/100000</f>
        <v>6.25</v>
      </c>
      <c r="W105" s="192">
        <f>375000/100000+625000/100000</f>
        <v>10</v>
      </c>
      <c r="X105" s="185">
        <f>1200000/100000</f>
        <v>12</v>
      </c>
      <c r="Y105" s="185">
        <v>320</v>
      </c>
      <c r="Z105" s="185">
        <v>320</v>
      </c>
      <c r="AA105" s="376"/>
      <c r="AB105" s="180">
        <v>800</v>
      </c>
      <c r="AC105" s="399">
        <v>3000</v>
      </c>
      <c r="AD105" s="400">
        <v>3000</v>
      </c>
      <c r="AE105" s="400">
        <v>3000</v>
      </c>
      <c r="AF105" s="400">
        <v>5000</v>
      </c>
      <c r="AG105" s="400">
        <v>8000</v>
      </c>
      <c r="AH105" s="400">
        <v>8000</v>
      </c>
      <c r="AI105" s="400">
        <v>10000</v>
      </c>
      <c r="AJ105" s="400">
        <v>10000</v>
      </c>
      <c r="AK105" s="400">
        <v>19800</v>
      </c>
      <c r="AL105" s="400">
        <v>52000</v>
      </c>
      <c r="AM105" s="400">
        <v>64500</v>
      </c>
      <c r="AN105" s="401">
        <v>105250</v>
      </c>
      <c r="AO105" s="399"/>
      <c r="AP105" s="400"/>
      <c r="AQ105" s="400"/>
      <c r="AR105" s="400"/>
      <c r="AS105" s="400"/>
      <c r="AT105" s="400"/>
      <c r="AU105" s="400"/>
      <c r="AV105" s="400"/>
      <c r="AW105" s="400"/>
      <c r="AX105" s="400"/>
      <c r="AY105" s="400"/>
      <c r="AZ105" s="401"/>
      <c r="BA105" s="426">
        <f t="shared" si="45"/>
        <v>293030.25</v>
      </c>
    </row>
    <row r="106" spans="1:53" s="29" customFormat="1" ht="20.100000000000001" customHeight="1">
      <c r="A106" s="33" t="str">
        <f>Vecinos!A106</f>
        <v>Silvia Power</v>
      </c>
      <c r="B106" s="34" t="str">
        <f>Vecinos!C106</f>
        <v>Calle Güigüe Nro. 89-16</v>
      </c>
      <c r="C106" s="35" t="str">
        <f>IF(SUMIFS(Vigilancia!$E:$E,Vigilancia!$F:$F,A106,Vigilancia!$J:$J,"Vigilancia")=BA106,"ü","û")</f>
        <v>ü</v>
      </c>
      <c r="D106" s="187"/>
      <c r="E106" s="188">
        <f>1500/100000</f>
        <v>1.4999999999999999E-2</v>
      </c>
      <c r="F106" s="189">
        <f>1500/100000</f>
        <v>1.4999999999999999E-2</v>
      </c>
      <c r="G106" s="228" t="s">
        <v>17</v>
      </c>
      <c r="H106" s="228" t="s">
        <v>17</v>
      </c>
      <c r="I106" s="228" t="s">
        <v>17</v>
      </c>
      <c r="J106" s="228" t="s">
        <v>17</v>
      </c>
      <c r="K106" s="228" t="s">
        <v>17</v>
      </c>
      <c r="L106" s="228" t="s">
        <v>17</v>
      </c>
      <c r="M106" s="228" t="s">
        <v>17</v>
      </c>
      <c r="N106" s="228" t="s">
        <v>17</v>
      </c>
      <c r="O106" s="228" t="s">
        <v>17</v>
      </c>
      <c r="P106" s="229" t="s">
        <v>17</v>
      </c>
      <c r="Q106" s="230" t="s">
        <v>17</v>
      </c>
      <c r="R106" s="191">
        <f>80000/100000</f>
        <v>0.8</v>
      </c>
      <c r="S106" s="191">
        <f>140000/100000</f>
        <v>1.4</v>
      </c>
      <c r="T106" s="191">
        <f>140000/100000</f>
        <v>1.4</v>
      </c>
      <c r="U106" s="191">
        <f>400000/100000-200000/100000</f>
        <v>2</v>
      </c>
      <c r="V106" s="191">
        <f>625000/100000-200000/100000</f>
        <v>4.25</v>
      </c>
      <c r="W106" s="191">
        <f>1000000/100000</f>
        <v>10</v>
      </c>
      <c r="X106" s="191"/>
      <c r="Y106" s="191"/>
      <c r="Z106" s="191"/>
      <c r="AA106" s="191"/>
      <c r="AB106" s="187"/>
      <c r="AC106" s="396"/>
      <c r="AD106" s="397"/>
      <c r="AE106" s="397"/>
      <c r="AF106" s="397">
        <v>5000</v>
      </c>
      <c r="AG106" s="397">
        <v>5000</v>
      </c>
      <c r="AH106" s="397">
        <v>5000</v>
      </c>
      <c r="AI106" s="397">
        <f>3500+1500</f>
        <v>5000</v>
      </c>
      <c r="AJ106" s="397">
        <v>5000</v>
      </c>
      <c r="AK106" s="397">
        <f>3500</f>
        <v>3500</v>
      </c>
      <c r="AL106" s="397">
        <v>16000</v>
      </c>
      <c r="AM106" s="397">
        <v>17000</v>
      </c>
      <c r="AN106" s="398">
        <v>17000</v>
      </c>
      <c r="AO106" s="396">
        <v>182800</v>
      </c>
      <c r="AP106" s="397"/>
      <c r="AQ106" s="397"/>
      <c r="AR106" s="397"/>
      <c r="AS106" s="397"/>
      <c r="AT106" s="397"/>
      <c r="AU106" s="397"/>
      <c r="AV106" s="397"/>
      <c r="AW106" s="397"/>
      <c r="AX106" s="397"/>
      <c r="AY106" s="397"/>
      <c r="AZ106" s="398"/>
      <c r="BA106" s="425">
        <f t="shared" si="45"/>
        <v>261319.88</v>
      </c>
    </row>
    <row r="107" spans="1:53" s="29" customFormat="1" ht="20.100000000000001" customHeight="1">
      <c r="A107" s="33" t="str">
        <f>Vecinos!A107</f>
        <v>Mibzar Cárdenas</v>
      </c>
      <c r="B107" s="34" t="str">
        <f>Vecinos!C107</f>
        <v>Calle Güigüe Nro. 89-16</v>
      </c>
      <c r="C107" s="35" t="str">
        <f>IF(SUMIFS(Vigilancia!$E:$E,Vigilancia!$F:$F,A107,Vigilancia!$J:$J,"Vigilancia")=BA107,"ü","û")</f>
        <v>ü</v>
      </c>
      <c r="D107" s="187"/>
      <c r="E107" s="188"/>
      <c r="F107" s="189"/>
      <c r="G107" s="228"/>
      <c r="H107" s="228"/>
      <c r="I107" s="228"/>
      <c r="J107" s="228"/>
      <c r="K107" s="228"/>
      <c r="L107" s="228"/>
      <c r="M107" s="228"/>
      <c r="N107" s="228"/>
      <c r="O107" s="228"/>
      <c r="P107" s="229"/>
      <c r="Q107" s="230"/>
      <c r="R107" s="191"/>
      <c r="S107" s="191"/>
      <c r="T107" s="191"/>
      <c r="U107" s="191"/>
      <c r="V107" s="191"/>
      <c r="W107" s="191"/>
      <c r="X107" s="191"/>
      <c r="Y107" s="191"/>
      <c r="Z107" s="191"/>
      <c r="AA107" s="191"/>
      <c r="AB107" s="187"/>
      <c r="AC107" s="396"/>
      <c r="AD107" s="397"/>
      <c r="AE107" s="397"/>
      <c r="AF107" s="397"/>
      <c r="AG107" s="397"/>
      <c r="AH107" s="397"/>
      <c r="AI107" s="397"/>
      <c r="AJ107" s="397"/>
      <c r="AK107" s="397"/>
      <c r="AL107" s="397"/>
      <c r="AM107" s="397"/>
      <c r="AN107" s="398"/>
      <c r="AO107" s="396"/>
      <c r="AP107" s="397"/>
      <c r="AQ107" s="397"/>
      <c r="AR107" s="397"/>
      <c r="AS107" s="397"/>
      <c r="AT107" s="397"/>
      <c r="AU107" s="397"/>
      <c r="AV107" s="397"/>
      <c r="AW107" s="397"/>
      <c r="AX107" s="397"/>
      <c r="AY107" s="397"/>
      <c r="AZ107" s="398"/>
      <c r="BA107" s="425">
        <f t="shared" si="45"/>
        <v>0</v>
      </c>
    </row>
    <row r="108" spans="1:53" s="29" customFormat="1" ht="20.100000000000001" customHeight="1">
      <c r="A108" s="30" t="str">
        <f>Vecinos!A108</f>
        <v>Familia Piñero Padilla</v>
      </c>
      <c r="B108" s="31" t="str">
        <f>Vecinos!C108</f>
        <v>Calle Güigüe Nro. 89-21</v>
      </c>
      <c r="C108" s="36" t="str">
        <f>IF(SUMIFS(Vigilancia!$E:$E,Vigilancia!$F:$F,A108,Vigilancia!$J:$J,"Vigilancia")=BA108,"ü","û")</f>
        <v>ü</v>
      </c>
      <c r="D108" s="180"/>
      <c r="E108" s="181">
        <f>17000/100000</f>
        <v>0.17</v>
      </c>
      <c r="F108" s="182">
        <f>17000/100000</f>
        <v>0.17</v>
      </c>
      <c r="G108" s="182">
        <f>17000/100000</f>
        <v>0.17</v>
      </c>
      <c r="H108" s="182">
        <f>17000/100000</f>
        <v>0.17</v>
      </c>
      <c r="I108" s="182">
        <f>26000/100000</f>
        <v>0.26</v>
      </c>
      <c r="J108" s="182">
        <f>26000/100000</f>
        <v>0.26</v>
      </c>
      <c r="K108" s="182">
        <f t="shared" ref="K108:N109" si="58">35000/100000</f>
        <v>0.35</v>
      </c>
      <c r="L108" s="182">
        <f t="shared" si="58"/>
        <v>0.35</v>
      </c>
      <c r="M108" s="182">
        <f t="shared" si="58"/>
        <v>0.35</v>
      </c>
      <c r="N108" s="182">
        <f t="shared" si="58"/>
        <v>0.35</v>
      </c>
      <c r="O108" s="182">
        <f>50000/100000</f>
        <v>0.5</v>
      </c>
      <c r="P108" s="180">
        <f>50000/100000</f>
        <v>0.5</v>
      </c>
      <c r="Q108" s="184">
        <f>50000/100000+12450/100000+17550/100000</f>
        <v>0.8</v>
      </c>
      <c r="R108" s="185">
        <f>80000/100000</f>
        <v>0.8</v>
      </c>
      <c r="S108" s="185">
        <f>100000/100000-80000/100000-17550/100000+97550/100000+40000/100000</f>
        <v>1.4</v>
      </c>
      <c r="T108" s="185">
        <f>140000/100000</f>
        <v>1.4</v>
      </c>
      <c r="U108" s="185">
        <f>400000/100000</f>
        <v>4</v>
      </c>
      <c r="V108" s="185">
        <f>625000/100000</f>
        <v>6.25</v>
      </c>
      <c r="W108" s="185">
        <f>1000000/100000</f>
        <v>10</v>
      </c>
      <c r="X108" s="185">
        <v>12</v>
      </c>
      <c r="Y108" s="185">
        <v>320</v>
      </c>
      <c r="Z108" s="185">
        <v>320</v>
      </c>
      <c r="AA108" s="185">
        <v>320</v>
      </c>
      <c r="AB108" s="180">
        <v>800</v>
      </c>
      <c r="AC108" s="404">
        <f>800+2200</f>
        <v>3000</v>
      </c>
      <c r="AD108" s="400">
        <v>3000</v>
      </c>
      <c r="AE108" s="400">
        <v>3000</v>
      </c>
      <c r="AF108" s="400">
        <v>5000</v>
      </c>
      <c r="AG108" s="400">
        <v>8000</v>
      </c>
      <c r="AH108" s="400">
        <v>8000</v>
      </c>
      <c r="AI108" s="400">
        <v>10000</v>
      </c>
      <c r="AJ108" s="400">
        <v>10000</v>
      </c>
      <c r="AK108" s="405">
        <v>20500</v>
      </c>
      <c r="AL108" s="400">
        <v>73500</v>
      </c>
      <c r="AM108" s="400">
        <v>73500</v>
      </c>
      <c r="AN108" s="401">
        <v>105250</v>
      </c>
      <c r="AO108" s="404"/>
      <c r="AP108" s="400"/>
      <c r="AQ108" s="400"/>
      <c r="AR108" s="400"/>
      <c r="AS108" s="400"/>
      <c r="AT108" s="400"/>
      <c r="AU108" s="400"/>
      <c r="AV108" s="400"/>
      <c r="AW108" s="400"/>
      <c r="AX108" s="400"/>
      <c r="AY108" s="400"/>
      <c r="AZ108" s="401"/>
      <c r="BA108" s="426">
        <f t="shared" si="45"/>
        <v>324550.25</v>
      </c>
    </row>
    <row r="109" spans="1:53" s="29" customFormat="1" ht="20.100000000000001" customHeight="1">
      <c r="A109" s="59" t="str">
        <f>Vecinos!A109</f>
        <v>Familia Navarrete Medina</v>
      </c>
      <c r="B109" s="60" t="str">
        <f>Vecinos!C109</f>
        <v>Calle Güigüe Nro. 89-22</v>
      </c>
      <c r="C109" s="36" t="str">
        <f>IF(SUMIFS(Vigilancia!$E:$E,Vigilancia!$F:$F,A109,Vigilancia!$J:$J,"Vigilancia")=BA109,"ü","û")</f>
        <v>ü</v>
      </c>
      <c r="D109" s="180"/>
      <c r="E109" s="181"/>
      <c r="F109" s="182"/>
      <c r="G109" s="182"/>
      <c r="H109" s="182"/>
      <c r="I109" s="182"/>
      <c r="J109" s="182"/>
      <c r="K109" s="182">
        <f t="shared" si="58"/>
        <v>0.35</v>
      </c>
      <c r="L109" s="182">
        <f t="shared" si="58"/>
        <v>0.35</v>
      </c>
      <c r="M109" s="182">
        <f t="shared" si="58"/>
        <v>0.35</v>
      </c>
      <c r="N109" s="182">
        <f t="shared" si="58"/>
        <v>0.35</v>
      </c>
      <c r="O109" s="182">
        <f>50000/100000</f>
        <v>0.5</v>
      </c>
      <c r="P109" s="180">
        <f>50000/100000</f>
        <v>0.5</v>
      </c>
      <c r="Q109" s="184">
        <f>80000/100000</f>
        <v>0.8</v>
      </c>
      <c r="R109" s="185">
        <f>80000/100000</f>
        <v>0.8</v>
      </c>
      <c r="S109" s="185">
        <f>140000/100000</f>
        <v>1.4</v>
      </c>
      <c r="T109" s="185">
        <f>140000/100000</f>
        <v>1.4</v>
      </c>
      <c r="U109" s="185">
        <f>400000/100000</f>
        <v>4</v>
      </c>
      <c r="V109" s="185">
        <f>625000/100000</f>
        <v>6.25</v>
      </c>
      <c r="W109" s="185">
        <f>800000/100000-625000/100000+825000/100000</f>
        <v>10</v>
      </c>
      <c r="X109" s="192">
        <f>50000/100000+11.5</f>
        <v>12</v>
      </c>
      <c r="Y109" s="185">
        <v>320</v>
      </c>
      <c r="Z109" s="185">
        <v>320</v>
      </c>
      <c r="AA109" s="185">
        <v>320</v>
      </c>
      <c r="AB109" s="180">
        <v>800</v>
      </c>
      <c r="AC109" s="399">
        <v>3000</v>
      </c>
      <c r="AD109" s="400">
        <v>3000</v>
      </c>
      <c r="AE109" s="400">
        <v>3000</v>
      </c>
      <c r="AF109" s="400">
        <v>5000</v>
      </c>
      <c r="AG109" s="400">
        <v>8000</v>
      </c>
      <c r="AH109" s="537" t="s">
        <v>1158</v>
      </c>
      <c r="AI109" s="403"/>
      <c r="AJ109" s="403"/>
      <c r="AK109" s="403"/>
      <c r="AL109" s="403"/>
      <c r="AM109" s="403"/>
      <c r="AN109" s="414"/>
      <c r="AO109" s="413"/>
      <c r="AP109" s="403"/>
      <c r="AQ109" s="403"/>
      <c r="AR109" s="403"/>
      <c r="AS109" s="403"/>
      <c r="AT109" s="537"/>
      <c r="AU109" s="403"/>
      <c r="AV109" s="403"/>
      <c r="AW109" s="403"/>
      <c r="AX109" s="403"/>
      <c r="AY109" s="403"/>
      <c r="AZ109" s="414"/>
      <c r="BA109" s="429">
        <f t="shared" si="45"/>
        <v>23799.05</v>
      </c>
    </row>
    <row r="110" spans="1:53" s="29" customFormat="1" ht="20.100000000000001" customHeight="1">
      <c r="A110" s="30" t="str">
        <f>Vecinos!A110</f>
        <v>Familia Rodríguez Girón</v>
      </c>
      <c r="B110" s="31" t="str">
        <f>Vecinos!C110</f>
        <v>Calle Güigüe Nro. 89-22</v>
      </c>
      <c r="C110" s="36" t="str">
        <f>IF(SUMIFS(Vigilancia!$E:$E,Vigilancia!$F:$F,A110,Vigilancia!$J:$J,"Vigilancia")=BA110,"ü","û")</f>
        <v>ü</v>
      </c>
      <c r="D110" s="523"/>
      <c r="E110" s="524"/>
      <c r="F110" s="525"/>
      <c r="G110" s="525"/>
      <c r="H110" s="525"/>
      <c r="I110" s="525"/>
      <c r="J110" s="525"/>
      <c r="K110" s="525"/>
      <c r="L110" s="525"/>
      <c r="M110" s="525"/>
      <c r="N110" s="525"/>
      <c r="O110" s="525"/>
      <c r="P110" s="523"/>
      <c r="Q110" s="526"/>
      <c r="R110" s="527"/>
      <c r="S110" s="527"/>
      <c r="T110" s="527"/>
      <c r="U110" s="527"/>
      <c r="V110" s="527"/>
      <c r="W110" s="527"/>
      <c r="X110" s="527"/>
      <c r="Y110" s="527"/>
      <c r="Z110" s="527"/>
      <c r="AA110" s="527"/>
      <c r="AB110" s="523"/>
      <c r="AC110" s="528"/>
      <c r="AD110" s="529"/>
      <c r="AE110" s="529"/>
      <c r="AF110" s="529"/>
      <c r="AG110" s="529"/>
      <c r="AH110" s="400">
        <v>8000</v>
      </c>
      <c r="AI110" s="400">
        <v>10000</v>
      </c>
      <c r="AJ110" s="400">
        <v>10000</v>
      </c>
      <c r="AK110" s="509">
        <v>21100</v>
      </c>
      <c r="AL110" s="400">
        <f>19800+28800</f>
        <v>48600</v>
      </c>
      <c r="AM110" s="509">
        <v>60000</v>
      </c>
      <c r="AN110" s="401">
        <v>81750</v>
      </c>
      <c r="AO110" s="404">
        <v>136250</v>
      </c>
      <c r="AP110" s="400">
        <v>136250</v>
      </c>
      <c r="AQ110" s="400"/>
      <c r="AR110" s="400"/>
      <c r="AS110" s="400"/>
      <c r="AT110" s="400"/>
      <c r="AU110" s="400"/>
      <c r="AV110" s="400"/>
      <c r="AW110" s="400"/>
      <c r="AX110" s="400"/>
      <c r="AY110" s="400"/>
      <c r="AZ110" s="401"/>
      <c r="BA110" s="426">
        <f t="shared" si="45"/>
        <v>511950</v>
      </c>
    </row>
    <row r="111" spans="1:53" s="29" customFormat="1" ht="20.100000000000001" customHeight="1">
      <c r="A111" s="33" t="str">
        <f>Vecinos!A111</f>
        <v>Familia Rodríguez Landaeta</v>
      </c>
      <c r="B111" s="34" t="str">
        <f>Vecinos!C111</f>
        <v>Calle Güigüe Nro. 89-29</v>
      </c>
      <c r="C111" s="35" t="str">
        <f>IF(SUMIFS(Vigilancia!$E:$E,Vigilancia!$F:$F,A111,Vigilancia!$J:$J,"Vigilancia")=BA111,"ü","û")</f>
        <v>ü</v>
      </c>
      <c r="D111" s="187"/>
      <c r="E111" s="188"/>
      <c r="F111" s="189"/>
      <c r="G111" s="189"/>
      <c r="H111" s="189">
        <f>10000/100000</f>
        <v>0.1</v>
      </c>
      <c r="I111" s="189">
        <f>10000/100000</f>
        <v>0.1</v>
      </c>
      <c r="J111" s="189">
        <f>13000/100000</f>
        <v>0.13</v>
      </c>
      <c r="K111" s="189">
        <f>15000/100000</f>
        <v>0.15</v>
      </c>
      <c r="L111" s="189">
        <f>15000/100000</f>
        <v>0.15</v>
      </c>
      <c r="M111" s="189">
        <f>17000/100000</f>
        <v>0.17</v>
      </c>
      <c r="N111" s="189">
        <f>15000/100000</f>
        <v>0.15</v>
      </c>
      <c r="O111" s="189">
        <f>15000/100000</f>
        <v>0.15</v>
      </c>
      <c r="P111" s="187">
        <f>17000/100000</f>
        <v>0.17</v>
      </c>
      <c r="Q111" s="190">
        <f>40000/100000</f>
        <v>0.4</v>
      </c>
      <c r="R111" s="191">
        <f>40000/100000</f>
        <v>0.4</v>
      </c>
      <c r="S111" s="191">
        <f>80000/100000</f>
        <v>0.8</v>
      </c>
      <c r="T111" s="191">
        <f>80000/100000</f>
        <v>0.8</v>
      </c>
      <c r="U111" s="191">
        <f>200000/100000</f>
        <v>2</v>
      </c>
      <c r="V111" s="191">
        <f>200000/100000+100000/100000</f>
        <v>3</v>
      </c>
      <c r="W111" s="191">
        <f>500000/100000</f>
        <v>5</v>
      </c>
      <c r="X111" s="191">
        <v>12</v>
      </c>
      <c r="Y111" s="191">
        <v>320</v>
      </c>
      <c r="Z111" s="191">
        <v>250</v>
      </c>
      <c r="AA111" s="191">
        <v>250</v>
      </c>
      <c r="AB111" s="187">
        <v>400</v>
      </c>
      <c r="AC111" s="396">
        <v>600</v>
      </c>
      <c r="AD111" s="397">
        <v>1500</v>
      </c>
      <c r="AE111" s="397">
        <v>2000</v>
      </c>
      <c r="AF111" s="397">
        <v>2500</v>
      </c>
      <c r="AG111" s="397">
        <f>2500</f>
        <v>2500</v>
      </c>
      <c r="AH111" s="397">
        <v>5000</v>
      </c>
      <c r="AI111" s="397">
        <v>5000</v>
      </c>
      <c r="AJ111" s="397">
        <v>5000</v>
      </c>
      <c r="AK111" s="397">
        <v>10000</v>
      </c>
      <c r="AL111" s="397">
        <v>10000</v>
      </c>
      <c r="AM111" s="397">
        <v>25000</v>
      </c>
      <c r="AN111" s="398">
        <v>55600</v>
      </c>
      <c r="AO111" s="396">
        <v>55600</v>
      </c>
      <c r="AP111" s="397">
        <v>55600</v>
      </c>
      <c r="AQ111" s="397"/>
      <c r="AR111" s="397"/>
      <c r="AS111" s="397"/>
      <c r="AT111" s="397"/>
      <c r="AU111" s="397"/>
      <c r="AV111" s="397"/>
      <c r="AW111" s="397"/>
      <c r="AX111" s="397"/>
      <c r="AY111" s="397"/>
      <c r="AZ111" s="398"/>
      <c r="BA111" s="425">
        <f t="shared" si="45"/>
        <v>237145.66999999998</v>
      </c>
    </row>
    <row r="112" spans="1:53" s="29" customFormat="1" ht="20.100000000000001" customHeight="1">
      <c r="A112" s="30" t="str">
        <f>Vecinos!A112</f>
        <v>Familia Molina Estopiñán</v>
      </c>
      <c r="B112" s="31" t="str">
        <f>Vecinos!C112</f>
        <v>Calle Güigüe Nro. 89-30</v>
      </c>
      <c r="C112" s="36" t="str">
        <f>IF(SUMIFS(Vigilancia!$E:$E,Vigilancia!$F:$F,A112,Vigilancia!$J:$J,"Vigilancia")=BA112,"ü","û")</f>
        <v>ü</v>
      </c>
      <c r="D112" s="180"/>
      <c r="E112" s="181"/>
      <c r="F112" s="182"/>
      <c r="G112" s="182"/>
      <c r="H112" s="182"/>
      <c r="I112" s="182"/>
      <c r="J112" s="182"/>
      <c r="K112" s="182"/>
      <c r="L112" s="182"/>
      <c r="M112" s="182"/>
      <c r="N112" s="182"/>
      <c r="O112" s="182"/>
      <c r="P112" s="180"/>
      <c r="Q112" s="184"/>
      <c r="R112" s="185"/>
      <c r="S112" s="185"/>
      <c r="T112" s="185"/>
      <c r="U112" s="185"/>
      <c r="V112" s="185"/>
      <c r="W112" s="185"/>
      <c r="X112" s="185"/>
      <c r="Y112" s="185"/>
      <c r="Z112" s="185"/>
      <c r="AA112" s="185"/>
      <c r="AB112" s="180"/>
      <c r="AC112" s="399"/>
      <c r="AD112" s="400"/>
      <c r="AE112" s="400"/>
      <c r="AF112" s="400"/>
      <c r="AG112" s="400"/>
      <c r="AH112" s="400"/>
      <c r="AI112" s="400"/>
      <c r="AJ112" s="400"/>
      <c r="AK112" s="400"/>
      <c r="AL112" s="400"/>
      <c r="AM112" s="400"/>
      <c r="AN112" s="401"/>
      <c r="AO112" s="399"/>
      <c r="AP112" s="400"/>
      <c r="AQ112" s="400"/>
      <c r="AR112" s="400"/>
      <c r="AS112" s="400"/>
      <c r="AT112" s="400"/>
      <c r="AU112" s="400"/>
      <c r="AV112" s="400"/>
      <c r="AW112" s="400"/>
      <c r="AX112" s="400"/>
      <c r="AY112" s="400"/>
      <c r="AZ112" s="401"/>
      <c r="BA112" s="426">
        <f t="shared" si="45"/>
        <v>0</v>
      </c>
    </row>
    <row r="113" spans="1:53" s="29" customFormat="1" ht="20.100000000000001" customHeight="1">
      <c r="A113" s="33" t="str">
        <f>Vecinos!A113</f>
        <v>Familia Sirit Palencia</v>
      </c>
      <c r="B113" s="34" t="str">
        <f>Vecinos!C113</f>
        <v>Calle Güigüe Nro. 89-35</v>
      </c>
      <c r="C113" s="35" t="str">
        <f>IF(SUMIFS(Vigilancia!$E:$E,Vigilancia!$F:$F,A113,Vigilancia!$J:$J,"Vigilancia")=BA113,"ü","û")</f>
        <v>ü</v>
      </c>
      <c r="D113" s="187"/>
      <c r="E113" s="188"/>
      <c r="F113" s="189"/>
      <c r="G113" s="189"/>
      <c r="H113" s="189">
        <f>5000/100000</f>
        <v>0.05</v>
      </c>
      <c r="I113" s="189"/>
      <c r="J113" s="189"/>
      <c r="K113" s="189"/>
      <c r="L113" s="189">
        <f>10000/100000</f>
        <v>0.1</v>
      </c>
      <c r="M113" s="189">
        <f>10000/100000</f>
        <v>0.1</v>
      </c>
      <c r="N113" s="189"/>
      <c r="O113" s="189"/>
      <c r="P113" s="187"/>
      <c r="Q113" s="190"/>
      <c r="R113" s="191"/>
      <c r="S113" s="191"/>
      <c r="T113" s="191"/>
      <c r="U113" s="191"/>
      <c r="V113" s="191"/>
      <c r="W113" s="191">
        <f>500000/100000</f>
        <v>5</v>
      </c>
      <c r="X113" s="191"/>
      <c r="Y113" s="191"/>
      <c r="Z113" s="191">
        <v>320</v>
      </c>
      <c r="AA113" s="191">
        <v>320</v>
      </c>
      <c r="AB113" s="187">
        <v>800</v>
      </c>
      <c r="AC113" s="396">
        <f>160+640+160</f>
        <v>960</v>
      </c>
      <c r="AD113" s="397">
        <v>1500</v>
      </c>
      <c r="AE113" s="397">
        <v>3000</v>
      </c>
      <c r="AF113" s="397">
        <f>3000+2000</f>
        <v>5000</v>
      </c>
      <c r="AG113" s="397">
        <v>8000</v>
      </c>
      <c r="AH113" s="397">
        <v>8000</v>
      </c>
      <c r="AI113" s="397">
        <v>10000</v>
      </c>
      <c r="AJ113" s="397">
        <v>10000</v>
      </c>
      <c r="AK113" s="397">
        <v>21600</v>
      </c>
      <c r="AL113" s="397">
        <f>21100</f>
        <v>21100</v>
      </c>
      <c r="AM113" s="397"/>
      <c r="AN113" s="398"/>
      <c r="AO113" s="396"/>
      <c r="AP113" s="397"/>
      <c r="AQ113" s="397"/>
      <c r="AR113" s="397"/>
      <c r="AS113" s="397"/>
      <c r="AT113" s="397"/>
      <c r="AU113" s="397"/>
      <c r="AV113" s="397"/>
      <c r="AW113" s="397"/>
      <c r="AX113" s="397"/>
      <c r="AY113" s="397"/>
      <c r="AZ113" s="398"/>
      <c r="BA113" s="425">
        <f t="shared" si="45"/>
        <v>90605.25</v>
      </c>
    </row>
    <row r="114" spans="1:53" s="29" customFormat="1" ht="20.100000000000001" customHeight="1">
      <c r="A114" s="30" t="str">
        <f>Vecinos!A114</f>
        <v>Familia Guerra Miret</v>
      </c>
      <c r="B114" s="31" t="str">
        <f>Vecinos!C114</f>
        <v>Calle Güigüe Nro. 89-40</v>
      </c>
      <c r="C114" s="36" t="str">
        <f>IF(SUMIFS(Vigilancia!$E:$E,Vigilancia!$F:$F,A114,Vigilancia!$J:$J,"Vigilancia")=BA114,"ü","û")</f>
        <v>ü</v>
      </c>
      <c r="D114" s="180"/>
      <c r="E114" s="196">
        <f>12000/100000</f>
        <v>0.12</v>
      </c>
      <c r="F114" s="183">
        <f>12000/100000</f>
        <v>0.12</v>
      </c>
      <c r="G114" s="183">
        <f>12000/100000</f>
        <v>0.12</v>
      </c>
      <c r="H114" s="182">
        <f>17000/100000</f>
        <v>0.17</v>
      </c>
      <c r="I114" s="226"/>
      <c r="J114" s="182">
        <f>26000/100000</f>
        <v>0.26</v>
      </c>
      <c r="K114" s="182">
        <f>1000/100000+34000/100000</f>
        <v>0.35000000000000003</v>
      </c>
      <c r="L114" s="182">
        <f>1000/100000+34000/100000</f>
        <v>0.35000000000000003</v>
      </c>
      <c r="M114" s="182">
        <f>1000/100000+34000/100000</f>
        <v>0.35000000000000003</v>
      </c>
      <c r="N114" s="182">
        <f>1000/100000+34000/100000</f>
        <v>0.35000000000000003</v>
      </c>
      <c r="O114" s="182">
        <f>50000/100000</f>
        <v>0.5</v>
      </c>
      <c r="P114" s="180">
        <f>50000/100000</f>
        <v>0.5</v>
      </c>
      <c r="Q114" s="184">
        <f>50000/100000+30000/100000</f>
        <v>0.8</v>
      </c>
      <c r="R114" s="185">
        <f>80000/100000</f>
        <v>0.8</v>
      </c>
      <c r="S114" s="185">
        <f>80000/100000+60000/100000</f>
        <v>1.4</v>
      </c>
      <c r="T114" s="185">
        <f>80000/100000+60000/100000</f>
        <v>1.4</v>
      </c>
      <c r="U114" s="185">
        <f>400000/100000</f>
        <v>4</v>
      </c>
      <c r="V114" s="185">
        <f>400000/100000+225000/100000</f>
        <v>6.25</v>
      </c>
      <c r="W114" s="185">
        <f>1000000/100000</f>
        <v>10</v>
      </c>
      <c r="X114" s="185">
        <f>1200000/100000</f>
        <v>12</v>
      </c>
      <c r="Y114" s="185">
        <v>320</v>
      </c>
      <c r="Z114" s="185">
        <v>320</v>
      </c>
      <c r="AA114" s="185">
        <v>320</v>
      </c>
      <c r="AB114" s="366">
        <v>800</v>
      </c>
      <c r="AC114" s="399">
        <f>800+2200</f>
        <v>3000</v>
      </c>
      <c r="AD114" s="400">
        <v>3000</v>
      </c>
      <c r="AE114" s="400">
        <v>3000</v>
      </c>
      <c r="AF114" s="400">
        <f>3000+2000</f>
        <v>5000</v>
      </c>
      <c r="AG114" s="400">
        <f>5000+3000</f>
        <v>8000</v>
      </c>
      <c r="AH114" s="400">
        <v>8000</v>
      </c>
      <c r="AI114" s="400">
        <v>10000</v>
      </c>
      <c r="AJ114" s="400">
        <v>10000</v>
      </c>
      <c r="AK114" s="400">
        <v>23400</v>
      </c>
      <c r="AL114" s="400">
        <f>21100+25900+4250</f>
        <v>51250</v>
      </c>
      <c r="AM114" s="400">
        <v>51250</v>
      </c>
      <c r="AN114" s="401">
        <v>81750</v>
      </c>
      <c r="AO114" s="399">
        <v>105250</v>
      </c>
      <c r="AP114" s="400">
        <v>136250</v>
      </c>
      <c r="AQ114" s="400"/>
      <c r="AR114" s="400"/>
      <c r="AS114" s="400"/>
      <c r="AT114" s="400"/>
      <c r="AU114" s="400"/>
      <c r="AV114" s="400"/>
      <c r="AW114" s="400"/>
      <c r="AX114" s="400"/>
      <c r="AY114" s="400"/>
      <c r="AZ114" s="401"/>
      <c r="BA114" s="426">
        <f t="shared" si="45"/>
        <v>500949.83999999997</v>
      </c>
    </row>
    <row r="115" spans="1:53" s="29" customFormat="1" ht="20.100000000000001" customHeight="1">
      <c r="A115" s="30" t="str">
        <f>Vecinos!A115</f>
        <v>Familia Jiménez Salvatierra</v>
      </c>
      <c r="B115" s="31" t="str">
        <f>Vecinos!C115</f>
        <v>Calle Güigüe Nro. 89-45</v>
      </c>
      <c r="C115" s="36" t="str">
        <f>IF(SUMIFS(Vigilancia!$E:$E,Vigilancia!$F:$F,A115,Vigilancia!$J:$J,"Vigilancia")=BA115,"ü","û")</f>
        <v>ü</v>
      </c>
      <c r="D115" s="180"/>
      <c r="E115" s="181">
        <f>16000/100000+1000/100000</f>
        <v>0.17</v>
      </c>
      <c r="F115" s="182">
        <f>17000/100000</f>
        <v>0.17</v>
      </c>
      <c r="G115" s="182">
        <f>17000/100000</f>
        <v>0.17</v>
      </c>
      <c r="H115" s="182">
        <f>17000/100000</f>
        <v>0.17</v>
      </c>
      <c r="I115" s="182">
        <f>26000/100000</f>
        <v>0.26</v>
      </c>
      <c r="J115" s="182">
        <f>26000/100000</f>
        <v>0.26</v>
      </c>
      <c r="K115" s="182">
        <f>35000/100000</f>
        <v>0.35</v>
      </c>
      <c r="L115" s="182">
        <f>35000/100000</f>
        <v>0.35</v>
      </c>
      <c r="M115" s="182">
        <f>35000/100000</f>
        <v>0.35</v>
      </c>
      <c r="N115" s="182">
        <f>35000/100000</f>
        <v>0.35</v>
      </c>
      <c r="O115" s="182">
        <f>35000/100000+15000/100000</f>
        <v>0.5</v>
      </c>
      <c r="P115" s="180">
        <f>25000/100000+25000/100000</f>
        <v>0.5</v>
      </c>
      <c r="Q115" s="184">
        <f>80000/100000</f>
        <v>0.8</v>
      </c>
      <c r="R115" s="185">
        <f>20000/100000+60000/100000</f>
        <v>0.8</v>
      </c>
      <c r="S115" s="185">
        <f>80000/100000+60000/100000</f>
        <v>1.4</v>
      </c>
      <c r="T115" s="185">
        <f>20000/100000+120000/100000</f>
        <v>1.4</v>
      </c>
      <c r="U115" s="185">
        <f>400000/100000</f>
        <v>4</v>
      </c>
      <c r="V115" s="185">
        <f>400000/100000+225000/100000</f>
        <v>6.25</v>
      </c>
      <c r="W115" s="185">
        <f>1000000/100000</f>
        <v>10</v>
      </c>
      <c r="X115" s="185">
        <f>1200000/100000</f>
        <v>12</v>
      </c>
      <c r="Y115" s="185"/>
      <c r="Z115" s="185"/>
      <c r="AA115" s="185"/>
      <c r="AB115" s="180"/>
      <c r="AC115" s="399"/>
      <c r="AD115" s="400"/>
      <c r="AE115" s="400"/>
      <c r="AF115" s="400"/>
      <c r="AG115" s="400"/>
      <c r="AH115" s="400"/>
      <c r="AI115" s="400"/>
      <c r="AJ115" s="400"/>
      <c r="AK115" s="400"/>
      <c r="AL115" s="400"/>
      <c r="AM115" s="400"/>
      <c r="AN115" s="401"/>
      <c r="AO115" s="399"/>
      <c r="AP115" s="400"/>
      <c r="AQ115" s="400"/>
      <c r="AR115" s="400"/>
      <c r="AS115" s="400"/>
      <c r="AT115" s="400"/>
      <c r="AU115" s="400"/>
      <c r="AV115" s="400"/>
      <c r="AW115" s="400"/>
      <c r="AX115" s="400"/>
      <c r="AY115" s="400"/>
      <c r="AZ115" s="401"/>
      <c r="BA115" s="426">
        <f t="shared" si="45"/>
        <v>40.25</v>
      </c>
    </row>
    <row r="116" spans="1:53" s="29" customFormat="1" ht="20.100000000000001" customHeight="1">
      <c r="A116" s="30" t="str">
        <f>Vecinos!A116</f>
        <v>Familia Alonso Rojas</v>
      </c>
      <c r="B116" s="31" t="str">
        <f>Vecinos!C116</f>
        <v>Calle Güigüe Nro. 89-54</v>
      </c>
      <c r="C116" s="36" t="str">
        <f>IF(SUMIFS(Vigilancia!$E:$E,Vigilancia!$F:$F,A116,Vigilancia!$J:$J,"Vigilancia")=BA116,"ü","û")</f>
        <v>ü</v>
      </c>
      <c r="D116" s="180"/>
      <c r="E116" s="181"/>
      <c r="F116" s="182"/>
      <c r="G116" s="182"/>
      <c r="H116" s="182"/>
      <c r="I116" s="182"/>
      <c r="J116" s="182"/>
      <c r="K116" s="182"/>
      <c r="L116" s="182"/>
      <c r="M116" s="182"/>
      <c r="N116" s="182"/>
      <c r="O116" s="182">
        <f>50000/100000</f>
        <v>0.5</v>
      </c>
      <c r="P116" s="180">
        <f>50000/100000</f>
        <v>0.5</v>
      </c>
      <c r="Q116" s="184">
        <f>50000/100000+30000/100000</f>
        <v>0.8</v>
      </c>
      <c r="R116" s="185">
        <f>80000/100000</f>
        <v>0.8</v>
      </c>
      <c r="S116" s="185">
        <f>140000/100000</f>
        <v>1.4</v>
      </c>
      <c r="T116" s="185">
        <f>20000/100000+120000/100000</f>
        <v>1.4</v>
      </c>
      <c r="U116" s="185">
        <f>140000/100000+260000/100000</f>
        <v>4</v>
      </c>
      <c r="V116" s="185">
        <f>400000/100000+225000/100000</f>
        <v>6.25</v>
      </c>
      <c r="W116" s="185">
        <f>850000/100000+150000/100000</f>
        <v>10</v>
      </c>
      <c r="X116" s="185">
        <v>15</v>
      </c>
      <c r="Y116" s="185">
        <v>320</v>
      </c>
      <c r="Z116" s="185">
        <v>320</v>
      </c>
      <c r="AA116" s="185">
        <v>320</v>
      </c>
      <c r="AB116" s="370">
        <v>500</v>
      </c>
      <c r="AC116" s="404">
        <f>850+2150</f>
        <v>3000</v>
      </c>
      <c r="AD116" s="400">
        <f>2850+150</f>
        <v>3000</v>
      </c>
      <c r="AE116" s="400">
        <v>3000</v>
      </c>
      <c r="AF116" s="400">
        <v>5000</v>
      </c>
      <c r="AG116" s="400">
        <v>8000</v>
      </c>
      <c r="AH116" s="400">
        <v>8000</v>
      </c>
      <c r="AI116" s="400">
        <v>10000</v>
      </c>
      <c r="AJ116" s="405">
        <f>666+9334</f>
        <v>10000</v>
      </c>
      <c r="AK116" s="509">
        <v>20000</v>
      </c>
      <c r="AL116" s="400">
        <v>56250</v>
      </c>
      <c r="AM116" s="400">
        <v>56250</v>
      </c>
      <c r="AN116" s="401">
        <v>105250</v>
      </c>
      <c r="AO116" s="404">
        <v>136250</v>
      </c>
      <c r="AP116" s="400">
        <v>140000</v>
      </c>
      <c r="AQ116" s="400"/>
      <c r="AR116" s="400"/>
      <c r="AS116" s="400"/>
      <c r="AT116" s="400"/>
      <c r="AU116" s="400"/>
      <c r="AV116" s="405"/>
      <c r="AW116" s="400"/>
      <c r="AX116" s="400"/>
      <c r="AY116" s="400"/>
      <c r="AZ116" s="401"/>
      <c r="BA116" s="426">
        <f t="shared" si="45"/>
        <v>565500.65</v>
      </c>
    </row>
    <row r="117" spans="1:53" s="29" customFormat="1" ht="20.100000000000001" customHeight="1">
      <c r="A117" s="30" t="str">
        <f>Vecinos!A117</f>
        <v>Familia Fermín Rivas</v>
      </c>
      <c r="B117" s="31" t="str">
        <f>Vecinos!C117</f>
        <v>Calle Güigüe Nro. 89-55</v>
      </c>
      <c r="C117" s="36" t="str">
        <f>IF(SUMIFS(Vigilancia!$E:$E,Vigilancia!$F:$F,A117,Vigilancia!$J:$J,"Vigilancia")=BA117,"ü","û")</f>
        <v>ü</v>
      </c>
      <c r="D117" s="180"/>
      <c r="E117" s="181">
        <f>10500/100000+6500/100000</f>
        <v>0.16999999999999998</v>
      </c>
      <c r="F117" s="182">
        <f>7488/100000+9512/100000</f>
        <v>0.16999999999999998</v>
      </c>
      <c r="G117" s="182">
        <f>17000/100000</f>
        <v>0.17</v>
      </c>
      <c r="H117" s="182">
        <f>17000/100000</f>
        <v>0.17</v>
      </c>
      <c r="I117" s="182">
        <f>26000/100000</f>
        <v>0.26</v>
      </c>
      <c r="J117" s="182">
        <f>26000/100000</f>
        <v>0.26</v>
      </c>
      <c r="K117" s="182">
        <f>25000/100000+10000/100000</f>
        <v>0.35</v>
      </c>
      <c r="L117" s="182">
        <f>30000/100000+5000/100000</f>
        <v>0.35</v>
      </c>
      <c r="M117" s="182">
        <f>35000/100000</f>
        <v>0.35</v>
      </c>
      <c r="N117" s="182">
        <f>35000/100000</f>
        <v>0.35</v>
      </c>
      <c r="O117" s="182">
        <f>50000/100000</f>
        <v>0.5</v>
      </c>
      <c r="P117" s="180">
        <f>50000/100000</f>
        <v>0.5</v>
      </c>
      <c r="Q117" s="184">
        <f>80000/100000</f>
        <v>0.8</v>
      </c>
      <c r="R117" s="185">
        <f>80000/100000</f>
        <v>0.8</v>
      </c>
      <c r="S117" s="185">
        <f>140000/100000</f>
        <v>1.4</v>
      </c>
      <c r="T117" s="185">
        <f>20000/100000+120000/100000</f>
        <v>1.4</v>
      </c>
      <c r="U117" s="185">
        <f>400000/100000</f>
        <v>4</v>
      </c>
      <c r="V117" s="185">
        <f>400000/100000+225000/100000</f>
        <v>6.25</v>
      </c>
      <c r="W117" s="185">
        <f>1000000/100000</f>
        <v>10</v>
      </c>
      <c r="X117" s="185">
        <f>1200000/100000</f>
        <v>12</v>
      </c>
      <c r="Y117" s="185">
        <v>320</v>
      </c>
      <c r="Z117" s="185">
        <v>320</v>
      </c>
      <c r="AA117" s="185">
        <v>320</v>
      </c>
      <c r="AB117" s="366">
        <v>800</v>
      </c>
      <c r="AC117" s="404">
        <f>1800+1200</f>
        <v>3000</v>
      </c>
      <c r="AD117" s="400">
        <f>1425+1575</f>
        <v>3000</v>
      </c>
      <c r="AE117" s="400">
        <v>3000</v>
      </c>
      <c r="AF117" s="400">
        <f>3000+5000</f>
        <v>8000</v>
      </c>
      <c r="AG117" s="400">
        <v>8000</v>
      </c>
      <c r="AH117" s="400">
        <f>3666+4334</f>
        <v>8000</v>
      </c>
      <c r="AI117" s="400">
        <f>8000+2000</f>
        <v>10000</v>
      </c>
      <c r="AJ117" s="405">
        <f>666+9334</f>
        <v>10000</v>
      </c>
      <c r="AK117" s="400">
        <f>4966+18435</f>
        <v>23401</v>
      </c>
      <c r="AL117" s="400">
        <f>21100+25900</f>
        <v>47000</v>
      </c>
      <c r="AM117" s="400">
        <v>51250</v>
      </c>
      <c r="AN117" s="401">
        <v>81750</v>
      </c>
      <c r="AO117" s="399">
        <v>136250</v>
      </c>
      <c r="AP117" s="400">
        <v>136250</v>
      </c>
      <c r="AQ117" s="400"/>
      <c r="AR117" s="400"/>
      <c r="AS117" s="400"/>
      <c r="AT117" s="400"/>
      <c r="AU117" s="400"/>
      <c r="AV117" s="400"/>
      <c r="AW117" s="400"/>
      <c r="AX117" s="400"/>
      <c r="AY117" s="400"/>
      <c r="AZ117" s="401"/>
      <c r="BA117" s="426">
        <f t="shared" si="45"/>
        <v>530701.25</v>
      </c>
    </row>
    <row r="118" spans="1:53" s="29" customFormat="1" ht="20.100000000000001" customHeight="1">
      <c r="A118" s="30" t="str">
        <f>Vecinos!A118</f>
        <v>Familia Blonval Hernández</v>
      </c>
      <c r="B118" s="31" t="str">
        <f>Vecinos!C118</f>
        <v>Calle Güigüe Nro. 89-64</v>
      </c>
      <c r="C118" s="36" t="str">
        <f>IF(SUMIFS(Vigilancia!$E:$E,Vigilancia!$F:$F,A118,Vigilancia!$J:$J,"Vigilancia")=BA118,"ü","û")</f>
        <v>ü</v>
      </c>
      <c r="D118" s="180"/>
      <c r="E118" s="181"/>
      <c r="F118" s="182"/>
      <c r="G118" s="182"/>
      <c r="H118" s="182"/>
      <c r="I118" s="182"/>
      <c r="J118" s="182"/>
      <c r="K118" s="182"/>
      <c r="L118" s="182"/>
      <c r="M118" s="182"/>
      <c r="N118" s="182"/>
      <c r="O118" s="182"/>
      <c r="P118" s="180"/>
      <c r="Q118" s="184"/>
      <c r="R118" s="185"/>
      <c r="S118" s="185"/>
      <c r="T118" s="185"/>
      <c r="U118" s="185"/>
      <c r="V118" s="185"/>
      <c r="W118" s="185"/>
      <c r="X118" s="185"/>
      <c r="Y118" s="185"/>
      <c r="Z118" s="185"/>
      <c r="AA118" s="185"/>
      <c r="AB118" s="180"/>
      <c r="AC118" s="399"/>
      <c r="AD118" s="400"/>
      <c r="AE118" s="400"/>
      <c r="AF118" s="400"/>
      <c r="AG118" s="400"/>
      <c r="AH118" s="400"/>
      <c r="AI118" s="400"/>
      <c r="AJ118" s="400"/>
      <c r="AK118" s="400"/>
      <c r="AL118" s="400"/>
      <c r="AM118" s="400"/>
      <c r="AN118" s="401"/>
      <c r="AO118" s="399"/>
      <c r="AP118" s="400"/>
      <c r="AQ118" s="400"/>
      <c r="AR118" s="400"/>
      <c r="AS118" s="400"/>
      <c r="AT118" s="400"/>
      <c r="AU118" s="400"/>
      <c r="AV118" s="400"/>
      <c r="AW118" s="400"/>
      <c r="AX118" s="400"/>
      <c r="AY118" s="400"/>
      <c r="AZ118" s="401"/>
      <c r="BA118" s="426">
        <f t="shared" si="45"/>
        <v>0</v>
      </c>
    </row>
    <row r="119" spans="1:53" s="29" customFormat="1" ht="20.100000000000001" customHeight="1">
      <c r="A119" s="30" t="str">
        <f>Vecinos!A119</f>
        <v>Familia Milanés Carmona</v>
      </c>
      <c r="B119" s="31" t="str">
        <f>Vecinos!C119</f>
        <v>Calle Güigüe Nro. 89-65</v>
      </c>
      <c r="C119" s="36" t="str">
        <f>IF(SUMIFS(Vigilancia!$E:$E,Vigilancia!$F:$F,A119,Vigilancia!$J:$J,"Vigilancia")=BA119,"ü","û")</f>
        <v>ü</v>
      </c>
      <c r="D119" s="180"/>
      <c r="E119" s="196"/>
      <c r="F119" s="183"/>
      <c r="G119" s="183"/>
      <c r="H119" s="183"/>
      <c r="I119" s="183"/>
      <c r="J119" s="182">
        <f>26000/100000</f>
        <v>0.26</v>
      </c>
      <c r="K119" s="182">
        <f>35000/100000</f>
        <v>0.35</v>
      </c>
      <c r="L119" s="182">
        <f>35000/100000</f>
        <v>0.35</v>
      </c>
      <c r="M119" s="182">
        <f>35000/100000</f>
        <v>0.35</v>
      </c>
      <c r="N119" s="182">
        <f>35000/100000</f>
        <v>0.35</v>
      </c>
      <c r="O119" s="182">
        <f>50000/100000</f>
        <v>0.5</v>
      </c>
      <c r="P119" s="180">
        <f>50000/100000</f>
        <v>0.5</v>
      </c>
      <c r="Q119" s="184">
        <f>80000/100000</f>
        <v>0.8</v>
      </c>
      <c r="R119" s="185">
        <f>80000/100000</f>
        <v>0.8</v>
      </c>
      <c r="S119" s="185">
        <f>80000/100000+60000/100000</f>
        <v>1.4</v>
      </c>
      <c r="T119" s="185">
        <f>140000/100000</f>
        <v>1.4</v>
      </c>
      <c r="U119" s="185">
        <f>400000/100000</f>
        <v>4</v>
      </c>
      <c r="V119" s="185">
        <f>400000/100000+225000/100000</f>
        <v>6.25</v>
      </c>
      <c r="W119" s="185">
        <f>850000/100000+150000/100000</f>
        <v>10</v>
      </c>
      <c r="X119" s="185">
        <f>1200000/100000</f>
        <v>12</v>
      </c>
      <c r="Y119" s="192">
        <f>1300000/100000+320</f>
        <v>333</v>
      </c>
      <c r="Z119" s="192">
        <f>13+307</f>
        <v>320</v>
      </c>
      <c r="AA119" s="185">
        <v>320</v>
      </c>
      <c r="AB119" s="366">
        <f>320+480</f>
        <v>800</v>
      </c>
      <c r="AC119" s="404">
        <f>13+787+2200</f>
        <v>3000</v>
      </c>
      <c r="AD119" s="400">
        <v>3000</v>
      </c>
      <c r="AE119" s="400">
        <v>3000</v>
      </c>
      <c r="AF119" s="400">
        <v>5000</v>
      </c>
      <c r="AG119" s="400">
        <v>8000</v>
      </c>
      <c r="AH119" s="400">
        <v>8000</v>
      </c>
      <c r="AI119" s="400">
        <v>10000</v>
      </c>
      <c r="AJ119" s="400">
        <v>10000</v>
      </c>
      <c r="AK119" s="400">
        <v>19800</v>
      </c>
      <c r="AL119" s="575">
        <f>20000+30000</f>
        <v>50000</v>
      </c>
      <c r="AM119" s="575">
        <v>60000</v>
      </c>
      <c r="AN119" s="401">
        <v>105250</v>
      </c>
      <c r="AO119" s="404">
        <v>136250</v>
      </c>
      <c r="AP119" s="400">
        <v>136250</v>
      </c>
      <c r="AQ119" s="400"/>
      <c r="AR119" s="400"/>
      <c r="AS119" s="400"/>
      <c r="AT119" s="400"/>
      <c r="AU119" s="400"/>
      <c r="AV119" s="400"/>
      <c r="AW119" s="400"/>
      <c r="AX119" s="400"/>
      <c r="AY119" s="400"/>
      <c r="AZ119" s="401"/>
      <c r="BA119" s="426">
        <f t="shared" si="45"/>
        <v>559362.31000000006</v>
      </c>
    </row>
    <row r="120" spans="1:53" s="29" customFormat="1" ht="20.100000000000001" customHeight="1">
      <c r="A120" s="30" t="str">
        <f>Vecinos!A120</f>
        <v>Familia Medina Colina</v>
      </c>
      <c r="B120" s="31" t="str">
        <f>Vecinos!C120</f>
        <v>Calle Güigüe Nro. 89-70</v>
      </c>
      <c r="C120" s="36" t="str">
        <f>IF(SUMIFS(Vigilancia!$E:$E,Vigilancia!$F:$F,A120,Vigilancia!$J:$J,"Vigilancia")=BA120,"ü","û")</f>
        <v>ü</v>
      </c>
      <c r="D120" s="180"/>
      <c r="E120" s="181">
        <f>17000/100000</f>
        <v>0.17</v>
      </c>
      <c r="F120" s="182">
        <f>17000/100000</f>
        <v>0.17</v>
      </c>
      <c r="G120" s="182"/>
      <c r="H120" s="182"/>
      <c r="I120" s="182"/>
      <c r="J120" s="182"/>
      <c r="K120" s="182"/>
      <c r="L120" s="182"/>
      <c r="M120" s="182"/>
      <c r="N120" s="182"/>
      <c r="O120" s="182"/>
      <c r="P120" s="180"/>
      <c r="Q120" s="231" t="s">
        <v>17</v>
      </c>
      <c r="R120" s="232" t="s">
        <v>17</v>
      </c>
      <c r="S120" s="232" t="s">
        <v>17</v>
      </c>
      <c r="T120" s="232" t="s">
        <v>17</v>
      </c>
      <c r="U120" s="232" t="s">
        <v>17</v>
      </c>
      <c r="V120" s="232" t="s">
        <v>17</v>
      </c>
      <c r="W120" s="232" t="s">
        <v>17</v>
      </c>
      <c r="X120" s="232" t="s">
        <v>17</v>
      </c>
      <c r="Y120" s="232" t="s">
        <v>17</v>
      </c>
      <c r="Z120" s="232" t="s">
        <v>17</v>
      </c>
      <c r="AA120" s="232" t="s">
        <v>17</v>
      </c>
      <c r="AB120" s="233" t="s">
        <v>17</v>
      </c>
      <c r="AC120" s="399"/>
      <c r="AD120" s="400"/>
      <c r="AE120" s="400"/>
      <c r="AF120" s="400"/>
      <c r="AG120" s="400"/>
      <c r="AH120" s="400"/>
      <c r="AI120" s="400"/>
      <c r="AJ120" s="400"/>
      <c r="AK120" s="400"/>
      <c r="AL120" s="400"/>
      <c r="AM120" s="400"/>
      <c r="AN120" s="401"/>
      <c r="AO120" s="399"/>
      <c r="AP120" s="400"/>
      <c r="AQ120" s="400"/>
      <c r="AR120" s="400"/>
      <c r="AS120" s="400"/>
      <c r="AT120" s="400"/>
      <c r="AU120" s="400"/>
      <c r="AV120" s="400"/>
      <c r="AW120" s="400"/>
      <c r="AX120" s="400"/>
      <c r="AY120" s="400"/>
      <c r="AZ120" s="401"/>
      <c r="BA120" s="426">
        <f t="shared" si="45"/>
        <v>0.34</v>
      </c>
    </row>
    <row r="121" spans="1:53" s="29" customFormat="1" ht="20.100000000000001" customHeight="1">
      <c r="A121" s="33" t="str">
        <f>Vecinos!A121</f>
        <v>Gloria Molina</v>
      </c>
      <c r="B121" s="34" t="str">
        <f>Vecinos!C121</f>
        <v>Calle Güigüe Nro. 89-71</v>
      </c>
      <c r="C121" s="35" t="str">
        <f>IF(SUMIFS(Vigilancia!$E:$E,Vigilancia!$F:$F,A121,Vigilancia!$J:$J,"Vigilancia")=BA121,"ü","û")</f>
        <v>ü</v>
      </c>
      <c r="D121" s="187"/>
      <c r="E121" s="188">
        <f>10000/100000</f>
        <v>0.1</v>
      </c>
      <c r="F121" s="189">
        <f>10000/100000</f>
        <v>0.1</v>
      </c>
      <c r="G121" s="189">
        <f>10000/100000</f>
        <v>0.1</v>
      </c>
      <c r="H121" s="189">
        <f t="shared" ref="H121:M121" si="59">15000/100000</f>
        <v>0.15</v>
      </c>
      <c r="I121" s="189">
        <f t="shared" si="59"/>
        <v>0.15</v>
      </c>
      <c r="J121" s="189">
        <f t="shared" si="59"/>
        <v>0.15</v>
      </c>
      <c r="K121" s="189">
        <f t="shared" si="59"/>
        <v>0.15</v>
      </c>
      <c r="L121" s="189">
        <f t="shared" si="59"/>
        <v>0.15</v>
      </c>
      <c r="M121" s="189">
        <f t="shared" si="59"/>
        <v>0.15</v>
      </c>
      <c r="N121" s="189">
        <f>20000/100000</f>
        <v>0.2</v>
      </c>
      <c r="O121" s="189">
        <f>20000/100000</f>
        <v>0.2</v>
      </c>
      <c r="P121" s="187">
        <f>20000/100000</f>
        <v>0.2</v>
      </c>
      <c r="Q121" s="190">
        <f>50000/100000</f>
        <v>0.5</v>
      </c>
      <c r="R121" s="191">
        <f>50000/100000</f>
        <v>0.5</v>
      </c>
      <c r="S121" s="191">
        <f>100000/100000</f>
        <v>1</v>
      </c>
      <c r="T121" s="191">
        <f>100000/100000</f>
        <v>1</v>
      </c>
      <c r="U121" s="191">
        <f>200000/100000</f>
        <v>2</v>
      </c>
      <c r="V121" s="191">
        <f>400000/100000</f>
        <v>4</v>
      </c>
      <c r="W121" s="191">
        <f>500000/100000</f>
        <v>5</v>
      </c>
      <c r="X121" s="191">
        <v>10</v>
      </c>
      <c r="Y121" s="191">
        <v>300</v>
      </c>
      <c r="Z121" s="191">
        <v>200</v>
      </c>
      <c r="AA121" s="191">
        <v>200</v>
      </c>
      <c r="AB121" s="187">
        <v>500</v>
      </c>
      <c r="AC121" s="396">
        <v>1500</v>
      </c>
      <c r="AD121" s="397">
        <v>1500</v>
      </c>
      <c r="AE121" s="397">
        <v>3000</v>
      </c>
      <c r="AF121" s="397">
        <f>3000</f>
        <v>3000</v>
      </c>
      <c r="AG121" s="397">
        <v>8000</v>
      </c>
      <c r="AH121" s="397">
        <v>8000</v>
      </c>
      <c r="AI121" s="397">
        <v>10000</v>
      </c>
      <c r="AJ121" s="397">
        <v>10000</v>
      </c>
      <c r="AK121" s="397">
        <v>19800</v>
      </c>
      <c r="AL121" s="397">
        <v>47000</v>
      </c>
      <c r="AM121" s="397">
        <v>60000</v>
      </c>
      <c r="AN121" s="398">
        <v>60000</v>
      </c>
      <c r="AO121" s="396">
        <v>100000</v>
      </c>
      <c r="AP121" s="397"/>
      <c r="AQ121" s="397"/>
      <c r="AR121" s="397"/>
      <c r="AS121" s="397"/>
      <c r="AT121" s="397"/>
      <c r="AU121" s="397"/>
      <c r="AV121" s="397"/>
      <c r="AW121" s="397"/>
      <c r="AX121" s="397"/>
      <c r="AY121" s="397"/>
      <c r="AZ121" s="398"/>
      <c r="BA121" s="425">
        <f t="shared" si="45"/>
        <v>333025.8</v>
      </c>
    </row>
    <row r="122" spans="1:53" s="29" customFormat="1" ht="20.100000000000001" customHeight="1">
      <c r="A122" s="30" t="str">
        <f>Vecinos!A122</f>
        <v>Familia Gurmeitte</v>
      </c>
      <c r="B122" s="31" t="str">
        <f>Vecinos!C122</f>
        <v>Calle Güigüe Nro. 89-74</v>
      </c>
      <c r="C122" s="36" t="str">
        <f>IF(SUMIFS(Vigilancia!$E:$E,Vigilancia!$F:$F,A122,Vigilancia!$J:$J,"Vigilancia")=BA122,"ü","û")</f>
        <v>ü</v>
      </c>
      <c r="D122" s="180"/>
      <c r="E122" s="181"/>
      <c r="F122" s="182"/>
      <c r="G122" s="182"/>
      <c r="H122" s="182"/>
      <c r="I122" s="182"/>
      <c r="J122" s="182"/>
      <c r="K122" s="182"/>
      <c r="L122" s="182"/>
      <c r="M122" s="182"/>
      <c r="N122" s="182"/>
      <c r="O122" s="182"/>
      <c r="P122" s="180"/>
      <c r="Q122" s="184"/>
      <c r="R122" s="185"/>
      <c r="S122" s="185"/>
      <c r="T122" s="185"/>
      <c r="U122" s="185"/>
      <c r="V122" s="185"/>
      <c r="W122" s="185"/>
      <c r="X122" s="185"/>
      <c r="Y122" s="185"/>
      <c r="Z122" s="185"/>
      <c r="AA122" s="185"/>
      <c r="AB122" s="180"/>
      <c r="AC122" s="399"/>
      <c r="AD122" s="400"/>
      <c r="AE122" s="400"/>
      <c r="AF122" s="400"/>
      <c r="AG122" s="400"/>
      <c r="AH122" s="400"/>
      <c r="AI122" s="400"/>
      <c r="AJ122" s="400"/>
      <c r="AK122" s="400"/>
      <c r="AL122" s="400"/>
      <c r="AM122" s="400"/>
      <c r="AN122" s="401"/>
      <c r="AO122" s="399"/>
      <c r="AP122" s="400"/>
      <c r="AQ122" s="400"/>
      <c r="AR122" s="400"/>
      <c r="AS122" s="400"/>
      <c r="AT122" s="400"/>
      <c r="AU122" s="400"/>
      <c r="AV122" s="400"/>
      <c r="AW122" s="400"/>
      <c r="AX122" s="400"/>
      <c r="AY122" s="400"/>
      <c r="AZ122" s="401"/>
      <c r="BA122" s="426">
        <f t="shared" si="45"/>
        <v>0</v>
      </c>
    </row>
    <row r="123" spans="1:53" s="29" customFormat="1" ht="20.100000000000001" customHeight="1">
      <c r="A123" s="30" t="str">
        <f>Vecinos!A123</f>
        <v>Familia López Hermoso</v>
      </c>
      <c r="B123" s="31" t="str">
        <f>Vecinos!C123</f>
        <v>Calle Güigüe Nro. 89-79</v>
      </c>
      <c r="C123" s="36" t="str">
        <f>IF(SUMIFS(Vigilancia!$E:$E,Vigilancia!$F:$F,A123,Vigilancia!$J:$J,"Vigilancia")=BA123,"ü","û")</f>
        <v>ü</v>
      </c>
      <c r="D123" s="180"/>
      <c r="E123" s="181">
        <f>17000/100000</f>
        <v>0.17</v>
      </c>
      <c r="F123" s="182">
        <f>17000/100000</f>
        <v>0.17</v>
      </c>
      <c r="G123" s="182">
        <f>17000/100000</f>
        <v>0.17</v>
      </c>
      <c r="H123" s="182">
        <f>17000/100000</f>
        <v>0.17</v>
      </c>
      <c r="I123" s="182">
        <f>26000/100000</f>
        <v>0.26</v>
      </c>
      <c r="J123" s="182">
        <f>17000/100000+9000/100000</f>
        <v>0.26</v>
      </c>
      <c r="K123" s="182">
        <f>35000/100000</f>
        <v>0.35</v>
      </c>
      <c r="L123" s="182">
        <f>35000/100000</f>
        <v>0.35</v>
      </c>
      <c r="M123" s="182">
        <f>35000/100000</f>
        <v>0.35</v>
      </c>
      <c r="N123" s="182">
        <f>35000/100000</f>
        <v>0.35</v>
      </c>
      <c r="O123" s="182">
        <f>50000/100000</f>
        <v>0.5</v>
      </c>
      <c r="P123" s="180">
        <f>50000/100000</f>
        <v>0.5</v>
      </c>
      <c r="Q123" s="184">
        <f>80000/100000</f>
        <v>0.8</v>
      </c>
      <c r="R123" s="185">
        <f>80000/100000</f>
        <v>0.8</v>
      </c>
      <c r="S123" s="185">
        <f t="shared" ref="S123:T125" si="60">140000/100000</f>
        <v>1.4</v>
      </c>
      <c r="T123" s="185">
        <f t="shared" si="60"/>
        <v>1.4</v>
      </c>
      <c r="U123" s="185">
        <f>400000/100000</f>
        <v>4</v>
      </c>
      <c r="V123" s="185">
        <f>625000/100000</f>
        <v>6.25</v>
      </c>
      <c r="W123" s="185">
        <f>1000000/100000</f>
        <v>10</v>
      </c>
      <c r="X123" s="185">
        <f>1200000/100000</f>
        <v>12</v>
      </c>
      <c r="Y123" s="185">
        <v>320</v>
      </c>
      <c r="Z123" s="185">
        <v>320</v>
      </c>
      <c r="AA123" s="185">
        <v>320</v>
      </c>
      <c r="AB123" s="180">
        <f>800+11.15</f>
        <v>811.15</v>
      </c>
      <c r="AC123" s="399">
        <v>3000</v>
      </c>
      <c r="AD123" s="400">
        <v>3000</v>
      </c>
      <c r="AE123" s="400">
        <v>3000</v>
      </c>
      <c r="AF123" s="400">
        <v>5000</v>
      </c>
      <c r="AG123" s="400">
        <v>8000</v>
      </c>
      <c r="AH123" s="400">
        <v>8000</v>
      </c>
      <c r="AI123" s="400">
        <v>10000</v>
      </c>
      <c r="AJ123" s="400">
        <v>10000</v>
      </c>
      <c r="AK123" s="400">
        <v>19800</v>
      </c>
      <c r="AL123" s="400">
        <v>47000</v>
      </c>
      <c r="AM123" s="400">
        <v>73500</v>
      </c>
      <c r="AN123" s="401">
        <v>105250</v>
      </c>
      <c r="AO123" s="399">
        <v>137000</v>
      </c>
      <c r="AP123" s="400">
        <v>137000</v>
      </c>
      <c r="AQ123" s="400"/>
      <c r="AR123" s="400"/>
      <c r="AS123" s="400"/>
      <c r="AT123" s="400"/>
      <c r="AU123" s="400"/>
      <c r="AV123" s="400"/>
      <c r="AW123" s="400"/>
      <c r="AX123" s="400"/>
      <c r="AY123" s="400"/>
      <c r="AZ123" s="401"/>
      <c r="BA123" s="426">
        <f t="shared" si="45"/>
        <v>571361.4</v>
      </c>
    </row>
    <row r="124" spans="1:53" s="29" customFormat="1" ht="20.100000000000001" customHeight="1">
      <c r="A124" s="33" t="str">
        <f>Vecinos!A124</f>
        <v>Familia Kablan Sarmiento</v>
      </c>
      <c r="B124" s="34" t="str">
        <f>Vecinos!C124</f>
        <v>Calle Güigüe Nro. 89-80</v>
      </c>
      <c r="C124" s="35" t="str">
        <f>IF(SUMIFS(Vigilancia!$E:$E,Vigilancia!$F:$F,A124,Vigilancia!$J:$J,"Vigilancia")=BA124,"ü","û")</f>
        <v>ü</v>
      </c>
      <c r="D124" s="187"/>
      <c r="E124" s="188">
        <f>10000/100000</f>
        <v>0.1</v>
      </c>
      <c r="F124" s="189">
        <f>10000/100000</f>
        <v>0.1</v>
      </c>
      <c r="G124" s="189">
        <f>10000/100000</f>
        <v>0.1</v>
      </c>
      <c r="H124" s="189">
        <f>10000/100000</f>
        <v>0.1</v>
      </c>
      <c r="I124" s="189">
        <f>15000/100000</f>
        <v>0.15</v>
      </c>
      <c r="J124" s="189">
        <f>15000/100000</f>
        <v>0.15</v>
      </c>
      <c r="K124" s="189">
        <f>20000/100000</f>
        <v>0.2</v>
      </c>
      <c r="L124" s="189">
        <f>20000/100000</f>
        <v>0.2</v>
      </c>
      <c r="M124" s="189">
        <f>20000/100000</f>
        <v>0.2</v>
      </c>
      <c r="N124" s="189">
        <f>20000/100000</f>
        <v>0.2</v>
      </c>
      <c r="O124" s="189">
        <f>40000/100000</f>
        <v>0.4</v>
      </c>
      <c r="P124" s="187">
        <f>40000/100000</f>
        <v>0.4</v>
      </c>
      <c r="Q124" s="184">
        <f>80000/100000</f>
        <v>0.8</v>
      </c>
      <c r="R124" s="185">
        <f>80000/100000</f>
        <v>0.8</v>
      </c>
      <c r="S124" s="185">
        <f t="shared" si="60"/>
        <v>1.4</v>
      </c>
      <c r="T124" s="185">
        <f t="shared" si="60"/>
        <v>1.4</v>
      </c>
      <c r="U124" s="185">
        <f>400000/100000</f>
        <v>4</v>
      </c>
      <c r="V124" s="185">
        <f>400000/100000+225000/100000</f>
        <v>6.25</v>
      </c>
      <c r="W124" s="185">
        <f>1000000/100000</f>
        <v>10</v>
      </c>
      <c r="X124" s="185">
        <f>1200000/100000</f>
        <v>12</v>
      </c>
      <c r="Y124" s="185">
        <v>320</v>
      </c>
      <c r="Z124" s="185">
        <v>320</v>
      </c>
      <c r="AA124" s="185">
        <v>320</v>
      </c>
      <c r="AB124" s="180">
        <v>800</v>
      </c>
      <c r="AC124" s="399">
        <v>3000</v>
      </c>
      <c r="AD124" s="400">
        <v>3000</v>
      </c>
      <c r="AE124" s="400">
        <v>3000</v>
      </c>
      <c r="AF124" s="400">
        <v>5000</v>
      </c>
      <c r="AG124" s="400">
        <v>8000</v>
      </c>
      <c r="AH124" s="400">
        <v>8000</v>
      </c>
      <c r="AI124" s="400">
        <v>10000</v>
      </c>
      <c r="AJ124" s="400">
        <v>10000</v>
      </c>
      <c r="AK124" s="509">
        <v>20000</v>
      </c>
      <c r="AL124" s="575">
        <f>20000+31000</f>
        <v>51000</v>
      </c>
      <c r="AM124" s="400">
        <f>47000+4250</f>
        <v>51250</v>
      </c>
      <c r="AN124" s="401">
        <v>97500</v>
      </c>
      <c r="AO124" s="399">
        <v>136250</v>
      </c>
      <c r="AP124" s="400">
        <v>136250</v>
      </c>
      <c r="AQ124" s="400"/>
      <c r="AR124" s="400"/>
      <c r="AS124" s="400"/>
      <c r="AT124" s="400"/>
      <c r="AU124" s="400"/>
      <c r="AV124" s="400"/>
      <c r="AW124" s="400"/>
      <c r="AX124" s="400"/>
      <c r="AY124" s="400"/>
      <c r="AZ124" s="401"/>
      <c r="BA124" s="426">
        <f t="shared" si="45"/>
        <v>544048.94999999995</v>
      </c>
    </row>
    <row r="125" spans="1:53" s="29" customFormat="1" ht="20.100000000000001" customHeight="1">
      <c r="A125" s="30" t="str">
        <f>Vecinos!A125</f>
        <v>Familia Ferrer Bahri</v>
      </c>
      <c r="B125" s="31" t="str">
        <f>Vecinos!C125</f>
        <v>Calle Güigüe Nro. 89-83</v>
      </c>
      <c r="C125" s="36" t="str">
        <f>IF(SUMIFS(Vigilancia!$E:$E,Vigilancia!$F:$F,A125,Vigilancia!$J:$J,"Vigilancia")=BA125,"ü","û")</f>
        <v>ü</v>
      </c>
      <c r="D125" s="180"/>
      <c r="E125" s="181">
        <f>17000/100000</f>
        <v>0.17</v>
      </c>
      <c r="F125" s="182">
        <f>17000/100000</f>
        <v>0.17</v>
      </c>
      <c r="G125" s="182">
        <f>17000/100000</f>
        <v>0.17</v>
      </c>
      <c r="H125" s="182">
        <f>17000/100000</f>
        <v>0.17</v>
      </c>
      <c r="I125" s="182">
        <f>26000/100000</f>
        <v>0.26</v>
      </c>
      <c r="J125" s="182">
        <f>26000/100000</f>
        <v>0.26</v>
      </c>
      <c r="K125" s="182">
        <f>26000/100000+9000/100000</f>
        <v>0.35</v>
      </c>
      <c r="L125" s="182">
        <f>35000/100000</f>
        <v>0.35</v>
      </c>
      <c r="M125" s="182">
        <f>35000/100000</f>
        <v>0.35</v>
      </c>
      <c r="N125" s="182">
        <f>35000/100000</f>
        <v>0.35</v>
      </c>
      <c r="O125" s="182">
        <f>35000/100000+15000/100000</f>
        <v>0.5</v>
      </c>
      <c r="P125" s="180">
        <f>50000/100000</f>
        <v>0.5</v>
      </c>
      <c r="Q125" s="184">
        <f>50000/100000+30000/100000</f>
        <v>0.8</v>
      </c>
      <c r="R125" s="185">
        <f>80000/100000</f>
        <v>0.8</v>
      </c>
      <c r="S125" s="185">
        <f t="shared" si="60"/>
        <v>1.4</v>
      </c>
      <c r="T125" s="185">
        <f t="shared" si="60"/>
        <v>1.4</v>
      </c>
      <c r="U125" s="185">
        <f>400000/100000</f>
        <v>4</v>
      </c>
      <c r="V125" s="185">
        <f>400000/100000+225000/100000</f>
        <v>6.25</v>
      </c>
      <c r="W125" s="185">
        <f>850000/100000+150000/100000</f>
        <v>10</v>
      </c>
      <c r="X125" s="185">
        <f>1200000/100000</f>
        <v>12</v>
      </c>
      <c r="Y125" s="185">
        <v>320</v>
      </c>
      <c r="Z125" s="185">
        <v>320</v>
      </c>
      <c r="AA125" s="192">
        <v>320</v>
      </c>
      <c r="AB125" s="366">
        <f t="shared" ref="AB125" si="61">320+480</f>
        <v>800</v>
      </c>
      <c r="AC125" s="404">
        <f>320+480+2200</f>
        <v>3000</v>
      </c>
      <c r="AD125" s="400">
        <v>3000</v>
      </c>
      <c r="AE125" s="400">
        <v>6000</v>
      </c>
      <c r="AF125" s="400">
        <v>6000</v>
      </c>
      <c r="AG125" s="400">
        <v>12000</v>
      </c>
      <c r="AH125" s="509">
        <v>12000</v>
      </c>
      <c r="AI125" s="509">
        <v>20000</v>
      </c>
      <c r="AJ125" s="509">
        <v>20000</v>
      </c>
      <c r="AK125" s="400">
        <f>20000+3400</f>
        <v>23400</v>
      </c>
      <c r="AL125" s="400">
        <f>30000+17000</f>
        <v>47000</v>
      </c>
      <c r="AM125" s="575">
        <v>60000</v>
      </c>
      <c r="AN125" s="401">
        <v>150000</v>
      </c>
      <c r="AO125" s="399">
        <v>150000</v>
      </c>
      <c r="AP125" s="400">
        <v>150000</v>
      </c>
      <c r="AQ125" s="400"/>
      <c r="AR125" s="400"/>
      <c r="AS125" s="400"/>
      <c r="AT125" s="400"/>
      <c r="AU125" s="400"/>
      <c r="AV125" s="400"/>
      <c r="AW125" s="400"/>
      <c r="AX125" s="400"/>
      <c r="AY125" s="400"/>
      <c r="AZ125" s="401"/>
      <c r="BA125" s="426">
        <f t="shared" si="45"/>
        <v>664200.25</v>
      </c>
    </row>
    <row r="126" spans="1:53" s="29" customFormat="1" ht="20.100000000000001" customHeight="1">
      <c r="A126" s="68" t="str">
        <f>Vecinos!A126</f>
        <v>Familia Amirante</v>
      </c>
      <c r="B126" s="69" t="str">
        <f>Vecinos!C126</f>
        <v>Calle Güigüe Nro. 89-89</v>
      </c>
      <c r="C126" s="36" t="str">
        <f>IF(SUMIFS(Vigilancia!$E:$E,Vigilancia!$F:$F,A126,Vigilancia!$J:$J,"Vigilancia")=BA126,"ü","û")</f>
        <v>ü</v>
      </c>
      <c r="D126" s="180"/>
      <c r="E126" s="181"/>
      <c r="F126" s="182"/>
      <c r="G126" s="182"/>
      <c r="H126" s="182"/>
      <c r="I126" s="182"/>
      <c r="J126" s="182"/>
      <c r="K126" s="182"/>
      <c r="L126" s="182"/>
      <c r="M126" s="182"/>
      <c r="N126" s="182"/>
      <c r="O126" s="182"/>
      <c r="P126" s="180"/>
      <c r="Q126" s="184"/>
      <c r="R126" s="185"/>
      <c r="S126" s="185"/>
      <c r="T126" s="205" t="s">
        <v>1158</v>
      </c>
      <c r="U126" s="206"/>
      <c r="V126" s="206"/>
      <c r="W126" s="206"/>
      <c r="X126" s="206"/>
      <c r="Y126" s="206"/>
      <c r="Z126" s="206"/>
      <c r="AA126" s="206"/>
      <c r="AB126" s="207"/>
      <c r="AC126" s="413"/>
      <c r="AD126" s="403"/>
      <c r="AE126" s="403"/>
      <c r="AF126" s="403"/>
      <c r="AG126" s="403"/>
      <c r="AH126" s="403"/>
      <c r="AI126" s="403"/>
      <c r="AJ126" s="403"/>
      <c r="AK126" s="403"/>
      <c r="AL126" s="403"/>
      <c r="AM126" s="403"/>
      <c r="AN126" s="414"/>
      <c r="AO126" s="413"/>
      <c r="AP126" s="403"/>
      <c r="AQ126" s="403"/>
      <c r="AR126" s="403"/>
      <c r="AS126" s="403"/>
      <c r="AT126" s="403"/>
      <c r="AU126" s="403"/>
      <c r="AV126" s="403"/>
      <c r="AW126" s="403"/>
      <c r="AX126" s="403"/>
      <c r="AY126" s="403"/>
      <c r="AZ126" s="414"/>
      <c r="BA126" s="429">
        <f t="shared" si="45"/>
        <v>0</v>
      </c>
    </row>
    <row r="127" spans="1:53" s="29" customFormat="1" ht="20.100000000000001" customHeight="1">
      <c r="A127" s="68" t="str">
        <f>Vecinos!A127</f>
        <v>Familia Civitico Rueda</v>
      </c>
      <c r="B127" s="69" t="str">
        <f>Vecinos!C127</f>
        <v>Calle Güigüe Nro. 89-89</v>
      </c>
      <c r="C127" s="36" t="str">
        <f>IF(SUMIFS(Vigilancia!$E:$E,Vigilancia!$F:$F,A127,Vigilancia!$J:$J,"Vigilancia")=BA127,"ü","û")</f>
        <v>ü</v>
      </c>
      <c r="D127" s="215"/>
      <c r="E127" s="216"/>
      <c r="F127" s="217"/>
      <c r="G127" s="217"/>
      <c r="H127" s="217"/>
      <c r="I127" s="217"/>
      <c r="J127" s="217"/>
      <c r="K127" s="217"/>
      <c r="L127" s="217"/>
      <c r="M127" s="217"/>
      <c r="N127" s="217"/>
      <c r="O127" s="217"/>
      <c r="P127" s="215"/>
      <c r="Q127" s="218"/>
      <c r="R127" s="219"/>
      <c r="S127" s="219"/>
      <c r="T127" s="185">
        <f>20000/100000+120000/100000</f>
        <v>1.4</v>
      </c>
      <c r="U127" s="185">
        <f>140000/100000+260000/100000</f>
        <v>4</v>
      </c>
      <c r="V127" s="193">
        <f>400000/100000</f>
        <v>4</v>
      </c>
      <c r="W127" s="205" t="s">
        <v>1160</v>
      </c>
      <c r="X127" s="206"/>
      <c r="Y127" s="206"/>
      <c r="Z127" s="206"/>
      <c r="AA127" s="206"/>
      <c r="AB127" s="207"/>
      <c r="AC127" s="413"/>
      <c r="AD127" s="403"/>
      <c r="AE127" s="403"/>
      <c r="AF127" s="403"/>
      <c r="AG127" s="403"/>
      <c r="AH127" s="403"/>
      <c r="AI127" s="403"/>
      <c r="AJ127" s="403"/>
      <c r="AK127" s="403"/>
      <c r="AL127" s="403"/>
      <c r="AM127" s="403"/>
      <c r="AN127" s="414"/>
      <c r="AO127" s="413"/>
      <c r="AP127" s="403"/>
      <c r="AQ127" s="403"/>
      <c r="AR127" s="403"/>
      <c r="AS127" s="403"/>
      <c r="AT127" s="403"/>
      <c r="AU127" s="403"/>
      <c r="AV127" s="403"/>
      <c r="AW127" s="403"/>
      <c r="AX127" s="403"/>
      <c r="AY127" s="403"/>
      <c r="AZ127" s="414"/>
      <c r="BA127" s="429">
        <f t="shared" si="45"/>
        <v>9.4</v>
      </c>
    </row>
    <row r="128" spans="1:53" s="29" customFormat="1" ht="20.100000000000001" customHeight="1">
      <c r="A128" s="30" t="str">
        <f>Vecinos!A128</f>
        <v>Wilson Escamilla</v>
      </c>
      <c r="B128" s="31" t="str">
        <f>Vecinos!C128</f>
        <v>Calle Güigüe Nro. 89-89</v>
      </c>
      <c r="C128" s="36" t="str">
        <f>IF(SUMIFS(Vigilancia!$E:$E,Vigilancia!$F:$F,A128,Vigilancia!$J:$J,"Vigilancia")=BA128,"ü","û")</f>
        <v>ü</v>
      </c>
      <c r="D128" s="215"/>
      <c r="E128" s="216"/>
      <c r="F128" s="217"/>
      <c r="G128" s="217"/>
      <c r="H128" s="217"/>
      <c r="I128" s="217"/>
      <c r="J128" s="217"/>
      <c r="K128" s="217"/>
      <c r="L128" s="217"/>
      <c r="M128" s="217"/>
      <c r="N128" s="217"/>
      <c r="O128" s="217"/>
      <c r="P128" s="215"/>
      <c r="Q128" s="218"/>
      <c r="R128" s="219"/>
      <c r="S128" s="219"/>
      <c r="T128" s="219"/>
      <c r="U128" s="219"/>
      <c r="V128" s="219">
        <f>225000/100000</f>
        <v>2.25</v>
      </c>
      <c r="W128" s="185">
        <f>1000000/100000</f>
        <v>10</v>
      </c>
      <c r="X128" s="185">
        <v>12</v>
      </c>
      <c r="Y128" s="185">
        <v>320</v>
      </c>
      <c r="Z128" s="185">
        <v>320</v>
      </c>
      <c r="AA128" s="192">
        <v>320</v>
      </c>
      <c r="AB128" s="366">
        <v>800</v>
      </c>
      <c r="AC128" s="406">
        <f>44.2+755.8+2000</f>
        <v>2800</v>
      </c>
      <c r="AD128" s="400">
        <v>3000</v>
      </c>
      <c r="AE128" s="405">
        <v>3000</v>
      </c>
      <c r="AF128" s="400">
        <v>5000</v>
      </c>
      <c r="AG128" s="400">
        <f>3000+5000</f>
        <v>8000</v>
      </c>
      <c r="AH128" s="400">
        <v>8000</v>
      </c>
      <c r="AI128" s="400">
        <v>10000</v>
      </c>
      <c r="AJ128" s="400">
        <v>10000</v>
      </c>
      <c r="AK128" s="400">
        <v>20500</v>
      </c>
      <c r="AL128" s="400">
        <v>56250</v>
      </c>
      <c r="AM128" s="400">
        <v>56250</v>
      </c>
      <c r="AN128" s="401">
        <v>183500</v>
      </c>
      <c r="AO128" s="399">
        <v>183500</v>
      </c>
      <c r="AP128" s="400">
        <v>183500</v>
      </c>
      <c r="AQ128" s="400">
        <v>183500</v>
      </c>
      <c r="AR128" s="400"/>
      <c r="AS128" s="400"/>
      <c r="AT128" s="400"/>
      <c r="AU128" s="400"/>
      <c r="AV128" s="400"/>
      <c r="AW128" s="400"/>
      <c r="AX128" s="400"/>
      <c r="AY128" s="400"/>
      <c r="AZ128" s="401"/>
      <c r="BA128" s="426">
        <f t="shared" si="45"/>
        <v>918584.25</v>
      </c>
    </row>
    <row r="129" spans="1:54" s="29" customFormat="1" ht="20.100000000000001" customHeight="1">
      <c r="A129" s="68" t="str">
        <f>Vecinos!A129</f>
        <v>Familia Herrera Guada</v>
      </c>
      <c r="B129" s="69" t="str">
        <f>Vecinos!C129</f>
        <v>Calle Güigüe Nro. 89-90</v>
      </c>
      <c r="C129" s="36" t="str">
        <f>IF(SUMIFS(Vigilancia!$E:$E,Vigilancia!$F:$F,A129,Vigilancia!$J:$J,"Vigilancia")=BA129,"ü","û")</f>
        <v>ü</v>
      </c>
      <c r="D129" s="187"/>
      <c r="E129" s="188">
        <f>4500/100000</f>
        <v>4.4999999999999998E-2</v>
      </c>
      <c r="F129" s="189">
        <f>4500/100000</f>
        <v>4.4999999999999998E-2</v>
      </c>
      <c r="G129" s="189">
        <f>5000/100000</f>
        <v>0.05</v>
      </c>
      <c r="H129" s="189">
        <f>5000/100000</f>
        <v>0.05</v>
      </c>
      <c r="I129" s="189">
        <f>5000/100000</f>
        <v>0.05</v>
      </c>
      <c r="J129" s="222" t="s">
        <v>1158</v>
      </c>
      <c r="K129" s="234"/>
      <c r="L129" s="234"/>
      <c r="M129" s="234"/>
      <c r="N129" s="234"/>
      <c r="O129" s="234"/>
      <c r="P129" s="223"/>
      <c r="Q129" s="224"/>
      <c r="R129" s="225"/>
      <c r="S129" s="225"/>
      <c r="T129" s="225"/>
      <c r="U129" s="225"/>
      <c r="V129" s="225"/>
      <c r="W129" s="225"/>
      <c r="X129" s="225"/>
      <c r="Y129" s="225"/>
      <c r="Z129" s="225"/>
      <c r="AA129" s="225"/>
      <c r="AB129" s="223"/>
      <c r="AC129" s="415"/>
      <c r="AD129" s="416"/>
      <c r="AE129" s="416"/>
      <c r="AF129" s="416"/>
      <c r="AG129" s="416"/>
      <c r="AH129" s="416"/>
      <c r="AI129" s="416"/>
      <c r="AJ129" s="416"/>
      <c r="AK129" s="416"/>
      <c r="AL129" s="416"/>
      <c r="AM129" s="416"/>
      <c r="AN129" s="417"/>
      <c r="AO129" s="415"/>
      <c r="AP129" s="416"/>
      <c r="AQ129" s="416"/>
      <c r="AR129" s="416"/>
      <c r="AS129" s="416"/>
      <c r="AT129" s="416"/>
      <c r="AU129" s="416"/>
      <c r="AV129" s="416"/>
      <c r="AW129" s="416"/>
      <c r="AX129" s="416"/>
      <c r="AY129" s="416"/>
      <c r="AZ129" s="417"/>
      <c r="BA129" s="430">
        <f t="shared" si="45"/>
        <v>0.24</v>
      </c>
    </row>
    <row r="130" spans="1:54" s="29" customFormat="1" ht="20.100000000000001" customHeight="1">
      <c r="A130" s="30" t="str">
        <f>Vecinos!A130</f>
        <v>Familia Montilla García</v>
      </c>
      <c r="B130" s="31" t="str">
        <f>Vecinos!C130</f>
        <v>Calle Güigüe Nro. 89-90</v>
      </c>
      <c r="C130" s="36" t="str">
        <f>IF(SUMIFS(Vigilancia!$E:$E,Vigilancia!$F:$F,A130,Vigilancia!$J:$J,"Vigilancia")=BA130,"ü","û")</f>
        <v>ü</v>
      </c>
      <c r="D130" s="215"/>
      <c r="E130" s="216"/>
      <c r="F130" s="217"/>
      <c r="G130" s="217"/>
      <c r="H130" s="217"/>
      <c r="I130" s="217"/>
      <c r="J130" s="182">
        <f>26000/100000</f>
        <v>0.26</v>
      </c>
      <c r="K130" s="227">
        <f>26000/100000</f>
        <v>0.26</v>
      </c>
      <c r="L130" s="182">
        <f t="shared" ref="L130:N134" si="62">35000/100000</f>
        <v>0.35</v>
      </c>
      <c r="M130" s="182">
        <f t="shared" si="62"/>
        <v>0.35</v>
      </c>
      <c r="N130" s="182">
        <f t="shared" si="62"/>
        <v>0.35</v>
      </c>
      <c r="O130" s="182">
        <f t="shared" ref="O130:P134" si="63">50000/100000</f>
        <v>0.5</v>
      </c>
      <c r="P130" s="180">
        <f t="shared" si="63"/>
        <v>0.5</v>
      </c>
      <c r="Q130" s="184">
        <f t="shared" ref="Q130:R134" si="64">80000/100000</f>
        <v>0.8</v>
      </c>
      <c r="R130" s="185">
        <f t="shared" si="64"/>
        <v>0.8</v>
      </c>
      <c r="S130" s="185">
        <f>140000/100000</f>
        <v>1.4</v>
      </c>
      <c r="T130" s="185">
        <f>140000/100000</f>
        <v>1.4</v>
      </c>
      <c r="U130" s="185">
        <f>400000/100000</f>
        <v>4</v>
      </c>
      <c r="V130" s="185">
        <f>400000/100000+225000/100000</f>
        <v>6.25</v>
      </c>
      <c r="W130" s="185">
        <f>1030000/100000-225000/100000+195000/100000</f>
        <v>10</v>
      </c>
      <c r="X130" s="185">
        <f>1200000/100000</f>
        <v>12</v>
      </c>
      <c r="Y130" s="185">
        <v>320</v>
      </c>
      <c r="Z130" s="185">
        <v>320</v>
      </c>
      <c r="AA130" s="185">
        <v>320</v>
      </c>
      <c r="AB130" s="180">
        <v>800</v>
      </c>
      <c r="AC130" s="399">
        <v>3000</v>
      </c>
      <c r="AD130" s="400">
        <v>3000</v>
      </c>
      <c r="AE130" s="405">
        <v>3000</v>
      </c>
      <c r="AF130" s="405">
        <f>3000+2000</f>
        <v>5000</v>
      </c>
      <c r="AG130" s="400">
        <v>8000</v>
      </c>
      <c r="AH130" s="400">
        <v>8000</v>
      </c>
      <c r="AI130" s="400">
        <v>10000</v>
      </c>
      <c r="AJ130" s="405">
        <v>10000</v>
      </c>
      <c r="AK130" s="400">
        <v>20500</v>
      </c>
      <c r="AL130" s="400">
        <f>19800+36450</f>
        <v>56250</v>
      </c>
      <c r="AM130" s="400">
        <v>56250</v>
      </c>
      <c r="AN130" s="410">
        <f>7300+98700</f>
        <v>106000</v>
      </c>
      <c r="AO130" s="399">
        <f>7300+129700</f>
        <v>137000</v>
      </c>
      <c r="AP130" s="400">
        <f>7300+129000</f>
        <v>136300</v>
      </c>
      <c r="AQ130" s="405"/>
      <c r="AR130" s="405"/>
      <c r="AS130" s="400"/>
      <c r="AT130" s="400"/>
      <c r="AU130" s="400"/>
      <c r="AV130" s="405"/>
      <c r="AW130" s="400"/>
      <c r="AX130" s="400"/>
      <c r="AY130" s="400"/>
      <c r="AZ130" s="401"/>
      <c r="BA130" s="426">
        <f t="shared" si="45"/>
        <v>564099.22</v>
      </c>
    </row>
    <row r="131" spans="1:54" s="29" customFormat="1" ht="20.100000000000001" customHeight="1">
      <c r="A131" s="30" t="str">
        <f>Vecinos!A131</f>
        <v>Familia Kattar González</v>
      </c>
      <c r="B131" s="31" t="str">
        <f>Vecinos!C131</f>
        <v>Calle Güigüe Nro. 89-95</v>
      </c>
      <c r="C131" s="36" t="str">
        <f>IF(SUMIFS(Vigilancia!$E:$E,Vigilancia!$F:$F,A131,Vigilancia!$J:$J,"Vigilancia")=BA131,"ü","û")</f>
        <v>ü</v>
      </c>
      <c r="D131" s="180"/>
      <c r="E131" s="181">
        <f>17000/100000</f>
        <v>0.17</v>
      </c>
      <c r="F131" s="183">
        <f>12000/100000</f>
        <v>0.12</v>
      </c>
      <c r="G131" s="183"/>
      <c r="H131" s="183"/>
      <c r="I131" s="182">
        <f>26000/100000</f>
        <v>0.26</v>
      </c>
      <c r="J131" s="182">
        <f>26000/100000</f>
        <v>0.26</v>
      </c>
      <c r="K131" s="182">
        <f>35000/100000</f>
        <v>0.35</v>
      </c>
      <c r="L131" s="182">
        <f t="shared" si="62"/>
        <v>0.35</v>
      </c>
      <c r="M131" s="182">
        <f t="shared" si="62"/>
        <v>0.35</v>
      </c>
      <c r="N131" s="182">
        <f t="shared" si="62"/>
        <v>0.35</v>
      </c>
      <c r="O131" s="182">
        <f t="shared" si="63"/>
        <v>0.5</v>
      </c>
      <c r="P131" s="180">
        <f t="shared" si="63"/>
        <v>0.5</v>
      </c>
      <c r="Q131" s="184">
        <f t="shared" si="64"/>
        <v>0.8</v>
      </c>
      <c r="R131" s="185">
        <f t="shared" si="64"/>
        <v>0.8</v>
      </c>
      <c r="S131" s="182">
        <f>50000/100000+90000/100000</f>
        <v>1.4</v>
      </c>
      <c r="T131" s="185">
        <f>140000/100000</f>
        <v>1.4</v>
      </c>
      <c r="U131" s="185">
        <f>20000/100000+380000/100000</f>
        <v>4</v>
      </c>
      <c r="V131" s="185">
        <f>400000/100000+225000/100000</f>
        <v>6.25</v>
      </c>
      <c r="W131" s="192">
        <f>400000/100000+450000/100000+150000/100000</f>
        <v>10</v>
      </c>
      <c r="X131" s="192">
        <f>400000/100000+800000/100000</f>
        <v>12</v>
      </c>
      <c r="Y131" s="192">
        <f>400000/100000+316</f>
        <v>320</v>
      </c>
      <c r="Z131" s="192">
        <f>20000/100000+319.8</f>
        <v>320</v>
      </c>
      <c r="AA131" s="185">
        <v>320</v>
      </c>
      <c r="AB131" s="366">
        <v>800</v>
      </c>
      <c r="AC131" s="404">
        <f>44.2+755.8+2200+44.2</f>
        <v>3044.2</v>
      </c>
      <c r="AD131" s="400">
        <v>3000</v>
      </c>
      <c r="AE131" s="405">
        <v>3000</v>
      </c>
      <c r="AF131" s="405">
        <v>5000</v>
      </c>
      <c r="AG131" s="405">
        <v>8000</v>
      </c>
      <c r="AH131" s="405">
        <v>8000</v>
      </c>
      <c r="AI131" s="405">
        <v>10000</v>
      </c>
      <c r="AJ131" s="575">
        <f>3900</f>
        <v>3900</v>
      </c>
      <c r="AK131" s="405">
        <v>20500</v>
      </c>
      <c r="AL131" s="405">
        <v>48000</v>
      </c>
      <c r="AM131" s="405">
        <v>81750</v>
      </c>
      <c r="AN131" s="410">
        <v>137000</v>
      </c>
      <c r="AO131" s="404">
        <v>136250</v>
      </c>
      <c r="AP131" s="400"/>
      <c r="AQ131" s="405"/>
      <c r="AR131" s="405"/>
      <c r="AS131" s="405"/>
      <c r="AT131" s="405"/>
      <c r="AU131" s="405"/>
      <c r="AV131" s="405"/>
      <c r="AW131" s="405"/>
      <c r="AX131" s="405"/>
      <c r="AY131" s="405"/>
      <c r="AZ131" s="410"/>
      <c r="BA131" s="426">
        <f t="shared" si="45"/>
        <v>469244.06</v>
      </c>
    </row>
    <row r="132" spans="1:54" s="29" customFormat="1" ht="20.100000000000001" customHeight="1">
      <c r="A132" s="30" t="str">
        <f>Vecinos!A132</f>
        <v>Amarilis Guerra</v>
      </c>
      <c r="B132" s="31" t="str">
        <f>Vecinos!C132</f>
        <v>Calle Güigüe Nro. 89-96</v>
      </c>
      <c r="C132" s="36" t="str">
        <f>IF(SUMIFS(Vigilancia!$E:$E,Vigilancia!$F:$F,A132,Vigilancia!$J:$J,"Vigilancia")=BA132,"ü","û")</f>
        <v>ü</v>
      </c>
      <c r="D132" s="180"/>
      <c r="E132" s="181">
        <f>17000/100000</f>
        <v>0.17</v>
      </c>
      <c r="F132" s="182">
        <f t="shared" ref="F132:H134" si="65">17000/100000</f>
        <v>0.17</v>
      </c>
      <c r="G132" s="182">
        <f t="shared" si="65"/>
        <v>0.17</v>
      </c>
      <c r="H132" s="182">
        <f t="shared" si="65"/>
        <v>0.17</v>
      </c>
      <c r="I132" s="182">
        <f>26000/100000</f>
        <v>0.26</v>
      </c>
      <c r="J132" s="182">
        <f>1000/100000+25000/100000</f>
        <v>0.26</v>
      </c>
      <c r="K132" s="182">
        <f>35000/100000</f>
        <v>0.35</v>
      </c>
      <c r="L132" s="182">
        <f t="shared" si="62"/>
        <v>0.35</v>
      </c>
      <c r="M132" s="182">
        <f t="shared" si="62"/>
        <v>0.35</v>
      </c>
      <c r="N132" s="182">
        <f t="shared" si="62"/>
        <v>0.35</v>
      </c>
      <c r="O132" s="182">
        <f t="shared" si="63"/>
        <v>0.5</v>
      </c>
      <c r="P132" s="180">
        <f t="shared" si="63"/>
        <v>0.5</v>
      </c>
      <c r="Q132" s="184">
        <f t="shared" si="64"/>
        <v>0.8</v>
      </c>
      <c r="R132" s="185">
        <f t="shared" si="64"/>
        <v>0.8</v>
      </c>
      <c r="S132" s="185">
        <f>140000/100000</f>
        <v>1.4</v>
      </c>
      <c r="T132" s="185">
        <f>140000/100000</f>
        <v>1.4</v>
      </c>
      <c r="U132" s="185">
        <f>400000/100000</f>
        <v>4</v>
      </c>
      <c r="V132" s="185">
        <f>400000/100000+225000/100000</f>
        <v>6.25</v>
      </c>
      <c r="W132" s="185">
        <f>1000000/100000</f>
        <v>10</v>
      </c>
      <c r="X132" s="185">
        <f>1200000/100000</f>
        <v>12</v>
      </c>
      <c r="Y132" s="185">
        <v>320</v>
      </c>
      <c r="Z132" s="185">
        <v>320</v>
      </c>
      <c r="AA132" s="185">
        <v>320</v>
      </c>
      <c r="AB132" s="366">
        <v>800</v>
      </c>
      <c r="AC132" s="404">
        <f>800+2200</f>
        <v>3000</v>
      </c>
      <c r="AD132" s="405">
        <v>3000</v>
      </c>
      <c r="AE132" s="405">
        <v>3000</v>
      </c>
      <c r="AF132" s="405">
        <f>3000+2000</f>
        <v>5000</v>
      </c>
      <c r="AG132" s="405">
        <f>5000+3000</f>
        <v>8000</v>
      </c>
      <c r="AH132" s="405">
        <f>5000+3000</f>
        <v>8000</v>
      </c>
      <c r="AI132" s="400">
        <v>10000</v>
      </c>
      <c r="AJ132" s="405">
        <v>10000</v>
      </c>
      <c r="AK132" s="405">
        <v>23400</v>
      </c>
      <c r="AL132" s="405">
        <f>21100+25900</f>
        <v>47000</v>
      </c>
      <c r="AM132" s="400">
        <v>73500</v>
      </c>
      <c r="AN132" s="410">
        <v>81750</v>
      </c>
      <c r="AO132" s="404">
        <v>136250</v>
      </c>
      <c r="AP132" s="405">
        <v>136250</v>
      </c>
      <c r="AQ132" s="405"/>
      <c r="AR132" s="405"/>
      <c r="AS132" s="405"/>
      <c r="AT132" s="405"/>
      <c r="AU132" s="400"/>
      <c r="AV132" s="405"/>
      <c r="AW132" s="405"/>
      <c r="AX132" s="405"/>
      <c r="AY132" s="405"/>
      <c r="AZ132" s="410"/>
      <c r="BA132" s="426">
        <f t="shared" ref="BA132:BA140" si="66">SUM(D132:AZ132)</f>
        <v>549950.25</v>
      </c>
    </row>
    <row r="133" spans="1:54" s="29" customFormat="1" ht="20.100000000000001" customHeight="1">
      <c r="A133" s="30" t="str">
        <f>Vecinos!A133</f>
        <v>Familia Ochoa Mendoza</v>
      </c>
      <c r="B133" s="31" t="str">
        <f>Vecinos!C133</f>
        <v>Calle Güigüe Nro. 89-105</v>
      </c>
      <c r="C133" s="36" t="str">
        <f>IF(SUMIFS(Vigilancia!$E:$E,Vigilancia!$F:$F,A133,Vigilancia!$J:$J,"Vigilancia")=BA133,"ü","û")</f>
        <v>ü</v>
      </c>
      <c r="D133" s="180"/>
      <c r="E133" s="181">
        <f>17000/100000</f>
        <v>0.17</v>
      </c>
      <c r="F133" s="182">
        <f t="shared" si="65"/>
        <v>0.17</v>
      </c>
      <c r="G133" s="182">
        <f t="shared" si="65"/>
        <v>0.17</v>
      </c>
      <c r="H133" s="182">
        <f t="shared" si="65"/>
        <v>0.17</v>
      </c>
      <c r="I133" s="182">
        <f>26000/100000</f>
        <v>0.26</v>
      </c>
      <c r="J133" s="182">
        <f>26000/100000</f>
        <v>0.26</v>
      </c>
      <c r="K133" s="182">
        <f>26000/100000+9000/100000</f>
        <v>0.35</v>
      </c>
      <c r="L133" s="182">
        <f t="shared" si="62"/>
        <v>0.35</v>
      </c>
      <c r="M133" s="182">
        <f t="shared" si="62"/>
        <v>0.35</v>
      </c>
      <c r="N133" s="182">
        <f t="shared" si="62"/>
        <v>0.35</v>
      </c>
      <c r="O133" s="182">
        <f t="shared" si="63"/>
        <v>0.5</v>
      </c>
      <c r="P133" s="180">
        <f t="shared" si="63"/>
        <v>0.5</v>
      </c>
      <c r="Q133" s="184">
        <f t="shared" si="64"/>
        <v>0.8</v>
      </c>
      <c r="R133" s="185">
        <f t="shared" si="64"/>
        <v>0.8</v>
      </c>
      <c r="S133" s="185">
        <f>140000/100000</f>
        <v>1.4</v>
      </c>
      <c r="T133" s="185">
        <f>150000/100000</f>
        <v>1.5</v>
      </c>
      <c r="U133" s="185">
        <f>400000/100000</f>
        <v>4</v>
      </c>
      <c r="V133" s="185">
        <f>400000/100000+225000/100000</f>
        <v>6.25</v>
      </c>
      <c r="W133" s="185">
        <f>850000/100000+150000/100000</f>
        <v>10</v>
      </c>
      <c r="X133" s="193">
        <f>850000/100000+75000/100000+2</f>
        <v>11.25</v>
      </c>
      <c r="Y133" s="185">
        <v>320</v>
      </c>
      <c r="Z133" s="185">
        <v>320</v>
      </c>
      <c r="AA133" s="185">
        <v>350</v>
      </c>
      <c r="AB133" s="180">
        <v>800</v>
      </c>
      <c r="AC133" s="404">
        <f>800+2200</f>
        <v>3000</v>
      </c>
      <c r="AD133" s="400">
        <v>3000</v>
      </c>
      <c r="AE133" s="405">
        <v>3000</v>
      </c>
      <c r="AF133" s="405">
        <v>5000</v>
      </c>
      <c r="AG133" s="405">
        <f>5000+3000</f>
        <v>8000</v>
      </c>
      <c r="AH133" s="405">
        <f>5000+3000</f>
        <v>8000</v>
      </c>
      <c r="AI133" s="400">
        <v>10000</v>
      </c>
      <c r="AJ133" s="405">
        <v>10000</v>
      </c>
      <c r="AK133" s="405">
        <v>20500</v>
      </c>
      <c r="AL133" s="400">
        <f>19800+27200</f>
        <v>47000</v>
      </c>
      <c r="AM133" s="405">
        <v>56250</v>
      </c>
      <c r="AN133" s="401">
        <v>81750</v>
      </c>
      <c r="AO133" s="404">
        <v>136250</v>
      </c>
      <c r="AP133" s="400">
        <v>136250</v>
      </c>
      <c r="AQ133" s="405"/>
      <c r="AR133" s="405"/>
      <c r="AS133" s="405"/>
      <c r="AT133" s="405"/>
      <c r="AU133" s="400"/>
      <c r="AV133" s="405"/>
      <c r="AW133" s="405"/>
      <c r="AX133" s="405"/>
      <c r="AY133" s="405"/>
      <c r="AZ133" s="410"/>
      <c r="BA133" s="426">
        <f t="shared" si="66"/>
        <v>529829.6</v>
      </c>
    </row>
    <row r="134" spans="1:54" s="29" customFormat="1" ht="20.100000000000001" customHeight="1">
      <c r="A134" s="59" t="str">
        <f>Vecinos!A134</f>
        <v>Anahiz Seijas</v>
      </c>
      <c r="B134" s="60" t="str">
        <f>Vecinos!C134</f>
        <v>Calle Güigüe Nro. 89-106</v>
      </c>
      <c r="C134" s="36" t="str">
        <f>IF(SUMIFS(Vigilancia!$E:$E,Vigilancia!$F:$F,A134,Vigilancia!$J:$J,"Vigilancia")=BA134,"ü","û")</f>
        <v>ü</v>
      </c>
      <c r="D134" s="180"/>
      <c r="E134" s="181">
        <f>17000/100000</f>
        <v>0.17</v>
      </c>
      <c r="F134" s="182">
        <f t="shared" si="65"/>
        <v>0.17</v>
      </c>
      <c r="G134" s="182">
        <f t="shared" si="65"/>
        <v>0.17</v>
      </c>
      <c r="H134" s="182">
        <f t="shared" si="65"/>
        <v>0.17</v>
      </c>
      <c r="I134" s="182">
        <f>26000/100000</f>
        <v>0.26</v>
      </c>
      <c r="J134" s="182">
        <f>26000/100000</f>
        <v>0.26</v>
      </c>
      <c r="K134" s="182">
        <f>35000/100000</f>
        <v>0.35</v>
      </c>
      <c r="L134" s="182">
        <f t="shared" si="62"/>
        <v>0.35</v>
      </c>
      <c r="M134" s="182">
        <f t="shared" si="62"/>
        <v>0.35</v>
      </c>
      <c r="N134" s="182">
        <f t="shared" si="62"/>
        <v>0.35</v>
      </c>
      <c r="O134" s="182">
        <f t="shared" si="63"/>
        <v>0.5</v>
      </c>
      <c r="P134" s="180">
        <f t="shared" si="63"/>
        <v>0.5</v>
      </c>
      <c r="Q134" s="184">
        <f t="shared" si="64"/>
        <v>0.8</v>
      </c>
      <c r="R134" s="185">
        <f t="shared" si="64"/>
        <v>0.8</v>
      </c>
      <c r="S134" s="185">
        <f>140000/100000</f>
        <v>1.4</v>
      </c>
      <c r="T134" s="185">
        <f>140000/100000</f>
        <v>1.4</v>
      </c>
      <c r="U134" s="185">
        <f>400000/100000</f>
        <v>4</v>
      </c>
      <c r="V134" s="185">
        <f>400000/100000+225000/100000</f>
        <v>6.25</v>
      </c>
      <c r="W134" s="185">
        <f>1000000/100000</f>
        <v>10</v>
      </c>
      <c r="X134" s="193">
        <f>1000000/100000</f>
        <v>10</v>
      </c>
      <c r="Y134" s="185">
        <v>320</v>
      </c>
      <c r="Z134" s="185">
        <v>320</v>
      </c>
      <c r="AA134" s="192">
        <v>320</v>
      </c>
      <c r="AB134" s="366">
        <f>320+480</f>
        <v>800</v>
      </c>
      <c r="AC134" s="404">
        <v>3000</v>
      </c>
      <c r="AD134" s="405">
        <v>3000</v>
      </c>
      <c r="AE134" s="400">
        <v>3000</v>
      </c>
      <c r="AF134" s="405">
        <f>3000+2000</f>
        <v>5000</v>
      </c>
      <c r="AG134" s="405">
        <f>5000+3000</f>
        <v>8000</v>
      </c>
      <c r="AH134" s="205" t="s">
        <v>1161</v>
      </c>
      <c r="AI134" s="206"/>
      <c r="AJ134" s="403"/>
      <c r="AK134" s="403"/>
      <c r="AL134" s="403"/>
      <c r="AM134" s="403"/>
      <c r="AN134" s="414"/>
      <c r="AO134" s="413"/>
      <c r="AP134" s="403"/>
      <c r="AQ134" s="403"/>
      <c r="AR134" s="403"/>
      <c r="AS134" s="403"/>
      <c r="AT134" s="205"/>
      <c r="AU134" s="206"/>
      <c r="AV134" s="403"/>
      <c r="AW134" s="403"/>
      <c r="AX134" s="403"/>
      <c r="AY134" s="403"/>
      <c r="AZ134" s="414"/>
      <c r="BA134" s="429">
        <f t="shared" si="66"/>
        <v>23798.25</v>
      </c>
    </row>
    <row r="135" spans="1:54" s="29" customFormat="1" ht="20.100000000000001" customHeight="1">
      <c r="A135" s="30" t="str">
        <f>Vecinos!A135</f>
        <v>Familia Chan García</v>
      </c>
      <c r="B135" s="31" t="str">
        <f>Vecinos!C135</f>
        <v>Calle Güigüe Nro. 89-106</v>
      </c>
      <c r="C135" s="36" t="str">
        <f>IF(SUMIFS(Vigilancia!$E:$E,Vigilancia!$F:$F,A135,Vigilancia!$J:$J,"Vigilancia")=BA135,"ü","û")</f>
        <v>ü</v>
      </c>
      <c r="D135" s="523"/>
      <c r="E135" s="524"/>
      <c r="F135" s="525"/>
      <c r="G135" s="525"/>
      <c r="H135" s="525"/>
      <c r="I135" s="525"/>
      <c r="J135" s="525"/>
      <c r="K135" s="525"/>
      <c r="L135" s="525"/>
      <c r="M135" s="525"/>
      <c r="N135" s="525"/>
      <c r="O135" s="525"/>
      <c r="P135" s="523"/>
      <c r="Q135" s="526"/>
      <c r="R135" s="527"/>
      <c r="S135" s="527"/>
      <c r="T135" s="527"/>
      <c r="U135" s="527"/>
      <c r="V135" s="527"/>
      <c r="W135" s="527"/>
      <c r="X135" s="527"/>
      <c r="Y135" s="527"/>
      <c r="Z135" s="527"/>
      <c r="AA135" s="527"/>
      <c r="AB135" s="523"/>
      <c r="AC135" s="528"/>
      <c r="AD135" s="529"/>
      <c r="AE135" s="529"/>
      <c r="AF135" s="529"/>
      <c r="AG135" s="529"/>
      <c r="AH135" s="405">
        <v>8000</v>
      </c>
      <c r="AI135" s="405">
        <v>10000</v>
      </c>
      <c r="AJ135" s="405">
        <v>10000</v>
      </c>
      <c r="AK135" s="405">
        <v>21600</v>
      </c>
      <c r="AL135" s="405">
        <v>47000</v>
      </c>
      <c r="AM135" s="400">
        <v>73500</v>
      </c>
      <c r="AN135" s="410">
        <v>105250</v>
      </c>
      <c r="AO135" s="404">
        <v>136250</v>
      </c>
      <c r="AP135" s="405"/>
      <c r="AQ135" s="405"/>
      <c r="AR135" s="405"/>
      <c r="AS135" s="405"/>
      <c r="AT135" s="405"/>
      <c r="AU135" s="405"/>
      <c r="AV135" s="405"/>
      <c r="AW135" s="405"/>
      <c r="AX135" s="405"/>
      <c r="AY135" s="405"/>
      <c r="AZ135" s="410"/>
      <c r="BA135" s="426">
        <f t="shared" si="66"/>
        <v>411600</v>
      </c>
    </row>
    <row r="136" spans="1:54" s="29" customFormat="1" ht="20.100000000000001" customHeight="1">
      <c r="A136" s="33" t="str">
        <f>Vecinos!A136</f>
        <v>Familia Jiménez de Avila</v>
      </c>
      <c r="B136" s="34" t="str">
        <f>Vecinos!C136</f>
        <v>Calle Güigüe Nro. 89-116</v>
      </c>
      <c r="C136" s="35" t="str">
        <f>IF(SUMIFS(Vigilancia!$E:$E,Vigilancia!$F:$F,A136,Vigilancia!$J:$J,"Vigilancia")=BA136,"ü","û")</f>
        <v>ü</v>
      </c>
      <c r="D136" s="187"/>
      <c r="E136" s="188"/>
      <c r="F136" s="189"/>
      <c r="G136" s="189"/>
      <c r="H136" s="189"/>
      <c r="I136" s="189"/>
      <c r="J136" s="189"/>
      <c r="K136" s="189"/>
      <c r="L136" s="189"/>
      <c r="M136" s="189"/>
      <c r="N136" s="189"/>
      <c r="O136" s="189">
        <f>30000/100000</f>
        <v>0.3</v>
      </c>
      <c r="P136" s="187" t="s">
        <v>17</v>
      </c>
      <c r="Q136" s="544" t="s">
        <v>17</v>
      </c>
      <c r="R136" s="545" t="s">
        <v>17</v>
      </c>
      <c r="S136" s="545" t="s">
        <v>17</v>
      </c>
      <c r="T136" s="545" t="s">
        <v>17</v>
      </c>
      <c r="U136" s="545" t="s">
        <v>17</v>
      </c>
      <c r="V136" s="545" t="s">
        <v>17</v>
      </c>
      <c r="W136" s="545" t="s">
        <v>17</v>
      </c>
      <c r="X136" s="545" t="s">
        <v>17</v>
      </c>
      <c r="Y136" s="545" t="s">
        <v>17</v>
      </c>
      <c r="Z136" s="545" t="s">
        <v>17</v>
      </c>
      <c r="AA136" s="191">
        <v>1350</v>
      </c>
      <c r="AB136" s="546" t="s">
        <v>17</v>
      </c>
      <c r="AC136" s="542" t="s">
        <v>17</v>
      </c>
      <c r="AD136" s="543" t="s">
        <v>17</v>
      </c>
      <c r="AE136" s="543" t="s">
        <v>17</v>
      </c>
      <c r="AF136" s="543" t="s">
        <v>17</v>
      </c>
      <c r="AG136" s="543" t="s">
        <v>17</v>
      </c>
      <c r="AH136" s="543" t="s">
        <v>17</v>
      </c>
      <c r="AI136" s="397">
        <v>5000</v>
      </c>
      <c r="AJ136" s="397">
        <v>5000</v>
      </c>
      <c r="AK136" s="397">
        <v>5000</v>
      </c>
      <c r="AL136" s="397">
        <v>5000</v>
      </c>
      <c r="AM136" s="397">
        <v>5000</v>
      </c>
      <c r="AN136" s="398">
        <v>5000</v>
      </c>
      <c r="AO136" s="396">
        <v>70000</v>
      </c>
      <c r="AP136" s="397">
        <v>70000</v>
      </c>
      <c r="AQ136" s="397">
        <v>70000</v>
      </c>
      <c r="AR136" s="397"/>
      <c r="AS136" s="397"/>
      <c r="AT136" s="397"/>
      <c r="AU136" s="397"/>
      <c r="AV136" s="397"/>
      <c r="AW136" s="397"/>
      <c r="AX136" s="397"/>
      <c r="AY136" s="397"/>
      <c r="AZ136" s="398"/>
      <c r="BA136" s="425">
        <f t="shared" si="66"/>
        <v>241350.3</v>
      </c>
    </row>
    <row r="137" spans="1:54" s="29" customFormat="1" ht="20.100000000000001" customHeight="1">
      <c r="A137" s="59" t="str">
        <f>Vecinos!A137</f>
        <v>Familia Morales Sesar</v>
      </c>
      <c r="B137" s="60" t="str">
        <f>Vecinos!C137</f>
        <v>Calle Güigüe Nro. 89-120</v>
      </c>
      <c r="C137" s="36" t="str">
        <f>IF(SUMIFS(Vigilancia!$E:$E,Vigilancia!$F:$F,A137,Vigilancia!$J:$J,"Vigilancia")=BA137,"ü","û")</f>
        <v>ü</v>
      </c>
      <c r="D137" s="180"/>
      <c r="E137" s="181">
        <f>17000/100000</f>
        <v>0.17</v>
      </c>
      <c r="F137" s="182">
        <f>17000/100000</f>
        <v>0.17</v>
      </c>
      <c r="G137" s="182">
        <f>17000/100000</f>
        <v>0.17</v>
      </c>
      <c r="H137" s="182">
        <f>17000/100000</f>
        <v>0.17</v>
      </c>
      <c r="I137" s="182">
        <f>17000/100000+9000/100000</f>
        <v>0.26</v>
      </c>
      <c r="J137" s="182">
        <f>26000/100000</f>
        <v>0.26</v>
      </c>
      <c r="K137" s="227">
        <f>18000/100000</f>
        <v>0.18</v>
      </c>
      <c r="L137" s="182">
        <f>15000/100000</f>
        <v>0.15</v>
      </c>
      <c r="M137" s="182">
        <f>15000/100000</f>
        <v>0.15</v>
      </c>
      <c r="N137" s="182">
        <f>25000/100000</f>
        <v>0.25</v>
      </c>
      <c r="O137" s="235" t="s">
        <v>490</v>
      </c>
      <c r="P137" s="204" t="s">
        <v>490</v>
      </c>
      <c r="Q137" s="184">
        <f>40000/100000</f>
        <v>0.4</v>
      </c>
      <c r="R137" s="185">
        <f>40000/100000</f>
        <v>0.4</v>
      </c>
      <c r="S137" s="185">
        <f>50000/100000</f>
        <v>0.5</v>
      </c>
      <c r="T137" s="185">
        <f>50000/100000</f>
        <v>0.5</v>
      </c>
      <c r="U137" s="185">
        <f>100000/100000</f>
        <v>1</v>
      </c>
      <c r="V137" s="185">
        <f>100000/100000</f>
        <v>1</v>
      </c>
      <c r="W137" s="185"/>
      <c r="X137" s="185"/>
      <c r="Y137" s="185"/>
      <c r="Z137" s="205" t="s">
        <v>1158</v>
      </c>
      <c r="AA137" s="206"/>
      <c r="AB137" s="207"/>
      <c r="AC137" s="413"/>
      <c r="AD137" s="403"/>
      <c r="AE137" s="403"/>
      <c r="AF137" s="403"/>
      <c r="AG137" s="403"/>
      <c r="AH137" s="403"/>
      <c r="AI137" s="403"/>
      <c r="AJ137" s="403"/>
      <c r="AK137" s="403"/>
      <c r="AL137" s="403"/>
      <c r="AM137" s="403"/>
      <c r="AN137" s="414"/>
      <c r="AO137" s="413"/>
      <c r="AP137" s="403"/>
      <c r="AQ137" s="403"/>
      <c r="AR137" s="403"/>
      <c r="AS137" s="403"/>
      <c r="AT137" s="403"/>
      <c r="AU137" s="403"/>
      <c r="AV137" s="403"/>
      <c r="AW137" s="403"/>
      <c r="AX137" s="403"/>
      <c r="AY137" s="403"/>
      <c r="AZ137" s="414"/>
      <c r="BA137" s="429">
        <f t="shared" si="66"/>
        <v>5.73</v>
      </c>
    </row>
    <row r="138" spans="1:54" s="29" customFormat="1" ht="20.100000000000001" customHeight="1">
      <c r="A138" s="30" t="str">
        <f>Vecinos!A138</f>
        <v>Familia Abbinante Pinto</v>
      </c>
      <c r="B138" s="31" t="str">
        <f>Vecinos!C138</f>
        <v>Calle Güigüe Nro. 89-120</v>
      </c>
      <c r="C138" s="36" t="str">
        <f>IF(SUMIFS(Vigilancia!$E:$E,Vigilancia!$F:$F,A138,Vigilancia!$J:$J,"Vigilancia")=BA138,"ü","û")</f>
        <v>ü</v>
      </c>
      <c r="D138" s="207"/>
      <c r="E138" s="306"/>
      <c r="F138" s="214"/>
      <c r="G138" s="214"/>
      <c r="H138" s="214"/>
      <c r="I138" s="214"/>
      <c r="J138" s="214"/>
      <c r="K138" s="234"/>
      <c r="L138" s="214"/>
      <c r="M138" s="214"/>
      <c r="N138" s="214"/>
      <c r="O138" s="350"/>
      <c r="P138" s="351"/>
      <c r="Q138" s="349"/>
      <c r="R138" s="206"/>
      <c r="S138" s="206"/>
      <c r="T138" s="206"/>
      <c r="U138" s="206"/>
      <c r="V138" s="206"/>
      <c r="W138" s="206"/>
      <c r="X138" s="206"/>
      <c r="Y138" s="206"/>
      <c r="Z138" s="185">
        <v>320</v>
      </c>
      <c r="AA138" s="185">
        <v>320</v>
      </c>
      <c r="AB138" s="180">
        <v>800</v>
      </c>
      <c r="AC138" s="399">
        <v>3000</v>
      </c>
      <c r="AD138" s="400">
        <v>3000</v>
      </c>
      <c r="AE138" s="400">
        <v>3000</v>
      </c>
      <c r="AF138" s="400">
        <v>5000</v>
      </c>
      <c r="AG138" s="400">
        <v>8000</v>
      </c>
      <c r="AH138" s="400">
        <v>8000</v>
      </c>
      <c r="AI138" s="400">
        <f>8000+2000</f>
        <v>10000</v>
      </c>
      <c r="AJ138" s="400">
        <v>10000</v>
      </c>
      <c r="AK138" s="400">
        <v>21600</v>
      </c>
      <c r="AL138" s="400">
        <v>51250</v>
      </c>
      <c r="AM138" s="400">
        <v>73500</v>
      </c>
      <c r="AN138" s="401">
        <v>105250</v>
      </c>
      <c r="AO138" s="399">
        <v>136250</v>
      </c>
      <c r="AP138" s="400"/>
      <c r="AQ138" s="400"/>
      <c r="AR138" s="400"/>
      <c r="AS138" s="400"/>
      <c r="AT138" s="400"/>
      <c r="AU138" s="400"/>
      <c r="AV138" s="400"/>
      <c r="AW138" s="400"/>
      <c r="AX138" s="400"/>
      <c r="AY138" s="400"/>
      <c r="AZ138" s="401"/>
      <c r="BA138" s="426">
        <f t="shared" si="66"/>
        <v>439290</v>
      </c>
    </row>
    <row r="139" spans="1:54" s="29" customFormat="1" ht="20.100000000000001" customHeight="1">
      <c r="A139" s="30" t="str">
        <f>Vecinos!A139</f>
        <v>Alexander Pena</v>
      </c>
      <c r="B139" s="31" t="str">
        <f>Vecinos!C139</f>
        <v>Calle Güigüe Nro. 89-126</v>
      </c>
      <c r="C139" s="36" t="str">
        <f>IF(SUMIFS(Vigilancia!$E:$E,Vigilancia!$F:$F,A139,Vigilancia!$J:$J,"Vigilancia")=BA139,"ü","û")</f>
        <v>ü</v>
      </c>
      <c r="D139" s="180"/>
      <c r="E139" s="181"/>
      <c r="F139" s="182"/>
      <c r="G139" s="182"/>
      <c r="H139" s="182"/>
      <c r="I139" s="182"/>
      <c r="J139" s="182"/>
      <c r="K139" s="182"/>
      <c r="L139" s="182"/>
      <c r="M139" s="182"/>
      <c r="N139" s="182"/>
      <c r="O139" s="182"/>
      <c r="P139" s="180"/>
      <c r="Q139" s="184"/>
      <c r="R139" s="185"/>
      <c r="S139" s="185"/>
      <c r="T139" s="185"/>
      <c r="U139" s="185"/>
      <c r="V139" s="185"/>
      <c r="W139" s="185"/>
      <c r="X139" s="185"/>
      <c r="Y139" s="185"/>
      <c r="Z139" s="185"/>
      <c r="AA139" s="185"/>
      <c r="AB139" s="180"/>
      <c r="AC139" s="399"/>
      <c r="AD139" s="400"/>
      <c r="AE139" s="400"/>
      <c r="AF139" s="400"/>
      <c r="AG139" s="400"/>
      <c r="AH139" s="400"/>
      <c r="AI139" s="400"/>
      <c r="AJ139" s="400"/>
      <c r="AK139" s="400"/>
      <c r="AL139" s="400"/>
      <c r="AM139" s="400"/>
      <c r="AN139" s="401"/>
      <c r="AO139" s="399"/>
      <c r="AP139" s="400"/>
      <c r="AQ139" s="400"/>
      <c r="AR139" s="400"/>
      <c r="AS139" s="400"/>
      <c r="AT139" s="400"/>
      <c r="AU139" s="400"/>
      <c r="AV139" s="400"/>
      <c r="AW139" s="400"/>
      <c r="AX139" s="400"/>
      <c r="AY139" s="400"/>
      <c r="AZ139" s="401"/>
      <c r="BA139" s="426">
        <f t="shared" si="66"/>
        <v>0</v>
      </c>
    </row>
    <row r="140" spans="1:54" s="29" customFormat="1" ht="20.100000000000001" customHeight="1">
      <c r="A140" s="40" t="str">
        <f>Vecinos!A140</f>
        <v>Familia Pena Wierman</v>
      </c>
      <c r="B140" s="41" t="str">
        <f>Vecinos!C140</f>
        <v>Calle Güigüe Nro. 89-126</v>
      </c>
      <c r="C140" s="42" t="str">
        <f>IF(SUMIFS(Vigilancia!$E:$E,Vigilancia!$F:$F,A140,Vigilancia!$J:$J,"Vigilancia")=BA140,"ü","û")</f>
        <v>ü</v>
      </c>
      <c r="D140" s="236"/>
      <c r="E140" s="237"/>
      <c r="F140" s="238"/>
      <c r="G140" s="238"/>
      <c r="H140" s="238"/>
      <c r="I140" s="238"/>
      <c r="J140" s="238"/>
      <c r="K140" s="238"/>
      <c r="L140" s="238"/>
      <c r="M140" s="238"/>
      <c r="N140" s="238"/>
      <c r="O140" s="238"/>
      <c r="P140" s="236"/>
      <c r="Q140" s="239"/>
      <c r="R140" s="240"/>
      <c r="S140" s="240"/>
      <c r="T140" s="240"/>
      <c r="U140" s="240"/>
      <c r="V140" s="240"/>
      <c r="W140" s="240"/>
      <c r="X140" s="240"/>
      <c r="Y140" s="240"/>
      <c r="Z140" s="240"/>
      <c r="AA140" s="240"/>
      <c r="AB140" s="236"/>
      <c r="AC140" s="421"/>
      <c r="AD140" s="422"/>
      <c r="AE140" s="422"/>
      <c r="AF140" s="422"/>
      <c r="AG140" s="422"/>
      <c r="AH140" s="422"/>
      <c r="AI140" s="422"/>
      <c r="AJ140" s="422"/>
      <c r="AK140" s="422"/>
      <c r="AL140" s="422"/>
      <c r="AM140" s="422"/>
      <c r="AN140" s="423"/>
      <c r="AO140" s="421"/>
      <c r="AP140" s="422"/>
      <c r="AQ140" s="422"/>
      <c r="AR140" s="422"/>
      <c r="AS140" s="422"/>
      <c r="AT140" s="422"/>
      <c r="AU140" s="422"/>
      <c r="AV140" s="422"/>
      <c r="AW140" s="422"/>
      <c r="AX140" s="422"/>
      <c r="AY140" s="422"/>
      <c r="AZ140" s="423"/>
      <c r="BA140" s="431">
        <f t="shared" si="66"/>
        <v>0</v>
      </c>
    </row>
    <row r="141" spans="1:54" s="29" customFormat="1" ht="20.100000000000001" customHeight="1" thickBot="1">
      <c r="A141" s="557"/>
      <c r="B141" s="565" t="s">
        <v>1156</v>
      </c>
      <c r="C141" s="558" t="str">
        <f>C1</f>
        <v>ü</v>
      </c>
      <c r="D141" s="559">
        <f>SUM(D2:D140)</f>
        <v>0.1</v>
      </c>
      <c r="E141" s="560">
        <f>SUM(E2:E140)</f>
        <v>10.254999999999997</v>
      </c>
      <c r="F141" s="561">
        <f t="shared" ref="F141:AB141" si="67">SUM(F2:F140)</f>
        <v>10.619999999999996</v>
      </c>
      <c r="G141" s="561">
        <f t="shared" si="67"/>
        <v>10.084999999999997</v>
      </c>
      <c r="H141" s="561">
        <f t="shared" si="67"/>
        <v>10.475999999999999</v>
      </c>
      <c r="I141" s="561">
        <f t="shared" si="67"/>
        <v>15.079999999999991</v>
      </c>
      <c r="J141" s="561">
        <f t="shared" si="67"/>
        <v>15.649999999999993</v>
      </c>
      <c r="K141" s="561">
        <f t="shared" si="67"/>
        <v>20.910000000000011</v>
      </c>
      <c r="L141" s="561">
        <f t="shared" si="67"/>
        <v>21.105000000000004</v>
      </c>
      <c r="M141" s="561">
        <f t="shared" si="67"/>
        <v>20.769000000000002</v>
      </c>
      <c r="N141" s="561">
        <f t="shared" si="67"/>
        <v>21.420000000000005</v>
      </c>
      <c r="O141" s="561">
        <f t="shared" si="67"/>
        <v>30.399999999999995</v>
      </c>
      <c r="P141" s="562">
        <f t="shared" si="67"/>
        <v>30.769999999999996</v>
      </c>
      <c r="Q141" s="563">
        <f t="shared" si="67"/>
        <v>53.99999999999995</v>
      </c>
      <c r="R141" s="564">
        <f t="shared" si="67"/>
        <v>56.999999999999943</v>
      </c>
      <c r="S141" s="564">
        <f t="shared" si="67"/>
        <v>98.200000000000088</v>
      </c>
      <c r="T141" s="564">
        <f t="shared" si="67"/>
        <v>103.15000000000009</v>
      </c>
      <c r="U141" s="564">
        <f t="shared" si="67"/>
        <v>280.10000000000002</v>
      </c>
      <c r="V141" s="564">
        <f t="shared" si="67"/>
        <v>451.35</v>
      </c>
      <c r="W141" s="566">
        <f t="shared" si="67"/>
        <v>767.75</v>
      </c>
      <c r="X141" s="566">
        <f t="shared" si="67"/>
        <v>934.85</v>
      </c>
      <c r="Y141" s="566">
        <f t="shared" si="67"/>
        <v>23201.41</v>
      </c>
      <c r="Z141" s="566">
        <f t="shared" si="67"/>
        <v>24138.5</v>
      </c>
      <c r="AA141" s="566">
        <f t="shared" si="67"/>
        <v>25420</v>
      </c>
      <c r="AB141" s="567">
        <f t="shared" si="67"/>
        <v>59421.15</v>
      </c>
      <c r="AC141" s="568">
        <f t="shared" ref="AC141:AN141" si="68">SUM(AC2:AC140)</f>
        <v>224154.2</v>
      </c>
      <c r="AD141" s="569">
        <f t="shared" si="68"/>
        <v>229490</v>
      </c>
      <c r="AE141" s="569">
        <f t="shared" si="68"/>
        <v>243715.55</v>
      </c>
      <c r="AF141" s="569">
        <f t="shared" si="68"/>
        <v>392130</v>
      </c>
      <c r="AG141" s="569">
        <f t="shared" si="68"/>
        <v>632980</v>
      </c>
      <c r="AH141" s="569">
        <f t="shared" si="68"/>
        <v>645640</v>
      </c>
      <c r="AI141" s="569">
        <f t="shared" si="68"/>
        <v>809500</v>
      </c>
      <c r="AJ141" s="569">
        <f t="shared" si="68"/>
        <v>809400</v>
      </c>
      <c r="AK141" s="569">
        <f t="shared" si="68"/>
        <v>1723176.22</v>
      </c>
      <c r="AL141" s="569">
        <f t="shared" si="68"/>
        <v>3938039</v>
      </c>
      <c r="AM141" s="569">
        <f t="shared" si="68"/>
        <v>7102871</v>
      </c>
      <c r="AN141" s="570">
        <f t="shared" si="68"/>
        <v>7105675</v>
      </c>
      <c r="AO141" s="568">
        <f t="shared" ref="AO141:AZ141" si="69">SUM(AO2:AO140)</f>
        <v>9382975</v>
      </c>
      <c r="AP141" s="569">
        <f t="shared" si="69"/>
        <v>6148830.7999999998</v>
      </c>
      <c r="AQ141" s="569">
        <f t="shared" si="69"/>
        <v>444000</v>
      </c>
      <c r="AR141" s="569">
        <f t="shared" si="69"/>
        <v>0</v>
      </c>
      <c r="AS141" s="569">
        <f t="shared" si="69"/>
        <v>0</v>
      </c>
      <c r="AT141" s="569">
        <f t="shared" si="69"/>
        <v>0</v>
      </c>
      <c r="AU141" s="569">
        <f t="shared" si="69"/>
        <v>0</v>
      </c>
      <c r="AV141" s="569">
        <f t="shared" si="69"/>
        <v>0</v>
      </c>
      <c r="AW141" s="569">
        <f t="shared" si="69"/>
        <v>0</v>
      </c>
      <c r="AX141" s="569">
        <f t="shared" si="69"/>
        <v>0</v>
      </c>
      <c r="AY141" s="569">
        <f t="shared" si="69"/>
        <v>0</v>
      </c>
      <c r="AZ141" s="570">
        <f t="shared" si="69"/>
        <v>0</v>
      </c>
      <c r="BA141" s="571">
        <f>SUM(D141:AZ141)</f>
        <v>39967721.869999997</v>
      </c>
    </row>
    <row r="142" spans="1:54">
      <c r="A142" s="169"/>
      <c r="B142" s="170" t="s">
        <v>1162</v>
      </c>
      <c r="C142" s="333"/>
      <c r="D142" s="334">
        <f>COUNT(D2:D140)</f>
        <v>2</v>
      </c>
      <c r="E142" s="337">
        <f t="shared" ref="E142:AB142" si="70">COUNT(E2:E140)</f>
        <v>75</v>
      </c>
      <c r="F142" s="338">
        <f t="shared" si="70"/>
        <v>75</v>
      </c>
      <c r="G142" s="338">
        <f t="shared" si="70"/>
        <v>69</v>
      </c>
      <c r="H142" s="338">
        <f t="shared" si="70"/>
        <v>70</v>
      </c>
      <c r="I142" s="338">
        <f t="shared" si="70"/>
        <v>69</v>
      </c>
      <c r="J142" s="338">
        <f t="shared" si="70"/>
        <v>68</v>
      </c>
      <c r="K142" s="338">
        <f t="shared" si="70"/>
        <v>71</v>
      </c>
      <c r="L142" s="338">
        <f t="shared" si="70"/>
        <v>71</v>
      </c>
      <c r="M142" s="338">
        <f t="shared" si="70"/>
        <v>68</v>
      </c>
      <c r="N142" s="338">
        <f t="shared" si="70"/>
        <v>68</v>
      </c>
      <c r="O142" s="338">
        <f t="shared" si="70"/>
        <v>68</v>
      </c>
      <c r="P142" s="339">
        <f t="shared" si="70"/>
        <v>68</v>
      </c>
      <c r="Q142" s="317">
        <f t="shared" si="70"/>
        <v>74</v>
      </c>
      <c r="R142" s="172">
        <f t="shared" si="70"/>
        <v>76</v>
      </c>
      <c r="S142" s="172">
        <f t="shared" si="70"/>
        <v>76</v>
      </c>
      <c r="T142" s="172">
        <f t="shared" si="70"/>
        <v>77</v>
      </c>
      <c r="U142" s="172">
        <f>COUNT(U2:U140)</f>
        <v>78</v>
      </c>
      <c r="V142" s="172">
        <f t="shared" si="70"/>
        <v>79</v>
      </c>
      <c r="W142" s="172">
        <f t="shared" si="70"/>
        <v>80</v>
      </c>
      <c r="X142" s="172">
        <f t="shared" si="70"/>
        <v>78</v>
      </c>
      <c r="Y142" s="172">
        <f t="shared" si="70"/>
        <v>75</v>
      </c>
      <c r="Z142" s="172">
        <f t="shared" si="70"/>
        <v>77</v>
      </c>
      <c r="AA142" s="172">
        <f t="shared" si="70"/>
        <v>76</v>
      </c>
      <c r="AB142" s="171">
        <f t="shared" si="70"/>
        <v>76</v>
      </c>
      <c r="AC142" s="337">
        <f t="shared" ref="AC142:AN142" si="71">COUNT(AC2:AC140)</f>
        <v>78</v>
      </c>
      <c r="AD142" s="338">
        <f t="shared" si="71"/>
        <v>78</v>
      </c>
      <c r="AE142" s="338">
        <f t="shared" si="71"/>
        <v>79</v>
      </c>
      <c r="AF142" s="338">
        <f t="shared" si="71"/>
        <v>80</v>
      </c>
      <c r="AG142" s="338">
        <f t="shared" si="71"/>
        <v>81</v>
      </c>
      <c r="AH142" s="338">
        <f t="shared" si="71"/>
        <v>81</v>
      </c>
      <c r="AI142" s="338">
        <f t="shared" si="71"/>
        <v>81</v>
      </c>
      <c r="AJ142" s="338">
        <f t="shared" si="71"/>
        <v>81</v>
      </c>
      <c r="AK142" s="338">
        <f t="shared" si="71"/>
        <v>80</v>
      </c>
      <c r="AL142" s="338">
        <f t="shared" si="71"/>
        <v>81</v>
      </c>
      <c r="AM142" s="338">
        <f t="shared" si="71"/>
        <v>79</v>
      </c>
      <c r="AN142" s="371">
        <f t="shared" si="71"/>
        <v>74</v>
      </c>
      <c r="AO142" s="337">
        <f t="shared" ref="AO142:AZ142" si="72">COUNT(AO2:AO140)</f>
        <v>71</v>
      </c>
      <c r="AP142" s="338">
        <f t="shared" si="72"/>
        <v>46</v>
      </c>
      <c r="AQ142" s="338">
        <f t="shared" si="72"/>
        <v>5</v>
      </c>
      <c r="AR142" s="338">
        <f t="shared" si="72"/>
        <v>0</v>
      </c>
      <c r="AS142" s="338">
        <f t="shared" si="72"/>
        <v>0</v>
      </c>
      <c r="AT142" s="338">
        <f t="shared" si="72"/>
        <v>0</v>
      </c>
      <c r="AU142" s="338">
        <f t="shared" si="72"/>
        <v>0</v>
      </c>
      <c r="AV142" s="338">
        <f t="shared" si="72"/>
        <v>0</v>
      </c>
      <c r="AW142" s="338">
        <f t="shared" si="72"/>
        <v>0</v>
      </c>
      <c r="AX142" s="338">
        <f t="shared" si="72"/>
        <v>0</v>
      </c>
      <c r="AY142" s="338">
        <f t="shared" si="72"/>
        <v>0</v>
      </c>
      <c r="AZ142" s="371">
        <f t="shared" si="72"/>
        <v>0</v>
      </c>
      <c r="BA142" s="432">
        <f t="shared" ref="BA142:BA144" si="73">SUM(D142:AZ142)</f>
        <v>2839</v>
      </c>
    </row>
    <row r="143" spans="1:54" ht="15">
      <c r="A143" s="75"/>
      <c r="B143" s="76" t="s">
        <v>1163</v>
      </c>
      <c r="C143" s="335"/>
      <c r="D143" s="336">
        <f>COUNTIF(D2:D140,"&gt;="&amp;D145)</f>
        <v>0</v>
      </c>
      <c r="E143" s="340">
        <f t="shared" ref="E143:AB143" si="74">COUNTIF(E2:E140,"&gt;="&amp;E145)</f>
        <v>46</v>
      </c>
      <c r="F143" s="341">
        <f t="shared" si="74"/>
        <v>50</v>
      </c>
      <c r="G143" s="341">
        <f t="shared" si="74"/>
        <v>46</v>
      </c>
      <c r="H143" s="341">
        <f t="shared" si="74"/>
        <v>52</v>
      </c>
      <c r="I143" s="341">
        <f t="shared" si="74"/>
        <v>48</v>
      </c>
      <c r="J143" s="341">
        <f t="shared" si="74"/>
        <v>51</v>
      </c>
      <c r="K143" s="341">
        <f t="shared" si="74"/>
        <v>47</v>
      </c>
      <c r="L143" s="341">
        <f t="shared" si="74"/>
        <v>50</v>
      </c>
      <c r="M143" s="341">
        <f t="shared" si="74"/>
        <v>50</v>
      </c>
      <c r="N143" s="341">
        <f t="shared" si="74"/>
        <v>52</v>
      </c>
      <c r="O143" s="341">
        <f t="shared" si="74"/>
        <v>52</v>
      </c>
      <c r="P143" s="342">
        <f t="shared" si="74"/>
        <v>52</v>
      </c>
      <c r="Q143" s="318">
        <f t="shared" si="74"/>
        <v>59</v>
      </c>
      <c r="R143" s="79">
        <f t="shared" si="74"/>
        <v>63</v>
      </c>
      <c r="S143" s="79">
        <f t="shared" si="74"/>
        <v>61</v>
      </c>
      <c r="T143" s="79">
        <f t="shared" si="74"/>
        <v>64</v>
      </c>
      <c r="U143" s="79">
        <f t="shared" si="74"/>
        <v>64</v>
      </c>
      <c r="V143" s="79">
        <f t="shared" si="74"/>
        <v>62</v>
      </c>
      <c r="W143" s="79">
        <f t="shared" si="74"/>
        <v>73</v>
      </c>
      <c r="X143" s="79">
        <f t="shared" si="74"/>
        <v>73</v>
      </c>
      <c r="Y143" s="79">
        <f t="shared" si="74"/>
        <v>68</v>
      </c>
      <c r="Z143" s="79">
        <f t="shared" si="74"/>
        <v>70</v>
      </c>
      <c r="AA143" s="79">
        <f t="shared" si="74"/>
        <v>72</v>
      </c>
      <c r="AB143" s="77">
        <f t="shared" si="74"/>
        <v>69</v>
      </c>
      <c r="AC143" s="340">
        <f t="shared" ref="AC143:AN143" si="75">COUNTIF(AC2:AC140,"&gt;="&amp;AC145)</f>
        <v>71</v>
      </c>
      <c r="AD143" s="341">
        <f t="shared" si="75"/>
        <v>72</v>
      </c>
      <c r="AE143" s="341">
        <f t="shared" si="75"/>
        <v>75</v>
      </c>
      <c r="AF143" s="341">
        <f t="shared" si="75"/>
        <v>74</v>
      </c>
      <c r="AG143" s="341">
        <f t="shared" si="75"/>
        <v>75</v>
      </c>
      <c r="AH143" s="341">
        <f t="shared" si="75"/>
        <v>76</v>
      </c>
      <c r="AI143" s="341">
        <f t="shared" si="75"/>
        <v>75</v>
      </c>
      <c r="AJ143" s="341">
        <f t="shared" si="75"/>
        <v>75</v>
      </c>
      <c r="AK143" s="341">
        <f t="shared" si="75"/>
        <v>40</v>
      </c>
      <c r="AL143" s="341">
        <f t="shared" si="75"/>
        <v>37</v>
      </c>
      <c r="AM143" s="341">
        <f t="shared" si="75"/>
        <v>26</v>
      </c>
      <c r="AN143" s="372">
        <f t="shared" si="75"/>
        <v>33</v>
      </c>
      <c r="AO143" s="340">
        <f t="shared" ref="AO143:AZ143" si="76">COUNTIF(AO2:AO140,"&gt;="&amp;AO145)</f>
        <v>63</v>
      </c>
      <c r="AP143" s="341">
        <f t="shared" si="76"/>
        <v>41</v>
      </c>
      <c r="AQ143" s="341">
        <f t="shared" si="76"/>
        <v>5</v>
      </c>
      <c r="AR143" s="341">
        <f t="shared" si="76"/>
        <v>0</v>
      </c>
      <c r="AS143" s="341">
        <f t="shared" si="76"/>
        <v>0</v>
      </c>
      <c r="AT143" s="341">
        <f t="shared" si="76"/>
        <v>0</v>
      </c>
      <c r="AU143" s="341">
        <f t="shared" si="76"/>
        <v>0</v>
      </c>
      <c r="AV143" s="341">
        <f t="shared" si="76"/>
        <v>0</v>
      </c>
      <c r="AW143" s="341">
        <f t="shared" si="76"/>
        <v>0</v>
      </c>
      <c r="AX143" s="341">
        <f t="shared" si="76"/>
        <v>0</v>
      </c>
      <c r="AY143" s="341">
        <f t="shared" si="76"/>
        <v>0</v>
      </c>
      <c r="AZ143" s="372">
        <f t="shared" si="76"/>
        <v>0</v>
      </c>
      <c r="BA143" s="433">
        <f t="shared" si="73"/>
        <v>2232</v>
      </c>
      <c r="BB143">
        <f>BA143/BA142</f>
        <v>0.78619232123987315</v>
      </c>
    </row>
    <row r="144" spans="1:54" ht="15">
      <c r="A144" s="164"/>
      <c r="B144" s="165" t="s">
        <v>1164</v>
      </c>
      <c r="C144" s="331"/>
      <c r="D144" s="332"/>
      <c r="E144" s="173">
        <f t="shared" ref="E144:V144" si="77">IFERROR(E141/E145,"")</f>
        <v>60.323529411764689</v>
      </c>
      <c r="F144" s="174">
        <f t="shared" si="77"/>
        <v>62.470588235294088</v>
      </c>
      <c r="G144" s="174">
        <f t="shared" si="77"/>
        <v>59.323529411764689</v>
      </c>
      <c r="H144" s="174">
        <f t="shared" si="77"/>
        <v>61.623529411764693</v>
      </c>
      <c r="I144" s="174">
        <f t="shared" si="77"/>
        <v>57.999999999999964</v>
      </c>
      <c r="J144" s="174">
        <f t="shared" si="77"/>
        <v>60.192307692307665</v>
      </c>
      <c r="K144" s="174">
        <f t="shared" si="77"/>
        <v>59.742857142857176</v>
      </c>
      <c r="L144" s="174">
        <f t="shared" si="77"/>
        <v>60.300000000000018</v>
      </c>
      <c r="M144" s="174">
        <f t="shared" si="77"/>
        <v>59.340000000000011</v>
      </c>
      <c r="N144" s="174">
        <f t="shared" si="77"/>
        <v>61.200000000000017</v>
      </c>
      <c r="O144" s="174">
        <f t="shared" si="77"/>
        <v>60.79999999999999</v>
      </c>
      <c r="P144" s="176">
        <f t="shared" si="77"/>
        <v>61.539999999999992</v>
      </c>
      <c r="Q144" s="177">
        <f t="shared" si="77"/>
        <v>67.499999999999929</v>
      </c>
      <c r="R144" s="174">
        <f t="shared" si="77"/>
        <v>71.249999999999929</v>
      </c>
      <c r="S144" s="174">
        <f t="shared" si="77"/>
        <v>70.14285714285721</v>
      </c>
      <c r="T144" s="174">
        <f t="shared" si="77"/>
        <v>73.678571428571502</v>
      </c>
      <c r="U144" s="174">
        <f t="shared" si="77"/>
        <v>70.025000000000006</v>
      </c>
      <c r="V144" s="174">
        <f t="shared" si="77"/>
        <v>72.216000000000008</v>
      </c>
      <c r="W144" s="174">
        <f>IFERROR(W141/W145,"")</f>
        <v>76.775000000000006</v>
      </c>
      <c r="X144" s="174">
        <f t="shared" ref="X144:AB144" si="78">IFERROR(X141/X145,"")</f>
        <v>77.904166666666669</v>
      </c>
      <c r="Y144" s="174">
        <f t="shared" si="78"/>
        <v>72.504406250000002</v>
      </c>
      <c r="Z144" s="174">
        <f t="shared" si="78"/>
        <v>75.432812499999997</v>
      </c>
      <c r="AA144" s="174">
        <f t="shared" si="78"/>
        <v>79.4375</v>
      </c>
      <c r="AB144" s="175">
        <f t="shared" si="78"/>
        <v>74.2764375</v>
      </c>
      <c r="AC144" s="373">
        <f t="shared" ref="AC144:AN144" si="79">IFERROR(AC141/AC145,"")</f>
        <v>74.718066666666672</v>
      </c>
      <c r="AD144" s="374">
        <f t="shared" si="79"/>
        <v>76.49666666666667</v>
      </c>
      <c r="AE144" s="374">
        <f t="shared" si="79"/>
        <v>81.238516666666669</v>
      </c>
      <c r="AF144" s="374">
        <f t="shared" si="79"/>
        <v>78.426000000000002</v>
      </c>
      <c r="AG144" s="374">
        <f t="shared" si="79"/>
        <v>79.122500000000002</v>
      </c>
      <c r="AH144" s="374">
        <f t="shared" si="79"/>
        <v>80.704999999999998</v>
      </c>
      <c r="AI144" s="374">
        <f t="shared" si="79"/>
        <v>80.95</v>
      </c>
      <c r="AJ144" s="374">
        <f t="shared" si="79"/>
        <v>80.94</v>
      </c>
      <c r="AK144" s="374">
        <f t="shared" si="79"/>
        <v>83.164875482625476</v>
      </c>
      <c r="AL144" s="374">
        <f t="shared" si="79"/>
        <v>78.368935323383084</v>
      </c>
      <c r="AM144" s="374">
        <f t="shared" si="79"/>
        <v>108.52362108479755</v>
      </c>
      <c r="AN144" s="375">
        <f t="shared" si="79"/>
        <v>71.027155351936685</v>
      </c>
      <c r="AO144" s="373">
        <f t="shared" ref="AO144:AZ144" si="80">IFERROR(AO141/AO145,"")</f>
        <v>72.148981161091882</v>
      </c>
      <c r="AP144" s="374">
        <f t="shared" si="80"/>
        <v>45.129033394495409</v>
      </c>
      <c r="AQ144" s="374" t="str">
        <f t="shared" si="80"/>
        <v/>
      </c>
      <c r="AR144" s="374" t="str">
        <f t="shared" si="80"/>
        <v/>
      </c>
      <c r="AS144" s="374" t="str">
        <f t="shared" si="80"/>
        <v/>
      </c>
      <c r="AT144" s="374" t="str">
        <f t="shared" si="80"/>
        <v/>
      </c>
      <c r="AU144" s="374" t="str">
        <f t="shared" si="80"/>
        <v/>
      </c>
      <c r="AV144" s="374" t="str">
        <f t="shared" si="80"/>
        <v/>
      </c>
      <c r="AW144" s="374" t="str">
        <f t="shared" si="80"/>
        <v/>
      </c>
      <c r="AX144" s="374" t="str">
        <f t="shared" si="80"/>
        <v/>
      </c>
      <c r="AY144" s="374" t="str">
        <f t="shared" si="80"/>
        <v/>
      </c>
      <c r="AZ144" s="375" t="str">
        <f t="shared" si="80"/>
        <v/>
      </c>
      <c r="BA144" s="434">
        <f t="shared" si="73"/>
        <v>2696.9584445921778</v>
      </c>
      <c r="BB144"/>
    </row>
    <row r="145" spans="1:53">
      <c r="A145" s="166" t="s">
        <v>1165</v>
      </c>
      <c r="B145" s="167"/>
      <c r="C145" s="168"/>
      <c r="D145" s="248"/>
      <c r="E145" s="249">
        <v>0.17</v>
      </c>
      <c r="F145" s="250">
        <v>0.17</v>
      </c>
      <c r="G145" s="250">
        <v>0.17</v>
      </c>
      <c r="H145" s="250">
        <v>0.17</v>
      </c>
      <c r="I145" s="250">
        <v>0.26</v>
      </c>
      <c r="J145" s="250">
        <v>0.26</v>
      </c>
      <c r="K145" s="250">
        <v>0.35</v>
      </c>
      <c r="L145" s="250">
        <v>0.35</v>
      </c>
      <c r="M145" s="250">
        <v>0.35</v>
      </c>
      <c r="N145" s="250">
        <v>0.35</v>
      </c>
      <c r="O145" s="250">
        <v>0.5</v>
      </c>
      <c r="P145" s="251">
        <v>0.5</v>
      </c>
      <c r="Q145" s="252">
        <v>0.8</v>
      </c>
      <c r="R145" s="253">
        <v>0.8</v>
      </c>
      <c r="S145" s="253">
        <v>1.4</v>
      </c>
      <c r="T145" s="253">
        <v>1.4</v>
      </c>
      <c r="U145" s="253">
        <v>4</v>
      </c>
      <c r="V145" s="253">
        <v>6.25</v>
      </c>
      <c r="W145" s="253">
        <v>10</v>
      </c>
      <c r="X145" s="253">
        <v>12</v>
      </c>
      <c r="Y145" s="253">
        <v>320</v>
      </c>
      <c r="Z145" s="253">
        <v>320</v>
      </c>
      <c r="AA145" s="253">
        <v>320</v>
      </c>
      <c r="AB145" s="254">
        <v>800</v>
      </c>
      <c r="AC145" s="386">
        <f>IFERROR(AVERAGEIF(CUOTAS!$F:$F,'RESUMEN VIGILANCIA'!AC$1,CUOTAS!$H:$H),0)</f>
        <v>3000</v>
      </c>
      <c r="AD145" s="387">
        <f>IFERROR(AVERAGEIF(CUOTAS!$F:$F,'RESUMEN VIGILANCIA'!AD$1,CUOTAS!$H:$H),0)</f>
        <v>3000</v>
      </c>
      <c r="AE145" s="387">
        <f>IFERROR(AVERAGEIF(CUOTAS!$F:$F,'RESUMEN VIGILANCIA'!AE$1,CUOTAS!$H:$H),0)</f>
        <v>3000</v>
      </c>
      <c r="AF145" s="387">
        <f>IFERROR(AVERAGEIF(CUOTAS!$F:$F,'RESUMEN VIGILANCIA'!AF$1,CUOTAS!$H:$H),0)</f>
        <v>5000</v>
      </c>
      <c r="AG145" s="387">
        <f>IFERROR(AVERAGEIF(CUOTAS!$F:$F,'RESUMEN VIGILANCIA'!AG$1,CUOTAS!$H:$H),0)</f>
        <v>8000</v>
      </c>
      <c r="AH145" s="556">
        <f>IFERROR(AVERAGEIF(CUOTAS!$F:$F,'RESUMEN VIGILANCIA'!AH$1,CUOTAS!$H:$H),0)</f>
        <v>8000</v>
      </c>
      <c r="AI145" s="387">
        <f>IFERROR(AVERAGEIF(CUOTAS!$F:$F,'RESUMEN VIGILANCIA'!AI$1,CUOTAS!$H:$H),0)</f>
        <v>10000</v>
      </c>
      <c r="AJ145" s="387">
        <f>IFERROR(AVERAGEIF(CUOTAS!$F:$F,'RESUMEN VIGILANCIA'!AJ$1,CUOTAS!$H:$H),0)</f>
        <v>10000</v>
      </c>
      <c r="AK145" s="387">
        <f>IFERROR(AVERAGEIF(CUOTAS!$F:$F,'RESUMEN VIGILANCIA'!AK$1,CUOTAS!$H:$H),0)</f>
        <v>20720</v>
      </c>
      <c r="AL145" s="387">
        <f>IFERROR(AVERAGEIF(CUOTAS!$F:$F,'RESUMEN VIGILANCIA'!AL$1,CUOTAS!$H:$H),0)</f>
        <v>50250</v>
      </c>
      <c r="AM145" s="387">
        <f>IFERROR(AVERAGEIF(CUOTAS!$F:$F,'RESUMEN VIGILANCIA'!AM$1,CUOTAS!$H:$H),0)</f>
        <v>65450</v>
      </c>
      <c r="AN145" s="388">
        <f>IFERROR(AVERAGEIF(CUOTAS!$F:$F,'RESUMEN VIGILANCIA'!AN$1,CUOTAS!$H:$H),0)</f>
        <v>100041.66666666667</v>
      </c>
      <c r="AO145" s="386">
        <f>IFERROR(AVERAGEIF(CUOTAS!$F:$F,'RESUMEN VIGILANCIA'!AO$1,CUOTAS!$H:$H),0)</f>
        <v>130050</v>
      </c>
      <c r="AP145" s="387">
        <f>IFERROR(AVERAGEIF(CUOTAS!$F:$F,'RESUMEN VIGILANCIA'!AP$1,CUOTAS!$H:$H),0)</f>
        <v>136250</v>
      </c>
      <c r="AQ145" s="387">
        <f>IFERROR(AVERAGEIF(CUOTAS!$F:$F,'RESUMEN VIGILANCIA'!AQ$1,CUOTAS!$H:$H),0)</f>
        <v>0</v>
      </c>
      <c r="AR145" s="387">
        <f>IFERROR(AVERAGEIF(CUOTAS!$F:$F,'RESUMEN VIGILANCIA'!AR$1,CUOTAS!$H:$H),0)</f>
        <v>0</v>
      </c>
      <c r="AS145" s="387">
        <f>IFERROR(AVERAGEIF(CUOTAS!$F:$F,'RESUMEN VIGILANCIA'!AS$1,CUOTAS!$H:$H),0)</f>
        <v>0</v>
      </c>
      <c r="AT145" s="556">
        <f>IFERROR(AVERAGEIF(CUOTAS!$F:$F,'RESUMEN VIGILANCIA'!AT$1,CUOTAS!$H:$H),0)</f>
        <v>0</v>
      </c>
      <c r="AU145" s="387">
        <f>IFERROR(AVERAGEIF(CUOTAS!$F:$F,'RESUMEN VIGILANCIA'!AU$1,CUOTAS!$H:$H),0)</f>
        <v>0</v>
      </c>
      <c r="AV145" s="387">
        <f>IFERROR(AVERAGEIF(CUOTAS!$F:$F,'RESUMEN VIGILANCIA'!AV$1,CUOTAS!$H:$H),0)</f>
        <v>0</v>
      </c>
      <c r="AW145" s="387">
        <f>IFERROR(AVERAGEIF(CUOTAS!$F:$F,'RESUMEN VIGILANCIA'!AW$1,CUOTAS!$H:$H),0)</f>
        <v>0</v>
      </c>
      <c r="AX145" s="387">
        <f>IFERROR(AVERAGEIF(CUOTAS!$F:$F,'RESUMEN VIGILANCIA'!AX$1,CUOTAS!$H:$H),0)</f>
        <v>0</v>
      </c>
      <c r="AY145" s="387">
        <f>IFERROR(AVERAGEIF(CUOTAS!$F:$F,'RESUMEN VIGILANCIA'!AY$1,CUOTAS!$H:$H),0)</f>
        <v>0</v>
      </c>
      <c r="AZ145" s="388">
        <f>IFERROR(AVERAGEIF(CUOTAS!$F:$F,'RESUMEN VIGILANCIA'!AZ$1,CUOTAS!$H:$H),0)</f>
        <v>0</v>
      </c>
      <c r="BA145" s="435"/>
    </row>
    <row r="146" spans="1:53">
      <c r="A146" s="82" t="s">
        <v>1166</v>
      </c>
      <c r="B146" s="83"/>
      <c r="C146" s="84"/>
      <c r="D146" s="255"/>
      <c r="E146" s="256">
        <v>0.12</v>
      </c>
      <c r="F146" s="257">
        <v>0.2</v>
      </c>
      <c r="G146" s="257">
        <v>0.2</v>
      </c>
      <c r="H146" s="257">
        <v>0.2</v>
      </c>
      <c r="I146" s="257">
        <v>0.3</v>
      </c>
      <c r="J146" s="257">
        <v>0.3</v>
      </c>
      <c r="K146" s="257">
        <v>0.4</v>
      </c>
      <c r="L146" s="257">
        <v>0.4</v>
      </c>
      <c r="M146" s="257">
        <v>0.4</v>
      </c>
      <c r="N146" s="257">
        <v>0.4</v>
      </c>
      <c r="O146" s="257">
        <v>0.54</v>
      </c>
      <c r="P146" s="258">
        <v>0.54</v>
      </c>
      <c r="Q146" s="259">
        <v>0.86399999999999999</v>
      </c>
      <c r="R146" s="257">
        <v>0.86399999999999999</v>
      </c>
      <c r="S146" s="257">
        <v>1.55</v>
      </c>
      <c r="T146" s="257">
        <v>1.55</v>
      </c>
      <c r="U146" s="257">
        <f>IF(ISBLANK(U145),"",ROUNDUP(U145*110%*2,2)/2)</f>
        <v>4.4000000000000004</v>
      </c>
      <c r="V146" s="257">
        <f t="shared" ref="V146:X146" si="81">IF(ISBLANK(V145),"",ROUNDUP(V145*110%*2,2)/2)</f>
        <v>6.875</v>
      </c>
      <c r="W146" s="257">
        <f t="shared" si="81"/>
        <v>11</v>
      </c>
      <c r="X146" s="257">
        <f t="shared" si="81"/>
        <v>13.2</v>
      </c>
      <c r="Y146" s="257">
        <f>IF(ISBLANK(Y145),"",ROUNDUP(Y145*110%*2,-1)/2)</f>
        <v>355</v>
      </c>
      <c r="Z146" s="257">
        <f t="shared" ref="Z146:AA146" si="82">IF(ISBLANK(Z145),"",ROUNDUP(Z145*110%*2,-1)/2)</f>
        <v>355</v>
      </c>
      <c r="AA146" s="257">
        <f t="shared" si="82"/>
        <v>355</v>
      </c>
      <c r="AB146" s="255">
        <f>IF(ISBLANK(AB145),"",ROUNDUP(AB145*110%*2,-1)/2)</f>
        <v>880</v>
      </c>
      <c r="AC146" s="389">
        <f t="shared" ref="AC146:AN146" si="83">IF(ISBLANK(AC145),"",ROUNDUP(AC145*110%*2,-1)/2)</f>
        <v>3300</v>
      </c>
      <c r="AD146" s="390">
        <f t="shared" si="83"/>
        <v>3300</v>
      </c>
      <c r="AE146" s="390">
        <f t="shared" si="83"/>
        <v>3300</v>
      </c>
      <c r="AF146" s="390">
        <f t="shared" si="83"/>
        <v>5500</v>
      </c>
      <c r="AG146" s="390">
        <f t="shared" si="83"/>
        <v>8800</v>
      </c>
      <c r="AH146" s="390">
        <f t="shared" si="83"/>
        <v>8800</v>
      </c>
      <c r="AI146" s="390">
        <f t="shared" si="83"/>
        <v>11000</v>
      </c>
      <c r="AJ146" s="390">
        <f t="shared" si="83"/>
        <v>11000</v>
      </c>
      <c r="AK146" s="390">
        <f t="shared" si="83"/>
        <v>22795</v>
      </c>
      <c r="AL146" s="390">
        <f t="shared" si="83"/>
        <v>55275</v>
      </c>
      <c r="AM146" s="390">
        <f t="shared" si="83"/>
        <v>71995</v>
      </c>
      <c r="AN146" s="391">
        <f t="shared" si="83"/>
        <v>110050</v>
      </c>
      <c r="AO146" s="389">
        <f t="shared" ref="AO146:AZ146" si="84">IF(ISBLANK(AO145),"",ROUNDUP(AO145*110%*2,-1)/2)</f>
        <v>143055</v>
      </c>
      <c r="AP146" s="390">
        <f t="shared" si="84"/>
        <v>149875</v>
      </c>
      <c r="AQ146" s="390">
        <f t="shared" si="84"/>
        <v>0</v>
      </c>
      <c r="AR146" s="390">
        <f t="shared" si="84"/>
        <v>0</v>
      </c>
      <c r="AS146" s="390">
        <f t="shared" si="84"/>
        <v>0</v>
      </c>
      <c r="AT146" s="390">
        <f t="shared" si="84"/>
        <v>0</v>
      </c>
      <c r="AU146" s="390">
        <f t="shared" si="84"/>
        <v>0</v>
      </c>
      <c r="AV146" s="390">
        <f t="shared" si="84"/>
        <v>0</v>
      </c>
      <c r="AW146" s="390">
        <f t="shared" si="84"/>
        <v>0</v>
      </c>
      <c r="AX146" s="390">
        <f t="shared" si="84"/>
        <v>0</v>
      </c>
      <c r="AY146" s="390">
        <f t="shared" si="84"/>
        <v>0</v>
      </c>
      <c r="AZ146" s="391">
        <f t="shared" si="84"/>
        <v>0</v>
      </c>
      <c r="BA146" s="436"/>
    </row>
    <row r="147" spans="1:53">
      <c r="A147" s="82" t="s">
        <v>1167</v>
      </c>
      <c r="B147" s="83"/>
      <c r="C147" s="84"/>
      <c r="D147" s="255"/>
      <c r="E147" s="256">
        <v>0.3</v>
      </c>
      <c r="F147" s="257">
        <v>0.3</v>
      </c>
      <c r="G147" s="257">
        <v>0.3</v>
      </c>
      <c r="H147" s="257">
        <v>0.3</v>
      </c>
      <c r="I147" s="257">
        <v>0.4</v>
      </c>
      <c r="J147" s="257">
        <v>0.4</v>
      </c>
      <c r="K147" s="257">
        <v>0.54</v>
      </c>
      <c r="L147" s="257">
        <v>0.54</v>
      </c>
      <c r="M147" s="257">
        <v>0.54</v>
      </c>
      <c r="N147" s="257">
        <v>0.54</v>
      </c>
      <c r="O147" s="257">
        <v>0.71</v>
      </c>
      <c r="P147" s="258">
        <v>0.71</v>
      </c>
      <c r="Q147" s="259">
        <v>1.1359999999999999</v>
      </c>
      <c r="R147" s="257">
        <v>1.1359999999999999</v>
      </c>
      <c r="S147" s="257">
        <v>2</v>
      </c>
      <c r="T147" s="257">
        <v>2</v>
      </c>
      <c r="U147" s="257">
        <f>IF(ISBLANK(U145),"",ROUND(U145*145%*2,2)/2)</f>
        <v>5.8</v>
      </c>
      <c r="V147" s="257">
        <f t="shared" ref="V147:X147" si="85">IF(ISBLANK(V145),"",ROUND(V145*145%*2,2)/2)</f>
        <v>9.0649999999999995</v>
      </c>
      <c r="W147" s="257">
        <f t="shared" si="85"/>
        <v>14.5</v>
      </c>
      <c r="X147" s="257">
        <f t="shared" si="85"/>
        <v>17.399999999999999</v>
      </c>
      <c r="Y147" s="257">
        <f>IF(ISBLANK(Y145),"",ROUND(Y145*145%*2,-1)/2)</f>
        <v>465</v>
      </c>
      <c r="Z147" s="257">
        <f t="shared" ref="Z147:AB147" si="86">IF(ISBLANK(Z145),"",ROUND(Z145*145%*2,-1)/2)</f>
        <v>465</v>
      </c>
      <c r="AA147" s="257">
        <f t="shared" si="86"/>
        <v>465</v>
      </c>
      <c r="AB147" s="255">
        <f t="shared" si="86"/>
        <v>1160</v>
      </c>
      <c r="AC147" s="389">
        <f t="shared" ref="AC147:AN147" si="87">IF(ISBLANK(AC145),"",ROUND(AC145*145%*2,-1)/2)</f>
        <v>4350</v>
      </c>
      <c r="AD147" s="390">
        <f t="shared" si="87"/>
        <v>4350</v>
      </c>
      <c r="AE147" s="390">
        <f t="shared" si="87"/>
        <v>4350</v>
      </c>
      <c r="AF147" s="390">
        <f t="shared" si="87"/>
        <v>7250</v>
      </c>
      <c r="AG147" s="390">
        <f t="shared" si="87"/>
        <v>11600</v>
      </c>
      <c r="AH147" s="390">
        <f t="shared" si="87"/>
        <v>11600</v>
      </c>
      <c r="AI147" s="390">
        <f t="shared" si="87"/>
        <v>14500</v>
      </c>
      <c r="AJ147" s="390">
        <f t="shared" si="87"/>
        <v>14500</v>
      </c>
      <c r="AK147" s="390">
        <f t="shared" si="87"/>
        <v>30045</v>
      </c>
      <c r="AL147" s="390">
        <f t="shared" si="87"/>
        <v>72865</v>
      </c>
      <c r="AM147" s="390">
        <f t="shared" si="87"/>
        <v>94905</v>
      </c>
      <c r="AN147" s="391">
        <f t="shared" si="87"/>
        <v>145060</v>
      </c>
      <c r="AO147" s="389">
        <f t="shared" ref="AO147:AZ147" si="88">IF(ISBLANK(AO145),"",ROUND(AO145*145%*2,-1)/2)</f>
        <v>188575</v>
      </c>
      <c r="AP147" s="390">
        <f t="shared" si="88"/>
        <v>197565</v>
      </c>
      <c r="AQ147" s="390">
        <f t="shared" si="88"/>
        <v>0</v>
      </c>
      <c r="AR147" s="390">
        <f t="shared" si="88"/>
        <v>0</v>
      </c>
      <c r="AS147" s="390">
        <f t="shared" si="88"/>
        <v>0</v>
      </c>
      <c r="AT147" s="390">
        <f t="shared" si="88"/>
        <v>0</v>
      </c>
      <c r="AU147" s="390">
        <f t="shared" si="88"/>
        <v>0</v>
      </c>
      <c r="AV147" s="390">
        <f t="shared" si="88"/>
        <v>0</v>
      </c>
      <c r="AW147" s="390">
        <f t="shared" si="88"/>
        <v>0</v>
      </c>
      <c r="AX147" s="390">
        <f t="shared" si="88"/>
        <v>0</v>
      </c>
      <c r="AY147" s="390">
        <f t="shared" si="88"/>
        <v>0</v>
      </c>
      <c r="AZ147" s="391">
        <f t="shared" si="88"/>
        <v>0</v>
      </c>
      <c r="BA147" s="436"/>
    </row>
    <row r="148" spans="1:53">
      <c r="A148" s="166" t="s">
        <v>1168</v>
      </c>
      <c r="B148" s="167"/>
      <c r="C148" s="168"/>
      <c r="D148" s="248"/>
      <c r="E148" s="249"/>
      <c r="F148" s="250"/>
      <c r="G148" s="250"/>
      <c r="H148" s="250"/>
      <c r="I148" s="250"/>
      <c r="J148" s="250"/>
      <c r="K148" s="250"/>
      <c r="L148" s="250"/>
      <c r="M148" s="250"/>
      <c r="N148" s="250"/>
      <c r="O148" s="250"/>
      <c r="P148" s="251"/>
      <c r="Q148" s="252"/>
      <c r="R148" s="253"/>
      <c r="S148" s="253"/>
      <c r="T148" s="253">
        <v>57.409950000000002</v>
      </c>
      <c r="U148" s="253">
        <v>177.54</v>
      </c>
      <c r="V148" s="253">
        <v>445.77249999999998</v>
      </c>
      <c r="W148" s="253">
        <v>539.77250000000004</v>
      </c>
      <c r="X148" s="253">
        <v>539.77250000000004</v>
      </c>
      <c r="Y148" s="253">
        <v>14254.74</v>
      </c>
      <c r="Z148" s="253">
        <v>14254.74</v>
      </c>
      <c r="AA148" s="253">
        <v>14254.74</v>
      </c>
      <c r="AB148" s="254">
        <v>35483</v>
      </c>
      <c r="AC148" s="386">
        <f>ROUND(AB148*1.75,-2)*1.7</f>
        <v>105570</v>
      </c>
      <c r="AD148" s="387">
        <v>131820</v>
      </c>
      <c r="AE148" s="386">
        <f>ROUND(AD148*1.25,-2)</f>
        <v>164800</v>
      </c>
      <c r="AF148" s="387">
        <f>ROUND(AE148*1.25,-2)</f>
        <v>206000</v>
      </c>
      <c r="AG148" s="387">
        <f>ROUND(AF148*1.25,-2)</f>
        <v>257500</v>
      </c>
      <c r="AH148" s="387">
        <f>ROUND(AG148*1.25,-2)</f>
        <v>321900</v>
      </c>
      <c r="AI148" s="387">
        <f>IF(ISBLANK(AI145),"",ROUND(AH148*1.25,-2))</f>
        <v>402400</v>
      </c>
      <c r="AJ148" s="387">
        <f t="shared" ref="AJ148:AN148" si="89">IF(ISBLANK(AJ145),"",ROUND(AI148*1.25,-2))</f>
        <v>503000</v>
      </c>
      <c r="AK148" s="387">
        <f>IF(ISBLANK(AK145),"",ROUND(AJ148*2.25,-2))</f>
        <v>1131800</v>
      </c>
      <c r="AL148" s="387">
        <f>IF(ISBLANK(AL145),"",ROUND(3000000*1.1,-2))</f>
        <v>3300000</v>
      </c>
      <c r="AM148" s="387">
        <f t="shared" si="89"/>
        <v>4125000</v>
      </c>
      <c r="AN148" s="388">
        <f t="shared" si="89"/>
        <v>5156300</v>
      </c>
      <c r="AO148" s="386">
        <f t="shared" ref="AO148" si="90">IF(ISBLANK(AO145),"",ROUND(AN148*1.25,-2))</f>
        <v>6445400</v>
      </c>
      <c r="AP148" s="387">
        <f t="shared" ref="AP148" si="91">IF(ISBLANK(AP145),"",ROUND(AO148*1.25,-2))</f>
        <v>8056800</v>
      </c>
      <c r="AQ148" s="387">
        <f t="shared" ref="AQ148" si="92">IF(ISBLANK(AQ145),"",ROUND(AP148*1.25,-2))</f>
        <v>10071000</v>
      </c>
      <c r="AR148" s="387">
        <f t="shared" ref="AR148" si="93">IF(ISBLANK(AR145),"",ROUND(AQ148*1.25,-2))</f>
        <v>12588800</v>
      </c>
      <c r="AS148" s="387">
        <f t="shared" ref="AS148" si="94">IF(ISBLANK(AS145),"",ROUND(AR148*1.25,-2))</f>
        <v>15736000</v>
      </c>
      <c r="AT148" s="387">
        <f t="shared" ref="AT148" si="95">IF(ISBLANK(AT145),"",ROUND(AS148*1.25,-2))</f>
        <v>19670000</v>
      </c>
      <c r="AU148" s="387">
        <f t="shared" ref="AU148" si="96">IF(ISBLANK(AU145),"",ROUND(AT148*1.25,-2))</f>
        <v>24587500</v>
      </c>
      <c r="AV148" s="387">
        <f t="shared" ref="AV148" si="97">IF(ISBLANK(AV145),"",ROUND(AU148*1.25,-2))</f>
        <v>30734400</v>
      </c>
      <c r="AW148" s="387">
        <f t="shared" ref="AW148" si="98">IF(ISBLANK(AW145),"",ROUND(AV148*1.25,-2))</f>
        <v>38418000</v>
      </c>
      <c r="AX148" s="387">
        <f t="shared" ref="AX148" si="99">IF(ISBLANK(AX145),"",ROUND(AW148*1.25,-2))</f>
        <v>48022500</v>
      </c>
      <c r="AY148" s="387">
        <f t="shared" ref="AY148" si="100">IF(ISBLANK(AY145),"",ROUND(AX148*1.25,-2))</f>
        <v>60028100</v>
      </c>
      <c r="AZ148" s="388">
        <f t="shared" ref="AZ148" si="101">IF(ISBLANK(AZ145),"",ROUND(AY148*1.25,-2))</f>
        <v>75035100</v>
      </c>
      <c r="BA148" s="435"/>
    </row>
    <row r="150" spans="1:53">
      <c r="AP150" s="27">
        <f>IFERROR(AVERAGEIF(CUOTAS!$F:$F,'RESUMEN VIGILANCIA'!AP$1,CUOTAS!$H:$H),"")</f>
        <v>136250</v>
      </c>
      <c r="AQ150" s="27" t="str">
        <f>IFERROR(AVERAGEIF(CUOTAS!$F:$F,'RESUMEN VIGILANCIA'!AQ$1,CUOTAS!$H:$H),"")</f>
        <v/>
      </c>
      <c r="AR150" s="27" t="str">
        <f>IFERROR(AVERAGEIF(CUOTAS!$F:$F,'RESUMEN VIGILANCIA'!AR$1,CUOTAS!$H:$H),"")</f>
        <v/>
      </c>
      <c r="AS150" s="27" t="str">
        <f>IFERROR(AVERAGEIF(CUOTAS!$F:$F,'RESUMEN VIGILANCIA'!AS$1,CUOTAS!$H:$H),"")</f>
        <v/>
      </c>
      <c r="AT150" s="27" t="str">
        <f>IFERROR(AVERAGEIF(CUOTAS!$F:$F,'RESUMEN VIGILANCIA'!AT$1,CUOTAS!$H:$H),"")</f>
        <v/>
      </c>
      <c r="AU150" s="27" t="str">
        <f>IFERROR(AVERAGEIF(CUOTAS!$F:$F,'RESUMEN VIGILANCIA'!AU$1,CUOTAS!$H:$H),"")</f>
        <v/>
      </c>
      <c r="AV150" s="27" t="str">
        <f>IFERROR(AVERAGEIF(CUOTAS!$F:$F,'RESUMEN VIGILANCIA'!AV$1,CUOTAS!$H:$H),"")</f>
        <v/>
      </c>
      <c r="AW150" s="27" t="str">
        <f>IFERROR(AVERAGEIF(CUOTAS!$F:$F,'RESUMEN VIGILANCIA'!AW$1,CUOTAS!$H:$H),"")</f>
        <v/>
      </c>
      <c r="AX150" s="27" t="str">
        <f>IFERROR(AVERAGEIF(CUOTAS!$F:$F,'RESUMEN VIGILANCIA'!AX$1,CUOTAS!$H:$H),"")</f>
        <v/>
      </c>
      <c r="AY150" s="27" t="str">
        <f>IFERROR(AVERAGEIF(CUOTAS!$F:$F,'RESUMEN VIGILANCIA'!AY$1,CUOTAS!$H:$H),"")</f>
        <v/>
      </c>
      <c r="AZ150" s="27" t="str">
        <f>IFERROR(AVERAGEIF(CUOTAS!$F:$F,'RESUMEN VIGILANCIA'!AZ$1,CUOTAS!$H:$H),"")</f>
        <v/>
      </c>
    </row>
  </sheetData>
  <conditionalFormatting sqref="C1:C141">
    <cfRule type="cellIs" dxfId="28" priority="1" operator="equal">
      <formula>"û"</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M67"/>
  <sheetViews>
    <sheetView showGridLines="0" workbookViewId="0">
      <pane ySplit="3" topLeftCell="A47" activePane="bottomLeft" state="frozen"/>
      <selection pane="bottomLeft" activeCell="AL85" sqref="AL85"/>
      <selection activeCell="AL85" sqref="AL85"/>
    </sheetView>
  </sheetViews>
  <sheetFormatPr defaultColWidth="10.7109375" defaultRowHeight="15"/>
  <cols>
    <col min="1" max="1" width="11.42578125" style="2"/>
    <col min="2" max="3" width="10.7109375" style="604"/>
    <col min="4" max="4" width="11.7109375" style="596" customWidth="1"/>
    <col min="5" max="5" width="18.42578125" style="596" customWidth="1"/>
    <col min="6" max="6" width="10.5703125" style="636" bestFit="1" customWidth="1"/>
    <col min="7" max="13" width="11.7109375" style="596" customWidth="1"/>
  </cols>
  <sheetData>
    <row r="1" spans="1:13">
      <c r="A1" s="623" t="s">
        <v>1169</v>
      </c>
      <c r="B1" s="614"/>
      <c r="C1" s="614"/>
      <c r="D1" s="615"/>
      <c r="E1" s="615"/>
      <c r="F1" s="633"/>
      <c r="G1" s="615"/>
      <c r="H1" s="616" t="s">
        <v>1170</v>
      </c>
      <c r="I1" s="617">
        <f>LOOKUP(100000000000000000000,1/(E:E&lt;&gt;""),E:E)</f>
        <v>10711919274.4</v>
      </c>
      <c r="J1" s="615"/>
      <c r="K1" s="615"/>
      <c r="L1" s="616" t="s">
        <v>1171</v>
      </c>
      <c r="M1" s="618" cm="1">
        <f t="array" ref="M1">LOOKUP(100000000000000000000,1/(G:G&lt;&gt;""),G:G)</f>
        <v>73500</v>
      </c>
    </row>
    <row r="3" spans="1:13" ht="41.25">
      <c r="A3" s="632" t="s">
        <v>3</v>
      </c>
      <c r="B3" s="631" t="s">
        <v>1172</v>
      </c>
      <c r="C3" s="631" t="s">
        <v>1173</v>
      </c>
      <c r="D3" s="630" t="s">
        <v>1174</v>
      </c>
      <c r="E3" s="631" t="s">
        <v>1175</v>
      </c>
      <c r="F3" s="631" t="s">
        <v>14</v>
      </c>
      <c r="G3" s="631" t="s">
        <v>1176</v>
      </c>
      <c r="H3" s="631" t="s">
        <v>1177</v>
      </c>
      <c r="I3" s="631" t="s">
        <v>1178</v>
      </c>
      <c r="J3" s="631" t="s">
        <v>1166</v>
      </c>
      <c r="K3" s="631" t="s">
        <v>1179</v>
      </c>
      <c r="L3" s="631" t="s">
        <v>1167</v>
      </c>
      <c r="M3" s="631" t="s">
        <v>1180</v>
      </c>
    </row>
    <row r="4" spans="1:13">
      <c r="A4" s="637">
        <v>42370</v>
      </c>
      <c r="B4" s="605">
        <v>0</v>
      </c>
      <c r="C4" s="638" t="s">
        <v>1181</v>
      </c>
      <c r="D4" s="606" t="s">
        <v>1182</v>
      </c>
      <c r="E4" s="606">
        <v>8826.9</v>
      </c>
      <c r="F4" s="634">
        <f>DATE(YEAR(A4),MONTH(A4),1)</f>
        <v>42370</v>
      </c>
      <c r="G4" s="609"/>
      <c r="H4" s="610">
        <f t="shared" ref="H4:H36" si="0">IF(C4="VEB",B4,G4*B4)</f>
        <v>0</v>
      </c>
      <c r="I4" s="609">
        <f t="shared" ref="I4:I36" si="1">(1+($I$1-E4)/E4)*B4</f>
        <v>0</v>
      </c>
      <c r="J4" s="609">
        <v>0</v>
      </c>
      <c r="K4" s="609"/>
      <c r="L4" s="609">
        <v>0</v>
      </c>
      <c r="M4" s="609"/>
    </row>
    <row r="5" spans="1:13">
      <c r="A5" s="637">
        <v>42736</v>
      </c>
      <c r="B5" s="605">
        <f>17000/100000</f>
        <v>0.17</v>
      </c>
      <c r="C5" s="638" t="s">
        <v>1181</v>
      </c>
      <c r="D5" s="606" t="s">
        <v>1182</v>
      </c>
      <c r="E5" s="606">
        <v>10378.1</v>
      </c>
      <c r="F5" s="634">
        <f t="shared" ref="F5:F46" si="2">DATE(YEAR(A5),MONTH(A5),1)</f>
        <v>42736</v>
      </c>
      <c r="G5" s="609"/>
      <c r="H5" s="610">
        <f t="shared" si="0"/>
        <v>0.17</v>
      </c>
      <c r="I5" s="609">
        <f t="shared" si="1"/>
        <v>175468.17593278154</v>
      </c>
      <c r="J5" s="609">
        <f>12000/100000</f>
        <v>0.12</v>
      </c>
      <c r="K5" s="609"/>
      <c r="L5" s="609">
        <f>30000/100000</f>
        <v>0.3</v>
      </c>
      <c r="M5" s="609"/>
    </row>
    <row r="6" spans="1:13">
      <c r="A6" s="637">
        <f t="shared" ref="A6:A36" si="3">EDATE(A5,1)</f>
        <v>42767</v>
      </c>
      <c r="B6" s="605">
        <f t="shared" ref="B6:B8" si="4">17000/100000</f>
        <v>0.17</v>
      </c>
      <c r="C6" s="638" t="s">
        <v>1181</v>
      </c>
      <c r="D6" s="606" t="s">
        <v>1182</v>
      </c>
      <c r="E6" s="606">
        <v>11697.2</v>
      </c>
      <c r="F6" s="634">
        <f t="shared" si="2"/>
        <v>42767</v>
      </c>
      <c r="G6" s="609"/>
      <c r="H6" s="610">
        <f t="shared" si="0"/>
        <v>0.17</v>
      </c>
      <c r="I6" s="609">
        <f t="shared" si="1"/>
        <v>155680.52838696438</v>
      </c>
      <c r="J6" s="609">
        <f>12000/100000</f>
        <v>0.12</v>
      </c>
      <c r="K6" s="609"/>
      <c r="L6" s="609">
        <f>30000/100000</f>
        <v>0.3</v>
      </c>
      <c r="M6" s="609"/>
    </row>
    <row r="7" spans="1:13">
      <c r="A7" s="637">
        <f t="shared" si="3"/>
        <v>42795</v>
      </c>
      <c r="B7" s="605">
        <f t="shared" si="4"/>
        <v>0.17</v>
      </c>
      <c r="C7" s="638" t="s">
        <v>1181</v>
      </c>
      <c r="D7" s="606" t="s">
        <v>1182</v>
      </c>
      <c r="E7" s="606">
        <v>12910.1</v>
      </c>
      <c r="F7" s="634">
        <f t="shared" si="2"/>
        <v>42795</v>
      </c>
      <c r="G7" s="609"/>
      <c r="H7" s="610">
        <f t="shared" si="0"/>
        <v>0.17</v>
      </c>
      <c r="I7" s="609">
        <f t="shared" si="1"/>
        <v>141054.38971409979</v>
      </c>
      <c r="J7" s="609">
        <f>20000/100000</f>
        <v>0.2</v>
      </c>
      <c r="K7" s="609"/>
      <c r="L7" s="609">
        <f>30000/100000</f>
        <v>0.3</v>
      </c>
      <c r="M7" s="609"/>
    </row>
    <row r="8" spans="1:13">
      <c r="A8" s="637">
        <f t="shared" si="3"/>
        <v>42826</v>
      </c>
      <c r="B8" s="605">
        <f t="shared" si="4"/>
        <v>0.17</v>
      </c>
      <c r="C8" s="638" t="s">
        <v>1181</v>
      </c>
      <c r="D8" s="606" t="s">
        <v>1182</v>
      </c>
      <c r="E8" s="606">
        <v>13975.9</v>
      </c>
      <c r="F8" s="634">
        <f t="shared" si="2"/>
        <v>42826</v>
      </c>
      <c r="G8" s="609"/>
      <c r="H8" s="610">
        <f t="shared" si="0"/>
        <v>0.17</v>
      </c>
      <c r="I8" s="609">
        <f t="shared" si="1"/>
        <v>130297.60349229748</v>
      </c>
      <c r="J8" s="609">
        <f>20000/100000</f>
        <v>0.2</v>
      </c>
      <c r="K8" s="609"/>
      <c r="L8" s="609">
        <f>30000/100000</f>
        <v>0.3</v>
      </c>
      <c r="M8" s="609"/>
    </row>
    <row r="9" spans="1:13">
      <c r="A9" s="637">
        <f t="shared" si="3"/>
        <v>42856</v>
      </c>
      <c r="B9" s="605">
        <f>26000/100000</f>
        <v>0.26</v>
      </c>
      <c r="C9" s="638" t="s">
        <v>1181</v>
      </c>
      <c r="D9" s="606" t="s">
        <v>1182</v>
      </c>
      <c r="E9" s="606">
        <v>15610.4</v>
      </c>
      <c r="F9" s="634">
        <f t="shared" si="2"/>
        <v>42856</v>
      </c>
      <c r="G9" s="609"/>
      <c r="H9" s="610">
        <f t="shared" si="0"/>
        <v>0.26</v>
      </c>
      <c r="I9" s="609">
        <f t="shared" si="1"/>
        <v>178413.04587608261</v>
      </c>
      <c r="J9" s="609">
        <f>20000/100000</f>
        <v>0.2</v>
      </c>
      <c r="K9" s="609"/>
      <c r="L9" s="609">
        <f>30000/100000</f>
        <v>0.3</v>
      </c>
      <c r="M9" s="609"/>
    </row>
    <row r="10" spans="1:13">
      <c r="A10" s="637">
        <f t="shared" si="3"/>
        <v>42887</v>
      </c>
      <c r="B10" s="605">
        <f>26000/100000</f>
        <v>0.26</v>
      </c>
      <c r="C10" s="638" t="s">
        <v>1181</v>
      </c>
      <c r="D10" s="606" t="s">
        <v>1182</v>
      </c>
      <c r="E10" s="606">
        <v>17537.8</v>
      </c>
      <c r="F10" s="634">
        <f t="shared" si="2"/>
        <v>42887</v>
      </c>
      <c r="G10" s="609"/>
      <c r="H10" s="610">
        <f t="shared" si="0"/>
        <v>0.26</v>
      </c>
      <c r="I10" s="609">
        <f t="shared" si="1"/>
        <v>158805.49506460331</v>
      </c>
      <c r="J10" s="609">
        <f>30000/100000</f>
        <v>0.3</v>
      </c>
      <c r="K10" s="609"/>
      <c r="L10" s="609">
        <f>40000/100000</f>
        <v>0.4</v>
      </c>
      <c r="M10" s="609"/>
    </row>
    <row r="11" spans="1:13">
      <c r="A11" s="637">
        <f t="shared" si="3"/>
        <v>42917</v>
      </c>
      <c r="B11" s="605">
        <f>35000/100000</f>
        <v>0.35</v>
      </c>
      <c r="C11" s="638" t="s">
        <v>1181</v>
      </c>
      <c r="D11" s="606" t="s">
        <v>1182</v>
      </c>
      <c r="E11" s="606">
        <v>19938.2</v>
      </c>
      <c r="F11" s="634">
        <f t="shared" si="2"/>
        <v>42917</v>
      </c>
      <c r="G11" s="609"/>
      <c r="H11" s="610">
        <f t="shared" si="0"/>
        <v>0.35</v>
      </c>
      <c r="I11" s="609">
        <f t="shared" si="1"/>
        <v>188039.62975795203</v>
      </c>
      <c r="J11" s="609">
        <f>30000/100000</f>
        <v>0.3</v>
      </c>
      <c r="K11" s="609"/>
      <c r="L11" s="609">
        <f>40000/100000</f>
        <v>0.4</v>
      </c>
      <c r="M11" s="609"/>
    </row>
    <row r="12" spans="1:13">
      <c r="A12" s="637">
        <f t="shared" si="3"/>
        <v>42948</v>
      </c>
      <c r="B12" s="605">
        <f t="shared" ref="B12:B14" si="5">35000/100000</f>
        <v>0.35</v>
      </c>
      <c r="C12" s="638" t="s">
        <v>1181</v>
      </c>
      <c r="D12" s="606" t="s">
        <v>1182</v>
      </c>
      <c r="E12" s="606">
        <v>23736.3</v>
      </c>
      <c r="F12" s="634">
        <f t="shared" si="2"/>
        <v>42948</v>
      </c>
      <c r="G12" s="609"/>
      <c r="H12" s="610">
        <f t="shared" si="0"/>
        <v>0.35</v>
      </c>
      <c r="I12" s="609">
        <f t="shared" si="1"/>
        <v>157950.97576454628</v>
      </c>
      <c r="J12" s="609">
        <f>40000/100000</f>
        <v>0.4</v>
      </c>
      <c r="K12" s="609"/>
      <c r="L12" s="609">
        <f>54000/100000</f>
        <v>0.54</v>
      </c>
      <c r="M12" s="609"/>
    </row>
    <row r="13" spans="1:13">
      <c r="A13" s="637">
        <f t="shared" si="3"/>
        <v>42979</v>
      </c>
      <c r="B13" s="605">
        <f t="shared" si="5"/>
        <v>0.35</v>
      </c>
      <c r="C13" s="638" t="s">
        <v>1181</v>
      </c>
      <c r="D13" s="606" t="s">
        <v>1182</v>
      </c>
      <c r="E13" s="606">
        <v>29921.9</v>
      </c>
      <c r="F13" s="634">
        <f t="shared" si="2"/>
        <v>42979</v>
      </c>
      <c r="G13" s="609"/>
      <c r="H13" s="610">
        <f t="shared" si="0"/>
        <v>0.35</v>
      </c>
      <c r="I13" s="609">
        <f t="shared" si="1"/>
        <v>125298.58551896771</v>
      </c>
      <c r="J13" s="609">
        <f>40000/100000</f>
        <v>0.4</v>
      </c>
      <c r="K13" s="609"/>
      <c r="L13" s="609">
        <f>54000/100000</f>
        <v>0.54</v>
      </c>
      <c r="M13" s="609"/>
    </row>
    <row r="14" spans="1:13">
      <c r="A14" s="637">
        <f t="shared" si="3"/>
        <v>43009</v>
      </c>
      <c r="B14" s="605">
        <f t="shared" si="5"/>
        <v>0.35</v>
      </c>
      <c r="C14" s="638" t="s">
        <v>1181</v>
      </c>
      <c r="D14" s="606" t="s">
        <v>1182</v>
      </c>
      <c r="E14" s="606">
        <v>39473.9</v>
      </c>
      <c r="F14" s="634">
        <f t="shared" si="2"/>
        <v>43009</v>
      </c>
      <c r="G14" s="609"/>
      <c r="H14" s="610">
        <f t="shared" si="0"/>
        <v>0.35</v>
      </c>
      <c r="I14" s="609">
        <f t="shared" si="1"/>
        <v>94978.498350555674</v>
      </c>
      <c r="J14" s="609">
        <f>40000/100000</f>
        <v>0.4</v>
      </c>
      <c r="K14" s="609"/>
      <c r="L14" s="609">
        <f>54000/100000</f>
        <v>0.54</v>
      </c>
      <c r="M14" s="609"/>
    </row>
    <row r="15" spans="1:13">
      <c r="A15" s="637">
        <f t="shared" si="3"/>
        <v>43040</v>
      </c>
      <c r="B15" s="605">
        <f>50000/100000</f>
        <v>0.5</v>
      </c>
      <c r="C15" s="638" t="s">
        <v>1181</v>
      </c>
      <c r="D15" s="606" t="s">
        <v>1182</v>
      </c>
      <c r="E15" s="606">
        <v>54611</v>
      </c>
      <c r="F15" s="634">
        <f t="shared" si="2"/>
        <v>43040</v>
      </c>
      <c r="G15" s="609"/>
      <c r="H15" s="610">
        <f t="shared" si="0"/>
        <v>0.5</v>
      </c>
      <c r="I15" s="609">
        <f t="shared" si="1"/>
        <v>98074.740202523302</v>
      </c>
      <c r="J15" s="609">
        <f>40000/100000</f>
        <v>0.4</v>
      </c>
      <c r="K15" s="609"/>
      <c r="L15" s="609">
        <f>54000/100000</f>
        <v>0.54</v>
      </c>
      <c r="M15" s="609"/>
    </row>
    <row r="16" spans="1:13">
      <c r="A16" s="637">
        <f t="shared" si="3"/>
        <v>43070</v>
      </c>
      <c r="B16" s="605">
        <f>50000/100000</f>
        <v>0.5</v>
      </c>
      <c r="C16" s="638" t="s">
        <v>1181</v>
      </c>
      <c r="D16" s="606" t="s">
        <v>1182</v>
      </c>
      <c r="E16" s="606">
        <v>84970.3</v>
      </c>
      <c r="F16" s="634">
        <f t="shared" si="2"/>
        <v>43070</v>
      </c>
      <c r="G16" s="609"/>
      <c r="H16" s="610">
        <f t="shared" si="0"/>
        <v>0.5</v>
      </c>
      <c r="I16" s="609">
        <f t="shared" si="1"/>
        <v>63033.314431042374</v>
      </c>
      <c r="J16" s="609">
        <f>54000/100000</f>
        <v>0.54</v>
      </c>
      <c r="K16" s="609"/>
      <c r="L16" s="609">
        <f>71000/100000</f>
        <v>0.71</v>
      </c>
      <c r="M16" s="609"/>
    </row>
    <row r="17" spans="1:13">
      <c r="A17" s="637">
        <f t="shared" si="3"/>
        <v>43101</v>
      </c>
      <c r="B17" s="605">
        <f>80000/100000</f>
        <v>0.8</v>
      </c>
      <c r="C17" s="638" t="s">
        <v>1181</v>
      </c>
      <c r="D17" s="606" t="s">
        <v>1182</v>
      </c>
      <c r="E17" s="606">
        <v>141060.9</v>
      </c>
      <c r="F17" s="634">
        <f t="shared" si="2"/>
        <v>43101</v>
      </c>
      <c r="G17" s="609"/>
      <c r="H17" s="610">
        <f t="shared" si="0"/>
        <v>0.8</v>
      </c>
      <c r="I17" s="609">
        <f t="shared" si="1"/>
        <v>60750.607854621659</v>
      </c>
      <c r="J17" s="609">
        <f>54000/100000</f>
        <v>0.54</v>
      </c>
      <c r="K17" s="609"/>
      <c r="L17" s="609">
        <f>71000/100000</f>
        <v>0.71</v>
      </c>
      <c r="M17" s="609"/>
    </row>
    <row r="18" spans="1:13">
      <c r="A18" s="637">
        <f t="shared" si="3"/>
        <v>43132</v>
      </c>
      <c r="B18" s="605">
        <f>80000/100000</f>
        <v>0.8</v>
      </c>
      <c r="C18" s="638" t="s">
        <v>1181</v>
      </c>
      <c r="D18" s="606" t="s">
        <v>1182</v>
      </c>
      <c r="E18" s="606">
        <v>204074.2</v>
      </c>
      <c r="F18" s="634">
        <f t="shared" si="2"/>
        <v>43132</v>
      </c>
      <c r="G18" s="609"/>
      <c r="H18" s="610">
        <f t="shared" si="0"/>
        <v>0.8</v>
      </c>
      <c r="I18" s="609">
        <f t="shared" si="1"/>
        <v>41992.252913499105</v>
      </c>
      <c r="J18" s="609">
        <f>86400/100000</f>
        <v>0.86399999999999999</v>
      </c>
      <c r="K18" s="609"/>
      <c r="L18" s="609">
        <f>113600/100000</f>
        <v>1.1359999999999999</v>
      </c>
      <c r="M18" s="609"/>
    </row>
    <row r="19" spans="1:13">
      <c r="A19" s="637">
        <f t="shared" si="3"/>
        <v>43160</v>
      </c>
      <c r="B19" s="605">
        <f>140000/100000</f>
        <v>1.4</v>
      </c>
      <c r="C19" s="638" t="s">
        <v>1181</v>
      </c>
      <c r="D19" s="606" t="s">
        <v>1182</v>
      </c>
      <c r="E19" s="606">
        <v>287622.2</v>
      </c>
      <c r="F19" s="634">
        <f t="shared" si="2"/>
        <v>43160</v>
      </c>
      <c r="G19" s="609"/>
      <c r="H19" s="610">
        <f t="shared" si="0"/>
        <v>1.4</v>
      </c>
      <c r="I19" s="609">
        <f t="shared" si="1"/>
        <v>52140.227646405583</v>
      </c>
      <c r="J19" s="609">
        <f>86400/100000</f>
        <v>0.86399999999999999</v>
      </c>
      <c r="K19" s="609"/>
      <c r="L19" s="609">
        <f>113600/100000</f>
        <v>1.1359999999999999</v>
      </c>
      <c r="M19" s="609"/>
    </row>
    <row r="20" spans="1:13">
      <c r="A20" s="637">
        <f t="shared" si="3"/>
        <v>43191</v>
      </c>
      <c r="B20" s="605">
        <f>140000/100000</f>
        <v>1.4</v>
      </c>
      <c r="C20" s="638" t="s">
        <v>1181</v>
      </c>
      <c r="D20" s="606" t="s">
        <v>1182</v>
      </c>
      <c r="E20" s="606">
        <v>448124</v>
      </c>
      <c r="F20" s="634">
        <f t="shared" si="2"/>
        <v>43191</v>
      </c>
      <c r="G20" s="609"/>
      <c r="H20" s="610">
        <f t="shared" si="0"/>
        <v>1.4</v>
      </c>
      <c r="I20" s="609">
        <f t="shared" si="1"/>
        <v>33465.484964340227</v>
      </c>
      <c r="J20" s="609">
        <f>155000/100000</f>
        <v>1.55</v>
      </c>
      <c r="K20" s="609"/>
      <c r="L20" s="609">
        <f>200000/100000</f>
        <v>2</v>
      </c>
      <c r="M20" s="609"/>
    </row>
    <row r="21" spans="1:13">
      <c r="A21" s="637">
        <f t="shared" si="3"/>
        <v>43221</v>
      </c>
      <c r="B21" s="605">
        <f>400000/100000</f>
        <v>4</v>
      </c>
      <c r="C21" s="638" t="s">
        <v>1181</v>
      </c>
      <c r="D21" s="606" t="s">
        <v>1182</v>
      </c>
      <c r="E21" s="606">
        <v>942481</v>
      </c>
      <c r="F21" s="634">
        <f t="shared" si="2"/>
        <v>43221</v>
      </c>
      <c r="G21" s="609"/>
      <c r="H21" s="610">
        <f t="shared" si="0"/>
        <v>4</v>
      </c>
      <c r="I21" s="609">
        <f t="shared" si="1"/>
        <v>45462.64285179224</v>
      </c>
      <c r="J21" s="609">
        <f>155000/100000</f>
        <v>1.55</v>
      </c>
      <c r="K21" s="609"/>
      <c r="L21" s="609">
        <f>200000/100000</f>
        <v>2</v>
      </c>
      <c r="M21" s="609"/>
    </row>
    <row r="22" spans="1:13">
      <c r="A22" s="637">
        <f t="shared" si="3"/>
        <v>43252</v>
      </c>
      <c r="B22" s="605">
        <f>625000/100000</f>
        <v>6.25</v>
      </c>
      <c r="C22" s="638" t="s">
        <v>1181</v>
      </c>
      <c r="D22" s="606" t="s">
        <v>1182</v>
      </c>
      <c r="E22" s="606">
        <v>1853869.6</v>
      </c>
      <c r="F22" s="634">
        <f t="shared" si="2"/>
        <v>43252</v>
      </c>
      <c r="G22" s="609"/>
      <c r="H22" s="610">
        <f t="shared" si="0"/>
        <v>6.25</v>
      </c>
      <c r="I22" s="609">
        <f t="shared" si="1"/>
        <v>36113.378991165286</v>
      </c>
      <c r="J22" s="609">
        <f>IF(ISBLANK(H22),"",ROUNDUP(H22*110%*2,2)/2)</f>
        <v>6.875</v>
      </c>
      <c r="K22" s="609"/>
      <c r="L22" s="609">
        <f>IF(ISBLANK(H22),"",ROUND(H22*145%*2,2)/2)</f>
        <v>9.0649999999999995</v>
      </c>
      <c r="M22" s="609"/>
    </row>
    <row r="23" spans="1:13">
      <c r="A23" s="637">
        <f t="shared" si="3"/>
        <v>43282</v>
      </c>
      <c r="B23" s="605">
        <f>1000000/100000</f>
        <v>10</v>
      </c>
      <c r="C23" s="638" t="s">
        <v>1181</v>
      </c>
      <c r="D23" s="606" t="s">
        <v>1182</v>
      </c>
      <c r="E23" s="606">
        <v>3362789.7</v>
      </c>
      <c r="F23" s="634">
        <f t="shared" si="2"/>
        <v>43282</v>
      </c>
      <c r="G23" s="609"/>
      <c r="H23" s="610">
        <f t="shared" si="0"/>
        <v>10</v>
      </c>
      <c r="I23" s="609">
        <f t="shared" si="1"/>
        <v>31854.264554218178</v>
      </c>
      <c r="J23" s="609">
        <f>IF(ISBLANK(H23),"",ROUNDUP(H23*110%*2,2)/2)</f>
        <v>11</v>
      </c>
      <c r="K23" s="609"/>
      <c r="L23" s="609">
        <f>IF(ISBLANK(H23),"",ROUND(H23*145%*2,2)/2)</f>
        <v>14.5</v>
      </c>
      <c r="M23" s="609"/>
    </row>
    <row r="24" spans="1:13">
      <c r="A24" s="637">
        <f t="shared" si="3"/>
        <v>43313</v>
      </c>
      <c r="B24" s="605">
        <f>1200000/100000</f>
        <v>12</v>
      </c>
      <c r="C24" s="638" t="s">
        <v>1181</v>
      </c>
      <c r="D24" s="606" t="s">
        <v>1182</v>
      </c>
      <c r="E24" s="606">
        <v>5919047.9000000004</v>
      </c>
      <c r="F24" s="634">
        <f t="shared" si="2"/>
        <v>43313</v>
      </c>
      <c r="G24" s="609"/>
      <c r="H24" s="610">
        <f t="shared" si="0"/>
        <v>12</v>
      </c>
      <c r="I24" s="609">
        <f t="shared" si="1"/>
        <v>21716.842550437883</v>
      </c>
      <c r="J24" s="609">
        <f>IF(ISBLANK(H24),"",ROUNDUP(H24*110%*2,2)/2)</f>
        <v>13.2</v>
      </c>
      <c r="K24" s="609"/>
      <c r="L24" s="609">
        <f>IF(ISBLANK(H24),"",ROUND(H24*145%*2,2)/2)</f>
        <v>17.399999999999999</v>
      </c>
      <c r="M24" s="609"/>
    </row>
    <row r="25" spans="1:13">
      <c r="A25" s="637">
        <f t="shared" si="3"/>
        <v>43344</v>
      </c>
      <c r="B25" s="605">
        <v>320</v>
      </c>
      <c r="C25" s="638" t="s">
        <v>1181</v>
      </c>
      <c r="D25" s="606" t="s">
        <v>1182</v>
      </c>
      <c r="E25" s="606">
        <v>13479980.5</v>
      </c>
      <c r="F25" s="634">
        <f t="shared" si="2"/>
        <v>43344</v>
      </c>
      <c r="G25" s="609"/>
      <c r="H25" s="610">
        <f t="shared" si="0"/>
        <v>320</v>
      </c>
      <c r="I25" s="609">
        <f t="shared" si="1"/>
        <v>254289.25270388927</v>
      </c>
      <c r="J25" s="609">
        <f t="shared" ref="J25:J28" si="6">IF(ISBLANK(H25),"",ROUNDUP(H25*110%*2,-1)/2)</f>
        <v>355</v>
      </c>
      <c r="K25" s="609"/>
      <c r="L25" s="609">
        <f t="shared" ref="L25:L36" si="7">IF(ISBLANK(H25),"",ROUND(H25*145%*2,-1)/2)</f>
        <v>465</v>
      </c>
      <c r="M25" s="609"/>
    </row>
    <row r="26" spans="1:13">
      <c r="A26" s="637">
        <f t="shared" si="3"/>
        <v>43374</v>
      </c>
      <c r="B26" s="605">
        <v>320</v>
      </c>
      <c r="C26" s="638" t="s">
        <v>1181</v>
      </c>
      <c r="D26" s="606" t="s">
        <v>1182</v>
      </c>
      <c r="E26" s="606">
        <v>25355573.699999999</v>
      </c>
      <c r="F26" s="634">
        <f t="shared" si="2"/>
        <v>43374</v>
      </c>
      <c r="G26" s="609"/>
      <c r="H26" s="610">
        <f t="shared" si="0"/>
        <v>320</v>
      </c>
      <c r="I26" s="609">
        <f t="shared" si="1"/>
        <v>135189.7696484777</v>
      </c>
      <c r="J26" s="609">
        <f t="shared" si="6"/>
        <v>355</v>
      </c>
      <c r="K26" s="609"/>
      <c r="L26" s="609">
        <f t="shared" si="7"/>
        <v>465</v>
      </c>
      <c r="M26" s="609"/>
    </row>
    <row r="27" spans="1:13">
      <c r="A27" s="637">
        <f t="shared" si="3"/>
        <v>43405</v>
      </c>
      <c r="B27" s="605">
        <v>320</v>
      </c>
      <c r="C27" s="638" t="s">
        <v>1181</v>
      </c>
      <c r="D27" s="606" t="s">
        <v>1182</v>
      </c>
      <c r="E27" s="606">
        <v>56589583.5</v>
      </c>
      <c r="F27" s="634">
        <f t="shared" si="2"/>
        <v>43405</v>
      </c>
      <c r="G27" s="609"/>
      <c r="H27" s="610">
        <f t="shared" si="0"/>
        <v>320</v>
      </c>
      <c r="I27" s="609">
        <f t="shared" si="1"/>
        <v>60573.235493206972</v>
      </c>
      <c r="J27" s="609">
        <f t="shared" si="6"/>
        <v>355</v>
      </c>
      <c r="K27" s="609"/>
      <c r="L27" s="609">
        <f t="shared" si="7"/>
        <v>465</v>
      </c>
      <c r="M27" s="609"/>
    </row>
    <row r="28" spans="1:13">
      <c r="A28" s="637">
        <f t="shared" si="3"/>
        <v>43435</v>
      </c>
      <c r="B28" s="605">
        <v>800</v>
      </c>
      <c r="C28" s="638" t="s">
        <v>1181</v>
      </c>
      <c r="D28" s="606" t="s">
        <v>1182</v>
      </c>
      <c r="E28" s="606">
        <v>110597550.2</v>
      </c>
      <c r="F28" s="634">
        <f t="shared" si="2"/>
        <v>43435</v>
      </c>
      <c r="G28" s="609"/>
      <c r="H28" s="610">
        <f t="shared" si="0"/>
        <v>800</v>
      </c>
      <c r="I28" s="609">
        <f t="shared" si="1"/>
        <v>77483.953342756766</v>
      </c>
      <c r="J28" s="609">
        <f t="shared" si="6"/>
        <v>880</v>
      </c>
      <c r="K28" s="609"/>
      <c r="L28" s="609">
        <f t="shared" si="7"/>
        <v>1160</v>
      </c>
      <c r="M28" s="609"/>
    </row>
    <row r="29" spans="1:13">
      <c r="A29" s="637">
        <f t="shared" si="3"/>
        <v>43466</v>
      </c>
      <c r="B29" s="605">
        <v>3000</v>
      </c>
      <c r="C29" s="638" t="s">
        <v>1181</v>
      </c>
      <c r="D29" s="606" t="s">
        <v>1182</v>
      </c>
      <c r="E29" s="606">
        <v>328067725.10000002</v>
      </c>
      <c r="F29" s="634">
        <f t="shared" si="2"/>
        <v>43466</v>
      </c>
      <c r="G29" s="609"/>
      <c r="H29" s="610">
        <f t="shared" si="0"/>
        <v>3000</v>
      </c>
      <c r="I29" s="609">
        <f t="shared" si="1"/>
        <v>97954.645838460754</v>
      </c>
      <c r="J29" s="609"/>
      <c r="K29" s="609"/>
      <c r="L29" s="609">
        <f t="shared" si="7"/>
        <v>4350</v>
      </c>
      <c r="M29" s="609"/>
    </row>
    <row r="30" spans="1:13">
      <c r="A30" s="637">
        <f t="shared" si="3"/>
        <v>43497</v>
      </c>
      <c r="B30" s="605">
        <v>3000</v>
      </c>
      <c r="C30" s="638" t="s">
        <v>1181</v>
      </c>
      <c r="D30" s="606" t="s">
        <v>1182</v>
      </c>
      <c r="E30" s="606">
        <v>703259098.20000005</v>
      </c>
      <c r="F30" s="634">
        <f t="shared" si="2"/>
        <v>43497</v>
      </c>
      <c r="G30" s="609"/>
      <c r="H30" s="610">
        <f t="shared" si="0"/>
        <v>3000</v>
      </c>
      <c r="I30" s="609">
        <f t="shared" si="1"/>
        <v>45695.473980289549</v>
      </c>
      <c r="J30" s="609"/>
      <c r="K30" s="609"/>
      <c r="L30" s="609">
        <f t="shared" si="7"/>
        <v>4350</v>
      </c>
      <c r="M30" s="609"/>
    </row>
    <row r="31" spans="1:13">
      <c r="A31" s="637">
        <f t="shared" si="3"/>
        <v>43525</v>
      </c>
      <c r="B31" s="605">
        <v>3000</v>
      </c>
      <c r="C31" s="638" t="s">
        <v>1181</v>
      </c>
      <c r="D31" s="606" t="s">
        <v>1182</v>
      </c>
      <c r="E31" s="606">
        <v>948197209.5</v>
      </c>
      <c r="F31" s="634">
        <f t="shared" si="2"/>
        <v>43525</v>
      </c>
      <c r="G31" s="609"/>
      <c r="H31" s="610">
        <f t="shared" si="0"/>
        <v>3000</v>
      </c>
      <c r="I31" s="609">
        <f t="shared" si="1"/>
        <v>33891.428387714528</v>
      </c>
      <c r="J31" s="609"/>
      <c r="K31" s="609"/>
      <c r="L31" s="609">
        <f t="shared" si="7"/>
        <v>4350</v>
      </c>
      <c r="M31" s="609"/>
    </row>
    <row r="32" spans="1:13">
      <c r="A32" s="637">
        <f t="shared" si="3"/>
        <v>43556</v>
      </c>
      <c r="B32" s="605">
        <v>5000</v>
      </c>
      <c r="C32" s="638" t="s">
        <v>1181</v>
      </c>
      <c r="D32" s="606" t="s">
        <v>1182</v>
      </c>
      <c r="E32" s="606">
        <v>1268517190.9000001</v>
      </c>
      <c r="F32" s="634">
        <f t="shared" si="2"/>
        <v>43556</v>
      </c>
      <c r="G32" s="609"/>
      <c r="H32" s="610">
        <f t="shared" si="0"/>
        <v>5000</v>
      </c>
      <c r="I32" s="609">
        <f t="shared" si="1"/>
        <v>42222.207752659633</v>
      </c>
      <c r="J32" s="609"/>
      <c r="K32" s="609"/>
      <c r="L32" s="609">
        <f t="shared" si="7"/>
        <v>7250</v>
      </c>
      <c r="M32" s="609"/>
    </row>
    <row r="33" spans="1:13">
      <c r="A33" s="637">
        <f t="shared" si="3"/>
        <v>43586</v>
      </c>
      <c r="B33" s="605">
        <v>8000</v>
      </c>
      <c r="C33" s="638" t="s">
        <v>1181</v>
      </c>
      <c r="D33" s="606" t="s">
        <v>1182</v>
      </c>
      <c r="E33" s="606">
        <v>1769365833.3</v>
      </c>
      <c r="F33" s="634">
        <f t="shared" si="2"/>
        <v>43586</v>
      </c>
      <c r="G33" s="609"/>
      <c r="H33" s="610">
        <f t="shared" si="0"/>
        <v>8000</v>
      </c>
      <c r="I33" s="609">
        <f t="shared" si="1"/>
        <v>48432.807157450159</v>
      </c>
      <c r="J33" s="609"/>
      <c r="K33" s="609"/>
      <c r="L33" s="609">
        <f t="shared" si="7"/>
        <v>11600</v>
      </c>
      <c r="M33" s="609"/>
    </row>
    <row r="34" spans="1:13">
      <c r="A34" s="637">
        <f t="shared" si="3"/>
        <v>43617</v>
      </c>
      <c r="B34" s="605">
        <v>8000</v>
      </c>
      <c r="C34" s="638" t="s">
        <v>1181</v>
      </c>
      <c r="D34" s="606" t="s">
        <v>1182</v>
      </c>
      <c r="E34" s="606">
        <v>2160431069.8000002</v>
      </c>
      <c r="F34" s="634">
        <f t="shared" si="2"/>
        <v>43617</v>
      </c>
      <c r="G34" s="609"/>
      <c r="H34" s="610">
        <f t="shared" si="0"/>
        <v>8000</v>
      </c>
      <c r="I34" s="609">
        <f t="shared" si="1"/>
        <v>39665.859000598968</v>
      </c>
      <c r="J34" s="609"/>
      <c r="K34" s="609"/>
      <c r="L34" s="609">
        <f t="shared" si="7"/>
        <v>11600</v>
      </c>
      <c r="M34" s="609"/>
    </row>
    <row r="35" spans="1:13">
      <c r="A35" s="637">
        <f t="shared" si="3"/>
        <v>43647</v>
      </c>
      <c r="B35" s="605">
        <v>10000</v>
      </c>
      <c r="C35" s="638" t="s">
        <v>1181</v>
      </c>
      <c r="D35" s="606" t="s">
        <v>1182</v>
      </c>
      <c r="E35" s="606">
        <v>2579165819.6999998</v>
      </c>
      <c r="F35" s="634">
        <f t="shared" si="2"/>
        <v>43647</v>
      </c>
      <c r="G35" s="609"/>
      <c r="H35" s="610">
        <f t="shared" si="0"/>
        <v>10000</v>
      </c>
      <c r="I35" s="609">
        <f t="shared" si="1"/>
        <v>41532.495478115379</v>
      </c>
      <c r="J35" s="609"/>
      <c r="K35" s="609"/>
      <c r="L35" s="609">
        <f t="shared" si="7"/>
        <v>14500</v>
      </c>
      <c r="M35" s="609"/>
    </row>
    <row r="36" spans="1:13">
      <c r="A36" s="637">
        <f t="shared" si="3"/>
        <v>43678</v>
      </c>
      <c r="B36" s="605">
        <v>10000</v>
      </c>
      <c r="C36" s="638" t="s">
        <v>1181</v>
      </c>
      <c r="D36" s="606" t="s">
        <v>1182</v>
      </c>
      <c r="E36" s="606">
        <v>3472176193.1999998</v>
      </c>
      <c r="F36" s="634">
        <f t="shared" si="2"/>
        <v>43678</v>
      </c>
      <c r="G36" s="609"/>
      <c r="H36" s="610">
        <f t="shared" si="0"/>
        <v>10000</v>
      </c>
      <c r="I36" s="609">
        <f t="shared" si="1"/>
        <v>30850.736478691666</v>
      </c>
      <c r="J36" s="609"/>
      <c r="K36" s="609"/>
      <c r="L36" s="609">
        <f t="shared" si="7"/>
        <v>14500</v>
      </c>
      <c r="M36" s="609"/>
    </row>
    <row r="37" spans="1:13">
      <c r="A37" s="637">
        <v>43709</v>
      </c>
      <c r="B37" s="638">
        <v>1</v>
      </c>
      <c r="C37" s="638" t="s">
        <v>1183</v>
      </c>
      <c r="D37" s="607">
        <v>20511.45</v>
      </c>
      <c r="E37" s="606">
        <v>5286006314.6999998</v>
      </c>
      <c r="F37" s="634">
        <f t="shared" si="2"/>
        <v>43709</v>
      </c>
      <c r="G37" s="610">
        <f t="shared" ref="G37:G44" si="8">ROUNDUP(D37,-2)</f>
        <v>20600</v>
      </c>
      <c r="H37" s="610">
        <f>IF(C37="VEB",B37,G37*B37)</f>
        <v>20600</v>
      </c>
      <c r="I37" s="610">
        <f t="shared" ref="I37:I53" si="9">$M$1*B37</f>
        <v>73500</v>
      </c>
      <c r="J37" s="609"/>
      <c r="K37" s="609"/>
      <c r="L37" s="609">
        <f t="shared" ref="L37:L67" si="10">IF(ISBLANK(H37),"",ROUND(H37*145%*2,-1)/2)</f>
        <v>29870</v>
      </c>
      <c r="M37" s="610">
        <f>B37*145%</f>
        <v>1.45</v>
      </c>
    </row>
    <row r="38" spans="1:13">
      <c r="A38" s="637">
        <v>43717</v>
      </c>
      <c r="B38" s="638">
        <v>1</v>
      </c>
      <c r="C38" s="638" t="s">
        <v>1183</v>
      </c>
      <c r="D38" s="607">
        <v>20430.11</v>
      </c>
      <c r="E38" s="606">
        <v>5286006314.6999998</v>
      </c>
      <c r="F38" s="634">
        <f t="shared" si="2"/>
        <v>43709</v>
      </c>
      <c r="G38" s="610">
        <f t="shared" si="8"/>
        <v>20500</v>
      </c>
      <c r="H38" s="610">
        <f t="shared" ref="H38:H45" si="11">IF(C38="VEB",B38,G38*B38)</f>
        <v>20500</v>
      </c>
      <c r="I38" s="610">
        <f t="shared" si="9"/>
        <v>73500</v>
      </c>
      <c r="J38" s="609"/>
      <c r="K38" s="609"/>
      <c r="L38" s="609">
        <f t="shared" si="10"/>
        <v>29725</v>
      </c>
      <c r="M38" s="610">
        <f t="shared" ref="M38:M44" si="12">B38*145%</f>
        <v>1.45</v>
      </c>
    </row>
    <row r="39" spans="1:13">
      <c r="A39" s="637">
        <v>43724</v>
      </c>
      <c r="B39" s="638">
        <v>1</v>
      </c>
      <c r="C39" s="638" t="s">
        <v>1183</v>
      </c>
      <c r="D39" s="607">
        <v>21555.41</v>
      </c>
      <c r="E39" s="606">
        <v>5286006314.6999998</v>
      </c>
      <c r="F39" s="634">
        <f t="shared" si="2"/>
        <v>43709</v>
      </c>
      <c r="G39" s="610">
        <f t="shared" si="8"/>
        <v>21600</v>
      </c>
      <c r="H39" s="610">
        <f t="shared" si="11"/>
        <v>21600</v>
      </c>
      <c r="I39" s="610">
        <f t="shared" si="9"/>
        <v>73500</v>
      </c>
      <c r="J39" s="609"/>
      <c r="K39" s="609"/>
      <c r="L39" s="609">
        <f t="shared" si="10"/>
        <v>31320</v>
      </c>
      <c r="M39" s="610">
        <f t="shared" si="12"/>
        <v>1.45</v>
      </c>
    </row>
    <row r="40" spans="1:13">
      <c r="A40" s="637">
        <v>43731</v>
      </c>
      <c r="B40" s="638">
        <v>1</v>
      </c>
      <c r="C40" s="638" t="s">
        <v>1183</v>
      </c>
      <c r="D40" s="607">
        <v>19715.310000000001</v>
      </c>
      <c r="E40" s="606">
        <v>5286006314.6999998</v>
      </c>
      <c r="F40" s="634">
        <f t="shared" si="2"/>
        <v>43709</v>
      </c>
      <c r="G40" s="610">
        <f t="shared" si="8"/>
        <v>19800</v>
      </c>
      <c r="H40" s="610">
        <f t="shared" si="11"/>
        <v>19800</v>
      </c>
      <c r="I40" s="610">
        <f t="shared" si="9"/>
        <v>73500</v>
      </c>
      <c r="J40" s="609"/>
      <c r="K40" s="609"/>
      <c r="L40" s="609">
        <f t="shared" si="10"/>
        <v>28710</v>
      </c>
      <c r="M40" s="610">
        <f t="shared" si="12"/>
        <v>1.45</v>
      </c>
    </row>
    <row r="41" spans="1:13">
      <c r="A41" s="637">
        <v>43738</v>
      </c>
      <c r="B41" s="638">
        <v>1</v>
      </c>
      <c r="C41" s="638" t="s">
        <v>1183</v>
      </c>
      <c r="D41" s="607">
        <v>21028.080000000002</v>
      </c>
      <c r="E41" s="606">
        <v>5286006314.6999998</v>
      </c>
      <c r="F41" s="634">
        <f t="shared" si="2"/>
        <v>43709</v>
      </c>
      <c r="G41" s="610">
        <f t="shared" si="8"/>
        <v>21100</v>
      </c>
      <c r="H41" s="610">
        <f t="shared" si="11"/>
        <v>21100</v>
      </c>
      <c r="I41" s="610">
        <f t="shared" si="9"/>
        <v>73500</v>
      </c>
      <c r="J41" s="609"/>
      <c r="K41" s="609"/>
      <c r="L41" s="609">
        <f t="shared" ref="L41" si="13">IF(ISBLANK(H41),"",ROUND(H41*145%*2,-1)/2)</f>
        <v>30595</v>
      </c>
      <c r="M41" s="610">
        <f t="shared" si="12"/>
        <v>1.45</v>
      </c>
    </row>
    <row r="42" spans="1:13">
      <c r="A42" s="637">
        <v>43739</v>
      </c>
      <c r="B42" s="638">
        <v>2.5</v>
      </c>
      <c r="C42" s="638" t="s">
        <v>1183</v>
      </c>
      <c r="D42" s="607">
        <v>21028.080000000002</v>
      </c>
      <c r="E42" s="606">
        <v>6478423619.1999998</v>
      </c>
      <c r="F42" s="634">
        <f t="shared" si="2"/>
        <v>43739</v>
      </c>
      <c r="G42" s="610">
        <f t="shared" si="8"/>
        <v>21100</v>
      </c>
      <c r="H42" s="610">
        <f t="shared" si="11"/>
        <v>52750</v>
      </c>
      <c r="I42" s="610">
        <f t="shared" si="9"/>
        <v>183750</v>
      </c>
      <c r="J42" s="609"/>
      <c r="K42" s="609"/>
      <c r="L42" s="609">
        <f t="shared" ref="L42" si="14">IF(ISBLANK(H42),"",ROUND(H42*145%*2,-1)/2)</f>
        <v>76490</v>
      </c>
      <c r="M42" s="610">
        <f t="shared" si="12"/>
        <v>3.625</v>
      </c>
    </row>
    <row r="43" spans="1:13">
      <c r="A43" s="637">
        <v>43745</v>
      </c>
      <c r="B43" s="638">
        <v>2.5</v>
      </c>
      <c r="C43" s="638" t="s">
        <v>1183</v>
      </c>
      <c r="D43" s="607">
        <v>20218.03</v>
      </c>
      <c r="E43" s="606">
        <v>6478423619.1999998</v>
      </c>
      <c r="F43" s="634">
        <f t="shared" si="2"/>
        <v>43739</v>
      </c>
      <c r="G43" s="610">
        <f t="shared" si="8"/>
        <v>20300</v>
      </c>
      <c r="H43" s="610">
        <f t="shared" si="11"/>
        <v>50750</v>
      </c>
      <c r="I43" s="610">
        <f t="shared" si="9"/>
        <v>183750</v>
      </c>
      <c r="J43" s="609"/>
      <c r="K43" s="609"/>
      <c r="L43" s="609">
        <f t="shared" si="10"/>
        <v>73590</v>
      </c>
      <c r="M43" s="610">
        <f t="shared" si="12"/>
        <v>3.625</v>
      </c>
    </row>
    <row r="44" spans="1:13">
      <c r="A44" s="637">
        <v>43752</v>
      </c>
      <c r="B44" s="638">
        <v>2.5</v>
      </c>
      <c r="C44" s="638" t="s">
        <v>1183</v>
      </c>
      <c r="D44" s="607">
        <v>19733.41</v>
      </c>
      <c r="E44" s="606">
        <v>6478423619.1999998</v>
      </c>
      <c r="F44" s="634">
        <f t="shared" si="2"/>
        <v>43739</v>
      </c>
      <c r="G44" s="610">
        <f t="shared" si="8"/>
        <v>19800</v>
      </c>
      <c r="H44" s="610">
        <f t="shared" si="11"/>
        <v>49500</v>
      </c>
      <c r="I44" s="610">
        <f t="shared" si="9"/>
        <v>183750</v>
      </c>
      <c r="J44" s="609"/>
      <c r="K44" s="609"/>
      <c r="L44" s="609">
        <f t="shared" si="10"/>
        <v>71775</v>
      </c>
      <c r="M44" s="610">
        <f t="shared" si="12"/>
        <v>3.625</v>
      </c>
    </row>
    <row r="45" spans="1:13">
      <c r="A45" s="637">
        <v>43758</v>
      </c>
      <c r="B45" s="638">
        <v>2.5</v>
      </c>
      <c r="C45" s="638" t="s">
        <v>1183</v>
      </c>
      <c r="D45" s="607">
        <v>18710.560000000001</v>
      </c>
      <c r="E45" s="606">
        <v>6478423619.1999998</v>
      </c>
      <c r="F45" s="634">
        <f t="shared" si="2"/>
        <v>43739</v>
      </c>
      <c r="G45" s="610">
        <f t="shared" ref="G45:G52" si="15">ROUNDUP(D45,-2)</f>
        <v>18800</v>
      </c>
      <c r="H45" s="610">
        <f t="shared" si="11"/>
        <v>47000</v>
      </c>
      <c r="I45" s="610">
        <f t="shared" si="9"/>
        <v>183750</v>
      </c>
      <c r="J45" s="609"/>
      <c r="K45" s="609"/>
      <c r="L45" s="609">
        <f t="shared" ref="L45" si="16">IF(ISBLANK(H45),"",ROUND(H45*145%*2,-1)/2)</f>
        <v>68150</v>
      </c>
      <c r="M45" s="610">
        <f t="shared" ref="M45" si="17">B45*145%</f>
        <v>3.625</v>
      </c>
    </row>
    <row r="46" spans="1:13">
      <c r="A46" s="637">
        <v>43766</v>
      </c>
      <c r="B46" s="638">
        <v>2.5</v>
      </c>
      <c r="C46" s="638" t="s">
        <v>1183</v>
      </c>
      <c r="D46" s="607">
        <v>20454.310000000001</v>
      </c>
      <c r="E46" s="606">
        <v>6478423619.1999998</v>
      </c>
      <c r="F46" s="634">
        <f t="shared" si="2"/>
        <v>43739</v>
      </c>
      <c r="G46" s="610">
        <f t="shared" si="15"/>
        <v>20500</v>
      </c>
      <c r="H46" s="610">
        <f t="shared" ref="H46" si="18">IF(C46="VEB",B46,G46*B46)</f>
        <v>51250</v>
      </c>
      <c r="I46" s="610">
        <f t="shared" si="9"/>
        <v>183750</v>
      </c>
      <c r="J46" s="609"/>
      <c r="K46" s="609"/>
      <c r="L46" s="609">
        <f t="shared" ref="L46" si="19">IF(ISBLANK(H46),"",ROUND(H46*145%*2,-1)/2)</f>
        <v>74315</v>
      </c>
      <c r="M46" s="610">
        <f t="shared" ref="M46" si="20">B46*145%</f>
        <v>3.625</v>
      </c>
    </row>
    <row r="47" spans="1:13">
      <c r="A47" s="637">
        <v>43770</v>
      </c>
      <c r="B47" s="638">
        <v>2.5</v>
      </c>
      <c r="C47" s="638" t="s">
        <v>1183</v>
      </c>
      <c r="D47" s="607">
        <v>20454.310000000001</v>
      </c>
      <c r="E47" s="606">
        <v>8144026331.6999998</v>
      </c>
      <c r="F47" s="634">
        <f t="shared" ref="F47" si="21">DATE(YEAR(A47),MONTH(A47),1)</f>
        <v>43770</v>
      </c>
      <c r="G47" s="610">
        <f t="shared" si="15"/>
        <v>20500</v>
      </c>
      <c r="H47" s="610">
        <f t="shared" ref="H47" si="22">IF(C47="VEB",B47,G47*B47)</f>
        <v>51250</v>
      </c>
      <c r="I47" s="610">
        <f t="shared" si="9"/>
        <v>183750</v>
      </c>
      <c r="J47" s="609"/>
      <c r="K47" s="609"/>
      <c r="L47" s="609">
        <f t="shared" ref="L47" si="23">IF(ISBLANK(H47),"",ROUND(H47*145%*2,-1)/2)</f>
        <v>74315</v>
      </c>
      <c r="M47" s="610">
        <f t="shared" ref="M47" si="24">B47*145%</f>
        <v>3.625</v>
      </c>
    </row>
    <row r="48" spans="1:13">
      <c r="A48" s="637">
        <v>43773</v>
      </c>
      <c r="B48" s="638">
        <v>2.5</v>
      </c>
      <c r="C48" s="638" t="s">
        <v>1183</v>
      </c>
      <c r="D48" s="607">
        <v>22493.91</v>
      </c>
      <c r="E48" s="606">
        <v>8144026331.6999998</v>
      </c>
      <c r="F48" s="634">
        <f t="shared" ref="F48" si="25">DATE(YEAR(A48),MONTH(A48),1)</f>
        <v>43770</v>
      </c>
      <c r="G48" s="610">
        <f t="shared" si="15"/>
        <v>22500</v>
      </c>
      <c r="H48" s="610">
        <f t="shared" ref="H48" si="26">IF(C48="VEB",B48,G48*B48)</f>
        <v>56250</v>
      </c>
      <c r="I48" s="610">
        <f t="shared" si="9"/>
        <v>183750</v>
      </c>
      <c r="J48" s="609"/>
      <c r="K48" s="609"/>
      <c r="L48" s="609">
        <f t="shared" ref="L48" si="27">IF(ISBLANK(H48),"",ROUND(H48*145%*2,-1)/2)</f>
        <v>81565</v>
      </c>
      <c r="M48" s="610">
        <f t="shared" ref="M48" si="28">B48*145%</f>
        <v>3.625</v>
      </c>
    </row>
    <row r="49" spans="1:13">
      <c r="A49" s="637">
        <v>43780</v>
      </c>
      <c r="B49" s="638">
        <v>2.5</v>
      </c>
      <c r="C49" s="638" t="s">
        <v>1183</v>
      </c>
      <c r="D49" s="607">
        <v>25734.28</v>
      </c>
      <c r="E49" s="606">
        <v>8144026331.6999998</v>
      </c>
      <c r="F49" s="634">
        <f t="shared" ref="F49" si="29">DATE(YEAR(A49),MONTH(A49),1)</f>
        <v>43770</v>
      </c>
      <c r="G49" s="610">
        <f t="shared" si="15"/>
        <v>25800</v>
      </c>
      <c r="H49" s="610">
        <f t="shared" ref="H49" si="30">IF(C49="VEB",B49,G49*B49)</f>
        <v>64500</v>
      </c>
      <c r="I49" s="610">
        <f t="shared" si="9"/>
        <v>183750</v>
      </c>
      <c r="J49" s="609"/>
      <c r="K49" s="609"/>
      <c r="L49" s="609">
        <f t="shared" ref="L49" si="31">IF(ISBLANK(H49),"",ROUND(H49*145%*2,-1)/2)</f>
        <v>93525</v>
      </c>
      <c r="M49" s="610">
        <f t="shared" ref="M49" si="32">B49*145%</f>
        <v>3.625</v>
      </c>
    </row>
    <row r="50" spans="1:13">
      <c r="A50" s="637">
        <v>43787</v>
      </c>
      <c r="B50" s="638">
        <v>2.5</v>
      </c>
      <c r="C50" s="638" t="s">
        <v>1183</v>
      </c>
      <c r="D50" s="607">
        <v>29383.24</v>
      </c>
      <c r="E50" s="606">
        <v>8144026331.6999998</v>
      </c>
      <c r="F50" s="634">
        <f t="shared" ref="F50" si="33">DATE(YEAR(A50),MONTH(A50),1)</f>
        <v>43770</v>
      </c>
      <c r="G50" s="610">
        <f t="shared" si="15"/>
        <v>29400</v>
      </c>
      <c r="H50" s="610">
        <f t="shared" ref="H50" si="34">IF(C50="VEB",B50,G50*B50)</f>
        <v>73500</v>
      </c>
      <c r="I50" s="610">
        <f t="shared" si="9"/>
        <v>183750</v>
      </c>
      <c r="J50" s="609"/>
      <c r="K50" s="609"/>
      <c r="L50" s="609">
        <f t="shared" ref="L50" si="35">IF(ISBLANK(H50),"",ROUND(H50*145%*2,-1)/2)</f>
        <v>106575</v>
      </c>
      <c r="M50" s="610">
        <f t="shared" ref="M50" si="36">B50*145%</f>
        <v>3.625</v>
      </c>
    </row>
    <row r="51" spans="1:13">
      <c r="A51" s="637">
        <v>43794</v>
      </c>
      <c r="B51" s="638">
        <v>2.5</v>
      </c>
      <c r="C51" s="638" t="s">
        <v>1183</v>
      </c>
      <c r="D51" s="607">
        <v>32638.74</v>
      </c>
      <c r="E51" s="606">
        <v>8144026331.6999998</v>
      </c>
      <c r="F51" s="634">
        <f t="shared" ref="F51" si="37">DATE(YEAR(A51),MONTH(A51),1)</f>
        <v>43770</v>
      </c>
      <c r="G51" s="610">
        <f t="shared" si="15"/>
        <v>32700</v>
      </c>
      <c r="H51" s="610">
        <f t="shared" ref="H51" si="38">IF(C51="VEB",B51,G51*B51)</f>
        <v>81750</v>
      </c>
      <c r="I51" s="610">
        <f t="shared" si="9"/>
        <v>183750</v>
      </c>
      <c r="J51" s="609"/>
      <c r="K51" s="609"/>
      <c r="L51" s="609">
        <f t="shared" ref="L51" si="39">IF(ISBLANK(H51),"",ROUND(H51*145%*2,-1)/2)</f>
        <v>118540</v>
      </c>
      <c r="M51" s="610">
        <f t="shared" ref="M51" si="40">B51*145%</f>
        <v>3.625</v>
      </c>
    </row>
    <row r="52" spans="1:13">
      <c r="A52" s="637">
        <v>43800</v>
      </c>
      <c r="B52" s="638">
        <v>2.5</v>
      </c>
      <c r="C52" s="638" t="s">
        <v>1183</v>
      </c>
      <c r="D52" s="607">
        <v>32638.74</v>
      </c>
      <c r="E52" s="606">
        <v>10711919274.4</v>
      </c>
      <c r="F52" s="634">
        <f t="shared" ref="F52" si="41">DATE(YEAR(A52),MONTH(A52),1)</f>
        <v>43800</v>
      </c>
      <c r="G52" s="610">
        <f t="shared" si="15"/>
        <v>32700</v>
      </c>
      <c r="H52" s="610">
        <f t="shared" ref="H52" si="42">IF(C52="VEB",B52,G52*B52)</f>
        <v>81750</v>
      </c>
      <c r="I52" s="610">
        <f t="shared" si="9"/>
        <v>183750</v>
      </c>
      <c r="J52" s="609"/>
      <c r="K52" s="609"/>
      <c r="L52" s="609">
        <f t="shared" ref="L52" si="43">IF(ISBLANK(H52),"",ROUND(H52*145%*2,-1)/2)</f>
        <v>118540</v>
      </c>
      <c r="M52" s="610">
        <f t="shared" ref="M52" si="44">B52*145%</f>
        <v>3.625</v>
      </c>
    </row>
    <row r="53" spans="1:13">
      <c r="A53" s="637">
        <v>43801</v>
      </c>
      <c r="B53" s="638">
        <v>2.5</v>
      </c>
      <c r="C53" s="638" t="s">
        <v>1183</v>
      </c>
      <c r="D53" s="607">
        <v>38980.83</v>
      </c>
      <c r="E53" s="606">
        <v>10711919274.4</v>
      </c>
      <c r="F53" s="634">
        <f t="shared" ref="F53" si="45">DATE(YEAR(A53),MONTH(A53),1)</f>
        <v>43800</v>
      </c>
      <c r="G53" s="610">
        <f t="shared" ref="G53" si="46">ROUNDUP(D53,-2)</f>
        <v>39000</v>
      </c>
      <c r="H53" s="610">
        <f t="shared" ref="H53" si="47">IF(C53="VEB",B53,G53*B53)</f>
        <v>97500</v>
      </c>
      <c r="I53" s="610">
        <f t="shared" si="9"/>
        <v>183750</v>
      </c>
      <c r="J53" s="609"/>
      <c r="K53" s="609"/>
      <c r="L53" s="609">
        <f t="shared" ref="L53" si="48">IF(ISBLANK(H53),"",ROUND(H53*145%*2,-1)/2)</f>
        <v>141375</v>
      </c>
      <c r="M53" s="610">
        <f t="shared" ref="M53" si="49">B53*145%</f>
        <v>3.625</v>
      </c>
    </row>
    <row r="54" spans="1:13">
      <c r="A54" s="637">
        <v>43808</v>
      </c>
      <c r="B54" s="638">
        <v>2.5</v>
      </c>
      <c r="C54" s="638" t="s">
        <v>1183</v>
      </c>
      <c r="D54" s="607">
        <v>42087.68</v>
      </c>
      <c r="E54" s="606">
        <v>10711919274.4</v>
      </c>
      <c r="F54" s="634">
        <f t="shared" ref="F54" si="50">DATE(YEAR(A54),MONTH(A54),1)</f>
        <v>43800</v>
      </c>
      <c r="G54" s="610">
        <f t="shared" ref="G54" si="51">ROUNDUP(D54,-2)</f>
        <v>42100</v>
      </c>
      <c r="H54" s="610">
        <f t="shared" ref="H54" si="52">IF(C54="VEB",B54,G54*B54)</f>
        <v>105250</v>
      </c>
      <c r="I54" s="610">
        <f t="shared" ref="I54" si="53">$M$1*B54</f>
        <v>183750</v>
      </c>
      <c r="J54" s="609"/>
      <c r="K54" s="609"/>
      <c r="L54" s="609">
        <f t="shared" ref="L54" si="54">IF(ISBLANK(H54),"",ROUND(H54*145%*2,-1)/2)</f>
        <v>152615</v>
      </c>
      <c r="M54" s="610">
        <f t="shared" ref="M54" si="55">B54*145%</f>
        <v>3.625</v>
      </c>
    </row>
    <row r="55" spans="1:13">
      <c r="A55" s="637">
        <v>43815</v>
      </c>
      <c r="B55" s="638">
        <v>2.5</v>
      </c>
      <c r="C55" s="638" t="s">
        <v>1183</v>
      </c>
      <c r="D55" s="607">
        <v>46304.26</v>
      </c>
      <c r="E55" s="606">
        <v>10711919274.4</v>
      </c>
      <c r="F55" s="634">
        <f t="shared" ref="F55" si="56">DATE(YEAR(A55),MONTH(A55),1)</f>
        <v>43800</v>
      </c>
      <c r="G55" s="610">
        <f t="shared" ref="G55" si="57">ROUNDUP(D55,-2)</f>
        <v>46400</v>
      </c>
      <c r="H55" s="610">
        <f>H54</f>
        <v>105250</v>
      </c>
      <c r="I55" s="610">
        <f t="shared" ref="I55" si="58">$M$1*B55</f>
        <v>183750</v>
      </c>
      <c r="J55" s="609"/>
      <c r="K55" s="609"/>
      <c r="L55" s="609">
        <f t="shared" ref="L55" si="59">IF(ISBLANK(H55),"",ROUND(H55*145%*2,-1)/2)</f>
        <v>152615</v>
      </c>
      <c r="M55" s="610">
        <f t="shared" ref="M55" si="60">B55*145%</f>
        <v>3.625</v>
      </c>
    </row>
    <row r="56" spans="1:13">
      <c r="A56" s="637">
        <v>43822</v>
      </c>
      <c r="B56" s="638">
        <v>2.5</v>
      </c>
      <c r="C56" s="638" t="s">
        <v>1183</v>
      </c>
      <c r="D56" s="607">
        <v>46677.2</v>
      </c>
      <c r="E56" s="606">
        <v>10711919274.4</v>
      </c>
      <c r="F56" s="634">
        <f t="shared" ref="F56" si="61">DATE(YEAR(A56),MONTH(A56),1)</f>
        <v>43800</v>
      </c>
      <c r="G56" s="610">
        <f t="shared" ref="G56" si="62">ROUNDUP(D56,-2)</f>
        <v>46700</v>
      </c>
      <c r="H56" s="610">
        <f>H55</f>
        <v>105250</v>
      </c>
      <c r="I56" s="610">
        <f t="shared" ref="I56" si="63">$M$1*B56</f>
        <v>183750</v>
      </c>
      <c r="J56" s="609"/>
      <c r="K56" s="609"/>
      <c r="L56" s="609">
        <f t="shared" ref="L56" si="64">IF(ISBLANK(H56),"",ROUND(H56*145%*2,-1)/2)</f>
        <v>152615</v>
      </c>
      <c r="M56" s="610">
        <f t="shared" ref="M56" si="65">B56*145%</f>
        <v>3.625</v>
      </c>
    </row>
    <row r="57" spans="1:13">
      <c r="A57" s="637">
        <v>43829</v>
      </c>
      <c r="B57" s="638">
        <v>2.5</v>
      </c>
      <c r="C57" s="638" t="s">
        <v>1183</v>
      </c>
      <c r="D57" s="607">
        <v>45874.81</v>
      </c>
      <c r="E57" s="606">
        <v>10711919274.4</v>
      </c>
      <c r="F57" s="634">
        <f t="shared" ref="F57:F58" si="66">DATE(YEAR(A57),MONTH(A57),1)</f>
        <v>43800</v>
      </c>
      <c r="G57" s="610">
        <f t="shared" ref="G57:G58" si="67">ROUNDUP(D57,-2)</f>
        <v>45900</v>
      </c>
      <c r="H57" s="610">
        <f t="shared" ref="H57:H58" si="68">H56</f>
        <v>105250</v>
      </c>
      <c r="I57" s="610">
        <f t="shared" ref="I57:I58" si="69">$M$1*B57</f>
        <v>183750</v>
      </c>
      <c r="J57" s="609"/>
      <c r="K57" s="609"/>
      <c r="L57" s="609">
        <f t="shared" ref="L57:L58" si="70">IF(ISBLANK(H57),"",ROUND(H57*145%*2,-1)/2)</f>
        <v>152615</v>
      </c>
      <c r="M57" s="610">
        <f t="shared" ref="M57:M58" si="71">B57*145%</f>
        <v>3.625</v>
      </c>
    </row>
    <row r="58" spans="1:13">
      <c r="A58" s="637">
        <v>43831</v>
      </c>
      <c r="B58" s="638">
        <v>2.5</v>
      </c>
      <c r="C58" s="638" t="s">
        <v>1183</v>
      </c>
      <c r="D58" s="607">
        <v>45874.81</v>
      </c>
      <c r="E58" s="606"/>
      <c r="F58" s="634">
        <f t="shared" si="66"/>
        <v>43831</v>
      </c>
      <c r="G58" s="610">
        <f t="shared" si="67"/>
        <v>45900</v>
      </c>
      <c r="H58" s="610">
        <f t="shared" si="68"/>
        <v>105250</v>
      </c>
      <c r="I58" s="610">
        <f t="shared" si="69"/>
        <v>183750</v>
      </c>
      <c r="J58" s="609"/>
      <c r="K58" s="609"/>
      <c r="L58" s="609">
        <f t="shared" si="70"/>
        <v>152615</v>
      </c>
      <c r="M58" s="610">
        <f t="shared" si="71"/>
        <v>3.625</v>
      </c>
    </row>
    <row r="59" spans="1:13">
      <c r="A59" s="637">
        <v>43833</v>
      </c>
      <c r="B59" s="638">
        <v>2.5</v>
      </c>
      <c r="C59" s="638" t="s">
        <v>1183</v>
      </c>
      <c r="D59" s="607">
        <v>54441.93</v>
      </c>
      <c r="E59" s="606"/>
      <c r="F59" s="634">
        <f t="shared" ref="F59" si="72">DATE(YEAR(A59),MONTH(A59),1)</f>
        <v>43831</v>
      </c>
      <c r="G59" s="610">
        <f t="shared" ref="G59" si="73">ROUNDUP(D59,-2)</f>
        <v>54500</v>
      </c>
      <c r="H59" s="610">
        <f t="shared" ref="H59" si="74">IF(C59="VEB",B59,G59*B59)</f>
        <v>136250</v>
      </c>
      <c r="I59" s="610">
        <f t="shared" ref="I59" si="75">$M$1*B59</f>
        <v>183750</v>
      </c>
      <c r="J59" s="609"/>
      <c r="K59" s="609"/>
      <c r="L59" s="609">
        <f t="shared" ref="L59" si="76">IF(ISBLANK(H59),"",ROUND(H59*145%*2,-1)/2)</f>
        <v>197565</v>
      </c>
      <c r="M59" s="610">
        <f t="shared" ref="M59" si="77">B59*145%</f>
        <v>3.625</v>
      </c>
    </row>
    <row r="60" spans="1:13">
      <c r="A60" s="637">
        <v>43843</v>
      </c>
      <c r="B60" s="638">
        <v>2.5</v>
      </c>
      <c r="C60" s="638" t="s">
        <v>1183</v>
      </c>
      <c r="D60" s="607">
        <v>67213.990000000005</v>
      </c>
      <c r="E60" s="606"/>
      <c r="F60" s="634">
        <f t="shared" ref="F60" si="78">DATE(YEAR(A60),MONTH(A60),1)</f>
        <v>43831</v>
      </c>
      <c r="G60" s="610">
        <f t="shared" ref="G60" si="79">ROUNDUP(D60,-2)</f>
        <v>67300</v>
      </c>
      <c r="H60" s="610">
        <f>H59</f>
        <v>136250</v>
      </c>
      <c r="I60" s="610">
        <f t="shared" ref="I60" si="80">$M$1*B60</f>
        <v>183750</v>
      </c>
      <c r="J60" s="609"/>
      <c r="K60" s="609"/>
      <c r="L60" s="609">
        <f t="shared" ref="L60" si="81">IF(ISBLANK(H60),"",ROUND(H60*145%*2,-1)/2)</f>
        <v>197565</v>
      </c>
      <c r="M60" s="610">
        <f t="shared" ref="M60" si="82">B60*145%</f>
        <v>3.625</v>
      </c>
    </row>
    <row r="61" spans="1:13">
      <c r="A61" s="637">
        <v>43850</v>
      </c>
      <c r="B61" s="638">
        <v>2.5</v>
      </c>
      <c r="C61" s="638" t="s">
        <v>1183</v>
      </c>
      <c r="D61" s="607">
        <v>74139.47</v>
      </c>
      <c r="E61" s="606"/>
      <c r="F61" s="634">
        <f t="shared" ref="F61" si="83">DATE(YEAR(A61),MONTH(A61),1)</f>
        <v>43831</v>
      </c>
      <c r="G61" s="610">
        <f t="shared" ref="G61" si="84">ROUNDUP(D61,-2)</f>
        <v>74200</v>
      </c>
      <c r="H61" s="610">
        <f>H60</f>
        <v>136250</v>
      </c>
      <c r="I61" s="610">
        <f t="shared" ref="I61" si="85">$M$1*B61</f>
        <v>183750</v>
      </c>
      <c r="J61" s="609"/>
      <c r="K61" s="609"/>
      <c r="L61" s="609">
        <f t="shared" ref="L61" si="86">IF(ISBLANK(H61),"",ROUND(H61*145%*2,-1)/2)</f>
        <v>197565</v>
      </c>
      <c r="M61" s="610">
        <f t="shared" ref="M61" si="87">B61*145%</f>
        <v>3.625</v>
      </c>
    </row>
    <row r="62" spans="1:13">
      <c r="A62" s="637">
        <v>43857</v>
      </c>
      <c r="B62" s="638">
        <v>2.5</v>
      </c>
      <c r="C62" s="638" t="s">
        <v>1183</v>
      </c>
      <c r="D62" s="607">
        <v>74673.81</v>
      </c>
      <c r="E62" s="606"/>
      <c r="F62" s="634">
        <f t="shared" ref="F62" si="88">DATE(YEAR(A62),MONTH(A62),1)</f>
        <v>43831</v>
      </c>
      <c r="G62" s="610">
        <f t="shared" ref="G62" si="89">ROUNDUP(D62,-2)</f>
        <v>74700</v>
      </c>
      <c r="H62" s="610">
        <f>H61</f>
        <v>136250</v>
      </c>
      <c r="I62" s="610">
        <f t="shared" ref="I62" si="90">$M$1*B62</f>
        <v>183750</v>
      </c>
      <c r="J62" s="609"/>
      <c r="K62" s="609"/>
      <c r="L62" s="609">
        <f t="shared" ref="L62" si="91">IF(ISBLANK(H62),"",ROUND(H62*145%*2,-1)/2)</f>
        <v>197565</v>
      </c>
      <c r="M62" s="610">
        <f t="shared" ref="M62" si="92">B62*145%</f>
        <v>3.625</v>
      </c>
    </row>
    <row r="63" spans="1:13">
      <c r="A63" s="637">
        <v>43864</v>
      </c>
      <c r="B63" s="638">
        <v>2.5</v>
      </c>
      <c r="C63" s="638" t="s">
        <v>1183</v>
      </c>
      <c r="D63" s="607">
        <v>74026.61</v>
      </c>
      <c r="E63" s="606"/>
      <c r="F63" s="634">
        <f t="shared" ref="F63" si="93">DATE(YEAR(A63),MONTH(A63),1)</f>
        <v>43862</v>
      </c>
      <c r="G63" s="610">
        <f t="shared" ref="G63" si="94">ROUNDUP(D63,-2)</f>
        <v>74100</v>
      </c>
      <c r="H63" s="610">
        <f>H62</f>
        <v>136250</v>
      </c>
      <c r="I63" s="610">
        <f t="shared" ref="I63" si="95">$M$1*B63</f>
        <v>183750</v>
      </c>
      <c r="J63" s="609"/>
      <c r="K63" s="609"/>
      <c r="L63" s="609">
        <f t="shared" ref="L63" si="96">IF(ISBLANK(H63),"",ROUND(H63*145%*2,-1)/2)</f>
        <v>197565</v>
      </c>
      <c r="M63" s="610">
        <f t="shared" ref="M63" si="97">B63*145%</f>
        <v>3.625</v>
      </c>
    </row>
    <row r="64" spans="1:13">
      <c r="A64" s="637">
        <v>43871</v>
      </c>
      <c r="B64" s="638">
        <v>2.5</v>
      </c>
      <c r="C64" s="638" t="s">
        <v>1183</v>
      </c>
      <c r="D64" s="607">
        <v>73430.55</v>
      </c>
      <c r="E64" s="606"/>
      <c r="F64" s="634">
        <f t="shared" ref="F64" si="98">DATE(YEAR(A64),MONTH(A64),1)</f>
        <v>43862</v>
      </c>
      <c r="G64" s="610">
        <f t="shared" ref="G64" si="99">ROUNDUP(D64,-2)</f>
        <v>73500</v>
      </c>
      <c r="H64" s="610">
        <f>H63</f>
        <v>136250</v>
      </c>
      <c r="I64" s="610">
        <f t="shared" ref="I64" si="100">$M$1*B64</f>
        <v>183750</v>
      </c>
      <c r="J64" s="609"/>
      <c r="K64" s="609"/>
      <c r="L64" s="609">
        <f t="shared" ref="L64" si="101">IF(ISBLANK(H64),"",ROUND(H64*145%*2,-1)/2)</f>
        <v>197565</v>
      </c>
      <c r="M64" s="610">
        <f t="shared" ref="M64" si="102">B64*145%</f>
        <v>3.625</v>
      </c>
    </row>
    <row r="65" spans="1:13">
      <c r="A65" s="637"/>
      <c r="B65" s="638"/>
      <c r="C65" s="638"/>
      <c r="D65" s="607"/>
      <c r="E65" s="606"/>
      <c r="F65" s="635"/>
      <c r="G65" s="607"/>
      <c r="H65" s="607"/>
      <c r="I65" s="607"/>
      <c r="J65" s="608"/>
      <c r="K65" s="608"/>
      <c r="L65" s="608" t="str">
        <f t="shared" si="10"/>
        <v/>
      </c>
      <c r="M65" s="607"/>
    </row>
    <row r="66" spans="1:13">
      <c r="A66" s="637"/>
      <c r="B66" s="638"/>
      <c r="C66" s="638"/>
      <c r="D66" s="607"/>
      <c r="E66" s="606"/>
      <c r="F66" s="635"/>
      <c r="G66" s="607"/>
      <c r="H66" s="607"/>
      <c r="I66" s="607"/>
      <c r="J66" s="608"/>
      <c r="K66" s="608"/>
      <c r="L66" s="608" t="str">
        <f t="shared" si="10"/>
        <v/>
      </c>
      <c r="M66" s="607"/>
    </row>
    <row r="67" spans="1:13">
      <c r="A67" s="637"/>
      <c r="B67" s="638"/>
      <c r="C67" s="638"/>
      <c r="D67" s="607"/>
      <c r="E67" s="606"/>
      <c r="F67" s="635"/>
      <c r="G67" s="607"/>
      <c r="H67" s="607"/>
      <c r="I67" s="607"/>
      <c r="J67" s="608"/>
      <c r="K67" s="608"/>
      <c r="L67" s="608" t="str">
        <f t="shared" si="10"/>
        <v/>
      </c>
      <c r="M67" s="607"/>
    </row>
  </sheetData>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3"/>
  <dimension ref="A1:AW76"/>
  <sheetViews>
    <sheetView showGridLines="0" workbookViewId="0">
      <pane ySplit="3" topLeftCell="A4" activePane="bottomLeft" state="frozen"/>
      <selection pane="bottomLeft" activeCell="C44" sqref="C44"/>
      <selection activeCell="C44" sqref="C44"/>
    </sheetView>
  </sheetViews>
  <sheetFormatPr defaultColWidth="10.7109375" defaultRowHeight="15"/>
  <cols>
    <col min="1" max="1" width="25.28515625" bestFit="1" customWidth="1"/>
    <col min="2" max="2" width="24.5703125" bestFit="1" customWidth="1"/>
    <col min="3" max="3" width="32.140625" hidden="1" customWidth="1"/>
    <col min="4" max="4" width="12.85546875" customWidth="1"/>
    <col min="5" max="5" width="10.7109375" style="580"/>
    <col min="6" max="6" width="10.85546875" style="2" bestFit="1" customWidth="1"/>
    <col min="7" max="7" width="38.28515625" bestFit="1" customWidth="1"/>
    <col min="8" max="8" width="11.42578125" style="313" bestFit="1" customWidth="1"/>
    <col min="9" max="9" width="10.7109375" style="313"/>
    <col min="10" max="10" width="10.7109375" style="580"/>
    <col min="11" max="11" width="10.85546875" style="2" bestFit="1" customWidth="1"/>
    <col min="12" max="12" width="38.28515625" bestFit="1" customWidth="1"/>
    <col min="13" max="13" width="11.42578125" style="313" bestFit="1" customWidth="1"/>
    <col min="14" max="14" width="10.7109375" style="313"/>
    <col min="15" max="15" width="10.7109375" style="580"/>
    <col min="16" max="16" width="10.7109375" style="2"/>
    <col min="17" max="17" width="38.28515625" bestFit="1" customWidth="1"/>
    <col min="18" max="19" width="10.7109375" style="313"/>
    <col min="20" max="20" width="10.7109375" style="580"/>
    <col min="21" max="21" width="10.85546875" style="2" bestFit="1" customWidth="1"/>
    <col min="22" max="22" width="38.28515625" bestFit="1" customWidth="1"/>
    <col min="23" max="24" width="10.7109375" style="313"/>
    <col min="25" max="25" width="10.7109375" style="580"/>
    <col min="26" max="26" width="10.7109375" style="2"/>
    <col min="27" max="27" width="38.28515625" bestFit="1" customWidth="1"/>
    <col min="28" max="29" width="10.7109375" style="313"/>
    <col min="30" max="30" width="10.7109375" style="580"/>
    <col min="31" max="31" width="10.7109375" style="2"/>
    <col min="32" max="32" width="38.28515625" bestFit="1" customWidth="1"/>
    <col min="33" max="34" width="10.7109375" style="313"/>
    <col min="35" max="35" width="10.7109375" style="580"/>
    <col min="36" max="36" width="10.7109375" style="2"/>
    <col min="37" max="37" width="38.28515625" bestFit="1" customWidth="1"/>
    <col min="38" max="39" width="10.7109375" style="313"/>
    <col min="40" max="40" width="10.7109375" style="580"/>
    <col min="41" max="41" width="10.7109375" style="2"/>
    <col min="42" max="42" width="38.28515625" bestFit="1" customWidth="1"/>
    <col min="43" max="44" width="10.7109375" style="313"/>
    <col min="45" max="45" width="10.7109375" style="580"/>
    <col min="46" max="46" width="10.7109375" style="2"/>
    <col min="47" max="47" width="38.28515625" bestFit="1" customWidth="1"/>
    <col min="48" max="49" width="10.7109375" style="313"/>
  </cols>
  <sheetData>
    <row r="1" spans="1:49" ht="21">
      <c r="A1" s="379" t="s">
        <v>1184</v>
      </c>
      <c r="D1" s="80">
        <f>MAX(LOOKUP(100000000000000000000,1/(F:F&lt;&gt;""),F:F),LOOKUP(100000000000000000000,1/(K:K&lt;&gt;""),K:K),LOOKUP(100000000000000000000,1/(P:P&lt;&gt;""),P:P),LOOKUP(100000000000000000000,1/(U:U&lt;&gt;""),U:U),LOOKUP(100000000000000000000,1/(Z:Z&lt;&gt;""),Z:Z),LOOKUP(100000000000000000000,1/(AE:AE&lt;&gt;""),AE:AE),LOOKUP(100000000000000000000,1/(AJ:AJ&lt;&gt;""),AJ:AJ),LOOKUP(100000000000000000000,1/(AT:AT&lt;&gt;""),AT:AT))</f>
        <v>43864</v>
      </c>
      <c r="F1" s="642" t="s">
        <v>1185</v>
      </c>
      <c r="K1" s="19" t="s">
        <v>1186</v>
      </c>
      <c r="P1" s="52" t="s">
        <v>1187</v>
      </c>
      <c r="U1" s="52" t="s">
        <v>1188</v>
      </c>
      <c r="Z1" s="52" t="s">
        <v>1189</v>
      </c>
      <c r="AE1" s="52" t="s">
        <v>1190</v>
      </c>
      <c r="AJ1" s="52" t="s">
        <v>1191</v>
      </c>
      <c r="AO1" s="52" t="s">
        <v>1192</v>
      </c>
      <c r="AT1" s="52" t="s">
        <v>1193</v>
      </c>
    </row>
    <row r="3" spans="1:49">
      <c r="A3" s="628" t="s">
        <v>5</v>
      </c>
      <c r="B3" s="628" t="s">
        <v>7</v>
      </c>
      <c r="C3" s="628" t="s">
        <v>6</v>
      </c>
      <c r="D3" s="639" t="s">
        <v>1194</v>
      </c>
      <c r="F3" s="641" t="s">
        <v>3</v>
      </c>
      <c r="G3" s="640" t="s">
        <v>8</v>
      </c>
      <c r="H3" s="641" t="s">
        <v>4</v>
      </c>
      <c r="I3" s="641" t="s">
        <v>1194</v>
      </c>
      <c r="K3" s="641" t="s">
        <v>3</v>
      </c>
      <c r="L3" s="640" t="s">
        <v>8</v>
      </c>
      <c r="M3" s="641" t="s">
        <v>4</v>
      </c>
      <c r="N3" s="641" t="s">
        <v>1194</v>
      </c>
      <c r="P3" s="641" t="s">
        <v>3</v>
      </c>
      <c r="Q3" s="640" t="s">
        <v>8</v>
      </c>
      <c r="R3" s="641" t="s">
        <v>4</v>
      </c>
      <c r="S3" s="641" t="s">
        <v>1194</v>
      </c>
      <c r="U3" s="641" t="s">
        <v>3</v>
      </c>
      <c r="V3" s="640" t="s">
        <v>8</v>
      </c>
      <c r="W3" s="641" t="s">
        <v>4</v>
      </c>
      <c r="X3" s="641" t="s">
        <v>1194</v>
      </c>
      <c r="Z3" s="641" t="s">
        <v>3</v>
      </c>
      <c r="AA3" s="640" t="s">
        <v>8</v>
      </c>
      <c r="AB3" s="641" t="s">
        <v>4</v>
      </c>
      <c r="AC3" s="641" t="s">
        <v>1194</v>
      </c>
      <c r="AE3" s="641" t="s">
        <v>3</v>
      </c>
      <c r="AF3" s="640" t="s">
        <v>8</v>
      </c>
      <c r="AG3" s="641" t="s">
        <v>4</v>
      </c>
      <c r="AH3" s="641" t="s">
        <v>1194</v>
      </c>
      <c r="AJ3" s="641" t="s">
        <v>3</v>
      </c>
      <c r="AK3" s="640" t="s">
        <v>8</v>
      </c>
      <c r="AL3" s="641" t="s">
        <v>4</v>
      </c>
      <c r="AM3" s="641" t="s">
        <v>1194</v>
      </c>
      <c r="AO3" s="641" t="s">
        <v>3</v>
      </c>
      <c r="AP3" s="640" t="s">
        <v>8</v>
      </c>
      <c r="AQ3" s="641" t="s">
        <v>4</v>
      </c>
      <c r="AR3" s="641" t="s">
        <v>1194</v>
      </c>
      <c r="AT3" s="641" t="s">
        <v>3</v>
      </c>
      <c r="AU3" s="640" t="s">
        <v>8</v>
      </c>
      <c r="AV3" s="641" t="s">
        <v>4</v>
      </c>
      <c r="AW3" s="641" t="s">
        <v>1194</v>
      </c>
    </row>
    <row r="4" spans="1:49">
      <c r="A4" s="314" t="s">
        <v>438</v>
      </c>
      <c r="B4" t="s">
        <v>440</v>
      </c>
      <c r="C4" t="s">
        <v>439</v>
      </c>
      <c r="D4" s="313">
        <f>LOOKUP(100000000000000000000,1/(N:N&lt;&gt;""),N:N)</f>
        <v>5702</v>
      </c>
      <c r="E4" s="581">
        <f>DATE(YEAR(F4),MONTH(F4),1)</f>
        <v>42767</v>
      </c>
      <c r="F4" s="2">
        <v>42782</v>
      </c>
      <c r="G4" s="6" t="s">
        <v>226</v>
      </c>
      <c r="H4" s="313">
        <f>170000/100000</f>
        <v>1.7</v>
      </c>
      <c r="I4" s="313">
        <f>ROUND(H4,2)</f>
        <v>1.7</v>
      </c>
      <c r="J4" s="581">
        <f>DATE(YEAR(K4),MONTH(K4),1)</f>
        <v>42887</v>
      </c>
      <c r="K4" s="2">
        <v>42887</v>
      </c>
      <c r="L4" s="6" t="s">
        <v>1195</v>
      </c>
      <c r="M4" s="313">
        <f>338000/100000</f>
        <v>3.38</v>
      </c>
      <c r="N4" s="313">
        <f>ROUND(M4,2)</f>
        <v>3.38</v>
      </c>
      <c r="O4" s="581">
        <f>DATE(YEAR(P4),MONTH(P4),1)</f>
        <v>43252</v>
      </c>
      <c r="P4" s="2">
        <v>43281</v>
      </c>
      <c r="Q4" t="s">
        <v>1196</v>
      </c>
      <c r="R4" s="313">
        <f>975000/100000</f>
        <v>9.75</v>
      </c>
      <c r="S4" s="313">
        <f>ROUND(R4,2)</f>
        <v>9.75</v>
      </c>
      <c r="T4" s="581">
        <f>DATE(YEAR(U4),MONTH(U4),1)</f>
        <v>43282</v>
      </c>
      <c r="U4" s="2">
        <v>43293</v>
      </c>
      <c r="V4" t="s">
        <v>1196</v>
      </c>
      <c r="W4" s="313">
        <f>4000000/100000</f>
        <v>40</v>
      </c>
      <c r="X4" s="313">
        <f>ROUND(W4,2)</f>
        <v>40</v>
      </c>
      <c r="Y4" s="581">
        <f>DATE(YEAR(Z4),MONTH(Z4),1)</f>
        <v>43160</v>
      </c>
      <c r="Z4" s="2">
        <v>43161</v>
      </c>
      <c r="AA4" t="s">
        <v>1197</v>
      </c>
      <c r="AB4" s="313">
        <f>573000/100000</f>
        <v>5.73</v>
      </c>
      <c r="AC4" s="313">
        <f>ROUND(AB4,2)</f>
        <v>5.73</v>
      </c>
      <c r="AD4" s="581">
        <f>DATE(YEAR(AE4),MONTH(AE4),1)</f>
        <v>43191</v>
      </c>
      <c r="AE4" s="2">
        <v>43220</v>
      </c>
      <c r="AF4" t="s">
        <v>1198</v>
      </c>
      <c r="AG4" s="313">
        <f>250000/100000</f>
        <v>2.5</v>
      </c>
      <c r="AH4" s="313">
        <f>AG4</f>
        <v>2.5</v>
      </c>
      <c r="AI4" s="581">
        <f>DATE(YEAR(AJ4),MONTH(AJ4),1)</f>
        <v>43160</v>
      </c>
      <c r="AJ4" s="2">
        <v>43189</v>
      </c>
      <c r="AK4" t="s">
        <v>1197</v>
      </c>
      <c r="AL4" s="313">
        <f>840000/100000</f>
        <v>8.4</v>
      </c>
      <c r="AM4" s="313">
        <f>ROUND(AL4,2)</f>
        <v>8.4</v>
      </c>
      <c r="AN4" s="581">
        <f>DATE(YEAR(AO4),MONTH(AO4),1)</f>
        <v>43282</v>
      </c>
      <c r="AO4" s="2">
        <v>43304</v>
      </c>
      <c r="AP4" t="s">
        <v>1196</v>
      </c>
      <c r="AQ4" s="313">
        <f>3000000/100000</f>
        <v>30</v>
      </c>
      <c r="AR4" s="313">
        <f>ROUND(AQ4,2)</f>
        <v>30</v>
      </c>
      <c r="AS4" s="581">
        <f>DATE(YEAR(AT4),MONTH(AT4),1)</f>
        <v>42917</v>
      </c>
      <c r="AT4" s="2">
        <v>42919</v>
      </c>
      <c r="AU4" t="s">
        <v>1199</v>
      </c>
      <c r="AV4" s="313">
        <f>126000/100000</f>
        <v>1.26</v>
      </c>
      <c r="AW4" s="313">
        <f>ROUND(AV4,2)</f>
        <v>1.26</v>
      </c>
    </row>
    <row r="5" spans="1:49">
      <c r="A5" s="6" t="s">
        <v>18</v>
      </c>
      <c r="B5" t="s">
        <v>20</v>
      </c>
      <c r="C5" t="s">
        <v>19</v>
      </c>
      <c r="D5" s="313">
        <f>LOOKUP(100000000000000000000,1/(I:I&lt;&gt;""),I:I)</f>
        <v>53212.95</v>
      </c>
      <c r="E5" s="581">
        <f t="shared" ref="E5:E75" si="0">DATE(YEAR(F5),MONTH(F5),1)</f>
        <v>42826</v>
      </c>
      <c r="F5" s="2">
        <v>42831</v>
      </c>
      <c r="G5" s="6" t="s">
        <v>395</v>
      </c>
      <c r="H5" s="313">
        <f>-17000/100000</f>
        <v>-0.17</v>
      </c>
      <c r="I5" s="313">
        <f>IF(ISBLANK(H5),"",I4+ROUND(H5,2))</f>
        <v>1.53</v>
      </c>
      <c r="J5" s="581">
        <f t="shared" ref="J5:J75" si="1">DATE(YEAR(K5),MONTH(K5),1)</f>
        <v>42887</v>
      </c>
      <c r="K5" s="2">
        <v>42887</v>
      </c>
      <c r="L5" s="6" t="s">
        <v>1200</v>
      </c>
      <c r="M5" s="313">
        <f>-2*31000/100000</f>
        <v>-0.62</v>
      </c>
      <c r="N5" s="313">
        <f t="shared" ref="N5:N30" si="2">IF(ISBLANK(M5),"",N4+ROUND(M5,2))</f>
        <v>2.76</v>
      </c>
      <c r="O5" s="581">
        <f t="shared" ref="O5:O75" si="3">DATE(YEAR(P5),MONTH(P5),1)</f>
        <v>43282</v>
      </c>
      <c r="P5" s="2">
        <v>43293</v>
      </c>
      <c r="Q5" t="s">
        <v>1196</v>
      </c>
      <c r="R5" s="313">
        <f>3500000/100000</f>
        <v>35</v>
      </c>
      <c r="S5" s="313">
        <f t="shared" ref="S5:S75" si="4">IF(ISBLANK(R5),"",ROUND(S4+R5,2))</f>
        <v>44.75</v>
      </c>
      <c r="T5" s="581">
        <f t="shared" ref="T5:T75" si="5">DATE(YEAR(U5),MONTH(U5),1)</f>
        <v>43282</v>
      </c>
      <c r="U5" s="2">
        <v>43293</v>
      </c>
      <c r="V5" t="s">
        <v>750</v>
      </c>
      <c r="W5" s="313">
        <f>-1000000/100000</f>
        <v>-10</v>
      </c>
      <c r="X5" s="313">
        <f t="shared" ref="X5:X75" si="6">IF(ISBLANK(W5),"",ROUND(X4+W5,2))</f>
        <v>30</v>
      </c>
      <c r="Y5" s="581">
        <f t="shared" ref="Y5:Y75" si="7">DATE(YEAR(Z5),MONTH(Z5),1)</f>
        <v>43160</v>
      </c>
      <c r="Z5" s="2">
        <v>43161</v>
      </c>
      <c r="AA5" s="6" t="s">
        <v>1201</v>
      </c>
      <c r="AB5" s="313">
        <f>-60000/100000-120000/100000</f>
        <v>-1.7999999999999998</v>
      </c>
      <c r="AC5" s="313">
        <f t="shared" ref="AC5:AC75" si="8">IF(ISBLANK(AB5),"",ROUND(AC4+AB5,2))</f>
        <v>3.93</v>
      </c>
      <c r="AD5" s="581">
        <f t="shared" ref="AD5:AD75" si="9">DATE(YEAR(AE5),MONTH(AE5),1)</f>
        <v>43191</v>
      </c>
      <c r="AE5" s="2">
        <v>43220</v>
      </c>
      <c r="AF5" t="s">
        <v>1202</v>
      </c>
      <c r="AG5" s="313">
        <f>510000/100000</f>
        <v>5.0999999999999996</v>
      </c>
      <c r="AH5" s="313">
        <f t="shared" ref="AH5:AH75" si="10">IF(ISBLANK(AG5),"",ROUND(AH4+AG5,2))</f>
        <v>7.6</v>
      </c>
      <c r="AI5" s="581">
        <f t="shared" ref="AI5:AI75" si="11">DATE(YEAR(AJ5),MONTH(AJ5),1)</f>
        <v>43160</v>
      </c>
      <c r="AJ5" s="2">
        <v>43189</v>
      </c>
      <c r="AK5" s="6" t="s">
        <v>630</v>
      </c>
      <c r="AL5" s="313">
        <f>-140000/100000</f>
        <v>-1.4</v>
      </c>
      <c r="AM5" s="313">
        <f t="shared" ref="AM5:AM75" si="12">IF(ISBLANK(AL5),"",ROUND(AM4+AL5,2))</f>
        <v>7</v>
      </c>
      <c r="AN5" s="581">
        <f t="shared" ref="AN5:AN75" si="13">DATE(YEAR(AO5),MONTH(AO5),1)</f>
        <v>43282</v>
      </c>
      <c r="AO5" s="2">
        <v>43304</v>
      </c>
      <c r="AP5" t="s">
        <v>742</v>
      </c>
      <c r="AQ5" s="313">
        <f>-225000/100000</f>
        <v>-2.25</v>
      </c>
      <c r="AR5" s="313">
        <f t="shared" ref="AR5:AR75" si="14">IF(ISBLANK(AQ5),"",ROUND(AR4+AQ5,2))</f>
        <v>27.75</v>
      </c>
      <c r="AS5" s="581">
        <f t="shared" ref="AS5:AS75" si="15">DATE(YEAR(AT5),MONTH(AT5),1)</f>
        <v>42917</v>
      </c>
      <c r="AT5" s="2">
        <v>42919</v>
      </c>
      <c r="AU5" t="s">
        <v>1203</v>
      </c>
      <c r="AV5" s="313">
        <f>-3387/100000-17000/100000-17000/100000-26000/100000-26000/100000</f>
        <v>-0.89387000000000005</v>
      </c>
      <c r="AW5" s="313">
        <f t="shared" ref="AW5:AW75" si="16">IF(ISBLANK(AV5),"",ROUND(AW4+AV5,2))</f>
        <v>0.37</v>
      </c>
    </row>
    <row r="6" spans="1:49">
      <c r="A6" s="6" t="s">
        <v>771</v>
      </c>
      <c r="B6" t="s">
        <v>773</v>
      </c>
      <c r="C6" t="s">
        <v>772</v>
      </c>
      <c r="D6" s="313">
        <f>LOOKUP(100000000000000000000,1/(X:X&lt;&gt;""),X:X)</f>
        <v>0</v>
      </c>
      <c r="E6" s="581">
        <f t="shared" si="0"/>
        <v>42826</v>
      </c>
      <c r="F6" s="2">
        <v>42840</v>
      </c>
      <c r="G6" s="6" t="s">
        <v>1196</v>
      </c>
      <c r="H6" s="313">
        <f>87500/100000</f>
        <v>0.875</v>
      </c>
      <c r="I6" s="313">
        <f t="shared" ref="I6:I30" si="17">IF(ISBLANK(H6),"",I5+ROUND(H6,2))</f>
        <v>2.41</v>
      </c>
      <c r="J6" s="581">
        <f t="shared" si="1"/>
        <v>42887</v>
      </c>
      <c r="K6" s="2">
        <v>42887</v>
      </c>
      <c r="L6" s="6" t="s">
        <v>1204</v>
      </c>
      <c r="M6" s="313">
        <f>-(4*17000+2*26000)/100000</f>
        <v>-1.2</v>
      </c>
      <c r="N6" s="313">
        <f t="shared" si="2"/>
        <v>1.5599999999999998</v>
      </c>
      <c r="O6" s="581">
        <f t="shared" si="3"/>
        <v>43282</v>
      </c>
      <c r="P6" s="2">
        <v>43293</v>
      </c>
      <c r="Q6" s="6" t="s">
        <v>744</v>
      </c>
      <c r="R6" s="313">
        <f>-1220000/100000</f>
        <v>-12.2</v>
      </c>
      <c r="S6" s="313">
        <f t="shared" si="4"/>
        <v>32.549999999999997</v>
      </c>
      <c r="T6" s="581">
        <f t="shared" si="5"/>
        <v>43282</v>
      </c>
      <c r="U6" s="2">
        <v>43293</v>
      </c>
      <c r="V6" s="6" t="s">
        <v>744</v>
      </c>
      <c r="W6" s="313">
        <f>-1220000/100000</f>
        <v>-12.2</v>
      </c>
      <c r="X6" s="313">
        <f t="shared" si="6"/>
        <v>17.8</v>
      </c>
      <c r="Y6" s="581">
        <f t="shared" si="7"/>
        <v>43160</v>
      </c>
      <c r="Z6" s="2">
        <v>43175</v>
      </c>
      <c r="AA6" t="s">
        <v>1196</v>
      </c>
      <c r="AB6" s="313">
        <f>200000/100000</f>
        <v>2</v>
      </c>
      <c r="AC6" s="313">
        <f t="shared" si="8"/>
        <v>5.93</v>
      </c>
      <c r="AD6" s="581">
        <f t="shared" si="9"/>
        <v>43221</v>
      </c>
      <c r="AE6" s="2">
        <v>43223</v>
      </c>
      <c r="AF6" t="s">
        <v>684</v>
      </c>
      <c r="AG6" s="313">
        <f>-400000/100000</f>
        <v>-4</v>
      </c>
      <c r="AH6" s="313">
        <f t="shared" si="10"/>
        <v>3.6</v>
      </c>
      <c r="AI6" s="581">
        <f t="shared" si="11"/>
        <v>43191</v>
      </c>
      <c r="AJ6" s="2">
        <v>43195</v>
      </c>
      <c r="AK6" t="s">
        <v>668</v>
      </c>
      <c r="AL6" s="313">
        <f>-140000/100000</f>
        <v>-1.4</v>
      </c>
      <c r="AM6" s="313">
        <f t="shared" si="12"/>
        <v>5.6</v>
      </c>
      <c r="AN6" s="581">
        <f t="shared" si="13"/>
        <v>43282</v>
      </c>
      <c r="AO6" s="2">
        <v>43304</v>
      </c>
      <c r="AP6" t="s">
        <v>746</v>
      </c>
      <c r="AQ6" s="313">
        <f>-600000/100000</f>
        <v>-6</v>
      </c>
      <c r="AR6" s="313">
        <f t="shared" si="14"/>
        <v>21.75</v>
      </c>
      <c r="AS6" s="581">
        <f t="shared" si="15"/>
        <v>42948</v>
      </c>
      <c r="AT6" s="2">
        <v>42951</v>
      </c>
      <c r="AU6" t="s">
        <v>514</v>
      </c>
      <c r="AV6" s="313">
        <f>-35000/100000</f>
        <v>-0.35</v>
      </c>
      <c r="AW6" s="313">
        <f t="shared" si="16"/>
        <v>0.02</v>
      </c>
    </row>
    <row r="7" spans="1:49">
      <c r="A7" s="6" t="s">
        <v>612</v>
      </c>
      <c r="B7" t="s">
        <v>614</v>
      </c>
      <c r="C7" t="s">
        <v>613</v>
      </c>
      <c r="D7" s="313">
        <f>LOOKUP(100000000000000000000,1/(S:S&lt;&gt;""),S:S)</f>
        <v>0</v>
      </c>
      <c r="E7" s="581">
        <f t="shared" si="0"/>
        <v>42826</v>
      </c>
      <c r="F7" s="2">
        <v>42840</v>
      </c>
      <c r="G7" t="s">
        <v>1205</v>
      </c>
      <c r="H7" s="313">
        <f>-23500/100000</f>
        <v>-0.23499999999999999</v>
      </c>
      <c r="I7" s="313">
        <f t="shared" si="17"/>
        <v>2.17</v>
      </c>
      <c r="J7" s="581">
        <f t="shared" si="1"/>
        <v>42917</v>
      </c>
      <c r="K7" s="2">
        <v>42917</v>
      </c>
      <c r="L7" s="6" t="s">
        <v>473</v>
      </c>
      <c r="M7" s="313">
        <f>-26000/100000</f>
        <v>-0.26</v>
      </c>
      <c r="N7" s="313">
        <f t="shared" si="2"/>
        <v>1.2999999999999998</v>
      </c>
      <c r="O7" s="581">
        <f t="shared" si="3"/>
        <v>43313</v>
      </c>
      <c r="P7" s="2">
        <v>43313</v>
      </c>
      <c r="Q7" t="s">
        <v>1206</v>
      </c>
      <c r="R7" s="313">
        <f>-1200000/100000</f>
        <v>-12</v>
      </c>
      <c r="S7" s="313">
        <f t="shared" si="4"/>
        <v>20.55</v>
      </c>
      <c r="T7" s="581">
        <f t="shared" si="5"/>
        <v>43313</v>
      </c>
      <c r="U7" s="2">
        <v>43313</v>
      </c>
      <c r="V7" t="s">
        <v>1206</v>
      </c>
      <c r="W7" s="313">
        <f>-1200000/100000</f>
        <v>-12</v>
      </c>
      <c r="X7" s="313">
        <f t="shared" si="6"/>
        <v>5.8</v>
      </c>
      <c r="Y7" s="581">
        <f t="shared" si="7"/>
        <v>43191</v>
      </c>
      <c r="Z7" s="2">
        <v>43192</v>
      </c>
      <c r="AA7" t="s">
        <v>1196</v>
      </c>
      <c r="AB7" s="313">
        <f>250000/100000</f>
        <v>2.5</v>
      </c>
      <c r="AC7" s="313">
        <f t="shared" si="8"/>
        <v>8.43</v>
      </c>
      <c r="AD7" s="581">
        <f t="shared" si="9"/>
        <v>43221</v>
      </c>
      <c r="AE7" s="2">
        <v>43224</v>
      </c>
      <c r="AF7" t="s">
        <v>1207</v>
      </c>
      <c r="AG7" s="313">
        <f>60000/100000</f>
        <v>0.6</v>
      </c>
      <c r="AH7" s="313">
        <f t="shared" si="10"/>
        <v>4.2</v>
      </c>
      <c r="AI7" s="581">
        <f t="shared" si="11"/>
        <v>43221</v>
      </c>
      <c r="AJ7" s="2">
        <v>43223</v>
      </c>
      <c r="AK7" t="s">
        <v>684</v>
      </c>
      <c r="AL7" s="313">
        <f>-400000/100000</f>
        <v>-4</v>
      </c>
      <c r="AM7" s="313">
        <f t="shared" si="12"/>
        <v>1.6</v>
      </c>
      <c r="AN7" s="581">
        <f t="shared" si="13"/>
        <v>43282</v>
      </c>
      <c r="AO7" s="2">
        <v>43304</v>
      </c>
      <c r="AP7" s="6" t="s">
        <v>744</v>
      </c>
      <c r="AQ7" s="313">
        <f>-1220000/100000</f>
        <v>-12.2</v>
      </c>
      <c r="AR7" s="313">
        <f t="shared" si="14"/>
        <v>9.5500000000000007</v>
      </c>
      <c r="AS7" s="581">
        <f t="shared" si="15"/>
        <v>43770</v>
      </c>
      <c r="AT7" s="2">
        <v>43773</v>
      </c>
      <c r="AU7" t="s">
        <v>1208</v>
      </c>
      <c r="AV7" s="313">
        <v>-0.02</v>
      </c>
      <c r="AW7" s="313">
        <f t="shared" si="16"/>
        <v>0</v>
      </c>
    </row>
    <row r="8" spans="1:49">
      <c r="A8" s="6" t="s">
        <v>32</v>
      </c>
      <c r="B8" t="s">
        <v>34</v>
      </c>
      <c r="C8" t="s">
        <v>33</v>
      </c>
      <c r="D8" s="313">
        <f>LOOKUP(100000000000000000000,1/(AW:AW&lt;&gt;""),AW:AW)</f>
        <v>0</v>
      </c>
      <c r="E8" s="581">
        <f t="shared" si="0"/>
        <v>42856</v>
      </c>
      <c r="F8" s="2">
        <v>42863</v>
      </c>
      <c r="G8" s="6" t="s">
        <v>420</v>
      </c>
      <c r="H8" s="313">
        <f>-26000/100000</f>
        <v>-0.26</v>
      </c>
      <c r="I8" s="313">
        <f t="shared" si="17"/>
        <v>1.91</v>
      </c>
      <c r="J8" s="581">
        <f t="shared" si="1"/>
        <v>42917</v>
      </c>
      <c r="K8" s="2">
        <v>42934</v>
      </c>
      <c r="L8" t="s">
        <v>499</v>
      </c>
      <c r="M8" s="313">
        <f>-9000/100000</f>
        <v>-0.09</v>
      </c>
      <c r="N8" s="313">
        <f t="shared" si="2"/>
        <v>1.2099999999999997</v>
      </c>
      <c r="O8" s="581">
        <f t="shared" si="3"/>
        <v>43344</v>
      </c>
      <c r="P8" s="2">
        <v>43355</v>
      </c>
      <c r="Q8" t="s">
        <v>1209</v>
      </c>
      <c r="R8" s="313">
        <v>-20.55</v>
      </c>
      <c r="S8" s="313">
        <f t="shared" si="4"/>
        <v>0</v>
      </c>
      <c r="T8" s="581">
        <f t="shared" si="5"/>
        <v>43466</v>
      </c>
      <c r="U8" s="2">
        <v>43490</v>
      </c>
      <c r="V8" t="s">
        <v>1196</v>
      </c>
      <c r="W8" s="313">
        <v>20000</v>
      </c>
      <c r="X8" s="313">
        <f t="shared" si="6"/>
        <v>20005.8</v>
      </c>
      <c r="Y8" s="581">
        <f t="shared" si="7"/>
        <v>43221</v>
      </c>
      <c r="Z8" s="2">
        <v>43222</v>
      </c>
      <c r="AA8" t="s">
        <v>1196</v>
      </c>
      <c r="AB8" s="313">
        <f>950000/100000</f>
        <v>9.5</v>
      </c>
      <c r="AC8" s="313">
        <f t="shared" si="8"/>
        <v>17.93</v>
      </c>
      <c r="AD8" s="581">
        <f t="shared" si="9"/>
        <v>43221</v>
      </c>
      <c r="AE8" s="2">
        <v>43241</v>
      </c>
      <c r="AF8" t="s">
        <v>1210</v>
      </c>
      <c r="AG8" s="313">
        <f>420000/100000</f>
        <v>4.2</v>
      </c>
      <c r="AH8" s="313">
        <f t="shared" si="10"/>
        <v>8.4</v>
      </c>
      <c r="AI8" s="581">
        <f t="shared" si="11"/>
        <v>43282</v>
      </c>
      <c r="AJ8" s="2">
        <v>43284</v>
      </c>
      <c r="AK8" t="s">
        <v>1197</v>
      </c>
      <c r="AL8" s="313">
        <f>5000000/100000</f>
        <v>50</v>
      </c>
      <c r="AM8" s="313">
        <f t="shared" si="12"/>
        <v>51.6</v>
      </c>
      <c r="AN8" s="581">
        <f t="shared" si="13"/>
        <v>43313</v>
      </c>
      <c r="AO8" s="2">
        <v>43319</v>
      </c>
      <c r="AP8" t="s">
        <v>1211</v>
      </c>
      <c r="AQ8" s="313">
        <f>10000000/100000</f>
        <v>100</v>
      </c>
      <c r="AR8" s="313">
        <f t="shared" si="14"/>
        <v>109.55</v>
      </c>
      <c r="AS8" s="581">
        <f t="shared" si="15"/>
        <v>1</v>
      </c>
      <c r="AW8" s="313" t="str">
        <f t="shared" si="16"/>
        <v/>
      </c>
    </row>
    <row r="9" spans="1:49">
      <c r="A9" t="s">
        <v>252</v>
      </c>
      <c r="B9" t="s">
        <v>254</v>
      </c>
      <c r="C9" t="s">
        <v>253</v>
      </c>
      <c r="D9" s="313">
        <f>LOOKUP(100000000000000000000,1/(AR:AR&lt;&gt;""),AR:AR)</f>
        <v>0</v>
      </c>
      <c r="E9" s="581">
        <f t="shared" si="0"/>
        <v>42887</v>
      </c>
      <c r="F9" s="2">
        <v>42887</v>
      </c>
      <c r="G9" s="6" t="s">
        <v>445</v>
      </c>
      <c r="H9" s="313">
        <f>-26000/100000</f>
        <v>-0.26</v>
      </c>
      <c r="I9" s="313">
        <f t="shared" si="17"/>
        <v>1.65</v>
      </c>
      <c r="J9" s="581">
        <f t="shared" si="1"/>
        <v>42917</v>
      </c>
      <c r="K9" s="2">
        <v>42945</v>
      </c>
      <c r="L9" s="6" t="s">
        <v>451</v>
      </c>
      <c r="M9" s="313">
        <f>-7000/100000</f>
        <v>-7.0000000000000007E-2</v>
      </c>
      <c r="N9" s="313">
        <f t="shared" si="2"/>
        <v>1.1399999999999997</v>
      </c>
      <c r="O9" s="581">
        <f t="shared" si="3"/>
        <v>1</v>
      </c>
      <c r="S9" s="313" t="str">
        <f t="shared" si="4"/>
        <v/>
      </c>
      <c r="T9" s="581">
        <f t="shared" si="5"/>
        <v>43466</v>
      </c>
      <c r="U9" s="2">
        <v>43490</v>
      </c>
      <c r="V9" t="s">
        <v>887</v>
      </c>
      <c r="W9" s="313">
        <v>-3000</v>
      </c>
      <c r="X9" s="313">
        <f t="shared" si="6"/>
        <v>17005.8</v>
      </c>
      <c r="Y9" s="581">
        <f t="shared" si="7"/>
        <v>43221</v>
      </c>
      <c r="Z9" s="2">
        <v>43223</v>
      </c>
      <c r="AA9" t="s">
        <v>684</v>
      </c>
      <c r="AB9" s="313">
        <f>-400000/100000</f>
        <v>-4</v>
      </c>
      <c r="AC9" s="313">
        <f t="shared" si="8"/>
        <v>13.93</v>
      </c>
      <c r="AD9" s="581">
        <f t="shared" si="9"/>
        <v>43221</v>
      </c>
      <c r="AE9" s="2">
        <v>43242</v>
      </c>
      <c r="AF9" t="s">
        <v>672</v>
      </c>
      <c r="AG9" s="313">
        <f>-350000/100000</f>
        <v>-3.5</v>
      </c>
      <c r="AH9" s="313">
        <f t="shared" si="10"/>
        <v>4.9000000000000004</v>
      </c>
      <c r="AI9" s="581">
        <f t="shared" si="11"/>
        <v>43282</v>
      </c>
      <c r="AJ9" s="2">
        <v>43284</v>
      </c>
      <c r="AK9" t="s">
        <v>707</v>
      </c>
      <c r="AL9" s="313">
        <f>-625000/100000</f>
        <v>-6.25</v>
      </c>
      <c r="AM9" s="313">
        <f t="shared" si="12"/>
        <v>45.35</v>
      </c>
      <c r="AN9" s="581">
        <f t="shared" si="13"/>
        <v>43313</v>
      </c>
      <c r="AO9" s="2">
        <v>43319</v>
      </c>
      <c r="AP9" t="s">
        <v>788</v>
      </c>
      <c r="AQ9" s="313">
        <f>-800000/100000</f>
        <v>-8</v>
      </c>
      <c r="AR9" s="313">
        <f t="shared" si="14"/>
        <v>101.55</v>
      </c>
      <c r="AS9" s="581">
        <f t="shared" si="15"/>
        <v>1</v>
      </c>
      <c r="AW9" s="313" t="str">
        <f t="shared" si="16"/>
        <v/>
      </c>
    </row>
    <row r="10" spans="1:49">
      <c r="A10" s="6" t="s">
        <v>280</v>
      </c>
      <c r="B10" t="s">
        <v>282</v>
      </c>
      <c r="C10" t="s">
        <v>58</v>
      </c>
      <c r="D10" s="313">
        <f>LOOKUP(100000000000000000000,1/(AC:AC&lt;&gt;""),AC:AC)</f>
        <v>35.979999999999997</v>
      </c>
      <c r="E10" s="581">
        <f t="shared" si="0"/>
        <v>42917</v>
      </c>
      <c r="F10" s="2">
        <v>42917</v>
      </c>
      <c r="G10" s="6" t="s">
        <v>473</v>
      </c>
      <c r="H10" s="313">
        <f>-26000/100000</f>
        <v>-0.26</v>
      </c>
      <c r="I10" s="313">
        <f t="shared" si="17"/>
        <v>1.39</v>
      </c>
      <c r="J10" s="581">
        <f t="shared" si="1"/>
        <v>42948</v>
      </c>
      <c r="K10" s="2">
        <v>42953</v>
      </c>
      <c r="L10" s="6" t="s">
        <v>514</v>
      </c>
      <c r="M10" s="313">
        <f>-35000/100000</f>
        <v>-0.35</v>
      </c>
      <c r="N10" s="313">
        <f t="shared" si="2"/>
        <v>0.7899999999999997</v>
      </c>
      <c r="O10" s="581">
        <f t="shared" si="3"/>
        <v>1</v>
      </c>
      <c r="S10" s="313" t="str">
        <f t="shared" si="4"/>
        <v/>
      </c>
      <c r="T10" s="581">
        <f t="shared" si="5"/>
        <v>43497</v>
      </c>
      <c r="U10" s="2">
        <v>43510</v>
      </c>
      <c r="V10" t="s">
        <v>897</v>
      </c>
      <c r="W10" s="313">
        <v>-3000</v>
      </c>
      <c r="X10" s="313">
        <f t="shared" si="6"/>
        <v>14005.8</v>
      </c>
      <c r="Y10" s="581">
        <f t="shared" si="7"/>
        <v>43221</v>
      </c>
      <c r="Z10" s="2">
        <v>43237</v>
      </c>
      <c r="AA10" t="s">
        <v>1196</v>
      </c>
      <c r="AB10" s="313">
        <f>450000/100000</f>
        <v>4.5</v>
      </c>
      <c r="AC10" s="313">
        <f t="shared" si="8"/>
        <v>18.43</v>
      </c>
      <c r="AD10" s="581">
        <f t="shared" si="9"/>
        <v>43221</v>
      </c>
      <c r="AE10" s="2">
        <v>43250</v>
      </c>
      <c r="AF10" t="s">
        <v>1212</v>
      </c>
      <c r="AG10" s="313">
        <f>570000/100000</f>
        <v>5.7</v>
      </c>
      <c r="AH10" s="313">
        <f t="shared" si="10"/>
        <v>10.6</v>
      </c>
      <c r="AI10" s="581">
        <f t="shared" si="11"/>
        <v>43282</v>
      </c>
      <c r="AJ10" s="2">
        <v>43284</v>
      </c>
      <c r="AK10" t="s">
        <v>750</v>
      </c>
      <c r="AL10" s="313">
        <f>-1000000/100000</f>
        <v>-10</v>
      </c>
      <c r="AM10" s="313">
        <f t="shared" si="12"/>
        <v>35.35</v>
      </c>
      <c r="AN10" s="581">
        <f t="shared" si="13"/>
        <v>43525</v>
      </c>
      <c r="AO10" s="2">
        <v>43538</v>
      </c>
      <c r="AP10" t="s">
        <v>1213</v>
      </c>
      <c r="AQ10" s="313">
        <v>6000</v>
      </c>
      <c r="AR10" s="313">
        <f t="shared" si="14"/>
        <v>6101.55</v>
      </c>
      <c r="AS10" s="581">
        <f t="shared" si="15"/>
        <v>1</v>
      </c>
      <c r="AW10" s="313" t="str">
        <f t="shared" si="16"/>
        <v/>
      </c>
    </row>
    <row r="11" spans="1:49">
      <c r="A11" t="s">
        <v>36</v>
      </c>
      <c r="B11" t="s">
        <v>38</v>
      </c>
      <c r="C11" t="s">
        <v>37</v>
      </c>
      <c r="D11" s="313">
        <f>LOOKUP(100000000000000000000,1/(AH:AH&lt;&gt;""),AH:AH)</f>
        <v>0</v>
      </c>
      <c r="E11" s="581">
        <f t="shared" si="0"/>
        <v>42917</v>
      </c>
      <c r="F11" s="2">
        <v>42934</v>
      </c>
      <c r="G11" t="s">
        <v>499</v>
      </c>
      <c r="H11" s="313">
        <f>-9000/100000</f>
        <v>-0.09</v>
      </c>
      <c r="I11" s="313">
        <f t="shared" si="17"/>
        <v>1.2999999999999998</v>
      </c>
      <c r="J11" s="581">
        <f t="shared" si="1"/>
        <v>42979</v>
      </c>
      <c r="K11" s="2">
        <v>42979</v>
      </c>
      <c r="L11" s="6" t="s">
        <v>528</v>
      </c>
      <c r="M11" s="313">
        <f>-35000/100000</f>
        <v>-0.35</v>
      </c>
      <c r="N11" s="313">
        <f t="shared" si="2"/>
        <v>0.43999999999999972</v>
      </c>
      <c r="O11" s="581">
        <f t="shared" si="3"/>
        <v>1</v>
      </c>
      <c r="S11" s="313" t="str">
        <f t="shared" si="4"/>
        <v/>
      </c>
      <c r="T11" s="581">
        <f t="shared" si="5"/>
        <v>43525</v>
      </c>
      <c r="U11" s="2">
        <v>43536</v>
      </c>
      <c r="V11" t="s">
        <v>909</v>
      </c>
      <c r="W11" s="313">
        <v>-3000</v>
      </c>
      <c r="X11" s="313">
        <f t="shared" si="6"/>
        <v>11005.8</v>
      </c>
      <c r="Y11" s="581">
        <f t="shared" si="7"/>
        <v>43221</v>
      </c>
      <c r="Z11" s="2">
        <v>43242</v>
      </c>
      <c r="AA11" t="s">
        <v>672</v>
      </c>
      <c r="AB11" s="313">
        <f>-350000/100000</f>
        <v>-3.5</v>
      </c>
      <c r="AC11" s="313">
        <f t="shared" si="8"/>
        <v>14.93</v>
      </c>
      <c r="AD11" s="581">
        <f t="shared" si="9"/>
        <v>43252</v>
      </c>
      <c r="AE11" s="2">
        <v>43257</v>
      </c>
      <c r="AF11" t="s">
        <v>707</v>
      </c>
      <c r="AG11" s="313">
        <f>-400000/100000</f>
        <v>-4</v>
      </c>
      <c r="AH11" s="313">
        <f t="shared" si="10"/>
        <v>6.6</v>
      </c>
      <c r="AI11" s="581">
        <f t="shared" si="11"/>
        <v>43282</v>
      </c>
      <c r="AJ11" s="2">
        <v>43291</v>
      </c>
      <c r="AK11" s="6" t="s">
        <v>744</v>
      </c>
      <c r="AL11" s="313">
        <f>-1220000/100000</f>
        <v>-12.2</v>
      </c>
      <c r="AM11" s="313">
        <f t="shared" si="12"/>
        <v>23.15</v>
      </c>
      <c r="AN11" s="581">
        <f t="shared" si="13"/>
        <v>43525</v>
      </c>
      <c r="AO11" s="2">
        <v>43539</v>
      </c>
      <c r="AP11" t="s">
        <v>1214</v>
      </c>
      <c r="AQ11" s="313">
        <v>4</v>
      </c>
      <c r="AR11" s="313">
        <f t="shared" si="14"/>
        <v>6105.55</v>
      </c>
      <c r="AS11" s="581">
        <f t="shared" si="15"/>
        <v>1</v>
      </c>
      <c r="AW11" s="313" t="str">
        <f t="shared" si="16"/>
        <v/>
      </c>
    </row>
    <row r="12" spans="1:49">
      <c r="A12" s="6" t="s">
        <v>219</v>
      </c>
      <c r="B12" t="s">
        <v>221</v>
      </c>
      <c r="C12" t="s">
        <v>220</v>
      </c>
      <c r="D12" s="313">
        <f>LOOKUP(100000000000000000000,1/(AM:AM&lt;&gt;""),AM:AM)</f>
        <v>200</v>
      </c>
      <c r="E12" s="581">
        <f t="shared" si="0"/>
        <v>42948</v>
      </c>
      <c r="F12" s="2">
        <v>42953</v>
      </c>
      <c r="G12" s="6" t="s">
        <v>514</v>
      </c>
      <c r="H12" s="313">
        <f>-35000/100000</f>
        <v>-0.35</v>
      </c>
      <c r="I12" s="313">
        <f t="shared" si="17"/>
        <v>0.94999999999999984</v>
      </c>
      <c r="J12" s="581">
        <f t="shared" si="1"/>
        <v>43009</v>
      </c>
      <c r="K12" s="2">
        <v>43013</v>
      </c>
      <c r="L12" s="6" t="s">
        <v>545</v>
      </c>
      <c r="M12" s="313">
        <f>-35000/100000</f>
        <v>-0.35</v>
      </c>
      <c r="N12" s="313">
        <f t="shared" si="2"/>
        <v>8.9999999999999747E-2</v>
      </c>
      <c r="O12" s="581">
        <f t="shared" si="3"/>
        <v>1</v>
      </c>
      <c r="S12" s="313" t="str">
        <f t="shared" si="4"/>
        <v/>
      </c>
      <c r="T12" s="581">
        <f t="shared" si="5"/>
        <v>43556</v>
      </c>
      <c r="U12" s="2">
        <v>43571</v>
      </c>
      <c r="V12" t="s">
        <v>917</v>
      </c>
      <c r="W12" s="313">
        <v>-5000</v>
      </c>
      <c r="X12" s="313">
        <f t="shared" si="6"/>
        <v>6005.8</v>
      </c>
      <c r="Y12" s="581">
        <f t="shared" si="7"/>
        <v>43221</v>
      </c>
      <c r="Z12" s="2">
        <v>43245</v>
      </c>
      <c r="AA12" t="s">
        <v>1196</v>
      </c>
      <c r="AB12" s="313">
        <f>500000/100000</f>
        <v>5</v>
      </c>
      <c r="AC12" s="313">
        <f t="shared" si="8"/>
        <v>19.93</v>
      </c>
      <c r="AD12" s="581">
        <f t="shared" si="9"/>
        <v>43252</v>
      </c>
      <c r="AE12" s="2">
        <v>43279</v>
      </c>
      <c r="AF12" t="s">
        <v>742</v>
      </c>
      <c r="AG12" s="313">
        <f>-225000/100000</f>
        <v>-2.25</v>
      </c>
      <c r="AH12" s="313">
        <f t="shared" si="10"/>
        <v>4.3499999999999996</v>
      </c>
      <c r="AI12" s="581">
        <f t="shared" si="11"/>
        <v>43313</v>
      </c>
      <c r="AJ12" s="2">
        <v>43313</v>
      </c>
      <c r="AK12" t="s">
        <v>1206</v>
      </c>
      <c r="AL12" s="313">
        <f>-1200000/100000</f>
        <v>-12</v>
      </c>
      <c r="AM12" s="313">
        <f t="shared" si="12"/>
        <v>11.15</v>
      </c>
      <c r="AN12" s="581">
        <f t="shared" si="13"/>
        <v>43525</v>
      </c>
      <c r="AO12" s="2">
        <v>43539</v>
      </c>
      <c r="AP12" t="s">
        <v>1215</v>
      </c>
      <c r="AQ12" s="313">
        <f>-(320*3+800+3000)</f>
        <v>-4760</v>
      </c>
      <c r="AR12" s="313">
        <f t="shared" si="14"/>
        <v>1345.55</v>
      </c>
      <c r="AS12" s="581">
        <f t="shared" si="15"/>
        <v>1</v>
      </c>
      <c r="AW12" s="313" t="str">
        <f t="shared" si="16"/>
        <v/>
      </c>
    </row>
    <row r="13" spans="1:49">
      <c r="D13" s="313"/>
      <c r="E13" s="581">
        <f t="shared" si="0"/>
        <v>42979</v>
      </c>
      <c r="F13" s="2">
        <v>42979</v>
      </c>
      <c r="G13" s="6" t="s">
        <v>528</v>
      </c>
      <c r="H13" s="313">
        <f>-35000/100000</f>
        <v>-0.35</v>
      </c>
      <c r="I13" s="313">
        <f t="shared" si="17"/>
        <v>0.59999999999999987</v>
      </c>
      <c r="J13" s="581">
        <f t="shared" si="1"/>
        <v>43009</v>
      </c>
      <c r="K13" s="2">
        <v>43017</v>
      </c>
      <c r="L13" t="s">
        <v>1196</v>
      </c>
      <c r="M13" s="313">
        <f>156000/100000</f>
        <v>1.56</v>
      </c>
      <c r="N13" s="313">
        <f t="shared" si="2"/>
        <v>1.65</v>
      </c>
      <c r="O13" s="581">
        <f t="shared" si="3"/>
        <v>1</v>
      </c>
      <c r="S13" s="313" t="str">
        <f t="shared" si="4"/>
        <v/>
      </c>
      <c r="T13" s="581">
        <f t="shared" si="5"/>
        <v>43586</v>
      </c>
      <c r="U13" s="2">
        <v>43610</v>
      </c>
      <c r="V13" t="s">
        <v>1216</v>
      </c>
      <c r="W13" s="313">
        <v>50000</v>
      </c>
      <c r="X13" s="313">
        <f t="shared" si="6"/>
        <v>56005.8</v>
      </c>
      <c r="Y13" s="581">
        <f t="shared" si="7"/>
        <v>43252</v>
      </c>
      <c r="Z13" s="2">
        <v>43257</v>
      </c>
      <c r="AA13" t="s">
        <v>707</v>
      </c>
      <c r="AB13" s="313">
        <f>-400000/100000</f>
        <v>-4</v>
      </c>
      <c r="AC13" s="313">
        <f t="shared" si="8"/>
        <v>15.93</v>
      </c>
      <c r="AD13" s="581">
        <f t="shared" si="9"/>
        <v>43282</v>
      </c>
      <c r="AE13" s="2">
        <v>43284</v>
      </c>
      <c r="AF13" t="s">
        <v>1217</v>
      </c>
      <c r="AG13" s="313">
        <f>400000/100000</f>
        <v>4</v>
      </c>
      <c r="AH13" s="313">
        <f t="shared" si="10"/>
        <v>8.35</v>
      </c>
      <c r="AI13" s="581">
        <f t="shared" si="11"/>
        <v>43344</v>
      </c>
      <c r="AJ13" s="2">
        <v>43368</v>
      </c>
      <c r="AK13" t="s">
        <v>1196</v>
      </c>
      <c r="AL13" s="313">
        <v>320</v>
      </c>
      <c r="AM13" s="313">
        <f t="shared" si="12"/>
        <v>331.15</v>
      </c>
      <c r="AN13" s="581">
        <f t="shared" si="13"/>
        <v>43556</v>
      </c>
      <c r="AO13" s="2">
        <v>43570</v>
      </c>
      <c r="AP13" t="s">
        <v>1218</v>
      </c>
      <c r="AQ13" s="313">
        <v>2000</v>
      </c>
      <c r="AR13" s="313">
        <f t="shared" si="14"/>
        <v>3345.55</v>
      </c>
      <c r="AS13" s="581">
        <f t="shared" si="15"/>
        <v>1</v>
      </c>
      <c r="AW13" s="313" t="str">
        <f t="shared" si="16"/>
        <v/>
      </c>
    </row>
    <row r="14" spans="1:49">
      <c r="D14" s="313"/>
      <c r="E14" s="581">
        <f t="shared" si="0"/>
        <v>42979</v>
      </c>
      <c r="F14" s="2">
        <v>42999</v>
      </c>
      <c r="G14" s="6" t="s">
        <v>1196</v>
      </c>
      <c r="H14" s="313">
        <f>45000/100000</f>
        <v>0.45</v>
      </c>
      <c r="I14" s="313">
        <f t="shared" si="17"/>
        <v>1.0499999999999998</v>
      </c>
      <c r="J14" s="581">
        <f t="shared" si="1"/>
        <v>43040</v>
      </c>
      <c r="K14" s="2">
        <v>43046</v>
      </c>
      <c r="L14" s="6" t="s">
        <v>561</v>
      </c>
      <c r="M14" s="313">
        <f>-50000/100000</f>
        <v>-0.5</v>
      </c>
      <c r="N14" s="313">
        <f t="shared" si="2"/>
        <v>1.1499999999999999</v>
      </c>
      <c r="O14" s="581">
        <f t="shared" si="3"/>
        <v>1</v>
      </c>
      <c r="S14" s="313" t="str">
        <f t="shared" si="4"/>
        <v/>
      </c>
      <c r="T14" s="581">
        <f t="shared" si="5"/>
        <v>43586</v>
      </c>
      <c r="U14" s="2">
        <v>43610</v>
      </c>
      <c r="V14" t="s">
        <v>970</v>
      </c>
      <c r="W14" s="313">
        <v>-10000</v>
      </c>
      <c r="X14" s="313">
        <f t="shared" si="6"/>
        <v>46005.8</v>
      </c>
      <c r="Y14" s="581">
        <f t="shared" si="7"/>
        <v>43252</v>
      </c>
      <c r="Z14" s="2">
        <v>43279</v>
      </c>
      <c r="AA14" t="s">
        <v>742</v>
      </c>
      <c r="AB14" s="313">
        <f>-225000/100000</f>
        <v>-2.25</v>
      </c>
      <c r="AC14" s="313">
        <f t="shared" si="8"/>
        <v>13.68</v>
      </c>
      <c r="AD14" s="581">
        <f t="shared" si="9"/>
        <v>43282</v>
      </c>
      <c r="AE14" s="2">
        <v>43291</v>
      </c>
      <c r="AF14" t="s">
        <v>1219</v>
      </c>
      <c r="AG14" s="313">
        <f>-835000/100000</f>
        <v>-8.35</v>
      </c>
      <c r="AH14" s="313">
        <f t="shared" si="10"/>
        <v>0</v>
      </c>
      <c r="AI14" s="581">
        <f t="shared" si="11"/>
        <v>43344</v>
      </c>
      <c r="AJ14" s="2">
        <v>43368</v>
      </c>
      <c r="AK14" t="s">
        <v>810</v>
      </c>
      <c r="AL14" s="313">
        <v>-320</v>
      </c>
      <c r="AM14" s="313">
        <f t="shared" si="12"/>
        <v>11.15</v>
      </c>
      <c r="AN14" s="581">
        <f t="shared" si="13"/>
        <v>43556</v>
      </c>
      <c r="AO14" s="2">
        <v>43573</v>
      </c>
      <c r="AP14" t="s">
        <v>897</v>
      </c>
      <c r="AQ14" s="313">
        <v>-3000</v>
      </c>
      <c r="AR14" s="313">
        <f t="shared" si="14"/>
        <v>345.55</v>
      </c>
      <c r="AS14" s="581">
        <f t="shared" si="15"/>
        <v>1</v>
      </c>
      <c r="AW14" s="313" t="str">
        <f t="shared" si="16"/>
        <v/>
      </c>
    </row>
    <row r="15" spans="1:49">
      <c r="D15" s="313"/>
      <c r="E15" s="581">
        <f t="shared" si="0"/>
        <v>43009</v>
      </c>
      <c r="F15" s="2">
        <v>43013</v>
      </c>
      <c r="G15" s="6" t="s">
        <v>545</v>
      </c>
      <c r="H15" s="313">
        <f>-35000/100000</f>
        <v>-0.35</v>
      </c>
      <c r="I15" s="313">
        <f t="shared" si="17"/>
        <v>0.69999999999999984</v>
      </c>
      <c r="J15" s="581">
        <f t="shared" si="1"/>
        <v>43070</v>
      </c>
      <c r="K15" s="2">
        <v>43074</v>
      </c>
      <c r="L15" s="6" t="s">
        <v>575</v>
      </c>
      <c r="M15" s="313">
        <f>-50000/100000</f>
        <v>-0.5</v>
      </c>
      <c r="N15" s="313">
        <f t="shared" si="2"/>
        <v>0.64999999999999991</v>
      </c>
      <c r="O15" s="581">
        <f t="shared" si="3"/>
        <v>1</v>
      </c>
      <c r="S15" s="313" t="str">
        <f t="shared" si="4"/>
        <v/>
      </c>
      <c r="T15" s="581">
        <f t="shared" si="5"/>
        <v>43617</v>
      </c>
      <c r="U15" s="2">
        <v>43623</v>
      </c>
      <c r="V15" t="s">
        <v>986</v>
      </c>
      <c r="W15" s="313">
        <v>-10000</v>
      </c>
      <c r="X15" s="313">
        <f t="shared" si="6"/>
        <v>36005.800000000003</v>
      </c>
      <c r="Y15" s="581">
        <f t="shared" si="7"/>
        <v>43252</v>
      </c>
      <c r="Z15" s="2">
        <v>43280</v>
      </c>
      <c r="AA15" t="s">
        <v>1196</v>
      </c>
      <c r="AB15" s="313">
        <f>1150000/100000</f>
        <v>11.5</v>
      </c>
      <c r="AC15" s="313">
        <f t="shared" si="8"/>
        <v>25.18</v>
      </c>
      <c r="AD15" s="581">
        <f t="shared" si="9"/>
        <v>43282</v>
      </c>
      <c r="AE15" s="2">
        <v>43302</v>
      </c>
      <c r="AF15" t="s">
        <v>1220</v>
      </c>
      <c r="AG15" s="313">
        <f>960000/100000</f>
        <v>9.6</v>
      </c>
      <c r="AH15" s="313">
        <f t="shared" si="10"/>
        <v>9.6</v>
      </c>
      <c r="AI15" s="581">
        <f t="shared" si="11"/>
        <v>43405</v>
      </c>
      <c r="AJ15" s="2">
        <v>43406</v>
      </c>
      <c r="AK15" t="s">
        <v>1196</v>
      </c>
      <c r="AL15" s="313">
        <v>320</v>
      </c>
      <c r="AM15" s="313">
        <f t="shared" si="12"/>
        <v>331.15</v>
      </c>
      <c r="AN15" s="581">
        <f t="shared" si="13"/>
        <v>43556</v>
      </c>
      <c r="AO15" s="2">
        <v>43577</v>
      </c>
      <c r="AP15" t="s">
        <v>1221</v>
      </c>
      <c r="AQ15" s="313">
        <v>2020</v>
      </c>
      <c r="AR15" s="313">
        <f t="shared" si="14"/>
        <v>2365.5500000000002</v>
      </c>
      <c r="AS15" s="581">
        <f t="shared" si="15"/>
        <v>1</v>
      </c>
      <c r="AW15" s="313" t="str">
        <f t="shared" si="16"/>
        <v/>
      </c>
    </row>
    <row r="16" spans="1:49">
      <c r="D16" s="313"/>
      <c r="E16" s="581">
        <f t="shared" si="0"/>
        <v>43040</v>
      </c>
      <c r="F16" s="2">
        <v>43046</v>
      </c>
      <c r="G16" s="6" t="s">
        <v>561</v>
      </c>
      <c r="H16" s="313">
        <f>-50000/100000</f>
        <v>-0.5</v>
      </c>
      <c r="I16" s="313">
        <f t="shared" si="17"/>
        <v>0.19999999999999984</v>
      </c>
      <c r="J16" s="581">
        <f t="shared" si="1"/>
        <v>43101</v>
      </c>
      <c r="K16" s="2">
        <v>43118</v>
      </c>
      <c r="L16" t="s">
        <v>1196</v>
      </c>
      <c r="M16" s="313">
        <f>960000/100000</f>
        <v>9.6</v>
      </c>
      <c r="N16" s="313">
        <f t="shared" si="2"/>
        <v>10.25</v>
      </c>
      <c r="O16" s="581">
        <f t="shared" si="3"/>
        <v>1</v>
      </c>
      <c r="S16" s="313" t="str">
        <f t="shared" si="4"/>
        <v/>
      </c>
      <c r="T16" s="581">
        <f t="shared" si="5"/>
        <v>43647</v>
      </c>
      <c r="U16" s="2">
        <v>43656</v>
      </c>
      <c r="V16" t="s">
        <v>1007</v>
      </c>
      <c r="W16" s="313">
        <v>-10000</v>
      </c>
      <c r="X16" s="313">
        <f t="shared" si="6"/>
        <v>26005.8</v>
      </c>
      <c r="Y16" s="581">
        <f t="shared" si="7"/>
        <v>43282</v>
      </c>
      <c r="Z16" s="2">
        <v>43285</v>
      </c>
      <c r="AA16" t="s">
        <v>750</v>
      </c>
      <c r="AB16" s="313">
        <f>-1000000/100000</f>
        <v>-10</v>
      </c>
      <c r="AC16" s="313">
        <f t="shared" si="8"/>
        <v>15.18</v>
      </c>
      <c r="AD16" s="581">
        <f t="shared" si="9"/>
        <v>43313</v>
      </c>
      <c r="AE16" s="2">
        <v>43319</v>
      </c>
      <c r="AF16" t="s">
        <v>1222</v>
      </c>
      <c r="AG16" s="313">
        <f>1400000/100000</f>
        <v>14</v>
      </c>
      <c r="AH16" s="313">
        <f t="shared" si="10"/>
        <v>23.6</v>
      </c>
      <c r="AI16" s="581">
        <f t="shared" si="11"/>
        <v>43405</v>
      </c>
      <c r="AJ16" s="2">
        <v>43406</v>
      </c>
      <c r="AK16" t="s">
        <v>823</v>
      </c>
      <c r="AL16" s="313">
        <v>-320</v>
      </c>
      <c r="AM16" s="313">
        <f t="shared" si="12"/>
        <v>11.15</v>
      </c>
      <c r="AN16" s="581">
        <f t="shared" si="13"/>
        <v>43556</v>
      </c>
      <c r="AO16" s="2">
        <v>43577</v>
      </c>
      <c r="AP16" t="s">
        <v>928</v>
      </c>
      <c r="AQ16" s="313">
        <v>-2365.5500000000002</v>
      </c>
      <c r="AR16" s="313">
        <f t="shared" si="14"/>
        <v>0</v>
      </c>
      <c r="AS16" s="581">
        <f t="shared" si="15"/>
        <v>1</v>
      </c>
      <c r="AW16" s="313" t="str">
        <f t="shared" si="16"/>
        <v/>
      </c>
    </row>
    <row r="17" spans="4:49">
      <c r="D17" s="313"/>
      <c r="E17" s="581">
        <f t="shared" si="0"/>
        <v>43070</v>
      </c>
      <c r="F17" s="2">
        <v>43074</v>
      </c>
      <c r="G17" s="6" t="s">
        <v>1196</v>
      </c>
      <c r="H17" s="313">
        <f>80000/100000</f>
        <v>0.8</v>
      </c>
      <c r="I17" s="313">
        <f t="shared" si="17"/>
        <v>0.99999999999999989</v>
      </c>
      <c r="J17" s="581">
        <f t="shared" si="1"/>
        <v>43101</v>
      </c>
      <c r="K17" s="2">
        <v>43118</v>
      </c>
      <c r="L17" s="6" t="s">
        <v>600</v>
      </c>
      <c r="M17" s="313">
        <f>-80000/100000</f>
        <v>-0.8</v>
      </c>
      <c r="N17" s="313">
        <f t="shared" si="2"/>
        <v>9.4499999999999993</v>
      </c>
      <c r="O17" s="581">
        <f t="shared" si="3"/>
        <v>1</v>
      </c>
      <c r="S17" s="313" t="str">
        <f t="shared" si="4"/>
        <v/>
      </c>
      <c r="T17" s="581">
        <f t="shared" si="5"/>
        <v>43678</v>
      </c>
      <c r="U17" s="2">
        <v>43682</v>
      </c>
      <c r="V17" t="s">
        <v>1026</v>
      </c>
      <c r="W17" s="313">
        <v>-10000</v>
      </c>
      <c r="X17" s="313">
        <f t="shared" si="6"/>
        <v>16005.8</v>
      </c>
      <c r="Y17" s="581">
        <f t="shared" si="7"/>
        <v>43282</v>
      </c>
      <c r="Z17" s="2">
        <v>43288</v>
      </c>
      <c r="AA17" t="s">
        <v>1196</v>
      </c>
      <c r="AB17" s="313">
        <f>2000000/100000</f>
        <v>20</v>
      </c>
      <c r="AC17" s="313">
        <f t="shared" si="8"/>
        <v>35.18</v>
      </c>
      <c r="AD17" s="581">
        <f t="shared" si="9"/>
        <v>43313</v>
      </c>
      <c r="AE17" s="2">
        <v>43324</v>
      </c>
      <c r="AF17" t="s">
        <v>1206</v>
      </c>
      <c r="AG17" s="313">
        <f>-1200000/100000</f>
        <v>-12</v>
      </c>
      <c r="AH17" s="313">
        <f t="shared" si="10"/>
        <v>11.6</v>
      </c>
      <c r="AI17" s="581">
        <f t="shared" si="11"/>
        <v>43435</v>
      </c>
      <c r="AJ17" s="2">
        <v>43447</v>
      </c>
      <c r="AK17" t="s">
        <v>1196</v>
      </c>
      <c r="AL17" s="313">
        <v>1120</v>
      </c>
      <c r="AM17" s="313">
        <f t="shared" si="12"/>
        <v>1131.1500000000001</v>
      </c>
      <c r="AN17" s="581">
        <f t="shared" si="13"/>
        <v>1</v>
      </c>
      <c r="AR17" s="313" t="str">
        <f t="shared" si="14"/>
        <v/>
      </c>
      <c r="AS17" s="581">
        <f t="shared" si="15"/>
        <v>1</v>
      </c>
      <c r="AW17" s="313" t="str">
        <f t="shared" si="16"/>
        <v/>
      </c>
    </row>
    <row r="18" spans="4:49">
      <c r="D18" s="313"/>
      <c r="E18" s="581">
        <f t="shared" si="0"/>
        <v>43070</v>
      </c>
      <c r="F18" s="2">
        <v>43074</v>
      </c>
      <c r="G18" s="6" t="s">
        <v>1196</v>
      </c>
      <c r="H18" s="313">
        <f>550000/100000</f>
        <v>5.5</v>
      </c>
      <c r="I18" s="313">
        <f t="shared" si="17"/>
        <v>6.5</v>
      </c>
      <c r="J18" s="581">
        <f t="shared" si="1"/>
        <v>43132</v>
      </c>
      <c r="K18" s="2">
        <v>43136</v>
      </c>
      <c r="L18" t="s">
        <v>616</v>
      </c>
      <c r="M18" s="313">
        <f>-80000/100000</f>
        <v>-0.8</v>
      </c>
      <c r="N18" s="313">
        <f t="shared" si="2"/>
        <v>8.6499999999999986</v>
      </c>
      <c r="O18" s="581">
        <f t="shared" si="3"/>
        <v>1</v>
      </c>
      <c r="Q18" s="6"/>
      <c r="S18" s="313" t="str">
        <f t="shared" si="4"/>
        <v/>
      </c>
      <c r="T18" s="581">
        <f t="shared" si="5"/>
        <v>43709</v>
      </c>
      <c r="U18" s="2">
        <v>43726</v>
      </c>
      <c r="V18" t="s">
        <v>1223</v>
      </c>
      <c r="W18" s="313">
        <v>50000</v>
      </c>
      <c r="X18" s="313">
        <f t="shared" si="6"/>
        <v>66005.8</v>
      </c>
      <c r="Y18" s="581">
        <f t="shared" si="7"/>
        <v>43282</v>
      </c>
      <c r="Z18" s="2">
        <v>43290</v>
      </c>
      <c r="AA18" s="6" t="s">
        <v>744</v>
      </c>
      <c r="AB18" s="313">
        <f>-1220000/100000</f>
        <v>-12.2</v>
      </c>
      <c r="AC18" s="313">
        <f t="shared" si="8"/>
        <v>22.98</v>
      </c>
      <c r="AD18" s="581">
        <f t="shared" si="9"/>
        <v>43344</v>
      </c>
      <c r="AE18" s="2">
        <v>43348</v>
      </c>
      <c r="AF18" t="s">
        <v>1209</v>
      </c>
      <c r="AG18" s="313">
        <v>-11.6</v>
      </c>
      <c r="AH18" s="313">
        <f t="shared" si="10"/>
        <v>0</v>
      </c>
      <c r="AI18" s="581">
        <f t="shared" si="11"/>
        <v>43435</v>
      </c>
      <c r="AJ18" s="2">
        <v>43447</v>
      </c>
      <c r="AK18" t="s">
        <v>851</v>
      </c>
      <c r="AL18" s="313">
        <f>-1120-11.15</f>
        <v>-1131.1500000000001</v>
      </c>
      <c r="AM18" s="313">
        <f t="shared" si="12"/>
        <v>0</v>
      </c>
      <c r="AN18" s="581">
        <f t="shared" si="13"/>
        <v>1</v>
      </c>
      <c r="AR18" s="313" t="str">
        <f t="shared" si="14"/>
        <v/>
      </c>
      <c r="AS18" s="581">
        <f t="shared" si="15"/>
        <v>1</v>
      </c>
      <c r="AW18" s="313" t="str">
        <f t="shared" si="16"/>
        <v/>
      </c>
    </row>
    <row r="19" spans="4:49">
      <c r="D19" s="313"/>
      <c r="E19" s="581">
        <f t="shared" si="0"/>
        <v>43070</v>
      </c>
      <c r="F19" s="2">
        <v>43074</v>
      </c>
      <c r="G19" s="6" t="s">
        <v>575</v>
      </c>
      <c r="H19" s="313">
        <f>-50000/100000</f>
        <v>-0.5</v>
      </c>
      <c r="I19" s="313">
        <f t="shared" si="17"/>
        <v>6</v>
      </c>
      <c r="J19" s="581">
        <f t="shared" si="1"/>
        <v>43160</v>
      </c>
      <c r="K19" s="2">
        <v>43168</v>
      </c>
      <c r="L19" t="s">
        <v>630</v>
      </c>
      <c r="M19" s="313">
        <f>-140000/100000</f>
        <v>-1.4</v>
      </c>
      <c r="N19" s="313">
        <f t="shared" si="2"/>
        <v>7.2499999999999982</v>
      </c>
      <c r="O19" s="581">
        <f t="shared" si="3"/>
        <v>1</v>
      </c>
      <c r="S19" s="313" t="str">
        <f t="shared" si="4"/>
        <v/>
      </c>
      <c r="T19" s="581">
        <f t="shared" si="5"/>
        <v>43709</v>
      </c>
      <c r="U19" s="2">
        <v>43726</v>
      </c>
      <c r="V19" t="s">
        <v>1035</v>
      </c>
      <c r="W19" s="313">
        <v>-21600</v>
      </c>
      <c r="X19" s="313">
        <f t="shared" si="6"/>
        <v>44405.8</v>
      </c>
      <c r="Y19" s="581">
        <f t="shared" si="7"/>
        <v>43313</v>
      </c>
      <c r="Z19" s="2">
        <v>43313</v>
      </c>
      <c r="AA19" t="s">
        <v>1196</v>
      </c>
      <c r="AB19" s="313">
        <f>2500000/100000</f>
        <v>25</v>
      </c>
      <c r="AC19" s="313">
        <f t="shared" si="8"/>
        <v>47.98</v>
      </c>
      <c r="AD19" s="581">
        <f t="shared" si="9"/>
        <v>1</v>
      </c>
      <c r="AH19" s="313" t="str">
        <f t="shared" si="10"/>
        <v/>
      </c>
      <c r="AI19" s="581">
        <f t="shared" si="11"/>
        <v>43525</v>
      </c>
      <c r="AJ19" s="2">
        <v>43536</v>
      </c>
      <c r="AK19" t="s">
        <v>1224</v>
      </c>
      <c r="AL19" s="313">
        <v>20000</v>
      </c>
      <c r="AM19" s="313">
        <f t="shared" si="12"/>
        <v>20000</v>
      </c>
      <c r="AN19" s="581">
        <f t="shared" si="13"/>
        <v>1</v>
      </c>
      <c r="AR19" s="313" t="str">
        <f t="shared" si="14"/>
        <v/>
      </c>
      <c r="AS19" s="581">
        <f t="shared" si="15"/>
        <v>1</v>
      </c>
      <c r="AW19" s="313" t="str">
        <f t="shared" si="16"/>
        <v/>
      </c>
    </row>
    <row r="20" spans="4:49">
      <c r="D20" s="313"/>
      <c r="E20" s="581">
        <f t="shared" si="0"/>
        <v>43101</v>
      </c>
      <c r="F20" s="2">
        <v>43103</v>
      </c>
      <c r="G20" s="6" t="s">
        <v>1196</v>
      </c>
      <c r="H20" s="313">
        <f>360000/100000</f>
        <v>3.6</v>
      </c>
      <c r="I20" s="313">
        <f t="shared" si="17"/>
        <v>9.6</v>
      </c>
      <c r="J20" s="581">
        <f t="shared" si="1"/>
        <v>43191</v>
      </c>
      <c r="K20" s="2">
        <v>43195</v>
      </c>
      <c r="L20" t="s">
        <v>668</v>
      </c>
      <c r="M20" s="313">
        <f>-140000/100000</f>
        <v>-1.4</v>
      </c>
      <c r="N20" s="313">
        <f t="shared" si="2"/>
        <v>5.8499999999999979</v>
      </c>
      <c r="O20" s="581">
        <f t="shared" si="3"/>
        <v>1</v>
      </c>
      <c r="S20" s="313" t="str">
        <f t="shared" si="4"/>
        <v/>
      </c>
      <c r="T20" s="581">
        <f t="shared" si="5"/>
        <v>43739</v>
      </c>
      <c r="U20" s="2">
        <v>43740</v>
      </c>
      <c r="V20" t="s">
        <v>1060</v>
      </c>
      <c r="W20" s="313">
        <v>-21100</v>
      </c>
      <c r="X20" s="313">
        <f t="shared" si="6"/>
        <v>23305.8</v>
      </c>
      <c r="Y20" s="581">
        <f t="shared" si="7"/>
        <v>43313</v>
      </c>
      <c r="Z20" s="2">
        <v>43313</v>
      </c>
      <c r="AA20" t="s">
        <v>1206</v>
      </c>
      <c r="AB20" s="313">
        <f>-1200000/100000</f>
        <v>-12</v>
      </c>
      <c r="AC20" s="313">
        <f t="shared" si="8"/>
        <v>35.979999999999997</v>
      </c>
      <c r="AD20" s="581">
        <f t="shared" si="9"/>
        <v>1</v>
      </c>
      <c r="AH20" s="313" t="str">
        <f t="shared" si="10"/>
        <v/>
      </c>
      <c r="AI20" s="581">
        <f t="shared" si="11"/>
        <v>43525</v>
      </c>
      <c r="AJ20" s="2">
        <v>43536</v>
      </c>
      <c r="AK20" t="s">
        <v>927</v>
      </c>
      <c r="AL20" s="313">
        <f>-3000*3</f>
        <v>-9000</v>
      </c>
      <c r="AM20" s="313">
        <f t="shared" si="12"/>
        <v>11000</v>
      </c>
      <c r="AN20" s="581">
        <f t="shared" si="13"/>
        <v>1</v>
      </c>
      <c r="AR20" s="313" t="str">
        <f t="shared" si="14"/>
        <v/>
      </c>
      <c r="AS20" s="581">
        <f t="shared" si="15"/>
        <v>1</v>
      </c>
      <c r="AW20" s="313" t="str">
        <f t="shared" si="16"/>
        <v/>
      </c>
    </row>
    <row r="21" spans="4:49">
      <c r="E21" s="581">
        <f t="shared" si="0"/>
        <v>43101</v>
      </c>
      <c r="F21" s="2">
        <v>43110</v>
      </c>
      <c r="G21" t="s">
        <v>600</v>
      </c>
      <c r="H21" s="313">
        <f>-80000/100000</f>
        <v>-0.8</v>
      </c>
      <c r="I21" s="313">
        <f t="shared" si="17"/>
        <v>8.7999999999999989</v>
      </c>
      <c r="J21" s="581">
        <f t="shared" si="1"/>
        <v>43221</v>
      </c>
      <c r="K21" s="2">
        <v>43223</v>
      </c>
      <c r="L21" t="s">
        <v>684</v>
      </c>
      <c r="M21" s="313">
        <f>-400000/100000</f>
        <v>-4</v>
      </c>
      <c r="N21" s="313">
        <f t="shared" si="2"/>
        <v>1.8499999999999979</v>
      </c>
      <c r="O21" s="581">
        <f t="shared" si="3"/>
        <v>1</v>
      </c>
      <c r="S21" s="313" t="str">
        <f t="shared" si="4"/>
        <v/>
      </c>
      <c r="T21" s="581">
        <f t="shared" si="5"/>
        <v>43739</v>
      </c>
      <c r="U21" s="2">
        <v>43759</v>
      </c>
      <c r="V21" t="s">
        <v>1225</v>
      </c>
      <c r="W21" s="313">
        <v>200000</v>
      </c>
      <c r="X21" s="313">
        <f t="shared" si="6"/>
        <v>223305.8</v>
      </c>
      <c r="Y21" s="581">
        <f t="shared" si="7"/>
        <v>1</v>
      </c>
      <c r="AC21" s="313" t="str">
        <f t="shared" si="8"/>
        <v/>
      </c>
      <c r="AD21" s="581">
        <f t="shared" si="9"/>
        <v>1</v>
      </c>
      <c r="AH21" s="313" t="str">
        <f t="shared" si="10"/>
        <v/>
      </c>
      <c r="AI21" s="581">
        <f t="shared" si="11"/>
        <v>43556</v>
      </c>
      <c r="AJ21" s="2">
        <v>43571</v>
      </c>
      <c r="AK21" t="s">
        <v>917</v>
      </c>
      <c r="AL21" s="313">
        <v>-5000</v>
      </c>
      <c r="AM21" s="313">
        <f t="shared" si="12"/>
        <v>6000</v>
      </c>
      <c r="AN21" s="581">
        <f t="shared" si="13"/>
        <v>1</v>
      </c>
      <c r="AR21" s="313" t="str">
        <f t="shared" si="14"/>
        <v/>
      </c>
      <c r="AS21" s="581">
        <f t="shared" si="15"/>
        <v>1</v>
      </c>
      <c r="AW21" s="313" t="str">
        <f t="shared" si="16"/>
        <v/>
      </c>
    </row>
    <row r="22" spans="4:49">
      <c r="E22" s="581">
        <f t="shared" si="0"/>
        <v>43132</v>
      </c>
      <c r="F22" s="2">
        <v>43136</v>
      </c>
      <c r="G22" t="s">
        <v>616</v>
      </c>
      <c r="H22" s="313">
        <f>-80000/100000</f>
        <v>-0.8</v>
      </c>
      <c r="I22" s="313">
        <f t="shared" si="17"/>
        <v>7.9999999999999991</v>
      </c>
      <c r="J22" s="581">
        <f t="shared" si="1"/>
        <v>43221</v>
      </c>
      <c r="K22" s="2">
        <v>43245</v>
      </c>
      <c r="L22" t="s">
        <v>1196</v>
      </c>
      <c r="M22" s="313">
        <f>4000000/100000</f>
        <v>40</v>
      </c>
      <c r="N22" s="313">
        <f t="shared" si="2"/>
        <v>41.849999999999994</v>
      </c>
      <c r="O22" s="581">
        <f t="shared" si="3"/>
        <v>1</v>
      </c>
      <c r="S22" s="313" t="str">
        <f t="shared" si="4"/>
        <v/>
      </c>
      <c r="T22" s="581">
        <f t="shared" si="5"/>
        <v>43739</v>
      </c>
      <c r="U22" s="2">
        <v>43759</v>
      </c>
      <c r="V22" t="s">
        <v>1065</v>
      </c>
      <c r="W22" s="313">
        <v>-25900</v>
      </c>
      <c r="X22" s="313">
        <f t="shared" si="6"/>
        <v>197405.8</v>
      </c>
      <c r="Y22" s="581">
        <f t="shared" si="7"/>
        <v>1</v>
      </c>
      <c r="AC22" s="313" t="str">
        <f t="shared" si="8"/>
        <v/>
      </c>
      <c r="AD22" s="581">
        <f t="shared" si="9"/>
        <v>1</v>
      </c>
      <c r="AH22" s="313" t="str">
        <f t="shared" si="10"/>
        <v/>
      </c>
      <c r="AI22" s="581">
        <f t="shared" si="11"/>
        <v>43586</v>
      </c>
      <c r="AJ22" s="2">
        <v>43613</v>
      </c>
      <c r="AK22" t="s">
        <v>1196</v>
      </c>
      <c r="AL22" s="313">
        <v>50000</v>
      </c>
      <c r="AM22" s="313">
        <f t="shared" si="12"/>
        <v>56000</v>
      </c>
      <c r="AN22" s="581">
        <f t="shared" si="13"/>
        <v>1</v>
      </c>
      <c r="AR22" s="313" t="str">
        <f t="shared" si="14"/>
        <v/>
      </c>
      <c r="AS22" s="581">
        <f t="shared" si="15"/>
        <v>1</v>
      </c>
      <c r="AW22" s="313" t="str">
        <f t="shared" si="16"/>
        <v/>
      </c>
    </row>
    <row r="23" spans="4:49">
      <c r="E23" s="581">
        <f t="shared" si="0"/>
        <v>43160</v>
      </c>
      <c r="F23" s="2">
        <v>43161</v>
      </c>
      <c r="G23" t="s">
        <v>630</v>
      </c>
      <c r="H23" s="313">
        <f>-140000/100000</f>
        <v>-1.4</v>
      </c>
      <c r="I23" s="313">
        <f t="shared" si="17"/>
        <v>6.6</v>
      </c>
      <c r="J23" s="581">
        <f t="shared" si="1"/>
        <v>43252</v>
      </c>
      <c r="K23" s="2">
        <v>43253</v>
      </c>
      <c r="L23" s="6" t="s">
        <v>672</v>
      </c>
      <c r="M23" s="313">
        <f>-350000/100000</f>
        <v>-3.5</v>
      </c>
      <c r="N23" s="313">
        <f t="shared" si="2"/>
        <v>38.349999999999994</v>
      </c>
      <c r="O23" s="581">
        <f t="shared" si="3"/>
        <v>1</v>
      </c>
      <c r="S23" s="313" t="str">
        <f t="shared" si="4"/>
        <v/>
      </c>
      <c r="T23" s="581">
        <f t="shared" si="5"/>
        <v>43770</v>
      </c>
      <c r="U23" s="2">
        <v>43770</v>
      </c>
      <c r="V23" t="s">
        <v>1082</v>
      </c>
      <c r="W23" s="313">
        <v>-51250</v>
      </c>
      <c r="X23" s="313">
        <f t="shared" si="6"/>
        <v>146155.79999999999</v>
      </c>
      <c r="Y23" s="581">
        <f t="shared" si="7"/>
        <v>1</v>
      </c>
      <c r="AC23" s="313" t="str">
        <f t="shared" si="8"/>
        <v/>
      </c>
      <c r="AD23" s="581">
        <f t="shared" si="9"/>
        <v>1</v>
      </c>
      <c r="AH23" s="313" t="str">
        <f t="shared" si="10"/>
        <v/>
      </c>
      <c r="AI23" s="581">
        <f t="shared" si="11"/>
        <v>43586</v>
      </c>
      <c r="AJ23" s="2">
        <v>43613</v>
      </c>
      <c r="AK23" t="s">
        <v>970</v>
      </c>
      <c r="AL23" s="313">
        <v>-8000</v>
      </c>
      <c r="AM23" s="313">
        <f t="shared" si="12"/>
        <v>48000</v>
      </c>
      <c r="AN23" s="581">
        <f t="shared" si="13"/>
        <v>1</v>
      </c>
      <c r="AR23" s="313" t="str">
        <f t="shared" si="14"/>
        <v/>
      </c>
      <c r="AS23" s="581">
        <f t="shared" si="15"/>
        <v>1</v>
      </c>
      <c r="AW23" s="313" t="str">
        <f t="shared" si="16"/>
        <v/>
      </c>
    </row>
    <row r="24" spans="4:49">
      <c r="E24" s="581">
        <f t="shared" si="0"/>
        <v>43191</v>
      </c>
      <c r="F24" s="2">
        <v>43195</v>
      </c>
      <c r="G24" t="s">
        <v>668</v>
      </c>
      <c r="H24" s="313">
        <f>-140000/100000</f>
        <v>-1.4</v>
      </c>
      <c r="I24" s="313">
        <f t="shared" si="17"/>
        <v>5.1999999999999993</v>
      </c>
      <c r="J24" s="581">
        <f t="shared" si="1"/>
        <v>43252</v>
      </c>
      <c r="K24" s="2">
        <v>43257</v>
      </c>
      <c r="L24" t="s">
        <v>707</v>
      </c>
      <c r="M24" s="313">
        <f>-400000/100000</f>
        <v>-4</v>
      </c>
      <c r="N24" s="313">
        <f t="shared" si="2"/>
        <v>34.349999999999994</v>
      </c>
      <c r="O24" s="581">
        <f t="shared" si="3"/>
        <v>1</v>
      </c>
      <c r="S24" s="313" t="str">
        <f t="shared" si="4"/>
        <v/>
      </c>
      <c r="T24" s="581">
        <f t="shared" si="5"/>
        <v>43770</v>
      </c>
      <c r="U24" s="2">
        <v>43799</v>
      </c>
      <c r="V24" t="s">
        <v>1100</v>
      </c>
      <c r="W24" s="313">
        <v>-81750</v>
      </c>
      <c r="X24" s="313">
        <f t="shared" si="6"/>
        <v>64405.8</v>
      </c>
      <c r="Y24" s="581">
        <f t="shared" si="7"/>
        <v>1</v>
      </c>
      <c r="AC24" s="313" t="str">
        <f t="shared" si="8"/>
        <v/>
      </c>
      <c r="AD24" s="581">
        <f t="shared" si="9"/>
        <v>1</v>
      </c>
      <c r="AH24" s="313" t="str">
        <f t="shared" si="10"/>
        <v/>
      </c>
      <c r="AI24" s="581">
        <f t="shared" si="11"/>
        <v>43617</v>
      </c>
      <c r="AJ24" s="2">
        <v>43623</v>
      </c>
      <c r="AK24" t="s">
        <v>986</v>
      </c>
      <c r="AL24" s="313">
        <v>-8000</v>
      </c>
      <c r="AM24" s="313">
        <f t="shared" si="12"/>
        <v>40000</v>
      </c>
      <c r="AN24" s="581">
        <f t="shared" si="13"/>
        <v>1</v>
      </c>
      <c r="AR24" s="313" t="str">
        <f t="shared" si="14"/>
        <v/>
      </c>
      <c r="AS24" s="581">
        <f t="shared" si="15"/>
        <v>1</v>
      </c>
      <c r="AW24" s="313" t="str">
        <f t="shared" si="16"/>
        <v/>
      </c>
    </row>
    <row r="25" spans="4:49">
      <c r="E25" s="581">
        <f t="shared" si="0"/>
        <v>43221</v>
      </c>
      <c r="F25" s="2">
        <v>43223</v>
      </c>
      <c r="G25" t="s">
        <v>684</v>
      </c>
      <c r="H25" s="313">
        <f>-400000/100000</f>
        <v>-4</v>
      </c>
      <c r="I25" s="313">
        <f t="shared" si="17"/>
        <v>1.1999999999999993</v>
      </c>
      <c r="J25" s="581">
        <f t="shared" si="1"/>
        <v>43252</v>
      </c>
      <c r="K25" s="2">
        <v>43279</v>
      </c>
      <c r="L25" t="s">
        <v>742</v>
      </c>
      <c r="M25" s="313">
        <f>-225000/100000</f>
        <v>-2.25</v>
      </c>
      <c r="N25" s="313">
        <f t="shared" si="2"/>
        <v>32.099999999999994</v>
      </c>
      <c r="O25" s="581">
        <f t="shared" si="3"/>
        <v>1</v>
      </c>
      <c r="S25" s="313" t="str">
        <f t="shared" si="4"/>
        <v/>
      </c>
      <c r="T25" s="581">
        <f t="shared" si="5"/>
        <v>43831</v>
      </c>
      <c r="U25" s="2">
        <v>43852</v>
      </c>
      <c r="V25" t="s">
        <v>1226</v>
      </c>
      <c r="W25" s="313">
        <v>-64405.8</v>
      </c>
      <c r="X25" s="313">
        <f t="shared" si="6"/>
        <v>0</v>
      </c>
      <c r="Y25" s="581">
        <f t="shared" si="7"/>
        <v>1</v>
      </c>
      <c r="AC25" s="313" t="str">
        <f t="shared" si="8"/>
        <v/>
      </c>
      <c r="AD25" s="581">
        <f t="shared" si="9"/>
        <v>1</v>
      </c>
      <c r="AH25" s="313" t="str">
        <f t="shared" si="10"/>
        <v/>
      </c>
      <c r="AI25" s="581">
        <f t="shared" si="11"/>
        <v>43647</v>
      </c>
      <c r="AJ25" s="2">
        <v>43656</v>
      </c>
      <c r="AK25" t="s">
        <v>1007</v>
      </c>
      <c r="AL25" s="313">
        <v>-10000</v>
      </c>
      <c r="AM25" s="313">
        <f t="shared" si="12"/>
        <v>30000</v>
      </c>
      <c r="AN25" s="581">
        <f t="shared" si="13"/>
        <v>1</v>
      </c>
      <c r="AR25" s="313" t="str">
        <f t="shared" si="14"/>
        <v/>
      </c>
      <c r="AS25" s="581">
        <f t="shared" si="15"/>
        <v>1</v>
      </c>
      <c r="AW25" s="313" t="str">
        <f t="shared" si="16"/>
        <v/>
      </c>
    </row>
    <row r="26" spans="4:49">
      <c r="E26" s="581">
        <f t="shared" si="0"/>
        <v>43221</v>
      </c>
      <c r="F26" s="2">
        <v>43242</v>
      </c>
      <c r="G26" s="6" t="s">
        <v>1196</v>
      </c>
      <c r="H26" s="313">
        <f>5000000/100000</f>
        <v>50</v>
      </c>
      <c r="I26" s="313">
        <f t="shared" si="17"/>
        <v>51.2</v>
      </c>
      <c r="J26" s="581">
        <f t="shared" si="1"/>
        <v>43282</v>
      </c>
      <c r="K26" s="2">
        <v>43285</v>
      </c>
      <c r="L26" t="s">
        <v>750</v>
      </c>
      <c r="M26" s="313">
        <f>-1000000/100000</f>
        <v>-10</v>
      </c>
      <c r="N26" s="313">
        <f t="shared" si="2"/>
        <v>22.099999999999994</v>
      </c>
      <c r="O26" s="581">
        <f t="shared" si="3"/>
        <v>1</v>
      </c>
      <c r="S26" s="313" t="str">
        <f t="shared" si="4"/>
        <v/>
      </c>
      <c r="T26" s="581">
        <f t="shared" si="5"/>
        <v>1</v>
      </c>
      <c r="X26" s="313" t="str">
        <f t="shared" si="6"/>
        <v/>
      </c>
      <c r="Y26" s="581">
        <f t="shared" si="7"/>
        <v>1</v>
      </c>
      <c r="AC26" s="313" t="str">
        <f t="shared" si="8"/>
        <v/>
      </c>
      <c r="AD26" s="581">
        <f t="shared" si="9"/>
        <v>1</v>
      </c>
      <c r="AH26" s="313" t="str">
        <f t="shared" si="10"/>
        <v/>
      </c>
      <c r="AI26" s="581">
        <f t="shared" si="11"/>
        <v>43678</v>
      </c>
      <c r="AJ26" s="2">
        <v>43682</v>
      </c>
      <c r="AK26" t="s">
        <v>1026</v>
      </c>
      <c r="AL26" s="313">
        <v>-10000</v>
      </c>
      <c r="AM26" s="313">
        <f t="shared" si="12"/>
        <v>20000</v>
      </c>
      <c r="AN26" s="581">
        <f t="shared" si="13"/>
        <v>1</v>
      </c>
      <c r="AR26" s="313" t="str">
        <f t="shared" si="14"/>
        <v/>
      </c>
      <c r="AS26" s="581">
        <f t="shared" si="15"/>
        <v>1</v>
      </c>
      <c r="AW26" s="313" t="str">
        <f t="shared" si="16"/>
        <v/>
      </c>
    </row>
    <row r="27" spans="4:49">
      <c r="E27" s="581">
        <f t="shared" si="0"/>
        <v>43252</v>
      </c>
      <c r="F27" s="2">
        <v>43257</v>
      </c>
      <c r="G27" t="s">
        <v>707</v>
      </c>
      <c r="H27" s="313">
        <f>-400000/100000</f>
        <v>-4</v>
      </c>
      <c r="I27" s="313">
        <f t="shared" si="17"/>
        <v>47.2</v>
      </c>
      <c r="J27" s="581">
        <f t="shared" si="1"/>
        <v>43282</v>
      </c>
      <c r="K27" s="2">
        <v>43291</v>
      </c>
      <c r="L27" s="6" t="s">
        <v>744</v>
      </c>
      <c r="M27" s="313">
        <f>-1220000/100000</f>
        <v>-12.2</v>
      </c>
      <c r="N27" s="313">
        <f t="shared" si="2"/>
        <v>9.899999999999995</v>
      </c>
      <c r="O27" s="581">
        <f t="shared" si="3"/>
        <v>1</v>
      </c>
      <c r="S27" s="313" t="str">
        <f t="shared" si="4"/>
        <v/>
      </c>
      <c r="T27" s="581">
        <f t="shared" si="5"/>
        <v>1</v>
      </c>
      <c r="X27" s="313" t="str">
        <f t="shared" si="6"/>
        <v/>
      </c>
      <c r="Y27" s="581">
        <f t="shared" si="7"/>
        <v>1</v>
      </c>
      <c r="AC27" s="313" t="str">
        <f t="shared" si="8"/>
        <v/>
      </c>
      <c r="AD27" s="581">
        <f t="shared" si="9"/>
        <v>1</v>
      </c>
      <c r="AH27" s="313" t="str">
        <f t="shared" si="10"/>
        <v/>
      </c>
      <c r="AI27" s="581">
        <f t="shared" si="11"/>
        <v>43709</v>
      </c>
      <c r="AJ27" s="2">
        <v>43731</v>
      </c>
      <c r="AK27" t="s">
        <v>1035</v>
      </c>
      <c r="AL27" s="313">
        <v>-19800</v>
      </c>
      <c r="AM27" s="313">
        <f t="shared" si="12"/>
        <v>200</v>
      </c>
      <c r="AN27" s="581">
        <f t="shared" si="13"/>
        <v>1</v>
      </c>
      <c r="AR27" s="313" t="str">
        <f t="shared" si="14"/>
        <v/>
      </c>
      <c r="AS27" s="581">
        <f t="shared" si="15"/>
        <v>1</v>
      </c>
      <c r="AW27" s="313" t="str">
        <f t="shared" si="16"/>
        <v/>
      </c>
    </row>
    <row r="28" spans="4:49">
      <c r="E28" s="581">
        <f t="shared" si="0"/>
        <v>43252</v>
      </c>
      <c r="F28" s="2">
        <v>43279</v>
      </c>
      <c r="G28" t="s">
        <v>742</v>
      </c>
      <c r="H28" s="313">
        <f>-225000/100000</f>
        <v>-2.25</v>
      </c>
      <c r="I28" s="313">
        <f t="shared" si="17"/>
        <v>44.95</v>
      </c>
      <c r="J28" s="581">
        <f t="shared" si="1"/>
        <v>43313</v>
      </c>
      <c r="K28" s="2">
        <v>43313</v>
      </c>
      <c r="L28" t="s">
        <v>806</v>
      </c>
      <c r="M28" s="313">
        <f>-990000/100000</f>
        <v>-9.9</v>
      </c>
      <c r="N28" s="313">
        <f t="shared" si="2"/>
        <v>-5.3290705182007514E-15</v>
      </c>
      <c r="O28" s="581">
        <f t="shared" si="3"/>
        <v>1</v>
      </c>
      <c r="S28" s="313" t="str">
        <f t="shared" si="4"/>
        <v/>
      </c>
      <c r="T28" s="581">
        <f t="shared" si="5"/>
        <v>1</v>
      </c>
      <c r="X28" s="313" t="str">
        <f t="shared" si="6"/>
        <v/>
      </c>
      <c r="Y28" s="581">
        <f t="shared" si="7"/>
        <v>1</v>
      </c>
      <c r="AC28" s="313" t="str">
        <f t="shared" si="8"/>
        <v/>
      </c>
      <c r="AD28" s="581">
        <f t="shared" si="9"/>
        <v>1</v>
      </c>
      <c r="AH28" s="313" t="str">
        <f t="shared" si="10"/>
        <v/>
      </c>
      <c r="AI28" s="581">
        <f t="shared" si="11"/>
        <v>1</v>
      </c>
      <c r="AM28" s="313" t="str">
        <f t="shared" si="12"/>
        <v/>
      </c>
      <c r="AN28" s="581">
        <f t="shared" si="13"/>
        <v>1</v>
      </c>
      <c r="AR28" s="313" t="str">
        <f t="shared" si="14"/>
        <v/>
      </c>
      <c r="AS28" s="581">
        <f t="shared" si="15"/>
        <v>1</v>
      </c>
      <c r="AW28" s="313" t="str">
        <f t="shared" si="16"/>
        <v/>
      </c>
    </row>
    <row r="29" spans="4:49">
      <c r="E29" s="581">
        <f t="shared" si="0"/>
        <v>43282</v>
      </c>
      <c r="F29" s="2">
        <v>43285</v>
      </c>
      <c r="G29" t="s">
        <v>750</v>
      </c>
      <c r="H29" s="313">
        <f>-1000000/100000</f>
        <v>-10</v>
      </c>
      <c r="I29" s="313">
        <f t="shared" si="17"/>
        <v>34.950000000000003</v>
      </c>
      <c r="J29" s="581">
        <f t="shared" si="1"/>
        <v>43313</v>
      </c>
      <c r="K29" s="2">
        <v>43314</v>
      </c>
      <c r="L29" t="s">
        <v>1196</v>
      </c>
      <c r="M29" s="313">
        <f>7410000/100000</f>
        <v>74.099999999999994</v>
      </c>
      <c r="N29" s="313">
        <f t="shared" si="2"/>
        <v>74.099999999999994</v>
      </c>
      <c r="O29" s="581">
        <f t="shared" si="3"/>
        <v>1</v>
      </c>
      <c r="S29" s="313" t="str">
        <f t="shared" si="4"/>
        <v/>
      </c>
      <c r="T29" s="581">
        <f t="shared" si="5"/>
        <v>1</v>
      </c>
      <c r="X29" s="313" t="str">
        <f t="shared" si="6"/>
        <v/>
      </c>
      <c r="Y29" s="581">
        <f t="shared" si="7"/>
        <v>1</v>
      </c>
      <c r="AC29" s="313" t="str">
        <f t="shared" si="8"/>
        <v/>
      </c>
      <c r="AD29" s="581">
        <f t="shared" si="9"/>
        <v>1</v>
      </c>
      <c r="AH29" s="313" t="str">
        <f t="shared" si="10"/>
        <v/>
      </c>
      <c r="AI29" s="581">
        <f t="shared" si="11"/>
        <v>1</v>
      </c>
      <c r="AM29" s="313" t="str">
        <f t="shared" si="12"/>
        <v/>
      </c>
      <c r="AN29" s="581">
        <f t="shared" si="13"/>
        <v>1</v>
      </c>
      <c r="AR29" s="313" t="str">
        <f t="shared" si="14"/>
        <v/>
      </c>
      <c r="AS29" s="581">
        <f t="shared" si="15"/>
        <v>1</v>
      </c>
      <c r="AW29" s="313" t="str">
        <f t="shared" si="16"/>
        <v/>
      </c>
    </row>
    <row r="30" spans="4:49">
      <c r="E30" s="581">
        <f t="shared" si="0"/>
        <v>43313</v>
      </c>
      <c r="F30" s="2">
        <v>43313</v>
      </c>
      <c r="G30" t="s">
        <v>787</v>
      </c>
      <c r="H30" s="313">
        <f>-1200000/100000</f>
        <v>-12</v>
      </c>
      <c r="I30" s="313">
        <f t="shared" si="17"/>
        <v>22.950000000000003</v>
      </c>
      <c r="J30" s="581">
        <f t="shared" si="1"/>
        <v>43313</v>
      </c>
      <c r="K30" s="2">
        <v>43314</v>
      </c>
      <c r="L30" t="s">
        <v>788</v>
      </c>
      <c r="M30" s="313">
        <f>-210000/100000</f>
        <v>-2.1</v>
      </c>
      <c r="N30" s="313">
        <f t="shared" si="2"/>
        <v>72</v>
      </c>
      <c r="O30" s="581">
        <f t="shared" si="3"/>
        <v>1</v>
      </c>
      <c r="S30" s="313" t="str">
        <f t="shared" si="4"/>
        <v/>
      </c>
      <c r="T30" s="581">
        <f t="shared" si="5"/>
        <v>1</v>
      </c>
      <c r="X30" s="313" t="str">
        <f t="shared" si="6"/>
        <v/>
      </c>
      <c r="Y30" s="581">
        <f t="shared" si="7"/>
        <v>1</v>
      </c>
      <c r="AC30" s="313" t="str">
        <f t="shared" si="8"/>
        <v/>
      </c>
      <c r="AD30" s="581">
        <f t="shared" si="9"/>
        <v>1</v>
      </c>
      <c r="AH30" s="313" t="str">
        <f t="shared" si="10"/>
        <v/>
      </c>
      <c r="AI30" s="581">
        <f t="shared" si="11"/>
        <v>1</v>
      </c>
      <c r="AM30" s="313" t="str">
        <f t="shared" si="12"/>
        <v/>
      </c>
      <c r="AN30" s="581">
        <f t="shared" si="13"/>
        <v>1</v>
      </c>
      <c r="AR30" s="313" t="str">
        <f t="shared" si="14"/>
        <v/>
      </c>
      <c r="AS30" s="581">
        <f t="shared" si="15"/>
        <v>1</v>
      </c>
      <c r="AW30" s="313" t="str">
        <f t="shared" si="16"/>
        <v/>
      </c>
    </row>
    <row r="31" spans="4:49">
      <c r="E31" s="581">
        <f t="shared" si="0"/>
        <v>43344</v>
      </c>
      <c r="F31" s="2">
        <v>43355</v>
      </c>
      <c r="G31" t="s">
        <v>1227</v>
      </c>
      <c r="H31" s="313">
        <v>1600</v>
      </c>
      <c r="I31" s="313">
        <f t="shared" ref="I31:I75" si="18">IF(ISBLANK(H31),"",ROUND(I30+H31,2))</f>
        <v>1622.95</v>
      </c>
      <c r="J31" s="581">
        <f t="shared" si="1"/>
        <v>43374</v>
      </c>
      <c r="K31" s="2">
        <v>43403</v>
      </c>
      <c r="L31" t="s">
        <v>1196</v>
      </c>
      <c r="M31" s="313">
        <v>3850</v>
      </c>
      <c r="N31" s="313">
        <f t="shared" ref="N31:N75" si="19">IF(ISBLANK(M31),"",ROUND(N30+M31,2))</f>
        <v>3922</v>
      </c>
      <c r="O31" s="581">
        <f t="shared" si="3"/>
        <v>1</v>
      </c>
      <c r="S31" s="313" t="str">
        <f t="shared" si="4"/>
        <v/>
      </c>
      <c r="T31" s="581">
        <f t="shared" si="5"/>
        <v>1</v>
      </c>
      <c r="X31" s="313" t="str">
        <f t="shared" si="6"/>
        <v/>
      </c>
      <c r="Y31" s="581">
        <f t="shared" si="7"/>
        <v>1</v>
      </c>
      <c r="AC31" s="313" t="str">
        <f t="shared" si="8"/>
        <v/>
      </c>
      <c r="AD31" s="581">
        <f t="shared" si="9"/>
        <v>1</v>
      </c>
      <c r="AH31" s="313" t="str">
        <f t="shared" si="10"/>
        <v/>
      </c>
      <c r="AI31" s="581">
        <f t="shared" si="11"/>
        <v>1</v>
      </c>
      <c r="AM31" s="313" t="str">
        <f t="shared" si="12"/>
        <v/>
      </c>
      <c r="AN31" s="581">
        <f t="shared" si="13"/>
        <v>1</v>
      </c>
      <c r="AR31" s="313" t="str">
        <f t="shared" si="14"/>
        <v/>
      </c>
      <c r="AS31" s="581">
        <f t="shared" si="15"/>
        <v>1</v>
      </c>
      <c r="AW31" s="313" t="str">
        <f t="shared" si="16"/>
        <v/>
      </c>
    </row>
    <row r="32" spans="4:49">
      <c r="E32" s="581">
        <f t="shared" si="0"/>
        <v>43344</v>
      </c>
      <c r="F32" s="2">
        <v>43355</v>
      </c>
      <c r="G32" t="s">
        <v>810</v>
      </c>
      <c r="H32" s="313">
        <v>-320</v>
      </c>
      <c r="I32" s="313">
        <f t="shared" si="18"/>
        <v>1302.95</v>
      </c>
      <c r="J32" s="581">
        <f t="shared" si="1"/>
        <v>43374</v>
      </c>
      <c r="K32" s="2">
        <v>43403</v>
      </c>
      <c r="L32" t="s">
        <v>826</v>
      </c>
      <c r="M32" s="313">
        <v>-10</v>
      </c>
      <c r="N32" s="313">
        <f t="shared" si="19"/>
        <v>3912</v>
      </c>
      <c r="O32" s="581">
        <f t="shared" si="3"/>
        <v>1</v>
      </c>
      <c r="S32" s="313" t="str">
        <f t="shared" si="4"/>
        <v/>
      </c>
      <c r="T32" s="581">
        <f t="shared" si="5"/>
        <v>1</v>
      </c>
      <c r="X32" s="313" t="str">
        <f t="shared" si="6"/>
        <v/>
      </c>
      <c r="Y32" s="581">
        <f t="shared" si="7"/>
        <v>1</v>
      </c>
      <c r="AC32" s="313" t="str">
        <f t="shared" si="8"/>
        <v/>
      </c>
      <c r="AD32" s="581">
        <f t="shared" si="9"/>
        <v>1</v>
      </c>
      <c r="AH32" s="313" t="str">
        <f t="shared" si="10"/>
        <v/>
      </c>
      <c r="AI32" s="581">
        <f t="shared" si="11"/>
        <v>1</v>
      </c>
      <c r="AM32" s="313" t="str">
        <f t="shared" si="12"/>
        <v/>
      </c>
      <c r="AN32" s="581">
        <f t="shared" si="13"/>
        <v>1</v>
      </c>
      <c r="AR32" s="313" t="str">
        <f t="shared" si="14"/>
        <v/>
      </c>
      <c r="AS32" s="581">
        <f t="shared" si="15"/>
        <v>1</v>
      </c>
      <c r="AW32" s="313" t="str">
        <f t="shared" si="16"/>
        <v/>
      </c>
    </row>
    <row r="33" spans="5:49">
      <c r="E33" s="581">
        <f t="shared" si="0"/>
        <v>43374</v>
      </c>
      <c r="F33" s="2">
        <v>43384</v>
      </c>
      <c r="G33" t="s">
        <v>823</v>
      </c>
      <c r="H33" s="313">
        <v>-320</v>
      </c>
      <c r="I33" s="313">
        <f t="shared" si="18"/>
        <v>982.95</v>
      </c>
      <c r="J33" s="581">
        <f t="shared" si="1"/>
        <v>43374</v>
      </c>
      <c r="K33" s="2">
        <v>43403</v>
      </c>
      <c r="L33" t="s">
        <v>835</v>
      </c>
      <c r="M33" s="313">
        <f>-320*2</f>
        <v>-640</v>
      </c>
      <c r="N33" s="313">
        <f t="shared" si="19"/>
        <v>3272</v>
      </c>
      <c r="O33" s="581">
        <f t="shared" si="3"/>
        <v>1</v>
      </c>
      <c r="S33" s="313" t="str">
        <f t="shared" si="4"/>
        <v/>
      </c>
      <c r="T33" s="581">
        <f t="shared" si="5"/>
        <v>1</v>
      </c>
      <c r="X33" s="313" t="str">
        <f t="shared" si="6"/>
        <v/>
      </c>
      <c r="Y33" s="581">
        <f t="shared" si="7"/>
        <v>1</v>
      </c>
      <c r="AC33" s="313" t="str">
        <f t="shared" si="8"/>
        <v/>
      </c>
      <c r="AD33" s="581">
        <f t="shared" si="9"/>
        <v>1</v>
      </c>
      <c r="AH33" s="313" t="str">
        <f t="shared" si="10"/>
        <v/>
      </c>
      <c r="AI33" s="581">
        <f t="shared" si="11"/>
        <v>1</v>
      </c>
      <c r="AM33" s="313" t="str">
        <f t="shared" si="12"/>
        <v/>
      </c>
      <c r="AN33" s="581">
        <f t="shared" si="13"/>
        <v>1</v>
      </c>
      <c r="AR33" s="313" t="str">
        <f t="shared" si="14"/>
        <v/>
      </c>
      <c r="AS33" s="581">
        <f t="shared" si="15"/>
        <v>1</v>
      </c>
      <c r="AW33" s="313" t="str">
        <f t="shared" si="16"/>
        <v/>
      </c>
    </row>
    <row r="34" spans="5:49">
      <c r="E34" s="581">
        <f t="shared" si="0"/>
        <v>43405</v>
      </c>
      <c r="F34" s="2">
        <v>43412</v>
      </c>
      <c r="G34" t="s">
        <v>848</v>
      </c>
      <c r="H34" s="313">
        <v>-320</v>
      </c>
      <c r="I34" s="313">
        <f t="shared" si="18"/>
        <v>662.95</v>
      </c>
      <c r="J34" s="581">
        <f t="shared" si="1"/>
        <v>43405</v>
      </c>
      <c r="K34" s="2">
        <v>43412</v>
      </c>
      <c r="L34" t="s">
        <v>848</v>
      </c>
      <c r="M34" s="313">
        <v>-320</v>
      </c>
      <c r="N34" s="313">
        <f t="shared" si="19"/>
        <v>2952</v>
      </c>
      <c r="O34" s="581">
        <f t="shared" si="3"/>
        <v>1</v>
      </c>
      <c r="S34" s="313" t="str">
        <f t="shared" si="4"/>
        <v/>
      </c>
      <c r="T34" s="581">
        <f t="shared" si="5"/>
        <v>1</v>
      </c>
      <c r="X34" s="313" t="str">
        <f t="shared" si="6"/>
        <v/>
      </c>
      <c r="Y34" s="581">
        <f t="shared" si="7"/>
        <v>1</v>
      </c>
      <c r="AC34" s="313" t="str">
        <f t="shared" si="8"/>
        <v/>
      </c>
      <c r="AD34" s="581">
        <f t="shared" si="9"/>
        <v>1</v>
      </c>
      <c r="AH34" s="313" t="str">
        <f t="shared" si="10"/>
        <v/>
      </c>
      <c r="AI34" s="581">
        <f t="shared" si="11"/>
        <v>1</v>
      </c>
      <c r="AM34" s="313" t="str">
        <f t="shared" si="12"/>
        <v/>
      </c>
      <c r="AN34" s="581">
        <f t="shared" si="13"/>
        <v>1</v>
      </c>
      <c r="AR34" s="313" t="str">
        <f t="shared" si="14"/>
        <v/>
      </c>
      <c r="AS34" s="581">
        <f t="shared" si="15"/>
        <v>1</v>
      </c>
      <c r="AW34" s="313" t="str">
        <f t="shared" si="16"/>
        <v/>
      </c>
    </row>
    <row r="35" spans="5:49">
      <c r="E35" s="581">
        <f t="shared" si="0"/>
        <v>43435</v>
      </c>
      <c r="F35" s="2">
        <v>43439</v>
      </c>
      <c r="G35" s="6" t="s">
        <v>861</v>
      </c>
      <c r="H35" s="313">
        <v>-662.95</v>
      </c>
      <c r="I35" s="313">
        <f t="shared" si="18"/>
        <v>0</v>
      </c>
      <c r="J35" s="581">
        <f t="shared" si="1"/>
        <v>43435</v>
      </c>
      <c r="K35" s="2">
        <v>43439</v>
      </c>
      <c r="L35" s="6" t="s">
        <v>861</v>
      </c>
      <c r="M35" s="313">
        <v>-800</v>
      </c>
      <c r="N35" s="313">
        <f t="shared" si="19"/>
        <v>2152</v>
      </c>
      <c r="O35" s="581">
        <f t="shared" si="3"/>
        <v>1</v>
      </c>
      <c r="S35" s="313" t="str">
        <f t="shared" si="4"/>
        <v/>
      </c>
      <c r="T35" s="581">
        <f t="shared" si="5"/>
        <v>1</v>
      </c>
      <c r="X35" s="313" t="str">
        <f t="shared" si="6"/>
        <v/>
      </c>
      <c r="Y35" s="581">
        <f t="shared" si="7"/>
        <v>1</v>
      </c>
      <c r="AC35" s="313" t="str">
        <f t="shared" si="8"/>
        <v/>
      </c>
      <c r="AD35" s="581">
        <f t="shared" si="9"/>
        <v>1</v>
      </c>
      <c r="AH35" s="313" t="str">
        <f t="shared" si="10"/>
        <v/>
      </c>
      <c r="AI35" s="581">
        <f t="shared" si="11"/>
        <v>1</v>
      </c>
      <c r="AM35" s="313" t="str">
        <f t="shared" si="12"/>
        <v/>
      </c>
      <c r="AN35" s="581">
        <f t="shared" si="13"/>
        <v>1</v>
      </c>
      <c r="AR35" s="313" t="str">
        <f t="shared" si="14"/>
        <v/>
      </c>
      <c r="AS35" s="581">
        <f t="shared" si="15"/>
        <v>1</v>
      </c>
      <c r="AW35" s="313" t="str">
        <f t="shared" si="16"/>
        <v/>
      </c>
    </row>
    <row r="36" spans="5:49">
      <c r="E36" s="581">
        <f t="shared" si="0"/>
        <v>43466</v>
      </c>
      <c r="F36" s="2">
        <v>43473</v>
      </c>
      <c r="G36" t="s">
        <v>1228</v>
      </c>
      <c r="H36" s="313">
        <v>10000</v>
      </c>
      <c r="I36" s="313">
        <f t="shared" si="18"/>
        <v>10000</v>
      </c>
      <c r="J36" s="581">
        <f t="shared" si="1"/>
        <v>43466</v>
      </c>
      <c r="K36" s="2">
        <v>43476</v>
      </c>
      <c r="L36" s="6" t="s">
        <v>881</v>
      </c>
      <c r="M36" s="313">
        <v>-800</v>
      </c>
      <c r="N36" s="313">
        <f t="shared" si="19"/>
        <v>1352</v>
      </c>
      <c r="O36" s="581">
        <f t="shared" si="3"/>
        <v>1</v>
      </c>
      <c r="S36" s="313" t="str">
        <f t="shared" si="4"/>
        <v/>
      </c>
      <c r="T36" s="581">
        <f t="shared" si="5"/>
        <v>1</v>
      </c>
      <c r="X36" s="313" t="str">
        <f t="shared" si="6"/>
        <v/>
      </c>
      <c r="Y36" s="581">
        <f t="shared" si="7"/>
        <v>1</v>
      </c>
      <c r="AC36" s="313" t="str">
        <f t="shared" si="8"/>
        <v/>
      </c>
      <c r="AD36" s="581">
        <f t="shared" si="9"/>
        <v>1</v>
      </c>
      <c r="AH36" s="313" t="str">
        <f t="shared" si="10"/>
        <v/>
      </c>
      <c r="AI36" s="581">
        <f t="shared" si="11"/>
        <v>1</v>
      </c>
      <c r="AM36" s="313" t="str">
        <f t="shared" si="12"/>
        <v/>
      </c>
      <c r="AN36" s="581">
        <f t="shared" si="13"/>
        <v>1</v>
      </c>
      <c r="AR36" s="313" t="str">
        <f t="shared" si="14"/>
        <v/>
      </c>
      <c r="AS36" s="581">
        <f t="shared" si="15"/>
        <v>1</v>
      </c>
      <c r="AW36" s="313" t="str">
        <f t="shared" si="16"/>
        <v/>
      </c>
    </row>
    <row r="37" spans="5:49">
      <c r="E37" s="581">
        <f t="shared" si="0"/>
        <v>43466</v>
      </c>
      <c r="F37" s="2">
        <v>43473</v>
      </c>
      <c r="G37" t="s">
        <v>863</v>
      </c>
      <c r="H37" s="313">
        <f>-(800-662.95)</f>
        <v>-137.04999999999995</v>
      </c>
      <c r="I37" s="313">
        <f t="shared" si="18"/>
        <v>9862.9500000000007</v>
      </c>
      <c r="J37" s="581">
        <f t="shared" si="1"/>
        <v>43497</v>
      </c>
      <c r="K37" s="2">
        <v>43500</v>
      </c>
      <c r="L37" t="s">
        <v>1196</v>
      </c>
      <c r="M37" s="313">
        <v>35200</v>
      </c>
      <c r="N37" s="313">
        <f t="shared" si="19"/>
        <v>36552</v>
      </c>
      <c r="O37" s="581">
        <f t="shared" si="3"/>
        <v>1</v>
      </c>
      <c r="S37" s="313" t="str">
        <f t="shared" si="4"/>
        <v/>
      </c>
      <c r="T37" s="581">
        <f t="shared" si="5"/>
        <v>1</v>
      </c>
      <c r="X37" s="313" t="str">
        <f t="shared" si="6"/>
        <v/>
      </c>
      <c r="Y37" s="581">
        <f t="shared" si="7"/>
        <v>1</v>
      </c>
      <c r="AC37" s="313" t="str">
        <f t="shared" si="8"/>
        <v/>
      </c>
      <c r="AD37" s="581">
        <f t="shared" si="9"/>
        <v>1</v>
      </c>
      <c r="AH37" s="313" t="str">
        <f t="shared" si="10"/>
        <v/>
      </c>
      <c r="AI37" s="581">
        <f t="shared" si="11"/>
        <v>1</v>
      </c>
      <c r="AM37" s="313" t="str">
        <f t="shared" si="12"/>
        <v/>
      </c>
      <c r="AN37" s="581">
        <f t="shared" si="13"/>
        <v>1</v>
      </c>
      <c r="AR37" s="313" t="str">
        <f t="shared" si="14"/>
        <v/>
      </c>
      <c r="AS37" s="581">
        <f t="shared" si="15"/>
        <v>1</v>
      </c>
      <c r="AW37" s="313" t="str">
        <f t="shared" si="16"/>
        <v/>
      </c>
    </row>
    <row r="38" spans="5:49">
      <c r="E38" s="581">
        <f t="shared" si="0"/>
        <v>43466</v>
      </c>
      <c r="F38" s="2">
        <v>43473</v>
      </c>
      <c r="G38" t="s">
        <v>887</v>
      </c>
      <c r="H38" s="313">
        <v>-800</v>
      </c>
      <c r="I38" s="313">
        <f t="shared" si="18"/>
        <v>9062.9500000000007</v>
      </c>
      <c r="J38" s="581">
        <f t="shared" si="1"/>
        <v>43497</v>
      </c>
      <c r="K38" s="2">
        <v>43502</v>
      </c>
      <c r="L38" t="s">
        <v>886</v>
      </c>
      <c r="M38" s="313">
        <v>-2200</v>
      </c>
      <c r="N38" s="313">
        <f t="shared" si="19"/>
        <v>34352</v>
      </c>
      <c r="O38" s="581">
        <f t="shared" si="3"/>
        <v>1</v>
      </c>
      <c r="S38" s="313" t="str">
        <f t="shared" si="4"/>
        <v/>
      </c>
      <c r="T38" s="581">
        <f t="shared" si="5"/>
        <v>1</v>
      </c>
      <c r="X38" s="313" t="str">
        <f t="shared" si="6"/>
        <v/>
      </c>
      <c r="Y38" s="581">
        <f t="shared" si="7"/>
        <v>1</v>
      </c>
      <c r="AC38" s="313" t="str">
        <f t="shared" si="8"/>
        <v/>
      </c>
      <c r="AD38" s="581">
        <f t="shared" si="9"/>
        <v>1</v>
      </c>
      <c r="AH38" s="313" t="str">
        <f t="shared" si="10"/>
        <v/>
      </c>
      <c r="AI38" s="581">
        <f t="shared" si="11"/>
        <v>1</v>
      </c>
      <c r="AM38" s="313" t="str">
        <f t="shared" si="12"/>
        <v/>
      </c>
      <c r="AN38" s="581">
        <f t="shared" si="13"/>
        <v>1</v>
      </c>
      <c r="AR38" s="313" t="str">
        <f t="shared" si="14"/>
        <v/>
      </c>
      <c r="AS38" s="581">
        <f t="shared" si="15"/>
        <v>1</v>
      </c>
      <c r="AW38" s="313" t="str">
        <f t="shared" si="16"/>
        <v/>
      </c>
    </row>
    <row r="39" spans="5:49">
      <c r="E39" s="581">
        <f t="shared" si="0"/>
        <v>43466</v>
      </c>
      <c r="F39" s="2">
        <v>43481</v>
      </c>
      <c r="G39" t="s">
        <v>886</v>
      </c>
      <c r="H39" s="313">
        <v>-2200</v>
      </c>
      <c r="I39" s="313">
        <f t="shared" si="18"/>
        <v>6862.95</v>
      </c>
      <c r="J39" s="581">
        <f t="shared" si="1"/>
        <v>43497</v>
      </c>
      <c r="K39" s="2">
        <v>43502</v>
      </c>
      <c r="L39" t="s">
        <v>897</v>
      </c>
      <c r="M39" s="313">
        <v>-3000</v>
      </c>
      <c r="N39" s="313">
        <f t="shared" si="19"/>
        <v>31352</v>
      </c>
      <c r="O39" s="581">
        <f t="shared" si="3"/>
        <v>1</v>
      </c>
      <c r="S39" s="313" t="str">
        <f t="shared" si="4"/>
        <v/>
      </c>
      <c r="T39" s="581">
        <f t="shared" si="5"/>
        <v>1</v>
      </c>
      <c r="X39" s="313" t="str">
        <f t="shared" si="6"/>
        <v/>
      </c>
      <c r="Y39" s="581">
        <f t="shared" si="7"/>
        <v>1</v>
      </c>
      <c r="AC39" s="313" t="str">
        <f t="shared" si="8"/>
        <v/>
      </c>
      <c r="AD39" s="581">
        <f t="shared" si="9"/>
        <v>1</v>
      </c>
      <c r="AH39" s="313" t="str">
        <f t="shared" si="10"/>
        <v/>
      </c>
      <c r="AI39" s="581">
        <f t="shared" si="11"/>
        <v>1</v>
      </c>
      <c r="AM39" s="313" t="str">
        <f t="shared" si="12"/>
        <v/>
      </c>
      <c r="AN39" s="581">
        <f t="shared" si="13"/>
        <v>1</v>
      </c>
      <c r="AR39" s="313" t="str">
        <f t="shared" si="14"/>
        <v/>
      </c>
      <c r="AS39" s="581">
        <f t="shared" si="15"/>
        <v>1</v>
      </c>
      <c r="AW39" s="313" t="str">
        <f t="shared" si="16"/>
        <v/>
      </c>
    </row>
    <row r="40" spans="5:49">
      <c r="E40" s="581">
        <f t="shared" si="0"/>
        <v>43497</v>
      </c>
      <c r="F40" s="2">
        <v>43509</v>
      </c>
      <c r="G40" t="s">
        <v>897</v>
      </c>
      <c r="H40" s="313">
        <v>-3000</v>
      </c>
      <c r="I40" s="313">
        <f t="shared" si="18"/>
        <v>3862.95</v>
      </c>
      <c r="J40" s="581">
        <f t="shared" si="1"/>
        <v>43525</v>
      </c>
      <c r="K40" s="2">
        <v>43536</v>
      </c>
      <c r="L40" t="s">
        <v>909</v>
      </c>
      <c r="M40" s="313">
        <v>-3000</v>
      </c>
      <c r="N40" s="313">
        <f t="shared" si="19"/>
        <v>28352</v>
      </c>
      <c r="O40" s="581">
        <f t="shared" si="3"/>
        <v>1</v>
      </c>
      <c r="S40" s="313" t="str">
        <f t="shared" si="4"/>
        <v/>
      </c>
      <c r="T40" s="581">
        <f t="shared" si="5"/>
        <v>1</v>
      </c>
      <c r="X40" s="313" t="str">
        <f t="shared" si="6"/>
        <v/>
      </c>
      <c r="Y40" s="581">
        <f t="shared" si="7"/>
        <v>1</v>
      </c>
      <c r="AC40" s="313" t="str">
        <f t="shared" si="8"/>
        <v/>
      </c>
      <c r="AD40" s="581">
        <f t="shared" si="9"/>
        <v>1</v>
      </c>
      <c r="AH40" s="313" t="str">
        <f t="shared" si="10"/>
        <v/>
      </c>
      <c r="AI40" s="581">
        <f t="shared" si="11"/>
        <v>1</v>
      </c>
      <c r="AM40" s="313" t="str">
        <f t="shared" si="12"/>
        <v/>
      </c>
      <c r="AN40" s="581">
        <f t="shared" si="13"/>
        <v>1</v>
      </c>
      <c r="AR40" s="313" t="str">
        <f t="shared" si="14"/>
        <v/>
      </c>
      <c r="AS40" s="581">
        <f t="shared" si="15"/>
        <v>1</v>
      </c>
      <c r="AW40" s="313" t="str">
        <f t="shared" si="16"/>
        <v/>
      </c>
    </row>
    <row r="41" spans="5:49">
      <c r="E41" s="581">
        <f t="shared" si="0"/>
        <v>43525</v>
      </c>
      <c r="F41" s="2">
        <v>43536</v>
      </c>
      <c r="G41" t="s">
        <v>909</v>
      </c>
      <c r="H41" s="313">
        <v>-3000</v>
      </c>
      <c r="I41" s="313">
        <f t="shared" si="18"/>
        <v>862.95</v>
      </c>
      <c r="J41" s="581">
        <f t="shared" si="1"/>
        <v>43556</v>
      </c>
      <c r="K41" s="2">
        <v>43571</v>
      </c>
      <c r="L41" t="s">
        <v>917</v>
      </c>
      <c r="M41" s="313">
        <v>-5000</v>
      </c>
      <c r="N41" s="313">
        <f t="shared" si="19"/>
        <v>23352</v>
      </c>
      <c r="O41" s="581">
        <f t="shared" si="3"/>
        <v>1</v>
      </c>
      <c r="S41" s="313" t="str">
        <f t="shared" si="4"/>
        <v/>
      </c>
      <c r="T41" s="581">
        <f t="shared" si="5"/>
        <v>1</v>
      </c>
      <c r="X41" s="313" t="str">
        <f t="shared" si="6"/>
        <v/>
      </c>
      <c r="Y41" s="581">
        <f t="shared" si="7"/>
        <v>1</v>
      </c>
      <c r="AC41" s="313" t="str">
        <f t="shared" si="8"/>
        <v/>
      </c>
      <c r="AD41" s="581">
        <f t="shared" si="9"/>
        <v>1</v>
      </c>
      <c r="AH41" s="313" t="str">
        <f t="shared" si="10"/>
        <v/>
      </c>
      <c r="AI41" s="581">
        <f t="shared" si="11"/>
        <v>1</v>
      </c>
      <c r="AM41" s="313" t="str">
        <f t="shared" si="12"/>
        <v/>
      </c>
      <c r="AN41" s="581">
        <f t="shared" si="13"/>
        <v>1</v>
      </c>
      <c r="AR41" s="313" t="str">
        <f t="shared" si="14"/>
        <v/>
      </c>
      <c r="AS41" s="581">
        <f t="shared" si="15"/>
        <v>1</v>
      </c>
      <c r="AW41" s="313" t="str">
        <f t="shared" si="16"/>
        <v/>
      </c>
    </row>
    <row r="42" spans="5:49">
      <c r="E42" s="581">
        <f t="shared" si="0"/>
        <v>43556</v>
      </c>
      <c r="F42" s="2">
        <v>43571</v>
      </c>
      <c r="G42" t="s">
        <v>1229</v>
      </c>
      <c r="H42" s="313">
        <v>100000</v>
      </c>
      <c r="I42" s="313">
        <f t="shared" si="18"/>
        <v>100862.95</v>
      </c>
      <c r="J42" s="581">
        <f t="shared" si="1"/>
        <v>43586</v>
      </c>
      <c r="K42" s="2">
        <v>43598</v>
      </c>
      <c r="L42" t="s">
        <v>970</v>
      </c>
      <c r="M42" s="313">
        <v>-8000</v>
      </c>
      <c r="N42" s="313">
        <f t="shared" si="19"/>
        <v>15352</v>
      </c>
      <c r="O42" s="581">
        <f t="shared" si="3"/>
        <v>1</v>
      </c>
      <c r="S42" s="313" t="str">
        <f t="shared" si="4"/>
        <v/>
      </c>
      <c r="T42" s="581">
        <f t="shared" si="5"/>
        <v>1</v>
      </c>
      <c r="X42" s="313" t="str">
        <f t="shared" si="6"/>
        <v/>
      </c>
      <c r="Y42" s="581">
        <f t="shared" si="7"/>
        <v>1</v>
      </c>
      <c r="AC42" s="313" t="str">
        <f t="shared" si="8"/>
        <v/>
      </c>
      <c r="AD42" s="581">
        <f t="shared" si="9"/>
        <v>1</v>
      </c>
      <c r="AH42" s="313" t="str">
        <f t="shared" si="10"/>
        <v/>
      </c>
      <c r="AI42" s="581">
        <f t="shared" si="11"/>
        <v>1</v>
      </c>
      <c r="AM42" s="313" t="str">
        <f t="shared" si="12"/>
        <v/>
      </c>
      <c r="AN42" s="581">
        <f t="shared" si="13"/>
        <v>1</v>
      </c>
      <c r="AR42" s="313" t="str">
        <f t="shared" si="14"/>
        <v/>
      </c>
      <c r="AS42" s="581">
        <f t="shared" si="15"/>
        <v>1</v>
      </c>
      <c r="AW42" s="313" t="str">
        <f t="shared" si="16"/>
        <v/>
      </c>
    </row>
    <row r="43" spans="5:49">
      <c r="E43" s="581">
        <f t="shared" si="0"/>
        <v>43556</v>
      </c>
      <c r="F43" s="2">
        <v>43571</v>
      </c>
      <c r="G43" t="s">
        <v>917</v>
      </c>
      <c r="H43" s="313">
        <v>-5000</v>
      </c>
      <c r="I43" s="313">
        <f t="shared" si="18"/>
        <v>95862.95</v>
      </c>
      <c r="J43" s="581">
        <f t="shared" si="1"/>
        <v>43617</v>
      </c>
      <c r="K43" s="2">
        <v>43623</v>
      </c>
      <c r="L43" t="s">
        <v>986</v>
      </c>
      <c r="M43" s="313">
        <v>-8000</v>
      </c>
      <c r="N43" s="313">
        <f t="shared" si="19"/>
        <v>7352</v>
      </c>
      <c r="O43" s="581">
        <f t="shared" si="3"/>
        <v>1</v>
      </c>
      <c r="S43" s="313" t="str">
        <f t="shared" si="4"/>
        <v/>
      </c>
      <c r="T43" s="581">
        <f t="shared" si="5"/>
        <v>1</v>
      </c>
      <c r="X43" s="313" t="str">
        <f t="shared" si="6"/>
        <v/>
      </c>
      <c r="Y43" s="581">
        <f t="shared" si="7"/>
        <v>1</v>
      </c>
      <c r="AC43" s="313" t="str">
        <f t="shared" si="8"/>
        <v/>
      </c>
      <c r="AD43" s="581">
        <f t="shared" si="9"/>
        <v>1</v>
      </c>
      <c r="AH43" s="313" t="str">
        <f t="shared" si="10"/>
        <v/>
      </c>
      <c r="AI43" s="581">
        <f t="shared" si="11"/>
        <v>1</v>
      </c>
      <c r="AM43" s="313" t="str">
        <f t="shared" si="12"/>
        <v/>
      </c>
      <c r="AN43" s="581">
        <f t="shared" si="13"/>
        <v>1</v>
      </c>
      <c r="AR43" s="313" t="str">
        <f t="shared" si="14"/>
        <v/>
      </c>
      <c r="AS43" s="581">
        <f t="shared" si="15"/>
        <v>1</v>
      </c>
      <c r="AW43" s="313" t="str">
        <f t="shared" si="16"/>
        <v/>
      </c>
    </row>
    <row r="44" spans="5:49">
      <c r="E44" s="581">
        <f t="shared" si="0"/>
        <v>43586</v>
      </c>
      <c r="F44" s="2">
        <v>43598</v>
      </c>
      <c r="G44" t="s">
        <v>970</v>
      </c>
      <c r="H44" s="313">
        <v>-8000</v>
      </c>
      <c r="I44" s="313">
        <f t="shared" si="18"/>
        <v>87862.95</v>
      </c>
      <c r="J44" s="581">
        <f t="shared" si="1"/>
        <v>43678</v>
      </c>
      <c r="K44" s="2">
        <v>43683</v>
      </c>
      <c r="L44" t="s">
        <v>1230</v>
      </c>
      <c r="M44" s="313">
        <v>100000</v>
      </c>
      <c r="N44" s="313">
        <f t="shared" si="19"/>
        <v>107352</v>
      </c>
      <c r="O44" s="581">
        <f t="shared" si="3"/>
        <v>1</v>
      </c>
      <c r="S44" s="313" t="str">
        <f t="shared" si="4"/>
        <v/>
      </c>
      <c r="T44" s="581">
        <f t="shared" si="5"/>
        <v>1</v>
      </c>
      <c r="X44" s="313" t="str">
        <f t="shared" si="6"/>
        <v/>
      </c>
      <c r="Y44" s="581">
        <f t="shared" si="7"/>
        <v>1</v>
      </c>
      <c r="AC44" s="313" t="str">
        <f t="shared" si="8"/>
        <v/>
      </c>
      <c r="AD44" s="581">
        <f t="shared" si="9"/>
        <v>1</v>
      </c>
      <c r="AH44" s="313" t="str">
        <f t="shared" si="10"/>
        <v/>
      </c>
      <c r="AI44" s="581">
        <f t="shared" si="11"/>
        <v>1</v>
      </c>
      <c r="AM44" s="313" t="str">
        <f t="shared" si="12"/>
        <v/>
      </c>
      <c r="AN44" s="581">
        <f t="shared" si="13"/>
        <v>1</v>
      </c>
      <c r="AR44" s="313" t="str">
        <f t="shared" si="14"/>
        <v/>
      </c>
      <c r="AS44" s="581">
        <f t="shared" si="15"/>
        <v>1</v>
      </c>
      <c r="AW44" s="313" t="str">
        <f t="shared" si="16"/>
        <v/>
      </c>
    </row>
    <row r="45" spans="5:49">
      <c r="E45" s="581">
        <f t="shared" si="0"/>
        <v>43617</v>
      </c>
      <c r="F45" s="2">
        <v>43623</v>
      </c>
      <c r="G45" t="s">
        <v>986</v>
      </c>
      <c r="H45" s="313">
        <v>-8000</v>
      </c>
      <c r="I45" s="313">
        <f t="shared" si="18"/>
        <v>79862.95</v>
      </c>
      <c r="J45" s="581">
        <f t="shared" si="1"/>
        <v>43678</v>
      </c>
      <c r="K45" s="2">
        <v>43683</v>
      </c>
      <c r="L45" t="s">
        <v>1025</v>
      </c>
      <c r="M45" s="313">
        <v>-20000</v>
      </c>
      <c r="N45" s="313">
        <f t="shared" si="19"/>
        <v>87352</v>
      </c>
      <c r="O45" s="581">
        <f t="shared" si="3"/>
        <v>1</v>
      </c>
      <c r="S45" s="313" t="str">
        <f t="shared" si="4"/>
        <v/>
      </c>
      <c r="T45" s="581">
        <f t="shared" si="5"/>
        <v>1</v>
      </c>
      <c r="X45" s="313" t="str">
        <f t="shared" si="6"/>
        <v/>
      </c>
      <c r="Y45" s="581">
        <f t="shared" si="7"/>
        <v>1</v>
      </c>
      <c r="AC45" s="313" t="str">
        <f t="shared" si="8"/>
        <v/>
      </c>
      <c r="AD45" s="581">
        <f t="shared" si="9"/>
        <v>1</v>
      </c>
      <c r="AH45" s="313" t="str">
        <f t="shared" si="10"/>
        <v/>
      </c>
      <c r="AI45" s="581">
        <f t="shared" si="11"/>
        <v>1</v>
      </c>
      <c r="AM45" s="313" t="str">
        <f t="shared" si="12"/>
        <v/>
      </c>
      <c r="AN45" s="581">
        <f t="shared" si="13"/>
        <v>1</v>
      </c>
      <c r="AR45" s="313" t="str">
        <f t="shared" si="14"/>
        <v/>
      </c>
      <c r="AS45" s="581">
        <f t="shared" si="15"/>
        <v>1</v>
      </c>
      <c r="AW45" s="313" t="str">
        <f t="shared" si="16"/>
        <v/>
      </c>
    </row>
    <row r="46" spans="5:49">
      <c r="E46" s="581">
        <f t="shared" si="0"/>
        <v>43647</v>
      </c>
      <c r="F46" s="2">
        <v>43656</v>
      </c>
      <c r="G46" t="s">
        <v>1007</v>
      </c>
      <c r="H46" s="313">
        <v>-10000</v>
      </c>
      <c r="I46" s="313">
        <f t="shared" si="18"/>
        <v>69862.95</v>
      </c>
      <c r="J46" s="581">
        <f t="shared" si="1"/>
        <v>43709</v>
      </c>
      <c r="K46" s="2">
        <v>43711</v>
      </c>
      <c r="L46" t="s">
        <v>1035</v>
      </c>
      <c r="M46" s="313">
        <v>-23400</v>
      </c>
      <c r="N46" s="313">
        <f t="shared" si="19"/>
        <v>63952</v>
      </c>
      <c r="O46" s="581">
        <f t="shared" si="3"/>
        <v>1</v>
      </c>
      <c r="S46" s="313" t="str">
        <f t="shared" si="4"/>
        <v/>
      </c>
      <c r="T46" s="581">
        <f t="shared" si="5"/>
        <v>1</v>
      </c>
      <c r="X46" s="313" t="str">
        <f t="shared" si="6"/>
        <v/>
      </c>
      <c r="Y46" s="581">
        <f t="shared" si="7"/>
        <v>1</v>
      </c>
      <c r="AC46" s="313" t="str">
        <f t="shared" si="8"/>
        <v/>
      </c>
      <c r="AD46" s="581">
        <f t="shared" si="9"/>
        <v>1</v>
      </c>
      <c r="AH46" s="313" t="str">
        <f t="shared" si="10"/>
        <v/>
      </c>
      <c r="AI46" s="581">
        <f t="shared" si="11"/>
        <v>1</v>
      </c>
      <c r="AM46" s="313" t="str">
        <f t="shared" si="12"/>
        <v/>
      </c>
      <c r="AN46" s="581">
        <f t="shared" si="13"/>
        <v>1</v>
      </c>
      <c r="AR46" s="313" t="str">
        <f t="shared" si="14"/>
        <v/>
      </c>
      <c r="AS46" s="581">
        <f t="shared" si="15"/>
        <v>1</v>
      </c>
      <c r="AW46" s="313" t="str">
        <f t="shared" si="16"/>
        <v/>
      </c>
    </row>
    <row r="47" spans="5:49">
      <c r="E47" s="581">
        <f t="shared" si="0"/>
        <v>43678</v>
      </c>
      <c r="F47" s="2">
        <v>43682</v>
      </c>
      <c r="G47" t="s">
        <v>1026</v>
      </c>
      <c r="H47" s="313">
        <v>-10000</v>
      </c>
      <c r="I47" s="313">
        <f t="shared" si="18"/>
        <v>59862.95</v>
      </c>
      <c r="J47" s="581">
        <f t="shared" si="1"/>
        <v>43739</v>
      </c>
      <c r="K47" s="2">
        <v>43740</v>
      </c>
      <c r="L47" t="s">
        <v>1060</v>
      </c>
      <c r="M47" s="313">
        <v>-21100</v>
      </c>
      <c r="N47" s="313">
        <f t="shared" si="19"/>
        <v>42852</v>
      </c>
      <c r="O47" s="581">
        <f t="shared" si="3"/>
        <v>1</v>
      </c>
      <c r="S47" s="313" t="str">
        <f t="shared" si="4"/>
        <v/>
      </c>
      <c r="T47" s="581">
        <f t="shared" si="5"/>
        <v>1</v>
      </c>
      <c r="X47" s="313" t="str">
        <f t="shared" si="6"/>
        <v/>
      </c>
      <c r="Y47" s="581">
        <f t="shared" si="7"/>
        <v>1</v>
      </c>
      <c r="AC47" s="313" t="str">
        <f t="shared" si="8"/>
        <v/>
      </c>
      <c r="AD47" s="581">
        <f t="shared" si="9"/>
        <v>1</v>
      </c>
      <c r="AH47" s="313" t="str">
        <f t="shared" si="10"/>
        <v/>
      </c>
      <c r="AI47" s="581">
        <f t="shared" si="11"/>
        <v>1</v>
      </c>
      <c r="AM47" s="313" t="str">
        <f t="shared" si="12"/>
        <v/>
      </c>
      <c r="AN47" s="581">
        <f t="shared" si="13"/>
        <v>1</v>
      </c>
      <c r="AR47" s="313" t="str">
        <f t="shared" si="14"/>
        <v/>
      </c>
      <c r="AS47" s="581">
        <f t="shared" si="15"/>
        <v>1</v>
      </c>
      <c r="AW47" s="313" t="str">
        <f t="shared" si="16"/>
        <v/>
      </c>
    </row>
    <row r="48" spans="5:49">
      <c r="E48" s="581">
        <f t="shared" si="0"/>
        <v>43709</v>
      </c>
      <c r="F48" s="2">
        <v>43711</v>
      </c>
      <c r="G48" t="s">
        <v>1035</v>
      </c>
      <c r="H48" s="313">
        <v>-23400</v>
      </c>
      <c r="I48" s="313">
        <f t="shared" si="18"/>
        <v>36462.949999999997</v>
      </c>
      <c r="J48" s="581">
        <f t="shared" si="1"/>
        <v>43739</v>
      </c>
      <c r="K48" s="2">
        <v>43758</v>
      </c>
      <c r="L48" t="s">
        <v>1065</v>
      </c>
      <c r="M48" s="313">
        <v>-25900</v>
      </c>
      <c r="N48" s="313">
        <f t="shared" si="19"/>
        <v>16952</v>
      </c>
      <c r="O48" s="581">
        <f t="shared" si="3"/>
        <v>1</v>
      </c>
      <c r="S48" s="313" t="str">
        <f t="shared" si="4"/>
        <v/>
      </c>
      <c r="T48" s="581">
        <f t="shared" si="5"/>
        <v>1</v>
      </c>
      <c r="X48" s="313" t="str">
        <f t="shared" si="6"/>
        <v/>
      </c>
      <c r="Y48" s="581">
        <f t="shared" si="7"/>
        <v>1</v>
      </c>
      <c r="AC48" s="313" t="str">
        <f t="shared" si="8"/>
        <v/>
      </c>
      <c r="AD48" s="581">
        <f t="shared" si="9"/>
        <v>1</v>
      </c>
      <c r="AH48" s="313" t="str">
        <f t="shared" si="10"/>
        <v/>
      </c>
      <c r="AI48" s="581">
        <f t="shared" si="11"/>
        <v>1</v>
      </c>
      <c r="AM48" s="313" t="str">
        <f t="shared" si="12"/>
        <v/>
      </c>
      <c r="AN48" s="581">
        <f t="shared" si="13"/>
        <v>1</v>
      </c>
      <c r="AR48" s="313" t="str">
        <f t="shared" si="14"/>
        <v/>
      </c>
      <c r="AS48" s="581">
        <f t="shared" si="15"/>
        <v>1</v>
      </c>
      <c r="AW48" s="313" t="str">
        <f t="shared" si="16"/>
        <v/>
      </c>
    </row>
    <row r="49" spans="5:49">
      <c r="E49" s="581">
        <f t="shared" si="0"/>
        <v>43739</v>
      </c>
      <c r="F49" s="2">
        <v>43740</v>
      </c>
      <c r="G49" t="s">
        <v>1060</v>
      </c>
      <c r="H49" s="313">
        <v>-21100</v>
      </c>
      <c r="I49" s="313">
        <f t="shared" si="18"/>
        <v>15362.95</v>
      </c>
      <c r="J49" s="581">
        <f t="shared" si="1"/>
        <v>43770</v>
      </c>
      <c r="K49" s="2">
        <v>43787</v>
      </c>
      <c r="L49" t="s">
        <v>1231</v>
      </c>
      <c r="M49" s="313">
        <v>100000</v>
      </c>
      <c r="N49" s="313">
        <f t="shared" si="19"/>
        <v>116952</v>
      </c>
      <c r="O49" s="581">
        <f t="shared" si="3"/>
        <v>1</v>
      </c>
      <c r="S49" s="313" t="str">
        <f t="shared" ref="S49:S51" si="20">IF(ISBLANK(R49),"",ROUND(S3+R49,2))</f>
        <v/>
      </c>
      <c r="T49" s="581">
        <f t="shared" si="5"/>
        <v>1</v>
      </c>
      <c r="X49" s="313" t="str">
        <f t="shared" ref="X49:X51" si="21">IF(ISBLANK(W49),"",ROUND(X3+W49,2))</f>
        <v/>
      </c>
      <c r="Y49" s="581">
        <f t="shared" si="7"/>
        <v>1</v>
      </c>
      <c r="AC49" s="313" t="str">
        <f t="shared" ref="AC49:AC51" si="22">IF(ISBLANK(AB49),"",ROUND(AC3+AB49,2))</f>
        <v/>
      </c>
      <c r="AD49" s="581">
        <f t="shared" si="9"/>
        <v>1</v>
      </c>
      <c r="AH49" s="313" t="str">
        <f t="shared" ref="AH49:AH51" si="23">IF(ISBLANK(AG49),"",ROUND(AH3+AG49,2))</f>
        <v/>
      </c>
      <c r="AI49" s="581">
        <f t="shared" si="11"/>
        <v>1</v>
      </c>
      <c r="AM49" s="313" t="str">
        <f t="shared" ref="AM49:AM51" si="24">IF(ISBLANK(AL49),"",ROUND(AM3+AL49,2))</f>
        <v/>
      </c>
      <c r="AN49" s="581">
        <f t="shared" si="13"/>
        <v>1</v>
      </c>
      <c r="AR49" s="313" t="str">
        <f t="shared" ref="AR49:AR51" si="25">IF(ISBLANK(AQ49),"",ROUND(AR3+AQ49,2))</f>
        <v/>
      </c>
      <c r="AS49" s="581">
        <f t="shared" si="15"/>
        <v>1</v>
      </c>
      <c r="AW49" s="313" t="str">
        <f t="shared" ref="AW49:AW51" si="26">IF(ISBLANK(AV49),"",ROUND(AW3+AV49,2))</f>
        <v/>
      </c>
    </row>
    <row r="50" spans="5:49">
      <c r="E50" s="581">
        <f t="shared" si="0"/>
        <v>43770</v>
      </c>
      <c r="F50" s="2">
        <v>43782</v>
      </c>
      <c r="G50" t="s">
        <v>1232</v>
      </c>
      <c r="H50" s="313">
        <v>500000</v>
      </c>
      <c r="I50" s="313">
        <f t="shared" si="18"/>
        <v>515362.95</v>
      </c>
      <c r="J50" s="581">
        <f t="shared" si="1"/>
        <v>43770</v>
      </c>
      <c r="K50" s="2">
        <v>43787</v>
      </c>
      <c r="L50" t="s">
        <v>1084</v>
      </c>
      <c r="M50" s="313">
        <v>-73500</v>
      </c>
      <c r="N50" s="313">
        <f t="shared" si="19"/>
        <v>43452</v>
      </c>
      <c r="O50" s="581">
        <f t="shared" si="3"/>
        <v>1</v>
      </c>
      <c r="S50" s="313" t="str">
        <f t="shared" si="20"/>
        <v/>
      </c>
      <c r="T50" s="581">
        <f t="shared" si="5"/>
        <v>1</v>
      </c>
      <c r="X50" s="313" t="str">
        <f t="shared" si="21"/>
        <v/>
      </c>
      <c r="Y50" s="581">
        <f t="shared" si="7"/>
        <v>1</v>
      </c>
      <c r="AC50" s="313" t="str">
        <f t="shared" si="22"/>
        <v/>
      </c>
      <c r="AD50" s="581">
        <f t="shared" si="9"/>
        <v>1</v>
      </c>
      <c r="AH50" s="313" t="str">
        <f t="shared" si="23"/>
        <v/>
      </c>
      <c r="AI50" s="581">
        <f t="shared" si="11"/>
        <v>1</v>
      </c>
      <c r="AM50" s="313" t="str">
        <f t="shared" si="24"/>
        <v/>
      </c>
      <c r="AN50" s="581">
        <f t="shared" si="13"/>
        <v>1</v>
      </c>
      <c r="AR50" s="313" t="str">
        <f t="shared" si="25"/>
        <v/>
      </c>
      <c r="AS50" s="581">
        <f t="shared" si="15"/>
        <v>1</v>
      </c>
      <c r="AW50" s="313" t="str">
        <f t="shared" si="26"/>
        <v/>
      </c>
    </row>
    <row r="51" spans="5:49">
      <c r="E51" s="581">
        <f t="shared" si="0"/>
        <v>43770</v>
      </c>
      <c r="F51" s="2">
        <v>43782</v>
      </c>
      <c r="G51" t="s">
        <v>1078</v>
      </c>
      <c r="H51" s="313">
        <v>-107900</v>
      </c>
      <c r="I51" s="313">
        <f t="shared" si="18"/>
        <v>407462.95</v>
      </c>
      <c r="J51" s="581">
        <f t="shared" si="1"/>
        <v>43800</v>
      </c>
      <c r="K51" s="2">
        <v>43810</v>
      </c>
      <c r="L51" t="s">
        <v>1233</v>
      </c>
      <c r="M51" s="313">
        <v>200000</v>
      </c>
      <c r="N51" s="313">
        <f t="shared" si="19"/>
        <v>243452</v>
      </c>
      <c r="O51" s="581">
        <f t="shared" si="3"/>
        <v>1</v>
      </c>
      <c r="S51" s="313" t="str">
        <f t="shared" si="20"/>
        <v/>
      </c>
      <c r="T51" s="581">
        <f t="shared" si="5"/>
        <v>1</v>
      </c>
      <c r="X51" s="313" t="str">
        <f t="shared" si="21"/>
        <v/>
      </c>
      <c r="Y51" s="581">
        <f t="shared" si="7"/>
        <v>1</v>
      </c>
      <c r="AC51" s="313" t="str">
        <f t="shared" si="22"/>
        <v/>
      </c>
      <c r="AD51" s="581">
        <f t="shared" si="9"/>
        <v>1</v>
      </c>
      <c r="AH51" s="313" t="str">
        <f t="shared" si="23"/>
        <v/>
      </c>
      <c r="AI51" s="581">
        <f t="shared" si="11"/>
        <v>1</v>
      </c>
      <c r="AM51" s="313" t="str">
        <f t="shared" si="24"/>
        <v/>
      </c>
      <c r="AN51" s="581">
        <f t="shared" si="13"/>
        <v>1</v>
      </c>
      <c r="AR51" s="313" t="str">
        <f t="shared" si="25"/>
        <v/>
      </c>
      <c r="AS51" s="581">
        <f t="shared" si="15"/>
        <v>1</v>
      </c>
      <c r="AW51" s="313" t="str">
        <f t="shared" si="26"/>
        <v/>
      </c>
    </row>
    <row r="52" spans="5:49">
      <c r="E52" s="581">
        <f t="shared" si="0"/>
        <v>43770</v>
      </c>
      <c r="F52" s="2">
        <v>43799</v>
      </c>
      <c r="G52" t="s">
        <v>1100</v>
      </c>
      <c r="H52" s="313">
        <v>-81750</v>
      </c>
      <c r="I52" s="313">
        <f t="shared" si="18"/>
        <v>325712.95</v>
      </c>
      <c r="J52" s="581">
        <f t="shared" si="1"/>
        <v>43800</v>
      </c>
      <c r="K52" s="2">
        <v>43810</v>
      </c>
      <c r="L52" t="s">
        <v>1100</v>
      </c>
      <c r="M52" s="313">
        <v>-105250</v>
      </c>
      <c r="N52" s="313">
        <f t="shared" si="19"/>
        <v>138202</v>
      </c>
      <c r="O52" s="581">
        <f t="shared" si="3"/>
        <v>1</v>
      </c>
      <c r="S52" s="313" t="str">
        <f t="shared" ref="S52:S68" si="27">IF(ISBLANK(R52),"",ROUND(S31+R52,2))</f>
        <v/>
      </c>
      <c r="T52" s="581">
        <f t="shared" si="5"/>
        <v>1</v>
      </c>
      <c r="X52" s="313" t="str">
        <f t="shared" ref="X52:X68" si="28">IF(ISBLANK(W52),"",ROUND(X31+W52,2))</f>
        <v/>
      </c>
      <c r="Y52" s="581">
        <f t="shared" si="7"/>
        <v>1</v>
      </c>
      <c r="AC52" s="313" t="str">
        <f t="shared" ref="AC52:AC68" si="29">IF(ISBLANK(AB52),"",ROUND(AC31+AB52,2))</f>
        <v/>
      </c>
      <c r="AD52" s="581">
        <f t="shared" si="9"/>
        <v>1</v>
      </c>
      <c r="AH52" s="313" t="str">
        <f t="shared" ref="AH52:AH68" si="30">IF(ISBLANK(AG52),"",ROUND(AH31+AG52,2))</f>
        <v/>
      </c>
      <c r="AI52" s="581">
        <f t="shared" si="11"/>
        <v>1</v>
      </c>
      <c r="AM52" s="313" t="str">
        <f t="shared" ref="AM52:AM68" si="31">IF(ISBLANK(AL52),"",ROUND(AM31+AL52,2))</f>
        <v/>
      </c>
      <c r="AN52" s="581">
        <f t="shared" si="13"/>
        <v>1</v>
      </c>
      <c r="AR52" s="313" t="str">
        <f t="shared" ref="AR52:AR68" si="32">IF(ISBLANK(AQ52),"",ROUND(AR31+AQ52,2))</f>
        <v/>
      </c>
      <c r="AS52" s="581">
        <f t="shared" si="15"/>
        <v>1</v>
      </c>
      <c r="AW52" s="313" t="str">
        <f t="shared" ref="AW52:AW68" si="33">IF(ISBLANK(AV52),"",ROUND(AW31+AV52,2))</f>
        <v/>
      </c>
    </row>
    <row r="53" spans="5:49">
      <c r="E53" s="581">
        <f t="shared" si="0"/>
        <v>43831</v>
      </c>
      <c r="F53" s="2">
        <v>43834</v>
      </c>
      <c r="G53" t="s">
        <v>1121</v>
      </c>
      <c r="H53" s="313">
        <v>-136250</v>
      </c>
      <c r="I53" s="313">
        <f t="shared" si="18"/>
        <v>189462.95</v>
      </c>
      <c r="J53" s="581">
        <f t="shared" si="1"/>
        <v>43831</v>
      </c>
      <c r="K53" s="2">
        <v>43834</v>
      </c>
      <c r="L53" t="s">
        <v>1121</v>
      </c>
      <c r="M53" s="313">
        <v>-136250</v>
      </c>
      <c r="N53" s="313">
        <f t="shared" si="19"/>
        <v>1952</v>
      </c>
      <c r="O53" s="581">
        <f t="shared" si="3"/>
        <v>1</v>
      </c>
      <c r="S53" s="313" t="str">
        <f t="shared" si="27"/>
        <v/>
      </c>
      <c r="T53" s="581">
        <f t="shared" si="5"/>
        <v>1</v>
      </c>
      <c r="X53" s="313" t="str">
        <f t="shared" si="28"/>
        <v/>
      </c>
      <c r="Y53" s="581">
        <f t="shared" si="7"/>
        <v>1</v>
      </c>
      <c r="AC53" s="313" t="str">
        <f t="shared" si="29"/>
        <v/>
      </c>
      <c r="AD53" s="581">
        <f t="shared" si="9"/>
        <v>1</v>
      </c>
      <c r="AH53" s="313" t="str">
        <f t="shared" si="30"/>
        <v/>
      </c>
      <c r="AI53" s="581">
        <f t="shared" si="11"/>
        <v>1</v>
      </c>
      <c r="AM53" s="313" t="str">
        <f t="shared" si="31"/>
        <v/>
      </c>
      <c r="AN53" s="581">
        <f t="shared" si="13"/>
        <v>1</v>
      </c>
      <c r="AR53" s="313" t="str">
        <f t="shared" si="32"/>
        <v/>
      </c>
      <c r="AS53" s="581">
        <f t="shared" si="15"/>
        <v>1</v>
      </c>
      <c r="AW53" s="313" t="str">
        <f t="shared" si="33"/>
        <v/>
      </c>
    </row>
    <row r="54" spans="5:49">
      <c r="E54" s="581">
        <f t="shared" si="0"/>
        <v>43862</v>
      </c>
      <c r="F54" s="2">
        <v>43864</v>
      </c>
      <c r="G54" t="s">
        <v>1142</v>
      </c>
      <c r="H54" s="313">
        <v>-136250</v>
      </c>
      <c r="I54" s="313">
        <f t="shared" si="18"/>
        <v>53212.95</v>
      </c>
      <c r="J54" s="581">
        <f t="shared" si="1"/>
        <v>43831</v>
      </c>
      <c r="K54" s="2">
        <v>43839</v>
      </c>
      <c r="L54" t="s">
        <v>1234</v>
      </c>
      <c r="M54" s="313">
        <v>140000</v>
      </c>
      <c r="N54" s="313">
        <f t="shared" si="19"/>
        <v>141952</v>
      </c>
      <c r="O54" s="581">
        <f t="shared" si="3"/>
        <v>1</v>
      </c>
      <c r="S54" s="313" t="str">
        <f t="shared" si="27"/>
        <v/>
      </c>
      <c r="T54" s="581">
        <f t="shared" si="5"/>
        <v>1</v>
      </c>
      <c r="X54" s="313" t="str">
        <f t="shared" si="28"/>
        <v/>
      </c>
      <c r="Y54" s="581">
        <f t="shared" si="7"/>
        <v>1</v>
      </c>
      <c r="AC54" s="313" t="str">
        <f t="shared" si="29"/>
        <v/>
      </c>
      <c r="AD54" s="581">
        <f t="shared" si="9"/>
        <v>1</v>
      </c>
      <c r="AH54" s="313" t="str">
        <f t="shared" si="30"/>
        <v/>
      </c>
      <c r="AI54" s="581">
        <f t="shared" si="11"/>
        <v>1</v>
      </c>
      <c r="AM54" s="313" t="str">
        <f t="shared" si="31"/>
        <v/>
      </c>
      <c r="AN54" s="581">
        <f t="shared" si="13"/>
        <v>1</v>
      </c>
      <c r="AR54" s="313" t="str">
        <f t="shared" si="32"/>
        <v/>
      </c>
      <c r="AS54" s="581">
        <f t="shared" si="15"/>
        <v>1</v>
      </c>
      <c r="AW54" s="313" t="str">
        <f t="shared" si="33"/>
        <v/>
      </c>
    </row>
    <row r="55" spans="5:49">
      <c r="E55" s="581">
        <f t="shared" si="0"/>
        <v>1</v>
      </c>
      <c r="I55" s="313" t="str">
        <f t="shared" si="18"/>
        <v/>
      </c>
      <c r="J55" s="581">
        <f t="shared" si="1"/>
        <v>43831</v>
      </c>
      <c r="K55" s="2">
        <v>43839</v>
      </c>
      <c r="L55" t="s">
        <v>1235</v>
      </c>
      <c r="M55" s="313">
        <v>-136250</v>
      </c>
      <c r="N55" s="313">
        <f t="shared" si="19"/>
        <v>5702</v>
      </c>
      <c r="O55" s="581">
        <f t="shared" si="3"/>
        <v>1</v>
      </c>
      <c r="S55" s="313" t="str">
        <f t="shared" si="27"/>
        <v/>
      </c>
      <c r="T55" s="581">
        <f t="shared" si="5"/>
        <v>1</v>
      </c>
      <c r="X55" s="313" t="str">
        <f t="shared" si="28"/>
        <v/>
      </c>
      <c r="Y55" s="581">
        <f t="shared" si="7"/>
        <v>1</v>
      </c>
      <c r="AC55" s="313" t="str">
        <f t="shared" si="29"/>
        <v/>
      </c>
      <c r="AD55" s="581">
        <f t="shared" si="9"/>
        <v>1</v>
      </c>
      <c r="AH55" s="313" t="str">
        <f t="shared" si="30"/>
        <v/>
      </c>
      <c r="AI55" s="581">
        <f t="shared" si="11"/>
        <v>1</v>
      </c>
      <c r="AM55" s="313" t="str">
        <f t="shared" si="31"/>
        <v/>
      </c>
      <c r="AN55" s="581">
        <f t="shared" si="13"/>
        <v>1</v>
      </c>
      <c r="AR55" s="313" t="str">
        <f t="shared" si="32"/>
        <v/>
      </c>
      <c r="AS55" s="581">
        <f t="shared" si="15"/>
        <v>1</v>
      </c>
      <c r="AW55" s="313" t="str">
        <f t="shared" si="33"/>
        <v/>
      </c>
    </row>
    <row r="56" spans="5:49">
      <c r="E56" s="581">
        <f t="shared" si="0"/>
        <v>1</v>
      </c>
      <c r="I56" s="313" t="str">
        <f t="shared" si="18"/>
        <v/>
      </c>
      <c r="J56" s="581">
        <f t="shared" si="1"/>
        <v>1</v>
      </c>
      <c r="N56" s="313" t="str">
        <f t="shared" si="19"/>
        <v/>
      </c>
      <c r="O56" s="581">
        <f t="shared" si="3"/>
        <v>1</v>
      </c>
      <c r="S56" s="313" t="str">
        <f t="shared" si="27"/>
        <v/>
      </c>
      <c r="T56" s="581">
        <f t="shared" si="5"/>
        <v>1</v>
      </c>
      <c r="X56" s="313" t="str">
        <f t="shared" si="28"/>
        <v/>
      </c>
      <c r="Y56" s="581">
        <f t="shared" si="7"/>
        <v>1</v>
      </c>
      <c r="AC56" s="313" t="str">
        <f t="shared" si="29"/>
        <v/>
      </c>
      <c r="AD56" s="581">
        <f t="shared" si="9"/>
        <v>1</v>
      </c>
      <c r="AH56" s="313" t="str">
        <f t="shared" si="30"/>
        <v/>
      </c>
      <c r="AI56" s="581">
        <f t="shared" si="11"/>
        <v>1</v>
      </c>
      <c r="AM56" s="313" t="str">
        <f t="shared" si="31"/>
        <v/>
      </c>
      <c r="AN56" s="581">
        <f t="shared" si="13"/>
        <v>1</v>
      </c>
      <c r="AR56" s="313" t="str">
        <f t="shared" si="32"/>
        <v/>
      </c>
      <c r="AS56" s="581">
        <f t="shared" si="15"/>
        <v>1</v>
      </c>
      <c r="AW56" s="313" t="str">
        <f t="shared" si="33"/>
        <v/>
      </c>
    </row>
    <row r="57" spans="5:49">
      <c r="E57" s="581">
        <f t="shared" si="0"/>
        <v>1</v>
      </c>
      <c r="I57" s="313" t="str">
        <f t="shared" si="18"/>
        <v/>
      </c>
      <c r="J57" s="581">
        <f t="shared" si="1"/>
        <v>1</v>
      </c>
      <c r="N57" s="313" t="str">
        <f t="shared" si="19"/>
        <v/>
      </c>
      <c r="O57" s="581">
        <f t="shared" si="3"/>
        <v>1</v>
      </c>
      <c r="S57" s="313" t="str">
        <f t="shared" si="27"/>
        <v/>
      </c>
      <c r="T57" s="581">
        <f t="shared" si="5"/>
        <v>1</v>
      </c>
      <c r="X57" s="313" t="str">
        <f t="shared" si="28"/>
        <v/>
      </c>
      <c r="Y57" s="581">
        <f t="shared" si="7"/>
        <v>1</v>
      </c>
      <c r="AC57" s="313" t="str">
        <f t="shared" si="29"/>
        <v/>
      </c>
      <c r="AD57" s="581">
        <f t="shared" si="9"/>
        <v>1</v>
      </c>
      <c r="AH57" s="313" t="str">
        <f t="shared" si="30"/>
        <v/>
      </c>
      <c r="AI57" s="581">
        <f t="shared" si="11"/>
        <v>1</v>
      </c>
      <c r="AM57" s="313" t="str">
        <f t="shared" si="31"/>
        <v/>
      </c>
      <c r="AN57" s="581">
        <f t="shared" si="13"/>
        <v>1</v>
      </c>
      <c r="AR57" s="313" t="str">
        <f t="shared" si="32"/>
        <v/>
      </c>
      <c r="AS57" s="581">
        <f t="shared" si="15"/>
        <v>1</v>
      </c>
      <c r="AW57" s="313" t="str">
        <f t="shared" si="33"/>
        <v/>
      </c>
    </row>
    <row r="58" spans="5:49">
      <c r="E58" s="581">
        <f t="shared" si="0"/>
        <v>1</v>
      </c>
      <c r="I58" s="313" t="str">
        <f t="shared" si="18"/>
        <v/>
      </c>
      <c r="J58" s="581">
        <f t="shared" si="1"/>
        <v>1</v>
      </c>
      <c r="N58" s="313" t="str">
        <f t="shared" si="19"/>
        <v/>
      </c>
      <c r="O58" s="581">
        <f t="shared" si="3"/>
        <v>1</v>
      </c>
      <c r="S58" s="313" t="str">
        <f t="shared" si="27"/>
        <v/>
      </c>
      <c r="T58" s="581">
        <f t="shared" si="5"/>
        <v>1</v>
      </c>
      <c r="X58" s="313" t="str">
        <f t="shared" si="28"/>
        <v/>
      </c>
      <c r="Y58" s="581">
        <f t="shared" si="7"/>
        <v>1</v>
      </c>
      <c r="AC58" s="313" t="str">
        <f t="shared" si="29"/>
        <v/>
      </c>
      <c r="AD58" s="581">
        <f t="shared" si="9"/>
        <v>1</v>
      </c>
      <c r="AH58" s="313" t="str">
        <f t="shared" si="30"/>
        <v/>
      </c>
      <c r="AI58" s="581">
        <f t="shared" si="11"/>
        <v>1</v>
      </c>
      <c r="AM58" s="313" t="str">
        <f t="shared" si="31"/>
        <v/>
      </c>
      <c r="AN58" s="581">
        <f t="shared" si="13"/>
        <v>1</v>
      </c>
      <c r="AR58" s="313" t="str">
        <f t="shared" si="32"/>
        <v/>
      </c>
      <c r="AS58" s="581">
        <f t="shared" si="15"/>
        <v>1</v>
      </c>
      <c r="AW58" s="313" t="str">
        <f t="shared" si="33"/>
        <v/>
      </c>
    </row>
    <row r="59" spans="5:49">
      <c r="E59" s="581">
        <f t="shared" si="0"/>
        <v>1</v>
      </c>
      <c r="I59" s="313" t="str">
        <f t="shared" si="18"/>
        <v/>
      </c>
      <c r="J59" s="581">
        <f t="shared" si="1"/>
        <v>1</v>
      </c>
      <c r="N59" s="313" t="str">
        <f t="shared" si="19"/>
        <v/>
      </c>
      <c r="O59" s="581">
        <f t="shared" si="3"/>
        <v>1</v>
      </c>
      <c r="S59" s="313" t="str">
        <f t="shared" si="27"/>
        <v/>
      </c>
      <c r="T59" s="581">
        <f t="shared" si="5"/>
        <v>1</v>
      </c>
      <c r="X59" s="313" t="str">
        <f t="shared" si="28"/>
        <v/>
      </c>
      <c r="Y59" s="581">
        <f t="shared" si="7"/>
        <v>1</v>
      </c>
      <c r="AC59" s="313" t="str">
        <f t="shared" si="29"/>
        <v/>
      </c>
      <c r="AD59" s="581">
        <f t="shared" si="9"/>
        <v>1</v>
      </c>
      <c r="AH59" s="313" t="str">
        <f t="shared" si="30"/>
        <v/>
      </c>
      <c r="AI59" s="581">
        <f t="shared" si="11"/>
        <v>1</v>
      </c>
      <c r="AM59" s="313" t="str">
        <f t="shared" si="31"/>
        <v/>
      </c>
      <c r="AN59" s="581">
        <f t="shared" si="13"/>
        <v>1</v>
      </c>
      <c r="AR59" s="313" t="str">
        <f t="shared" si="32"/>
        <v/>
      </c>
      <c r="AS59" s="581">
        <f t="shared" si="15"/>
        <v>1</v>
      </c>
      <c r="AW59" s="313" t="str">
        <f t="shared" si="33"/>
        <v/>
      </c>
    </row>
    <row r="60" spans="5:49">
      <c r="E60" s="581">
        <f t="shared" si="0"/>
        <v>1</v>
      </c>
      <c r="I60" s="313" t="str">
        <f t="shared" si="18"/>
        <v/>
      </c>
      <c r="J60" s="581">
        <f t="shared" si="1"/>
        <v>1</v>
      </c>
      <c r="N60" s="313" t="str">
        <f t="shared" si="19"/>
        <v/>
      </c>
      <c r="O60" s="581">
        <f t="shared" si="3"/>
        <v>1</v>
      </c>
      <c r="S60" s="313" t="str">
        <f t="shared" si="27"/>
        <v/>
      </c>
      <c r="T60" s="581">
        <f t="shared" si="5"/>
        <v>1</v>
      </c>
      <c r="X60" s="313" t="str">
        <f t="shared" si="28"/>
        <v/>
      </c>
      <c r="Y60" s="581">
        <f t="shared" si="7"/>
        <v>1</v>
      </c>
      <c r="AC60" s="313" t="str">
        <f t="shared" si="29"/>
        <v/>
      </c>
      <c r="AD60" s="581">
        <f t="shared" si="9"/>
        <v>1</v>
      </c>
      <c r="AH60" s="313" t="str">
        <f t="shared" si="30"/>
        <v/>
      </c>
      <c r="AI60" s="581">
        <f t="shared" si="11"/>
        <v>1</v>
      </c>
      <c r="AM60" s="313" t="str">
        <f t="shared" si="31"/>
        <v/>
      </c>
      <c r="AN60" s="581">
        <f t="shared" si="13"/>
        <v>1</v>
      </c>
      <c r="AR60" s="313" t="str">
        <f t="shared" si="32"/>
        <v/>
      </c>
      <c r="AS60" s="581">
        <f t="shared" si="15"/>
        <v>1</v>
      </c>
      <c r="AW60" s="313" t="str">
        <f t="shared" si="33"/>
        <v/>
      </c>
    </row>
    <row r="61" spans="5:49">
      <c r="E61" s="581">
        <f t="shared" si="0"/>
        <v>1</v>
      </c>
      <c r="I61" s="313" t="str">
        <f t="shared" si="18"/>
        <v/>
      </c>
      <c r="J61" s="581">
        <f t="shared" si="1"/>
        <v>1</v>
      </c>
      <c r="N61" s="313" t="str">
        <f t="shared" si="19"/>
        <v/>
      </c>
      <c r="O61" s="581">
        <f t="shared" si="3"/>
        <v>1</v>
      </c>
      <c r="S61" s="313" t="str">
        <f t="shared" si="27"/>
        <v/>
      </c>
      <c r="T61" s="581">
        <f t="shared" si="5"/>
        <v>1</v>
      </c>
      <c r="X61" s="313" t="str">
        <f t="shared" si="28"/>
        <v/>
      </c>
      <c r="Y61" s="581">
        <f t="shared" si="7"/>
        <v>1</v>
      </c>
      <c r="AC61" s="313" t="str">
        <f t="shared" si="29"/>
        <v/>
      </c>
      <c r="AD61" s="581">
        <f t="shared" si="9"/>
        <v>1</v>
      </c>
      <c r="AH61" s="313" t="str">
        <f t="shared" si="30"/>
        <v/>
      </c>
      <c r="AI61" s="581">
        <f t="shared" si="11"/>
        <v>1</v>
      </c>
      <c r="AM61" s="313" t="str">
        <f t="shared" si="31"/>
        <v/>
      </c>
      <c r="AN61" s="581">
        <f t="shared" si="13"/>
        <v>1</v>
      </c>
      <c r="AR61" s="313" t="str">
        <f t="shared" si="32"/>
        <v/>
      </c>
      <c r="AS61" s="581">
        <f t="shared" si="15"/>
        <v>1</v>
      </c>
      <c r="AW61" s="313" t="str">
        <f t="shared" si="33"/>
        <v/>
      </c>
    </row>
    <row r="62" spans="5:49">
      <c r="E62" s="581">
        <f t="shared" si="0"/>
        <v>1</v>
      </c>
      <c r="I62" s="313" t="str">
        <f t="shared" si="18"/>
        <v/>
      </c>
      <c r="J62" s="581">
        <f t="shared" si="1"/>
        <v>1</v>
      </c>
      <c r="N62" s="313" t="str">
        <f t="shared" si="19"/>
        <v/>
      </c>
      <c r="O62" s="581">
        <f t="shared" si="3"/>
        <v>1</v>
      </c>
      <c r="S62" s="313" t="str">
        <f t="shared" si="27"/>
        <v/>
      </c>
      <c r="T62" s="581">
        <f t="shared" si="5"/>
        <v>1</v>
      </c>
      <c r="X62" s="313" t="str">
        <f t="shared" si="28"/>
        <v/>
      </c>
      <c r="Y62" s="581">
        <f t="shared" si="7"/>
        <v>1</v>
      </c>
      <c r="AC62" s="313" t="str">
        <f t="shared" si="29"/>
        <v/>
      </c>
      <c r="AD62" s="581">
        <f t="shared" si="9"/>
        <v>1</v>
      </c>
      <c r="AH62" s="313" t="str">
        <f t="shared" si="30"/>
        <v/>
      </c>
      <c r="AI62" s="581">
        <f t="shared" si="11"/>
        <v>1</v>
      </c>
      <c r="AM62" s="313" t="str">
        <f t="shared" si="31"/>
        <v/>
      </c>
      <c r="AN62" s="581">
        <f t="shared" si="13"/>
        <v>1</v>
      </c>
      <c r="AR62" s="313" t="str">
        <f t="shared" si="32"/>
        <v/>
      </c>
      <c r="AS62" s="581">
        <f t="shared" si="15"/>
        <v>1</v>
      </c>
      <c r="AW62" s="313" t="str">
        <f t="shared" si="33"/>
        <v/>
      </c>
    </row>
    <row r="63" spans="5:49">
      <c r="E63" s="581">
        <f t="shared" si="0"/>
        <v>1</v>
      </c>
      <c r="I63" s="313" t="str">
        <f t="shared" si="18"/>
        <v/>
      </c>
      <c r="J63" s="581">
        <f t="shared" si="1"/>
        <v>1</v>
      </c>
      <c r="N63" s="313" t="str">
        <f t="shared" si="19"/>
        <v/>
      </c>
      <c r="O63" s="581">
        <f t="shared" si="3"/>
        <v>1</v>
      </c>
      <c r="S63" s="313" t="str">
        <f t="shared" si="27"/>
        <v/>
      </c>
      <c r="T63" s="581">
        <f t="shared" si="5"/>
        <v>1</v>
      </c>
      <c r="X63" s="313" t="str">
        <f t="shared" si="28"/>
        <v/>
      </c>
      <c r="Y63" s="581">
        <f t="shared" si="7"/>
        <v>1</v>
      </c>
      <c r="AC63" s="313" t="str">
        <f t="shared" si="29"/>
        <v/>
      </c>
      <c r="AD63" s="581">
        <f t="shared" si="9"/>
        <v>1</v>
      </c>
      <c r="AH63" s="313" t="str">
        <f t="shared" si="30"/>
        <v/>
      </c>
      <c r="AI63" s="581">
        <f t="shared" si="11"/>
        <v>1</v>
      </c>
      <c r="AM63" s="313" t="str">
        <f t="shared" si="31"/>
        <v/>
      </c>
      <c r="AN63" s="581">
        <f t="shared" si="13"/>
        <v>1</v>
      </c>
      <c r="AR63" s="313" t="str">
        <f t="shared" si="32"/>
        <v/>
      </c>
      <c r="AS63" s="581">
        <f t="shared" si="15"/>
        <v>1</v>
      </c>
      <c r="AW63" s="313" t="str">
        <f t="shared" si="33"/>
        <v/>
      </c>
    </row>
    <row r="64" spans="5:49">
      <c r="E64" s="581">
        <f t="shared" si="0"/>
        <v>1</v>
      </c>
      <c r="I64" s="313" t="str">
        <f t="shared" si="18"/>
        <v/>
      </c>
      <c r="J64" s="581">
        <f t="shared" si="1"/>
        <v>1</v>
      </c>
      <c r="N64" s="313" t="str">
        <f t="shared" si="19"/>
        <v/>
      </c>
      <c r="O64" s="581">
        <f t="shared" si="3"/>
        <v>1</v>
      </c>
      <c r="S64" s="313" t="str">
        <f t="shared" si="27"/>
        <v/>
      </c>
      <c r="T64" s="581">
        <f t="shared" si="5"/>
        <v>1</v>
      </c>
      <c r="X64" s="313" t="str">
        <f t="shared" si="28"/>
        <v/>
      </c>
      <c r="Y64" s="581">
        <f t="shared" si="7"/>
        <v>1</v>
      </c>
      <c r="AC64" s="313" t="str">
        <f t="shared" si="29"/>
        <v/>
      </c>
      <c r="AD64" s="581">
        <f t="shared" si="9"/>
        <v>1</v>
      </c>
      <c r="AH64" s="313" t="str">
        <f t="shared" si="30"/>
        <v/>
      </c>
      <c r="AI64" s="581">
        <f t="shared" si="11"/>
        <v>1</v>
      </c>
      <c r="AM64" s="313" t="str">
        <f t="shared" si="31"/>
        <v/>
      </c>
      <c r="AN64" s="581">
        <f t="shared" si="13"/>
        <v>1</v>
      </c>
      <c r="AR64" s="313" t="str">
        <f t="shared" si="32"/>
        <v/>
      </c>
      <c r="AS64" s="581">
        <f t="shared" si="15"/>
        <v>1</v>
      </c>
      <c r="AW64" s="313" t="str">
        <f t="shared" si="33"/>
        <v/>
      </c>
    </row>
    <row r="65" spans="1:49">
      <c r="E65" s="581">
        <f t="shared" si="0"/>
        <v>1</v>
      </c>
      <c r="I65" s="313" t="str">
        <f t="shared" si="18"/>
        <v/>
      </c>
      <c r="J65" s="581">
        <f t="shared" si="1"/>
        <v>1</v>
      </c>
      <c r="N65" s="313" t="str">
        <f t="shared" si="19"/>
        <v/>
      </c>
      <c r="O65" s="581">
        <f t="shared" si="3"/>
        <v>1</v>
      </c>
      <c r="S65" s="313" t="str">
        <f t="shared" si="27"/>
        <v/>
      </c>
      <c r="T65" s="581">
        <f t="shared" si="5"/>
        <v>1</v>
      </c>
      <c r="X65" s="313" t="str">
        <f t="shared" si="28"/>
        <v/>
      </c>
      <c r="Y65" s="581">
        <f t="shared" si="7"/>
        <v>1</v>
      </c>
      <c r="AC65" s="313" t="str">
        <f t="shared" si="29"/>
        <v/>
      </c>
      <c r="AD65" s="581">
        <f t="shared" si="9"/>
        <v>1</v>
      </c>
      <c r="AH65" s="313" t="str">
        <f t="shared" si="30"/>
        <v/>
      </c>
      <c r="AI65" s="581">
        <f t="shared" si="11"/>
        <v>1</v>
      </c>
      <c r="AM65" s="313" t="str">
        <f t="shared" si="31"/>
        <v/>
      </c>
      <c r="AN65" s="581">
        <f t="shared" si="13"/>
        <v>1</v>
      </c>
      <c r="AR65" s="313" t="str">
        <f t="shared" si="32"/>
        <v/>
      </c>
      <c r="AS65" s="581">
        <f t="shared" si="15"/>
        <v>1</v>
      </c>
      <c r="AW65" s="313" t="str">
        <f t="shared" si="33"/>
        <v/>
      </c>
    </row>
    <row r="66" spans="1:49">
      <c r="E66" s="581">
        <f t="shared" si="0"/>
        <v>1</v>
      </c>
      <c r="I66" s="313" t="str">
        <f t="shared" si="18"/>
        <v/>
      </c>
      <c r="J66" s="581">
        <f t="shared" si="1"/>
        <v>1</v>
      </c>
      <c r="N66" s="313" t="str">
        <f t="shared" si="19"/>
        <v/>
      </c>
      <c r="O66" s="581">
        <f t="shared" si="3"/>
        <v>1</v>
      </c>
      <c r="S66" s="313" t="str">
        <f t="shared" si="27"/>
        <v/>
      </c>
      <c r="T66" s="581">
        <f t="shared" si="5"/>
        <v>1</v>
      </c>
      <c r="X66" s="313" t="str">
        <f t="shared" si="28"/>
        <v/>
      </c>
      <c r="Y66" s="581">
        <f t="shared" si="7"/>
        <v>1</v>
      </c>
      <c r="AC66" s="313" t="str">
        <f t="shared" si="29"/>
        <v/>
      </c>
      <c r="AD66" s="581">
        <f t="shared" si="9"/>
        <v>1</v>
      </c>
      <c r="AH66" s="313" t="str">
        <f t="shared" si="30"/>
        <v/>
      </c>
      <c r="AI66" s="581">
        <f t="shared" si="11"/>
        <v>1</v>
      </c>
      <c r="AM66" s="313" t="str">
        <f t="shared" si="31"/>
        <v/>
      </c>
      <c r="AN66" s="581">
        <f t="shared" si="13"/>
        <v>1</v>
      </c>
      <c r="AR66" s="313" t="str">
        <f t="shared" si="32"/>
        <v/>
      </c>
      <c r="AS66" s="581">
        <f t="shared" si="15"/>
        <v>1</v>
      </c>
      <c r="AW66" s="313" t="str">
        <f t="shared" si="33"/>
        <v/>
      </c>
    </row>
    <row r="67" spans="1:49">
      <c r="E67" s="581">
        <f t="shared" si="0"/>
        <v>1</v>
      </c>
      <c r="I67" s="313" t="str">
        <f t="shared" si="18"/>
        <v/>
      </c>
      <c r="J67" s="581">
        <f t="shared" si="1"/>
        <v>1</v>
      </c>
      <c r="N67" s="313" t="str">
        <f t="shared" si="19"/>
        <v/>
      </c>
      <c r="O67" s="581">
        <f t="shared" si="3"/>
        <v>1</v>
      </c>
      <c r="S67" s="313" t="str">
        <f t="shared" si="27"/>
        <v/>
      </c>
      <c r="T67" s="581">
        <f t="shared" si="5"/>
        <v>1</v>
      </c>
      <c r="X67" s="313" t="str">
        <f t="shared" si="28"/>
        <v/>
      </c>
      <c r="Y67" s="581">
        <f t="shared" si="7"/>
        <v>1</v>
      </c>
      <c r="AC67" s="313" t="str">
        <f t="shared" si="29"/>
        <v/>
      </c>
      <c r="AD67" s="581">
        <f t="shared" si="9"/>
        <v>1</v>
      </c>
      <c r="AH67" s="313" t="str">
        <f t="shared" si="30"/>
        <v/>
      </c>
      <c r="AI67" s="581">
        <f t="shared" si="11"/>
        <v>1</v>
      </c>
      <c r="AM67" s="313" t="str">
        <f t="shared" si="31"/>
        <v/>
      </c>
      <c r="AN67" s="581">
        <f t="shared" si="13"/>
        <v>1</v>
      </c>
      <c r="AR67" s="313" t="str">
        <f t="shared" si="32"/>
        <v/>
      </c>
      <c r="AS67" s="581">
        <f t="shared" si="15"/>
        <v>1</v>
      </c>
      <c r="AW67" s="313" t="str">
        <f t="shared" si="33"/>
        <v/>
      </c>
    </row>
    <row r="68" spans="1:49">
      <c r="E68" s="581">
        <f t="shared" si="0"/>
        <v>1</v>
      </c>
      <c r="I68" s="313" t="str">
        <f t="shared" si="18"/>
        <v/>
      </c>
      <c r="J68" s="581">
        <f t="shared" si="1"/>
        <v>1</v>
      </c>
      <c r="N68" s="313" t="str">
        <f t="shared" si="19"/>
        <v/>
      </c>
      <c r="O68" s="581">
        <f t="shared" si="3"/>
        <v>1</v>
      </c>
      <c r="S68" s="313" t="str">
        <f t="shared" si="27"/>
        <v/>
      </c>
      <c r="T68" s="581">
        <f t="shared" si="5"/>
        <v>1</v>
      </c>
      <c r="X68" s="313" t="str">
        <f t="shared" si="28"/>
        <v/>
      </c>
      <c r="Y68" s="581">
        <f t="shared" si="7"/>
        <v>1</v>
      </c>
      <c r="AC68" s="313" t="str">
        <f t="shared" si="29"/>
        <v/>
      </c>
      <c r="AD68" s="581">
        <f t="shared" si="9"/>
        <v>1</v>
      </c>
      <c r="AH68" s="313" t="str">
        <f t="shared" si="30"/>
        <v/>
      </c>
      <c r="AI68" s="581">
        <f t="shared" si="11"/>
        <v>1</v>
      </c>
      <c r="AM68" s="313" t="str">
        <f t="shared" si="31"/>
        <v/>
      </c>
      <c r="AN68" s="581">
        <f t="shared" si="13"/>
        <v>1</v>
      </c>
      <c r="AR68" s="313" t="str">
        <f t="shared" si="32"/>
        <v/>
      </c>
      <c r="AS68" s="581">
        <f t="shared" si="15"/>
        <v>1</v>
      </c>
      <c r="AW68" s="313" t="str">
        <f t="shared" si="33"/>
        <v/>
      </c>
    </row>
    <row r="69" spans="1:49">
      <c r="E69" s="581">
        <f t="shared" si="0"/>
        <v>1</v>
      </c>
      <c r="I69" s="313" t="str">
        <f t="shared" si="18"/>
        <v/>
      </c>
      <c r="J69" s="581">
        <f t="shared" si="1"/>
        <v>1</v>
      </c>
      <c r="N69" s="313" t="str">
        <f t="shared" si="19"/>
        <v/>
      </c>
      <c r="O69" s="581">
        <f t="shared" si="3"/>
        <v>1</v>
      </c>
      <c r="S69" s="313" t="str">
        <f t="shared" ref="S69:S74" si="34">IF(ISBLANK(R69),"",ROUND(S43+R69,2))</f>
        <v/>
      </c>
      <c r="T69" s="581">
        <f t="shared" si="5"/>
        <v>1</v>
      </c>
      <c r="X69" s="313" t="str">
        <f t="shared" ref="X69:X74" si="35">IF(ISBLANK(W69),"",ROUND(X43+W69,2))</f>
        <v/>
      </c>
      <c r="Y69" s="581">
        <f t="shared" si="7"/>
        <v>1</v>
      </c>
      <c r="AC69" s="313" t="str">
        <f t="shared" ref="AC69:AC74" si="36">IF(ISBLANK(AB69),"",ROUND(AC43+AB69,2))</f>
        <v/>
      </c>
      <c r="AD69" s="581">
        <f t="shared" si="9"/>
        <v>1</v>
      </c>
      <c r="AH69" s="313" t="str">
        <f t="shared" ref="AH69:AH74" si="37">IF(ISBLANK(AG69),"",ROUND(AH43+AG69,2))</f>
        <v/>
      </c>
      <c r="AI69" s="581">
        <f t="shared" si="11"/>
        <v>1</v>
      </c>
      <c r="AM69" s="313" t="str">
        <f t="shared" ref="AM69:AM74" si="38">IF(ISBLANK(AL69),"",ROUND(AM43+AL69,2))</f>
        <v/>
      </c>
      <c r="AN69" s="581">
        <f t="shared" si="13"/>
        <v>1</v>
      </c>
      <c r="AR69" s="313" t="str">
        <f t="shared" ref="AR69:AR74" si="39">IF(ISBLANK(AQ69),"",ROUND(AR43+AQ69,2))</f>
        <v/>
      </c>
      <c r="AS69" s="581">
        <f t="shared" si="15"/>
        <v>1</v>
      </c>
      <c r="AW69" s="313" t="str">
        <f t="shared" ref="AW69:AW74" si="40">IF(ISBLANK(AV69),"",ROUND(AW43+AV69,2))</f>
        <v/>
      </c>
    </row>
    <row r="70" spans="1:49">
      <c r="E70" s="581">
        <f t="shared" si="0"/>
        <v>1</v>
      </c>
      <c r="I70" s="313" t="str">
        <f t="shared" si="18"/>
        <v/>
      </c>
      <c r="J70" s="581">
        <f t="shared" si="1"/>
        <v>1</v>
      </c>
      <c r="N70" s="313" t="str">
        <f t="shared" si="19"/>
        <v/>
      </c>
      <c r="O70" s="581">
        <f t="shared" si="3"/>
        <v>1</v>
      </c>
      <c r="S70" s="313" t="str">
        <f t="shared" si="34"/>
        <v/>
      </c>
      <c r="T70" s="581">
        <f t="shared" si="5"/>
        <v>1</v>
      </c>
      <c r="X70" s="313" t="str">
        <f t="shared" si="35"/>
        <v/>
      </c>
      <c r="Y70" s="581">
        <f t="shared" si="7"/>
        <v>1</v>
      </c>
      <c r="AC70" s="313" t="str">
        <f t="shared" si="36"/>
        <v/>
      </c>
      <c r="AD70" s="581">
        <f t="shared" si="9"/>
        <v>1</v>
      </c>
      <c r="AH70" s="313" t="str">
        <f t="shared" si="37"/>
        <v/>
      </c>
      <c r="AI70" s="581">
        <f t="shared" si="11"/>
        <v>1</v>
      </c>
      <c r="AM70" s="313" t="str">
        <f t="shared" si="38"/>
        <v/>
      </c>
      <c r="AN70" s="581">
        <f t="shared" si="13"/>
        <v>1</v>
      </c>
      <c r="AR70" s="313" t="str">
        <f t="shared" si="39"/>
        <v/>
      </c>
      <c r="AS70" s="581">
        <f t="shared" si="15"/>
        <v>1</v>
      </c>
      <c r="AW70" s="313" t="str">
        <f t="shared" si="40"/>
        <v/>
      </c>
    </row>
    <row r="71" spans="1:49">
      <c r="E71" s="581">
        <f t="shared" si="0"/>
        <v>1</v>
      </c>
      <c r="I71" s="313" t="str">
        <f t="shared" ref="I71:I74" si="41">IF(ISBLANK(H71),"",ROUND(I45+H71,2))</f>
        <v/>
      </c>
      <c r="J71" s="581">
        <f t="shared" si="1"/>
        <v>1</v>
      </c>
      <c r="N71" s="313" t="str">
        <f t="shared" si="19"/>
        <v/>
      </c>
      <c r="O71" s="581">
        <f t="shared" si="3"/>
        <v>1</v>
      </c>
      <c r="S71" s="313" t="str">
        <f t="shared" si="34"/>
        <v/>
      </c>
      <c r="T71" s="581">
        <f t="shared" si="5"/>
        <v>1</v>
      </c>
      <c r="X71" s="313" t="str">
        <f t="shared" si="35"/>
        <v/>
      </c>
      <c r="Y71" s="581">
        <f t="shared" si="7"/>
        <v>1</v>
      </c>
      <c r="AC71" s="313" t="str">
        <f t="shared" si="36"/>
        <v/>
      </c>
      <c r="AD71" s="581">
        <f t="shared" si="9"/>
        <v>1</v>
      </c>
      <c r="AH71" s="313" t="str">
        <f t="shared" si="37"/>
        <v/>
      </c>
      <c r="AI71" s="581">
        <f t="shared" si="11"/>
        <v>1</v>
      </c>
      <c r="AM71" s="313" t="str">
        <f t="shared" si="38"/>
        <v/>
      </c>
      <c r="AN71" s="581">
        <f t="shared" si="13"/>
        <v>1</v>
      </c>
      <c r="AR71" s="313" t="str">
        <f t="shared" si="39"/>
        <v/>
      </c>
      <c r="AS71" s="581">
        <f t="shared" si="15"/>
        <v>1</v>
      </c>
      <c r="AW71" s="313" t="str">
        <f t="shared" si="40"/>
        <v/>
      </c>
    </row>
    <row r="72" spans="1:49">
      <c r="E72" s="581">
        <f t="shared" si="0"/>
        <v>1</v>
      </c>
      <c r="I72" s="313" t="str">
        <f t="shared" si="41"/>
        <v/>
      </c>
      <c r="J72" s="581">
        <f t="shared" si="1"/>
        <v>1</v>
      </c>
      <c r="N72" s="313" t="str">
        <f t="shared" si="19"/>
        <v/>
      </c>
      <c r="O72" s="581">
        <f t="shared" si="3"/>
        <v>1</v>
      </c>
      <c r="S72" s="313" t="str">
        <f t="shared" si="34"/>
        <v/>
      </c>
      <c r="T72" s="581">
        <f t="shared" si="5"/>
        <v>1</v>
      </c>
      <c r="X72" s="313" t="str">
        <f t="shared" si="35"/>
        <v/>
      </c>
      <c r="Y72" s="581">
        <f t="shared" si="7"/>
        <v>1</v>
      </c>
      <c r="AC72" s="313" t="str">
        <f t="shared" si="36"/>
        <v/>
      </c>
      <c r="AD72" s="581">
        <f t="shared" si="9"/>
        <v>1</v>
      </c>
      <c r="AH72" s="313" t="str">
        <f t="shared" si="37"/>
        <v/>
      </c>
      <c r="AI72" s="581">
        <f t="shared" si="11"/>
        <v>1</v>
      </c>
      <c r="AM72" s="313" t="str">
        <f t="shared" si="38"/>
        <v/>
      </c>
      <c r="AN72" s="581">
        <f t="shared" si="13"/>
        <v>1</v>
      </c>
      <c r="AR72" s="313" t="str">
        <f t="shared" si="39"/>
        <v/>
      </c>
      <c r="AS72" s="581">
        <f t="shared" si="15"/>
        <v>1</v>
      </c>
      <c r="AW72" s="313" t="str">
        <f t="shared" si="40"/>
        <v/>
      </c>
    </row>
    <row r="73" spans="1:49">
      <c r="E73" s="581">
        <f t="shared" si="0"/>
        <v>1</v>
      </c>
      <c r="I73" s="313" t="str">
        <f t="shared" si="41"/>
        <v/>
      </c>
      <c r="J73" s="581">
        <f t="shared" si="1"/>
        <v>1</v>
      </c>
      <c r="N73" s="313" t="str">
        <f t="shared" si="19"/>
        <v/>
      </c>
      <c r="O73" s="581">
        <f t="shared" si="3"/>
        <v>1</v>
      </c>
      <c r="S73" s="313" t="str">
        <f t="shared" si="34"/>
        <v/>
      </c>
      <c r="T73" s="581">
        <f t="shared" si="5"/>
        <v>1</v>
      </c>
      <c r="X73" s="313" t="str">
        <f t="shared" si="35"/>
        <v/>
      </c>
      <c r="Y73" s="581">
        <f t="shared" si="7"/>
        <v>1</v>
      </c>
      <c r="AC73" s="313" t="str">
        <f t="shared" si="36"/>
        <v/>
      </c>
      <c r="AD73" s="581">
        <f t="shared" si="9"/>
        <v>1</v>
      </c>
      <c r="AH73" s="313" t="str">
        <f t="shared" si="37"/>
        <v/>
      </c>
      <c r="AI73" s="581">
        <f t="shared" si="11"/>
        <v>1</v>
      </c>
      <c r="AM73" s="313" t="str">
        <f t="shared" si="38"/>
        <v/>
      </c>
      <c r="AN73" s="581">
        <f t="shared" si="13"/>
        <v>1</v>
      </c>
      <c r="AR73" s="313" t="str">
        <f t="shared" si="39"/>
        <v/>
      </c>
      <c r="AS73" s="581">
        <f t="shared" si="15"/>
        <v>1</v>
      </c>
      <c r="AW73" s="313" t="str">
        <f t="shared" si="40"/>
        <v/>
      </c>
    </row>
    <row r="74" spans="1:49">
      <c r="A74" s="595" t="s">
        <v>1236</v>
      </c>
      <c r="E74" s="581">
        <f t="shared" si="0"/>
        <v>1</v>
      </c>
      <c r="I74" s="313" t="str">
        <f t="shared" si="41"/>
        <v/>
      </c>
      <c r="J74" s="581">
        <f t="shared" si="1"/>
        <v>1</v>
      </c>
      <c r="N74" s="313" t="str">
        <f t="shared" si="19"/>
        <v/>
      </c>
      <c r="O74" s="581">
        <f t="shared" si="3"/>
        <v>1</v>
      </c>
      <c r="S74" s="313" t="str">
        <f t="shared" si="34"/>
        <v/>
      </c>
      <c r="T74" s="581">
        <f t="shared" si="5"/>
        <v>1</v>
      </c>
      <c r="X74" s="313" t="str">
        <f t="shared" si="35"/>
        <v/>
      </c>
      <c r="Y74" s="581">
        <f t="shared" si="7"/>
        <v>1</v>
      </c>
      <c r="AC74" s="313" t="str">
        <f t="shared" si="36"/>
        <v/>
      </c>
      <c r="AD74" s="581">
        <f t="shared" si="9"/>
        <v>1</v>
      </c>
      <c r="AH74" s="313" t="str">
        <f t="shared" si="37"/>
        <v/>
      </c>
      <c r="AI74" s="581">
        <f t="shared" si="11"/>
        <v>1</v>
      </c>
      <c r="AM74" s="313" t="str">
        <f t="shared" si="38"/>
        <v/>
      </c>
      <c r="AN74" s="581">
        <f t="shared" si="13"/>
        <v>1</v>
      </c>
      <c r="AR74" s="313" t="str">
        <f t="shared" si="39"/>
        <v/>
      </c>
      <c r="AS74" s="581">
        <f t="shared" si="15"/>
        <v>1</v>
      </c>
      <c r="AW74" s="313" t="str">
        <f t="shared" si="40"/>
        <v/>
      </c>
    </row>
    <row r="75" spans="1:49">
      <c r="E75" s="581">
        <f t="shared" si="0"/>
        <v>1</v>
      </c>
      <c r="I75" s="313" t="str">
        <f t="shared" si="18"/>
        <v/>
      </c>
      <c r="J75" s="581">
        <f t="shared" si="1"/>
        <v>1</v>
      </c>
      <c r="N75" s="313" t="str">
        <f t="shared" si="19"/>
        <v/>
      </c>
      <c r="O75" s="581">
        <f t="shared" si="3"/>
        <v>1</v>
      </c>
      <c r="S75" s="313" t="str">
        <f t="shared" si="4"/>
        <v/>
      </c>
      <c r="T75" s="581">
        <f t="shared" si="5"/>
        <v>1</v>
      </c>
      <c r="X75" s="313" t="str">
        <f t="shared" si="6"/>
        <v/>
      </c>
      <c r="Y75" s="581">
        <f t="shared" si="7"/>
        <v>1</v>
      </c>
      <c r="AC75" s="313" t="str">
        <f t="shared" si="8"/>
        <v/>
      </c>
      <c r="AD75" s="581">
        <f t="shared" si="9"/>
        <v>1</v>
      </c>
      <c r="AH75" s="313" t="str">
        <f t="shared" si="10"/>
        <v/>
      </c>
      <c r="AI75" s="581">
        <f t="shared" si="11"/>
        <v>1</v>
      </c>
      <c r="AM75" s="313" t="str">
        <f t="shared" si="12"/>
        <v/>
      </c>
      <c r="AN75" s="581">
        <f t="shared" si="13"/>
        <v>1</v>
      </c>
      <c r="AR75" s="313" t="str">
        <f t="shared" si="14"/>
        <v/>
      </c>
      <c r="AS75" s="581">
        <f t="shared" si="15"/>
        <v>1</v>
      </c>
      <c r="AW75" s="313" t="str">
        <f t="shared" si="16"/>
        <v/>
      </c>
    </row>
    <row r="76" spans="1:49">
      <c r="E76" s="582"/>
      <c r="F76" s="578"/>
      <c r="G76" s="134"/>
      <c r="H76" s="579"/>
      <c r="I76" s="579"/>
      <c r="J76" s="582"/>
      <c r="K76" s="578"/>
      <c r="L76" s="134"/>
      <c r="M76" s="579"/>
      <c r="N76" s="579"/>
      <c r="O76" s="582"/>
      <c r="P76" s="578"/>
      <c r="Q76" s="134"/>
      <c r="R76" s="579"/>
      <c r="S76" s="579"/>
      <c r="T76" s="582"/>
      <c r="U76" s="578"/>
      <c r="V76" s="134"/>
      <c r="W76" s="579"/>
      <c r="X76" s="579"/>
      <c r="Y76" s="582"/>
      <c r="Z76" s="578"/>
      <c r="AA76" s="134"/>
      <c r="AB76" s="579"/>
      <c r="AC76" s="579"/>
      <c r="AD76" s="582"/>
      <c r="AE76" s="578"/>
      <c r="AF76" s="134"/>
      <c r="AG76" s="579"/>
      <c r="AH76" s="579"/>
      <c r="AI76" s="582"/>
      <c r="AJ76" s="578"/>
      <c r="AK76" s="134"/>
      <c r="AL76" s="579"/>
      <c r="AM76" s="579"/>
      <c r="AN76" s="582"/>
      <c r="AO76" s="578"/>
      <c r="AP76" s="134"/>
      <c r="AQ76" s="579"/>
      <c r="AR76" s="579"/>
      <c r="AS76" s="582"/>
      <c r="AT76" s="578"/>
      <c r="AU76" s="134"/>
      <c r="AV76" s="579"/>
      <c r="AW76" s="579"/>
    </row>
  </sheetData>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5"/>
  <dimension ref="A1:AE37"/>
  <sheetViews>
    <sheetView showGridLines="0" zoomScale="90" zoomScaleNormal="90" zoomScaleSheetLayoutView="100" workbookViewId="0"/>
  </sheetViews>
  <sheetFormatPr defaultColWidth="9.140625" defaultRowHeight="15"/>
  <cols>
    <col min="4" max="4" width="10.7109375" bestFit="1" customWidth="1"/>
    <col min="13" max="13" width="6.140625" style="159" customWidth="1"/>
    <col min="14" max="14" width="9.28515625" style="322" bestFit="1" customWidth="1"/>
    <col min="15" max="15" width="10.140625" style="322" bestFit="1" customWidth="1"/>
    <col min="16" max="17" width="9.28515625" style="322" bestFit="1" customWidth="1"/>
    <col min="18" max="19" width="9.5703125" style="322" bestFit="1" customWidth="1"/>
    <col min="20" max="20" width="3.7109375" customWidth="1"/>
    <col min="21" max="21" width="9.7109375" style="159" customWidth="1"/>
    <col min="22" max="22" width="10" style="159" bestFit="1" customWidth="1"/>
    <col min="26" max="26" width="9.7109375" bestFit="1" customWidth="1"/>
    <col min="29" max="29" width="25.42578125" bestFit="1" customWidth="1"/>
  </cols>
  <sheetData>
    <row r="1" spans="2:31" s="71" customFormat="1" ht="18.75">
      <c r="M1" s="328" t="s">
        <v>1237</v>
      </c>
      <c r="N1" s="324"/>
      <c r="O1" s="328"/>
      <c r="P1" s="328"/>
      <c r="Q1" s="328"/>
      <c r="R1" s="328"/>
      <c r="S1" s="328"/>
      <c r="U1" s="324" t="s">
        <v>1238</v>
      </c>
      <c r="V1" s="324"/>
      <c r="W1" s="324"/>
      <c r="Y1" s="71" t="s">
        <v>1239</v>
      </c>
    </row>
    <row r="2" spans="2:31" s="321" customFormat="1">
      <c r="B2" s="343" t="str">
        <f ca="1">"al "&amp;TEXT($A$36,"dd mmm. ")&amp;TEXT(YEAR($A$36),"0")</f>
        <v>al 16 feb. 2020</v>
      </c>
      <c r="M2" s="327" t="s">
        <v>13</v>
      </c>
      <c r="N2" s="327">
        <f t="shared" ref="N2:Q2" ca="1" si="0">EDATE(O2,-1)</f>
        <v>43709</v>
      </c>
      <c r="O2" s="327">
        <f t="shared" ca="1" si="0"/>
        <v>43739</v>
      </c>
      <c r="P2" s="327">
        <f t="shared" ca="1" si="0"/>
        <v>43770</v>
      </c>
      <c r="Q2" s="327">
        <f t="shared" ca="1" si="0"/>
        <v>43800</v>
      </c>
      <c r="R2" s="327">
        <f ca="1">EDATE(S2,-1)</f>
        <v>43831</v>
      </c>
      <c r="S2" s="327">
        <f ca="1">DATE(YEAR($A$36),MONTH($A$36),1)</f>
        <v>43862</v>
      </c>
      <c r="T2" s="325"/>
      <c r="U2" s="326" t="s">
        <v>1240</v>
      </c>
      <c r="V2" s="327">
        <f ca="1">S2</f>
        <v>43862</v>
      </c>
      <c r="W2" s="326" t="s">
        <v>1241</v>
      </c>
      <c r="Y2" s="549" t="s">
        <v>14</v>
      </c>
      <c r="Z2" s="549" t="s">
        <v>3</v>
      </c>
      <c r="AA2" s="550" t="s">
        <v>1242</v>
      </c>
      <c r="AB2" s="551" t="str">
        <f ca="1">"Promedio últimos 12 meses = "&amp;TEXT(AB3,"#")&amp;"; actual = "&amp;TEXT(AA15,"#")</f>
        <v>Promedio últimos 12 meses = 81; actual = 45</v>
      </c>
      <c r="AC2" s="612">
        <v>55</v>
      </c>
      <c r="AD2" s="322"/>
      <c r="AE2" s="322"/>
    </row>
    <row r="3" spans="2:31">
      <c r="M3" s="159">
        <v>1</v>
      </c>
      <c r="N3" s="329">
        <f ca="1">SUMIFS(Vigilancia!$E:$E,Vigilancia!$O:$O,N$2,Vigilancia!$N:$N,$M3,Vigilancia!$J:$J,"Vigilancia")/N35</f>
        <v>0</v>
      </c>
      <c r="O3" s="329">
        <f ca="1">SUMIFS(Vigilancia!$E:$E,Vigilancia!$O:$O,O$2,Vigilancia!$N:$N,$M3,Vigilancia!$J:$J,"Vigilancia")/O35</f>
        <v>2.5242424242424243E-2</v>
      </c>
      <c r="P3" s="329">
        <f ca="1">SUMIFS(Vigilancia!$E:$E,Vigilancia!$O:$O,P$2,Vigilancia!$N:$N,$M3,Vigilancia!$J:$J,"Vigilancia")/P35</f>
        <v>2.2121212121212121E-2</v>
      </c>
      <c r="Q3" s="329">
        <f ca="1">SUMIFS(Vigilancia!$E:$E,Vigilancia!$O:$O,Q$2,Vigilancia!$N:$N,$M3,Vigilancia!$J:$J,"Vigilancia")/Q35</f>
        <v>0.31324787153579114</v>
      </c>
      <c r="R3" s="329">
        <f ca="1">SUMIFS(Vigilancia!$E:$E,Vigilancia!$O:$O,R$2,Vigilancia!$N:$N,$M3,Vigilancia!$J:$J,"Vigilancia")/R35</f>
        <v>1.1636250799992243E-2</v>
      </c>
      <c r="S3" s="329">
        <f ca="1">IF(S$2+M3-1&gt;$A$36,NA(),SUMIFS(Vigilancia!$E:$E,Vigilancia!$O:$O,S$2,Vigilancia!$N:$N,$M3,Vigilancia!$J:$J,"Vigilancia")/S35)</f>
        <v>5.2847972383298102E-2</v>
      </c>
      <c r="U3" s="330">
        <f ca="1">AVERAGE(N3:R3)</f>
        <v>7.4449551739883962E-2</v>
      </c>
      <c r="V3" s="330">
        <f ca="1">S3</f>
        <v>5.2847972383298102E-2</v>
      </c>
      <c r="W3" s="330">
        <v>1</v>
      </c>
      <c r="Y3" s="522">
        <v>1</v>
      </c>
      <c r="Z3" s="643">
        <f ca="1">EDATE(Z$15,-12)</f>
        <v>43497</v>
      </c>
      <c r="AA3" s="547">
        <f ca="1">INDEX('RESUMEN VIGILANCIA'!$D$144:$AZ$144,1,MATCH(Z3,'RESUMEN VIGILANCIA'!$D$1:$AZ$1))</f>
        <v>76.49666666666667</v>
      </c>
      <c r="AB3" s="548">
        <f ca="1">AVERAGE(AA3:AA14)</f>
        <v>80.926020978097341</v>
      </c>
      <c r="AC3" s="611">
        <f>$AC$2</f>
        <v>55</v>
      </c>
      <c r="AD3" s="322"/>
      <c r="AE3" s="322"/>
    </row>
    <row r="4" spans="2:31">
      <c r="M4" s="159">
        <v>2</v>
      </c>
      <c r="N4" s="329">
        <f ca="1">N3+SUMIFS(Vigilancia!$E:$E,Vigilancia!$O:$O,N$2,Vigilancia!$N:$N,$M4,Vigilancia!$J:$J,"Vigilancia")/N$35</f>
        <v>8.835483300936562E-3</v>
      </c>
      <c r="O4" s="329">
        <f ca="1">O3+SUMIFS(Vigilancia!$E:$E,Vigilancia!$O:$O,O$2,Vigilancia!$N:$N,$M4,Vigilancia!$J:$J,"Vigilancia")/O$35</f>
        <v>8.572188484848485E-2</v>
      </c>
      <c r="P4" s="329">
        <f ca="1">P3+SUMIFS(Vigilancia!$E:$E,Vigilancia!$O:$O,P$2,Vigilancia!$N:$N,$M4,Vigilancia!$J:$J,"Vigilancia")/P$35</f>
        <v>2.2121212121212121E-2</v>
      </c>
      <c r="Q4" s="329">
        <f ca="1">Q3+SUMIFS(Vigilancia!$E:$E,Vigilancia!$O:$O,Q$2,Vigilancia!$N:$N,$M4,Vigilancia!$J:$J,"Vigilancia")/Q$35</f>
        <v>0.31324787153579114</v>
      </c>
      <c r="R4" s="329">
        <f ca="1">R3+SUMIFS(Vigilancia!$E:$E,Vigilancia!$O:$O,R$2,Vigilancia!$N:$N,$M4,Vigilancia!$J:$J,"Vigilancia")/R$35</f>
        <v>3.2048174078311967E-2</v>
      </c>
      <c r="S4" s="329">
        <f ca="1">IF(S$2+M4-1&gt;$A$36,NA(),S3+SUMIFS(Vigilancia!$E:$E,Vigilancia!$O:$O,S$2,Vigilancia!$N:$N,$M4,Vigilancia!$J:$J,"Vigilancia")/S$35)</f>
        <v>0.28488451021081007</v>
      </c>
      <c r="U4" s="330">
        <f t="shared" ref="U4:U33" ca="1" si="1">AVERAGE(N4:R4)</f>
        <v>9.2394925176947335E-2</v>
      </c>
      <c r="V4" s="330">
        <f t="shared" ref="V4:V33" ca="1" si="2">S4</f>
        <v>0.28488451021081007</v>
      </c>
      <c r="W4" s="330">
        <v>1</v>
      </c>
      <c r="Y4" s="522">
        <v>2</v>
      </c>
      <c r="Z4" s="643">
        <f ca="1">EDATE(Z$15,-11)</f>
        <v>43525</v>
      </c>
      <c r="AA4" s="547">
        <f ca="1">INDEX('RESUMEN VIGILANCIA'!$D$144:$AZ$144,1,MATCH(Z4,'RESUMEN VIGILANCIA'!$D$1:$AZ$1))</f>
        <v>81.238516666666669</v>
      </c>
      <c r="AB4" s="548">
        <f t="shared" ref="AB4:AB15" ca="1" si="3">AB$3</f>
        <v>80.926020978097341</v>
      </c>
      <c r="AC4" s="611">
        <f t="shared" ref="AC4:AC15" si="4">$AC$2</f>
        <v>55</v>
      </c>
      <c r="AD4" s="322"/>
      <c r="AE4" s="322"/>
    </row>
    <row r="5" spans="2:31">
      <c r="M5" s="159">
        <v>3</v>
      </c>
      <c r="N5" s="329">
        <f ca="1">N4+SUMIFS(Vigilancia!$E:$E,Vigilancia!$O:$O,N$2,Vigilancia!$N:$N,$M5,Vigilancia!$J:$J,"Vigilancia")/N$35</f>
        <v>0.28584378865523946</v>
      </c>
      <c r="O5" s="329">
        <f ca="1">O4+SUMIFS(Vigilancia!$E:$E,Vigilancia!$O:$O,O$2,Vigilancia!$N:$N,$M5,Vigilancia!$J:$J,"Vigilancia")/O$35</f>
        <v>0.12732794545454545</v>
      </c>
      <c r="P5" s="329">
        <f ca="1">P4+SUMIFS(Vigilancia!$E:$E,Vigilancia!$O:$O,P$2,Vigilancia!$N:$N,$M5,Vigilancia!$J:$J,"Vigilancia")/P$35</f>
        <v>4.6969696969696967E-2</v>
      </c>
      <c r="Q5" s="329">
        <f ca="1">Q4+SUMIFS(Vigilancia!$E:$E,Vigilancia!$O:$O,Q$2,Vigilancia!$N:$N,$M5,Vigilancia!$J:$J,"Vigilancia")/Q$35</f>
        <v>0.4281558481857145</v>
      </c>
      <c r="R5" s="329">
        <f ca="1">R4+SUMIFS(Vigilancia!$E:$E,Vigilancia!$O:$O,R$2,Vigilancia!$N:$N,$M5,Vigilancia!$J:$J,"Vigilancia")/R$35</f>
        <v>5.2460097356631694E-2</v>
      </c>
      <c r="S5" s="329">
        <f ca="1">IF(S$2+M5-1&gt;$A$36,NA(),S4+SUMIFS(Vigilancia!$E:$E,Vigilancia!$O:$O,S$2,Vigilancia!$N:$N,$M5,Vigilancia!$J:$J,"Vigilancia")/S$35)</f>
        <v>0.3932470957857378</v>
      </c>
      <c r="U5" s="330">
        <f t="shared" ca="1" si="1"/>
        <v>0.18815147532436563</v>
      </c>
      <c r="V5" s="330">
        <f t="shared" ca="1" si="2"/>
        <v>0.3932470957857378</v>
      </c>
      <c r="W5" s="330">
        <v>1</v>
      </c>
      <c r="Y5" s="522">
        <v>3</v>
      </c>
      <c r="Z5" s="643">
        <f ca="1">EDATE(Z$15,-10)</f>
        <v>43556</v>
      </c>
      <c r="AA5" s="547">
        <f ca="1">INDEX('RESUMEN VIGILANCIA'!$D$144:$AZ$144,1,MATCH(Z5,'RESUMEN VIGILANCIA'!$D$1:$AZ$1))</f>
        <v>78.426000000000002</v>
      </c>
      <c r="AB5" s="548">
        <f t="shared" ca="1" si="3"/>
        <v>80.926020978097341</v>
      </c>
      <c r="AC5" s="611">
        <f t="shared" si="4"/>
        <v>55</v>
      </c>
      <c r="AD5" s="322"/>
      <c r="AE5" s="322"/>
    </row>
    <row r="6" spans="2:31">
      <c r="M6" s="159">
        <v>4</v>
      </c>
      <c r="N6" s="329">
        <f ca="1">N5+SUMIFS(Vigilancia!$E:$E,Vigilancia!$O:$O,N$2,Vigilancia!$N:$N,$M6,Vigilancia!$J:$J,"Vigilancia")/N$35</f>
        <v>0.33602933380455913</v>
      </c>
      <c r="O6" s="329">
        <f ca="1">O5+SUMIFS(Vigilancia!$E:$E,Vigilancia!$O:$O,O$2,Vigilancia!$N:$N,$M6,Vigilancia!$J:$J,"Vigilancia")/O$35</f>
        <v>0.15290370303030304</v>
      </c>
      <c r="P6" s="329">
        <f ca="1">P5+SUMIFS(Vigilancia!$E:$E,Vigilancia!$O:$O,P$2,Vigilancia!$N:$N,$M6,Vigilancia!$J:$J,"Vigilancia")/P$35</f>
        <v>8.879999999999999E-2</v>
      </c>
      <c r="Q6" s="329">
        <f ca="1">Q5+SUMIFS(Vigilancia!$E:$E,Vigilancia!$O:$O,Q$2,Vigilancia!$N:$N,$M6,Vigilancia!$J:$J,"Vigilancia")/Q$35</f>
        <v>0.45870100653569412</v>
      </c>
      <c r="R6" s="329">
        <f ca="1">R5+SUMIFS(Vigilancia!$E:$E,Vigilancia!$O:$O,R$2,Vigilancia!$N:$N,$M6,Vigilancia!$J:$J,"Vigilancia")/R$35</f>
        <v>0.30685763047146208</v>
      </c>
      <c r="S6" s="329">
        <f ca="1">IF(S$2+M6-1&gt;$A$36,NA(),S5+SUMIFS(Vigilancia!$E:$E,Vigilancia!$O:$O,S$2,Vigilancia!$N:$N,$M6,Vigilancia!$J:$J,"Vigilancia")/S$35)</f>
        <v>0.50645811919399564</v>
      </c>
      <c r="U6" s="330">
        <f t="shared" ca="1" si="1"/>
        <v>0.26865833476840367</v>
      </c>
      <c r="V6" s="330">
        <f t="shared" ca="1" si="2"/>
        <v>0.50645811919399564</v>
      </c>
      <c r="W6" s="330">
        <v>1</v>
      </c>
      <c r="Y6" s="522">
        <v>4</v>
      </c>
      <c r="Z6" s="643">
        <f ca="1">EDATE(Z$15,-9)</f>
        <v>43586</v>
      </c>
      <c r="AA6" s="547">
        <f ca="1">INDEX('RESUMEN VIGILANCIA'!$D$144:$AZ$144,1,MATCH(Z6,'RESUMEN VIGILANCIA'!$D$1:$AZ$1))</f>
        <v>79.122500000000002</v>
      </c>
      <c r="AB6" s="548">
        <f t="shared" ca="1" si="3"/>
        <v>80.926020978097341</v>
      </c>
      <c r="AC6" s="611">
        <f t="shared" si="4"/>
        <v>55</v>
      </c>
      <c r="AD6" s="322"/>
      <c r="AE6" s="322"/>
    </row>
    <row r="7" spans="2:31">
      <c r="M7" s="159">
        <v>5</v>
      </c>
      <c r="N7" s="329">
        <f ca="1">N6+SUMIFS(Vigilancia!$E:$E,Vigilancia!$O:$O,N$2,Vigilancia!$N:$N,$M7,Vigilancia!$J:$J,"Vigilancia")/N$35</f>
        <v>0.38924986746775048</v>
      </c>
      <c r="O7" s="329">
        <f ca="1">O6+SUMIFS(Vigilancia!$E:$E,Vigilancia!$O:$O,O$2,Vigilancia!$N:$N,$M7,Vigilancia!$J:$J,"Vigilancia")/O$35</f>
        <v>0.15929764242424244</v>
      </c>
      <c r="P7" s="329">
        <f ca="1">P6+SUMIFS(Vigilancia!$E:$E,Vigilancia!$O:$O,P$2,Vigilancia!$N:$N,$M7,Vigilancia!$J:$J,"Vigilancia")/P$35</f>
        <v>0.19606812121212119</v>
      </c>
      <c r="Q7" s="329">
        <f ca="1">Q6+SUMIFS(Vigilancia!$E:$E,Vigilancia!$O:$O,Q$2,Vigilancia!$N:$N,$M7,Vigilancia!$J:$J,"Vigilancia")/Q$35</f>
        <v>0.48439772705234363</v>
      </c>
      <c r="R7" s="329">
        <f ca="1">R6+SUMIFS(Vigilancia!$E:$E,Vigilancia!$O:$O,R$2,Vigilancia!$N:$N,$M7,Vigilancia!$J:$J,"Vigilancia")/R$35</f>
        <v>0.35970560285476016</v>
      </c>
      <c r="S7" s="329">
        <f ca="1">IF(S$2+M7-1&gt;$A$36,NA(),S6+SUMIFS(Vigilancia!$E:$E,Vigilancia!$O:$O,S$2,Vigilancia!$N:$N,$M7,Vigilancia!$J:$J,"Vigilancia")/S$35)</f>
        <v>0.78685297597114201</v>
      </c>
      <c r="U7" s="330">
        <f t="shared" ca="1" si="1"/>
        <v>0.31774379220224358</v>
      </c>
      <c r="V7" s="330">
        <f t="shared" ca="1" si="2"/>
        <v>0.78685297597114201</v>
      </c>
      <c r="W7" s="330">
        <v>1</v>
      </c>
      <c r="Y7" s="522">
        <v>5</v>
      </c>
      <c r="Z7" s="643">
        <f ca="1">EDATE(Z$15,-8)</f>
        <v>43617</v>
      </c>
      <c r="AA7" s="547">
        <f ca="1">INDEX('RESUMEN VIGILANCIA'!$D$144:$AZ$144,1,MATCH(Z7,'RESUMEN VIGILANCIA'!$D$1:$AZ$1))</f>
        <v>80.704999999999998</v>
      </c>
      <c r="AB7" s="548">
        <f t="shared" ca="1" si="3"/>
        <v>80.926020978097341</v>
      </c>
      <c r="AC7" s="611">
        <f t="shared" si="4"/>
        <v>55</v>
      </c>
      <c r="AD7" s="322"/>
      <c r="AE7" s="322"/>
    </row>
    <row r="8" spans="2:31">
      <c r="M8" s="159">
        <v>6</v>
      </c>
      <c r="N8" s="329">
        <f ca="1">N7+SUMIFS(Vigilancia!$E:$E,Vigilancia!$O:$O,N$2,Vigilancia!$N:$N,$M8,Vigilancia!$J:$J,"Vigilancia")/N$35</f>
        <v>0.42141102668315955</v>
      </c>
      <c r="O8" s="329">
        <f ca="1">O7+SUMIFS(Vigilancia!$E:$E,Vigilancia!$O:$O,O$2,Vigilancia!$N:$N,$M8,Vigilancia!$J:$J,"Vigilancia")/O$35</f>
        <v>0.15929764242424244</v>
      </c>
      <c r="P8" s="329">
        <f ca="1">P7+SUMIFS(Vigilancia!$E:$E,Vigilancia!$O:$O,P$2,Vigilancia!$N:$N,$M8,Vigilancia!$J:$J,"Vigilancia")/P$35</f>
        <v>0.24361236363636363</v>
      </c>
      <c r="Q8" s="329">
        <f ca="1">Q7+SUMIFS(Vigilancia!$E:$E,Vigilancia!$O:$O,Q$2,Vigilancia!$N:$N,$M8,Vigilancia!$J:$J,"Vigilancia")/Q$35</f>
        <v>0.5600333572522932</v>
      </c>
      <c r="R8" s="329">
        <f ca="1">R7+SUMIFS(Vigilancia!$E:$E,Vigilancia!$O:$O,R$2,Vigilancia!$N:$N,$M8,Vigilancia!$J:$J,"Vigilancia")/R$35</f>
        <v>0.46569245389135616</v>
      </c>
      <c r="S8" s="329">
        <f ca="1">IF(S$2+M8-1&gt;$A$36,NA(),S7+SUMIFS(Vigilancia!$E:$E,Vigilancia!$O:$O,S$2,Vigilancia!$N:$N,$M8,Vigilancia!$J:$J,"Vigilancia")/S$35)</f>
        <v>1.1168958361615886</v>
      </c>
      <c r="U8" s="330">
        <f t="shared" ca="1" si="1"/>
        <v>0.37000936877748297</v>
      </c>
      <c r="V8" s="330">
        <f t="shared" ca="1" si="2"/>
        <v>1.1168958361615886</v>
      </c>
      <c r="W8" s="330">
        <v>1</v>
      </c>
      <c r="Y8" s="522">
        <v>6</v>
      </c>
      <c r="Z8" s="643">
        <f ca="1">EDATE(Z$15,-7)</f>
        <v>43647</v>
      </c>
      <c r="AA8" s="547">
        <f ca="1">INDEX('RESUMEN VIGILANCIA'!$D$144:$AZ$144,1,MATCH(Z8,'RESUMEN VIGILANCIA'!$D$1:$AZ$1))</f>
        <v>80.95</v>
      </c>
      <c r="AB8" s="548">
        <f t="shared" ca="1" si="3"/>
        <v>80.926020978097341</v>
      </c>
      <c r="AC8" s="611">
        <f t="shared" si="4"/>
        <v>55</v>
      </c>
      <c r="AD8" s="322"/>
      <c r="AE8" s="322"/>
    </row>
    <row r="9" spans="2:31">
      <c r="M9" s="159">
        <v>7</v>
      </c>
      <c r="N9" s="329">
        <f ca="1">N8+SUMIFS(Vigilancia!$E:$E,Vigilancia!$O:$O,N$2,Vigilancia!$N:$N,$M9,Vigilancia!$J:$J,"Vigilancia")/N$35</f>
        <v>0.43325057430641456</v>
      </c>
      <c r="O9" s="329">
        <f ca="1">O8+SUMIFS(Vigilancia!$E:$E,Vigilancia!$O:$O,O$2,Vigilancia!$N:$N,$M9,Vigilancia!$J:$J,"Vigilancia")/O$35</f>
        <v>0.16544915757575759</v>
      </c>
      <c r="P9" s="329">
        <f ca="1">P8+SUMIFS(Vigilancia!$E:$E,Vigilancia!$O:$O,P$2,Vigilancia!$N:$N,$M9,Vigilancia!$J:$J,"Vigilancia")/P$35</f>
        <v>0.31257236363636365</v>
      </c>
      <c r="Q9" s="329">
        <f ca="1">Q8+SUMIFS(Vigilancia!$E:$E,Vigilancia!$O:$O,Q$2,Vigilancia!$N:$N,$M9,Vigilancia!$J:$J,"Vigilancia")/Q$35</f>
        <v>0.62655392432558221</v>
      </c>
      <c r="R9" s="329">
        <f ca="1">R8+SUMIFS(Vigilancia!$E:$E,Vigilancia!$O:$O,R$2,Vigilancia!$N:$N,$M9,Vigilancia!$J:$J,"Vigilancia")/R$35</f>
        <v>0.55514613191629647</v>
      </c>
      <c r="S9" s="329">
        <f ca="1">IF(S$2+M9-1&gt;$A$36,NA(),S8+SUMIFS(Vigilancia!$E:$E,Vigilancia!$O:$O,S$2,Vigilancia!$N:$N,$M9,Vigilancia!$J:$J,"Vigilancia")/S$35)</f>
        <v>1.2378789054166746</v>
      </c>
      <c r="U9" s="330">
        <f t="shared" ca="1" si="1"/>
        <v>0.41859443035208288</v>
      </c>
      <c r="V9" s="330">
        <f t="shared" ca="1" si="2"/>
        <v>1.2378789054166746</v>
      </c>
      <c r="W9" s="330">
        <v>1</v>
      </c>
      <c r="Y9" s="522">
        <v>7</v>
      </c>
      <c r="Z9" s="643">
        <f ca="1">EDATE(Z$15,-6)</f>
        <v>43678</v>
      </c>
      <c r="AA9" s="547">
        <f ca="1">INDEX('RESUMEN VIGILANCIA'!$D$144:$AZ$144,1,MATCH(Z9,'RESUMEN VIGILANCIA'!$D$1:$AZ$1))</f>
        <v>80.94</v>
      </c>
      <c r="AB9" s="548">
        <f t="shared" ca="1" si="3"/>
        <v>80.926020978097341</v>
      </c>
      <c r="AC9" s="611">
        <f t="shared" si="4"/>
        <v>55</v>
      </c>
      <c r="AD9" s="322"/>
      <c r="AE9" s="322"/>
    </row>
    <row r="10" spans="2:31">
      <c r="M10" s="159">
        <v>8</v>
      </c>
      <c r="N10" s="329">
        <f ca="1">N9+SUMIFS(Vigilancia!$E:$E,Vigilancia!$O:$O,N$2,Vigilancia!$N:$N,$M10,Vigilancia!$J:$J,"Vigilancia")/N$35</f>
        <v>0.43325057430641456</v>
      </c>
      <c r="O10" s="329">
        <f ca="1">O9+SUMIFS(Vigilancia!$E:$E,Vigilancia!$O:$O,O$2,Vigilancia!$N:$N,$M10,Vigilancia!$J:$J,"Vigilancia")/O$35</f>
        <v>0.16544915757575759</v>
      </c>
      <c r="P10" s="329">
        <f ca="1">P9+SUMIFS(Vigilancia!$E:$E,Vigilancia!$O:$O,P$2,Vigilancia!$N:$N,$M10,Vigilancia!$J:$J,"Vigilancia")/P$35</f>
        <v>0.31257236363636365</v>
      </c>
      <c r="Q10" s="329">
        <f ca="1">Q9+SUMIFS(Vigilancia!$E:$E,Vigilancia!$O:$O,Q$2,Vigilancia!$N:$N,$M10,Vigilancia!$J:$J,"Vigilancia")/Q$35</f>
        <v>0.6728807478230513</v>
      </c>
      <c r="R10" s="329">
        <f ca="1">R9+SUMIFS(Vigilancia!$E:$E,Vigilancia!$O:$O,R$2,Vigilancia!$N:$N,$M10,Vigilancia!$J:$J,"Vigilancia")/R$35</f>
        <v>0.58157011810794557</v>
      </c>
      <c r="S10" s="329">
        <f ca="1">IF(S$2+M10-1&gt;$A$36,NA(),S9+SUMIFS(Vigilancia!$E:$E,Vigilancia!$O:$O,S$2,Vigilancia!$N:$N,$M10,Vigilancia!$J:$J,"Vigilancia")/S$35)</f>
        <v>1.3450293815332697</v>
      </c>
      <c r="U10" s="330">
        <f t="shared" ca="1" si="1"/>
        <v>0.43314459228990659</v>
      </c>
      <c r="V10" s="330">
        <f t="shared" ca="1" si="2"/>
        <v>1.3450293815332697</v>
      </c>
      <c r="W10" s="330">
        <v>1</v>
      </c>
      <c r="Y10" s="522">
        <v>8</v>
      </c>
      <c r="Z10" s="643">
        <f ca="1">EDATE(Z$15,-5)</f>
        <v>43709</v>
      </c>
      <c r="AA10" s="547">
        <f ca="1">INDEX('RESUMEN VIGILANCIA'!$D$144:$AZ$144,1,MATCH(Z10,'RESUMEN VIGILANCIA'!$D$1:$AZ$1))</f>
        <v>83.164875482625476</v>
      </c>
      <c r="AB10" s="548">
        <f t="shared" ca="1" si="3"/>
        <v>80.926020978097341</v>
      </c>
      <c r="AC10" s="611">
        <f t="shared" si="4"/>
        <v>55</v>
      </c>
      <c r="AD10" s="322"/>
      <c r="AE10" s="322"/>
    </row>
    <row r="11" spans="2:31">
      <c r="M11" s="159">
        <v>9</v>
      </c>
      <c r="N11" s="329">
        <f ca="1">N10+SUMIFS(Vigilancia!$E:$E,Vigilancia!$O:$O,N$2,Vigilancia!$N:$N,$M11,Vigilancia!$J:$J,"Vigilancia")/N$35</f>
        <v>0.54289892207103729</v>
      </c>
      <c r="O11" s="329">
        <f ca="1">O10+SUMIFS(Vigilancia!$E:$E,Vigilancia!$O:$O,O$2,Vigilancia!$N:$N,$M11,Vigilancia!$J:$J,"Vigilancia")/O$35</f>
        <v>0.18052036969696972</v>
      </c>
      <c r="P11" s="329">
        <f ca="1">P10+SUMIFS(Vigilancia!$E:$E,Vigilancia!$O:$O,P$2,Vigilancia!$N:$N,$M11,Vigilancia!$J:$J,"Vigilancia")/P$35</f>
        <v>0.37481478787878791</v>
      </c>
      <c r="Q11" s="329">
        <f ca="1">Q10+SUMIFS(Vigilancia!$E:$E,Vigilancia!$O:$O,Q$2,Vigilancia!$N:$N,$M11,Vigilancia!$J:$J,"Vigilancia")/Q$35</f>
        <v>0.71375307875802407</v>
      </c>
      <c r="R11" s="329">
        <f ca="1">R10+SUMIFS(Vigilancia!$E:$E,Vigilancia!$O:$O,R$2,Vigilancia!$N:$N,$M11,Vigilancia!$J:$J,"Vigilancia")/R$35</f>
        <v>0.74011403525783992</v>
      </c>
      <c r="S11" s="329">
        <f ca="1">IF(S$2+M11-1&gt;$A$36,NA(),S10+SUMIFS(Vigilancia!$E:$E,Vigilancia!$O:$O,S$2,Vigilancia!$N:$N,$M11,Vigilancia!$J:$J,"Vigilancia")/S$35)</f>
        <v>1.3450293815332697</v>
      </c>
      <c r="U11" s="330">
        <f t="shared" ca="1" si="1"/>
        <v>0.51042023873253173</v>
      </c>
      <c r="V11" s="330">
        <f t="shared" ca="1" si="2"/>
        <v>1.3450293815332697</v>
      </c>
      <c r="W11" s="330">
        <v>1</v>
      </c>
      <c r="Y11" s="522">
        <v>9</v>
      </c>
      <c r="Z11" s="643">
        <f ca="1">EDATE(Z$15,-4)</f>
        <v>43739</v>
      </c>
      <c r="AA11" s="547">
        <f ca="1">INDEX('RESUMEN VIGILANCIA'!$D$144:$AZ$144,1,MATCH(Z11,'RESUMEN VIGILANCIA'!$D$1:$AZ$1))</f>
        <v>78.368935323383084</v>
      </c>
      <c r="AB11" s="548">
        <f t="shared" ca="1" si="3"/>
        <v>80.926020978097341</v>
      </c>
      <c r="AC11" s="611">
        <f t="shared" si="4"/>
        <v>55</v>
      </c>
      <c r="AD11" s="322"/>
      <c r="AE11" s="322"/>
    </row>
    <row r="12" spans="2:31">
      <c r="M12" s="159">
        <v>10</v>
      </c>
      <c r="N12" s="329">
        <f ca="1">N11+SUMIFS(Vigilancia!$E:$E,Vigilancia!$O:$O,N$2,Vigilancia!$N:$N,$M12,Vigilancia!$J:$J,"Vigilancia")/N$35</f>
        <v>0.54289892207103729</v>
      </c>
      <c r="O12" s="329">
        <f ca="1">O11+SUMIFS(Vigilancia!$E:$E,Vigilancia!$O:$O,O$2,Vigilancia!$N:$N,$M12,Vigilancia!$J:$J,"Vigilancia")/O$35</f>
        <v>0.19373249090909092</v>
      </c>
      <c r="P12" s="329">
        <f ca="1">P11+SUMIFS(Vigilancia!$E:$E,Vigilancia!$O:$O,P$2,Vigilancia!$N:$N,$M12,Vigilancia!$J:$J,"Vigilancia")/P$35</f>
        <v>0.49845115151515157</v>
      </c>
      <c r="Q12" s="329">
        <f ca="1">Q11+SUMIFS(Vigilancia!$E:$E,Vigilancia!$O:$O,Q$2,Vigilancia!$N:$N,$M12,Vigilancia!$J:$J,"Vigilancia")/Q$35</f>
        <v>0.73416500203634383</v>
      </c>
      <c r="R12" s="329">
        <f ca="1">R11+SUMIFS(Vigilancia!$E:$E,Vigilancia!$O:$O,R$2,Vigilancia!$N:$N,$M12,Vigilancia!$J:$J,"Vigilancia")/R$35</f>
        <v>0.79394624052130403</v>
      </c>
      <c r="S12" s="329">
        <f ca="1">IF(S$2+M12-1&gt;$A$36,NA(),S11+SUMIFS(Vigilancia!$E:$E,Vigilancia!$O:$O,S$2,Vigilancia!$N:$N,$M12,Vigilancia!$J:$J,"Vigilancia")/S$35)</f>
        <v>1.3978773539165679</v>
      </c>
      <c r="U12" s="330">
        <f t="shared" ca="1" si="1"/>
        <v>0.55263876141058554</v>
      </c>
      <c r="V12" s="330">
        <f t="shared" ca="1" si="2"/>
        <v>1.3978773539165679</v>
      </c>
      <c r="W12" s="330">
        <v>1</v>
      </c>
      <c r="Y12" s="522">
        <v>10</v>
      </c>
      <c r="Z12" s="643">
        <f ca="1">EDATE(Z$15,-3)</f>
        <v>43770</v>
      </c>
      <c r="AA12" s="547">
        <f ca="1">INDEX('RESUMEN VIGILANCIA'!$D$144:$AZ$144,1,MATCH(Z12,'RESUMEN VIGILANCIA'!$D$1:$AZ$1))</f>
        <v>108.52362108479755</v>
      </c>
      <c r="AB12" s="548">
        <f t="shared" ca="1" si="3"/>
        <v>80.926020978097341</v>
      </c>
      <c r="AC12" s="611">
        <f t="shared" si="4"/>
        <v>55</v>
      </c>
      <c r="AD12" s="322"/>
      <c r="AE12" s="322"/>
    </row>
    <row r="13" spans="2:31">
      <c r="M13" s="159">
        <v>11</v>
      </c>
      <c r="N13" s="329">
        <f ca="1">N12+SUMIFS(Vigilancia!$E:$E,Vigilancia!$O:$O,N$2,Vigilancia!$N:$N,$M13,Vigilancia!$J:$J,"Vigilancia")/N$35</f>
        <v>0.59140572539317904</v>
      </c>
      <c r="O13" s="329">
        <f ca="1">O12+SUMIFS(Vigilancia!$E:$E,Vigilancia!$O:$O,O$2,Vigilancia!$N:$N,$M13,Vigilancia!$J:$J,"Vigilancia")/O$35</f>
        <v>0.20767188484848487</v>
      </c>
      <c r="P13" s="329">
        <f ca="1">P12+SUMIFS(Vigilancia!$E:$E,Vigilancia!$O:$O,P$2,Vigilancia!$N:$N,$M13,Vigilancia!$J:$J,"Vigilancia")/P$35</f>
        <v>0.5120269090909092</v>
      </c>
      <c r="Q13" s="329">
        <f ca="1">Q12+SUMIFS(Vigilancia!$E:$E,Vigilancia!$O:$O,Q$2,Vigilancia!$N:$N,$M13,Vigilancia!$J:$J,"Vigilancia")/Q$35</f>
        <v>1.2175057696410216</v>
      </c>
      <c r="R13" s="329">
        <f ca="1">R12+SUMIFS(Vigilancia!$E:$E,Vigilancia!$O:$O,R$2,Vigilancia!$N:$N,$M13,Vigilancia!$J:$J,"Vigilancia")/R$35</f>
        <v>0.94036906308787305</v>
      </c>
      <c r="S13" s="329">
        <f ca="1">IF(S$2+M13-1&gt;$A$36,NA(),S12+SUMIFS(Vigilancia!$E:$E,Vigilancia!$O:$O,S$2,Vigilancia!$N:$N,$M13,Vigilancia!$J:$J,"Vigilancia")/S$35)</f>
        <v>1.4814644221631788</v>
      </c>
      <c r="U13" s="330">
        <f t="shared" ca="1" si="1"/>
        <v>0.69379587041229362</v>
      </c>
      <c r="V13" s="330">
        <f t="shared" ca="1" si="2"/>
        <v>1.4814644221631788</v>
      </c>
      <c r="W13" s="330">
        <v>1</v>
      </c>
      <c r="Y13" s="522">
        <v>11</v>
      </c>
      <c r="Z13" s="643">
        <f ca="1">EDATE(Z$15,-2)</f>
        <v>43800</v>
      </c>
      <c r="AA13" s="547">
        <f ca="1">INDEX('RESUMEN VIGILANCIA'!$D$144:$AZ$144,1,MATCH(Z13,'RESUMEN VIGILANCIA'!$D$1:$AZ$1))</f>
        <v>71.027155351936685</v>
      </c>
      <c r="AB13" s="548">
        <f t="shared" ca="1" si="3"/>
        <v>80.926020978097341</v>
      </c>
      <c r="AC13" s="611">
        <f t="shared" si="4"/>
        <v>55</v>
      </c>
      <c r="AD13" s="322"/>
      <c r="AE13" s="322"/>
    </row>
    <row r="14" spans="2:31">
      <c r="M14" s="159">
        <v>12</v>
      </c>
      <c r="N14" s="329">
        <f ca="1">N13+SUMIFS(Vigilancia!$E:$E,Vigilancia!$O:$O,N$2,Vigilancia!$N:$N,$M14,Vigilancia!$J:$J,"Vigilancia")/N$35</f>
        <v>0.65988072097543737</v>
      </c>
      <c r="O14" s="329">
        <f ca="1">O13+SUMIFS(Vigilancia!$E:$E,Vigilancia!$O:$O,O$2,Vigilancia!$N:$N,$M14,Vigilancia!$J:$J,"Vigilancia")/O$35</f>
        <v>0.23494461212121215</v>
      </c>
      <c r="P14" s="329">
        <f ca="1">P13+SUMIFS(Vigilancia!$E:$E,Vigilancia!$O:$O,P$2,Vigilancia!$N:$N,$M14,Vigilancia!$J:$J,"Vigilancia")/P$35</f>
        <v>0.53020872727272739</v>
      </c>
      <c r="Q14" s="329">
        <f ca="1">Q13+SUMIFS(Vigilancia!$E:$E,Vigilancia!$O:$O,Q$2,Vigilancia!$N:$N,$M14,Vigilancia!$J:$J,"Vigilancia")/Q$35</f>
        <v>1.2699658669976532</v>
      </c>
      <c r="R14" s="329">
        <f ca="1">R13+SUMIFS(Vigilancia!$E:$E,Vigilancia!$O:$O,R$2,Vigilancia!$N:$N,$M14,Vigilancia!$J:$J,"Vigilancia")/R$35</f>
        <v>0.94036906308787305</v>
      </c>
      <c r="S14" s="329">
        <f ca="1">IF(S$2+M14-1&gt;$A$36,NA(),S13+SUMIFS(Vigilancia!$E:$E,Vigilancia!$O:$O,S$2,Vigilancia!$N:$N,$M14,Vigilancia!$J:$J,"Vigilancia")/S$35)</f>
        <v>1.4814644221631788</v>
      </c>
      <c r="U14" s="330">
        <f t="shared" ca="1" si="1"/>
        <v>0.72707379809098072</v>
      </c>
      <c r="V14" s="330">
        <f t="shared" ca="1" si="2"/>
        <v>1.4814644221631788</v>
      </c>
      <c r="W14" s="330">
        <v>1</v>
      </c>
      <c r="Y14" s="522">
        <v>12</v>
      </c>
      <c r="Z14" s="643">
        <f ca="1">EDATE(Z$15,-1)</f>
        <v>43831</v>
      </c>
      <c r="AA14" s="547">
        <f ca="1">INDEX('RESUMEN VIGILANCIA'!$D$144:$AZ$144,1,MATCH(Z14,'RESUMEN VIGILANCIA'!$D$1:$AZ$1))</f>
        <v>72.148981161091882</v>
      </c>
      <c r="AB14" s="548">
        <f t="shared" ca="1" si="3"/>
        <v>80.926020978097341</v>
      </c>
      <c r="AC14" s="611">
        <f t="shared" si="4"/>
        <v>55</v>
      </c>
      <c r="AD14" s="322"/>
      <c r="AE14" s="322"/>
    </row>
    <row r="15" spans="2:31">
      <c r="B15" s="471" t="s">
        <v>1165</v>
      </c>
      <c r="E15" s="474">
        <f>MATCH(B15,'RESUMEN VIGILANCIA'!$A:$A,0)</f>
        <v>145</v>
      </c>
      <c r="M15" s="159">
        <v>13</v>
      </c>
      <c r="N15" s="329">
        <f ca="1">N14+SUMIFS(Vigilancia!$E:$E,Vigilancia!$O:$O,N$2,Vigilancia!$N:$N,$M15,Vigilancia!$J:$J,"Vigilancia")/N$35</f>
        <v>0.67799346174235731</v>
      </c>
      <c r="O15" s="329">
        <f ca="1">O14+SUMIFS(Vigilancia!$E:$E,Vigilancia!$O:$O,O$2,Vigilancia!$N:$N,$M15,Vigilancia!$J:$J,"Vigilancia")/O$35</f>
        <v>0.24100521818181822</v>
      </c>
      <c r="P15" s="329">
        <f ca="1">P14+SUMIFS(Vigilancia!$E:$E,Vigilancia!$O:$O,P$2,Vigilancia!$N:$N,$M15,Vigilancia!$J:$J,"Vigilancia")/P$35</f>
        <v>0.603275393939394</v>
      </c>
      <c r="Q15" s="329">
        <f ca="1">Q14+SUMIFS(Vigilancia!$E:$E,Vigilancia!$O:$O,Q$2,Vigilancia!$N:$N,$M15,Vigilancia!$J:$J,"Vigilancia")/Q$35</f>
        <v>1.3554923103775962</v>
      </c>
      <c r="R15" s="329">
        <f ca="1">R14+SUMIFS(Vigilancia!$E:$E,Vigilancia!$O:$O,R$2,Vigilancia!$N:$N,$M15,Vigilancia!$J:$J,"Vigilancia")/R$35</f>
        <v>0.96679304927952214</v>
      </c>
      <c r="S15" s="329">
        <f ca="1">IF(S$2+M15-1&gt;$A$36,NA(),S14+SUMIFS(Vigilancia!$E:$E,Vigilancia!$O:$O,S$2,Vigilancia!$N:$N,$M15,Vigilancia!$J:$J,"Vigilancia")/S$35)</f>
        <v>1.5607363807381258</v>
      </c>
      <c r="U15" s="330">
        <f t="shared" ca="1" si="1"/>
        <v>0.76891188670413757</v>
      </c>
      <c r="V15" s="330">
        <f t="shared" ca="1" si="2"/>
        <v>1.5607363807381258</v>
      </c>
      <c r="W15" s="330">
        <v>1</v>
      </c>
      <c r="Y15" s="522">
        <v>13</v>
      </c>
      <c r="Z15" s="643">
        <f ca="1">DATE(YEAR($A$36),MONTH($A$36),1)</f>
        <v>43862</v>
      </c>
      <c r="AA15" s="547">
        <f ca="1">INDEX('RESUMEN VIGILANCIA'!$D$144:$AZ$144,1,MATCH(Z15,'RESUMEN VIGILANCIA'!$D$1:$AZ$1))</f>
        <v>45.129033394495409</v>
      </c>
      <c r="AB15" s="548">
        <f t="shared" ca="1" si="3"/>
        <v>80.926020978097341</v>
      </c>
      <c r="AC15" s="611">
        <f t="shared" si="4"/>
        <v>55</v>
      </c>
      <c r="AD15" s="322"/>
      <c r="AE15" s="322"/>
    </row>
    <row r="16" spans="2:31">
      <c r="B16" s="471" t="s">
        <v>1168</v>
      </c>
      <c r="E16" s="474">
        <f>MATCH(B16,'RESUMEN VIGILANCIA'!$A:$A,0)</f>
        <v>148</v>
      </c>
      <c r="M16" s="159">
        <v>14</v>
      </c>
      <c r="N16" s="329">
        <f ca="1">N15+SUMIFS(Vigilancia!$E:$E,Vigilancia!$O:$O,N$2,Vigilancia!$N:$N,$M16,Vigilancia!$J:$J,"Vigilancia")/N$35</f>
        <v>0.76811539141191021</v>
      </c>
      <c r="O16" s="329">
        <f ca="1">O15+SUMIFS(Vigilancia!$E:$E,Vigilancia!$O:$O,O$2,Vigilancia!$N:$N,$M16,Vigilancia!$J:$J,"Vigilancia")/O$35</f>
        <v>0.27864158181818188</v>
      </c>
      <c r="P16" s="329">
        <f ca="1">P15+SUMIFS(Vigilancia!$E:$E,Vigilancia!$O:$O,P$2,Vigilancia!$N:$N,$M16,Vigilancia!$J:$J,"Vigilancia")/P$35</f>
        <v>0.603275393939394</v>
      </c>
      <c r="Q16" s="329">
        <f ca="1">Q15+SUMIFS(Vigilancia!$E:$E,Vigilancia!$O:$O,Q$2,Vigilancia!$N:$N,$M16,Vigilancia!$J:$J,"Vigilancia")/Q$35</f>
        <v>1.3554923103775962</v>
      </c>
      <c r="R16" s="329">
        <f ca="1">R15+SUMIFS(Vigilancia!$E:$E,Vigilancia!$O:$O,R$2,Vigilancia!$N:$N,$M16,Vigilancia!$J:$J,"Vigilancia")/R$35</f>
        <v>0.96679304927952214</v>
      </c>
      <c r="S16" s="329">
        <f ca="1">IF(S$2+M16-1&gt;$A$36,NA(),S15+SUMIFS(Vigilancia!$E:$E,Vigilancia!$O:$O,S$2,Vigilancia!$N:$N,$M16,Vigilancia!$J:$J,"Vigilancia")/S$35)</f>
        <v>1.5607363807381258</v>
      </c>
      <c r="U16" s="330">
        <f t="shared" ca="1" si="1"/>
        <v>0.79446354536532093</v>
      </c>
      <c r="V16" s="330">
        <f t="shared" ca="1" si="2"/>
        <v>1.5607363807381258</v>
      </c>
      <c r="W16" s="330">
        <v>1</v>
      </c>
    </row>
    <row r="17" spans="2:23">
      <c r="M17" s="159">
        <v>15</v>
      </c>
      <c r="N17" s="329">
        <f ca="1">N16+SUMIFS(Vigilancia!$E:$E,Vigilancia!$O:$O,N$2,Vigilancia!$N:$N,$M17,Vigilancia!$J:$J,"Vigilancia")/N$35</f>
        <v>0.7943788655239441</v>
      </c>
      <c r="O17" s="329">
        <f ca="1">O16+SUMIFS(Vigilancia!$E:$E,Vigilancia!$O:$O,O$2,Vigilancia!$N:$N,$M17,Vigilancia!$J:$J,"Vigilancia")/O$35</f>
        <v>0.29076279393939403</v>
      </c>
      <c r="P17" s="329">
        <f ca="1">P16+SUMIFS(Vigilancia!$E:$E,Vigilancia!$O:$O,P$2,Vigilancia!$N:$N,$M17,Vigilancia!$J:$J,"Vigilancia")/P$35</f>
        <v>0.64579175757575769</v>
      </c>
      <c r="Q17" s="329">
        <f ca="1">Q16+SUMIFS(Vigilancia!$E:$E,Vigilancia!$O:$O,Q$2,Vigilancia!$N:$N,$M17,Vigilancia!$J:$J,"Vigilancia")/Q$35</f>
        <v>1.3554923103775962</v>
      </c>
      <c r="R17" s="329">
        <f ca="1">R16+SUMIFS(Vigilancia!$E:$E,Vigilancia!$O:$O,R$2,Vigilancia!$N:$N,$M17,Vigilancia!$J:$J,"Vigilancia")/R$35</f>
        <v>0.99903516087116728</v>
      </c>
      <c r="S17" s="329">
        <f ca="1">IF(S$2+M17-1&gt;$A$36,NA(),S16+SUMIFS(Vigilancia!$E:$E,Vigilancia!$O:$O,S$2,Vigilancia!$N:$N,$M17,Vigilancia!$J:$J,"Vigilancia")/S$35)</f>
        <v>1.6210994317630856</v>
      </c>
      <c r="U17" s="330">
        <f t="shared" ca="1" si="1"/>
        <v>0.81709217765757192</v>
      </c>
      <c r="V17" s="330">
        <f t="shared" ca="1" si="2"/>
        <v>1.6210994317630856</v>
      </c>
      <c r="W17" s="330">
        <v>1</v>
      </c>
    </row>
    <row r="18" spans="2:23">
      <c r="B18" t="str">
        <f ca="1">IFERROR("Recaudado: Bs. "&amp;TEXT(C18,"#.##0")&amp;" ("&amp;TEXT(INDEX($V$3:$V$33,DAY($A$36)),"0%")&amp;" del estimado)","(revisar cuota del mes)")</f>
        <v>Recaudado: Bs. 8.358.875 (162% del estimado)</v>
      </c>
      <c r="C18">
        <f ca="1">SUMIFS(Vigilancia!$E:$E,Vigilancia!$O:$O,S$2,Vigilancia!$N:$N,"&lt;="&amp;DAY($A$36),Vigilancia!$J:$J,"Vigilancia")</f>
        <v>8358875</v>
      </c>
      <c r="D18" s="321">
        <f ca="1">C18/HLOOKUP(S$2,'RESUMEN VIGILANCIA'!$E$1:$AN$146,$E$15,TRUE)</f>
        <v>83.553935860058303</v>
      </c>
      <c r="M18" s="159">
        <v>16</v>
      </c>
      <c r="N18" s="329">
        <f ca="1">N17+SUMIFS(Vigilancia!$E:$E,Vigilancia!$O:$O,N$2,Vigilancia!$N:$N,$M18,Vigilancia!$J:$J,"Vigilancia")/N$35</f>
        <v>0.7943788655239441</v>
      </c>
      <c r="O18" s="329">
        <f ca="1">O17+SUMIFS(Vigilancia!$E:$E,Vigilancia!$O:$O,O$2,Vigilancia!$N:$N,$M18,Vigilancia!$J:$J,"Vigilancia")/O$35</f>
        <v>0.30876279393939404</v>
      </c>
      <c r="P18" s="329">
        <f ca="1">P17+SUMIFS(Vigilancia!$E:$E,Vigilancia!$O:$O,P$2,Vigilancia!$N:$N,$M18,Vigilancia!$J:$J,"Vigilancia")/P$35</f>
        <v>0.64579175757575769</v>
      </c>
      <c r="Q18" s="329">
        <f ca="1">Q17+SUMIFS(Vigilancia!$E:$E,Vigilancia!$O:$O,Q$2,Vigilancia!$N:$N,$M18,Vigilancia!$J:$J,"Vigilancia")/Q$35</f>
        <v>1.3554923103775962</v>
      </c>
      <c r="R18" s="329">
        <f ca="1">R17+SUMIFS(Vigilancia!$E:$E,Vigilancia!$O:$O,R$2,Vigilancia!$N:$N,$M18,Vigilancia!$J:$J,"Vigilancia")/R$35</f>
        <v>0.99903516087116728</v>
      </c>
      <c r="S18" s="329">
        <f ca="1">IF(S$2+M18-1&gt;$A$36,NA(),S17+SUMIFS(Vigilancia!$E:$E,Vigilancia!$O:$O,S$2,Vigilancia!$N:$N,$M18,Vigilancia!$J:$J,"Vigilancia")/S$35)</f>
        <v>1.6210994317630856</v>
      </c>
      <c r="U18" s="330">
        <f t="shared" ca="1" si="1"/>
        <v>0.82069217765757185</v>
      </c>
      <c r="V18" s="330">
        <f t="shared" ca="1" si="2"/>
        <v>1.6210994317630856</v>
      </c>
      <c r="W18" s="330">
        <v>1</v>
      </c>
    </row>
    <row r="19" spans="2:23">
      <c r="M19" s="159">
        <v>17</v>
      </c>
      <c r="N19" s="329">
        <f ca="1">N18+SUMIFS(Vigilancia!$E:$E,Vigilancia!$O:$O,N$2,Vigilancia!$N:$N,$M19,Vigilancia!$J:$J,"Vigilancia")/N$35</f>
        <v>0.80409789715497437</v>
      </c>
      <c r="O19" s="329">
        <f ca="1">O18+SUMIFS(Vigilancia!$E:$E,Vigilancia!$O:$O,O$2,Vigilancia!$N:$N,$M19,Vigilancia!$J:$J,"Vigilancia")/O$35</f>
        <v>0.33433855151515163</v>
      </c>
      <c r="P19" s="329">
        <f ca="1">P18+SUMIFS(Vigilancia!$E:$E,Vigilancia!$O:$O,P$2,Vigilancia!$N:$N,$M19,Vigilancia!$J:$J,"Vigilancia")/P$35</f>
        <v>0.70833721212121226</v>
      </c>
      <c r="Q19" s="329">
        <f ca="1">Q18+SUMIFS(Vigilancia!$E:$E,Vigilancia!$O:$O,Q$2,Vigilancia!$N:$N,$M19,Vigilancia!$J:$J,"Vigilancia")/Q$35</f>
        <v>1.375904233655916</v>
      </c>
      <c r="R19" s="329">
        <f ca="1">R18+SUMIFS(Vigilancia!$E:$E,Vigilancia!$O:$O,R$2,Vigilancia!$N:$N,$M19,Vigilancia!$J:$J,"Vigilancia")/R$35</f>
        <v>1.0254591470628163</v>
      </c>
      <c r="S19" s="329" t="e">
        <f ca="1">IF(S$2+M19-1&gt;$A$36,NA(),S18+SUMIFS(Vigilancia!$E:$E,Vigilancia!$O:$O,S$2,Vigilancia!$N:$N,$M19,Vigilancia!$J:$J,"Vigilancia")/S$35)</f>
        <v>#N/A</v>
      </c>
      <c r="U19" s="330">
        <f t="shared" ca="1" si="1"/>
        <v>0.849627408302014</v>
      </c>
      <c r="V19" s="330" t="e">
        <f t="shared" ca="1" si="2"/>
        <v>#N/A</v>
      </c>
      <c r="W19" s="330">
        <v>1</v>
      </c>
    </row>
    <row r="20" spans="2:23">
      <c r="M20" s="159">
        <v>18</v>
      </c>
      <c r="N20" s="329">
        <f ca="1">N19+SUMIFS(Vigilancia!$E:$E,Vigilancia!$O:$O,N$2,Vigilancia!$N:$N,$M20,Vigilancia!$J:$J,"Vigilancia")/N$35</f>
        <v>0.84226718501502029</v>
      </c>
      <c r="O20" s="329">
        <f ca="1">O19+SUMIFS(Vigilancia!$E:$E,Vigilancia!$O:$O,O$2,Vigilancia!$N:$N,$M20,Vigilancia!$J:$J,"Vigilancia")/O$35</f>
        <v>0.33433855151515163</v>
      </c>
      <c r="P20" s="329">
        <f ca="1">P19+SUMIFS(Vigilancia!$E:$E,Vigilancia!$O:$O,P$2,Vigilancia!$N:$N,$M20,Vigilancia!$J:$J,"Vigilancia")/P$35</f>
        <v>0.7261553939393941</v>
      </c>
      <c r="Q20" s="329">
        <f ca="1">Q19+SUMIFS(Vigilancia!$E:$E,Vigilancia!$O:$O,Q$2,Vigilancia!$N:$N,$M20,Vigilancia!$J:$J,"Vigilancia")/Q$35</f>
        <v>1.375904233655916</v>
      </c>
      <c r="R20" s="329">
        <f ca="1">R19+SUMIFS(Vigilancia!$E:$E,Vigilancia!$O:$O,R$2,Vigilancia!$N:$N,$M20,Vigilancia!$J:$J,"Vigilancia")/R$35</f>
        <v>1.0254591470628163</v>
      </c>
      <c r="S20" s="329" t="e">
        <f ca="1">IF(S$2+M20-1&gt;$A$36,NA(),S19+SUMIFS(Vigilancia!$E:$E,Vigilancia!$O:$O,S$2,Vigilancia!$N:$N,$M20,Vigilancia!$J:$J,"Vigilancia")/S$35)</f>
        <v>#N/A</v>
      </c>
      <c r="U20" s="330">
        <f t="shared" ca="1" si="1"/>
        <v>0.86082490223765973</v>
      </c>
      <c r="V20" s="330" t="e">
        <f t="shared" ca="1" si="2"/>
        <v>#N/A</v>
      </c>
      <c r="W20" s="330">
        <v>1</v>
      </c>
    </row>
    <row r="21" spans="2:23">
      <c r="M21" s="159">
        <v>19</v>
      </c>
      <c r="N21" s="329">
        <f ca="1">N20+SUMIFS(Vigilancia!$E:$E,Vigilancia!$O:$O,N$2,Vigilancia!$N:$N,$M21,Vigilancia!$J:$J,"Vigilancia")/N$35</f>
        <v>0.91895918006714961</v>
      </c>
      <c r="O21" s="329">
        <f ca="1">O20+SUMIFS(Vigilancia!$E:$E,Vigilancia!$O:$O,O$2,Vigilancia!$N:$N,$M21,Vigilancia!$J:$J,"Vigilancia")/O$35</f>
        <v>0.34039915757575767</v>
      </c>
      <c r="P21" s="329">
        <f ca="1">P20+SUMIFS(Vigilancia!$E:$E,Vigilancia!$O:$O,P$2,Vigilancia!$N:$N,$M21,Vigilancia!$J:$J,"Vigilancia")/P$35</f>
        <v>0.79245842424242441</v>
      </c>
      <c r="Q21" s="329">
        <f ca="1">Q20+SUMIFS(Vigilancia!$E:$E,Vigilancia!$O:$O,Q$2,Vigilancia!$N:$N,$M21,Vigilancia!$J:$J,"Vigilancia")/Q$35</f>
        <v>1.4167280802125555</v>
      </c>
      <c r="R21" s="329">
        <f ca="1">R20+SUMIFS(Vigilancia!$E:$E,Vigilancia!$O:$O,R$2,Vigilancia!$N:$N,$M21,Vigilancia!$J:$J,"Vigilancia")/R$35</f>
        <v>1.0254591470628163</v>
      </c>
      <c r="S21" s="329" t="e">
        <f ca="1">IF(S$2+M21-1&gt;$A$36,NA(),S20+SUMIFS(Vigilancia!$E:$E,Vigilancia!$O:$O,S$2,Vigilancia!$N:$N,$M21,Vigilancia!$J:$J,"Vigilancia")/S$35)</f>
        <v>#N/A</v>
      </c>
      <c r="U21" s="330">
        <f t="shared" ca="1" si="1"/>
        <v>0.89880079783214062</v>
      </c>
      <c r="V21" s="330" t="e">
        <f t="shared" ca="1" si="2"/>
        <v>#N/A</v>
      </c>
      <c r="W21" s="330">
        <v>1</v>
      </c>
    </row>
    <row r="22" spans="2:23">
      <c r="M22" s="159">
        <v>20</v>
      </c>
      <c r="N22" s="329">
        <f ca="1">N21+SUMIFS(Vigilancia!$E:$E,Vigilancia!$O:$O,N$2,Vigilancia!$N:$N,$M22,Vigilancia!$J:$J,"Vigilancia")/N$35</f>
        <v>0.91895918006714961</v>
      </c>
      <c r="O22" s="329">
        <f ca="1">O21+SUMIFS(Vigilancia!$E:$E,Vigilancia!$O:$O,O$2,Vigilancia!$N:$N,$M22,Vigilancia!$J:$J,"Vigilancia")/O$35</f>
        <v>0.39055067272727284</v>
      </c>
      <c r="P22" s="329">
        <f ca="1">P21+SUMIFS(Vigilancia!$E:$E,Vigilancia!$O:$O,P$2,Vigilancia!$N:$N,$M22,Vigilancia!$J:$J,"Vigilancia")/P$35</f>
        <v>0.8280947878787881</v>
      </c>
      <c r="Q22" s="329">
        <f ca="1">Q21+SUMIFS(Vigilancia!$E:$E,Vigilancia!$O:$O,Q$2,Vigilancia!$N:$N,$M22,Vigilancia!$J:$J,"Vigilancia")/Q$35</f>
        <v>1.4576973799041948</v>
      </c>
      <c r="R22" s="329">
        <f ca="1">R21+SUMIFS(Vigilancia!$E:$E,Vigilancia!$O:$O,R$2,Vigilancia!$N:$N,$M22,Vigilancia!$J:$J,"Vigilancia")/R$35</f>
        <v>1.0254591470628163</v>
      </c>
      <c r="S22" s="329" t="e">
        <f ca="1">IF(S$2+M22-1&gt;$A$36,NA(),S21+SUMIFS(Vigilancia!$E:$E,Vigilancia!$O:$O,S$2,Vigilancia!$N:$N,$M22,Vigilancia!$J:$J,"Vigilancia")/S$35)</f>
        <v>#N/A</v>
      </c>
      <c r="U22" s="330">
        <f t="shared" ca="1" si="1"/>
        <v>0.92415223352804432</v>
      </c>
      <c r="V22" s="330" t="e">
        <f t="shared" ca="1" si="2"/>
        <v>#N/A</v>
      </c>
      <c r="W22" s="330">
        <v>1</v>
      </c>
    </row>
    <row r="23" spans="2:23">
      <c r="M23" s="159">
        <v>21</v>
      </c>
      <c r="N23" s="329">
        <f ca="1">N22+SUMIFS(Vigilancia!$E:$E,Vigilancia!$O:$O,N$2,Vigilancia!$N:$N,$M23,Vigilancia!$J:$J,"Vigilancia")/N$35</f>
        <v>0.91895918006714961</v>
      </c>
      <c r="O23" s="329">
        <f ca="1">O22+SUMIFS(Vigilancia!$E:$E,Vigilancia!$O:$O,O$2,Vigilancia!$N:$N,$M23,Vigilancia!$J:$J,"Vigilancia")/O$35</f>
        <v>0.48000521818181829</v>
      </c>
      <c r="P23" s="329">
        <f ca="1">P22+SUMIFS(Vigilancia!$E:$E,Vigilancia!$O:$O,P$2,Vigilancia!$N:$N,$M23,Vigilancia!$J:$J,"Vigilancia")/P$35</f>
        <v>0.88154933333333352</v>
      </c>
      <c r="Q23" s="329">
        <f ca="1">Q22+SUMIFS(Vigilancia!$E:$E,Vigilancia!$O:$O,Q$2,Vigilancia!$N:$N,$M23,Vigilancia!$J:$J,"Vigilancia")/Q$35</f>
        <v>1.4985212264608343</v>
      </c>
      <c r="R23" s="329">
        <f ca="1">R22+SUMIFS(Vigilancia!$E:$E,Vigilancia!$O:$O,R$2,Vigilancia!$N:$N,$M23,Vigilancia!$J:$J,"Vigilancia")/R$35</f>
        <v>1.1048280743944301</v>
      </c>
      <c r="S23" s="329" t="e">
        <f ca="1">IF(S$2+M23-1&gt;$A$36,NA(),S22+SUMIFS(Vigilancia!$E:$E,Vigilancia!$O:$O,S$2,Vigilancia!$N:$N,$M23,Vigilancia!$J:$J,"Vigilancia")/S$35)</f>
        <v>#N/A</v>
      </c>
      <c r="U23" s="330">
        <f t="shared" ca="1" si="1"/>
        <v>0.97677260648751307</v>
      </c>
      <c r="V23" s="330" t="e">
        <f t="shared" ca="1" si="2"/>
        <v>#N/A</v>
      </c>
      <c r="W23" s="330">
        <v>1</v>
      </c>
    </row>
    <row r="24" spans="2:23">
      <c r="M24" s="159">
        <v>22</v>
      </c>
      <c r="N24" s="329">
        <f ca="1">N23+SUMIFS(Vigilancia!$E:$E,Vigilancia!$O:$O,N$2,Vigilancia!$N:$N,$M24,Vigilancia!$J:$J,"Vigilancia")/N$35</f>
        <v>0.93804382399717257</v>
      </c>
      <c r="O24" s="329">
        <f ca="1">O23+SUMIFS(Vigilancia!$E:$E,Vigilancia!$O:$O,O$2,Vigilancia!$N:$N,$M24,Vigilancia!$J:$J,"Vigilancia")/O$35</f>
        <v>0.52754006666666675</v>
      </c>
      <c r="P24" s="329">
        <f ca="1">P23+SUMIFS(Vigilancia!$E:$E,Vigilancia!$O:$O,P$2,Vigilancia!$N:$N,$M24,Vigilancia!$J:$J,"Vigilancia")/P$35</f>
        <v>0.90542812121212135</v>
      </c>
      <c r="Q24" s="329">
        <f ca="1">Q23+SUMIFS(Vigilancia!$E:$E,Vigilancia!$O:$O,Q$2,Vigilancia!$N:$N,$M24,Vigilancia!$J:$J,"Vigilancia")/Q$35</f>
        <v>1.4985212264608343</v>
      </c>
      <c r="R24" s="329">
        <f ca="1">R23+SUMIFS(Vigilancia!$E:$E,Vigilancia!$O:$O,R$2,Vigilancia!$N:$N,$M24,Vigilancia!$J:$J,"Vigilancia")/R$35</f>
        <v>1.2169541725655995</v>
      </c>
      <c r="S24" s="329" t="e">
        <f ca="1">IF(S$2+M24-1&gt;$A$36,NA(),S23+SUMIFS(Vigilancia!$E:$E,Vigilancia!$O:$O,S$2,Vigilancia!$N:$N,$M24,Vigilancia!$J:$J,"Vigilancia")/S$35)</f>
        <v>#N/A</v>
      </c>
      <c r="U24" s="330">
        <f t="shared" ca="1" si="1"/>
        <v>1.017297482180479</v>
      </c>
      <c r="V24" s="330" t="e">
        <f t="shared" ca="1" si="2"/>
        <v>#N/A</v>
      </c>
      <c r="W24" s="330">
        <v>1</v>
      </c>
    </row>
    <row r="25" spans="2:23">
      <c r="M25" s="159">
        <v>23</v>
      </c>
      <c r="N25" s="329">
        <f ca="1">N24+SUMIFS(Vigilancia!$E:$E,Vigilancia!$O:$O,N$2,Vigilancia!$N:$N,$M25,Vigilancia!$J:$J,"Vigilancia")/N$35</f>
        <v>1.0605036225481532</v>
      </c>
      <c r="O25" s="329">
        <f ca="1">O24+SUMIFS(Vigilancia!$E:$E,Vigilancia!$O:$O,O$2,Vigilancia!$N:$N,$M25,Vigilancia!$J:$J,"Vigilancia")/O$35</f>
        <v>0.59809006666666675</v>
      </c>
      <c r="P25" s="329">
        <f ca="1">P24+SUMIFS(Vigilancia!$E:$E,Vigilancia!$O:$O,P$2,Vigilancia!$N:$N,$M25,Vigilancia!$J:$J,"Vigilancia")/P$35</f>
        <v>0.90542812121212135</v>
      </c>
      <c r="Q25" s="329">
        <f ca="1">Q24+SUMIFS(Vigilancia!$E:$E,Vigilancia!$O:$O,Q$2,Vigilancia!$N:$N,$M25,Vigilancia!$J:$J,"Vigilancia")/Q$35</f>
        <v>1.5393450730174738</v>
      </c>
      <c r="R25" s="329">
        <f ca="1">R24+SUMIFS(Vigilancia!$E:$E,Vigilancia!$O:$O,R$2,Vigilancia!$N:$N,$M25,Vigilancia!$J:$J,"Vigilancia")/R$35</f>
        <v>1.4020675290421427</v>
      </c>
      <c r="S25" s="329" t="e">
        <f ca="1">IF(S$2+M25-1&gt;$A$36,NA(),S24+SUMIFS(Vigilancia!$E:$E,Vigilancia!$O:$O,S$2,Vigilancia!$N:$N,$M25,Vigilancia!$J:$J,"Vigilancia")/S$35)</f>
        <v>#N/A</v>
      </c>
      <c r="U25" s="330">
        <f t="shared" ca="1" si="1"/>
        <v>1.1010868824973117</v>
      </c>
      <c r="V25" s="330" t="e">
        <f t="shared" ca="1" si="2"/>
        <v>#N/A</v>
      </c>
      <c r="W25" s="330">
        <v>1</v>
      </c>
    </row>
    <row r="26" spans="2:23">
      <c r="M26" s="159">
        <v>24</v>
      </c>
      <c r="N26" s="329">
        <f ca="1">N25+SUMIFS(Vigilancia!$E:$E,Vigilancia!$O:$O,N$2,Vigilancia!$N:$N,$M26,Vigilancia!$J:$J,"Vigilancia")/N$35</f>
        <v>1.0795882664781762</v>
      </c>
      <c r="O26" s="329">
        <f ca="1">O25+SUMIFS(Vigilancia!$E:$E,Vigilancia!$O:$O,O$2,Vigilancia!$N:$N,$M26,Vigilancia!$J:$J,"Vigilancia")/O$35</f>
        <v>0.63381733939393947</v>
      </c>
      <c r="P26" s="329">
        <f ca="1">P25+SUMIFS(Vigilancia!$E:$E,Vigilancia!$O:$O,P$2,Vigilancia!$N:$N,$M26,Vigilancia!$J:$J,"Vigilancia")/P$35</f>
        <v>0.97670084848484862</v>
      </c>
      <c r="Q26" s="329">
        <f ca="1">Q25+SUMIFS(Vigilancia!$E:$E,Vigilancia!$O:$O,Q$2,Vigilancia!$N:$N,$M26,Vigilancia!$J:$J,"Vigilancia")/Q$35</f>
        <v>1.5393450730174738</v>
      </c>
      <c r="R26" s="329">
        <f ca="1">R25+SUMIFS(Vigilancia!$E:$E,Vigilancia!$O:$O,R$2,Vigilancia!$N:$N,$M26,Vigilancia!$J:$J,"Vigilancia")/R$35</f>
        <v>1.4300333184647906</v>
      </c>
      <c r="S26" s="329" t="e">
        <f ca="1">IF(S$2+M26-1&gt;$A$36,NA(),S25+SUMIFS(Vigilancia!$E:$E,Vigilancia!$O:$O,S$2,Vigilancia!$N:$N,$M26,Vigilancia!$J:$J,"Vigilancia")/S$35)</f>
        <v>#N/A</v>
      </c>
      <c r="U26" s="330">
        <f t="shared" ca="1" si="1"/>
        <v>1.1318969691678458</v>
      </c>
      <c r="V26" s="330" t="e">
        <f t="shared" ca="1" si="2"/>
        <v>#N/A</v>
      </c>
      <c r="W26" s="330">
        <v>1</v>
      </c>
    </row>
    <row r="27" spans="2:23">
      <c r="M27" s="159">
        <v>25</v>
      </c>
      <c r="N27" s="329">
        <f ca="1">N26+SUMIFS(Vigilancia!$E:$E,Vigilancia!$O:$O,N$2,Vigilancia!$N:$N,$M27,Vigilancia!$J:$J,"Vigilancia")/N$35</f>
        <v>1.1145767803498849</v>
      </c>
      <c r="O27" s="329">
        <f ca="1">O26+SUMIFS(Vigilancia!$E:$E,Vigilancia!$O:$O,O$2,Vigilancia!$N:$N,$M27,Vigilancia!$J:$J,"Vigilancia")/O$35</f>
        <v>0.67054461212121219</v>
      </c>
      <c r="P27" s="329">
        <f ca="1">P26+SUMIFS(Vigilancia!$E:$E,Vigilancia!$O:$O,P$2,Vigilancia!$N:$N,$M27,Vigilancia!$J:$J,"Vigilancia")/P$35</f>
        <v>0.99651903030303046</v>
      </c>
      <c r="Q27" s="329">
        <f ca="1">Q26+SUMIFS(Vigilancia!$E:$E,Vigilancia!$O:$O,Q$2,Vigilancia!$N:$N,$M27,Vigilancia!$J:$J,"Vigilancia")/Q$35</f>
        <v>1.5393450730174738</v>
      </c>
      <c r="R27" s="329">
        <f ca="1">R26+SUMIFS(Vigilancia!$E:$E,Vigilancia!$O:$O,R$2,Vigilancia!$N:$N,$M27,Vigilancia!$J:$J,"Vigilancia")/R$35</f>
        <v>1.4562148827647732</v>
      </c>
      <c r="S27" s="329" t="e">
        <f ca="1">IF(S$2+M27-1&gt;$A$36,NA(),S26+SUMIFS(Vigilancia!$E:$E,Vigilancia!$O:$O,S$2,Vigilancia!$N:$N,$M27,Vigilancia!$J:$J,"Vigilancia")/S$35)</f>
        <v>#N/A</v>
      </c>
      <c r="U27" s="330">
        <f t="shared" ca="1" si="1"/>
        <v>1.155440075711275</v>
      </c>
      <c r="V27" s="330" t="e">
        <f t="shared" ca="1" si="2"/>
        <v>#N/A</v>
      </c>
      <c r="W27" s="330">
        <v>1</v>
      </c>
    </row>
    <row r="28" spans="2:23">
      <c r="M28" s="159">
        <v>26</v>
      </c>
      <c r="N28" s="329">
        <f ca="1">N27+SUMIFS(Vigilancia!$E:$E,Vigilancia!$O:$O,N$2,Vigilancia!$N:$N,$M28,Vigilancia!$J:$J,"Vigilancia")/N$35</f>
        <v>1.132247746951758</v>
      </c>
      <c r="O28" s="329">
        <f ca="1">O27+SUMIFS(Vigilancia!$E:$E,Vigilancia!$O:$O,O$2,Vigilancia!$N:$N,$M28,Vigilancia!$J:$J,"Vigilancia")/O$35</f>
        <v>0.67660521818181829</v>
      </c>
      <c r="P28" s="329">
        <f ca="1">P27+SUMIFS(Vigilancia!$E:$E,Vigilancia!$O:$O,P$2,Vigilancia!$N:$N,$M28,Vigilancia!$J:$J,"Vigilancia")/P$35</f>
        <v>1.079197575757576</v>
      </c>
      <c r="Q28" s="329">
        <f ca="1">Q27+SUMIFS(Vigilancia!$E:$E,Vigilancia!$O:$O,Q$2,Vigilancia!$N:$N,$M28,Vigilancia!$J:$J,"Vigilancia")/Q$35</f>
        <v>1.5636357465624575</v>
      </c>
      <c r="R28" s="329">
        <f ca="1">R27+SUMIFS(Vigilancia!$E:$E,Vigilancia!$O:$O,R$2,Vigilancia!$N:$N,$M28,Vigilancia!$J:$J,"Vigilancia")/R$35</f>
        <v>1.4826388689564223</v>
      </c>
      <c r="S28" s="329" t="e">
        <f ca="1">IF(S$2+M28-1&gt;$A$36,NA(),S27+SUMIFS(Vigilancia!$E:$E,Vigilancia!$O:$O,S$2,Vigilancia!$N:$N,$M28,Vigilancia!$J:$J,"Vigilancia")/S$35)</f>
        <v>#N/A</v>
      </c>
      <c r="U28" s="330">
        <f t="shared" ca="1" si="1"/>
        <v>1.1868650312820064</v>
      </c>
      <c r="V28" s="330" t="e">
        <f t="shared" ca="1" si="2"/>
        <v>#N/A</v>
      </c>
      <c r="W28" s="330">
        <v>1</v>
      </c>
    </row>
    <row r="29" spans="2:23">
      <c r="M29" s="159">
        <v>27</v>
      </c>
      <c r="N29" s="329">
        <f ca="1">N28+SUMIFS(Vigilancia!$E:$E,Vigilancia!$O:$O,N$2,Vigilancia!$N:$N,$M29,Vigilancia!$J:$J,"Vigilancia")/N$35</f>
        <v>1.1849072274253398</v>
      </c>
      <c r="O29" s="329">
        <f ca="1">O28+SUMIFS(Vigilancia!$E:$E,Vigilancia!$O:$O,O$2,Vigilancia!$N:$N,$M29,Vigilancia!$J:$J,"Vigilancia")/O$35</f>
        <v>0.7197870363636365</v>
      </c>
      <c r="P29" s="329">
        <f ca="1">P28+SUMIFS(Vigilancia!$E:$E,Vigilancia!$O:$O,P$2,Vigilancia!$N:$N,$M29,Vigilancia!$J:$J,"Vigilancia")/P$35</f>
        <v>1.079197575757576</v>
      </c>
      <c r="Q29" s="329">
        <f ca="1">Q28+SUMIFS(Vigilancia!$E:$E,Vigilancia!$O:$O,Q$2,Vigilancia!$N:$N,$M29,Vigilancia!$J:$J,"Vigilancia")/Q$35</f>
        <v>1.5636357465624575</v>
      </c>
      <c r="R29" s="329">
        <f ca="1">R28+SUMIFS(Vigilancia!$E:$E,Vigilancia!$O:$O,R$2,Vigilancia!$N:$N,$M29,Vigilancia!$J:$J,"Vigilancia")/R$35</f>
        <v>1.5354868413397205</v>
      </c>
      <c r="S29" s="329" t="e">
        <f ca="1">IF(S$2+M29-1&gt;$A$36,NA(),S28+SUMIFS(Vigilancia!$E:$E,Vigilancia!$O:$O,S$2,Vigilancia!$N:$N,$M29,Vigilancia!$J:$J,"Vigilancia")/S$35)</f>
        <v>#N/A</v>
      </c>
      <c r="U29" s="330">
        <f t="shared" ca="1" si="1"/>
        <v>1.2166028854897459</v>
      </c>
      <c r="V29" s="330" t="e">
        <f t="shared" ca="1" si="2"/>
        <v>#N/A</v>
      </c>
      <c r="W29" s="330">
        <v>1</v>
      </c>
    </row>
    <row r="30" spans="2:23">
      <c r="M30" s="159">
        <v>28</v>
      </c>
      <c r="N30" s="329">
        <f ca="1">N29+SUMIFS(Vigilancia!$E:$E,Vigilancia!$O:$O,N$2,Vigilancia!$N:$N,$M30,Vigilancia!$J:$J,"Vigilancia")/N$35</f>
        <v>1.2373899982329031</v>
      </c>
      <c r="O30" s="329">
        <f ca="1">O29+SUMIFS(Vigilancia!$E:$E,Vigilancia!$O:$O,O$2,Vigilancia!$N:$N,$M30,Vigilancia!$J:$J,"Vigilancia")/O$35</f>
        <v>0.77899915757575766</v>
      </c>
      <c r="P30" s="329">
        <f ca="1">P29+SUMIFS(Vigilancia!$E:$E,Vigilancia!$O:$O,P$2,Vigilancia!$N:$N,$M30,Vigilancia!$J:$J,"Vigilancia")/P$35</f>
        <v>1.1232581818181822</v>
      </c>
      <c r="Q30" s="329">
        <f ca="1">Q29+SUMIFS(Vigilancia!$E:$E,Vigilancia!$O:$O,Q$2,Vigilancia!$N:$N,$M30,Vigilancia!$J:$J,"Vigilancia")/Q$35</f>
        <v>1.5636357465624575</v>
      </c>
      <c r="R30" s="329">
        <f ca="1">R29+SUMIFS(Vigilancia!$E:$E,Vigilancia!$O:$O,R$2,Vigilancia!$N:$N,$M30,Vigilancia!$J:$J,"Vigilancia")/R$35</f>
        <v>1.5354868413397205</v>
      </c>
      <c r="S30" s="329" t="e">
        <f ca="1">IF(S$2+M30-1&gt;$A$36,NA(),S29+SUMIFS(Vigilancia!$E:$E,Vigilancia!$O:$O,S$2,Vigilancia!$N:$N,$M30,Vigilancia!$J:$J,"Vigilancia")/S$35)</f>
        <v>#N/A</v>
      </c>
      <c r="U30" s="330">
        <f t="shared" ca="1" si="1"/>
        <v>1.2477539851058042</v>
      </c>
      <c r="V30" s="330" t="e">
        <f t="shared" ca="1" si="2"/>
        <v>#N/A</v>
      </c>
      <c r="W30" s="330">
        <v>1</v>
      </c>
    </row>
    <row r="31" spans="2:23">
      <c r="M31" s="159">
        <v>29</v>
      </c>
      <c r="N31" s="329">
        <f ca="1">N30+SUMIFS(Vigilancia!$E:$E,Vigilancia!$O:$O,N$2,Vigilancia!$N:$N,$M31,Vigilancia!$J:$J,"Vigilancia")/N$35</f>
        <v>1.2416310302173525</v>
      </c>
      <c r="O31" s="329">
        <f ca="1">O30+SUMIFS(Vigilancia!$E:$E,Vigilancia!$O:$O,O$2,Vigilancia!$N:$N,$M31,Vigilancia!$J:$J,"Vigilancia")/O$35</f>
        <v>0.88674158181818186</v>
      </c>
      <c r="P31" s="329">
        <f ca="1">P30+SUMIFS(Vigilancia!$E:$E,Vigilancia!$O:$O,P$2,Vigilancia!$N:$N,$M31,Vigilancia!$J:$J,"Vigilancia")/P$35</f>
        <v>1.231267878787879</v>
      </c>
      <c r="Q31" s="329">
        <f ca="1">Q30+SUMIFS(Vigilancia!$E:$E,Vigilancia!$O:$O,Q$2,Vigilancia!$N:$N,$M31,Vigilancia!$J:$J,"Vigilancia")/Q$35</f>
        <v>1.5636357465624575</v>
      </c>
      <c r="R31" s="329">
        <f ca="1">R30+SUMIFS(Vigilancia!$E:$E,Vigilancia!$O:$O,R$2,Vigilancia!$N:$N,$M31,Vigilancia!$J:$J,"Vigilancia")/R$35</f>
        <v>1.5619108275313696</v>
      </c>
      <c r="S31" s="329" t="e">
        <f ca="1">IF(S$2+M31-1&gt;$A$36,NA(),S30+SUMIFS(Vigilancia!$E:$E,Vigilancia!$O:$O,S$2,Vigilancia!$N:$N,$M31,Vigilancia!$J:$J,"Vigilancia")/S$35)</f>
        <v>#N/A</v>
      </c>
      <c r="U31" s="330">
        <f t="shared" ca="1" si="1"/>
        <v>1.2970374129834483</v>
      </c>
      <c r="V31" s="330" t="e">
        <f t="shared" ca="1" si="2"/>
        <v>#N/A</v>
      </c>
      <c r="W31" s="330">
        <v>1</v>
      </c>
    </row>
    <row r="32" spans="2:23">
      <c r="M32" s="159">
        <v>30</v>
      </c>
      <c r="N32" s="329">
        <f ca="1">N31+SUMIFS(Vigilancia!$E:$E,Vigilancia!$O:$O,N$2,Vigilancia!$N:$N,$M32,Vigilancia!$J:$J,"Vigilancia")/N$35</f>
        <v>1.297559639512281</v>
      </c>
      <c r="O32" s="329">
        <f ca="1">O31+SUMIFS(Vigilancia!$E:$E,Vigilancia!$O:$O,O$2,Vigilancia!$N:$N,$M32,Vigilancia!$J:$J,"Vigilancia")/O$35</f>
        <v>1.0603476424242424</v>
      </c>
      <c r="P32" s="329">
        <f ca="1">P31+SUMIFS(Vigilancia!$E:$E,Vigilancia!$O:$O,P$2,Vigilancia!$N:$N,$M32,Vigilancia!$J:$J,"Vigilancia")/P$35</f>
        <v>1.3303587878787881</v>
      </c>
      <c r="Q32" s="329">
        <f ca="1">Q31+SUMIFS(Vigilancia!$E:$E,Vigilancia!$O:$O,Q$2,Vigilancia!$N:$N,$M32,Vigilancia!$J:$J,"Vigilancia")/Q$35</f>
        <v>1.604459593119097</v>
      </c>
      <c r="R32" s="329">
        <f ca="1">R31+SUMIFS(Vigilancia!$E:$E,Vigilancia!$O:$O,R$2,Vigilancia!$N:$N,$M32,Vigilancia!$J:$J,"Vigilancia")/R$35</f>
        <v>1.6147587999146678</v>
      </c>
      <c r="S32" s="329" t="e">
        <f ca="1">IF(S$2+M32-1&gt;$A$36,NA(),S31+SUMIFS(Vigilancia!$E:$E,Vigilancia!$O:$O,S$2,Vigilancia!$N:$N,$M32,Vigilancia!$J:$J,"Vigilancia")/S$35)</f>
        <v>#N/A</v>
      </c>
      <c r="U32" s="330">
        <f t="shared" ca="1" si="1"/>
        <v>1.3814968925698152</v>
      </c>
      <c r="V32" s="330" t="e">
        <f t="shared" ca="1" si="2"/>
        <v>#N/A</v>
      </c>
      <c r="W32" s="330">
        <v>1</v>
      </c>
    </row>
    <row r="33" spans="1:23">
      <c r="M33" s="159">
        <v>31</v>
      </c>
      <c r="N33" s="329">
        <f ca="1">N32+SUMIFS(Vigilancia!$E:$E,Vigilancia!$O:$O,N$2,Vigilancia!$N:$N,$M33,Vigilancia!$J:$J,"Vigilancia")/N$35</f>
        <v>1.297559639512281</v>
      </c>
      <c r="O33" s="329">
        <f ca="1">O32+SUMIFS(Vigilancia!$E:$E,Vigilancia!$O:$O,O$2,Vigilancia!$N:$N,$M33,Vigilancia!$J:$J,"Vigilancia")/O$35</f>
        <v>1.0843521878787878</v>
      </c>
      <c r="P33" s="329">
        <f ca="1">P32+SUMIFS(Vigilancia!$E:$E,Vigilancia!$O:$O,P$2,Vigilancia!$N:$N,$M33,Vigilancia!$J:$J,"Vigilancia")/P$35</f>
        <v>1.3303587878787881</v>
      </c>
      <c r="Q33" s="329">
        <f ca="1">Q32+SUMIFS(Vigilancia!$E:$E,Vigilancia!$O:$O,Q$2,Vigilancia!$N:$N,$M33,Vigilancia!$J:$J,"Vigilancia")/Q$35</f>
        <v>1.604459593119097</v>
      </c>
      <c r="R33" s="329">
        <f ca="1">R32+SUMIFS(Vigilancia!$E:$E,Vigilancia!$O:$O,R$2,Vigilancia!$N:$N,$M33,Vigilancia!$J:$J,"Vigilancia")/R$35</f>
        <v>1.6729400539146289</v>
      </c>
      <c r="S33" s="329" t="e">
        <f ca="1">IF(S$2+M33-1&gt;$A$36,NA(),S32+SUMIFS(Vigilancia!$E:$E,Vigilancia!$O:$O,S$2,Vigilancia!$N:$N,$M33,Vigilancia!$J:$J,"Vigilancia")/S$35)</f>
        <v>#N/A</v>
      </c>
      <c r="U33" s="330">
        <f t="shared" ca="1" si="1"/>
        <v>1.3979340524607167</v>
      </c>
      <c r="V33" s="330" t="e">
        <f t="shared" ca="1" si="2"/>
        <v>#N/A</v>
      </c>
      <c r="W33" s="330">
        <v>1</v>
      </c>
    </row>
    <row r="35" spans="1:23">
      <c r="M35" s="320" t="s">
        <v>1243</v>
      </c>
      <c r="N35" s="385">
        <f ca="1">HLOOKUP(N$2,'RESUMEN VIGILANCIA'!$E:$AN,$E$16,TRUE)</f>
        <v>1131800</v>
      </c>
      <c r="O35" s="385">
        <f ca="1">HLOOKUP(O$2,'RESUMEN VIGILANCIA'!$E:$AN,$E$16,TRUE)</f>
        <v>3300000</v>
      </c>
      <c r="P35" s="385">
        <f ca="1">HLOOKUP(P$2,'RESUMEN VIGILANCIA'!$E:$AN,$E$16,TRUE)</f>
        <v>4125000</v>
      </c>
      <c r="Q35" s="385">
        <f ca="1">HLOOKUP(Q$2,'RESUMEN VIGILANCIA'!$E:$AN,$E$16,TRUE)</f>
        <v>5156300</v>
      </c>
      <c r="R35" s="385">
        <f ca="1">HLOOKUP(R$2,'RESUMEN VIGILANCIA'!$E:$AN,$E$16,TRUE)</f>
        <v>5156300</v>
      </c>
      <c r="S35" s="385">
        <f ca="1">HLOOKUP(S$2,'RESUMEN VIGILANCIA'!$E:$AN,$E$16,TRUE)</f>
        <v>5156300</v>
      </c>
    </row>
    <row r="36" spans="1:23">
      <c r="A36" s="663">
        <f ca="1">TODAY()</f>
        <v>43877</v>
      </c>
      <c r="B36" s="663"/>
      <c r="C36" s="663"/>
      <c r="D36" s="663"/>
      <c r="E36" s="663"/>
    </row>
    <row r="37" spans="1:23">
      <c r="M37" s="320" t="s">
        <v>1244</v>
      </c>
      <c r="N37" s="385">
        <f ca="1">HLOOKUP(N$2,'RESUMEN VIGILANCIA'!$E:$AN,$E$15,TRUE)</f>
        <v>20720</v>
      </c>
      <c r="O37" s="385">
        <f ca="1">HLOOKUP(O$2,'RESUMEN VIGILANCIA'!$E:$AN,$E$15,TRUE)</f>
        <v>50250</v>
      </c>
      <c r="P37" s="385">
        <f ca="1">HLOOKUP(P$2,'RESUMEN VIGILANCIA'!$E:$AN,$E$15,TRUE)</f>
        <v>65450</v>
      </c>
      <c r="Q37" s="385">
        <f ca="1">HLOOKUP(Q$2,'RESUMEN VIGILANCIA'!$E:$AN,$E$15,TRUE)</f>
        <v>100041.66666666667</v>
      </c>
      <c r="R37" s="385">
        <f ca="1">HLOOKUP(R$2,'RESUMEN VIGILANCIA'!$E:$AN,$E$15,TRUE)</f>
        <v>100041.66666666667</v>
      </c>
      <c r="S37" s="385">
        <f ca="1">HLOOKUP(S$2,'RESUMEN VIGILANCIA'!$E:$AN,$E$15,TRUE)</f>
        <v>100041.66666666667</v>
      </c>
    </row>
  </sheetData>
  <mergeCells count="1">
    <mergeCell ref="A36:E36"/>
  </mergeCells>
  <pageMargins left="0" right="0" top="0" bottom="0" header="0" footer="0"/>
  <pageSetup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4"/>
  <dimension ref="A1:BD146"/>
  <sheetViews>
    <sheetView showGridLines="0" zoomScale="85" zoomScaleNormal="85" workbookViewId="0">
      <pane xSplit="4" ySplit="1" topLeftCell="AL116" activePane="bottomRight" state="frozen"/>
      <selection pane="bottomRight" activeCell="E1" sqref="E1"/>
      <selection pane="bottomLeft" activeCell="A2" sqref="A2"/>
      <selection pane="topRight" activeCell="E1" sqref="E1"/>
    </sheetView>
  </sheetViews>
  <sheetFormatPr defaultColWidth="11.42578125" defaultRowHeight="14.25"/>
  <cols>
    <col min="1" max="1" width="24.5703125" style="45" bestFit="1" customWidth="1"/>
    <col min="2" max="2" width="20.85546875" style="45" customWidth="1"/>
    <col min="3" max="3" width="14.28515625" style="58" bestFit="1" customWidth="1"/>
    <col min="4" max="4" width="4.7109375" style="464" customWidth="1"/>
    <col min="5" max="29" width="11.7109375" style="27" hidden="1" customWidth="1"/>
    <col min="30" max="53" width="11.7109375" style="27" customWidth="1"/>
    <col min="54" max="54" width="12.7109375" style="28" customWidth="1"/>
    <col min="55" max="56" width="11.42578125" style="121"/>
    <col min="57" max="16384" width="11.42578125" style="45"/>
  </cols>
  <sheetData>
    <row r="1" spans="1:56" s="29" customFormat="1" ht="20.100000000000001" customHeight="1">
      <c r="A1" s="644" t="s">
        <v>5</v>
      </c>
      <c r="B1" s="644" t="s">
        <v>7</v>
      </c>
      <c r="C1" s="644" t="s">
        <v>9</v>
      </c>
      <c r="D1" s="644" t="s">
        <v>1245</v>
      </c>
      <c r="E1" s="647">
        <f>'RESUMEN VIGILANCIA'!D1</f>
        <v>2016</v>
      </c>
      <c r="F1" s="644">
        <f>'RESUMEN VIGILANCIA'!E1</f>
        <v>42736</v>
      </c>
      <c r="G1" s="644">
        <f>'RESUMEN VIGILANCIA'!F1</f>
        <v>42767</v>
      </c>
      <c r="H1" s="644">
        <f>'RESUMEN VIGILANCIA'!G1</f>
        <v>42795</v>
      </c>
      <c r="I1" s="644">
        <f>'RESUMEN VIGILANCIA'!H1</f>
        <v>42826</v>
      </c>
      <c r="J1" s="644">
        <f>'RESUMEN VIGILANCIA'!I1</f>
        <v>42856</v>
      </c>
      <c r="K1" s="644">
        <f>'RESUMEN VIGILANCIA'!J1</f>
        <v>42887</v>
      </c>
      <c r="L1" s="644">
        <f>'RESUMEN VIGILANCIA'!K1</f>
        <v>42917</v>
      </c>
      <c r="M1" s="644">
        <f>'RESUMEN VIGILANCIA'!L1</f>
        <v>42948</v>
      </c>
      <c r="N1" s="644">
        <f>'RESUMEN VIGILANCIA'!M1</f>
        <v>42979</v>
      </c>
      <c r="O1" s="644">
        <f>'RESUMEN VIGILANCIA'!N1</f>
        <v>43009</v>
      </c>
      <c r="P1" s="644">
        <f>'RESUMEN VIGILANCIA'!O1</f>
        <v>43040</v>
      </c>
      <c r="Q1" s="644">
        <f>'RESUMEN VIGILANCIA'!P1</f>
        <v>43070</v>
      </c>
      <c r="R1" s="644">
        <f>'RESUMEN VIGILANCIA'!Q1</f>
        <v>43101</v>
      </c>
      <c r="S1" s="644">
        <f>'RESUMEN VIGILANCIA'!R1</f>
        <v>43132</v>
      </c>
      <c r="T1" s="644">
        <f>'RESUMEN VIGILANCIA'!S1</f>
        <v>43160</v>
      </c>
      <c r="U1" s="644">
        <f>'RESUMEN VIGILANCIA'!T1</f>
        <v>43191</v>
      </c>
      <c r="V1" s="644">
        <f>'RESUMEN VIGILANCIA'!U1</f>
        <v>43221</v>
      </c>
      <c r="W1" s="644">
        <f>'RESUMEN VIGILANCIA'!V1</f>
        <v>43252</v>
      </c>
      <c r="X1" s="644">
        <f>'RESUMEN VIGILANCIA'!W1</f>
        <v>43282</v>
      </c>
      <c r="Y1" s="644">
        <f>'RESUMEN VIGILANCIA'!X1</f>
        <v>43313</v>
      </c>
      <c r="Z1" s="644">
        <f>'RESUMEN VIGILANCIA'!Y1</f>
        <v>43344</v>
      </c>
      <c r="AA1" s="644">
        <f>'RESUMEN VIGILANCIA'!Z1</f>
        <v>43374</v>
      </c>
      <c r="AB1" s="644">
        <f>'RESUMEN VIGILANCIA'!AA1</f>
        <v>43405</v>
      </c>
      <c r="AC1" s="644">
        <f>'RESUMEN VIGILANCIA'!AB1</f>
        <v>43435</v>
      </c>
      <c r="AD1" s="644">
        <f>'RESUMEN VIGILANCIA'!AC1</f>
        <v>43466</v>
      </c>
      <c r="AE1" s="644">
        <f>'RESUMEN VIGILANCIA'!AD1</f>
        <v>43497</v>
      </c>
      <c r="AF1" s="644">
        <f>'RESUMEN VIGILANCIA'!AE1</f>
        <v>43525</v>
      </c>
      <c r="AG1" s="644">
        <f>'RESUMEN VIGILANCIA'!AF1</f>
        <v>43556</v>
      </c>
      <c r="AH1" s="644">
        <f>'RESUMEN VIGILANCIA'!AG1</f>
        <v>43586</v>
      </c>
      <c r="AI1" s="644">
        <f>'RESUMEN VIGILANCIA'!AH1</f>
        <v>43617</v>
      </c>
      <c r="AJ1" s="644">
        <f>'RESUMEN VIGILANCIA'!AI1</f>
        <v>43647</v>
      </c>
      <c r="AK1" s="644">
        <f>'RESUMEN VIGILANCIA'!AJ1</f>
        <v>43678</v>
      </c>
      <c r="AL1" s="644">
        <f>'RESUMEN VIGILANCIA'!AK1</f>
        <v>43709</v>
      </c>
      <c r="AM1" s="644">
        <f>'RESUMEN VIGILANCIA'!AL1</f>
        <v>43739</v>
      </c>
      <c r="AN1" s="644">
        <f>'RESUMEN VIGILANCIA'!AM1</f>
        <v>43770</v>
      </c>
      <c r="AO1" s="644">
        <f>'RESUMEN VIGILANCIA'!AN1</f>
        <v>43800</v>
      </c>
      <c r="AP1" s="644">
        <f>'RESUMEN VIGILANCIA'!AO1</f>
        <v>43831</v>
      </c>
      <c r="AQ1" s="644">
        <f>'RESUMEN VIGILANCIA'!AP1</f>
        <v>43862</v>
      </c>
      <c r="AR1" s="644">
        <f>'RESUMEN VIGILANCIA'!AQ1</f>
        <v>43891</v>
      </c>
      <c r="AS1" s="644">
        <f>'RESUMEN VIGILANCIA'!AR1</f>
        <v>43922</v>
      </c>
      <c r="AT1" s="644">
        <f>'RESUMEN VIGILANCIA'!AS1</f>
        <v>43952</v>
      </c>
      <c r="AU1" s="644">
        <f>'RESUMEN VIGILANCIA'!AT1</f>
        <v>43983</v>
      </c>
      <c r="AV1" s="644">
        <f>'RESUMEN VIGILANCIA'!AU1</f>
        <v>44013</v>
      </c>
      <c r="AW1" s="644">
        <f>'RESUMEN VIGILANCIA'!AV1</f>
        <v>44044</v>
      </c>
      <c r="AX1" s="644">
        <f>'RESUMEN VIGILANCIA'!AW1</f>
        <v>44075</v>
      </c>
      <c r="AY1" s="644">
        <f>'RESUMEN VIGILANCIA'!AX1</f>
        <v>44105</v>
      </c>
      <c r="AZ1" s="644">
        <f>'RESUMEN VIGILANCIA'!AY1</f>
        <v>44136</v>
      </c>
      <c r="BA1" s="644">
        <f>'RESUMEN VIGILANCIA'!AZ1</f>
        <v>44166</v>
      </c>
      <c r="BB1" s="644" t="s">
        <v>1156</v>
      </c>
      <c r="BC1" s="644" t="s">
        <v>1246</v>
      </c>
      <c r="BD1" s="644" t="s">
        <v>1247</v>
      </c>
    </row>
    <row r="2" spans="1:56" s="29" customFormat="1" ht="20.100000000000001" customHeight="1">
      <c r="A2" s="37" t="str">
        <f>'RESUMEN VIGILANCIA'!A24</f>
        <v>Familia Padrón C. Bollingher</v>
      </c>
      <c r="B2" s="38" t="str">
        <f>'RESUMEN VIGILANCIA'!B24</f>
        <v>Calle Guacara Nro. 87-30</v>
      </c>
      <c r="C2" s="449"/>
      <c r="D2" s="458" t="s">
        <v>1248</v>
      </c>
      <c r="E2" s="438" t="str">
        <f>IF(ISBLANK('RESUMEN VIGILANCIA'!D24),"",'RESUMEN VIGILANCIA'!D24)</f>
        <v/>
      </c>
      <c r="F2" s="264" t="str">
        <f>IF(ISBLANK('RESUMEN VIGILANCIA'!E24),"",'RESUMEN VIGILANCIA'!E24)</f>
        <v/>
      </c>
      <c r="G2" s="200" t="str">
        <f>IF(ISBLANK('RESUMEN VIGILANCIA'!F24),"",'RESUMEN VIGILANCIA'!F24)</f>
        <v/>
      </c>
      <c r="H2" s="200" t="str">
        <f>IF(ISBLANK('RESUMEN VIGILANCIA'!G24),"",'RESUMEN VIGILANCIA'!G24)</f>
        <v/>
      </c>
      <c r="I2" s="200" t="str">
        <f>IF(ISBLANK('RESUMEN VIGILANCIA'!H24),"",'RESUMEN VIGILANCIA'!H24)</f>
        <v/>
      </c>
      <c r="J2" s="200" t="str">
        <f>IF(ISBLANK('RESUMEN VIGILANCIA'!I24),"",'RESUMEN VIGILANCIA'!I24)</f>
        <v/>
      </c>
      <c r="K2" s="200" t="str">
        <f>IF(ISBLANK('RESUMEN VIGILANCIA'!J24),"",'RESUMEN VIGILANCIA'!J24)</f>
        <v/>
      </c>
      <c r="L2" s="200" t="str">
        <f>IF(ISBLANK('RESUMEN VIGILANCIA'!K24),"",'RESUMEN VIGILANCIA'!K24)</f>
        <v/>
      </c>
      <c r="M2" s="200" t="str">
        <f>IF(ISBLANK('RESUMEN VIGILANCIA'!L24),"",'RESUMEN VIGILANCIA'!L24)</f>
        <v/>
      </c>
      <c r="N2" s="200" t="str">
        <f>IF(ISBLANK('RESUMEN VIGILANCIA'!M24),"",'RESUMEN VIGILANCIA'!M24)</f>
        <v/>
      </c>
      <c r="O2" s="200" t="str">
        <f>IF(ISBLANK('RESUMEN VIGILANCIA'!N24),"",'RESUMEN VIGILANCIA'!N24)</f>
        <v/>
      </c>
      <c r="P2" s="265" t="str">
        <f>IF(ISBLANK('RESUMEN VIGILANCIA'!O24),"",'RESUMEN VIGILANCIA'!O24)</f>
        <v/>
      </c>
      <c r="Q2" s="198" t="str">
        <f>IF(ISBLANK('RESUMEN VIGILANCIA'!P24),"",'RESUMEN VIGILANCIA'!P24)</f>
        <v/>
      </c>
      <c r="R2" s="266" t="str">
        <f>IF(ISBLANK('RESUMEN VIGILANCIA'!Q24),"",'RESUMEN VIGILANCIA'!Q24)</f>
        <v/>
      </c>
      <c r="S2" s="265" t="str">
        <f>IF(ISBLANK('RESUMEN VIGILANCIA'!R24),"",'RESUMEN VIGILANCIA'!R24)</f>
        <v/>
      </c>
      <c r="T2" s="265" t="str">
        <f>IF(ISBLANK('RESUMEN VIGILANCIA'!S24),"",'RESUMEN VIGILANCIA'!S24)</f>
        <v/>
      </c>
      <c r="U2" s="265" t="str">
        <f>IF(ISBLANK('RESUMEN VIGILANCIA'!T24),"",'RESUMEN VIGILANCIA'!T24)</f>
        <v/>
      </c>
      <c r="V2" s="265" t="str">
        <f>IF(ISBLANK('RESUMEN VIGILANCIA'!U24),"",'RESUMEN VIGILANCIA'!U24)</f>
        <v/>
      </c>
      <c r="W2" s="265" t="str">
        <f>IF(ISBLANK('RESUMEN VIGILANCIA'!V24),"",'RESUMEN VIGILANCIA'!V24)</f>
        <v/>
      </c>
      <c r="X2" s="265" t="str">
        <f>IF(ISBLANK('RESUMEN VIGILANCIA'!W24),"",'RESUMEN VIGILANCIA'!W24)</f>
        <v/>
      </c>
      <c r="Y2" s="265" t="str">
        <f>IF(ISBLANK('RESUMEN VIGILANCIA'!X24),"",'RESUMEN VIGILANCIA'!X24)</f>
        <v/>
      </c>
      <c r="Z2" s="479" t="str">
        <f>IF(ISBLANK('RESUMEN VIGILANCIA'!Y24),"",'RESUMEN VIGILANCIA'!Y24)</f>
        <v/>
      </c>
      <c r="AA2" s="479" t="str">
        <f>IF(ISBLANK('RESUMEN VIGILANCIA'!Z24),"",'RESUMEN VIGILANCIA'!Z24)</f>
        <v/>
      </c>
      <c r="AB2" s="479" t="str">
        <f>IF(ISBLANK('RESUMEN VIGILANCIA'!AA24),"",'RESUMEN VIGILANCIA'!AA24)</f>
        <v/>
      </c>
      <c r="AC2" s="480" t="str">
        <f>IF(ISBLANK('RESUMEN VIGILANCIA'!AB24),"",'RESUMEN VIGILANCIA'!AB24)</f>
        <v/>
      </c>
      <c r="AD2" s="407" t="str">
        <f>IF(ISBLANK('RESUMEN VIGILANCIA'!AC24),"",'RESUMEN VIGILANCIA'!AC24)</f>
        <v/>
      </c>
      <c r="AE2" s="408" t="str">
        <f>IF(ISBLANK('RESUMEN VIGILANCIA'!AD24),"",'RESUMEN VIGILANCIA'!AD24)</f>
        <v/>
      </c>
      <c r="AF2" s="408" t="str">
        <f>IF(ISBLANK('RESUMEN VIGILANCIA'!AE24),"",'RESUMEN VIGILANCIA'!AE24)</f>
        <v/>
      </c>
      <c r="AG2" s="408" t="str">
        <f>IF(ISBLANK('RESUMEN VIGILANCIA'!AF24),"",'RESUMEN VIGILANCIA'!AF24)</f>
        <v/>
      </c>
      <c r="AH2" s="408" t="str">
        <f>IF(ISBLANK('RESUMEN VIGILANCIA'!AG24),"",'RESUMEN VIGILANCIA'!AG24)</f>
        <v/>
      </c>
      <c r="AI2" s="408" t="str">
        <f>IF(ISBLANK('RESUMEN VIGILANCIA'!AH24),"",'RESUMEN VIGILANCIA'!AH24)</f>
        <v/>
      </c>
      <c r="AJ2" s="408" t="str">
        <f>IF(ISBLANK('RESUMEN VIGILANCIA'!AI24),"",'RESUMEN VIGILANCIA'!AI24)</f>
        <v/>
      </c>
      <c r="AK2" s="408" t="str">
        <f>IF(ISBLANK('RESUMEN VIGILANCIA'!AJ24),"",'RESUMEN VIGILANCIA'!AJ24)</f>
        <v/>
      </c>
      <c r="AL2" s="408" t="str">
        <f>IF(ISBLANK('RESUMEN VIGILANCIA'!AK24),"",'RESUMEN VIGILANCIA'!AK24)</f>
        <v/>
      </c>
      <c r="AM2" s="408" t="str">
        <f>IF(ISBLANK('RESUMEN VIGILANCIA'!AL24),"",'RESUMEN VIGILANCIA'!AL24)</f>
        <v/>
      </c>
      <c r="AN2" s="408" t="str">
        <f>IF(ISBLANK('RESUMEN VIGILANCIA'!AM24),"",'RESUMEN VIGILANCIA'!AM24)</f>
        <v/>
      </c>
      <c r="AO2" s="409" t="str">
        <f>IF(ISBLANK('RESUMEN VIGILANCIA'!AN24),"",'RESUMEN VIGILANCIA'!AN24)</f>
        <v/>
      </c>
      <c r="AP2" s="407" t="str">
        <f>IF(ISBLANK('RESUMEN VIGILANCIA'!AO24),"",'RESUMEN VIGILANCIA'!AO24)</f>
        <v/>
      </c>
      <c r="AQ2" s="408" t="str">
        <f>IF(ISBLANK('RESUMEN VIGILANCIA'!AP24),"",'RESUMEN VIGILANCIA'!AP24)</f>
        <v/>
      </c>
      <c r="AR2" s="408" t="str">
        <f>IF(ISBLANK('RESUMEN VIGILANCIA'!AQ24),"",'RESUMEN VIGILANCIA'!AQ24)</f>
        <v/>
      </c>
      <c r="AS2" s="408" t="str">
        <f>IF(ISBLANK('RESUMEN VIGILANCIA'!AR24),"",'RESUMEN VIGILANCIA'!AR24)</f>
        <v/>
      </c>
      <c r="AT2" s="408" t="str">
        <f>IF(ISBLANK('RESUMEN VIGILANCIA'!AS24),"",'RESUMEN VIGILANCIA'!AS24)</f>
        <v/>
      </c>
      <c r="AU2" s="408" t="str">
        <f>IF(ISBLANK('RESUMEN VIGILANCIA'!AT24),"",'RESUMEN VIGILANCIA'!AT24)</f>
        <v/>
      </c>
      <c r="AV2" s="408" t="str">
        <f>IF(ISBLANK('RESUMEN VIGILANCIA'!AU24),"",'RESUMEN VIGILANCIA'!AU24)</f>
        <v/>
      </c>
      <c r="AW2" s="408" t="str">
        <f>IF(ISBLANK('RESUMEN VIGILANCIA'!AV24),"",'RESUMEN VIGILANCIA'!AV24)</f>
        <v/>
      </c>
      <c r="AX2" s="408" t="str">
        <f>IF(ISBLANK('RESUMEN VIGILANCIA'!AW24),"",'RESUMEN VIGILANCIA'!AW24)</f>
        <v/>
      </c>
      <c r="AY2" s="408" t="str">
        <f>IF(ISBLANK('RESUMEN VIGILANCIA'!AX24),"",'RESUMEN VIGILANCIA'!AX24)</f>
        <v/>
      </c>
      <c r="AZ2" s="408" t="str">
        <f>IF(ISBLANK('RESUMEN VIGILANCIA'!AY24),"",'RESUMEN VIGILANCIA'!AY24)</f>
        <v/>
      </c>
      <c r="BA2" s="409" t="str">
        <f>IF(ISBLANK('RESUMEN VIGILANCIA'!AZ24),"",'RESUMEN VIGILANCIA'!AZ24)</f>
        <v/>
      </c>
      <c r="BB2" s="244">
        <f t="shared" ref="BB2:BB33" si="0">SUM(E2:AO2)</f>
        <v>0</v>
      </c>
      <c r="BC2" s="110"/>
      <c r="BD2" s="110"/>
    </row>
    <row r="3" spans="1:56" s="29" customFormat="1" ht="20.100000000000001" customHeight="1">
      <c r="A3" s="37" t="str">
        <f>'RESUMEN VIGILANCIA'!A26</f>
        <v>Familia Gorrín Gianfrancesco</v>
      </c>
      <c r="B3" s="38" t="str">
        <f>'RESUMEN VIGILANCIA'!B26</f>
        <v>Calle Guacara Nro. 87-40</v>
      </c>
      <c r="C3" s="450"/>
      <c r="D3" s="458" t="s">
        <v>1248</v>
      </c>
      <c r="E3" s="438" t="str">
        <f>IF(ISBLANK('RESUMEN VIGILANCIA'!D26),"",'RESUMEN VIGILANCIA'!D26)</f>
        <v/>
      </c>
      <c r="F3" s="264" t="str">
        <f>IF(ISBLANK('RESUMEN VIGILANCIA'!E26),"",'RESUMEN VIGILANCIA'!E26)</f>
        <v/>
      </c>
      <c r="G3" s="200" t="str">
        <f>IF(ISBLANK('RESUMEN VIGILANCIA'!F26),"",'RESUMEN VIGILANCIA'!F26)</f>
        <v/>
      </c>
      <c r="H3" s="200" t="str">
        <f>IF(ISBLANK('RESUMEN VIGILANCIA'!G26),"",'RESUMEN VIGILANCIA'!G26)</f>
        <v/>
      </c>
      <c r="I3" s="200" t="str">
        <f>IF(ISBLANK('RESUMEN VIGILANCIA'!H26),"",'RESUMEN VIGILANCIA'!H26)</f>
        <v/>
      </c>
      <c r="J3" s="200" t="str">
        <f>IF(ISBLANK('RESUMEN VIGILANCIA'!I26),"",'RESUMEN VIGILANCIA'!I26)</f>
        <v/>
      </c>
      <c r="K3" s="200" t="str">
        <f>IF(ISBLANK('RESUMEN VIGILANCIA'!J26),"",'RESUMEN VIGILANCIA'!J26)</f>
        <v/>
      </c>
      <c r="L3" s="200" t="str">
        <f>IF(ISBLANK('RESUMEN VIGILANCIA'!K26),"",'RESUMEN VIGILANCIA'!K26)</f>
        <v/>
      </c>
      <c r="M3" s="200" t="str">
        <f>IF(ISBLANK('RESUMEN VIGILANCIA'!L26),"",'RESUMEN VIGILANCIA'!L26)</f>
        <v/>
      </c>
      <c r="N3" s="200" t="str">
        <f>IF(ISBLANK('RESUMEN VIGILANCIA'!M26),"",'RESUMEN VIGILANCIA'!M26)</f>
        <v/>
      </c>
      <c r="O3" s="200" t="str">
        <f>IF(ISBLANK('RESUMEN VIGILANCIA'!N26),"",'RESUMEN VIGILANCIA'!N26)</f>
        <v/>
      </c>
      <c r="P3" s="265" t="str">
        <f>IF(ISBLANK('RESUMEN VIGILANCIA'!O26),"",'RESUMEN VIGILANCIA'!O26)</f>
        <v/>
      </c>
      <c r="Q3" s="198" t="str">
        <f>IF(ISBLANK('RESUMEN VIGILANCIA'!P26),"",'RESUMEN VIGILANCIA'!P26)</f>
        <v/>
      </c>
      <c r="R3" s="266" t="str">
        <f>IF(ISBLANK('RESUMEN VIGILANCIA'!Q26),"",'RESUMEN VIGILANCIA'!Q26)</f>
        <v/>
      </c>
      <c r="S3" s="265" t="str">
        <f>IF(ISBLANK('RESUMEN VIGILANCIA'!R26),"",'RESUMEN VIGILANCIA'!R26)</f>
        <v/>
      </c>
      <c r="T3" s="265" t="str">
        <f>IF(ISBLANK('RESUMEN VIGILANCIA'!S26),"",'RESUMEN VIGILANCIA'!S26)</f>
        <v/>
      </c>
      <c r="U3" s="265" t="str">
        <f>IF(ISBLANK('RESUMEN VIGILANCIA'!T26),"",'RESUMEN VIGILANCIA'!T26)</f>
        <v/>
      </c>
      <c r="V3" s="265" t="str">
        <f>IF(ISBLANK('RESUMEN VIGILANCIA'!U26),"",'RESUMEN VIGILANCIA'!U26)</f>
        <v/>
      </c>
      <c r="W3" s="265" t="str">
        <f>IF(ISBLANK('RESUMEN VIGILANCIA'!V26),"",'RESUMEN VIGILANCIA'!V26)</f>
        <v/>
      </c>
      <c r="X3" s="265" t="str">
        <f>IF(ISBLANK('RESUMEN VIGILANCIA'!W26),"",'RESUMEN VIGILANCIA'!W26)</f>
        <v/>
      </c>
      <c r="Y3" s="265" t="str">
        <f>IF(ISBLANK('RESUMEN VIGILANCIA'!X26),"",'RESUMEN VIGILANCIA'!X26)</f>
        <v/>
      </c>
      <c r="Z3" s="479" t="str">
        <f>IF(ISBLANK('RESUMEN VIGILANCIA'!Y26),"",'RESUMEN VIGILANCIA'!Y26)</f>
        <v/>
      </c>
      <c r="AA3" s="479" t="str">
        <f>IF(ISBLANK('RESUMEN VIGILANCIA'!Z26),"",'RESUMEN VIGILANCIA'!Z26)</f>
        <v/>
      </c>
      <c r="AB3" s="479" t="str">
        <f>IF(ISBLANK('RESUMEN VIGILANCIA'!AA26),"",'RESUMEN VIGILANCIA'!AA26)</f>
        <v/>
      </c>
      <c r="AC3" s="480" t="str">
        <f>IF(ISBLANK('RESUMEN VIGILANCIA'!AB26),"",'RESUMEN VIGILANCIA'!AB26)</f>
        <v/>
      </c>
      <c r="AD3" s="407" t="str">
        <f>IF(ISBLANK('RESUMEN VIGILANCIA'!AC26),"",'RESUMEN VIGILANCIA'!AC26)</f>
        <v/>
      </c>
      <c r="AE3" s="408" t="str">
        <f>IF(ISBLANK('RESUMEN VIGILANCIA'!AD26),"",'RESUMEN VIGILANCIA'!AD26)</f>
        <v/>
      </c>
      <c r="AF3" s="408" t="str">
        <f>IF(ISBLANK('RESUMEN VIGILANCIA'!AE26),"",'RESUMEN VIGILANCIA'!AE26)</f>
        <v/>
      </c>
      <c r="AG3" s="408" t="str">
        <f>IF(ISBLANK('RESUMEN VIGILANCIA'!AF26),"",'RESUMEN VIGILANCIA'!AF26)</f>
        <v/>
      </c>
      <c r="AH3" s="408" t="str">
        <f>IF(ISBLANK('RESUMEN VIGILANCIA'!AG26),"",'RESUMEN VIGILANCIA'!AG26)</f>
        <v/>
      </c>
      <c r="AI3" s="408" t="str">
        <f>IF(ISBLANK('RESUMEN VIGILANCIA'!AH26),"",'RESUMEN VIGILANCIA'!AH26)</f>
        <v/>
      </c>
      <c r="AJ3" s="408" t="str">
        <f>IF(ISBLANK('RESUMEN VIGILANCIA'!AI26),"",'RESUMEN VIGILANCIA'!AI26)</f>
        <v/>
      </c>
      <c r="AK3" s="408" t="str">
        <f>IF(ISBLANK('RESUMEN VIGILANCIA'!AJ26),"",'RESUMEN VIGILANCIA'!AJ26)</f>
        <v/>
      </c>
      <c r="AL3" s="408" t="str">
        <f>IF(ISBLANK('RESUMEN VIGILANCIA'!AK26),"",'RESUMEN VIGILANCIA'!AK26)</f>
        <v/>
      </c>
      <c r="AM3" s="408" t="str">
        <f>IF(ISBLANK('RESUMEN VIGILANCIA'!AL26),"",'RESUMEN VIGILANCIA'!AL26)</f>
        <v/>
      </c>
      <c r="AN3" s="408" t="str">
        <f>IF(ISBLANK('RESUMEN VIGILANCIA'!AM26),"",'RESUMEN VIGILANCIA'!AM26)</f>
        <v/>
      </c>
      <c r="AO3" s="409" t="str">
        <f>IF(ISBLANK('RESUMEN VIGILANCIA'!AN26),"",'RESUMEN VIGILANCIA'!AN26)</f>
        <v/>
      </c>
      <c r="AP3" s="407" t="str">
        <f>IF(ISBLANK('RESUMEN VIGILANCIA'!AO26),"",'RESUMEN VIGILANCIA'!AO26)</f>
        <v/>
      </c>
      <c r="AQ3" s="408" t="str">
        <f>IF(ISBLANK('RESUMEN VIGILANCIA'!AP26),"",'RESUMEN VIGILANCIA'!AP26)</f>
        <v/>
      </c>
      <c r="AR3" s="408" t="str">
        <f>IF(ISBLANK('RESUMEN VIGILANCIA'!AQ26),"",'RESUMEN VIGILANCIA'!AQ26)</f>
        <v/>
      </c>
      <c r="AS3" s="408" t="str">
        <f>IF(ISBLANK('RESUMEN VIGILANCIA'!AR26),"",'RESUMEN VIGILANCIA'!AR26)</f>
        <v/>
      </c>
      <c r="AT3" s="408" t="str">
        <f>IF(ISBLANK('RESUMEN VIGILANCIA'!AS26),"",'RESUMEN VIGILANCIA'!AS26)</f>
        <v/>
      </c>
      <c r="AU3" s="408" t="str">
        <f>IF(ISBLANK('RESUMEN VIGILANCIA'!AT26),"",'RESUMEN VIGILANCIA'!AT26)</f>
        <v/>
      </c>
      <c r="AV3" s="408" t="str">
        <f>IF(ISBLANK('RESUMEN VIGILANCIA'!AU26),"",'RESUMEN VIGILANCIA'!AU26)</f>
        <v/>
      </c>
      <c r="AW3" s="408" t="str">
        <f>IF(ISBLANK('RESUMEN VIGILANCIA'!AV26),"",'RESUMEN VIGILANCIA'!AV26)</f>
        <v/>
      </c>
      <c r="AX3" s="408" t="str">
        <f>IF(ISBLANK('RESUMEN VIGILANCIA'!AW26),"",'RESUMEN VIGILANCIA'!AW26)</f>
        <v/>
      </c>
      <c r="AY3" s="408" t="str">
        <f>IF(ISBLANK('RESUMEN VIGILANCIA'!AX26),"",'RESUMEN VIGILANCIA'!AX26)</f>
        <v/>
      </c>
      <c r="AZ3" s="408" t="str">
        <f>IF(ISBLANK('RESUMEN VIGILANCIA'!AY26),"",'RESUMEN VIGILANCIA'!AY26)</f>
        <v/>
      </c>
      <c r="BA3" s="409" t="str">
        <f>IF(ISBLANK('RESUMEN VIGILANCIA'!AZ26),"",'RESUMEN VIGILANCIA'!AZ26)</f>
        <v/>
      </c>
      <c r="BB3" s="244">
        <f t="shared" si="0"/>
        <v>0</v>
      </c>
      <c r="BC3" s="110"/>
      <c r="BD3" s="110"/>
    </row>
    <row r="4" spans="1:56" s="29" customFormat="1" ht="20.100000000000001" customHeight="1">
      <c r="A4" s="37" t="str">
        <f>'RESUMEN VIGILANCIA'!A30</f>
        <v>Familia De Libero Marinelli</v>
      </c>
      <c r="B4" s="38" t="str">
        <f>'RESUMEN VIGILANCIA'!B30</f>
        <v>Calle Guacara Nro. 87-70</v>
      </c>
      <c r="C4" s="450"/>
      <c r="D4" s="458" t="s">
        <v>1248</v>
      </c>
      <c r="E4" s="438" t="str">
        <f>IF(ISBLANK('RESUMEN VIGILANCIA'!D30),"",'RESUMEN VIGILANCIA'!D30)</f>
        <v/>
      </c>
      <c r="F4" s="264" t="str">
        <f>IF(ISBLANK('RESUMEN VIGILANCIA'!E30),"",'RESUMEN VIGILANCIA'!E30)</f>
        <v/>
      </c>
      <c r="G4" s="200" t="str">
        <f>IF(ISBLANK('RESUMEN VIGILANCIA'!F30),"",'RESUMEN VIGILANCIA'!F30)</f>
        <v/>
      </c>
      <c r="H4" s="200" t="str">
        <f>IF(ISBLANK('RESUMEN VIGILANCIA'!G30),"",'RESUMEN VIGILANCIA'!G30)</f>
        <v/>
      </c>
      <c r="I4" s="200" t="str">
        <f>IF(ISBLANK('RESUMEN VIGILANCIA'!H30),"",'RESUMEN VIGILANCIA'!H30)</f>
        <v/>
      </c>
      <c r="J4" s="200" t="str">
        <f>IF(ISBLANK('RESUMEN VIGILANCIA'!I30),"",'RESUMEN VIGILANCIA'!I30)</f>
        <v/>
      </c>
      <c r="K4" s="200" t="str">
        <f>IF(ISBLANK('RESUMEN VIGILANCIA'!J30),"",'RESUMEN VIGILANCIA'!J30)</f>
        <v/>
      </c>
      <c r="L4" s="200" t="str">
        <f>IF(ISBLANK('RESUMEN VIGILANCIA'!K30),"",'RESUMEN VIGILANCIA'!K30)</f>
        <v/>
      </c>
      <c r="M4" s="200" t="str">
        <f>IF(ISBLANK('RESUMEN VIGILANCIA'!L30),"",'RESUMEN VIGILANCIA'!L30)</f>
        <v/>
      </c>
      <c r="N4" s="200" t="str">
        <f>IF(ISBLANK('RESUMEN VIGILANCIA'!M30),"",'RESUMEN VIGILANCIA'!M30)</f>
        <v/>
      </c>
      <c r="O4" s="200" t="str">
        <f>IF(ISBLANK('RESUMEN VIGILANCIA'!N30),"",'RESUMEN VIGILANCIA'!N30)</f>
        <v/>
      </c>
      <c r="P4" s="265" t="str">
        <f>IF(ISBLANK('RESUMEN VIGILANCIA'!O30),"",'RESUMEN VIGILANCIA'!O30)</f>
        <v/>
      </c>
      <c r="Q4" s="198" t="str">
        <f>IF(ISBLANK('RESUMEN VIGILANCIA'!P30),"",'RESUMEN VIGILANCIA'!P30)</f>
        <v/>
      </c>
      <c r="R4" s="266" t="str">
        <f>IF(ISBLANK('RESUMEN VIGILANCIA'!Q30),"",'RESUMEN VIGILANCIA'!Q30)</f>
        <v/>
      </c>
      <c r="S4" s="265" t="str">
        <f>IF(ISBLANK('RESUMEN VIGILANCIA'!R30),"",'RESUMEN VIGILANCIA'!R30)</f>
        <v/>
      </c>
      <c r="T4" s="265" t="str">
        <f>IF(ISBLANK('RESUMEN VIGILANCIA'!S30),"",'RESUMEN VIGILANCIA'!S30)</f>
        <v/>
      </c>
      <c r="U4" s="265" t="str">
        <f>IF(ISBLANK('RESUMEN VIGILANCIA'!T30),"",'RESUMEN VIGILANCIA'!T30)</f>
        <v/>
      </c>
      <c r="V4" s="265" t="str">
        <f>IF(ISBLANK('RESUMEN VIGILANCIA'!U30),"",'RESUMEN VIGILANCIA'!U30)</f>
        <v/>
      </c>
      <c r="W4" s="265" t="str">
        <f>IF(ISBLANK('RESUMEN VIGILANCIA'!V30),"",'RESUMEN VIGILANCIA'!V30)</f>
        <v/>
      </c>
      <c r="X4" s="265" t="str">
        <f>IF(ISBLANK('RESUMEN VIGILANCIA'!W30),"",'RESUMEN VIGILANCIA'!W30)</f>
        <v/>
      </c>
      <c r="Y4" s="265" t="str">
        <f>IF(ISBLANK('RESUMEN VIGILANCIA'!X30),"",'RESUMEN VIGILANCIA'!X30)</f>
        <v/>
      </c>
      <c r="Z4" s="479" t="str">
        <f>IF(ISBLANK('RESUMEN VIGILANCIA'!Y30),"",'RESUMEN VIGILANCIA'!Y30)</f>
        <v/>
      </c>
      <c r="AA4" s="479" t="str">
        <f>IF(ISBLANK('RESUMEN VIGILANCIA'!Z30),"",'RESUMEN VIGILANCIA'!Z30)</f>
        <v/>
      </c>
      <c r="AB4" s="479" t="str">
        <f>IF(ISBLANK('RESUMEN VIGILANCIA'!AA30),"",'RESUMEN VIGILANCIA'!AA30)</f>
        <v/>
      </c>
      <c r="AC4" s="480" t="str">
        <f>IF(ISBLANK('RESUMEN VIGILANCIA'!AB30),"",'RESUMEN VIGILANCIA'!AB30)</f>
        <v/>
      </c>
      <c r="AD4" s="407" t="str">
        <f>IF(ISBLANK('RESUMEN VIGILANCIA'!AC30),"",'RESUMEN VIGILANCIA'!AC30)</f>
        <v/>
      </c>
      <c r="AE4" s="408" t="str">
        <f>IF(ISBLANK('RESUMEN VIGILANCIA'!AD30),"",'RESUMEN VIGILANCIA'!AD30)</f>
        <v/>
      </c>
      <c r="AF4" s="408" t="str">
        <f>IF(ISBLANK('RESUMEN VIGILANCIA'!AE30),"",'RESUMEN VIGILANCIA'!AE30)</f>
        <v/>
      </c>
      <c r="AG4" s="408" t="str">
        <f>IF(ISBLANK('RESUMEN VIGILANCIA'!AF30),"",'RESUMEN VIGILANCIA'!AF30)</f>
        <v/>
      </c>
      <c r="AH4" s="408" t="str">
        <f>IF(ISBLANK('RESUMEN VIGILANCIA'!AG30),"",'RESUMEN VIGILANCIA'!AG30)</f>
        <v/>
      </c>
      <c r="AI4" s="408" t="str">
        <f>IF(ISBLANK('RESUMEN VIGILANCIA'!AH30),"",'RESUMEN VIGILANCIA'!AH30)</f>
        <v/>
      </c>
      <c r="AJ4" s="408" t="str">
        <f>IF(ISBLANK('RESUMEN VIGILANCIA'!AI30),"",'RESUMEN VIGILANCIA'!AI30)</f>
        <v/>
      </c>
      <c r="AK4" s="408" t="str">
        <f>IF(ISBLANK('RESUMEN VIGILANCIA'!AJ30),"",'RESUMEN VIGILANCIA'!AJ30)</f>
        <v/>
      </c>
      <c r="AL4" s="408" t="str">
        <f>IF(ISBLANK('RESUMEN VIGILANCIA'!AK30),"",'RESUMEN VIGILANCIA'!AK30)</f>
        <v/>
      </c>
      <c r="AM4" s="408" t="str">
        <f>IF(ISBLANK('RESUMEN VIGILANCIA'!AL30),"",'RESUMEN VIGILANCIA'!AL30)</f>
        <v/>
      </c>
      <c r="AN4" s="408" t="str">
        <f>IF(ISBLANK('RESUMEN VIGILANCIA'!AM30),"",'RESUMEN VIGILANCIA'!AM30)</f>
        <v/>
      </c>
      <c r="AO4" s="409" t="str">
        <f>IF(ISBLANK('RESUMEN VIGILANCIA'!AN30),"",'RESUMEN VIGILANCIA'!AN30)</f>
        <v/>
      </c>
      <c r="AP4" s="407" t="str">
        <f>IF(ISBLANK('RESUMEN VIGILANCIA'!AO30),"",'RESUMEN VIGILANCIA'!AO30)</f>
        <v/>
      </c>
      <c r="AQ4" s="408" t="str">
        <f>IF(ISBLANK('RESUMEN VIGILANCIA'!AP30),"",'RESUMEN VIGILANCIA'!AP30)</f>
        <v/>
      </c>
      <c r="AR4" s="408" t="str">
        <f>IF(ISBLANK('RESUMEN VIGILANCIA'!AQ30),"",'RESUMEN VIGILANCIA'!AQ30)</f>
        <v/>
      </c>
      <c r="AS4" s="408" t="str">
        <f>IF(ISBLANK('RESUMEN VIGILANCIA'!AR30),"",'RESUMEN VIGILANCIA'!AR30)</f>
        <v/>
      </c>
      <c r="AT4" s="408" t="str">
        <f>IF(ISBLANK('RESUMEN VIGILANCIA'!AS30),"",'RESUMEN VIGILANCIA'!AS30)</f>
        <v/>
      </c>
      <c r="AU4" s="408" t="str">
        <f>IF(ISBLANK('RESUMEN VIGILANCIA'!AT30),"",'RESUMEN VIGILANCIA'!AT30)</f>
        <v/>
      </c>
      <c r="AV4" s="408" t="str">
        <f>IF(ISBLANK('RESUMEN VIGILANCIA'!AU30),"",'RESUMEN VIGILANCIA'!AU30)</f>
        <v/>
      </c>
      <c r="AW4" s="408" t="str">
        <f>IF(ISBLANK('RESUMEN VIGILANCIA'!AV30),"",'RESUMEN VIGILANCIA'!AV30)</f>
        <v/>
      </c>
      <c r="AX4" s="408" t="str">
        <f>IF(ISBLANK('RESUMEN VIGILANCIA'!AW30),"",'RESUMEN VIGILANCIA'!AW30)</f>
        <v/>
      </c>
      <c r="AY4" s="408" t="str">
        <f>IF(ISBLANK('RESUMEN VIGILANCIA'!AX30),"",'RESUMEN VIGILANCIA'!AX30)</f>
        <v/>
      </c>
      <c r="AZ4" s="408" t="str">
        <f>IF(ISBLANK('RESUMEN VIGILANCIA'!AY30),"",'RESUMEN VIGILANCIA'!AY30)</f>
        <v/>
      </c>
      <c r="BA4" s="409" t="str">
        <f>IF(ISBLANK('RESUMEN VIGILANCIA'!AZ30),"",'RESUMEN VIGILANCIA'!AZ30)</f>
        <v/>
      </c>
      <c r="BB4" s="244">
        <f t="shared" si="0"/>
        <v>0</v>
      </c>
      <c r="BC4" s="110"/>
      <c r="BD4" s="110"/>
    </row>
    <row r="5" spans="1:56" s="29" customFormat="1" ht="20.100000000000001" customHeight="1">
      <c r="A5" s="37" t="str">
        <f>'RESUMEN VIGILANCIA'!A31</f>
        <v>Familia Martínez</v>
      </c>
      <c r="B5" s="38" t="str">
        <f>'RESUMEN VIGILANCIA'!B31</f>
        <v>Calle Guacara Nro. 87-80</v>
      </c>
      <c r="C5" s="450"/>
      <c r="D5" s="458" t="s">
        <v>1248</v>
      </c>
      <c r="E5" s="438" t="str">
        <f>IF(ISBLANK('RESUMEN VIGILANCIA'!D31),"",'RESUMEN VIGILANCIA'!D31)</f>
        <v/>
      </c>
      <c r="F5" s="264" t="str">
        <f>IF(ISBLANK('RESUMEN VIGILANCIA'!E31),"",'RESUMEN VIGILANCIA'!E31)</f>
        <v/>
      </c>
      <c r="G5" s="200" t="str">
        <f>IF(ISBLANK('RESUMEN VIGILANCIA'!F31),"",'RESUMEN VIGILANCIA'!F31)</f>
        <v/>
      </c>
      <c r="H5" s="200" t="str">
        <f>IF(ISBLANK('RESUMEN VIGILANCIA'!G31),"",'RESUMEN VIGILANCIA'!G31)</f>
        <v/>
      </c>
      <c r="I5" s="200" t="str">
        <f>IF(ISBLANK('RESUMEN VIGILANCIA'!H31),"",'RESUMEN VIGILANCIA'!H31)</f>
        <v/>
      </c>
      <c r="J5" s="200" t="str">
        <f>IF(ISBLANK('RESUMEN VIGILANCIA'!I31),"",'RESUMEN VIGILANCIA'!I31)</f>
        <v/>
      </c>
      <c r="K5" s="200" t="str">
        <f>IF(ISBLANK('RESUMEN VIGILANCIA'!J31),"",'RESUMEN VIGILANCIA'!J31)</f>
        <v/>
      </c>
      <c r="L5" s="200" t="str">
        <f>IF(ISBLANK('RESUMEN VIGILANCIA'!K31),"",'RESUMEN VIGILANCIA'!K31)</f>
        <v/>
      </c>
      <c r="M5" s="200" t="str">
        <f>IF(ISBLANK('RESUMEN VIGILANCIA'!L31),"",'RESUMEN VIGILANCIA'!L31)</f>
        <v/>
      </c>
      <c r="N5" s="200" t="str">
        <f>IF(ISBLANK('RESUMEN VIGILANCIA'!M31),"",'RESUMEN VIGILANCIA'!M31)</f>
        <v/>
      </c>
      <c r="O5" s="200" t="str">
        <f>IF(ISBLANK('RESUMEN VIGILANCIA'!N31),"",'RESUMEN VIGILANCIA'!N31)</f>
        <v/>
      </c>
      <c r="P5" s="265" t="str">
        <f>IF(ISBLANK('RESUMEN VIGILANCIA'!O31),"",'RESUMEN VIGILANCIA'!O31)</f>
        <v/>
      </c>
      <c r="Q5" s="198" t="str">
        <f>IF(ISBLANK('RESUMEN VIGILANCIA'!P31),"",'RESUMEN VIGILANCIA'!P31)</f>
        <v/>
      </c>
      <c r="R5" s="266" t="str">
        <f>IF(ISBLANK('RESUMEN VIGILANCIA'!Q31),"",'RESUMEN VIGILANCIA'!Q31)</f>
        <v/>
      </c>
      <c r="S5" s="265" t="str">
        <f>IF(ISBLANK('RESUMEN VIGILANCIA'!R31),"",'RESUMEN VIGILANCIA'!R31)</f>
        <v/>
      </c>
      <c r="T5" s="265" t="str">
        <f>IF(ISBLANK('RESUMEN VIGILANCIA'!S31),"",'RESUMEN VIGILANCIA'!S31)</f>
        <v/>
      </c>
      <c r="U5" s="265" t="str">
        <f>IF(ISBLANK('RESUMEN VIGILANCIA'!T31),"",'RESUMEN VIGILANCIA'!T31)</f>
        <v/>
      </c>
      <c r="V5" s="265" t="str">
        <f>IF(ISBLANK('RESUMEN VIGILANCIA'!U31),"",'RESUMEN VIGILANCIA'!U31)</f>
        <v/>
      </c>
      <c r="W5" s="265" t="str">
        <f>IF(ISBLANK('RESUMEN VIGILANCIA'!V31),"",'RESUMEN VIGILANCIA'!V31)</f>
        <v/>
      </c>
      <c r="X5" s="265" t="str">
        <f>IF(ISBLANK('RESUMEN VIGILANCIA'!W31),"",'RESUMEN VIGILANCIA'!W31)</f>
        <v/>
      </c>
      <c r="Y5" s="265" t="str">
        <f>IF(ISBLANK('RESUMEN VIGILANCIA'!X31),"",'RESUMEN VIGILANCIA'!X31)</f>
        <v/>
      </c>
      <c r="Z5" s="479" t="str">
        <f>IF(ISBLANK('RESUMEN VIGILANCIA'!Y31),"",'RESUMEN VIGILANCIA'!Y31)</f>
        <v/>
      </c>
      <c r="AA5" s="479" t="str">
        <f>IF(ISBLANK('RESUMEN VIGILANCIA'!Z31),"",'RESUMEN VIGILANCIA'!Z31)</f>
        <v/>
      </c>
      <c r="AB5" s="479" t="str">
        <f>IF(ISBLANK('RESUMEN VIGILANCIA'!AA31),"",'RESUMEN VIGILANCIA'!AA31)</f>
        <v/>
      </c>
      <c r="AC5" s="480" t="str">
        <f>IF(ISBLANK('RESUMEN VIGILANCIA'!AB31),"",'RESUMEN VIGILANCIA'!AB31)</f>
        <v/>
      </c>
      <c r="AD5" s="407" t="str">
        <f>IF(ISBLANK('RESUMEN VIGILANCIA'!AC31),"",'RESUMEN VIGILANCIA'!AC31)</f>
        <v/>
      </c>
      <c r="AE5" s="408" t="str">
        <f>IF(ISBLANK('RESUMEN VIGILANCIA'!AD31),"",'RESUMEN VIGILANCIA'!AD31)</f>
        <v/>
      </c>
      <c r="AF5" s="408" t="str">
        <f>IF(ISBLANK('RESUMEN VIGILANCIA'!AE31),"",'RESUMEN VIGILANCIA'!AE31)</f>
        <v/>
      </c>
      <c r="AG5" s="408" t="str">
        <f>IF(ISBLANK('RESUMEN VIGILANCIA'!AF31),"",'RESUMEN VIGILANCIA'!AF31)</f>
        <v/>
      </c>
      <c r="AH5" s="408" t="str">
        <f>IF(ISBLANK('RESUMEN VIGILANCIA'!AG31),"",'RESUMEN VIGILANCIA'!AG31)</f>
        <v/>
      </c>
      <c r="AI5" s="408" t="str">
        <f>IF(ISBLANK('RESUMEN VIGILANCIA'!AH31),"",'RESUMEN VIGILANCIA'!AH31)</f>
        <v/>
      </c>
      <c r="AJ5" s="408" t="str">
        <f>IF(ISBLANK('RESUMEN VIGILANCIA'!AI31),"",'RESUMEN VIGILANCIA'!AI31)</f>
        <v/>
      </c>
      <c r="AK5" s="408" t="str">
        <f>IF(ISBLANK('RESUMEN VIGILANCIA'!AJ31),"",'RESUMEN VIGILANCIA'!AJ31)</f>
        <v/>
      </c>
      <c r="AL5" s="408" t="str">
        <f>IF(ISBLANK('RESUMEN VIGILANCIA'!AK31),"",'RESUMEN VIGILANCIA'!AK31)</f>
        <v/>
      </c>
      <c r="AM5" s="408" t="str">
        <f>IF(ISBLANK('RESUMEN VIGILANCIA'!AL31),"",'RESUMEN VIGILANCIA'!AL31)</f>
        <v/>
      </c>
      <c r="AN5" s="408" t="str">
        <f>IF(ISBLANK('RESUMEN VIGILANCIA'!AM31),"",'RESUMEN VIGILANCIA'!AM31)</f>
        <v/>
      </c>
      <c r="AO5" s="409" t="str">
        <f>IF(ISBLANK('RESUMEN VIGILANCIA'!AN31),"",'RESUMEN VIGILANCIA'!AN31)</f>
        <v/>
      </c>
      <c r="AP5" s="407" t="str">
        <f>IF(ISBLANK('RESUMEN VIGILANCIA'!AO31),"",'RESUMEN VIGILANCIA'!AO31)</f>
        <v/>
      </c>
      <c r="AQ5" s="408" t="str">
        <f>IF(ISBLANK('RESUMEN VIGILANCIA'!AP31),"",'RESUMEN VIGILANCIA'!AP31)</f>
        <v/>
      </c>
      <c r="AR5" s="408" t="str">
        <f>IF(ISBLANK('RESUMEN VIGILANCIA'!AQ31),"",'RESUMEN VIGILANCIA'!AQ31)</f>
        <v/>
      </c>
      <c r="AS5" s="408" t="str">
        <f>IF(ISBLANK('RESUMEN VIGILANCIA'!AR31),"",'RESUMEN VIGILANCIA'!AR31)</f>
        <v/>
      </c>
      <c r="AT5" s="408" t="str">
        <f>IF(ISBLANK('RESUMEN VIGILANCIA'!AS31),"",'RESUMEN VIGILANCIA'!AS31)</f>
        <v/>
      </c>
      <c r="AU5" s="408" t="str">
        <f>IF(ISBLANK('RESUMEN VIGILANCIA'!AT31),"",'RESUMEN VIGILANCIA'!AT31)</f>
        <v/>
      </c>
      <c r="AV5" s="408" t="str">
        <f>IF(ISBLANK('RESUMEN VIGILANCIA'!AU31),"",'RESUMEN VIGILANCIA'!AU31)</f>
        <v/>
      </c>
      <c r="AW5" s="408" t="str">
        <f>IF(ISBLANK('RESUMEN VIGILANCIA'!AV31),"",'RESUMEN VIGILANCIA'!AV31)</f>
        <v/>
      </c>
      <c r="AX5" s="408" t="str">
        <f>IF(ISBLANK('RESUMEN VIGILANCIA'!AW31),"",'RESUMEN VIGILANCIA'!AW31)</f>
        <v/>
      </c>
      <c r="AY5" s="408" t="str">
        <f>IF(ISBLANK('RESUMEN VIGILANCIA'!AX31),"",'RESUMEN VIGILANCIA'!AX31)</f>
        <v/>
      </c>
      <c r="AZ5" s="408" t="str">
        <f>IF(ISBLANK('RESUMEN VIGILANCIA'!AY31),"",'RESUMEN VIGILANCIA'!AY31)</f>
        <v/>
      </c>
      <c r="BA5" s="409" t="str">
        <f>IF(ISBLANK('RESUMEN VIGILANCIA'!AZ31),"",'RESUMEN VIGILANCIA'!AZ31)</f>
        <v/>
      </c>
      <c r="BB5" s="244">
        <f t="shared" si="0"/>
        <v>0</v>
      </c>
      <c r="BC5" s="110"/>
      <c r="BD5" s="110"/>
    </row>
    <row r="6" spans="1:56" s="29" customFormat="1" ht="20.100000000000001" customHeight="1">
      <c r="A6" s="37" t="str">
        <f>'RESUMEN VIGILANCIA'!A32</f>
        <v>Familia Suarez</v>
      </c>
      <c r="B6" s="38" t="str">
        <f>'RESUMEN VIGILANCIA'!B32</f>
        <v>Calle Guacara Nro. 87-82</v>
      </c>
      <c r="C6" s="450"/>
      <c r="D6" s="458" t="s">
        <v>1248</v>
      </c>
      <c r="E6" s="438" t="str">
        <f>IF(ISBLANK('RESUMEN VIGILANCIA'!D32),"",'RESUMEN VIGILANCIA'!D32)</f>
        <v/>
      </c>
      <c r="F6" s="264" t="str">
        <f>IF(ISBLANK('RESUMEN VIGILANCIA'!E32),"",'RESUMEN VIGILANCIA'!E32)</f>
        <v/>
      </c>
      <c r="G6" s="200" t="str">
        <f>IF(ISBLANK('RESUMEN VIGILANCIA'!F32),"",'RESUMEN VIGILANCIA'!F32)</f>
        <v/>
      </c>
      <c r="H6" s="200" t="str">
        <f>IF(ISBLANK('RESUMEN VIGILANCIA'!G32),"",'RESUMEN VIGILANCIA'!G32)</f>
        <v/>
      </c>
      <c r="I6" s="200" t="str">
        <f>IF(ISBLANK('RESUMEN VIGILANCIA'!H32),"",'RESUMEN VIGILANCIA'!H32)</f>
        <v/>
      </c>
      <c r="J6" s="200" t="str">
        <f>IF(ISBLANK('RESUMEN VIGILANCIA'!I32),"",'RESUMEN VIGILANCIA'!I32)</f>
        <v/>
      </c>
      <c r="K6" s="200" t="str">
        <f>IF(ISBLANK('RESUMEN VIGILANCIA'!J32),"",'RESUMEN VIGILANCIA'!J32)</f>
        <v/>
      </c>
      <c r="L6" s="200" t="str">
        <f>IF(ISBLANK('RESUMEN VIGILANCIA'!K32),"",'RESUMEN VIGILANCIA'!K32)</f>
        <v/>
      </c>
      <c r="M6" s="200" t="str">
        <f>IF(ISBLANK('RESUMEN VIGILANCIA'!L32),"",'RESUMEN VIGILANCIA'!L32)</f>
        <v/>
      </c>
      <c r="N6" s="200" t="str">
        <f>IF(ISBLANK('RESUMEN VIGILANCIA'!M32),"",'RESUMEN VIGILANCIA'!M32)</f>
        <v/>
      </c>
      <c r="O6" s="200" t="str">
        <f>IF(ISBLANK('RESUMEN VIGILANCIA'!N32),"",'RESUMEN VIGILANCIA'!N32)</f>
        <v/>
      </c>
      <c r="P6" s="265" t="str">
        <f>IF(ISBLANK('RESUMEN VIGILANCIA'!O32),"",'RESUMEN VIGILANCIA'!O32)</f>
        <v/>
      </c>
      <c r="Q6" s="198" t="str">
        <f>IF(ISBLANK('RESUMEN VIGILANCIA'!P32),"",'RESUMEN VIGILANCIA'!P32)</f>
        <v/>
      </c>
      <c r="R6" s="266" t="str">
        <f>IF(ISBLANK('RESUMEN VIGILANCIA'!Q32),"",'RESUMEN VIGILANCIA'!Q32)</f>
        <v/>
      </c>
      <c r="S6" s="265" t="str">
        <f>IF(ISBLANK('RESUMEN VIGILANCIA'!R32),"",'RESUMEN VIGILANCIA'!R32)</f>
        <v/>
      </c>
      <c r="T6" s="265" t="str">
        <f>IF(ISBLANK('RESUMEN VIGILANCIA'!S32),"",'RESUMEN VIGILANCIA'!S32)</f>
        <v/>
      </c>
      <c r="U6" s="265" t="str">
        <f>IF(ISBLANK('RESUMEN VIGILANCIA'!T32),"",'RESUMEN VIGILANCIA'!T32)</f>
        <v/>
      </c>
      <c r="V6" s="265" t="str">
        <f>IF(ISBLANK('RESUMEN VIGILANCIA'!U32),"",'RESUMEN VIGILANCIA'!U32)</f>
        <v/>
      </c>
      <c r="W6" s="265" t="str">
        <f>IF(ISBLANK('RESUMEN VIGILANCIA'!V32),"",'RESUMEN VIGILANCIA'!V32)</f>
        <v/>
      </c>
      <c r="X6" s="265" t="str">
        <f>IF(ISBLANK('RESUMEN VIGILANCIA'!W32),"",'RESUMEN VIGILANCIA'!W32)</f>
        <v/>
      </c>
      <c r="Y6" s="265" t="str">
        <f>IF(ISBLANK('RESUMEN VIGILANCIA'!X32),"",'RESUMEN VIGILANCIA'!X32)</f>
        <v/>
      </c>
      <c r="Z6" s="479" t="str">
        <f>IF(ISBLANK('RESUMEN VIGILANCIA'!Y32),"",'RESUMEN VIGILANCIA'!Y32)</f>
        <v/>
      </c>
      <c r="AA6" s="479" t="str">
        <f>IF(ISBLANK('RESUMEN VIGILANCIA'!Z32),"",'RESUMEN VIGILANCIA'!Z32)</f>
        <v/>
      </c>
      <c r="AB6" s="479" t="str">
        <f>IF(ISBLANK('RESUMEN VIGILANCIA'!AA32),"",'RESUMEN VIGILANCIA'!AA32)</f>
        <v/>
      </c>
      <c r="AC6" s="480" t="str">
        <f>IF(ISBLANK('RESUMEN VIGILANCIA'!AB32),"",'RESUMEN VIGILANCIA'!AB32)</f>
        <v/>
      </c>
      <c r="AD6" s="407" t="str">
        <f>IF(ISBLANK('RESUMEN VIGILANCIA'!AC32),"",'RESUMEN VIGILANCIA'!AC32)</f>
        <v/>
      </c>
      <c r="AE6" s="408" t="str">
        <f>IF(ISBLANK('RESUMEN VIGILANCIA'!AD32),"",'RESUMEN VIGILANCIA'!AD32)</f>
        <v/>
      </c>
      <c r="AF6" s="408" t="str">
        <f>IF(ISBLANK('RESUMEN VIGILANCIA'!AE32),"",'RESUMEN VIGILANCIA'!AE32)</f>
        <v/>
      </c>
      <c r="AG6" s="408" t="str">
        <f>IF(ISBLANK('RESUMEN VIGILANCIA'!AF32),"",'RESUMEN VIGILANCIA'!AF32)</f>
        <v/>
      </c>
      <c r="AH6" s="408" t="str">
        <f>IF(ISBLANK('RESUMEN VIGILANCIA'!AG32),"",'RESUMEN VIGILANCIA'!AG32)</f>
        <v/>
      </c>
      <c r="AI6" s="408" t="str">
        <f>IF(ISBLANK('RESUMEN VIGILANCIA'!AH32),"",'RESUMEN VIGILANCIA'!AH32)</f>
        <v/>
      </c>
      <c r="AJ6" s="408" t="str">
        <f>IF(ISBLANK('RESUMEN VIGILANCIA'!AI32),"",'RESUMEN VIGILANCIA'!AI32)</f>
        <v/>
      </c>
      <c r="AK6" s="408" t="str">
        <f>IF(ISBLANK('RESUMEN VIGILANCIA'!AJ32),"",'RESUMEN VIGILANCIA'!AJ32)</f>
        <v/>
      </c>
      <c r="AL6" s="408" t="str">
        <f>IF(ISBLANK('RESUMEN VIGILANCIA'!AK32),"",'RESUMEN VIGILANCIA'!AK32)</f>
        <v/>
      </c>
      <c r="AM6" s="408" t="str">
        <f>IF(ISBLANK('RESUMEN VIGILANCIA'!AL32),"",'RESUMEN VIGILANCIA'!AL32)</f>
        <v/>
      </c>
      <c r="AN6" s="408" t="str">
        <f>IF(ISBLANK('RESUMEN VIGILANCIA'!AM32),"",'RESUMEN VIGILANCIA'!AM32)</f>
        <v/>
      </c>
      <c r="AO6" s="409" t="str">
        <f>IF(ISBLANK('RESUMEN VIGILANCIA'!AN32),"",'RESUMEN VIGILANCIA'!AN32)</f>
        <v/>
      </c>
      <c r="AP6" s="407" t="str">
        <f>IF(ISBLANK('RESUMEN VIGILANCIA'!AO32),"",'RESUMEN VIGILANCIA'!AO32)</f>
        <v/>
      </c>
      <c r="AQ6" s="408" t="str">
        <f>IF(ISBLANK('RESUMEN VIGILANCIA'!AP32),"",'RESUMEN VIGILANCIA'!AP32)</f>
        <v/>
      </c>
      <c r="AR6" s="408" t="str">
        <f>IF(ISBLANK('RESUMEN VIGILANCIA'!AQ32),"",'RESUMEN VIGILANCIA'!AQ32)</f>
        <v/>
      </c>
      <c r="AS6" s="408" t="str">
        <f>IF(ISBLANK('RESUMEN VIGILANCIA'!AR32),"",'RESUMEN VIGILANCIA'!AR32)</f>
        <v/>
      </c>
      <c r="AT6" s="408" t="str">
        <f>IF(ISBLANK('RESUMEN VIGILANCIA'!AS32),"",'RESUMEN VIGILANCIA'!AS32)</f>
        <v/>
      </c>
      <c r="AU6" s="408" t="str">
        <f>IF(ISBLANK('RESUMEN VIGILANCIA'!AT32),"",'RESUMEN VIGILANCIA'!AT32)</f>
        <v/>
      </c>
      <c r="AV6" s="408" t="str">
        <f>IF(ISBLANK('RESUMEN VIGILANCIA'!AU32),"",'RESUMEN VIGILANCIA'!AU32)</f>
        <v/>
      </c>
      <c r="AW6" s="408" t="str">
        <f>IF(ISBLANK('RESUMEN VIGILANCIA'!AV32),"",'RESUMEN VIGILANCIA'!AV32)</f>
        <v/>
      </c>
      <c r="AX6" s="408" t="str">
        <f>IF(ISBLANK('RESUMEN VIGILANCIA'!AW32),"",'RESUMEN VIGILANCIA'!AW32)</f>
        <v/>
      </c>
      <c r="AY6" s="408" t="str">
        <f>IF(ISBLANK('RESUMEN VIGILANCIA'!AX32),"",'RESUMEN VIGILANCIA'!AX32)</f>
        <v/>
      </c>
      <c r="AZ6" s="408" t="str">
        <f>IF(ISBLANK('RESUMEN VIGILANCIA'!AY32),"",'RESUMEN VIGILANCIA'!AY32)</f>
        <v/>
      </c>
      <c r="BA6" s="409" t="str">
        <f>IF(ISBLANK('RESUMEN VIGILANCIA'!AZ32),"",'RESUMEN VIGILANCIA'!AZ32)</f>
        <v/>
      </c>
      <c r="BB6" s="244">
        <f t="shared" si="0"/>
        <v>0</v>
      </c>
      <c r="BC6" s="110"/>
      <c r="BD6" s="110"/>
    </row>
    <row r="7" spans="1:56" s="29" customFormat="1" ht="20.100000000000001" customHeight="1">
      <c r="A7" s="380" t="str">
        <f>'RESUMEN VIGILANCIA'!A33</f>
        <v>Chin Chun Ya (Goya)</v>
      </c>
      <c r="B7" s="381" t="str">
        <f>'RESUMEN VIGILANCIA'!B33</f>
        <v>Calle Guacara Nro. 87-86</v>
      </c>
      <c r="C7" s="453" t="s">
        <v>1249</v>
      </c>
      <c r="D7" s="459" t="s">
        <v>1248</v>
      </c>
      <c r="E7" s="439" t="str">
        <f>IF(ISBLANK('RESUMEN VIGILANCIA'!D33),"",'RESUMEN VIGILANCIA'!D33)</f>
        <v/>
      </c>
      <c r="F7" s="267">
        <f>IF(ISBLANK('RESUMEN VIGILANCIA'!E33),"",'RESUMEN VIGILANCIA'!E33)</f>
        <v>0.05</v>
      </c>
      <c r="G7" s="189">
        <f>IF(ISBLANK('RESUMEN VIGILANCIA'!F33),"",'RESUMEN VIGILANCIA'!F33)</f>
        <v>0.05</v>
      </c>
      <c r="H7" s="189">
        <f>IF(ISBLANK('RESUMEN VIGILANCIA'!G33),"",'RESUMEN VIGILANCIA'!G33)</f>
        <v>7.0000000000000007E-2</v>
      </c>
      <c r="I7" s="189">
        <f>IF(ISBLANK('RESUMEN VIGILANCIA'!H33),"",'RESUMEN VIGILANCIA'!H33)</f>
        <v>7.0000000000000007E-2</v>
      </c>
      <c r="J7" s="189">
        <f>IF(ISBLANK('RESUMEN VIGILANCIA'!I33),"",'RESUMEN VIGILANCIA'!I33)</f>
        <v>7.0000000000000007E-2</v>
      </c>
      <c r="K7" s="189">
        <f>IF(ISBLANK('RESUMEN VIGILANCIA'!J33),"",'RESUMEN VIGILANCIA'!J33)</f>
        <v>0.1</v>
      </c>
      <c r="L7" s="189">
        <f>IF(ISBLANK('RESUMEN VIGILANCIA'!K33),"",'RESUMEN VIGILANCIA'!K33)</f>
        <v>0.1</v>
      </c>
      <c r="M7" s="189">
        <f>IF(ISBLANK('RESUMEN VIGILANCIA'!L33),"",'RESUMEN VIGILANCIA'!L33)</f>
        <v>0.15</v>
      </c>
      <c r="N7" s="189">
        <f>IF(ISBLANK('RESUMEN VIGILANCIA'!M33),"",'RESUMEN VIGILANCIA'!M33)</f>
        <v>0.15</v>
      </c>
      <c r="O7" s="189">
        <f>IF(ISBLANK('RESUMEN VIGILANCIA'!N33),"",'RESUMEN VIGILANCIA'!N33)</f>
        <v>0.15</v>
      </c>
      <c r="P7" s="268">
        <f>IF(ISBLANK('RESUMEN VIGILANCIA'!O33),"",'RESUMEN VIGILANCIA'!O33)</f>
        <v>0.35</v>
      </c>
      <c r="Q7" s="187">
        <f>IF(ISBLANK('RESUMEN VIGILANCIA'!P33),"",'RESUMEN VIGILANCIA'!P33)</f>
        <v>0.35</v>
      </c>
      <c r="R7" s="269">
        <f>IF(ISBLANK('RESUMEN VIGILANCIA'!Q33),"",'RESUMEN VIGILANCIA'!Q33)</f>
        <v>0.35</v>
      </c>
      <c r="S7" s="268">
        <f>IF(ISBLANK('RESUMEN VIGILANCIA'!R33),"",'RESUMEN VIGILANCIA'!R33)</f>
        <v>0.8</v>
      </c>
      <c r="T7" s="268">
        <f>IF(ISBLANK('RESUMEN VIGILANCIA'!S33),"",'RESUMEN VIGILANCIA'!S33)</f>
        <v>1</v>
      </c>
      <c r="U7" s="268">
        <f>IF(ISBLANK('RESUMEN VIGILANCIA'!T33),"",'RESUMEN VIGILANCIA'!T33)</f>
        <v>1</v>
      </c>
      <c r="V7" s="268">
        <f>IF(ISBLANK('RESUMEN VIGILANCIA'!U33),"",'RESUMEN VIGILANCIA'!U33)</f>
        <v>2</v>
      </c>
      <c r="W7" s="268">
        <f>IF(ISBLANK('RESUMEN VIGILANCIA'!V33),"",'RESUMEN VIGILANCIA'!V33)</f>
        <v>6.25</v>
      </c>
      <c r="X7" s="271">
        <f>IF(ISBLANK('RESUMEN VIGILANCIA'!W33),"",'RESUMEN VIGILANCIA'!W33)</f>
        <v>10</v>
      </c>
      <c r="Y7" s="271">
        <f>IF(ISBLANK('RESUMEN VIGILANCIA'!X33),"",'RESUMEN VIGILANCIA'!X33)</f>
        <v>12</v>
      </c>
      <c r="Z7" s="481">
        <f>IF(ISBLANK('RESUMEN VIGILANCIA'!Y33),"",'RESUMEN VIGILANCIA'!Y33)</f>
        <v>320</v>
      </c>
      <c r="AA7" s="481">
        <f>IF(ISBLANK('RESUMEN VIGILANCIA'!Z33),"",'RESUMEN VIGILANCIA'!Z33)</f>
        <v>320</v>
      </c>
      <c r="AB7" s="481">
        <f>IF(ISBLANK('RESUMEN VIGILANCIA'!AA33),"",'RESUMEN VIGILANCIA'!AA33)</f>
        <v>320</v>
      </c>
      <c r="AC7" s="482">
        <f>IF(ISBLANK('RESUMEN VIGILANCIA'!AB33),"",'RESUMEN VIGILANCIA'!AB33)</f>
        <v>800</v>
      </c>
      <c r="AD7" s="399">
        <f>IF(ISBLANK('RESUMEN VIGILANCIA'!AC33),"",'RESUMEN VIGILANCIA'!AC33)</f>
        <v>3000</v>
      </c>
      <c r="AE7" s="400">
        <f>IF(ISBLANK('RESUMEN VIGILANCIA'!AD33),"",'RESUMEN VIGILANCIA'!AD33)</f>
        <v>3000</v>
      </c>
      <c r="AF7" s="400">
        <f>IF(ISBLANK('RESUMEN VIGILANCIA'!AE33),"",'RESUMEN VIGILANCIA'!AE33)</f>
        <v>3000</v>
      </c>
      <c r="AG7" s="400">
        <f>IF(ISBLANK('RESUMEN VIGILANCIA'!AF33),"",'RESUMEN VIGILANCIA'!AF33)</f>
        <v>5000</v>
      </c>
      <c r="AH7" s="400">
        <f>IF(ISBLANK('RESUMEN VIGILANCIA'!AG33),"",'RESUMEN VIGILANCIA'!AG33)</f>
        <v>5000</v>
      </c>
      <c r="AI7" s="400">
        <f>IF(ISBLANK('RESUMEN VIGILANCIA'!AH33),"",'RESUMEN VIGILANCIA'!AH33)</f>
        <v>8000</v>
      </c>
      <c r="AJ7" s="400">
        <f>IF(ISBLANK('RESUMEN VIGILANCIA'!AI33),"",'RESUMEN VIGILANCIA'!AI33)</f>
        <v>10000</v>
      </c>
      <c r="AK7" s="400">
        <f>IF(ISBLANK('RESUMEN VIGILANCIA'!AJ33),"",'RESUMEN VIGILANCIA'!AJ33)</f>
        <v>10000</v>
      </c>
      <c r="AL7" s="400">
        <f>IF(ISBLANK('RESUMEN VIGILANCIA'!AK33),"",'RESUMEN VIGILANCIA'!AK33)</f>
        <v>23400</v>
      </c>
      <c r="AM7" s="400">
        <f>IF(ISBLANK('RESUMEN VIGILANCIA'!AL33),"",'RESUMEN VIGILANCIA'!AL33)</f>
        <v>51100</v>
      </c>
      <c r="AN7" s="400">
        <f>IF(ISBLANK('RESUMEN VIGILANCIA'!AM33),"",'RESUMEN VIGILANCIA'!AM33)</f>
        <v>56250</v>
      </c>
      <c r="AO7" s="401">
        <f>IF(ISBLANK('RESUMEN VIGILANCIA'!AN33),"",'RESUMEN VIGILANCIA'!AN33)</f>
        <v>97500</v>
      </c>
      <c r="AP7" s="399">
        <f>IF(ISBLANK('RESUMEN VIGILANCIA'!AO33),"",'RESUMEN VIGILANCIA'!AO33)</f>
        <v>136250</v>
      </c>
      <c r="AQ7" s="400">
        <f>IF(ISBLANK('RESUMEN VIGILANCIA'!AP33),"",'RESUMEN VIGILANCIA'!AP33)</f>
        <v>136250</v>
      </c>
      <c r="AR7" s="400">
        <f>IF(ISBLANK('RESUMEN VIGILANCIA'!AQ33),"",'RESUMEN VIGILANCIA'!AQ33)</f>
        <v>38200</v>
      </c>
      <c r="AS7" s="400" t="str">
        <f>IF(ISBLANK('RESUMEN VIGILANCIA'!AR33),"",'RESUMEN VIGILANCIA'!AR33)</f>
        <v/>
      </c>
      <c r="AT7" s="400" t="str">
        <f>IF(ISBLANK('RESUMEN VIGILANCIA'!AS33),"",'RESUMEN VIGILANCIA'!AS33)</f>
        <v/>
      </c>
      <c r="AU7" s="400" t="str">
        <f>IF(ISBLANK('RESUMEN VIGILANCIA'!AT33),"",'RESUMEN VIGILANCIA'!AT33)</f>
        <v/>
      </c>
      <c r="AV7" s="400" t="str">
        <f>IF(ISBLANK('RESUMEN VIGILANCIA'!AU33),"",'RESUMEN VIGILANCIA'!AU33)</f>
        <v/>
      </c>
      <c r="AW7" s="400" t="str">
        <f>IF(ISBLANK('RESUMEN VIGILANCIA'!AV33),"",'RESUMEN VIGILANCIA'!AV33)</f>
        <v/>
      </c>
      <c r="AX7" s="400" t="str">
        <f>IF(ISBLANK('RESUMEN VIGILANCIA'!AW33),"",'RESUMEN VIGILANCIA'!AW33)</f>
        <v/>
      </c>
      <c r="AY7" s="400" t="str">
        <f>IF(ISBLANK('RESUMEN VIGILANCIA'!AX33),"",'RESUMEN VIGILANCIA'!AX33)</f>
        <v/>
      </c>
      <c r="AZ7" s="400" t="str">
        <f>IF(ISBLANK('RESUMEN VIGILANCIA'!AY33),"",'RESUMEN VIGILANCIA'!AY33)</f>
        <v/>
      </c>
      <c r="BA7" s="401" t="str">
        <f>IF(ISBLANK('RESUMEN VIGILANCIA'!AZ33),"",'RESUMEN VIGILANCIA'!AZ33)</f>
        <v/>
      </c>
      <c r="BB7" s="243">
        <f t="shared" si="0"/>
        <v>277045.06</v>
      </c>
      <c r="BC7" s="112"/>
      <c r="BD7" s="112"/>
    </row>
    <row r="8" spans="1:56" s="29" customFormat="1" ht="20.100000000000001" customHeight="1">
      <c r="A8" s="30" t="str">
        <f>'RESUMEN VIGILANCIA'!A34</f>
        <v>Teresita Román</v>
      </c>
      <c r="B8" s="31" t="str">
        <f>'RESUMEN VIGILANCIA'!B34</f>
        <v>Calle Guacara Nro. 87-90</v>
      </c>
      <c r="C8" s="452" t="s">
        <v>1250</v>
      </c>
      <c r="D8" s="460" t="s">
        <v>1248</v>
      </c>
      <c r="E8" s="440" t="str">
        <f>IF(ISBLANK('RESUMEN VIGILANCIA'!D34),"",'RESUMEN VIGILANCIA'!D34)</f>
        <v/>
      </c>
      <c r="F8" s="270" t="str">
        <f>IF(ISBLANK('RESUMEN VIGILANCIA'!E34),"",'RESUMEN VIGILANCIA'!E34)</f>
        <v/>
      </c>
      <c r="G8" s="182" t="str">
        <f>IF(ISBLANK('RESUMEN VIGILANCIA'!F34),"",'RESUMEN VIGILANCIA'!F34)</f>
        <v/>
      </c>
      <c r="H8" s="182" t="str">
        <f>IF(ISBLANK('RESUMEN VIGILANCIA'!G34),"",'RESUMEN VIGILANCIA'!G34)</f>
        <v/>
      </c>
      <c r="I8" s="182" t="str">
        <f>IF(ISBLANK('RESUMEN VIGILANCIA'!H34),"",'RESUMEN VIGILANCIA'!H34)</f>
        <v/>
      </c>
      <c r="J8" s="182" t="str">
        <f>IF(ISBLANK('RESUMEN VIGILANCIA'!I34),"",'RESUMEN VIGILANCIA'!I34)</f>
        <v/>
      </c>
      <c r="K8" s="182" t="str">
        <f>IF(ISBLANK('RESUMEN VIGILANCIA'!J34),"",'RESUMEN VIGILANCIA'!J34)</f>
        <v/>
      </c>
      <c r="L8" s="182" t="str">
        <f>IF(ISBLANK('RESUMEN VIGILANCIA'!K34),"",'RESUMEN VIGILANCIA'!K34)</f>
        <v/>
      </c>
      <c r="M8" s="182" t="str">
        <f>IF(ISBLANK('RESUMEN VIGILANCIA'!L34),"",'RESUMEN VIGILANCIA'!L34)</f>
        <v/>
      </c>
      <c r="N8" s="182" t="str">
        <f>IF(ISBLANK('RESUMEN VIGILANCIA'!M34),"",'RESUMEN VIGILANCIA'!M34)</f>
        <v/>
      </c>
      <c r="O8" s="182" t="str">
        <f>IF(ISBLANK('RESUMEN VIGILANCIA'!N34),"",'RESUMEN VIGILANCIA'!N34)</f>
        <v/>
      </c>
      <c r="P8" s="271" t="str">
        <f>IF(ISBLANK('RESUMEN VIGILANCIA'!O34),"",'RESUMEN VIGILANCIA'!O34)</f>
        <v/>
      </c>
      <c r="Q8" s="180" t="str">
        <f>IF(ISBLANK('RESUMEN VIGILANCIA'!P34),"",'RESUMEN VIGILANCIA'!P34)</f>
        <v/>
      </c>
      <c r="R8" s="272" t="str">
        <f>IF(ISBLANK('RESUMEN VIGILANCIA'!Q34),"",'RESUMEN VIGILANCIA'!Q34)</f>
        <v/>
      </c>
      <c r="S8" s="271" t="str">
        <f>IF(ISBLANK('RESUMEN VIGILANCIA'!R34),"",'RESUMEN VIGILANCIA'!R34)</f>
        <v/>
      </c>
      <c r="T8" s="271" t="str">
        <f>IF(ISBLANK('RESUMEN VIGILANCIA'!S34),"",'RESUMEN VIGILANCIA'!S34)</f>
        <v/>
      </c>
      <c r="U8" s="271" t="str">
        <f>IF(ISBLANK('RESUMEN VIGILANCIA'!T34),"",'RESUMEN VIGILANCIA'!T34)</f>
        <v/>
      </c>
      <c r="V8" s="271" t="str">
        <f>IF(ISBLANK('RESUMEN VIGILANCIA'!U34),"",'RESUMEN VIGILANCIA'!U34)</f>
        <v/>
      </c>
      <c r="W8" s="271" t="str">
        <f>IF(ISBLANK('RESUMEN VIGILANCIA'!V34),"",'RESUMEN VIGILANCIA'!V34)</f>
        <v/>
      </c>
      <c r="X8" s="271" t="str">
        <f>IF(ISBLANK('RESUMEN VIGILANCIA'!W34),"",'RESUMEN VIGILANCIA'!W34)</f>
        <v/>
      </c>
      <c r="Y8" s="271" t="str">
        <f>IF(ISBLANK('RESUMEN VIGILANCIA'!X34),"",'RESUMEN VIGILANCIA'!X34)</f>
        <v/>
      </c>
      <c r="Z8" s="481" t="str">
        <f>IF(ISBLANK('RESUMEN VIGILANCIA'!Y34),"",'RESUMEN VIGILANCIA'!Y34)</f>
        <v/>
      </c>
      <c r="AA8" s="481" t="str">
        <f>IF(ISBLANK('RESUMEN VIGILANCIA'!Z34),"",'RESUMEN VIGILANCIA'!Z34)</f>
        <v/>
      </c>
      <c r="AB8" s="481" t="str">
        <f>IF(ISBLANK('RESUMEN VIGILANCIA'!AA34),"",'RESUMEN VIGILANCIA'!AA34)</f>
        <v/>
      </c>
      <c r="AC8" s="482" t="str">
        <f>IF(ISBLANK('RESUMEN VIGILANCIA'!AB34),"",'RESUMEN VIGILANCIA'!AB34)</f>
        <v/>
      </c>
      <c r="AD8" s="399" t="str">
        <f>IF(ISBLANK('RESUMEN VIGILANCIA'!AC34),"",'RESUMEN VIGILANCIA'!AC34)</f>
        <v/>
      </c>
      <c r="AE8" s="400" t="str">
        <f>IF(ISBLANK('RESUMEN VIGILANCIA'!AD34),"",'RESUMEN VIGILANCIA'!AD34)</f>
        <v/>
      </c>
      <c r="AF8" s="400" t="str">
        <f>IF(ISBLANK('RESUMEN VIGILANCIA'!AE34),"",'RESUMEN VIGILANCIA'!AE34)</f>
        <v/>
      </c>
      <c r="AG8" s="400" t="str">
        <f>IF(ISBLANK('RESUMEN VIGILANCIA'!AF34),"",'RESUMEN VIGILANCIA'!AF34)</f>
        <v/>
      </c>
      <c r="AH8" s="400" t="str">
        <f>IF(ISBLANK('RESUMEN VIGILANCIA'!AG34),"",'RESUMEN VIGILANCIA'!AG34)</f>
        <v/>
      </c>
      <c r="AI8" s="400" t="str">
        <f>IF(ISBLANK('RESUMEN VIGILANCIA'!AH34),"",'RESUMEN VIGILANCIA'!AH34)</f>
        <v/>
      </c>
      <c r="AJ8" s="400" t="str">
        <f>IF(ISBLANK('RESUMEN VIGILANCIA'!AI34),"",'RESUMEN VIGILANCIA'!AI34)</f>
        <v/>
      </c>
      <c r="AK8" s="400" t="str">
        <f>IF(ISBLANK('RESUMEN VIGILANCIA'!AJ34),"",'RESUMEN VIGILANCIA'!AJ34)</f>
        <v/>
      </c>
      <c r="AL8" s="400" t="str">
        <f>IF(ISBLANK('RESUMEN VIGILANCIA'!AK34),"",'RESUMEN VIGILANCIA'!AK34)</f>
        <v/>
      </c>
      <c r="AM8" s="400" t="str">
        <f>IF(ISBLANK('RESUMEN VIGILANCIA'!AL34),"",'RESUMEN VIGILANCIA'!AL34)</f>
        <v/>
      </c>
      <c r="AN8" s="400" t="str">
        <f>IF(ISBLANK('RESUMEN VIGILANCIA'!AM34),"",'RESUMEN VIGILANCIA'!AM34)</f>
        <v/>
      </c>
      <c r="AO8" s="401" t="str">
        <f>IF(ISBLANK('RESUMEN VIGILANCIA'!AN34),"",'RESUMEN VIGILANCIA'!AN34)</f>
        <v/>
      </c>
      <c r="AP8" s="399" t="str">
        <f>IF(ISBLANK('RESUMEN VIGILANCIA'!AO34),"",'RESUMEN VIGILANCIA'!AO34)</f>
        <v/>
      </c>
      <c r="AQ8" s="400" t="str">
        <f>IF(ISBLANK('RESUMEN VIGILANCIA'!AP34),"",'RESUMEN VIGILANCIA'!AP34)</f>
        <v/>
      </c>
      <c r="AR8" s="400" t="str">
        <f>IF(ISBLANK('RESUMEN VIGILANCIA'!AQ34),"",'RESUMEN VIGILANCIA'!AQ34)</f>
        <v/>
      </c>
      <c r="AS8" s="400" t="str">
        <f>IF(ISBLANK('RESUMEN VIGILANCIA'!AR34),"",'RESUMEN VIGILANCIA'!AR34)</f>
        <v/>
      </c>
      <c r="AT8" s="400" t="str">
        <f>IF(ISBLANK('RESUMEN VIGILANCIA'!AS34),"",'RESUMEN VIGILANCIA'!AS34)</f>
        <v/>
      </c>
      <c r="AU8" s="400" t="str">
        <f>IF(ISBLANK('RESUMEN VIGILANCIA'!AT34),"",'RESUMEN VIGILANCIA'!AT34)</f>
        <v/>
      </c>
      <c r="AV8" s="400" t="str">
        <f>IF(ISBLANK('RESUMEN VIGILANCIA'!AU34),"",'RESUMEN VIGILANCIA'!AU34)</f>
        <v/>
      </c>
      <c r="AW8" s="400" t="str">
        <f>IF(ISBLANK('RESUMEN VIGILANCIA'!AV34),"",'RESUMEN VIGILANCIA'!AV34)</f>
        <v/>
      </c>
      <c r="AX8" s="400" t="str">
        <f>IF(ISBLANK('RESUMEN VIGILANCIA'!AW34),"",'RESUMEN VIGILANCIA'!AW34)</f>
        <v/>
      </c>
      <c r="AY8" s="400" t="str">
        <f>IF(ISBLANK('RESUMEN VIGILANCIA'!AX34),"",'RESUMEN VIGILANCIA'!AX34)</f>
        <v/>
      </c>
      <c r="AZ8" s="400" t="str">
        <f>IF(ISBLANK('RESUMEN VIGILANCIA'!AY34),"",'RESUMEN VIGILANCIA'!AY34)</f>
        <v/>
      </c>
      <c r="BA8" s="401" t="str">
        <f>IF(ISBLANK('RESUMEN VIGILANCIA'!AZ34),"",'RESUMEN VIGILANCIA'!AZ34)</f>
        <v/>
      </c>
      <c r="BB8" s="243">
        <f t="shared" si="0"/>
        <v>0</v>
      </c>
      <c r="BC8" s="112"/>
      <c r="BD8" s="112"/>
    </row>
    <row r="9" spans="1:56" s="29" customFormat="1" ht="20.100000000000001" customHeight="1">
      <c r="A9" s="30" t="str">
        <f>'RESUMEN VIGILANCIA'!A35</f>
        <v>Familia Puerta Burguillos</v>
      </c>
      <c r="B9" s="31" t="str">
        <f>'RESUMEN VIGILANCIA'!B35</f>
        <v>Calle Guacara Nro. 87-100</v>
      </c>
      <c r="C9" s="452" t="s">
        <v>1249</v>
      </c>
      <c r="D9" s="460" t="s">
        <v>17</v>
      </c>
      <c r="E9" s="440" t="str">
        <f>IF(ISBLANK('RESUMEN VIGILANCIA'!D35),"",'RESUMEN VIGILANCIA'!D35)</f>
        <v/>
      </c>
      <c r="F9" s="270">
        <f>IF(ISBLANK('RESUMEN VIGILANCIA'!E35),"",'RESUMEN VIGILANCIA'!E35)</f>
        <v>0.17</v>
      </c>
      <c r="G9" s="182">
        <f>IF(ISBLANK('RESUMEN VIGILANCIA'!F35),"",'RESUMEN VIGILANCIA'!F35)</f>
        <v>0.17</v>
      </c>
      <c r="H9" s="182">
        <f>IF(ISBLANK('RESUMEN VIGILANCIA'!G35),"",'RESUMEN VIGILANCIA'!G35)</f>
        <v>0.16999999999999998</v>
      </c>
      <c r="I9" s="182">
        <f>IF(ISBLANK('RESUMEN VIGILANCIA'!H35),"",'RESUMEN VIGILANCIA'!H35)</f>
        <v>0.17</v>
      </c>
      <c r="J9" s="182">
        <f>IF(ISBLANK('RESUMEN VIGILANCIA'!I35),"",'RESUMEN VIGILANCIA'!I35)</f>
        <v>0.26</v>
      </c>
      <c r="K9" s="182">
        <f>IF(ISBLANK('RESUMEN VIGILANCIA'!J35),"",'RESUMEN VIGILANCIA'!J35)</f>
        <v>0.26</v>
      </c>
      <c r="L9" s="182">
        <f>IF(ISBLANK('RESUMEN VIGILANCIA'!K35),"",'RESUMEN VIGILANCIA'!K35)</f>
        <v>0.35</v>
      </c>
      <c r="M9" s="182">
        <f>IF(ISBLANK('RESUMEN VIGILANCIA'!L35),"",'RESUMEN VIGILANCIA'!L35)</f>
        <v>0.35</v>
      </c>
      <c r="N9" s="182">
        <f>IF(ISBLANK('RESUMEN VIGILANCIA'!M35),"",'RESUMEN VIGILANCIA'!M35)</f>
        <v>0.35</v>
      </c>
      <c r="O9" s="182">
        <f>IF(ISBLANK('RESUMEN VIGILANCIA'!N35),"",'RESUMEN VIGILANCIA'!N35)</f>
        <v>0.35</v>
      </c>
      <c r="P9" s="271">
        <f>IF(ISBLANK('RESUMEN VIGILANCIA'!O35),"",'RESUMEN VIGILANCIA'!O35)</f>
        <v>0.5</v>
      </c>
      <c r="Q9" s="180">
        <f>IF(ISBLANK('RESUMEN VIGILANCIA'!P35),"",'RESUMEN VIGILANCIA'!P35)</f>
        <v>0.5</v>
      </c>
      <c r="R9" s="272">
        <f>IF(ISBLANK('RESUMEN VIGILANCIA'!Q35),"",'RESUMEN VIGILANCIA'!Q35)</f>
        <v>0.8</v>
      </c>
      <c r="S9" s="271">
        <f>IF(ISBLANK('RESUMEN VIGILANCIA'!R35),"",'RESUMEN VIGILANCIA'!R35)</f>
        <v>0.8</v>
      </c>
      <c r="T9" s="271">
        <f>IF(ISBLANK('RESUMEN VIGILANCIA'!S35),"",'RESUMEN VIGILANCIA'!S35)</f>
        <v>1.4</v>
      </c>
      <c r="U9" s="271">
        <f>IF(ISBLANK('RESUMEN VIGILANCIA'!T35),"",'RESUMEN VIGILANCIA'!T35)</f>
        <v>1.4</v>
      </c>
      <c r="V9" s="271">
        <f>IF(ISBLANK('RESUMEN VIGILANCIA'!U35),"",'RESUMEN VIGILANCIA'!U35)</f>
        <v>4</v>
      </c>
      <c r="W9" s="271">
        <f>IF(ISBLANK('RESUMEN VIGILANCIA'!V35),"",'RESUMEN VIGILANCIA'!V35)</f>
        <v>6.25</v>
      </c>
      <c r="X9" s="271">
        <f>IF(ISBLANK('RESUMEN VIGILANCIA'!W35),"",'RESUMEN VIGILANCIA'!W35)</f>
        <v>10</v>
      </c>
      <c r="Y9" s="271">
        <f>IF(ISBLANK('RESUMEN VIGILANCIA'!X35),"",'RESUMEN VIGILANCIA'!X35)</f>
        <v>12</v>
      </c>
      <c r="Z9" s="481">
        <f>IF(ISBLANK('RESUMEN VIGILANCIA'!Y35),"",'RESUMEN VIGILANCIA'!Y35)</f>
        <v>320</v>
      </c>
      <c r="AA9" s="481">
        <f>IF(ISBLANK('RESUMEN VIGILANCIA'!Z35),"",'RESUMEN VIGILANCIA'!Z35)</f>
        <v>320</v>
      </c>
      <c r="AB9" s="481">
        <f>IF(ISBLANK('RESUMEN VIGILANCIA'!AA35),"",'RESUMEN VIGILANCIA'!AA35)</f>
        <v>320</v>
      </c>
      <c r="AC9" s="483">
        <f>IF(ISBLANK('RESUMEN VIGILANCIA'!AB35),"",'RESUMEN VIGILANCIA'!AB35)</f>
        <v>800</v>
      </c>
      <c r="AD9" s="399">
        <f>IF(ISBLANK('RESUMEN VIGILANCIA'!AC35),"",'RESUMEN VIGILANCIA'!AC35)</f>
        <v>3000</v>
      </c>
      <c r="AE9" s="400">
        <f>IF(ISBLANK('RESUMEN VIGILANCIA'!AD35),"",'RESUMEN VIGILANCIA'!AD35)</f>
        <v>3000</v>
      </c>
      <c r="AF9" s="400">
        <f>IF(ISBLANK('RESUMEN VIGILANCIA'!AE35),"",'RESUMEN VIGILANCIA'!AE35)</f>
        <v>3000</v>
      </c>
      <c r="AG9" s="400">
        <f>IF(ISBLANK('RESUMEN VIGILANCIA'!AF35),"",'RESUMEN VIGILANCIA'!AF35)</f>
        <v>5000</v>
      </c>
      <c r="AH9" s="400">
        <f>IF(ISBLANK('RESUMEN VIGILANCIA'!AG35),"",'RESUMEN VIGILANCIA'!AG35)</f>
        <v>8000</v>
      </c>
      <c r="AI9" s="400">
        <f>IF(ISBLANK('RESUMEN VIGILANCIA'!AH35),"",'RESUMEN VIGILANCIA'!AH35)</f>
        <v>10000</v>
      </c>
      <c r="AJ9" s="400">
        <f>IF(ISBLANK('RESUMEN VIGILANCIA'!AI35),"",'RESUMEN VIGILANCIA'!AI35)</f>
        <v>10000</v>
      </c>
      <c r="AK9" s="400">
        <f>IF(ISBLANK('RESUMEN VIGILANCIA'!AJ35),"",'RESUMEN VIGILANCIA'!AJ35)</f>
        <v>10000</v>
      </c>
      <c r="AL9" s="400">
        <f>IF(ISBLANK('RESUMEN VIGILANCIA'!AK35),"",'RESUMEN VIGILANCIA'!AK35)</f>
        <v>20500</v>
      </c>
      <c r="AM9" s="400">
        <f>IF(ISBLANK('RESUMEN VIGILANCIA'!AL35),"",'RESUMEN VIGILANCIA'!AL35)</f>
        <v>47000</v>
      </c>
      <c r="AN9" s="400">
        <f>IF(ISBLANK('RESUMEN VIGILANCIA'!AM35),"",'RESUMEN VIGILANCIA'!AM35)</f>
        <v>60000</v>
      </c>
      <c r="AO9" s="401">
        <f>IF(ISBLANK('RESUMEN VIGILANCIA'!AN35),"",'RESUMEN VIGILANCIA'!AN35)</f>
        <v>210500</v>
      </c>
      <c r="AP9" s="399">
        <f>IF(ISBLANK('RESUMEN VIGILANCIA'!AO35),"",'RESUMEN VIGILANCIA'!AO35)</f>
        <v>136250</v>
      </c>
      <c r="AQ9" s="400">
        <f>IF(ISBLANK('RESUMEN VIGILANCIA'!AP35),"",'RESUMEN VIGILANCIA'!AP35)</f>
        <v>136250</v>
      </c>
      <c r="AR9" s="400" t="str">
        <f>IF(ISBLANK('RESUMEN VIGILANCIA'!AQ35),"",'RESUMEN VIGILANCIA'!AQ35)</f>
        <v/>
      </c>
      <c r="AS9" s="400" t="str">
        <f>IF(ISBLANK('RESUMEN VIGILANCIA'!AR35),"",'RESUMEN VIGILANCIA'!AR35)</f>
        <v/>
      </c>
      <c r="AT9" s="400" t="str">
        <f>IF(ISBLANK('RESUMEN VIGILANCIA'!AS35),"",'RESUMEN VIGILANCIA'!AS35)</f>
        <v/>
      </c>
      <c r="AU9" s="400" t="str">
        <f>IF(ISBLANK('RESUMEN VIGILANCIA'!AT35),"",'RESUMEN VIGILANCIA'!AT35)</f>
        <v/>
      </c>
      <c r="AV9" s="400" t="str">
        <f>IF(ISBLANK('RESUMEN VIGILANCIA'!AU35),"",'RESUMEN VIGILANCIA'!AU35)</f>
        <v/>
      </c>
      <c r="AW9" s="400" t="str">
        <f>IF(ISBLANK('RESUMEN VIGILANCIA'!AV35),"",'RESUMEN VIGILANCIA'!AV35)</f>
        <v/>
      </c>
      <c r="AX9" s="400" t="str">
        <f>IF(ISBLANK('RESUMEN VIGILANCIA'!AW35),"",'RESUMEN VIGILANCIA'!AW35)</f>
        <v/>
      </c>
      <c r="AY9" s="400" t="str">
        <f>IF(ISBLANK('RESUMEN VIGILANCIA'!AX35),"",'RESUMEN VIGILANCIA'!AX35)</f>
        <v/>
      </c>
      <c r="AZ9" s="400" t="str">
        <f>IF(ISBLANK('RESUMEN VIGILANCIA'!AY35),"",'RESUMEN VIGILANCIA'!AY35)</f>
        <v/>
      </c>
      <c r="BA9" s="401" t="str">
        <f>IF(ISBLANK('RESUMEN VIGILANCIA'!AZ35),"",'RESUMEN VIGILANCIA'!AZ35)</f>
        <v/>
      </c>
      <c r="BB9" s="243">
        <f t="shared" si="0"/>
        <v>391800.25</v>
      </c>
      <c r="BC9" s="112"/>
      <c r="BD9" s="112"/>
    </row>
    <row r="10" spans="1:56" s="29" customFormat="1" ht="20.100000000000001" customHeight="1">
      <c r="A10" s="30" t="str">
        <f>'RESUMEN VIGILANCIA'!A53</f>
        <v>Familia Arcia Polanco</v>
      </c>
      <c r="B10" s="31" t="str">
        <f>'RESUMEN VIGILANCIA'!B53</f>
        <v>Calle Guacara Nro. 89-20</v>
      </c>
      <c r="C10" s="452" t="s">
        <v>1249</v>
      </c>
      <c r="D10" s="460" t="s">
        <v>1248</v>
      </c>
      <c r="E10" s="440" t="str">
        <f>IF(ISBLANK('RESUMEN VIGILANCIA'!D53),"",'RESUMEN VIGILANCIA'!D53)</f>
        <v/>
      </c>
      <c r="F10" s="270">
        <f>IF(ISBLANK('RESUMEN VIGILANCIA'!E53),"",'RESUMEN VIGILANCIA'!E53)</f>
        <v>0.16999999999999998</v>
      </c>
      <c r="G10" s="182">
        <f>IF(ISBLANK('RESUMEN VIGILANCIA'!F53),"",'RESUMEN VIGILANCIA'!F53)</f>
        <v>0.17</v>
      </c>
      <c r="H10" s="182">
        <f>IF(ISBLANK('RESUMEN VIGILANCIA'!G53),"",'RESUMEN VIGILANCIA'!G53)</f>
        <v>0.17</v>
      </c>
      <c r="I10" s="182">
        <f>IF(ISBLANK('RESUMEN VIGILANCIA'!H53),"",'RESUMEN VIGILANCIA'!H53)</f>
        <v>0.17</v>
      </c>
      <c r="J10" s="182">
        <f>IF(ISBLANK('RESUMEN VIGILANCIA'!I53),"",'RESUMEN VIGILANCIA'!I53)</f>
        <v>0.26</v>
      </c>
      <c r="K10" s="182">
        <f>IF(ISBLANK('RESUMEN VIGILANCIA'!J53),"",'RESUMEN VIGILANCIA'!J53)</f>
        <v>0.26</v>
      </c>
      <c r="L10" s="182">
        <f>IF(ISBLANK('RESUMEN VIGILANCIA'!K53),"",'RESUMEN VIGILANCIA'!K53)</f>
        <v>0.35</v>
      </c>
      <c r="M10" s="182">
        <f>IF(ISBLANK('RESUMEN VIGILANCIA'!L53),"",'RESUMEN VIGILANCIA'!L53)</f>
        <v>0.35</v>
      </c>
      <c r="N10" s="182">
        <f>IF(ISBLANK('RESUMEN VIGILANCIA'!M53),"",'RESUMEN VIGILANCIA'!M53)</f>
        <v>0.35</v>
      </c>
      <c r="O10" s="182">
        <f>IF(ISBLANK('RESUMEN VIGILANCIA'!N53),"",'RESUMEN VIGILANCIA'!N53)</f>
        <v>0.35</v>
      </c>
      <c r="P10" s="271">
        <f>IF(ISBLANK('RESUMEN VIGILANCIA'!O53),"",'RESUMEN VIGILANCIA'!O53)</f>
        <v>0.5</v>
      </c>
      <c r="Q10" s="180">
        <f>IF(ISBLANK('RESUMEN VIGILANCIA'!P53),"",'RESUMEN VIGILANCIA'!P53)</f>
        <v>0.5</v>
      </c>
      <c r="R10" s="272">
        <f>IF(ISBLANK('RESUMEN VIGILANCIA'!Q53),"",'RESUMEN VIGILANCIA'!Q53)</f>
        <v>0.8</v>
      </c>
      <c r="S10" s="271">
        <f>IF(ISBLANK('RESUMEN VIGILANCIA'!R53),"",'RESUMEN VIGILANCIA'!R53)</f>
        <v>0.8</v>
      </c>
      <c r="T10" s="271">
        <f>IF(ISBLANK('RESUMEN VIGILANCIA'!S53),"",'RESUMEN VIGILANCIA'!S53)</f>
        <v>1.4</v>
      </c>
      <c r="U10" s="271">
        <f>IF(ISBLANK('RESUMEN VIGILANCIA'!T53),"",'RESUMEN VIGILANCIA'!T53)</f>
        <v>1.4</v>
      </c>
      <c r="V10" s="271">
        <f>IF(ISBLANK('RESUMEN VIGILANCIA'!U53),"",'RESUMEN VIGILANCIA'!U53)</f>
        <v>4</v>
      </c>
      <c r="W10" s="271">
        <f>IF(ISBLANK('RESUMEN VIGILANCIA'!V53),"",'RESUMEN VIGILANCIA'!V53)</f>
        <v>6.25</v>
      </c>
      <c r="X10" s="271">
        <f>IF(ISBLANK('RESUMEN VIGILANCIA'!W53),"",'RESUMEN VIGILANCIA'!W53)</f>
        <v>10</v>
      </c>
      <c r="Y10" s="271">
        <f>IF(ISBLANK('RESUMEN VIGILANCIA'!X53),"",'RESUMEN VIGILANCIA'!X53)</f>
        <v>12</v>
      </c>
      <c r="Z10" s="481">
        <f>IF(ISBLANK('RESUMEN VIGILANCIA'!Y53),"",'RESUMEN VIGILANCIA'!Y53)</f>
        <v>320</v>
      </c>
      <c r="AA10" s="481">
        <f>IF(ISBLANK('RESUMEN VIGILANCIA'!Z53),"",'RESUMEN VIGILANCIA'!Z53)</f>
        <v>320</v>
      </c>
      <c r="AB10" s="481">
        <f>IF(ISBLANK('RESUMEN VIGILANCIA'!AA53),"",'RESUMEN VIGILANCIA'!AA53)</f>
        <v>320</v>
      </c>
      <c r="AC10" s="483">
        <f>IF(ISBLANK('RESUMEN VIGILANCIA'!AB53),"",'RESUMEN VIGILANCIA'!AB53)</f>
        <v>800</v>
      </c>
      <c r="AD10" s="399">
        <f>IF(ISBLANK('RESUMEN VIGILANCIA'!AC53),"",'RESUMEN VIGILANCIA'!AC53)</f>
        <v>3000</v>
      </c>
      <c r="AE10" s="400">
        <f>IF(ISBLANK('RESUMEN VIGILANCIA'!AD53),"",'RESUMEN VIGILANCIA'!AD53)</f>
        <v>3000</v>
      </c>
      <c r="AF10" s="400">
        <f>IF(ISBLANK('RESUMEN VIGILANCIA'!AE53),"",'RESUMEN VIGILANCIA'!AE53)</f>
        <v>3000</v>
      </c>
      <c r="AG10" s="400">
        <f>IF(ISBLANK('RESUMEN VIGILANCIA'!AF53),"",'RESUMEN VIGILANCIA'!AF53)</f>
        <v>5000</v>
      </c>
      <c r="AH10" s="400">
        <f>IF(ISBLANK('RESUMEN VIGILANCIA'!AG53),"",'RESUMEN VIGILANCIA'!AG53)</f>
        <v>8000</v>
      </c>
      <c r="AI10" s="400">
        <f>IF(ISBLANK('RESUMEN VIGILANCIA'!AH53),"",'RESUMEN VIGILANCIA'!AH53)</f>
        <v>8000</v>
      </c>
      <c r="AJ10" s="400">
        <f>IF(ISBLANK('RESUMEN VIGILANCIA'!AI53),"",'RESUMEN VIGILANCIA'!AI53)</f>
        <v>10000</v>
      </c>
      <c r="AK10" s="400">
        <f>IF(ISBLANK('RESUMEN VIGILANCIA'!AJ53),"",'RESUMEN VIGILANCIA'!AJ53)</f>
        <v>10000</v>
      </c>
      <c r="AL10" s="400">
        <f>IF(ISBLANK('RESUMEN VIGILANCIA'!AK53),"",'RESUMEN VIGILANCIA'!AK53)</f>
        <v>23400</v>
      </c>
      <c r="AM10" s="400">
        <f>IF(ISBLANK('RESUMEN VIGILANCIA'!AL53),"",'RESUMEN VIGILANCIA'!AL53)</f>
        <v>49300</v>
      </c>
      <c r="AN10" s="400">
        <f>IF(ISBLANK('RESUMEN VIGILANCIA'!AM53),"",'RESUMEN VIGILANCIA'!AM53)</f>
        <v>56250</v>
      </c>
      <c r="AO10" s="401">
        <f>IF(ISBLANK('RESUMEN VIGILANCIA'!AN53),"",'RESUMEN VIGILANCIA'!AN53)</f>
        <v>81750</v>
      </c>
      <c r="AP10" s="399">
        <f>IF(ISBLANK('RESUMEN VIGILANCIA'!AO53),"",'RESUMEN VIGILANCIA'!AO53)</f>
        <v>136250</v>
      </c>
      <c r="AQ10" s="400">
        <f>IF(ISBLANK('RESUMEN VIGILANCIA'!AP53),"",'RESUMEN VIGILANCIA'!AP53)</f>
        <v>136250</v>
      </c>
      <c r="AR10" s="400" t="str">
        <f>IF(ISBLANK('RESUMEN VIGILANCIA'!AQ53),"",'RESUMEN VIGILANCIA'!AQ53)</f>
        <v/>
      </c>
      <c r="AS10" s="400" t="str">
        <f>IF(ISBLANK('RESUMEN VIGILANCIA'!AR53),"",'RESUMEN VIGILANCIA'!AR53)</f>
        <v/>
      </c>
      <c r="AT10" s="400" t="str">
        <f>IF(ISBLANK('RESUMEN VIGILANCIA'!AS53),"",'RESUMEN VIGILANCIA'!AS53)</f>
        <v/>
      </c>
      <c r="AU10" s="400" t="str">
        <f>IF(ISBLANK('RESUMEN VIGILANCIA'!AT53),"",'RESUMEN VIGILANCIA'!AT53)</f>
        <v/>
      </c>
      <c r="AV10" s="400" t="str">
        <f>IF(ISBLANK('RESUMEN VIGILANCIA'!AU53),"",'RESUMEN VIGILANCIA'!AU53)</f>
        <v/>
      </c>
      <c r="AW10" s="400" t="str">
        <f>IF(ISBLANK('RESUMEN VIGILANCIA'!AV53),"",'RESUMEN VIGILANCIA'!AV53)</f>
        <v/>
      </c>
      <c r="AX10" s="400" t="str">
        <f>IF(ISBLANK('RESUMEN VIGILANCIA'!AW53),"",'RESUMEN VIGILANCIA'!AW53)</f>
        <v/>
      </c>
      <c r="AY10" s="400" t="str">
        <f>IF(ISBLANK('RESUMEN VIGILANCIA'!AX53),"",'RESUMEN VIGILANCIA'!AX53)</f>
        <v/>
      </c>
      <c r="AZ10" s="400" t="str">
        <f>IF(ISBLANK('RESUMEN VIGILANCIA'!AY53),"",'RESUMEN VIGILANCIA'!AY53)</f>
        <v/>
      </c>
      <c r="BA10" s="401" t="str">
        <f>IF(ISBLANK('RESUMEN VIGILANCIA'!AZ53),"",'RESUMEN VIGILANCIA'!AZ53)</f>
        <v/>
      </c>
      <c r="BB10" s="243">
        <f t="shared" si="0"/>
        <v>262500.25</v>
      </c>
      <c r="BC10" s="112"/>
      <c r="BD10" s="112"/>
    </row>
    <row r="11" spans="1:56" s="29" customFormat="1" ht="20.100000000000001" customHeight="1">
      <c r="A11" s="30" t="str">
        <f>'RESUMEN VIGILANCIA'!A54</f>
        <v>Familia Lomeña Agudo</v>
      </c>
      <c r="B11" s="31" t="str">
        <f>'RESUMEN VIGILANCIA'!B54</f>
        <v>Calle Guacara Nro. 89-30</v>
      </c>
      <c r="C11" s="452" t="s">
        <v>1249</v>
      </c>
      <c r="D11" s="460" t="s">
        <v>17</v>
      </c>
      <c r="E11" s="440" t="str">
        <f>IF(ISBLANK('RESUMEN VIGILANCIA'!D54),"",'RESUMEN VIGILANCIA'!D54)</f>
        <v/>
      </c>
      <c r="F11" s="270">
        <f>IF(ISBLANK('RESUMEN VIGILANCIA'!E54),"",'RESUMEN VIGILANCIA'!E54)</f>
        <v>0.17</v>
      </c>
      <c r="G11" s="182">
        <f>IF(ISBLANK('RESUMEN VIGILANCIA'!F54),"",'RESUMEN VIGILANCIA'!F54)</f>
        <v>0.17</v>
      </c>
      <c r="H11" s="182">
        <f>IF(ISBLANK('RESUMEN VIGILANCIA'!G54),"",'RESUMEN VIGILANCIA'!G54)</f>
        <v>0.17</v>
      </c>
      <c r="I11" s="182">
        <f>IF(ISBLANK('RESUMEN VIGILANCIA'!H54),"",'RESUMEN VIGILANCIA'!H54)</f>
        <v>0.17</v>
      </c>
      <c r="J11" s="182">
        <f>IF(ISBLANK('RESUMEN VIGILANCIA'!I54),"",'RESUMEN VIGILANCIA'!I54)</f>
        <v>0.26</v>
      </c>
      <c r="K11" s="182">
        <f>IF(ISBLANK('RESUMEN VIGILANCIA'!J54),"",'RESUMEN VIGILANCIA'!J54)</f>
        <v>0.26</v>
      </c>
      <c r="L11" s="182">
        <f>IF(ISBLANK('RESUMEN VIGILANCIA'!K54),"",'RESUMEN VIGILANCIA'!K54)</f>
        <v>0.35</v>
      </c>
      <c r="M11" s="182">
        <f>IF(ISBLANK('RESUMEN VIGILANCIA'!L54),"",'RESUMEN VIGILANCIA'!L54)</f>
        <v>0.35</v>
      </c>
      <c r="N11" s="182">
        <f>IF(ISBLANK('RESUMEN VIGILANCIA'!M54),"",'RESUMEN VIGILANCIA'!M54)</f>
        <v>0.35</v>
      </c>
      <c r="O11" s="182">
        <f>IF(ISBLANK('RESUMEN VIGILANCIA'!N54),"",'RESUMEN VIGILANCIA'!N54)</f>
        <v>0.35</v>
      </c>
      <c r="P11" s="271">
        <f>IF(ISBLANK('RESUMEN VIGILANCIA'!O54),"",'RESUMEN VIGILANCIA'!O54)</f>
        <v>0.5</v>
      </c>
      <c r="Q11" s="180">
        <f>IF(ISBLANK('RESUMEN VIGILANCIA'!P54),"",'RESUMEN VIGILANCIA'!P54)</f>
        <v>0.5</v>
      </c>
      <c r="R11" s="272">
        <f>IF(ISBLANK('RESUMEN VIGILANCIA'!Q54),"",'RESUMEN VIGILANCIA'!Q54)</f>
        <v>0.8</v>
      </c>
      <c r="S11" s="271">
        <f>IF(ISBLANK('RESUMEN VIGILANCIA'!R54),"",'RESUMEN VIGILANCIA'!R54)</f>
        <v>0.8</v>
      </c>
      <c r="T11" s="271">
        <f>IF(ISBLANK('RESUMEN VIGILANCIA'!S54),"",'RESUMEN VIGILANCIA'!S54)</f>
        <v>1.4000000000000001</v>
      </c>
      <c r="U11" s="271">
        <f>IF(ISBLANK('RESUMEN VIGILANCIA'!T54),"",'RESUMEN VIGILANCIA'!T54)</f>
        <v>1.4</v>
      </c>
      <c r="V11" s="271">
        <f>IF(ISBLANK('RESUMEN VIGILANCIA'!U54),"",'RESUMEN VIGILANCIA'!U54)</f>
        <v>4</v>
      </c>
      <c r="W11" s="271">
        <f>IF(ISBLANK('RESUMEN VIGILANCIA'!V54),"",'RESUMEN VIGILANCIA'!V54)</f>
        <v>6.25</v>
      </c>
      <c r="X11" s="271">
        <f>IF(ISBLANK('RESUMEN VIGILANCIA'!W54),"",'RESUMEN VIGILANCIA'!W54)</f>
        <v>12.25</v>
      </c>
      <c r="Y11" s="271">
        <f>IF(ISBLANK('RESUMEN VIGILANCIA'!X54),"",'RESUMEN VIGILANCIA'!X54)</f>
        <v>12</v>
      </c>
      <c r="Z11" s="484">
        <f>IF(ISBLANK('RESUMEN VIGILANCIA'!Y54),"",'RESUMEN VIGILANCIA'!Y54)</f>
        <v>350.2</v>
      </c>
      <c r="AA11" s="481">
        <f>IF(ISBLANK('RESUMEN VIGILANCIA'!Z54),"",'RESUMEN VIGILANCIA'!Z54)</f>
        <v>320</v>
      </c>
      <c r="AB11" s="481">
        <f>IF(ISBLANK('RESUMEN VIGILANCIA'!AA54),"",'RESUMEN VIGILANCIA'!AA54)</f>
        <v>350</v>
      </c>
      <c r="AC11" s="483">
        <f>IF(ISBLANK('RESUMEN VIGILANCIA'!AB54),"",'RESUMEN VIGILANCIA'!AB54)</f>
        <v>800</v>
      </c>
      <c r="AD11" s="399">
        <f>IF(ISBLANK('RESUMEN VIGILANCIA'!AC54),"",'RESUMEN VIGILANCIA'!AC54)</f>
        <v>3000</v>
      </c>
      <c r="AE11" s="400">
        <f>IF(ISBLANK('RESUMEN VIGILANCIA'!AD54),"",'RESUMEN VIGILANCIA'!AD54)</f>
        <v>3000</v>
      </c>
      <c r="AF11" s="400">
        <f>IF(ISBLANK('RESUMEN VIGILANCIA'!AE54),"",'RESUMEN VIGILANCIA'!AE54)</f>
        <v>4500</v>
      </c>
      <c r="AG11" s="400">
        <f>IF(ISBLANK('RESUMEN VIGILANCIA'!AF54),"",'RESUMEN VIGILANCIA'!AF54)</f>
        <v>5000</v>
      </c>
      <c r="AH11" s="400">
        <f>IF(ISBLANK('RESUMEN VIGILANCIA'!AG54),"",'RESUMEN VIGILANCIA'!AG54)</f>
        <v>8000</v>
      </c>
      <c r="AI11" s="400">
        <f>IF(ISBLANK('RESUMEN VIGILANCIA'!AH54),"",'RESUMEN VIGILANCIA'!AH54)</f>
        <v>10000</v>
      </c>
      <c r="AJ11" s="400">
        <f>IF(ISBLANK('RESUMEN VIGILANCIA'!AI54),"",'RESUMEN VIGILANCIA'!AI54)</f>
        <v>10000</v>
      </c>
      <c r="AK11" s="400">
        <f>IF(ISBLANK('RESUMEN VIGILANCIA'!AJ54),"",'RESUMEN VIGILANCIA'!AJ54)</f>
        <v>15000</v>
      </c>
      <c r="AL11" s="400">
        <f>IF(ISBLANK('RESUMEN VIGILANCIA'!AK54),"",'RESUMEN VIGILANCIA'!AK54)</f>
        <v>23400</v>
      </c>
      <c r="AM11" s="400">
        <f>IF(ISBLANK('RESUMEN VIGILANCIA'!AL54),"",'RESUMEN VIGILANCIA'!AL54)</f>
        <v>48000</v>
      </c>
      <c r="AN11" s="400">
        <f>IF(ISBLANK('RESUMEN VIGILANCIA'!AM54),"",'RESUMEN VIGILANCIA'!AM54)</f>
        <v>67481</v>
      </c>
      <c r="AO11" s="401">
        <f>IF(ISBLANK('RESUMEN VIGILANCIA'!AN54),"",'RESUMEN VIGILANCIA'!AN54)</f>
        <v>148000</v>
      </c>
      <c r="AP11" s="399">
        <f>IF(ISBLANK('RESUMEN VIGILANCIA'!AO54),"",'RESUMEN VIGILANCIA'!AO54)</f>
        <v>136250</v>
      </c>
      <c r="AQ11" s="400">
        <f>IF(ISBLANK('RESUMEN VIGILANCIA'!AP54),"",'RESUMEN VIGILANCIA'!AP54)</f>
        <v>210000</v>
      </c>
      <c r="AR11" s="400" t="str">
        <f>IF(ISBLANK('RESUMEN VIGILANCIA'!AQ54),"",'RESUMEN VIGILANCIA'!AQ54)</f>
        <v/>
      </c>
      <c r="AS11" s="400" t="str">
        <f>IF(ISBLANK('RESUMEN VIGILANCIA'!AR54),"",'RESUMEN VIGILANCIA'!AR54)</f>
        <v/>
      </c>
      <c r="AT11" s="400" t="str">
        <f>IF(ISBLANK('RESUMEN VIGILANCIA'!AS54),"",'RESUMEN VIGILANCIA'!AS54)</f>
        <v/>
      </c>
      <c r="AU11" s="400" t="str">
        <f>IF(ISBLANK('RESUMEN VIGILANCIA'!AT54),"",'RESUMEN VIGILANCIA'!AT54)</f>
        <v/>
      </c>
      <c r="AV11" s="400" t="str">
        <f>IF(ISBLANK('RESUMEN VIGILANCIA'!AU54),"",'RESUMEN VIGILANCIA'!AU54)</f>
        <v/>
      </c>
      <c r="AW11" s="400" t="str">
        <f>IF(ISBLANK('RESUMEN VIGILANCIA'!AV54),"",'RESUMEN VIGILANCIA'!AV54)</f>
        <v/>
      </c>
      <c r="AX11" s="400" t="str">
        <f>IF(ISBLANK('RESUMEN VIGILANCIA'!AW54),"",'RESUMEN VIGILANCIA'!AW54)</f>
        <v/>
      </c>
      <c r="AY11" s="400" t="str">
        <f>IF(ISBLANK('RESUMEN VIGILANCIA'!AX54),"",'RESUMEN VIGILANCIA'!AX54)</f>
        <v/>
      </c>
      <c r="AZ11" s="400" t="str">
        <f>IF(ISBLANK('RESUMEN VIGILANCIA'!AY54),"",'RESUMEN VIGILANCIA'!AY54)</f>
        <v/>
      </c>
      <c r="BA11" s="401" t="str">
        <f>IF(ISBLANK('RESUMEN VIGILANCIA'!AZ54),"",'RESUMEN VIGILANCIA'!AZ54)</f>
        <v/>
      </c>
      <c r="BB11" s="243">
        <f t="shared" si="0"/>
        <v>347243.7</v>
      </c>
      <c r="BC11" s="112"/>
      <c r="BD11" s="112"/>
    </row>
    <row r="12" spans="1:56" s="29" customFormat="1" ht="20.100000000000001" customHeight="1">
      <c r="A12" s="30" t="str">
        <f>'RESUMEN VIGILANCIA'!A55</f>
        <v>Familia Manrique Riera</v>
      </c>
      <c r="B12" s="31" t="str">
        <f>'RESUMEN VIGILANCIA'!B55</f>
        <v>Calle Guacara Nro. 89-40</v>
      </c>
      <c r="C12" s="452" t="s">
        <v>1249</v>
      </c>
      <c r="D12" s="460" t="s">
        <v>1248</v>
      </c>
      <c r="E12" s="440" t="str">
        <f>IF(ISBLANK('RESUMEN VIGILANCIA'!D55),"",'RESUMEN VIGILANCIA'!D55)</f>
        <v/>
      </c>
      <c r="F12" s="270">
        <f>IF(ISBLANK('RESUMEN VIGILANCIA'!E55),"",'RESUMEN VIGILANCIA'!E55)</f>
        <v>0.17</v>
      </c>
      <c r="G12" s="182">
        <f>IF(ISBLANK('RESUMEN VIGILANCIA'!F55),"",'RESUMEN VIGILANCIA'!F55)</f>
        <v>0.17</v>
      </c>
      <c r="H12" s="182">
        <f>IF(ISBLANK('RESUMEN VIGILANCIA'!G55),"",'RESUMEN VIGILANCIA'!G55)</f>
        <v>0.17</v>
      </c>
      <c r="I12" s="182">
        <f>IF(ISBLANK('RESUMEN VIGILANCIA'!H55),"",'RESUMEN VIGILANCIA'!H55)</f>
        <v>0.17</v>
      </c>
      <c r="J12" s="182">
        <f>IF(ISBLANK('RESUMEN VIGILANCIA'!I55),"",'RESUMEN VIGILANCIA'!I55)</f>
        <v>0.26</v>
      </c>
      <c r="K12" s="182">
        <f>IF(ISBLANK('RESUMEN VIGILANCIA'!J55),"",'RESUMEN VIGILANCIA'!J55)</f>
        <v>0.26</v>
      </c>
      <c r="L12" s="182">
        <f>IF(ISBLANK('RESUMEN VIGILANCIA'!K55),"",'RESUMEN VIGILANCIA'!K55)</f>
        <v>0.35</v>
      </c>
      <c r="M12" s="182">
        <f>IF(ISBLANK('RESUMEN VIGILANCIA'!L55),"",'RESUMEN VIGILANCIA'!L55)</f>
        <v>0.35</v>
      </c>
      <c r="N12" s="182">
        <f>IF(ISBLANK('RESUMEN VIGILANCIA'!M55),"",'RESUMEN VIGILANCIA'!M55)</f>
        <v>0.35</v>
      </c>
      <c r="O12" s="182">
        <f>IF(ISBLANK('RESUMEN VIGILANCIA'!N55),"",'RESUMEN VIGILANCIA'!N55)</f>
        <v>0.35</v>
      </c>
      <c r="P12" s="271">
        <f>IF(ISBLANK('RESUMEN VIGILANCIA'!O55),"",'RESUMEN VIGILANCIA'!O55)</f>
        <v>0.5</v>
      </c>
      <c r="Q12" s="180">
        <f>IF(ISBLANK('RESUMEN VIGILANCIA'!P55),"",'RESUMEN VIGILANCIA'!P55)</f>
        <v>0.2</v>
      </c>
      <c r="R12" s="272">
        <f>IF(ISBLANK('RESUMEN VIGILANCIA'!Q55),"",'RESUMEN VIGILANCIA'!Q55)</f>
        <v>0.8</v>
      </c>
      <c r="S12" s="271">
        <f>IF(ISBLANK('RESUMEN VIGILANCIA'!R55),"",'RESUMEN VIGILANCIA'!R55)</f>
        <v>0.8</v>
      </c>
      <c r="T12" s="271">
        <f>IF(ISBLANK('RESUMEN VIGILANCIA'!S55),"",'RESUMEN VIGILANCIA'!S55)</f>
        <v>1.4</v>
      </c>
      <c r="U12" s="271">
        <f>IF(ISBLANK('RESUMEN VIGILANCIA'!T55),"",'RESUMEN VIGILANCIA'!T55)</f>
        <v>1.4</v>
      </c>
      <c r="V12" s="271">
        <f>IF(ISBLANK('RESUMEN VIGILANCIA'!U55),"",'RESUMEN VIGILANCIA'!U55)</f>
        <v>4</v>
      </c>
      <c r="W12" s="271">
        <f>IF(ISBLANK('RESUMEN VIGILANCIA'!V55),"",'RESUMEN VIGILANCIA'!V55)</f>
        <v>6.5</v>
      </c>
      <c r="X12" s="273">
        <f>IF(ISBLANK('RESUMEN VIGILANCIA'!W55),"",'RESUMEN VIGILANCIA'!W55)</f>
        <v>10</v>
      </c>
      <c r="Y12" s="271">
        <f>IF(ISBLANK('RESUMEN VIGILANCIA'!X55),"",'RESUMEN VIGILANCIA'!X55)</f>
        <v>12</v>
      </c>
      <c r="Z12" s="481">
        <f>IF(ISBLANK('RESUMEN VIGILANCIA'!Y55),"",'RESUMEN VIGILANCIA'!Y55)</f>
        <v>320</v>
      </c>
      <c r="AA12" s="481">
        <f>IF(ISBLANK('RESUMEN VIGILANCIA'!Z55),"",'RESUMEN VIGILANCIA'!Z55)</f>
        <v>320</v>
      </c>
      <c r="AB12" s="481">
        <f>IF(ISBLANK('RESUMEN VIGILANCIA'!AA55),"",'RESUMEN VIGILANCIA'!AA55)</f>
        <v>320</v>
      </c>
      <c r="AC12" s="483">
        <f>IF(ISBLANK('RESUMEN VIGILANCIA'!AB55),"",'RESUMEN VIGILANCIA'!AB55)</f>
        <v>800</v>
      </c>
      <c r="AD12" s="399">
        <f>IF(ISBLANK('RESUMEN VIGILANCIA'!AC55),"",'RESUMEN VIGILANCIA'!AC55)</f>
        <v>3000</v>
      </c>
      <c r="AE12" s="400">
        <f>IF(ISBLANK('RESUMEN VIGILANCIA'!AD55),"",'RESUMEN VIGILANCIA'!AD55)</f>
        <v>3000</v>
      </c>
      <c r="AF12" s="400">
        <f>IF(ISBLANK('RESUMEN VIGILANCIA'!AE55),"",'RESUMEN VIGILANCIA'!AE55)</f>
        <v>3000</v>
      </c>
      <c r="AG12" s="400">
        <f>IF(ISBLANK('RESUMEN VIGILANCIA'!AF55),"",'RESUMEN VIGILANCIA'!AF55)</f>
        <v>5000</v>
      </c>
      <c r="AH12" s="400">
        <f>IF(ISBLANK('RESUMEN VIGILANCIA'!AG55),"",'RESUMEN VIGILANCIA'!AG55)</f>
        <v>8000</v>
      </c>
      <c r="AI12" s="400">
        <f>IF(ISBLANK('RESUMEN VIGILANCIA'!AH55),"",'RESUMEN VIGILANCIA'!AH55)</f>
        <v>8000</v>
      </c>
      <c r="AJ12" s="400">
        <f>IF(ISBLANK('RESUMEN VIGILANCIA'!AI55),"",'RESUMEN VIGILANCIA'!AI55)</f>
        <v>10000</v>
      </c>
      <c r="AK12" s="400">
        <f>IF(ISBLANK('RESUMEN VIGILANCIA'!AJ55),"",'RESUMEN VIGILANCIA'!AJ55)</f>
        <v>10000</v>
      </c>
      <c r="AL12" s="400">
        <f>IF(ISBLANK('RESUMEN VIGILANCIA'!AK55),"",'RESUMEN VIGILANCIA'!AK55)</f>
        <v>23400</v>
      </c>
      <c r="AM12" s="400">
        <f>IF(ISBLANK('RESUMEN VIGILANCIA'!AL55),"",'RESUMEN VIGILANCIA'!AL55)</f>
        <v>47000</v>
      </c>
      <c r="AN12" s="400">
        <f>IF(ISBLANK('RESUMEN VIGILANCIA'!AM55),"",'RESUMEN VIGILANCIA'!AM55)</f>
        <v>64500</v>
      </c>
      <c r="AO12" s="401">
        <f>IF(ISBLANK('RESUMEN VIGILANCIA'!AN55),"",'RESUMEN VIGILANCIA'!AN55)</f>
        <v>81750</v>
      </c>
      <c r="AP12" s="399">
        <f>IF(ISBLANK('RESUMEN VIGILANCIA'!AO55),"",'RESUMEN VIGILANCIA'!AO55)</f>
        <v>136250</v>
      </c>
      <c r="AQ12" s="400">
        <f>IF(ISBLANK('RESUMEN VIGILANCIA'!AP55),"",'RESUMEN VIGILANCIA'!AP55)</f>
        <v>136250</v>
      </c>
      <c r="AR12" s="400" t="str">
        <f>IF(ISBLANK('RESUMEN VIGILANCIA'!AQ55),"",'RESUMEN VIGILANCIA'!AQ55)</f>
        <v/>
      </c>
      <c r="AS12" s="400" t="str">
        <f>IF(ISBLANK('RESUMEN VIGILANCIA'!AR55),"",'RESUMEN VIGILANCIA'!AR55)</f>
        <v/>
      </c>
      <c r="AT12" s="400" t="str">
        <f>IF(ISBLANK('RESUMEN VIGILANCIA'!AS55),"",'RESUMEN VIGILANCIA'!AS55)</f>
        <v/>
      </c>
      <c r="AU12" s="400" t="str">
        <f>IF(ISBLANK('RESUMEN VIGILANCIA'!AT55),"",'RESUMEN VIGILANCIA'!AT55)</f>
        <v/>
      </c>
      <c r="AV12" s="400" t="str">
        <f>IF(ISBLANK('RESUMEN VIGILANCIA'!AU55),"",'RESUMEN VIGILANCIA'!AU55)</f>
        <v/>
      </c>
      <c r="AW12" s="400" t="str">
        <f>IF(ISBLANK('RESUMEN VIGILANCIA'!AV55),"",'RESUMEN VIGILANCIA'!AV55)</f>
        <v/>
      </c>
      <c r="AX12" s="400" t="str">
        <f>IF(ISBLANK('RESUMEN VIGILANCIA'!AW55),"",'RESUMEN VIGILANCIA'!AW55)</f>
        <v/>
      </c>
      <c r="AY12" s="400" t="str">
        <f>IF(ISBLANK('RESUMEN VIGILANCIA'!AX55),"",'RESUMEN VIGILANCIA'!AX55)</f>
        <v/>
      </c>
      <c r="AZ12" s="400" t="str">
        <f>IF(ISBLANK('RESUMEN VIGILANCIA'!AY55),"",'RESUMEN VIGILANCIA'!AY55)</f>
        <v/>
      </c>
      <c r="BA12" s="401" t="str">
        <f>IF(ISBLANK('RESUMEN VIGILANCIA'!AZ55),"",'RESUMEN VIGILANCIA'!AZ55)</f>
        <v/>
      </c>
      <c r="BB12" s="243">
        <f t="shared" si="0"/>
        <v>268450.2</v>
      </c>
      <c r="BC12" s="112"/>
      <c r="BD12" s="112"/>
    </row>
    <row r="13" spans="1:56" s="29" customFormat="1" ht="20.100000000000001" customHeight="1">
      <c r="A13" s="30" t="str">
        <f>'RESUMEN VIGILANCIA'!A56</f>
        <v>Familia Romero</v>
      </c>
      <c r="B13" s="31" t="str">
        <f>'RESUMEN VIGILANCIA'!B56</f>
        <v>Calle Guacara Nro. 89-50</v>
      </c>
      <c r="C13" s="452" t="s">
        <v>1249</v>
      </c>
      <c r="D13" s="460" t="s">
        <v>1248</v>
      </c>
      <c r="E13" s="440" t="str">
        <f>IF(ISBLANK('RESUMEN VIGILANCIA'!D56),"",'RESUMEN VIGILANCIA'!D56)</f>
        <v/>
      </c>
      <c r="F13" s="270" t="str">
        <f>IF(ISBLANK('RESUMEN VIGILANCIA'!E56),"",'RESUMEN VIGILANCIA'!E56)</f>
        <v/>
      </c>
      <c r="G13" s="182" t="str">
        <f>IF(ISBLANK('RESUMEN VIGILANCIA'!F56),"",'RESUMEN VIGILANCIA'!F56)</f>
        <v/>
      </c>
      <c r="H13" s="182" t="str">
        <f>IF(ISBLANK('RESUMEN VIGILANCIA'!G56),"",'RESUMEN VIGILANCIA'!G56)</f>
        <v/>
      </c>
      <c r="I13" s="182" t="str">
        <f>IF(ISBLANK('RESUMEN VIGILANCIA'!H56),"",'RESUMEN VIGILANCIA'!H56)</f>
        <v/>
      </c>
      <c r="J13" s="182" t="str">
        <f>IF(ISBLANK('RESUMEN VIGILANCIA'!I56),"",'RESUMEN VIGILANCIA'!I56)</f>
        <v/>
      </c>
      <c r="K13" s="182" t="str">
        <f>IF(ISBLANK('RESUMEN VIGILANCIA'!J56),"",'RESUMEN VIGILANCIA'!J56)</f>
        <v/>
      </c>
      <c r="L13" s="182" t="str">
        <f>IF(ISBLANK('RESUMEN VIGILANCIA'!K56),"",'RESUMEN VIGILANCIA'!K56)</f>
        <v/>
      </c>
      <c r="M13" s="182" t="str">
        <f>IF(ISBLANK('RESUMEN VIGILANCIA'!L56),"",'RESUMEN VIGILANCIA'!L56)</f>
        <v/>
      </c>
      <c r="N13" s="182" t="str">
        <f>IF(ISBLANK('RESUMEN VIGILANCIA'!M56),"",'RESUMEN VIGILANCIA'!M56)</f>
        <v/>
      </c>
      <c r="O13" s="182" t="str">
        <f>IF(ISBLANK('RESUMEN VIGILANCIA'!N56),"",'RESUMEN VIGILANCIA'!N56)</f>
        <v/>
      </c>
      <c r="P13" s="271" t="str">
        <f>IF(ISBLANK('RESUMEN VIGILANCIA'!O56),"",'RESUMEN VIGILANCIA'!O56)</f>
        <v/>
      </c>
      <c r="Q13" s="180">
        <f>IF(ISBLANK('RESUMEN VIGILANCIA'!P56),"",'RESUMEN VIGILANCIA'!P56)</f>
        <v>0.5</v>
      </c>
      <c r="R13" s="272">
        <f>IF(ISBLANK('RESUMEN VIGILANCIA'!Q56),"",'RESUMEN VIGILANCIA'!Q56)</f>
        <v>0.5</v>
      </c>
      <c r="S13" s="271">
        <f>IF(ISBLANK('RESUMEN VIGILANCIA'!R56),"",'RESUMEN VIGILANCIA'!R56)</f>
        <v>0.5</v>
      </c>
      <c r="T13" s="271">
        <f>IF(ISBLANK('RESUMEN VIGILANCIA'!S56),"",'RESUMEN VIGILANCIA'!S56)</f>
        <v>0.5</v>
      </c>
      <c r="U13" s="271">
        <f>IF(ISBLANK('RESUMEN VIGILANCIA'!T56),"",'RESUMEN VIGILANCIA'!T56)</f>
        <v>0.5</v>
      </c>
      <c r="V13" s="271">
        <f>IF(ISBLANK('RESUMEN VIGILANCIA'!U56),"",'RESUMEN VIGILANCIA'!U56)</f>
        <v>4</v>
      </c>
      <c r="W13" s="271">
        <f>IF(ISBLANK('RESUMEN VIGILANCIA'!V56),"",'RESUMEN VIGILANCIA'!V56)</f>
        <v>4</v>
      </c>
      <c r="X13" s="271">
        <f>IF(ISBLANK('RESUMEN VIGILANCIA'!W56),"",'RESUMEN VIGILANCIA'!W56)</f>
        <v>10</v>
      </c>
      <c r="Y13" s="273">
        <f>IF(ISBLANK('RESUMEN VIGILANCIA'!X56),"",'RESUMEN VIGILANCIA'!X56)</f>
        <v>10</v>
      </c>
      <c r="Z13" s="481">
        <f>IF(ISBLANK('RESUMEN VIGILANCIA'!Y56),"",'RESUMEN VIGILANCIA'!Y56)</f>
        <v>160</v>
      </c>
      <c r="AA13" s="481">
        <f>IF(ISBLANK('RESUMEN VIGILANCIA'!Z56),"",'RESUMEN VIGILANCIA'!Z56)</f>
        <v>160</v>
      </c>
      <c r="AB13" s="481" t="str">
        <f>IF(ISBLANK('RESUMEN VIGILANCIA'!AA56),"",'RESUMEN VIGILANCIA'!AA56)</f>
        <v/>
      </c>
      <c r="AC13" s="483">
        <f>IF(ISBLANK('RESUMEN VIGILANCIA'!AB56),"",'RESUMEN VIGILANCIA'!AB56)</f>
        <v>800</v>
      </c>
      <c r="AD13" s="399">
        <f>IF(ISBLANK('RESUMEN VIGILANCIA'!AC56),"",'RESUMEN VIGILANCIA'!AC56)</f>
        <v>3000</v>
      </c>
      <c r="AE13" s="400">
        <f>IF(ISBLANK('RESUMEN VIGILANCIA'!AD56),"",'RESUMEN VIGILANCIA'!AD56)</f>
        <v>3000</v>
      </c>
      <c r="AF13" s="400">
        <f>IF(ISBLANK('RESUMEN VIGILANCIA'!AE56),"",'RESUMEN VIGILANCIA'!AE56)</f>
        <v>3000</v>
      </c>
      <c r="AG13" s="400">
        <f>IF(ISBLANK('RESUMEN VIGILANCIA'!AF56),"",'RESUMEN VIGILANCIA'!AF56)</f>
        <v>5000</v>
      </c>
      <c r="AH13" s="400">
        <f>IF(ISBLANK('RESUMEN VIGILANCIA'!AG56),"",'RESUMEN VIGILANCIA'!AG56)</f>
        <v>8000</v>
      </c>
      <c r="AI13" s="400">
        <f>IF(ISBLANK('RESUMEN VIGILANCIA'!AH56),"",'RESUMEN VIGILANCIA'!AH56)</f>
        <v>8000</v>
      </c>
      <c r="AJ13" s="400">
        <f>IF(ISBLANK('RESUMEN VIGILANCIA'!AI56),"",'RESUMEN VIGILANCIA'!AI56)</f>
        <v>10000</v>
      </c>
      <c r="AK13" s="400">
        <f>IF(ISBLANK('RESUMEN VIGILANCIA'!AJ56),"",'RESUMEN VIGILANCIA'!AJ56)</f>
        <v>10000</v>
      </c>
      <c r="AL13" s="400">
        <f>IF(ISBLANK('RESUMEN VIGILANCIA'!AK56),"",'RESUMEN VIGILANCIA'!AK56)</f>
        <v>20500</v>
      </c>
      <c r="AM13" s="400">
        <f>IF(ISBLANK('RESUMEN VIGILANCIA'!AL56),"",'RESUMEN VIGILANCIA'!AL56)</f>
        <v>47000</v>
      </c>
      <c r="AN13" s="400">
        <f>IF(ISBLANK('RESUMEN VIGILANCIA'!AM56),"",'RESUMEN VIGILANCIA'!AM56)</f>
        <v>56250</v>
      </c>
      <c r="AO13" s="401">
        <f>IF(ISBLANK('RESUMEN VIGILANCIA'!AN56),"",'RESUMEN VIGILANCIA'!AN56)</f>
        <v>81750</v>
      </c>
      <c r="AP13" s="399" t="str">
        <f>IF(ISBLANK('RESUMEN VIGILANCIA'!AO56),"",'RESUMEN VIGILANCIA'!AO56)</f>
        <v/>
      </c>
      <c r="AQ13" s="400" t="str">
        <f>IF(ISBLANK('RESUMEN VIGILANCIA'!AP56),"",'RESUMEN VIGILANCIA'!AP56)</f>
        <v/>
      </c>
      <c r="AR13" s="400" t="str">
        <f>IF(ISBLANK('RESUMEN VIGILANCIA'!AQ56),"",'RESUMEN VIGILANCIA'!AQ56)</f>
        <v/>
      </c>
      <c r="AS13" s="400" t="str">
        <f>IF(ISBLANK('RESUMEN VIGILANCIA'!AR56),"",'RESUMEN VIGILANCIA'!AR56)</f>
        <v/>
      </c>
      <c r="AT13" s="400" t="str">
        <f>IF(ISBLANK('RESUMEN VIGILANCIA'!AS56),"",'RESUMEN VIGILANCIA'!AS56)</f>
        <v/>
      </c>
      <c r="AU13" s="400" t="str">
        <f>IF(ISBLANK('RESUMEN VIGILANCIA'!AT56),"",'RESUMEN VIGILANCIA'!AT56)</f>
        <v/>
      </c>
      <c r="AV13" s="400" t="str">
        <f>IF(ISBLANK('RESUMEN VIGILANCIA'!AU56),"",'RESUMEN VIGILANCIA'!AU56)</f>
        <v/>
      </c>
      <c r="AW13" s="400" t="str">
        <f>IF(ISBLANK('RESUMEN VIGILANCIA'!AV56),"",'RESUMEN VIGILANCIA'!AV56)</f>
        <v/>
      </c>
      <c r="AX13" s="400" t="str">
        <f>IF(ISBLANK('RESUMEN VIGILANCIA'!AW56),"",'RESUMEN VIGILANCIA'!AW56)</f>
        <v/>
      </c>
      <c r="AY13" s="400" t="str">
        <f>IF(ISBLANK('RESUMEN VIGILANCIA'!AX56),"",'RESUMEN VIGILANCIA'!AX56)</f>
        <v/>
      </c>
      <c r="AZ13" s="400" t="str">
        <f>IF(ISBLANK('RESUMEN VIGILANCIA'!AY56),"",'RESUMEN VIGILANCIA'!AY56)</f>
        <v/>
      </c>
      <c r="BA13" s="401" t="str">
        <f>IF(ISBLANK('RESUMEN VIGILANCIA'!AZ56),"",'RESUMEN VIGILANCIA'!AZ56)</f>
        <v/>
      </c>
      <c r="BB13" s="243">
        <f t="shared" si="0"/>
        <v>256650.5</v>
      </c>
      <c r="BC13" s="112"/>
      <c r="BD13" s="112"/>
    </row>
    <row r="14" spans="1:56" s="29" customFormat="1" ht="20.100000000000001" customHeight="1">
      <c r="A14" s="30" t="str">
        <f>'RESUMEN VIGILANCIA'!A57</f>
        <v>Familia Durvelle Serrano</v>
      </c>
      <c r="B14" s="31" t="str">
        <f>'RESUMEN VIGILANCIA'!B57</f>
        <v>Calle Guacara Nro. 89-60</v>
      </c>
      <c r="C14" s="452" t="s">
        <v>1249</v>
      </c>
      <c r="D14" s="460" t="s">
        <v>1248</v>
      </c>
      <c r="E14" s="440" t="str">
        <f>IF(ISBLANK('RESUMEN VIGILANCIA'!D57),"",'RESUMEN VIGILANCIA'!D57)</f>
        <v/>
      </c>
      <c r="F14" s="274">
        <f>IF(ISBLANK('RESUMEN VIGILANCIA'!E57),"",'RESUMEN VIGILANCIA'!E57)</f>
        <v>0.1</v>
      </c>
      <c r="G14" s="182">
        <f>IF(ISBLANK('RESUMEN VIGILANCIA'!F57),"",'RESUMEN VIGILANCIA'!F57)</f>
        <v>0.17</v>
      </c>
      <c r="H14" s="182">
        <f>IF(ISBLANK('RESUMEN VIGILANCIA'!G57),"",'RESUMEN VIGILANCIA'!G57)</f>
        <v>0.17</v>
      </c>
      <c r="I14" s="182">
        <f>IF(ISBLANK('RESUMEN VIGILANCIA'!H57),"",'RESUMEN VIGILANCIA'!H57)</f>
        <v>0.17</v>
      </c>
      <c r="J14" s="182">
        <f>IF(ISBLANK('RESUMEN VIGILANCIA'!I57),"",'RESUMEN VIGILANCIA'!I57)</f>
        <v>0.26</v>
      </c>
      <c r="K14" s="182">
        <f>IF(ISBLANK('RESUMEN VIGILANCIA'!J57),"",'RESUMEN VIGILANCIA'!J57)</f>
        <v>0.27</v>
      </c>
      <c r="L14" s="182">
        <f>IF(ISBLANK('RESUMEN VIGILANCIA'!K57),"",'RESUMEN VIGILANCIA'!K57)</f>
        <v>0.36</v>
      </c>
      <c r="M14" s="182">
        <f>IF(ISBLANK('RESUMEN VIGILANCIA'!L57),"",'RESUMEN VIGILANCIA'!L57)</f>
        <v>0.35</v>
      </c>
      <c r="N14" s="182">
        <f>IF(ISBLANK('RESUMEN VIGILANCIA'!M57),"",'RESUMEN VIGILANCIA'!M57)</f>
        <v>0.35</v>
      </c>
      <c r="O14" s="182">
        <f>IF(ISBLANK('RESUMEN VIGILANCIA'!N57),"",'RESUMEN VIGILANCIA'!N57)</f>
        <v>0.35</v>
      </c>
      <c r="P14" s="271">
        <f>IF(ISBLANK('RESUMEN VIGILANCIA'!O57),"",'RESUMEN VIGILANCIA'!O57)</f>
        <v>0.5</v>
      </c>
      <c r="Q14" s="180">
        <f>IF(ISBLANK('RESUMEN VIGILANCIA'!P57),"",'RESUMEN VIGILANCIA'!P57)</f>
        <v>0.5</v>
      </c>
      <c r="R14" s="272">
        <f>IF(ISBLANK('RESUMEN VIGILANCIA'!Q57),"",'RESUMEN VIGILANCIA'!Q57)</f>
        <v>1</v>
      </c>
      <c r="S14" s="271">
        <f>IF(ISBLANK('RESUMEN VIGILANCIA'!R57),"",'RESUMEN VIGILANCIA'!R57)</f>
        <v>1</v>
      </c>
      <c r="T14" s="271">
        <f>IF(ISBLANK('RESUMEN VIGILANCIA'!S57),"",'RESUMEN VIGILANCIA'!S57)</f>
        <v>2</v>
      </c>
      <c r="U14" s="271">
        <f>IF(ISBLANK('RESUMEN VIGILANCIA'!T57),"",'RESUMEN VIGILANCIA'!T57)</f>
        <v>2.5</v>
      </c>
      <c r="V14" s="271">
        <f>IF(ISBLANK('RESUMEN VIGILANCIA'!U57),"",'RESUMEN VIGILANCIA'!U57)</f>
        <v>4</v>
      </c>
      <c r="W14" s="271">
        <f>IF(ISBLANK('RESUMEN VIGILANCIA'!V57),"",'RESUMEN VIGILANCIA'!V57)</f>
        <v>6.25</v>
      </c>
      <c r="X14" s="271">
        <f>IF(ISBLANK('RESUMEN VIGILANCIA'!W57),"",'RESUMEN VIGILANCIA'!W57)</f>
        <v>10</v>
      </c>
      <c r="Y14" s="271">
        <f>IF(ISBLANK('RESUMEN VIGILANCIA'!X57),"",'RESUMEN VIGILANCIA'!X57)</f>
        <v>11.999999999999998</v>
      </c>
      <c r="Z14" s="481">
        <f>IF(ISBLANK('RESUMEN VIGILANCIA'!Y57),"",'RESUMEN VIGILANCIA'!Y57)</f>
        <v>405.15</v>
      </c>
      <c r="AA14" s="481">
        <f>IF(ISBLANK('RESUMEN VIGILANCIA'!Z57),"",'RESUMEN VIGILANCIA'!Z57)</f>
        <v>500</v>
      </c>
      <c r="AB14" s="481">
        <f>IF(ISBLANK('RESUMEN VIGILANCIA'!AA57),"",'RESUMEN VIGILANCIA'!AA57)</f>
        <v>500</v>
      </c>
      <c r="AC14" s="483">
        <f>IF(ISBLANK('RESUMEN VIGILANCIA'!AB57),"",'RESUMEN VIGILANCIA'!AB57)</f>
        <v>1000</v>
      </c>
      <c r="AD14" s="399">
        <f>IF(ISBLANK('RESUMEN VIGILANCIA'!AC57),"",'RESUMEN VIGILANCIA'!AC57)</f>
        <v>4000</v>
      </c>
      <c r="AE14" s="400">
        <f>IF(ISBLANK('RESUMEN VIGILANCIA'!AD57),"",'RESUMEN VIGILANCIA'!AD57)</f>
        <v>4000</v>
      </c>
      <c r="AF14" s="400">
        <f>IF(ISBLANK('RESUMEN VIGILANCIA'!AE57),"",'RESUMEN VIGILANCIA'!AE57)</f>
        <v>6000</v>
      </c>
      <c r="AG14" s="400">
        <f>IF(ISBLANK('RESUMEN VIGILANCIA'!AF57),"",'RESUMEN VIGILANCIA'!AF57)</f>
        <v>5000</v>
      </c>
      <c r="AH14" s="400">
        <f>IF(ISBLANK('RESUMEN VIGILANCIA'!AG57),"",'RESUMEN VIGILANCIA'!AG57)</f>
        <v>8000</v>
      </c>
      <c r="AI14" s="400">
        <f>IF(ISBLANK('RESUMEN VIGILANCIA'!AH57),"",'RESUMEN VIGILANCIA'!AH57)</f>
        <v>8000</v>
      </c>
      <c r="AJ14" s="400">
        <f>IF(ISBLANK('RESUMEN VIGILANCIA'!AI57),"",'RESUMEN VIGILANCIA'!AI57)</f>
        <v>15000</v>
      </c>
      <c r="AK14" s="400">
        <f>IF(ISBLANK('RESUMEN VIGILANCIA'!AJ57),"",'RESUMEN VIGILANCIA'!AJ57)</f>
        <v>10000</v>
      </c>
      <c r="AL14" s="400">
        <f>IF(ISBLANK('RESUMEN VIGILANCIA'!AK57),"",'RESUMEN VIGILANCIA'!AK57)</f>
        <v>24000</v>
      </c>
      <c r="AM14" s="400">
        <f>IF(ISBLANK('RESUMEN VIGILANCIA'!AL57),"",'RESUMEN VIGILANCIA'!AL57)</f>
        <v>47000</v>
      </c>
      <c r="AN14" s="400">
        <f>IF(ISBLANK('RESUMEN VIGILANCIA'!AM57),"",'RESUMEN VIGILANCIA'!AM57)</f>
        <v>57000</v>
      </c>
      <c r="AO14" s="401">
        <f>IF(ISBLANK('RESUMEN VIGILANCIA'!AN57),"",'RESUMEN VIGILANCIA'!AN57)</f>
        <v>98750</v>
      </c>
      <c r="AP14" s="399">
        <f>IF(ISBLANK('RESUMEN VIGILANCIA'!AO57),"",'RESUMEN VIGILANCIA'!AO57)</f>
        <v>136250</v>
      </c>
      <c r="AQ14" s="400">
        <f>IF(ISBLANK('RESUMEN VIGILANCIA'!AP57),"",'RESUMEN VIGILANCIA'!AP57)</f>
        <v>140000</v>
      </c>
      <c r="AR14" s="400" t="str">
        <f>IF(ISBLANK('RESUMEN VIGILANCIA'!AQ57),"",'RESUMEN VIGILANCIA'!AQ57)</f>
        <v/>
      </c>
      <c r="AS14" s="400" t="str">
        <f>IF(ISBLANK('RESUMEN VIGILANCIA'!AR57),"",'RESUMEN VIGILANCIA'!AR57)</f>
        <v/>
      </c>
      <c r="AT14" s="400" t="str">
        <f>IF(ISBLANK('RESUMEN VIGILANCIA'!AS57),"",'RESUMEN VIGILANCIA'!AS57)</f>
        <v/>
      </c>
      <c r="AU14" s="400" t="str">
        <f>IF(ISBLANK('RESUMEN VIGILANCIA'!AT57),"",'RESUMEN VIGILANCIA'!AT57)</f>
        <v/>
      </c>
      <c r="AV14" s="400" t="str">
        <f>IF(ISBLANK('RESUMEN VIGILANCIA'!AU57),"",'RESUMEN VIGILANCIA'!AU57)</f>
        <v/>
      </c>
      <c r="AW14" s="400" t="str">
        <f>IF(ISBLANK('RESUMEN VIGILANCIA'!AV57),"",'RESUMEN VIGILANCIA'!AV57)</f>
        <v/>
      </c>
      <c r="AX14" s="400" t="str">
        <f>IF(ISBLANK('RESUMEN VIGILANCIA'!AW57),"",'RESUMEN VIGILANCIA'!AW57)</f>
        <v/>
      </c>
      <c r="AY14" s="400" t="str">
        <f>IF(ISBLANK('RESUMEN VIGILANCIA'!AX57),"",'RESUMEN VIGILANCIA'!AX57)</f>
        <v/>
      </c>
      <c r="AZ14" s="400" t="str">
        <f>IF(ISBLANK('RESUMEN VIGILANCIA'!AY57),"",'RESUMEN VIGILANCIA'!AY57)</f>
        <v/>
      </c>
      <c r="BA14" s="401" t="str">
        <f>IF(ISBLANK('RESUMEN VIGILANCIA'!AZ57),"",'RESUMEN VIGILANCIA'!AZ57)</f>
        <v/>
      </c>
      <c r="BB14" s="243">
        <f t="shared" si="0"/>
        <v>289197.45</v>
      </c>
      <c r="BC14" s="112"/>
      <c r="BD14" s="112"/>
    </row>
    <row r="15" spans="1:56" s="29" customFormat="1" ht="20.100000000000001" customHeight="1">
      <c r="A15" s="30" t="str">
        <f>'RESUMEN VIGILANCIA'!A58</f>
        <v>Yuraima Rodríguez</v>
      </c>
      <c r="B15" s="31" t="str">
        <f>'RESUMEN VIGILANCIA'!B58</f>
        <v>Calle Guacara Nro. 89-70</v>
      </c>
      <c r="C15" s="452" t="s">
        <v>1250</v>
      </c>
      <c r="D15" s="460" t="s">
        <v>1248</v>
      </c>
      <c r="E15" s="440" t="str">
        <f>IF(ISBLANK('RESUMEN VIGILANCIA'!D58),"",'RESUMEN VIGILANCIA'!D58)</f>
        <v/>
      </c>
      <c r="F15" s="270">
        <f>IF(ISBLANK('RESUMEN VIGILANCIA'!E58),"",'RESUMEN VIGILANCIA'!E58)</f>
        <v>0.17</v>
      </c>
      <c r="G15" s="182">
        <f>IF(ISBLANK('RESUMEN VIGILANCIA'!F58),"",'RESUMEN VIGILANCIA'!F58)</f>
        <v>0.17</v>
      </c>
      <c r="H15" s="182">
        <f>IF(ISBLANK('RESUMEN VIGILANCIA'!G58),"",'RESUMEN VIGILANCIA'!G58)</f>
        <v>0.17</v>
      </c>
      <c r="I15" s="182">
        <f>IF(ISBLANK('RESUMEN VIGILANCIA'!H58),"",'RESUMEN VIGILANCIA'!H58)</f>
        <v>0.17</v>
      </c>
      <c r="J15" s="182" t="str">
        <f>IF(ISBLANK('RESUMEN VIGILANCIA'!I58),"",'RESUMEN VIGILANCIA'!I58)</f>
        <v/>
      </c>
      <c r="K15" s="182" t="str">
        <f>IF(ISBLANK('RESUMEN VIGILANCIA'!J58),"",'RESUMEN VIGILANCIA'!J58)</f>
        <v/>
      </c>
      <c r="L15" s="182" t="str">
        <f>IF(ISBLANK('RESUMEN VIGILANCIA'!K58),"",'RESUMEN VIGILANCIA'!K58)</f>
        <v/>
      </c>
      <c r="M15" s="182" t="str">
        <f>IF(ISBLANK('RESUMEN VIGILANCIA'!L58),"",'RESUMEN VIGILANCIA'!L58)</f>
        <v/>
      </c>
      <c r="N15" s="182" t="str">
        <f>IF(ISBLANK('RESUMEN VIGILANCIA'!M58),"",'RESUMEN VIGILANCIA'!M58)</f>
        <v/>
      </c>
      <c r="O15" s="182" t="str">
        <f>IF(ISBLANK('RESUMEN VIGILANCIA'!N58),"",'RESUMEN VIGILANCIA'!N58)</f>
        <v/>
      </c>
      <c r="P15" s="271" t="str">
        <f>IF(ISBLANK('RESUMEN VIGILANCIA'!O58),"",'RESUMEN VIGILANCIA'!O58)</f>
        <v/>
      </c>
      <c r="Q15" s="180" t="str">
        <f>IF(ISBLANK('RESUMEN VIGILANCIA'!P58),"",'RESUMEN VIGILANCIA'!P58)</f>
        <v/>
      </c>
      <c r="R15" s="272" t="str">
        <f>IF(ISBLANK('RESUMEN VIGILANCIA'!Q58),"",'RESUMEN VIGILANCIA'!Q58)</f>
        <v/>
      </c>
      <c r="S15" s="271" t="str">
        <f>IF(ISBLANK('RESUMEN VIGILANCIA'!R58),"",'RESUMEN VIGILANCIA'!R58)</f>
        <v/>
      </c>
      <c r="T15" s="271" t="str">
        <f>IF(ISBLANK('RESUMEN VIGILANCIA'!S58),"",'RESUMEN VIGILANCIA'!S58)</f>
        <v/>
      </c>
      <c r="U15" s="271" t="str">
        <f>IF(ISBLANK('RESUMEN VIGILANCIA'!T58),"",'RESUMEN VIGILANCIA'!T58)</f>
        <v/>
      </c>
      <c r="V15" s="271">
        <f>IF(ISBLANK('RESUMEN VIGILANCIA'!U58),"",'RESUMEN VIGILANCIA'!U58)</f>
        <v>4</v>
      </c>
      <c r="W15" s="271">
        <f>IF(ISBLANK('RESUMEN VIGILANCIA'!V58),"",'RESUMEN VIGILANCIA'!V58)</f>
        <v>4</v>
      </c>
      <c r="X15" s="271">
        <f>IF(ISBLANK('RESUMEN VIGILANCIA'!W58),"",'RESUMEN VIGILANCIA'!W58)</f>
        <v>10</v>
      </c>
      <c r="Y15" s="271">
        <f>IF(ISBLANK('RESUMEN VIGILANCIA'!X58),"",'RESUMEN VIGILANCIA'!X58)</f>
        <v>12</v>
      </c>
      <c r="Z15" s="481">
        <f>IF(ISBLANK('RESUMEN VIGILANCIA'!Y58),"",'RESUMEN VIGILANCIA'!Y58)</f>
        <v>320</v>
      </c>
      <c r="AA15" s="481">
        <f>IF(ISBLANK('RESUMEN VIGILANCIA'!Z58),"",'RESUMEN VIGILANCIA'!Z58)</f>
        <v>320</v>
      </c>
      <c r="AB15" s="481">
        <f>IF(ISBLANK('RESUMEN VIGILANCIA'!AA58),"",'RESUMEN VIGILANCIA'!AA58)</f>
        <v>320</v>
      </c>
      <c r="AC15" s="483">
        <f>IF(ISBLANK('RESUMEN VIGILANCIA'!AB58),"",'RESUMEN VIGILANCIA'!AB58)</f>
        <v>800</v>
      </c>
      <c r="AD15" s="399">
        <f>IF(ISBLANK('RESUMEN VIGILANCIA'!AC58),"",'RESUMEN VIGILANCIA'!AC58)</f>
        <v>3000</v>
      </c>
      <c r="AE15" s="400">
        <f>IF(ISBLANK('RESUMEN VIGILANCIA'!AD58),"",'RESUMEN VIGILANCIA'!AD58)</f>
        <v>3000</v>
      </c>
      <c r="AF15" s="400">
        <f>IF(ISBLANK('RESUMEN VIGILANCIA'!AE58),"",'RESUMEN VIGILANCIA'!AE58)</f>
        <v>3000</v>
      </c>
      <c r="AG15" s="400">
        <f>IF(ISBLANK('RESUMEN VIGILANCIA'!AF58),"",'RESUMEN VIGILANCIA'!AF58)</f>
        <v>5000</v>
      </c>
      <c r="AH15" s="400">
        <f>IF(ISBLANK('RESUMEN VIGILANCIA'!AG58),"",'RESUMEN VIGILANCIA'!AG58)</f>
        <v>8000</v>
      </c>
      <c r="AI15" s="400">
        <f>IF(ISBLANK('RESUMEN VIGILANCIA'!AH58),"",'RESUMEN VIGILANCIA'!AH58)</f>
        <v>8000</v>
      </c>
      <c r="AJ15" s="400" t="str">
        <f>IF(ISBLANK('RESUMEN VIGILANCIA'!AI58),"",'RESUMEN VIGILANCIA'!AI58)</f>
        <v/>
      </c>
      <c r="AK15" s="400" t="str">
        <f>IF(ISBLANK('RESUMEN VIGILANCIA'!AJ58),"",'RESUMEN VIGILANCIA'!AJ58)</f>
        <v/>
      </c>
      <c r="AL15" s="400" t="str">
        <f>IF(ISBLANK('RESUMEN VIGILANCIA'!AK58),"",'RESUMEN VIGILANCIA'!AK58)</f>
        <v/>
      </c>
      <c r="AM15" s="400" t="str">
        <f>IF(ISBLANK('RESUMEN VIGILANCIA'!AL58),"",'RESUMEN VIGILANCIA'!AL58)</f>
        <v/>
      </c>
      <c r="AN15" s="400" t="str">
        <f>IF(ISBLANK('RESUMEN VIGILANCIA'!AM58),"",'RESUMEN VIGILANCIA'!AM58)</f>
        <v/>
      </c>
      <c r="AO15" s="401" t="str">
        <f>IF(ISBLANK('RESUMEN VIGILANCIA'!AN58),"",'RESUMEN VIGILANCIA'!AN58)</f>
        <v/>
      </c>
      <c r="AP15" s="399" t="str">
        <f>IF(ISBLANK('RESUMEN VIGILANCIA'!AO58),"",'RESUMEN VIGILANCIA'!AO58)</f>
        <v/>
      </c>
      <c r="AQ15" s="400" t="str">
        <f>IF(ISBLANK('RESUMEN VIGILANCIA'!AP58),"",'RESUMEN VIGILANCIA'!AP58)</f>
        <v/>
      </c>
      <c r="AR15" s="400" t="str">
        <f>IF(ISBLANK('RESUMEN VIGILANCIA'!AQ58),"",'RESUMEN VIGILANCIA'!AQ58)</f>
        <v/>
      </c>
      <c r="AS15" s="400" t="str">
        <f>IF(ISBLANK('RESUMEN VIGILANCIA'!AR58),"",'RESUMEN VIGILANCIA'!AR58)</f>
        <v/>
      </c>
      <c r="AT15" s="400" t="str">
        <f>IF(ISBLANK('RESUMEN VIGILANCIA'!AS58),"",'RESUMEN VIGILANCIA'!AS58)</f>
        <v/>
      </c>
      <c r="AU15" s="400" t="str">
        <f>IF(ISBLANK('RESUMEN VIGILANCIA'!AT58),"",'RESUMEN VIGILANCIA'!AT58)</f>
        <v/>
      </c>
      <c r="AV15" s="400" t="str">
        <f>IF(ISBLANK('RESUMEN VIGILANCIA'!AU58),"",'RESUMEN VIGILANCIA'!AU58)</f>
        <v/>
      </c>
      <c r="AW15" s="400" t="str">
        <f>IF(ISBLANK('RESUMEN VIGILANCIA'!AV58),"",'RESUMEN VIGILANCIA'!AV58)</f>
        <v/>
      </c>
      <c r="AX15" s="400" t="str">
        <f>IF(ISBLANK('RESUMEN VIGILANCIA'!AW58),"",'RESUMEN VIGILANCIA'!AW58)</f>
        <v/>
      </c>
      <c r="AY15" s="400" t="str">
        <f>IF(ISBLANK('RESUMEN VIGILANCIA'!AX58),"",'RESUMEN VIGILANCIA'!AX58)</f>
        <v/>
      </c>
      <c r="AZ15" s="400" t="str">
        <f>IF(ISBLANK('RESUMEN VIGILANCIA'!AY58),"",'RESUMEN VIGILANCIA'!AY58)</f>
        <v/>
      </c>
      <c r="BA15" s="401" t="str">
        <f>IF(ISBLANK('RESUMEN VIGILANCIA'!AZ58),"",'RESUMEN VIGILANCIA'!AZ58)</f>
        <v/>
      </c>
      <c r="BB15" s="243">
        <f t="shared" si="0"/>
        <v>31790.68</v>
      </c>
      <c r="BC15" s="112"/>
      <c r="BD15" s="112"/>
    </row>
    <row r="16" spans="1:56" s="29" customFormat="1" ht="20.100000000000001" customHeight="1">
      <c r="A16" s="30" t="str">
        <f>'RESUMEN VIGILANCIA'!A59</f>
        <v>Familia Nava Gordon</v>
      </c>
      <c r="B16" s="31" t="str">
        <f>'RESUMEN VIGILANCIA'!B59</f>
        <v>Calle Guacara Nro. 89-78</v>
      </c>
      <c r="C16" s="452" t="s">
        <v>1249</v>
      </c>
      <c r="D16" s="460" t="s">
        <v>1248</v>
      </c>
      <c r="E16" s="440" t="str">
        <f>IF(ISBLANK('RESUMEN VIGILANCIA'!D59),"",'RESUMEN VIGILANCIA'!D59)</f>
        <v/>
      </c>
      <c r="F16" s="270">
        <f>IF(ISBLANK('RESUMEN VIGILANCIA'!E59),"",'RESUMEN VIGILANCIA'!E59)</f>
        <v>0.17</v>
      </c>
      <c r="G16" s="182">
        <f>IF(ISBLANK('RESUMEN VIGILANCIA'!F59),"",'RESUMEN VIGILANCIA'!F59)</f>
        <v>0.17</v>
      </c>
      <c r="H16" s="182">
        <f>IF(ISBLANK('RESUMEN VIGILANCIA'!G59),"",'RESUMEN VIGILANCIA'!G59)</f>
        <v>0.17</v>
      </c>
      <c r="I16" s="182">
        <f>IF(ISBLANK('RESUMEN VIGILANCIA'!H59),"",'RESUMEN VIGILANCIA'!H59)</f>
        <v>0.17</v>
      </c>
      <c r="J16" s="182">
        <f>IF(ISBLANK('RESUMEN VIGILANCIA'!I59),"",'RESUMEN VIGILANCIA'!I59)</f>
        <v>0.26</v>
      </c>
      <c r="K16" s="182">
        <f>IF(ISBLANK('RESUMEN VIGILANCIA'!J59),"",'RESUMEN VIGILANCIA'!J59)</f>
        <v>0.26</v>
      </c>
      <c r="L16" s="182">
        <f>IF(ISBLANK('RESUMEN VIGILANCIA'!K59),"",'RESUMEN VIGILANCIA'!K59)</f>
        <v>0.35000000000000003</v>
      </c>
      <c r="M16" s="182">
        <f>IF(ISBLANK('RESUMEN VIGILANCIA'!L59),"",'RESUMEN VIGILANCIA'!L59)</f>
        <v>0.35</v>
      </c>
      <c r="N16" s="182">
        <f>IF(ISBLANK('RESUMEN VIGILANCIA'!M59),"",'RESUMEN VIGILANCIA'!M59)</f>
        <v>0.35</v>
      </c>
      <c r="O16" s="182">
        <f>IF(ISBLANK('RESUMEN VIGILANCIA'!N59),"",'RESUMEN VIGILANCIA'!N59)</f>
        <v>0.35</v>
      </c>
      <c r="P16" s="271">
        <f>IF(ISBLANK('RESUMEN VIGILANCIA'!O59),"",'RESUMEN VIGILANCIA'!O59)</f>
        <v>0.5</v>
      </c>
      <c r="Q16" s="180">
        <f>IF(ISBLANK('RESUMEN VIGILANCIA'!P59),"",'RESUMEN VIGILANCIA'!P59)</f>
        <v>0.5</v>
      </c>
      <c r="R16" s="272">
        <f>IF(ISBLANK('RESUMEN VIGILANCIA'!Q59),"",'RESUMEN VIGILANCIA'!Q59)</f>
        <v>0.8</v>
      </c>
      <c r="S16" s="271">
        <f>IF(ISBLANK('RESUMEN VIGILANCIA'!R59),"",'RESUMEN VIGILANCIA'!R59)</f>
        <v>0.8</v>
      </c>
      <c r="T16" s="271">
        <f>IF(ISBLANK('RESUMEN VIGILANCIA'!S59),"",'RESUMEN VIGILANCIA'!S59)</f>
        <v>1.4</v>
      </c>
      <c r="U16" s="271">
        <f>IF(ISBLANK('RESUMEN VIGILANCIA'!T59),"",'RESUMEN VIGILANCIA'!T59)</f>
        <v>1.4</v>
      </c>
      <c r="V16" s="271">
        <f>IF(ISBLANK('RESUMEN VIGILANCIA'!U59),"",'RESUMEN VIGILANCIA'!U59)</f>
        <v>4</v>
      </c>
      <c r="W16" s="271">
        <f>IF(ISBLANK('RESUMEN VIGILANCIA'!V59),"",'RESUMEN VIGILANCIA'!V59)</f>
        <v>6.25</v>
      </c>
      <c r="X16" s="271">
        <f>IF(ISBLANK('RESUMEN VIGILANCIA'!W59),"",'RESUMEN VIGILANCIA'!W59)</f>
        <v>10</v>
      </c>
      <c r="Y16" s="271">
        <f>IF(ISBLANK('RESUMEN VIGILANCIA'!X59),"",'RESUMEN VIGILANCIA'!X59)</f>
        <v>12</v>
      </c>
      <c r="Z16" s="481">
        <f>IF(ISBLANK('RESUMEN VIGILANCIA'!Y59),"",'RESUMEN VIGILANCIA'!Y59)</f>
        <v>320</v>
      </c>
      <c r="AA16" s="481">
        <f>IF(ISBLANK('RESUMEN VIGILANCIA'!Z59),"",'RESUMEN VIGILANCIA'!Z59)</f>
        <v>320</v>
      </c>
      <c r="AB16" s="481">
        <f>IF(ISBLANK('RESUMEN VIGILANCIA'!AA59),"",'RESUMEN VIGILANCIA'!AA59)</f>
        <v>320</v>
      </c>
      <c r="AC16" s="483">
        <f>IF(ISBLANK('RESUMEN VIGILANCIA'!AB59),"",'RESUMEN VIGILANCIA'!AB59)</f>
        <v>800</v>
      </c>
      <c r="AD16" s="399">
        <f>IF(ISBLANK('RESUMEN VIGILANCIA'!AC59),"",'RESUMEN VIGILANCIA'!AC59)</f>
        <v>3000</v>
      </c>
      <c r="AE16" s="400">
        <f>IF(ISBLANK('RESUMEN VIGILANCIA'!AD59),"",'RESUMEN VIGILANCIA'!AD59)</f>
        <v>3040</v>
      </c>
      <c r="AF16" s="400">
        <f>IF(ISBLANK('RESUMEN VIGILANCIA'!AE59),"",'RESUMEN VIGILANCIA'!AE59)</f>
        <v>3000</v>
      </c>
      <c r="AG16" s="400">
        <f>IF(ISBLANK('RESUMEN VIGILANCIA'!AF59),"",'RESUMEN VIGILANCIA'!AF59)</f>
        <v>5000</v>
      </c>
      <c r="AH16" s="400">
        <f>IF(ISBLANK('RESUMEN VIGILANCIA'!AG59),"",'RESUMEN VIGILANCIA'!AG59)</f>
        <v>8000</v>
      </c>
      <c r="AI16" s="400">
        <f>IF(ISBLANK('RESUMEN VIGILANCIA'!AH59),"",'RESUMEN VIGILANCIA'!AH59)</f>
        <v>8000</v>
      </c>
      <c r="AJ16" s="400">
        <f>IF(ISBLANK('RESUMEN VIGILANCIA'!AI59),"",'RESUMEN VIGILANCIA'!AI59)</f>
        <v>10000</v>
      </c>
      <c r="AK16" s="400">
        <f>IF(ISBLANK('RESUMEN VIGILANCIA'!AJ59),"",'RESUMEN VIGILANCIA'!AJ59)</f>
        <v>15000</v>
      </c>
      <c r="AL16" s="400">
        <f>IF(ISBLANK('RESUMEN VIGILANCIA'!AK59),"",'RESUMEN VIGILANCIA'!AK59)</f>
        <v>23400</v>
      </c>
      <c r="AM16" s="400">
        <f>IF(ISBLANK('RESUMEN VIGILANCIA'!AL59),"",'RESUMEN VIGILANCIA'!AL59)</f>
        <v>47000</v>
      </c>
      <c r="AN16" s="400">
        <f>IF(ISBLANK('RESUMEN VIGILANCIA'!AM59),"",'RESUMEN VIGILANCIA'!AM59)</f>
        <v>56250</v>
      </c>
      <c r="AO16" s="401">
        <f>IF(ISBLANK('RESUMEN VIGILANCIA'!AN59),"",'RESUMEN VIGILANCIA'!AN59)</f>
        <v>81750</v>
      </c>
      <c r="AP16" s="399">
        <f>IF(ISBLANK('RESUMEN VIGILANCIA'!AO59),"",'RESUMEN VIGILANCIA'!AO59)</f>
        <v>136250</v>
      </c>
      <c r="AQ16" s="400">
        <f>IF(ISBLANK('RESUMEN VIGILANCIA'!AP59),"",'RESUMEN VIGILANCIA'!AP59)</f>
        <v>136250</v>
      </c>
      <c r="AR16" s="400">
        <f>IF(ISBLANK('RESUMEN VIGILANCIA'!AQ59),"",'RESUMEN VIGILANCIA'!AQ59)</f>
        <v>2300</v>
      </c>
      <c r="AS16" s="400" t="str">
        <f>IF(ISBLANK('RESUMEN VIGILANCIA'!AR59),"",'RESUMEN VIGILANCIA'!AR59)</f>
        <v/>
      </c>
      <c r="AT16" s="400" t="str">
        <f>IF(ISBLANK('RESUMEN VIGILANCIA'!AS59),"",'RESUMEN VIGILANCIA'!AS59)</f>
        <v/>
      </c>
      <c r="AU16" s="400" t="str">
        <f>IF(ISBLANK('RESUMEN VIGILANCIA'!AT59),"",'RESUMEN VIGILANCIA'!AT59)</f>
        <v/>
      </c>
      <c r="AV16" s="400" t="str">
        <f>IF(ISBLANK('RESUMEN VIGILANCIA'!AU59),"",'RESUMEN VIGILANCIA'!AU59)</f>
        <v/>
      </c>
      <c r="AW16" s="400" t="str">
        <f>IF(ISBLANK('RESUMEN VIGILANCIA'!AV59),"",'RESUMEN VIGILANCIA'!AV59)</f>
        <v/>
      </c>
      <c r="AX16" s="400" t="str">
        <f>IF(ISBLANK('RESUMEN VIGILANCIA'!AW59),"",'RESUMEN VIGILANCIA'!AW59)</f>
        <v/>
      </c>
      <c r="AY16" s="400" t="str">
        <f>IF(ISBLANK('RESUMEN VIGILANCIA'!AX59),"",'RESUMEN VIGILANCIA'!AX59)</f>
        <v/>
      </c>
      <c r="AZ16" s="400" t="str">
        <f>IF(ISBLANK('RESUMEN VIGILANCIA'!AY59),"",'RESUMEN VIGILANCIA'!AY59)</f>
        <v/>
      </c>
      <c r="BA16" s="401" t="str">
        <f>IF(ISBLANK('RESUMEN VIGILANCIA'!AZ59),"",'RESUMEN VIGILANCIA'!AZ59)</f>
        <v/>
      </c>
      <c r="BB16" s="243">
        <f t="shared" si="0"/>
        <v>265240.25</v>
      </c>
      <c r="BC16" s="112"/>
      <c r="BD16" s="112"/>
    </row>
    <row r="17" spans="1:56" s="29" customFormat="1" ht="20.100000000000001" customHeight="1">
      <c r="A17" s="30" t="str">
        <f>'RESUMEN VIGILANCIA'!A60</f>
        <v>Familia González Arévalo</v>
      </c>
      <c r="B17" s="31" t="str">
        <f>'RESUMEN VIGILANCIA'!B60</f>
        <v>Calle Guacara Nro. 89-86</v>
      </c>
      <c r="C17" s="452" t="s">
        <v>1249</v>
      </c>
      <c r="D17" s="460" t="s">
        <v>17</v>
      </c>
      <c r="E17" s="440" t="str">
        <f>IF(ISBLANK('RESUMEN VIGILANCIA'!D60),"",'RESUMEN VIGILANCIA'!D60)</f>
        <v/>
      </c>
      <c r="F17" s="274">
        <f>IF(ISBLANK('RESUMEN VIGILANCIA'!E60),"",'RESUMEN VIGILANCIA'!E60)</f>
        <v>0.105</v>
      </c>
      <c r="G17" s="182">
        <f>IF(ISBLANK('RESUMEN VIGILANCIA'!F60),"",'RESUMEN VIGILANCIA'!F60)</f>
        <v>0.17</v>
      </c>
      <c r="H17" s="182">
        <f>IF(ISBLANK('RESUMEN VIGILANCIA'!G60),"",'RESUMEN VIGILANCIA'!G60)</f>
        <v>0.22</v>
      </c>
      <c r="I17" s="182">
        <f>IF(ISBLANK('RESUMEN VIGILANCIA'!H60),"",'RESUMEN VIGILANCIA'!H60)</f>
        <v>0.22</v>
      </c>
      <c r="J17" s="182">
        <f>IF(ISBLANK('RESUMEN VIGILANCIA'!I60),"",'RESUMEN VIGILANCIA'!I60)</f>
        <v>0.22</v>
      </c>
      <c r="K17" s="182">
        <f>IF(ISBLANK('RESUMEN VIGILANCIA'!J60),"",'RESUMEN VIGILANCIA'!J60)</f>
        <v>0.26</v>
      </c>
      <c r="L17" s="182">
        <f>IF(ISBLANK('RESUMEN VIGILANCIA'!K60),"",'RESUMEN VIGILANCIA'!K60)</f>
        <v>0.35</v>
      </c>
      <c r="M17" s="182">
        <f>IF(ISBLANK('RESUMEN VIGILANCIA'!L60),"",'RESUMEN VIGILANCIA'!L60)</f>
        <v>0.35</v>
      </c>
      <c r="N17" s="182">
        <f>IF(ISBLANK('RESUMEN VIGILANCIA'!M60),"",'RESUMEN VIGILANCIA'!M60)</f>
        <v>0.35</v>
      </c>
      <c r="O17" s="182">
        <f>IF(ISBLANK('RESUMEN VIGILANCIA'!N60),"",'RESUMEN VIGILANCIA'!N60)</f>
        <v>0.35</v>
      </c>
      <c r="P17" s="271">
        <f>IF(ISBLANK('RESUMEN VIGILANCIA'!O60),"",'RESUMEN VIGILANCIA'!O60)</f>
        <v>0.5</v>
      </c>
      <c r="Q17" s="180">
        <f>IF(ISBLANK('RESUMEN VIGILANCIA'!P60),"",'RESUMEN VIGILANCIA'!P60)</f>
        <v>0.5</v>
      </c>
      <c r="R17" s="272">
        <f>IF(ISBLANK('RESUMEN VIGILANCIA'!Q60),"",'RESUMEN VIGILANCIA'!Q60)</f>
        <v>0.8</v>
      </c>
      <c r="S17" s="271">
        <f>IF(ISBLANK('RESUMEN VIGILANCIA'!R60),"",'RESUMEN VIGILANCIA'!R60)</f>
        <v>0.8</v>
      </c>
      <c r="T17" s="271">
        <f>IF(ISBLANK('RESUMEN VIGILANCIA'!S60),"",'RESUMEN VIGILANCIA'!S60)</f>
        <v>1.4</v>
      </c>
      <c r="U17" s="271">
        <f>IF(ISBLANK('RESUMEN VIGILANCIA'!T60),"",'RESUMEN VIGILANCIA'!T60)</f>
        <v>1.4</v>
      </c>
      <c r="V17" s="271">
        <f>IF(ISBLANK('RESUMEN VIGILANCIA'!U60),"",'RESUMEN VIGILANCIA'!U60)</f>
        <v>4</v>
      </c>
      <c r="W17" s="271">
        <f>IF(ISBLANK('RESUMEN VIGILANCIA'!V60),"",'RESUMEN VIGILANCIA'!V60)</f>
        <v>6.25</v>
      </c>
      <c r="X17" s="271">
        <f>IF(ISBLANK('RESUMEN VIGILANCIA'!W60),"",'RESUMEN VIGILANCIA'!W60)</f>
        <v>10</v>
      </c>
      <c r="Y17" s="271">
        <f>IF(ISBLANK('RESUMEN VIGILANCIA'!X60),"",'RESUMEN VIGILANCIA'!X60)</f>
        <v>12</v>
      </c>
      <c r="Z17" s="481">
        <f>IF(ISBLANK('RESUMEN VIGILANCIA'!Y60),"",'RESUMEN VIGILANCIA'!Y60)</f>
        <v>320</v>
      </c>
      <c r="AA17" s="481">
        <f>IF(ISBLANK('RESUMEN VIGILANCIA'!Z60),"",'RESUMEN VIGILANCIA'!Z60)</f>
        <v>320</v>
      </c>
      <c r="AB17" s="481">
        <f>IF(ISBLANK('RESUMEN VIGILANCIA'!AA60),"",'RESUMEN VIGILANCIA'!AA60)</f>
        <v>320</v>
      </c>
      <c r="AC17" s="483">
        <f>IF(ISBLANK('RESUMEN VIGILANCIA'!AB60),"",'RESUMEN VIGILANCIA'!AB60)</f>
        <v>770</v>
      </c>
      <c r="AD17" s="399">
        <f>IF(ISBLANK('RESUMEN VIGILANCIA'!AC60),"",'RESUMEN VIGILANCIA'!AC60)</f>
        <v>3000</v>
      </c>
      <c r="AE17" s="400">
        <f>IF(ISBLANK('RESUMEN VIGILANCIA'!AD60),"",'RESUMEN VIGILANCIA'!AD60)</f>
        <v>3000</v>
      </c>
      <c r="AF17" s="400">
        <f>IF(ISBLANK('RESUMEN VIGILANCIA'!AE60),"",'RESUMEN VIGILANCIA'!AE60)</f>
        <v>3000</v>
      </c>
      <c r="AG17" s="400">
        <f>IF(ISBLANK('RESUMEN VIGILANCIA'!AF60),"",'RESUMEN VIGILANCIA'!AF60)</f>
        <v>5000</v>
      </c>
      <c r="AH17" s="400">
        <f>IF(ISBLANK('RESUMEN VIGILANCIA'!AG60),"",'RESUMEN VIGILANCIA'!AG60)</f>
        <v>8000</v>
      </c>
      <c r="AI17" s="400">
        <f>IF(ISBLANK('RESUMEN VIGILANCIA'!AH60),"",'RESUMEN VIGILANCIA'!AH60)</f>
        <v>8000</v>
      </c>
      <c r="AJ17" s="400">
        <f>IF(ISBLANK('RESUMEN VIGILANCIA'!AI60),"",'RESUMEN VIGILANCIA'!AI60)</f>
        <v>10000</v>
      </c>
      <c r="AK17" s="400">
        <f>IF(ISBLANK('RESUMEN VIGILANCIA'!AJ60),"",'RESUMEN VIGILANCIA'!AJ60)</f>
        <v>10000</v>
      </c>
      <c r="AL17" s="400">
        <f>IF(ISBLANK('RESUMEN VIGILANCIA'!AK60),"",'RESUMEN VIGILANCIA'!AK60)</f>
        <v>23400</v>
      </c>
      <c r="AM17" s="400">
        <f>IF(ISBLANK('RESUMEN VIGILANCIA'!AL60),"",'RESUMEN VIGILANCIA'!AL60)</f>
        <v>47000</v>
      </c>
      <c r="AN17" s="400">
        <f>IF(ISBLANK('RESUMEN VIGILANCIA'!AM60),"",'RESUMEN VIGILANCIA'!AM60)</f>
        <v>56250</v>
      </c>
      <c r="AO17" s="401">
        <f>IF(ISBLANK('RESUMEN VIGILANCIA'!AN60),"",'RESUMEN VIGILANCIA'!AN60)</f>
        <v>200000</v>
      </c>
      <c r="AP17" s="662">
        <f>IF(ISBLANK('RESUMEN VIGILANCIA'!AO60),"",'RESUMEN VIGILANCIA'!AO60)</f>
        <v>136250</v>
      </c>
      <c r="AQ17" s="400">
        <f>IF(ISBLANK('RESUMEN VIGILANCIA'!AP60),"",'RESUMEN VIGILANCIA'!AP60)</f>
        <v>150000</v>
      </c>
      <c r="AR17" s="400">
        <f>IF(ISBLANK('RESUMEN VIGILANCIA'!AQ60),"",'RESUMEN VIGILANCIA'!AQ60)</f>
        <v>150000</v>
      </c>
      <c r="AS17" s="400" t="str">
        <f>IF(ISBLANK('RESUMEN VIGILANCIA'!AR60),"",'RESUMEN VIGILANCIA'!AR60)</f>
        <v/>
      </c>
      <c r="AT17" s="400" t="str">
        <f>IF(ISBLANK('RESUMEN VIGILANCIA'!AS60),"",'RESUMEN VIGILANCIA'!AS60)</f>
        <v/>
      </c>
      <c r="AU17" s="400" t="str">
        <f>IF(ISBLANK('RESUMEN VIGILANCIA'!AT60),"",'RESUMEN VIGILANCIA'!AT60)</f>
        <v/>
      </c>
      <c r="AV17" s="400" t="str">
        <f>IF(ISBLANK('RESUMEN VIGILANCIA'!AU60),"",'RESUMEN VIGILANCIA'!AU60)</f>
        <v/>
      </c>
      <c r="AW17" s="400" t="str">
        <f>IF(ISBLANK('RESUMEN VIGILANCIA'!AV60),"",'RESUMEN VIGILANCIA'!AV60)</f>
        <v/>
      </c>
      <c r="AX17" s="400" t="str">
        <f>IF(ISBLANK('RESUMEN VIGILANCIA'!AW60),"",'RESUMEN VIGILANCIA'!AW60)</f>
        <v/>
      </c>
      <c r="AY17" s="400" t="str">
        <f>IF(ISBLANK('RESUMEN VIGILANCIA'!AX60),"",'RESUMEN VIGILANCIA'!AX60)</f>
        <v/>
      </c>
      <c r="AZ17" s="400" t="str">
        <f>IF(ISBLANK('RESUMEN VIGILANCIA'!AY60),"",'RESUMEN VIGILANCIA'!AY60)</f>
        <v/>
      </c>
      <c r="BA17" s="401" t="str">
        <f>IF(ISBLANK('RESUMEN VIGILANCIA'!AZ60),"",'RESUMEN VIGILANCIA'!AZ60)</f>
        <v/>
      </c>
      <c r="BB17" s="243">
        <f t="shared" si="0"/>
        <v>378420.245</v>
      </c>
      <c r="BC17" s="112"/>
      <c r="BD17" s="112"/>
    </row>
    <row r="18" spans="1:56" s="29" customFormat="1" ht="20.100000000000001" customHeight="1">
      <c r="A18" s="380" t="str">
        <f>'RESUMEN VIGILANCIA'!A61</f>
        <v>Héctor Hernández</v>
      </c>
      <c r="B18" s="381" t="str">
        <f>'RESUMEN VIGILANCIA'!B61</f>
        <v>Calle Guacara Nro. 89-94</v>
      </c>
      <c r="C18" s="453" t="s">
        <v>1249</v>
      </c>
      <c r="D18" s="459" t="s">
        <v>1248</v>
      </c>
      <c r="E18" s="439" t="str">
        <f>IF(ISBLANK('RESUMEN VIGILANCIA'!D61),"",'RESUMEN VIGILANCIA'!D61)</f>
        <v/>
      </c>
      <c r="F18" s="267">
        <f>IF(ISBLANK('RESUMEN VIGILANCIA'!E61),"",'RESUMEN VIGILANCIA'!E61)</f>
        <v>0.1</v>
      </c>
      <c r="G18" s="189">
        <f>IF(ISBLANK('RESUMEN VIGILANCIA'!F61),"",'RESUMEN VIGILANCIA'!F61)</f>
        <v>0.1</v>
      </c>
      <c r="H18" s="189">
        <f>IF(ISBLANK('RESUMEN VIGILANCIA'!G61),"",'RESUMEN VIGILANCIA'!G61)</f>
        <v>0.1</v>
      </c>
      <c r="I18" s="189">
        <f>IF(ISBLANK('RESUMEN VIGILANCIA'!H61),"",'RESUMEN VIGILANCIA'!H61)</f>
        <v>0.1</v>
      </c>
      <c r="J18" s="189" t="str">
        <f>IF(ISBLANK('RESUMEN VIGILANCIA'!I61),"",'RESUMEN VIGILANCIA'!I61)</f>
        <v/>
      </c>
      <c r="K18" s="189" t="str">
        <f>IF(ISBLANK('RESUMEN VIGILANCIA'!J61),"",'RESUMEN VIGILANCIA'!J61)</f>
        <v/>
      </c>
      <c r="L18" s="189">
        <f>IF(ISBLANK('RESUMEN VIGILANCIA'!K61),"",'RESUMEN VIGILANCIA'!K61)</f>
        <v>0.15</v>
      </c>
      <c r="M18" s="189">
        <f>IF(ISBLANK('RESUMEN VIGILANCIA'!L61),"",'RESUMEN VIGILANCIA'!L61)</f>
        <v>0.15</v>
      </c>
      <c r="N18" s="189">
        <f>IF(ISBLANK('RESUMEN VIGILANCIA'!M61),"",'RESUMEN VIGILANCIA'!M61)</f>
        <v>0.2</v>
      </c>
      <c r="O18" s="189">
        <f>IF(ISBLANK('RESUMEN VIGILANCIA'!N61),"",'RESUMEN VIGILANCIA'!N61)</f>
        <v>0.25</v>
      </c>
      <c r="P18" s="268">
        <f>IF(ISBLANK('RESUMEN VIGILANCIA'!O61),"",'RESUMEN VIGILANCIA'!O61)</f>
        <v>0.3</v>
      </c>
      <c r="Q18" s="187">
        <f>IF(ISBLANK('RESUMEN VIGILANCIA'!P61),"",'RESUMEN VIGILANCIA'!P61)</f>
        <v>0.3</v>
      </c>
      <c r="R18" s="269">
        <f>IF(ISBLANK('RESUMEN VIGILANCIA'!Q61),"",'RESUMEN VIGILANCIA'!Q61)</f>
        <v>0.3</v>
      </c>
      <c r="S18" s="268">
        <f>IF(ISBLANK('RESUMEN VIGILANCIA'!R61),"",'RESUMEN VIGILANCIA'!R61)</f>
        <v>0.3</v>
      </c>
      <c r="T18" s="268">
        <f>IF(ISBLANK('RESUMEN VIGILANCIA'!S61),"",'RESUMEN VIGILANCIA'!S61)</f>
        <v>0.7</v>
      </c>
      <c r="U18" s="268">
        <f>IF(ISBLANK('RESUMEN VIGILANCIA'!T61),"",'RESUMEN VIGILANCIA'!T61)</f>
        <v>0.8</v>
      </c>
      <c r="V18" s="268">
        <f>IF(ISBLANK('RESUMEN VIGILANCIA'!U61),"",'RESUMEN VIGILANCIA'!U61)</f>
        <v>2</v>
      </c>
      <c r="W18" s="271">
        <f>IF(ISBLANK('RESUMEN VIGILANCIA'!V61),"",'RESUMEN VIGILANCIA'!V61)</f>
        <v>6.25</v>
      </c>
      <c r="X18" s="271">
        <f>IF(ISBLANK('RESUMEN VIGILANCIA'!W61),"",'RESUMEN VIGILANCIA'!W61)</f>
        <v>10</v>
      </c>
      <c r="Y18" s="271">
        <f>IF(ISBLANK('RESUMEN VIGILANCIA'!X61),"",'RESUMEN VIGILANCIA'!X61)</f>
        <v>12</v>
      </c>
      <c r="Z18" s="481">
        <f>IF(ISBLANK('RESUMEN VIGILANCIA'!Y61),"",'RESUMEN VIGILANCIA'!Y61)</f>
        <v>320</v>
      </c>
      <c r="AA18" s="481">
        <f>IF(ISBLANK('RESUMEN VIGILANCIA'!Z61),"",'RESUMEN VIGILANCIA'!Z61)</f>
        <v>320</v>
      </c>
      <c r="AB18" s="481">
        <f>IF(ISBLANK('RESUMEN VIGILANCIA'!AA61),"",'RESUMEN VIGILANCIA'!AA61)</f>
        <v>320</v>
      </c>
      <c r="AC18" s="482">
        <f>IF(ISBLANK('RESUMEN VIGILANCIA'!AB61),"",'RESUMEN VIGILANCIA'!AB61)</f>
        <v>800</v>
      </c>
      <c r="AD18" s="399">
        <f>IF(ISBLANK('RESUMEN VIGILANCIA'!AC61),"",'RESUMEN VIGILANCIA'!AC61)</f>
        <v>3000</v>
      </c>
      <c r="AE18" s="400">
        <f>IF(ISBLANK('RESUMEN VIGILANCIA'!AD61),"",'RESUMEN VIGILANCIA'!AD61)</f>
        <v>3000</v>
      </c>
      <c r="AF18" s="400">
        <f>IF(ISBLANK('RESUMEN VIGILANCIA'!AE61),"",'RESUMEN VIGILANCIA'!AE61)</f>
        <v>3000</v>
      </c>
      <c r="AG18" s="400">
        <f>IF(ISBLANK('RESUMEN VIGILANCIA'!AF61),"",'RESUMEN VIGILANCIA'!AF61)</f>
        <v>5000</v>
      </c>
      <c r="AH18" s="400">
        <f>IF(ISBLANK('RESUMEN VIGILANCIA'!AG61),"",'RESUMEN VIGILANCIA'!AG61)</f>
        <v>8000</v>
      </c>
      <c r="AI18" s="400">
        <f>IF(ISBLANK('RESUMEN VIGILANCIA'!AH61),"",'RESUMEN VIGILANCIA'!AH61)</f>
        <v>8000</v>
      </c>
      <c r="AJ18" s="400">
        <f>IF(ISBLANK('RESUMEN VIGILANCIA'!AI61),"",'RESUMEN VIGILANCIA'!AI61)</f>
        <v>10000</v>
      </c>
      <c r="AK18" s="400">
        <f>IF(ISBLANK('RESUMEN VIGILANCIA'!AJ61),"",'RESUMEN VIGILANCIA'!AJ61)</f>
        <v>10000</v>
      </c>
      <c r="AL18" s="400">
        <f>IF(ISBLANK('RESUMEN VIGILANCIA'!AK61),"",'RESUMEN VIGILANCIA'!AK61)</f>
        <v>20500</v>
      </c>
      <c r="AM18" s="400">
        <f>IF(ISBLANK('RESUMEN VIGILANCIA'!AL61),"",'RESUMEN VIGILANCIA'!AL61)</f>
        <v>51250</v>
      </c>
      <c r="AN18" s="400">
        <f>IF(ISBLANK('RESUMEN VIGILANCIA'!AM61),"",'RESUMEN VIGILANCIA'!AM61)</f>
        <v>51250</v>
      </c>
      <c r="AO18" s="401">
        <f>IF(ISBLANK('RESUMEN VIGILANCIA'!AN61),"",'RESUMEN VIGILANCIA'!AN61)</f>
        <v>81750</v>
      </c>
      <c r="AP18" s="399">
        <f>IF(ISBLANK('RESUMEN VIGILANCIA'!AO61),"",'RESUMEN VIGILANCIA'!AO61)</f>
        <v>136250</v>
      </c>
      <c r="AQ18" s="400">
        <f>IF(ISBLANK('RESUMEN VIGILANCIA'!AP61),"",'RESUMEN VIGILANCIA'!AP61)</f>
        <v>136250</v>
      </c>
      <c r="AR18" s="400" t="str">
        <f>IF(ISBLANK('RESUMEN VIGILANCIA'!AQ61),"",'RESUMEN VIGILANCIA'!AQ61)</f>
        <v/>
      </c>
      <c r="AS18" s="400" t="str">
        <f>IF(ISBLANK('RESUMEN VIGILANCIA'!AR61),"",'RESUMEN VIGILANCIA'!AR61)</f>
        <v/>
      </c>
      <c r="AT18" s="400" t="str">
        <f>IF(ISBLANK('RESUMEN VIGILANCIA'!AS61),"",'RESUMEN VIGILANCIA'!AS61)</f>
        <v/>
      </c>
      <c r="AU18" s="400" t="str">
        <f>IF(ISBLANK('RESUMEN VIGILANCIA'!AT61),"",'RESUMEN VIGILANCIA'!AT61)</f>
        <v/>
      </c>
      <c r="AV18" s="400" t="str">
        <f>IF(ISBLANK('RESUMEN VIGILANCIA'!AU61),"",'RESUMEN VIGILANCIA'!AU61)</f>
        <v/>
      </c>
      <c r="AW18" s="400" t="str">
        <f>IF(ISBLANK('RESUMEN VIGILANCIA'!AV61),"",'RESUMEN VIGILANCIA'!AV61)</f>
        <v/>
      </c>
      <c r="AX18" s="400" t="str">
        <f>IF(ISBLANK('RESUMEN VIGILANCIA'!AW61),"",'RESUMEN VIGILANCIA'!AW61)</f>
        <v/>
      </c>
      <c r="AY18" s="400" t="str">
        <f>IF(ISBLANK('RESUMEN VIGILANCIA'!AX61),"",'RESUMEN VIGILANCIA'!AX61)</f>
        <v/>
      </c>
      <c r="AZ18" s="400" t="str">
        <f>IF(ISBLANK('RESUMEN VIGILANCIA'!AY61),"",'RESUMEN VIGILANCIA'!AY61)</f>
        <v/>
      </c>
      <c r="BA18" s="401" t="str">
        <f>IF(ISBLANK('RESUMEN VIGILANCIA'!AZ61),"",'RESUMEN VIGILANCIA'!AZ61)</f>
        <v/>
      </c>
      <c r="BB18" s="243">
        <f t="shared" si="0"/>
        <v>256544.1</v>
      </c>
      <c r="BC18" s="112"/>
      <c r="BD18" s="112"/>
    </row>
    <row r="19" spans="1:56" s="29" customFormat="1" ht="20.100000000000001" customHeight="1">
      <c r="A19" s="30" t="str">
        <f>'RESUMEN VIGILANCIA'!A62</f>
        <v>Familia Soto Urdaneta</v>
      </c>
      <c r="B19" s="31" t="str">
        <f>'RESUMEN VIGILANCIA'!B62</f>
        <v>Calle Guacara Nro. 89-102</v>
      </c>
      <c r="C19" s="452" t="s">
        <v>1249</v>
      </c>
      <c r="D19" s="460"/>
      <c r="E19" s="440" t="str">
        <f>IF(ISBLANK('RESUMEN VIGILANCIA'!D62),"",'RESUMEN VIGILANCIA'!D62)</f>
        <v/>
      </c>
      <c r="F19" s="270" t="str">
        <f>IF(ISBLANK('RESUMEN VIGILANCIA'!E62),"",'RESUMEN VIGILANCIA'!E62)</f>
        <v/>
      </c>
      <c r="G19" s="182" t="str">
        <f>IF(ISBLANK('RESUMEN VIGILANCIA'!F62),"",'RESUMEN VIGILANCIA'!F62)</f>
        <v/>
      </c>
      <c r="H19" s="182" t="str">
        <f>IF(ISBLANK('RESUMEN VIGILANCIA'!G62),"",'RESUMEN VIGILANCIA'!G62)</f>
        <v/>
      </c>
      <c r="I19" s="182" t="str">
        <f>IF(ISBLANK('RESUMEN VIGILANCIA'!H62),"",'RESUMEN VIGILANCIA'!H62)</f>
        <v/>
      </c>
      <c r="J19" s="182" t="str">
        <f>IF(ISBLANK('RESUMEN VIGILANCIA'!I62),"",'RESUMEN VIGILANCIA'!I62)</f>
        <v/>
      </c>
      <c r="K19" s="182" t="str">
        <f>IF(ISBLANK('RESUMEN VIGILANCIA'!J62),"",'RESUMEN VIGILANCIA'!J62)</f>
        <v/>
      </c>
      <c r="L19" s="182" t="str">
        <f>IF(ISBLANK('RESUMEN VIGILANCIA'!K62),"",'RESUMEN VIGILANCIA'!K62)</f>
        <v/>
      </c>
      <c r="M19" s="182" t="str">
        <f>IF(ISBLANK('RESUMEN VIGILANCIA'!L62),"",'RESUMEN VIGILANCIA'!L62)</f>
        <v/>
      </c>
      <c r="N19" s="182" t="str">
        <f>IF(ISBLANK('RESUMEN VIGILANCIA'!M62),"",'RESUMEN VIGILANCIA'!M62)</f>
        <v/>
      </c>
      <c r="O19" s="182" t="str">
        <f>IF(ISBLANK('RESUMEN VIGILANCIA'!N62),"",'RESUMEN VIGILANCIA'!N62)</f>
        <v/>
      </c>
      <c r="P19" s="271" t="str">
        <f>IF(ISBLANK('RESUMEN VIGILANCIA'!O62),"",'RESUMEN VIGILANCIA'!O62)</f>
        <v/>
      </c>
      <c r="Q19" s="180" t="str">
        <f>IF(ISBLANK('RESUMEN VIGILANCIA'!P62),"",'RESUMEN VIGILANCIA'!P62)</f>
        <v/>
      </c>
      <c r="R19" s="272" t="str">
        <f>IF(ISBLANK('RESUMEN VIGILANCIA'!Q62),"",'RESUMEN VIGILANCIA'!Q62)</f>
        <v/>
      </c>
      <c r="S19" s="271" t="str">
        <f>IF(ISBLANK('RESUMEN VIGILANCIA'!R62),"",'RESUMEN VIGILANCIA'!R62)</f>
        <v/>
      </c>
      <c r="T19" s="271" t="str">
        <f>IF(ISBLANK('RESUMEN VIGILANCIA'!S62),"",'RESUMEN VIGILANCIA'!S62)</f>
        <v/>
      </c>
      <c r="U19" s="271" t="str">
        <f>IF(ISBLANK('RESUMEN VIGILANCIA'!T62),"",'RESUMEN VIGILANCIA'!T62)</f>
        <v/>
      </c>
      <c r="V19" s="271" t="str">
        <f>IF(ISBLANK('RESUMEN VIGILANCIA'!U62),"",'RESUMEN VIGILANCIA'!U62)</f>
        <v/>
      </c>
      <c r="W19" s="271" t="str">
        <f>IF(ISBLANK('RESUMEN VIGILANCIA'!V62),"",'RESUMEN VIGILANCIA'!V62)</f>
        <v/>
      </c>
      <c r="X19" s="271" t="str">
        <f>IF(ISBLANK('RESUMEN VIGILANCIA'!W62),"",'RESUMEN VIGILANCIA'!W62)</f>
        <v/>
      </c>
      <c r="Y19" s="271" t="str">
        <f>IF(ISBLANK('RESUMEN VIGILANCIA'!X62),"",'RESUMEN VIGILANCIA'!X62)</f>
        <v/>
      </c>
      <c r="Z19" s="481" t="str">
        <f>IF(ISBLANK('RESUMEN VIGILANCIA'!Y62),"",'RESUMEN VIGILANCIA'!Y62)</f>
        <v/>
      </c>
      <c r="AA19" s="481" t="str">
        <f>IF(ISBLANK('RESUMEN VIGILANCIA'!Z62),"",'RESUMEN VIGILANCIA'!Z62)</f>
        <v/>
      </c>
      <c r="AB19" s="481" t="str">
        <f>IF(ISBLANK('RESUMEN VIGILANCIA'!AA62),"",'RESUMEN VIGILANCIA'!AA62)</f>
        <v/>
      </c>
      <c r="AC19" s="482" t="str">
        <f>IF(ISBLANK('RESUMEN VIGILANCIA'!AB62),"",'RESUMEN VIGILANCIA'!AB62)</f>
        <v/>
      </c>
      <c r="AD19" s="399">
        <f>IF(ISBLANK('RESUMEN VIGILANCIA'!AC62),"",'RESUMEN VIGILANCIA'!AC62)</f>
        <v>3000</v>
      </c>
      <c r="AE19" s="400">
        <f>IF(ISBLANK('RESUMEN VIGILANCIA'!AD62),"",'RESUMEN VIGILANCIA'!AD62)</f>
        <v>3000</v>
      </c>
      <c r="AF19" s="400">
        <f>IF(ISBLANK('RESUMEN VIGILANCIA'!AE62),"",'RESUMEN VIGILANCIA'!AE62)</f>
        <v>4000</v>
      </c>
      <c r="AG19" s="400">
        <f>IF(ISBLANK('RESUMEN VIGILANCIA'!AF62),"",'RESUMEN VIGILANCIA'!AF62)</f>
        <v>5000</v>
      </c>
      <c r="AH19" s="400">
        <f>IF(ISBLANK('RESUMEN VIGILANCIA'!AG62),"",'RESUMEN VIGILANCIA'!AG62)</f>
        <v>8000</v>
      </c>
      <c r="AI19" s="400">
        <f>IF(ISBLANK('RESUMEN VIGILANCIA'!AH62),"",'RESUMEN VIGILANCIA'!AH62)</f>
        <v>8000</v>
      </c>
      <c r="AJ19" s="400">
        <f>IF(ISBLANK('RESUMEN VIGILANCIA'!AI62),"",'RESUMEN VIGILANCIA'!AI62)</f>
        <v>10000</v>
      </c>
      <c r="AK19" s="400">
        <f>IF(ISBLANK('RESUMEN VIGILANCIA'!AJ62),"",'RESUMEN VIGILANCIA'!AJ62)</f>
        <v>10000</v>
      </c>
      <c r="AL19" s="400">
        <f>IF(ISBLANK('RESUMEN VIGILANCIA'!AK62),"",'RESUMEN VIGILANCIA'!AK62)</f>
        <v>23400</v>
      </c>
      <c r="AM19" s="400">
        <f>IF(ISBLANK('RESUMEN VIGILANCIA'!AL62),"",'RESUMEN VIGILANCIA'!AL62)</f>
        <v>47000</v>
      </c>
      <c r="AN19" s="400">
        <f>IF(ISBLANK('RESUMEN VIGILANCIA'!AM62),"",'RESUMEN VIGILANCIA'!AM62)</f>
        <v>56250</v>
      </c>
      <c r="AO19" s="401">
        <f>IF(ISBLANK('RESUMEN VIGILANCIA'!AN62),"",'RESUMEN VIGILANCIA'!AN62)</f>
        <v>81750</v>
      </c>
      <c r="AP19" s="399">
        <f>IF(ISBLANK('RESUMEN VIGILANCIA'!AO62),"",'RESUMEN VIGILANCIA'!AO62)</f>
        <v>136250</v>
      </c>
      <c r="AQ19" s="400">
        <f>IF(ISBLANK('RESUMEN VIGILANCIA'!AP62),"",'RESUMEN VIGILANCIA'!AP62)</f>
        <v>136250</v>
      </c>
      <c r="AR19" s="400" t="str">
        <f>IF(ISBLANK('RESUMEN VIGILANCIA'!AQ62),"",'RESUMEN VIGILANCIA'!AQ62)</f>
        <v/>
      </c>
      <c r="AS19" s="400" t="str">
        <f>IF(ISBLANK('RESUMEN VIGILANCIA'!AR62),"",'RESUMEN VIGILANCIA'!AR62)</f>
        <v/>
      </c>
      <c r="AT19" s="400" t="str">
        <f>IF(ISBLANK('RESUMEN VIGILANCIA'!AS62),"",'RESUMEN VIGILANCIA'!AS62)</f>
        <v/>
      </c>
      <c r="AU19" s="400" t="str">
        <f>IF(ISBLANK('RESUMEN VIGILANCIA'!AT62),"",'RESUMEN VIGILANCIA'!AT62)</f>
        <v/>
      </c>
      <c r="AV19" s="400" t="str">
        <f>IF(ISBLANK('RESUMEN VIGILANCIA'!AU62),"",'RESUMEN VIGILANCIA'!AU62)</f>
        <v/>
      </c>
      <c r="AW19" s="400" t="str">
        <f>IF(ISBLANK('RESUMEN VIGILANCIA'!AV62),"",'RESUMEN VIGILANCIA'!AV62)</f>
        <v/>
      </c>
      <c r="AX19" s="400" t="str">
        <f>IF(ISBLANK('RESUMEN VIGILANCIA'!AW62),"",'RESUMEN VIGILANCIA'!AW62)</f>
        <v/>
      </c>
      <c r="AY19" s="400" t="str">
        <f>IF(ISBLANK('RESUMEN VIGILANCIA'!AX62),"",'RESUMEN VIGILANCIA'!AX62)</f>
        <v/>
      </c>
      <c r="AZ19" s="400" t="str">
        <f>IF(ISBLANK('RESUMEN VIGILANCIA'!AY62),"",'RESUMEN VIGILANCIA'!AY62)</f>
        <v/>
      </c>
      <c r="BA19" s="401" t="str">
        <f>IF(ISBLANK('RESUMEN VIGILANCIA'!AZ62),"",'RESUMEN VIGILANCIA'!AZ62)</f>
        <v/>
      </c>
      <c r="BB19" s="243">
        <f t="shared" si="0"/>
        <v>259400</v>
      </c>
      <c r="BC19" s="112"/>
      <c r="BD19" s="112"/>
    </row>
    <row r="20" spans="1:56" s="29" customFormat="1" ht="20.100000000000001" customHeight="1">
      <c r="A20" s="33" t="str">
        <f>'RESUMEN VIGILANCIA'!A71</f>
        <v>Familia García Hurtado</v>
      </c>
      <c r="B20" s="34" t="str">
        <f>'RESUMEN VIGILANCIA'!B71</f>
        <v>Calle Guacara Nro. 90-110</v>
      </c>
      <c r="C20" s="451" t="s">
        <v>1250</v>
      </c>
      <c r="D20" s="461"/>
      <c r="E20" s="439" t="str">
        <f>IF(ISBLANK('RESUMEN VIGILANCIA'!D71),"",'RESUMEN VIGILANCIA'!D71)</f>
        <v/>
      </c>
      <c r="F20" s="267">
        <f>IF(ISBLANK('RESUMEN VIGILANCIA'!E71),"",'RESUMEN VIGILANCIA'!E71)</f>
        <v>0.1</v>
      </c>
      <c r="G20" s="189">
        <f>IF(ISBLANK('RESUMEN VIGILANCIA'!F71),"",'RESUMEN VIGILANCIA'!F71)</f>
        <v>0.1</v>
      </c>
      <c r="H20" s="189" t="str">
        <f>IF(ISBLANK('RESUMEN VIGILANCIA'!G71),"",'RESUMEN VIGILANCIA'!G71)</f>
        <v/>
      </c>
      <c r="I20" s="189" t="str">
        <f>IF(ISBLANK('RESUMEN VIGILANCIA'!H71),"",'RESUMEN VIGILANCIA'!H71)</f>
        <v/>
      </c>
      <c r="J20" s="189" t="str">
        <f>IF(ISBLANK('RESUMEN VIGILANCIA'!I71),"",'RESUMEN VIGILANCIA'!I71)</f>
        <v/>
      </c>
      <c r="K20" s="189" t="str">
        <f>IF(ISBLANK('RESUMEN VIGILANCIA'!J71),"",'RESUMEN VIGILANCIA'!J71)</f>
        <v/>
      </c>
      <c r="L20" s="189" t="str">
        <f>IF(ISBLANK('RESUMEN VIGILANCIA'!K71),"",'RESUMEN VIGILANCIA'!K71)</f>
        <v/>
      </c>
      <c r="M20" s="189" t="str">
        <f>IF(ISBLANK('RESUMEN VIGILANCIA'!L71),"",'RESUMEN VIGILANCIA'!L71)</f>
        <v/>
      </c>
      <c r="N20" s="189" t="str">
        <f>IF(ISBLANK('RESUMEN VIGILANCIA'!M71),"",'RESUMEN VIGILANCIA'!M71)</f>
        <v/>
      </c>
      <c r="O20" s="189" t="str">
        <f>IF(ISBLANK('RESUMEN VIGILANCIA'!N71),"",'RESUMEN VIGILANCIA'!N71)</f>
        <v/>
      </c>
      <c r="P20" s="268" t="str">
        <f>IF(ISBLANK('RESUMEN VIGILANCIA'!O71),"",'RESUMEN VIGILANCIA'!O71)</f>
        <v/>
      </c>
      <c r="Q20" s="187" t="str">
        <f>IF(ISBLANK('RESUMEN VIGILANCIA'!P71),"",'RESUMEN VIGILANCIA'!P71)</f>
        <v/>
      </c>
      <c r="R20" s="269" t="str">
        <f>IF(ISBLANK('RESUMEN VIGILANCIA'!Q71),"",'RESUMEN VIGILANCIA'!Q71)</f>
        <v/>
      </c>
      <c r="S20" s="268" t="str">
        <f>IF(ISBLANK('RESUMEN VIGILANCIA'!R71),"",'RESUMEN VIGILANCIA'!R71)</f>
        <v/>
      </c>
      <c r="T20" s="268" t="str">
        <f>IF(ISBLANK('RESUMEN VIGILANCIA'!S71),"",'RESUMEN VIGILANCIA'!S71)</f>
        <v/>
      </c>
      <c r="U20" s="268" t="str">
        <f>IF(ISBLANK('RESUMEN VIGILANCIA'!T71),"",'RESUMEN VIGILANCIA'!T71)</f>
        <v/>
      </c>
      <c r="V20" s="268" t="str">
        <f>IF(ISBLANK('RESUMEN VIGILANCIA'!U71),"",'RESUMEN VIGILANCIA'!U71)</f>
        <v/>
      </c>
      <c r="W20" s="268" t="str">
        <f>IF(ISBLANK('RESUMEN VIGILANCIA'!V71),"",'RESUMEN VIGILANCIA'!V71)</f>
        <v/>
      </c>
      <c r="X20" s="268" t="str">
        <f>IF(ISBLANK('RESUMEN VIGILANCIA'!W71),"",'RESUMEN VIGILANCIA'!W71)</f>
        <v/>
      </c>
      <c r="Y20" s="268" t="str">
        <f>IF(ISBLANK('RESUMEN VIGILANCIA'!X71),"",'RESUMEN VIGILANCIA'!X71)</f>
        <v/>
      </c>
      <c r="Z20" s="485" t="str">
        <f>IF(ISBLANK('RESUMEN VIGILANCIA'!Y71),"",'RESUMEN VIGILANCIA'!Y71)</f>
        <v/>
      </c>
      <c r="AA20" s="485" t="str">
        <f>IF(ISBLANK('RESUMEN VIGILANCIA'!Z71),"",'RESUMEN VIGILANCIA'!Z71)</f>
        <v/>
      </c>
      <c r="AB20" s="485" t="str">
        <f>IF(ISBLANK('RESUMEN VIGILANCIA'!AA71),"",'RESUMEN VIGILANCIA'!AA71)</f>
        <v/>
      </c>
      <c r="AC20" s="486" t="str">
        <f>IF(ISBLANK('RESUMEN VIGILANCIA'!AB71),"",'RESUMEN VIGILANCIA'!AB71)</f>
        <v/>
      </c>
      <c r="AD20" s="396" t="str">
        <f>IF(ISBLANK('RESUMEN VIGILANCIA'!AC71),"",'RESUMEN VIGILANCIA'!AC71)</f>
        <v/>
      </c>
      <c r="AE20" s="397" t="str">
        <f>IF(ISBLANK('RESUMEN VIGILANCIA'!AD71),"",'RESUMEN VIGILANCIA'!AD71)</f>
        <v/>
      </c>
      <c r="AF20" s="397" t="str">
        <f>IF(ISBLANK('RESUMEN VIGILANCIA'!AE71),"",'RESUMEN VIGILANCIA'!AE71)</f>
        <v/>
      </c>
      <c r="AG20" s="397" t="str">
        <f>IF(ISBLANK('RESUMEN VIGILANCIA'!AF71),"",'RESUMEN VIGILANCIA'!AF71)</f>
        <v/>
      </c>
      <c r="AH20" s="397" t="str">
        <f>IF(ISBLANK('RESUMEN VIGILANCIA'!AG71),"",'RESUMEN VIGILANCIA'!AG71)</f>
        <v/>
      </c>
      <c r="AI20" s="397" t="str">
        <f>IF(ISBLANK('RESUMEN VIGILANCIA'!AH71),"",'RESUMEN VIGILANCIA'!AH71)</f>
        <v/>
      </c>
      <c r="AJ20" s="397" t="str">
        <f>IF(ISBLANK('RESUMEN VIGILANCIA'!AI71),"",'RESUMEN VIGILANCIA'!AI71)</f>
        <v/>
      </c>
      <c r="AK20" s="397" t="str">
        <f>IF(ISBLANK('RESUMEN VIGILANCIA'!AJ71),"",'RESUMEN VIGILANCIA'!AJ71)</f>
        <v/>
      </c>
      <c r="AL20" s="397" t="str">
        <f>IF(ISBLANK('RESUMEN VIGILANCIA'!AK71),"",'RESUMEN VIGILANCIA'!AK71)</f>
        <v/>
      </c>
      <c r="AM20" s="397" t="str">
        <f>IF(ISBLANK('RESUMEN VIGILANCIA'!AL71),"",'RESUMEN VIGILANCIA'!AL71)</f>
        <v/>
      </c>
      <c r="AN20" s="397" t="str">
        <f>IF(ISBLANK('RESUMEN VIGILANCIA'!AM71),"",'RESUMEN VIGILANCIA'!AM71)</f>
        <v/>
      </c>
      <c r="AO20" s="398" t="str">
        <f>IF(ISBLANK('RESUMEN VIGILANCIA'!AN71),"",'RESUMEN VIGILANCIA'!AN71)</f>
        <v/>
      </c>
      <c r="AP20" s="396" t="str">
        <f>IF(ISBLANK('RESUMEN VIGILANCIA'!AO71),"",'RESUMEN VIGILANCIA'!AO71)</f>
        <v/>
      </c>
      <c r="AQ20" s="397" t="str">
        <f>IF(ISBLANK('RESUMEN VIGILANCIA'!AP71),"",'RESUMEN VIGILANCIA'!AP71)</f>
        <v/>
      </c>
      <c r="AR20" s="397" t="str">
        <f>IF(ISBLANK('RESUMEN VIGILANCIA'!AQ71),"",'RESUMEN VIGILANCIA'!AQ71)</f>
        <v/>
      </c>
      <c r="AS20" s="397" t="str">
        <f>IF(ISBLANK('RESUMEN VIGILANCIA'!AR71),"",'RESUMEN VIGILANCIA'!AR71)</f>
        <v/>
      </c>
      <c r="AT20" s="397" t="str">
        <f>IF(ISBLANK('RESUMEN VIGILANCIA'!AS71),"",'RESUMEN VIGILANCIA'!AS71)</f>
        <v/>
      </c>
      <c r="AU20" s="397" t="str">
        <f>IF(ISBLANK('RESUMEN VIGILANCIA'!AT71),"",'RESUMEN VIGILANCIA'!AT71)</f>
        <v/>
      </c>
      <c r="AV20" s="397" t="str">
        <f>IF(ISBLANK('RESUMEN VIGILANCIA'!AU71),"",'RESUMEN VIGILANCIA'!AU71)</f>
        <v/>
      </c>
      <c r="AW20" s="397" t="str">
        <f>IF(ISBLANK('RESUMEN VIGILANCIA'!AV71),"",'RESUMEN VIGILANCIA'!AV71)</f>
        <v/>
      </c>
      <c r="AX20" s="397" t="str">
        <f>IF(ISBLANK('RESUMEN VIGILANCIA'!AW71),"",'RESUMEN VIGILANCIA'!AW71)</f>
        <v/>
      </c>
      <c r="AY20" s="397" t="str">
        <f>IF(ISBLANK('RESUMEN VIGILANCIA'!AX71),"",'RESUMEN VIGILANCIA'!AX71)</f>
        <v/>
      </c>
      <c r="AZ20" s="397" t="str">
        <f>IF(ISBLANK('RESUMEN VIGILANCIA'!AY71),"",'RESUMEN VIGILANCIA'!AY71)</f>
        <v/>
      </c>
      <c r="BA20" s="398" t="str">
        <f>IF(ISBLANK('RESUMEN VIGILANCIA'!AZ71),"",'RESUMEN VIGILANCIA'!AZ71)</f>
        <v/>
      </c>
      <c r="BB20" s="242">
        <f t="shared" si="0"/>
        <v>0.2</v>
      </c>
      <c r="BC20" s="111"/>
      <c r="BD20" s="111"/>
    </row>
    <row r="21" spans="1:56" s="29" customFormat="1" ht="20.100000000000001" customHeight="1">
      <c r="A21" s="30" t="str">
        <f>'RESUMEN VIGILANCIA'!A72</f>
        <v>Familia Rodríguez Chiappeta</v>
      </c>
      <c r="B21" s="31" t="str">
        <f>'RESUMEN VIGILANCIA'!B72</f>
        <v>Calle Guacara Nro. 90-120</v>
      </c>
      <c r="C21" s="452" t="s">
        <v>1250</v>
      </c>
      <c r="D21" s="460" t="s">
        <v>1248</v>
      </c>
      <c r="E21" s="440" t="str">
        <f>IF(ISBLANK('RESUMEN VIGILANCIA'!D72),"",'RESUMEN VIGILANCIA'!D72)</f>
        <v/>
      </c>
      <c r="F21" s="270" t="str">
        <f>IF(ISBLANK('RESUMEN VIGILANCIA'!E72),"",'RESUMEN VIGILANCIA'!E72)</f>
        <v/>
      </c>
      <c r="G21" s="182" t="str">
        <f>IF(ISBLANK('RESUMEN VIGILANCIA'!F72),"",'RESUMEN VIGILANCIA'!F72)</f>
        <v/>
      </c>
      <c r="H21" s="182" t="str">
        <f>IF(ISBLANK('RESUMEN VIGILANCIA'!G72),"",'RESUMEN VIGILANCIA'!G72)</f>
        <v/>
      </c>
      <c r="I21" s="182" t="str">
        <f>IF(ISBLANK('RESUMEN VIGILANCIA'!H72),"",'RESUMEN VIGILANCIA'!H72)</f>
        <v/>
      </c>
      <c r="J21" s="182" t="str">
        <f>IF(ISBLANK('RESUMEN VIGILANCIA'!I72),"",'RESUMEN VIGILANCIA'!I72)</f>
        <v/>
      </c>
      <c r="K21" s="182" t="str">
        <f>IF(ISBLANK('RESUMEN VIGILANCIA'!J72),"",'RESUMEN VIGILANCIA'!J72)</f>
        <v/>
      </c>
      <c r="L21" s="182" t="str">
        <f>IF(ISBLANK('RESUMEN VIGILANCIA'!K72),"",'RESUMEN VIGILANCIA'!K72)</f>
        <v/>
      </c>
      <c r="M21" s="182" t="str">
        <f>IF(ISBLANK('RESUMEN VIGILANCIA'!L72),"",'RESUMEN VIGILANCIA'!L72)</f>
        <v/>
      </c>
      <c r="N21" s="182" t="str">
        <f>IF(ISBLANK('RESUMEN VIGILANCIA'!M72),"",'RESUMEN VIGILANCIA'!M72)</f>
        <v/>
      </c>
      <c r="O21" s="182" t="str">
        <f>IF(ISBLANK('RESUMEN VIGILANCIA'!N72),"",'RESUMEN VIGILANCIA'!N72)</f>
        <v/>
      </c>
      <c r="P21" s="271" t="str">
        <f>IF(ISBLANK('RESUMEN VIGILANCIA'!O72),"",'RESUMEN VIGILANCIA'!O72)</f>
        <v/>
      </c>
      <c r="Q21" s="180" t="str">
        <f>IF(ISBLANK('RESUMEN VIGILANCIA'!P72),"",'RESUMEN VIGILANCIA'!P72)</f>
        <v/>
      </c>
      <c r="R21" s="272" t="str">
        <f>IF(ISBLANK('RESUMEN VIGILANCIA'!Q72),"",'RESUMEN VIGILANCIA'!Q72)</f>
        <v/>
      </c>
      <c r="S21" s="271" t="str">
        <f>IF(ISBLANK('RESUMEN VIGILANCIA'!R72),"",'RESUMEN VIGILANCIA'!R72)</f>
        <v/>
      </c>
      <c r="T21" s="271" t="str">
        <f>IF(ISBLANK('RESUMEN VIGILANCIA'!S72),"",'RESUMEN VIGILANCIA'!S72)</f>
        <v/>
      </c>
      <c r="U21" s="271" t="str">
        <f>IF(ISBLANK('RESUMEN VIGILANCIA'!T72),"",'RESUMEN VIGILANCIA'!T72)</f>
        <v/>
      </c>
      <c r="V21" s="271" t="str">
        <f>IF(ISBLANK('RESUMEN VIGILANCIA'!U72),"",'RESUMEN VIGILANCIA'!U72)</f>
        <v/>
      </c>
      <c r="W21" s="271" t="str">
        <f>IF(ISBLANK('RESUMEN VIGILANCIA'!V72),"",'RESUMEN VIGILANCIA'!V72)</f>
        <v/>
      </c>
      <c r="X21" s="271" t="str">
        <f>IF(ISBLANK('RESUMEN VIGILANCIA'!W72),"",'RESUMEN VIGILANCIA'!W72)</f>
        <v/>
      </c>
      <c r="Y21" s="271" t="str">
        <f>IF(ISBLANK('RESUMEN VIGILANCIA'!X72),"",'RESUMEN VIGILANCIA'!X72)</f>
        <v/>
      </c>
      <c r="Z21" s="481" t="str">
        <f>IF(ISBLANK('RESUMEN VIGILANCIA'!Y72),"",'RESUMEN VIGILANCIA'!Y72)</f>
        <v/>
      </c>
      <c r="AA21" s="481" t="str">
        <f>IF(ISBLANK('RESUMEN VIGILANCIA'!Z72),"",'RESUMEN VIGILANCIA'!Z72)</f>
        <v/>
      </c>
      <c r="AB21" s="481" t="str">
        <f>IF(ISBLANK('RESUMEN VIGILANCIA'!AA72),"",'RESUMEN VIGILANCIA'!AA72)</f>
        <v/>
      </c>
      <c r="AC21" s="482" t="str">
        <f>IF(ISBLANK('RESUMEN VIGILANCIA'!AB72),"",'RESUMEN VIGILANCIA'!AB72)</f>
        <v/>
      </c>
      <c r="AD21" s="399" t="str">
        <f>IF(ISBLANK('RESUMEN VIGILANCIA'!AC72),"",'RESUMEN VIGILANCIA'!AC72)</f>
        <v/>
      </c>
      <c r="AE21" s="400" t="str">
        <f>IF(ISBLANK('RESUMEN VIGILANCIA'!AD72),"",'RESUMEN VIGILANCIA'!AD72)</f>
        <v/>
      </c>
      <c r="AF21" s="400" t="str">
        <f>IF(ISBLANK('RESUMEN VIGILANCIA'!AE72),"",'RESUMEN VIGILANCIA'!AE72)</f>
        <v/>
      </c>
      <c r="AG21" s="400" t="str">
        <f>IF(ISBLANK('RESUMEN VIGILANCIA'!AF72),"",'RESUMEN VIGILANCIA'!AF72)</f>
        <v/>
      </c>
      <c r="AH21" s="400" t="str">
        <f>IF(ISBLANK('RESUMEN VIGILANCIA'!AG72),"",'RESUMEN VIGILANCIA'!AG72)</f>
        <v/>
      </c>
      <c r="AI21" s="400" t="str">
        <f>IF(ISBLANK('RESUMEN VIGILANCIA'!AH72),"",'RESUMEN VIGILANCIA'!AH72)</f>
        <v/>
      </c>
      <c r="AJ21" s="400" t="str">
        <f>IF(ISBLANK('RESUMEN VIGILANCIA'!AI72),"",'RESUMEN VIGILANCIA'!AI72)</f>
        <v/>
      </c>
      <c r="AK21" s="400" t="str">
        <f>IF(ISBLANK('RESUMEN VIGILANCIA'!AJ72),"",'RESUMEN VIGILANCIA'!AJ72)</f>
        <v/>
      </c>
      <c r="AL21" s="400" t="str">
        <f>IF(ISBLANK('RESUMEN VIGILANCIA'!AK72),"",'RESUMEN VIGILANCIA'!AK72)</f>
        <v/>
      </c>
      <c r="AM21" s="400" t="str">
        <f>IF(ISBLANK('RESUMEN VIGILANCIA'!AL72),"",'RESUMEN VIGILANCIA'!AL72)</f>
        <v/>
      </c>
      <c r="AN21" s="400" t="str">
        <f>IF(ISBLANK('RESUMEN VIGILANCIA'!AM72),"",'RESUMEN VIGILANCIA'!AM72)</f>
        <v/>
      </c>
      <c r="AO21" s="401" t="str">
        <f>IF(ISBLANK('RESUMEN VIGILANCIA'!AN72),"",'RESUMEN VIGILANCIA'!AN72)</f>
        <v/>
      </c>
      <c r="AP21" s="399" t="str">
        <f>IF(ISBLANK('RESUMEN VIGILANCIA'!AO72),"",'RESUMEN VIGILANCIA'!AO72)</f>
        <v/>
      </c>
      <c r="AQ21" s="400" t="str">
        <f>IF(ISBLANK('RESUMEN VIGILANCIA'!AP72),"",'RESUMEN VIGILANCIA'!AP72)</f>
        <v/>
      </c>
      <c r="AR21" s="400" t="str">
        <f>IF(ISBLANK('RESUMEN VIGILANCIA'!AQ72),"",'RESUMEN VIGILANCIA'!AQ72)</f>
        <v/>
      </c>
      <c r="AS21" s="400" t="str">
        <f>IF(ISBLANK('RESUMEN VIGILANCIA'!AR72),"",'RESUMEN VIGILANCIA'!AR72)</f>
        <v/>
      </c>
      <c r="AT21" s="400" t="str">
        <f>IF(ISBLANK('RESUMEN VIGILANCIA'!AS72),"",'RESUMEN VIGILANCIA'!AS72)</f>
        <v/>
      </c>
      <c r="AU21" s="400" t="str">
        <f>IF(ISBLANK('RESUMEN VIGILANCIA'!AT72),"",'RESUMEN VIGILANCIA'!AT72)</f>
        <v/>
      </c>
      <c r="AV21" s="400" t="str">
        <f>IF(ISBLANK('RESUMEN VIGILANCIA'!AU72),"",'RESUMEN VIGILANCIA'!AU72)</f>
        <v/>
      </c>
      <c r="AW21" s="400" t="str">
        <f>IF(ISBLANK('RESUMEN VIGILANCIA'!AV72),"",'RESUMEN VIGILANCIA'!AV72)</f>
        <v/>
      </c>
      <c r="AX21" s="400" t="str">
        <f>IF(ISBLANK('RESUMEN VIGILANCIA'!AW72),"",'RESUMEN VIGILANCIA'!AW72)</f>
        <v/>
      </c>
      <c r="AY21" s="400" t="str">
        <f>IF(ISBLANK('RESUMEN VIGILANCIA'!AX72),"",'RESUMEN VIGILANCIA'!AX72)</f>
        <v/>
      </c>
      <c r="AZ21" s="400" t="str">
        <f>IF(ISBLANK('RESUMEN VIGILANCIA'!AY72),"",'RESUMEN VIGILANCIA'!AY72)</f>
        <v/>
      </c>
      <c r="BA21" s="401" t="str">
        <f>IF(ISBLANK('RESUMEN VIGILANCIA'!AZ72),"",'RESUMEN VIGILANCIA'!AZ72)</f>
        <v/>
      </c>
      <c r="BB21" s="243">
        <f t="shared" si="0"/>
        <v>0</v>
      </c>
      <c r="BC21" s="112"/>
      <c r="BD21" s="112"/>
    </row>
    <row r="22" spans="1:56" s="29" customFormat="1" ht="20.100000000000001" customHeight="1">
      <c r="A22" s="30" t="str">
        <f>'RESUMEN VIGILANCIA'!A18</f>
        <v>María Luisa Gornés</v>
      </c>
      <c r="B22" s="31" t="str">
        <f>'RESUMEN VIGILANCIA'!B18</f>
        <v>Calle Guacara Nro. 87-05</v>
      </c>
      <c r="C22" s="452" t="s">
        <v>1250</v>
      </c>
      <c r="D22" s="460" t="s">
        <v>1248</v>
      </c>
      <c r="E22" s="440" t="str">
        <f>IF(ISBLANK('RESUMEN VIGILANCIA'!D18),"",'RESUMEN VIGILANCIA'!D18)</f>
        <v/>
      </c>
      <c r="F22" s="270" t="str">
        <f>IF(ISBLANK('RESUMEN VIGILANCIA'!E18),"",'RESUMEN VIGILANCIA'!E18)</f>
        <v/>
      </c>
      <c r="G22" s="182" t="str">
        <f>IF(ISBLANK('RESUMEN VIGILANCIA'!F18),"",'RESUMEN VIGILANCIA'!F18)</f>
        <v/>
      </c>
      <c r="H22" s="182" t="str">
        <f>IF(ISBLANK('RESUMEN VIGILANCIA'!G18),"",'RESUMEN VIGILANCIA'!G18)</f>
        <v/>
      </c>
      <c r="I22" s="182" t="str">
        <f>IF(ISBLANK('RESUMEN VIGILANCIA'!H18),"",'RESUMEN VIGILANCIA'!H18)</f>
        <v/>
      </c>
      <c r="J22" s="182" t="str">
        <f>IF(ISBLANK('RESUMEN VIGILANCIA'!I18),"",'RESUMEN VIGILANCIA'!I18)</f>
        <v/>
      </c>
      <c r="K22" s="182" t="str">
        <f>IF(ISBLANK('RESUMEN VIGILANCIA'!J18),"",'RESUMEN VIGILANCIA'!J18)</f>
        <v/>
      </c>
      <c r="L22" s="182" t="str">
        <f>IF(ISBLANK('RESUMEN VIGILANCIA'!K18),"",'RESUMEN VIGILANCIA'!K18)</f>
        <v/>
      </c>
      <c r="M22" s="182" t="str">
        <f>IF(ISBLANK('RESUMEN VIGILANCIA'!L18),"",'RESUMEN VIGILANCIA'!L18)</f>
        <v/>
      </c>
      <c r="N22" s="182" t="str">
        <f>IF(ISBLANK('RESUMEN VIGILANCIA'!M18),"",'RESUMEN VIGILANCIA'!M18)</f>
        <v/>
      </c>
      <c r="O22" s="182" t="str">
        <f>IF(ISBLANK('RESUMEN VIGILANCIA'!N18),"",'RESUMEN VIGILANCIA'!N18)</f>
        <v/>
      </c>
      <c r="P22" s="271" t="str">
        <f>IF(ISBLANK('RESUMEN VIGILANCIA'!O18),"",'RESUMEN VIGILANCIA'!O18)</f>
        <v/>
      </c>
      <c r="Q22" s="180" t="str">
        <f>IF(ISBLANK('RESUMEN VIGILANCIA'!P18),"",'RESUMEN VIGILANCIA'!P18)</f>
        <v/>
      </c>
      <c r="R22" s="272" t="str">
        <f>IF(ISBLANK('RESUMEN VIGILANCIA'!Q18),"",'RESUMEN VIGILANCIA'!Q18)</f>
        <v/>
      </c>
      <c r="S22" s="271" t="str">
        <f>IF(ISBLANK('RESUMEN VIGILANCIA'!R18),"",'RESUMEN VIGILANCIA'!R18)</f>
        <v/>
      </c>
      <c r="T22" s="271" t="str">
        <f>IF(ISBLANK('RESUMEN VIGILANCIA'!S18),"",'RESUMEN VIGILANCIA'!S18)</f>
        <v/>
      </c>
      <c r="U22" s="271" t="str">
        <f>IF(ISBLANK('RESUMEN VIGILANCIA'!T18),"",'RESUMEN VIGILANCIA'!T18)</f>
        <v/>
      </c>
      <c r="V22" s="271" t="str">
        <f>IF(ISBLANK('RESUMEN VIGILANCIA'!U18),"",'RESUMEN VIGILANCIA'!U18)</f>
        <v/>
      </c>
      <c r="W22" s="271" t="str">
        <f>IF(ISBLANK('RESUMEN VIGILANCIA'!V18),"",'RESUMEN VIGILANCIA'!V18)</f>
        <v/>
      </c>
      <c r="X22" s="271" t="str">
        <f>IF(ISBLANK('RESUMEN VIGILANCIA'!W18),"",'RESUMEN VIGILANCIA'!W18)</f>
        <v/>
      </c>
      <c r="Y22" s="271" t="str">
        <f>IF(ISBLANK('RESUMEN VIGILANCIA'!X18),"",'RESUMEN VIGILANCIA'!X18)</f>
        <v/>
      </c>
      <c r="Z22" s="481" t="str">
        <f>IF(ISBLANK('RESUMEN VIGILANCIA'!Y18),"",'RESUMEN VIGILANCIA'!Y18)</f>
        <v/>
      </c>
      <c r="AA22" s="481" t="str">
        <f>IF(ISBLANK('RESUMEN VIGILANCIA'!Z18),"",'RESUMEN VIGILANCIA'!Z18)</f>
        <v/>
      </c>
      <c r="AB22" s="481" t="str">
        <f>IF(ISBLANK('RESUMEN VIGILANCIA'!AA18),"",'RESUMEN VIGILANCIA'!AA18)</f>
        <v/>
      </c>
      <c r="AC22" s="482" t="str">
        <f>IF(ISBLANK('RESUMEN VIGILANCIA'!AB18),"",'RESUMEN VIGILANCIA'!AB18)</f>
        <v/>
      </c>
      <c r="AD22" s="399" t="str">
        <f>IF(ISBLANK('RESUMEN VIGILANCIA'!AC18),"",'RESUMEN VIGILANCIA'!AC18)</f>
        <v/>
      </c>
      <c r="AE22" s="400" t="str">
        <f>IF(ISBLANK('RESUMEN VIGILANCIA'!AD18),"",'RESUMEN VIGILANCIA'!AD18)</f>
        <v/>
      </c>
      <c r="AF22" s="400" t="str">
        <f>IF(ISBLANK('RESUMEN VIGILANCIA'!AE18),"",'RESUMEN VIGILANCIA'!AE18)</f>
        <v/>
      </c>
      <c r="AG22" s="400" t="str">
        <f>IF(ISBLANK('RESUMEN VIGILANCIA'!AF18),"",'RESUMEN VIGILANCIA'!AF18)</f>
        <v/>
      </c>
      <c r="AH22" s="400" t="str">
        <f>IF(ISBLANK('RESUMEN VIGILANCIA'!AG18),"",'RESUMEN VIGILANCIA'!AG18)</f>
        <v/>
      </c>
      <c r="AI22" s="400" t="str">
        <f>IF(ISBLANK('RESUMEN VIGILANCIA'!AH18),"",'RESUMEN VIGILANCIA'!AH18)</f>
        <v/>
      </c>
      <c r="AJ22" s="400" t="str">
        <f>IF(ISBLANK('RESUMEN VIGILANCIA'!AI18),"",'RESUMEN VIGILANCIA'!AI18)</f>
        <v/>
      </c>
      <c r="AK22" s="400" t="str">
        <f>IF(ISBLANK('RESUMEN VIGILANCIA'!AJ18),"",'RESUMEN VIGILANCIA'!AJ18)</f>
        <v/>
      </c>
      <c r="AL22" s="400" t="str">
        <f>IF(ISBLANK('RESUMEN VIGILANCIA'!AK18),"",'RESUMEN VIGILANCIA'!AK18)</f>
        <v/>
      </c>
      <c r="AM22" s="400" t="str">
        <f>IF(ISBLANK('RESUMEN VIGILANCIA'!AL18),"",'RESUMEN VIGILANCIA'!AL18)</f>
        <v/>
      </c>
      <c r="AN22" s="400" t="str">
        <f>IF(ISBLANK('RESUMEN VIGILANCIA'!AM18),"",'RESUMEN VIGILANCIA'!AM18)</f>
        <v/>
      </c>
      <c r="AO22" s="401" t="str">
        <f>IF(ISBLANK('RESUMEN VIGILANCIA'!AN18),"",'RESUMEN VIGILANCIA'!AN18)</f>
        <v/>
      </c>
      <c r="AP22" s="399" t="str">
        <f>IF(ISBLANK('RESUMEN VIGILANCIA'!AO18),"",'RESUMEN VIGILANCIA'!AO18)</f>
        <v/>
      </c>
      <c r="AQ22" s="400" t="str">
        <f>IF(ISBLANK('RESUMEN VIGILANCIA'!AP18),"",'RESUMEN VIGILANCIA'!AP18)</f>
        <v/>
      </c>
      <c r="AR22" s="400" t="str">
        <f>IF(ISBLANK('RESUMEN VIGILANCIA'!AQ18),"",'RESUMEN VIGILANCIA'!AQ18)</f>
        <v/>
      </c>
      <c r="AS22" s="400" t="str">
        <f>IF(ISBLANK('RESUMEN VIGILANCIA'!AR18),"",'RESUMEN VIGILANCIA'!AR18)</f>
        <v/>
      </c>
      <c r="AT22" s="400" t="str">
        <f>IF(ISBLANK('RESUMEN VIGILANCIA'!AS18),"",'RESUMEN VIGILANCIA'!AS18)</f>
        <v/>
      </c>
      <c r="AU22" s="400" t="str">
        <f>IF(ISBLANK('RESUMEN VIGILANCIA'!AT18),"",'RESUMEN VIGILANCIA'!AT18)</f>
        <v/>
      </c>
      <c r="AV22" s="400" t="str">
        <f>IF(ISBLANK('RESUMEN VIGILANCIA'!AU18),"",'RESUMEN VIGILANCIA'!AU18)</f>
        <v/>
      </c>
      <c r="AW22" s="400" t="str">
        <f>IF(ISBLANK('RESUMEN VIGILANCIA'!AV18),"",'RESUMEN VIGILANCIA'!AV18)</f>
        <v/>
      </c>
      <c r="AX22" s="400" t="str">
        <f>IF(ISBLANK('RESUMEN VIGILANCIA'!AW18),"",'RESUMEN VIGILANCIA'!AW18)</f>
        <v/>
      </c>
      <c r="AY22" s="400" t="str">
        <f>IF(ISBLANK('RESUMEN VIGILANCIA'!AX18),"",'RESUMEN VIGILANCIA'!AX18)</f>
        <v/>
      </c>
      <c r="AZ22" s="400" t="str">
        <f>IF(ISBLANK('RESUMEN VIGILANCIA'!AY18),"",'RESUMEN VIGILANCIA'!AY18)</f>
        <v/>
      </c>
      <c r="BA22" s="401" t="str">
        <f>IF(ISBLANK('RESUMEN VIGILANCIA'!AZ18),"",'RESUMEN VIGILANCIA'!AZ18)</f>
        <v/>
      </c>
      <c r="BB22" s="243">
        <f t="shared" si="0"/>
        <v>0</v>
      </c>
      <c r="BC22" s="112"/>
      <c r="BD22" s="112"/>
    </row>
    <row r="23" spans="1:56" s="29" customFormat="1" ht="20.100000000000001" customHeight="1">
      <c r="A23" s="380" t="str">
        <f>'RESUMEN VIGILANCIA'!A20</f>
        <v>Familia Franco Gómez</v>
      </c>
      <c r="B23" s="381" t="str">
        <f>'RESUMEN VIGILANCIA'!B20</f>
        <v>Calle Guacara Nro. 87-07</v>
      </c>
      <c r="C23" s="453" t="s">
        <v>1251</v>
      </c>
      <c r="D23" s="459" t="s">
        <v>1248</v>
      </c>
      <c r="E23" s="439" t="str">
        <f>IF(ISBLANK('RESUMEN VIGILANCIA'!D20),"",'RESUMEN VIGILANCIA'!D20)</f>
        <v/>
      </c>
      <c r="F23" s="267">
        <f>IF(ISBLANK('RESUMEN VIGILANCIA'!E20),"",'RESUMEN VIGILANCIA'!E20)</f>
        <v>0.17</v>
      </c>
      <c r="G23" s="189">
        <f>IF(ISBLANK('RESUMEN VIGILANCIA'!F20),"",'RESUMEN VIGILANCIA'!F20)</f>
        <v>0.17</v>
      </c>
      <c r="H23" s="189">
        <f>IF(ISBLANK('RESUMEN VIGILANCIA'!G20),"",'RESUMEN VIGILANCIA'!G20)</f>
        <v>0.17</v>
      </c>
      <c r="I23" s="189">
        <f>IF(ISBLANK('RESUMEN VIGILANCIA'!H20),"",'RESUMEN VIGILANCIA'!H20)</f>
        <v>0.17</v>
      </c>
      <c r="J23" s="189">
        <f>IF(ISBLANK('RESUMEN VIGILANCIA'!I20),"",'RESUMEN VIGILANCIA'!I20)</f>
        <v>0.17</v>
      </c>
      <c r="K23" s="189">
        <f>IF(ISBLANK('RESUMEN VIGILANCIA'!J20),"",'RESUMEN VIGILANCIA'!J20)</f>
        <v>0.17</v>
      </c>
      <c r="L23" s="189">
        <f>IF(ISBLANK('RESUMEN VIGILANCIA'!K20),"",'RESUMEN VIGILANCIA'!K20)</f>
        <v>0.17</v>
      </c>
      <c r="M23" s="189">
        <f>IF(ISBLANK('RESUMEN VIGILANCIA'!L20),"",'RESUMEN VIGILANCIA'!L20)</f>
        <v>0.2</v>
      </c>
      <c r="N23" s="189">
        <f>IF(ISBLANK('RESUMEN VIGILANCIA'!M20),"",'RESUMEN VIGILANCIA'!M20)</f>
        <v>0.25</v>
      </c>
      <c r="O23" s="189">
        <f>IF(ISBLANK('RESUMEN VIGILANCIA'!N20),"",'RESUMEN VIGILANCIA'!N20)</f>
        <v>0.25</v>
      </c>
      <c r="P23" s="268">
        <f>IF(ISBLANK('RESUMEN VIGILANCIA'!O20),"",'RESUMEN VIGILANCIA'!O20)</f>
        <v>0.25</v>
      </c>
      <c r="Q23" s="187">
        <f>IF(ISBLANK('RESUMEN VIGILANCIA'!P20),"",'RESUMEN VIGILANCIA'!P20)</f>
        <v>0.25</v>
      </c>
      <c r="R23" s="269">
        <f>IF(ISBLANK('RESUMEN VIGILANCIA'!Q20),"",'RESUMEN VIGILANCIA'!Q20)</f>
        <v>0.8</v>
      </c>
      <c r="S23" s="268">
        <f>IF(ISBLANK('RESUMEN VIGILANCIA'!R20),"",'RESUMEN VIGILANCIA'!R20)</f>
        <v>0.8</v>
      </c>
      <c r="T23" s="268">
        <f>IF(ISBLANK('RESUMEN VIGILANCIA'!S20),"",'RESUMEN VIGILANCIA'!S20)</f>
        <v>1.4</v>
      </c>
      <c r="U23" s="268">
        <f>IF(ISBLANK('RESUMEN VIGILANCIA'!T20),"",'RESUMEN VIGILANCIA'!T20)</f>
        <v>1.4</v>
      </c>
      <c r="V23" s="268">
        <f>IF(ISBLANK('RESUMEN VIGILANCIA'!U20),"",'RESUMEN VIGILANCIA'!U20)</f>
        <v>2</v>
      </c>
      <c r="W23" s="268">
        <f>IF(ISBLANK('RESUMEN VIGILANCIA'!V20),"",'RESUMEN VIGILANCIA'!V20)</f>
        <v>6.25</v>
      </c>
      <c r="X23" s="268">
        <f>IF(ISBLANK('RESUMEN VIGILANCIA'!W20),"",'RESUMEN VIGILANCIA'!W20)</f>
        <v>10</v>
      </c>
      <c r="Y23" s="268">
        <f>IF(ISBLANK('RESUMEN VIGILANCIA'!X20),"",'RESUMEN VIGILANCIA'!X20)</f>
        <v>12</v>
      </c>
      <c r="Z23" s="485">
        <f>IF(ISBLANK('RESUMEN VIGILANCIA'!Y20),"",'RESUMEN VIGILANCIA'!Y20)</f>
        <v>160</v>
      </c>
      <c r="AA23" s="484">
        <f>IF(ISBLANK('RESUMEN VIGILANCIA'!Z20),"",'RESUMEN VIGILANCIA'!Z20)</f>
        <v>320</v>
      </c>
      <c r="AB23" s="484">
        <f>IF(ISBLANK('RESUMEN VIGILANCIA'!AA20),"",'RESUMEN VIGILANCIA'!AA20)</f>
        <v>320</v>
      </c>
      <c r="AC23" s="483">
        <f>IF(ISBLANK('RESUMEN VIGILANCIA'!AB20),"",'RESUMEN VIGILANCIA'!AB20)</f>
        <v>800</v>
      </c>
      <c r="AD23" s="404">
        <f>IF(ISBLANK('RESUMEN VIGILANCIA'!AC20),"",'RESUMEN VIGILANCIA'!AC20)</f>
        <v>3000</v>
      </c>
      <c r="AE23" s="405">
        <f>IF(ISBLANK('RESUMEN VIGILANCIA'!AD20),"",'RESUMEN VIGILANCIA'!AD20)</f>
        <v>3000</v>
      </c>
      <c r="AF23" s="405">
        <f>IF(ISBLANK('RESUMEN VIGILANCIA'!AE20),"",'RESUMEN VIGILANCIA'!AE20)</f>
        <v>3000</v>
      </c>
      <c r="AG23" s="405">
        <f>IF(ISBLANK('RESUMEN VIGILANCIA'!AF20),"",'RESUMEN VIGILANCIA'!AF20)</f>
        <v>5000</v>
      </c>
      <c r="AH23" s="405">
        <f>IF(ISBLANK('RESUMEN VIGILANCIA'!AG20),"",'RESUMEN VIGILANCIA'!AG20)</f>
        <v>8000</v>
      </c>
      <c r="AI23" s="405">
        <f>IF(ISBLANK('RESUMEN VIGILANCIA'!AH20),"",'RESUMEN VIGILANCIA'!AH20)</f>
        <v>8000</v>
      </c>
      <c r="AJ23" s="405">
        <f>IF(ISBLANK('RESUMEN VIGILANCIA'!AI20),"",'RESUMEN VIGILANCIA'!AI20)</f>
        <v>10000</v>
      </c>
      <c r="AK23" s="405">
        <f>IF(ISBLANK('RESUMEN VIGILANCIA'!AJ20),"",'RESUMEN VIGILANCIA'!AJ20)</f>
        <v>10000</v>
      </c>
      <c r="AL23" s="405">
        <f>IF(ISBLANK('RESUMEN VIGILANCIA'!AK20),"",'RESUMEN VIGILANCIA'!AK20)</f>
        <v>20500</v>
      </c>
      <c r="AM23" s="397">
        <f>IF(ISBLANK('RESUMEN VIGILANCIA'!AL20),"",'RESUMEN VIGILANCIA'!AL20)</f>
        <v>21100</v>
      </c>
      <c r="AN23" s="397">
        <f>IF(ISBLANK('RESUMEN VIGILANCIA'!AM20),"",'RESUMEN VIGILANCIA'!AM20)</f>
        <v>33750</v>
      </c>
      <c r="AO23" s="398">
        <f>IF(ISBLANK('RESUMEN VIGILANCIA'!AN20),"",'RESUMEN VIGILANCIA'!AN20)</f>
        <v>32700</v>
      </c>
      <c r="AP23" s="396">
        <f>IF(ISBLANK('RESUMEN VIGILANCIA'!AO20),"",'RESUMEN VIGILANCIA'!AO20)</f>
        <v>54500</v>
      </c>
      <c r="AQ23" s="397">
        <f>IF(ISBLANK('RESUMEN VIGILANCIA'!AP20),"",'RESUMEN VIGILANCIA'!AP20)</f>
        <v>60500</v>
      </c>
      <c r="AR23" s="397" t="str">
        <f>IF(ISBLANK('RESUMEN VIGILANCIA'!AQ20),"",'RESUMEN VIGILANCIA'!AQ20)</f>
        <v/>
      </c>
      <c r="AS23" s="397" t="str">
        <f>IF(ISBLANK('RESUMEN VIGILANCIA'!AR20),"",'RESUMEN VIGILANCIA'!AR20)</f>
        <v/>
      </c>
      <c r="AT23" s="397" t="str">
        <f>IF(ISBLANK('RESUMEN VIGILANCIA'!AS20),"",'RESUMEN VIGILANCIA'!AS20)</f>
        <v/>
      </c>
      <c r="AU23" s="397" t="str">
        <f>IF(ISBLANK('RESUMEN VIGILANCIA'!AT20),"",'RESUMEN VIGILANCIA'!AT20)</f>
        <v/>
      </c>
      <c r="AV23" s="397" t="str">
        <f>IF(ISBLANK('RESUMEN VIGILANCIA'!AU20),"",'RESUMEN VIGILANCIA'!AU20)</f>
        <v/>
      </c>
      <c r="AW23" s="397" t="str">
        <f>IF(ISBLANK('RESUMEN VIGILANCIA'!AV20),"",'RESUMEN VIGILANCIA'!AV20)</f>
        <v/>
      </c>
      <c r="AX23" s="397" t="str">
        <f>IF(ISBLANK('RESUMEN VIGILANCIA'!AW20),"",'RESUMEN VIGILANCIA'!AW20)</f>
        <v/>
      </c>
      <c r="AY23" s="397" t="str">
        <f>IF(ISBLANK('RESUMEN VIGILANCIA'!AX20),"",'RESUMEN VIGILANCIA'!AX20)</f>
        <v/>
      </c>
      <c r="AZ23" s="397" t="str">
        <f>IF(ISBLANK('RESUMEN VIGILANCIA'!AY20),"",'RESUMEN VIGILANCIA'!AY20)</f>
        <v/>
      </c>
      <c r="BA23" s="398" t="str">
        <f>IF(ISBLANK('RESUMEN VIGILANCIA'!AZ20),"",'RESUMEN VIGILANCIA'!AZ20)</f>
        <v/>
      </c>
      <c r="BB23" s="242">
        <f t="shared" si="0"/>
        <v>159687.04000000001</v>
      </c>
      <c r="BC23" s="111"/>
      <c r="BD23" s="111"/>
    </row>
    <row r="24" spans="1:56" s="29" customFormat="1" ht="20.100000000000001" customHeight="1">
      <c r="A24" s="37" t="str">
        <f>'RESUMEN VIGILANCIA'!A21</f>
        <v>Doris Valderrama</v>
      </c>
      <c r="B24" s="38" t="str">
        <f>'RESUMEN VIGILANCIA'!B21</f>
        <v>Calle Guacara Nro. 87-15</v>
      </c>
      <c r="C24" s="450"/>
      <c r="D24" s="458" t="s">
        <v>1248</v>
      </c>
      <c r="E24" s="438" t="str">
        <f>IF(ISBLANK('RESUMEN VIGILANCIA'!D21),"",'RESUMEN VIGILANCIA'!D21)</f>
        <v/>
      </c>
      <c r="F24" s="264" t="str">
        <f>IF(ISBLANK('RESUMEN VIGILANCIA'!E21),"",'RESUMEN VIGILANCIA'!E21)</f>
        <v/>
      </c>
      <c r="G24" s="200" t="str">
        <f>IF(ISBLANK('RESUMEN VIGILANCIA'!F21),"",'RESUMEN VIGILANCIA'!F21)</f>
        <v/>
      </c>
      <c r="H24" s="200" t="str">
        <f>IF(ISBLANK('RESUMEN VIGILANCIA'!G21),"",'RESUMEN VIGILANCIA'!G21)</f>
        <v/>
      </c>
      <c r="I24" s="200" t="str">
        <f>IF(ISBLANK('RESUMEN VIGILANCIA'!H21),"",'RESUMEN VIGILANCIA'!H21)</f>
        <v/>
      </c>
      <c r="J24" s="200" t="str">
        <f>IF(ISBLANK('RESUMEN VIGILANCIA'!I21),"",'RESUMEN VIGILANCIA'!I21)</f>
        <v/>
      </c>
      <c r="K24" s="200" t="str">
        <f>IF(ISBLANK('RESUMEN VIGILANCIA'!J21),"",'RESUMEN VIGILANCIA'!J21)</f>
        <v/>
      </c>
      <c r="L24" s="200" t="str">
        <f>IF(ISBLANK('RESUMEN VIGILANCIA'!K21),"",'RESUMEN VIGILANCIA'!K21)</f>
        <v/>
      </c>
      <c r="M24" s="200" t="str">
        <f>IF(ISBLANK('RESUMEN VIGILANCIA'!L21),"",'RESUMEN VIGILANCIA'!L21)</f>
        <v/>
      </c>
      <c r="N24" s="200" t="str">
        <f>IF(ISBLANK('RESUMEN VIGILANCIA'!M21),"",'RESUMEN VIGILANCIA'!M21)</f>
        <v/>
      </c>
      <c r="O24" s="200" t="str">
        <f>IF(ISBLANK('RESUMEN VIGILANCIA'!N21),"",'RESUMEN VIGILANCIA'!N21)</f>
        <v/>
      </c>
      <c r="P24" s="265" t="str">
        <f>IF(ISBLANK('RESUMEN VIGILANCIA'!O21),"",'RESUMEN VIGILANCIA'!O21)</f>
        <v/>
      </c>
      <c r="Q24" s="198" t="str">
        <f>IF(ISBLANK('RESUMEN VIGILANCIA'!P21),"",'RESUMEN VIGILANCIA'!P21)</f>
        <v/>
      </c>
      <c r="R24" s="266" t="str">
        <f>IF(ISBLANK('RESUMEN VIGILANCIA'!Q21),"",'RESUMEN VIGILANCIA'!Q21)</f>
        <v/>
      </c>
      <c r="S24" s="265" t="str">
        <f>IF(ISBLANK('RESUMEN VIGILANCIA'!R21),"",'RESUMEN VIGILANCIA'!R21)</f>
        <v/>
      </c>
      <c r="T24" s="265" t="str">
        <f>IF(ISBLANK('RESUMEN VIGILANCIA'!S21),"",'RESUMEN VIGILANCIA'!S21)</f>
        <v/>
      </c>
      <c r="U24" s="265" t="str">
        <f>IF(ISBLANK('RESUMEN VIGILANCIA'!T21),"",'RESUMEN VIGILANCIA'!T21)</f>
        <v/>
      </c>
      <c r="V24" s="265" t="str">
        <f>IF(ISBLANK('RESUMEN VIGILANCIA'!U21),"",'RESUMEN VIGILANCIA'!U21)</f>
        <v/>
      </c>
      <c r="W24" s="265" t="str">
        <f>IF(ISBLANK('RESUMEN VIGILANCIA'!V21),"",'RESUMEN VIGILANCIA'!V21)</f>
        <v/>
      </c>
      <c r="X24" s="265" t="str">
        <f>IF(ISBLANK('RESUMEN VIGILANCIA'!W21),"",'RESUMEN VIGILANCIA'!W21)</f>
        <v/>
      </c>
      <c r="Y24" s="265" t="str">
        <f>IF(ISBLANK('RESUMEN VIGILANCIA'!X21),"",'RESUMEN VIGILANCIA'!X21)</f>
        <v/>
      </c>
      <c r="Z24" s="479" t="str">
        <f>IF(ISBLANK('RESUMEN VIGILANCIA'!Y21),"",'RESUMEN VIGILANCIA'!Y21)</f>
        <v/>
      </c>
      <c r="AA24" s="479" t="str">
        <f>IF(ISBLANK('RESUMEN VIGILANCIA'!Z21),"",'RESUMEN VIGILANCIA'!Z21)</f>
        <v/>
      </c>
      <c r="AB24" s="479" t="str">
        <f>IF(ISBLANK('RESUMEN VIGILANCIA'!AA21),"",'RESUMEN VIGILANCIA'!AA21)</f>
        <v/>
      </c>
      <c r="AC24" s="480" t="str">
        <f>IF(ISBLANK('RESUMEN VIGILANCIA'!AB21),"",'RESUMEN VIGILANCIA'!AB21)</f>
        <v/>
      </c>
      <c r="AD24" s="407" t="str">
        <f>IF(ISBLANK('RESUMEN VIGILANCIA'!AC21),"",'RESUMEN VIGILANCIA'!AC21)</f>
        <v/>
      </c>
      <c r="AE24" s="408" t="str">
        <f>IF(ISBLANK('RESUMEN VIGILANCIA'!AD21),"",'RESUMEN VIGILANCIA'!AD21)</f>
        <v/>
      </c>
      <c r="AF24" s="408" t="str">
        <f>IF(ISBLANK('RESUMEN VIGILANCIA'!AE21),"",'RESUMEN VIGILANCIA'!AE21)</f>
        <v/>
      </c>
      <c r="AG24" s="408" t="str">
        <f>IF(ISBLANK('RESUMEN VIGILANCIA'!AF21),"",'RESUMEN VIGILANCIA'!AF21)</f>
        <v/>
      </c>
      <c r="AH24" s="408" t="str">
        <f>IF(ISBLANK('RESUMEN VIGILANCIA'!AG21),"",'RESUMEN VIGILANCIA'!AG21)</f>
        <v/>
      </c>
      <c r="AI24" s="408" t="str">
        <f>IF(ISBLANK('RESUMEN VIGILANCIA'!AH21),"",'RESUMEN VIGILANCIA'!AH21)</f>
        <v/>
      </c>
      <c r="AJ24" s="408" t="str">
        <f>IF(ISBLANK('RESUMEN VIGILANCIA'!AI21),"",'RESUMEN VIGILANCIA'!AI21)</f>
        <v/>
      </c>
      <c r="AK24" s="408" t="str">
        <f>IF(ISBLANK('RESUMEN VIGILANCIA'!AJ21),"",'RESUMEN VIGILANCIA'!AJ21)</f>
        <v/>
      </c>
      <c r="AL24" s="408" t="str">
        <f>IF(ISBLANK('RESUMEN VIGILANCIA'!AK21),"",'RESUMEN VIGILANCIA'!AK21)</f>
        <v/>
      </c>
      <c r="AM24" s="408" t="str">
        <f>IF(ISBLANK('RESUMEN VIGILANCIA'!AL21),"",'RESUMEN VIGILANCIA'!AL21)</f>
        <v/>
      </c>
      <c r="AN24" s="408" t="str">
        <f>IF(ISBLANK('RESUMEN VIGILANCIA'!AM21),"",'RESUMEN VIGILANCIA'!AM21)</f>
        <v/>
      </c>
      <c r="AO24" s="409" t="str">
        <f>IF(ISBLANK('RESUMEN VIGILANCIA'!AN21),"",'RESUMEN VIGILANCIA'!AN21)</f>
        <v/>
      </c>
      <c r="AP24" s="407" t="str">
        <f>IF(ISBLANK('RESUMEN VIGILANCIA'!AO21),"",'RESUMEN VIGILANCIA'!AO21)</f>
        <v/>
      </c>
      <c r="AQ24" s="408" t="str">
        <f>IF(ISBLANK('RESUMEN VIGILANCIA'!AP21),"",'RESUMEN VIGILANCIA'!AP21)</f>
        <v/>
      </c>
      <c r="AR24" s="408" t="str">
        <f>IF(ISBLANK('RESUMEN VIGILANCIA'!AQ21),"",'RESUMEN VIGILANCIA'!AQ21)</f>
        <v/>
      </c>
      <c r="AS24" s="408" t="str">
        <f>IF(ISBLANK('RESUMEN VIGILANCIA'!AR21),"",'RESUMEN VIGILANCIA'!AR21)</f>
        <v/>
      </c>
      <c r="AT24" s="408" t="str">
        <f>IF(ISBLANK('RESUMEN VIGILANCIA'!AS21),"",'RESUMEN VIGILANCIA'!AS21)</f>
        <v/>
      </c>
      <c r="AU24" s="408" t="str">
        <f>IF(ISBLANK('RESUMEN VIGILANCIA'!AT21),"",'RESUMEN VIGILANCIA'!AT21)</f>
        <v/>
      </c>
      <c r="AV24" s="408" t="str">
        <f>IF(ISBLANK('RESUMEN VIGILANCIA'!AU21),"",'RESUMEN VIGILANCIA'!AU21)</f>
        <v/>
      </c>
      <c r="AW24" s="408" t="str">
        <f>IF(ISBLANK('RESUMEN VIGILANCIA'!AV21),"",'RESUMEN VIGILANCIA'!AV21)</f>
        <v/>
      </c>
      <c r="AX24" s="408" t="str">
        <f>IF(ISBLANK('RESUMEN VIGILANCIA'!AW21),"",'RESUMEN VIGILANCIA'!AW21)</f>
        <v/>
      </c>
      <c r="AY24" s="408" t="str">
        <f>IF(ISBLANK('RESUMEN VIGILANCIA'!AX21),"",'RESUMEN VIGILANCIA'!AX21)</f>
        <v/>
      </c>
      <c r="AZ24" s="408" t="str">
        <f>IF(ISBLANK('RESUMEN VIGILANCIA'!AY21),"",'RESUMEN VIGILANCIA'!AY21)</f>
        <v/>
      </c>
      <c r="BA24" s="409" t="str">
        <f>IF(ISBLANK('RESUMEN VIGILANCIA'!AZ21),"",'RESUMEN VIGILANCIA'!AZ21)</f>
        <v/>
      </c>
      <c r="BB24" s="244">
        <f t="shared" si="0"/>
        <v>0</v>
      </c>
      <c r="BC24" s="110"/>
      <c r="BD24" s="110"/>
    </row>
    <row r="25" spans="1:56" s="29" customFormat="1" ht="20.100000000000001" customHeight="1">
      <c r="A25" s="37" t="str">
        <f>'RESUMEN VIGILANCIA'!A22</f>
        <v>Familia Delgado</v>
      </c>
      <c r="B25" s="38" t="str">
        <f>'RESUMEN VIGILANCIA'!B22</f>
        <v>Calle Guacara Nro. 87-19</v>
      </c>
      <c r="C25" s="450"/>
      <c r="D25" s="458" t="s">
        <v>1248</v>
      </c>
      <c r="E25" s="438" t="str">
        <f>IF(ISBLANK('RESUMEN VIGILANCIA'!D22),"",'RESUMEN VIGILANCIA'!D22)</f>
        <v/>
      </c>
      <c r="F25" s="264" t="str">
        <f>IF(ISBLANK('RESUMEN VIGILANCIA'!E22),"",'RESUMEN VIGILANCIA'!E22)</f>
        <v/>
      </c>
      <c r="G25" s="200" t="str">
        <f>IF(ISBLANK('RESUMEN VIGILANCIA'!F22),"",'RESUMEN VIGILANCIA'!F22)</f>
        <v/>
      </c>
      <c r="H25" s="200" t="str">
        <f>IF(ISBLANK('RESUMEN VIGILANCIA'!G22),"",'RESUMEN VIGILANCIA'!G22)</f>
        <v/>
      </c>
      <c r="I25" s="200" t="str">
        <f>IF(ISBLANK('RESUMEN VIGILANCIA'!H22),"",'RESUMEN VIGILANCIA'!H22)</f>
        <v/>
      </c>
      <c r="J25" s="200" t="str">
        <f>IF(ISBLANK('RESUMEN VIGILANCIA'!I22),"",'RESUMEN VIGILANCIA'!I22)</f>
        <v/>
      </c>
      <c r="K25" s="200" t="str">
        <f>IF(ISBLANK('RESUMEN VIGILANCIA'!J22),"",'RESUMEN VIGILANCIA'!J22)</f>
        <v/>
      </c>
      <c r="L25" s="200" t="str">
        <f>IF(ISBLANK('RESUMEN VIGILANCIA'!K22),"",'RESUMEN VIGILANCIA'!K22)</f>
        <v/>
      </c>
      <c r="M25" s="200" t="str">
        <f>IF(ISBLANK('RESUMEN VIGILANCIA'!L22),"",'RESUMEN VIGILANCIA'!L22)</f>
        <v/>
      </c>
      <c r="N25" s="200" t="str">
        <f>IF(ISBLANK('RESUMEN VIGILANCIA'!M22),"",'RESUMEN VIGILANCIA'!M22)</f>
        <v/>
      </c>
      <c r="O25" s="200" t="str">
        <f>IF(ISBLANK('RESUMEN VIGILANCIA'!N22),"",'RESUMEN VIGILANCIA'!N22)</f>
        <v/>
      </c>
      <c r="P25" s="265" t="str">
        <f>IF(ISBLANK('RESUMEN VIGILANCIA'!O22),"",'RESUMEN VIGILANCIA'!O22)</f>
        <v/>
      </c>
      <c r="Q25" s="198" t="str">
        <f>IF(ISBLANK('RESUMEN VIGILANCIA'!P22),"",'RESUMEN VIGILANCIA'!P22)</f>
        <v/>
      </c>
      <c r="R25" s="266" t="str">
        <f>IF(ISBLANK('RESUMEN VIGILANCIA'!Q22),"",'RESUMEN VIGILANCIA'!Q22)</f>
        <v/>
      </c>
      <c r="S25" s="265" t="str">
        <f>IF(ISBLANK('RESUMEN VIGILANCIA'!R22),"",'RESUMEN VIGILANCIA'!R22)</f>
        <v/>
      </c>
      <c r="T25" s="265" t="str">
        <f>IF(ISBLANK('RESUMEN VIGILANCIA'!S22),"",'RESUMEN VIGILANCIA'!S22)</f>
        <v/>
      </c>
      <c r="U25" s="265" t="str">
        <f>IF(ISBLANK('RESUMEN VIGILANCIA'!T22),"",'RESUMEN VIGILANCIA'!T22)</f>
        <v/>
      </c>
      <c r="V25" s="265" t="str">
        <f>IF(ISBLANK('RESUMEN VIGILANCIA'!U22),"",'RESUMEN VIGILANCIA'!U22)</f>
        <v/>
      </c>
      <c r="W25" s="265" t="str">
        <f>IF(ISBLANK('RESUMEN VIGILANCIA'!V22),"",'RESUMEN VIGILANCIA'!V22)</f>
        <v/>
      </c>
      <c r="X25" s="265" t="str">
        <f>IF(ISBLANK('RESUMEN VIGILANCIA'!W22),"",'RESUMEN VIGILANCIA'!W22)</f>
        <v/>
      </c>
      <c r="Y25" s="265" t="str">
        <f>IF(ISBLANK('RESUMEN VIGILANCIA'!X22),"",'RESUMEN VIGILANCIA'!X22)</f>
        <v/>
      </c>
      <c r="Z25" s="479" t="str">
        <f>IF(ISBLANK('RESUMEN VIGILANCIA'!Y22),"",'RESUMEN VIGILANCIA'!Y22)</f>
        <v/>
      </c>
      <c r="AA25" s="479" t="str">
        <f>IF(ISBLANK('RESUMEN VIGILANCIA'!Z22),"",'RESUMEN VIGILANCIA'!Z22)</f>
        <v/>
      </c>
      <c r="AB25" s="479" t="str">
        <f>IF(ISBLANK('RESUMEN VIGILANCIA'!AA22),"",'RESUMEN VIGILANCIA'!AA22)</f>
        <v/>
      </c>
      <c r="AC25" s="480" t="str">
        <f>IF(ISBLANK('RESUMEN VIGILANCIA'!AB22),"",'RESUMEN VIGILANCIA'!AB22)</f>
        <v/>
      </c>
      <c r="AD25" s="407" t="str">
        <f>IF(ISBLANK('RESUMEN VIGILANCIA'!AC22),"",'RESUMEN VIGILANCIA'!AC22)</f>
        <v/>
      </c>
      <c r="AE25" s="408" t="str">
        <f>IF(ISBLANK('RESUMEN VIGILANCIA'!AD22),"",'RESUMEN VIGILANCIA'!AD22)</f>
        <v/>
      </c>
      <c r="AF25" s="408" t="str">
        <f>IF(ISBLANK('RESUMEN VIGILANCIA'!AE22),"",'RESUMEN VIGILANCIA'!AE22)</f>
        <v/>
      </c>
      <c r="AG25" s="408" t="str">
        <f>IF(ISBLANK('RESUMEN VIGILANCIA'!AF22),"",'RESUMEN VIGILANCIA'!AF22)</f>
        <v/>
      </c>
      <c r="AH25" s="408" t="str">
        <f>IF(ISBLANK('RESUMEN VIGILANCIA'!AG22),"",'RESUMEN VIGILANCIA'!AG22)</f>
        <v/>
      </c>
      <c r="AI25" s="408" t="str">
        <f>IF(ISBLANK('RESUMEN VIGILANCIA'!AH22),"",'RESUMEN VIGILANCIA'!AH22)</f>
        <v/>
      </c>
      <c r="AJ25" s="408" t="str">
        <f>IF(ISBLANK('RESUMEN VIGILANCIA'!AI22),"",'RESUMEN VIGILANCIA'!AI22)</f>
        <v/>
      </c>
      <c r="AK25" s="408" t="str">
        <f>IF(ISBLANK('RESUMEN VIGILANCIA'!AJ22),"",'RESUMEN VIGILANCIA'!AJ22)</f>
        <v/>
      </c>
      <c r="AL25" s="408" t="str">
        <f>IF(ISBLANK('RESUMEN VIGILANCIA'!AK22),"",'RESUMEN VIGILANCIA'!AK22)</f>
        <v/>
      </c>
      <c r="AM25" s="408" t="str">
        <f>IF(ISBLANK('RESUMEN VIGILANCIA'!AL22),"",'RESUMEN VIGILANCIA'!AL22)</f>
        <v/>
      </c>
      <c r="AN25" s="408" t="str">
        <f>IF(ISBLANK('RESUMEN VIGILANCIA'!AM22),"",'RESUMEN VIGILANCIA'!AM22)</f>
        <v/>
      </c>
      <c r="AO25" s="409" t="str">
        <f>IF(ISBLANK('RESUMEN VIGILANCIA'!AN22),"",'RESUMEN VIGILANCIA'!AN22)</f>
        <v/>
      </c>
      <c r="AP25" s="407" t="str">
        <f>IF(ISBLANK('RESUMEN VIGILANCIA'!AO22),"",'RESUMEN VIGILANCIA'!AO22)</f>
        <v/>
      </c>
      <c r="AQ25" s="408" t="str">
        <f>IF(ISBLANK('RESUMEN VIGILANCIA'!AP22),"",'RESUMEN VIGILANCIA'!AP22)</f>
        <v/>
      </c>
      <c r="AR25" s="408" t="str">
        <f>IF(ISBLANK('RESUMEN VIGILANCIA'!AQ22),"",'RESUMEN VIGILANCIA'!AQ22)</f>
        <v/>
      </c>
      <c r="AS25" s="408" t="str">
        <f>IF(ISBLANK('RESUMEN VIGILANCIA'!AR22),"",'RESUMEN VIGILANCIA'!AR22)</f>
        <v/>
      </c>
      <c r="AT25" s="408" t="str">
        <f>IF(ISBLANK('RESUMEN VIGILANCIA'!AS22),"",'RESUMEN VIGILANCIA'!AS22)</f>
        <v/>
      </c>
      <c r="AU25" s="408" t="str">
        <f>IF(ISBLANK('RESUMEN VIGILANCIA'!AT22),"",'RESUMEN VIGILANCIA'!AT22)</f>
        <v/>
      </c>
      <c r="AV25" s="408" t="str">
        <f>IF(ISBLANK('RESUMEN VIGILANCIA'!AU22),"",'RESUMEN VIGILANCIA'!AU22)</f>
        <v/>
      </c>
      <c r="AW25" s="408" t="str">
        <f>IF(ISBLANK('RESUMEN VIGILANCIA'!AV22),"",'RESUMEN VIGILANCIA'!AV22)</f>
        <v/>
      </c>
      <c r="AX25" s="408" t="str">
        <f>IF(ISBLANK('RESUMEN VIGILANCIA'!AW22),"",'RESUMEN VIGILANCIA'!AW22)</f>
        <v/>
      </c>
      <c r="AY25" s="408" t="str">
        <f>IF(ISBLANK('RESUMEN VIGILANCIA'!AX22),"",'RESUMEN VIGILANCIA'!AX22)</f>
        <v/>
      </c>
      <c r="AZ25" s="408" t="str">
        <f>IF(ISBLANK('RESUMEN VIGILANCIA'!AY22),"",'RESUMEN VIGILANCIA'!AY22)</f>
        <v/>
      </c>
      <c r="BA25" s="409" t="str">
        <f>IF(ISBLANK('RESUMEN VIGILANCIA'!AZ22),"",'RESUMEN VIGILANCIA'!AZ22)</f>
        <v/>
      </c>
      <c r="BB25" s="244">
        <f t="shared" si="0"/>
        <v>0</v>
      </c>
      <c r="BC25" s="110"/>
      <c r="BD25" s="110"/>
    </row>
    <row r="26" spans="1:56" s="29" customFormat="1" ht="20.100000000000001" customHeight="1">
      <c r="A26" s="37" t="str">
        <f>'RESUMEN VIGILANCIA'!A23</f>
        <v>Familia Pereira</v>
      </c>
      <c r="B26" s="38" t="str">
        <f>'RESUMEN VIGILANCIA'!B23</f>
        <v>Calle Guacara Nro. 87-27</v>
      </c>
      <c r="C26" s="450"/>
      <c r="D26" s="458" t="s">
        <v>1248</v>
      </c>
      <c r="E26" s="438" t="str">
        <f>IF(ISBLANK('RESUMEN VIGILANCIA'!D23),"",'RESUMEN VIGILANCIA'!D23)</f>
        <v/>
      </c>
      <c r="F26" s="264" t="str">
        <f>IF(ISBLANK('RESUMEN VIGILANCIA'!E23),"",'RESUMEN VIGILANCIA'!E23)</f>
        <v/>
      </c>
      <c r="G26" s="200" t="str">
        <f>IF(ISBLANK('RESUMEN VIGILANCIA'!F23),"",'RESUMEN VIGILANCIA'!F23)</f>
        <v/>
      </c>
      <c r="H26" s="200" t="str">
        <f>IF(ISBLANK('RESUMEN VIGILANCIA'!G23),"",'RESUMEN VIGILANCIA'!G23)</f>
        <v/>
      </c>
      <c r="I26" s="200" t="str">
        <f>IF(ISBLANK('RESUMEN VIGILANCIA'!H23),"",'RESUMEN VIGILANCIA'!H23)</f>
        <v/>
      </c>
      <c r="J26" s="200" t="str">
        <f>IF(ISBLANK('RESUMEN VIGILANCIA'!I23),"",'RESUMEN VIGILANCIA'!I23)</f>
        <v/>
      </c>
      <c r="K26" s="200" t="str">
        <f>IF(ISBLANK('RESUMEN VIGILANCIA'!J23),"",'RESUMEN VIGILANCIA'!J23)</f>
        <v/>
      </c>
      <c r="L26" s="200" t="str">
        <f>IF(ISBLANK('RESUMEN VIGILANCIA'!K23),"",'RESUMEN VIGILANCIA'!K23)</f>
        <v/>
      </c>
      <c r="M26" s="200" t="str">
        <f>IF(ISBLANK('RESUMEN VIGILANCIA'!L23),"",'RESUMEN VIGILANCIA'!L23)</f>
        <v/>
      </c>
      <c r="N26" s="200" t="str">
        <f>IF(ISBLANK('RESUMEN VIGILANCIA'!M23),"",'RESUMEN VIGILANCIA'!M23)</f>
        <v/>
      </c>
      <c r="O26" s="200" t="str">
        <f>IF(ISBLANK('RESUMEN VIGILANCIA'!N23),"",'RESUMEN VIGILANCIA'!N23)</f>
        <v/>
      </c>
      <c r="P26" s="265" t="str">
        <f>IF(ISBLANK('RESUMEN VIGILANCIA'!O23),"",'RESUMEN VIGILANCIA'!O23)</f>
        <v/>
      </c>
      <c r="Q26" s="198" t="str">
        <f>IF(ISBLANK('RESUMEN VIGILANCIA'!P23),"",'RESUMEN VIGILANCIA'!P23)</f>
        <v/>
      </c>
      <c r="R26" s="266" t="str">
        <f>IF(ISBLANK('RESUMEN VIGILANCIA'!Q23),"",'RESUMEN VIGILANCIA'!Q23)</f>
        <v/>
      </c>
      <c r="S26" s="265" t="str">
        <f>IF(ISBLANK('RESUMEN VIGILANCIA'!R23),"",'RESUMEN VIGILANCIA'!R23)</f>
        <v/>
      </c>
      <c r="T26" s="265" t="str">
        <f>IF(ISBLANK('RESUMEN VIGILANCIA'!S23),"",'RESUMEN VIGILANCIA'!S23)</f>
        <v/>
      </c>
      <c r="U26" s="265" t="str">
        <f>IF(ISBLANK('RESUMEN VIGILANCIA'!T23),"",'RESUMEN VIGILANCIA'!T23)</f>
        <v/>
      </c>
      <c r="V26" s="265" t="str">
        <f>IF(ISBLANK('RESUMEN VIGILANCIA'!U23),"",'RESUMEN VIGILANCIA'!U23)</f>
        <v/>
      </c>
      <c r="W26" s="265" t="str">
        <f>IF(ISBLANK('RESUMEN VIGILANCIA'!V23),"",'RESUMEN VIGILANCIA'!V23)</f>
        <v/>
      </c>
      <c r="X26" s="265" t="str">
        <f>IF(ISBLANK('RESUMEN VIGILANCIA'!W23),"",'RESUMEN VIGILANCIA'!W23)</f>
        <v/>
      </c>
      <c r="Y26" s="265" t="str">
        <f>IF(ISBLANK('RESUMEN VIGILANCIA'!X23),"",'RESUMEN VIGILANCIA'!X23)</f>
        <v/>
      </c>
      <c r="Z26" s="479" t="str">
        <f>IF(ISBLANK('RESUMEN VIGILANCIA'!Y23),"",'RESUMEN VIGILANCIA'!Y23)</f>
        <v/>
      </c>
      <c r="AA26" s="479" t="str">
        <f>IF(ISBLANK('RESUMEN VIGILANCIA'!Z23),"",'RESUMEN VIGILANCIA'!Z23)</f>
        <v/>
      </c>
      <c r="AB26" s="479" t="str">
        <f>IF(ISBLANK('RESUMEN VIGILANCIA'!AA23),"",'RESUMEN VIGILANCIA'!AA23)</f>
        <v/>
      </c>
      <c r="AC26" s="480" t="str">
        <f>IF(ISBLANK('RESUMEN VIGILANCIA'!AB23),"",'RESUMEN VIGILANCIA'!AB23)</f>
        <v/>
      </c>
      <c r="AD26" s="407" t="str">
        <f>IF(ISBLANK('RESUMEN VIGILANCIA'!AC23),"",'RESUMEN VIGILANCIA'!AC23)</f>
        <v/>
      </c>
      <c r="AE26" s="408" t="str">
        <f>IF(ISBLANK('RESUMEN VIGILANCIA'!AD23),"",'RESUMEN VIGILANCIA'!AD23)</f>
        <v/>
      </c>
      <c r="AF26" s="408" t="str">
        <f>IF(ISBLANK('RESUMEN VIGILANCIA'!AE23),"",'RESUMEN VIGILANCIA'!AE23)</f>
        <v/>
      </c>
      <c r="AG26" s="408" t="str">
        <f>IF(ISBLANK('RESUMEN VIGILANCIA'!AF23),"",'RESUMEN VIGILANCIA'!AF23)</f>
        <v/>
      </c>
      <c r="AH26" s="408" t="str">
        <f>IF(ISBLANK('RESUMEN VIGILANCIA'!AG23),"",'RESUMEN VIGILANCIA'!AG23)</f>
        <v/>
      </c>
      <c r="AI26" s="408" t="str">
        <f>IF(ISBLANK('RESUMEN VIGILANCIA'!AH23),"",'RESUMEN VIGILANCIA'!AH23)</f>
        <v/>
      </c>
      <c r="AJ26" s="408" t="str">
        <f>IF(ISBLANK('RESUMEN VIGILANCIA'!AI23),"",'RESUMEN VIGILANCIA'!AI23)</f>
        <v/>
      </c>
      <c r="AK26" s="408" t="str">
        <f>IF(ISBLANK('RESUMEN VIGILANCIA'!AJ23),"",'RESUMEN VIGILANCIA'!AJ23)</f>
        <v/>
      </c>
      <c r="AL26" s="408" t="str">
        <f>IF(ISBLANK('RESUMEN VIGILANCIA'!AK23),"",'RESUMEN VIGILANCIA'!AK23)</f>
        <v/>
      </c>
      <c r="AM26" s="408" t="str">
        <f>IF(ISBLANK('RESUMEN VIGILANCIA'!AL23),"",'RESUMEN VIGILANCIA'!AL23)</f>
        <v/>
      </c>
      <c r="AN26" s="408" t="str">
        <f>IF(ISBLANK('RESUMEN VIGILANCIA'!AM23),"",'RESUMEN VIGILANCIA'!AM23)</f>
        <v/>
      </c>
      <c r="AO26" s="409" t="str">
        <f>IF(ISBLANK('RESUMEN VIGILANCIA'!AN23),"",'RESUMEN VIGILANCIA'!AN23)</f>
        <v/>
      </c>
      <c r="AP26" s="407" t="str">
        <f>IF(ISBLANK('RESUMEN VIGILANCIA'!AO23),"",'RESUMEN VIGILANCIA'!AO23)</f>
        <v/>
      </c>
      <c r="AQ26" s="408" t="str">
        <f>IF(ISBLANK('RESUMEN VIGILANCIA'!AP23),"",'RESUMEN VIGILANCIA'!AP23)</f>
        <v/>
      </c>
      <c r="AR26" s="408" t="str">
        <f>IF(ISBLANK('RESUMEN VIGILANCIA'!AQ23),"",'RESUMEN VIGILANCIA'!AQ23)</f>
        <v/>
      </c>
      <c r="AS26" s="408" t="str">
        <f>IF(ISBLANK('RESUMEN VIGILANCIA'!AR23),"",'RESUMEN VIGILANCIA'!AR23)</f>
        <v/>
      </c>
      <c r="AT26" s="408" t="str">
        <f>IF(ISBLANK('RESUMEN VIGILANCIA'!AS23),"",'RESUMEN VIGILANCIA'!AS23)</f>
        <v/>
      </c>
      <c r="AU26" s="408" t="str">
        <f>IF(ISBLANK('RESUMEN VIGILANCIA'!AT23),"",'RESUMEN VIGILANCIA'!AT23)</f>
        <v/>
      </c>
      <c r="AV26" s="408" t="str">
        <f>IF(ISBLANK('RESUMEN VIGILANCIA'!AU23),"",'RESUMEN VIGILANCIA'!AU23)</f>
        <v/>
      </c>
      <c r="AW26" s="408" t="str">
        <f>IF(ISBLANK('RESUMEN VIGILANCIA'!AV23),"",'RESUMEN VIGILANCIA'!AV23)</f>
        <v/>
      </c>
      <c r="AX26" s="408" t="str">
        <f>IF(ISBLANK('RESUMEN VIGILANCIA'!AW23),"",'RESUMEN VIGILANCIA'!AW23)</f>
        <v/>
      </c>
      <c r="AY26" s="408" t="str">
        <f>IF(ISBLANK('RESUMEN VIGILANCIA'!AX23),"",'RESUMEN VIGILANCIA'!AX23)</f>
        <v/>
      </c>
      <c r="AZ26" s="408" t="str">
        <f>IF(ISBLANK('RESUMEN VIGILANCIA'!AY23),"",'RESUMEN VIGILANCIA'!AY23)</f>
        <v/>
      </c>
      <c r="BA26" s="409" t="str">
        <f>IF(ISBLANK('RESUMEN VIGILANCIA'!AZ23),"",'RESUMEN VIGILANCIA'!AZ23)</f>
        <v/>
      </c>
      <c r="BB26" s="244">
        <f t="shared" si="0"/>
        <v>0</v>
      </c>
      <c r="BC26" s="110"/>
      <c r="BD26" s="110"/>
    </row>
    <row r="27" spans="1:56" s="29" customFormat="1" ht="20.100000000000001" customHeight="1">
      <c r="A27" s="37" t="str">
        <f>'RESUMEN VIGILANCIA'!A25</f>
        <v>Familia Morillo</v>
      </c>
      <c r="B27" s="38" t="str">
        <f>'RESUMEN VIGILANCIA'!B25</f>
        <v>Calle Guacara Nro. 87-35</v>
      </c>
      <c r="C27" s="450"/>
      <c r="D27" s="458" t="s">
        <v>1248</v>
      </c>
      <c r="E27" s="438" t="str">
        <f>IF(ISBLANK('RESUMEN VIGILANCIA'!D25),"",'RESUMEN VIGILANCIA'!D25)</f>
        <v/>
      </c>
      <c r="F27" s="264" t="str">
        <f>IF(ISBLANK('RESUMEN VIGILANCIA'!E25),"",'RESUMEN VIGILANCIA'!E25)</f>
        <v/>
      </c>
      <c r="G27" s="200" t="str">
        <f>IF(ISBLANK('RESUMEN VIGILANCIA'!F25),"",'RESUMEN VIGILANCIA'!F25)</f>
        <v/>
      </c>
      <c r="H27" s="200" t="str">
        <f>IF(ISBLANK('RESUMEN VIGILANCIA'!G25),"",'RESUMEN VIGILANCIA'!G25)</f>
        <v/>
      </c>
      <c r="I27" s="200" t="str">
        <f>IF(ISBLANK('RESUMEN VIGILANCIA'!H25),"",'RESUMEN VIGILANCIA'!H25)</f>
        <v/>
      </c>
      <c r="J27" s="200" t="str">
        <f>IF(ISBLANK('RESUMEN VIGILANCIA'!I25),"",'RESUMEN VIGILANCIA'!I25)</f>
        <v/>
      </c>
      <c r="K27" s="200" t="str">
        <f>IF(ISBLANK('RESUMEN VIGILANCIA'!J25),"",'RESUMEN VIGILANCIA'!J25)</f>
        <v/>
      </c>
      <c r="L27" s="200" t="str">
        <f>IF(ISBLANK('RESUMEN VIGILANCIA'!K25),"",'RESUMEN VIGILANCIA'!K25)</f>
        <v/>
      </c>
      <c r="M27" s="200" t="str">
        <f>IF(ISBLANK('RESUMEN VIGILANCIA'!L25),"",'RESUMEN VIGILANCIA'!L25)</f>
        <v/>
      </c>
      <c r="N27" s="200" t="str">
        <f>IF(ISBLANK('RESUMEN VIGILANCIA'!M25),"",'RESUMEN VIGILANCIA'!M25)</f>
        <v/>
      </c>
      <c r="O27" s="200" t="str">
        <f>IF(ISBLANK('RESUMEN VIGILANCIA'!N25),"",'RESUMEN VIGILANCIA'!N25)</f>
        <v/>
      </c>
      <c r="P27" s="265" t="str">
        <f>IF(ISBLANK('RESUMEN VIGILANCIA'!O25),"",'RESUMEN VIGILANCIA'!O25)</f>
        <v/>
      </c>
      <c r="Q27" s="198" t="str">
        <f>IF(ISBLANK('RESUMEN VIGILANCIA'!P25),"",'RESUMEN VIGILANCIA'!P25)</f>
        <v/>
      </c>
      <c r="R27" s="266" t="str">
        <f>IF(ISBLANK('RESUMEN VIGILANCIA'!Q25),"",'RESUMEN VIGILANCIA'!Q25)</f>
        <v/>
      </c>
      <c r="S27" s="265" t="str">
        <f>IF(ISBLANK('RESUMEN VIGILANCIA'!R25),"",'RESUMEN VIGILANCIA'!R25)</f>
        <v/>
      </c>
      <c r="T27" s="265" t="str">
        <f>IF(ISBLANK('RESUMEN VIGILANCIA'!S25),"",'RESUMEN VIGILANCIA'!S25)</f>
        <v/>
      </c>
      <c r="U27" s="265" t="str">
        <f>IF(ISBLANK('RESUMEN VIGILANCIA'!T25),"",'RESUMEN VIGILANCIA'!T25)</f>
        <v/>
      </c>
      <c r="V27" s="265" t="str">
        <f>IF(ISBLANK('RESUMEN VIGILANCIA'!U25),"",'RESUMEN VIGILANCIA'!U25)</f>
        <v/>
      </c>
      <c r="W27" s="265" t="str">
        <f>IF(ISBLANK('RESUMEN VIGILANCIA'!V25),"",'RESUMEN VIGILANCIA'!V25)</f>
        <v/>
      </c>
      <c r="X27" s="265" t="str">
        <f>IF(ISBLANK('RESUMEN VIGILANCIA'!W25),"",'RESUMEN VIGILANCIA'!W25)</f>
        <v/>
      </c>
      <c r="Y27" s="265" t="str">
        <f>IF(ISBLANK('RESUMEN VIGILANCIA'!X25),"",'RESUMEN VIGILANCIA'!X25)</f>
        <v/>
      </c>
      <c r="Z27" s="479" t="str">
        <f>IF(ISBLANK('RESUMEN VIGILANCIA'!Y25),"",'RESUMEN VIGILANCIA'!Y25)</f>
        <v/>
      </c>
      <c r="AA27" s="479" t="str">
        <f>IF(ISBLANK('RESUMEN VIGILANCIA'!Z25),"",'RESUMEN VIGILANCIA'!Z25)</f>
        <v/>
      </c>
      <c r="AB27" s="479" t="str">
        <f>IF(ISBLANK('RESUMEN VIGILANCIA'!AA25),"",'RESUMEN VIGILANCIA'!AA25)</f>
        <v/>
      </c>
      <c r="AC27" s="480" t="str">
        <f>IF(ISBLANK('RESUMEN VIGILANCIA'!AB25),"",'RESUMEN VIGILANCIA'!AB25)</f>
        <v/>
      </c>
      <c r="AD27" s="407" t="str">
        <f>IF(ISBLANK('RESUMEN VIGILANCIA'!AC25),"",'RESUMEN VIGILANCIA'!AC25)</f>
        <v/>
      </c>
      <c r="AE27" s="408" t="str">
        <f>IF(ISBLANK('RESUMEN VIGILANCIA'!AD25),"",'RESUMEN VIGILANCIA'!AD25)</f>
        <v/>
      </c>
      <c r="AF27" s="408" t="str">
        <f>IF(ISBLANK('RESUMEN VIGILANCIA'!AE25),"",'RESUMEN VIGILANCIA'!AE25)</f>
        <v/>
      </c>
      <c r="AG27" s="408" t="str">
        <f>IF(ISBLANK('RESUMEN VIGILANCIA'!AF25),"",'RESUMEN VIGILANCIA'!AF25)</f>
        <v/>
      </c>
      <c r="AH27" s="408" t="str">
        <f>IF(ISBLANK('RESUMEN VIGILANCIA'!AG25),"",'RESUMEN VIGILANCIA'!AG25)</f>
        <v/>
      </c>
      <c r="AI27" s="408" t="str">
        <f>IF(ISBLANK('RESUMEN VIGILANCIA'!AH25),"",'RESUMEN VIGILANCIA'!AH25)</f>
        <v/>
      </c>
      <c r="AJ27" s="408" t="str">
        <f>IF(ISBLANK('RESUMEN VIGILANCIA'!AI25),"",'RESUMEN VIGILANCIA'!AI25)</f>
        <v/>
      </c>
      <c r="AK27" s="408" t="str">
        <f>IF(ISBLANK('RESUMEN VIGILANCIA'!AJ25),"",'RESUMEN VIGILANCIA'!AJ25)</f>
        <v/>
      </c>
      <c r="AL27" s="408" t="str">
        <f>IF(ISBLANK('RESUMEN VIGILANCIA'!AK25),"",'RESUMEN VIGILANCIA'!AK25)</f>
        <v/>
      </c>
      <c r="AM27" s="408" t="str">
        <f>IF(ISBLANK('RESUMEN VIGILANCIA'!AL25),"",'RESUMEN VIGILANCIA'!AL25)</f>
        <v/>
      </c>
      <c r="AN27" s="408" t="str">
        <f>IF(ISBLANK('RESUMEN VIGILANCIA'!AM25),"",'RESUMEN VIGILANCIA'!AM25)</f>
        <v/>
      </c>
      <c r="AO27" s="409" t="str">
        <f>IF(ISBLANK('RESUMEN VIGILANCIA'!AN25),"",'RESUMEN VIGILANCIA'!AN25)</f>
        <v/>
      </c>
      <c r="AP27" s="407" t="str">
        <f>IF(ISBLANK('RESUMEN VIGILANCIA'!AO25),"",'RESUMEN VIGILANCIA'!AO25)</f>
        <v/>
      </c>
      <c r="AQ27" s="408" t="str">
        <f>IF(ISBLANK('RESUMEN VIGILANCIA'!AP25),"",'RESUMEN VIGILANCIA'!AP25)</f>
        <v/>
      </c>
      <c r="AR27" s="408" t="str">
        <f>IF(ISBLANK('RESUMEN VIGILANCIA'!AQ25),"",'RESUMEN VIGILANCIA'!AQ25)</f>
        <v/>
      </c>
      <c r="AS27" s="408" t="str">
        <f>IF(ISBLANK('RESUMEN VIGILANCIA'!AR25),"",'RESUMEN VIGILANCIA'!AR25)</f>
        <v/>
      </c>
      <c r="AT27" s="408" t="str">
        <f>IF(ISBLANK('RESUMEN VIGILANCIA'!AS25),"",'RESUMEN VIGILANCIA'!AS25)</f>
        <v/>
      </c>
      <c r="AU27" s="408" t="str">
        <f>IF(ISBLANK('RESUMEN VIGILANCIA'!AT25),"",'RESUMEN VIGILANCIA'!AT25)</f>
        <v/>
      </c>
      <c r="AV27" s="408" t="str">
        <f>IF(ISBLANK('RESUMEN VIGILANCIA'!AU25),"",'RESUMEN VIGILANCIA'!AU25)</f>
        <v/>
      </c>
      <c r="AW27" s="408" t="str">
        <f>IF(ISBLANK('RESUMEN VIGILANCIA'!AV25),"",'RESUMEN VIGILANCIA'!AV25)</f>
        <v/>
      </c>
      <c r="AX27" s="408" t="str">
        <f>IF(ISBLANK('RESUMEN VIGILANCIA'!AW25),"",'RESUMEN VIGILANCIA'!AW25)</f>
        <v/>
      </c>
      <c r="AY27" s="408" t="str">
        <f>IF(ISBLANK('RESUMEN VIGILANCIA'!AX25),"",'RESUMEN VIGILANCIA'!AX25)</f>
        <v/>
      </c>
      <c r="AZ27" s="408" t="str">
        <f>IF(ISBLANK('RESUMEN VIGILANCIA'!AY25),"",'RESUMEN VIGILANCIA'!AY25)</f>
        <v/>
      </c>
      <c r="BA27" s="409" t="str">
        <f>IF(ISBLANK('RESUMEN VIGILANCIA'!AZ25),"",'RESUMEN VIGILANCIA'!AZ25)</f>
        <v/>
      </c>
      <c r="BB27" s="244">
        <f t="shared" si="0"/>
        <v>0</v>
      </c>
      <c r="BC27" s="110"/>
      <c r="BD27" s="110"/>
    </row>
    <row r="28" spans="1:56" s="29" customFormat="1" ht="20.100000000000001" customHeight="1">
      <c r="A28" s="37" t="str">
        <f>'RESUMEN VIGILANCIA'!A29</f>
        <v>Familia De Sousa Pereira</v>
      </c>
      <c r="B28" s="38" t="str">
        <f>'RESUMEN VIGILANCIA'!B29</f>
        <v>Calle Guacara Nro. 87-65</v>
      </c>
      <c r="C28" s="450"/>
      <c r="D28" s="458" t="s">
        <v>1248</v>
      </c>
      <c r="E28" s="438" t="str">
        <f>IF(ISBLANK('RESUMEN VIGILANCIA'!D29),"",'RESUMEN VIGILANCIA'!D29)</f>
        <v/>
      </c>
      <c r="F28" s="264" t="str">
        <f>IF(ISBLANK('RESUMEN VIGILANCIA'!E29),"",'RESUMEN VIGILANCIA'!E29)</f>
        <v/>
      </c>
      <c r="G28" s="200" t="str">
        <f>IF(ISBLANK('RESUMEN VIGILANCIA'!F29),"",'RESUMEN VIGILANCIA'!F29)</f>
        <v/>
      </c>
      <c r="H28" s="200" t="str">
        <f>IF(ISBLANK('RESUMEN VIGILANCIA'!G29),"",'RESUMEN VIGILANCIA'!G29)</f>
        <v/>
      </c>
      <c r="I28" s="200" t="str">
        <f>IF(ISBLANK('RESUMEN VIGILANCIA'!H29),"",'RESUMEN VIGILANCIA'!H29)</f>
        <v/>
      </c>
      <c r="J28" s="200" t="str">
        <f>IF(ISBLANK('RESUMEN VIGILANCIA'!I29),"",'RESUMEN VIGILANCIA'!I29)</f>
        <v/>
      </c>
      <c r="K28" s="200" t="str">
        <f>IF(ISBLANK('RESUMEN VIGILANCIA'!J29),"",'RESUMEN VIGILANCIA'!J29)</f>
        <v/>
      </c>
      <c r="L28" s="200" t="str">
        <f>IF(ISBLANK('RESUMEN VIGILANCIA'!K29),"",'RESUMEN VIGILANCIA'!K29)</f>
        <v/>
      </c>
      <c r="M28" s="200" t="str">
        <f>IF(ISBLANK('RESUMEN VIGILANCIA'!L29),"",'RESUMEN VIGILANCIA'!L29)</f>
        <v/>
      </c>
      <c r="N28" s="200" t="str">
        <f>IF(ISBLANK('RESUMEN VIGILANCIA'!M29),"",'RESUMEN VIGILANCIA'!M29)</f>
        <v/>
      </c>
      <c r="O28" s="200" t="str">
        <f>IF(ISBLANK('RESUMEN VIGILANCIA'!N29),"",'RESUMEN VIGILANCIA'!N29)</f>
        <v/>
      </c>
      <c r="P28" s="265" t="str">
        <f>IF(ISBLANK('RESUMEN VIGILANCIA'!O29),"",'RESUMEN VIGILANCIA'!O29)</f>
        <v/>
      </c>
      <c r="Q28" s="198" t="str">
        <f>IF(ISBLANK('RESUMEN VIGILANCIA'!P29),"",'RESUMEN VIGILANCIA'!P29)</f>
        <v/>
      </c>
      <c r="R28" s="266" t="str">
        <f>IF(ISBLANK('RESUMEN VIGILANCIA'!Q29),"",'RESUMEN VIGILANCIA'!Q29)</f>
        <v/>
      </c>
      <c r="S28" s="265" t="str">
        <f>IF(ISBLANK('RESUMEN VIGILANCIA'!R29),"",'RESUMEN VIGILANCIA'!R29)</f>
        <v/>
      </c>
      <c r="T28" s="265" t="str">
        <f>IF(ISBLANK('RESUMEN VIGILANCIA'!S29),"",'RESUMEN VIGILANCIA'!S29)</f>
        <v/>
      </c>
      <c r="U28" s="265" t="str">
        <f>IF(ISBLANK('RESUMEN VIGILANCIA'!T29),"",'RESUMEN VIGILANCIA'!T29)</f>
        <v/>
      </c>
      <c r="V28" s="265" t="str">
        <f>IF(ISBLANK('RESUMEN VIGILANCIA'!U29),"",'RESUMEN VIGILANCIA'!U29)</f>
        <v/>
      </c>
      <c r="W28" s="265" t="str">
        <f>IF(ISBLANK('RESUMEN VIGILANCIA'!V29),"",'RESUMEN VIGILANCIA'!V29)</f>
        <v/>
      </c>
      <c r="X28" s="265" t="str">
        <f>IF(ISBLANK('RESUMEN VIGILANCIA'!W29),"",'RESUMEN VIGILANCIA'!W29)</f>
        <v/>
      </c>
      <c r="Y28" s="265" t="str">
        <f>IF(ISBLANK('RESUMEN VIGILANCIA'!X29),"",'RESUMEN VIGILANCIA'!X29)</f>
        <v/>
      </c>
      <c r="Z28" s="479" t="str">
        <f>IF(ISBLANK('RESUMEN VIGILANCIA'!Y29),"",'RESUMEN VIGILANCIA'!Y29)</f>
        <v/>
      </c>
      <c r="AA28" s="479" t="str">
        <f>IF(ISBLANK('RESUMEN VIGILANCIA'!Z29),"",'RESUMEN VIGILANCIA'!Z29)</f>
        <v/>
      </c>
      <c r="AB28" s="479" t="str">
        <f>IF(ISBLANK('RESUMEN VIGILANCIA'!AA29),"",'RESUMEN VIGILANCIA'!AA29)</f>
        <v/>
      </c>
      <c r="AC28" s="480" t="str">
        <f>IF(ISBLANK('RESUMEN VIGILANCIA'!AB29),"",'RESUMEN VIGILANCIA'!AB29)</f>
        <v/>
      </c>
      <c r="AD28" s="407" t="str">
        <f>IF(ISBLANK('RESUMEN VIGILANCIA'!AC29),"",'RESUMEN VIGILANCIA'!AC29)</f>
        <v/>
      </c>
      <c r="AE28" s="408" t="str">
        <f>IF(ISBLANK('RESUMEN VIGILANCIA'!AD29),"",'RESUMEN VIGILANCIA'!AD29)</f>
        <v/>
      </c>
      <c r="AF28" s="408" t="str">
        <f>IF(ISBLANK('RESUMEN VIGILANCIA'!AE29),"",'RESUMEN VIGILANCIA'!AE29)</f>
        <v/>
      </c>
      <c r="AG28" s="408" t="str">
        <f>IF(ISBLANK('RESUMEN VIGILANCIA'!AF29),"",'RESUMEN VIGILANCIA'!AF29)</f>
        <v/>
      </c>
      <c r="AH28" s="408" t="str">
        <f>IF(ISBLANK('RESUMEN VIGILANCIA'!AG29),"",'RESUMEN VIGILANCIA'!AG29)</f>
        <v/>
      </c>
      <c r="AI28" s="408" t="str">
        <f>IF(ISBLANK('RESUMEN VIGILANCIA'!AH29),"",'RESUMEN VIGILANCIA'!AH29)</f>
        <v/>
      </c>
      <c r="AJ28" s="408" t="str">
        <f>IF(ISBLANK('RESUMEN VIGILANCIA'!AI29),"",'RESUMEN VIGILANCIA'!AI29)</f>
        <v/>
      </c>
      <c r="AK28" s="408" t="str">
        <f>IF(ISBLANK('RESUMEN VIGILANCIA'!AJ29),"",'RESUMEN VIGILANCIA'!AJ29)</f>
        <v/>
      </c>
      <c r="AL28" s="408" t="str">
        <f>IF(ISBLANK('RESUMEN VIGILANCIA'!AK29),"",'RESUMEN VIGILANCIA'!AK29)</f>
        <v/>
      </c>
      <c r="AM28" s="408" t="str">
        <f>IF(ISBLANK('RESUMEN VIGILANCIA'!AL29),"",'RESUMEN VIGILANCIA'!AL29)</f>
        <v/>
      </c>
      <c r="AN28" s="408" t="str">
        <f>IF(ISBLANK('RESUMEN VIGILANCIA'!AM29),"",'RESUMEN VIGILANCIA'!AM29)</f>
        <v/>
      </c>
      <c r="AO28" s="409" t="str">
        <f>IF(ISBLANK('RESUMEN VIGILANCIA'!AN29),"",'RESUMEN VIGILANCIA'!AN29)</f>
        <v/>
      </c>
      <c r="AP28" s="407" t="str">
        <f>IF(ISBLANK('RESUMEN VIGILANCIA'!AO29),"",'RESUMEN VIGILANCIA'!AO29)</f>
        <v/>
      </c>
      <c r="AQ28" s="408" t="str">
        <f>IF(ISBLANK('RESUMEN VIGILANCIA'!AP29),"",'RESUMEN VIGILANCIA'!AP29)</f>
        <v/>
      </c>
      <c r="AR28" s="408" t="str">
        <f>IF(ISBLANK('RESUMEN VIGILANCIA'!AQ29),"",'RESUMEN VIGILANCIA'!AQ29)</f>
        <v/>
      </c>
      <c r="AS28" s="408" t="str">
        <f>IF(ISBLANK('RESUMEN VIGILANCIA'!AR29),"",'RESUMEN VIGILANCIA'!AR29)</f>
        <v/>
      </c>
      <c r="AT28" s="408" t="str">
        <f>IF(ISBLANK('RESUMEN VIGILANCIA'!AS29),"",'RESUMEN VIGILANCIA'!AS29)</f>
        <v/>
      </c>
      <c r="AU28" s="408" t="str">
        <f>IF(ISBLANK('RESUMEN VIGILANCIA'!AT29),"",'RESUMEN VIGILANCIA'!AT29)</f>
        <v/>
      </c>
      <c r="AV28" s="408" t="str">
        <f>IF(ISBLANK('RESUMEN VIGILANCIA'!AU29),"",'RESUMEN VIGILANCIA'!AU29)</f>
        <v/>
      </c>
      <c r="AW28" s="408" t="str">
        <f>IF(ISBLANK('RESUMEN VIGILANCIA'!AV29),"",'RESUMEN VIGILANCIA'!AV29)</f>
        <v/>
      </c>
      <c r="AX28" s="408" t="str">
        <f>IF(ISBLANK('RESUMEN VIGILANCIA'!AW29),"",'RESUMEN VIGILANCIA'!AW29)</f>
        <v/>
      </c>
      <c r="AY28" s="408" t="str">
        <f>IF(ISBLANK('RESUMEN VIGILANCIA'!AX29),"",'RESUMEN VIGILANCIA'!AX29)</f>
        <v/>
      </c>
      <c r="AZ28" s="408" t="str">
        <f>IF(ISBLANK('RESUMEN VIGILANCIA'!AY29),"",'RESUMEN VIGILANCIA'!AY29)</f>
        <v/>
      </c>
      <c r="BA28" s="409" t="str">
        <f>IF(ISBLANK('RESUMEN VIGILANCIA'!AZ29),"",'RESUMEN VIGILANCIA'!AZ29)</f>
        <v/>
      </c>
      <c r="BB28" s="244">
        <f t="shared" si="0"/>
        <v>0</v>
      </c>
      <c r="BC28" s="110"/>
      <c r="BD28" s="110"/>
    </row>
    <row r="29" spans="1:56" s="29" customFormat="1" ht="20.100000000000001" customHeight="1">
      <c r="A29" s="37" t="str">
        <f>'RESUMEN VIGILANCIA'!A28</f>
        <v>Familia Ramírez (Guacara)</v>
      </c>
      <c r="B29" s="38" t="str">
        <f>'RESUMEN VIGILANCIA'!B28</f>
        <v>Calle Guacara Nro. 87-59</v>
      </c>
      <c r="C29" s="450"/>
      <c r="D29" s="458" t="s">
        <v>1248</v>
      </c>
      <c r="E29" s="438" t="str">
        <f>IF(ISBLANK('RESUMEN VIGILANCIA'!D28),"",'RESUMEN VIGILANCIA'!D28)</f>
        <v/>
      </c>
      <c r="F29" s="264" t="str">
        <f>IF(ISBLANK('RESUMEN VIGILANCIA'!E28),"",'RESUMEN VIGILANCIA'!E28)</f>
        <v/>
      </c>
      <c r="G29" s="200" t="str">
        <f>IF(ISBLANK('RESUMEN VIGILANCIA'!F28),"",'RESUMEN VIGILANCIA'!F28)</f>
        <v/>
      </c>
      <c r="H29" s="200" t="str">
        <f>IF(ISBLANK('RESUMEN VIGILANCIA'!G28),"",'RESUMEN VIGILANCIA'!G28)</f>
        <v/>
      </c>
      <c r="I29" s="200" t="str">
        <f>IF(ISBLANK('RESUMEN VIGILANCIA'!H28),"",'RESUMEN VIGILANCIA'!H28)</f>
        <v/>
      </c>
      <c r="J29" s="200" t="str">
        <f>IF(ISBLANK('RESUMEN VIGILANCIA'!I28),"",'RESUMEN VIGILANCIA'!I28)</f>
        <v/>
      </c>
      <c r="K29" s="200" t="str">
        <f>IF(ISBLANK('RESUMEN VIGILANCIA'!J28),"",'RESUMEN VIGILANCIA'!J28)</f>
        <v/>
      </c>
      <c r="L29" s="200" t="str">
        <f>IF(ISBLANK('RESUMEN VIGILANCIA'!K28),"",'RESUMEN VIGILANCIA'!K28)</f>
        <v/>
      </c>
      <c r="M29" s="200" t="str">
        <f>IF(ISBLANK('RESUMEN VIGILANCIA'!L28),"",'RESUMEN VIGILANCIA'!L28)</f>
        <v/>
      </c>
      <c r="N29" s="200" t="str">
        <f>IF(ISBLANK('RESUMEN VIGILANCIA'!M28),"",'RESUMEN VIGILANCIA'!M28)</f>
        <v/>
      </c>
      <c r="O29" s="200" t="str">
        <f>IF(ISBLANK('RESUMEN VIGILANCIA'!N28),"",'RESUMEN VIGILANCIA'!N28)</f>
        <v/>
      </c>
      <c r="P29" s="265" t="str">
        <f>IF(ISBLANK('RESUMEN VIGILANCIA'!O28),"",'RESUMEN VIGILANCIA'!O28)</f>
        <v/>
      </c>
      <c r="Q29" s="198" t="str">
        <f>IF(ISBLANK('RESUMEN VIGILANCIA'!P28),"",'RESUMEN VIGILANCIA'!P28)</f>
        <v/>
      </c>
      <c r="R29" s="266" t="str">
        <f>IF(ISBLANK('RESUMEN VIGILANCIA'!Q28),"",'RESUMEN VIGILANCIA'!Q28)</f>
        <v/>
      </c>
      <c r="S29" s="265" t="str">
        <f>IF(ISBLANK('RESUMEN VIGILANCIA'!R28),"",'RESUMEN VIGILANCIA'!R28)</f>
        <v/>
      </c>
      <c r="T29" s="265" t="str">
        <f>IF(ISBLANK('RESUMEN VIGILANCIA'!S28),"",'RESUMEN VIGILANCIA'!S28)</f>
        <v/>
      </c>
      <c r="U29" s="265" t="str">
        <f>IF(ISBLANK('RESUMEN VIGILANCIA'!T28),"",'RESUMEN VIGILANCIA'!T28)</f>
        <v/>
      </c>
      <c r="V29" s="265" t="str">
        <f>IF(ISBLANK('RESUMEN VIGILANCIA'!U28),"",'RESUMEN VIGILANCIA'!U28)</f>
        <v/>
      </c>
      <c r="W29" s="265" t="str">
        <f>IF(ISBLANK('RESUMEN VIGILANCIA'!V28),"",'RESUMEN VIGILANCIA'!V28)</f>
        <v/>
      </c>
      <c r="X29" s="265" t="str">
        <f>IF(ISBLANK('RESUMEN VIGILANCIA'!W28),"",'RESUMEN VIGILANCIA'!W28)</f>
        <v/>
      </c>
      <c r="Y29" s="265" t="str">
        <f>IF(ISBLANK('RESUMEN VIGILANCIA'!X28),"",'RESUMEN VIGILANCIA'!X28)</f>
        <v/>
      </c>
      <c r="Z29" s="479" t="str">
        <f>IF(ISBLANK('RESUMEN VIGILANCIA'!Y28),"",'RESUMEN VIGILANCIA'!Y28)</f>
        <v/>
      </c>
      <c r="AA29" s="479" t="str">
        <f>IF(ISBLANK('RESUMEN VIGILANCIA'!Z28),"",'RESUMEN VIGILANCIA'!Z28)</f>
        <v/>
      </c>
      <c r="AB29" s="479" t="str">
        <f>IF(ISBLANK('RESUMEN VIGILANCIA'!AA28),"",'RESUMEN VIGILANCIA'!AA28)</f>
        <v/>
      </c>
      <c r="AC29" s="480" t="str">
        <f>IF(ISBLANK('RESUMEN VIGILANCIA'!AB28),"",'RESUMEN VIGILANCIA'!AB28)</f>
        <v/>
      </c>
      <c r="AD29" s="407" t="str">
        <f>IF(ISBLANK('RESUMEN VIGILANCIA'!AC28),"",'RESUMEN VIGILANCIA'!AC28)</f>
        <v/>
      </c>
      <c r="AE29" s="408" t="str">
        <f>IF(ISBLANK('RESUMEN VIGILANCIA'!AD28),"",'RESUMEN VIGILANCIA'!AD28)</f>
        <v/>
      </c>
      <c r="AF29" s="408" t="str">
        <f>IF(ISBLANK('RESUMEN VIGILANCIA'!AE28),"",'RESUMEN VIGILANCIA'!AE28)</f>
        <v/>
      </c>
      <c r="AG29" s="408" t="str">
        <f>IF(ISBLANK('RESUMEN VIGILANCIA'!AF28),"",'RESUMEN VIGILANCIA'!AF28)</f>
        <v/>
      </c>
      <c r="AH29" s="408" t="str">
        <f>IF(ISBLANK('RESUMEN VIGILANCIA'!AG28),"",'RESUMEN VIGILANCIA'!AG28)</f>
        <v/>
      </c>
      <c r="AI29" s="408" t="str">
        <f>IF(ISBLANK('RESUMEN VIGILANCIA'!AH28),"",'RESUMEN VIGILANCIA'!AH28)</f>
        <v/>
      </c>
      <c r="AJ29" s="408" t="str">
        <f>IF(ISBLANK('RESUMEN VIGILANCIA'!AI28),"",'RESUMEN VIGILANCIA'!AI28)</f>
        <v/>
      </c>
      <c r="AK29" s="408" t="str">
        <f>IF(ISBLANK('RESUMEN VIGILANCIA'!AJ28),"",'RESUMEN VIGILANCIA'!AJ28)</f>
        <v/>
      </c>
      <c r="AL29" s="408" t="str">
        <f>IF(ISBLANK('RESUMEN VIGILANCIA'!AK28),"",'RESUMEN VIGILANCIA'!AK28)</f>
        <v/>
      </c>
      <c r="AM29" s="408" t="str">
        <f>IF(ISBLANK('RESUMEN VIGILANCIA'!AL28),"",'RESUMEN VIGILANCIA'!AL28)</f>
        <v/>
      </c>
      <c r="AN29" s="408" t="str">
        <f>IF(ISBLANK('RESUMEN VIGILANCIA'!AM28),"",'RESUMEN VIGILANCIA'!AM28)</f>
        <v/>
      </c>
      <c r="AO29" s="409" t="str">
        <f>IF(ISBLANK('RESUMEN VIGILANCIA'!AN28),"",'RESUMEN VIGILANCIA'!AN28)</f>
        <v/>
      </c>
      <c r="AP29" s="407" t="str">
        <f>IF(ISBLANK('RESUMEN VIGILANCIA'!AO28),"",'RESUMEN VIGILANCIA'!AO28)</f>
        <v/>
      </c>
      <c r="AQ29" s="408" t="str">
        <f>IF(ISBLANK('RESUMEN VIGILANCIA'!AP28),"",'RESUMEN VIGILANCIA'!AP28)</f>
        <v/>
      </c>
      <c r="AR29" s="408" t="str">
        <f>IF(ISBLANK('RESUMEN VIGILANCIA'!AQ28),"",'RESUMEN VIGILANCIA'!AQ28)</f>
        <v/>
      </c>
      <c r="AS29" s="408" t="str">
        <f>IF(ISBLANK('RESUMEN VIGILANCIA'!AR28),"",'RESUMEN VIGILANCIA'!AR28)</f>
        <v/>
      </c>
      <c r="AT29" s="408" t="str">
        <f>IF(ISBLANK('RESUMEN VIGILANCIA'!AS28),"",'RESUMEN VIGILANCIA'!AS28)</f>
        <v/>
      </c>
      <c r="AU29" s="408" t="str">
        <f>IF(ISBLANK('RESUMEN VIGILANCIA'!AT28),"",'RESUMEN VIGILANCIA'!AT28)</f>
        <v/>
      </c>
      <c r="AV29" s="408" t="str">
        <f>IF(ISBLANK('RESUMEN VIGILANCIA'!AU28),"",'RESUMEN VIGILANCIA'!AU28)</f>
        <v/>
      </c>
      <c r="AW29" s="408" t="str">
        <f>IF(ISBLANK('RESUMEN VIGILANCIA'!AV28),"",'RESUMEN VIGILANCIA'!AV28)</f>
        <v/>
      </c>
      <c r="AX29" s="408" t="str">
        <f>IF(ISBLANK('RESUMEN VIGILANCIA'!AW28),"",'RESUMEN VIGILANCIA'!AW28)</f>
        <v/>
      </c>
      <c r="AY29" s="408" t="str">
        <f>IF(ISBLANK('RESUMEN VIGILANCIA'!AX28),"",'RESUMEN VIGILANCIA'!AX28)</f>
        <v/>
      </c>
      <c r="AZ29" s="408" t="str">
        <f>IF(ISBLANK('RESUMEN VIGILANCIA'!AY28),"",'RESUMEN VIGILANCIA'!AY28)</f>
        <v/>
      </c>
      <c r="BA29" s="409" t="str">
        <f>IF(ISBLANK('RESUMEN VIGILANCIA'!AZ28),"",'RESUMEN VIGILANCIA'!AZ28)</f>
        <v/>
      </c>
      <c r="BB29" s="244">
        <f t="shared" si="0"/>
        <v>0</v>
      </c>
      <c r="BC29" s="110"/>
      <c r="BD29" s="110"/>
    </row>
    <row r="30" spans="1:56" s="29" customFormat="1" ht="20.100000000000001" customHeight="1">
      <c r="A30" s="37" t="str">
        <f>'RESUMEN VIGILANCIA'!A27</f>
        <v>Familia Moretti</v>
      </c>
      <c r="B30" s="38" t="str">
        <f>'RESUMEN VIGILANCIA'!B27</f>
        <v>Calle Guacara Nro. 87-51</v>
      </c>
      <c r="C30" s="450"/>
      <c r="D30" s="458" t="s">
        <v>1248</v>
      </c>
      <c r="E30" s="438" t="str">
        <f>IF(ISBLANK('RESUMEN VIGILANCIA'!D27),"",'RESUMEN VIGILANCIA'!D27)</f>
        <v/>
      </c>
      <c r="F30" s="264" t="str">
        <f>IF(ISBLANK('RESUMEN VIGILANCIA'!E27),"",'RESUMEN VIGILANCIA'!E27)</f>
        <v/>
      </c>
      <c r="G30" s="200" t="str">
        <f>IF(ISBLANK('RESUMEN VIGILANCIA'!F27),"",'RESUMEN VIGILANCIA'!F27)</f>
        <v/>
      </c>
      <c r="H30" s="200" t="str">
        <f>IF(ISBLANK('RESUMEN VIGILANCIA'!G27),"",'RESUMEN VIGILANCIA'!G27)</f>
        <v/>
      </c>
      <c r="I30" s="200" t="str">
        <f>IF(ISBLANK('RESUMEN VIGILANCIA'!H27),"",'RESUMEN VIGILANCIA'!H27)</f>
        <v/>
      </c>
      <c r="J30" s="200" t="str">
        <f>IF(ISBLANK('RESUMEN VIGILANCIA'!I27),"",'RESUMEN VIGILANCIA'!I27)</f>
        <v/>
      </c>
      <c r="K30" s="200" t="str">
        <f>IF(ISBLANK('RESUMEN VIGILANCIA'!J27),"",'RESUMEN VIGILANCIA'!J27)</f>
        <v/>
      </c>
      <c r="L30" s="200" t="str">
        <f>IF(ISBLANK('RESUMEN VIGILANCIA'!K27),"",'RESUMEN VIGILANCIA'!K27)</f>
        <v/>
      </c>
      <c r="M30" s="200" t="str">
        <f>IF(ISBLANK('RESUMEN VIGILANCIA'!L27),"",'RESUMEN VIGILANCIA'!L27)</f>
        <v/>
      </c>
      <c r="N30" s="200" t="str">
        <f>IF(ISBLANK('RESUMEN VIGILANCIA'!M27),"",'RESUMEN VIGILANCIA'!M27)</f>
        <v/>
      </c>
      <c r="O30" s="200" t="str">
        <f>IF(ISBLANK('RESUMEN VIGILANCIA'!N27),"",'RESUMEN VIGILANCIA'!N27)</f>
        <v/>
      </c>
      <c r="P30" s="265" t="str">
        <f>IF(ISBLANK('RESUMEN VIGILANCIA'!O27),"",'RESUMEN VIGILANCIA'!O27)</f>
        <v/>
      </c>
      <c r="Q30" s="198" t="str">
        <f>IF(ISBLANK('RESUMEN VIGILANCIA'!P27),"",'RESUMEN VIGILANCIA'!P27)</f>
        <v/>
      </c>
      <c r="R30" s="266" t="str">
        <f>IF(ISBLANK('RESUMEN VIGILANCIA'!Q27),"",'RESUMEN VIGILANCIA'!Q27)</f>
        <v/>
      </c>
      <c r="S30" s="265" t="str">
        <f>IF(ISBLANK('RESUMEN VIGILANCIA'!R27),"",'RESUMEN VIGILANCIA'!R27)</f>
        <v/>
      </c>
      <c r="T30" s="265" t="str">
        <f>IF(ISBLANK('RESUMEN VIGILANCIA'!S27),"",'RESUMEN VIGILANCIA'!S27)</f>
        <v/>
      </c>
      <c r="U30" s="265" t="str">
        <f>IF(ISBLANK('RESUMEN VIGILANCIA'!T27),"",'RESUMEN VIGILANCIA'!T27)</f>
        <v/>
      </c>
      <c r="V30" s="265" t="str">
        <f>IF(ISBLANK('RESUMEN VIGILANCIA'!U27),"",'RESUMEN VIGILANCIA'!U27)</f>
        <v/>
      </c>
      <c r="W30" s="265" t="str">
        <f>IF(ISBLANK('RESUMEN VIGILANCIA'!V27),"",'RESUMEN VIGILANCIA'!V27)</f>
        <v/>
      </c>
      <c r="X30" s="265" t="str">
        <f>IF(ISBLANK('RESUMEN VIGILANCIA'!W27),"",'RESUMEN VIGILANCIA'!W27)</f>
        <v/>
      </c>
      <c r="Y30" s="265" t="str">
        <f>IF(ISBLANK('RESUMEN VIGILANCIA'!X27),"",'RESUMEN VIGILANCIA'!X27)</f>
        <v/>
      </c>
      <c r="Z30" s="479" t="str">
        <f>IF(ISBLANK('RESUMEN VIGILANCIA'!Y27),"",'RESUMEN VIGILANCIA'!Y27)</f>
        <v/>
      </c>
      <c r="AA30" s="479" t="str">
        <f>IF(ISBLANK('RESUMEN VIGILANCIA'!Z27),"",'RESUMEN VIGILANCIA'!Z27)</f>
        <v/>
      </c>
      <c r="AB30" s="479" t="str">
        <f>IF(ISBLANK('RESUMEN VIGILANCIA'!AA27),"",'RESUMEN VIGILANCIA'!AA27)</f>
        <v/>
      </c>
      <c r="AC30" s="480" t="str">
        <f>IF(ISBLANK('RESUMEN VIGILANCIA'!AB27),"",'RESUMEN VIGILANCIA'!AB27)</f>
        <v/>
      </c>
      <c r="AD30" s="407" t="str">
        <f>IF(ISBLANK('RESUMEN VIGILANCIA'!AC27),"",'RESUMEN VIGILANCIA'!AC27)</f>
        <v/>
      </c>
      <c r="AE30" s="408" t="str">
        <f>IF(ISBLANK('RESUMEN VIGILANCIA'!AD27),"",'RESUMEN VIGILANCIA'!AD27)</f>
        <v/>
      </c>
      <c r="AF30" s="408" t="str">
        <f>IF(ISBLANK('RESUMEN VIGILANCIA'!AE27),"",'RESUMEN VIGILANCIA'!AE27)</f>
        <v/>
      </c>
      <c r="AG30" s="408" t="str">
        <f>IF(ISBLANK('RESUMEN VIGILANCIA'!AF27),"",'RESUMEN VIGILANCIA'!AF27)</f>
        <v/>
      </c>
      <c r="AH30" s="408" t="str">
        <f>IF(ISBLANK('RESUMEN VIGILANCIA'!AG27),"",'RESUMEN VIGILANCIA'!AG27)</f>
        <v/>
      </c>
      <c r="AI30" s="408" t="str">
        <f>IF(ISBLANK('RESUMEN VIGILANCIA'!AH27),"",'RESUMEN VIGILANCIA'!AH27)</f>
        <v/>
      </c>
      <c r="AJ30" s="408" t="str">
        <f>IF(ISBLANK('RESUMEN VIGILANCIA'!AI27),"",'RESUMEN VIGILANCIA'!AI27)</f>
        <v/>
      </c>
      <c r="AK30" s="408" t="str">
        <f>IF(ISBLANK('RESUMEN VIGILANCIA'!AJ27),"",'RESUMEN VIGILANCIA'!AJ27)</f>
        <v/>
      </c>
      <c r="AL30" s="408" t="str">
        <f>IF(ISBLANK('RESUMEN VIGILANCIA'!AK27),"",'RESUMEN VIGILANCIA'!AK27)</f>
        <v/>
      </c>
      <c r="AM30" s="408" t="str">
        <f>IF(ISBLANK('RESUMEN VIGILANCIA'!AL27),"",'RESUMEN VIGILANCIA'!AL27)</f>
        <v/>
      </c>
      <c r="AN30" s="408" t="str">
        <f>IF(ISBLANK('RESUMEN VIGILANCIA'!AM27),"",'RESUMEN VIGILANCIA'!AM27)</f>
        <v/>
      </c>
      <c r="AO30" s="409" t="str">
        <f>IF(ISBLANK('RESUMEN VIGILANCIA'!AN27),"",'RESUMEN VIGILANCIA'!AN27)</f>
        <v/>
      </c>
      <c r="AP30" s="407" t="str">
        <f>IF(ISBLANK('RESUMEN VIGILANCIA'!AO27),"",'RESUMEN VIGILANCIA'!AO27)</f>
        <v/>
      </c>
      <c r="AQ30" s="408" t="str">
        <f>IF(ISBLANK('RESUMEN VIGILANCIA'!AP27),"",'RESUMEN VIGILANCIA'!AP27)</f>
        <v/>
      </c>
      <c r="AR30" s="408" t="str">
        <f>IF(ISBLANK('RESUMEN VIGILANCIA'!AQ27),"",'RESUMEN VIGILANCIA'!AQ27)</f>
        <v/>
      </c>
      <c r="AS30" s="408" t="str">
        <f>IF(ISBLANK('RESUMEN VIGILANCIA'!AR27),"",'RESUMEN VIGILANCIA'!AR27)</f>
        <v/>
      </c>
      <c r="AT30" s="408" t="str">
        <f>IF(ISBLANK('RESUMEN VIGILANCIA'!AS27),"",'RESUMEN VIGILANCIA'!AS27)</f>
        <v/>
      </c>
      <c r="AU30" s="408" t="str">
        <f>IF(ISBLANK('RESUMEN VIGILANCIA'!AT27),"",'RESUMEN VIGILANCIA'!AT27)</f>
        <v/>
      </c>
      <c r="AV30" s="408" t="str">
        <f>IF(ISBLANK('RESUMEN VIGILANCIA'!AU27),"",'RESUMEN VIGILANCIA'!AU27)</f>
        <v/>
      </c>
      <c r="AW30" s="408" t="str">
        <f>IF(ISBLANK('RESUMEN VIGILANCIA'!AV27),"",'RESUMEN VIGILANCIA'!AV27)</f>
        <v/>
      </c>
      <c r="AX30" s="408" t="str">
        <f>IF(ISBLANK('RESUMEN VIGILANCIA'!AW27),"",'RESUMEN VIGILANCIA'!AW27)</f>
        <v/>
      </c>
      <c r="AY30" s="408" t="str">
        <f>IF(ISBLANK('RESUMEN VIGILANCIA'!AX27),"",'RESUMEN VIGILANCIA'!AX27)</f>
        <v/>
      </c>
      <c r="AZ30" s="408" t="str">
        <f>IF(ISBLANK('RESUMEN VIGILANCIA'!AY27),"",'RESUMEN VIGILANCIA'!AY27)</f>
        <v/>
      </c>
      <c r="BA30" s="409" t="str">
        <f>IF(ISBLANK('RESUMEN VIGILANCIA'!AZ27),"",'RESUMEN VIGILANCIA'!AZ27)</f>
        <v/>
      </c>
      <c r="BB30" s="244">
        <f t="shared" si="0"/>
        <v>0</v>
      </c>
      <c r="BC30" s="110"/>
      <c r="BD30" s="110"/>
    </row>
    <row r="31" spans="1:56" s="29" customFormat="1" ht="20.100000000000001" customHeight="1">
      <c r="A31" s="33" t="str">
        <f>'RESUMEN VIGILANCIA'!A36</f>
        <v>Familia Méndez Parra</v>
      </c>
      <c r="B31" s="34" t="str">
        <f>'RESUMEN VIGILANCIA'!B36</f>
        <v>Calle Guacara Nro. 88-19</v>
      </c>
      <c r="C31" s="451" t="s">
        <v>1251</v>
      </c>
      <c r="D31" s="461" t="s">
        <v>17</v>
      </c>
      <c r="E31" s="439" t="str">
        <f>IF(ISBLANK('RESUMEN VIGILANCIA'!D36),"",'RESUMEN VIGILANCIA'!D36)</f>
        <v/>
      </c>
      <c r="F31" s="267">
        <f>IF(ISBLANK('RESUMEN VIGILANCIA'!E36),"",'RESUMEN VIGILANCIA'!E36)</f>
        <v>0.14500000000000002</v>
      </c>
      <c r="G31" s="189">
        <f>IF(ISBLANK('RESUMEN VIGILANCIA'!F36),"",'RESUMEN VIGILANCIA'!F36)</f>
        <v>0.105</v>
      </c>
      <c r="H31" s="189">
        <f>IF(ISBLANK('RESUMEN VIGILANCIA'!G36),"",'RESUMEN VIGILANCIA'!G36)</f>
        <v>0.105</v>
      </c>
      <c r="I31" s="189">
        <f>IF(ISBLANK('RESUMEN VIGILANCIA'!H36),"",'RESUMEN VIGILANCIA'!H36)</f>
        <v>0.105</v>
      </c>
      <c r="J31" s="189">
        <f>IF(ISBLANK('RESUMEN VIGILANCIA'!I36),"",'RESUMEN VIGILANCIA'!I36)</f>
        <v>0.2</v>
      </c>
      <c r="K31" s="189">
        <f>IF(ISBLANK('RESUMEN VIGILANCIA'!J36),"",'RESUMEN VIGILANCIA'!J36)</f>
        <v>0.2</v>
      </c>
      <c r="L31" s="189">
        <f>IF(ISBLANK('RESUMEN VIGILANCIA'!K36),"",'RESUMEN VIGILANCIA'!K36)</f>
        <v>0.25</v>
      </c>
      <c r="M31" s="189">
        <f>IF(ISBLANK('RESUMEN VIGILANCIA'!L36),"",'RESUMEN VIGILANCIA'!L36)</f>
        <v>0.2</v>
      </c>
      <c r="N31" s="189">
        <f>IF(ISBLANK('RESUMEN VIGILANCIA'!M36),"",'RESUMEN VIGILANCIA'!M36)</f>
        <v>0.2</v>
      </c>
      <c r="O31" s="189">
        <f>IF(ISBLANK('RESUMEN VIGILANCIA'!N36),"",'RESUMEN VIGILANCIA'!N36)</f>
        <v>0.2</v>
      </c>
      <c r="P31" s="268">
        <f>IF(ISBLANK('RESUMEN VIGILANCIA'!O36),"",'RESUMEN VIGILANCIA'!O36)</f>
        <v>0.32</v>
      </c>
      <c r="Q31" s="187">
        <f>IF(ISBLANK('RESUMEN VIGILANCIA'!P36),"",'RESUMEN VIGILANCIA'!P36)</f>
        <v>0.3</v>
      </c>
      <c r="R31" s="269">
        <f>IF(ISBLANK('RESUMEN VIGILANCIA'!Q36),"",'RESUMEN VIGILANCIA'!Q36)</f>
        <v>0.5</v>
      </c>
      <c r="S31" s="268">
        <f>IF(ISBLANK('RESUMEN VIGILANCIA'!R36),"",'RESUMEN VIGILANCIA'!R36)</f>
        <v>0.5</v>
      </c>
      <c r="T31" s="268">
        <f>IF(ISBLANK('RESUMEN VIGILANCIA'!S36),"",'RESUMEN VIGILANCIA'!S36)</f>
        <v>1</v>
      </c>
      <c r="U31" s="268">
        <f>IF(ISBLANK('RESUMEN VIGILANCIA'!T36),"",'RESUMEN VIGILANCIA'!T36)</f>
        <v>1</v>
      </c>
      <c r="V31" s="268">
        <f>IF(ISBLANK('RESUMEN VIGILANCIA'!U36),"",'RESUMEN VIGILANCIA'!U36)</f>
        <v>2</v>
      </c>
      <c r="W31" s="268">
        <f>IF(ISBLANK('RESUMEN VIGILANCIA'!V36),"",'RESUMEN VIGILANCIA'!V36)</f>
        <v>6</v>
      </c>
      <c r="X31" s="268">
        <f>IF(ISBLANK('RESUMEN VIGILANCIA'!W36),"",'RESUMEN VIGILANCIA'!W36)</f>
        <v>6</v>
      </c>
      <c r="Y31" s="268">
        <f>IF(ISBLANK('RESUMEN VIGILANCIA'!X36),"",'RESUMEN VIGILANCIA'!X36)</f>
        <v>8</v>
      </c>
      <c r="Z31" s="485">
        <f>IF(ISBLANK('RESUMEN VIGILANCIA'!Y36),"",'RESUMEN VIGILANCIA'!Y36)</f>
        <v>270</v>
      </c>
      <c r="AA31" s="485">
        <f>IF(ISBLANK('RESUMEN VIGILANCIA'!Z36),"",'RESUMEN VIGILANCIA'!Z36)</f>
        <v>260</v>
      </c>
      <c r="AB31" s="485">
        <f>IF(ISBLANK('RESUMEN VIGILANCIA'!AA36),"",'RESUMEN VIGILANCIA'!AA36)</f>
        <v>260</v>
      </c>
      <c r="AC31" s="486" t="str">
        <f>IF(ISBLANK('RESUMEN VIGILANCIA'!AB36),"",'RESUMEN VIGILANCIA'!AB36)</f>
        <v/>
      </c>
      <c r="AD31" s="396">
        <f>IF(ISBLANK('RESUMEN VIGILANCIA'!AC36),"",'RESUMEN VIGILANCIA'!AC36)</f>
        <v>600</v>
      </c>
      <c r="AE31" s="397">
        <f>IF(ISBLANK('RESUMEN VIGILANCIA'!AD36),"",'RESUMEN VIGILANCIA'!AD36)</f>
        <v>2300</v>
      </c>
      <c r="AF31" s="397">
        <f>IF(ISBLANK('RESUMEN VIGILANCIA'!AE36),"",'RESUMEN VIGILANCIA'!AE36)</f>
        <v>2200</v>
      </c>
      <c r="AG31" s="397">
        <f>IF(ISBLANK('RESUMEN VIGILANCIA'!AF36),"",'RESUMEN VIGILANCIA'!AF36)</f>
        <v>2200</v>
      </c>
      <c r="AH31" s="397">
        <f>IF(ISBLANK('RESUMEN VIGILANCIA'!AG36),"",'RESUMEN VIGILANCIA'!AG36)</f>
        <v>5000</v>
      </c>
      <c r="AI31" s="397">
        <f>IF(ISBLANK('RESUMEN VIGILANCIA'!AH36),"",'RESUMEN VIGILANCIA'!AH36)</f>
        <v>5000</v>
      </c>
      <c r="AJ31" s="397">
        <f>IF(ISBLANK('RESUMEN VIGILANCIA'!AI36),"",'RESUMEN VIGILANCIA'!AI36)</f>
        <v>6000</v>
      </c>
      <c r="AK31" s="397">
        <f>IF(ISBLANK('RESUMEN VIGILANCIA'!AJ36),"",'RESUMEN VIGILANCIA'!AJ36)</f>
        <v>6000</v>
      </c>
      <c r="AL31" s="397">
        <f>IF(ISBLANK('RESUMEN VIGILANCIA'!AK36),"",'RESUMEN VIGILANCIA'!AK36)</f>
        <v>18018</v>
      </c>
      <c r="AM31" s="397">
        <f>IF(ISBLANK('RESUMEN VIGILANCIA'!AL36),"",'RESUMEN VIGILANCIA'!AL36)</f>
        <v>15000</v>
      </c>
      <c r="AN31" s="397">
        <f>IF(ISBLANK('RESUMEN VIGILANCIA'!AM36),"",'RESUMEN VIGILANCIA'!AM36)</f>
        <v>48000</v>
      </c>
      <c r="AO31" s="398">
        <f>IF(ISBLANK('RESUMEN VIGILANCIA'!AN36),"",'RESUMEN VIGILANCIA'!AN36)</f>
        <v>35000</v>
      </c>
      <c r="AP31" s="396">
        <f>IF(ISBLANK('RESUMEN VIGILANCIA'!AO36),"",'RESUMEN VIGILANCIA'!AO36)</f>
        <v>80000</v>
      </c>
      <c r="AQ31" s="397">
        <f>IF(ISBLANK('RESUMEN VIGILANCIA'!AP36),"",'RESUMEN VIGILANCIA'!AP36)</f>
        <v>80000</v>
      </c>
      <c r="AR31" s="397" t="str">
        <f>IF(ISBLANK('RESUMEN VIGILANCIA'!AQ36),"",'RESUMEN VIGILANCIA'!AQ36)</f>
        <v/>
      </c>
      <c r="AS31" s="397" t="str">
        <f>IF(ISBLANK('RESUMEN VIGILANCIA'!AR36),"",'RESUMEN VIGILANCIA'!AR36)</f>
        <v/>
      </c>
      <c r="AT31" s="397" t="str">
        <f>IF(ISBLANK('RESUMEN VIGILANCIA'!AS36),"",'RESUMEN VIGILANCIA'!AS36)</f>
        <v/>
      </c>
      <c r="AU31" s="397" t="str">
        <f>IF(ISBLANK('RESUMEN VIGILANCIA'!AT36),"",'RESUMEN VIGILANCIA'!AT36)</f>
        <v/>
      </c>
      <c r="AV31" s="397" t="str">
        <f>IF(ISBLANK('RESUMEN VIGILANCIA'!AU36),"",'RESUMEN VIGILANCIA'!AU36)</f>
        <v/>
      </c>
      <c r="AW31" s="397" t="str">
        <f>IF(ISBLANK('RESUMEN VIGILANCIA'!AV36),"",'RESUMEN VIGILANCIA'!AV36)</f>
        <v/>
      </c>
      <c r="AX31" s="397" t="str">
        <f>IF(ISBLANK('RESUMEN VIGILANCIA'!AW36),"",'RESUMEN VIGILANCIA'!AW36)</f>
        <v/>
      </c>
      <c r="AY31" s="397" t="str">
        <f>IF(ISBLANK('RESUMEN VIGILANCIA'!AX36),"",'RESUMEN VIGILANCIA'!AX36)</f>
        <v/>
      </c>
      <c r="AZ31" s="397" t="str">
        <f>IF(ISBLANK('RESUMEN VIGILANCIA'!AY36),"",'RESUMEN VIGILANCIA'!AY36)</f>
        <v/>
      </c>
      <c r="BA31" s="398" t="str">
        <f>IF(ISBLANK('RESUMEN VIGILANCIA'!AZ36),"",'RESUMEN VIGILANCIA'!AZ36)</f>
        <v/>
      </c>
      <c r="BB31" s="242">
        <f t="shared" si="0"/>
        <v>146135.33000000002</v>
      </c>
      <c r="BC31" s="111"/>
      <c r="BD31" s="111"/>
    </row>
    <row r="32" spans="1:56" s="29" customFormat="1" ht="20.100000000000001" customHeight="1">
      <c r="A32" s="33" t="str">
        <f>'RESUMEN VIGILANCIA'!A37</f>
        <v>Victoria Francischiello</v>
      </c>
      <c r="B32" s="34" t="str">
        <f>'RESUMEN VIGILANCIA'!B37</f>
        <v>Calle Guacara Nro. 88-25</v>
      </c>
      <c r="C32" s="451" t="s">
        <v>1251</v>
      </c>
      <c r="D32" s="461" t="s">
        <v>17</v>
      </c>
      <c r="E32" s="439" t="str">
        <f>IF(ISBLANK('RESUMEN VIGILANCIA'!D37),"",'RESUMEN VIGILANCIA'!D37)</f>
        <v/>
      </c>
      <c r="F32" s="267">
        <f>IF(ISBLANK('RESUMEN VIGILANCIA'!E37),"",'RESUMEN VIGILANCIA'!E37)</f>
        <v>0.1</v>
      </c>
      <c r="G32" s="189">
        <f>IF(ISBLANK('RESUMEN VIGILANCIA'!F37),"",'RESUMEN VIGILANCIA'!F37)</f>
        <v>0.1</v>
      </c>
      <c r="H32" s="189">
        <f>IF(ISBLANK('RESUMEN VIGILANCIA'!G37),"",'RESUMEN VIGILANCIA'!G37)</f>
        <v>0.1</v>
      </c>
      <c r="I32" s="189">
        <f>IF(ISBLANK('RESUMEN VIGILANCIA'!H37),"",'RESUMEN VIGILANCIA'!H37)</f>
        <v>0.1</v>
      </c>
      <c r="J32" s="189">
        <f>IF(ISBLANK('RESUMEN VIGILANCIA'!I37),"",'RESUMEN VIGILANCIA'!I37)</f>
        <v>0.2</v>
      </c>
      <c r="K32" s="189">
        <f>IF(ISBLANK('RESUMEN VIGILANCIA'!J37),"",'RESUMEN VIGILANCIA'!J37)</f>
        <v>0.2</v>
      </c>
      <c r="L32" s="189">
        <f>IF(ISBLANK('RESUMEN VIGILANCIA'!K37),"",'RESUMEN VIGILANCIA'!K37)</f>
        <v>0.2</v>
      </c>
      <c r="M32" s="189">
        <f>IF(ISBLANK('RESUMEN VIGILANCIA'!L37),"",'RESUMEN VIGILANCIA'!L37)</f>
        <v>0.2</v>
      </c>
      <c r="N32" s="189">
        <f>IF(ISBLANK('RESUMEN VIGILANCIA'!M37),"",'RESUMEN VIGILANCIA'!M37)</f>
        <v>0.2</v>
      </c>
      <c r="O32" s="189">
        <f>IF(ISBLANK('RESUMEN VIGILANCIA'!N37),"",'RESUMEN VIGILANCIA'!N37)</f>
        <v>0.2</v>
      </c>
      <c r="P32" s="268">
        <f>IF(ISBLANK('RESUMEN VIGILANCIA'!O37),"",'RESUMEN VIGILANCIA'!O37)</f>
        <v>0.15</v>
      </c>
      <c r="Q32" s="187">
        <f>IF(ISBLANK('RESUMEN VIGILANCIA'!P37),"",'RESUMEN VIGILANCIA'!P37)</f>
        <v>0.45</v>
      </c>
      <c r="R32" s="269">
        <f>IF(ISBLANK('RESUMEN VIGILANCIA'!Q37),"",'RESUMEN VIGILANCIA'!Q37)</f>
        <v>0.5</v>
      </c>
      <c r="S32" s="268">
        <f>IF(ISBLANK('RESUMEN VIGILANCIA'!R37),"",'RESUMEN VIGILANCIA'!R37)</f>
        <v>0.8</v>
      </c>
      <c r="T32" s="268">
        <f>IF(ISBLANK('RESUMEN VIGILANCIA'!S37),"",'RESUMEN VIGILANCIA'!S37)</f>
        <v>1</v>
      </c>
      <c r="U32" s="268">
        <f>IF(ISBLANK('RESUMEN VIGILANCIA'!T37),"",'RESUMEN VIGILANCIA'!T37)</f>
        <v>1</v>
      </c>
      <c r="V32" s="268">
        <f>IF(ISBLANK('RESUMEN VIGILANCIA'!U37),"",'RESUMEN VIGILANCIA'!U37)</f>
        <v>2.5</v>
      </c>
      <c r="W32" s="268">
        <f>IF(ISBLANK('RESUMEN VIGILANCIA'!V37),"",'RESUMEN VIGILANCIA'!V37)</f>
        <v>4</v>
      </c>
      <c r="X32" s="271">
        <f>IF(ISBLANK('RESUMEN VIGILANCIA'!W37),"",'RESUMEN VIGILANCIA'!W37)</f>
        <v>10</v>
      </c>
      <c r="Y32" s="271">
        <f>IF(ISBLANK('RESUMEN VIGILANCIA'!X37),"",'RESUMEN VIGILANCIA'!X37)</f>
        <v>12</v>
      </c>
      <c r="Z32" s="481">
        <f>IF(ISBLANK('RESUMEN VIGILANCIA'!Y37),"",'RESUMEN VIGILANCIA'!Y37)</f>
        <v>320</v>
      </c>
      <c r="AA32" s="484">
        <f>IF(ISBLANK('RESUMEN VIGILANCIA'!Z37),"",'RESUMEN VIGILANCIA'!Z37)</f>
        <v>320</v>
      </c>
      <c r="AB32" s="484">
        <f>IF(ISBLANK('RESUMEN VIGILANCIA'!AA37),"",'RESUMEN VIGILANCIA'!AA37)</f>
        <v>320</v>
      </c>
      <c r="AC32" s="483">
        <f>IF(ISBLANK('RESUMEN VIGILANCIA'!AB37),"",'RESUMEN VIGILANCIA'!AB37)</f>
        <v>800</v>
      </c>
      <c r="AD32" s="404">
        <f>IF(ISBLANK('RESUMEN VIGILANCIA'!AC37),"",'RESUMEN VIGILANCIA'!AC37)</f>
        <v>3000</v>
      </c>
      <c r="AE32" s="405">
        <f>IF(ISBLANK('RESUMEN VIGILANCIA'!AD37),"",'RESUMEN VIGILANCIA'!AD37)</f>
        <v>3000</v>
      </c>
      <c r="AF32" s="405">
        <f>IF(ISBLANK('RESUMEN VIGILANCIA'!AE37),"",'RESUMEN VIGILANCIA'!AE37)</f>
        <v>3000</v>
      </c>
      <c r="AG32" s="405">
        <f>IF(ISBLANK('RESUMEN VIGILANCIA'!AF37),"",'RESUMEN VIGILANCIA'!AF37)</f>
        <v>5000</v>
      </c>
      <c r="AH32" s="405">
        <f>IF(ISBLANK('RESUMEN VIGILANCIA'!AG37),"",'RESUMEN VIGILANCIA'!AG37)</f>
        <v>8000</v>
      </c>
      <c r="AI32" s="405">
        <f>IF(ISBLANK('RESUMEN VIGILANCIA'!AH37),"",'RESUMEN VIGILANCIA'!AH37)</f>
        <v>8000</v>
      </c>
      <c r="AJ32" s="405">
        <f>IF(ISBLANK('RESUMEN VIGILANCIA'!AI37),"",'RESUMEN VIGILANCIA'!AI37)</f>
        <v>10000</v>
      </c>
      <c r="AK32" s="405">
        <f>IF(ISBLANK('RESUMEN VIGILANCIA'!AJ37),"",'RESUMEN VIGILANCIA'!AJ37)</f>
        <v>10000</v>
      </c>
      <c r="AL32" s="405">
        <f>IF(ISBLANK('RESUMEN VIGILANCIA'!AK37),"",'RESUMEN VIGILANCIA'!AK37)</f>
        <v>19800</v>
      </c>
      <c r="AM32" s="405">
        <f>IF(ISBLANK('RESUMEN VIGILANCIA'!AL37),"",'RESUMEN VIGILANCIA'!AL37)</f>
        <v>51250</v>
      </c>
      <c r="AN32" s="397">
        <f>IF(ISBLANK('RESUMEN VIGILANCIA'!AM37),"",'RESUMEN VIGILANCIA'!AM37)</f>
        <v>40000</v>
      </c>
      <c r="AO32" s="398">
        <f>IF(ISBLANK('RESUMEN VIGILANCIA'!AN37),"",'RESUMEN VIGILANCIA'!AN37)</f>
        <v>40000</v>
      </c>
      <c r="AP32" s="396">
        <f>IF(ISBLANK('RESUMEN VIGILANCIA'!AO37),"",'RESUMEN VIGILANCIA'!AO37)</f>
        <v>136000</v>
      </c>
      <c r="AQ32" s="397" t="str">
        <f>IF(ISBLANK('RESUMEN VIGILANCIA'!AP37),"",'RESUMEN VIGILANCIA'!AP37)</f>
        <v/>
      </c>
      <c r="AR32" s="397" t="str">
        <f>IF(ISBLANK('RESUMEN VIGILANCIA'!AQ37),"",'RESUMEN VIGILANCIA'!AQ37)</f>
        <v/>
      </c>
      <c r="AS32" s="397" t="str">
        <f>IF(ISBLANK('RESUMEN VIGILANCIA'!AR37),"",'RESUMEN VIGILANCIA'!AR37)</f>
        <v/>
      </c>
      <c r="AT32" s="397" t="str">
        <f>IF(ISBLANK('RESUMEN VIGILANCIA'!AS37),"",'RESUMEN VIGILANCIA'!AS37)</f>
        <v/>
      </c>
      <c r="AU32" s="397" t="str">
        <f>IF(ISBLANK('RESUMEN VIGILANCIA'!AT37),"",'RESUMEN VIGILANCIA'!AT37)</f>
        <v/>
      </c>
      <c r="AV32" s="397" t="str">
        <f>IF(ISBLANK('RESUMEN VIGILANCIA'!AU37),"",'RESUMEN VIGILANCIA'!AU37)</f>
        <v/>
      </c>
      <c r="AW32" s="397" t="str">
        <f>IF(ISBLANK('RESUMEN VIGILANCIA'!AV37),"",'RESUMEN VIGILANCIA'!AV37)</f>
        <v/>
      </c>
      <c r="AX32" s="397" t="str">
        <f>IF(ISBLANK('RESUMEN VIGILANCIA'!AW37),"",'RESUMEN VIGILANCIA'!AW37)</f>
        <v/>
      </c>
      <c r="AY32" s="397" t="str">
        <f>IF(ISBLANK('RESUMEN VIGILANCIA'!AX37),"",'RESUMEN VIGILANCIA'!AX37)</f>
        <v/>
      </c>
      <c r="AZ32" s="397" t="str">
        <f>IF(ISBLANK('RESUMEN VIGILANCIA'!AY37),"",'RESUMEN VIGILANCIA'!AY37)</f>
        <v/>
      </c>
      <c r="BA32" s="398" t="str">
        <f>IF(ISBLANK('RESUMEN VIGILANCIA'!AZ37),"",'RESUMEN VIGILANCIA'!AZ37)</f>
        <v/>
      </c>
      <c r="BB32" s="242">
        <f t="shared" si="0"/>
        <v>202844</v>
      </c>
      <c r="BC32" s="111"/>
      <c r="BD32" s="111"/>
    </row>
    <row r="33" spans="1:56" s="29" customFormat="1" ht="20.100000000000001" customHeight="1">
      <c r="A33" s="30" t="str">
        <f>'RESUMEN VIGILANCIA'!A38</f>
        <v>Familia Cegarra Villamizar</v>
      </c>
      <c r="B33" s="31" t="str">
        <f>'RESUMEN VIGILANCIA'!B38</f>
        <v>Calle Guacara Nro. 88-35</v>
      </c>
      <c r="C33" s="452" t="s">
        <v>1249</v>
      </c>
      <c r="D33" s="460" t="s">
        <v>1248</v>
      </c>
      <c r="E33" s="440" t="str">
        <f>IF(ISBLANK('RESUMEN VIGILANCIA'!D38),"",'RESUMEN VIGILANCIA'!D38)</f>
        <v/>
      </c>
      <c r="F33" s="270">
        <f>IF(ISBLANK('RESUMEN VIGILANCIA'!E38),"",'RESUMEN VIGILANCIA'!E38)</f>
        <v>0.17</v>
      </c>
      <c r="G33" s="182">
        <f>IF(ISBLANK('RESUMEN VIGILANCIA'!F38),"",'RESUMEN VIGILANCIA'!F38)</f>
        <v>0.17</v>
      </c>
      <c r="H33" s="182">
        <f>IF(ISBLANK('RESUMEN VIGILANCIA'!G38),"",'RESUMEN VIGILANCIA'!G38)</f>
        <v>0.17</v>
      </c>
      <c r="I33" s="182">
        <f>IF(ISBLANK('RESUMEN VIGILANCIA'!H38),"",'RESUMEN VIGILANCIA'!H38)</f>
        <v>0.17</v>
      </c>
      <c r="J33" s="182">
        <f>IF(ISBLANK('RESUMEN VIGILANCIA'!I38),"",'RESUMEN VIGILANCIA'!I38)</f>
        <v>0.26</v>
      </c>
      <c r="K33" s="182">
        <f>IF(ISBLANK('RESUMEN VIGILANCIA'!J38),"",'RESUMEN VIGILANCIA'!J38)</f>
        <v>0.26</v>
      </c>
      <c r="L33" s="189">
        <f>IF(ISBLANK('RESUMEN VIGILANCIA'!K38),"",'RESUMEN VIGILANCIA'!K38)</f>
        <v>0.3</v>
      </c>
      <c r="M33" s="189">
        <f>IF(ISBLANK('RESUMEN VIGILANCIA'!L38),"",'RESUMEN VIGILANCIA'!L38)</f>
        <v>0.3</v>
      </c>
      <c r="N33" s="182">
        <f>IF(ISBLANK('RESUMEN VIGILANCIA'!M38),"",'RESUMEN VIGILANCIA'!M38)</f>
        <v>0.35</v>
      </c>
      <c r="O33" s="182">
        <f>IF(ISBLANK('RESUMEN VIGILANCIA'!N38),"",'RESUMEN VIGILANCIA'!N38)</f>
        <v>0.35</v>
      </c>
      <c r="P33" s="271">
        <f>IF(ISBLANK('RESUMEN VIGILANCIA'!O38),"",'RESUMEN VIGILANCIA'!O38)</f>
        <v>0.5</v>
      </c>
      <c r="Q33" s="180">
        <f>IF(ISBLANK('RESUMEN VIGILANCIA'!P38),"",'RESUMEN VIGILANCIA'!P38)</f>
        <v>0.5</v>
      </c>
      <c r="R33" s="272">
        <f>IF(ISBLANK('RESUMEN VIGILANCIA'!Q38),"",'RESUMEN VIGILANCIA'!Q38)</f>
        <v>0.8</v>
      </c>
      <c r="S33" s="271">
        <f>IF(ISBLANK('RESUMEN VIGILANCIA'!R38),"",'RESUMEN VIGILANCIA'!R38)</f>
        <v>0.8</v>
      </c>
      <c r="T33" s="271">
        <f>IF(ISBLANK('RESUMEN VIGILANCIA'!S38),"",'RESUMEN VIGILANCIA'!S38)</f>
        <v>1.4</v>
      </c>
      <c r="U33" s="271">
        <f>IF(ISBLANK('RESUMEN VIGILANCIA'!T38),"",'RESUMEN VIGILANCIA'!T38)</f>
        <v>1.4</v>
      </c>
      <c r="V33" s="271">
        <f>IF(ISBLANK('RESUMEN VIGILANCIA'!U38),"",'RESUMEN VIGILANCIA'!U38)</f>
        <v>4</v>
      </c>
      <c r="W33" s="271">
        <f>IF(ISBLANK('RESUMEN VIGILANCIA'!V38),"",'RESUMEN VIGILANCIA'!V38)</f>
        <v>6.25</v>
      </c>
      <c r="X33" s="273">
        <f>IF(ISBLANK('RESUMEN VIGILANCIA'!W38),"",'RESUMEN VIGILANCIA'!W38)</f>
        <v>10</v>
      </c>
      <c r="Y33" s="271">
        <f>IF(ISBLANK('RESUMEN VIGILANCIA'!X38),"",'RESUMEN VIGILANCIA'!X38)</f>
        <v>12</v>
      </c>
      <c r="Z33" s="481">
        <f>IF(ISBLANK('RESUMEN VIGILANCIA'!Y38),"",'RESUMEN VIGILANCIA'!Y38)</f>
        <v>320</v>
      </c>
      <c r="AA33" s="481">
        <f>IF(ISBLANK('RESUMEN VIGILANCIA'!Z38),"",'RESUMEN VIGILANCIA'!Z38)</f>
        <v>320</v>
      </c>
      <c r="AB33" s="481">
        <f>IF(ISBLANK('RESUMEN VIGILANCIA'!AA38),"",'RESUMEN VIGILANCIA'!AA38)</f>
        <v>320</v>
      </c>
      <c r="AC33" s="482">
        <f>IF(ISBLANK('RESUMEN VIGILANCIA'!AB38),"",'RESUMEN VIGILANCIA'!AB38)</f>
        <v>800</v>
      </c>
      <c r="AD33" s="399">
        <f>IF(ISBLANK('RESUMEN VIGILANCIA'!AC38),"",'RESUMEN VIGILANCIA'!AC38)</f>
        <v>3000</v>
      </c>
      <c r="AE33" s="400">
        <f>IF(ISBLANK('RESUMEN VIGILANCIA'!AD38),"",'RESUMEN VIGILANCIA'!AD38)</f>
        <v>3000</v>
      </c>
      <c r="AF33" s="400">
        <f>IF(ISBLANK('RESUMEN VIGILANCIA'!AE38),"",'RESUMEN VIGILANCIA'!AE38)</f>
        <v>3000</v>
      </c>
      <c r="AG33" s="400">
        <f>IF(ISBLANK('RESUMEN VIGILANCIA'!AF38),"",'RESUMEN VIGILANCIA'!AF38)</f>
        <v>4880</v>
      </c>
      <c r="AH33" s="400">
        <f>IF(ISBLANK('RESUMEN VIGILANCIA'!AG38),"",'RESUMEN VIGILANCIA'!AG38)</f>
        <v>8000</v>
      </c>
      <c r="AI33" s="400">
        <f>IF(ISBLANK('RESUMEN VIGILANCIA'!AH38),"",'RESUMEN VIGILANCIA'!AH38)</f>
        <v>8000</v>
      </c>
      <c r="AJ33" s="400">
        <f>IF(ISBLANK('RESUMEN VIGILANCIA'!AI38),"",'RESUMEN VIGILANCIA'!AI38)</f>
        <v>10000</v>
      </c>
      <c r="AK33" s="400">
        <f>IF(ISBLANK('RESUMEN VIGILANCIA'!AJ38),"",'RESUMEN VIGILANCIA'!AJ38)</f>
        <v>10000</v>
      </c>
      <c r="AL33" s="400">
        <f>IF(ISBLANK('RESUMEN VIGILANCIA'!AK38),"",'RESUMEN VIGILANCIA'!AK38)</f>
        <v>81750</v>
      </c>
      <c r="AM33" s="400">
        <f>IF(ISBLANK('RESUMEN VIGILANCIA'!AL38),"",'RESUMEN VIGILANCIA'!AL38)</f>
        <v>81750</v>
      </c>
      <c r="AN33" s="400">
        <f>IF(ISBLANK('RESUMEN VIGILANCIA'!AM38),"",'RESUMEN VIGILANCIA'!AM38)</f>
        <v>81750</v>
      </c>
      <c r="AO33" s="401" t="str">
        <f>IF(ISBLANK('RESUMEN VIGILANCIA'!AN38),"",'RESUMEN VIGILANCIA'!AN38)</f>
        <v/>
      </c>
      <c r="AP33" s="399" t="str">
        <f>IF(ISBLANK('RESUMEN VIGILANCIA'!AO38),"",'RESUMEN VIGILANCIA'!AO38)</f>
        <v/>
      </c>
      <c r="AQ33" s="400" t="str">
        <f>IF(ISBLANK('RESUMEN VIGILANCIA'!AP38),"",'RESUMEN VIGILANCIA'!AP38)</f>
        <v/>
      </c>
      <c r="AR33" s="400" t="str">
        <f>IF(ISBLANK('RESUMEN VIGILANCIA'!AQ38),"",'RESUMEN VIGILANCIA'!AQ38)</f>
        <v/>
      </c>
      <c r="AS33" s="400" t="str">
        <f>IF(ISBLANK('RESUMEN VIGILANCIA'!AR38),"",'RESUMEN VIGILANCIA'!AR38)</f>
        <v/>
      </c>
      <c r="AT33" s="400" t="str">
        <f>IF(ISBLANK('RESUMEN VIGILANCIA'!AS38),"",'RESUMEN VIGILANCIA'!AS38)</f>
        <v/>
      </c>
      <c r="AU33" s="400" t="str">
        <f>IF(ISBLANK('RESUMEN VIGILANCIA'!AT38),"",'RESUMEN VIGILANCIA'!AT38)</f>
        <v/>
      </c>
      <c r="AV33" s="400" t="str">
        <f>IF(ISBLANK('RESUMEN VIGILANCIA'!AU38),"",'RESUMEN VIGILANCIA'!AU38)</f>
        <v/>
      </c>
      <c r="AW33" s="400" t="str">
        <f>IF(ISBLANK('RESUMEN VIGILANCIA'!AV38),"",'RESUMEN VIGILANCIA'!AV38)</f>
        <v/>
      </c>
      <c r="AX33" s="400" t="str">
        <f>IF(ISBLANK('RESUMEN VIGILANCIA'!AW38),"",'RESUMEN VIGILANCIA'!AW38)</f>
        <v/>
      </c>
      <c r="AY33" s="400" t="str">
        <f>IF(ISBLANK('RESUMEN VIGILANCIA'!AX38),"",'RESUMEN VIGILANCIA'!AX38)</f>
        <v/>
      </c>
      <c r="AZ33" s="400" t="str">
        <f>IF(ISBLANK('RESUMEN VIGILANCIA'!AY38),"",'RESUMEN VIGILANCIA'!AY38)</f>
        <v/>
      </c>
      <c r="BA33" s="401" t="str">
        <f>IF(ISBLANK('RESUMEN VIGILANCIA'!AZ38),"",'RESUMEN VIGILANCIA'!AZ38)</f>
        <v/>
      </c>
      <c r="BB33" s="243">
        <f t="shared" si="0"/>
        <v>296930.15000000002</v>
      </c>
      <c r="BC33" s="112"/>
      <c r="BD33" s="112"/>
    </row>
    <row r="34" spans="1:56" s="29" customFormat="1" ht="20.100000000000001" customHeight="1">
      <c r="A34" s="30" t="str">
        <f>'RESUMEN VIGILANCIA'!A40</f>
        <v>Familia Hatem Medina</v>
      </c>
      <c r="B34" s="31" t="str">
        <f>'RESUMEN VIGILANCIA'!B40</f>
        <v>Calle Guacara Nro. 88-51</v>
      </c>
      <c r="C34" s="452" t="s">
        <v>1249</v>
      </c>
      <c r="D34" s="460" t="s">
        <v>1248</v>
      </c>
      <c r="E34" s="440" t="str">
        <f>IF(ISBLANK('RESUMEN VIGILANCIA'!D40),"",'RESUMEN VIGILANCIA'!D40)</f>
        <v/>
      </c>
      <c r="F34" s="274">
        <f>IF(ISBLANK('RESUMEN VIGILANCIA'!E40),"",'RESUMEN VIGILANCIA'!E40)</f>
        <v>0.105</v>
      </c>
      <c r="G34" s="183">
        <f>IF(ISBLANK('RESUMEN VIGILANCIA'!F40),"",'RESUMEN VIGILANCIA'!F40)</f>
        <v>0.16</v>
      </c>
      <c r="H34" s="183">
        <f>IF(ISBLANK('RESUMEN VIGILANCIA'!G40),"",'RESUMEN VIGILANCIA'!G40)</f>
        <v>0.16</v>
      </c>
      <c r="I34" s="183">
        <f>IF(ISBLANK('RESUMEN VIGILANCIA'!H40),"",'RESUMEN VIGILANCIA'!H40)</f>
        <v>0.17100000000000001</v>
      </c>
      <c r="J34" s="182">
        <f>IF(ISBLANK('RESUMEN VIGILANCIA'!I40),"",'RESUMEN VIGILANCIA'!I40)</f>
        <v>0.26</v>
      </c>
      <c r="K34" s="182">
        <f>IF(ISBLANK('RESUMEN VIGILANCIA'!J40),"",'RESUMEN VIGILANCIA'!J40)</f>
        <v>0.26</v>
      </c>
      <c r="L34" s="182">
        <f>IF(ISBLANK('RESUMEN VIGILANCIA'!K40),"",'RESUMEN VIGILANCIA'!K40)</f>
        <v>0.3</v>
      </c>
      <c r="M34" s="182">
        <f>IF(ISBLANK('RESUMEN VIGILANCIA'!L40),"",'RESUMEN VIGILANCIA'!L40)</f>
        <v>0.3</v>
      </c>
      <c r="N34" s="182">
        <f>IF(ISBLANK('RESUMEN VIGILANCIA'!M40),"",'RESUMEN VIGILANCIA'!M40)</f>
        <v>0.35</v>
      </c>
      <c r="O34" s="182">
        <f>IF(ISBLANK('RESUMEN VIGILANCIA'!N40),"",'RESUMEN VIGILANCIA'!N40)</f>
        <v>0.35</v>
      </c>
      <c r="P34" s="271">
        <f>IF(ISBLANK('RESUMEN VIGILANCIA'!O40),"",'RESUMEN VIGILANCIA'!O40)</f>
        <v>0.5</v>
      </c>
      <c r="Q34" s="180">
        <f>IF(ISBLANK('RESUMEN VIGILANCIA'!P40),"",'RESUMEN VIGILANCIA'!P40)</f>
        <v>0.5</v>
      </c>
      <c r="R34" s="272">
        <f>IF(ISBLANK('RESUMEN VIGILANCIA'!Q40),"",'RESUMEN VIGILANCIA'!Q40)</f>
        <v>0.8</v>
      </c>
      <c r="S34" s="271">
        <f>IF(ISBLANK('RESUMEN VIGILANCIA'!R40),"",'RESUMEN VIGILANCIA'!R40)</f>
        <v>0.8</v>
      </c>
      <c r="T34" s="271">
        <f>IF(ISBLANK('RESUMEN VIGILANCIA'!S40),"",'RESUMEN VIGILANCIA'!S40)</f>
        <v>1.4</v>
      </c>
      <c r="U34" s="271">
        <f>IF(ISBLANK('RESUMEN VIGILANCIA'!T40),"",'RESUMEN VIGILANCIA'!T40)</f>
        <v>1.4</v>
      </c>
      <c r="V34" s="271">
        <f>IF(ISBLANK('RESUMEN VIGILANCIA'!U40),"",'RESUMEN VIGILANCIA'!U40)</f>
        <v>4</v>
      </c>
      <c r="W34" s="271">
        <f>IF(ISBLANK('RESUMEN VIGILANCIA'!V40),"",'RESUMEN VIGILANCIA'!V40)</f>
        <v>6.25</v>
      </c>
      <c r="X34" s="271">
        <f>IF(ISBLANK('RESUMEN VIGILANCIA'!W40),"",'RESUMEN VIGILANCIA'!W40)</f>
        <v>10</v>
      </c>
      <c r="Y34" s="271">
        <f>IF(ISBLANK('RESUMEN VIGILANCIA'!X40),"",'RESUMEN VIGILANCIA'!X40)</f>
        <v>12</v>
      </c>
      <c r="Z34" s="481">
        <f>IF(ISBLANK('RESUMEN VIGILANCIA'!Y40),"",'RESUMEN VIGILANCIA'!Y40)</f>
        <v>320</v>
      </c>
      <c r="AA34" s="481">
        <f>IF(ISBLANK('RESUMEN VIGILANCIA'!Z40),"",'RESUMEN VIGILANCIA'!Z40)</f>
        <v>320</v>
      </c>
      <c r="AB34" s="481">
        <f>IF(ISBLANK('RESUMEN VIGILANCIA'!AA40),"",'RESUMEN VIGILANCIA'!AA40)</f>
        <v>320</v>
      </c>
      <c r="AC34" s="482">
        <f>IF(ISBLANK('RESUMEN VIGILANCIA'!AB40),"",'RESUMEN VIGILANCIA'!AB40)</f>
        <v>800</v>
      </c>
      <c r="AD34" s="399">
        <f>IF(ISBLANK('RESUMEN VIGILANCIA'!AC40),"",'RESUMEN VIGILANCIA'!AC40)</f>
        <v>3000</v>
      </c>
      <c r="AE34" s="400">
        <f>IF(ISBLANK('RESUMEN VIGILANCIA'!AD40),"",'RESUMEN VIGILANCIA'!AD40)</f>
        <v>3000</v>
      </c>
      <c r="AF34" s="400">
        <f>IF(ISBLANK('RESUMEN VIGILANCIA'!AE40),"",'RESUMEN VIGILANCIA'!AE40)</f>
        <v>3000</v>
      </c>
      <c r="AG34" s="400">
        <f>IF(ISBLANK('RESUMEN VIGILANCIA'!AF40),"",'RESUMEN VIGILANCIA'!AF40)</f>
        <v>5000</v>
      </c>
      <c r="AH34" s="400">
        <f>IF(ISBLANK('RESUMEN VIGILANCIA'!AG40),"",'RESUMEN VIGILANCIA'!AG40)</f>
        <v>8000</v>
      </c>
      <c r="AI34" s="400">
        <f>IF(ISBLANK('RESUMEN VIGILANCIA'!AH40),"",'RESUMEN VIGILANCIA'!AH40)</f>
        <v>12040</v>
      </c>
      <c r="AJ34" s="400">
        <f>IF(ISBLANK('RESUMEN VIGILANCIA'!AI40),"",'RESUMEN VIGILANCIA'!AI40)</f>
        <v>10000</v>
      </c>
      <c r="AK34" s="400">
        <f>IF(ISBLANK('RESUMEN VIGILANCIA'!AJ40),"",'RESUMEN VIGILANCIA'!AJ40)</f>
        <v>10000</v>
      </c>
      <c r="AL34" s="400">
        <f>IF(ISBLANK('RESUMEN VIGILANCIA'!AK40),"",'RESUMEN VIGILANCIA'!AK40)</f>
        <v>19800</v>
      </c>
      <c r="AM34" s="400">
        <f>IF(ISBLANK('RESUMEN VIGILANCIA'!AL40),"",'RESUMEN VIGILANCIA'!AL40)</f>
        <v>47000</v>
      </c>
      <c r="AN34" s="400">
        <f>IF(ISBLANK('RESUMEN VIGILANCIA'!AM40),"",'RESUMEN VIGILANCIA'!AM40)</f>
        <v>56250</v>
      </c>
      <c r="AO34" s="401">
        <f>IF(ISBLANK('RESUMEN VIGILANCIA'!AN40),"",'RESUMEN VIGILANCIA'!AN40)</f>
        <v>81750</v>
      </c>
      <c r="AP34" s="399">
        <f>IF(ISBLANK('RESUMEN VIGILANCIA'!AO40),"",'RESUMEN VIGILANCIA'!AO40)</f>
        <v>136250</v>
      </c>
      <c r="AQ34" s="400">
        <f>IF(ISBLANK('RESUMEN VIGILANCIA'!AP40),"",'RESUMEN VIGILANCIA'!AP40)</f>
        <v>136250</v>
      </c>
      <c r="AR34" s="400" t="str">
        <f>IF(ISBLANK('RESUMEN VIGILANCIA'!AQ40),"",'RESUMEN VIGILANCIA'!AQ40)</f>
        <v/>
      </c>
      <c r="AS34" s="400" t="str">
        <f>IF(ISBLANK('RESUMEN VIGILANCIA'!AR40),"",'RESUMEN VIGILANCIA'!AR40)</f>
        <v/>
      </c>
      <c r="AT34" s="400" t="str">
        <f>IF(ISBLANK('RESUMEN VIGILANCIA'!AS40),"",'RESUMEN VIGILANCIA'!AS40)</f>
        <v/>
      </c>
      <c r="AU34" s="400" t="str">
        <f>IF(ISBLANK('RESUMEN VIGILANCIA'!AT40),"",'RESUMEN VIGILANCIA'!AT40)</f>
        <v/>
      </c>
      <c r="AV34" s="400" t="str">
        <f>IF(ISBLANK('RESUMEN VIGILANCIA'!AU40),"",'RESUMEN VIGILANCIA'!AU40)</f>
        <v/>
      </c>
      <c r="AW34" s="400" t="str">
        <f>IF(ISBLANK('RESUMEN VIGILANCIA'!AV40),"",'RESUMEN VIGILANCIA'!AV40)</f>
        <v/>
      </c>
      <c r="AX34" s="400" t="str">
        <f>IF(ISBLANK('RESUMEN VIGILANCIA'!AW40),"",'RESUMEN VIGILANCIA'!AW40)</f>
        <v/>
      </c>
      <c r="AY34" s="400" t="str">
        <f>IF(ISBLANK('RESUMEN VIGILANCIA'!AX40),"",'RESUMEN VIGILANCIA'!AX40)</f>
        <v/>
      </c>
      <c r="AZ34" s="400" t="str">
        <f>IF(ISBLANK('RESUMEN VIGILANCIA'!AY40),"",'RESUMEN VIGILANCIA'!AY40)</f>
        <v/>
      </c>
      <c r="BA34" s="401" t="str">
        <f>IF(ISBLANK('RESUMEN VIGILANCIA'!AZ40),"",'RESUMEN VIGILANCIA'!AZ40)</f>
        <v/>
      </c>
      <c r="BB34" s="243">
        <f t="shared" ref="BB34:BB67" si="1">SUM(E34:AO34)</f>
        <v>260640.06599999999</v>
      </c>
      <c r="BC34" s="112"/>
      <c r="BD34" s="112"/>
    </row>
    <row r="35" spans="1:56" s="29" customFormat="1" ht="20.100000000000001" customHeight="1">
      <c r="A35" s="30" t="str">
        <f>'RESUMEN VIGILANCIA'!A39</f>
        <v>Familia Del Negro Palermo</v>
      </c>
      <c r="B35" s="31" t="str">
        <f>'RESUMEN VIGILANCIA'!B39</f>
        <v>Calle Guacara Nro. 88-45</v>
      </c>
      <c r="C35" s="452" t="s">
        <v>1249</v>
      </c>
      <c r="D35" s="460" t="s">
        <v>1248</v>
      </c>
      <c r="E35" s="440" t="str">
        <f>IF(ISBLANK('RESUMEN VIGILANCIA'!D39),"",'RESUMEN VIGILANCIA'!D39)</f>
        <v/>
      </c>
      <c r="F35" s="270">
        <f>IF(ISBLANK('RESUMEN VIGILANCIA'!E39),"",'RESUMEN VIGILANCIA'!E39)</f>
        <v>0.16999999999999998</v>
      </c>
      <c r="G35" s="182">
        <f>IF(ISBLANK('RESUMEN VIGILANCIA'!F39),"",'RESUMEN VIGILANCIA'!F39)</f>
        <v>0.17</v>
      </c>
      <c r="H35" s="182">
        <f>IF(ISBLANK('RESUMEN VIGILANCIA'!G39),"",'RESUMEN VIGILANCIA'!G39)</f>
        <v>0.17</v>
      </c>
      <c r="I35" s="182">
        <f>IF(ISBLANK('RESUMEN VIGILANCIA'!H39),"",'RESUMEN VIGILANCIA'!H39)</f>
        <v>0.17</v>
      </c>
      <c r="J35" s="182">
        <f>IF(ISBLANK('RESUMEN VIGILANCIA'!I39),"",'RESUMEN VIGILANCIA'!I39)</f>
        <v>0.26</v>
      </c>
      <c r="K35" s="182">
        <f>IF(ISBLANK('RESUMEN VIGILANCIA'!J39),"",'RESUMEN VIGILANCIA'!J39)</f>
        <v>0.26</v>
      </c>
      <c r="L35" s="182">
        <f>IF(ISBLANK('RESUMEN VIGILANCIA'!K39),"",'RESUMEN VIGILANCIA'!K39)</f>
        <v>0.35</v>
      </c>
      <c r="M35" s="182">
        <f>IF(ISBLANK('RESUMEN VIGILANCIA'!L39),"",'RESUMEN VIGILANCIA'!L39)</f>
        <v>0.35</v>
      </c>
      <c r="N35" s="182">
        <f>IF(ISBLANK('RESUMEN VIGILANCIA'!M39),"",'RESUMEN VIGILANCIA'!M39)</f>
        <v>0.35</v>
      </c>
      <c r="O35" s="182">
        <f>IF(ISBLANK('RESUMEN VIGILANCIA'!N39),"",'RESUMEN VIGILANCIA'!N39)</f>
        <v>0.35</v>
      </c>
      <c r="P35" s="271">
        <f>IF(ISBLANK('RESUMEN VIGILANCIA'!O39),"",'RESUMEN VIGILANCIA'!O39)</f>
        <v>0.5</v>
      </c>
      <c r="Q35" s="180">
        <f>IF(ISBLANK('RESUMEN VIGILANCIA'!P39),"",'RESUMEN VIGILANCIA'!P39)</f>
        <v>0.5</v>
      </c>
      <c r="R35" s="272">
        <f>IF(ISBLANK('RESUMEN VIGILANCIA'!Q39),"",'RESUMEN VIGILANCIA'!Q39)</f>
        <v>0.8</v>
      </c>
      <c r="S35" s="271">
        <f>IF(ISBLANK('RESUMEN VIGILANCIA'!R39),"",'RESUMEN VIGILANCIA'!R39)</f>
        <v>0.8</v>
      </c>
      <c r="T35" s="271">
        <f>IF(ISBLANK('RESUMEN VIGILANCIA'!S39),"",'RESUMEN VIGILANCIA'!S39)</f>
        <v>1.4</v>
      </c>
      <c r="U35" s="271">
        <f>IF(ISBLANK('RESUMEN VIGILANCIA'!T39),"",'RESUMEN VIGILANCIA'!T39)</f>
        <v>1.4</v>
      </c>
      <c r="V35" s="271">
        <f>IF(ISBLANK('RESUMEN VIGILANCIA'!U39),"",'RESUMEN VIGILANCIA'!U39)</f>
        <v>4</v>
      </c>
      <c r="W35" s="271">
        <f>IF(ISBLANK('RESUMEN VIGILANCIA'!V39),"",'RESUMEN VIGILANCIA'!V39)</f>
        <v>6.25</v>
      </c>
      <c r="X35" s="271">
        <f>IF(ISBLANK('RESUMEN VIGILANCIA'!W39),"",'RESUMEN VIGILANCIA'!W39)</f>
        <v>10</v>
      </c>
      <c r="Y35" s="271">
        <f>IF(ISBLANK('RESUMEN VIGILANCIA'!X39),"",'RESUMEN VIGILANCIA'!X39)</f>
        <v>12</v>
      </c>
      <c r="Z35" s="481">
        <f>IF(ISBLANK('RESUMEN VIGILANCIA'!Y39),"",'RESUMEN VIGILANCIA'!Y39)</f>
        <v>320</v>
      </c>
      <c r="AA35" s="481">
        <f>IF(ISBLANK('RESUMEN VIGILANCIA'!Z39),"",'RESUMEN VIGILANCIA'!Z39)</f>
        <v>320</v>
      </c>
      <c r="AB35" s="481">
        <f>IF(ISBLANK('RESUMEN VIGILANCIA'!AA39),"",'RESUMEN VIGILANCIA'!AA39)</f>
        <v>320</v>
      </c>
      <c r="AC35" s="482">
        <f>IF(ISBLANK('RESUMEN VIGILANCIA'!AB39),"",'RESUMEN VIGILANCIA'!AB39)</f>
        <v>800</v>
      </c>
      <c r="AD35" s="399">
        <f>IF(ISBLANK('RESUMEN VIGILANCIA'!AC39),"",'RESUMEN VIGILANCIA'!AC39)</f>
        <v>3000</v>
      </c>
      <c r="AE35" s="400">
        <f>IF(ISBLANK('RESUMEN VIGILANCIA'!AD39),"",'RESUMEN VIGILANCIA'!AD39)</f>
        <v>3000</v>
      </c>
      <c r="AF35" s="400">
        <f>IF(ISBLANK('RESUMEN VIGILANCIA'!AE39),"",'RESUMEN VIGILANCIA'!AE39)</f>
        <v>3000</v>
      </c>
      <c r="AG35" s="400">
        <f>IF(ISBLANK('RESUMEN VIGILANCIA'!AF39),"",'RESUMEN VIGILANCIA'!AF39)</f>
        <v>5000</v>
      </c>
      <c r="AH35" s="400">
        <f>IF(ISBLANK('RESUMEN VIGILANCIA'!AG39),"",'RESUMEN VIGILANCIA'!AG39)</f>
        <v>8000</v>
      </c>
      <c r="AI35" s="400">
        <f>IF(ISBLANK('RESUMEN VIGILANCIA'!AH39),"",'RESUMEN VIGILANCIA'!AH39)</f>
        <v>8000</v>
      </c>
      <c r="AJ35" s="400">
        <f>IF(ISBLANK('RESUMEN VIGILANCIA'!AI39),"",'RESUMEN VIGILANCIA'!AI39)</f>
        <v>10000</v>
      </c>
      <c r="AK35" s="400">
        <f>IF(ISBLANK('RESUMEN VIGILANCIA'!AJ39),"",'RESUMEN VIGILANCIA'!AJ39)</f>
        <v>10000</v>
      </c>
      <c r="AL35" s="400">
        <f>IF(ISBLANK('RESUMEN VIGILANCIA'!AK39),"",'RESUMEN VIGILANCIA'!AK39)</f>
        <v>23400</v>
      </c>
      <c r="AM35" s="400">
        <f>IF(ISBLANK('RESUMEN VIGILANCIA'!AL39),"",'RESUMEN VIGILANCIA'!AL39)</f>
        <v>64500</v>
      </c>
      <c r="AN35" s="400">
        <f>IF(ISBLANK('RESUMEN VIGILANCIA'!AM39),"",'RESUMEN VIGILANCIA'!AM39)</f>
        <v>64500</v>
      </c>
      <c r="AO35" s="401">
        <f>IF(ISBLANK('RESUMEN VIGILANCIA'!AN39),"",'RESUMEN VIGILANCIA'!AN39)</f>
        <v>81750</v>
      </c>
      <c r="AP35" s="399">
        <f>IF(ISBLANK('RESUMEN VIGILANCIA'!AO39),"",'RESUMEN VIGILANCIA'!AO39)</f>
        <v>136250</v>
      </c>
      <c r="AQ35" s="400">
        <f>IF(ISBLANK('RESUMEN VIGILANCIA'!AP39),"",'RESUMEN VIGILANCIA'!AP39)</f>
        <v>136250</v>
      </c>
      <c r="AR35" s="400" t="str">
        <f>IF(ISBLANK('RESUMEN VIGILANCIA'!AQ39),"",'RESUMEN VIGILANCIA'!AQ39)</f>
        <v/>
      </c>
      <c r="AS35" s="400" t="str">
        <f>IF(ISBLANK('RESUMEN VIGILANCIA'!AR39),"",'RESUMEN VIGILANCIA'!AR39)</f>
        <v/>
      </c>
      <c r="AT35" s="400" t="str">
        <f>IF(ISBLANK('RESUMEN VIGILANCIA'!AS39),"",'RESUMEN VIGILANCIA'!AS39)</f>
        <v/>
      </c>
      <c r="AU35" s="400" t="str">
        <f>IF(ISBLANK('RESUMEN VIGILANCIA'!AT39),"",'RESUMEN VIGILANCIA'!AT39)</f>
        <v/>
      </c>
      <c r="AV35" s="400" t="str">
        <f>IF(ISBLANK('RESUMEN VIGILANCIA'!AU39),"",'RESUMEN VIGILANCIA'!AU39)</f>
        <v/>
      </c>
      <c r="AW35" s="400" t="str">
        <f>IF(ISBLANK('RESUMEN VIGILANCIA'!AV39),"",'RESUMEN VIGILANCIA'!AV39)</f>
        <v/>
      </c>
      <c r="AX35" s="400" t="str">
        <f>IF(ISBLANK('RESUMEN VIGILANCIA'!AW39),"",'RESUMEN VIGILANCIA'!AW39)</f>
        <v/>
      </c>
      <c r="AY35" s="400" t="str">
        <f>IF(ISBLANK('RESUMEN VIGILANCIA'!AX39),"",'RESUMEN VIGILANCIA'!AX39)</f>
        <v/>
      </c>
      <c r="AZ35" s="400" t="str">
        <f>IF(ISBLANK('RESUMEN VIGILANCIA'!AY39),"",'RESUMEN VIGILANCIA'!AY39)</f>
        <v/>
      </c>
      <c r="BA35" s="401" t="str">
        <f>IF(ISBLANK('RESUMEN VIGILANCIA'!AZ39),"",'RESUMEN VIGILANCIA'!AZ39)</f>
        <v/>
      </c>
      <c r="BB35" s="243">
        <f t="shared" si="1"/>
        <v>285950.25</v>
      </c>
      <c r="BC35" s="112"/>
      <c r="BD35" s="112"/>
    </row>
    <row r="36" spans="1:56" s="29" customFormat="1" ht="20.100000000000001" customHeight="1">
      <c r="A36" s="30" t="str">
        <f>'RESUMEN VIGILANCIA'!A41</f>
        <v>Familia Leung</v>
      </c>
      <c r="B36" s="31" t="str">
        <f>'RESUMEN VIGILANCIA'!B41</f>
        <v>Calle Guacara Nro. 88-55</v>
      </c>
      <c r="C36" s="452" t="s">
        <v>1249</v>
      </c>
      <c r="D36" s="460" t="s">
        <v>1248</v>
      </c>
      <c r="E36" s="440" t="str">
        <f>IF(ISBLANK('RESUMEN VIGILANCIA'!D41),"",'RESUMEN VIGILANCIA'!D41)</f>
        <v/>
      </c>
      <c r="F36" s="270">
        <f>IF(ISBLANK('RESUMEN VIGILANCIA'!E41),"",'RESUMEN VIGILANCIA'!E41)</f>
        <v>0.17</v>
      </c>
      <c r="G36" s="182">
        <f>IF(ISBLANK('RESUMEN VIGILANCIA'!F41),"",'RESUMEN VIGILANCIA'!F41)</f>
        <v>0.17</v>
      </c>
      <c r="H36" s="182">
        <f>IF(ISBLANK('RESUMEN VIGILANCIA'!G41),"",'RESUMEN VIGILANCIA'!G41)</f>
        <v>0.17</v>
      </c>
      <c r="I36" s="182">
        <f>IF(ISBLANK('RESUMEN VIGILANCIA'!H41),"",'RESUMEN VIGILANCIA'!H41)</f>
        <v>0.17</v>
      </c>
      <c r="J36" s="182">
        <f>IF(ISBLANK('RESUMEN VIGILANCIA'!I41),"",'RESUMEN VIGILANCIA'!I41)</f>
        <v>0.26</v>
      </c>
      <c r="K36" s="182" t="str">
        <f>IF(ISBLANK('RESUMEN VIGILANCIA'!J41),"",'RESUMEN VIGILANCIA'!J41)</f>
        <v>- - -</v>
      </c>
      <c r="L36" s="182" t="str">
        <f>IF(ISBLANK('RESUMEN VIGILANCIA'!K41),"",'RESUMEN VIGILANCIA'!K41)</f>
        <v>- - -</v>
      </c>
      <c r="M36" s="182" t="str">
        <f>IF(ISBLANK('RESUMEN VIGILANCIA'!L41),"",'RESUMEN VIGILANCIA'!L41)</f>
        <v>- - -</v>
      </c>
      <c r="N36" s="182" t="str">
        <f>IF(ISBLANK('RESUMEN VIGILANCIA'!M41),"",'RESUMEN VIGILANCIA'!M41)</f>
        <v>- - -</v>
      </c>
      <c r="O36" s="182" t="str">
        <f>IF(ISBLANK('RESUMEN VIGILANCIA'!N41),"",'RESUMEN VIGILANCIA'!N41)</f>
        <v>- - -</v>
      </c>
      <c r="P36" s="271" t="str">
        <f>IF(ISBLANK('RESUMEN VIGILANCIA'!O41),"",'RESUMEN VIGILANCIA'!O41)</f>
        <v>- - -</v>
      </c>
      <c r="Q36" s="180" t="str">
        <f>IF(ISBLANK('RESUMEN VIGILANCIA'!P41),"",'RESUMEN VIGILANCIA'!P41)</f>
        <v>- - -</v>
      </c>
      <c r="R36" s="272">
        <f>IF(ISBLANK('RESUMEN VIGILANCIA'!Q41),"",'RESUMEN VIGILANCIA'!Q41)</f>
        <v>0.8</v>
      </c>
      <c r="S36" s="271">
        <f>IF(ISBLANK('RESUMEN VIGILANCIA'!R41),"",'RESUMEN VIGILANCIA'!R41)</f>
        <v>0.8</v>
      </c>
      <c r="T36" s="271">
        <f>IF(ISBLANK('RESUMEN VIGILANCIA'!S41),"",'RESUMEN VIGILANCIA'!S41)</f>
        <v>1.4</v>
      </c>
      <c r="U36" s="271">
        <f>IF(ISBLANK('RESUMEN VIGILANCIA'!T41),"",'RESUMEN VIGILANCIA'!T41)</f>
        <v>1.4</v>
      </c>
      <c r="V36" s="271">
        <f>IF(ISBLANK('RESUMEN VIGILANCIA'!U41),"",'RESUMEN VIGILANCIA'!U41)</f>
        <v>4</v>
      </c>
      <c r="W36" s="271">
        <f>IF(ISBLANK('RESUMEN VIGILANCIA'!V41),"",'RESUMEN VIGILANCIA'!V41)</f>
        <v>4</v>
      </c>
      <c r="X36" s="271">
        <f>IF(ISBLANK('RESUMEN VIGILANCIA'!W41),"",'RESUMEN VIGILANCIA'!W41)</f>
        <v>10</v>
      </c>
      <c r="Y36" s="271">
        <f>IF(ISBLANK('RESUMEN VIGILANCIA'!X41),"",'RESUMEN VIGILANCIA'!X41)</f>
        <v>12</v>
      </c>
      <c r="Z36" s="481">
        <f>IF(ISBLANK('RESUMEN VIGILANCIA'!Y41),"",'RESUMEN VIGILANCIA'!Y41)</f>
        <v>320</v>
      </c>
      <c r="AA36" s="481">
        <f>IF(ISBLANK('RESUMEN VIGILANCIA'!Z41),"",'RESUMEN VIGILANCIA'!Z41)</f>
        <v>330</v>
      </c>
      <c r="AB36" s="481">
        <f>IF(ISBLANK('RESUMEN VIGILANCIA'!AA41),"",'RESUMEN VIGILANCIA'!AA41)</f>
        <v>320</v>
      </c>
      <c r="AC36" s="482">
        <f>IF(ISBLANK('RESUMEN VIGILANCIA'!AB41),"",'RESUMEN VIGILANCIA'!AB41)</f>
        <v>800</v>
      </c>
      <c r="AD36" s="399">
        <f>IF(ISBLANK('RESUMEN VIGILANCIA'!AC41),"",'RESUMEN VIGILANCIA'!AC41)</f>
        <v>3000</v>
      </c>
      <c r="AE36" s="400">
        <f>IF(ISBLANK('RESUMEN VIGILANCIA'!AD41),"",'RESUMEN VIGILANCIA'!AD41)</f>
        <v>3000</v>
      </c>
      <c r="AF36" s="400">
        <f>IF(ISBLANK('RESUMEN VIGILANCIA'!AE41),"",'RESUMEN VIGILANCIA'!AE41)</f>
        <v>3000</v>
      </c>
      <c r="AG36" s="400">
        <f>IF(ISBLANK('RESUMEN VIGILANCIA'!AF41),"",'RESUMEN VIGILANCIA'!AF41)</f>
        <v>5000</v>
      </c>
      <c r="AH36" s="416" t="str">
        <f>IF(ISBLANK('RESUMEN VIGILANCIA'!AG41),"",'RESUMEN VIGILANCIA'!AG41)</f>
        <v/>
      </c>
      <c r="AI36" s="416" t="str">
        <f>IF(ISBLANK('RESUMEN VIGILANCIA'!AH41),"",'RESUMEN VIGILANCIA'!AH41)</f>
        <v/>
      </c>
      <c r="AJ36" s="416" t="str">
        <f>IF(ISBLANK('RESUMEN VIGILANCIA'!AI41),"",'RESUMEN VIGILANCIA'!AI41)</f>
        <v/>
      </c>
      <c r="AK36" s="416" t="str">
        <f>IF(ISBLANK('RESUMEN VIGILANCIA'!AJ41),"",'RESUMEN VIGILANCIA'!AJ41)</f>
        <v/>
      </c>
      <c r="AL36" s="416" t="str">
        <f>IF(ISBLANK('RESUMEN VIGILANCIA'!AK41),"",'RESUMEN VIGILANCIA'!AK41)</f>
        <v/>
      </c>
      <c r="AM36" s="416" t="str">
        <f>IF(ISBLANK('RESUMEN VIGILANCIA'!AL41),"",'RESUMEN VIGILANCIA'!AL41)</f>
        <v/>
      </c>
      <c r="AN36" s="416" t="str">
        <f>IF(ISBLANK('RESUMEN VIGILANCIA'!AM41),"",'RESUMEN VIGILANCIA'!AM41)</f>
        <v/>
      </c>
      <c r="AO36" s="417" t="str">
        <f>IF(ISBLANK('RESUMEN VIGILANCIA'!AN41),"",'RESUMEN VIGILANCIA'!AN41)</f>
        <v/>
      </c>
      <c r="AP36" s="415" t="str">
        <f>IF(ISBLANK('RESUMEN VIGILANCIA'!AO41),"",'RESUMEN VIGILANCIA'!AO41)</f>
        <v/>
      </c>
      <c r="AQ36" s="416" t="str">
        <f>IF(ISBLANK('RESUMEN VIGILANCIA'!AP41),"",'RESUMEN VIGILANCIA'!AP41)</f>
        <v/>
      </c>
      <c r="AR36" s="416" t="str">
        <f>IF(ISBLANK('RESUMEN VIGILANCIA'!AQ41),"",'RESUMEN VIGILANCIA'!AQ41)</f>
        <v/>
      </c>
      <c r="AS36" s="416" t="str">
        <f>IF(ISBLANK('RESUMEN VIGILANCIA'!AR41),"",'RESUMEN VIGILANCIA'!AR41)</f>
        <v/>
      </c>
      <c r="AT36" s="416" t="str">
        <f>IF(ISBLANK('RESUMEN VIGILANCIA'!AS41),"",'RESUMEN VIGILANCIA'!AS41)</f>
        <v/>
      </c>
      <c r="AU36" s="416" t="str">
        <f>IF(ISBLANK('RESUMEN VIGILANCIA'!AT41),"",'RESUMEN VIGILANCIA'!AT41)</f>
        <v/>
      </c>
      <c r="AV36" s="416" t="str">
        <f>IF(ISBLANK('RESUMEN VIGILANCIA'!AU41),"",'RESUMEN VIGILANCIA'!AU41)</f>
        <v/>
      </c>
      <c r="AW36" s="416" t="str">
        <f>IF(ISBLANK('RESUMEN VIGILANCIA'!AV41),"",'RESUMEN VIGILANCIA'!AV41)</f>
        <v/>
      </c>
      <c r="AX36" s="416" t="str">
        <f>IF(ISBLANK('RESUMEN VIGILANCIA'!AW41),"",'RESUMEN VIGILANCIA'!AW41)</f>
        <v/>
      </c>
      <c r="AY36" s="416" t="str">
        <f>IF(ISBLANK('RESUMEN VIGILANCIA'!AX41),"",'RESUMEN VIGILANCIA'!AX41)</f>
        <v/>
      </c>
      <c r="AZ36" s="416" t="str">
        <f>IF(ISBLANK('RESUMEN VIGILANCIA'!AY41),"",'RESUMEN VIGILANCIA'!AY41)</f>
        <v/>
      </c>
      <c r="BA36" s="417" t="str">
        <f>IF(ISBLANK('RESUMEN VIGILANCIA'!AZ41),"",'RESUMEN VIGILANCIA'!AZ41)</f>
        <v/>
      </c>
      <c r="BB36" s="246">
        <f t="shared" si="1"/>
        <v>15805.34</v>
      </c>
      <c r="BC36" s="113"/>
      <c r="BD36" s="113">
        <v>43556</v>
      </c>
    </row>
    <row r="37" spans="1:56" s="29" customFormat="1" ht="20.100000000000001" customHeight="1">
      <c r="A37" s="30" t="str">
        <f>'RESUMEN VIGILANCIA'!A42</f>
        <v>Familia Zhen</v>
      </c>
      <c r="B37" s="31" t="str">
        <f>'RESUMEN VIGILANCIA'!B42</f>
        <v>Calle Guacara Nro. 88-55</v>
      </c>
      <c r="C37" s="452" t="s">
        <v>1249</v>
      </c>
      <c r="D37" s="460" t="s">
        <v>1248</v>
      </c>
      <c r="E37" s="441" t="str">
        <f>IF(ISBLANK('RESUMEN VIGILANCIA'!D42),"",'RESUMEN VIGILANCIA'!D42)</f>
        <v/>
      </c>
      <c r="F37" s="278" t="str">
        <f>IF(ISBLANK('RESUMEN VIGILANCIA'!E42),"",'RESUMEN VIGILANCIA'!E42)</f>
        <v/>
      </c>
      <c r="G37" s="279" t="str">
        <f>IF(ISBLANK('RESUMEN VIGILANCIA'!F42),"",'RESUMEN VIGILANCIA'!F42)</f>
        <v/>
      </c>
      <c r="H37" s="279" t="str">
        <f>IF(ISBLANK('RESUMEN VIGILANCIA'!G42),"",'RESUMEN VIGILANCIA'!G42)</f>
        <v/>
      </c>
      <c r="I37" s="279" t="str">
        <f>IF(ISBLANK('RESUMEN VIGILANCIA'!H42),"",'RESUMEN VIGILANCIA'!H42)</f>
        <v/>
      </c>
      <c r="J37" s="279" t="str">
        <f>IF(ISBLANK('RESUMEN VIGILANCIA'!I42),"",'RESUMEN VIGILANCIA'!I42)</f>
        <v/>
      </c>
      <c r="K37" s="279" t="str">
        <f>IF(ISBLANK('RESUMEN VIGILANCIA'!J42),"",'RESUMEN VIGILANCIA'!J42)</f>
        <v/>
      </c>
      <c r="L37" s="279" t="str">
        <f>IF(ISBLANK('RESUMEN VIGILANCIA'!K42),"",'RESUMEN VIGILANCIA'!K42)</f>
        <v/>
      </c>
      <c r="M37" s="279" t="str">
        <f>IF(ISBLANK('RESUMEN VIGILANCIA'!L42),"",'RESUMEN VIGILANCIA'!L42)</f>
        <v/>
      </c>
      <c r="N37" s="279" t="str">
        <f>IF(ISBLANK('RESUMEN VIGILANCIA'!M42),"",'RESUMEN VIGILANCIA'!M42)</f>
        <v/>
      </c>
      <c r="O37" s="279" t="str">
        <f>IF(ISBLANK('RESUMEN VIGILANCIA'!N42),"",'RESUMEN VIGILANCIA'!N42)</f>
        <v/>
      </c>
      <c r="P37" s="280" t="str">
        <f>IF(ISBLANK('RESUMEN VIGILANCIA'!O42),"",'RESUMEN VIGILANCIA'!O42)</f>
        <v/>
      </c>
      <c r="Q37" s="277" t="str">
        <f>IF(ISBLANK('RESUMEN VIGILANCIA'!P42),"",'RESUMEN VIGILANCIA'!P42)</f>
        <v/>
      </c>
      <c r="R37" s="281" t="str">
        <f>IF(ISBLANK('RESUMEN VIGILANCIA'!Q42),"",'RESUMEN VIGILANCIA'!Q42)</f>
        <v/>
      </c>
      <c r="S37" s="280" t="str">
        <f>IF(ISBLANK('RESUMEN VIGILANCIA'!R42),"",'RESUMEN VIGILANCIA'!R42)</f>
        <v/>
      </c>
      <c r="T37" s="280" t="str">
        <f>IF(ISBLANK('RESUMEN VIGILANCIA'!S42),"",'RESUMEN VIGILANCIA'!S42)</f>
        <v/>
      </c>
      <c r="U37" s="280" t="str">
        <f>IF(ISBLANK('RESUMEN VIGILANCIA'!T42),"",'RESUMEN VIGILANCIA'!T42)</f>
        <v/>
      </c>
      <c r="V37" s="280" t="str">
        <f>IF(ISBLANK('RESUMEN VIGILANCIA'!U42),"",'RESUMEN VIGILANCIA'!U42)</f>
        <v/>
      </c>
      <c r="W37" s="280" t="str">
        <f>IF(ISBLANK('RESUMEN VIGILANCIA'!V42),"",'RESUMEN VIGILANCIA'!V42)</f>
        <v/>
      </c>
      <c r="X37" s="280" t="str">
        <f>IF(ISBLANK('RESUMEN VIGILANCIA'!W42),"",'RESUMEN VIGILANCIA'!W42)</f>
        <v/>
      </c>
      <c r="Y37" s="280" t="str">
        <f>IF(ISBLANK('RESUMEN VIGILANCIA'!X42),"",'RESUMEN VIGILANCIA'!X42)</f>
        <v/>
      </c>
      <c r="Z37" s="489" t="str">
        <f>IF(ISBLANK('RESUMEN VIGILANCIA'!Y42),"",'RESUMEN VIGILANCIA'!Y42)</f>
        <v/>
      </c>
      <c r="AA37" s="489" t="str">
        <f>IF(ISBLANK('RESUMEN VIGILANCIA'!Z42),"",'RESUMEN VIGILANCIA'!Z42)</f>
        <v/>
      </c>
      <c r="AB37" s="489" t="str">
        <f>IF(ISBLANK('RESUMEN VIGILANCIA'!AA42),"",'RESUMEN VIGILANCIA'!AA42)</f>
        <v/>
      </c>
      <c r="AC37" s="489" t="str">
        <f>IF(ISBLANK('RESUMEN VIGILANCIA'!AB42),"",'RESUMEN VIGILANCIA'!AB42)</f>
        <v/>
      </c>
      <c r="AD37" s="489" t="str">
        <f>IF(ISBLANK('RESUMEN VIGILANCIA'!AC42),"",'RESUMEN VIGILANCIA'!AC42)</f>
        <v/>
      </c>
      <c r="AE37" s="489" t="str">
        <f>IF(ISBLANK('RESUMEN VIGILANCIA'!AD42),"",'RESUMEN VIGILANCIA'!AD42)</f>
        <v/>
      </c>
      <c r="AF37" s="489" t="str">
        <f>IF(ISBLANK('RESUMEN VIGILANCIA'!AE42),"",'RESUMEN VIGILANCIA'!AE42)</f>
        <v/>
      </c>
      <c r="AG37" s="489" t="str">
        <f>IF(ISBLANK('RESUMEN VIGILANCIA'!AF42),"",'RESUMEN VIGILANCIA'!AF42)</f>
        <v/>
      </c>
      <c r="AH37" s="400">
        <f>IF(ISBLANK('RESUMEN VIGILANCIA'!AG42),"",'RESUMEN VIGILANCIA'!AG42)</f>
        <v>8000</v>
      </c>
      <c r="AI37" s="400">
        <f>IF(ISBLANK('RESUMEN VIGILANCIA'!AH42),"",'RESUMEN VIGILANCIA'!AH42)</f>
        <v>8000</v>
      </c>
      <c r="AJ37" s="400">
        <f>IF(ISBLANK('RESUMEN VIGILANCIA'!AI42),"",'RESUMEN VIGILANCIA'!AI42)</f>
        <v>10000</v>
      </c>
      <c r="AK37" s="400">
        <f>IF(ISBLANK('RESUMEN VIGILANCIA'!AJ42),"",'RESUMEN VIGILANCIA'!AJ42)</f>
        <v>10000</v>
      </c>
      <c r="AL37" s="400">
        <f>IF(ISBLANK('RESUMEN VIGILANCIA'!AK42),"",'RESUMEN VIGILANCIA'!AK42)</f>
        <v>20300</v>
      </c>
      <c r="AM37" s="400">
        <f>IF(ISBLANK('RESUMEN VIGILANCIA'!AL42),"",'RESUMEN VIGILANCIA'!AL42)</f>
        <v>33700</v>
      </c>
      <c r="AN37" s="400" t="str">
        <f>IF(ISBLANK('RESUMEN VIGILANCIA'!AM42),"",'RESUMEN VIGILANCIA'!AM42)</f>
        <v/>
      </c>
      <c r="AO37" s="401" t="str">
        <f>IF(ISBLANK('RESUMEN VIGILANCIA'!AN42),"",'RESUMEN VIGILANCIA'!AN42)</f>
        <v/>
      </c>
      <c r="AP37" s="399" t="str">
        <f>IF(ISBLANK('RESUMEN VIGILANCIA'!AO42),"",'RESUMEN VIGILANCIA'!AO42)</f>
        <v/>
      </c>
      <c r="AQ37" s="400" t="str">
        <f>IF(ISBLANK('RESUMEN VIGILANCIA'!AP42),"",'RESUMEN VIGILANCIA'!AP42)</f>
        <v/>
      </c>
      <c r="AR37" s="400" t="str">
        <f>IF(ISBLANK('RESUMEN VIGILANCIA'!AQ42),"",'RESUMEN VIGILANCIA'!AQ42)</f>
        <v/>
      </c>
      <c r="AS37" s="400" t="str">
        <f>IF(ISBLANK('RESUMEN VIGILANCIA'!AR42),"",'RESUMEN VIGILANCIA'!AR42)</f>
        <v/>
      </c>
      <c r="AT37" s="400" t="str">
        <f>IF(ISBLANK('RESUMEN VIGILANCIA'!AS42),"",'RESUMEN VIGILANCIA'!AS42)</f>
        <v/>
      </c>
      <c r="AU37" s="400" t="str">
        <f>IF(ISBLANK('RESUMEN VIGILANCIA'!AT42),"",'RESUMEN VIGILANCIA'!AT42)</f>
        <v/>
      </c>
      <c r="AV37" s="400" t="str">
        <f>IF(ISBLANK('RESUMEN VIGILANCIA'!AU42),"",'RESUMEN VIGILANCIA'!AU42)</f>
        <v/>
      </c>
      <c r="AW37" s="400" t="str">
        <f>IF(ISBLANK('RESUMEN VIGILANCIA'!AV42),"",'RESUMEN VIGILANCIA'!AV42)</f>
        <v/>
      </c>
      <c r="AX37" s="400" t="str">
        <f>IF(ISBLANK('RESUMEN VIGILANCIA'!AW42),"",'RESUMEN VIGILANCIA'!AW42)</f>
        <v/>
      </c>
      <c r="AY37" s="400" t="str">
        <f>IF(ISBLANK('RESUMEN VIGILANCIA'!AX42),"",'RESUMEN VIGILANCIA'!AX42)</f>
        <v/>
      </c>
      <c r="AZ37" s="400" t="str">
        <f>IF(ISBLANK('RESUMEN VIGILANCIA'!AY42),"",'RESUMEN VIGILANCIA'!AY42)</f>
        <v/>
      </c>
      <c r="BA37" s="401" t="str">
        <f>IF(ISBLANK('RESUMEN VIGILANCIA'!AZ42),"",'RESUMEN VIGILANCIA'!AZ42)</f>
        <v/>
      </c>
      <c r="BB37" s="243">
        <f t="shared" ref="BB37" si="2">SUM(E37:AO37)</f>
        <v>90000</v>
      </c>
      <c r="BC37" s="112">
        <v>43586</v>
      </c>
      <c r="BD37" s="112"/>
    </row>
    <row r="38" spans="1:56" s="29" customFormat="1" ht="20.100000000000001" customHeight="1">
      <c r="A38" s="30" t="str">
        <f>'RESUMEN VIGILANCIA'!A43</f>
        <v>Amparo Acosta</v>
      </c>
      <c r="B38" s="31" t="str">
        <f>'RESUMEN VIGILANCIA'!B43</f>
        <v>Calle Guacara Nro. 88-65</v>
      </c>
      <c r="C38" s="452" t="s">
        <v>1252</v>
      </c>
      <c r="D38" s="555" t="s">
        <v>17</v>
      </c>
      <c r="E38" s="440" t="str">
        <f>IF(ISBLANK('RESUMEN VIGILANCIA'!D43),"",'RESUMEN VIGILANCIA'!D43)</f>
        <v/>
      </c>
      <c r="F38" s="270" t="str">
        <f>IF(ISBLANK('RESUMEN VIGILANCIA'!E43),"",'RESUMEN VIGILANCIA'!E43)</f>
        <v/>
      </c>
      <c r="G38" s="182" t="str">
        <f>IF(ISBLANK('RESUMEN VIGILANCIA'!F43),"",'RESUMEN VIGILANCIA'!F43)</f>
        <v/>
      </c>
      <c r="H38" s="182" t="str">
        <f>IF(ISBLANK('RESUMEN VIGILANCIA'!G43),"",'RESUMEN VIGILANCIA'!G43)</f>
        <v/>
      </c>
      <c r="I38" s="182" t="str">
        <f>IF(ISBLANK('RESUMEN VIGILANCIA'!H43),"",'RESUMEN VIGILANCIA'!H43)</f>
        <v/>
      </c>
      <c r="J38" s="182" t="str">
        <f>IF(ISBLANK('RESUMEN VIGILANCIA'!I43),"",'RESUMEN VIGILANCIA'!I43)</f>
        <v/>
      </c>
      <c r="K38" s="182" t="str">
        <f>IF(ISBLANK('RESUMEN VIGILANCIA'!J43),"",'RESUMEN VIGILANCIA'!J43)</f>
        <v/>
      </c>
      <c r="L38" s="182" t="str">
        <f>IF(ISBLANK('RESUMEN VIGILANCIA'!K43),"",'RESUMEN VIGILANCIA'!K43)</f>
        <v/>
      </c>
      <c r="M38" s="182" t="str">
        <f>IF(ISBLANK('RESUMEN VIGILANCIA'!L43),"",'RESUMEN VIGILANCIA'!L43)</f>
        <v/>
      </c>
      <c r="N38" s="182" t="str">
        <f>IF(ISBLANK('RESUMEN VIGILANCIA'!M43),"",'RESUMEN VIGILANCIA'!M43)</f>
        <v/>
      </c>
      <c r="O38" s="182" t="str">
        <f>IF(ISBLANK('RESUMEN VIGILANCIA'!N43),"",'RESUMEN VIGILANCIA'!N43)</f>
        <v/>
      </c>
      <c r="P38" s="271" t="str">
        <f>IF(ISBLANK('RESUMEN VIGILANCIA'!O43),"",'RESUMEN VIGILANCIA'!O43)</f>
        <v/>
      </c>
      <c r="Q38" s="180" t="str">
        <f>IF(ISBLANK('RESUMEN VIGILANCIA'!P43),"",'RESUMEN VIGILANCIA'!P43)</f>
        <v/>
      </c>
      <c r="R38" s="272" t="str">
        <f>IF(ISBLANK('RESUMEN VIGILANCIA'!Q43),"",'RESUMEN VIGILANCIA'!Q43)</f>
        <v/>
      </c>
      <c r="S38" s="271" t="str">
        <f>IF(ISBLANK('RESUMEN VIGILANCIA'!R43),"",'RESUMEN VIGILANCIA'!R43)</f>
        <v/>
      </c>
      <c r="T38" s="271" t="str">
        <f>IF(ISBLANK('RESUMEN VIGILANCIA'!S43),"",'RESUMEN VIGILANCIA'!S43)</f>
        <v/>
      </c>
      <c r="U38" s="271" t="str">
        <f>IF(ISBLANK('RESUMEN VIGILANCIA'!T43),"",'RESUMEN VIGILANCIA'!T43)</f>
        <v/>
      </c>
      <c r="V38" s="271" t="str">
        <f>IF(ISBLANK('RESUMEN VIGILANCIA'!U43),"",'RESUMEN VIGILANCIA'!U43)</f>
        <v/>
      </c>
      <c r="W38" s="271" t="str">
        <f>IF(ISBLANK('RESUMEN VIGILANCIA'!V43),"",'RESUMEN VIGILANCIA'!V43)</f>
        <v/>
      </c>
      <c r="X38" s="271">
        <f>IF(ISBLANK('RESUMEN VIGILANCIA'!W43),"",'RESUMEN VIGILANCIA'!W43)</f>
        <v>10</v>
      </c>
      <c r="Y38" s="271">
        <f>IF(ISBLANK('RESUMEN VIGILANCIA'!X43),"",'RESUMEN VIGILANCIA'!X43)</f>
        <v>12</v>
      </c>
      <c r="Z38" s="481">
        <f>IF(ISBLANK('RESUMEN VIGILANCIA'!Y43),"",'RESUMEN VIGILANCIA'!Y43)</f>
        <v>320</v>
      </c>
      <c r="AA38" s="481">
        <f>IF(ISBLANK('RESUMEN VIGILANCIA'!Z43),"",'RESUMEN VIGILANCIA'!Z43)</f>
        <v>320</v>
      </c>
      <c r="AB38" s="481">
        <f>IF(ISBLANK('RESUMEN VIGILANCIA'!AA43),"",'RESUMEN VIGILANCIA'!AA43)</f>
        <v>330</v>
      </c>
      <c r="AC38" s="482">
        <f>IF(ISBLANK('RESUMEN VIGILANCIA'!AB43),"",'RESUMEN VIGILANCIA'!AB43)</f>
        <v>800</v>
      </c>
      <c r="AD38" s="399">
        <f>IF(ISBLANK('RESUMEN VIGILANCIA'!AC43),"",'RESUMEN VIGILANCIA'!AC43)</f>
        <v>3000</v>
      </c>
      <c r="AE38" s="400">
        <f>IF(ISBLANK('RESUMEN VIGILANCIA'!AD43),"",'RESUMEN VIGILANCIA'!AD43)</f>
        <v>3000</v>
      </c>
      <c r="AF38" s="400">
        <f>IF(ISBLANK('RESUMEN VIGILANCIA'!AE43),"",'RESUMEN VIGILANCIA'!AE43)</f>
        <v>3000</v>
      </c>
      <c r="AG38" s="400">
        <f>IF(ISBLANK('RESUMEN VIGILANCIA'!AF43),"",'RESUMEN VIGILANCIA'!AF43)</f>
        <v>5000</v>
      </c>
      <c r="AH38" s="400">
        <f>IF(ISBLANK('RESUMEN VIGILANCIA'!AG43),"",'RESUMEN VIGILANCIA'!AG43)</f>
        <v>8000</v>
      </c>
      <c r="AI38" s="400">
        <f>IF(ISBLANK('RESUMEN VIGILANCIA'!AH43),"",'RESUMEN VIGILANCIA'!AH43)</f>
        <v>8000</v>
      </c>
      <c r="AJ38" s="400">
        <f>IF(ISBLANK('RESUMEN VIGILANCIA'!AI43),"",'RESUMEN VIGILANCIA'!AI43)</f>
        <v>10000</v>
      </c>
      <c r="AK38" s="400">
        <f>IF(ISBLANK('RESUMEN VIGILANCIA'!AJ43),"",'RESUMEN VIGILANCIA'!AJ43)</f>
        <v>10000</v>
      </c>
      <c r="AL38" s="400">
        <f>IF(ISBLANK('RESUMEN VIGILANCIA'!AK43),"",'RESUMEN VIGILANCIA'!AK43)</f>
        <v>20500</v>
      </c>
      <c r="AM38" s="400">
        <f>IF(ISBLANK('RESUMEN VIGILANCIA'!AL43),"",'RESUMEN VIGILANCIA'!AL43)</f>
        <v>47000</v>
      </c>
      <c r="AN38" s="400">
        <f>IF(ISBLANK('RESUMEN VIGILANCIA'!AM43),"",'RESUMEN VIGILANCIA'!AM43)</f>
        <v>56250</v>
      </c>
      <c r="AO38" s="401">
        <f>IF(ISBLANK('RESUMEN VIGILANCIA'!AN43),"",'RESUMEN VIGILANCIA'!AN43)</f>
        <v>81750</v>
      </c>
      <c r="AP38" s="399">
        <f>IF(ISBLANK('RESUMEN VIGILANCIA'!AO43),"",'RESUMEN VIGILANCIA'!AO43)</f>
        <v>136250</v>
      </c>
      <c r="AQ38" s="400">
        <f>IF(ISBLANK('RESUMEN VIGILANCIA'!AP43),"",'RESUMEN VIGILANCIA'!AP43)</f>
        <v>136250</v>
      </c>
      <c r="AR38" s="400" t="str">
        <f>IF(ISBLANK('RESUMEN VIGILANCIA'!AQ43),"",'RESUMEN VIGILANCIA'!AQ43)</f>
        <v/>
      </c>
      <c r="AS38" s="400" t="str">
        <f>IF(ISBLANK('RESUMEN VIGILANCIA'!AR43),"",'RESUMEN VIGILANCIA'!AR43)</f>
        <v/>
      </c>
      <c r="AT38" s="400" t="str">
        <f>IF(ISBLANK('RESUMEN VIGILANCIA'!AS43),"",'RESUMEN VIGILANCIA'!AS43)</f>
        <v/>
      </c>
      <c r="AU38" s="400" t="str">
        <f>IF(ISBLANK('RESUMEN VIGILANCIA'!AT43),"",'RESUMEN VIGILANCIA'!AT43)</f>
        <v/>
      </c>
      <c r="AV38" s="400" t="str">
        <f>IF(ISBLANK('RESUMEN VIGILANCIA'!AU43),"",'RESUMEN VIGILANCIA'!AU43)</f>
        <v/>
      </c>
      <c r="AW38" s="400" t="str">
        <f>IF(ISBLANK('RESUMEN VIGILANCIA'!AV43),"",'RESUMEN VIGILANCIA'!AV43)</f>
        <v/>
      </c>
      <c r="AX38" s="400" t="str">
        <f>IF(ISBLANK('RESUMEN VIGILANCIA'!AW43),"",'RESUMEN VIGILANCIA'!AW43)</f>
        <v/>
      </c>
      <c r="AY38" s="400" t="str">
        <f>IF(ISBLANK('RESUMEN VIGILANCIA'!AX43),"",'RESUMEN VIGILANCIA'!AX43)</f>
        <v/>
      </c>
      <c r="AZ38" s="400" t="str">
        <f>IF(ISBLANK('RESUMEN VIGILANCIA'!AY43),"",'RESUMEN VIGILANCIA'!AY43)</f>
        <v/>
      </c>
      <c r="BA38" s="401" t="str">
        <f>IF(ISBLANK('RESUMEN VIGILANCIA'!AZ43),"",'RESUMEN VIGILANCIA'!AZ43)</f>
        <v/>
      </c>
      <c r="BB38" s="243">
        <f t="shared" si="1"/>
        <v>257292</v>
      </c>
      <c r="BC38" s="112"/>
      <c r="BD38" s="112"/>
    </row>
    <row r="39" spans="1:56" s="29" customFormat="1" ht="20.100000000000001" customHeight="1">
      <c r="A39" s="59" t="str">
        <f>'RESUMEN VIGILANCIA'!A44</f>
        <v>Familia Fernández Parés</v>
      </c>
      <c r="B39" s="60" t="str">
        <f>'RESUMEN VIGILANCIA'!B44</f>
        <v>Calle Guacara Nro. 88-75</v>
      </c>
      <c r="C39" s="452"/>
      <c r="D39" s="460" t="s">
        <v>1248</v>
      </c>
      <c r="E39" s="440" t="str">
        <f>IF(ISBLANK('RESUMEN VIGILANCIA'!D44),"",'RESUMEN VIGILANCIA'!D44)</f>
        <v/>
      </c>
      <c r="F39" s="270">
        <f>IF(ISBLANK('RESUMEN VIGILANCIA'!E44),"",'RESUMEN VIGILANCIA'!E44)</f>
        <v>0.17</v>
      </c>
      <c r="G39" s="182">
        <f>IF(ISBLANK('RESUMEN VIGILANCIA'!F44),"",'RESUMEN VIGILANCIA'!F44)</f>
        <v>0.17</v>
      </c>
      <c r="H39" s="182">
        <f>IF(ISBLANK('RESUMEN VIGILANCIA'!G44),"",'RESUMEN VIGILANCIA'!G44)</f>
        <v>0.17</v>
      </c>
      <c r="I39" s="182">
        <f>IF(ISBLANK('RESUMEN VIGILANCIA'!H44),"",'RESUMEN VIGILANCIA'!H44)</f>
        <v>0.17</v>
      </c>
      <c r="J39" s="182">
        <f>IF(ISBLANK('RESUMEN VIGILANCIA'!I44),"",'RESUMEN VIGILANCIA'!I44)</f>
        <v>0.26</v>
      </c>
      <c r="K39" s="182">
        <f>IF(ISBLANK('RESUMEN VIGILANCIA'!J44),"",'RESUMEN VIGILANCIA'!J44)</f>
        <v>0.26</v>
      </c>
      <c r="L39" s="182">
        <f>IF(ISBLANK('RESUMEN VIGILANCIA'!K44),"",'RESUMEN VIGILANCIA'!K44)</f>
        <v>0.35</v>
      </c>
      <c r="M39" s="182">
        <f>IF(ISBLANK('RESUMEN VIGILANCIA'!L44),"",'RESUMEN VIGILANCIA'!L44)</f>
        <v>0.35000000000000003</v>
      </c>
      <c r="N39" s="182">
        <f>IF(ISBLANK('RESUMEN VIGILANCIA'!M44),"",'RESUMEN VIGILANCIA'!M44)</f>
        <v>0.35000000000000003</v>
      </c>
      <c r="O39" s="182">
        <f>IF(ISBLANK('RESUMEN VIGILANCIA'!N44),"",'RESUMEN VIGILANCIA'!N44)</f>
        <v>0.35000000000000003</v>
      </c>
      <c r="P39" s="271">
        <f>IF(ISBLANK('RESUMEN VIGILANCIA'!O44),"",'RESUMEN VIGILANCIA'!O44)</f>
        <v>0.5</v>
      </c>
      <c r="Q39" s="180">
        <f>IF(ISBLANK('RESUMEN VIGILANCIA'!P44),"",'RESUMEN VIGILANCIA'!P44)</f>
        <v>0.5</v>
      </c>
      <c r="R39" s="272">
        <f>IF(ISBLANK('RESUMEN VIGILANCIA'!Q44),"",'RESUMEN VIGILANCIA'!Q44)</f>
        <v>0.8</v>
      </c>
      <c r="S39" s="271">
        <f>IF(ISBLANK('RESUMEN VIGILANCIA'!R44),"",'RESUMEN VIGILANCIA'!R44)</f>
        <v>0.8</v>
      </c>
      <c r="T39" s="271">
        <f>IF(ISBLANK('RESUMEN VIGILANCIA'!S44),"",'RESUMEN VIGILANCIA'!S44)</f>
        <v>0.35</v>
      </c>
      <c r="U39" s="271" t="str">
        <f>IF(ISBLANK('RESUMEN VIGILANCIA'!T44),"",'RESUMEN VIGILANCIA'!T44)</f>
        <v/>
      </c>
      <c r="V39" s="275" t="s">
        <v>1158</v>
      </c>
      <c r="W39" s="276" t="str">
        <f>IF(ISBLANK('RESUMEN VIGILANCIA'!V44),"",'RESUMEN VIGILANCIA'!V44)</f>
        <v/>
      </c>
      <c r="X39" s="276" t="str">
        <f>IF(ISBLANK('RESUMEN VIGILANCIA'!W44),"",'RESUMEN VIGILANCIA'!W44)</f>
        <v/>
      </c>
      <c r="Y39" s="276" t="str">
        <f>IF(ISBLANK('RESUMEN VIGILANCIA'!X44),"",'RESUMEN VIGILANCIA'!X44)</f>
        <v/>
      </c>
      <c r="Z39" s="487" t="str">
        <f>IF(ISBLANK('RESUMEN VIGILANCIA'!Y44),"",'RESUMEN VIGILANCIA'!Y44)</f>
        <v/>
      </c>
      <c r="AA39" s="487" t="str">
        <f>IF(ISBLANK('RESUMEN VIGILANCIA'!Z44),"",'RESUMEN VIGILANCIA'!Z44)</f>
        <v/>
      </c>
      <c r="AB39" s="487" t="str">
        <f>IF(ISBLANK('RESUMEN VIGILANCIA'!AA44),"",'RESUMEN VIGILANCIA'!AA44)</f>
        <v/>
      </c>
      <c r="AC39" s="488" t="str">
        <f>IF(ISBLANK('RESUMEN VIGILANCIA'!AB44),"",'RESUMEN VIGILANCIA'!AB44)</f>
        <v/>
      </c>
      <c r="AD39" s="415" t="str">
        <f>IF(ISBLANK('RESUMEN VIGILANCIA'!AC44),"",'RESUMEN VIGILANCIA'!AC44)</f>
        <v/>
      </c>
      <c r="AE39" s="416" t="str">
        <f>IF(ISBLANK('RESUMEN VIGILANCIA'!AD44),"",'RESUMEN VIGILANCIA'!AD44)</f>
        <v/>
      </c>
      <c r="AF39" s="416" t="str">
        <f>IF(ISBLANK('RESUMEN VIGILANCIA'!AE44),"",'RESUMEN VIGILANCIA'!AE44)</f>
        <v/>
      </c>
      <c r="AG39" s="416" t="str">
        <f>IF(ISBLANK('RESUMEN VIGILANCIA'!AF44),"",'RESUMEN VIGILANCIA'!AF44)</f>
        <v/>
      </c>
      <c r="AH39" s="416" t="str">
        <f>IF(ISBLANK('RESUMEN VIGILANCIA'!AG44),"",'RESUMEN VIGILANCIA'!AG44)</f>
        <v/>
      </c>
      <c r="AI39" s="416" t="str">
        <f>IF(ISBLANK('RESUMEN VIGILANCIA'!AH44),"",'RESUMEN VIGILANCIA'!AH44)</f>
        <v/>
      </c>
      <c r="AJ39" s="416" t="str">
        <f>IF(ISBLANK('RESUMEN VIGILANCIA'!AI44),"",'RESUMEN VIGILANCIA'!AI44)</f>
        <v/>
      </c>
      <c r="AK39" s="416" t="str">
        <f>IF(ISBLANK('RESUMEN VIGILANCIA'!AJ44),"",'RESUMEN VIGILANCIA'!AJ44)</f>
        <v/>
      </c>
      <c r="AL39" s="416" t="str">
        <f>IF(ISBLANK('RESUMEN VIGILANCIA'!AK44),"",'RESUMEN VIGILANCIA'!AK44)</f>
        <v/>
      </c>
      <c r="AM39" s="416" t="str">
        <f>IF(ISBLANK('RESUMEN VIGILANCIA'!AL44),"",'RESUMEN VIGILANCIA'!AL44)</f>
        <v/>
      </c>
      <c r="AN39" s="416" t="str">
        <f>IF(ISBLANK('RESUMEN VIGILANCIA'!AM44),"",'RESUMEN VIGILANCIA'!AM44)</f>
        <v/>
      </c>
      <c r="AO39" s="417" t="str">
        <f>IF(ISBLANK('RESUMEN VIGILANCIA'!AN44),"",'RESUMEN VIGILANCIA'!AN44)</f>
        <v/>
      </c>
      <c r="AP39" s="415" t="str">
        <f>IF(ISBLANK('RESUMEN VIGILANCIA'!AO44),"",'RESUMEN VIGILANCIA'!AO44)</f>
        <v/>
      </c>
      <c r="AQ39" s="416" t="str">
        <f>IF(ISBLANK('RESUMEN VIGILANCIA'!AP44),"",'RESUMEN VIGILANCIA'!AP44)</f>
        <v/>
      </c>
      <c r="AR39" s="416" t="str">
        <f>IF(ISBLANK('RESUMEN VIGILANCIA'!AQ44),"",'RESUMEN VIGILANCIA'!AQ44)</f>
        <v/>
      </c>
      <c r="AS39" s="416" t="str">
        <f>IF(ISBLANK('RESUMEN VIGILANCIA'!AR44),"",'RESUMEN VIGILANCIA'!AR44)</f>
        <v/>
      </c>
      <c r="AT39" s="416" t="str">
        <f>IF(ISBLANK('RESUMEN VIGILANCIA'!AS44),"",'RESUMEN VIGILANCIA'!AS44)</f>
        <v/>
      </c>
      <c r="AU39" s="416" t="str">
        <f>IF(ISBLANK('RESUMEN VIGILANCIA'!AT44),"",'RESUMEN VIGILANCIA'!AT44)</f>
        <v/>
      </c>
      <c r="AV39" s="416" t="str">
        <f>IF(ISBLANK('RESUMEN VIGILANCIA'!AU44),"",'RESUMEN VIGILANCIA'!AU44)</f>
        <v/>
      </c>
      <c r="AW39" s="416" t="str">
        <f>IF(ISBLANK('RESUMEN VIGILANCIA'!AV44),"",'RESUMEN VIGILANCIA'!AV44)</f>
        <v/>
      </c>
      <c r="AX39" s="416" t="str">
        <f>IF(ISBLANK('RESUMEN VIGILANCIA'!AW44),"",'RESUMEN VIGILANCIA'!AW44)</f>
        <v/>
      </c>
      <c r="AY39" s="416" t="str">
        <f>IF(ISBLANK('RESUMEN VIGILANCIA'!AX44),"",'RESUMEN VIGILANCIA'!AX44)</f>
        <v/>
      </c>
      <c r="AZ39" s="416" t="str">
        <f>IF(ISBLANK('RESUMEN VIGILANCIA'!AY44),"",'RESUMEN VIGILANCIA'!AY44)</f>
        <v/>
      </c>
      <c r="BA39" s="417" t="str">
        <f>IF(ISBLANK('RESUMEN VIGILANCIA'!AZ44),"",'RESUMEN VIGILANCIA'!AZ44)</f>
        <v/>
      </c>
      <c r="BB39" s="246">
        <f t="shared" si="1"/>
        <v>5.55</v>
      </c>
      <c r="BC39" s="113"/>
      <c r="BD39" s="113">
        <v>43191</v>
      </c>
    </row>
    <row r="40" spans="1:56" s="29" customFormat="1" ht="20.100000000000001" customHeight="1">
      <c r="A40" s="59" t="str">
        <f>'RESUMEN VIGILANCIA'!A45</f>
        <v>Isbeth Palacios</v>
      </c>
      <c r="B40" s="60" t="str">
        <f>'RESUMEN VIGILANCIA'!B45</f>
        <v>Calle Guacara Nro. 88-75</v>
      </c>
      <c r="C40" s="452"/>
      <c r="D40" s="460" t="s">
        <v>1248</v>
      </c>
      <c r="E40" s="440" t="str">
        <f>IF(ISBLANK('RESUMEN VIGILANCIA'!D45),"",'RESUMEN VIGILANCIA'!D45)</f>
        <v/>
      </c>
      <c r="F40" s="270" t="str">
        <f>IF(ISBLANK('RESUMEN VIGILANCIA'!E45),"",'RESUMEN VIGILANCIA'!E45)</f>
        <v/>
      </c>
      <c r="G40" s="182" t="str">
        <f>IF(ISBLANK('RESUMEN VIGILANCIA'!F45),"",'RESUMEN VIGILANCIA'!F45)</f>
        <v/>
      </c>
      <c r="H40" s="182" t="str">
        <f>IF(ISBLANK('RESUMEN VIGILANCIA'!G45),"",'RESUMEN VIGILANCIA'!G45)</f>
        <v/>
      </c>
      <c r="I40" s="182" t="str">
        <f>IF(ISBLANK('RESUMEN VIGILANCIA'!H45),"",'RESUMEN VIGILANCIA'!H45)</f>
        <v/>
      </c>
      <c r="J40" s="182" t="str">
        <f>IF(ISBLANK('RESUMEN VIGILANCIA'!I45),"",'RESUMEN VIGILANCIA'!I45)</f>
        <v/>
      </c>
      <c r="K40" s="182" t="str">
        <f>IF(ISBLANK('RESUMEN VIGILANCIA'!J45),"",'RESUMEN VIGILANCIA'!J45)</f>
        <v/>
      </c>
      <c r="L40" s="182" t="str">
        <f>IF(ISBLANK('RESUMEN VIGILANCIA'!K45),"",'RESUMEN VIGILANCIA'!K45)</f>
        <v/>
      </c>
      <c r="M40" s="182" t="str">
        <f>IF(ISBLANK('RESUMEN VIGILANCIA'!L45),"",'RESUMEN VIGILANCIA'!L45)</f>
        <v/>
      </c>
      <c r="N40" s="182" t="str">
        <f>IF(ISBLANK('RESUMEN VIGILANCIA'!M45),"",'RESUMEN VIGILANCIA'!M45)</f>
        <v/>
      </c>
      <c r="O40" s="182" t="str">
        <f>IF(ISBLANK('RESUMEN VIGILANCIA'!N45),"",'RESUMEN VIGILANCIA'!N45)</f>
        <v/>
      </c>
      <c r="P40" s="271" t="str">
        <f>IF(ISBLANK('RESUMEN VIGILANCIA'!O45),"",'RESUMEN VIGILANCIA'!O45)</f>
        <v/>
      </c>
      <c r="Q40" s="180" t="str">
        <f>IF(ISBLANK('RESUMEN VIGILANCIA'!P45),"",'RESUMEN VIGILANCIA'!P45)</f>
        <v/>
      </c>
      <c r="R40" s="272" t="str">
        <f>IF(ISBLANK('RESUMEN VIGILANCIA'!Q45),"",'RESUMEN VIGILANCIA'!Q45)</f>
        <v/>
      </c>
      <c r="S40" s="271" t="str">
        <f>IF(ISBLANK('RESUMEN VIGILANCIA'!R45),"",'RESUMEN VIGILANCIA'!R45)</f>
        <v/>
      </c>
      <c r="T40" s="271" t="str">
        <f>IF(ISBLANK('RESUMEN VIGILANCIA'!S45),"",'RESUMEN VIGILANCIA'!S45)</f>
        <v/>
      </c>
      <c r="U40" s="271" t="str">
        <f>IF(ISBLANK('RESUMEN VIGILANCIA'!T45),"",'RESUMEN VIGILANCIA'!T45)</f>
        <v/>
      </c>
      <c r="V40" s="457">
        <f>IF(ISBLANK('RESUMEN VIGILANCIA'!U45),"",'RESUMEN VIGILANCIA'!U45)</f>
        <v>4</v>
      </c>
      <c r="W40" s="273">
        <f>IF(ISBLANK('RESUMEN VIGILANCIA'!V45),"",'RESUMEN VIGILANCIA'!V45)</f>
        <v>6.25</v>
      </c>
      <c r="X40" s="273">
        <f>IF(ISBLANK('RESUMEN VIGILANCIA'!W45),"",'RESUMEN VIGILANCIA'!W45)</f>
        <v>10</v>
      </c>
      <c r="Y40" s="273">
        <f>IF(ISBLANK('RESUMEN VIGILANCIA'!X45),"",'RESUMEN VIGILANCIA'!X45)</f>
        <v>12</v>
      </c>
      <c r="Z40" s="484" t="str">
        <f>IF(ISBLANK('RESUMEN VIGILANCIA'!Y45),"",'RESUMEN VIGILANCIA'!Y45)</f>
        <v/>
      </c>
      <c r="AA40" s="484" t="str">
        <f>IF(ISBLANK('RESUMEN VIGILANCIA'!Z45),"",'RESUMEN VIGILANCIA'!Z45)</f>
        <v/>
      </c>
      <c r="AB40" s="487" t="str">
        <f>IF(ISBLANK('RESUMEN VIGILANCIA'!AA45),"",'RESUMEN VIGILANCIA'!AA45)</f>
        <v/>
      </c>
      <c r="AC40" s="488" t="str">
        <f>IF(ISBLANK('RESUMEN VIGILANCIA'!AB45),"",'RESUMEN VIGILANCIA'!AB45)</f>
        <v/>
      </c>
      <c r="AD40" s="415" t="str">
        <f>IF(ISBLANK('RESUMEN VIGILANCIA'!AC45),"",'RESUMEN VIGILANCIA'!AC45)</f>
        <v/>
      </c>
      <c r="AE40" s="416" t="str">
        <f>IF(ISBLANK('RESUMEN VIGILANCIA'!AD45),"",'RESUMEN VIGILANCIA'!AD45)</f>
        <v/>
      </c>
      <c r="AF40" s="416" t="str">
        <f>IF(ISBLANK('RESUMEN VIGILANCIA'!AE45),"",'RESUMEN VIGILANCIA'!AE45)</f>
        <v/>
      </c>
      <c r="AG40" s="416" t="str">
        <f>IF(ISBLANK('RESUMEN VIGILANCIA'!AF45),"",'RESUMEN VIGILANCIA'!AF45)</f>
        <v/>
      </c>
      <c r="AH40" s="416" t="str">
        <f>IF(ISBLANK('RESUMEN VIGILANCIA'!AG45),"",'RESUMEN VIGILANCIA'!AG45)</f>
        <v/>
      </c>
      <c r="AI40" s="416" t="str">
        <f>IF(ISBLANK('RESUMEN VIGILANCIA'!AH45),"",'RESUMEN VIGILANCIA'!AH45)</f>
        <v/>
      </c>
      <c r="AJ40" s="416" t="str">
        <f>IF(ISBLANK('RESUMEN VIGILANCIA'!AI45),"",'RESUMEN VIGILANCIA'!AI45)</f>
        <v/>
      </c>
      <c r="AK40" s="416" t="str">
        <f>IF(ISBLANK('RESUMEN VIGILANCIA'!AJ45),"",'RESUMEN VIGILANCIA'!AJ45)</f>
        <v/>
      </c>
      <c r="AL40" s="416" t="str">
        <f>IF(ISBLANK('RESUMEN VIGILANCIA'!AK45),"",'RESUMEN VIGILANCIA'!AK45)</f>
        <v/>
      </c>
      <c r="AM40" s="416" t="str">
        <f>IF(ISBLANK('RESUMEN VIGILANCIA'!AL45),"",'RESUMEN VIGILANCIA'!AL45)</f>
        <v/>
      </c>
      <c r="AN40" s="416" t="str">
        <f>IF(ISBLANK('RESUMEN VIGILANCIA'!AM45),"",'RESUMEN VIGILANCIA'!AM45)</f>
        <v/>
      </c>
      <c r="AO40" s="417" t="str">
        <f>IF(ISBLANK('RESUMEN VIGILANCIA'!AN45),"",'RESUMEN VIGILANCIA'!AN45)</f>
        <v/>
      </c>
      <c r="AP40" s="415" t="str">
        <f>IF(ISBLANK('RESUMEN VIGILANCIA'!AO45),"",'RESUMEN VIGILANCIA'!AO45)</f>
        <v/>
      </c>
      <c r="AQ40" s="416" t="str">
        <f>IF(ISBLANK('RESUMEN VIGILANCIA'!AP45),"",'RESUMEN VIGILANCIA'!AP45)</f>
        <v/>
      </c>
      <c r="AR40" s="416" t="str">
        <f>IF(ISBLANK('RESUMEN VIGILANCIA'!AQ45),"",'RESUMEN VIGILANCIA'!AQ45)</f>
        <v/>
      </c>
      <c r="AS40" s="416" t="str">
        <f>IF(ISBLANK('RESUMEN VIGILANCIA'!AR45),"",'RESUMEN VIGILANCIA'!AR45)</f>
        <v/>
      </c>
      <c r="AT40" s="416" t="str">
        <f>IF(ISBLANK('RESUMEN VIGILANCIA'!AS45),"",'RESUMEN VIGILANCIA'!AS45)</f>
        <v/>
      </c>
      <c r="AU40" s="416" t="str">
        <f>IF(ISBLANK('RESUMEN VIGILANCIA'!AT45),"",'RESUMEN VIGILANCIA'!AT45)</f>
        <v/>
      </c>
      <c r="AV40" s="416" t="str">
        <f>IF(ISBLANK('RESUMEN VIGILANCIA'!AU45),"",'RESUMEN VIGILANCIA'!AU45)</f>
        <v/>
      </c>
      <c r="AW40" s="416" t="str">
        <f>IF(ISBLANK('RESUMEN VIGILANCIA'!AV45),"",'RESUMEN VIGILANCIA'!AV45)</f>
        <v/>
      </c>
      <c r="AX40" s="416" t="str">
        <f>IF(ISBLANK('RESUMEN VIGILANCIA'!AW45),"",'RESUMEN VIGILANCIA'!AW45)</f>
        <v/>
      </c>
      <c r="AY40" s="416" t="str">
        <f>IF(ISBLANK('RESUMEN VIGILANCIA'!AX45),"",'RESUMEN VIGILANCIA'!AX45)</f>
        <v/>
      </c>
      <c r="AZ40" s="416" t="str">
        <f>IF(ISBLANK('RESUMEN VIGILANCIA'!AY45),"",'RESUMEN VIGILANCIA'!AY45)</f>
        <v/>
      </c>
      <c r="BA40" s="417" t="str">
        <f>IF(ISBLANK('RESUMEN VIGILANCIA'!AZ45),"",'RESUMEN VIGILANCIA'!AZ45)</f>
        <v/>
      </c>
      <c r="BB40" s="246">
        <f t="shared" si="1"/>
        <v>32.25</v>
      </c>
      <c r="BC40" s="113">
        <v>43221</v>
      </c>
      <c r="BD40" s="113">
        <v>43374</v>
      </c>
    </row>
    <row r="41" spans="1:56" s="29" customFormat="1" ht="20.100000000000001" customHeight="1">
      <c r="A41" s="30" t="str">
        <f>'RESUMEN VIGILANCIA'!A46</f>
        <v>Andrea Valor</v>
      </c>
      <c r="B41" s="31" t="str">
        <f>'RESUMEN VIGILANCIA'!B46</f>
        <v>Calle Guacara Nro. 88-75</v>
      </c>
      <c r="C41" s="452" t="s">
        <v>1249</v>
      </c>
      <c r="D41" s="460" t="s">
        <v>17</v>
      </c>
      <c r="E41" s="441" t="str">
        <f>IF(ISBLANK('RESUMEN VIGILANCIA'!D46),"",'RESUMEN VIGILANCIA'!D46)</f>
        <v/>
      </c>
      <c r="F41" s="278" t="str">
        <f>IF(ISBLANK('RESUMEN VIGILANCIA'!E46),"",'RESUMEN VIGILANCIA'!E46)</f>
        <v/>
      </c>
      <c r="G41" s="279" t="str">
        <f>IF(ISBLANK('RESUMEN VIGILANCIA'!F46),"",'RESUMEN VIGILANCIA'!F46)</f>
        <v/>
      </c>
      <c r="H41" s="279" t="str">
        <f>IF(ISBLANK('RESUMEN VIGILANCIA'!G46),"",'RESUMEN VIGILANCIA'!G46)</f>
        <v/>
      </c>
      <c r="I41" s="279" t="str">
        <f>IF(ISBLANK('RESUMEN VIGILANCIA'!H46),"",'RESUMEN VIGILANCIA'!H46)</f>
        <v/>
      </c>
      <c r="J41" s="279" t="str">
        <f>IF(ISBLANK('RESUMEN VIGILANCIA'!I46),"",'RESUMEN VIGILANCIA'!I46)</f>
        <v/>
      </c>
      <c r="K41" s="279" t="str">
        <f>IF(ISBLANK('RESUMEN VIGILANCIA'!J46),"",'RESUMEN VIGILANCIA'!J46)</f>
        <v/>
      </c>
      <c r="L41" s="279" t="str">
        <f>IF(ISBLANK('RESUMEN VIGILANCIA'!K46),"",'RESUMEN VIGILANCIA'!K46)</f>
        <v/>
      </c>
      <c r="M41" s="279" t="str">
        <f>IF(ISBLANK('RESUMEN VIGILANCIA'!L46),"",'RESUMEN VIGILANCIA'!L46)</f>
        <v/>
      </c>
      <c r="N41" s="279" t="str">
        <f>IF(ISBLANK('RESUMEN VIGILANCIA'!M46),"",'RESUMEN VIGILANCIA'!M46)</f>
        <v/>
      </c>
      <c r="O41" s="279" t="str">
        <f>IF(ISBLANK('RESUMEN VIGILANCIA'!N46),"",'RESUMEN VIGILANCIA'!N46)</f>
        <v/>
      </c>
      <c r="P41" s="280" t="str">
        <f>IF(ISBLANK('RESUMEN VIGILANCIA'!O46),"",'RESUMEN VIGILANCIA'!O46)</f>
        <v/>
      </c>
      <c r="Q41" s="277" t="str">
        <f>IF(ISBLANK('RESUMEN VIGILANCIA'!P46),"",'RESUMEN VIGILANCIA'!P46)</f>
        <v/>
      </c>
      <c r="R41" s="281" t="str">
        <f>IF(ISBLANK('RESUMEN VIGILANCIA'!Q46),"",'RESUMEN VIGILANCIA'!Q46)</f>
        <v/>
      </c>
      <c r="S41" s="280" t="str">
        <f>IF(ISBLANK('RESUMEN VIGILANCIA'!R46),"",'RESUMEN VIGILANCIA'!R46)</f>
        <v/>
      </c>
      <c r="T41" s="280" t="str">
        <f>IF(ISBLANK('RESUMEN VIGILANCIA'!S46),"",'RESUMEN VIGILANCIA'!S46)</f>
        <v/>
      </c>
      <c r="U41" s="280" t="str">
        <f>IF(ISBLANK('RESUMEN VIGILANCIA'!T46),"",'RESUMEN VIGILANCIA'!T46)</f>
        <v/>
      </c>
      <c r="V41" s="280"/>
      <c r="W41" s="280"/>
      <c r="X41" s="280"/>
      <c r="Y41" s="280"/>
      <c r="Z41" s="489" t="str">
        <f>IF(ISBLANK('RESUMEN VIGILANCIA'!Y46),"",'RESUMEN VIGILANCIA'!Y46)</f>
        <v/>
      </c>
      <c r="AA41" s="489" t="str">
        <f>IF(ISBLANK('RESUMEN VIGILANCIA'!Z46),"",'RESUMEN VIGILANCIA'!Z46)</f>
        <v/>
      </c>
      <c r="AB41" s="489" t="str">
        <f>IF(ISBLANK('RESUMEN VIGILANCIA'!AA46),"",'RESUMEN VIGILANCIA'!AA46)</f>
        <v/>
      </c>
      <c r="AC41" s="489" t="str">
        <f>IF(ISBLANK('RESUMEN VIGILANCIA'!AB46),"",'RESUMEN VIGILANCIA'!AB46)</f>
        <v/>
      </c>
      <c r="AD41" s="489" t="str">
        <f>IF(ISBLANK('RESUMEN VIGILANCIA'!AC46),"",'RESUMEN VIGILANCIA'!AC46)</f>
        <v/>
      </c>
      <c r="AE41" s="489" t="str">
        <f>IF(ISBLANK('RESUMEN VIGILANCIA'!AD46),"",'RESUMEN VIGILANCIA'!AD46)</f>
        <v/>
      </c>
      <c r="AF41" s="400">
        <f>IF(ISBLANK('RESUMEN VIGILANCIA'!AE46),"",'RESUMEN VIGILANCIA'!AE46)</f>
        <v>3000</v>
      </c>
      <c r="AG41" s="400">
        <f>IF(ISBLANK('RESUMEN VIGILANCIA'!AF46),"",'RESUMEN VIGILANCIA'!AF46)</f>
        <v>5000</v>
      </c>
      <c r="AH41" s="400">
        <f>IF(ISBLANK('RESUMEN VIGILANCIA'!AG46),"",'RESUMEN VIGILANCIA'!AG46)</f>
        <v>8000</v>
      </c>
      <c r="AI41" s="400">
        <f>IF(ISBLANK('RESUMEN VIGILANCIA'!AH46),"",'RESUMEN VIGILANCIA'!AH46)</f>
        <v>8000</v>
      </c>
      <c r="AJ41" s="400">
        <f>IF(ISBLANK('RESUMEN VIGILANCIA'!AI46),"",'RESUMEN VIGILANCIA'!AI46)</f>
        <v>10000</v>
      </c>
      <c r="AK41" s="400">
        <f>IF(ISBLANK('RESUMEN VIGILANCIA'!AJ46),"",'RESUMEN VIGILANCIA'!AJ46)</f>
        <v>10000</v>
      </c>
      <c r="AL41" s="400">
        <f>IF(ISBLANK('RESUMEN VIGILANCIA'!AK46),"",'RESUMEN VIGILANCIA'!AK46)</f>
        <v>20500</v>
      </c>
      <c r="AM41" s="400">
        <f>IF(ISBLANK('RESUMEN VIGILANCIA'!AL46),"",'RESUMEN VIGILANCIA'!AL46)</f>
        <v>51250</v>
      </c>
      <c r="AN41" s="400">
        <f>IF(ISBLANK('RESUMEN VIGILANCIA'!AM46),"",'RESUMEN VIGILANCIA'!AM46)</f>
        <v>64500</v>
      </c>
      <c r="AO41" s="401">
        <f>IF(ISBLANK('RESUMEN VIGILANCIA'!AN46),"",'RESUMEN VIGILANCIA'!AN46)</f>
        <v>81750</v>
      </c>
      <c r="AP41" s="404">
        <f>IF(ISBLANK('RESUMEN VIGILANCIA'!AO46),"",'RESUMEN VIGILANCIA'!AO46)</f>
        <v>136250</v>
      </c>
      <c r="AQ41" s="405" t="str">
        <f>IF(ISBLANK('RESUMEN VIGILANCIA'!AP46),"",'RESUMEN VIGILANCIA'!AP46)</f>
        <v/>
      </c>
      <c r="AR41" s="400" t="str">
        <f>IF(ISBLANK('RESUMEN VIGILANCIA'!AQ46),"",'RESUMEN VIGILANCIA'!AQ46)</f>
        <v/>
      </c>
      <c r="AS41" s="400" t="str">
        <f>IF(ISBLANK('RESUMEN VIGILANCIA'!AR46),"",'RESUMEN VIGILANCIA'!AR46)</f>
        <v/>
      </c>
      <c r="AT41" s="400" t="str">
        <f>IF(ISBLANK('RESUMEN VIGILANCIA'!AS46),"",'RESUMEN VIGILANCIA'!AS46)</f>
        <v/>
      </c>
      <c r="AU41" s="400" t="str">
        <f>IF(ISBLANK('RESUMEN VIGILANCIA'!AT46),"",'RESUMEN VIGILANCIA'!AT46)</f>
        <v/>
      </c>
      <c r="AV41" s="400" t="str">
        <f>IF(ISBLANK('RESUMEN VIGILANCIA'!AU46),"",'RESUMEN VIGILANCIA'!AU46)</f>
        <v/>
      </c>
      <c r="AW41" s="400" t="str">
        <f>IF(ISBLANK('RESUMEN VIGILANCIA'!AV46),"",'RESUMEN VIGILANCIA'!AV46)</f>
        <v/>
      </c>
      <c r="AX41" s="400" t="str">
        <f>IF(ISBLANK('RESUMEN VIGILANCIA'!AW46),"",'RESUMEN VIGILANCIA'!AW46)</f>
        <v/>
      </c>
      <c r="AY41" s="400" t="str">
        <f>IF(ISBLANK('RESUMEN VIGILANCIA'!AX46),"",'RESUMEN VIGILANCIA'!AX46)</f>
        <v/>
      </c>
      <c r="AZ41" s="400" t="str">
        <f>IF(ISBLANK('RESUMEN VIGILANCIA'!AY46),"",'RESUMEN VIGILANCIA'!AY46)</f>
        <v/>
      </c>
      <c r="BA41" s="401" t="str">
        <f>IF(ISBLANK('RESUMEN VIGILANCIA'!AZ46),"",'RESUMEN VIGILANCIA'!AZ46)</f>
        <v/>
      </c>
      <c r="BB41" s="243">
        <f t="shared" si="1"/>
        <v>262000</v>
      </c>
      <c r="BC41" s="112">
        <v>43525</v>
      </c>
      <c r="BD41" s="112"/>
    </row>
    <row r="42" spans="1:56" s="29" customFormat="1" ht="20.100000000000001" customHeight="1">
      <c r="A42" s="380" t="str">
        <f>'RESUMEN VIGILANCIA'!A47</f>
        <v>Familia Machado Stoppa</v>
      </c>
      <c r="B42" s="381" t="str">
        <f>'RESUMEN VIGILANCIA'!B47</f>
        <v>Calle Guacara Nro. 88-85</v>
      </c>
      <c r="C42" s="453" t="s">
        <v>1249</v>
      </c>
      <c r="D42" s="459" t="s">
        <v>1248</v>
      </c>
      <c r="E42" s="439" t="str">
        <f>IF(ISBLANK('RESUMEN VIGILANCIA'!D47),"",'RESUMEN VIGILANCIA'!D47)</f>
        <v/>
      </c>
      <c r="F42" s="267">
        <f>IF(ISBLANK('RESUMEN VIGILANCIA'!E47),"",'RESUMEN VIGILANCIA'!E47)</f>
        <v>0.15</v>
      </c>
      <c r="G42" s="189">
        <f>IF(ISBLANK('RESUMEN VIGILANCIA'!F47),"",'RESUMEN VIGILANCIA'!F47)</f>
        <v>0.15</v>
      </c>
      <c r="H42" s="189">
        <f>IF(ISBLANK('RESUMEN VIGILANCIA'!G47),"",'RESUMEN VIGILANCIA'!G47)</f>
        <v>0.15</v>
      </c>
      <c r="I42" s="189">
        <f>IF(ISBLANK('RESUMEN VIGILANCIA'!H47),"",'RESUMEN VIGILANCIA'!H47)</f>
        <v>0.22</v>
      </c>
      <c r="J42" s="189">
        <f>IF(ISBLANK('RESUMEN VIGILANCIA'!I47),"",'RESUMEN VIGILANCIA'!I47)</f>
        <v>0.22</v>
      </c>
      <c r="K42" s="189">
        <f>IF(ISBLANK('RESUMEN VIGILANCIA'!J47),"",'RESUMEN VIGILANCIA'!J47)</f>
        <v>0.22</v>
      </c>
      <c r="L42" s="189">
        <f>IF(ISBLANK('RESUMEN VIGILANCIA'!K47),"",'RESUMEN VIGILANCIA'!K47)</f>
        <v>0.25</v>
      </c>
      <c r="M42" s="189">
        <f>IF(ISBLANK('RESUMEN VIGILANCIA'!L47),"",'RESUMEN VIGILANCIA'!L47)</f>
        <v>0.3</v>
      </c>
      <c r="N42" s="189">
        <f>IF(ISBLANK('RESUMEN VIGILANCIA'!M47),"",'RESUMEN VIGILANCIA'!M47)</f>
        <v>0.3</v>
      </c>
      <c r="O42" s="189">
        <f>IF(ISBLANK('RESUMEN VIGILANCIA'!N47),"",'RESUMEN VIGILANCIA'!N47)</f>
        <v>0.3</v>
      </c>
      <c r="P42" s="268">
        <f>IF(ISBLANK('RESUMEN VIGILANCIA'!O47),"",'RESUMEN VIGILANCIA'!O47)</f>
        <v>0.4</v>
      </c>
      <c r="Q42" s="187">
        <f>IF(ISBLANK('RESUMEN VIGILANCIA'!P47),"",'RESUMEN VIGILANCIA'!P47)</f>
        <v>0.4</v>
      </c>
      <c r="R42" s="269">
        <f>IF(ISBLANK('RESUMEN VIGILANCIA'!Q47),"",'RESUMEN VIGILANCIA'!Q47)</f>
        <v>0.7</v>
      </c>
      <c r="S42" s="268">
        <f>IF(ISBLANK('RESUMEN VIGILANCIA'!R47),"",'RESUMEN VIGILANCIA'!R47)</f>
        <v>0.7</v>
      </c>
      <c r="T42" s="268">
        <f>IF(ISBLANK('RESUMEN VIGILANCIA'!S47),"",'RESUMEN VIGILANCIA'!S47)</f>
        <v>0.7</v>
      </c>
      <c r="U42" s="268">
        <f>IF(ISBLANK('RESUMEN VIGILANCIA'!T47),"",'RESUMEN VIGILANCIA'!T47)</f>
        <v>0.7</v>
      </c>
      <c r="V42" s="268">
        <f>IF(ISBLANK('RESUMEN VIGILANCIA'!U47),"",'RESUMEN VIGILANCIA'!U47)</f>
        <v>4</v>
      </c>
      <c r="W42" s="271">
        <f>IF(ISBLANK('RESUMEN VIGILANCIA'!V47),"",'RESUMEN VIGILANCIA'!V47)</f>
        <v>6.25</v>
      </c>
      <c r="X42" s="271">
        <f>IF(ISBLANK('RESUMEN VIGILANCIA'!W47),"",'RESUMEN VIGILANCIA'!W47)</f>
        <v>10</v>
      </c>
      <c r="Y42" s="271">
        <f>IF(ISBLANK('RESUMEN VIGILANCIA'!X47),"",'RESUMEN VIGILANCIA'!X47)</f>
        <v>12</v>
      </c>
      <c r="Z42" s="481">
        <f>IF(ISBLANK('RESUMEN VIGILANCIA'!Y47),"",'RESUMEN VIGILANCIA'!Y47)</f>
        <v>320</v>
      </c>
      <c r="AA42" s="484">
        <f>IF(ISBLANK('RESUMEN VIGILANCIA'!Z47),"",'RESUMEN VIGILANCIA'!Z47)</f>
        <v>350</v>
      </c>
      <c r="AB42" s="484">
        <f>IF(ISBLANK('RESUMEN VIGILANCIA'!AA47),"",'RESUMEN VIGILANCIA'!AA47)</f>
        <v>320</v>
      </c>
      <c r="AC42" s="483">
        <f>IF(ISBLANK('RESUMEN VIGILANCIA'!AB47),"",'RESUMEN VIGILANCIA'!AB47)</f>
        <v>800</v>
      </c>
      <c r="AD42" s="404">
        <f>IF(ISBLANK('RESUMEN VIGILANCIA'!AC47),"",'RESUMEN VIGILANCIA'!AC47)</f>
        <v>3000</v>
      </c>
      <c r="AE42" s="405">
        <f>IF(ISBLANK('RESUMEN VIGILANCIA'!AD47),"",'RESUMEN VIGILANCIA'!AD47)</f>
        <v>3000</v>
      </c>
      <c r="AF42" s="405">
        <f>IF(ISBLANK('RESUMEN VIGILANCIA'!AE47),"",'RESUMEN VIGILANCIA'!AE47)</f>
        <v>3000</v>
      </c>
      <c r="AG42" s="405">
        <f>IF(ISBLANK('RESUMEN VIGILANCIA'!AF47),"",'RESUMEN VIGILANCIA'!AF47)</f>
        <v>5000</v>
      </c>
      <c r="AH42" s="405">
        <f>IF(ISBLANK('RESUMEN VIGILANCIA'!AG47),"",'RESUMEN VIGILANCIA'!AG47)</f>
        <v>8000</v>
      </c>
      <c r="AI42" s="405">
        <f>IF(ISBLANK('RESUMEN VIGILANCIA'!AH47),"",'RESUMEN VIGILANCIA'!AH47)</f>
        <v>8000</v>
      </c>
      <c r="AJ42" s="405">
        <f>IF(ISBLANK('RESUMEN VIGILANCIA'!AI47),"",'RESUMEN VIGILANCIA'!AI47)</f>
        <v>10000</v>
      </c>
      <c r="AK42" s="405">
        <f>IF(ISBLANK('RESUMEN VIGILANCIA'!AJ47),"",'RESUMEN VIGILANCIA'!AJ47)</f>
        <v>10000</v>
      </c>
      <c r="AL42" s="405">
        <f>IF(ISBLANK('RESUMEN VIGILANCIA'!AK47),"",'RESUMEN VIGILANCIA'!AK47)</f>
        <v>20500</v>
      </c>
      <c r="AM42" s="405">
        <f>IF(ISBLANK('RESUMEN VIGILANCIA'!AL47),"",'RESUMEN VIGILANCIA'!AL47)</f>
        <v>47000</v>
      </c>
      <c r="AN42" s="405">
        <f>IF(ISBLANK('RESUMEN VIGILANCIA'!AM47),"",'RESUMEN VIGILANCIA'!AM47)</f>
        <v>56250</v>
      </c>
      <c r="AO42" s="410">
        <f>IF(ISBLANK('RESUMEN VIGILANCIA'!AN47),"",'RESUMEN VIGILANCIA'!AN47)</f>
        <v>105250</v>
      </c>
      <c r="AP42" s="404">
        <f>IF(ISBLANK('RESUMEN VIGILANCIA'!AO47),"",'RESUMEN VIGILANCIA'!AO47)</f>
        <v>136250</v>
      </c>
      <c r="AQ42" s="405">
        <f>IF(ISBLANK('RESUMEN VIGILANCIA'!AP47),"",'RESUMEN VIGILANCIA'!AP47)</f>
        <v>136250</v>
      </c>
      <c r="AR42" s="405" t="str">
        <f>IF(ISBLANK('RESUMEN VIGILANCIA'!AQ47),"",'RESUMEN VIGILANCIA'!AQ47)</f>
        <v/>
      </c>
      <c r="AS42" s="405" t="str">
        <f>IF(ISBLANK('RESUMEN VIGILANCIA'!AR47),"",'RESUMEN VIGILANCIA'!AR47)</f>
        <v/>
      </c>
      <c r="AT42" s="405" t="str">
        <f>IF(ISBLANK('RESUMEN VIGILANCIA'!AS47),"",'RESUMEN VIGILANCIA'!AS47)</f>
        <v/>
      </c>
      <c r="AU42" s="405" t="str">
        <f>IF(ISBLANK('RESUMEN VIGILANCIA'!AT47),"",'RESUMEN VIGILANCIA'!AT47)</f>
        <v/>
      </c>
      <c r="AV42" s="405" t="str">
        <f>IF(ISBLANK('RESUMEN VIGILANCIA'!AU47),"",'RESUMEN VIGILANCIA'!AU47)</f>
        <v/>
      </c>
      <c r="AW42" s="405" t="str">
        <f>IF(ISBLANK('RESUMEN VIGILANCIA'!AV47),"",'RESUMEN VIGILANCIA'!AV47)</f>
        <v/>
      </c>
      <c r="AX42" s="405" t="str">
        <f>IF(ISBLANK('RESUMEN VIGILANCIA'!AW47),"",'RESUMEN VIGILANCIA'!AW47)</f>
        <v/>
      </c>
      <c r="AY42" s="405" t="str">
        <f>IF(ISBLANK('RESUMEN VIGILANCIA'!AX47),"",'RESUMEN VIGILANCIA'!AX47)</f>
        <v/>
      </c>
      <c r="AZ42" s="405" t="str">
        <f>IF(ISBLANK('RESUMEN VIGILANCIA'!AY47),"",'RESUMEN VIGILANCIA'!AY47)</f>
        <v/>
      </c>
      <c r="BA42" s="410" t="str">
        <f>IF(ISBLANK('RESUMEN VIGILANCIA'!AZ47),"",'RESUMEN VIGILANCIA'!AZ47)</f>
        <v/>
      </c>
      <c r="BB42" s="368">
        <f t="shared" si="1"/>
        <v>280828.11</v>
      </c>
      <c r="BC42" s="369"/>
      <c r="BD42" s="369"/>
    </row>
    <row r="43" spans="1:56" s="29" customFormat="1" ht="20.100000000000001" customHeight="1">
      <c r="A43" s="380" t="str">
        <f>'RESUMEN VIGILANCIA'!A48</f>
        <v>Familia Zavarce Barón</v>
      </c>
      <c r="B43" s="381" t="str">
        <f>'RESUMEN VIGILANCIA'!B48</f>
        <v>Calle Guacara Nro. 88-91</v>
      </c>
      <c r="C43" s="453" t="s">
        <v>1249</v>
      </c>
      <c r="D43" s="459" t="s">
        <v>1248</v>
      </c>
      <c r="E43" s="439" t="str">
        <f>IF(ISBLANK('RESUMEN VIGILANCIA'!D48),"",'RESUMEN VIGILANCIA'!D48)</f>
        <v/>
      </c>
      <c r="F43" s="267">
        <f>IF(ISBLANK('RESUMEN VIGILANCIA'!E48),"",'RESUMEN VIGILANCIA'!E48)</f>
        <v>0.1</v>
      </c>
      <c r="G43" s="189">
        <f>IF(ISBLANK('RESUMEN VIGILANCIA'!F48),"",'RESUMEN VIGILANCIA'!F48)</f>
        <v>0.1</v>
      </c>
      <c r="H43" s="189">
        <f>IF(ISBLANK('RESUMEN VIGILANCIA'!G48),"",'RESUMEN VIGILANCIA'!G48)</f>
        <v>0.14000000000000001</v>
      </c>
      <c r="I43" s="189">
        <f>IF(ISBLANK('RESUMEN VIGILANCIA'!H48),"",'RESUMEN VIGILANCIA'!H48)</f>
        <v>0.17</v>
      </c>
      <c r="J43" s="189">
        <f>IF(ISBLANK('RESUMEN VIGILANCIA'!I48),"",'RESUMEN VIGILANCIA'!I48)</f>
        <v>0.1</v>
      </c>
      <c r="K43" s="189">
        <f>IF(ISBLANK('RESUMEN VIGILANCIA'!J48),"",'RESUMEN VIGILANCIA'!J48)</f>
        <v>0.1</v>
      </c>
      <c r="L43" s="189">
        <f>IF(ISBLANK('RESUMEN VIGILANCIA'!K48),"",'RESUMEN VIGILANCIA'!K48)</f>
        <v>0.1</v>
      </c>
      <c r="M43" s="189">
        <f>IF(ISBLANK('RESUMEN VIGILANCIA'!L48),"",'RESUMEN VIGILANCIA'!L48)</f>
        <v>0.1</v>
      </c>
      <c r="N43" s="189" t="str">
        <f>IF(ISBLANK('RESUMEN VIGILANCIA'!M48),"",'RESUMEN VIGILANCIA'!M48)</f>
        <v/>
      </c>
      <c r="O43" s="189" t="str">
        <f>IF(ISBLANK('RESUMEN VIGILANCIA'!N48),"",'RESUMEN VIGILANCIA'!N48)</f>
        <v/>
      </c>
      <c r="P43" s="268" t="str">
        <f>IF(ISBLANK('RESUMEN VIGILANCIA'!O48),"",'RESUMEN VIGILANCIA'!O48)</f>
        <v/>
      </c>
      <c r="Q43" s="187" t="str">
        <f>IF(ISBLANK('RESUMEN VIGILANCIA'!P48),"",'RESUMEN VIGILANCIA'!P48)</f>
        <v/>
      </c>
      <c r="R43" s="269">
        <f>IF(ISBLANK('RESUMEN VIGILANCIA'!Q48),"",'RESUMEN VIGILANCIA'!Q48)</f>
        <v>0.8</v>
      </c>
      <c r="S43" s="268">
        <f>IF(ISBLANK('RESUMEN VIGILANCIA'!R48),"",'RESUMEN VIGILANCIA'!R48)</f>
        <v>0.8</v>
      </c>
      <c r="T43" s="268">
        <f>IF(ISBLANK('RESUMEN VIGILANCIA'!S48),"",'RESUMEN VIGILANCIA'!S48)</f>
        <v>1.4</v>
      </c>
      <c r="U43" s="268">
        <f>IF(ISBLANK('RESUMEN VIGILANCIA'!T48),"",'RESUMEN VIGILANCIA'!T48)</f>
        <v>1.4</v>
      </c>
      <c r="V43" s="268">
        <f>IF(ISBLANK('RESUMEN VIGILANCIA'!U48),"",'RESUMEN VIGILANCIA'!U48)</f>
        <v>4</v>
      </c>
      <c r="W43" s="271">
        <f>IF(ISBLANK('RESUMEN VIGILANCIA'!V48),"",'RESUMEN VIGILANCIA'!V48)</f>
        <v>6.25</v>
      </c>
      <c r="X43" s="271">
        <f>IF(ISBLANK('RESUMEN VIGILANCIA'!W48),"",'RESUMEN VIGILANCIA'!W48)</f>
        <v>10</v>
      </c>
      <c r="Y43" s="271">
        <f>IF(ISBLANK('RESUMEN VIGILANCIA'!X48),"",'RESUMEN VIGILANCIA'!X48)</f>
        <v>12</v>
      </c>
      <c r="Z43" s="481">
        <f>IF(ISBLANK('RESUMEN VIGILANCIA'!Y48),"",'RESUMEN VIGILANCIA'!Y48)</f>
        <v>320</v>
      </c>
      <c r="AA43" s="484">
        <f>IF(ISBLANK('RESUMEN VIGILANCIA'!Z48),"",'RESUMEN VIGILANCIA'!Z48)</f>
        <v>320</v>
      </c>
      <c r="AB43" s="484">
        <f>IF(ISBLANK('RESUMEN VIGILANCIA'!AA48),"",'RESUMEN VIGILANCIA'!AA48)</f>
        <v>320</v>
      </c>
      <c r="AC43" s="483">
        <f>IF(ISBLANK('RESUMEN VIGILANCIA'!AB48),"",'RESUMEN VIGILANCIA'!AB48)</f>
        <v>800</v>
      </c>
      <c r="AD43" s="404">
        <f>IF(ISBLANK('RESUMEN VIGILANCIA'!AC48),"",'RESUMEN VIGILANCIA'!AC48)</f>
        <v>3000</v>
      </c>
      <c r="AE43" s="405">
        <f>IF(ISBLANK('RESUMEN VIGILANCIA'!AD48),"",'RESUMEN VIGILANCIA'!AD48)</f>
        <v>3000</v>
      </c>
      <c r="AF43" s="405">
        <f>IF(ISBLANK('RESUMEN VIGILANCIA'!AE48),"",'RESUMEN VIGILANCIA'!AE48)</f>
        <v>3000</v>
      </c>
      <c r="AG43" s="405">
        <f>IF(ISBLANK('RESUMEN VIGILANCIA'!AF48),"",'RESUMEN VIGILANCIA'!AF48)</f>
        <v>5000</v>
      </c>
      <c r="AH43" s="405">
        <f>IF(ISBLANK('RESUMEN VIGILANCIA'!AG48),"",'RESUMEN VIGILANCIA'!AG48)</f>
        <v>8000</v>
      </c>
      <c r="AI43" s="405">
        <f>IF(ISBLANK('RESUMEN VIGILANCIA'!AH48),"",'RESUMEN VIGILANCIA'!AH48)</f>
        <v>8000</v>
      </c>
      <c r="AJ43" s="405">
        <f>IF(ISBLANK('RESUMEN VIGILANCIA'!AI48),"",'RESUMEN VIGILANCIA'!AI48)</f>
        <v>10000</v>
      </c>
      <c r="AK43" s="405">
        <f>IF(ISBLANK('RESUMEN VIGILANCIA'!AJ48),"",'RESUMEN VIGILANCIA'!AJ48)</f>
        <v>10000</v>
      </c>
      <c r="AL43" s="405">
        <f>IF(ISBLANK('RESUMEN VIGILANCIA'!AK48),"",'RESUMEN VIGILANCIA'!AK48)</f>
        <v>19800</v>
      </c>
      <c r="AM43" s="405">
        <f>IF(ISBLANK('RESUMEN VIGILANCIA'!AL48),"",'RESUMEN VIGILANCIA'!AL48)</f>
        <v>51250</v>
      </c>
      <c r="AN43" s="405">
        <f>IF(ISBLANK('RESUMEN VIGILANCIA'!AM48),"",'RESUMEN VIGILANCIA'!AM48)</f>
        <v>97500</v>
      </c>
      <c r="AO43" s="410">
        <f>IF(ISBLANK('RESUMEN VIGILANCIA'!AN48),"",'RESUMEN VIGILANCIA'!AN48)</f>
        <v>105250</v>
      </c>
      <c r="AP43" s="404">
        <f>IF(ISBLANK('RESUMEN VIGILANCIA'!AO48),"",'RESUMEN VIGILANCIA'!AO48)</f>
        <v>136250</v>
      </c>
      <c r="AQ43" s="405" t="str">
        <f>IF(ISBLANK('RESUMEN VIGILANCIA'!AP48),"",'RESUMEN VIGILANCIA'!AP48)</f>
        <v/>
      </c>
      <c r="AR43" s="405" t="str">
        <f>IF(ISBLANK('RESUMEN VIGILANCIA'!AQ48),"",'RESUMEN VIGILANCIA'!AQ48)</f>
        <v/>
      </c>
      <c r="AS43" s="405" t="str">
        <f>IF(ISBLANK('RESUMEN VIGILANCIA'!AR48),"",'RESUMEN VIGILANCIA'!AR48)</f>
        <v/>
      </c>
      <c r="AT43" s="405" t="str">
        <f>IF(ISBLANK('RESUMEN VIGILANCIA'!AS48),"",'RESUMEN VIGILANCIA'!AS48)</f>
        <v/>
      </c>
      <c r="AU43" s="405" t="str">
        <f>IF(ISBLANK('RESUMEN VIGILANCIA'!AT48),"",'RESUMEN VIGILANCIA'!AT48)</f>
        <v/>
      </c>
      <c r="AV43" s="405" t="str">
        <f>IF(ISBLANK('RESUMEN VIGILANCIA'!AU48),"",'RESUMEN VIGILANCIA'!AU48)</f>
        <v/>
      </c>
      <c r="AW43" s="405" t="str">
        <f>IF(ISBLANK('RESUMEN VIGILANCIA'!AV48),"",'RESUMEN VIGILANCIA'!AV48)</f>
        <v/>
      </c>
      <c r="AX43" s="405" t="str">
        <f>IF(ISBLANK('RESUMEN VIGILANCIA'!AW48),"",'RESUMEN VIGILANCIA'!AW48)</f>
        <v/>
      </c>
      <c r="AY43" s="405" t="str">
        <f>IF(ISBLANK('RESUMEN VIGILANCIA'!AX48),"",'RESUMEN VIGILANCIA'!AX48)</f>
        <v/>
      </c>
      <c r="AZ43" s="405" t="str">
        <f>IF(ISBLANK('RESUMEN VIGILANCIA'!AY48),"",'RESUMEN VIGILANCIA'!AY48)</f>
        <v/>
      </c>
      <c r="BA43" s="410" t="str">
        <f>IF(ISBLANK('RESUMEN VIGILANCIA'!AZ48),"",'RESUMEN VIGILANCIA'!AZ48)</f>
        <v/>
      </c>
      <c r="BB43" s="368">
        <f t="shared" si="1"/>
        <v>325597.56</v>
      </c>
      <c r="BC43" s="369"/>
      <c r="BD43" s="369"/>
    </row>
    <row r="44" spans="1:56" s="29" customFormat="1" ht="20.100000000000001" customHeight="1">
      <c r="A44" s="59" t="str">
        <f>'RESUMEN VIGILANCIA'!A49</f>
        <v>Familia Chávez Moncada</v>
      </c>
      <c r="B44" s="60" t="str">
        <f>'RESUMEN VIGILANCIA'!B49</f>
        <v>Calle Guacara Nro. 88-95</v>
      </c>
      <c r="C44" s="452" t="s">
        <v>1250</v>
      </c>
      <c r="D44" s="460" t="s">
        <v>1248</v>
      </c>
      <c r="E44" s="440" t="str">
        <f>IF(ISBLANK('RESUMEN VIGILANCIA'!D49),"",'RESUMEN VIGILANCIA'!D49)</f>
        <v/>
      </c>
      <c r="F44" s="270" t="str">
        <f>IF(ISBLANK('RESUMEN VIGILANCIA'!E49),"",'RESUMEN VIGILANCIA'!E49)</f>
        <v/>
      </c>
      <c r="G44" s="182" t="str">
        <f>IF(ISBLANK('RESUMEN VIGILANCIA'!F49),"",'RESUMEN VIGILANCIA'!F49)</f>
        <v/>
      </c>
      <c r="H44" s="182" t="str">
        <f>IF(ISBLANK('RESUMEN VIGILANCIA'!G49),"",'RESUMEN VIGILANCIA'!G49)</f>
        <v/>
      </c>
      <c r="I44" s="182" t="str">
        <f>IF(ISBLANK('RESUMEN VIGILANCIA'!H49),"",'RESUMEN VIGILANCIA'!H49)</f>
        <v/>
      </c>
      <c r="J44" s="182" t="str">
        <f>IF(ISBLANK('RESUMEN VIGILANCIA'!I49),"",'RESUMEN VIGILANCIA'!I49)</f>
        <v/>
      </c>
      <c r="K44" s="182" t="str">
        <f>IF(ISBLANK('RESUMEN VIGILANCIA'!J49),"",'RESUMEN VIGILANCIA'!J49)</f>
        <v/>
      </c>
      <c r="L44" s="182" t="str">
        <f>IF(ISBLANK('RESUMEN VIGILANCIA'!K49),"",'RESUMEN VIGILANCIA'!K49)</f>
        <v/>
      </c>
      <c r="M44" s="182" t="str">
        <f>IF(ISBLANK('RESUMEN VIGILANCIA'!L49),"",'RESUMEN VIGILANCIA'!L49)</f>
        <v/>
      </c>
      <c r="N44" s="182" t="str">
        <f>IF(ISBLANK('RESUMEN VIGILANCIA'!M49),"",'RESUMEN VIGILANCIA'!M49)</f>
        <v/>
      </c>
      <c r="O44" s="182" t="str">
        <f>IF(ISBLANK('RESUMEN VIGILANCIA'!N49),"",'RESUMEN VIGILANCIA'!N49)</f>
        <v/>
      </c>
      <c r="P44" s="271" t="str">
        <f>IF(ISBLANK('RESUMEN VIGILANCIA'!O49),"",'RESUMEN VIGILANCIA'!O49)</f>
        <v/>
      </c>
      <c r="Q44" s="180" t="str">
        <f>IF(ISBLANK('RESUMEN VIGILANCIA'!P49),"",'RESUMEN VIGILANCIA'!P49)</f>
        <v/>
      </c>
      <c r="R44" s="272" t="str">
        <f>IF(ISBLANK('RESUMEN VIGILANCIA'!Q49),"",'RESUMEN VIGILANCIA'!Q49)</f>
        <v/>
      </c>
      <c r="S44" s="271" t="str">
        <f>IF(ISBLANK('RESUMEN VIGILANCIA'!R49),"",'RESUMEN VIGILANCIA'!R49)</f>
        <v/>
      </c>
      <c r="T44" s="271" t="str">
        <f>IF(ISBLANK('RESUMEN VIGILANCIA'!S49),"",'RESUMEN VIGILANCIA'!S49)</f>
        <v/>
      </c>
      <c r="U44" s="271" t="str">
        <f>IF(ISBLANK('RESUMEN VIGILANCIA'!T49),"",'RESUMEN VIGILANCIA'!T49)</f>
        <v/>
      </c>
      <c r="V44" s="271" t="str">
        <f>IF(ISBLANK('RESUMEN VIGILANCIA'!U49),"",'RESUMEN VIGILANCIA'!U49)</f>
        <v/>
      </c>
      <c r="W44" s="271" t="str">
        <f>IF(ISBLANK('RESUMEN VIGILANCIA'!V49),"",'RESUMEN VIGILANCIA'!V49)</f>
        <v/>
      </c>
      <c r="X44" s="271" t="str">
        <f>IF(ISBLANK('RESUMEN VIGILANCIA'!W49),"",'RESUMEN VIGILANCIA'!W49)</f>
        <v/>
      </c>
      <c r="Y44" s="271" t="str">
        <f>IF(ISBLANK('RESUMEN VIGILANCIA'!X49),"",'RESUMEN VIGILANCIA'!X49)</f>
        <v/>
      </c>
      <c r="Z44" s="481" t="str">
        <f>IF(ISBLANK('RESUMEN VIGILANCIA'!Y49),"",'RESUMEN VIGILANCIA'!Y49)</f>
        <v/>
      </c>
      <c r="AA44" s="481" t="str">
        <f>IF(ISBLANK('RESUMEN VIGILANCIA'!Z49),"",'RESUMEN VIGILANCIA'!Z49)</f>
        <v/>
      </c>
      <c r="AB44" s="481" t="str">
        <f>IF(ISBLANK('RESUMEN VIGILANCIA'!AA49),"",'RESUMEN VIGILANCIA'!AA49)</f>
        <v/>
      </c>
      <c r="AC44" s="482" t="str">
        <f>IF(ISBLANK('RESUMEN VIGILANCIA'!AB49),"",'RESUMEN VIGILANCIA'!AB49)</f>
        <v/>
      </c>
      <c r="AD44" s="399" t="str">
        <f>IF(ISBLANK('RESUMEN VIGILANCIA'!AC49),"",'RESUMEN VIGILANCIA'!AC49)</f>
        <v/>
      </c>
      <c r="AE44" s="400" t="str">
        <f>IF(ISBLANK('RESUMEN VIGILANCIA'!AD49),"",'RESUMEN VIGILANCIA'!AD49)</f>
        <v/>
      </c>
      <c r="AF44" s="400" t="str">
        <f>IF(ISBLANK('RESUMEN VIGILANCIA'!AE49),"",'RESUMEN VIGILANCIA'!AE49)</f>
        <v/>
      </c>
      <c r="AG44" s="400" t="str">
        <f>IF(ISBLANK('RESUMEN VIGILANCIA'!AF49),"",'RESUMEN VIGILANCIA'!AF49)</f>
        <v/>
      </c>
      <c r="AH44" s="400" t="str">
        <f>IF(ISBLANK('RESUMEN VIGILANCIA'!AG49),"",'RESUMEN VIGILANCIA'!AG49)</f>
        <v/>
      </c>
      <c r="AI44" s="405" t="str">
        <f>IF(ISBLANK('RESUMEN VIGILANCIA'!AH49),"",'RESUMEN VIGILANCIA'!AH49)</f>
        <v/>
      </c>
      <c r="AJ44" s="400" t="str">
        <f>IF(ISBLANK('RESUMEN VIGILANCIA'!AI49),"",'RESUMEN VIGILANCIA'!AI49)</f>
        <v/>
      </c>
      <c r="AK44" s="400" t="str">
        <f>IF(ISBLANK('RESUMEN VIGILANCIA'!AJ49),"",'RESUMEN VIGILANCIA'!AJ49)</f>
        <v/>
      </c>
      <c r="AL44" s="400" t="str">
        <f>IF(ISBLANK('RESUMEN VIGILANCIA'!AK49),"",'RESUMEN VIGILANCIA'!AK49)</f>
        <v/>
      </c>
      <c r="AM44" s="400" t="str">
        <f>IF(ISBLANK('RESUMEN VIGILANCIA'!AL49),"",'RESUMEN VIGILANCIA'!AL49)</f>
        <v/>
      </c>
      <c r="AN44" s="400">
        <f>IF(ISBLANK('RESUMEN VIGILANCIA'!AM49),"",'RESUMEN VIGILANCIA'!AM49)</f>
        <v>2281750</v>
      </c>
      <c r="AO44" s="401">
        <f>IF(ISBLANK('RESUMEN VIGILANCIA'!AN49),"",'RESUMEN VIGILANCIA'!AN49)</f>
        <v>105250</v>
      </c>
      <c r="AP44" s="537" t="str">
        <f>IF(ISBLANK('RESUMEN VIGILANCIA'!AO49),"",'RESUMEN VIGILANCIA'!AO49)</f>
        <v>VENDIDA</v>
      </c>
      <c r="AQ44" s="403" t="str">
        <f>IF(ISBLANK('RESUMEN VIGILANCIA'!AP49),"",'RESUMEN VIGILANCIA'!AP49)</f>
        <v/>
      </c>
      <c r="AR44" s="403" t="str">
        <f>IF(ISBLANK('RESUMEN VIGILANCIA'!AQ49),"",'RESUMEN VIGILANCIA'!AQ49)</f>
        <v/>
      </c>
      <c r="AS44" s="403" t="str">
        <f>IF(ISBLANK('RESUMEN VIGILANCIA'!AR49),"",'RESUMEN VIGILANCIA'!AR49)</f>
        <v/>
      </c>
      <c r="AT44" s="403" t="str">
        <f>IF(ISBLANK('RESUMEN VIGILANCIA'!AS49),"",'RESUMEN VIGILANCIA'!AS49)</f>
        <v/>
      </c>
      <c r="AU44" s="403" t="str">
        <f>IF(ISBLANK('RESUMEN VIGILANCIA'!AT49),"",'RESUMEN VIGILANCIA'!AT49)</f>
        <v/>
      </c>
      <c r="AV44" s="403" t="str">
        <f>IF(ISBLANK('RESUMEN VIGILANCIA'!AU49),"",'RESUMEN VIGILANCIA'!AU49)</f>
        <v/>
      </c>
      <c r="AW44" s="403" t="str">
        <f>IF(ISBLANK('RESUMEN VIGILANCIA'!AV49),"",'RESUMEN VIGILANCIA'!AV49)</f>
        <v/>
      </c>
      <c r="AX44" s="403" t="str">
        <f>IF(ISBLANK('RESUMEN VIGILANCIA'!AW49),"",'RESUMEN VIGILANCIA'!AW49)</f>
        <v/>
      </c>
      <c r="AY44" s="403" t="str">
        <f>IF(ISBLANK('RESUMEN VIGILANCIA'!AX49),"",'RESUMEN VIGILANCIA'!AX49)</f>
        <v/>
      </c>
      <c r="AZ44" s="403" t="str">
        <f>IF(ISBLANK('RESUMEN VIGILANCIA'!AY49),"",'RESUMEN VIGILANCIA'!AY49)</f>
        <v/>
      </c>
      <c r="BA44" s="414" t="str">
        <f>IF(ISBLANK('RESUMEN VIGILANCIA'!AZ49),"",'RESUMEN VIGILANCIA'!AZ49)</f>
        <v/>
      </c>
      <c r="BB44" s="245">
        <f t="shared" si="1"/>
        <v>2387000</v>
      </c>
      <c r="BC44" s="116"/>
      <c r="BD44" s="116">
        <v>43800</v>
      </c>
    </row>
    <row r="45" spans="1:56" s="29" customFormat="1" ht="20.100000000000001" customHeight="1">
      <c r="A45" s="30" t="str">
        <f>'RESUMEN VIGILANCIA'!A50</f>
        <v>Familia Brito Viana</v>
      </c>
      <c r="B45" s="31" t="str">
        <f>'RESUMEN VIGILANCIA'!B50</f>
        <v>Calle Guacara Nro. 88-95</v>
      </c>
      <c r="C45" s="452" t="s">
        <v>1249</v>
      </c>
      <c r="D45" s="460" t="s">
        <v>1248</v>
      </c>
      <c r="E45" s="443" t="str">
        <f>IF(ISBLANK('RESUMEN VIGILANCIA'!D50),"",'RESUMEN VIGILANCIA'!D50)</f>
        <v/>
      </c>
      <c r="F45" s="298" t="str">
        <f>IF(ISBLANK('RESUMEN VIGILANCIA'!E50),"",'RESUMEN VIGILANCIA'!E50)</f>
        <v/>
      </c>
      <c r="G45" s="217" t="str">
        <f>IF(ISBLANK('RESUMEN VIGILANCIA'!F50),"",'RESUMEN VIGILANCIA'!F50)</f>
        <v/>
      </c>
      <c r="H45" s="217" t="str">
        <f>IF(ISBLANK('RESUMEN VIGILANCIA'!G50),"",'RESUMEN VIGILANCIA'!G50)</f>
        <v/>
      </c>
      <c r="I45" s="217" t="str">
        <f>IF(ISBLANK('RESUMEN VIGILANCIA'!H50),"",'RESUMEN VIGILANCIA'!H50)</f>
        <v/>
      </c>
      <c r="J45" s="217" t="str">
        <f>IF(ISBLANK('RESUMEN VIGILANCIA'!I50),"",'RESUMEN VIGILANCIA'!I50)</f>
        <v/>
      </c>
      <c r="K45" s="217" t="str">
        <f>IF(ISBLANK('RESUMEN VIGILANCIA'!J50),"",'RESUMEN VIGILANCIA'!J50)</f>
        <v/>
      </c>
      <c r="L45" s="217" t="str">
        <f>IF(ISBLANK('RESUMEN VIGILANCIA'!K50),"",'RESUMEN VIGILANCIA'!K50)</f>
        <v/>
      </c>
      <c r="M45" s="217" t="str">
        <f>IF(ISBLANK('RESUMEN VIGILANCIA'!L50),"",'RESUMEN VIGILANCIA'!L50)</f>
        <v/>
      </c>
      <c r="N45" s="217" t="str">
        <f>IF(ISBLANK('RESUMEN VIGILANCIA'!M50),"",'RESUMEN VIGILANCIA'!M50)</f>
        <v/>
      </c>
      <c r="O45" s="217" t="str">
        <f>IF(ISBLANK('RESUMEN VIGILANCIA'!N50),"",'RESUMEN VIGILANCIA'!N50)</f>
        <v/>
      </c>
      <c r="P45" s="284" t="str">
        <f>IF(ISBLANK('RESUMEN VIGILANCIA'!O50),"",'RESUMEN VIGILANCIA'!O50)</f>
        <v/>
      </c>
      <c r="Q45" s="215" t="str">
        <f>IF(ISBLANK('RESUMEN VIGILANCIA'!P50),"",'RESUMEN VIGILANCIA'!P50)</f>
        <v/>
      </c>
      <c r="R45" s="285" t="str">
        <f>IF(ISBLANK('RESUMEN VIGILANCIA'!Q50),"",'RESUMEN VIGILANCIA'!Q50)</f>
        <v/>
      </c>
      <c r="S45" s="284" t="str">
        <f>IF(ISBLANK('RESUMEN VIGILANCIA'!R50),"",'RESUMEN VIGILANCIA'!R50)</f>
        <v/>
      </c>
      <c r="T45" s="284" t="str">
        <f>IF(ISBLANK('RESUMEN VIGILANCIA'!S50),"",'RESUMEN VIGILANCIA'!S50)</f>
        <v/>
      </c>
      <c r="U45" s="284" t="str">
        <f>IF(ISBLANK('RESUMEN VIGILANCIA'!T50),"",'RESUMEN VIGILANCIA'!T50)</f>
        <v/>
      </c>
      <c r="V45" s="284" t="str">
        <f>IF(ISBLANK('RESUMEN VIGILANCIA'!U50),"",'RESUMEN VIGILANCIA'!U50)</f>
        <v/>
      </c>
      <c r="W45" s="284" t="str">
        <f>IF(ISBLANK('RESUMEN VIGILANCIA'!V50),"",'RESUMEN VIGILANCIA'!V50)</f>
        <v/>
      </c>
      <c r="X45" s="284" t="str">
        <f>IF(ISBLANK('RESUMEN VIGILANCIA'!W50),"",'RESUMEN VIGILANCIA'!W50)</f>
        <v/>
      </c>
      <c r="Y45" s="284" t="str">
        <f>IF(ISBLANK('RESUMEN VIGILANCIA'!X50),"",'RESUMEN VIGILANCIA'!X50)</f>
        <v/>
      </c>
      <c r="Z45" s="492" t="str">
        <f>IF(ISBLANK('RESUMEN VIGILANCIA'!Y50),"",'RESUMEN VIGILANCIA'!Y50)</f>
        <v/>
      </c>
      <c r="AA45" s="492" t="str">
        <f>IF(ISBLANK('RESUMEN VIGILANCIA'!Z50),"",'RESUMEN VIGILANCIA'!Z50)</f>
        <v/>
      </c>
      <c r="AB45" s="492" t="str">
        <f>IF(ISBLANK('RESUMEN VIGILANCIA'!AA50),"",'RESUMEN VIGILANCIA'!AA50)</f>
        <v/>
      </c>
      <c r="AC45" s="493" t="str">
        <f>IF(ISBLANK('RESUMEN VIGILANCIA'!AB50),"",'RESUMEN VIGILANCIA'!AB50)</f>
        <v/>
      </c>
      <c r="AD45" s="506" t="str">
        <f>IF(ISBLANK('RESUMEN VIGILANCIA'!AC50),"",'RESUMEN VIGILANCIA'!AC50)</f>
        <v/>
      </c>
      <c r="AE45" s="507" t="str">
        <f>IF(ISBLANK('RESUMEN VIGILANCIA'!AD50),"",'RESUMEN VIGILANCIA'!AD50)</f>
        <v/>
      </c>
      <c r="AF45" s="507" t="str">
        <f>IF(ISBLANK('RESUMEN VIGILANCIA'!AE50),"",'RESUMEN VIGILANCIA'!AE50)</f>
        <v/>
      </c>
      <c r="AG45" s="507" t="str">
        <f>IF(ISBLANK('RESUMEN VIGILANCIA'!AF50),"",'RESUMEN VIGILANCIA'!AF50)</f>
        <v/>
      </c>
      <c r="AH45" s="507" t="str">
        <f>IF(ISBLANK('RESUMEN VIGILANCIA'!AG50),"",'RESUMEN VIGILANCIA'!AG50)</f>
        <v/>
      </c>
      <c r="AI45" s="507" t="str">
        <f>IF(ISBLANK('RESUMEN VIGILANCIA'!AH50),"",'RESUMEN VIGILANCIA'!AH50)</f>
        <v/>
      </c>
      <c r="AJ45" s="507" t="str">
        <f>IF(ISBLANK('RESUMEN VIGILANCIA'!AI50),"",'RESUMEN VIGILANCIA'!AI50)</f>
        <v/>
      </c>
      <c r="AK45" s="507" t="str">
        <f>IF(ISBLANK('RESUMEN VIGILANCIA'!AJ50),"",'RESUMEN VIGILANCIA'!AJ50)</f>
        <v/>
      </c>
      <c r="AL45" s="507" t="str">
        <f>IF(ISBLANK('RESUMEN VIGILANCIA'!AK50),"",'RESUMEN VIGILANCIA'!AK50)</f>
        <v/>
      </c>
      <c r="AM45" s="507" t="str">
        <f>IF(ISBLANK('RESUMEN VIGILANCIA'!AL50),"",'RESUMEN VIGILANCIA'!AL50)</f>
        <v/>
      </c>
      <c r="AN45" s="507" t="str">
        <f>IF(ISBLANK('RESUMEN VIGILANCIA'!AM50),"",'RESUMEN VIGILANCIA'!AM50)</f>
        <v/>
      </c>
      <c r="AO45" s="658" t="str">
        <f>IF(ISBLANK('RESUMEN VIGILANCIA'!AN50),"",'RESUMEN VIGILANCIA'!AN50)</f>
        <v/>
      </c>
      <c r="AP45" s="399">
        <f>IF(ISBLANK('RESUMEN VIGILANCIA'!AO50),"",'RESUMEN VIGILANCIA'!AO50)</f>
        <v>136250</v>
      </c>
      <c r="AQ45" s="405">
        <f>IF(ISBLANK('RESUMEN VIGILANCIA'!AP50),"",'RESUMEN VIGILANCIA'!AP50)</f>
        <v>136250</v>
      </c>
      <c r="AR45" s="405" t="str">
        <f>IF(ISBLANK('RESUMEN VIGILANCIA'!AQ50),"",'RESUMEN VIGILANCIA'!AQ50)</f>
        <v/>
      </c>
      <c r="AS45" s="405" t="str">
        <f>IF(ISBLANK('RESUMEN VIGILANCIA'!AR50),"",'RESUMEN VIGILANCIA'!AR50)</f>
        <v/>
      </c>
      <c r="AT45" s="405" t="str">
        <f>IF(ISBLANK('RESUMEN VIGILANCIA'!AS50),"",'RESUMEN VIGILANCIA'!AS50)</f>
        <v/>
      </c>
      <c r="AU45" s="405" t="str">
        <f>IF(ISBLANK('RESUMEN VIGILANCIA'!AT50),"",'RESUMEN VIGILANCIA'!AT50)</f>
        <v/>
      </c>
      <c r="AV45" s="405" t="str">
        <f>IF(ISBLANK('RESUMEN VIGILANCIA'!AU50),"",'RESUMEN VIGILANCIA'!AU50)</f>
        <v/>
      </c>
      <c r="AW45" s="405" t="str">
        <f>IF(ISBLANK('RESUMEN VIGILANCIA'!AV50),"",'RESUMEN VIGILANCIA'!AV50)</f>
        <v/>
      </c>
      <c r="AX45" s="400" t="str">
        <f>IF(ISBLANK('RESUMEN VIGILANCIA'!AW50),"",'RESUMEN VIGILANCIA'!AW50)</f>
        <v/>
      </c>
      <c r="AY45" s="400" t="str">
        <f>IF(ISBLANK('RESUMEN VIGILANCIA'!AX50),"",'RESUMEN VIGILANCIA'!AX50)</f>
        <v/>
      </c>
      <c r="AZ45" s="400" t="str">
        <f>IF(ISBLANK('RESUMEN VIGILANCIA'!AY50),"",'RESUMEN VIGILANCIA'!AY50)</f>
        <v/>
      </c>
      <c r="BA45" s="401" t="str">
        <f>IF(ISBLANK('RESUMEN VIGILANCIA'!AZ50),"",'RESUMEN VIGILANCIA'!AZ50)</f>
        <v/>
      </c>
      <c r="BB45" s="243">
        <f t="shared" ref="BB45" si="3">SUM(E45:AO45)</f>
        <v>0</v>
      </c>
      <c r="BC45" s="112">
        <v>43831</v>
      </c>
      <c r="BD45" s="112"/>
    </row>
    <row r="46" spans="1:56" s="29" customFormat="1" ht="20.100000000000001" customHeight="1">
      <c r="A46" s="30" t="str">
        <f>'RESUMEN VIGILANCIA'!A65</f>
        <v>Familia Zavarce Pérez</v>
      </c>
      <c r="B46" s="31" t="str">
        <f>'RESUMEN VIGILANCIA'!B65</f>
        <v>Calle Guacara Nro. 90-35</v>
      </c>
      <c r="C46" s="452" t="s">
        <v>1249</v>
      </c>
      <c r="D46" s="460" t="s">
        <v>1248</v>
      </c>
      <c r="E46" s="440" t="str">
        <f>IF(ISBLANK('RESUMEN VIGILANCIA'!D65),"",'RESUMEN VIGILANCIA'!D65)</f>
        <v/>
      </c>
      <c r="F46" s="270">
        <f>IF(ISBLANK('RESUMEN VIGILANCIA'!E65),"",'RESUMEN VIGILANCIA'!E65)</f>
        <v>0.17</v>
      </c>
      <c r="G46" s="182">
        <f>IF(ISBLANK('RESUMEN VIGILANCIA'!F65),"",'RESUMEN VIGILANCIA'!F65)</f>
        <v>0.17</v>
      </c>
      <c r="H46" s="182">
        <f>IF(ISBLANK('RESUMEN VIGILANCIA'!G65),"",'RESUMEN VIGILANCIA'!G65)</f>
        <v>0.17</v>
      </c>
      <c r="I46" s="182">
        <f>IF(ISBLANK('RESUMEN VIGILANCIA'!H65),"",'RESUMEN VIGILANCIA'!H65)</f>
        <v>0.17</v>
      </c>
      <c r="J46" s="182">
        <f>IF(ISBLANK('RESUMEN VIGILANCIA'!I65),"",'RESUMEN VIGILANCIA'!I65)</f>
        <v>0.26</v>
      </c>
      <c r="K46" s="182">
        <f>IF(ISBLANK('RESUMEN VIGILANCIA'!J65),"",'RESUMEN VIGILANCIA'!J65)</f>
        <v>0.26</v>
      </c>
      <c r="L46" s="182">
        <f>IF(ISBLANK('RESUMEN VIGILANCIA'!K65),"",'RESUMEN VIGILANCIA'!K65)</f>
        <v>0.35</v>
      </c>
      <c r="M46" s="182">
        <f>IF(ISBLANK('RESUMEN VIGILANCIA'!L65),"",'RESUMEN VIGILANCIA'!L65)</f>
        <v>0.35</v>
      </c>
      <c r="N46" s="182">
        <f>IF(ISBLANK('RESUMEN VIGILANCIA'!M65),"",'RESUMEN VIGILANCIA'!M65)</f>
        <v>0.35</v>
      </c>
      <c r="O46" s="182">
        <f>IF(ISBLANK('RESUMEN VIGILANCIA'!N65),"",'RESUMEN VIGILANCIA'!N65)</f>
        <v>0.35</v>
      </c>
      <c r="P46" s="271">
        <f>IF(ISBLANK('RESUMEN VIGILANCIA'!O65),"",'RESUMEN VIGILANCIA'!O65)</f>
        <v>0.5</v>
      </c>
      <c r="Q46" s="180">
        <f>IF(ISBLANK('RESUMEN VIGILANCIA'!P65),"",'RESUMEN VIGILANCIA'!P65)</f>
        <v>0.5</v>
      </c>
      <c r="R46" s="272">
        <f>IF(ISBLANK('RESUMEN VIGILANCIA'!Q65),"",'RESUMEN VIGILANCIA'!Q65)</f>
        <v>0.8</v>
      </c>
      <c r="S46" s="271">
        <f>IF(ISBLANK('RESUMEN VIGILANCIA'!R65),"",'RESUMEN VIGILANCIA'!R65)</f>
        <v>0.8</v>
      </c>
      <c r="T46" s="271">
        <f>IF(ISBLANK('RESUMEN VIGILANCIA'!S65),"",'RESUMEN VIGILANCIA'!S65)</f>
        <v>1.4</v>
      </c>
      <c r="U46" s="271">
        <f>IF(ISBLANK('RESUMEN VIGILANCIA'!T65),"",'RESUMEN VIGILANCIA'!T65)</f>
        <v>1.4</v>
      </c>
      <c r="V46" s="271">
        <f>IF(ISBLANK('RESUMEN VIGILANCIA'!U65),"",'RESUMEN VIGILANCIA'!U65)</f>
        <v>4</v>
      </c>
      <c r="W46" s="271">
        <f>IF(ISBLANK('RESUMEN VIGILANCIA'!V65),"",'RESUMEN VIGILANCIA'!V65)</f>
        <v>6.25</v>
      </c>
      <c r="X46" s="271">
        <f>IF(ISBLANK('RESUMEN VIGILANCIA'!W65),"",'RESUMEN VIGILANCIA'!W65)</f>
        <v>10</v>
      </c>
      <c r="Y46" s="271">
        <f>IF(ISBLANK('RESUMEN VIGILANCIA'!X65),"",'RESUMEN VIGILANCIA'!X65)</f>
        <v>12</v>
      </c>
      <c r="Z46" s="481">
        <f>IF(ISBLANK('RESUMEN VIGILANCIA'!Y65),"",'RESUMEN VIGILANCIA'!Y65)</f>
        <v>320</v>
      </c>
      <c r="AA46" s="481">
        <f>IF(ISBLANK('RESUMEN VIGILANCIA'!Z65),"",'RESUMEN VIGILANCIA'!Z65)</f>
        <v>320</v>
      </c>
      <c r="AB46" s="481">
        <f>IF(ISBLANK('RESUMEN VIGILANCIA'!AA65),"",'RESUMEN VIGILANCIA'!AA65)</f>
        <v>320</v>
      </c>
      <c r="AC46" s="482">
        <f>IF(ISBLANK('RESUMEN VIGILANCIA'!AB65),"",'RESUMEN VIGILANCIA'!AB65)</f>
        <v>800</v>
      </c>
      <c r="AD46" s="399">
        <f>IF(ISBLANK('RESUMEN VIGILANCIA'!AC65),"",'RESUMEN VIGILANCIA'!AC65)</f>
        <v>3000</v>
      </c>
      <c r="AE46" s="400">
        <f>IF(ISBLANK('RESUMEN VIGILANCIA'!AD65),"",'RESUMEN VIGILANCIA'!AD65)</f>
        <v>3000</v>
      </c>
      <c r="AF46" s="400">
        <f>IF(ISBLANK('RESUMEN VIGILANCIA'!AE65),"",'RESUMEN VIGILANCIA'!AE65)</f>
        <v>3000</v>
      </c>
      <c r="AG46" s="400">
        <f>IF(ISBLANK('RESUMEN VIGILANCIA'!AF65),"",'RESUMEN VIGILANCIA'!AF65)</f>
        <v>5000</v>
      </c>
      <c r="AH46" s="400">
        <f>IF(ISBLANK('RESUMEN VIGILANCIA'!AG65),"",'RESUMEN VIGILANCIA'!AG65)</f>
        <v>8000</v>
      </c>
      <c r="AI46" s="400">
        <f>IF(ISBLANK('RESUMEN VIGILANCIA'!AH65),"",'RESUMEN VIGILANCIA'!AH65)</f>
        <v>8000</v>
      </c>
      <c r="AJ46" s="400">
        <f>IF(ISBLANK('RESUMEN VIGILANCIA'!AI65),"",'RESUMEN VIGILANCIA'!AI65)</f>
        <v>10000</v>
      </c>
      <c r="AK46" s="400">
        <f>IF(ISBLANK('RESUMEN VIGILANCIA'!AJ65),"",'RESUMEN VIGILANCIA'!AJ65)</f>
        <v>10000</v>
      </c>
      <c r="AL46" s="400">
        <f>IF(ISBLANK('RESUMEN VIGILANCIA'!AK65),"",'RESUMEN VIGILANCIA'!AK65)</f>
        <v>23400</v>
      </c>
      <c r="AM46" s="400">
        <f>IF(ISBLANK('RESUMEN VIGILANCIA'!AL65),"",'RESUMEN VIGILANCIA'!AL65)</f>
        <v>21100</v>
      </c>
      <c r="AN46" s="400">
        <f>IF(ISBLANK('RESUMEN VIGILANCIA'!AM65),"",'RESUMEN VIGILANCIA'!AM65)</f>
        <v>56250</v>
      </c>
      <c r="AO46" s="401">
        <f>IF(ISBLANK('RESUMEN VIGILANCIA'!AN65),"",'RESUMEN VIGILANCIA'!AN65)</f>
        <v>105250</v>
      </c>
      <c r="AP46" s="399">
        <f>IF(ISBLANK('RESUMEN VIGILANCIA'!AO65),"",'RESUMEN VIGILANCIA'!AO65)</f>
        <v>105250</v>
      </c>
      <c r="AQ46" s="400">
        <f>IF(ISBLANK('RESUMEN VIGILANCIA'!AP65),"",'RESUMEN VIGILANCIA'!AP65)</f>
        <v>136250</v>
      </c>
      <c r="AR46" s="400" t="str">
        <f>IF(ISBLANK('RESUMEN VIGILANCIA'!AQ65),"",'RESUMEN VIGILANCIA'!AQ65)</f>
        <v/>
      </c>
      <c r="AS46" s="400" t="str">
        <f>IF(ISBLANK('RESUMEN VIGILANCIA'!AR65),"",'RESUMEN VIGILANCIA'!AR65)</f>
        <v/>
      </c>
      <c r="AT46" s="400" t="str">
        <f>IF(ISBLANK('RESUMEN VIGILANCIA'!AS65),"",'RESUMEN VIGILANCIA'!AS65)</f>
        <v/>
      </c>
      <c r="AU46" s="400" t="str">
        <f>IF(ISBLANK('RESUMEN VIGILANCIA'!AT65),"",'RESUMEN VIGILANCIA'!AT65)</f>
        <v/>
      </c>
      <c r="AV46" s="400" t="str">
        <f>IF(ISBLANK('RESUMEN VIGILANCIA'!AU65),"",'RESUMEN VIGILANCIA'!AU65)</f>
        <v/>
      </c>
      <c r="AW46" s="400" t="str">
        <f>IF(ISBLANK('RESUMEN VIGILANCIA'!AV65),"",'RESUMEN VIGILANCIA'!AV65)</f>
        <v/>
      </c>
      <c r="AX46" s="400" t="str">
        <f>IF(ISBLANK('RESUMEN VIGILANCIA'!AW65),"",'RESUMEN VIGILANCIA'!AW65)</f>
        <v/>
      </c>
      <c r="AY46" s="400" t="str">
        <f>IF(ISBLANK('RESUMEN VIGILANCIA'!AX65),"",'RESUMEN VIGILANCIA'!AX65)</f>
        <v/>
      </c>
      <c r="AZ46" s="400" t="str">
        <f>IF(ISBLANK('RESUMEN VIGILANCIA'!AY65),"",'RESUMEN VIGILANCIA'!AY65)</f>
        <v/>
      </c>
      <c r="BA46" s="401" t="str">
        <f>IF(ISBLANK('RESUMEN VIGILANCIA'!AZ65),"",'RESUMEN VIGILANCIA'!AZ65)</f>
        <v/>
      </c>
      <c r="BB46" s="243">
        <f t="shared" si="1"/>
        <v>257800.25</v>
      </c>
      <c r="BC46" s="112"/>
      <c r="BD46" s="112"/>
    </row>
    <row r="47" spans="1:56" s="29" customFormat="1" ht="20.100000000000001" customHeight="1">
      <c r="A47" s="29" t="str">
        <f>'RESUMEN VIGILANCIA'!A66</f>
        <v>Familia Castro Jiménez</v>
      </c>
      <c r="B47" s="31" t="str">
        <f>'RESUMEN VIGILANCIA'!B66</f>
        <v>Calle Guacara Nro. 90-51</v>
      </c>
      <c r="C47" s="452" t="s">
        <v>1249</v>
      </c>
      <c r="D47" s="460" t="s">
        <v>1248</v>
      </c>
      <c r="E47" s="440" t="str">
        <f>IF(ISBLANK('RESUMEN VIGILANCIA'!D66),"",'RESUMEN VIGILANCIA'!D66)</f>
        <v/>
      </c>
      <c r="F47" s="270">
        <f>IF(ISBLANK('RESUMEN VIGILANCIA'!E66),"",'RESUMEN VIGILANCIA'!E66)</f>
        <v>0.16999999999999998</v>
      </c>
      <c r="G47" s="182">
        <f>IF(ISBLANK('RESUMEN VIGILANCIA'!F66),"",'RESUMEN VIGILANCIA'!F66)</f>
        <v>0.17</v>
      </c>
      <c r="H47" s="182">
        <f>IF(ISBLANK('RESUMEN VIGILANCIA'!G66),"",'RESUMEN VIGILANCIA'!G66)</f>
        <v>0.17</v>
      </c>
      <c r="I47" s="182">
        <f>IF(ISBLANK('RESUMEN VIGILANCIA'!H66),"",'RESUMEN VIGILANCIA'!H66)</f>
        <v>0.17</v>
      </c>
      <c r="J47" s="182">
        <f>IF(ISBLANK('RESUMEN VIGILANCIA'!I66),"",'RESUMEN VIGILANCIA'!I66)</f>
        <v>0.26</v>
      </c>
      <c r="K47" s="182">
        <f>IF(ISBLANK('RESUMEN VIGILANCIA'!J66),"",'RESUMEN VIGILANCIA'!J66)</f>
        <v>0.26</v>
      </c>
      <c r="L47" s="182">
        <f>IF(ISBLANK('RESUMEN VIGILANCIA'!K66),"",'RESUMEN VIGILANCIA'!K66)</f>
        <v>0.35</v>
      </c>
      <c r="M47" s="182">
        <f>IF(ISBLANK('RESUMEN VIGILANCIA'!L66),"",'RESUMEN VIGILANCIA'!L66)</f>
        <v>0.35</v>
      </c>
      <c r="N47" s="182">
        <f>IF(ISBLANK('RESUMEN VIGILANCIA'!M66),"",'RESUMEN VIGILANCIA'!M66)</f>
        <v>0.35</v>
      </c>
      <c r="O47" s="182">
        <f>IF(ISBLANK('RESUMEN VIGILANCIA'!N66),"",'RESUMEN VIGILANCIA'!N66)</f>
        <v>0.35</v>
      </c>
      <c r="P47" s="271">
        <f>IF(ISBLANK('RESUMEN VIGILANCIA'!O66),"",'RESUMEN VIGILANCIA'!O66)</f>
        <v>0.5</v>
      </c>
      <c r="Q47" s="180">
        <f>IF(ISBLANK('RESUMEN VIGILANCIA'!P66),"",'RESUMEN VIGILANCIA'!P66)</f>
        <v>0.5</v>
      </c>
      <c r="R47" s="272">
        <f>IF(ISBLANK('RESUMEN VIGILANCIA'!Q66),"",'RESUMEN VIGILANCIA'!Q66)</f>
        <v>0.8</v>
      </c>
      <c r="S47" s="271">
        <f>IF(ISBLANK('RESUMEN VIGILANCIA'!R66),"",'RESUMEN VIGILANCIA'!R66)</f>
        <v>0.8</v>
      </c>
      <c r="T47" s="271">
        <f>IF(ISBLANK('RESUMEN VIGILANCIA'!S66),"",'RESUMEN VIGILANCIA'!S66)</f>
        <v>1.5</v>
      </c>
      <c r="U47" s="271">
        <f>IF(ISBLANK('RESUMEN VIGILANCIA'!T66),"",'RESUMEN VIGILANCIA'!T66)</f>
        <v>1.5</v>
      </c>
      <c r="V47" s="271">
        <f>IF(ISBLANK('RESUMEN VIGILANCIA'!U66),"",'RESUMEN VIGILANCIA'!U66)</f>
        <v>4</v>
      </c>
      <c r="W47" s="271">
        <f>IF(ISBLANK('RESUMEN VIGILANCIA'!V66),"",'RESUMEN VIGILANCIA'!V66)</f>
        <v>6.25</v>
      </c>
      <c r="X47" s="271">
        <f>IF(ISBLANK('RESUMEN VIGILANCIA'!W66),"",'RESUMEN VIGILANCIA'!W66)</f>
        <v>10</v>
      </c>
      <c r="Y47" s="271">
        <f>IF(ISBLANK('RESUMEN VIGILANCIA'!X66),"",'RESUMEN VIGILANCIA'!X66)</f>
        <v>12</v>
      </c>
      <c r="Z47" s="481">
        <f>IF(ISBLANK('RESUMEN VIGILANCIA'!Y66),"",'RESUMEN VIGILANCIA'!Y66)</f>
        <v>320</v>
      </c>
      <c r="AA47" s="481">
        <f>IF(ISBLANK('RESUMEN VIGILANCIA'!Z66),"",'RESUMEN VIGILANCIA'!Z66)</f>
        <v>320</v>
      </c>
      <c r="AB47" s="481">
        <f>IF(ISBLANK('RESUMEN VIGILANCIA'!AA66),"",'RESUMEN VIGILANCIA'!AA66)</f>
        <v>320</v>
      </c>
      <c r="AC47" s="482">
        <f>IF(ISBLANK('RESUMEN VIGILANCIA'!AB66),"",'RESUMEN VIGILANCIA'!AB66)</f>
        <v>800</v>
      </c>
      <c r="AD47" s="399">
        <f>IF(ISBLANK('RESUMEN VIGILANCIA'!AC66),"",'RESUMEN VIGILANCIA'!AC66)</f>
        <v>3000</v>
      </c>
      <c r="AE47" s="400">
        <f>IF(ISBLANK('RESUMEN VIGILANCIA'!AD66),"",'RESUMEN VIGILANCIA'!AD66)</f>
        <v>3000</v>
      </c>
      <c r="AF47" s="400">
        <f>IF(ISBLANK('RESUMEN VIGILANCIA'!AE66),"",'RESUMEN VIGILANCIA'!AE66)</f>
        <v>3000</v>
      </c>
      <c r="AG47" s="400">
        <f>IF(ISBLANK('RESUMEN VIGILANCIA'!AF66),"",'RESUMEN VIGILANCIA'!AF66)</f>
        <v>5000</v>
      </c>
      <c r="AH47" s="400">
        <f>IF(ISBLANK('RESUMEN VIGILANCIA'!AG66),"",'RESUMEN VIGILANCIA'!AG66)</f>
        <v>8000</v>
      </c>
      <c r="AI47" s="400">
        <f>IF(ISBLANK('RESUMEN VIGILANCIA'!AH66),"",'RESUMEN VIGILANCIA'!AH66)</f>
        <v>8000</v>
      </c>
      <c r="AJ47" s="400">
        <f>IF(ISBLANK('RESUMEN VIGILANCIA'!AI66),"",'RESUMEN VIGILANCIA'!AI66)</f>
        <v>10000</v>
      </c>
      <c r="AK47" s="400">
        <f>IF(ISBLANK('RESUMEN VIGILANCIA'!AJ66),"",'RESUMEN VIGILANCIA'!AJ66)</f>
        <v>10000</v>
      </c>
      <c r="AL47" s="400">
        <f>IF(ISBLANK('RESUMEN VIGILANCIA'!AK66),"",'RESUMEN VIGILANCIA'!AK66)</f>
        <v>21000</v>
      </c>
      <c r="AM47" s="400">
        <f>IF(ISBLANK('RESUMEN VIGILANCIA'!AL66),"",'RESUMEN VIGILANCIA'!AL66)</f>
        <v>48365</v>
      </c>
      <c r="AN47" s="400">
        <f>IF(ISBLANK('RESUMEN VIGILANCIA'!AM66),"",'RESUMEN VIGILANCIA'!AM66)</f>
        <v>75000</v>
      </c>
      <c r="AO47" s="401">
        <f>IF(ISBLANK('RESUMEN VIGILANCIA'!AN66),"",'RESUMEN VIGILANCIA'!AN66)</f>
        <v>105250</v>
      </c>
      <c r="AP47" s="399">
        <f>IF(ISBLANK('RESUMEN VIGILANCIA'!AO66),"",'RESUMEN VIGILANCIA'!AO66)</f>
        <v>150000</v>
      </c>
      <c r="AQ47" s="400">
        <f>IF(ISBLANK('RESUMEN VIGILANCIA'!AP66),"",'RESUMEN VIGILANCIA'!AP66)</f>
        <v>150000</v>
      </c>
      <c r="AR47" s="400" t="str">
        <f>IF(ISBLANK('RESUMEN VIGILANCIA'!AQ66),"",'RESUMEN VIGILANCIA'!AQ66)</f>
        <v/>
      </c>
      <c r="AS47" s="400" t="str">
        <f>IF(ISBLANK('RESUMEN VIGILANCIA'!AR66),"",'RESUMEN VIGILANCIA'!AR66)</f>
        <v/>
      </c>
      <c r="AT47" s="400" t="str">
        <f>IF(ISBLANK('RESUMEN VIGILANCIA'!AS66),"",'RESUMEN VIGILANCIA'!AS66)</f>
        <v/>
      </c>
      <c r="AU47" s="400" t="str">
        <f>IF(ISBLANK('RESUMEN VIGILANCIA'!AT66),"",'RESUMEN VIGILANCIA'!AT66)</f>
        <v/>
      </c>
      <c r="AV47" s="400" t="str">
        <f>IF(ISBLANK('RESUMEN VIGILANCIA'!AU66),"",'RESUMEN VIGILANCIA'!AU66)</f>
        <v/>
      </c>
      <c r="AW47" s="400" t="str">
        <f>IF(ISBLANK('RESUMEN VIGILANCIA'!AV66),"",'RESUMEN VIGILANCIA'!AV66)</f>
        <v/>
      </c>
      <c r="AX47" s="400" t="str">
        <f>IF(ISBLANK('RESUMEN VIGILANCIA'!AW66),"",'RESUMEN VIGILANCIA'!AW66)</f>
        <v/>
      </c>
      <c r="AY47" s="400" t="str">
        <f>IF(ISBLANK('RESUMEN VIGILANCIA'!AX66),"",'RESUMEN VIGILANCIA'!AX66)</f>
        <v/>
      </c>
      <c r="AZ47" s="400" t="str">
        <f>IF(ISBLANK('RESUMEN VIGILANCIA'!AY66),"",'RESUMEN VIGILANCIA'!AY66)</f>
        <v/>
      </c>
      <c r="BA47" s="401" t="str">
        <f>IF(ISBLANK('RESUMEN VIGILANCIA'!AZ66),"",'RESUMEN VIGILANCIA'!AZ66)</f>
        <v/>
      </c>
      <c r="BB47" s="243">
        <f t="shared" si="1"/>
        <v>301415.45</v>
      </c>
      <c r="BC47" s="112"/>
      <c r="BD47" s="112"/>
    </row>
    <row r="48" spans="1:56" s="29" customFormat="1" ht="20.100000000000001" customHeight="1">
      <c r="A48" s="33" t="str">
        <f>'RESUMEN VIGILANCIA'!A67</f>
        <v>Familia Triana González</v>
      </c>
      <c r="B48" s="34" t="str">
        <f>'RESUMEN VIGILANCIA'!B67</f>
        <v>Calle Guacara Nro. 90-61</v>
      </c>
      <c r="C48" s="451" t="s">
        <v>1251</v>
      </c>
      <c r="D48" s="461" t="s">
        <v>1248</v>
      </c>
      <c r="E48" s="439" t="str">
        <f>IF(ISBLANK('RESUMEN VIGILANCIA'!D67),"",'RESUMEN VIGILANCIA'!D67)</f>
        <v/>
      </c>
      <c r="F48" s="267">
        <f>IF(ISBLANK('RESUMEN VIGILANCIA'!E67),"",'RESUMEN VIGILANCIA'!E67)</f>
        <v>0.02</v>
      </c>
      <c r="G48" s="189">
        <f>IF(ISBLANK('RESUMEN VIGILANCIA'!F67),"",'RESUMEN VIGILANCIA'!F67)</f>
        <v>0.02</v>
      </c>
      <c r="H48" s="189">
        <f>IF(ISBLANK('RESUMEN VIGILANCIA'!G67),"",'RESUMEN VIGILANCIA'!G67)</f>
        <v>0.02</v>
      </c>
      <c r="I48" s="189">
        <f>IF(ISBLANK('RESUMEN VIGILANCIA'!H67),"",'RESUMEN VIGILANCIA'!H67)</f>
        <v>0.02</v>
      </c>
      <c r="J48" s="189">
        <f>IF(ISBLANK('RESUMEN VIGILANCIA'!I67),"",'RESUMEN VIGILANCIA'!I67)</f>
        <v>0.02</v>
      </c>
      <c r="K48" s="189" t="str">
        <f>IF(ISBLANK('RESUMEN VIGILANCIA'!J67),"",'RESUMEN VIGILANCIA'!J67)</f>
        <v/>
      </c>
      <c r="L48" s="189" t="str">
        <f>IF(ISBLANK('RESUMEN VIGILANCIA'!K67),"",'RESUMEN VIGILANCIA'!K67)</f>
        <v/>
      </c>
      <c r="M48" s="189" t="str">
        <f>IF(ISBLANK('RESUMEN VIGILANCIA'!L67),"",'RESUMEN VIGILANCIA'!L67)</f>
        <v/>
      </c>
      <c r="N48" s="189" t="str">
        <f>IF(ISBLANK('RESUMEN VIGILANCIA'!M67),"",'RESUMEN VIGILANCIA'!M67)</f>
        <v/>
      </c>
      <c r="O48" s="189" t="str">
        <f>IF(ISBLANK('RESUMEN VIGILANCIA'!N67),"",'RESUMEN VIGILANCIA'!N67)</f>
        <v/>
      </c>
      <c r="P48" s="268" t="str">
        <f>IF(ISBLANK('RESUMEN VIGILANCIA'!O67),"",'RESUMEN VIGILANCIA'!O67)</f>
        <v/>
      </c>
      <c r="Q48" s="187" t="str">
        <f>IF(ISBLANK('RESUMEN VIGILANCIA'!P67),"",'RESUMEN VIGILANCIA'!P67)</f>
        <v/>
      </c>
      <c r="R48" s="269" t="str">
        <f>IF(ISBLANK('RESUMEN VIGILANCIA'!Q67),"",'RESUMEN VIGILANCIA'!Q67)</f>
        <v/>
      </c>
      <c r="S48" s="268" t="str">
        <f>IF(ISBLANK('RESUMEN VIGILANCIA'!R67),"",'RESUMEN VIGILANCIA'!R67)</f>
        <v/>
      </c>
      <c r="T48" s="268" t="str">
        <f>IF(ISBLANK('RESUMEN VIGILANCIA'!S67),"",'RESUMEN VIGILANCIA'!S67)</f>
        <v/>
      </c>
      <c r="U48" s="268">
        <f>IF(ISBLANK('RESUMEN VIGILANCIA'!T67),"",'RESUMEN VIGILANCIA'!T67)</f>
        <v>1.4</v>
      </c>
      <c r="V48" s="268">
        <f>IF(ISBLANK('RESUMEN VIGILANCIA'!U67),"",'RESUMEN VIGILANCIA'!U67)</f>
        <v>1</v>
      </c>
      <c r="W48" s="268">
        <f>IF(ISBLANK('RESUMEN VIGILANCIA'!V67),"",'RESUMEN VIGILANCIA'!V67)</f>
        <v>1</v>
      </c>
      <c r="X48" s="268">
        <f>IF(ISBLANK('RESUMEN VIGILANCIA'!W67),"",'RESUMEN VIGILANCIA'!W67)</f>
        <v>2</v>
      </c>
      <c r="Y48" s="268">
        <f>IF(ISBLANK('RESUMEN VIGILANCIA'!X67),"",'RESUMEN VIGILANCIA'!X67)</f>
        <v>12</v>
      </c>
      <c r="Z48" s="485">
        <f>IF(ISBLANK('RESUMEN VIGILANCIA'!Y67),"",'RESUMEN VIGILANCIA'!Y67)</f>
        <v>100</v>
      </c>
      <c r="AA48" s="485">
        <f>IF(ISBLANK('RESUMEN VIGILANCIA'!Z67),"",'RESUMEN VIGILANCIA'!Z67)</f>
        <v>100</v>
      </c>
      <c r="AB48" s="485">
        <f>IF(ISBLANK('RESUMEN VIGILANCIA'!AA67),"",'RESUMEN VIGILANCIA'!AA67)</f>
        <v>320</v>
      </c>
      <c r="AC48" s="486">
        <f>IF(ISBLANK('RESUMEN VIGILANCIA'!AB67),"",'RESUMEN VIGILANCIA'!AB67)</f>
        <v>800</v>
      </c>
      <c r="AD48" s="396">
        <f>IF(ISBLANK('RESUMEN VIGILANCIA'!AC67),"",'RESUMEN VIGILANCIA'!AC67)</f>
        <v>3000</v>
      </c>
      <c r="AE48" s="397">
        <f>IF(ISBLANK('RESUMEN VIGILANCIA'!AD67),"",'RESUMEN VIGILANCIA'!AD67)</f>
        <v>3000</v>
      </c>
      <c r="AF48" s="397">
        <f>IF(ISBLANK('RESUMEN VIGILANCIA'!AE67),"",'RESUMEN VIGILANCIA'!AE67)</f>
        <v>3000</v>
      </c>
      <c r="AG48" s="397">
        <f>IF(ISBLANK('RESUMEN VIGILANCIA'!AF67),"",'RESUMEN VIGILANCIA'!AF67)</f>
        <v>5000</v>
      </c>
      <c r="AH48" s="397">
        <f>IF(ISBLANK('RESUMEN VIGILANCIA'!AG67),"",'RESUMEN VIGILANCIA'!AG67)</f>
        <v>4880</v>
      </c>
      <c r="AI48" s="397">
        <f>IF(ISBLANK('RESUMEN VIGILANCIA'!AH67),"",'RESUMEN VIGILANCIA'!AH67)</f>
        <v>8000</v>
      </c>
      <c r="AJ48" s="397">
        <f>IF(ISBLANK('RESUMEN VIGILANCIA'!AI67),"",'RESUMEN VIGILANCIA'!AI67)</f>
        <v>10000</v>
      </c>
      <c r="AK48" s="397">
        <f>IF(ISBLANK('RESUMEN VIGILANCIA'!AJ67),"",'RESUMEN VIGILANCIA'!AJ67)</f>
        <v>10000</v>
      </c>
      <c r="AL48" s="397">
        <f>IF(ISBLANK('RESUMEN VIGILANCIA'!AK67),"",'RESUMEN VIGILANCIA'!AK67)</f>
        <v>23500</v>
      </c>
      <c r="AM48" s="397">
        <f>IF(ISBLANK('RESUMEN VIGILANCIA'!AL67),"",'RESUMEN VIGILANCIA'!AL67)</f>
        <v>48100</v>
      </c>
      <c r="AN48" s="397">
        <f>IF(ISBLANK('RESUMEN VIGILANCIA'!AM67),"",'RESUMEN VIGILANCIA'!AM67)</f>
        <v>56300</v>
      </c>
      <c r="AO48" s="398">
        <f>IF(ISBLANK('RESUMEN VIGILANCIA'!AN67),"",'RESUMEN VIGILANCIA'!AN67)</f>
        <v>81750</v>
      </c>
      <c r="AP48" s="396">
        <f>IF(ISBLANK('RESUMEN VIGILANCIA'!AO67),"",'RESUMEN VIGILANCIA'!AO67)</f>
        <v>136250</v>
      </c>
      <c r="AQ48" s="397">
        <f>IF(ISBLANK('RESUMEN VIGILANCIA'!AP67),"",'RESUMEN VIGILANCIA'!AP67)</f>
        <v>136250</v>
      </c>
      <c r="AR48" s="397" t="str">
        <f>IF(ISBLANK('RESUMEN VIGILANCIA'!AQ67),"",'RESUMEN VIGILANCIA'!AQ67)</f>
        <v/>
      </c>
      <c r="AS48" s="397" t="str">
        <f>IF(ISBLANK('RESUMEN VIGILANCIA'!AR67),"",'RESUMEN VIGILANCIA'!AR67)</f>
        <v/>
      </c>
      <c r="AT48" s="397" t="str">
        <f>IF(ISBLANK('RESUMEN VIGILANCIA'!AS67),"",'RESUMEN VIGILANCIA'!AS67)</f>
        <v/>
      </c>
      <c r="AU48" s="397" t="str">
        <f>IF(ISBLANK('RESUMEN VIGILANCIA'!AT67),"",'RESUMEN VIGILANCIA'!AT67)</f>
        <v/>
      </c>
      <c r="AV48" s="397" t="str">
        <f>IF(ISBLANK('RESUMEN VIGILANCIA'!AU67),"",'RESUMEN VIGILANCIA'!AU67)</f>
        <v/>
      </c>
      <c r="AW48" s="397" t="str">
        <f>IF(ISBLANK('RESUMEN VIGILANCIA'!AV67),"",'RESUMEN VIGILANCIA'!AV67)</f>
        <v/>
      </c>
      <c r="AX48" s="397" t="str">
        <f>IF(ISBLANK('RESUMEN VIGILANCIA'!AW67),"",'RESUMEN VIGILANCIA'!AW67)</f>
        <v/>
      </c>
      <c r="AY48" s="397" t="str">
        <f>IF(ISBLANK('RESUMEN VIGILANCIA'!AX67),"",'RESUMEN VIGILANCIA'!AX67)</f>
        <v/>
      </c>
      <c r="AZ48" s="397" t="str">
        <f>IF(ISBLANK('RESUMEN VIGILANCIA'!AY67),"",'RESUMEN VIGILANCIA'!AY67)</f>
        <v/>
      </c>
      <c r="BA48" s="398" t="str">
        <f>IF(ISBLANK('RESUMEN VIGILANCIA'!AZ67),"",'RESUMEN VIGILANCIA'!AZ67)</f>
        <v/>
      </c>
      <c r="BB48" s="242">
        <f t="shared" si="1"/>
        <v>257867.5</v>
      </c>
      <c r="BC48" s="111"/>
      <c r="BD48" s="111"/>
    </row>
    <row r="49" spans="1:56" s="29" customFormat="1" ht="20.100000000000001" customHeight="1">
      <c r="A49" s="30" t="str">
        <f>'RESUMEN VIGILANCIA'!A68</f>
        <v>Neira Chacón</v>
      </c>
      <c r="B49" s="31" t="str">
        <f>'RESUMEN VIGILANCIA'!B68</f>
        <v>Calle Guacara Nro. 90-71</v>
      </c>
      <c r="C49" s="452" t="s">
        <v>1250</v>
      </c>
      <c r="D49" s="460" t="s">
        <v>1248</v>
      </c>
      <c r="E49" s="440" t="str">
        <f>IF(ISBLANK('RESUMEN VIGILANCIA'!D68),"",'RESUMEN VIGILANCIA'!D68)</f>
        <v/>
      </c>
      <c r="F49" s="270" t="str">
        <f>IF(ISBLANK('RESUMEN VIGILANCIA'!E68),"",'RESUMEN VIGILANCIA'!E68)</f>
        <v/>
      </c>
      <c r="G49" s="182" t="str">
        <f>IF(ISBLANK('RESUMEN VIGILANCIA'!F68),"",'RESUMEN VIGILANCIA'!F68)</f>
        <v/>
      </c>
      <c r="H49" s="182" t="str">
        <f>IF(ISBLANK('RESUMEN VIGILANCIA'!G68),"",'RESUMEN VIGILANCIA'!G68)</f>
        <v/>
      </c>
      <c r="I49" s="182" t="str">
        <f>IF(ISBLANK('RESUMEN VIGILANCIA'!H68),"",'RESUMEN VIGILANCIA'!H68)</f>
        <v/>
      </c>
      <c r="J49" s="182" t="str">
        <f>IF(ISBLANK('RESUMEN VIGILANCIA'!I68),"",'RESUMEN VIGILANCIA'!I68)</f>
        <v/>
      </c>
      <c r="K49" s="182" t="str">
        <f>IF(ISBLANK('RESUMEN VIGILANCIA'!J68),"",'RESUMEN VIGILANCIA'!J68)</f>
        <v/>
      </c>
      <c r="L49" s="182" t="str">
        <f>IF(ISBLANK('RESUMEN VIGILANCIA'!K68),"",'RESUMEN VIGILANCIA'!K68)</f>
        <v/>
      </c>
      <c r="M49" s="182" t="str">
        <f>IF(ISBLANK('RESUMEN VIGILANCIA'!L68),"",'RESUMEN VIGILANCIA'!L68)</f>
        <v/>
      </c>
      <c r="N49" s="182" t="str">
        <f>IF(ISBLANK('RESUMEN VIGILANCIA'!M68),"",'RESUMEN VIGILANCIA'!M68)</f>
        <v/>
      </c>
      <c r="O49" s="182" t="str">
        <f>IF(ISBLANK('RESUMEN VIGILANCIA'!N68),"",'RESUMEN VIGILANCIA'!N68)</f>
        <v/>
      </c>
      <c r="P49" s="271" t="str">
        <f>IF(ISBLANK('RESUMEN VIGILANCIA'!O68),"",'RESUMEN VIGILANCIA'!O68)</f>
        <v/>
      </c>
      <c r="Q49" s="180" t="str">
        <f>IF(ISBLANK('RESUMEN VIGILANCIA'!P68),"",'RESUMEN VIGILANCIA'!P68)</f>
        <v/>
      </c>
      <c r="R49" s="272" t="str">
        <f>IF(ISBLANK('RESUMEN VIGILANCIA'!Q68),"",'RESUMEN VIGILANCIA'!Q68)</f>
        <v/>
      </c>
      <c r="S49" s="271" t="str">
        <f>IF(ISBLANK('RESUMEN VIGILANCIA'!R68),"",'RESUMEN VIGILANCIA'!R68)</f>
        <v/>
      </c>
      <c r="T49" s="271" t="str">
        <f>IF(ISBLANK('RESUMEN VIGILANCIA'!S68),"",'RESUMEN VIGILANCIA'!S68)</f>
        <v/>
      </c>
      <c r="U49" s="271" t="str">
        <f>IF(ISBLANK('RESUMEN VIGILANCIA'!T68),"",'RESUMEN VIGILANCIA'!T68)</f>
        <v/>
      </c>
      <c r="V49" s="271" t="str">
        <f>IF(ISBLANK('RESUMEN VIGILANCIA'!U68),"",'RESUMEN VIGILANCIA'!U68)</f>
        <v/>
      </c>
      <c r="W49" s="271" t="str">
        <f>IF(ISBLANK('RESUMEN VIGILANCIA'!V68),"",'RESUMEN VIGILANCIA'!V68)</f>
        <v/>
      </c>
      <c r="X49" s="271" t="str">
        <f>IF(ISBLANK('RESUMEN VIGILANCIA'!W68),"",'RESUMEN VIGILANCIA'!W68)</f>
        <v/>
      </c>
      <c r="Y49" s="271" t="str">
        <f>IF(ISBLANK('RESUMEN VIGILANCIA'!X68),"",'RESUMEN VIGILANCIA'!X68)</f>
        <v/>
      </c>
      <c r="Z49" s="481" t="str">
        <f>IF(ISBLANK('RESUMEN VIGILANCIA'!Y68),"",'RESUMEN VIGILANCIA'!Y68)</f>
        <v/>
      </c>
      <c r="AA49" s="481" t="str">
        <f>IF(ISBLANK('RESUMEN VIGILANCIA'!Z68),"",'RESUMEN VIGILANCIA'!Z68)</f>
        <v/>
      </c>
      <c r="AB49" s="481" t="str">
        <f>IF(ISBLANK('RESUMEN VIGILANCIA'!AA68),"",'RESUMEN VIGILANCIA'!AA68)</f>
        <v/>
      </c>
      <c r="AC49" s="482" t="str">
        <f>IF(ISBLANK('RESUMEN VIGILANCIA'!AB68),"",'RESUMEN VIGILANCIA'!AB68)</f>
        <v/>
      </c>
      <c r="AD49" s="399" t="str">
        <f>IF(ISBLANK('RESUMEN VIGILANCIA'!AC68),"",'RESUMEN VIGILANCIA'!AC68)</f>
        <v/>
      </c>
      <c r="AE49" s="400" t="str">
        <f>IF(ISBLANK('RESUMEN VIGILANCIA'!AD68),"",'RESUMEN VIGILANCIA'!AD68)</f>
        <v/>
      </c>
      <c r="AF49" s="400" t="str">
        <f>IF(ISBLANK('RESUMEN VIGILANCIA'!AE68),"",'RESUMEN VIGILANCIA'!AE68)</f>
        <v/>
      </c>
      <c r="AG49" s="400" t="str">
        <f>IF(ISBLANK('RESUMEN VIGILANCIA'!AF68),"",'RESUMEN VIGILANCIA'!AF68)</f>
        <v/>
      </c>
      <c r="AH49" s="400" t="str">
        <f>IF(ISBLANK('RESUMEN VIGILANCIA'!AG68),"",'RESUMEN VIGILANCIA'!AG68)</f>
        <v/>
      </c>
      <c r="AI49" s="400" t="str">
        <f>IF(ISBLANK('RESUMEN VIGILANCIA'!AH68),"",'RESUMEN VIGILANCIA'!AH68)</f>
        <v/>
      </c>
      <c r="AJ49" s="400" t="str">
        <f>IF(ISBLANK('RESUMEN VIGILANCIA'!AI68),"",'RESUMEN VIGILANCIA'!AI68)</f>
        <v/>
      </c>
      <c r="AK49" s="400" t="str">
        <f>IF(ISBLANK('RESUMEN VIGILANCIA'!AJ68),"",'RESUMEN VIGILANCIA'!AJ68)</f>
        <v/>
      </c>
      <c r="AL49" s="400" t="str">
        <f>IF(ISBLANK('RESUMEN VIGILANCIA'!AK68),"",'RESUMEN VIGILANCIA'!AK68)</f>
        <v/>
      </c>
      <c r="AM49" s="400" t="str">
        <f>IF(ISBLANK('RESUMEN VIGILANCIA'!AL68),"",'RESUMEN VIGILANCIA'!AL68)</f>
        <v/>
      </c>
      <c r="AN49" s="400" t="str">
        <f>IF(ISBLANK('RESUMEN VIGILANCIA'!AM68),"",'RESUMEN VIGILANCIA'!AM68)</f>
        <v/>
      </c>
      <c r="AO49" s="401" t="str">
        <f>IF(ISBLANK('RESUMEN VIGILANCIA'!AN68),"",'RESUMEN VIGILANCIA'!AN68)</f>
        <v/>
      </c>
      <c r="AP49" s="399" t="str">
        <f>IF(ISBLANK('RESUMEN VIGILANCIA'!AO68),"",'RESUMEN VIGILANCIA'!AO68)</f>
        <v/>
      </c>
      <c r="AQ49" s="400" t="str">
        <f>IF(ISBLANK('RESUMEN VIGILANCIA'!AP68),"",'RESUMEN VIGILANCIA'!AP68)</f>
        <v/>
      </c>
      <c r="AR49" s="400" t="str">
        <f>IF(ISBLANK('RESUMEN VIGILANCIA'!AQ68),"",'RESUMEN VIGILANCIA'!AQ68)</f>
        <v/>
      </c>
      <c r="AS49" s="400" t="str">
        <f>IF(ISBLANK('RESUMEN VIGILANCIA'!AR68),"",'RESUMEN VIGILANCIA'!AR68)</f>
        <v/>
      </c>
      <c r="AT49" s="400" t="str">
        <f>IF(ISBLANK('RESUMEN VIGILANCIA'!AS68),"",'RESUMEN VIGILANCIA'!AS68)</f>
        <v/>
      </c>
      <c r="AU49" s="400" t="str">
        <f>IF(ISBLANK('RESUMEN VIGILANCIA'!AT68),"",'RESUMEN VIGILANCIA'!AT68)</f>
        <v/>
      </c>
      <c r="AV49" s="400" t="str">
        <f>IF(ISBLANK('RESUMEN VIGILANCIA'!AU68),"",'RESUMEN VIGILANCIA'!AU68)</f>
        <v/>
      </c>
      <c r="AW49" s="400" t="str">
        <f>IF(ISBLANK('RESUMEN VIGILANCIA'!AV68),"",'RESUMEN VIGILANCIA'!AV68)</f>
        <v/>
      </c>
      <c r="AX49" s="400" t="str">
        <f>IF(ISBLANK('RESUMEN VIGILANCIA'!AW68),"",'RESUMEN VIGILANCIA'!AW68)</f>
        <v/>
      </c>
      <c r="AY49" s="400" t="str">
        <f>IF(ISBLANK('RESUMEN VIGILANCIA'!AX68),"",'RESUMEN VIGILANCIA'!AX68)</f>
        <v/>
      </c>
      <c r="AZ49" s="400" t="str">
        <f>IF(ISBLANK('RESUMEN VIGILANCIA'!AY68),"",'RESUMEN VIGILANCIA'!AY68)</f>
        <v/>
      </c>
      <c r="BA49" s="401" t="str">
        <f>IF(ISBLANK('RESUMEN VIGILANCIA'!AZ68),"",'RESUMEN VIGILANCIA'!AZ68)</f>
        <v/>
      </c>
      <c r="BB49" s="243">
        <f t="shared" si="1"/>
        <v>0</v>
      </c>
      <c r="BC49" s="112"/>
      <c r="BD49" s="112"/>
    </row>
    <row r="50" spans="1:56" s="29" customFormat="1" ht="20.100000000000001" customHeight="1">
      <c r="A50" s="33" t="str">
        <f>'RESUMEN VIGILANCIA'!A70</f>
        <v>Familia Santos Carrillo</v>
      </c>
      <c r="B50" s="34" t="str">
        <f>'RESUMEN VIGILANCIA'!B70</f>
        <v>Calle Guacara Nro. 90-93</v>
      </c>
      <c r="C50" s="451" t="s">
        <v>1250</v>
      </c>
      <c r="D50" s="461" t="s">
        <v>1248</v>
      </c>
      <c r="E50" s="439">
        <f>IF(ISBLANK('RESUMEN VIGILANCIA'!D70),"",'RESUMEN VIGILANCIA'!D70)</f>
        <v>0.04</v>
      </c>
      <c r="F50" s="267">
        <f>IF(ISBLANK('RESUMEN VIGILANCIA'!E70),"",'RESUMEN VIGILANCIA'!E70)</f>
        <v>0.03</v>
      </c>
      <c r="G50" s="189">
        <f>IF(ISBLANK('RESUMEN VIGILANCIA'!F70),"",'RESUMEN VIGILANCIA'!F70)</f>
        <v>0.03</v>
      </c>
      <c r="H50" s="189">
        <f>IF(ISBLANK('RESUMEN VIGILANCIA'!G70),"",'RESUMEN VIGILANCIA'!G70)</f>
        <v>0.03</v>
      </c>
      <c r="I50" s="189">
        <f>IF(ISBLANK('RESUMEN VIGILANCIA'!H70),"",'RESUMEN VIGILANCIA'!H70)</f>
        <v>0.03</v>
      </c>
      <c r="J50" s="189">
        <f>IF(ISBLANK('RESUMEN VIGILANCIA'!I70),"",'RESUMEN VIGILANCIA'!I70)</f>
        <v>0.03</v>
      </c>
      <c r="K50" s="189">
        <f>IF(ISBLANK('RESUMEN VIGILANCIA'!J70),"",'RESUMEN VIGILANCIA'!J70)</f>
        <v>0.03</v>
      </c>
      <c r="L50" s="189">
        <f>IF(ISBLANK('RESUMEN VIGILANCIA'!K70),"",'RESUMEN VIGILANCIA'!K70)</f>
        <v>0.06</v>
      </c>
      <c r="M50" s="189">
        <f>IF(ISBLANK('RESUMEN VIGILANCIA'!L70),"",'RESUMEN VIGILANCIA'!L70)</f>
        <v>6.5000000000000002E-2</v>
      </c>
      <c r="N50" s="189">
        <f>IF(ISBLANK('RESUMEN VIGILANCIA'!M70),"",'RESUMEN VIGILANCIA'!M70)</f>
        <v>0.14899999999999999</v>
      </c>
      <c r="O50" s="189">
        <f>IF(ISBLANK('RESUMEN VIGILANCIA'!N70),"",'RESUMEN VIGILANCIA'!N70)</f>
        <v>0.2</v>
      </c>
      <c r="P50" s="268">
        <f>IF(ISBLANK('RESUMEN VIGILANCIA'!O70),"",'RESUMEN VIGILANCIA'!O70)</f>
        <v>0.18</v>
      </c>
      <c r="Q50" s="187">
        <f>IF(ISBLANK('RESUMEN VIGILANCIA'!P70),"",'RESUMEN VIGILANCIA'!P70)</f>
        <v>0.2</v>
      </c>
      <c r="R50" s="269">
        <f>IF(ISBLANK('RESUMEN VIGILANCIA'!Q70),"",'RESUMEN VIGILANCIA'!Q70)</f>
        <v>0.2</v>
      </c>
      <c r="S50" s="268">
        <f>IF(ISBLANK('RESUMEN VIGILANCIA'!R70),"",'RESUMEN VIGILANCIA'!R70)</f>
        <v>0.2</v>
      </c>
      <c r="T50" s="268">
        <f>IF(ISBLANK('RESUMEN VIGILANCIA'!S70),"",'RESUMEN VIGILANCIA'!S70)</f>
        <v>1.4</v>
      </c>
      <c r="U50" s="268">
        <f>IF(ISBLANK('RESUMEN VIGILANCIA'!T70),"",'RESUMEN VIGILANCIA'!T70)</f>
        <v>1.4</v>
      </c>
      <c r="V50" s="268" t="str">
        <f>IF(ISBLANK('RESUMEN VIGILANCIA'!U70),"",'RESUMEN VIGILANCIA'!U70)</f>
        <v/>
      </c>
      <c r="W50" s="268" t="str">
        <f>IF(ISBLANK('RESUMEN VIGILANCIA'!V70),"",'RESUMEN VIGILANCIA'!V70)</f>
        <v/>
      </c>
      <c r="X50" s="268" t="str">
        <f>IF(ISBLANK('RESUMEN VIGILANCIA'!W70),"",'RESUMEN VIGILANCIA'!W70)</f>
        <v/>
      </c>
      <c r="Y50" s="268" t="str">
        <f>IF(ISBLANK('RESUMEN VIGILANCIA'!X70),"",'RESUMEN VIGILANCIA'!X70)</f>
        <v/>
      </c>
      <c r="Z50" s="485" t="str">
        <f>IF(ISBLANK('RESUMEN VIGILANCIA'!Y70),"",'RESUMEN VIGILANCIA'!Y70)</f>
        <v/>
      </c>
      <c r="AA50" s="485" t="str">
        <f>IF(ISBLANK('RESUMEN VIGILANCIA'!Z70),"",'RESUMEN VIGILANCIA'!Z70)</f>
        <v/>
      </c>
      <c r="AB50" s="485" t="str">
        <f>IF(ISBLANK('RESUMEN VIGILANCIA'!AA70),"",'RESUMEN VIGILANCIA'!AA70)</f>
        <v/>
      </c>
      <c r="AC50" s="486" t="str">
        <f>IF(ISBLANK('RESUMEN VIGILANCIA'!AB70),"",'RESUMEN VIGILANCIA'!AB70)</f>
        <v/>
      </c>
      <c r="AD50" s="396" t="str">
        <f>IF(ISBLANK('RESUMEN VIGILANCIA'!AC70),"",'RESUMEN VIGILANCIA'!AC70)</f>
        <v/>
      </c>
      <c r="AE50" s="397" t="str">
        <f>IF(ISBLANK('RESUMEN VIGILANCIA'!AD70),"",'RESUMEN VIGILANCIA'!AD70)</f>
        <v/>
      </c>
      <c r="AF50" s="397" t="str">
        <f>IF(ISBLANK('RESUMEN VIGILANCIA'!AE70),"",'RESUMEN VIGILANCIA'!AE70)</f>
        <v/>
      </c>
      <c r="AG50" s="397" t="str">
        <f>IF(ISBLANK('RESUMEN VIGILANCIA'!AF70),"",'RESUMEN VIGILANCIA'!AF70)</f>
        <v/>
      </c>
      <c r="AH50" s="397" t="str">
        <f>IF(ISBLANK('RESUMEN VIGILANCIA'!AG70),"",'RESUMEN VIGILANCIA'!AG70)</f>
        <v/>
      </c>
      <c r="AI50" s="397" t="str">
        <f>IF(ISBLANK('RESUMEN VIGILANCIA'!AH70),"",'RESUMEN VIGILANCIA'!AH70)</f>
        <v/>
      </c>
      <c r="AJ50" s="397" t="str">
        <f>IF(ISBLANK('RESUMEN VIGILANCIA'!AI70),"",'RESUMEN VIGILANCIA'!AI70)</f>
        <v/>
      </c>
      <c r="AK50" s="397" t="str">
        <f>IF(ISBLANK('RESUMEN VIGILANCIA'!AJ70),"",'RESUMEN VIGILANCIA'!AJ70)</f>
        <v/>
      </c>
      <c r="AL50" s="397" t="str">
        <f>IF(ISBLANK('RESUMEN VIGILANCIA'!AK70),"",'RESUMEN VIGILANCIA'!AK70)</f>
        <v/>
      </c>
      <c r="AM50" s="397" t="str">
        <f>IF(ISBLANK('RESUMEN VIGILANCIA'!AL70),"",'RESUMEN VIGILANCIA'!AL70)</f>
        <v/>
      </c>
      <c r="AN50" s="397" t="str">
        <f>IF(ISBLANK('RESUMEN VIGILANCIA'!AM70),"",'RESUMEN VIGILANCIA'!AM70)</f>
        <v/>
      </c>
      <c r="AO50" s="398" t="str">
        <f>IF(ISBLANK('RESUMEN VIGILANCIA'!AN70),"",'RESUMEN VIGILANCIA'!AN70)</f>
        <v/>
      </c>
      <c r="AP50" s="396" t="str">
        <f>IF(ISBLANK('RESUMEN VIGILANCIA'!AO70),"",'RESUMEN VIGILANCIA'!AO70)</f>
        <v/>
      </c>
      <c r="AQ50" s="397" t="str">
        <f>IF(ISBLANK('RESUMEN VIGILANCIA'!AP70),"",'RESUMEN VIGILANCIA'!AP70)</f>
        <v/>
      </c>
      <c r="AR50" s="397" t="str">
        <f>IF(ISBLANK('RESUMEN VIGILANCIA'!AQ70),"",'RESUMEN VIGILANCIA'!AQ70)</f>
        <v/>
      </c>
      <c r="AS50" s="397" t="str">
        <f>IF(ISBLANK('RESUMEN VIGILANCIA'!AR70),"",'RESUMEN VIGILANCIA'!AR70)</f>
        <v/>
      </c>
      <c r="AT50" s="397" t="str">
        <f>IF(ISBLANK('RESUMEN VIGILANCIA'!AS70),"",'RESUMEN VIGILANCIA'!AS70)</f>
        <v/>
      </c>
      <c r="AU50" s="397" t="str">
        <f>IF(ISBLANK('RESUMEN VIGILANCIA'!AT70),"",'RESUMEN VIGILANCIA'!AT70)</f>
        <v/>
      </c>
      <c r="AV50" s="397" t="str">
        <f>IF(ISBLANK('RESUMEN VIGILANCIA'!AU70),"",'RESUMEN VIGILANCIA'!AU70)</f>
        <v/>
      </c>
      <c r="AW50" s="397" t="str">
        <f>IF(ISBLANK('RESUMEN VIGILANCIA'!AV70),"",'RESUMEN VIGILANCIA'!AV70)</f>
        <v/>
      </c>
      <c r="AX50" s="397" t="str">
        <f>IF(ISBLANK('RESUMEN VIGILANCIA'!AW70),"",'RESUMEN VIGILANCIA'!AW70)</f>
        <v/>
      </c>
      <c r="AY50" s="397" t="str">
        <f>IF(ISBLANK('RESUMEN VIGILANCIA'!AX70),"",'RESUMEN VIGILANCIA'!AX70)</f>
        <v/>
      </c>
      <c r="AZ50" s="397" t="str">
        <f>IF(ISBLANK('RESUMEN VIGILANCIA'!AY70),"",'RESUMEN VIGILANCIA'!AY70)</f>
        <v/>
      </c>
      <c r="BA50" s="398" t="str">
        <f>IF(ISBLANK('RESUMEN VIGILANCIA'!AZ70),"",'RESUMEN VIGILANCIA'!AZ70)</f>
        <v/>
      </c>
      <c r="BB50" s="242">
        <f t="shared" si="1"/>
        <v>4.2739999999999991</v>
      </c>
      <c r="BC50" s="111"/>
      <c r="BD50" s="111"/>
    </row>
    <row r="51" spans="1:56" s="29" customFormat="1" ht="20.100000000000001" customHeight="1">
      <c r="A51" s="30" t="str">
        <f>'RESUMEN VIGILANCIA'!A69</f>
        <v>Wu Hung Fung</v>
      </c>
      <c r="B51" s="31" t="str">
        <f>'RESUMEN VIGILANCIA'!B69</f>
        <v>Calle Guacara Nro. 90-81</v>
      </c>
      <c r="C51" s="452" t="s">
        <v>1249</v>
      </c>
      <c r="D51" s="460"/>
      <c r="E51" s="440" t="str">
        <f>IF(ISBLANK('RESUMEN VIGILANCIA'!D69),"",'RESUMEN VIGILANCIA'!D69)</f>
        <v/>
      </c>
      <c r="F51" s="270">
        <f>IF(ISBLANK('RESUMEN VIGILANCIA'!E69),"",'RESUMEN VIGILANCIA'!E69)</f>
        <v>0.17</v>
      </c>
      <c r="G51" s="182">
        <f>IF(ISBLANK('RESUMEN VIGILANCIA'!F69),"",'RESUMEN VIGILANCIA'!F69)</f>
        <v>0.17</v>
      </c>
      <c r="H51" s="182">
        <f>IF(ISBLANK('RESUMEN VIGILANCIA'!G69),"",'RESUMEN VIGILANCIA'!G69)</f>
        <v>0.19</v>
      </c>
      <c r="I51" s="182">
        <f>IF(ISBLANK('RESUMEN VIGILANCIA'!H69),"",'RESUMEN VIGILANCIA'!H69)</f>
        <v>0.17</v>
      </c>
      <c r="J51" s="182">
        <f>IF(ISBLANK('RESUMEN VIGILANCIA'!I69),"",'RESUMEN VIGILANCIA'!I69)</f>
        <v>0.26</v>
      </c>
      <c r="K51" s="182">
        <f>IF(ISBLANK('RESUMEN VIGILANCIA'!J69),"",'RESUMEN VIGILANCIA'!J69)</f>
        <v>0.26</v>
      </c>
      <c r="L51" s="182">
        <f>IF(ISBLANK('RESUMEN VIGILANCIA'!K69),"",'RESUMEN VIGILANCIA'!K69)</f>
        <v>0.35</v>
      </c>
      <c r="M51" s="182">
        <f>IF(ISBLANK('RESUMEN VIGILANCIA'!L69),"",'RESUMEN VIGILANCIA'!L69)</f>
        <v>0.35</v>
      </c>
      <c r="N51" s="182">
        <f>IF(ISBLANK('RESUMEN VIGILANCIA'!M69),"",'RESUMEN VIGILANCIA'!M69)</f>
        <v>0.35</v>
      </c>
      <c r="O51" s="182">
        <f>IF(ISBLANK('RESUMEN VIGILANCIA'!N69),"",'RESUMEN VIGILANCIA'!N69)</f>
        <v>0.35</v>
      </c>
      <c r="P51" s="271">
        <f>IF(ISBLANK('RESUMEN VIGILANCIA'!O69),"",'RESUMEN VIGILANCIA'!O69)</f>
        <v>0.5</v>
      </c>
      <c r="Q51" s="180">
        <f>IF(ISBLANK('RESUMEN VIGILANCIA'!P69),"",'RESUMEN VIGILANCIA'!P69)</f>
        <v>0.5</v>
      </c>
      <c r="R51" s="272">
        <f>IF(ISBLANK('RESUMEN VIGILANCIA'!Q69),"",'RESUMEN VIGILANCIA'!Q69)</f>
        <v>0.8</v>
      </c>
      <c r="S51" s="271">
        <f>IF(ISBLANK('RESUMEN VIGILANCIA'!R69),"",'RESUMEN VIGILANCIA'!R69)</f>
        <v>1</v>
      </c>
      <c r="T51" s="271">
        <f>IF(ISBLANK('RESUMEN VIGILANCIA'!S69),"",'RESUMEN VIGILANCIA'!S69)</f>
        <v>1.4</v>
      </c>
      <c r="U51" s="271">
        <f>IF(ISBLANK('RESUMEN VIGILANCIA'!T69),"",'RESUMEN VIGILANCIA'!T69)</f>
        <v>1.4</v>
      </c>
      <c r="V51" s="271">
        <f>IF(ISBLANK('RESUMEN VIGILANCIA'!U69),"",'RESUMEN VIGILANCIA'!U69)</f>
        <v>4</v>
      </c>
      <c r="W51" s="271">
        <f>IF(ISBLANK('RESUMEN VIGILANCIA'!V69),"",'RESUMEN VIGILANCIA'!V69)</f>
        <v>6.25</v>
      </c>
      <c r="X51" s="271">
        <f>IF(ISBLANK('RESUMEN VIGILANCIA'!W69),"",'RESUMEN VIGILANCIA'!W69)</f>
        <v>10</v>
      </c>
      <c r="Y51" s="271">
        <f>IF(ISBLANK('RESUMEN VIGILANCIA'!X69),"",'RESUMEN VIGILANCIA'!X69)</f>
        <v>12</v>
      </c>
      <c r="Z51" s="481">
        <f>IF(ISBLANK('RESUMEN VIGILANCIA'!Y69),"",'RESUMEN VIGILANCIA'!Y69)</f>
        <v>320</v>
      </c>
      <c r="AA51" s="481">
        <f>IF(ISBLANK('RESUMEN VIGILANCIA'!Z69),"",'RESUMEN VIGILANCIA'!Z69)</f>
        <v>320.5</v>
      </c>
      <c r="AB51" s="481">
        <f>IF(ISBLANK('RESUMEN VIGILANCIA'!AA69),"",'RESUMEN VIGILANCIA'!AA69)</f>
        <v>320</v>
      </c>
      <c r="AC51" s="482">
        <f>IF(ISBLANK('RESUMEN VIGILANCIA'!AB69),"",'RESUMEN VIGILANCIA'!AB69)</f>
        <v>800</v>
      </c>
      <c r="AD51" s="399">
        <f>IF(ISBLANK('RESUMEN VIGILANCIA'!AC69),"",'RESUMEN VIGILANCIA'!AC69)</f>
        <v>3000</v>
      </c>
      <c r="AE51" s="400">
        <f>IF(ISBLANK('RESUMEN VIGILANCIA'!AD69),"",'RESUMEN VIGILANCIA'!AD69)</f>
        <v>5000</v>
      </c>
      <c r="AF51" s="400">
        <f>IF(ISBLANK('RESUMEN VIGILANCIA'!AE69),"",'RESUMEN VIGILANCIA'!AE69)</f>
        <v>5000</v>
      </c>
      <c r="AG51" s="400">
        <f>IF(ISBLANK('RESUMEN VIGILANCIA'!AF69),"",'RESUMEN VIGILANCIA'!AF69)</f>
        <v>5000</v>
      </c>
      <c r="AH51" s="400">
        <f>IF(ISBLANK('RESUMEN VIGILANCIA'!AG69),"",'RESUMEN VIGILANCIA'!AG69)</f>
        <v>8000</v>
      </c>
      <c r="AI51" s="400">
        <f>IF(ISBLANK('RESUMEN VIGILANCIA'!AH69),"",'RESUMEN VIGILANCIA'!AH69)</f>
        <v>8000</v>
      </c>
      <c r="AJ51" s="400">
        <f>IF(ISBLANK('RESUMEN VIGILANCIA'!AI69),"",'RESUMEN VIGILANCIA'!AI69)</f>
        <v>15000</v>
      </c>
      <c r="AK51" s="400">
        <f>IF(ISBLANK('RESUMEN VIGILANCIA'!AJ69),"",'RESUMEN VIGILANCIA'!AJ69)</f>
        <v>15000</v>
      </c>
      <c r="AL51" s="400">
        <f>IF(ISBLANK('RESUMEN VIGILANCIA'!AK69),"",'RESUMEN VIGILANCIA'!AK69)</f>
        <v>19800</v>
      </c>
      <c r="AM51" s="400">
        <f>IF(ISBLANK('RESUMEN VIGILANCIA'!AL69),"",'RESUMEN VIGILANCIA'!AL69)</f>
        <v>60000</v>
      </c>
      <c r="AN51" s="400">
        <f>IF(ISBLANK('RESUMEN VIGILANCIA'!AM69),"",'RESUMEN VIGILANCIA'!AM69)</f>
        <v>100000</v>
      </c>
      <c r="AO51" s="401">
        <f>IF(ISBLANK('RESUMEN VIGILANCIA'!AN69),"",'RESUMEN VIGILANCIA'!AN69)</f>
        <v>150000</v>
      </c>
      <c r="AP51" s="399">
        <f>IF(ISBLANK('RESUMEN VIGILANCIA'!AO69),"",'RESUMEN VIGILANCIA'!AO69)</f>
        <v>150000</v>
      </c>
      <c r="AQ51" s="400" t="str">
        <f>IF(ISBLANK('RESUMEN VIGILANCIA'!AP69),"",'RESUMEN VIGILANCIA'!AP69)</f>
        <v/>
      </c>
      <c r="AR51" s="400" t="str">
        <f>IF(ISBLANK('RESUMEN VIGILANCIA'!AQ69),"",'RESUMEN VIGILANCIA'!AQ69)</f>
        <v/>
      </c>
      <c r="AS51" s="400" t="str">
        <f>IF(ISBLANK('RESUMEN VIGILANCIA'!AR69),"",'RESUMEN VIGILANCIA'!AR69)</f>
        <v/>
      </c>
      <c r="AT51" s="400" t="str">
        <f>IF(ISBLANK('RESUMEN VIGILANCIA'!AS69),"",'RESUMEN VIGILANCIA'!AS69)</f>
        <v/>
      </c>
      <c r="AU51" s="400" t="str">
        <f>IF(ISBLANK('RESUMEN VIGILANCIA'!AT69),"",'RESUMEN VIGILANCIA'!AT69)</f>
        <v/>
      </c>
      <c r="AV51" s="400" t="str">
        <f>IF(ISBLANK('RESUMEN VIGILANCIA'!AU69),"",'RESUMEN VIGILANCIA'!AU69)</f>
        <v/>
      </c>
      <c r="AW51" s="400" t="str">
        <f>IF(ISBLANK('RESUMEN VIGILANCIA'!AV69),"",'RESUMEN VIGILANCIA'!AV69)</f>
        <v/>
      </c>
      <c r="AX51" s="400" t="str">
        <f>IF(ISBLANK('RESUMEN VIGILANCIA'!AW69),"",'RESUMEN VIGILANCIA'!AW69)</f>
        <v/>
      </c>
      <c r="AY51" s="400" t="str">
        <f>IF(ISBLANK('RESUMEN VIGILANCIA'!AX69),"",'RESUMEN VIGILANCIA'!AX69)</f>
        <v/>
      </c>
      <c r="AZ51" s="400" t="str">
        <f>IF(ISBLANK('RESUMEN VIGILANCIA'!AY69),"",'RESUMEN VIGILANCIA'!AY69)</f>
        <v/>
      </c>
      <c r="BA51" s="401" t="str">
        <f>IF(ISBLANK('RESUMEN VIGILANCIA'!AZ69),"",'RESUMEN VIGILANCIA'!AZ69)</f>
        <v/>
      </c>
      <c r="BB51" s="243">
        <f t="shared" si="1"/>
        <v>395600.97</v>
      </c>
      <c r="BC51" s="112"/>
      <c r="BD51" s="112"/>
    </row>
    <row r="52" spans="1:56" s="29" customFormat="1" ht="20.100000000000001" customHeight="1">
      <c r="A52" s="30" t="str">
        <f>'RESUMEN VIGILANCIA'!A64</f>
        <v>Beatriz Lara</v>
      </c>
      <c r="B52" s="31" t="str">
        <f>'RESUMEN VIGILANCIA'!B64</f>
        <v>Calle Guacara Nro. 89-130</v>
      </c>
      <c r="C52" s="452" t="s">
        <v>1249</v>
      </c>
      <c r="D52" s="460" t="s">
        <v>1248</v>
      </c>
      <c r="E52" s="440" t="str">
        <f>IF(ISBLANK('RESUMEN VIGILANCIA'!D64),"",'RESUMEN VIGILANCIA'!D64)</f>
        <v/>
      </c>
      <c r="F52" s="270">
        <f>IF(ISBLANK('RESUMEN VIGILANCIA'!E64),"",'RESUMEN VIGILANCIA'!E64)</f>
        <v>0.17</v>
      </c>
      <c r="G52" s="182">
        <f>IF(ISBLANK('RESUMEN VIGILANCIA'!F64),"",'RESUMEN VIGILANCIA'!F64)</f>
        <v>0.17</v>
      </c>
      <c r="H52" s="182">
        <f>IF(ISBLANK('RESUMEN VIGILANCIA'!G64),"",'RESUMEN VIGILANCIA'!G64)</f>
        <v>0.17</v>
      </c>
      <c r="I52" s="182">
        <f>IF(ISBLANK('RESUMEN VIGILANCIA'!H64),"",'RESUMEN VIGILANCIA'!H64)</f>
        <v>0.17</v>
      </c>
      <c r="J52" s="182">
        <f>IF(ISBLANK('RESUMEN VIGILANCIA'!I64),"",'RESUMEN VIGILANCIA'!I64)</f>
        <v>0.26</v>
      </c>
      <c r="K52" s="182">
        <f>IF(ISBLANK('RESUMEN VIGILANCIA'!J64),"",'RESUMEN VIGILANCIA'!J64)</f>
        <v>0.26</v>
      </c>
      <c r="L52" s="182">
        <f>IF(ISBLANK('RESUMEN VIGILANCIA'!K64),"",'RESUMEN VIGILANCIA'!K64)</f>
        <v>0.35</v>
      </c>
      <c r="M52" s="182">
        <f>IF(ISBLANK('RESUMEN VIGILANCIA'!L64),"",'RESUMEN VIGILANCIA'!L64)</f>
        <v>0.35</v>
      </c>
      <c r="N52" s="182">
        <f>IF(ISBLANK('RESUMEN VIGILANCIA'!M64),"",'RESUMEN VIGILANCIA'!M64)</f>
        <v>0.35</v>
      </c>
      <c r="O52" s="182">
        <f>IF(ISBLANK('RESUMEN VIGILANCIA'!N64),"",'RESUMEN VIGILANCIA'!N64)</f>
        <v>0.35</v>
      </c>
      <c r="P52" s="271">
        <f>IF(ISBLANK('RESUMEN VIGILANCIA'!O64),"",'RESUMEN VIGILANCIA'!O64)</f>
        <v>0.5</v>
      </c>
      <c r="Q52" s="180">
        <f>IF(ISBLANK('RESUMEN VIGILANCIA'!P64),"",'RESUMEN VIGILANCIA'!P64)</f>
        <v>0.5</v>
      </c>
      <c r="R52" s="272">
        <f>IF(ISBLANK('RESUMEN VIGILANCIA'!Q64),"",'RESUMEN VIGILANCIA'!Q64)</f>
        <v>0.8</v>
      </c>
      <c r="S52" s="271">
        <f>IF(ISBLANK('RESUMEN VIGILANCIA'!R64),"",'RESUMEN VIGILANCIA'!R64)</f>
        <v>0.8</v>
      </c>
      <c r="T52" s="271">
        <f>IF(ISBLANK('RESUMEN VIGILANCIA'!S64),"",'RESUMEN VIGILANCIA'!S64)</f>
        <v>1.4</v>
      </c>
      <c r="U52" s="271">
        <f>IF(ISBLANK('RESUMEN VIGILANCIA'!T64),"",'RESUMEN VIGILANCIA'!T64)</f>
        <v>1.4</v>
      </c>
      <c r="V52" s="271">
        <f>IF(ISBLANK('RESUMEN VIGILANCIA'!U64),"",'RESUMEN VIGILANCIA'!U64)</f>
        <v>4</v>
      </c>
      <c r="W52" s="271">
        <f>IF(ISBLANK('RESUMEN VIGILANCIA'!V64),"",'RESUMEN VIGILANCIA'!V64)</f>
        <v>6.5</v>
      </c>
      <c r="X52" s="271">
        <f>IF(ISBLANK('RESUMEN VIGILANCIA'!W64),"",'RESUMEN VIGILANCIA'!W64)</f>
        <v>10</v>
      </c>
      <c r="Y52" s="271">
        <f>IF(ISBLANK('RESUMEN VIGILANCIA'!X64),"",'RESUMEN VIGILANCIA'!X64)</f>
        <v>12</v>
      </c>
      <c r="Z52" s="481">
        <f>IF(ISBLANK('RESUMEN VIGILANCIA'!Y64),"",'RESUMEN VIGILANCIA'!Y64)</f>
        <v>320</v>
      </c>
      <c r="AA52" s="481">
        <f>IF(ISBLANK('RESUMEN VIGILANCIA'!Z64),"",'RESUMEN VIGILANCIA'!Z64)</f>
        <v>320</v>
      </c>
      <c r="AB52" s="481">
        <f>IF(ISBLANK('RESUMEN VIGILANCIA'!AA64),"",'RESUMEN VIGILANCIA'!AA64)</f>
        <v>320</v>
      </c>
      <c r="AC52" s="482">
        <f>IF(ISBLANK('RESUMEN VIGILANCIA'!AB64),"",'RESUMEN VIGILANCIA'!AB64)</f>
        <v>800</v>
      </c>
      <c r="AD52" s="399">
        <f>IF(ISBLANK('RESUMEN VIGILANCIA'!AC64),"",'RESUMEN VIGILANCIA'!AC64)</f>
        <v>3000</v>
      </c>
      <c r="AE52" s="400">
        <f>IF(ISBLANK('RESUMEN VIGILANCIA'!AD64),"",'RESUMEN VIGILANCIA'!AD64)</f>
        <v>3000</v>
      </c>
      <c r="AF52" s="400">
        <f>IF(ISBLANK('RESUMEN VIGILANCIA'!AE64),"",'RESUMEN VIGILANCIA'!AE64)</f>
        <v>3000</v>
      </c>
      <c r="AG52" s="400">
        <f>IF(ISBLANK('RESUMEN VIGILANCIA'!AF64),"",'RESUMEN VIGILANCIA'!AF64)</f>
        <v>5000</v>
      </c>
      <c r="AH52" s="400">
        <f>IF(ISBLANK('RESUMEN VIGILANCIA'!AG64),"",'RESUMEN VIGILANCIA'!AG64)</f>
        <v>8000</v>
      </c>
      <c r="AI52" s="400">
        <f>IF(ISBLANK('RESUMEN VIGILANCIA'!AH64),"",'RESUMEN VIGILANCIA'!AH64)</f>
        <v>8000</v>
      </c>
      <c r="AJ52" s="400">
        <f>IF(ISBLANK('RESUMEN VIGILANCIA'!AI64),"",'RESUMEN VIGILANCIA'!AI64)</f>
        <v>10000</v>
      </c>
      <c r="AK52" s="400">
        <f>IF(ISBLANK('RESUMEN VIGILANCIA'!AJ64),"",'RESUMEN VIGILANCIA'!AJ64)</f>
        <v>10000</v>
      </c>
      <c r="AL52" s="400">
        <f>IF(ISBLANK('RESUMEN VIGILANCIA'!AK64),"",'RESUMEN VIGILANCIA'!AK64)</f>
        <v>20500</v>
      </c>
      <c r="AM52" s="400">
        <f>IF(ISBLANK('RESUMEN VIGILANCIA'!AL64),"",'RESUMEN VIGILANCIA'!AL64)</f>
        <v>47000</v>
      </c>
      <c r="AN52" s="400">
        <f>IF(ISBLANK('RESUMEN VIGILANCIA'!AM64),"",'RESUMEN VIGILANCIA'!AM64)</f>
        <v>64500</v>
      </c>
      <c r="AO52" s="401">
        <f>IF(ISBLANK('RESUMEN VIGILANCIA'!AN64),"",'RESUMEN VIGILANCIA'!AN64)</f>
        <v>97500</v>
      </c>
      <c r="AP52" s="399">
        <f>IF(ISBLANK('RESUMEN VIGILANCIA'!AO64),"",'RESUMEN VIGILANCIA'!AO64)</f>
        <v>136250</v>
      </c>
      <c r="AQ52" s="400">
        <f>IF(ISBLANK('RESUMEN VIGILANCIA'!AP64),"",'RESUMEN VIGILANCIA'!AP64)</f>
        <v>136250</v>
      </c>
      <c r="AR52" s="400" t="str">
        <f>IF(ISBLANK('RESUMEN VIGILANCIA'!AQ64),"",'RESUMEN VIGILANCIA'!AQ64)</f>
        <v/>
      </c>
      <c r="AS52" s="400" t="str">
        <f>IF(ISBLANK('RESUMEN VIGILANCIA'!AR64),"",'RESUMEN VIGILANCIA'!AR64)</f>
        <v/>
      </c>
      <c r="AT52" s="400" t="str">
        <f>IF(ISBLANK('RESUMEN VIGILANCIA'!AS64),"",'RESUMEN VIGILANCIA'!AS64)</f>
        <v/>
      </c>
      <c r="AU52" s="400" t="str">
        <f>IF(ISBLANK('RESUMEN VIGILANCIA'!AT64),"",'RESUMEN VIGILANCIA'!AT64)</f>
        <v/>
      </c>
      <c r="AV52" s="400" t="str">
        <f>IF(ISBLANK('RESUMEN VIGILANCIA'!AU64),"",'RESUMEN VIGILANCIA'!AU64)</f>
        <v/>
      </c>
      <c r="AW52" s="400" t="str">
        <f>IF(ISBLANK('RESUMEN VIGILANCIA'!AV64),"",'RESUMEN VIGILANCIA'!AV64)</f>
        <v/>
      </c>
      <c r="AX52" s="400" t="str">
        <f>IF(ISBLANK('RESUMEN VIGILANCIA'!AW64),"",'RESUMEN VIGILANCIA'!AW64)</f>
        <v/>
      </c>
      <c r="AY52" s="400" t="str">
        <f>IF(ISBLANK('RESUMEN VIGILANCIA'!AX64),"",'RESUMEN VIGILANCIA'!AX64)</f>
        <v/>
      </c>
      <c r="AZ52" s="400" t="str">
        <f>IF(ISBLANK('RESUMEN VIGILANCIA'!AY64),"",'RESUMEN VIGILANCIA'!AY64)</f>
        <v/>
      </c>
      <c r="BA52" s="401" t="str">
        <f>IF(ISBLANK('RESUMEN VIGILANCIA'!AZ64),"",'RESUMEN VIGILANCIA'!AZ64)</f>
        <v/>
      </c>
      <c r="BB52" s="243">
        <f t="shared" si="1"/>
        <v>281300.5</v>
      </c>
      <c r="BC52" s="112"/>
      <c r="BD52" s="112"/>
    </row>
    <row r="53" spans="1:56" s="29" customFormat="1" ht="20.100000000000001" customHeight="1">
      <c r="A53" s="30" t="str">
        <f>'RESUMEN VIGILANCIA'!A73</f>
        <v>Familia Ledezma Hernández</v>
      </c>
      <c r="B53" s="31" t="str">
        <f>'RESUMEN VIGILANCIA'!B73</f>
        <v>Calle Guacara Nro. 145-30</v>
      </c>
      <c r="C53" s="452" t="s">
        <v>1250</v>
      </c>
      <c r="D53" s="460" t="s">
        <v>1248</v>
      </c>
      <c r="E53" s="440" t="str">
        <f>IF(ISBLANK('RESUMEN VIGILANCIA'!D73),"",'RESUMEN VIGILANCIA'!D73)</f>
        <v/>
      </c>
      <c r="F53" s="270" t="str">
        <f>IF(ISBLANK('RESUMEN VIGILANCIA'!E73),"",'RESUMEN VIGILANCIA'!E73)</f>
        <v/>
      </c>
      <c r="G53" s="182" t="str">
        <f>IF(ISBLANK('RESUMEN VIGILANCIA'!F73),"",'RESUMEN VIGILANCIA'!F73)</f>
        <v/>
      </c>
      <c r="H53" s="182" t="str">
        <f>IF(ISBLANK('RESUMEN VIGILANCIA'!G73),"",'RESUMEN VIGILANCIA'!G73)</f>
        <v/>
      </c>
      <c r="I53" s="182" t="str">
        <f>IF(ISBLANK('RESUMEN VIGILANCIA'!H73),"",'RESUMEN VIGILANCIA'!H73)</f>
        <v/>
      </c>
      <c r="J53" s="182" t="str">
        <f>IF(ISBLANK('RESUMEN VIGILANCIA'!I73),"",'RESUMEN VIGILANCIA'!I73)</f>
        <v/>
      </c>
      <c r="K53" s="182" t="str">
        <f>IF(ISBLANK('RESUMEN VIGILANCIA'!J73),"",'RESUMEN VIGILANCIA'!J73)</f>
        <v/>
      </c>
      <c r="L53" s="182" t="str">
        <f>IF(ISBLANK('RESUMEN VIGILANCIA'!K73),"",'RESUMEN VIGILANCIA'!K73)</f>
        <v/>
      </c>
      <c r="M53" s="182" t="str">
        <f>IF(ISBLANK('RESUMEN VIGILANCIA'!L73),"",'RESUMEN VIGILANCIA'!L73)</f>
        <v/>
      </c>
      <c r="N53" s="182" t="str">
        <f>IF(ISBLANK('RESUMEN VIGILANCIA'!M73),"",'RESUMEN VIGILANCIA'!M73)</f>
        <v/>
      </c>
      <c r="O53" s="182" t="str">
        <f>IF(ISBLANK('RESUMEN VIGILANCIA'!N73),"",'RESUMEN VIGILANCIA'!N73)</f>
        <v/>
      </c>
      <c r="P53" s="271" t="str">
        <f>IF(ISBLANK('RESUMEN VIGILANCIA'!O73),"",'RESUMEN VIGILANCIA'!O73)</f>
        <v/>
      </c>
      <c r="Q53" s="180" t="str">
        <f>IF(ISBLANK('RESUMEN VIGILANCIA'!P73),"",'RESUMEN VIGILANCIA'!P73)</f>
        <v/>
      </c>
      <c r="R53" s="272" t="str">
        <f>IF(ISBLANK('RESUMEN VIGILANCIA'!Q73),"",'RESUMEN VIGILANCIA'!Q73)</f>
        <v/>
      </c>
      <c r="S53" s="271" t="str">
        <f>IF(ISBLANK('RESUMEN VIGILANCIA'!R73),"",'RESUMEN VIGILANCIA'!R73)</f>
        <v/>
      </c>
      <c r="T53" s="271" t="str">
        <f>IF(ISBLANK('RESUMEN VIGILANCIA'!S73),"",'RESUMEN VIGILANCIA'!S73)</f>
        <v/>
      </c>
      <c r="U53" s="271" t="str">
        <f>IF(ISBLANK('RESUMEN VIGILANCIA'!T73),"",'RESUMEN VIGILANCIA'!T73)</f>
        <v/>
      </c>
      <c r="V53" s="271" t="str">
        <f>IF(ISBLANK('RESUMEN VIGILANCIA'!U73),"",'RESUMEN VIGILANCIA'!U73)</f>
        <v/>
      </c>
      <c r="W53" s="271" t="str">
        <f>IF(ISBLANK('RESUMEN VIGILANCIA'!V73),"",'RESUMEN VIGILANCIA'!V73)</f>
        <v/>
      </c>
      <c r="X53" s="271" t="str">
        <f>IF(ISBLANK('RESUMEN VIGILANCIA'!W73),"",'RESUMEN VIGILANCIA'!W73)</f>
        <v/>
      </c>
      <c r="Y53" s="271" t="str">
        <f>IF(ISBLANK('RESUMEN VIGILANCIA'!X73),"",'RESUMEN VIGILANCIA'!X73)</f>
        <v/>
      </c>
      <c r="Z53" s="481" t="str">
        <f>IF(ISBLANK('RESUMEN VIGILANCIA'!Y73),"",'RESUMEN VIGILANCIA'!Y73)</f>
        <v/>
      </c>
      <c r="AA53" s="481" t="str">
        <f>IF(ISBLANK('RESUMEN VIGILANCIA'!Z73),"",'RESUMEN VIGILANCIA'!Z73)</f>
        <v/>
      </c>
      <c r="AB53" s="481" t="str">
        <f>IF(ISBLANK('RESUMEN VIGILANCIA'!AA73),"",'RESUMEN VIGILANCIA'!AA73)</f>
        <v/>
      </c>
      <c r="AC53" s="482" t="str">
        <f>IF(ISBLANK('RESUMEN VIGILANCIA'!AB73),"",'RESUMEN VIGILANCIA'!AB73)</f>
        <v/>
      </c>
      <c r="AD53" s="399" t="str">
        <f>IF(ISBLANK('RESUMEN VIGILANCIA'!AC73),"",'RESUMEN VIGILANCIA'!AC73)</f>
        <v/>
      </c>
      <c r="AE53" s="400" t="str">
        <f>IF(ISBLANK('RESUMEN VIGILANCIA'!AD73),"",'RESUMEN VIGILANCIA'!AD73)</f>
        <v/>
      </c>
      <c r="AF53" s="400" t="str">
        <f>IF(ISBLANK('RESUMEN VIGILANCIA'!AE73),"",'RESUMEN VIGILANCIA'!AE73)</f>
        <v/>
      </c>
      <c r="AG53" s="400" t="str">
        <f>IF(ISBLANK('RESUMEN VIGILANCIA'!AF73),"",'RESUMEN VIGILANCIA'!AF73)</f>
        <v/>
      </c>
      <c r="AH53" s="400" t="str">
        <f>IF(ISBLANK('RESUMEN VIGILANCIA'!AG73),"",'RESUMEN VIGILANCIA'!AG73)</f>
        <v/>
      </c>
      <c r="AI53" s="400" t="str">
        <f>IF(ISBLANK('RESUMEN VIGILANCIA'!AH73),"",'RESUMEN VIGILANCIA'!AH73)</f>
        <v/>
      </c>
      <c r="AJ53" s="400" t="str">
        <f>IF(ISBLANK('RESUMEN VIGILANCIA'!AI73),"",'RESUMEN VIGILANCIA'!AI73)</f>
        <v/>
      </c>
      <c r="AK53" s="400" t="str">
        <f>IF(ISBLANK('RESUMEN VIGILANCIA'!AJ73),"",'RESUMEN VIGILANCIA'!AJ73)</f>
        <v/>
      </c>
      <c r="AL53" s="400" t="str">
        <f>IF(ISBLANK('RESUMEN VIGILANCIA'!AK73),"",'RESUMEN VIGILANCIA'!AK73)</f>
        <v/>
      </c>
      <c r="AM53" s="400" t="str">
        <f>IF(ISBLANK('RESUMEN VIGILANCIA'!AL73),"",'RESUMEN VIGILANCIA'!AL73)</f>
        <v/>
      </c>
      <c r="AN53" s="400" t="str">
        <f>IF(ISBLANK('RESUMEN VIGILANCIA'!AM73),"",'RESUMEN VIGILANCIA'!AM73)</f>
        <v/>
      </c>
      <c r="AO53" s="401" t="str">
        <f>IF(ISBLANK('RESUMEN VIGILANCIA'!AN73),"",'RESUMEN VIGILANCIA'!AN73)</f>
        <v/>
      </c>
      <c r="AP53" s="399" t="str">
        <f>IF(ISBLANK('RESUMEN VIGILANCIA'!AO73),"",'RESUMEN VIGILANCIA'!AO73)</f>
        <v/>
      </c>
      <c r="AQ53" s="400" t="str">
        <f>IF(ISBLANK('RESUMEN VIGILANCIA'!AP73),"",'RESUMEN VIGILANCIA'!AP73)</f>
        <v/>
      </c>
      <c r="AR53" s="400" t="str">
        <f>IF(ISBLANK('RESUMEN VIGILANCIA'!AQ73),"",'RESUMEN VIGILANCIA'!AQ73)</f>
        <v/>
      </c>
      <c r="AS53" s="400" t="str">
        <f>IF(ISBLANK('RESUMEN VIGILANCIA'!AR73),"",'RESUMEN VIGILANCIA'!AR73)</f>
        <v/>
      </c>
      <c r="AT53" s="400" t="str">
        <f>IF(ISBLANK('RESUMEN VIGILANCIA'!AS73),"",'RESUMEN VIGILANCIA'!AS73)</f>
        <v/>
      </c>
      <c r="AU53" s="400" t="str">
        <f>IF(ISBLANK('RESUMEN VIGILANCIA'!AT73),"",'RESUMEN VIGILANCIA'!AT73)</f>
        <v/>
      </c>
      <c r="AV53" s="400" t="str">
        <f>IF(ISBLANK('RESUMEN VIGILANCIA'!AU73),"",'RESUMEN VIGILANCIA'!AU73)</f>
        <v/>
      </c>
      <c r="AW53" s="400" t="str">
        <f>IF(ISBLANK('RESUMEN VIGILANCIA'!AV73),"",'RESUMEN VIGILANCIA'!AV73)</f>
        <v/>
      </c>
      <c r="AX53" s="400" t="str">
        <f>IF(ISBLANK('RESUMEN VIGILANCIA'!AW73),"",'RESUMEN VIGILANCIA'!AW73)</f>
        <v/>
      </c>
      <c r="AY53" s="400" t="str">
        <f>IF(ISBLANK('RESUMEN VIGILANCIA'!AX73),"",'RESUMEN VIGILANCIA'!AX73)</f>
        <v/>
      </c>
      <c r="AZ53" s="400" t="str">
        <f>IF(ISBLANK('RESUMEN VIGILANCIA'!AY73),"",'RESUMEN VIGILANCIA'!AY73)</f>
        <v/>
      </c>
      <c r="BA53" s="401" t="str">
        <f>IF(ISBLANK('RESUMEN VIGILANCIA'!AZ73),"",'RESUMEN VIGILANCIA'!AZ73)</f>
        <v/>
      </c>
      <c r="BB53" s="243">
        <f t="shared" si="1"/>
        <v>0</v>
      </c>
      <c r="BC53" s="112"/>
      <c r="BD53" s="112"/>
    </row>
    <row r="54" spans="1:56" s="29" customFormat="1" ht="20.100000000000001" customHeight="1">
      <c r="A54" s="30" t="str">
        <f>'RESUMEN VIGILANCIA'!A63</f>
        <v>Familia Aparicio. Anexo</v>
      </c>
      <c r="B54" s="31" t="str">
        <f>'RESUMEN VIGILANCIA'!B63</f>
        <v>Calle Guacara Nro. 89-129</v>
      </c>
      <c r="C54" s="452" t="s">
        <v>1252</v>
      </c>
      <c r="D54" s="460" t="s">
        <v>1248</v>
      </c>
      <c r="E54" s="440" t="str">
        <f>IF(ISBLANK('RESUMEN VIGILANCIA'!D63),"",'RESUMEN VIGILANCIA'!D63)</f>
        <v/>
      </c>
      <c r="F54" s="270" t="str">
        <f>IF(ISBLANK('RESUMEN VIGILANCIA'!E63),"",'RESUMEN VIGILANCIA'!E63)</f>
        <v/>
      </c>
      <c r="G54" s="182" t="str">
        <f>IF(ISBLANK('RESUMEN VIGILANCIA'!F63),"",'RESUMEN VIGILANCIA'!F63)</f>
        <v/>
      </c>
      <c r="H54" s="182" t="str">
        <f>IF(ISBLANK('RESUMEN VIGILANCIA'!G63),"",'RESUMEN VIGILANCIA'!G63)</f>
        <v/>
      </c>
      <c r="I54" s="182" t="str">
        <f>IF(ISBLANK('RESUMEN VIGILANCIA'!H63),"",'RESUMEN VIGILANCIA'!H63)</f>
        <v/>
      </c>
      <c r="J54" s="182" t="str">
        <f>IF(ISBLANK('RESUMEN VIGILANCIA'!I63),"",'RESUMEN VIGILANCIA'!I63)</f>
        <v/>
      </c>
      <c r="K54" s="182" t="str">
        <f>IF(ISBLANK('RESUMEN VIGILANCIA'!J63),"",'RESUMEN VIGILANCIA'!J63)</f>
        <v/>
      </c>
      <c r="L54" s="182" t="str">
        <f>IF(ISBLANK('RESUMEN VIGILANCIA'!K63),"",'RESUMEN VIGILANCIA'!K63)</f>
        <v/>
      </c>
      <c r="M54" s="182" t="str">
        <f>IF(ISBLANK('RESUMEN VIGILANCIA'!L63),"",'RESUMEN VIGILANCIA'!L63)</f>
        <v/>
      </c>
      <c r="N54" s="182" t="str">
        <f>IF(ISBLANK('RESUMEN VIGILANCIA'!M63),"",'RESUMEN VIGILANCIA'!M63)</f>
        <v/>
      </c>
      <c r="O54" s="182" t="str">
        <f>IF(ISBLANK('RESUMEN VIGILANCIA'!N63),"",'RESUMEN VIGILANCIA'!N63)</f>
        <v/>
      </c>
      <c r="P54" s="271" t="str">
        <f>IF(ISBLANK('RESUMEN VIGILANCIA'!O63),"",'RESUMEN VIGILANCIA'!O63)</f>
        <v/>
      </c>
      <c r="Q54" s="180" t="str">
        <f>IF(ISBLANK('RESUMEN VIGILANCIA'!P63),"",'RESUMEN VIGILANCIA'!P63)</f>
        <v/>
      </c>
      <c r="R54" s="272" t="str">
        <f>IF(ISBLANK('RESUMEN VIGILANCIA'!Q63),"",'RESUMEN VIGILANCIA'!Q63)</f>
        <v/>
      </c>
      <c r="S54" s="271" t="str">
        <f>IF(ISBLANK('RESUMEN VIGILANCIA'!R63),"",'RESUMEN VIGILANCIA'!R63)</f>
        <v/>
      </c>
      <c r="T54" s="271" t="str">
        <f>IF(ISBLANK('RESUMEN VIGILANCIA'!S63),"",'RESUMEN VIGILANCIA'!S63)</f>
        <v/>
      </c>
      <c r="U54" s="271" t="str">
        <f>IF(ISBLANK('RESUMEN VIGILANCIA'!T63),"",'RESUMEN VIGILANCIA'!T63)</f>
        <v/>
      </c>
      <c r="V54" s="271" t="str">
        <f>IF(ISBLANK('RESUMEN VIGILANCIA'!U63),"",'RESUMEN VIGILANCIA'!U63)</f>
        <v/>
      </c>
      <c r="W54" s="271" t="str">
        <f>IF(ISBLANK('RESUMEN VIGILANCIA'!V63),"",'RESUMEN VIGILANCIA'!V63)</f>
        <v/>
      </c>
      <c r="X54" s="271" t="str">
        <f>IF(ISBLANK('RESUMEN VIGILANCIA'!W63),"",'RESUMEN VIGILANCIA'!W63)</f>
        <v/>
      </c>
      <c r="Y54" s="271" t="str">
        <f>IF(ISBLANK('RESUMEN VIGILANCIA'!X63),"",'RESUMEN VIGILANCIA'!X63)</f>
        <v/>
      </c>
      <c r="Z54" s="481" t="str">
        <f>IF(ISBLANK('RESUMEN VIGILANCIA'!Y63),"",'RESUMEN VIGILANCIA'!Y63)</f>
        <v/>
      </c>
      <c r="AA54" s="481" t="str">
        <f>IF(ISBLANK('RESUMEN VIGILANCIA'!Z63),"",'RESUMEN VIGILANCIA'!Z63)</f>
        <v/>
      </c>
      <c r="AB54" s="481" t="str">
        <f>IF(ISBLANK('RESUMEN VIGILANCIA'!AA63),"",'RESUMEN VIGILANCIA'!AA63)</f>
        <v/>
      </c>
      <c r="AC54" s="482" t="str">
        <f>IF(ISBLANK('RESUMEN VIGILANCIA'!AB63),"",'RESUMEN VIGILANCIA'!AB63)</f>
        <v/>
      </c>
      <c r="AD54" s="399" t="str">
        <f>IF(ISBLANK('RESUMEN VIGILANCIA'!AC63),"",'RESUMEN VIGILANCIA'!AC63)</f>
        <v/>
      </c>
      <c r="AE54" s="400" t="str">
        <f>IF(ISBLANK('RESUMEN VIGILANCIA'!AD63),"",'RESUMEN VIGILANCIA'!AD63)</f>
        <v/>
      </c>
      <c r="AF54" s="400" t="str">
        <f>IF(ISBLANK('RESUMEN VIGILANCIA'!AE63),"",'RESUMEN VIGILANCIA'!AE63)</f>
        <v/>
      </c>
      <c r="AG54" s="400" t="str">
        <f>IF(ISBLANK('RESUMEN VIGILANCIA'!AF63),"",'RESUMEN VIGILANCIA'!AF63)</f>
        <v/>
      </c>
      <c r="AH54" s="400" t="str">
        <f>IF(ISBLANK('RESUMEN VIGILANCIA'!AG63),"",'RESUMEN VIGILANCIA'!AG63)</f>
        <v/>
      </c>
      <c r="AI54" s="400" t="str">
        <f>IF(ISBLANK('RESUMEN VIGILANCIA'!AH63),"",'RESUMEN VIGILANCIA'!AH63)</f>
        <v/>
      </c>
      <c r="AJ54" s="400" t="str">
        <f>IF(ISBLANK('RESUMEN VIGILANCIA'!AI63),"",'RESUMEN VIGILANCIA'!AI63)</f>
        <v/>
      </c>
      <c r="AK54" s="400" t="str">
        <f>IF(ISBLANK('RESUMEN VIGILANCIA'!AJ63),"",'RESUMEN VIGILANCIA'!AJ63)</f>
        <v/>
      </c>
      <c r="AL54" s="400" t="str">
        <f>IF(ISBLANK('RESUMEN VIGILANCIA'!AK63),"",'RESUMEN VIGILANCIA'!AK63)</f>
        <v/>
      </c>
      <c r="AM54" s="400" t="str">
        <f>IF(ISBLANK('RESUMEN VIGILANCIA'!AL63),"",'RESUMEN VIGILANCIA'!AL63)</f>
        <v/>
      </c>
      <c r="AN54" s="400" t="str">
        <f>IF(ISBLANK('RESUMEN VIGILANCIA'!AM63),"",'RESUMEN VIGILANCIA'!AM63)</f>
        <v/>
      </c>
      <c r="AO54" s="401" t="str">
        <f>IF(ISBLANK('RESUMEN VIGILANCIA'!AN63),"",'RESUMEN VIGILANCIA'!AN63)</f>
        <v/>
      </c>
      <c r="AP54" s="399" t="str">
        <f>IF(ISBLANK('RESUMEN VIGILANCIA'!AO63),"",'RESUMEN VIGILANCIA'!AO63)</f>
        <v/>
      </c>
      <c r="AQ54" s="400" t="str">
        <f>IF(ISBLANK('RESUMEN VIGILANCIA'!AP63),"",'RESUMEN VIGILANCIA'!AP63)</f>
        <v/>
      </c>
      <c r="AR54" s="400" t="str">
        <f>IF(ISBLANK('RESUMEN VIGILANCIA'!AQ63),"",'RESUMEN VIGILANCIA'!AQ63)</f>
        <v/>
      </c>
      <c r="AS54" s="400" t="str">
        <f>IF(ISBLANK('RESUMEN VIGILANCIA'!AR63),"",'RESUMEN VIGILANCIA'!AR63)</f>
        <v/>
      </c>
      <c r="AT54" s="400" t="str">
        <f>IF(ISBLANK('RESUMEN VIGILANCIA'!AS63),"",'RESUMEN VIGILANCIA'!AS63)</f>
        <v/>
      </c>
      <c r="AU54" s="400" t="str">
        <f>IF(ISBLANK('RESUMEN VIGILANCIA'!AT63),"",'RESUMEN VIGILANCIA'!AT63)</f>
        <v/>
      </c>
      <c r="AV54" s="400" t="str">
        <f>IF(ISBLANK('RESUMEN VIGILANCIA'!AU63),"",'RESUMEN VIGILANCIA'!AU63)</f>
        <v/>
      </c>
      <c r="AW54" s="400" t="str">
        <f>IF(ISBLANK('RESUMEN VIGILANCIA'!AV63),"",'RESUMEN VIGILANCIA'!AV63)</f>
        <v/>
      </c>
      <c r="AX54" s="400" t="str">
        <f>IF(ISBLANK('RESUMEN VIGILANCIA'!AW63),"",'RESUMEN VIGILANCIA'!AW63)</f>
        <v/>
      </c>
      <c r="AY54" s="400" t="str">
        <f>IF(ISBLANK('RESUMEN VIGILANCIA'!AX63),"",'RESUMEN VIGILANCIA'!AX63)</f>
        <v/>
      </c>
      <c r="AZ54" s="400" t="str">
        <f>IF(ISBLANK('RESUMEN VIGILANCIA'!AY63),"",'RESUMEN VIGILANCIA'!AY63)</f>
        <v/>
      </c>
      <c r="BA54" s="401" t="str">
        <f>IF(ISBLANK('RESUMEN VIGILANCIA'!AZ63),"",'RESUMEN VIGILANCIA'!AZ63)</f>
        <v/>
      </c>
      <c r="BB54" s="243">
        <f t="shared" si="1"/>
        <v>0</v>
      </c>
      <c r="BC54" s="112"/>
      <c r="BD54" s="112"/>
    </row>
    <row r="55" spans="1:56" s="29" customFormat="1" ht="20.100000000000001" customHeight="1">
      <c r="A55" s="30" t="str">
        <f>'RESUMEN VIGILANCIA'!A19</f>
        <v>Familia Aponte . Anexo</v>
      </c>
      <c r="B55" s="31" t="str">
        <f>'RESUMEN VIGILANCIA'!B19</f>
        <v>Calle Guacara Nro. 87-05</v>
      </c>
      <c r="C55" s="452" t="s">
        <v>1252</v>
      </c>
      <c r="D55" s="460" t="s">
        <v>1248</v>
      </c>
      <c r="E55" s="440" t="str">
        <f>IF(ISBLANK('RESUMEN VIGILANCIA'!D19),"",'RESUMEN VIGILANCIA'!D19)</f>
        <v/>
      </c>
      <c r="F55" s="270" t="str">
        <f>IF(ISBLANK('RESUMEN VIGILANCIA'!E19),"",'RESUMEN VIGILANCIA'!E19)</f>
        <v/>
      </c>
      <c r="G55" s="182" t="str">
        <f>IF(ISBLANK('RESUMEN VIGILANCIA'!F19),"",'RESUMEN VIGILANCIA'!F19)</f>
        <v/>
      </c>
      <c r="H55" s="182" t="str">
        <f>IF(ISBLANK('RESUMEN VIGILANCIA'!G19),"",'RESUMEN VIGILANCIA'!G19)</f>
        <v/>
      </c>
      <c r="I55" s="182" t="str">
        <f>IF(ISBLANK('RESUMEN VIGILANCIA'!H19),"",'RESUMEN VIGILANCIA'!H19)</f>
        <v/>
      </c>
      <c r="J55" s="182" t="str">
        <f>IF(ISBLANK('RESUMEN VIGILANCIA'!I19),"",'RESUMEN VIGILANCIA'!I19)</f>
        <v/>
      </c>
      <c r="K55" s="182" t="str">
        <f>IF(ISBLANK('RESUMEN VIGILANCIA'!J19),"",'RESUMEN VIGILANCIA'!J19)</f>
        <v/>
      </c>
      <c r="L55" s="182" t="str">
        <f>IF(ISBLANK('RESUMEN VIGILANCIA'!K19),"",'RESUMEN VIGILANCIA'!K19)</f>
        <v/>
      </c>
      <c r="M55" s="182" t="str">
        <f>IF(ISBLANK('RESUMEN VIGILANCIA'!L19),"",'RESUMEN VIGILANCIA'!L19)</f>
        <v/>
      </c>
      <c r="N55" s="182" t="str">
        <f>IF(ISBLANK('RESUMEN VIGILANCIA'!M19),"",'RESUMEN VIGILANCIA'!M19)</f>
        <v/>
      </c>
      <c r="O55" s="182" t="str">
        <f>IF(ISBLANK('RESUMEN VIGILANCIA'!N19),"",'RESUMEN VIGILANCIA'!N19)</f>
        <v/>
      </c>
      <c r="P55" s="271" t="str">
        <f>IF(ISBLANK('RESUMEN VIGILANCIA'!O19),"",'RESUMEN VIGILANCIA'!O19)</f>
        <v/>
      </c>
      <c r="Q55" s="180" t="str">
        <f>IF(ISBLANK('RESUMEN VIGILANCIA'!P19),"",'RESUMEN VIGILANCIA'!P19)</f>
        <v/>
      </c>
      <c r="R55" s="272" t="str">
        <f>IF(ISBLANK('RESUMEN VIGILANCIA'!Q19),"",'RESUMEN VIGILANCIA'!Q19)</f>
        <v/>
      </c>
      <c r="S55" s="271" t="str">
        <f>IF(ISBLANK('RESUMEN VIGILANCIA'!R19),"",'RESUMEN VIGILANCIA'!R19)</f>
        <v/>
      </c>
      <c r="T55" s="271" t="str">
        <f>IF(ISBLANK('RESUMEN VIGILANCIA'!S19),"",'RESUMEN VIGILANCIA'!S19)</f>
        <v/>
      </c>
      <c r="U55" s="271" t="str">
        <f>IF(ISBLANK('RESUMEN VIGILANCIA'!T19),"",'RESUMEN VIGILANCIA'!T19)</f>
        <v/>
      </c>
      <c r="V55" s="271" t="str">
        <f>IF(ISBLANK('RESUMEN VIGILANCIA'!U19),"",'RESUMEN VIGILANCIA'!U19)</f>
        <v/>
      </c>
      <c r="W55" s="271" t="str">
        <f>IF(ISBLANK('RESUMEN VIGILANCIA'!V19),"",'RESUMEN VIGILANCIA'!V19)</f>
        <v/>
      </c>
      <c r="X55" s="271" t="str">
        <f>IF(ISBLANK('RESUMEN VIGILANCIA'!W19),"",'RESUMEN VIGILANCIA'!W19)</f>
        <v/>
      </c>
      <c r="Y55" s="271" t="str">
        <f>IF(ISBLANK('RESUMEN VIGILANCIA'!X19),"",'RESUMEN VIGILANCIA'!X19)</f>
        <v/>
      </c>
      <c r="Z55" s="481" t="str">
        <f>IF(ISBLANK('RESUMEN VIGILANCIA'!Y19),"",'RESUMEN VIGILANCIA'!Y19)</f>
        <v/>
      </c>
      <c r="AA55" s="481" t="str">
        <f>IF(ISBLANK('RESUMEN VIGILANCIA'!Z19),"",'RESUMEN VIGILANCIA'!Z19)</f>
        <v/>
      </c>
      <c r="AB55" s="481" t="str">
        <f>IF(ISBLANK('RESUMEN VIGILANCIA'!AA19),"",'RESUMEN VIGILANCIA'!AA19)</f>
        <v/>
      </c>
      <c r="AC55" s="482" t="str">
        <f>IF(ISBLANK('RESUMEN VIGILANCIA'!AB19),"",'RESUMEN VIGILANCIA'!AB19)</f>
        <v/>
      </c>
      <c r="AD55" s="399" t="str">
        <f>IF(ISBLANK('RESUMEN VIGILANCIA'!AC19),"",'RESUMEN VIGILANCIA'!AC19)</f>
        <v/>
      </c>
      <c r="AE55" s="400" t="str">
        <f>IF(ISBLANK('RESUMEN VIGILANCIA'!AD19),"",'RESUMEN VIGILANCIA'!AD19)</f>
        <v/>
      </c>
      <c r="AF55" s="400" t="str">
        <f>IF(ISBLANK('RESUMEN VIGILANCIA'!AE19),"",'RESUMEN VIGILANCIA'!AE19)</f>
        <v/>
      </c>
      <c r="AG55" s="400" t="str">
        <f>IF(ISBLANK('RESUMEN VIGILANCIA'!AF19),"",'RESUMEN VIGILANCIA'!AF19)</f>
        <v/>
      </c>
      <c r="AH55" s="400" t="str">
        <f>IF(ISBLANK('RESUMEN VIGILANCIA'!AG19),"",'RESUMEN VIGILANCIA'!AG19)</f>
        <v/>
      </c>
      <c r="AI55" s="400" t="str">
        <f>IF(ISBLANK('RESUMEN VIGILANCIA'!AH19),"",'RESUMEN VIGILANCIA'!AH19)</f>
        <v/>
      </c>
      <c r="AJ55" s="400" t="str">
        <f>IF(ISBLANK('RESUMEN VIGILANCIA'!AI19),"",'RESUMEN VIGILANCIA'!AI19)</f>
        <v/>
      </c>
      <c r="AK55" s="400" t="str">
        <f>IF(ISBLANK('RESUMEN VIGILANCIA'!AJ19),"",'RESUMEN VIGILANCIA'!AJ19)</f>
        <v/>
      </c>
      <c r="AL55" s="400" t="str">
        <f>IF(ISBLANK('RESUMEN VIGILANCIA'!AK19),"",'RESUMEN VIGILANCIA'!AK19)</f>
        <v/>
      </c>
      <c r="AM55" s="400" t="str">
        <f>IF(ISBLANK('RESUMEN VIGILANCIA'!AL19),"",'RESUMEN VIGILANCIA'!AL19)</f>
        <v/>
      </c>
      <c r="AN55" s="400" t="str">
        <f>IF(ISBLANK('RESUMEN VIGILANCIA'!AM19),"",'RESUMEN VIGILANCIA'!AM19)</f>
        <v/>
      </c>
      <c r="AO55" s="401" t="str">
        <f>IF(ISBLANK('RESUMEN VIGILANCIA'!AN19),"",'RESUMEN VIGILANCIA'!AN19)</f>
        <v/>
      </c>
      <c r="AP55" s="399" t="str">
        <f>IF(ISBLANK('RESUMEN VIGILANCIA'!AO19),"",'RESUMEN VIGILANCIA'!AO19)</f>
        <v/>
      </c>
      <c r="AQ55" s="400" t="str">
        <f>IF(ISBLANK('RESUMEN VIGILANCIA'!AP19),"",'RESUMEN VIGILANCIA'!AP19)</f>
        <v/>
      </c>
      <c r="AR55" s="400" t="str">
        <f>IF(ISBLANK('RESUMEN VIGILANCIA'!AQ19),"",'RESUMEN VIGILANCIA'!AQ19)</f>
        <v/>
      </c>
      <c r="AS55" s="400" t="str">
        <f>IF(ISBLANK('RESUMEN VIGILANCIA'!AR19),"",'RESUMEN VIGILANCIA'!AR19)</f>
        <v/>
      </c>
      <c r="AT55" s="400" t="str">
        <f>IF(ISBLANK('RESUMEN VIGILANCIA'!AS19),"",'RESUMEN VIGILANCIA'!AS19)</f>
        <v/>
      </c>
      <c r="AU55" s="400" t="str">
        <f>IF(ISBLANK('RESUMEN VIGILANCIA'!AT19),"",'RESUMEN VIGILANCIA'!AT19)</f>
        <v/>
      </c>
      <c r="AV55" s="400" t="str">
        <f>IF(ISBLANK('RESUMEN VIGILANCIA'!AU19),"",'RESUMEN VIGILANCIA'!AU19)</f>
        <v/>
      </c>
      <c r="AW55" s="400" t="str">
        <f>IF(ISBLANK('RESUMEN VIGILANCIA'!AV19),"",'RESUMEN VIGILANCIA'!AV19)</f>
        <v/>
      </c>
      <c r="AX55" s="400" t="str">
        <f>IF(ISBLANK('RESUMEN VIGILANCIA'!AW19),"",'RESUMEN VIGILANCIA'!AW19)</f>
        <v/>
      </c>
      <c r="AY55" s="400" t="str">
        <f>IF(ISBLANK('RESUMEN VIGILANCIA'!AX19),"",'RESUMEN VIGILANCIA'!AX19)</f>
        <v/>
      </c>
      <c r="AZ55" s="400" t="str">
        <f>IF(ISBLANK('RESUMEN VIGILANCIA'!AY19),"",'RESUMEN VIGILANCIA'!AY19)</f>
        <v/>
      </c>
      <c r="BA55" s="401" t="str">
        <f>IF(ISBLANK('RESUMEN VIGILANCIA'!AZ19),"",'RESUMEN VIGILANCIA'!AZ19)</f>
        <v/>
      </c>
      <c r="BB55" s="243">
        <f t="shared" si="1"/>
        <v>0</v>
      </c>
      <c r="BC55" s="112"/>
      <c r="BD55" s="112"/>
    </row>
    <row r="56" spans="1:56" s="29" customFormat="1" ht="20.100000000000001" customHeight="1">
      <c r="A56" s="59" t="str">
        <f>'RESUMEN VIGILANCIA'!A51</f>
        <v>Familia Zampini Scaccia</v>
      </c>
      <c r="B56" s="60" t="str">
        <f>'RESUMEN VIGILANCIA'!B51</f>
        <v>Calle Guacara Nro. 88-A-10</v>
      </c>
      <c r="C56" s="452" t="s">
        <v>1249</v>
      </c>
      <c r="D56" s="460" t="s">
        <v>1248</v>
      </c>
      <c r="E56" s="440" t="str">
        <f>IF(ISBLANK('RESUMEN VIGILANCIA'!D51),"",'RESUMEN VIGILANCIA'!D51)</f>
        <v/>
      </c>
      <c r="F56" s="270" t="str">
        <f>IF(ISBLANK('RESUMEN VIGILANCIA'!E51),"",'RESUMEN VIGILANCIA'!E51)</f>
        <v/>
      </c>
      <c r="G56" s="182" t="str">
        <f>IF(ISBLANK('RESUMEN VIGILANCIA'!F51),"",'RESUMEN VIGILANCIA'!F51)</f>
        <v/>
      </c>
      <c r="H56" s="182" t="str">
        <f>IF(ISBLANK('RESUMEN VIGILANCIA'!G51),"",'RESUMEN VIGILANCIA'!G51)</f>
        <v/>
      </c>
      <c r="I56" s="182" t="str">
        <f>IF(ISBLANK('RESUMEN VIGILANCIA'!H51),"",'RESUMEN VIGILANCIA'!H51)</f>
        <v/>
      </c>
      <c r="J56" s="182" t="str">
        <f>IF(ISBLANK('RESUMEN VIGILANCIA'!I51),"",'RESUMEN VIGILANCIA'!I51)</f>
        <v/>
      </c>
      <c r="K56" s="182" t="str">
        <f>IF(ISBLANK('RESUMEN VIGILANCIA'!J51),"",'RESUMEN VIGILANCIA'!J51)</f>
        <v/>
      </c>
      <c r="L56" s="182" t="str">
        <f>IF(ISBLANK('RESUMEN VIGILANCIA'!K51),"",'RESUMEN VIGILANCIA'!K51)</f>
        <v/>
      </c>
      <c r="M56" s="182" t="str">
        <f>IF(ISBLANK('RESUMEN VIGILANCIA'!L51),"",'RESUMEN VIGILANCIA'!L51)</f>
        <v/>
      </c>
      <c r="N56" s="182" t="str">
        <f>IF(ISBLANK('RESUMEN VIGILANCIA'!M51),"",'RESUMEN VIGILANCIA'!M51)</f>
        <v/>
      </c>
      <c r="O56" s="182" t="str">
        <f>IF(ISBLANK('RESUMEN VIGILANCIA'!N51),"",'RESUMEN VIGILANCIA'!N51)</f>
        <v/>
      </c>
      <c r="P56" s="271" t="str">
        <f>IF(ISBLANK('RESUMEN VIGILANCIA'!O51),"",'RESUMEN VIGILANCIA'!O51)</f>
        <v/>
      </c>
      <c r="Q56" s="180" t="str">
        <f>IF(ISBLANK('RESUMEN VIGILANCIA'!P51),"",'RESUMEN VIGILANCIA'!P51)</f>
        <v/>
      </c>
      <c r="R56" s="272" t="str">
        <f>IF(ISBLANK('RESUMEN VIGILANCIA'!Q51),"",'RESUMEN VIGILANCIA'!Q51)</f>
        <v/>
      </c>
      <c r="S56" s="271" t="str">
        <f>IF(ISBLANK('RESUMEN VIGILANCIA'!R51),"",'RESUMEN VIGILANCIA'!R51)</f>
        <v/>
      </c>
      <c r="T56" s="271" t="str">
        <f>IF(ISBLANK('RESUMEN VIGILANCIA'!S51),"",'RESUMEN VIGILANCIA'!S51)</f>
        <v/>
      </c>
      <c r="U56" s="271" t="str">
        <f>IF(ISBLANK('RESUMEN VIGILANCIA'!T51),"",'RESUMEN VIGILANCIA'!T51)</f>
        <v/>
      </c>
      <c r="V56" s="271" t="str">
        <f>IF(ISBLANK('RESUMEN VIGILANCIA'!U51),"",'RESUMEN VIGILANCIA'!U51)</f>
        <v/>
      </c>
      <c r="W56" s="271" t="str">
        <f>IF(ISBLANK('RESUMEN VIGILANCIA'!V51),"",'RESUMEN VIGILANCIA'!V51)</f>
        <v/>
      </c>
      <c r="X56" s="275" t="str">
        <f>IF(ISBLANK('RESUMEN VIGILANCIA'!W51),"",'RESUMEN VIGILANCIA'!W51)</f>
        <v>VENDIDA</v>
      </c>
      <c r="Y56" s="282" t="str">
        <f>IF(ISBLANK('RESUMEN VIGILANCIA'!X51),"",'RESUMEN VIGILANCIA'!X51)</f>
        <v/>
      </c>
      <c r="Z56" s="490" t="str">
        <f>IF(ISBLANK('RESUMEN VIGILANCIA'!Y51),"",'RESUMEN VIGILANCIA'!Y51)</f>
        <v/>
      </c>
      <c r="AA56" s="490" t="str">
        <f>IF(ISBLANK('RESUMEN VIGILANCIA'!Z51),"",'RESUMEN VIGILANCIA'!Z51)</f>
        <v/>
      </c>
      <c r="AB56" s="490" t="str">
        <f>IF(ISBLANK('RESUMEN VIGILANCIA'!AA51),"",'RESUMEN VIGILANCIA'!AA51)</f>
        <v/>
      </c>
      <c r="AC56" s="491" t="str">
        <f>IF(ISBLANK('RESUMEN VIGILANCIA'!AB51),"",'RESUMEN VIGILANCIA'!AB51)</f>
        <v/>
      </c>
      <c r="AD56" s="413" t="str">
        <f>IF(ISBLANK('RESUMEN VIGILANCIA'!AC51),"",'RESUMEN VIGILANCIA'!AC51)</f>
        <v/>
      </c>
      <c r="AE56" s="403" t="str">
        <f>IF(ISBLANK('RESUMEN VIGILANCIA'!AD51),"",'RESUMEN VIGILANCIA'!AD51)</f>
        <v/>
      </c>
      <c r="AF56" s="403" t="str">
        <f>IF(ISBLANK('RESUMEN VIGILANCIA'!AE51),"",'RESUMEN VIGILANCIA'!AE51)</f>
        <v/>
      </c>
      <c r="AG56" s="403" t="str">
        <f>IF(ISBLANK('RESUMEN VIGILANCIA'!AF51),"",'RESUMEN VIGILANCIA'!AF51)</f>
        <v/>
      </c>
      <c r="AH56" s="403" t="str">
        <f>IF(ISBLANK('RESUMEN VIGILANCIA'!AG51),"",'RESUMEN VIGILANCIA'!AG51)</f>
        <v/>
      </c>
      <c r="AI56" s="403" t="str">
        <f>IF(ISBLANK('RESUMEN VIGILANCIA'!AH51),"",'RESUMEN VIGILANCIA'!AH51)</f>
        <v/>
      </c>
      <c r="AJ56" s="403" t="str">
        <f>IF(ISBLANK('RESUMEN VIGILANCIA'!AI51),"",'RESUMEN VIGILANCIA'!AI51)</f>
        <v/>
      </c>
      <c r="AK56" s="403" t="str">
        <f>IF(ISBLANK('RESUMEN VIGILANCIA'!AJ51),"",'RESUMEN VIGILANCIA'!AJ51)</f>
        <v/>
      </c>
      <c r="AL56" s="403" t="str">
        <f>IF(ISBLANK('RESUMEN VIGILANCIA'!AK51),"",'RESUMEN VIGILANCIA'!AK51)</f>
        <v/>
      </c>
      <c r="AM56" s="403" t="str">
        <f>IF(ISBLANK('RESUMEN VIGILANCIA'!AL51),"",'RESUMEN VIGILANCIA'!AL51)</f>
        <v/>
      </c>
      <c r="AN56" s="403" t="str">
        <f>IF(ISBLANK('RESUMEN VIGILANCIA'!AM51),"",'RESUMEN VIGILANCIA'!AM51)</f>
        <v/>
      </c>
      <c r="AO56" s="414" t="str">
        <f>IF(ISBLANK('RESUMEN VIGILANCIA'!AN51),"",'RESUMEN VIGILANCIA'!AN51)</f>
        <v/>
      </c>
      <c r="AP56" s="413" t="str">
        <f>IF(ISBLANK('RESUMEN VIGILANCIA'!AO51),"",'RESUMEN VIGILANCIA'!AO51)</f>
        <v/>
      </c>
      <c r="AQ56" s="403" t="str">
        <f>IF(ISBLANK('RESUMEN VIGILANCIA'!AP51),"",'RESUMEN VIGILANCIA'!AP51)</f>
        <v/>
      </c>
      <c r="AR56" s="403" t="str">
        <f>IF(ISBLANK('RESUMEN VIGILANCIA'!AQ51),"",'RESUMEN VIGILANCIA'!AQ51)</f>
        <v/>
      </c>
      <c r="AS56" s="403" t="str">
        <f>IF(ISBLANK('RESUMEN VIGILANCIA'!AR51),"",'RESUMEN VIGILANCIA'!AR51)</f>
        <v/>
      </c>
      <c r="AT56" s="403" t="str">
        <f>IF(ISBLANK('RESUMEN VIGILANCIA'!AS51),"",'RESUMEN VIGILANCIA'!AS51)</f>
        <v/>
      </c>
      <c r="AU56" s="403" t="str">
        <f>IF(ISBLANK('RESUMEN VIGILANCIA'!AT51),"",'RESUMEN VIGILANCIA'!AT51)</f>
        <v/>
      </c>
      <c r="AV56" s="403" t="str">
        <f>IF(ISBLANK('RESUMEN VIGILANCIA'!AU51),"",'RESUMEN VIGILANCIA'!AU51)</f>
        <v/>
      </c>
      <c r="AW56" s="403" t="str">
        <f>IF(ISBLANK('RESUMEN VIGILANCIA'!AV51),"",'RESUMEN VIGILANCIA'!AV51)</f>
        <v/>
      </c>
      <c r="AX56" s="403" t="str">
        <f>IF(ISBLANK('RESUMEN VIGILANCIA'!AW51),"",'RESUMEN VIGILANCIA'!AW51)</f>
        <v/>
      </c>
      <c r="AY56" s="403" t="str">
        <f>IF(ISBLANK('RESUMEN VIGILANCIA'!AX51),"",'RESUMEN VIGILANCIA'!AX51)</f>
        <v/>
      </c>
      <c r="AZ56" s="403" t="str">
        <f>IF(ISBLANK('RESUMEN VIGILANCIA'!AY51),"",'RESUMEN VIGILANCIA'!AY51)</f>
        <v/>
      </c>
      <c r="BA56" s="414" t="str">
        <f>IF(ISBLANK('RESUMEN VIGILANCIA'!AZ51),"",'RESUMEN VIGILANCIA'!AZ51)</f>
        <v/>
      </c>
      <c r="BB56" s="243">
        <f t="shared" si="1"/>
        <v>0</v>
      </c>
      <c r="BC56" s="112"/>
      <c r="BD56" s="112">
        <v>43252</v>
      </c>
    </row>
    <row r="57" spans="1:56" s="29" customFormat="1" ht="20.100000000000001" customHeight="1">
      <c r="A57" s="30" t="str">
        <f>'RESUMEN VIGILANCIA'!A52</f>
        <v>Familia Wu Acevedo</v>
      </c>
      <c r="B57" s="31" t="str">
        <f>'RESUMEN VIGILANCIA'!B52</f>
        <v>Calle Guacara Nro. 88-A-10</v>
      </c>
      <c r="C57" s="452" t="s">
        <v>1249</v>
      </c>
      <c r="D57" s="460" t="s">
        <v>17</v>
      </c>
      <c r="E57" s="442" t="str">
        <f>IF(ISBLANK('RESUMEN VIGILANCIA'!D52),"",'RESUMEN VIGILANCIA'!D52)</f>
        <v/>
      </c>
      <c r="F57" s="283" t="str">
        <f>IF(ISBLANK('RESUMEN VIGILANCIA'!E52),"",'RESUMEN VIGILANCIA'!E52)</f>
        <v/>
      </c>
      <c r="G57" s="210" t="str">
        <f>IF(ISBLANK('RESUMEN VIGILANCIA'!F52),"",'RESUMEN VIGILANCIA'!F52)</f>
        <v/>
      </c>
      <c r="H57" s="210" t="str">
        <f>IF(ISBLANK('RESUMEN VIGILANCIA'!G52),"",'RESUMEN VIGILANCIA'!G52)</f>
        <v/>
      </c>
      <c r="I57" s="217" t="str">
        <f>IF(ISBLANK('RESUMEN VIGILANCIA'!H52),"",'RESUMEN VIGILANCIA'!H52)</f>
        <v/>
      </c>
      <c r="J57" s="217" t="str">
        <f>IF(ISBLANK('RESUMEN VIGILANCIA'!I52),"",'RESUMEN VIGILANCIA'!I52)</f>
        <v/>
      </c>
      <c r="K57" s="217" t="str">
        <f>IF(ISBLANK('RESUMEN VIGILANCIA'!J52),"",'RESUMEN VIGILANCIA'!J52)</f>
        <v/>
      </c>
      <c r="L57" s="217" t="str">
        <f>IF(ISBLANK('RESUMEN VIGILANCIA'!K52),"",'RESUMEN VIGILANCIA'!K52)</f>
        <v/>
      </c>
      <c r="M57" s="217" t="str">
        <f>IF(ISBLANK('RESUMEN VIGILANCIA'!L52),"",'RESUMEN VIGILANCIA'!L52)</f>
        <v/>
      </c>
      <c r="N57" s="217" t="str">
        <f>IF(ISBLANK('RESUMEN VIGILANCIA'!M52),"",'RESUMEN VIGILANCIA'!M52)</f>
        <v/>
      </c>
      <c r="O57" s="217" t="str">
        <f>IF(ISBLANK('RESUMEN VIGILANCIA'!N52),"",'RESUMEN VIGILANCIA'!N52)</f>
        <v/>
      </c>
      <c r="P57" s="284" t="str">
        <f>IF(ISBLANK('RESUMEN VIGILANCIA'!O52),"",'RESUMEN VIGILANCIA'!O52)</f>
        <v/>
      </c>
      <c r="Q57" s="215" t="str">
        <f>IF(ISBLANK('RESUMEN VIGILANCIA'!P52),"",'RESUMEN VIGILANCIA'!P52)</f>
        <v/>
      </c>
      <c r="R57" s="285" t="str">
        <f>IF(ISBLANK('RESUMEN VIGILANCIA'!Q52),"",'RESUMEN VIGILANCIA'!Q52)</f>
        <v/>
      </c>
      <c r="S57" s="284" t="str">
        <f>IF(ISBLANK('RESUMEN VIGILANCIA'!R52),"",'RESUMEN VIGILANCIA'!R52)</f>
        <v/>
      </c>
      <c r="T57" s="284" t="str">
        <f>IF(ISBLANK('RESUMEN VIGILANCIA'!S52),"",'RESUMEN VIGILANCIA'!S52)</f>
        <v/>
      </c>
      <c r="U57" s="284" t="str">
        <f>IF(ISBLANK('RESUMEN VIGILANCIA'!T52),"",'RESUMEN VIGILANCIA'!T52)</f>
        <v/>
      </c>
      <c r="V57" s="284" t="str">
        <f>IF(ISBLANK('RESUMEN VIGILANCIA'!U52),"",'RESUMEN VIGILANCIA'!U52)</f>
        <v/>
      </c>
      <c r="W57" s="284" t="str">
        <f>IF(ISBLANK('RESUMEN VIGILANCIA'!V52),"",'RESUMEN VIGILANCIA'!V52)</f>
        <v/>
      </c>
      <c r="X57" s="271">
        <f>IF(ISBLANK('RESUMEN VIGILANCIA'!W52),"",'RESUMEN VIGILANCIA'!W52)</f>
        <v>10</v>
      </c>
      <c r="Y57" s="271">
        <f>IF(ISBLANK('RESUMEN VIGILANCIA'!X52),"",'RESUMEN VIGILANCIA'!X52)</f>
        <v>12</v>
      </c>
      <c r="Z57" s="481">
        <f>IF(ISBLANK('RESUMEN VIGILANCIA'!Y52),"",'RESUMEN VIGILANCIA'!Y52)</f>
        <v>320</v>
      </c>
      <c r="AA57" s="481">
        <f>IF(ISBLANK('RESUMEN VIGILANCIA'!Z52),"",'RESUMEN VIGILANCIA'!Z52)</f>
        <v>320</v>
      </c>
      <c r="AB57" s="481">
        <f>IF(ISBLANK('RESUMEN VIGILANCIA'!AA52),"",'RESUMEN VIGILANCIA'!AA52)</f>
        <v>320</v>
      </c>
      <c r="AC57" s="482">
        <f>IF(ISBLANK('RESUMEN VIGILANCIA'!AB52),"",'RESUMEN VIGILANCIA'!AB52)</f>
        <v>1000</v>
      </c>
      <c r="AD57" s="399">
        <f>IF(ISBLANK('RESUMEN VIGILANCIA'!AC52),"",'RESUMEN VIGILANCIA'!AC52)</f>
        <v>3000</v>
      </c>
      <c r="AE57" s="400">
        <f>IF(ISBLANK('RESUMEN VIGILANCIA'!AD52),"",'RESUMEN VIGILANCIA'!AD52)</f>
        <v>3000</v>
      </c>
      <c r="AF57" s="400">
        <f>IF(ISBLANK('RESUMEN VIGILANCIA'!AE52),"",'RESUMEN VIGILANCIA'!AE52)</f>
        <v>3000</v>
      </c>
      <c r="AG57" s="400">
        <f>IF(ISBLANK('RESUMEN VIGILANCIA'!AF52),"",'RESUMEN VIGILANCIA'!AF52)</f>
        <v>5000</v>
      </c>
      <c r="AH57" s="400">
        <f>IF(ISBLANK('RESUMEN VIGILANCIA'!AG52),"",'RESUMEN VIGILANCIA'!AG52)</f>
        <v>10000</v>
      </c>
      <c r="AI57" s="400">
        <f>IF(ISBLANK('RESUMEN VIGILANCIA'!AH52),"",'RESUMEN VIGILANCIA'!AH52)</f>
        <v>10000</v>
      </c>
      <c r="AJ57" s="400">
        <f>IF(ISBLANK('RESUMEN VIGILANCIA'!AI52),"",'RESUMEN VIGILANCIA'!AI52)</f>
        <v>10000</v>
      </c>
      <c r="AK57" s="400">
        <f>IF(ISBLANK('RESUMEN VIGILANCIA'!AJ52),"",'RESUMEN VIGILANCIA'!AJ52)</f>
        <v>10000</v>
      </c>
      <c r="AL57" s="400">
        <f>IF(ISBLANK('RESUMEN VIGILANCIA'!AK52),"",'RESUMEN VIGILANCIA'!AK52)</f>
        <v>21600</v>
      </c>
      <c r="AM57" s="400">
        <f>IF(ISBLANK('RESUMEN VIGILANCIA'!AL52),"",'RESUMEN VIGILANCIA'!AL52)</f>
        <v>47000</v>
      </c>
      <c r="AN57" s="400">
        <f>IF(ISBLANK('RESUMEN VIGILANCIA'!AM52),"",'RESUMEN VIGILANCIA'!AM52)</f>
        <v>51250</v>
      </c>
      <c r="AO57" s="401">
        <f>IF(ISBLANK('RESUMEN VIGILANCIA'!AN52),"",'RESUMEN VIGILANCIA'!AN52)</f>
        <v>81750</v>
      </c>
      <c r="AP57" s="399">
        <f>IF(ISBLANK('RESUMEN VIGILANCIA'!AO52),"",'RESUMEN VIGILANCIA'!AO52)</f>
        <v>136250</v>
      </c>
      <c r="AQ57" s="400">
        <f>IF(ISBLANK('RESUMEN VIGILANCIA'!AP52),"",'RESUMEN VIGILANCIA'!AP52)</f>
        <v>64405.8</v>
      </c>
      <c r="AR57" s="400" t="str">
        <f>IF(ISBLANK('RESUMEN VIGILANCIA'!AQ52),"",'RESUMEN VIGILANCIA'!AQ52)</f>
        <v/>
      </c>
      <c r="AS57" s="400" t="str">
        <f>IF(ISBLANK('RESUMEN VIGILANCIA'!AR52),"",'RESUMEN VIGILANCIA'!AR52)</f>
        <v/>
      </c>
      <c r="AT57" s="400" t="str">
        <f>IF(ISBLANK('RESUMEN VIGILANCIA'!AS52),"",'RESUMEN VIGILANCIA'!AS52)</f>
        <v/>
      </c>
      <c r="AU57" s="400" t="str">
        <f>IF(ISBLANK('RESUMEN VIGILANCIA'!AT52),"",'RESUMEN VIGILANCIA'!AT52)</f>
        <v/>
      </c>
      <c r="AV57" s="400" t="str">
        <f>IF(ISBLANK('RESUMEN VIGILANCIA'!AU52),"",'RESUMEN VIGILANCIA'!AU52)</f>
        <v/>
      </c>
      <c r="AW57" s="400" t="str">
        <f>IF(ISBLANK('RESUMEN VIGILANCIA'!AV52),"",'RESUMEN VIGILANCIA'!AV52)</f>
        <v/>
      </c>
      <c r="AX57" s="400" t="str">
        <f>IF(ISBLANK('RESUMEN VIGILANCIA'!AW52),"",'RESUMEN VIGILANCIA'!AW52)</f>
        <v/>
      </c>
      <c r="AY57" s="400" t="str">
        <f>IF(ISBLANK('RESUMEN VIGILANCIA'!AX52),"",'RESUMEN VIGILANCIA'!AX52)</f>
        <v/>
      </c>
      <c r="AZ57" s="400" t="str">
        <f>IF(ISBLANK('RESUMEN VIGILANCIA'!AY52),"",'RESUMEN VIGILANCIA'!AY52)</f>
        <v/>
      </c>
      <c r="BA57" s="401" t="str">
        <f>IF(ISBLANK('RESUMEN VIGILANCIA'!AZ52),"",'RESUMEN VIGILANCIA'!AZ52)</f>
        <v/>
      </c>
      <c r="BB57" s="243">
        <f t="shared" si="1"/>
        <v>257582</v>
      </c>
      <c r="BC57" s="112">
        <v>43282</v>
      </c>
      <c r="BD57" s="112"/>
    </row>
    <row r="58" spans="1:56" s="29" customFormat="1" ht="20.100000000000001" customHeight="1">
      <c r="A58" s="380" t="str">
        <f>'RESUMEN VIGILANCIA'!A8</f>
        <v>Familia Flores Montagne</v>
      </c>
      <c r="B58" s="381" t="str">
        <f>'RESUMEN VIGILANCIA'!B8</f>
        <v>Av. "M" Nro. 146-20</v>
      </c>
      <c r="C58" s="453" t="s">
        <v>1249</v>
      </c>
      <c r="D58" s="459" t="s">
        <v>1248</v>
      </c>
      <c r="E58" s="439" t="str">
        <f>IF(ISBLANK('RESUMEN VIGILANCIA'!D8),"",'RESUMEN VIGILANCIA'!D8)</f>
        <v/>
      </c>
      <c r="F58" s="267">
        <f>IF(ISBLANK('RESUMEN VIGILANCIA'!E8),"",'RESUMEN VIGILANCIA'!E8)</f>
        <v>0.02</v>
      </c>
      <c r="G58" s="189">
        <f>IF(ISBLANK('RESUMEN VIGILANCIA'!F8),"",'RESUMEN VIGILANCIA'!F8)</f>
        <v>0.02</v>
      </c>
      <c r="H58" s="189">
        <f>IF(ISBLANK('RESUMEN VIGILANCIA'!G8),"",'RESUMEN VIGILANCIA'!G8)</f>
        <v>0.03</v>
      </c>
      <c r="I58" s="189">
        <f>IF(ISBLANK('RESUMEN VIGILANCIA'!H8),"",'RESUMEN VIGILANCIA'!H8)</f>
        <v>0.03</v>
      </c>
      <c r="J58" s="189">
        <f>IF(ISBLANK('RESUMEN VIGILANCIA'!I8),"",'RESUMEN VIGILANCIA'!I8)</f>
        <v>0.04</v>
      </c>
      <c r="K58" s="189">
        <f>IF(ISBLANK('RESUMEN VIGILANCIA'!J8),"",'RESUMEN VIGILANCIA'!J8)</f>
        <v>0.04</v>
      </c>
      <c r="L58" s="189">
        <f>IF(ISBLANK('RESUMEN VIGILANCIA'!K8),"",'RESUMEN VIGILANCIA'!K8)</f>
        <v>0.04</v>
      </c>
      <c r="M58" s="189">
        <f>IF(ISBLANK('RESUMEN VIGILANCIA'!L8),"",'RESUMEN VIGILANCIA'!L8)</f>
        <v>0.04</v>
      </c>
      <c r="N58" s="189">
        <f>IF(ISBLANK('RESUMEN VIGILANCIA'!M8),"",'RESUMEN VIGILANCIA'!M8)</f>
        <v>0.03</v>
      </c>
      <c r="O58" s="189">
        <f>IF(ISBLANK('RESUMEN VIGILANCIA'!N8),"",'RESUMEN VIGILANCIA'!N8)</f>
        <v>0.05</v>
      </c>
      <c r="P58" s="268" t="str">
        <f>IF(ISBLANK('RESUMEN VIGILANCIA'!O8),"",'RESUMEN VIGILANCIA'!O8)</f>
        <v>- - -</v>
      </c>
      <c r="Q58" s="187" t="str">
        <f>IF(ISBLANK('RESUMEN VIGILANCIA'!P8),"",'RESUMEN VIGILANCIA'!P8)</f>
        <v>- - -</v>
      </c>
      <c r="R58" s="272">
        <f>IF(ISBLANK('RESUMEN VIGILANCIA'!Q8),"",'RESUMEN VIGILANCIA'!Q8)</f>
        <v>0.8</v>
      </c>
      <c r="S58" s="271">
        <f>IF(ISBLANK('RESUMEN VIGILANCIA'!R8),"",'RESUMEN VIGILANCIA'!R8)</f>
        <v>0.8</v>
      </c>
      <c r="T58" s="271">
        <f>IF(ISBLANK('RESUMEN VIGILANCIA'!S8),"",'RESUMEN VIGILANCIA'!S8)</f>
        <v>1.4</v>
      </c>
      <c r="U58" s="271">
        <f>IF(ISBLANK('RESUMEN VIGILANCIA'!T8),"",'RESUMEN VIGILANCIA'!T8)</f>
        <v>1.4</v>
      </c>
      <c r="V58" s="271">
        <f>IF(ISBLANK('RESUMEN VIGILANCIA'!U8),"",'RESUMEN VIGILANCIA'!U8)</f>
        <v>4</v>
      </c>
      <c r="W58" s="271">
        <f>IF(ISBLANK('RESUMEN VIGILANCIA'!V8),"",'RESUMEN VIGILANCIA'!V8)</f>
        <v>6.25</v>
      </c>
      <c r="X58" s="271">
        <f>IF(ISBLANK('RESUMEN VIGILANCIA'!W8),"",'RESUMEN VIGILANCIA'!W8)</f>
        <v>10</v>
      </c>
      <c r="Y58" s="271">
        <f>IF(ISBLANK('RESUMEN VIGILANCIA'!X8),"",'RESUMEN VIGILANCIA'!X8)</f>
        <v>12</v>
      </c>
      <c r="Z58" s="481">
        <f>IF(ISBLANK('RESUMEN VIGILANCIA'!Y8),"",'RESUMEN VIGILANCIA'!Y8)</f>
        <v>320</v>
      </c>
      <c r="AA58" s="481">
        <f>IF(ISBLANK('RESUMEN VIGILANCIA'!Z8),"",'RESUMEN VIGILANCIA'!Z8)</f>
        <v>320</v>
      </c>
      <c r="AB58" s="481">
        <f>IF(ISBLANK('RESUMEN VIGILANCIA'!AA8),"",'RESUMEN VIGILANCIA'!AA8)</f>
        <v>320</v>
      </c>
      <c r="AC58" s="482">
        <f>IF(ISBLANK('RESUMEN VIGILANCIA'!AB8),"",'RESUMEN VIGILANCIA'!AB8)</f>
        <v>800</v>
      </c>
      <c r="AD58" s="399">
        <f>IF(ISBLANK('RESUMEN VIGILANCIA'!AC8),"",'RESUMEN VIGILANCIA'!AC8)</f>
        <v>3000</v>
      </c>
      <c r="AE58" s="400">
        <f>IF(ISBLANK('RESUMEN VIGILANCIA'!AD8),"",'RESUMEN VIGILANCIA'!AD8)</f>
        <v>3000</v>
      </c>
      <c r="AF58" s="400">
        <f>IF(ISBLANK('RESUMEN VIGILANCIA'!AE8),"",'RESUMEN VIGILANCIA'!AE8)</f>
        <v>3000</v>
      </c>
      <c r="AG58" s="400">
        <f>IF(ISBLANK('RESUMEN VIGILANCIA'!AF8),"",'RESUMEN VIGILANCIA'!AF8)</f>
        <v>5000</v>
      </c>
      <c r="AH58" s="400">
        <f>IF(ISBLANK('RESUMEN VIGILANCIA'!AG8),"",'RESUMEN VIGILANCIA'!AG8)</f>
        <v>8000</v>
      </c>
      <c r="AI58" s="400">
        <f>IF(ISBLANK('RESUMEN VIGILANCIA'!AH8),"",'RESUMEN VIGILANCIA'!AH8)</f>
        <v>8000</v>
      </c>
      <c r="AJ58" s="400">
        <f>IF(ISBLANK('RESUMEN VIGILANCIA'!AI8),"",'RESUMEN VIGILANCIA'!AI8)</f>
        <v>10000</v>
      </c>
      <c r="AK58" s="400">
        <f>IF(ISBLANK('RESUMEN VIGILANCIA'!AJ8),"",'RESUMEN VIGILANCIA'!AJ8)</f>
        <v>10000</v>
      </c>
      <c r="AL58" s="400">
        <f>IF(ISBLANK('RESUMEN VIGILANCIA'!AK8),"",'RESUMEN VIGILANCIA'!AK8)</f>
        <v>19800</v>
      </c>
      <c r="AM58" s="400">
        <f>IF(ISBLANK('RESUMEN VIGILANCIA'!AL8),"",'RESUMEN VIGILANCIA'!AL8)</f>
        <v>51250</v>
      </c>
      <c r="AN58" s="400">
        <f>IF(ISBLANK('RESUMEN VIGILANCIA'!AM8),"",'RESUMEN VIGILANCIA'!AM8)</f>
        <v>81750</v>
      </c>
      <c r="AO58" s="401">
        <f>IF(ISBLANK('RESUMEN VIGILANCIA'!AN8),"",'RESUMEN VIGILANCIA'!AN8)</f>
        <v>105250</v>
      </c>
      <c r="AP58" s="399">
        <f>IF(ISBLANK('RESUMEN VIGILANCIA'!AO8),"",'RESUMEN VIGILANCIA'!AO8)</f>
        <v>136250</v>
      </c>
      <c r="AQ58" s="400" t="str">
        <f>IF(ISBLANK('RESUMEN VIGILANCIA'!AP8),"",'RESUMEN VIGILANCIA'!AP8)</f>
        <v/>
      </c>
      <c r="AR58" s="400" t="str">
        <f>IF(ISBLANK('RESUMEN VIGILANCIA'!AQ8),"",'RESUMEN VIGILANCIA'!AQ8)</f>
        <v/>
      </c>
      <c r="AS58" s="400" t="str">
        <f>IF(ISBLANK('RESUMEN VIGILANCIA'!AR8),"",'RESUMEN VIGILANCIA'!AR8)</f>
        <v/>
      </c>
      <c r="AT58" s="400" t="str">
        <f>IF(ISBLANK('RESUMEN VIGILANCIA'!AS8),"",'RESUMEN VIGILANCIA'!AS8)</f>
        <v/>
      </c>
      <c r="AU58" s="400" t="str">
        <f>IF(ISBLANK('RESUMEN VIGILANCIA'!AT8),"",'RESUMEN VIGILANCIA'!AT8)</f>
        <v/>
      </c>
      <c r="AV58" s="400" t="str">
        <f>IF(ISBLANK('RESUMEN VIGILANCIA'!AU8),"",'RESUMEN VIGILANCIA'!AU8)</f>
        <v/>
      </c>
      <c r="AW58" s="400" t="str">
        <f>IF(ISBLANK('RESUMEN VIGILANCIA'!AV8),"",'RESUMEN VIGILANCIA'!AV8)</f>
        <v/>
      </c>
      <c r="AX58" s="400" t="str">
        <f>IF(ISBLANK('RESUMEN VIGILANCIA'!AW8),"",'RESUMEN VIGILANCIA'!AW8)</f>
        <v/>
      </c>
      <c r="AY58" s="400" t="str">
        <f>IF(ISBLANK('RESUMEN VIGILANCIA'!AX8),"",'RESUMEN VIGILANCIA'!AX8)</f>
        <v/>
      </c>
      <c r="AZ58" s="400" t="str">
        <f>IF(ISBLANK('RESUMEN VIGILANCIA'!AY8),"",'RESUMEN VIGILANCIA'!AY8)</f>
        <v/>
      </c>
      <c r="BA58" s="401" t="str">
        <f>IF(ISBLANK('RESUMEN VIGILANCIA'!AZ8),"",'RESUMEN VIGILANCIA'!AZ8)</f>
        <v/>
      </c>
      <c r="BB58" s="243">
        <f t="shared" si="1"/>
        <v>309846.99</v>
      </c>
      <c r="BC58" s="112"/>
      <c r="BD58" s="112"/>
    </row>
    <row r="59" spans="1:56" s="29" customFormat="1" ht="20.100000000000001" customHeight="1">
      <c r="A59" s="380" t="str">
        <f>'RESUMEN VIGILANCIA'!A16</f>
        <v>Familia Hurtado</v>
      </c>
      <c r="B59" s="381" t="str">
        <f>'RESUMEN VIGILANCIA'!B16</f>
        <v>Av. "O" Nro. 146-11</v>
      </c>
      <c r="C59" s="453" t="s">
        <v>1249</v>
      </c>
      <c r="D59" s="459" t="s">
        <v>1248</v>
      </c>
      <c r="E59" s="439" t="str">
        <f>IF(ISBLANK('RESUMEN VIGILANCIA'!D16),"",'RESUMEN VIGILANCIA'!D16)</f>
        <v/>
      </c>
      <c r="F59" s="267">
        <f>IF(ISBLANK('RESUMEN VIGILANCIA'!E16),"",'RESUMEN VIGILANCIA'!E16)</f>
        <v>0.105</v>
      </c>
      <c r="G59" s="189">
        <f>IF(ISBLANK('RESUMEN VIGILANCIA'!F16),"",'RESUMEN VIGILANCIA'!F16)</f>
        <v>0.16999999999999998</v>
      </c>
      <c r="H59" s="189">
        <f>IF(ISBLANK('RESUMEN VIGILANCIA'!G16),"",'RESUMEN VIGILANCIA'!G16)</f>
        <v>0.105</v>
      </c>
      <c r="I59" s="189">
        <f>IF(ISBLANK('RESUMEN VIGILANCIA'!H16),"",'RESUMEN VIGILANCIA'!H16)</f>
        <v>0.17</v>
      </c>
      <c r="J59" s="189">
        <f>IF(ISBLANK('RESUMEN VIGILANCIA'!I16),"",'RESUMEN VIGILANCIA'!I16)</f>
        <v>0.26</v>
      </c>
      <c r="K59" s="189">
        <f>IF(ISBLANK('RESUMEN VIGILANCIA'!J16),"",'RESUMEN VIGILANCIA'!J16)</f>
        <v>0.26</v>
      </c>
      <c r="L59" s="189">
        <f>IF(ISBLANK('RESUMEN VIGILANCIA'!K16),"",'RESUMEN VIGILANCIA'!K16)</f>
        <v>0.35</v>
      </c>
      <c r="M59" s="182">
        <f>IF(ISBLANK('RESUMEN VIGILANCIA'!L16),"",'RESUMEN VIGILANCIA'!L16)</f>
        <v>0.35</v>
      </c>
      <c r="N59" s="182">
        <f>IF(ISBLANK('RESUMEN VIGILANCIA'!M16),"",'RESUMEN VIGILANCIA'!M16)</f>
        <v>0.35</v>
      </c>
      <c r="O59" s="182">
        <f>IF(ISBLANK('RESUMEN VIGILANCIA'!N16),"",'RESUMEN VIGILANCIA'!N16)</f>
        <v>0.35</v>
      </c>
      <c r="P59" s="271">
        <f>IF(ISBLANK('RESUMEN VIGILANCIA'!O16),"",'RESUMEN VIGILANCIA'!O16)</f>
        <v>0.5</v>
      </c>
      <c r="Q59" s="180">
        <f>IF(ISBLANK('RESUMEN VIGILANCIA'!P16),"",'RESUMEN VIGILANCIA'!P16)</f>
        <v>0.5</v>
      </c>
      <c r="R59" s="272">
        <f>IF(ISBLANK('RESUMEN VIGILANCIA'!Q16),"",'RESUMEN VIGILANCIA'!Q16)</f>
        <v>0.8</v>
      </c>
      <c r="S59" s="271">
        <f>IF(ISBLANK('RESUMEN VIGILANCIA'!R16),"",'RESUMEN VIGILANCIA'!R16)</f>
        <v>0.8</v>
      </c>
      <c r="T59" s="271">
        <f>IF(ISBLANK('RESUMEN VIGILANCIA'!S16),"",'RESUMEN VIGILANCIA'!S16)</f>
        <v>1.4</v>
      </c>
      <c r="U59" s="271">
        <f>IF(ISBLANK('RESUMEN VIGILANCIA'!T16),"",'RESUMEN VIGILANCIA'!T16)</f>
        <v>1.4</v>
      </c>
      <c r="V59" s="271">
        <f>IF(ISBLANK('RESUMEN VIGILANCIA'!U16),"",'RESUMEN VIGILANCIA'!U16)</f>
        <v>4</v>
      </c>
      <c r="W59" s="271">
        <f>IF(ISBLANK('RESUMEN VIGILANCIA'!V16),"",'RESUMEN VIGILANCIA'!V16)</f>
        <v>6.25</v>
      </c>
      <c r="X59" s="271">
        <f>IF(ISBLANK('RESUMEN VIGILANCIA'!W16),"",'RESUMEN VIGILANCIA'!W16)</f>
        <v>10</v>
      </c>
      <c r="Y59" s="271">
        <f>IF(ISBLANK('RESUMEN VIGILANCIA'!X16),"",'RESUMEN VIGILANCIA'!X16)</f>
        <v>12</v>
      </c>
      <c r="Z59" s="481">
        <f>IF(ISBLANK('RESUMEN VIGILANCIA'!Y16),"",'RESUMEN VIGILANCIA'!Y16)</f>
        <v>320</v>
      </c>
      <c r="AA59" s="481">
        <f>IF(ISBLANK('RESUMEN VIGILANCIA'!Z16),"",'RESUMEN VIGILANCIA'!Z16)</f>
        <v>320</v>
      </c>
      <c r="AB59" s="481">
        <f>IF(ISBLANK('RESUMEN VIGILANCIA'!AA16),"",'RESUMEN VIGILANCIA'!AA16)</f>
        <v>320</v>
      </c>
      <c r="AC59" s="482">
        <f>IF(ISBLANK('RESUMEN VIGILANCIA'!AB16),"",'RESUMEN VIGILANCIA'!AB16)</f>
        <v>800</v>
      </c>
      <c r="AD59" s="399">
        <f>IF(ISBLANK('RESUMEN VIGILANCIA'!AC16),"",'RESUMEN VIGILANCIA'!AC16)</f>
        <v>3000</v>
      </c>
      <c r="AE59" s="400">
        <f>IF(ISBLANK('RESUMEN VIGILANCIA'!AD16),"",'RESUMEN VIGILANCIA'!AD16)</f>
        <v>3000</v>
      </c>
      <c r="AF59" s="400">
        <f>IF(ISBLANK('RESUMEN VIGILANCIA'!AE16),"",'RESUMEN VIGILANCIA'!AE16)</f>
        <v>3000</v>
      </c>
      <c r="AG59" s="400">
        <f>IF(ISBLANK('RESUMEN VIGILANCIA'!AF16),"",'RESUMEN VIGILANCIA'!AF16)</f>
        <v>5000</v>
      </c>
      <c r="AH59" s="400">
        <f>IF(ISBLANK('RESUMEN VIGILANCIA'!AG16),"",'RESUMEN VIGILANCIA'!AG16)</f>
        <v>8000</v>
      </c>
      <c r="AI59" s="400">
        <f>IF(ISBLANK('RESUMEN VIGILANCIA'!AH16),"",'RESUMEN VIGILANCIA'!AH16)</f>
        <v>8000</v>
      </c>
      <c r="AJ59" s="400">
        <f>IF(ISBLANK('RESUMEN VIGILANCIA'!AI16),"",'RESUMEN VIGILANCIA'!AI16)</f>
        <v>10000</v>
      </c>
      <c r="AK59" s="400">
        <f>IF(ISBLANK('RESUMEN VIGILANCIA'!AJ16),"",'RESUMEN VIGILANCIA'!AJ16)</f>
        <v>10000</v>
      </c>
      <c r="AL59" s="400">
        <f>IF(ISBLANK('RESUMEN VIGILANCIA'!AK16),"",'RESUMEN VIGILANCIA'!AK16)</f>
        <v>20300</v>
      </c>
      <c r="AM59" s="400">
        <f>IF(ISBLANK('RESUMEN VIGILANCIA'!AL16),"",'RESUMEN VIGILANCIA'!AL16)</f>
        <v>64500</v>
      </c>
      <c r="AN59" s="400">
        <f>IF(ISBLANK('RESUMEN VIGILANCIA'!AM16),"",'RESUMEN VIGILANCIA'!AM16)</f>
        <v>105250</v>
      </c>
      <c r="AO59" s="401">
        <f>IF(ISBLANK('RESUMEN VIGILANCIA'!AN16),"",'RESUMEN VIGILANCIA'!AN16)</f>
        <v>105250</v>
      </c>
      <c r="AP59" s="399">
        <f>IF(ISBLANK('RESUMEN VIGILANCIA'!AO16),"",'RESUMEN VIGILANCIA'!AO16)</f>
        <v>136250</v>
      </c>
      <c r="AQ59" s="400" t="str">
        <f>IF(ISBLANK('RESUMEN VIGILANCIA'!AP16),"",'RESUMEN VIGILANCIA'!AP16)</f>
        <v/>
      </c>
      <c r="AR59" s="400" t="str">
        <f>IF(ISBLANK('RESUMEN VIGILANCIA'!AQ16),"",'RESUMEN VIGILANCIA'!AQ16)</f>
        <v/>
      </c>
      <c r="AS59" s="400" t="str">
        <f>IF(ISBLANK('RESUMEN VIGILANCIA'!AR16),"",'RESUMEN VIGILANCIA'!AR16)</f>
        <v/>
      </c>
      <c r="AT59" s="400" t="str">
        <f>IF(ISBLANK('RESUMEN VIGILANCIA'!AS16),"",'RESUMEN VIGILANCIA'!AS16)</f>
        <v/>
      </c>
      <c r="AU59" s="400" t="str">
        <f>IF(ISBLANK('RESUMEN VIGILANCIA'!AT16),"",'RESUMEN VIGILANCIA'!AT16)</f>
        <v/>
      </c>
      <c r="AV59" s="400" t="str">
        <f>IF(ISBLANK('RESUMEN VIGILANCIA'!AU16),"",'RESUMEN VIGILANCIA'!AU16)</f>
        <v/>
      </c>
      <c r="AW59" s="400" t="str">
        <f>IF(ISBLANK('RESUMEN VIGILANCIA'!AV16),"",'RESUMEN VIGILANCIA'!AV16)</f>
        <v/>
      </c>
      <c r="AX59" s="400" t="str">
        <f>IF(ISBLANK('RESUMEN VIGILANCIA'!AW16),"",'RESUMEN VIGILANCIA'!AW16)</f>
        <v/>
      </c>
      <c r="AY59" s="400" t="str">
        <f>IF(ISBLANK('RESUMEN VIGILANCIA'!AX16),"",'RESUMEN VIGILANCIA'!AX16)</f>
        <v/>
      </c>
      <c r="AZ59" s="400" t="str">
        <f>IF(ISBLANK('RESUMEN VIGILANCIA'!AY16),"",'RESUMEN VIGILANCIA'!AY16)</f>
        <v/>
      </c>
      <c r="BA59" s="401" t="str">
        <f>IF(ISBLANK('RESUMEN VIGILANCIA'!AZ16),"",'RESUMEN VIGILANCIA'!AZ16)</f>
        <v/>
      </c>
      <c r="BB59" s="243">
        <f t="shared" si="1"/>
        <v>347100.12</v>
      </c>
      <c r="BC59" s="112"/>
      <c r="BD59" s="112"/>
    </row>
    <row r="60" spans="1:56" s="29" customFormat="1" ht="20.100000000000001" customHeight="1">
      <c r="A60" s="30" t="str">
        <f>'RESUMEN VIGILANCIA'!A9</f>
        <v>Judith Lazo</v>
      </c>
      <c r="B60" s="31" t="str">
        <f>'RESUMEN VIGILANCIA'!B9</f>
        <v>Av. "M" Nro. 146-25</v>
      </c>
      <c r="C60" s="452" t="s">
        <v>1253</v>
      </c>
      <c r="D60" s="460" t="s">
        <v>17</v>
      </c>
      <c r="E60" s="440" t="str">
        <f>IF(ISBLANK('RESUMEN VIGILANCIA'!D9),"",'RESUMEN VIGILANCIA'!D9)</f>
        <v/>
      </c>
      <c r="F60" s="270" t="str">
        <f>IF(ISBLANK('RESUMEN VIGILANCIA'!E9),"",'RESUMEN VIGILANCIA'!E9)</f>
        <v/>
      </c>
      <c r="G60" s="182" t="str">
        <f>IF(ISBLANK('RESUMEN VIGILANCIA'!F9),"",'RESUMEN VIGILANCIA'!F9)</f>
        <v/>
      </c>
      <c r="H60" s="182" t="str">
        <f>IF(ISBLANK('RESUMEN VIGILANCIA'!G9),"",'RESUMEN VIGILANCIA'!G9)</f>
        <v/>
      </c>
      <c r="I60" s="182" t="str">
        <f>IF(ISBLANK('RESUMEN VIGILANCIA'!H9),"",'RESUMEN VIGILANCIA'!H9)</f>
        <v/>
      </c>
      <c r="J60" s="182" t="str">
        <f>IF(ISBLANK('RESUMEN VIGILANCIA'!I9),"",'RESUMEN VIGILANCIA'!I9)</f>
        <v/>
      </c>
      <c r="K60" s="182" t="str">
        <f>IF(ISBLANK('RESUMEN VIGILANCIA'!J9),"",'RESUMEN VIGILANCIA'!J9)</f>
        <v/>
      </c>
      <c r="L60" s="182" t="str">
        <f>IF(ISBLANK('RESUMEN VIGILANCIA'!K9),"",'RESUMEN VIGILANCIA'!K9)</f>
        <v/>
      </c>
      <c r="M60" s="182" t="str">
        <f>IF(ISBLANK('RESUMEN VIGILANCIA'!L9),"",'RESUMEN VIGILANCIA'!L9)</f>
        <v/>
      </c>
      <c r="N60" s="182" t="str">
        <f>IF(ISBLANK('RESUMEN VIGILANCIA'!M9),"",'RESUMEN VIGILANCIA'!M9)</f>
        <v/>
      </c>
      <c r="O60" s="182" t="str">
        <f>IF(ISBLANK('RESUMEN VIGILANCIA'!N9),"",'RESUMEN VIGILANCIA'!N9)</f>
        <v/>
      </c>
      <c r="P60" s="271" t="str">
        <f>IF(ISBLANK('RESUMEN VIGILANCIA'!O9),"",'RESUMEN VIGILANCIA'!O9)</f>
        <v/>
      </c>
      <c r="Q60" s="180" t="str">
        <f>IF(ISBLANK('RESUMEN VIGILANCIA'!P9),"",'RESUMEN VIGILANCIA'!P9)</f>
        <v/>
      </c>
      <c r="R60" s="272" t="str">
        <f>IF(ISBLANK('RESUMEN VIGILANCIA'!Q9),"",'RESUMEN VIGILANCIA'!Q9)</f>
        <v/>
      </c>
      <c r="S60" s="271" t="str">
        <f>IF(ISBLANK('RESUMEN VIGILANCIA'!R9),"",'RESUMEN VIGILANCIA'!R9)</f>
        <v/>
      </c>
      <c r="T60" s="271" t="str">
        <f>IF(ISBLANK('RESUMEN VIGILANCIA'!S9),"",'RESUMEN VIGILANCIA'!S9)</f>
        <v/>
      </c>
      <c r="U60" s="271" t="str">
        <f>IF(ISBLANK('RESUMEN VIGILANCIA'!T9),"",'RESUMEN VIGILANCIA'!T9)</f>
        <v/>
      </c>
      <c r="V60" s="271" t="str">
        <f>IF(ISBLANK('RESUMEN VIGILANCIA'!U9),"",'RESUMEN VIGILANCIA'!U9)</f>
        <v/>
      </c>
      <c r="W60" s="271" t="str">
        <f>IF(ISBLANK('RESUMEN VIGILANCIA'!V9),"",'RESUMEN VIGILANCIA'!V9)</f>
        <v/>
      </c>
      <c r="X60" s="271" t="str">
        <f>IF(ISBLANK('RESUMEN VIGILANCIA'!W9),"",'RESUMEN VIGILANCIA'!W9)</f>
        <v/>
      </c>
      <c r="Y60" s="271" t="str">
        <f>IF(ISBLANK('RESUMEN VIGILANCIA'!X9),"",'RESUMEN VIGILANCIA'!X9)</f>
        <v/>
      </c>
      <c r="Z60" s="481" t="str">
        <f>IF(ISBLANK('RESUMEN VIGILANCIA'!Y9),"",'RESUMEN VIGILANCIA'!Y9)</f>
        <v/>
      </c>
      <c r="AA60" s="481" t="str">
        <f>IF(ISBLANK('RESUMEN VIGILANCIA'!Z9),"",'RESUMEN VIGILANCIA'!Z9)</f>
        <v/>
      </c>
      <c r="AB60" s="481" t="str">
        <f>IF(ISBLANK('RESUMEN VIGILANCIA'!AA9),"",'RESUMEN VIGILANCIA'!AA9)</f>
        <v/>
      </c>
      <c r="AC60" s="482" t="str">
        <f>IF(ISBLANK('RESUMEN VIGILANCIA'!AB9),"",'RESUMEN VIGILANCIA'!AB9)</f>
        <v/>
      </c>
      <c r="AD60" s="399" t="str">
        <f>IF(ISBLANK('RESUMEN VIGILANCIA'!AC9),"",'RESUMEN VIGILANCIA'!AC9)</f>
        <v/>
      </c>
      <c r="AE60" s="400" t="str">
        <f>IF(ISBLANK('RESUMEN VIGILANCIA'!AD9),"",'RESUMEN VIGILANCIA'!AD9)</f>
        <v/>
      </c>
      <c r="AF60" s="400" t="str">
        <f>IF(ISBLANK('RESUMEN VIGILANCIA'!AE9),"",'RESUMEN VIGILANCIA'!AE9)</f>
        <v/>
      </c>
      <c r="AG60" s="400" t="str">
        <f>IF(ISBLANK('RESUMEN VIGILANCIA'!AF9),"",'RESUMEN VIGILANCIA'!AF9)</f>
        <v/>
      </c>
      <c r="AH60" s="400" t="str">
        <f>IF(ISBLANK('RESUMEN VIGILANCIA'!AG9),"",'RESUMEN VIGILANCIA'!AG9)</f>
        <v/>
      </c>
      <c r="AI60" s="400" t="str">
        <f>IF(ISBLANK('RESUMEN VIGILANCIA'!AH9),"",'RESUMEN VIGILANCIA'!AH9)</f>
        <v/>
      </c>
      <c r="AJ60" s="400" t="str">
        <f>IF(ISBLANK('RESUMEN VIGILANCIA'!AI9),"",'RESUMEN VIGILANCIA'!AI9)</f>
        <v/>
      </c>
      <c r="AK60" s="400" t="str">
        <f>IF(ISBLANK('RESUMEN VIGILANCIA'!AJ9),"",'RESUMEN VIGILANCIA'!AJ9)</f>
        <v/>
      </c>
      <c r="AL60" s="400" t="str">
        <f>IF(ISBLANK('RESUMEN VIGILANCIA'!AK9),"",'RESUMEN VIGILANCIA'!AK9)</f>
        <v/>
      </c>
      <c r="AM60" s="400" t="str">
        <f>IF(ISBLANK('RESUMEN VIGILANCIA'!AL9),"",'RESUMEN VIGILANCIA'!AL9)</f>
        <v/>
      </c>
      <c r="AN60" s="400" t="str">
        <f>IF(ISBLANK('RESUMEN VIGILANCIA'!AM9),"",'RESUMEN VIGILANCIA'!AM9)</f>
        <v/>
      </c>
      <c r="AO60" s="401" t="str">
        <f>IF(ISBLANK('RESUMEN VIGILANCIA'!AN9),"",'RESUMEN VIGILANCIA'!AN9)</f>
        <v/>
      </c>
      <c r="AP60" s="399" t="str">
        <f>IF(ISBLANK('RESUMEN VIGILANCIA'!AO9),"",'RESUMEN VIGILANCIA'!AO9)</f>
        <v/>
      </c>
      <c r="AQ60" s="400" t="str">
        <f>IF(ISBLANK('RESUMEN VIGILANCIA'!AP9),"",'RESUMEN VIGILANCIA'!AP9)</f>
        <v/>
      </c>
      <c r="AR60" s="400" t="str">
        <f>IF(ISBLANK('RESUMEN VIGILANCIA'!AQ9),"",'RESUMEN VIGILANCIA'!AQ9)</f>
        <v/>
      </c>
      <c r="AS60" s="400" t="str">
        <f>IF(ISBLANK('RESUMEN VIGILANCIA'!AR9),"",'RESUMEN VIGILANCIA'!AR9)</f>
        <v/>
      </c>
      <c r="AT60" s="400" t="str">
        <f>IF(ISBLANK('RESUMEN VIGILANCIA'!AS9),"",'RESUMEN VIGILANCIA'!AS9)</f>
        <v/>
      </c>
      <c r="AU60" s="400" t="str">
        <f>IF(ISBLANK('RESUMEN VIGILANCIA'!AT9),"",'RESUMEN VIGILANCIA'!AT9)</f>
        <v/>
      </c>
      <c r="AV60" s="400" t="str">
        <f>IF(ISBLANK('RESUMEN VIGILANCIA'!AU9),"",'RESUMEN VIGILANCIA'!AU9)</f>
        <v/>
      </c>
      <c r="AW60" s="400" t="str">
        <f>IF(ISBLANK('RESUMEN VIGILANCIA'!AV9),"",'RESUMEN VIGILANCIA'!AV9)</f>
        <v/>
      </c>
      <c r="AX60" s="400" t="str">
        <f>IF(ISBLANK('RESUMEN VIGILANCIA'!AW9),"",'RESUMEN VIGILANCIA'!AW9)</f>
        <v/>
      </c>
      <c r="AY60" s="400" t="str">
        <f>IF(ISBLANK('RESUMEN VIGILANCIA'!AX9),"",'RESUMEN VIGILANCIA'!AX9)</f>
        <v/>
      </c>
      <c r="AZ60" s="400" t="str">
        <f>IF(ISBLANK('RESUMEN VIGILANCIA'!AY9),"",'RESUMEN VIGILANCIA'!AY9)</f>
        <v/>
      </c>
      <c r="BA60" s="401" t="str">
        <f>IF(ISBLANK('RESUMEN VIGILANCIA'!AZ9),"",'RESUMEN VIGILANCIA'!AZ9)</f>
        <v/>
      </c>
      <c r="BB60" s="243">
        <f t="shared" si="1"/>
        <v>0</v>
      </c>
      <c r="BC60" s="112"/>
      <c r="BD60" s="112"/>
    </row>
    <row r="61" spans="1:56" s="29" customFormat="1" ht="20.100000000000001" customHeight="1">
      <c r="A61" s="30" t="str">
        <f>'RESUMEN VIGILANCIA'!A7</f>
        <v>Familia Barreto Pérez</v>
      </c>
      <c r="B61" s="31" t="str">
        <f>'RESUMEN VIGILANCIA'!B7</f>
        <v>Av. "M" Nro. 146-15</v>
      </c>
      <c r="C61" s="452" t="s">
        <v>1249</v>
      </c>
      <c r="D61" s="460" t="s">
        <v>1248</v>
      </c>
      <c r="E61" s="440" t="str">
        <f>IF(ISBLANK('RESUMEN VIGILANCIA'!D7),"",'RESUMEN VIGILANCIA'!D7)</f>
        <v/>
      </c>
      <c r="F61" s="270">
        <f>IF(ISBLANK('RESUMEN VIGILANCIA'!E7),"",'RESUMEN VIGILANCIA'!E7)</f>
        <v>0.16999999999999998</v>
      </c>
      <c r="G61" s="182">
        <f>IF(ISBLANK('RESUMEN VIGILANCIA'!F7),"",'RESUMEN VIGILANCIA'!F7)</f>
        <v>0.17</v>
      </c>
      <c r="H61" s="182">
        <f>IF(ISBLANK('RESUMEN VIGILANCIA'!G7),"",'RESUMEN VIGILANCIA'!G7)</f>
        <v>0.17</v>
      </c>
      <c r="I61" s="182">
        <f>IF(ISBLANK('RESUMEN VIGILANCIA'!H7),"",'RESUMEN VIGILANCIA'!H7)</f>
        <v>0.17</v>
      </c>
      <c r="J61" s="182">
        <f>IF(ISBLANK('RESUMEN VIGILANCIA'!I7),"",'RESUMEN VIGILANCIA'!I7)</f>
        <v>0.26</v>
      </c>
      <c r="K61" s="182">
        <f>IF(ISBLANK('RESUMEN VIGILANCIA'!J7),"",'RESUMEN VIGILANCIA'!J7)</f>
        <v>0.26</v>
      </c>
      <c r="L61" s="182">
        <f>IF(ISBLANK('RESUMEN VIGILANCIA'!K7),"",'RESUMEN VIGILANCIA'!K7)</f>
        <v>0.35</v>
      </c>
      <c r="M61" s="182">
        <f>IF(ISBLANK('RESUMEN VIGILANCIA'!L7),"",'RESUMEN VIGILANCIA'!L7)</f>
        <v>0.35</v>
      </c>
      <c r="N61" s="182">
        <f>IF(ISBLANK('RESUMEN VIGILANCIA'!M7),"",'RESUMEN VIGILANCIA'!M7)</f>
        <v>0.35</v>
      </c>
      <c r="O61" s="182">
        <f>IF(ISBLANK('RESUMEN VIGILANCIA'!N7),"",'RESUMEN VIGILANCIA'!N7)</f>
        <v>0.35</v>
      </c>
      <c r="P61" s="271">
        <f>IF(ISBLANK('RESUMEN VIGILANCIA'!O7),"",'RESUMEN VIGILANCIA'!O7)</f>
        <v>0.5</v>
      </c>
      <c r="Q61" s="180">
        <f>IF(ISBLANK('RESUMEN VIGILANCIA'!P7),"",'RESUMEN VIGILANCIA'!P7)</f>
        <v>0.5</v>
      </c>
      <c r="R61" s="272">
        <f>IF(ISBLANK('RESUMEN VIGILANCIA'!Q7),"",'RESUMEN VIGILANCIA'!Q7)</f>
        <v>0.8</v>
      </c>
      <c r="S61" s="271">
        <f>IF(ISBLANK('RESUMEN VIGILANCIA'!R7),"",'RESUMEN VIGILANCIA'!R7)</f>
        <v>0.8</v>
      </c>
      <c r="T61" s="271">
        <f>IF(ISBLANK('RESUMEN VIGILANCIA'!S7),"",'RESUMEN VIGILANCIA'!S7)</f>
        <v>1.4</v>
      </c>
      <c r="U61" s="271">
        <f>IF(ISBLANK('RESUMEN VIGILANCIA'!T7),"",'RESUMEN VIGILANCIA'!T7)</f>
        <v>1.4</v>
      </c>
      <c r="V61" s="271">
        <f>IF(ISBLANK('RESUMEN VIGILANCIA'!U7),"",'RESUMEN VIGILANCIA'!U7)</f>
        <v>4</v>
      </c>
      <c r="W61" s="271">
        <f>IF(ISBLANK('RESUMEN VIGILANCIA'!V7),"",'RESUMEN VIGILANCIA'!V7)</f>
        <v>6.25</v>
      </c>
      <c r="X61" s="271">
        <f>IF(ISBLANK('RESUMEN VIGILANCIA'!W7),"",'RESUMEN VIGILANCIA'!W7)</f>
        <v>10</v>
      </c>
      <c r="Y61" s="271">
        <f>IF(ISBLANK('RESUMEN VIGILANCIA'!X7),"",'RESUMEN VIGILANCIA'!X7)</f>
        <v>12</v>
      </c>
      <c r="Z61" s="481">
        <f>IF(ISBLANK('RESUMEN VIGILANCIA'!Y7),"",'RESUMEN VIGILANCIA'!Y7)</f>
        <v>320</v>
      </c>
      <c r="AA61" s="481">
        <f>IF(ISBLANK('RESUMEN VIGILANCIA'!Z7),"",'RESUMEN VIGILANCIA'!Z7)</f>
        <v>320</v>
      </c>
      <c r="AB61" s="481">
        <f>IF(ISBLANK('RESUMEN VIGILANCIA'!AA7),"",'RESUMEN VIGILANCIA'!AA7)</f>
        <v>320</v>
      </c>
      <c r="AC61" s="482">
        <f>IF(ISBLANK('RESUMEN VIGILANCIA'!AB7),"",'RESUMEN VIGILANCIA'!AB7)</f>
        <v>800</v>
      </c>
      <c r="AD61" s="399">
        <f>IF(ISBLANK('RESUMEN VIGILANCIA'!AC7),"",'RESUMEN VIGILANCIA'!AC7)</f>
        <v>3000</v>
      </c>
      <c r="AE61" s="400">
        <f>IF(ISBLANK('RESUMEN VIGILANCIA'!AD7),"",'RESUMEN VIGILANCIA'!AD7)</f>
        <v>3000</v>
      </c>
      <c r="AF61" s="400">
        <f>IF(ISBLANK('RESUMEN VIGILANCIA'!AE7),"",'RESUMEN VIGILANCIA'!AE7)</f>
        <v>3000</v>
      </c>
      <c r="AG61" s="400">
        <f>IF(ISBLANK('RESUMEN VIGILANCIA'!AF7),"",'RESUMEN VIGILANCIA'!AF7)</f>
        <v>5000</v>
      </c>
      <c r="AH61" s="400">
        <f>IF(ISBLANK('RESUMEN VIGILANCIA'!AG7),"",'RESUMEN VIGILANCIA'!AG7)</f>
        <v>8000</v>
      </c>
      <c r="AI61" s="400">
        <f>IF(ISBLANK('RESUMEN VIGILANCIA'!AH7),"",'RESUMEN VIGILANCIA'!AH7)</f>
        <v>8000</v>
      </c>
      <c r="AJ61" s="400">
        <f>IF(ISBLANK('RESUMEN VIGILANCIA'!AI7),"",'RESUMEN VIGILANCIA'!AI7)</f>
        <v>10000</v>
      </c>
      <c r="AK61" s="400">
        <f>IF(ISBLANK('RESUMEN VIGILANCIA'!AJ7),"",'RESUMEN VIGILANCIA'!AJ7)</f>
        <v>10000</v>
      </c>
      <c r="AL61" s="400">
        <f>IF(ISBLANK('RESUMEN VIGILANCIA'!AK7),"",'RESUMEN VIGILANCIA'!AK7)</f>
        <v>22000</v>
      </c>
      <c r="AM61" s="400">
        <f>IF(ISBLANK('RESUMEN VIGILANCIA'!AL7),"",'RESUMEN VIGILANCIA'!AL7)</f>
        <v>47000</v>
      </c>
      <c r="AN61" s="400">
        <f>IF(ISBLANK('RESUMEN VIGILANCIA'!AM7),"",'RESUMEN VIGILANCIA'!AM7)</f>
        <v>51250</v>
      </c>
      <c r="AO61" s="401">
        <f>IF(ISBLANK('RESUMEN VIGILANCIA'!AN7),"",'RESUMEN VIGILANCIA'!AN7)</f>
        <v>81750</v>
      </c>
      <c r="AP61" s="399">
        <f>IF(ISBLANK('RESUMEN VIGILANCIA'!AO7),"",'RESUMEN VIGILANCIA'!AO7)</f>
        <v>136250</v>
      </c>
      <c r="AQ61" s="400">
        <f>IF(ISBLANK('RESUMEN VIGILANCIA'!AP7),"",'RESUMEN VIGILANCIA'!AP7)</f>
        <v>136250</v>
      </c>
      <c r="AR61" s="400" t="str">
        <f>IF(ISBLANK('RESUMEN VIGILANCIA'!AQ7),"",'RESUMEN VIGILANCIA'!AQ7)</f>
        <v/>
      </c>
      <c r="AS61" s="400" t="str">
        <f>IF(ISBLANK('RESUMEN VIGILANCIA'!AR7),"",'RESUMEN VIGILANCIA'!AR7)</f>
        <v/>
      </c>
      <c r="AT61" s="400" t="str">
        <f>IF(ISBLANK('RESUMEN VIGILANCIA'!AS7),"",'RESUMEN VIGILANCIA'!AS7)</f>
        <v/>
      </c>
      <c r="AU61" s="400" t="str">
        <f>IF(ISBLANK('RESUMEN VIGILANCIA'!AT7),"",'RESUMEN VIGILANCIA'!AT7)</f>
        <v/>
      </c>
      <c r="AV61" s="400" t="str">
        <f>IF(ISBLANK('RESUMEN VIGILANCIA'!AU7),"",'RESUMEN VIGILANCIA'!AU7)</f>
        <v/>
      </c>
      <c r="AW61" s="400" t="str">
        <f>IF(ISBLANK('RESUMEN VIGILANCIA'!AV7),"",'RESUMEN VIGILANCIA'!AV7)</f>
        <v/>
      </c>
      <c r="AX61" s="400" t="str">
        <f>IF(ISBLANK('RESUMEN VIGILANCIA'!AW7),"",'RESUMEN VIGILANCIA'!AW7)</f>
        <v/>
      </c>
      <c r="AY61" s="400" t="str">
        <f>IF(ISBLANK('RESUMEN VIGILANCIA'!AX7),"",'RESUMEN VIGILANCIA'!AX7)</f>
        <v/>
      </c>
      <c r="AZ61" s="400" t="str">
        <f>IF(ISBLANK('RESUMEN VIGILANCIA'!AY7),"",'RESUMEN VIGILANCIA'!AY7)</f>
        <v/>
      </c>
      <c r="BA61" s="401" t="str">
        <f>IF(ISBLANK('RESUMEN VIGILANCIA'!AZ7),"",'RESUMEN VIGILANCIA'!AZ7)</f>
        <v/>
      </c>
      <c r="BB61" s="243">
        <f t="shared" si="1"/>
        <v>253800.25</v>
      </c>
      <c r="BC61" s="112"/>
      <c r="BD61" s="112"/>
    </row>
    <row r="62" spans="1:56" s="29" customFormat="1" ht="20.100000000000001" customHeight="1">
      <c r="A62" s="30" t="str">
        <f>'RESUMEN VIGILANCIA'!A15</f>
        <v>Familia Coronel</v>
      </c>
      <c r="B62" s="31" t="str">
        <f>'RESUMEN VIGILANCIA'!B15</f>
        <v>Av. "O" Nro. 146-10</v>
      </c>
      <c r="C62" s="452" t="s">
        <v>1253</v>
      </c>
      <c r="D62" s="460" t="s">
        <v>17</v>
      </c>
      <c r="E62" s="440" t="str">
        <f>IF(ISBLANK('RESUMEN VIGILANCIA'!D15),"",'RESUMEN VIGILANCIA'!D15)</f>
        <v/>
      </c>
      <c r="F62" s="270" t="str">
        <f>IF(ISBLANK('RESUMEN VIGILANCIA'!E15),"",'RESUMEN VIGILANCIA'!E15)</f>
        <v/>
      </c>
      <c r="G62" s="182" t="str">
        <f>IF(ISBLANK('RESUMEN VIGILANCIA'!F15),"",'RESUMEN VIGILANCIA'!F15)</f>
        <v/>
      </c>
      <c r="H62" s="182" t="str">
        <f>IF(ISBLANK('RESUMEN VIGILANCIA'!G15),"",'RESUMEN VIGILANCIA'!G15)</f>
        <v/>
      </c>
      <c r="I62" s="182" t="str">
        <f>IF(ISBLANK('RESUMEN VIGILANCIA'!H15),"",'RESUMEN VIGILANCIA'!H15)</f>
        <v/>
      </c>
      <c r="J62" s="182" t="str">
        <f>IF(ISBLANK('RESUMEN VIGILANCIA'!I15),"",'RESUMEN VIGILANCIA'!I15)</f>
        <v/>
      </c>
      <c r="K62" s="182" t="str">
        <f>IF(ISBLANK('RESUMEN VIGILANCIA'!J15),"",'RESUMEN VIGILANCIA'!J15)</f>
        <v/>
      </c>
      <c r="L62" s="182" t="str">
        <f>IF(ISBLANK('RESUMEN VIGILANCIA'!K15),"",'RESUMEN VIGILANCIA'!K15)</f>
        <v/>
      </c>
      <c r="M62" s="182" t="str">
        <f>IF(ISBLANK('RESUMEN VIGILANCIA'!L15),"",'RESUMEN VIGILANCIA'!L15)</f>
        <v/>
      </c>
      <c r="N62" s="182" t="str">
        <f>IF(ISBLANK('RESUMEN VIGILANCIA'!M15),"",'RESUMEN VIGILANCIA'!M15)</f>
        <v/>
      </c>
      <c r="O62" s="182" t="str">
        <f>IF(ISBLANK('RESUMEN VIGILANCIA'!N15),"",'RESUMEN VIGILANCIA'!N15)</f>
        <v/>
      </c>
      <c r="P62" s="271" t="str">
        <f>IF(ISBLANK('RESUMEN VIGILANCIA'!O15),"",'RESUMEN VIGILANCIA'!O15)</f>
        <v/>
      </c>
      <c r="Q62" s="180" t="str">
        <f>IF(ISBLANK('RESUMEN VIGILANCIA'!P15),"",'RESUMEN VIGILANCIA'!P15)</f>
        <v/>
      </c>
      <c r="R62" s="272" t="str">
        <f>IF(ISBLANK('RESUMEN VIGILANCIA'!Q15),"",'RESUMEN VIGILANCIA'!Q15)</f>
        <v/>
      </c>
      <c r="S62" s="271" t="str">
        <f>IF(ISBLANK('RESUMEN VIGILANCIA'!R15),"",'RESUMEN VIGILANCIA'!R15)</f>
        <v/>
      </c>
      <c r="T62" s="271" t="str">
        <f>IF(ISBLANK('RESUMEN VIGILANCIA'!S15),"",'RESUMEN VIGILANCIA'!S15)</f>
        <v/>
      </c>
      <c r="U62" s="271" t="str">
        <f>IF(ISBLANK('RESUMEN VIGILANCIA'!T15),"",'RESUMEN VIGILANCIA'!T15)</f>
        <v/>
      </c>
      <c r="V62" s="271" t="str">
        <f>IF(ISBLANK('RESUMEN VIGILANCIA'!U15),"",'RESUMEN VIGILANCIA'!U15)</f>
        <v/>
      </c>
      <c r="W62" s="271" t="str">
        <f>IF(ISBLANK('RESUMEN VIGILANCIA'!V15),"",'RESUMEN VIGILANCIA'!V15)</f>
        <v/>
      </c>
      <c r="X62" s="271" t="str">
        <f>IF(ISBLANK('RESUMEN VIGILANCIA'!W15),"",'RESUMEN VIGILANCIA'!W15)</f>
        <v/>
      </c>
      <c r="Y62" s="271" t="str">
        <f>IF(ISBLANK('RESUMEN VIGILANCIA'!X15),"",'RESUMEN VIGILANCIA'!X15)</f>
        <v/>
      </c>
      <c r="Z62" s="481" t="str">
        <f>IF(ISBLANK('RESUMEN VIGILANCIA'!Y15),"",'RESUMEN VIGILANCIA'!Y15)</f>
        <v/>
      </c>
      <c r="AA62" s="481" t="str">
        <f>IF(ISBLANK('RESUMEN VIGILANCIA'!Z15),"",'RESUMEN VIGILANCIA'!Z15)</f>
        <v/>
      </c>
      <c r="AB62" s="481" t="str">
        <f>IF(ISBLANK('RESUMEN VIGILANCIA'!AA15),"",'RESUMEN VIGILANCIA'!AA15)</f>
        <v/>
      </c>
      <c r="AC62" s="482" t="str">
        <f>IF(ISBLANK('RESUMEN VIGILANCIA'!AB15),"",'RESUMEN VIGILANCIA'!AB15)</f>
        <v/>
      </c>
      <c r="AD62" s="399" t="str">
        <f>IF(ISBLANK('RESUMEN VIGILANCIA'!AC15),"",'RESUMEN VIGILANCIA'!AC15)</f>
        <v/>
      </c>
      <c r="AE62" s="400" t="str">
        <f>IF(ISBLANK('RESUMEN VIGILANCIA'!AD15),"",'RESUMEN VIGILANCIA'!AD15)</f>
        <v/>
      </c>
      <c r="AF62" s="400" t="str">
        <f>IF(ISBLANK('RESUMEN VIGILANCIA'!AE15),"",'RESUMEN VIGILANCIA'!AE15)</f>
        <v/>
      </c>
      <c r="AG62" s="400" t="str">
        <f>IF(ISBLANK('RESUMEN VIGILANCIA'!AF15),"",'RESUMEN VIGILANCIA'!AF15)</f>
        <v/>
      </c>
      <c r="AH62" s="400" t="str">
        <f>IF(ISBLANK('RESUMEN VIGILANCIA'!AG15),"",'RESUMEN VIGILANCIA'!AG15)</f>
        <v/>
      </c>
      <c r="AI62" s="400" t="str">
        <f>IF(ISBLANK('RESUMEN VIGILANCIA'!AH15),"",'RESUMEN VIGILANCIA'!AH15)</f>
        <v/>
      </c>
      <c r="AJ62" s="400" t="str">
        <f>IF(ISBLANK('RESUMEN VIGILANCIA'!AI15),"",'RESUMEN VIGILANCIA'!AI15)</f>
        <v/>
      </c>
      <c r="AK62" s="400" t="str">
        <f>IF(ISBLANK('RESUMEN VIGILANCIA'!AJ15),"",'RESUMEN VIGILANCIA'!AJ15)</f>
        <v/>
      </c>
      <c r="AL62" s="400" t="str">
        <f>IF(ISBLANK('RESUMEN VIGILANCIA'!AK15),"",'RESUMEN VIGILANCIA'!AK15)</f>
        <v/>
      </c>
      <c r="AM62" s="400" t="str">
        <f>IF(ISBLANK('RESUMEN VIGILANCIA'!AL15),"",'RESUMEN VIGILANCIA'!AL15)</f>
        <v/>
      </c>
      <c r="AN62" s="400" t="str">
        <f>IF(ISBLANK('RESUMEN VIGILANCIA'!AM15),"",'RESUMEN VIGILANCIA'!AM15)</f>
        <v/>
      </c>
      <c r="AO62" s="401" t="str">
        <f>IF(ISBLANK('RESUMEN VIGILANCIA'!AN15),"",'RESUMEN VIGILANCIA'!AN15)</f>
        <v/>
      </c>
      <c r="AP62" s="399" t="str">
        <f>IF(ISBLANK('RESUMEN VIGILANCIA'!AO15),"",'RESUMEN VIGILANCIA'!AO15)</f>
        <v/>
      </c>
      <c r="AQ62" s="400" t="str">
        <f>IF(ISBLANK('RESUMEN VIGILANCIA'!AP15),"",'RESUMEN VIGILANCIA'!AP15)</f>
        <v/>
      </c>
      <c r="AR62" s="400" t="str">
        <f>IF(ISBLANK('RESUMEN VIGILANCIA'!AQ15),"",'RESUMEN VIGILANCIA'!AQ15)</f>
        <v/>
      </c>
      <c r="AS62" s="400" t="str">
        <f>IF(ISBLANK('RESUMEN VIGILANCIA'!AR15),"",'RESUMEN VIGILANCIA'!AR15)</f>
        <v/>
      </c>
      <c r="AT62" s="400" t="str">
        <f>IF(ISBLANK('RESUMEN VIGILANCIA'!AS15),"",'RESUMEN VIGILANCIA'!AS15)</f>
        <v/>
      </c>
      <c r="AU62" s="400" t="str">
        <f>IF(ISBLANK('RESUMEN VIGILANCIA'!AT15),"",'RESUMEN VIGILANCIA'!AT15)</f>
        <v/>
      </c>
      <c r="AV62" s="400" t="str">
        <f>IF(ISBLANK('RESUMEN VIGILANCIA'!AU15),"",'RESUMEN VIGILANCIA'!AU15)</f>
        <v/>
      </c>
      <c r="AW62" s="400" t="str">
        <f>IF(ISBLANK('RESUMEN VIGILANCIA'!AV15),"",'RESUMEN VIGILANCIA'!AV15)</f>
        <v/>
      </c>
      <c r="AX62" s="400" t="str">
        <f>IF(ISBLANK('RESUMEN VIGILANCIA'!AW15),"",'RESUMEN VIGILANCIA'!AW15)</f>
        <v/>
      </c>
      <c r="AY62" s="400" t="str">
        <f>IF(ISBLANK('RESUMEN VIGILANCIA'!AX15),"",'RESUMEN VIGILANCIA'!AX15)</f>
        <v/>
      </c>
      <c r="AZ62" s="400" t="str">
        <f>IF(ISBLANK('RESUMEN VIGILANCIA'!AY15),"",'RESUMEN VIGILANCIA'!AY15)</f>
        <v/>
      </c>
      <c r="BA62" s="401" t="str">
        <f>IF(ISBLANK('RESUMEN VIGILANCIA'!AZ15),"",'RESUMEN VIGILANCIA'!AZ15)</f>
        <v/>
      </c>
      <c r="BB62" s="243">
        <f t="shared" si="1"/>
        <v>0</v>
      </c>
      <c r="BC62" s="112"/>
      <c r="BD62" s="112"/>
    </row>
    <row r="63" spans="1:56" s="29" customFormat="1" ht="20.100000000000001" customHeight="1">
      <c r="A63" s="30" t="str">
        <f>'RESUMEN VIGILANCIA'!A2</f>
        <v>Familia Scabuzzo Gómez</v>
      </c>
      <c r="B63" s="31" t="str">
        <f>'RESUMEN VIGILANCIA'!B2</f>
        <v>Av. "I" Nro. 146-20</v>
      </c>
      <c r="C63" s="452" t="s">
        <v>1249</v>
      </c>
      <c r="D63" s="460"/>
      <c r="E63" s="440" t="str">
        <f>IF(ISBLANK('RESUMEN VIGILANCIA'!D2),"",'RESUMEN VIGILANCIA'!D2)</f>
        <v/>
      </c>
      <c r="F63" s="270">
        <f>IF(ISBLANK('RESUMEN VIGILANCIA'!E2),"",'RESUMEN VIGILANCIA'!E2)</f>
        <v>0.17</v>
      </c>
      <c r="G63" s="182">
        <f>IF(ISBLANK('RESUMEN VIGILANCIA'!F2),"",'RESUMEN VIGILANCIA'!F2)</f>
        <v>0.17</v>
      </c>
      <c r="H63" s="182">
        <f>IF(ISBLANK('RESUMEN VIGILANCIA'!G2),"",'RESUMEN VIGILANCIA'!G2)</f>
        <v>0.17</v>
      </c>
      <c r="I63" s="182">
        <f>IF(ISBLANK('RESUMEN VIGILANCIA'!H2),"",'RESUMEN VIGILANCIA'!H2)</f>
        <v>0.17</v>
      </c>
      <c r="J63" s="183">
        <f>IF(ISBLANK('RESUMEN VIGILANCIA'!I2),"",'RESUMEN VIGILANCIA'!I2)</f>
        <v>0.17</v>
      </c>
      <c r="K63" s="182">
        <f>IF(ISBLANK('RESUMEN VIGILANCIA'!J2),"",'RESUMEN VIGILANCIA'!J2)</f>
        <v>0.26</v>
      </c>
      <c r="L63" s="182">
        <f>IF(ISBLANK('RESUMEN VIGILANCIA'!K2),"",'RESUMEN VIGILANCIA'!K2)</f>
        <v>0.35</v>
      </c>
      <c r="M63" s="182">
        <f>IF(ISBLANK('RESUMEN VIGILANCIA'!L2),"",'RESUMEN VIGILANCIA'!L2)</f>
        <v>0.35</v>
      </c>
      <c r="N63" s="182">
        <f>IF(ISBLANK('RESUMEN VIGILANCIA'!M2),"",'RESUMEN VIGILANCIA'!M2)</f>
        <v>0.35</v>
      </c>
      <c r="O63" s="182">
        <f>IF(ISBLANK('RESUMEN VIGILANCIA'!N2),"",'RESUMEN VIGILANCIA'!N2)</f>
        <v>0.35</v>
      </c>
      <c r="P63" s="271">
        <f>IF(ISBLANK('RESUMEN VIGILANCIA'!O2),"",'RESUMEN VIGILANCIA'!O2)</f>
        <v>0.5</v>
      </c>
      <c r="Q63" s="180">
        <f>IF(ISBLANK('RESUMEN VIGILANCIA'!P2),"",'RESUMEN VIGILANCIA'!P2)</f>
        <v>0.5</v>
      </c>
      <c r="R63" s="272">
        <f>IF(ISBLANK('RESUMEN VIGILANCIA'!Q2),"",'RESUMEN VIGILANCIA'!Q2)</f>
        <v>0.8</v>
      </c>
      <c r="S63" s="271">
        <f>IF(ISBLANK('RESUMEN VIGILANCIA'!R2),"",'RESUMEN VIGILANCIA'!R2)</f>
        <v>0.8</v>
      </c>
      <c r="T63" s="271">
        <f>IF(ISBLANK('RESUMEN VIGILANCIA'!S2),"",'RESUMEN VIGILANCIA'!S2)</f>
        <v>1.4</v>
      </c>
      <c r="U63" s="271">
        <f>IF(ISBLANK('RESUMEN VIGILANCIA'!T2),"",'RESUMEN VIGILANCIA'!T2)</f>
        <v>1.4</v>
      </c>
      <c r="V63" s="271">
        <f>IF(ISBLANK('RESUMEN VIGILANCIA'!U2),"",'RESUMEN VIGILANCIA'!U2)</f>
        <v>4</v>
      </c>
      <c r="W63" s="271">
        <f>IF(ISBLANK('RESUMEN VIGILANCIA'!V2),"",'RESUMEN VIGILANCIA'!V2)</f>
        <v>6.25</v>
      </c>
      <c r="X63" s="271">
        <f>IF(ISBLANK('RESUMEN VIGILANCIA'!W2),"",'RESUMEN VIGILANCIA'!W2)</f>
        <v>10</v>
      </c>
      <c r="Y63" s="271">
        <f>IF(ISBLANK('RESUMEN VIGILANCIA'!X2),"",'RESUMEN VIGILANCIA'!X2)</f>
        <v>12</v>
      </c>
      <c r="Z63" s="481">
        <f>IF(ISBLANK('RESUMEN VIGILANCIA'!Y2),"",'RESUMEN VIGILANCIA'!Y2)</f>
        <v>320</v>
      </c>
      <c r="AA63" s="481">
        <f>IF(ISBLANK('RESUMEN VIGILANCIA'!Z2),"",'RESUMEN VIGILANCIA'!Z2)</f>
        <v>320</v>
      </c>
      <c r="AB63" s="481">
        <f>IF(ISBLANK('RESUMEN VIGILANCIA'!AA2),"",'RESUMEN VIGILANCIA'!AA2)</f>
        <v>350</v>
      </c>
      <c r="AC63" s="482">
        <f>IF(ISBLANK('RESUMEN VIGILANCIA'!AB2),"",'RESUMEN VIGILANCIA'!AB2)</f>
        <v>800</v>
      </c>
      <c r="AD63" s="399">
        <f>IF(ISBLANK('RESUMEN VIGILANCIA'!AC2),"",'RESUMEN VIGILANCIA'!AC2)</f>
        <v>3000</v>
      </c>
      <c r="AE63" s="400">
        <f>IF(ISBLANK('RESUMEN VIGILANCIA'!AD2),"",'RESUMEN VIGILANCIA'!AD2)</f>
        <v>3000</v>
      </c>
      <c r="AF63" s="400">
        <f>IF(ISBLANK('RESUMEN VIGILANCIA'!AE2),"",'RESUMEN VIGILANCIA'!AE2)</f>
        <v>3000</v>
      </c>
      <c r="AG63" s="400">
        <f>IF(ISBLANK('RESUMEN VIGILANCIA'!AF2),"",'RESUMEN VIGILANCIA'!AF2)</f>
        <v>5000</v>
      </c>
      <c r="AH63" s="400">
        <f>IF(ISBLANK('RESUMEN VIGILANCIA'!AG2),"",'RESUMEN VIGILANCIA'!AG2)</f>
        <v>8000</v>
      </c>
      <c r="AI63" s="400">
        <f>IF(ISBLANK('RESUMEN VIGILANCIA'!AH2),"",'RESUMEN VIGILANCIA'!AH2)</f>
        <v>8000</v>
      </c>
      <c r="AJ63" s="400">
        <f>IF(ISBLANK('RESUMEN VIGILANCIA'!AI2),"",'RESUMEN VIGILANCIA'!AI2)</f>
        <v>10000</v>
      </c>
      <c r="AK63" s="400">
        <f>IF(ISBLANK('RESUMEN VIGILANCIA'!AJ2),"",'RESUMEN VIGILANCIA'!AJ2)</f>
        <v>10000</v>
      </c>
      <c r="AL63" s="400">
        <f>IF(ISBLANK('RESUMEN VIGILANCIA'!AK2),"",'RESUMEN VIGILANCIA'!AK2)</f>
        <v>21100</v>
      </c>
      <c r="AM63" s="400">
        <f>IF(ISBLANK('RESUMEN VIGILANCIA'!AL2),"",'RESUMEN VIGILANCIA'!AL2)</f>
        <v>51250</v>
      </c>
      <c r="AN63" s="400">
        <f>IF(ISBLANK('RESUMEN VIGILANCIA'!AM2),"",'RESUMEN VIGILANCIA'!AM2)</f>
        <v>73500</v>
      </c>
      <c r="AO63" s="401" t="str">
        <f>IF(ISBLANK('RESUMEN VIGILANCIA'!AN2),"",'RESUMEN VIGILANCIA'!AN2)</f>
        <v/>
      </c>
      <c r="AP63" s="399" t="str">
        <f>IF(ISBLANK('RESUMEN VIGILANCIA'!AO2),"",'RESUMEN VIGILANCIA'!AO2)</f>
        <v/>
      </c>
      <c r="AQ63" s="400" t="str">
        <f>IF(ISBLANK('RESUMEN VIGILANCIA'!AP2),"",'RESUMEN VIGILANCIA'!AP2)</f>
        <v/>
      </c>
      <c r="AR63" s="400" t="str">
        <f>IF(ISBLANK('RESUMEN VIGILANCIA'!AQ2),"",'RESUMEN VIGILANCIA'!AQ2)</f>
        <v/>
      </c>
      <c r="AS63" s="400" t="str">
        <f>IF(ISBLANK('RESUMEN VIGILANCIA'!AR2),"",'RESUMEN VIGILANCIA'!AR2)</f>
        <v/>
      </c>
      <c r="AT63" s="400" t="str">
        <f>IF(ISBLANK('RESUMEN VIGILANCIA'!AS2),"",'RESUMEN VIGILANCIA'!AS2)</f>
        <v/>
      </c>
      <c r="AU63" s="400" t="str">
        <f>IF(ISBLANK('RESUMEN VIGILANCIA'!AT2),"",'RESUMEN VIGILANCIA'!AT2)</f>
        <v/>
      </c>
      <c r="AV63" s="400" t="str">
        <f>IF(ISBLANK('RESUMEN VIGILANCIA'!AU2),"",'RESUMEN VIGILANCIA'!AU2)</f>
        <v/>
      </c>
      <c r="AW63" s="400" t="str">
        <f>IF(ISBLANK('RESUMEN VIGILANCIA'!AV2),"",'RESUMEN VIGILANCIA'!AV2)</f>
        <v/>
      </c>
      <c r="AX63" s="400" t="str">
        <f>IF(ISBLANK('RESUMEN VIGILANCIA'!AW2),"",'RESUMEN VIGILANCIA'!AW2)</f>
        <v/>
      </c>
      <c r="AY63" s="400" t="str">
        <f>IF(ISBLANK('RESUMEN VIGILANCIA'!AX2),"",'RESUMEN VIGILANCIA'!AX2)</f>
        <v/>
      </c>
      <c r="AZ63" s="400" t="str">
        <f>IF(ISBLANK('RESUMEN VIGILANCIA'!AY2),"",'RESUMEN VIGILANCIA'!AY2)</f>
        <v/>
      </c>
      <c r="BA63" s="401" t="str">
        <f>IF(ISBLANK('RESUMEN VIGILANCIA'!AZ2),"",'RESUMEN VIGILANCIA'!AZ2)</f>
        <v/>
      </c>
      <c r="BB63" s="241">
        <f t="shared" si="1"/>
        <v>197680.16</v>
      </c>
      <c r="BC63" s="114"/>
      <c r="BD63" s="114"/>
    </row>
    <row r="64" spans="1:56" s="29" customFormat="1" ht="20.100000000000001" customHeight="1">
      <c r="A64" s="33" t="str">
        <f>'RESUMEN VIGILANCIA'!A3</f>
        <v>Familia Hoyte Rafmari</v>
      </c>
      <c r="B64" s="34" t="str">
        <f>'RESUMEN VIGILANCIA'!B3</f>
        <v>Av. "I" Nro. 146-30</v>
      </c>
      <c r="C64" s="451" t="s">
        <v>1250</v>
      </c>
      <c r="D64" s="461" t="s">
        <v>1248</v>
      </c>
      <c r="E64" s="439" t="str">
        <f>IF(ISBLANK('RESUMEN VIGILANCIA'!D3),"",'RESUMEN VIGILANCIA'!D3)</f>
        <v/>
      </c>
      <c r="F64" s="267">
        <f>IF(ISBLANK('RESUMEN VIGILANCIA'!E3),"",'RESUMEN VIGILANCIA'!E3)</f>
        <v>0.105</v>
      </c>
      <c r="G64" s="189">
        <f>IF(ISBLANK('RESUMEN VIGILANCIA'!F3),"",'RESUMEN VIGILANCIA'!F3)</f>
        <v>0.105</v>
      </c>
      <c r="H64" s="189">
        <f>IF(ISBLANK('RESUMEN VIGILANCIA'!G3),"",'RESUMEN VIGILANCIA'!G3)</f>
        <v>0.105</v>
      </c>
      <c r="I64" s="189" t="str">
        <f>IF(ISBLANK('RESUMEN VIGILANCIA'!H3),"",'RESUMEN VIGILANCIA'!H3)</f>
        <v/>
      </c>
      <c r="J64" s="189" t="str">
        <f>IF(ISBLANK('RESUMEN VIGILANCIA'!I3),"",'RESUMEN VIGILANCIA'!I3)</f>
        <v/>
      </c>
      <c r="K64" s="189" t="str">
        <f>IF(ISBLANK('RESUMEN VIGILANCIA'!J3),"",'RESUMEN VIGILANCIA'!J3)</f>
        <v/>
      </c>
      <c r="L64" s="189" t="str">
        <f>IF(ISBLANK('RESUMEN VIGILANCIA'!K3),"",'RESUMEN VIGILANCIA'!K3)</f>
        <v/>
      </c>
      <c r="M64" s="189" t="str">
        <f>IF(ISBLANK('RESUMEN VIGILANCIA'!L3),"",'RESUMEN VIGILANCIA'!L3)</f>
        <v/>
      </c>
      <c r="N64" s="189" t="str">
        <f>IF(ISBLANK('RESUMEN VIGILANCIA'!M3),"",'RESUMEN VIGILANCIA'!M3)</f>
        <v/>
      </c>
      <c r="O64" s="189" t="str">
        <f>IF(ISBLANK('RESUMEN VIGILANCIA'!N3),"",'RESUMEN VIGILANCIA'!N3)</f>
        <v/>
      </c>
      <c r="P64" s="268" t="str">
        <f>IF(ISBLANK('RESUMEN VIGILANCIA'!O3),"",'RESUMEN VIGILANCIA'!O3)</f>
        <v/>
      </c>
      <c r="Q64" s="187" t="str">
        <f>IF(ISBLANK('RESUMEN VIGILANCIA'!P3),"",'RESUMEN VIGILANCIA'!P3)</f>
        <v/>
      </c>
      <c r="R64" s="269" t="str">
        <f>IF(ISBLANK('RESUMEN VIGILANCIA'!Q3),"",'RESUMEN VIGILANCIA'!Q3)</f>
        <v/>
      </c>
      <c r="S64" s="268" t="str">
        <f>IF(ISBLANK('RESUMEN VIGILANCIA'!R3),"",'RESUMEN VIGILANCIA'!R3)</f>
        <v/>
      </c>
      <c r="T64" s="268" t="str">
        <f>IF(ISBLANK('RESUMEN VIGILANCIA'!S3),"",'RESUMEN VIGILANCIA'!S3)</f>
        <v/>
      </c>
      <c r="U64" s="268" t="str">
        <f>IF(ISBLANK('RESUMEN VIGILANCIA'!T3),"",'RESUMEN VIGILANCIA'!T3)</f>
        <v/>
      </c>
      <c r="V64" s="268" t="str">
        <f>IF(ISBLANK('RESUMEN VIGILANCIA'!U3),"",'RESUMEN VIGILANCIA'!U3)</f>
        <v/>
      </c>
      <c r="W64" s="268" t="str">
        <f>IF(ISBLANK('RESUMEN VIGILANCIA'!V3),"",'RESUMEN VIGILANCIA'!V3)</f>
        <v/>
      </c>
      <c r="X64" s="268" t="str">
        <f>IF(ISBLANK('RESUMEN VIGILANCIA'!W3),"",'RESUMEN VIGILANCIA'!W3)</f>
        <v/>
      </c>
      <c r="Y64" s="268" t="str">
        <f>IF(ISBLANK('RESUMEN VIGILANCIA'!X3),"",'RESUMEN VIGILANCIA'!X3)</f>
        <v/>
      </c>
      <c r="Z64" s="485" t="str">
        <f>IF(ISBLANK('RESUMEN VIGILANCIA'!Y3),"",'RESUMEN VIGILANCIA'!Y3)</f>
        <v/>
      </c>
      <c r="AA64" s="485" t="str">
        <f>IF(ISBLANK('RESUMEN VIGILANCIA'!Z3),"",'RESUMEN VIGILANCIA'!Z3)</f>
        <v/>
      </c>
      <c r="AB64" s="485" t="str">
        <f>IF(ISBLANK('RESUMEN VIGILANCIA'!AA3),"",'RESUMEN VIGILANCIA'!AA3)</f>
        <v/>
      </c>
      <c r="AC64" s="486" t="str">
        <f>IF(ISBLANK('RESUMEN VIGILANCIA'!AB3),"",'RESUMEN VIGILANCIA'!AB3)</f>
        <v/>
      </c>
      <c r="AD64" s="396" t="str">
        <f>IF(ISBLANK('RESUMEN VIGILANCIA'!AC3),"",'RESUMEN VIGILANCIA'!AC3)</f>
        <v/>
      </c>
      <c r="AE64" s="397" t="str">
        <f>IF(ISBLANK('RESUMEN VIGILANCIA'!AD3),"",'RESUMEN VIGILANCIA'!AD3)</f>
        <v/>
      </c>
      <c r="AF64" s="397" t="str">
        <f>IF(ISBLANK('RESUMEN VIGILANCIA'!AE3),"",'RESUMEN VIGILANCIA'!AE3)</f>
        <v/>
      </c>
      <c r="AG64" s="397" t="str">
        <f>IF(ISBLANK('RESUMEN VIGILANCIA'!AF3),"",'RESUMEN VIGILANCIA'!AF3)</f>
        <v/>
      </c>
      <c r="AH64" s="397" t="str">
        <f>IF(ISBLANK('RESUMEN VIGILANCIA'!AG3),"",'RESUMEN VIGILANCIA'!AG3)</f>
        <v/>
      </c>
      <c r="AI64" s="397" t="str">
        <f>IF(ISBLANK('RESUMEN VIGILANCIA'!AH3),"",'RESUMEN VIGILANCIA'!AH3)</f>
        <v/>
      </c>
      <c r="AJ64" s="397" t="str">
        <f>IF(ISBLANK('RESUMEN VIGILANCIA'!AI3),"",'RESUMEN VIGILANCIA'!AI3)</f>
        <v/>
      </c>
      <c r="AK64" s="397" t="str">
        <f>IF(ISBLANK('RESUMEN VIGILANCIA'!AJ3),"",'RESUMEN VIGILANCIA'!AJ3)</f>
        <v/>
      </c>
      <c r="AL64" s="397" t="str">
        <f>IF(ISBLANK('RESUMEN VIGILANCIA'!AK3),"",'RESUMEN VIGILANCIA'!AK3)</f>
        <v/>
      </c>
      <c r="AM64" s="397" t="str">
        <f>IF(ISBLANK('RESUMEN VIGILANCIA'!AL3),"",'RESUMEN VIGILANCIA'!AL3)</f>
        <v/>
      </c>
      <c r="AN64" s="397" t="str">
        <f>IF(ISBLANK('RESUMEN VIGILANCIA'!AM3),"",'RESUMEN VIGILANCIA'!AM3)</f>
        <v/>
      </c>
      <c r="AO64" s="398" t="str">
        <f>IF(ISBLANK('RESUMEN VIGILANCIA'!AN3),"",'RESUMEN VIGILANCIA'!AN3)</f>
        <v/>
      </c>
      <c r="AP64" s="396" t="str">
        <f>IF(ISBLANK('RESUMEN VIGILANCIA'!AO3),"",'RESUMEN VIGILANCIA'!AO3)</f>
        <v/>
      </c>
      <c r="AQ64" s="397" t="str">
        <f>IF(ISBLANK('RESUMEN VIGILANCIA'!AP3),"",'RESUMEN VIGILANCIA'!AP3)</f>
        <v/>
      </c>
      <c r="AR64" s="397" t="str">
        <f>IF(ISBLANK('RESUMEN VIGILANCIA'!AQ3),"",'RESUMEN VIGILANCIA'!AQ3)</f>
        <v/>
      </c>
      <c r="AS64" s="397" t="str">
        <f>IF(ISBLANK('RESUMEN VIGILANCIA'!AR3),"",'RESUMEN VIGILANCIA'!AR3)</f>
        <v/>
      </c>
      <c r="AT64" s="397" t="str">
        <f>IF(ISBLANK('RESUMEN VIGILANCIA'!AS3),"",'RESUMEN VIGILANCIA'!AS3)</f>
        <v/>
      </c>
      <c r="AU64" s="397" t="str">
        <f>IF(ISBLANK('RESUMEN VIGILANCIA'!AT3),"",'RESUMEN VIGILANCIA'!AT3)</f>
        <v/>
      </c>
      <c r="AV64" s="397" t="str">
        <f>IF(ISBLANK('RESUMEN VIGILANCIA'!AU3),"",'RESUMEN VIGILANCIA'!AU3)</f>
        <v/>
      </c>
      <c r="AW64" s="397" t="str">
        <f>IF(ISBLANK('RESUMEN VIGILANCIA'!AV3),"",'RESUMEN VIGILANCIA'!AV3)</f>
        <v/>
      </c>
      <c r="AX64" s="397" t="str">
        <f>IF(ISBLANK('RESUMEN VIGILANCIA'!AW3),"",'RESUMEN VIGILANCIA'!AW3)</f>
        <v/>
      </c>
      <c r="AY64" s="397" t="str">
        <f>IF(ISBLANK('RESUMEN VIGILANCIA'!AX3),"",'RESUMEN VIGILANCIA'!AX3)</f>
        <v/>
      </c>
      <c r="AZ64" s="397" t="str">
        <f>IF(ISBLANK('RESUMEN VIGILANCIA'!AY3),"",'RESUMEN VIGILANCIA'!AY3)</f>
        <v/>
      </c>
      <c r="BA64" s="398" t="str">
        <f>IF(ISBLANK('RESUMEN VIGILANCIA'!AZ3),"",'RESUMEN VIGILANCIA'!AZ3)</f>
        <v/>
      </c>
      <c r="BB64" s="242">
        <f t="shared" si="1"/>
        <v>0.315</v>
      </c>
      <c r="BC64" s="111"/>
      <c r="BD64" s="111"/>
    </row>
    <row r="65" spans="1:56" s="29" customFormat="1" ht="20.100000000000001" customHeight="1">
      <c r="A65" s="30" t="str">
        <f>'RESUMEN VIGILANCIA'!A4</f>
        <v>Familia Il Grande Franceschi</v>
      </c>
      <c r="B65" s="31" t="str">
        <f>'RESUMEN VIGILANCIA'!B4</f>
        <v>Av. "I" Nro. 146-40</v>
      </c>
      <c r="C65" s="452" t="s">
        <v>1249</v>
      </c>
      <c r="D65" s="460" t="s">
        <v>17</v>
      </c>
      <c r="E65" s="440" t="str">
        <f>IF(ISBLANK('RESUMEN VIGILANCIA'!D4),"",'RESUMEN VIGILANCIA'!D4)</f>
        <v/>
      </c>
      <c r="F65" s="270">
        <f>IF(ISBLANK('RESUMEN VIGILANCIA'!E4),"",'RESUMEN VIGILANCIA'!E4)</f>
        <v>0.17</v>
      </c>
      <c r="G65" s="182">
        <f>IF(ISBLANK('RESUMEN VIGILANCIA'!F4),"",'RESUMEN VIGILANCIA'!F4)</f>
        <v>0.17</v>
      </c>
      <c r="H65" s="182">
        <f>IF(ISBLANK('RESUMEN VIGILANCIA'!G4),"",'RESUMEN VIGILANCIA'!G4)</f>
        <v>0.17</v>
      </c>
      <c r="I65" s="182">
        <f>IF(ISBLANK('RESUMEN VIGILANCIA'!H4),"",'RESUMEN VIGILANCIA'!H4)</f>
        <v>0.17</v>
      </c>
      <c r="J65" s="182">
        <f>IF(ISBLANK('RESUMEN VIGILANCIA'!I4),"",'RESUMEN VIGILANCIA'!I4)</f>
        <v>0.26</v>
      </c>
      <c r="K65" s="182">
        <f>IF(ISBLANK('RESUMEN VIGILANCIA'!J4),"",'RESUMEN VIGILANCIA'!J4)</f>
        <v>0.26</v>
      </c>
      <c r="L65" s="182">
        <f>IF(ISBLANK('RESUMEN VIGILANCIA'!K4),"",'RESUMEN VIGILANCIA'!K4)</f>
        <v>0.35</v>
      </c>
      <c r="M65" s="182">
        <f>IF(ISBLANK('RESUMEN VIGILANCIA'!L4),"",'RESUMEN VIGILANCIA'!L4)</f>
        <v>0.35000000000000003</v>
      </c>
      <c r="N65" s="182">
        <f>IF(ISBLANK('RESUMEN VIGILANCIA'!M4),"",'RESUMEN VIGILANCIA'!M4)</f>
        <v>0.35000000000000003</v>
      </c>
      <c r="O65" s="182">
        <f>IF(ISBLANK('RESUMEN VIGILANCIA'!N4),"",'RESUMEN VIGILANCIA'!N4)</f>
        <v>0.35</v>
      </c>
      <c r="P65" s="271">
        <f>IF(ISBLANK('RESUMEN VIGILANCIA'!O4),"",'RESUMEN VIGILANCIA'!O4)</f>
        <v>0.5</v>
      </c>
      <c r="Q65" s="180">
        <f>IF(ISBLANK('RESUMEN VIGILANCIA'!P4),"",'RESUMEN VIGILANCIA'!P4)</f>
        <v>0.5</v>
      </c>
      <c r="R65" s="272">
        <f>IF(ISBLANK('RESUMEN VIGILANCIA'!Q4),"",'RESUMEN VIGILANCIA'!Q4)</f>
        <v>0.8</v>
      </c>
      <c r="S65" s="271">
        <f>IF(ISBLANK('RESUMEN VIGILANCIA'!R4),"",'RESUMEN VIGILANCIA'!R4)</f>
        <v>0.8</v>
      </c>
      <c r="T65" s="271">
        <f>IF(ISBLANK('RESUMEN VIGILANCIA'!S4),"",'RESUMEN VIGILANCIA'!S4)</f>
        <v>1.4</v>
      </c>
      <c r="U65" s="271">
        <f>IF(ISBLANK('RESUMEN VIGILANCIA'!T4),"",'RESUMEN VIGILANCIA'!T4)</f>
        <v>1.4</v>
      </c>
      <c r="V65" s="271">
        <f>IF(ISBLANK('RESUMEN VIGILANCIA'!U4),"",'RESUMEN VIGILANCIA'!U4)</f>
        <v>4</v>
      </c>
      <c r="W65" s="271">
        <f>IF(ISBLANK('RESUMEN VIGILANCIA'!V4),"",'RESUMEN VIGILANCIA'!V4)</f>
        <v>6.25</v>
      </c>
      <c r="X65" s="271">
        <f>IF(ISBLANK('RESUMEN VIGILANCIA'!W4),"",'RESUMEN VIGILANCIA'!W4)</f>
        <v>10</v>
      </c>
      <c r="Y65" s="271">
        <f>IF(ISBLANK('RESUMEN VIGILANCIA'!X4),"",'RESUMEN VIGILANCIA'!X4)</f>
        <v>12</v>
      </c>
      <c r="Z65" s="481">
        <f>IF(ISBLANK('RESUMEN VIGILANCIA'!Y4),"",'RESUMEN VIGILANCIA'!Y4)</f>
        <v>320.01</v>
      </c>
      <c r="AA65" s="481">
        <f>IF(ISBLANK('RESUMEN VIGILANCIA'!Z4),"",'RESUMEN VIGILANCIA'!Z4)</f>
        <v>320</v>
      </c>
      <c r="AB65" s="481">
        <f>IF(ISBLANK('RESUMEN VIGILANCIA'!AA4),"",'RESUMEN VIGILANCIA'!AA4)</f>
        <v>320</v>
      </c>
      <c r="AC65" s="482">
        <f>IF(ISBLANK('RESUMEN VIGILANCIA'!AB4),"",'RESUMEN VIGILANCIA'!AB4)</f>
        <v>800</v>
      </c>
      <c r="AD65" s="399">
        <f>IF(ISBLANK('RESUMEN VIGILANCIA'!AC4),"",'RESUMEN VIGILANCIA'!AC4)</f>
        <v>3000</v>
      </c>
      <c r="AE65" s="400">
        <f>IF(ISBLANK('RESUMEN VIGILANCIA'!AD4),"",'RESUMEN VIGILANCIA'!AD4)</f>
        <v>3000</v>
      </c>
      <c r="AF65" s="400">
        <f>IF(ISBLANK('RESUMEN VIGILANCIA'!AE4),"",'RESUMEN VIGILANCIA'!AE4)</f>
        <v>3000</v>
      </c>
      <c r="AG65" s="400">
        <f>IF(ISBLANK('RESUMEN VIGILANCIA'!AF4),"",'RESUMEN VIGILANCIA'!AF4)</f>
        <v>5000</v>
      </c>
      <c r="AH65" s="400">
        <f>IF(ISBLANK('RESUMEN VIGILANCIA'!AG4),"",'RESUMEN VIGILANCIA'!AG4)</f>
        <v>8000</v>
      </c>
      <c r="AI65" s="400">
        <f>IF(ISBLANK('RESUMEN VIGILANCIA'!AH4),"",'RESUMEN VIGILANCIA'!AH4)</f>
        <v>8000</v>
      </c>
      <c r="AJ65" s="400">
        <f>IF(ISBLANK('RESUMEN VIGILANCIA'!AI4),"",'RESUMEN VIGILANCIA'!AI4)</f>
        <v>10000</v>
      </c>
      <c r="AK65" s="400">
        <f>IF(ISBLANK('RESUMEN VIGILANCIA'!AJ4),"",'RESUMEN VIGILANCIA'!AJ4)</f>
        <v>10000</v>
      </c>
      <c r="AL65" s="400">
        <f>IF(ISBLANK('RESUMEN VIGILANCIA'!AK4),"",'RESUMEN VIGILANCIA'!AK4)</f>
        <v>20482.22</v>
      </c>
      <c r="AM65" s="400">
        <f>IF(ISBLANK('RESUMEN VIGILANCIA'!AL4),"",'RESUMEN VIGILANCIA'!AL4)</f>
        <v>51250</v>
      </c>
      <c r="AN65" s="400" t="str">
        <f>IF(ISBLANK('RESUMEN VIGILANCIA'!AM4),"",'RESUMEN VIGILANCIA'!AM4)</f>
        <v/>
      </c>
      <c r="AO65" s="401" t="str">
        <f>IF(ISBLANK('RESUMEN VIGILANCIA'!AN4),"",'RESUMEN VIGILANCIA'!AN4)</f>
        <v/>
      </c>
      <c r="AP65" s="399" t="str">
        <f>IF(ISBLANK('RESUMEN VIGILANCIA'!AO4),"",'RESUMEN VIGILANCIA'!AO4)</f>
        <v/>
      </c>
      <c r="AQ65" s="400" t="str">
        <f>IF(ISBLANK('RESUMEN VIGILANCIA'!AP4),"",'RESUMEN VIGILANCIA'!AP4)</f>
        <v/>
      </c>
      <c r="AR65" s="400" t="str">
        <f>IF(ISBLANK('RESUMEN VIGILANCIA'!AQ4),"",'RESUMEN VIGILANCIA'!AQ4)</f>
        <v/>
      </c>
      <c r="AS65" s="400" t="str">
        <f>IF(ISBLANK('RESUMEN VIGILANCIA'!AR4),"",'RESUMEN VIGILANCIA'!AR4)</f>
        <v/>
      </c>
      <c r="AT65" s="400" t="str">
        <f>IF(ISBLANK('RESUMEN VIGILANCIA'!AS4),"",'RESUMEN VIGILANCIA'!AS4)</f>
        <v/>
      </c>
      <c r="AU65" s="400" t="str">
        <f>IF(ISBLANK('RESUMEN VIGILANCIA'!AT4),"",'RESUMEN VIGILANCIA'!AT4)</f>
        <v/>
      </c>
      <c r="AV65" s="400" t="str">
        <f>IF(ISBLANK('RESUMEN VIGILANCIA'!AU4),"",'RESUMEN VIGILANCIA'!AU4)</f>
        <v/>
      </c>
      <c r="AW65" s="400" t="str">
        <f>IF(ISBLANK('RESUMEN VIGILANCIA'!AV4),"",'RESUMEN VIGILANCIA'!AV4)</f>
        <v/>
      </c>
      <c r="AX65" s="400" t="str">
        <f>IF(ISBLANK('RESUMEN VIGILANCIA'!AW4),"",'RESUMEN VIGILANCIA'!AW4)</f>
        <v/>
      </c>
      <c r="AY65" s="400" t="str">
        <f>IF(ISBLANK('RESUMEN VIGILANCIA'!AX4),"",'RESUMEN VIGILANCIA'!AX4)</f>
        <v/>
      </c>
      <c r="AZ65" s="400" t="str">
        <f>IF(ISBLANK('RESUMEN VIGILANCIA'!AY4),"",'RESUMEN VIGILANCIA'!AY4)</f>
        <v/>
      </c>
      <c r="BA65" s="401" t="str">
        <f>IF(ISBLANK('RESUMEN VIGILANCIA'!AZ4),"",'RESUMEN VIGILANCIA'!AZ4)</f>
        <v/>
      </c>
      <c r="BB65" s="243">
        <f t="shared" si="1"/>
        <v>123532.48000000001</v>
      </c>
      <c r="BC65" s="112"/>
      <c r="BD65" s="112"/>
    </row>
    <row r="66" spans="1:56" s="29" customFormat="1" ht="20.100000000000001" customHeight="1">
      <c r="A66" s="30" t="str">
        <f>'RESUMEN VIGILANCIA'!A14</f>
        <v>Familia González López</v>
      </c>
      <c r="B66" s="31" t="str">
        <f>'RESUMEN VIGILANCIA'!B14</f>
        <v>Av. "Ñ" Nro. 145-27</v>
      </c>
      <c r="C66" s="452" t="s">
        <v>1250</v>
      </c>
      <c r="D66" s="460" t="s">
        <v>1248</v>
      </c>
      <c r="E66" s="440" t="str">
        <f>IF(ISBLANK('RESUMEN VIGILANCIA'!D14),"",'RESUMEN VIGILANCIA'!D14)</f>
        <v/>
      </c>
      <c r="F66" s="270" t="str">
        <f>IF(ISBLANK('RESUMEN VIGILANCIA'!E14),"",'RESUMEN VIGILANCIA'!E14)</f>
        <v/>
      </c>
      <c r="G66" s="182" t="str">
        <f>IF(ISBLANK('RESUMEN VIGILANCIA'!F14),"",'RESUMEN VIGILANCIA'!F14)</f>
        <v/>
      </c>
      <c r="H66" s="182" t="str">
        <f>IF(ISBLANK('RESUMEN VIGILANCIA'!G14),"",'RESUMEN VIGILANCIA'!G14)</f>
        <v/>
      </c>
      <c r="I66" s="182" t="str">
        <f>IF(ISBLANK('RESUMEN VIGILANCIA'!H14),"",'RESUMEN VIGILANCIA'!H14)</f>
        <v/>
      </c>
      <c r="J66" s="182" t="str">
        <f>IF(ISBLANK('RESUMEN VIGILANCIA'!I14),"",'RESUMEN VIGILANCIA'!I14)</f>
        <v/>
      </c>
      <c r="K66" s="182" t="str">
        <f>IF(ISBLANK('RESUMEN VIGILANCIA'!J14),"",'RESUMEN VIGILANCIA'!J14)</f>
        <v/>
      </c>
      <c r="L66" s="182" t="str">
        <f>IF(ISBLANK('RESUMEN VIGILANCIA'!K14),"",'RESUMEN VIGILANCIA'!K14)</f>
        <v/>
      </c>
      <c r="M66" s="182" t="str">
        <f>IF(ISBLANK('RESUMEN VIGILANCIA'!L14),"",'RESUMEN VIGILANCIA'!L14)</f>
        <v/>
      </c>
      <c r="N66" s="182" t="str">
        <f>IF(ISBLANK('RESUMEN VIGILANCIA'!M14),"",'RESUMEN VIGILANCIA'!M14)</f>
        <v/>
      </c>
      <c r="O66" s="182" t="str">
        <f>IF(ISBLANK('RESUMEN VIGILANCIA'!N14),"",'RESUMEN VIGILANCIA'!N14)</f>
        <v/>
      </c>
      <c r="P66" s="271" t="str">
        <f>IF(ISBLANK('RESUMEN VIGILANCIA'!O14),"",'RESUMEN VIGILANCIA'!O14)</f>
        <v/>
      </c>
      <c r="Q66" s="180" t="str">
        <f>IF(ISBLANK('RESUMEN VIGILANCIA'!P14),"",'RESUMEN VIGILANCIA'!P14)</f>
        <v/>
      </c>
      <c r="R66" s="272" t="str">
        <f>IF(ISBLANK('RESUMEN VIGILANCIA'!Q14),"",'RESUMEN VIGILANCIA'!Q14)</f>
        <v/>
      </c>
      <c r="S66" s="271" t="str">
        <f>IF(ISBLANK('RESUMEN VIGILANCIA'!R14),"",'RESUMEN VIGILANCIA'!R14)</f>
        <v/>
      </c>
      <c r="T66" s="271" t="str">
        <f>IF(ISBLANK('RESUMEN VIGILANCIA'!S14),"",'RESUMEN VIGILANCIA'!S14)</f>
        <v/>
      </c>
      <c r="U66" s="271" t="str">
        <f>IF(ISBLANK('RESUMEN VIGILANCIA'!T14),"",'RESUMEN VIGILANCIA'!T14)</f>
        <v/>
      </c>
      <c r="V66" s="271" t="str">
        <f>IF(ISBLANK('RESUMEN VIGILANCIA'!U14),"",'RESUMEN VIGILANCIA'!U14)</f>
        <v/>
      </c>
      <c r="W66" s="271" t="str">
        <f>IF(ISBLANK('RESUMEN VIGILANCIA'!V14),"",'RESUMEN VIGILANCIA'!V14)</f>
        <v/>
      </c>
      <c r="X66" s="271" t="str">
        <f>IF(ISBLANK('RESUMEN VIGILANCIA'!W14),"",'RESUMEN VIGILANCIA'!W14)</f>
        <v/>
      </c>
      <c r="Y66" s="271" t="str">
        <f>IF(ISBLANK('RESUMEN VIGILANCIA'!X14),"",'RESUMEN VIGILANCIA'!X14)</f>
        <v/>
      </c>
      <c r="Z66" s="481" t="str">
        <f>IF(ISBLANK('RESUMEN VIGILANCIA'!Y14),"",'RESUMEN VIGILANCIA'!Y14)</f>
        <v/>
      </c>
      <c r="AA66" s="481" t="str">
        <f>IF(ISBLANK('RESUMEN VIGILANCIA'!Z14),"",'RESUMEN VIGILANCIA'!Z14)</f>
        <v/>
      </c>
      <c r="AB66" s="481" t="str">
        <f>IF(ISBLANK('RESUMEN VIGILANCIA'!AA14),"",'RESUMEN VIGILANCIA'!AA14)</f>
        <v/>
      </c>
      <c r="AC66" s="482" t="str">
        <f>IF(ISBLANK('RESUMEN VIGILANCIA'!AB14),"",'RESUMEN VIGILANCIA'!AB14)</f>
        <v/>
      </c>
      <c r="AD66" s="399" t="str">
        <f>IF(ISBLANK('RESUMEN VIGILANCIA'!AC14),"",'RESUMEN VIGILANCIA'!AC14)</f>
        <v/>
      </c>
      <c r="AE66" s="400" t="str">
        <f>IF(ISBLANK('RESUMEN VIGILANCIA'!AD14),"",'RESUMEN VIGILANCIA'!AD14)</f>
        <v/>
      </c>
      <c r="AF66" s="400" t="str">
        <f>IF(ISBLANK('RESUMEN VIGILANCIA'!AE14),"",'RESUMEN VIGILANCIA'!AE14)</f>
        <v/>
      </c>
      <c r="AG66" s="400" t="str">
        <f>IF(ISBLANK('RESUMEN VIGILANCIA'!AF14),"",'RESUMEN VIGILANCIA'!AF14)</f>
        <v/>
      </c>
      <c r="AH66" s="400" t="str">
        <f>IF(ISBLANK('RESUMEN VIGILANCIA'!AG14),"",'RESUMEN VIGILANCIA'!AG14)</f>
        <v/>
      </c>
      <c r="AI66" s="400" t="str">
        <f>IF(ISBLANK('RESUMEN VIGILANCIA'!AH14),"",'RESUMEN VIGILANCIA'!AH14)</f>
        <v/>
      </c>
      <c r="AJ66" s="400" t="str">
        <f>IF(ISBLANK('RESUMEN VIGILANCIA'!AI14),"",'RESUMEN VIGILANCIA'!AI14)</f>
        <v/>
      </c>
      <c r="AK66" s="400" t="str">
        <f>IF(ISBLANK('RESUMEN VIGILANCIA'!AJ14),"",'RESUMEN VIGILANCIA'!AJ14)</f>
        <v/>
      </c>
      <c r="AL66" s="400" t="str">
        <f>IF(ISBLANK('RESUMEN VIGILANCIA'!AK14),"",'RESUMEN VIGILANCIA'!AK14)</f>
        <v/>
      </c>
      <c r="AM66" s="400" t="str">
        <f>IF(ISBLANK('RESUMEN VIGILANCIA'!AL14),"",'RESUMEN VIGILANCIA'!AL14)</f>
        <v/>
      </c>
      <c r="AN66" s="400" t="str">
        <f>IF(ISBLANK('RESUMEN VIGILANCIA'!AM14),"",'RESUMEN VIGILANCIA'!AM14)</f>
        <v/>
      </c>
      <c r="AO66" s="401" t="str">
        <f>IF(ISBLANK('RESUMEN VIGILANCIA'!AN14),"",'RESUMEN VIGILANCIA'!AN14)</f>
        <v/>
      </c>
      <c r="AP66" s="399" t="str">
        <f>IF(ISBLANK('RESUMEN VIGILANCIA'!AO14),"",'RESUMEN VIGILANCIA'!AO14)</f>
        <v/>
      </c>
      <c r="AQ66" s="400" t="str">
        <f>IF(ISBLANK('RESUMEN VIGILANCIA'!AP14),"",'RESUMEN VIGILANCIA'!AP14)</f>
        <v/>
      </c>
      <c r="AR66" s="400" t="str">
        <f>IF(ISBLANK('RESUMEN VIGILANCIA'!AQ14),"",'RESUMEN VIGILANCIA'!AQ14)</f>
        <v/>
      </c>
      <c r="AS66" s="400" t="str">
        <f>IF(ISBLANK('RESUMEN VIGILANCIA'!AR14),"",'RESUMEN VIGILANCIA'!AR14)</f>
        <v/>
      </c>
      <c r="AT66" s="400" t="str">
        <f>IF(ISBLANK('RESUMEN VIGILANCIA'!AS14),"",'RESUMEN VIGILANCIA'!AS14)</f>
        <v/>
      </c>
      <c r="AU66" s="400" t="str">
        <f>IF(ISBLANK('RESUMEN VIGILANCIA'!AT14),"",'RESUMEN VIGILANCIA'!AT14)</f>
        <v/>
      </c>
      <c r="AV66" s="400" t="str">
        <f>IF(ISBLANK('RESUMEN VIGILANCIA'!AU14),"",'RESUMEN VIGILANCIA'!AU14)</f>
        <v/>
      </c>
      <c r="AW66" s="400" t="str">
        <f>IF(ISBLANK('RESUMEN VIGILANCIA'!AV14),"",'RESUMEN VIGILANCIA'!AV14)</f>
        <v/>
      </c>
      <c r="AX66" s="400" t="str">
        <f>IF(ISBLANK('RESUMEN VIGILANCIA'!AW14),"",'RESUMEN VIGILANCIA'!AW14)</f>
        <v/>
      </c>
      <c r="AY66" s="400" t="str">
        <f>IF(ISBLANK('RESUMEN VIGILANCIA'!AX14),"",'RESUMEN VIGILANCIA'!AX14)</f>
        <v/>
      </c>
      <c r="AZ66" s="400" t="str">
        <f>IF(ISBLANK('RESUMEN VIGILANCIA'!AY14),"",'RESUMEN VIGILANCIA'!AY14)</f>
        <v/>
      </c>
      <c r="BA66" s="401" t="str">
        <f>IF(ISBLANK('RESUMEN VIGILANCIA'!AZ14),"",'RESUMEN VIGILANCIA'!AZ14)</f>
        <v/>
      </c>
      <c r="BB66" s="243">
        <f t="shared" si="1"/>
        <v>0</v>
      </c>
      <c r="BC66" s="112"/>
      <c r="BD66" s="112"/>
    </row>
    <row r="67" spans="1:56" s="29" customFormat="1" ht="20.100000000000001" customHeight="1">
      <c r="A67" s="59" t="str">
        <f>'RESUMEN VIGILANCIA'!A10</f>
        <v>La Casita Encantada</v>
      </c>
      <c r="B67" s="60" t="str">
        <f>'RESUMEN VIGILANCIA'!B10</f>
        <v>Av. "M" Nro. 146-30</v>
      </c>
      <c r="C67" s="452" t="s">
        <v>1249</v>
      </c>
      <c r="D67" s="460" t="s">
        <v>1248</v>
      </c>
      <c r="E67" s="440" t="str">
        <f>IF(ISBLANK('RESUMEN VIGILANCIA'!D10),"",'RESUMEN VIGILANCIA'!D10)</f>
        <v/>
      </c>
      <c r="F67" s="274">
        <f>IF(ISBLANK('RESUMEN VIGILANCIA'!E10),"",'RESUMEN VIGILANCIA'!E10)</f>
        <v>0.12</v>
      </c>
      <c r="G67" s="182">
        <f>IF(ISBLANK('RESUMEN VIGILANCIA'!F10),"",'RESUMEN VIGILANCIA'!F10)</f>
        <v>0.2</v>
      </c>
      <c r="H67" s="182">
        <f>IF(ISBLANK('RESUMEN VIGILANCIA'!G10),"",'RESUMEN VIGILANCIA'!G10)</f>
        <v>0.2</v>
      </c>
      <c r="I67" s="182">
        <f>IF(ISBLANK('RESUMEN VIGILANCIA'!H10),"",'RESUMEN VIGILANCIA'!H10)</f>
        <v>0.2</v>
      </c>
      <c r="J67" s="182">
        <f>IF(ISBLANK('RESUMEN VIGILANCIA'!I10),"",'RESUMEN VIGILANCIA'!I10)</f>
        <v>0.3</v>
      </c>
      <c r="K67" s="182">
        <f>IF(ISBLANK('RESUMEN VIGILANCIA'!J10),"",'RESUMEN VIGILANCIA'!J10)</f>
        <v>0.3</v>
      </c>
      <c r="L67" s="182">
        <f>IF(ISBLANK('RESUMEN VIGILANCIA'!K10),"",'RESUMEN VIGILANCIA'!K10)</f>
        <v>0.4</v>
      </c>
      <c r="M67" s="182">
        <f>IF(ISBLANK('RESUMEN VIGILANCIA'!L10),"",'RESUMEN VIGILANCIA'!L10)</f>
        <v>0.4</v>
      </c>
      <c r="N67" s="182">
        <f>IF(ISBLANK('RESUMEN VIGILANCIA'!M10),"",'RESUMEN VIGILANCIA'!M10)</f>
        <v>0.4</v>
      </c>
      <c r="O67" s="182">
        <f>IF(ISBLANK('RESUMEN VIGILANCIA'!N10),"",'RESUMEN VIGILANCIA'!N10)</f>
        <v>0.4</v>
      </c>
      <c r="P67" s="271">
        <f>IF(ISBLANK('RESUMEN VIGILANCIA'!O10),"",'RESUMEN VIGILANCIA'!O10)</f>
        <v>0.54</v>
      </c>
      <c r="Q67" s="180">
        <f>IF(ISBLANK('RESUMEN VIGILANCIA'!P10),"",'RESUMEN VIGILANCIA'!P10)</f>
        <v>0.54</v>
      </c>
      <c r="R67" s="272">
        <f>IF(ISBLANK('RESUMEN VIGILANCIA'!Q10),"",'RESUMEN VIGILANCIA'!Q10)</f>
        <v>0.86399999999999999</v>
      </c>
      <c r="S67" s="271">
        <f>IF(ISBLANK('RESUMEN VIGILANCIA'!R10),"",'RESUMEN VIGILANCIA'!R10)</f>
        <v>0.86399999999999999</v>
      </c>
      <c r="T67" s="271">
        <f>IF(ISBLANK('RESUMEN VIGILANCIA'!S10),"",'RESUMEN VIGILANCIA'!S10)</f>
        <v>1.55</v>
      </c>
      <c r="U67" s="271">
        <f>IF(ISBLANK('RESUMEN VIGILANCIA'!T10),"",'RESUMEN VIGILANCIA'!T10)</f>
        <v>1.55</v>
      </c>
      <c r="V67" s="271">
        <f>IF(ISBLANK('RESUMEN VIGILANCIA'!U10),"",'RESUMEN VIGILANCIA'!U10)</f>
        <v>4</v>
      </c>
      <c r="W67" s="271">
        <f>IF(ISBLANK('RESUMEN VIGILANCIA'!V10),"",'RESUMEN VIGILANCIA'!V10)</f>
        <v>6.9</v>
      </c>
      <c r="X67" s="271">
        <f>IF(ISBLANK('RESUMEN VIGILANCIA'!W10),"",'RESUMEN VIGILANCIA'!W10)</f>
        <v>11</v>
      </c>
      <c r="Y67" s="271">
        <f>IF(ISBLANK('RESUMEN VIGILANCIA'!X10),"",'RESUMEN VIGILANCIA'!X10)</f>
        <v>13.2</v>
      </c>
      <c r="Z67" s="481">
        <f>IF(ISBLANK('RESUMEN VIGILANCIA'!Y10),"",'RESUMEN VIGILANCIA'!Y10)</f>
        <v>320</v>
      </c>
      <c r="AA67" s="481">
        <f>IF(ISBLANK('RESUMEN VIGILANCIA'!Z10),"",'RESUMEN VIGILANCIA'!Z10)</f>
        <v>355</v>
      </c>
      <c r="AB67" s="481">
        <f>IF(ISBLANK('RESUMEN VIGILANCIA'!AA10),"",'RESUMEN VIGILANCIA'!AA10)</f>
        <v>355</v>
      </c>
      <c r="AC67" s="482">
        <f>IF(ISBLANK('RESUMEN VIGILANCIA'!AB10),"",'RESUMEN VIGILANCIA'!AB10)</f>
        <v>800</v>
      </c>
      <c r="AD67" s="402" t="str">
        <f>IF(ISBLANK('RESUMEN VIGILANCIA'!AC10),"",'RESUMEN VIGILANCIA'!AC10)</f>
        <v>CESE DE OPERACIONES</v>
      </c>
      <c r="AE67" s="403" t="str">
        <f>IF(ISBLANK('RESUMEN VIGILANCIA'!AD10),"",'RESUMEN VIGILANCIA'!AD10)</f>
        <v/>
      </c>
      <c r="AF67" s="403" t="str">
        <f>IF(ISBLANK('RESUMEN VIGILANCIA'!AE10),"",'RESUMEN VIGILANCIA'!AE10)</f>
        <v/>
      </c>
      <c r="AG67" s="403" t="str">
        <f>IF(ISBLANK('RESUMEN VIGILANCIA'!AF10),"",'RESUMEN VIGILANCIA'!AF10)</f>
        <v/>
      </c>
      <c r="AH67" s="403" t="str">
        <f>IF(ISBLANK('RESUMEN VIGILANCIA'!AG10),"",'RESUMEN VIGILANCIA'!AG10)</f>
        <v/>
      </c>
      <c r="AI67" s="403" t="str">
        <f>IF(ISBLANK('RESUMEN VIGILANCIA'!AH10),"",'RESUMEN VIGILANCIA'!AH10)</f>
        <v/>
      </c>
      <c r="AJ67" s="403" t="str">
        <f>IF(ISBLANK('RESUMEN VIGILANCIA'!AI10),"",'RESUMEN VIGILANCIA'!AI10)</f>
        <v/>
      </c>
      <c r="AK67" s="403" t="str">
        <f>IF(ISBLANK('RESUMEN VIGILANCIA'!AJ10),"",'RESUMEN VIGILANCIA'!AJ10)</f>
        <v/>
      </c>
      <c r="AL67" s="403" t="str">
        <f>IF(ISBLANK('RESUMEN VIGILANCIA'!AK10),"",'RESUMEN VIGILANCIA'!AK10)</f>
        <v/>
      </c>
      <c r="AM67" s="403" t="str">
        <f>IF(ISBLANK('RESUMEN VIGILANCIA'!AL10),"",'RESUMEN VIGILANCIA'!AL10)</f>
        <v/>
      </c>
      <c r="AN67" s="403" t="str">
        <f>IF(ISBLANK('RESUMEN VIGILANCIA'!AM10),"",'RESUMEN VIGILANCIA'!AM10)</f>
        <v/>
      </c>
      <c r="AO67" s="414" t="str">
        <f>IF(ISBLANK('RESUMEN VIGILANCIA'!AN10),"",'RESUMEN VIGILANCIA'!AN10)</f>
        <v/>
      </c>
      <c r="AP67" s="402" t="str">
        <f>IF(ISBLANK('RESUMEN VIGILANCIA'!AO10),"",'RESUMEN VIGILANCIA'!AO10)</f>
        <v/>
      </c>
      <c r="AQ67" s="403" t="str">
        <f>IF(ISBLANK('RESUMEN VIGILANCIA'!AP10),"",'RESUMEN VIGILANCIA'!AP10)</f>
        <v/>
      </c>
      <c r="AR67" s="403" t="str">
        <f>IF(ISBLANK('RESUMEN VIGILANCIA'!AQ10),"",'RESUMEN VIGILANCIA'!AQ10)</f>
        <v/>
      </c>
      <c r="AS67" s="403" t="str">
        <f>IF(ISBLANK('RESUMEN VIGILANCIA'!AR10),"",'RESUMEN VIGILANCIA'!AR10)</f>
        <v/>
      </c>
      <c r="AT67" s="403" t="str">
        <f>IF(ISBLANK('RESUMEN VIGILANCIA'!AS10),"",'RESUMEN VIGILANCIA'!AS10)</f>
        <v/>
      </c>
      <c r="AU67" s="403" t="str">
        <f>IF(ISBLANK('RESUMEN VIGILANCIA'!AT10),"",'RESUMEN VIGILANCIA'!AT10)</f>
        <v/>
      </c>
      <c r="AV67" s="403" t="str">
        <f>IF(ISBLANK('RESUMEN VIGILANCIA'!AU10),"",'RESUMEN VIGILANCIA'!AU10)</f>
        <v/>
      </c>
      <c r="AW67" s="403" t="str">
        <f>IF(ISBLANK('RESUMEN VIGILANCIA'!AV10),"",'RESUMEN VIGILANCIA'!AV10)</f>
        <v/>
      </c>
      <c r="AX67" s="403" t="str">
        <f>IF(ISBLANK('RESUMEN VIGILANCIA'!AW10),"",'RESUMEN VIGILANCIA'!AW10)</f>
        <v/>
      </c>
      <c r="AY67" s="403" t="str">
        <f>IF(ISBLANK('RESUMEN VIGILANCIA'!AX10),"",'RESUMEN VIGILANCIA'!AX10)</f>
        <v/>
      </c>
      <c r="AZ67" s="403" t="str">
        <f>IF(ISBLANK('RESUMEN VIGILANCIA'!AY10),"",'RESUMEN VIGILANCIA'!AY10)</f>
        <v/>
      </c>
      <c r="BA67" s="414" t="str">
        <f>IF(ISBLANK('RESUMEN VIGILANCIA'!AZ10),"",'RESUMEN VIGILANCIA'!AZ10)</f>
        <v/>
      </c>
      <c r="BB67" s="243">
        <f t="shared" si="1"/>
        <v>1873.9279999999999</v>
      </c>
      <c r="BC67" s="112"/>
      <c r="BD67" s="112">
        <v>43465</v>
      </c>
    </row>
    <row r="68" spans="1:56" s="29" customFormat="1" ht="20.100000000000001" customHeight="1">
      <c r="A68" s="552" t="str">
        <f>'RESUMEN VIGILANCIA'!A11</f>
        <v>Familia Calzadilla Trujillo</v>
      </c>
      <c r="B68" s="553" t="str">
        <f>'RESUMEN VIGILANCIA'!B11</f>
        <v>Av. "M" Nro. 146-30</v>
      </c>
      <c r="C68" s="452" t="s">
        <v>1249</v>
      </c>
      <c r="D68" s="460" t="s">
        <v>1248</v>
      </c>
      <c r="E68" s="443" t="str">
        <f>IF(ISBLANK('RESUMEN VIGILANCIA'!D11),"",'RESUMEN VIGILANCIA'!D11)</f>
        <v/>
      </c>
      <c r="F68" s="298" t="str">
        <f>IF(ISBLANK('RESUMEN VIGILANCIA'!E11),"",'RESUMEN VIGILANCIA'!E11)</f>
        <v/>
      </c>
      <c r="G68" s="217" t="str">
        <f>IF(ISBLANK('RESUMEN VIGILANCIA'!F11),"",'RESUMEN VIGILANCIA'!F11)</f>
        <v/>
      </c>
      <c r="H68" s="217" t="str">
        <f>IF(ISBLANK('RESUMEN VIGILANCIA'!G11),"",'RESUMEN VIGILANCIA'!G11)</f>
        <v/>
      </c>
      <c r="I68" s="217" t="str">
        <f>IF(ISBLANK('RESUMEN VIGILANCIA'!H11),"",'RESUMEN VIGILANCIA'!H11)</f>
        <v/>
      </c>
      <c r="J68" s="217" t="str">
        <f>IF(ISBLANK('RESUMEN VIGILANCIA'!I11),"",'RESUMEN VIGILANCIA'!I11)</f>
        <v/>
      </c>
      <c r="K68" s="217" t="str">
        <f>IF(ISBLANK('RESUMEN VIGILANCIA'!J11),"",'RESUMEN VIGILANCIA'!J11)</f>
        <v/>
      </c>
      <c r="L68" s="217" t="str">
        <f>IF(ISBLANK('RESUMEN VIGILANCIA'!K11),"",'RESUMEN VIGILANCIA'!K11)</f>
        <v/>
      </c>
      <c r="M68" s="217" t="str">
        <f>IF(ISBLANK('RESUMEN VIGILANCIA'!L11),"",'RESUMEN VIGILANCIA'!L11)</f>
        <v/>
      </c>
      <c r="N68" s="217" t="str">
        <f>IF(ISBLANK('RESUMEN VIGILANCIA'!M11),"",'RESUMEN VIGILANCIA'!M11)</f>
        <v/>
      </c>
      <c r="O68" s="217" t="str">
        <f>IF(ISBLANK('RESUMEN VIGILANCIA'!N11),"",'RESUMEN VIGILANCIA'!N11)</f>
        <v/>
      </c>
      <c r="P68" s="284" t="str">
        <f>IF(ISBLANK('RESUMEN VIGILANCIA'!O11),"",'RESUMEN VIGILANCIA'!O11)</f>
        <v/>
      </c>
      <c r="Q68" s="215" t="str">
        <f>IF(ISBLANK('RESUMEN VIGILANCIA'!P11),"",'RESUMEN VIGILANCIA'!P11)</f>
        <v/>
      </c>
      <c r="R68" s="285" t="str">
        <f>IF(ISBLANK('RESUMEN VIGILANCIA'!Q11),"",'RESUMEN VIGILANCIA'!Q11)</f>
        <v/>
      </c>
      <c r="S68" s="284" t="str">
        <f>IF(ISBLANK('RESUMEN VIGILANCIA'!R11),"",'RESUMEN VIGILANCIA'!R11)</f>
        <v/>
      </c>
      <c r="T68" s="284" t="str">
        <f>IF(ISBLANK('RESUMEN VIGILANCIA'!S11),"",'RESUMEN VIGILANCIA'!S11)</f>
        <v/>
      </c>
      <c r="U68" s="284" t="str">
        <f>IF(ISBLANK('RESUMEN VIGILANCIA'!T11),"",'RESUMEN VIGILANCIA'!T11)</f>
        <v/>
      </c>
      <c r="V68" s="284" t="str">
        <f>IF(ISBLANK('RESUMEN VIGILANCIA'!U11),"",'RESUMEN VIGILANCIA'!U11)</f>
        <v/>
      </c>
      <c r="W68" s="284" t="str">
        <f>IF(ISBLANK('RESUMEN VIGILANCIA'!V11),"",'RESUMEN VIGILANCIA'!V11)</f>
        <v/>
      </c>
      <c r="X68" s="284" t="str">
        <f>IF(ISBLANK('RESUMEN VIGILANCIA'!W11),"",'RESUMEN VIGILANCIA'!W11)</f>
        <v/>
      </c>
      <c r="Y68" s="284" t="str">
        <f>IF(ISBLANK('RESUMEN VIGILANCIA'!X11),"",'RESUMEN VIGILANCIA'!X11)</f>
        <v/>
      </c>
      <c r="Z68" s="492" t="str">
        <f>IF(ISBLANK('RESUMEN VIGILANCIA'!Y11),"",'RESUMEN VIGILANCIA'!Y11)</f>
        <v/>
      </c>
      <c r="AA68" s="492" t="str">
        <f>IF(ISBLANK('RESUMEN VIGILANCIA'!Z11),"",'RESUMEN VIGILANCIA'!Z11)</f>
        <v/>
      </c>
      <c r="AB68" s="492" t="str">
        <f>IF(ISBLANK('RESUMEN VIGILANCIA'!AA11),"",'RESUMEN VIGILANCIA'!AA11)</f>
        <v/>
      </c>
      <c r="AC68" s="493" t="str">
        <f>IF(ISBLANK('RESUMEN VIGILANCIA'!AB11),"",'RESUMEN VIGILANCIA'!AB11)</f>
        <v/>
      </c>
      <c r="AD68" s="399">
        <f>IF(ISBLANK('RESUMEN VIGILANCIA'!AC11),"",'RESUMEN VIGILANCIA'!AC11)</f>
        <v>3000</v>
      </c>
      <c r="AE68" s="400">
        <f>IF(ISBLANK('RESUMEN VIGILANCIA'!AD11),"",'RESUMEN VIGILANCIA'!AD11)</f>
        <v>3000</v>
      </c>
      <c r="AF68" s="400">
        <f>IF(ISBLANK('RESUMEN VIGILANCIA'!AE11),"",'RESUMEN VIGILANCIA'!AE11)</f>
        <v>3000</v>
      </c>
      <c r="AG68" s="400">
        <f>IF(ISBLANK('RESUMEN VIGILANCIA'!AF11),"",'RESUMEN VIGILANCIA'!AF11)</f>
        <v>5000</v>
      </c>
      <c r="AH68" s="400">
        <f>IF(ISBLANK('RESUMEN VIGILANCIA'!AG11),"",'RESUMEN VIGILANCIA'!AG11)</f>
        <v>8000</v>
      </c>
      <c r="AI68" s="400">
        <f>IF(ISBLANK('RESUMEN VIGILANCIA'!AH11),"",'RESUMEN VIGILANCIA'!AH11)</f>
        <v>8000</v>
      </c>
      <c r="AJ68" s="536" t="str">
        <f>IF(ISBLANK('RESUMEN VIGILANCIA'!AI11),"",'RESUMEN VIGILANCIA'!AI11)</f>
        <v>VENDIDA</v>
      </c>
      <c r="AK68" s="403" t="str">
        <f>IF(ISBLANK('RESUMEN VIGILANCIA'!AJ11),"",'RESUMEN VIGILANCIA'!AJ11)</f>
        <v/>
      </c>
      <c r="AL68" s="403" t="str">
        <f>IF(ISBLANK('RESUMEN VIGILANCIA'!AK11),"",'RESUMEN VIGILANCIA'!AK11)</f>
        <v/>
      </c>
      <c r="AM68" s="403" t="str">
        <f>IF(ISBLANK('RESUMEN VIGILANCIA'!AL11),"",'RESUMEN VIGILANCIA'!AL11)</f>
        <v/>
      </c>
      <c r="AN68" s="403" t="str">
        <f>IF(ISBLANK('RESUMEN VIGILANCIA'!AM11),"",'RESUMEN VIGILANCIA'!AM11)</f>
        <v/>
      </c>
      <c r="AO68" s="414" t="str">
        <f>IF(ISBLANK('RESUMEN VIGILANCIA'!AN11),"",'RESUMEN VIGILANCIA'!AN11)</f>
        <v/>
      </c>
      <c r="AP68" s="402" t="str">
        <f>IF(ISBLANK('RESUMEN VIGILANCIA'!AO11),"",'RESUMEN VIGILANCIA'!AO11)</f>
        <v/>
      </c>
      <c r="AQ68" s="403" t="str">
        <f>IF(ISBLANK('RESUMEN VIGILANCIA'!AP11),"",'RESUMEN VIGILANCIA'!AP11)</f>
        <v/>
      </c>
      <c r="AR68" s="403" t="str">
        <f>IF(ISBLANK('RESUMEN VIGILANCIA'!AQ11),"",'RESUMEN VIGILANCIA'!AQ11)</f>
        <v/>
      </c>
      <c r="AS68" s="403" t="str">
        <f>IF(ISBLANK('RESUMEN VIGILANCIA'!AR11),"",'RESUMEN VIGILANCIA'!AR11)</f>
        <v/>
      </c>
      <c r="AT68" s="403" t="str">
        <f>IF(ISBLANK('RESUMEN VIGILANCIA'!AS11),"",'RESUMEN VIGILANCIA'!AS11)</f>
        <v/>
      </c>
      <c r="AU68" s="403" t="str">
        <f>IF(ISBLANK('RESUMEN VIGILANCIA'!AT11),"",'RESUMEN VIGILANCIA'!AT11)</f>
        <v/>
      </c>
      <c r="AV68" s="536" t="str">
        <f>IF(ISBLANK('RESUMEN VIGILANCIA'!AU11),"",'RESUMEN VIGILANCIA'!AU11)</f>
        <v/>
      </c>
      <c r="AW68" s="403" t="str">
        <f>IF(ISBLANK('RESUMEN VIGILANCIA'!AV11),"",'RESUMEN VIGILANCIA'!AV11)</f>
        <v/>
      </c>
      <c r="AX68" s="403" t="str">
        <f>IF(ISBLANK('RESUMEN VIGILANCIA'!AW11),"",'RESUMEN VIGILANCIA'!AW11)</f>
        <v/>
      </c>
      <c r="AY68" s="403" t="str">
        <f>IF(ISBLANK('RESUMEN VIGILANCIA'!AX11),"",'RESUMEN VIGILANCIA'!AX11)</f>
        <v/>
      </c>
      <c r="AZ68" s="403" t="str">
        <f>IF(ISBLANK('RESUMEN VIGILANCIA'!AY11),"",'RESUMEN VIGILANCIA'!AY11)</f>
        <v/>
      </c>
      <c r="BA68" s="414" t="str">
        <f>IF(ISBLANK('RESUMEN VIGILANCIA'!AZ11),"",'RESUMEN VIGILANCIA'!AZ11)</f>
        <v/>
      </c>
      <c r="BB68" s="243">
        <f t="shared" ref="BB68:BB101" si="4">SUM(E68:AO68)</f>
        <v>30000</v>
      </c>
      <c r="BC68" s="112">
        <v>43466</v>
      </c>
      <c r="BD68" s="112">
        <v>43617</v>
      </c>
    </row>
    <row r="69" spans="1:56" s="29" customFormat="1" ht="20.100000000000001" customHeight="1">
      <c r="A69" s="383" t="str">
        <f>'RESUMEN VIGILANCIA'!A12</f>
        <v>Santiago Varela</v>
      </c>
      <c r="B69" s="384" t="str">
        <f>'RESUMEN VIGILANCIA'!B12</f>
        <v>Av. "M" Nro. 146-30</v>
      </c>
      <c r="C69" s="452" t="s">
        <v>1249</v>
      </c>
      <c r="D69" s="460" t="s">
        <v>1248</v>
      </c>
      <c r="E69" s="443" t="str">
        <f>IF(ISBLANK('RESUMEN VIGILANCIA'!D12),"",'RESUMEN VIGILANCIA'!D12)</f>
        <v/>
      </c>
      <c r="F69" s="298" t="str">
        <f>IF(ISBLANK('RESUMEN VIGILANCIA'!E12),"",'RESUMEN VIGILANCIA'!E12)</f>
        <v/>
      </c>
      <c r="G69" s="217" t="str">
        <f>IF(ISBLANK('RESUMEN VIGILANCIA'!F12),"",'RESUMEN VIGILANCIA'!F12)</f>
        <v/>
      </c>
      <c r="H69" s="217" t="str">
        <f>IF(ISBLANK('RESUMEN VIGILANCIA'!G12),"",'RESUMEN VIGILANCIA'!G12)</f>
        <v/>
      </c>
      <c r="I69" s="217" t="str">
        <f>IF(ISBLANK('RESUMEN VIGILANCIA'!H12),"",'RESUMEN VIGILANCIA'!H12)</f>
        <v/>
      </c>
      <c r="J69" s="217" t="str">
        <f>IF(ISBLANK('RESUMEN VIGILANCIA'!I12),"",'RESUMEN VIGILANCIA'!I12)</f>
        <v/>
      </c>
      <c r="K69" s="217" t="str">
        <f>IF(ISBLANK('RESUMEN VIGILANCIA'!J12),"",'RESUMEN VIGILANCIA'!J12)</f>
        <v/>
      </c>
      <c r="L69" s="217" t="str">
        <f>IF(ISBLANK('RESUMEN VIGILANCIA'!K12),"",'RESUMEN VIGILANCIA'!K12)</f>
        <v/>
      </c>
      <c r="M69" s="217" t="str">
        <f>IF(ISBLANK('RESUMEN VIGILANCIA'!L12),"",'RESUMEN VIGILANCIA'!L12)</f>
        <v/>
      </c>
      <c r="N69" s="217" t="str">
        <f>IF(ISBLANK('RESUMEN VIGILANCIA'!M12),"",'RESUMEN VIGILANCIA'!M12)</f>
        <v/>
      </c>
      <c r="O69" s="217" t="str">
        <f>IF(ISBLANK('RESUMEN VIGILANCIA'!N12),"",'RESUMEN VIGILANCIA'!N12)</f>
        <v/>
      </c>
      <c r="P69" s="284" t="str">
        <f>IF(ISBLANK('RESUMEN VIGILANCIA'!O12),"",'RESUMEN VIGILANCIA'!O12)</f>
        <v/>
      </c>
      <c r="Q69" s="215" t="str">
        <f>IF(ISBLANK('RESUMEN VIGILANCIA'!P12),"",'RESUMEN VIGILANCIA'!P12)</f>
        <v/>
      </c>
      <c r="R69" s="285" t="str">
        <f>IF(ISBLANK('RESUMEN VIGILANCIA'!Q12),"",'RESUMEN VIGILANCIA'!Q12)</f>
        <v/>
      </c>
      <c r="S69" s="284" t="str">
        <f>IF(ISBLANK('RESUMEN VIGILANCIA'!R12),"",'RESUMEN VIGILANCIA'!R12)</f>
        <v/>
      </c>
      <c r="T69" s="284" t="str">
        <f>IF(ISBLANK('RESUMEN VIGILANCIA'!S12),"",'RESUMEN VIGILANCIA'!S12)</f>
        <v/>
      </c>
      <c r="U69" s="284" t="str">
        <f>IF(ISBLANK('RESUMEN VIGILANCIA'!T12),"",'RESUMEN VIGILANCIA'!T12)</f>
        <v/>
      </c>
      <c r="V69" s="284" t="str">
        <f>IF(ISBLANK('RESUMEN VIGILANCIA'!U12),"",'RESUMEN VIGILANCIA'!U12)</f>
        <v/>
      </c>
      <c r="W69" s="284" t="str">
        <f>IF(ISBLANK('RESUMEN VIGILANCIA'!V12),"",'RESUMEN VIGILANCIA'!V12)</f>
        <v/>
      </c>
      <c r="X69" s="284" t="str">
        <f>IF(ISBLANK('RESUMEN VIGILANCIA'!W12),"",'RESUMEN VIGILANCIA'!W12)</f>
        <v/>
      </c>
      <c r="Y69" s="284" t="str">
        <f>IF(ISBLANK('RESUMEN VIGILANCIA'!X12),"",'RESUMEN VIGILANCIA'!X12)</f>
        <v/>
      </c>
      <c r="Z69" s="492" t="str">
        <f>IF(ISBLANK('RESUMEN VIGILANCIA'!Y12),"",'RESUMEN VIGILANCIA'!Y12)</f>
        <v/>
      </c>
      <c r="AA69" s="492" t="str">
        <f>IF(ISBLANK('RESUMEN VIGILANCIA'!Z12),"",'RESUMEN VIGILANCIA'!Z12)</f>
        <v/>
      </c>
      <c r="AB69" s="492" t="str">
        <f>IF(ISBLANK('RESUMEN VIGILANCIA'!AA12),"",'RESUMEN VIGILANCIA'!AA12)</f>
        <v/>
      </c>
      <c r="AC69" s="493" t="str">
        <f>IF(ISBLANK('RESUMEN VIGILANCIA'!AB12),"",'RESUMEN VIGILANCIA'!AB12)</f>
        <v/>
      </c>
      <c r="AD69" s="506" t="str">
        <f>IF(ISBLANK('RESUMEN VIGILANCIA'!AC12),"",'RESUMEN VIGILANCIA'!AC12)</f>
        <v/>
      </c>
      <c r="AE69" s="507" t="str">
        <f>IF(ISBLANK('RESUMEN VIGILANCIA'!AD12),"",'RESUMEN VIGILANCIA'!AD12)</f>
        <v/>
      </c>
      <c r="AF69" s="507" t="str">
        <f>IF(ISBLANK('RESUMEN VIGILANCIA'!AE12),"",'RESUMEN VIGILANCIA'!AE12)</f>
        <v/>
      </c>
      <c r="AG69" s="507" t="str">
        <f>IF(ISBLANK('RESUMEN VIGILANCIA'!AF12),"",'RESUMEN VIGILANCIA'!AF12)</f>
        <v/>
      </c>
      <c r="AH69" s="507" t="str">
        <f>IF(ISBLANK('RESUMEN VIGILANCIA'!AG12),"",'RESUMEN VIGILANCIA'!AG12)</f>
        <v/>
      </c>
      <c r="AI69" s="507" t="str">
        <f>IF(ISBLANK('RESUMEN VIGILANCIA'!AH12),"",'RESUMEN VIGILANCIA'!AH12)</f>
        <v/>
      </c>
      <c r="AJ69" s="400">
        <f>IF(ISBLANK('RESUMEN VIGILANCIA'!AI12),"",'RESUMEN VIGILANCIA'!AI12)</f>
        <v>10000</v>
      </c>
      <c r="AK69" s="400">
        <f>IF(ISBLANK('RESUMEN VIGILANCIA'!AJ12),"",'RESUMEN VIGILANCIA'!AJ12)</f>
        <v>10000</v>
      </c>
      <c r="AL69" s="400">
        <f>IF(ISBLANK('RESUMEN VIGILANCIA'!AK12),"",'RESUMEN VIGILANCIA'!AK12)</f>
        <v>19800</v>
      </c>
      <c r="AM69" s="400">
        <f>IF(ISBLANK('RESUMEN VIGILANCIA'!AL12),"",'RESUMEN VIGILANCIA'!AL12)</f>
        <v>51250</v>
      </c>
      <c r="AN69" s="400">
        <f>IF(ISBLANK('RESUMEN VIGILANCIA'!AM12),"",'RESUMEN VIGILANCIA'!AM12)</f>
        <v>81750</v>
      </c>
      <c r="AO69" s="401">
        <f>IF(ISBLANK('RESUMEN VIGILANCIA'!AN12),"",'RESUMEN VIGILANCIA'!AN12)</f>
        <v>81750</v>
      </c>
      <c r="AP69" s="399">
        <f>IF(ISBLANK('RESUMEN VIGILANCIA'!AO12),"",'RESUMEN VIGILANCIA'!AO12)</f>
        <v>136250</v>
      </c>
      <c r="AQ69" s="400" t="str">
        <f>IF(ISBLANK('RESUMEN VIGILANCIA'!AP12),"",'RESUMEN VIGILANCIA'!AP12)</f>
        <v/>
      </c>
      <c r="AR69" s="400" t="str">
        <f>IF(ISBLANK('RESUMEN VIGILANCIA'!AQ12),"",'RESUMEN VIGILANCIA'!AQ12)</f>
        <v/>
      </c>
      <c r="AS69" s="400" t="str">
        <f>IF(ISBLANK('RESUMEN VIGILANCIA'!AR12),"",'RESUMEN VIGILANCIA'!AR12)</f>
        <v/>
      </c>
      <c r="AT69" s="400" t="str">
        <f>IF(ISBLANK('RESUMEN VIGILANCIA'!AS12),"",'RESUMEN VIGILANCIA'!AS12)</f>
        <v/>
      </c>
      <c r="AU69" s="400" t="str">
        <f>IF(ISBLANK('RESUMEN VIGILANCIA'!AT12),"",'RESUMEN VIGILANCIA'!AT12)</f>
        <v/>
      </c>
      <c r="AV69" s="400" t="str">
        <f>IF(ISBLANK('RESUMEN VIGILANCIA'!AU12),"",'RESUMEN VIGILANCIA'!AU12)</f>
        <v/>
      </c>
      <c r="AW69" s="400" t="str">
        <f>IF(ISBLANK('RESUMEN VIGILANCIA'!AV12),"",'RESUMEN VIGILANCIA'!AV12)</f>
        <v/>
      </c>
      <c r="AX69" s="400" t="str">
        <f>IF(ISBLANK('RESUMEN VIGILANCIA'!AW12),"",'RESUMEN VIGILANCIA'!AW12)</f>
        <v/>
      </c>
      <c r="AY69" s="400" t="str">
        <f>IF(ISBLANK('RESUMEN VIGILANCIA'!AX12),"",'RESUMEN VIGILANCIA'!AX12)</f>
        <v/>
      </c>
      <c r="AZ69" s="400" t="str">
        <f>IF(ISBLANK('RESUMEN VIGILANCIA'!AY12),"",'RESUMEN VIGILANCIA'!AY12)</f>
        <v/>
      </c>
      <c r="BA69" s="401" t="str">
        <f>IF(ISBLANK('RESUMEN VIGILANCIA'!AZ12),"",'RESUMEN VIGILANCIA'!AZ12)</f>
        <v/>
      </c>
      <c r="BB69" s="243">
        <f t="shared" ref="BB69" si="5">SUM(E69:AO69)</f>
        <v>254550</v>
      </c>
      <c r="BC69" s="112">
        <v>43647</v>
      </c>
      <c r="BD69" s="112"/>
    </row>
    <row r="70" spans="1:56" s="29" customFormat="1" ht="20.100000000000001" customHeight="1">
      <c r="A70" s="30" t="str">
        <f>'RESUMEN VIGILANCIA'!A6</f>
        <v>Sra. Reina Meléndez</v>
      </c>
      <c r="B70" s="31" t="str">
        <f>'RESUMEN VIGILANCIA'!B6</f>
        <v>Av. "M" Nro. 145-10</v>
      </c>
      <c r="C70" s="452" t="s">
        <v>1249</v>
      </c>
      <c r="D70" s="460" t="s">
        <v>1248</v>
      </c>
      <c r="E70" s="440" t="str">
        <f>IF(ISBLANK('RESUMEN VIGILANCIA'!D6),"",'RESUMEN VIGILANCIA'!D6)</f>
        <v/>
      </c>
      <c r="F70" s="270">
        <f>IF(ISBLANK('RESUMEN VIGILANCIA'!E6),"",'RESUMEN VIGILANCIA'!E6)</f>
        <v>0.17</v>
      </c>
      <c r="G70" s="182">
        <f>IF(ISBLANK('RESUMEN VIGILANCIA'!F6),"",'RESUMEN VIGILANCIA'!F6)</f>
        <v>0.17</v>
      </c>
      <c r="H70" s="182">
        <f>IF(ISBLANK('RESUMEN VIGILANCIA'!G6),"",'RESUMEN VIGILANCIA'!G6)</f>
        <v>0.17</v>
      </c>
      <c r="I70" s="182">
        <f>IF(ISBLANK('RESUMEN VIGILANCIA'!H6),"",'RESUMEN VIGILANCIA'!H6)</f>
        <v>0.17</v>
      </c>
      <c r="J70" s="182">
        <f>IF(ISBLANK('RESUMEN VIGILANCIA'!I6),"",'RESUMEN VIGILANCIA'!I6)</f>
        <v>0.26</v>
      </c>
      <c r="K70" s="182">
        <f>IF(ISBLANK('RESUMEN VIGILANCIA'!J6),"",'RESUMEN VIGILANCIA'!J6)</f>
        <v>0.26</v>
      </c>
      <c r="L70" s="182">
        <f>IF(ISBLANK('RESUMEN VIGILANCIA'!K6),"",'RESUMEN VIGILANCIA'!K6)</f>
        <v>0.35</v>
      </c>
      <c r="M70" s="182">
        <f>IF(ISBLANK('RESUMEN VIGILANCIA'!L6),"",'RESUMEN VIGILANCIA'!L6)</f>
        <v>0.35</v>
      </c>
      <c r="N70" s="182">
        <f>IF(ISBLANK('RESUMEN VIGILANCIA'!M6),"",'RESUMEN VIGILANCIA'!M6)</f>
        <v>0.35</v>
      </c>
      <c r="O70" s="182">
        <f>IF(ISBLANK('RESUMEN VIGILANCIA'!N6),"",'RESUMEN VIGILANCIA'!N6)</f>
        <v>0.35</v>
      </c>
      <c r="P70" s="271">
        <f>IF(ISBLANK('RESUMEN VIGILANCIA'!O6),"",'RESUMEN VIGILANCIA'!O6)</f>
        <v>0.5</v>
      </c>
      <c r="Q70" s="180">
        <f>IF(ISBLANK('RESUMEN VIGILANCIA'!P6),"",'RESUMEN VIGILANCIA'!P6)</f>
        <v>0.5</v>
      </c>
      <c r="R70" s="272">
        <f>IF(ISBLANK('RESUMEN VIGILANCIA'!Q6),"",'RESUMEN VIGILANCIA'!Q6)</f>
        <v>0.8</v>
      </c>
      <c r="S70" s="271">
        <f>IF(ISBLANK('RESUMEN VIGILANCIA'!R6),"",'RESUMEN VIGILANCIA'!R6)</f>
        <v>0.8</v>
      </c>
      <c r="T70" s="271">
        <f>IF(ISBLANK('RESUMEN VIGILANCIA'!S6),"",'RESUMEN VIGILANCIA'!S6)</f>
        <v>1.4</v>
      </c>
      <c r="U70" s="271">
        <f>IF(ISBLANK('RESUMEN VIGILANCIA'!T6),"",'RESUMEN VIGILANCIA'!T6)</f>
        <v>1.4</v>
      </c>
      <c r="V70" s="271">
        <f>IF(ISBLANK('RESUMEN VIGILANCIA'!U6),"",'RESUMEN VIGILANCIA'!U6)</f>
        <v>4</v>
      </c>
      <c r="W70" s="271">
        <f>IF(ISBLANK('RESUMEN VIGILANCIA'!V6),"",'RESUMEN VIGILANCIA'!V6)</f>
        <v>6.25</v>
      </c>
      <c r="X70" s="271">
        <f>IF(ISBLANK('RESUMEN VIGILANCIA'!W6),"",'RESUMEN VIGILANCIA'!W6)</f>
        <v>10</v>
      </c>
      <c r="Y70" s="271">
        <f>IF(ISBLANK('RESUMEN VIGILANCIA'!X6),"",'RESUMEN VIGILANCIA'!X6)</f>
        <v>12</v>
      </c>
      <c r="Z70" s="481">
        <f>IF(ISBLANK('RESUMEN VIGILANCIA'!Y6),"",'RESUMEN VIGILANCIA'!Y6)</f>
        <v>320</v>
      </c>
      <c r="AA70" s="481">
        <f>IF(ISBLANK('RESUMEN VIGILANCIA'!Z6),"",'RESUMEN VIGILANCIA'!Z6)</f>
        <v>320</v>
      </c>
      <c r="AB70" s="481">
        <f>IF(ISBLANK('RESUMEN VIGILANCIA'!AA6),"",'RESUMEN VIGILANCIA'!AA6)</f>
        <v>320</v>
      </c>
      <c r="AC70" s="482">
        <f>IF(ISBLANK('RESUMEN VIGILANCIA'!AB6),"",'RESUMEN VIGILANCIA'!AB6)</f>
        <v>800</v>
      </c>
      <c r="AD70" s="399">
        <f>IF(ISBLANK('RESUMEN VIGILANCIA'!AC6),"",'RESUMEN VIGILANCIA'!AC6)</f>
        <v>3000</v>
      </c>
      <c r="AE70" s="400">
        <f>IF(ISBLANK('RESUMEN VIGILANCIA'!AD6),"",'RESUMEN VIGILANCIA'!AD6)</f>
        <v>3000</v>
      </c>
      <c r="AF70" s="400">
        <f>IF(ISBLANK('RESUMEN VIGILANCIA'!AE6),"",'RESUMEN VIGILANCIA'!AE6)</f>
        <v>3000</v>
      </c>
      <c r="AG70" s="400">
        <f>IF(ISBLANK('RESUMEN VIGILANCIA'!AF6),"",'RESUMEN VIGILANCIA'!AF6)</f>
        <v>5000</v>
      </c>
      <c r="AH70" s="400">
        <f>IF(ISBLANK('RESUMEN VIGILANCIA'!AG6),"",'RESUMEN VIGILANCIA'!AG6)</f>
        <v>8000</v>
      </c>
      <c r="AI70" s="400">
        <f>IF(ISBLANK('RESUMEN VIGILANCIA'!AH6),"",'RESUMEN VIGILANCIA'!AH6)</f>
        <v>8000</v>
      </c>
      <c r="AJ70" s="400">
        <f>IF(ISBLANK('RESUMEN VIGILANCIA'!AI6),"",'RESUMEN VIGILANCIA'!AI6)</f>
        <v>10000</v>
      </c>
      <c r="AK70" s="400">
        <f>IF(ISBLANK('RESUMEN VIGILANCIA'!AJ6),"",'RESUMEN VIGILANCIA'!AJ6)</f>
        <v>10000</v>
      </c>
      <c r="AL70" s="400">
        <f>IF(ISBLANK('RESUMEN VIGILANCIA'!AK6),"",'RESUMEN VIGILANCIA'!AK6)</f>
        <v>22000</v>
      </c>
      <c r="AM70" s="400">
        <f>IF(ISBLANK('RESUMEN VIGILANCIA'!AL6),"",'RESUMEN VIGILANCIA'!AL6)</f>
        <v>47000</v>
      </c>
      <c r="AN70" s="400">
        <f>IF(ISBLANK('RESUMEN VIGILANCIA'!AM6),"",'RESUMEN VIGILANCIA'!AM6)</f>
        <v>56250</v>
      </c>
      <c r="AO70" s="401">
        <f>IF(ISBLANK('RESUMEN VIGILANCIA'!AN6),"",'RESUMEN VIGILANCIA'!AN6)</f>
        <v>97500</v>
      </c>
      <c r="AP70" s="399">
        <f>IF(ISBLANK('RESUMEN VIGILANCIA'!AO6),"",'RESUMEN VIGILANCIA'!AO6)</f>
        <v>136250</v>
      </c>
      <c r="AQ70" s="400">
        <f>IF(ISBLANK('RESUMEN VIGILANCIA'!AP6),"",'RESUMEN VIGILANCIA'!AP6)</f>
        <v>136250</v>
      </c>
      <c r="AR70" s="400" t="str">
        <f>IF(ISBLANK('RESUMEN VIGILANCIA'!AQ6),"",'RESUMEN VIGILANCIA'!AQ6)</f>
        <v/>
      </c>
      <c r="AS70" s="400" t="str">
        <f>IF(ISBLANK('RESUMEN VIGILANCIA'!AR6),"",'RESUMEN VIGILANCIA'!AR6)</f>
        <v/>
      </c>
      <c r="AT70" s="400" t="str">
        <f>IF(ISBLANK('RESUMEN VIGILANCIA'!AS6),"",'RESUMEN VIGILANCIA'!AS6)</f>
        <v/>
      </c>
      <c r="AU70" s="400" t="str">
        <f>IF(ISBLANK('RESUMEN VIGILANCIA'!AT6),"",'RESUMEN VIGILANCIA'!AT6)</f>
        <v/>
      </c>
      <c r="AV70" s="400" t="str">
        <f>IF(ISBLANK('RESUMEN VIGILANCIA'!AU6),"",'RESUMEN VIGILANCIA'!AU6)</f>
        <v/>
      </c>
      <c r="AW70" s="400" t="str">
        <f>IF(ISBLANK('RESUMEN VIGILANCIA'!AV6),"",'RESUMEN VIGILANCIA'!AV6)</f>
        <v/>
      </c>
      <c r="AX70" s="400" t="str">
        <f>IF(ISBLANK('RESUMEN VIGILANCIA'!AW6),"",'RESUMEN VIGILANCIA'!AW6)</f>
        <v/>
      </c>
      <c r="AY70" s="400" t="str">
        <f>IF(ISBLANK('RESUMEN VIGILANCIA'!AX6),"",'RESUMEN VIGILANCIA'!AX6)</f>
        <v/>
      </c>
      <c r="AZ70" s="400" t="str">
        <f>IF(ISBLANK('RESUMEN VIGILANCIA'!AY6),"",'RESUMEN VIGILANCIA'!AY6)</f>
        <v/>
      </c>
      <c r="BA70" s="401" t="str">
        <f>IF(ISBLANK('RESUMEN VIGILANCIA'!AZ6),"",'RESUMEN VIGILANCIA'!AZ6)</f>
        <v/>
      </c>
      <c r="BB70" s="243">
        <f t="shared" si="4"/>
        <v>274550.25</v>
      </c>
      <c r="BC70" s="112"/>
      <c r="BD70" s="112"/>
    </row>
    <row r="71" spans="1:56" s="29" customFormat="1" ht="20.100000000000001" customHeight="1">
      <c r="A71" s="30" t="str">
        <f>'RESUMEN VIGILANCIA'!A17</f>
        <v>Ana de González</v>
      </c>
      <c r="B71" s="31" t="str">
        <f>'RESUMEN VIGILANCIA'!B17</f>
        <v>Av. "O" Nro. 146-17</v>
      </c>
      <c r="C71" s="452" t="s">
        <v>1249</v>
      </c>
      <c r="D71" s="460" t="s">
        <v>1248</v>
      </c>
      <c r="E71" s="440" t="str">
        <f>IF(ISBLANK('RESUMEN VIGILANCIA'!D17),"",'RESUMEN VIGILANCIA'!D17)</f>
        <v/>
      </c>
      <c r="F71" s="270">
        <f>IF(ISBLANK('RESUMEN VIGILANCIA'!E17),"",'RESUMEN VIGILANCIA'!E17)</f>
        <v>0.17</v>
      </c>
      <c r="G71" s="182">
        <f>IF(ISBLANK('RESUMEN VIGILANCIA'!F17),"",'RESUMEN VIGILANCIA'!F17)</f>
        <v>0.17</v>
      </c>
      <c r="H71" s="182">
        <f>IF(ISBLANK('RESUMEN VIGILANCIA'!G17),"",'RESUMEN VIGILANCIA'!G17)</f>
        <v>0.17</v>
      </c>
      <c r="I71" s="182">
        <f>IF(ISBLANK('RESUMEN VIGILANCIA'!H17),"",'RESUMEN VIGILANCIA'!H17)</f>
        <v>0.17</v>
      </c>
      <c r="J71" s="182">
        <f>IF(ISBLANK('RESUMEN VIGILANCIA'!I17),"",'RESUMEN VIGILANCIA'!I17)</f>
        <v>0.26</v>
      </c>
      <c r="K71" s="182">
        <f>IF(ISBLANK('RESUMEN VIGILANCIA'!J17),"",'RESUMEN VIGILANCIA'!J17)</f>
        <v>0.26</v>
      </c>
      <c r="L71" s="182">
        <f>IF(ISBLANK('RESUMEN VIGILANCIA'!K17),"",'RESUMEN VIGILANCIA'!K17)</f>
        <v>0.35</v>
      </c>
      <c r="M71" s="182">
        <f>IF(ISBLANK('RESUMEN VIGILANCIA'!L17),"",'RESUMEN VIGILANCIA'!L17)</f>
        <v>0.35</v>
      </c>
      <c r="N71" s="182">
        <f>IF(ISBLANK('RESUMEN VIGILANCIA'!M17),"",'RESUMEN VIGILANCIA'!M17)</f>
        <v>0.35</v>
      </c>
      <c r="O71" s="182">
        <f>IF(ISBLANK('RESUMEN VIGILANCIA'!N17),"",'RESUMEN VIGILANCIA'!N17)</f>
        <v>0.35</v>
      </c>
      <c r="P71" s="271">
        <f>IF(ISBLANK('RESUMEN VIGILANCIA'!O17),"",'RESUMEN VIGILANCIA'!O17)</f>
        <v>0.5</v>
      </c>
      <c r="Q71" s="180">
        <f>IF(ISBLANK('RESUMEN VIGILANCIA'!P17),"",'RESUMEN VIGILANCIA'!P17)</f>
        <v>0.5</v>
      </c>
      <c r="R71" s="272">
        <f>IF(ISBLANK('RESUMEN VIGILANCIA'!Q17),"",'RESUMEN VIGILANCIA'!Q17)</f>
        <v>0.8</v>
      </c>
      <c r="S71" s="271">
        <f>IF(ISBLANK('RESUMEN VIGILANCIA'!R17),"",'RESUMEN VIGILANCIA'!R17)</f>
        <v>0.8</v>
      </c>
      <c r="T71" s="271">
        <f>IF(ISBLANK('RESUMEN VIGILANCIA'!S17),"",'RESUMEN VIGILANCIA'!S17)</f>
        <v>1.4</v>
      </c>
      <c r="U71" s="271">
        <f>IF(ISBLANK('RESUMEN VIGILANCIA'!T17),"",'RESUMEN VIGILANCIA'!T17)</f>
        <v>1.4</v>
      </c>
      <c r="V71" s="271">
        <f>IF(ISBLANK('RESUMEN VIGILANCIA'!U17),"",'RESUMEN VIGILANCIA'!U17)</f>
        <v>4</v>
      </c>
      <c r="W71" s="271">
        <f>IF(ISBLANK('RESUMEN VIGILANCIA'!V17),"",'RESUMEN VIGILANCIA'!V17)</f>
        <v>6.25</v>
      </c>
      <c r="X71" s="271">
        <f>IF(ISBLANK('RESUMEN VIGILANCIA'!W17),"",'RESUMEN VIGILANCIA'!W17)</f>
        <v>10</v>
      </c>
      <c r="Y71" s="271">
        <f>IF(ISBLANK('RESUMEN VIGILANCIA'!X17),"",'RESUMEN VIGILANCIA'!X17)</f>
        <v>12</v>
      </c>
      <c r="Z71" s="481">
        <f>IF(ISBLANK('RESUMEN VIGILANCIA'!Y17),"",'RESUMEN VIGILANCIA'!Y17)</f>
        <v>320</v>
      </c>
      <c r="AA71" s="481">
        <f>IF(ISBLANK('RESUMEN VIGILANCIA'!Z17),"",'RESUMEN VIGILANCIA'!Z17)</f>
        <v>320</v>
      </c>
      <c r="AB71" s="481">
        <f>IF(ISBLANK('RESUMEN VIGILANCIA'!AA17),"",'RESUMEN VIGILANCIA'!AA17)</f>
        <v>320</v>
      </c>
      <c r="AC71" s="482">
        <f>IF(ISBLANK('RESUMEN VIGILANCIA'!AB17),"",'RESUMEN VIGILANCIA'!AB17)</f>
        <v>800</v>
      </c>
      <c r="AD71" s="399">
        <f>IF(ISBLANK('RESUMEN VIGILANCIA'!AC17),"",'RESUMEN VIGILANCIA'!AC17)</f>
        <v>3000</v>
      </c>
      <c r="AE71" s="400">
        <f>IF(ISBLANK('RESUMEN VIGILANCIA'!AD17),"",'RESUMEN VIGILANCIA'!AD17)</f>
        <v>3000</v>
      </c>
      <c r="AF71" s="400">
        <f>IF(ISBLANK('RESUMEN VIGILANCIA'!AE17),"",'RESUMEN VIGILANCIA'!AE17)</f>
        <v>3000</v>
      </c>
      <c r="AG71" s="400">
        <f>IF(ISBLANK('RESUMEN VIGILANCIA'!AF17),"",'RESUMEN VIGILANCIA'!AF17)</f>
        <v>5000</v>
      </c>
      <c r="AH71" s="400">
        <f>IF(ISBLANK('RESUMEN VIGILANCIA'!AG17),"",'RESUMEN VIGILANCIA'!AG17)</f>
        <v>8000</v>
      </c>
      <c r="AI71" s="400">
        <f>IF(ISBLANK('RESUMEN VIGILANCIA'!AH17),"",'RESUMEN VIGILANCIA'!AH17)</f>
        <v>2000</v>
      </c>
      <c r="AJ71" s="400">
        <f>IF(ISBLANK('RESUMEN VIGILANCIA'!AI17),"",'RESUMEN VIGILANCIA'!AI17)</f>
        <v>10000</v>
      </c>
      <c r="AK71" s="400">
        <f>IF(ISBLANK('RESUMEN VIGILANCIA'!AJ17),"",'RESUMEN VIGILANCIA'!AJ17)</f>
        <v>10000</v>
      </c>
      <c r="AL71" s="400">
        <f>IF(ISBLANK('RESUMEN VIGILANCIA'!AK17),"",'RESUMEN VIGILANCIA'!AK17)</f>
        <v>21600</v>
      </c>
      <c r="AM71" s="400">
        <f>IF(ISBLANK('RESUMEN VIGILANCIA'!AL17),"",'RESUMEN VIGILANCIA'!AL17)</f>
        <v>51250</v>
      </c>
      <c r="AN71" s="400">
        <f>IF(ISBLANK('RESUMEN VIGILANCIA'!AM17),"",'RESUMEN VIGILANCIA'!AM17)</f>
        <v>73500</v>
      </c>
      <c r="AO71" s="401">
        <f>IF(ISBLANK('RESUMEN VIGILANCIA'!AN17),"",'RESUMEN VIGILANCIA'!AN17)</f>
        <v>136250</v>
      </c>
      <c r="AP71" s="399">
        <f>IF(ISBLANK('RESUMEN VIGILANCIA'!AO17),"",'RESUMEN VIGILANCIA'!AO17)</f>
        <v>136250</v>
      </c>
      <c r="AQ71" s="400" t="str">
        <f>IF(ISBLANK('RESUMEN VIGILANCIA'!AP17),"",'RESUMEN VIGILANCIA'!AP17)</f>
        <v/>
      </c>
      <c r="AR71" s="400" t="str">
        <f>IF(ISBLANK('RESUMEN VIGILANCIA'!AQ17),"",'RESUMEN VIGILANCIA'!AQ17)</f>
        <v/>
      </c>
      <c r="AS71" s="400" t="str">
        <f>IF(ISBLANK('RESUMEN VIGILANCIA'!AR17),"",'RESUMEN VIGILANCIA'!AR17)</f>
        <v/>
      </c>
      <c r="AT71" s="400" t="str">
        <f>IF(ISBLANK('RESUMEN VIGILANCIA'!AS17),"",'RESUMEN VIGILANCIA'!AS17)</f>
        <v/>
      </c>
      <c r="AU71" s="400" t="str">
        <f>IF(ISBLANK('RESUMEN VIGILANCIA'!AT17),"",'RESUMEN VIGILANCIA'!AT17)</f>
        <v/>
      </c>
      <c r="AV71" s="400" t="str">
        <f>IF(ISBLANK('RESUMEN VIGILANCIA'!AU17),"",'RESUMEN VIGILANCIA'!AU17)</f>
        <v/>
      </c>
      <c r="AW71" s="400" t="str">
        <f>IF(ISBLANK('RESUMEN VIGILANCIA'!AV17),"",'RESUMEN VIGILANCIA'!AV17)</f>
        <v/>
      </c>
      <c r="AX71" s="400" t="str">
        <f>IF(ISBLANK('RESUMEN VIGILANCIA'!AW17),"",'RESUMEN VIGILANCIA'!AW17)</f>
        <v/>
      </c>
      <c r="AY71" s="400" t="str">
        <f>IF(ISBLANK('RESUMEN VIGILANCIA'!AX17),"",'RESUMEN VIGILANCIA'!AX17)</f>
        <v/>
      </c>
      <c r="AZ71" s="400" t="str">
        <f>IF(ISBLANK('RESUMEN VIGILANCIA'!AY17),"",'RESUMEN VIGILANCIA'!AY17)</f>
        <v/>
      </c>
      <c r="BA71" s="401" t="str">
        <f>IF(ISBLANK('RESUMEN VIGILANCIA'!AZ17),"",'RESUMEN VIGILANCIA'!AZ17)</f>
        <v/>
      </c>
      <c r="BB71" s="243">
        <f t="shared" si="4"/>
        <v>328400.25</v>
      </c>
      <c r="BC71" s="112"/>
      <c r="BD71" s="112"/>
    </row>
    <row r="72" spans="1:56" s="29" customFormat="1" ht="20.100000000000001" customHeight="1">
      <c r="A72" s="30" t="str">
        <f>'RESUMEN VIGILANCIA'!A13</f>
        <v>Ely Saúl Rivero Gómez</v>
      </c>
      <c r="B72" s="31" t="str">
        <f>'RESUMEN VIGILANCIA'!B13</f>
        <v>Av. "Ñ" Nro. 145-25</v>
      </c>
      <c r="C72" s="452" t="s">
        <v>1249</v>
      </c>
      <c r="D72" s="460" t="s">
        <v>1248</v>
      </c>
      <c r="E72" s="440" t="str">
        <f>IF(ISBLANK('RESUMEN VIGILANCIA'!D13),"",'RESUMEN VIGILANCIA'!D13)</f>
        <v/>
      </c>
      <c r="F72" s="270">
        <f>IF(ISBLANK('RESUMEN VIGILANCIA'!E13),"",'RESUMEN VIGILANCIA'!E13)</f>
        <v>0.17</v>
      </c>
      <c r="G72" s="182">
        <f>IF(ISBLANK('RESUMEN VIGILANCIA'!F13),"",'RESUMEN VIGILANCIA'!F13)</f>
        <v>0.17</v>
      </c>
      <c r="H72" s="182">
        <f>IF(ISBLANK('RESUMEN VIGILANCIA'!G13),"",'RESUMEN VIGILANCIA'!G13)</f>
        <v>0.17</v>
      </c>
      <c r="I72" s="182">
        <f>IF(ISBLANK('RESUMEN VIGILANCIA'!H13),"",'RESUMEN VIGILANCIA'!H13)</f>
        <v>0.17</v>
      </c>
      <c r="J72" s="182">
        <f>IF(ISBLANK('RESUMEN VIGILANCIA'!I13),"",'RESUMEN VIGILANCIA'!I13)</f>
        <v>0.26</v>
      </c>
      <c r="K72" s="182">
        <f>IF(ISBLANK('RESUMEN VIGILANCIA'!J13),"",'RESUMEN VIGILANCIA'!J13)</f>
        <v>0.26</v>
      </c>
      <c r="L72" s="182">
        <f>IF(ISBLANK('RESUMEN VIGILANCIA'!K13),"",'RESUMEN VIGILANCIA'!K13)</f>
        <v>0.35</v>
      </c>
      <c r="M72" s="182">
        <f>IF(ISBLANK('RESUMEN VIGILANCIA'!L13),"",'RESUMEN VIGILANCIA'!L13)</f>
        <v>0.35</v>
      </c>
      <c r="N72" s="182">
        <f>IF(ISBLANK('RESUMEN VIGILANCIA'!M13),"",'RESUMEN VIGILANCIA'!M13)</f>
        <v>0.35</v>
      </c>
      <c r="O72" s="182">
        <f>IF(ISBLANK('RESUMEN VIGILANCIA'!N13),"",'RESUMEN VIGILANCIA'!N13)</f>
        <v>0.35</v>
      </c>
      <c r="P72" s="271">
        <f>IF(ISBLANK('RESUMEN VIGILANCIA'!O13),"",'RESUMEN VIGILANCIA'!O13)</f>
        <v>0.5</v>
      </c>
      <c r="Q72" s="180">
        <f>IF(ISBLANK('RESUMEN VIGILANCIA'!P13),"",'RESUMEN VIGILANCIA'!P13)</f>
        <v>0.5</v>
      </c>
      <c r="R72" s="272">
        <f>IF(ISBLANK('RESUMEN VIGILANCIA'!Q13),"",'RESUMEN VIGILANCIA'!Q13)</f>
        <v>0.8</v>
      </c>
      <c r="S72" s="271">
        <f>IF(ISBLANK('RESUMEN VIGILANCIA'!R13),"",'RESUMEN VIGILANCIA'!R13)</f>
        <v>0.8</v>
      </c>
      <c r="T72" s="271">
        <f>IF(ISBLANK('RESUMEN VIGILANCIA'!S13),"",'RESUMEN VIGILANCIA'!S13)</f>
        <v>1.4</v>
      </c>
      <c r="U72" s="271">
        <f>IF(ISBLANK('RESUMEN VIGILANCIA'!T13),"",'RESUMEN VIGILANCIA'!T13)</f>
        <v>1.4</v>
      </c>
      <c r="V72" s="271">
        <f>IF(ISBLANK('RESUMEN VIGILANCIA'!U13),"",'RESUMEN VIGILANCIA'!U13)</f>
        <v>4</v>
      </c>
      <c r="W72" s="271">
        <f>IF(ISBLANK('RESUMEN VIGILANCIA'!V13),"",'RESUMEN VIGILANCIA'!V13)</f>
        <v>6.25</v>
      </c>
      <c r="X72" s="271">
        <f>IF(ISBLANK('RESUMEN VIGILANCIA'!W13),"",'RESUMEN VIGILANCIA'!W13)</f>
        <v>10</v>
      </c>
      <c r="Y72" s="271">
        <f>IF(ISBLANK('RESUMEN VIGILANCIA'!X13),"",'RESUMEN VIGILANCIA'!X13)</f>
        <v>12</v>
      </c>
      <c r="Z72" s="481">
        <f>IF(ISBLANK('RESUMEN VIGILANCIA'!Y13),"",'RESUMEN VIGILANCIA'!Y13)</f>
        <v>320</v>
      </c>
      <c r="AA72" s="481">
        <f>IF(ISBLANK('RESUMEN VIGILANCIA'!Z13),"",'RESUMEN VIGILANCIA'!Z13)</f>
        <v>320</v>
      </c>
      <c r="AB72" s="481">
        <f>IF(ISBLANK('RESUMEN VIGILANCIA'!AA13),"",'RESUMEN VIGILANCIA'!AA13)</f>
        <v>320</v>
      </c>
      <c r="AC72" s="482">
        <f>IF(ISBLANK('RESUMEN VIGILANCIA'!AB13),"",'RESUMEN VIGILANCIA'!AB13)</f>
        <v>800</v>
      </c>
      <c r="AD72" s="399">
        <f>IF(ISBLANK('RESUMEN VIGILANCIA'!AC13),"",'RESUMEN VIGILANCIA'!AC13)</f>
        <v>3000</v>
      </c>
      <c r="AE72" s="400">
        <f>IF(ISBLANK('RESUMEN VIGILANCIA'!AD13),"",'RESUMEN VIGILANCIA'!AD13)</f>
        <v>3000</v>
      </c>
      <c r="AF72" s="400">
        <f>IF(ISBLANK('RESUMEN VIGILANCIA'!AE13),"",'RESUMEN VIGILANCIA'!AE13)</f>
        <v>3000</v>
      </c>
      <c r="AG72" s="400">
        <f>IF(ISBLANK('RESUMEN VIGILANCIA'!AF13),"",'RESUMEN VIGILANCIA'!AF13)</f>
        <v>5000</v>
      </c>
      <c r="AH72" s="400">
        <f>IF(ISBLANK('RESUMEN VIGILANCIA'!AG13),"",'RESUMEN VIGILANCIA'!AG13)</f>
        <v>8000</v>
      </c>
      <c r="AI72" s="400">
        <f>IF(ISBLANK('RESUMEN VIGILANCIA'!AH13),"",'RESUMEN VIGILANCIA'!AH13)</f>
        <v>8000</v>
      </c>
      <c r="AJ72" s="400">
        <f>IF(ISBLANK('RESUMEN VIGILANCIA'!AI13),"",'RESUMEN VIGILANCIA'!AI13)</f>
        <v>10000</v>
      </c>
      <c r="AK72" s="400">
        <f>IF(ISBLANK('RESUMEN VIGILANCIA'!AJ13),"",'RESUMEN VIGILANCIA'!AJ13)</f>
        <v>10000</v>
      </c>
      <c r="AL72" s="400">
        <f>IF(ISBLANK('RESUMEN VIGILANCIA'!AK13),"",'RESUMEN VIGILANCIA'!AK13)</f>
        <v>23400</v>
      </c>
      <c r="AM72" s="400">
        <f>IF(ISBLANK('RESUMEN VIGILANCIA'!AL13),"",'RESUMEN VIGILANCIA'!AL13)</f>
        <v>47000</v>
      </c>
      <c r="AN72" s="400">
        <f>IF(ISBLANK('RESUMEN VIGILANCIA'!AM13),"",'RESUMEN VIGILANCIA'!AM13)</f>
        <v>73500</v>
      </c>
      <c r="AO72" s="401">
        <f>IF(ISBLANK('RESUMEN VIGILANCIA'!AN13),"",'RESUMEN VIGILANCIA'!AN13)</f>
        <v>105250</v>
      </c>
      <c r="AP72" s="399">
        <f>IF(ISBLANK('RESUMEN VIGILANCIA'!AO13),"",'RESUMEN VIGILANCIA'!AO13)</f>
        <v>136250</v>
      </c>
      <c r="AQ72" s="400">
        <f>IF(ISBLANK('RESUMEN VIGILANCIA'!AP13),"",'RESUMEN VIGILANCIA'!AP13)</f>
        <v>136250</v>
      </c>
      <c r="AR72" s="400" t="str">
        <f>IF(ISBLANK('RESUMEN VIGILANCIA'!AQ13),"",'RESUMEN VIGILANCIA'!AQ13)</f>
        <v/>
      </c>
      <c r="AS72" s="400" t="str">
        <f>IF(ISBLANK('RESUMEN VIGILANCIA'!AR13),"",'RESUMEN VIGILANCIA'!AR13)</f>
        <v/>
      </c>
      <c r="AT72" s="400" t="str">
        <f>IF(ISBLANK('RESUMEN VIGILANCIA'!AS13),"",'RESUMEN VIGILANCIA'!AS13)</f>
        <v/>
      </c>
      <c r="AU72" s="400" t="str">
        <f>IF(ISBLANK('RESUMEN VIGILANCIA'!AT13),"",'RESUMEN VIGILANCIA'!AT13)</f>
        <v/>
      </c>
      <c r="AV72" s="400" t="str">
        <f>IF(ISBLANK('RESUMEN VIGILANCIA'!AU13),"",'RESUMEN VIGILANCIA'!AU13)</f>
        <v/>
      </c>
      <c r="AW72" s="400" t="str">
        <f>IF(ISBLANK('RESUMEN VIGILANCIA'!AV13),"",'RESUMEN VIGILANCIA'!AV13)</f>
        <v/>
      </c>
      <c r="AX72" s="400" t="str">
        <f>IF(ISBLANK('RESUMEN VIGILANCIA'!AW13),"",'RESUMEN VIGILANCIA'!AW13)</f>
        <v/>
      </c>
      <c r="AY72" s="400" t="str">
        <f>IF(ISBLANK('RESUMEN VIGILANCIA'!AX13),"",'RESUMEN VIGILANCIA'!AX13)</f>
        <v/>
      </c>
      <c r="AZ72" s="400" t="str">
        <f>IF(ISBLANK('RESUMEN VIGILANCIA'!AY13),"",'RESUMEN VIGILANCIA'!AY13)</f>
        <v/>
      </c>
      <c r="BA72" s="401" t="str">
        <f>IF(ISBLANK('RESUMEN VIGILANCIA'!AZ13),"",'RESUMEN VIGILANCIA'!AZ13)</f>
        <v/>
      </c>
      <c r="BB72" s="243">
        <f t="shared" si="4"/>
        <v>300950.25</v>
      </c>
      <c r="BC72" s="112"/>
      <c r="BD72" s="112"/>
    </row>
    <row r="73" spans="1:56" s="29" customFormat="1" ht="20.100000000000001" customHeight="1">
      <c r="A73" s="30" t="str">
        <f>'RESUMEN VIGILANCIA'!A5</f>
        <v>Jocsan Orta Correa</v>
      </c>
      <c r="B73" s="31" t="str">
        <f>'RESUMEN VIGILANCIA'!B5</f>
        <v>Av. "L" anexo de Los Tronquitos</v>
      </c>
      <c r="C73" s="452" t="s">
        <v>1249</v>
      </c>
      <c r="D73" s="460"/>
      <c r="E73" s="443" t="str">
        <f>IF(ISBLANK('RESUMEN VIGILANCIA'!D5),"",'RESUMEN VIGILANCIA'!D5)</f>
        <v/>
      </c>
      <c r="F73" s="298" t="str">
        <f>IF(ISBLANK('RESUMEN VIGILANCIA'!E5),"",'RESUMEN VIGILANCIA'!E5)</f>
        <v/>
      </c>
      <c r="G73" s="217" t="str">
        <f>IF(ISBLANK('RESUMEN VIGILANCIA'!F5),"",'RESUMEN VIGILANCIA'!F5)</f>
        <v/>
      </c>
      <c r="H73" s="217" t="str">
        <f>IF(ISBLANK('RESUMEN VIGILANCIA'!G5),"",'RESUMEN VIGILANCIA'!G5)</f>
        <v/>
      </c>
      <c r="I73" s="217" t="str">
        <f>IF(ISBLANK('RESUMEN VIGILANCIA'!H5),"",'RESUMEN VIGILANCIA'!H5)</f>
        <v/>
      </c>
      <c r="J73" s="217" t="str">
        <f>IF(ISBLANK('RESUMEN VIGILANCIA'!I5),"",'RESUMEN VIGILANCIA'!I5)</f>
        <v/>
      </c>
      <c r="K73" s="217" t="str">
        <f>IF(ISBLANK('RESUMEN VIGILANCIA'!J5),"",'RESUMEN VIGILANCIA'!J5)</f>
        <v/>
      </c>
      <c r="L73" s="217" t="str">
        <f>IF(ISBLANK('RESUMEN VIGILANCIA'!K5),"",'RESUMEN VIGILANCIA'!K5)</f>
        <v/>
      </c>
      <c r="M73" s="217" t="str">
        <f>IF(ISBLANK('RESUMEN VIGILANCIA'!L5),"",'RESUMEN VIGILANCIA'!L5)</f>
        <v/>
      </c>
      <c r="N73" s="217" t="str">
        <f>IF(ISBLANK('RESUMEN VIGILANCIA'!M5),"",'RESUMEN VIGILANCIA'!M5)</f>
        <v/>
      </c>
      <c r="O73" s="217" t="str">
        <f>IF(ISBLANK('RESUMEN VIGILANCIA'!N5),"",'RESUMEN VIGILANCIA'!N5)</f>
        <v/>
      </c>
      <c r="P73" s="284" t="str">
        <f>IF(ISBLANK('RESUMEN VIGILANCIA'!O5),"",'RESUMEN VIGILANCIA'!O5)</f>
        <v/>
      </c>
      <c r="Q73" s="215" t="str">
        <f>IF(ISBLANK('RESUMEN VIGILANCIA'!P5),"",'RESUMEN VIGILANCIA'!P5)</f>
        <v/>
      </c>
      <c r="R73" s="285" t="str">
        <f>IF(ISBLANK('RESUMEN VIGILANCIA'!Q5),"",'RESUMEN VIGILANCIA'!Q5)</f>
        <v/>
      </c>
      <c r="S73" s="284" t="str">
        <f>IF(ISBLANK('RESUMEN VIGILANCIA'!R5),"",'RESUMEN VIGILANCIA'!R5)</f>
        <v/>
      </c>
      <c r="T73" s="284" t="str">
        <f>IF(ISBLANK('RESUMEN VIGILANCIA'!S5),"",'RESUMEN VIGILANCIA'!S5)</f>
        <v/>
      </c>
      <c r="U73" s="284" t="str">
        <f>IF(ISBLANK('RESUMEN VIGILANCIA'!T5),"",'RESUMEN VIGILANCIA'!T5)</f>
        <v/>
      </c>
      <c r="V73" s="284" t="str">
        <f>IF(ISBLANK('RESUMEN VIGILANCIA'!U5),"",'RESUMEN VIGILANCIA'!U5)</f>
        <v/>
      </c>
      <c r="W73" s="284" t="str">
        <f>IF(ISBLANK('RESUMEN VIGILANCIA'!V5),"",'RESUMEN VIGILANCIA'!V5)</f>
        <v/>
      </c>
      <c r="X73" s="284" t="str">
        <f>IF(ISBLANK('RESUMEN VIGILANCIA'!W5),"",'RESUMEN VIGILANCIA'!W5)</f>
        <v/>
      </c>
      <c r="Y73" s="284" t="str">
        <f>IF(ISBLANK('RESUMEN VIGILANCIA'!X5),"",'RESUMEN VIGILANCIA'!X5)</f>
        <v/>
      </c>
      <c r="Z73" s="492" t="str">
        <f>IF(ISBLANK('RESUMEN VIGILANCIA'!Y5),"",'RESUMEN VIGILANCIA'!Y5)</f>
        <v/>
      </c>
      <c r="AA73" s="492" t="str">
        <f>IF(ISBLANK('RESUMEN VIGILANCIA'!Z5),"",'RESUMEN VIGILANCIA'!Z5)</f>
        <v/>
      </c>
      <c r="AB73" s="492" t="str">
        <f>IF(ISBLANK('RESUMEN VIGILANCIA'!AA5),"",'RESUMEN VIGILANCIA'!AA5)</f>
        <v/>
      </c>
      <c r="AC73" s="493" t="str">
        <f>IF(ISBLANK('RESUMEN VIGILANCIA'!AB5),"",'RESUMEN VIGILANCIA'!AB5)</f>
        <v/>
      </c>
      <c r="AD73" s="506" t="str">
        <f>IF(ISBLANK('RESUMEN VIGILANCIA'!AC5),"",'RESUMEN VIGILANCIA'!AC5)</f>
        <v/>
      </c>
      <c r="AE73" s="507" t="str">
        <f>IF(ISBLANK('RESUMEN VIGILANCIA'!AD5),"",'RESUMEN VIGILANCIA'!AD5)</f>
        <v/>
      </c>
      <c r="AF73" s="507" t="str">
        <f>IF(ISBLANK('RESUMEN VIGILANCIA'!AE5),"",'RESUMEN VIGILANCIA'!AE5)</f>
        <v/>
      </c>
      <c r="AG73" s="507" t="str">
        <f>IF(ISBLANK('RESUMEN VIGILANCIA'!AF5),"",'RESUMEN VIGILANCIA'!AF5)</f>
        <v/>
      </c>
      <c r="AH73" s="400">
        <f>IF(ISBLANK('RESUMEN VIGILANCIA'!AG5),"",'RESUMEN VIGILANCIA'!AG5)</f>
        <v>8000</v>
      </c>
      <c r="AI73" s="400">
        <f>IF(ISBLANK('RESUMEN VIGILANCIA'!AH5),"",'RESUMEN VIGILANCIA'!AH5)</f>
        <v>8000</v>
      </c>
      <c r="AJ73" s="400">
        <f>IF(ISBLANK('RESUMEN VIGILANCIA'!AI5),"",'RESUMEN VIGILANCIA'!AI5)</f>
        <v>10000</v>
      </c>
      <c r="AK73" s="400">
        <f>IF(ISBLANK('RESUMEN VIGILANCIA'!AJ5),"",'RESUMEN VIGILANCIA'!AJ5)</f>
        <v>10000</v>
      </c>
      <c r="AL73" s="400">
        <f>IF(ISBLANK('RESUMEN VIGILANCIA'!AK5),"",'RESUMEN VIGILANCIA'!AK5)</f>
        <v>19800</v>
      </c>
      <c r="AM73" s="400">
        <f>IF(ISBLANK('RESUMEN VIGILANCIA'!AL5),"",'RESUMEN VIGILANCIA'!AL5)</f>
        <v>51300</v>
      </c>
      <c r="AN73" s="400">
        <f>IF(ISBLANK('RESUMEN VIGILANCIA'!AM5),"",'RESUMEN VIGILANCIA'!AM5)</f>
        <v>73500</v>
      </c>
      <c r="AO73" s="401">
        <f>IF(ISBLANK('RESUMEN VIGILANCIA'!AN5),"",'RESUMEN VIGILANCIA'!AN5)</f>
        <v>97500</v>
      </c>
      <c r="AP73" s="399">
        <f>IF(ISBLANK('RESUMEN VIGILANCIA'!AO5),"",'RESUMEN VIGILANCIA'!AO5)</f>
        <v>136250</v>
      </c>
      <c r="AQ73" s="400">
        <f>IF(ISBLANK('RESUMEN VIGILANCIA'!AP5),"",'RESUMEN VIGILANCIA'!AP5)</f>
        <v>136250</v>
      </c>
      <c r="AR73" s="400" t="str">
        <f>IF(ISBLANK('RESUMEN VIGILANCIA'!AQ5),"",'RESUMEN VIGILANCIA'!AQ5)</f>
        <v/>
      </c>
      <c r="AS73" s="400" t="str">
        <f>IF(ISBLANK('RESUMEN VIGILANCIA'!AR5),"",'RESUMEN VIGILANCIA'!AR5)</f>
        <v/>
      </c>
      <c r="AT73" s="400" t="str">
        <f>IF(ISBLANK('RESUMEN VIGILANCIA'!AS5),"",'RESUMEN VIGILANCIA'!AS5)</f>
        <v/>
      </c>
      <c r="AU73" s="400" t="str">
        <f>IF(ISBLANK('RESUMEN VIGILANCIA'!AT5),"",'RESUMEN VIGILANCIA'!AT5)</f>
        <v/>
      </c>
      <c r="AV73" s="400" t="str">
        <f>IF(ISBLANK('RESUMEN VIGILANCIA'!AU5),"",'RESUMEN VIGILANCIA'!AU5)</f>
        <v/>
      </c>
      <c r="AW73" s="400" t="str">
        <f>IF(ISBLANK('RESUMEN VIGILANCIA'!AV5),"",'RESUMEN VIGILANCIA'!AV5)</f>
        <v/>
      </c>
      <c r="AX73" s="400" t="str">
        <f>IF(ISBLANK('RESUMEN VIGILANCIA'!AW5),"",'RESUMEN VIGILANCIA'!AW5)</f>
        <v/>
      </c>
      <c r="AY73" s="400" t="str">
        <f>IF(ISBLANK('RESUMEN VIGILANCIA'!AX5),"",'RESUMEN VIGILANCIA'!AX5)</f>
        <v/>
      </c>
      <c r="AZ73" s="400" t="str">
        <f>IF(ISBLANK('RESUMEN VIGILANCIA'!AY5),"",'RESUMEN VIGILANCIA'!AY5)</f>
        <v/>
      </c>
      <c r="BA73" s="401" t="str">
        <f>IF(ISBLANK('RESUMEN VIGILANCIA'!AZ5),"",'RESUMEN VIGILANCIA'!AZ5)</f>
        <v/>
      </c>
      <c r="BB73" s="243">
        <f t="shared" ref="BB73" si="6">SUM(E73:AO73)</f>
        <v>278100</v>
      </c>
      <c r="BC73" s="112">
        <v>43586</v>
      </c>
      <c r="BD73" s="112"/>
    </row>
    <row r="74" spans="1:56" s="29" customFormat="1" ht="20.100000000000001" customHeight="1">
      <c r="A74" s="30" t="str">
        <f>'RESUMEN VIGILANCIA'!A139</f>
        <v>Alexander Pena</v>
      </c>
      <c r="B74" s="31" t="str">
        <f>'RESUMEN VIGILANCIA'!B139</f>
        <v>Calle Güigüe Nro. 89-126</v>
      </c>
      <c r="C74" s="452" t="s">
        <v>1250</v>
      </c>
      <c r="D74" s="460" t="s">
        <v>1248</v>
      </c>
      <c r="E74" s="440" t="str">
        <f>IF(ISBLANK('RESUMEN VIGILANCIA'!D139),"",'RESUMEN VIGILANCIA'!D139)</f>
        <v/>
      </c>
      <c r="F74" s="270" t="str">
        <f>IF(ISBLANK('RESUMEN VIGILANCIA'!E139),"",'RESUMEN VIGILANCIA'!E139)</f>
        <v/>
      </c>
      <c r="G74" s="182" t="str">
        <f>IF(ISBLANK('RESUMEN VIGILANCIA'!F139),"",'RESUMEN VIGILANCIA'!F139)</f>
        <v/>
      </c>
      <c r="H74" s="182" t="str">
        <f>IF(ISBLANK('RESUMEN VIGILANCIA'!G139),"",'RESUMEN VIGILANCIA'!G139)</f>
        <v/>
      </c>
      <c r="I74" s="182" t="str">
        <f>IF(ISBLANK('RESUMEN VIGILANCIA'!H139),"",'RESUMEN VIGILANCIA'!H139)</f>
        <v/>
      </c>
      <c r="J74" s="182" t="str">
        <f>IF(ISBLANK('RESUMEN VIGILANCIA'!I139),"",'RESUMEN VIGILANCIA'!I139)</f>
        <v/>
      </c>
      <c r="K74" s="182" t="str">
        <f>IF(ISBLANK('RESUMEN VIGILANCIA'!J139),"",'RESUMEN VIGILANCIA'!J139)</f>
        <v/>
      </c>
      <c r="L74" s="182" t="str">
        <f>IF(ISBLANK('RESUMEN VIGILANCIA'!K139),"",'RESUMEN VIGILANCIA'!K139)</f>
        <v/>
      </c>
      <c r="M74" s="182" t="str">
        <f>IF(ISBLANK('RESUMEN VIGILANCIA'!L139),"",'RESUMEN VIGILANCIA'!L139)</f>
        <v/>
      </c>
      <c r="N74" s="182" t="str">
        <f>IF(ISBLANK('RESUMEN VIGILANCIA'!M139),"",'RESUMEN VIGILANCIA'!M139)</f>
        <v/>
      </c>
      <c r="O74" s="182" t="str">
        <f>IF(ISBLANK('RESUMEN VIGILANCIA'!N139),"",'RESUMEN VIGILANCIA'!N139)</f>
        <v/>
      </c>
      <c r="P74" s="271" t="str">
        <f>IF(ISBLANK('RESUMEN VIGILANCIA'!O139),"",'RESUMEN VIGILANCIA'!O139)</f>
        <v/>
      </c>
      <c r="Q74" s="180" t="str">
        <f>IF(ISBLANK('RESUMEN VIGILANCIA'!P139),"",'RESUMEN VIGILANCIA'!P139)</f>
        <v/>
      </c>
      <c r="R74" s="272" t="str">
        <f>IF(ISBLANK('RESUMEN VIGILANCIA'!Q139),"",'RESUMEN VIGILANCIA'!Q139)</f>
        <v/>
      </c>
      <c r="S74" s="271" t="str">
        <f>IF(ISBLANK('RESUMEN VIGILANCIA'!R139),"",'RESUMEN VIGILANCIA'!R139)</f>
        <v/>
      </c>
      <c r="T74" s="271" t="str">
        <f>IF(ISBLANK('RESUMEN VIGILANCIA'!S139),"",'RESUMEN VIGILANCIA'!S139)</f>
        <v/>
      </c>
      <c r="U74" s="271" t="str">
        <f>IF(ISBLANK('RESUMEN VIGILANCIA'!T139),"",'RESUMEN VIGILANCIA'!T139)</f>
        <v/>
      </c>
      <c r="V74" s="271" t="str">
        <f>IF(ISBLANK('RESUMEN VIGILANCIA'!U139),"",'RESUMEN VIGILANCIA'!U139)</f>
        <v/>
      </c>
      <c r="W74" s="271" t="str">
        <f>IF(ISBLANK('RESUMEN VIGILANCIA'!V139),"",'RESUMEN VIGILANCIA'!V139)</f>
        <v/>
      </c>
      <c r="X74" s="271" t="str">
        <f>IF(ISBLANK('RESUMEN VIGILANCIA'!W139),"",'RESUMEN VIGILANCIA'!W139)</f>
        <v/>
      </c>
      <c r="Y74" s="271" t="str">
        <f>IF(ISBLANK('RESUMEN VIGILANCIA'!X139),"",'RESUMEN VIGILANCIA'!X139)</f>
        <v/>
      </c>
      <c r="Z74" s="481" t="str">
        <f>IF(ISBLANK('RESUMEN VIGILANCIA'!Y139),"",'RESUMEN VIGILANCIA'!Y139)</f>
        <v/>
      </c>
      <c r="AA74" s="481" t="str">
        <f>IF(ISBLANK('RESUMEN VIGILANCIA'!Z139),"",'RESUMEN VIGILANCIA'!Z139)</f>
        <v/>
      </c>
      <c r="AB74" s="481" t="str">
        <f>IF(ISBLANK('RESUMEN VIGILANCIA'!AA139),"",'RESUMEN VIGILANCIA'!AA139)</f>
        <v/>
      </c>
      <c r="AC74" s="482" t="str">
        <f>IF(ISBLANK('RESUMEN VIGILANCIA'!AB139),"",'RESUMEN VIGILANCIA'!AB139)</f>
        <v/>
      </c>
      <c r="AD74" s="399" t="str">
        <f>IF(ISBLANK('RESUMEN VIGILANCIA'!AC139),"",'RESUMEN VIGILANCIA'!AC139)</f>
        <v/>
      </c>
      <c r="AE74" s="400" t="str">
        <f>IF(ISBLANK('RESUMEN VIGILANCIA'!AD139),"",'RESUMEN VIGILANCIA'!AD139)</f>
        <v/>
      </c>
      <c r="AF74" s="400" t="str">
        <f>IF(ISBLANK('RESUMEN VIGILANCIA'!AE139),"",'RESUMEN VIGILANCIA'!AE139)</f>
        <v/>
      </c>
      <c r="AG74" s="400" t="str">
        <f>IF(ISBLANK('RESUMEN VIGILANCIA'!AF139),"",'RESUMEN VIGILANCIA'!AF139)</f>
        <v/>
      </c>
      <c r="AH74" s="400" t="str">
        <f>IF(ISBLANK('RESUMEN VIGILANCIA'!AG139),"",'RESUMEN VIGILANCIA'!AG139)</f>
        <v/>
      </c>
      <c r="AI74" s="400" t="str">
        <f>IF(ISBLANK('RESUMEN VIGILANCIA'!AH139),"",'RESUMEN VIGILANCIA'!AH139)</f>
        <v/>
      </c>
      <c r="AJ74" s="400" t="str">
        <f>IF(ISBLANK('RESUMEN VIGILANCIA'!AI139),"",'RESUMEN VIGILANCIA'!AI139)</f>
        <v/>
      </c>
      <c r="AK74" s="400" t="str">
        <f>IF(ISBLANK('RESUMEN VIGILANCIA'!AJ139),"",'RESUMEN VIGILANCIA'!AJ139)</f>
        <v/>
      </c>
      <c r="AL74" s="400" t="str">
        <f>IF(ISBLANK('RESUMEN VIGILANCIA'!AK139),"",'RESUMEN VIGILANCIA'!AK139)</f>
        <v/>
      </c>
      <c r="AM74" s="400" t="str">
        <f>IF(ISBLANK('RESUMEN VIGILANCIA'!AL139),"",'RESUMEN VIGILANCIA'!AL139)</f>
        <v/>
      </c>
      <c r="AN74" s="400" t="str">
        <f>IF(ISBLANK('RESUMEN VIGILANCIA'!AM139),"",'RESUMEN VIGILANCIA'!AM139)</f>
        <v/>
      </c>
      <c r="AO74" s="401" t="str">
        <f>IF(ISBLANK('RESUMEN VIGILANCIA'!AN139),"",'RESUMEN VIGILANCIA'!AN139)</f>
        <v/>
      </c>
      <c r="AP74" s="399" t="str">
        <f>IF(ISBLANK('RESUMEN VIGILANCIA'!AO139),"",'RESUMEN VIGILANCIA'!AO139)</f>
        <v/>
      </c>
      <c r="AQ74" s="400" t="str">
        <f>IF(ISBLANK('RESUMEN VIGILANCIA'!AP139),"",'RESUMEN VIGILANCIA'!AP139)</f>
        <v/>
      </c>
      <c r="AR74" s="400" t="str">
        <f>IF(ISBLANK('RESUMEN VIGILANCIA'!AQ139),"",'RESUMEN VIGILANCIA'!AQ139)</f>
        <v/>
      </c>
      <c r="AS74" s="400" t="str">
        <f>IF(ISBLANK('RESUMEN VIGILANCIA'!AR139),"",'RESUMEN VIGILANCIA'!AR139)</f>
        <v/>
      </c>
      <c r="AT74" s="400" t="str">
        <f>IF(ISBLANK('RESUMEN VIGILANCIA'!AS139),"",'RESUMEN VIGILANCIA'!AS139)</f>
        <v/>
      </c>
      <c r="AU74" s="400" t="str">
        <f>IF(ISBLANK('RESUMEN VIGILANCIA'!AT139),"",'RESUMEN VIGILANCIA'!AT139)</f>
        <v/>
      </c>
      <c r="AV74" s="400" t="str">
        <f>IF(ISBLANK('RESUMEN VIGILANCIA'!AU139),"",'RESUMEN VIGILANCIA'!AU139)</f>
        <v/>
      </c>
      <c r="AW74" s="400" t="str">
        <f>IF(ISBLANK('RESUMEN VIGILANCIA'!AV139),"",'RESUMEN VIGILANCIA'!AV139)</f>
        <v/>
      </c>
      <c r="AX74" s="400" t="str">
        <f>IF(ISBLANK('RESUMEN VIGILANCIA'!AW139),"",'RESUMEN VIGILANCIA'!AW139)</f>
        <v/>
      </c>
      <c r="AY74" s="400" t="str">
        <f>IF(ISBLANK('RESUMEN VIGILANCIA'!AX139),"",'RESUMEN VIGILANCIA'!AX139)</f>
        <v/>
      </c>
      <c r="AZ74" s="400" t="str">
        <f>IF(ISBLANK('RESUMEN VIGILANCIA'!AY139),"",'RESUMEN VIGILANCIA'!AY139)</f>
        <v/>
      </c>
      <c r="BA74" s="401" t="str">
        <f>IF(ISBLANK('RESUMEN VIGILANCIA'!AZ139),"",'RESUMEN VIGILANCIA'!AZ139)</f>
        <v/>
      </c>
      <c r="BB74" s="243">
        <f t="shared" si="4"/>
        <v>0</v>
      </c>
      <c r="BC74" s="112"/>
      <c r="BD74" s="112"/>
    </row>
    <row r="75" spans="1:56" s="29" customFormat="1" ht="20.100000000000001" customHeight="1">
      <c r="A75" s="29" t="str">
        <f>'RESUMEN VIGILANCIA'!A74</f>
        <v>Familia Narváez Caldera</v>
      </c>
      <c r="B75" s="31" t="str">
        <f>'RESUMEN VIGILANCIA'!B74</f>
        <v>Calle Güigüe Nro. 87-A-11</v>
      </c>
      <c r="C75" s="452" t="s">
        <v>1249</v>
      </c>
      <c r="D75" s="460" t="s">
        <v>1248</v>
      </c>
      <c r="E75" s="440" t="str">
        <f>IF(ISBLANK('RESUMEN VIGILANCIA'!D74),"",'RESUMEN VIGILANCIA'!D74)</f>
        <v/>
      </c>
      <c r="F75" s="270">
        <f>IF(ISBLANK('RESUMEN VIGILANCIA'!E74),"",'RESUMEN VIGILANCIA'!E74)</f>
        <v>0.17</v>
      </c>
      <c r="G75" s="182">
        <f>IF(ISBLANK('RESUMEN VIGILANCIA'!F74),"",'RESUMEN VIGILANCIA'!F74)</f>
        <v>0.17</v>
      </c>
      <c r="H75" s="182">
        <f>IF(ISBLANK('RESUMEN VIGILANCIA'!G74),"",'RESUMEN VIGILANCIA'!G74)</f>
        <v>0.17</v>
      </c>
      <c r="I75" s="182">
        <f>IF(ISBLANK('RESUMEN VIGILANCIA'!H74),"",'RESUMEN VIGILANCIA'!H74)</f>
        <v>0.17</v>
      </c>
      <c r="J75" s="182">
        <f>IF(ISBLANK('RESUMEN VIGILANCIA'!I74),"",'RESUMEN VIGILANCIA'!I74)</f>
        <v>0.26</v>
      </c>
      <c r="K75" s="182">
        <f>IF(ISBLANK('RESUMEN VIGILANCIA'!J74),"",'RESUMEN VIGILANCIA'!J74)</f>
        <v>0.26</v>
      </c>
      <c r="L75" s="182">
        <f>IF(ISBLANK('RESUMEN VIGILANCIA'!K74),"",'RESUMEN VIGILANCIA'!K74)</f>
        <v>0.35</v>
      </c>
      <c r="M75" s="182">
        <f>IF(ISBLANK('RESUMEN VIGILANCIA'!L74),"",'RESUMEN VIGILANCIA'!L74)</f>
        <v>0.35</v>
      </c>
      <c r="N75" s="182">
        <f>IF(ISBLANK('RESUMEN VIGILANCIA'!M74),"",'RESUMEN VIGILANCIA'!M74)</f>
        <v>0.35</v>
      </c>
      <c r="O75" s="182">
        <f>IF(ISBLANK('RESUMEN VIGILANCIA'!N74),"",'RESUMEN VIGILANCIA'!N74)</f>
        <v>0.35</v>
      </c>
      <c r="P75" s="271">
        <f>IF(ISBLANK('RESUMEN VIGILANCIA'!O74),"",'RESUMEN VIGILANCIA'!O74)</f>
        <v>0.5</v>
      </c>
      <c r="Q75" s="180">
        <f>IF(ISBLANK('RESUMEN VIGILANCIA'!P74),"",'RESUMEN VIGILANCIA'!P74)</f>
        <v>0.5</v>
      </c>
      <c r="R75" s="272">
        <f>IF(ISBLANK('RESUMEN VIGILANCIA'!Q74),"",'RESUMEN VIGILANCIA'!Q74)</f>
        <v>0.8</v>
      </c>
      <c r="S75" s="271">
        <f>IF(ISBLANK('RESUMEN VIGILANCIA'!R74),"",'RESUMEN VIGILANCIA'!R74)</f>
        <v>0.8</v>
      </c>
      <c r="T75" s="271">
        <f>IF(ISBLANK('RESUMEN VIGILANCIA'!S74),"",'RESUMEN VIGILANCIA'!S74)</f>
        <v>1.4</v>
      </c>
      <c r="U75" s="271">
        <f>IF(ISBLANK('RESUMEN VIGILANCIA'!T74),"",'RESUMEN VIGILANCIA'!T74)</f>
        <v>1.4</v>
      </c>
      <c r="V75" s="271">
        <f>IF(ISBLANK('RESUMEN VIGILANCIA'!U74),"",'RESUMEN VIGILANCIA'!U74)</f>
        <v>4</v>
      </c>
      <c r="W75" s="271">
        <f>IF(ISBLANK('RESUMEN VIGILANCIA'!V74),"",'RESUMEN VIGILANCIA'!V74)</f>
        <v>6.25</v>
      </c>
      <c r="X75" s="271">
        <f>IF(ISBLANK('RESUMEN VIGILANCIA'!W74),"",'RESUMEN VIGILANCIA'!W74)</f>
        <v>10</v>
      </c>
      <c r="Y75" s="271">
        <f>IF(ISBLANK('RESUMEN VIGILANCIA'!X74),"",'RESUMEN VIGILANCIA'!X74)</f>
        <v>12</v>
      </c>
      <c r="Z75" s="481">
        <f>IF(ISBLANK('RESUMEN VIGILANCIA'!Y74),"",'RESUMEN VIGILANCIA'!Y74)</f>
        <v>320</v>
      </c>
      <c r="AA75" s="481">
        <v>320</v>
      </c>
      <c r="AB75" s="481">
        <f>IF(ISBLANK('RESUMEN VIGILANCIA'!AA74),"",'RESUMEN VIGILANCIA'!AA74)</f>
        <v>320</v>
      </c>
      <c r="AC75" s="482">
        <f>IF(ISBLANK('RESUMEN VIGILANCIA'!AB74),"",'RESUMEN VIGILANCIA'!AB74)</f>
        <v>800</v>
      </c>
      <c r="AD75" s="399">
        <f>IF(ISBLANK('RESUMEN VIGILANCIA'!AC74),"",'RESUMEN VIGILANCIA'!AC74)</f>
        <v>3000</v>
      </c>
      <c r="AE75" s="400">
        <f>IF(ISBLANK('RESUMEN VIGILANCIA'!AD74),"",'RESUMEN VIGILANCIA'!AD74)</f>
        <v>3000</v>
      </c>
      <c r="AF75" s="400">
        <f>IF(ISBLANK('RESUMEN VIGILANCIA'!AE74),"",'RESUMEN VIGILANCIA'!AE74)</f>
        <v>3000</v>
      </c>
      <c r="AG75" s="400">
        <f>IF(ISBLANK('RESUMEN VIGILANCIA'!AF74),"",'RESUMEN VIGILANCIA'!AF74)</f>
        <v>5000</v>
      </c>
      <c r="AH75" s="400">
        <f>IF(ISBLANK('RESUMEN VIGILANCIA'!AG74),"",'RESUMEN VIGILANCIA'!AG74)</f>
        <v>8000</v>
      </c>
      <c r="AI75" s="400">
        <f>IF(ISBLANK('RESUMEN VIGILANCIA'!AH74),"",'RESUMEN VIGILANCIA'!AH74)</f>
        <v>8000</v>
      </c>
      <c r="AJ75" s="400">
        <f>IF(ISBLANK('RESUMEN VIGILANCIA'!AI74),"",'RESUMEN VIGILANCIA'!AI74)</f>
        <v>10000</v>
      </c>
      <c r="AK75" s="400">
        <f>IF(ISBLANK('RESUMEN VIGILANCIA'!AJ74),"",'RESUMEN VIGILANCIA'!AJ74)</f>
        <v>10000</v>
      </c>
      <c r="AL75" s="400">
        <f>IF(ISBLANK('RESUMEN VIGILANCIA'!AK74),"",'RESUMEN VIGILANCIA'!AK74)</f>
        <v>23400</v>
      </c>
      <c r="AM75" s="400">
        <f>IF(ISBLANK('RESUMEN VIGILANCIA'!AL74),"",'RESUMEN VIGILANCIA'!AL74)</f>
        <v>51250</v>
      </c>
      <c r="AN75" s="400">
        <f>IF(ISBLANK('RESUMEN VIGILANCIA'!AM74),"",'RESUMEN VIGILANCIA'!AM74)</f>
        <v>56250</v>
      </c>
      <c r="AO75" s="401" t="str">
        <f>IF(ISBLANK('RESUMEN VIGILANCIA'!AN74),"",'RESUMEN VIGILANCIA'!AN74)</f>
        <v/>
      </c>
      <c r="AP75" s="399">
        <f>IF(ISBLANK('RESUMEN VIGILANCIA'!AO74),"",'RESUMEN VIGILANCIA'!AO74)</f>
        <v>136250</v>
      </c>
      <c r="AQ75" s="400" t="str">
        <f>IF(ISBLANK('RESUMEN VIGILANCIA'!AP74),"",'RESUMEN VIGILANCIA'!AP74)</f>
        <v/>
      </c>
      <c r="AR75" s="400" t="str">
        <f>IF(ISBLANK('RESUMEN VIGILANCIA'!AQ74),"",'RESUMEN VIGILANCIA'!AQ74)</f>
        <v/>
      </c>
      <c r="AS75" s="400" t="str">
        <f>IF(ISBLANK('RESUMEN VIGILANCIA'!AR74),"",'RESUMEN VIGILANCIA'!AR74)</f>
        <v/>
      </c>
      <c r="AT75" s="400" t="str">
        <f>IF(ISBLANK('RESUMEN VIGILANCIA'!AS74),"",'RESUMEN VIGILANCIA'!AS74)</f>
        <v/>
      </c>
      <c r="AU75" s="400" t="str">
        <f>IF(ISBLANK('RESUMEN VIGILANCIA'!AT74),"",'RESUMEN VIGILANCIA'!AT74)</f>
        <v/>
      </c>
      <c r="AV75" s="400" t="str">
        <f>IF(ISBLANK('RESUMEN VIGILANCIA'!AU74),"",'RESUMEN VIGILANCIA'!AU74)</f>
        <v/>
      </c>
      <c r="AW75" s="400" t="str">
        <f>IF(ISBLANK('RESUMEN VIGILANCIA'!AV74),"",'RESUMEN VIGILANCIA'!AV74)</f>
        <v/>
      </c>
      <c r="AX75" s="400" t="str">
        <f>IF(ISBLANK('RESUMEN VIGILANCIA'!AW74),"",'RESUMEN VIGILANCIA'!AW74)</f>
        <v/>
      </c>
      <c r="AY75" s="400" t="str">
        <f>IF(ISBLANK('RESUMEN VIGILANCIA'!AX74),"",'RESUMEN VIGILANCIA'!AX74)</f>
        <v/>
      </c>
      <c r="AZ75" s="400" t="str">
        <f>IF(ISBLANK('RESUMEN VIGILANCIA'!AY74),"",'RESUMEN VIGILANCIA'!AY74)</f>
        <v/>
      </c>
      <c r="BA75" s="401" t="str">
        <f>IF(ISBLANK('RESUMEN VIGILANCIA'!AZ74),"",'RESUMEN VIGILANCIA'!AZ74)</f>
        <v/>
      </c>
      <c r="BB75" s="243">
        <f t="shared" si="4"/>
        <v>182700.25</v>
      </c>
      <c r="BC75" s="112"/>
      <c r="BD75" s="112"/>
    </row>
    <row r="76" spans="1:56" s="29" customFormat="1" ht="20.100000000000001" customHeight="1">
      <c r="A76" s="59" t="str">
        <f>'RESUMEN VIGILANCIA'!A75</f>
        <v>Claudia González</v>
      </c>
      <c r="B76" s="60" t="str">
        <f>'RESUMEN VIGILANCIA'!B75</f>
        <v>Calle Güigüe Nro. 88-06</v>
      </c>
      <c r="C76" s="452"/>
      <c r="D76" s="460" t="s">
        <v>1248</v>
      </c>
      <c r="E76" s="440" t="str">
        <f>IF(ISBLANK('RESUMEN VIGILANCIA'!D75),"",'RESUMEN VIGILANCIA'!D75)</f>
        <v/>
      </c>
      <c r="F76" s="270" t="str">
        <f>IF(ISBLANK('RESUMEN VIGILANCIA'!E75),"",'RESUMEN VIGILANCIA'!E75)</f>
        <v/>
      </c>
      <c r="G76" s="182" t="str">
        <f>IF(ISBLANK('RESUMEN VIGILANCIA'!F75),"",'RESUMEN VIGILANCIA'!F75)</f>
        <v/>
      </c>
      <c r="H76" s="182" t="str">
        <f>IF(ISBLANK('RESUMEN VIGILANCIA'!G75),"",'RESUMEN VIGILANCIA'!G75)</f>
        <v/>
      </c>
      <c r="I76" s="182" t="str">
        <f>IF(ISBLANK('RESUMEN VIGILANCIA'!H75),"",'RESUMEN VIGILANCIA'!H75)</f>
        <v/>
      </c>
      <c r="J76" s="182" t="str">
        <f>IF(ISBLANK('RESUMEN VIGILANCIA'!I75),"",'RESUMEN VIGILANCIA'!I75)</f>
        <v/>
      </c>
      <c r="K76" s="182" t="str">
        <f>IF(ISBLANK('RESUMEN VIGILANCIA'!J75),"",'RESUMEN VIGILANCIA'!J75)</f>
        <v/>
      </c>
      <c r="L76" s="182" t="str">
        <f>IF(ISBLANK('RESUMEN VIGILANCIA'!K75),"",'RESUMEN VIGILANCIA'!K75)</f>
        <v/>
      </c>
      <c r="M76" s="182" t="str">
        <f>IF(ISBLANK('RESUMEN VIGILANCIA'!L75),"",'RESUMEN VIGILANCIA'!L75)</f>
        <v/>
      </c>
      <c r="N76" s="182" t="str">
        <f>IF(ISBLANK('RESUMEN VIGILANCIA'!M75),"",'RESUMEN VIGILANCIA'!M75)</f>
        <v/>
      </c>
      <c r="O76" s="182" t="str">
        <f>IF(ISBLANK('RESUMEN VIGILANCIA'!N75),"",'RESUMEN VIGILANCIA'!N75)</f>
        <v/>
      </c>
      <c r="P76" s="275" t="str">
        <f>IF(ISBLANK('RESUMEN VIGILANCIA'!O75),"",'RESUMEN VIGILANCIA'!O75)</f>
        <v>VENDIDA</v>
      </c>
      <c r="Q76" s="286" t="str">
        <f>IF(ISBLANK('RESUMEN VIGILANCIA'!P75),"",'RESUMEN VIGILANCIA'!P75)</f>
        <v/>
      </c>
      <c r="R76" s="287" t="str">
        <f>IF(ISBLANK('RESUMEN VIGILANCIA'!Q75),"",'RESUMEN VIGILANCIA'!Q75)</f>
        <v/>
      </c>
      <c r="S76" s="275" t="str">
        <f>IF(ISBLANK('RESUMEN VIGILANCIA'!R75),"",'RESUMEN VIGILANCIA'!R75)</f>
        <v/>
      </c>
      <c r="T76" s="275" t="str">
        <f>IF(ISBLANK('RESUMEN VIGILANCIA'!S75),"",'RESUMEN VIGILANCIA'!S75)</f>
        <v/>
      </c>
      <c r="U76" s="275" t="str">
        <f>IF(ISBLANK('RESUMEN VIGILANCIA'!T75),"",'RESUMEN VIGILANCIA'!T75)</f>
        <v/>
      </c>
      <c r="V76" s="275" t="str">
        <f>IF(ISBLANK('RESUMEN VIGILANCIA'!U75),"",'RESUMEN VIGILANCIA'!U75)</f>
        <v/>
      </c>
      <c r="W76" s="275" t="str">
        <f>IF(ISBLANK('RESUMEN VIGILANCIA'!V75),"",'RESUMEN VIGILANCIA'!V75)</f>
        <v/>
      </c>
      <c r="X76" s="275" t="str">
        <f>IF(ISBLANK('RESUMEN VIGILANCIA'!W75),"",'RESUMEN VIGILANCIA'!W75)</f>
        <v/>
      </c>
      <c r="Y76" s="275" t="str">
        <f>IF(ISBLANK('RESUMEN VIGILANCIA'!X75),"",'RESUMEN VIGILANCIA'!X75)</f>
        <v/>
      </c>
      <c r="Z76" s="494" t="str">
        <f>IF(ISBLANK('RESUMEN VIGILANCIA'!Y75),"",'RESUMEN VIGILANCIA'!Y75)</f>
        <v/>
      </c>
      <c r="AA76" s="494" t="str">
        <f>IF(ISBLANK('RESUMEN VIGILANCIA'!Z75),"",'RESUMEN VIGILANCIA'!Z75)</f>
        <v/>
      </c>
      <c r="AB76" s="494" t="str">
        <f>IF(ISBLANK('RESUMEN VIGILANCIA'!AA75),"",'RESUMEN VIGILANCIA'!AA75)</f>
        <v/>
      </c>
      <c r="AC76" s="495" t="str">
        <f>IF(ISBLANK('RESUMEN VIGILANCIA'!AB75),"",'RESUMEN VIGILANCIA'!AB75)</f>
        <v/>
      </c>
      <c r="AD76" s="496" t="str">
        <f>IF(ISBLANK('RESUMEN VIGILANCIA'!AC75),"",'RESUMEN VIGILANCIA'!AC75)</f>
        <v/>
      </c>
      <c r="AE76" s="497" t="str">
        <f>IF(ISBLANK('RESUMEN VIGILANCIA'!AD75),"",'RESUMEN VIGILANCIA'!AD75)</f>
        <v/>
      </c>
      <c r="AF76" s="497" t="str">
        <f>IF(ISBLANK('RESUMEN VIGILANCIA'!AE75),"",'RESUMEN VIGILANCIA'!AE75)</f>
        <v/>
      </c>
      <c r="AG76" s="497" t="str">
        <f>IF(ISBLANK('RESUMEN VIGILANCIA'!AF75),"",'RESUMEN VIGILANCIA'!AF75)</f>
        <v/>
      </c>
      <c r="AH76" s="497" t="str">
        <f>IF(ISBLANK('RESUMEN VIGILANCIA'!AG75),"",'RESUMEN VIGILANCIA'!AG75)</f>
        <v/>
      </c>
      <c r="AI76" s="497" t="str">
        <f>IF(ISBLANK('RESUMEN VIGILANCIA'!AH75),"",'RESUMEN VIGILANCIA'!AH75)</f>
        <v/>
      </c>
      <c r="AJ76" s="497" t="str">
        <f>IF(ISBLANK('RESUMEN VIGILANCIA'!AI75),"",'RESUMEN VIGILANCIA'!AI75)</f>
        <v/>
      </c>
      <c r="AK76" s="497" t="str">
        <f>IF(ISBLANK('RESUMEN VIGILANCIA'!AJ75),"",'RESUMEN VIGILANCIA'!AJ75)</f>
        <v/>
      </c>
      <c r="AL76" s="497" t="str">
        <f>IF(ISBLANK('RESUMEN VIGILANCIA'!AK75),"",'RESUMEN VIGILANCIA'!AK75)</f>
        <v/>
      </c>
      <c r="AM76" s="497" t="str">
        <f>IF(ISBLANK('RESUMEN VIGILANCIA'!AL75),"",'RESUMEN VIGILANCIA'!AL75)</f>
        <v/>
      </c>
      <c r="AN76" s="497" t="str">
        <f>IF(ISBLANK('RESUMEN VIGILANCIA'!AM75),"",'RESUMEN VIGILANCIA'!AM75)</f>
        <v/>
      </c>
      <c r="AO76" s="498" t="str">
        <f>IF(ISBLANK('RESUMEN VIGILANCIA'!AN75),"",'RESUMEN VIGILANCIA'!AN75)</f>
        <v/>
      </c>
      <c r="AP76" s="496" t="str">
        <f>IF(ISBLANK('RESUMEN VIGILANCIA'!AO75),"",'RESUMEN VIGILANCIA'!AO75)</f>
        <v/>
      </c>
      <c r="AQ76" s="497" t="str">
        <f>IF(ISBLANK('RESUMEN VIGILANCIA'!AP75),"",'RESUMEN VIGILANCIA'!AP75)</f>
        <v/>
      </c>
      <c r="AR76" s="497" t="str">
        <f>IF(ISBLANK('RESUMEN VIGILANCIA'!AQ75),"",'RESUMEN VIGILANCIA'!AQ75)</f>
        <v/>
      </c>
      <c r="AS76" s="497" t="str">
        <f>IF(ISBLANK('RESUMEN VIGILANCIA'!AR75),"",'RESUMEN VIGILANCIA'!AR75)</f>
        <v/>
      </c>
      <c r="AT76" s="497" t="str">
        <f>IF(ISBLANK('RESUMEN VIGILANCIA'!AS75),"",'RESUMEN VIGILANCIA'!AS75)</f>
        <v/>
      </c>
      <c r="AU76" s="497" t="str">
        <f>IF(ISBLANK('RESUMEN VIGILANCIA'!AT75),"",'RESUMEN VIGILANCIA'!AT75)</f>
        <v/>
      </c>
      <c r="AV76" s="497" t="str">
        <f>IF(ISBLANK('RESUMEN VIGILANCIA'!AU75),"",'RESUMEN VIGILANCIA'!AU75)</f>
        <v/>
      </c>
      <c r="AW76" s="497" t="str">
        <f>IF(ISBLANK('RESUMEN VIGILANCIA'!AV75),"",'RESUMEN VIGILANCIA'!AV75)</f>
        <v/>
      </c>
      <c r="AX76" s="497" t="str">
        <f>IF(ISBLANK('RESUMEN VIGILANCIA'!AW75),"",'RESUMEN VIGILANCIA'!AW75)</f>
        <v/>
      </c>
      <c r="AY76" s="497" t="str">
        <f>IF(ISBLANK('RESUMEN VIGILANCIA'!AX75),"",'RESUMEN VIGILANCIA'!AX75)</f>
        <v/>
      </c>
      <c r="AZ76" s="497" t="str">
        <f>IF(ISBLANK('RESUMEN VIGILANCIA'!AY75),"",'RESUMEN VIGILANCIA'!AY75)</f>
        <v/>
      </c>
      <c r="BA76" s="498" t="str">
        <f>IF(ISBLANK('RESUMEN VIGILANCIA'!AZ75),"",'RESUMEN VIGILANCIA'!AZ75)</f>
        <v/>
      </c>
      <c r="BB76" s="243">
        <f t="shared" si="4"/>
        <v>0</v>
      </c>
      <c r="BC76" s="112"/>
      <c r="BD76" s="112">
        <v>43009</v>
      </c>
    </row>
    <row r="77" spans="1:56" s="29" customFormat="1" ht="20.100000000000001" customHeight="1">
      <c r="A77" s="30" t="str">
        <f>'RESUMEN VIGILANCIA'!A76</f>
        <v>Familia Ozar Rivero</v>
      </c>
      <c r="B77" s="31" t="str">
        <f>'RESUMEN VIGILANCIA'!B76</f>
        <v>Calle Güigüe Nro. 88-06</v>
      </c>
      <c r="C77" s="452" t="s">
        <v>1249</v>
      </c>
      <c r="D77" s="460" t="s">
        <v>1248</v>
      </c>
      <c r="E77" s="442" t="str">
        <f>IF(ISBLANK('RESUMEN VIGILANCIA'!D76),"",'RESUMEN VIGILANCIA'!D76)</f>
        <v/>
      </c>
      <c r="F77" s="283" t="str">
        <f>IF(ISBLANK('RESUMEN VIGILANCIA'!E76),"",'RESUMEN VIGILANCIA'!E76)</f>
        <v/>
      </c>
      <c r="G77" s="210" t="str">
        <f>IF(ISBLANK('RESUMEN VIGILANCIA'!F76),"",'RESUMEN VIGILANCIA'!F76)</f>
        <v/>
      </c>
      <c r="H77" s="210" t="str">
        <f>IF(ISBLANK('RESUMEN VIGILANCIA'!G76),"",'RESUMEN VIGILANCIA'!G76)</f>
        <v/>
      </c>
      <c r="I77" s="210" t="str">
        <f>IF(ISBLANK('RESUMEN VIGILANCIA'!H76),"",'RESUMEN VIGILANCIA'!H76)</f>
        <v/>
      </c>
      <c r="J77" s="210" t="str">
        <f>IF(ISBLANK('RESUMEN VIGILANCIA'!I76),"",'RESUMEN VIGILANCIA'!I76)</f>
        <v/>
      </c>
      <c r="K77" s="210" t="str">
        <f>IF(ISBLANK('RESUMEN VIGILANCIA'!J76),"",'RESUMEN VIGILANCIA'!J76)</f>
        <v/>
      </c>
      <c r="L77" s="210" t="str">
        <f>IF(ISBLANK('RESUMEN VIGILANCIA'!K76),"",'RESUMEN VIGILANCIA'!K76)</f>
        <v/>
      </c>
      <c r="M77" s="210" t="str">
        <f>IF(ISBLANK('RESUMEN VIGILANCIA'!L76),"",'RESUMEN VIGILANCIA'!L76)</f>
        <v/>
      </c>
      <c r="N77" s="210" t="str">
        <f>IF(ISBLANK('RESUMEN VIGILANCIA'!M76),"",'RESUMEN VIGILANCIA'!M76)</f>
        <v/>
      </c>
      <c r="O77" s="210">
        <f>IF(ISBLANK('RESUMEN VIGILANCIA'!N76),"",'RESUMEN VIGILANCIA'!N76)</f>
        <v>0.35</v>
      </c>
      <c r="P77" s="271">
        <f>IF(ISBLANK('RESUMEN VIGILANCIA'!O76),"",'RESUMEN VIGILANCIA'!O76)</f>
        <v>0.5</v>
      </c>
      <c r="Q77" s="180">
        <f>IF(ISBLANK('RESUMEN VIGILANCIA'!P76),"",'RESUMEN VIGILANCIA'!P76)</f>
        <v>0.5</v>
      </c>
      <c r="R77" s="272">
        <f>IF(ISBLANK('RESUMEN VIGILANCIA'!Q76),"",'RESUMEN VIGILANCIA'!Q76)</f>
        <v>0.8</v>
      </c>
      <c r="S77" s="271">
        <f>IF(ISBLANK('RESUMEN VIGILANCIA'!R76),"",'RESUMEN VIGILANCIA'!R76)</f>
        <v>0.65</v>
      </c>
      <c r="T77" s="271">
        <f>IF(ISBLANK('RESUMEN VIGILANCIA'!S76),"",'RESUMEN VIGILANCIA'!S76)</f>
        <v>1.4</v>
      </c>
      <c r="U77" s="271">
        <f>IF(ISBLANK('RESUMEN VIGILANCIA'!T76),"",'RESUMEN VIGILANCIA'!T76)</f>
        <v>1.4</v>
      </c>
      <c r="V77" s="271">
        <f>IF(ISBLANK('RESUMEN VIGILANCIA'!U76),"",'RESUMEN VIGILANCIA'!U76)</f>
        <v>4</v>
      </c>
      <c r="W77" s="271">
        <f>IF(ISBLANK('RESUMEN VIGILANCIA'!V76),"",'RESUMEN VIGILANCIA'!V76)</f>
        <v>6.25</v>
      </c>
      <c r="X77" s="271">
        <f>IF(ISBLANK('RESUMEN VIGILANCIA'!W76),"",'RESUMEN VIGILANCIA'!W76)</f>
        <v>10</v>
      </c>
      <c r="Y77" s="271">
        <f>IF(ISBLANK('RESUMEN VIGILANCIA'!X76),"",'RESUMEN VIGILANCIA'!X76)</f>
        <v>12</v>
      </c>
      <c r="Z77" s="481">
        <f>IF(ISBLANK('RESUMEN VIGILANCIA'!Y76),"",'RESUMEN VIGILANCIA'!Y76)</f>
        <v>320</v>
      </c>
      <c r="AA77" s="481">
        <f>IF(ISBLANK('RESUMEN VIGILANCIA'!Z76),"",'RESUMEN VIGILANCIA'!Z76)</f>
        <v>320</v>
      </c>
      <c r="AB77" s="481">
        <f>IF(ISBLANK('RESUMEN VIGILANCIA'!AA76),"",'RESUMEN VIGILANCIA'!AA76)</f>
        <v>320</v>
      </c>
      <c r="AC77" s="482">
        <f>IF(ISBLANK('RESUMEN VIGILANCIA'!AB76),"",'RESUMEN VIGILANCIA'!AB76)</f>
        <v>800</v>
      </c>
      <c r="AD77" s="399">
        <f>IF(ISBLANK('RESUMEN VIGILANCIA'!AC76),"",'RESUMEN VIGILANCIA'!AC76)</f>
        <v>3000</v>
      </c>
      <c r="AE77" s="400">
        <f>IF(ISBLANK('RESUMEN VIGILANCIA'!AD76),"",'RESUMEN VIGILANCIA'!AD76)</f>
        <v>3000</v>
      </c>
      <c r="AF77" s="400">
        <f>IF(ISBLANK('RESUMEN VIGILANCIA'!AE76),"",'RESUMEN VIGILANCIA'!AE76)</f>
        <v>3000</v>
      </c>
      <c r="AG77" s="400">
        <f>IF(ISBLANK('RESUMEN VIGILANCIA'!AF76),"",'RESUMEN VIGILANCIA'!AF76)</f>
        <v>5000</v>
      </c>
      <c r="AH77" s="400">
        <f>IF(ISBLANK('RESUMEN VIGILANCIA'!AG76),"",'RESUMEN VIGILANCIA'!AG76)</f>
        <v>8000</v>
      </c>
      <c r="AI77" s="400">
        <f>IF(ISBLANK('RESUMEN VIGILANCIA'!AH76),"",'RESUMEN VIGILANCIA'!AH76)</f>
        <v>8000</v>
      </c>
      <c r="AJ77" s="400">
        <f>IF(ISBLANK('RESUMEN VIGILANCIA'!AI76),"",'RESUMEN VIGILANCIA'!AI76)</f>
        <v>10000</v>
      </c>
      <c r="AK77" s="400">
        <f>IF(ISBLANK('RESUMEN VIGILANCIA'!AJ76),"",'RESUMEN VIGILANCIA'!AJ76)</f>
        <v>10000</v>
      </c>
      <c r="AL77" s="400">
        <f>IF(ISBLANK('RESUMEN VIGILANCIA'!AK76),"",'RESUMEN VIGILANCIA'!AK76)</f>
        <v>22000</v>
      </c>
      <c r="AM77" s="400">
        <f>IF(ISBLANK('RESUMEN VIGILANCIA'!AL76),"",'RESUMEN VIGILANCIA'!AL76)</f>
        <v>51250</v>
      </c>
      <c r="AN77" s="400">
        <f>IF(ISBLANK('RESUMEN VIGILANCIA'!AM76),"",'RESUMEN VIGILANCIA'!AM76)</f>
        <v>73500</v>
      </c>
      <c r="AO77" s="401">
        <f>IF(ISBLANK('RESUMEN VIGILANCIA'!AN76),"",'RESUMEN VIGILANCIA'!AN76)</f>
        <v>136250</v>
      </c>
      <c r="AP77" s="399">
        <f>IF(ISBLANK('RESUMEN VIGILANCIA'!AO76),"",'RESUMEN VIGILANCIA'!AO76)</f>
        <v>136250</v>
      </c>
      <c r="AQ77" s="400">
        <f>IF(ISBLANK('RESUMEN VIGILANCIA'!AP76),"",'RESUMEN VIGILANCIA'!AP76)</f>
        <v>136250</v>
      </c>
      <c r="AR77" s="400" t="str">
        <f>IF(ISBLANK('RESUMEN VIGILANCIA'!AQ76),"",'RESUMEN VIGILANCIA'!AQ76)</f>
        <v/>
      </c>
      <c r="AS77" s="400" t="str">
        <f>IF(ISBLANK('RESUMEN VIGILANCIA'!AR76),"",'RESUMEN VIGILANCIA'!AR76)</f>
        <v/>
      </c>
      <c r="AT77" s="400" t="str">
        <f>IF(ISBLANK('RESUMEN VIGILANCIA'!AS76),"",'RESUMEN VIGILANCIA'!AS76)</f>
        <v/>
      </c>
      <c r="AU77" s="400" t="str">
        <f>IF(ISBLANK('RESUMEN VIGILANCIA'!AT76),"",'RESUMEN VIGILANCIA'!AT76)</f>
        <v/>
      </c>
      <c r="AV77" s="400" t="str">
        <f>IF(ISBLANK('RESUMEN VIGILANCIA'!AU76),"",'RESUMEN VIGILANCIA'!AU76)</f>
        <v/>
      </c>
      <c r="AW77" s="400" t="str">
        <f>IF(ISBLANK('RESUMEN VIGILANCIA'!AV76),"",'RESUMEN VIGILANCIA'!AV76)</f>
        <v/>
      </c>
      <c r="AX77" s="400" t="str">
        <f>IF(ISBLANK('RESUMEN VIGILANCIA'!AW76),"",'RESUMEN VIGILANCIA'!AW76)</f>
        <v/>
      </c>
      <c r="AY77" s="400" t="str">
        <f>IF(ISBLANK('RESUMEN VIGILANCIA'!AX76),"",'RESUMEN VIGILANCIA'!AX76)</f>
        <v/>
      </c>
      <c r="AZ77" s="400" t="str">
        <f>IF(ISBLANK('RESUMEN VIGILANCIA'!AY76),"",'RESUMEN VIGILANCIA'!AY76)</f>
        <v/>
      </c>
      <c r="BA77" s="401" t="str">
        <f>IF(ISBLANK('RESUMEN VIGILANCIA'!AZ76),"",'RESUMEN VIGILANCIA'!AZ76)</f>
        <v/>
      </c>
      <c r="BB77" s="243">
        <f t="shared" si="4"/>
        <v>334797.84999999998</v>
      </c>
      <c r="BC77" s="112">
        <v>43040</v>
      </c>
      <c r="BD77" s="112"/>
    </row>
    <row r="78" spans="1:56" s="29" customFormat="1" ht="20.100000000000001" customHeight="1">
      <c r="A78" s="30" t="str">
        <f>'RESUMEN VIGILANCIA'!A77</f>
        <v>Familia Delgado Hidalgo</v>
      </c>
      <c r="B78" s="31" t="str">
        <f>'RESUMEN VIGILANCIA'!B77</f>
        <v>Calle Güigüe Nro. 88-10</v>
      </c>
      <c r="C78" s="452" t="s">
        <v>1249</v>
      </c>
      <c r="D78" s="460" t="s">
        <v>1248</v>
      </c>
      <c r="E78" s="440" t="str">
        <f>IF(ISBLANK('RESUMEN VIGILANCIA'!D77),"",'RESUMEN VIGILANCIA'!D77)</f>
        <v/>
      </c>
      <c r="F78" s="270">
        <f>IF(ISBLANK('RESUMEN VIGILANCIA'!E77),"",'RESUMEN VIGILANCIA'!E77)</f>
        <v>0.17</v>
      </c>
      <c r="G78" s="182">
        <f>IF(ISBLANK('RESUMEN VIGILANCIA'!F77),"",'RESUMEN VIGILANCIA'!F77)</f>
        <v>0.17</v>
      </c>
      <c r="H78" s="182">
        <f>IF(ISBLANK('RESUMEN VIGILANCIA'!G77),"",'RESUMEN VIGILANCIA'!G77)</f>
        <v>0.17</v>
      </c>
      <c r="I78" s="182">
        <f>IF(ISBLANK('RESUMEN VIGILANCIA'!H77),"",'RESUMEN VIGILANCIA'!H77)</f>
        <v>0.17</v>
      </c>
      <c r="J78" s="182">
        <f>IF(ISBLANK('RESUMEN VIGILANCIA'!I77),"",'RESUMEN VIGILANCIA'!I77)</f>
        <v>0.26</v>
      </c>
      <c r="K78" s="182">
        <f>IF(ISBLANK('RESUMEN VIGILANCIA'!J77),"",'RESUMEN VIGILANCIA'!J77)</f>
        <v>0.26</v>
      </c>
      <c r="L78" s="182">
        <f>IF(ISBLANK('RESUMEN VIGILANCIA'!K77),"",'RESUMEN VIGILANCIA'!K77)</f>
        <v>0.35</v>
      </c>
      <c r="M78" s="182">
        <f>IF(ISBLANK('RESUMEN VIGILANCIA'!L77),"",'RESUMEN VIGILANCIA'!L77)</f>
        <v>0.35</v>
      </c>
      <c r="N78" s="182">
        <f>IF(ISBLANK('RESUMEN VIGILANCIA'!M77),"",'RESUMEN VIGILANCIA'!M77)</f>
        <v>0.35</v>
      </c>
      <c r="O78" s="182">
        <f>IF(ISBLANK('RESUMEN VIGILANCIA'!N77),"",'RESUMEN VIGILANCIA'!N77)</f>
        <v>0.35</v>
      </c>
      <c r="P78" s="271">
        <f>IF(ISBLANK('RESUMEN VIGILANCIA'!O77),"",'RESUMEN VIGILANCIA'!O77)</f>
        <v>0.5</v>
      </c>
      <c r="Q78" s="180">
        <f>IF(ISBLANK('RESUMEN VIGILANCIA'!P77),"",'RESUMEN VIGILANCIA'!P77)</f>
        <v>0.5</v>
      </c>
      <c r="R78" s="272">
        <f>IF(ISBLANK('RESUMEN VIGILANCIA'!Q77),"",'RESUMEN VIGILANCIA'!Q77)</f>
        <v>0.8</v>
      </c>
      <c r="S78" s="271">
        <f>IF(ISBLANK('RESUMEN VIGILANCIA'!R77),"",'RESUMEN VIGILANCIA'!R77)</f>
        <v>0.8</v>
      </c>
      <c r="T78" s="271">
        <f>IF(ISBLANK('RESUMEN VIGILANCIA'!S77),"",'RESUMEN VIGILANCIA'!S77)</f>
        <v>1.4</v>
      </c>
      <c r="U78" s="271">
        <f>IF(ISBLANK('RESUMEN VIGILANCIA'!T77),"",'RESUMEN VIGILANCIA'!T77)</f>
        <v>1.4</v>
      </c>
      <c r="V78" s="271">
        <f>IF(ISBLANK('RESUMEN VIGILANCIA'!U77),"",'RESUMEN VIGILANCIA'!U77)</f>
        <v>4</v>
      </c>
      <c r="W78" s="271">
        <f>IF(ISBLANK('RESUMEN VIGILANCIA'!V77),"",'RESUMEN VIGILANCIA'!V77)</f>
        <v>6.25</v>
      </c>
      <c r="X78" s="271">
        <f>IF(ISBLANK('RESUMEN VIGILANCIA'!W77),"",'RESUMEN VIGILANCIA'!W77)</f>
        <v>10</v>
      </c>
      <c r="Y78" s="271">
        <f>IF(ISBLANK('RESUMEN VIGILANCIA'!X77),"",'RESUMEN VIGILANCIA'!X77)</f>
        <v>12</v>
      </c>
      <c r="Z78" s="481">
        <f>IF(ISBLANK('RESUMEN VIGILANCIA'!Y77),"",'RESUMEN VIGILANCIA'!Y77)</f>
        <v>320</v>
      </c>
      <c r="AA78" s="481">
        <f>IF(ISBLANK('RESUMEN VIGILANCIA'!Z77),"",'RESUMEN VIGILANCIA'!Z77)</f>
        <v>320</v>
      </c>
      <c r="AB78" s="481">
        <f>IF(ISBLANK('RESUMEN VIGILANCIA'!AA77),"",'RESUMEN VIGILANCIA'!AA77)</f>
        <v>320</v>
      </c>
      <c r="AC78" s="482">
        <f>IF(ISBLANK('RESUMEN VIGILANCIA'!AB77),"",'RESUMEN VIGILANCIA'!AB77)</f>
        <v>800</v>
      </c>
      <c r="AD78" s="399">
        <f>IF(ISBLANK('RESUMEN VIGILANCIA'!AC77),"",'RESUMEN VIGILANCIA'!AC77)</f>
        <v>3000</v>
      </c>
      <c r="AE78" s="400">
        <f>IF(ISBLANK('RESUMEN VIGILANCIA'!AD77),"",'RESUMEN VIGILANCIA'!AD77)</f>
        <v>3000</v>
      </c>
      <c r="AF78" s="400">
        <f>IF(ISBLANK('RESUMEN VIGILANCIA'!AE77),"",'RESUMEN VIGILANCIA'!AE77)</f>
        <v>3000</v>
      </c>
      <c r="AG78" s="400">
        <f>IF(ISBLANK('RESUMEN VIGILANCIA'!AF77),"",'RESUMEN VIGILANCIA'!AF77)</f>
        <v>5000</v>
      </c>
      <c r="AH78" s="400">
        <f>IF(ISBLANK('RESUMEN VIGILANCIA'!AG77),"",'RESUMEN VIGILANCIA'!AG77)</f>
        <v>8000</v>
      </c>
      <c r="AI78" s="400">
        <f>IF(ISBLANK('RESUMEN VIGILANCIA'!AH77),"",'RESUMEN VIGILANCIA'!AH77)</f>
        <v>8000</v>
      </c>
      <c r="AJ78" s="400">
        <f>IF(ISBLANK('RESUMEN VIGILANCIA'!AI77),"",'RESUMEN VIGILANCIA'!AI77)</f>
        <v>10000</v>
      </c>
      <c r="AK78" s="400">
        <f>IF(ISBLANK('RESUMEN VIGILANCIA'!AJ77),"",'RESUMEN VIGILANCIA'!AJ77)</f>
        <v>10000</v>
      </c>
      <c r="AL78" s="400">
        <f>IF(ISBLANK('RESUMEN VIGILANCIA'!AK77),"",'RESUMEN VIGILANCIA'!AK77)</f>
        <v>20500</v>
      </c>
      <c r="AM78" s="400">
        <f>IF(ISBLANK('RESUMEN VIGILANCIA'!AL77),"",'RESUMEN VIGILANCIA'!AL77)</f>
        <v>56260</v>
      </c>
      <c r="AN78" s="400">
        <f>IF(ISBLANK('RESUMEN VIGILANCIA'!AM77),"",'RESUMEN VIGILANCIA'!AM77)</f>
        <v>56250</v>
      </c>
      <c r="AO78" s="401">
        <f>IF(ISBLANK('RESUMEN VIGILANCIA'!AN77),"",'RESUMEN VIGILANCIA'!AN77)</f>
        <v>81750</v>
      </c>
      <c r="AP78" s="399">
        <f>IF(ISBLANK('RESUMEN VIGILANCIA'!AO77),"",'RESUMEN VIGILANCIA'!AO77)</f>
        <v>136250</v>
      </c>
      <c r="AQ78" s="400" t="str">
        <f>IF(ISBLANK('RESUMEN VIGILANCIA'!AP77),"",'RESUMEN VIGILANCIA'!AP77)</f>
        <v/>
      </c>
      <c r="AR78" s="400" t="str">
        <f>IF(ISBLANK('RESUMEN VIGILANCIA'!AQ77),"",'RESUMEN VIGILANCIA'!AQ77)</f>
        <v/>
      </c>
      <c r="AS78" s="400" t="str">
        <f>IF(ISBLANK('RESUMEN VIGILANCIA'!AR77),"",'RESUMEN VIGILANCIA'!AR77)</f>
        <v/>
      </c>
      <c r="AT78" s="400" t="str">
        <f>IF(ISBLANK('RESUMEN VIGILANCIA'!AS77),"",'RESUMEN VIGILANCIA'!AS77)</f>
        <v/>
      </c>
      <c r="AU78" s="400" t="str">
        <f>IF(ISBLANK('RESUMEN VIGILANCIA'!AT77),"",'RESUMEN VIGILANCIA'!AT77)</f>
        <v/>
      </c>
      <c r="AV78" s="400" t="str">
        <f>IF(ISBLANK('RESUMEN VIGILANCIA'!AU77),"",'RESUMEN VIGILANCIA'!AU77)</f>
        <v/>
      </c>
      <c r="AW78" s="400" t="str">
        <f>IF(ISBLANK('RESUMEN VIGILANCIA'!AV77),"",'RESUMEN VIGILANCIA'!AV77)</f>
        <v/>
      </c>
      <c r="AX78" s="400" t="str">
        <f>IF(ISBLANK('RESUMEN VIGILANCIA'!AW77),"",'RESUMEN VIGILANCIA'!AW77)</f>
        <v/>
      </c>
      <c r="AY78" s="400" t="str">
        <f>IF(ISBLANK('RESUMEN VIGILANCIA'!AX77),"",'RESUMEN VIGILANCIA'!AX77)</f>
        <v/>
      </c>
      <c r="AZ78" s="400" t="str">
        <f>IF(ISBLANK('RESUMEN VIGILANCIA'!AY77),"",'RESUMEN VIGILANCIA'!AY77)</f>
        <v/>
      </c>
      <c r="BA78" s="401" t="str">
        <f>IF(ISBLANK('RESUMEN VIGILANCIA'!AZ77),"",'RESUMEN VIGILANCIA'!AZ77)</f>
        <v/>
      </c>
      <c r="BB78" s="243">
        <f t="shared" si="4"/>
        <v>266560.25</v>
      </c>
      <c r="BC78" s="112"/>
      <c r="BD78" s="112"/>
    </row>
    <row r="79" spans="1:56" s="29" customFormat="1" ht="20.100000000000001" customHeight="1">
      <c r="A79" s="30" t="str">
        <f>'RESUMEN VIGILANCIA'!A97</f>
        <v>Familia Castillo Mena</v>
      </c>
      <c r="B79" s="31" t="str">
        <f>'RESUMEN VIGILANCIA'!B97</f>
        <v>Calle Güigüe Nro. 88-101</v>
      </c>
      <c r="C79" s="452" t="s">
        <v>1249</v>
      </c>
      <c r="D79" s="460" t="s">
        <v>1248</v>
      </c>
      <c r="E79" s="440" t="str">
        <f>IF(ISBLANK('RESUMEN VIGILANCIA'!D97),"",'RESUMEN VIGILANCIA'!D97)</f>
        <v/>
      </c>
      <c r="F79" s="270">
        <f>IF(ISBLANK('RESUMEN VIGILANCIA'!E97),"",'RESUMEN VIGILANCIA'!E97)</f>
        <v>0.17</v>
      </c>
      <c r="G79" s="182">
        <f>IF(ISBLANK('RESUMEN VIGILANCIA'!F97),"",'RESUMEN VIGILANCIA'!F97)</f>
        <v>0.17</v>
      </c>
      <c r="H79" s="182">
        <f>IF(ISBLANK('RESUMEN VIGILANCIA'!G97),"",'RESUMEN VIGILANCIA'!G97)</f>
        <v>0.17</v>
      </c>
      <c r="I79" s="182">
        <f>IF(ISBLANK('RESUMEN VIGILANCIA'!H97),"",'RESUMEN VIGILANCIA'!H97)</f>
        <v>0.17</v>
      </c>
      <c r="J79" s="182">
        <f>IF(ISBLANK('RESUMEN VIGILANCIA'!I97),"",'RESUMEN VIGILANCIA'!I97)</f>
        <v>0.26</v>
      </c>
      <c r="K79" s="182">
        <f>IF(ISBLANK('RESUMEN VIGILANCIA'!J97),"",'RESUMEN VIGILANCIA'!J97)</f>
        <v>0.26</v>
      </c>
      <c r="L79" s="182">
        <f>IF(ISBLANK('RESUMEN VIGILANCIA'!K97),"",'RESUMEN VIGILANCIA'!K97)</f>
        <v>0.35</v>
      </c>
      <c r="M79" s="182">
        <f>IF(ISBLANK('RESUMEN VIGILANCIA'!L97),"",'RESUMEN VIGILANCIA'!L97)</f>
        <v>0.35</v>
      </c>
      <c r="N79" s="182">
        <f>IF(ISBLANK('RESUMEN VIGILANCIA'!M97),"",'RESUMEN VIGILANCIA'!M97)</f>
        <v>0.35</v>
      </c>
      <c r="O79" s="182">
        <f>IF(ISBLANK('RESUMEN VIGILANCIA'!N97),"",'RESUMEN VIGILANCIA'!N97)</f>
        <v>0.35</v>
      </c>
      <c r="P79" s="271">
        <f>IF(ISBLANK('RESUMEN VIGILANCIA'!O97),"",'RESUMEN VIGILANCIA'!O97)</f>
        <v>0.5</v>
      </c>
      <c r="Q79" s="180">
        <f>IF(ISBLANK('RESUMEN VIGILANCIA'!P97),"",'RESUMEN VIGILANCIA'!P97)</f>
        <v>0.5</v>
      </c>
      <c r="R79" s="272">
        <f>IF(ISBLANK('RESUMEN VIGILANCIA'!Q97),"",'RESUMEN VIGILANCIA'!Q97)</f>
        <v>0.8</v>
      </c>
      <c r="S79" s="271">
        <f>IF(ISBLANK('RESUMEN VIGILANCIA'!R97),"",'RESUMEN VIGILANCIA'!R97)</f>
        <v>0.8</v>
      </c>
      <c r="T79" s="271">
        <f>IF(ISBLANK('RESUMEN VIGILANCIA'!S97),"",'RESUMEN VIGILANCIA'!S97)</f>
        <v>1.4</v>
      </c>
      <c r="U79" s="271">
        <f>IF(ISBLANK('RESUMEN VIGILANCIA'!T97),"",'RESUMEN VIGILANCIA'!T97)</f>
        <v>1.4</v>
      </c>
      <c r="V79" s="271">
        <f>IF(ISBLANK('RESUMEN VIGILANCIA'!U97),"",'RESUMEN VIGILANCIA'!U97)</f>
        <v>4</v>
      </c>
      <c r="W79" s="271">
        <f>IF(ISBLANK('RESUMEN VIGILANCIA'!V97),"",'RESUMEN VIGILANCIA'!V97)</f>
        <v>6.25</v>
      </c>
      <c r="X79" s="271">
        <f>IF(ISBLANK('RESUMEN VIGILANCIA'!W97),"",'RESUMEN VIGILANCIA'!W97)</f>
        <v>10</v>
      </c>
      <c r="Y79" s="271">
        <f>IF(ISBLANK('RESUMEN VIGILANCIA'!X97),"",'RESUMEN VIGILANCIA'!X97)</f>
        <v>12</v>
      </c>
      <c r="Z79" s="481">
        <f>IF(ISBLANK('RESUMEN VIGILANCIA'!Y97),"",'RESUMEN VIGILANCIA'!Y97)</f>
        <v>320</v>
      </c>
      <c r="AA79" s="481">
        <f>IF(ISBLANK('RESUMEN VIGILANCIA'!Z97),"",'RESUMEN VIGILANCIA'!Z97)</f>
        <v>320</v>
      </c>
      <c r="AB79" s="481">
        <f>IF(ISBLANK('RESUMEN VIGILANCIA'!AA97),"",'RESUMEN VIGILANCIA'!AA97)</f>
        <v>320</v>
      </c>
      <c r="AC79" s="482">
        <f>IF(ISBLANK('RESUMEN VIGILANCIA'!AB97),"",'RESUMEN VIGILANCIA'!AB97)</f>
        <v>800</v>
      </c>
      <c r="AD79" s="399">
        <f>IF(ISBLANK('RESUMEN VIGILANCIA'!AC97),"",'RESUMEN VIGILANCIA'!AC97)</f>
        <v>3000</v>
      </c>
      <c r="AE79" s="400">
        <f>IF(ISBLANK('RESUMEN VIGILANCIA'!AD97),"",'RESUMEN VIGILANCIA'!AD97)</f>
        <v>3000</v>
      </c>
      <c r="AF79" s="400">
        <f>IF(ISBLANK('RESUMEN VIGILANCIA'!AE97),"",'RESUMEN VIGILANCIA'!AE97)</f>
        <v>3000</v>
      </c>
      <c r="AG79" s="400">
        <f>IF(ISBLANK('RESUMEN VIGILANCIA'!AF97),"",'RESUMEN VIGILANCIA'!AF97)</f>
        <v>5000</v>
      </c>
      <c r="AH79" s="400">
        <f>IF(ISBLANK('RESUMEN VIGILANCIA'!AG97),"",'RESUMEN VIGILANCIA'!AG97)</f>
        <v>8000</v>
      </c>
      <c r="AI79" s="400">
        <f>IF(ISBLANK('RESUMEN VIGILANCIA'!AH97),"",'RESUMEN VIGILANCIA'!AH97)</f>
        <v>8000</v>
      </c>
      <c r="AJ79" s="400">
        <f>IF(ISBLANK('RESUMEN VIGILANCIA'!AI97),"",'RESUMEN VIGILANCIA'!AI97)</f>
        <v>10000</v>
      </c>
      <c r="AK79" s="400">
        <f>IF(ISBLANK('RESUMEN VIGILANCIA'!AJ97),"",'RESUMEN VIGILANCIA'!AJ97)</f>
        <v>10000</v>
      </c>
      <c r="AL79" s="400">
        <f>IF(ISBLANK('RESUMEN VIGILANCIA'!AK97),"",'RESUMEN VIGILANCIA'!AK97)</f>
        <v>21100</v>
      </c>
      <c r="AM79" s="400">
        <f>IF(ISBLANK('RESUMEN VIGILANCIA'!AL97),"",'RESUMEN VIGILANCIA'!AL97)</f>
        <v>51250</v>
      </c>
      <c r="AN79" s="400">
        <f>IF(ISBLANK('RESUMEN VIGILANCIA'!AM97),"",'RESUMEN VIGILANCIA'!AM97)</f>
        <v>81750</v>
      </c>
      <c r="AO79" s="401">
        <f>IF(ISBLANK('RESUMEN VIGILANCIA'!AN97),"",'RESUMEN VIGILANCIA'!AN97)</f>
        <v>105250</v>
      </c>
      <c r="AP79" s="399">
        <f>IF(ISBLANK('RESUMEN VIGILANCIA'!AO97),"",'RESUMEN VIGILANCIA'!AO97)</f>
        <v>136250</v>
      </c>
      <c r="AQ79" s="400" t="str">
        <f>IF(ISBLANK('RESUMEN VIGILANCIA'!AP97),"",'RESUMEN VIGILANCIA'!AP97)</f>
        <v/>
      </c>
      <c r="AR79" s="400" t="str">
        <f>IF(ISBLANK('RESUMEN VIGILANCIA'!AQ97),"",'RESUMEN VIGILANCIA'!AQ97)</f>
        <v/>
      </c>
      <c r="AS79" s="400" t="str">
        <f>IF(ISBLANK('RESUMEN VIGILANCIA'!AR97),"",'RESUMEN VIGILANCIA'!AR97)</f>
        <v/>
      </c>
      <c r="AT79" s="400" t="str">
        <f>IF(ISBLANK('RESUMEN VIGILANCIA'!AS97),"",'RESUMEN VIGILANCIA'!AS97)</f>
        <v/>
      </c>
      <c r="AU79" s="400" t="str">
        <f>IF(ISBLANK('RESUMEN VIGILANCIA'!AT97),"",'RESUMEN VIGILANCIA'!AT97)</f>
        <v/>
      </c>
      <c r="AV79" s="400" t="str">
        <f>IF(ISBLANK('RESUMEN VIGILANCIA'!AU97),"",'RESUMEN VIGILANCIA'!AU97)</f>
        <v/>
      </c>
      <c r="AW79" s="400" t="str">
        <f>IF(ISBLANK('RESUMEN VIGILANCIA'!AV97),"",'RESUMEN VIGILANCIA'!AV97)</f>
        <v/>
      </c>
      <c r="AX79" s="400" t="str">
        <f>IF(ISBLANK('RESUMEN VIGILANCIA'!AW97),"",'RESUMEN VIGILANCIA'!AW97)</f>
        <v/>
      </c>
      <c r="AY79" s="400" t="str">
        <f>IF(ISBLANK('RESUMEN VIGILANCIA'!AX97),"",'RESUMEN VIGILANCIA'!AX97)</f>
        <v/>
      </c>
      <c r="AZ79" s="400" t="str">
        <f>IF(ISBLANK('RESUMEN VIGILANCIA'!AY97),"",'RESUMEN VIGILANCIA'!AY97)</f>
        <v/>
      </c>
      <c r="BA79" s="401" t="str">
        <f>IF(ISBLANK('RESUMEN VIGILANCIA'!AZ97),"",'RESUMEN VIGILANCIA'!AZ97)</f>
        <v/>
      </c>
      <c r="BB79" s="243">
        <f t="shared" si="4"/>
        <v>311150.25</v>
      </c>
      <c r="BC79" s="112"/>
      <c r="BD79" s="112"/>
    </row>
    <row r="80" spans="1:56" s="29" customFormat="1" ht="20.100000000000001" customHeight="1">
      <c r="A80" s="30" t="str">
        <f>'RESUMEN VIGILANCIA'!A98</f>
        <v>Familia Centeno Rizzo</v>
      </c>
      <c r="B80" s="31" t="str">
        <f>'RESUMEN VIGILANCIA'!B98</f>
        <v>Calle Güigüe Nro. 88-102</v>
      </c>
      <c r="C80" s="452" t="s">
        <v>1250</v>
      </c>
      <c r="D80" s="460" t="s">
        <v>1248</v>
      </c>
      <c r="E80" s="440" t="str">
        <f>IF(ISBLANK('RESUMEN VIGILANCIA'!D98),"",'RESUMEN VIGILANCIA'!D98)</f>
        <v/>
      </c>
      <c r="F80" s="270" t="str">
        <f>IF(ISBLANK('RESUMEN VIGILANCIA'!E98),"",'RESUMEN VIGILANCIA'!E98)</f>
        <v/>
      </c>
      <c r="G80" s="182" t="str">
        <f>IF(ISBLANK('RESUMEN VIGILANCIA'!F98),"",'RESUMEN VIGILANCIA'!F98)</f>
        <v/>
      </c>
      <c r="H80" s="182" t="str">
        <f>IF(ISBLANK('RESUMEN VIGILANCIA'!G98),"",'RESUMEN VIGILANCIA'!G98)</f>
        <v/>
      </c>
      <c r="I80" s="182" t="str">
        <f>IF(ISBLANK('RESUMEN VIGILANCIA'!H98),"",'RESUMEN VIGILANCIA'!H98)</f>
        <v/>
      </c>
      <c r="J80" s="182" t="str">
        <f>IF(ISBLANK('RESUMEN VIGILANCIA'!I98),"",'RESUMEN VIGILANCIA'!I98)</f>
        <v/>
      </c>
      <c r="K80" s="182" t="str">
        <f>IF(ISBLANK('RESUMEN VIGILANCIA'!J98),"",'RESUMEN VIGILANCIA'!J98)</f>
        <v/>
      </c>
      <c r="L80" s="182" t="str">
        <f>IF(ISBLANK('RESUMEN VIGILANCIA'!K98),"",'RESUMEN VIGILANCIA'!K98)</f>
        <v/>
      </c>
      <c r="M80" s="182" t="str">
        <f>IF(ISBLANK('RESUMEN VIGILANCIA'!L98),"",'RESUMEN VIGILANCIA'!L98)</f>
        <v/>
      </c>
      <c r="N80" s="182" t="str">
        <f>IF(ISBLANK('RESUMEN VIGILANCIA'!M98),"",'RESUMEN VIGILANCIA'!M98)</f>
        <v/>
      </c>
      <c r="O80" s="182" t="str">
        <f>IF(ISBLANK('RESUMEN VIGILANCIA'!N98),"",'RESUMEN VIGILANCIA'!N98)</f>
        <v/>
      </c>
      <c r="P80" s="271" t="str">
        <f>IF(ISBLANK('RESUMEN VIGILANCIA'!O98),"",'RESUMEN VIGILANCIA'!O98)</f>
        <v/>
      </c>
      <c r="Q80" s="180" t="str">
        <f>IF(ISBLANK('RESUMEN VIGILANCIA'!P98),"",'RESUMEN VIGILANCIA'!P98)</f>
        <v/>
      </c>
      <c r="R80" s="272" t="str">
        <f>IF(ISBLANK('RESUMEN VIGILANCIA'!Q98),"",'RESUMEN VIGILANCIA'!Q98)</f>
        <v/>
      </c>
      <c r="S80" s="271" t="str">
        <f>IF(ISBLANK('RESUMEN VIGILANCIA'!R98),"",'RESUMEN VIGILANCIA'!R98)</f>
        <v/>
      </c>
      <c r="T80" s="271" t="str">
        <f>IF(ISBLANK('RESUMEN VIGILANCIA'!S98),"",'RESUMEN VIGILANCIA'!S98)</f>
        <v/>
      </c>
      <c r="U80" s="271" t="str">
        <f>IF(ISBLANK('RESUMEN VIGILANCIA'!T98),"",'RESUMEN VIGILANCIA'!T98)</f>
        <v/>
      </c>
      <c r="V80" s="271" t="str">
        <f>IF(ISBLANK('RESUMEN VIGILANCIA'!U98),"",'RESUMEN VIGILANCIA'!U98)</f>
        <v/>
      </c>
      <c r="W80" s="271" t="str">
        <f>IF(ISBLANK('RESUMEN VIGILANCIA'!V98),"",'RESUMEN VIGILANCIA'!V98)</f>
        <v/>
      </c>
      <c r="X80" s="271" t="str">
        <f>IF(ISBLANK('RESUMEN VIGILANCIA'!W98),"",'RESUMEN VIGILANCIA'!W98)</f>
        <v/>
      </c>
      <c r="Y80" s="271" t="str">
        <f>IF(ISBLANK('RESUMEN VIGILANCIA'!X98),"",'RESUMEN VIGILANCIA'!X98)</f>
        <v/>
      </c>
      <c r="Z80" s="481" t="str">
        <f>IF(ISBLANK('RESUMEN VIGILANCIA'!Y98),"",'RESUMEN VIGILANCIA'!Y98)</f>
        <v/>
      </c>
      <c r="AA80" s="481" t="str">
        <f>IF(ISBLANK('RESUMEN VIGILANCIA'!Z98),"",'RESUMEN VIGILANCIA'!Z98)</f>
        <v/>
      </c>
      <c r="AB80" s="481" t="str">
        <f>IF(ISBLANK('RESUMEN VIGILANCIA'!AA98),"",'RESUMEN VIGILANCIA'!AA98)</f>
        <v/>
      </c>
      <c r="AC80" s="482" t="str">
        <f>IF(ISBLANK('RESUMEN VIGILANCIA'!AB98),"",'RESUMEN VIGILANCIA'!AB98)</f>
        <v/>
      </c>
      <c r="AD80" s="399" t="str">
        <f>IF(ISBLANK('RESUMEN VIGILANCIA'!AC98),"",'RESUMEN VIGILANCIA'!AC98)</f>
        <v/>
      </c>
      <c r="AE80" s="400" t="str">
        <f>IF(ISBLANK('RESUMEN VIGILANCIA'!AD98),"",'RESUMEN VIGILANCIA'!AD98)</f>
        <v/>
      </c>
      <c r="AF80" s="400" t="str">
        <f>IF(ISBLANK('RESUMEN VIGILANCIA'!AE98),"",'RESUMEN VIGILANCIA'!AE98)</f>
        <v/>
      </c>
      <c r="AG80" s="400" t="str">
        <f>IF(ISBLANK('RESUMEN VIGILANCIA'!AF98),"",'RESUMEN VIGILANCIA'!AF98)</f>
        <v/>
      </c>
      <c r="AH80" s="400" t="str">
        <f>IF(ISBLANK('RESUMEN VIGILANCIA'!AG98),"",'RESUMEN VIGILANCIA'!AG98)</f>
        <v/>
      </c>
      <c r="AI80" s="400" t="str">
        <f>IF(ISBLANK('RESUMEN VIGILANCIA'!AH98),"",'RESUMEN VIGILANCIA'!AH98)</f>
        <v/>
      </c>
      <c r="AJ80" s="400" t="str">
        <f>IF(ISBLANK('RESUMEN VIGILANCIA'!AI98),"",'RESUMEN VIGILANCIA'!AI98)</f>
        <v/>
      </c>
      <c r="AK80" s="400" t="str">
        <f>IF(ISBLANK('RESUMEN VIGILANCIA'!AJ98),"",'RESUMEN VIGILANCIA'!AJ98)</f>
        <v/>
      </c>
      <c r="AL80" s="400" t="str">
        <f>IF(ISBLANK('RESUMEN VIGILANCIA'!AK98),"",'RESUMEN VIGILANCIA'!AK98)</f>
        <v/>
      </c>
      <c r="AM80" s="400" t="str">
        <f>IF(ISBLANK('RESUMEN VIGILANCIA'!AL98),"",'RESUMEN VIGILANCIA'!AL98)</f>
        <v/>
      </c>
      <c r="AN80" s="400" t="str">
        <f>IF(ISBLANK('RESUMEN VIGILANCIA'!AM98),"",'RESUMEN VIGILANCIA'!AM98)</f>
        <v/>
      </c>
      <c r="AO80" s="401" t="str">
        <f>IF(ISBLANK('RESUMEN VIGILANCIA'!AN98),"",'RESUMEN VIGILANCIA'!AN98)</f>
        <v/>
      </c>
      <c r="AP80" s="399" t="str">
        <f>IF(ISBLANK('RESUMEN VIGILANCIA'!AO98),"",'RESUMEN VIGILANCIA'!AO98)</f>
        <v/>
      </c>
      <c r="AQ80" s="400" t="str">
        <f>IF(ISBLANK('RESUMEN VIGILANCIA'!AP98),"",'RESUMEN VIGILANCIA'!AP98)</f>
        <v/>
      </c>
      <c r="AR80" s="400" t="str">
        <f>IF(ISBLANK('RESUMEN VIGILANCIA'!AQ98),"",'RESUMEN VIGILANCIA'!AQ98)</f>
        <v/>
      </c>
      <c r="AS80" s="400" t="str">
        <f>IF(ISBLANK('RESUMEN VIGILANCIA'!AR98),"",'RESUMEN VIGILANCIA'!AR98)</f>
        <v/>
      </c>
      <c r="AT80" s="400" t="str">
        <f>IF(ISBLANK('RESUMEN VIGILANCIA'!AS98),"",'RESUMEN VIGILANCIA'!AS98)</f>
        <v/>
      </c>
      <c r="AU80" s="400" t="str">
        <f>IF(ISBLANK('RESUMEN VIGILANCIA'!AT98),"",'RESUMEN VIGILANCIA'!AT98)</f>
        <v/>
      </c>
      <c r="AV80" s="400" t="str">
        <f>IF(ISBLANK('RESUMEN VIGILANCIA'!AU98),"",'RESUMEN VIGILANCIA'!AU98)</f>
        <v/>
      </c>
      <c r="AW80" s="400" t="str">
        <f>IF(ISBLANK('RESUMEN VIGILANCIA'!AV98),"",'RESUMEN VIGILANCIA'!AV98)</f>
        <v/>
      </c>
      <c r="AX80" s="400" t="str">
        <f>IF(ISBLANK('RESUMEN VIGILANCIA'!AW98),"",'RESUMEN VIGILANCIA'!AW98)</f>
        <v/>
      </c>
      <c r="AY80" s="400" t="str">
        <f>IF(ISBLANK('RESUMEN VIGILANCIA'!AX98),"",'RESUMEN VIGILANCIA'!AX98)</f>
        <v/>
      </c>
      <c r="AZ80" s="400" t="str">
        <f>IF(ISBLANK('RESUMEN VIGILANCIA'!AY98),"",'RESUMEN VIGILANCIA'!AY98)</f>
        <v/>
      </c>
      <c r="BA80" s="401" t="str">
        <f>IF(ISBLANK('RESUMEN VIGILANCIA'!AZ98),"",'RESUMEN VIGILANCIA'!AZ98)</f>
        <v/>
      </c>
      <c r="BB80" s="243">
        <f t="shared" si="4"/>
        <v>0</v>
      </c>
      <c r="BC80" s="112"/>
      <c r="BD80" s="112"/>
    </row>
    <row r="81" spans="1:56" s="29" customFormat="1" ht="20.100000000000001" customHeight="1">
      <c r="A81" s="33" t="str">
        <f>'RESUMEN VIGILANCIA'!A99</f>
        <v>Familia Pérez Malpica</v>
      </c>
      <c r="B81" s="34" t="str">
        <f>'RESUMEN VIGILANCIA'!B99</f>
        <v>Calle Güigüe Nro. 88-110</v>
      </c>
      <c r="C81" s="451" t="s">
        <v>1250</v>
      </c>
      <c r="D81" s="461" t="s">
        <v>1248</v>
      </c>
      <c r="E81" s="439" t="str">
        <f>IF(ISBLANK('RESUMEN VIGILANCIA'!D99),"",'RESUMEN VIGILANCIA'!D99)</f>
        <v/>
      </c>
      <c r="F81" s="267">
        <f>IF(ISBLANK('RESUMEN VIGILANCIA'!E99),"",'RESUMEN VIGILANCIA'!E99)</f>
        <v>0.02</v>
      </c>
      <c r="G81" s="189" t="str">
        <f>IF(ISBLANK('RESUMEN VIGILANCIA'!F99),"",'RESUMEN VIGILANCIA'!F99)</f>
        <v/>
      </c>
      <c r="H81" s="189" t="str">
        <f>IF(ISBLANK('RESUMEN VIGILANCIA'!G99),"",'RESUMEN VIGILANCIA'!G99)</f>
        <v/>
      </c>
      <c r="I81" s="189" t="str">
        <f>IF(ISBLANK('RESUMEN VIGILANCIA'!H99),"",'RESUMEN VIGILANCIA'!H99)</f>
        <v/>
      </c>
      <c r="J81" s="189" t="str">
        <f>IF(ISBLANK('RESUMEN VIGILANCIA'!I99),"",'RESUMEN VIGILANCIA'!I99)</f>
        <v/>
      </c>
      <c r="K81" s="189" t="str">
        <f>IF(ISBLANK('RESUMEN VIGILANCIA'!J99),"",'RESUMEN VIGILANCIA'!J99)</f>
        <v/>
      </c>
      <c r="L81" s="189" t="str">
        <f>IF(ISBLANK('RESUMEN VIGILANCIA'!K99),"",'RESUMEN VIGILANCIA'!K99)</f>
        <v/>
      </c>
      <c r="M81" s="189" t="str">
        <f>IF(ISBLANK('RESUMEN VIGILANCIA'!L99),"",'RESUMEN VIGILANCIA'!L99)</f>
        <v/>
      </c>
      <c r="N81" s="189" t="str">
        <f>IF(ISBLANK('RESUMEN VIGILANCIA'!M99),"",'RESUMEN VIGILANCIA'!M99)</f>
        <v/>
      </c>
      <c r="O81" s="189" t="str">
        <f>IF(ISBLANK('RESUMEN VIGILANCIA'!N99),"",'RESUMEN VIGILANCIA'!N99)</f>
        <v/>
      </c>
      <c r="P81" s="268" t="str">
        <f>IF(ISBLANK('RESUMEN VIGILANCIA'!O99),"",'RESUMEN VIGILANCIA'!O99)</f>
        <v/>
      </c>
      <c r="Q81" s="187" t="str">
        <f>IF(ISBLANK('RESUMEN VIGILANCIA'!P99),"",'RESUMEN VIGILANCIA'!P99)</f>
        <v/>
      </c>
      <c r="R81" s="269" t="str">
        <f>IF(ISBLANK('RESUMEN VIGILANCIA'!Q99),"",'RESUMEN VIGILANCIA'!Q99)</f>
        <v/>
      </c>
      <c r="S81" s="268" t="str">
        <f>IF(ISBLANK('RESUMEN VIGILANCIA'!R99),"",'RESUMEN VIGILANCIA'!R99)</f>
        <v/>
      </c>
      <c r="T81" s="268" t="str">
        <f>IF(ISBLANK('RESUMEN VIGILANCIA'!S99),"",'RESUMEN VIGILANCIA'!S99)</f>
        <v/>
      </c>
      <c r="U81" s="268" t="str">
        <f>IF(ISBLANK('RESUMEN VIGILANCIA'!T99),"",'RESUMEN VIGILANCIA'!T99)</f>
        <v/>
      </c>
      <c r="V81" s="268" t="str">
        <f>IF(ISBLANK('RESUMEN VIGILANCIA'!U99),"",'RESUMEN VIGILANCIA'!U99)</f>
        <v/>
      </c>
      <c r="W81" s="268" t="str">
        <f>IF(ISBLANK('RESUMEN VIGILANCIA'!V99),"",'RESUMEN VIGILANCIA'!V99)</f>
        <v/>
      </c>
      <c r="X81" s="268" t="str">
        <f>IF(ISBLANK('RESUMEN VIGILANCIA'!W99),"",'RESUMEN VIGILANCIA'!W99)</f>
        <v/>
      </c>
      <c r="Y81" s="268" t="str">
        <f>IF(ISBLANK('RESUMEN VIGILANCIA'!X99),"",'RESUMEN VIGILANCIA'!X99)</f>
        <v/>
      </c>
      <c r="Z81" s="485" t="str">
        <f>IF(ISBLANK('RESUMEN VIGILANCIA'!Y99),"",'RESUMEN VIGILANCIA'!Y99)</f>
        <v/>
      </c>
      <c r="AA81" s="485" t="str">
        <f>IF(ISBLANK('RESUMEN VIGILANCIA'!Z99),"",'RESUMEN VIGILANCIA'!Z99)</f>
        <v/>
      </c>
      <c r="AB81" s="485" t="str">
        <f>IF(ISBLANK('RESUMEN VIGILANCIA'!AA99),"",'RESUMEN VIGILANCIA'!AA99)</f>
        <v/>
      </c>
      <c r="AC81" s="486" t="str">
        <f>IF(ISBLANK('RESUMEN VIGILANCIA'!AB99),"",'RESUMEN VIGILANCIA'!AB99)</f>
        <v/>
      </c>
      <c r="AD81" s="396" t="str">
        <f>IF(ISBLANK('RESUMEN VIGILANCIA'!AC99),"",'RESUMEN VIGILANCIA'!AC99)</f>
        <v/>
      </c>
      <c r="AE81" s="397" t="str">
        <f>IF(ISBLANK('RESUMEN VIGILANCIA'!AD99),"",'RESUMEN VIGILANCIA'!AD99)</f>
        <v/>
      </c>
      <c r="AF81" s="397" t="str">
        <f>IF(ISBLANK('RESUMEN VIGILANCIA'!AE99),"",'RESUMEN VIGILANCIA'!AE99)</f>
        <v/>
      </c>
      <c r="AG81" s="397" t="str">
        <f>IF(ISBLANK('RESUMEN VIGILANCIA'!AF99),"",'RESUMEN VIGILANCIA'!AF99)</f>
        <v/>
      </c>
      <c r="AH81" s="397" t="str">
        <f>IF(ISBLANK('RESUMEN VIGILANCIA'!AG99),"",'RESUMEN VIGILANCIA'!AG99)</f>
        <v/>
      </c>
      <c r="AI81" s="397" t="str">
        <f>IF(ISBLANK('RESUMEN VIGILANCIA'!AH99),"",'RESUMEN VIGILANCIA'!AH99)</f>
        <v/>
      </c>
      <c r="AJ81" s="397" t="str">
        <f>IF(ISBLANK('RESUMEN VIGILANCIA'!AI99),"",'RESUMEN VIGILANCIA'!AI99)</f>
        <v/>
      </c>
      <c r="AK81" s="397" t="str">
        <f>IF(ISBLANK('RESUMEN VIGILANCIA'!AJ99),"",'RESUMEN VIGILANCIA'!AJ99)</f>
        <v/>
      </c>
      <c r="AL81" s="397" t="str">
        <f>IF(ISBLANK('RESUMEN VIGILANCIA'!AK99),"",'RESUMEN VIGILANCIA'!AK99)</f>
        <v/>
      </c>
      <c r="AM81" s="397" t="str">
        <f>IF(ISBLANK('RESUMEN VIGILANCIA'!AL99),"",'RESUMEN VIGILANCIA'!AL99)</f>
        <v/>
      </c>
      <c r="AN81" s="397" t="str">
        <f>IF(ISBLANK('RESUMEN VIGILANCIA'!AM99),"",'RESUMEN VIGILANCIA'!AM99)</f>
        <v/>
      </c>
      <c r="AO81" s="398" t="str">
        <f>IF(ISBLANK('RESUMEN VIGILANCIA'!AN99),"",'RESUMEN VIGILANCIA'!AN99)</f>
        <v/>
      </c>
      <c r="AP81" s="396" t="str">
        <f>IF(ISBLANK('RESUMEN VIGILANCIA'!AO99),"",'RESUMEN VIGILANCIA'!AO99)</f>
        <v/>
      </c>
      <c r="AQ81" s="397" t="str">
        <f>IF(ISBLANK('RESUMEN VIGILANCIA'!AP99),"",'RESUMEN VIGILANCIA'!AP99)</f>
        <v/>
      </c>
      <c r="AR81" s="397" t="str">
        <f>IF(ISBLANK('RESUMEN VIGILANCIA'!AQ99),"",'RESUMEN VIGILANCIA'!AQ99)</f>
        <v/>
      </c>
      <c r="AS81" s="397" t="str">
        <f>IF(ISBLANK('RESUMEN VIGILANCIA'!AR99),"",'RESUMEN VIGILANCIA'!AR99)</f>
        <v/>
      </c>
      <c r="AT81" s="397" t="str">
        <f>IF(ISBLANK('RESUMEN VIGILANCIA'!AS99),"",'RESUMEN VIGILANCIA'!AS99)</f>
        <v/>
      </c>
      <c r="AU81" s="397" t="str">
        <f>IF(ISBLANK('RESUMEN VIGILANCIA'!AT99),"",'RESUMEN VIGILANCIA'!AT99)</f>
        <v/>
      </c>
      <c r="AV81" s="397" t="str">
        <f>IF(ISBLANK('RESUMEN VIGILANCIA'!AU99),"",'RESUMEN VIGILANCIA'!AU99)</f>
        <v/>
      </c>
      <c r="AW81" s="397" t="str">
        <f>IF(ISBLANK('RESUMEN VIGILANCIA'!AV99),"",'RESUMEN VIGILANCIA'!AV99)</f>
        <v/>
      </c>
      <c r="AX81" s="397" t="str">
        <f>IF(ISBLANK('RESUMEN VIGILANCIA'!AW99),"",'RESUMEN VIGILANCIA'!AW99)</f>
        <v/>
      </c>
      <c r="AY81" s="397" t="str">
        <f>IF(ISBLANK('RESUMEN VIGILANCIA'!AX99),"",'RESUMEN VIGILANCIA'!AX99)</f>
        <v/>
      </c>
      <c r="AZ81" s="397" t="str">
        <f>IF(ISBLANK('RESUMEN VIGILANCIA'!AY99),"",'RESUMEN VIGILANCIA'!AY99)</f>
        <v/>
      </c>
      <c r="BA81" s="398" t="str">
        <f>IF(ISBLANK('RESUMEN VIGILANCIA'!AZ99),"",'RESUMEN VIGILANCIA'!AZ99)</f>
        <v/>
      </c>
      <c r="BB81" s="242">
        <f t="shared" si="4"/>
        <v>0.02</v>
      </c>
      <c r="BC81" s="111"/>
      <c r="BD81" s="111"/>
    </row>
    <row r="82" spans="1:56" s="29" customFormat="1" ht="20.100000000000001" customHeight="1">
      <c r="A82" s="30" t="str">
        <f>'RESUMEN VIGILANCIA'!A100</f>
        <v>Familia Astor Zamora</v>
      </c>
      <c r="B82" s="31" t="str">
        <f>'RESUMEN VIGILANCIA'!B100</f>
        <v>Calle Güigüe Nro. 88-111</v>
      </c>
      <c r="C82" s="452" t="s">
        <v>1250</v>
      </c>
      <c r="D82" s="460" t="s">
        <v>1248</v>
      </c>
      <c r="E82" s="440" t="str">
        <f>IF(ISBLANK('RESUMEN VIGILANCIA'!D100),"",'RESUMEN VIGILANCIA'!D100)</f>
        <v/>
      </c>
      <c r="F82" s="270">
        <f>IF(ISBLANK('RESUMEN VIGILANCIA'!E100),"",'RESUMEN VIGILANCIA'!E100)</f>
        <v>0.17</v>
      </c>
      <c r="G82" s="182">
        <f>IF(ISBLANK('RESUMEN VIGILANCIA'!F100),"",'RESUMEN VIGILANCIA'!F100)</f>
        <v>0.17</v>
      </c>
      <c r="H82" s="182">
        <f>IF(ISBLANK('RESUMEN VIGILANCIA'!G100),"",'RESUMEN VIGILANCIA'!G100)</f>
        <v>0.17</v>
      </c>
      <c r="I82" s="182">
        <f>IF(ISBLANK('RESUMEN VIGILANCIA'!H100),"",'RESUMEN VIGILANCIA'!H100)</f>
        <v>0.17</v>
      </c>
      <c r="J82" s="182">
        <f>IF(ISBLANK('RESUMEN VIGILANCIA'!I100),"",'RESUMEN VIGILANCIA'!I100)</f>
        <v>0.26</v>
      </c>
      <c r="K82" s="182">
        <f>IF(ISBLANK('RESUMEN VIGILANCIA'!J100),"",'RESUMEN VIGILANCIA'!J100)</f>
        <v>0.26</v>
      </c>
      <c r="L82" s="182">
        <f>IF(ISBLANK('RESUMEN VIGILANCIA'!K100),"",'RESUMEN VIGILANCIA'!K100)</f>
        <v>0.35</v>
      </c>
      <c r="M82" s="182">
        <f>IF(ISBLANK('RESUMEN VIGILANCIA'!L100),"",'RESUMEN VIGILANCIA'!L100)</f>
        <v>0.35</v>
      </c>
      <c r="N82" s="182" t="str">
        <f>IF(ISBLANK('RESUMEN VIGILANCIA'!M100),"",'RESUMEN VIGILANCIA'!M100)</f>
        <v/>
      </c>
      <c r="O82" s="182" t="str">
        <f>IF(ISBLANK('RESUMEN VIGILANCIA'!N100),"",'RESUMEN VIGILANCIA'!N100)</f>
        <v/>
      </c>
      <c r="P82" s="271" t="str">
        <f>IF(ISBLANK('RESUMEN VIGILANCIA'!O100),"",'RESUMEN VIGILANCIA'!O100)</f>
        <v/>
      </c>
      <c r="Q82" s="180" t="str">
        <f>IF(ISBLANK('RESUMEN VIGILANCIA'!P100),"",'RESUMEN VIGILANCIA'!P100)</f>
        <v/>
      </c>
      <c r="R82" s="272">
        <f>IF(ISBLANK('RESUMEN VIGILANCIA'!Q100),"",'RESUMEN VIGILANCIA'!Q100)</f>
        <v>0.8</v>
      </c>
      <c r="S82" s="271">
        <f>IF(ISBLANK('RESUMEN VIGILANCIA'!R100),"",'RESUMEN VIGILANCIA'!R100)</f>
        <v>0.8</v>
      </c>
      <c r="T82" s="271">
        <f>IF(ISBLANK('RESUMEN VIGILANCIA'!S100),"",'RESUMEN VIGILANCIA'!S100)</f>
        <v>1.4</v>
      </c>
      <c r="U82" s="271">
        <f>IF(ISBLANK('RESUMEN VIGILANCIA'!T100),"",'RESUMEN VIGILANCIA'!T100)</f>
        <v>1.4</v>
      </c>
      <c r="V82" s="271">
        <f>IF(ISBLANK('RESUMEN VIGILANCIA'!U100),"",'RESUMEN VIGILANCIA'!U100)</f>
        <v>4</v>
      </c>
      <c r="W82" s="271">
        <f>IF(ISBLANK('RESUMEN VIGILANCIA'!V100),"",'RESUMEN VIGILANCIA'!V100)</f>
        <v>3.25</v>
      </c>
      <c r="X82" s="271">
        <f>IF(ISBLANK('RESUMEN VIGILANCIA'!W100),"",'RESUMEN VIGILANCIA'!W100)</f>
        <v>10</v>
      </c>
      <c r="Y82" s="271">
        <f>IF(ISBLANK('RESUMEN VIGILANCIA'!X100),"",'RESUMEN VIGILANCIA'!X100)</f>
        <v>12</v>
      </c>
      <c r="Z82" s="481">
        <f>IF(ISBLANK('RESUMEN VIGILANCIA'!Y100),"",'RESUMEN VIGILANCIA'!Y100)</f>
        <v>320</v>
      </c>
      <c r="AA82" s="481">
        <f>IF(ISBLANK('RESUMEN VIGILANCIA'!Z100),"",'RESUMEN VIGILANCIA'!Z100)</f>
        <v>320</v>
      </c>
      <c r="AB82" s="481">
        <f>IF(ISBLANK('RESUMEN VIGILANCIA'!AA100),"",'RESUMEN VIGILANCIA'!AA100)</f>
        <v>320</v>
      </c>
      <c r="AC82" s="482">
        <f>IF(ISBLANK('RESUMEN VIGILANCIA'!AB100),"",'RESUMEN VIGILANCIA'!AB100)</f>
        <v>800</v>
      </c>
      <c r="AD82" s="399">
        <f>IF(ISBLANK('RESUMEN VIGILANCIA'!AC100),"",'RESUMEN VIGILANCIA'!AC100)</f>
        <v>3000</v>
      </c>
      <c r="AE82" s="400">
        <f>IF(ISBLANK('RESUMEN VIGILANCIA'!AD100),"",'RESUMEN VIGILANCIA'!AD100)</f>
        <v>3000</v>
      </c>
      <c r="AF82" s="400">
        <f>IF(ISBLANK('RESUMEN VIGILANCIA'!AE100),"",'RESUMEN VIGILANCIA'!AE100)</f>
        <v>3000</v>
      </c>
      <c r="AG82" s="400">
        <f>IF(ISBLANK('RESUMEN VIGILANCIA'!AF100),"",'RESUMEN VIGILANCIA'!AF100)</f>
        <v>5000</v>
      </c>
      <c r="AH82" s="400">
        <f>IF(ISBLANK('RESUMEN VIGILANCIA'!AG100),"",'RESUMEN VIGILANCIA'!AG100)</f>
        <v>8000</v>
      </c>
      <c r="AI82" s="400">
        <f>IF(ISBLANK('RESUMEN VIGILANCIA'!AH100),"",'RESUMEN VIGILANCIA'!AH100)</f>
        <v>8000</v>
      </c>
      <c r="AJ82" s="400">
        <f>IF(ISBLANK('RESUMEN VIGILANCIA'!AI100),"",'RESUMEN VIGILANCIA'!AI100)</f>
        <v>10000</v>
      </c>
      <c r="AK82" s="400">
        <f>IF(ISBLANK('RESUMEN VIGILANCIA'!AJ100),"",'RESUMEN VIGILANCIA'!AJ100)</f>
        <v>10000</v>
      </c>
      <c r="AL82" s="400">
        <f>IF(ISBLANK('RESUMEN VIGILANCIA'!AK100),"",'RESUMEN VIGILANCIA'!AK100)</f>
        <v>19800</v>
      </c>
      <c r="AM82" s="400">
        <f>IF(ISBLANK('RESUMEN VIGILANCIA'!AL100),"",'RESUMEN VIGILANCIA'!AL100)</f>
        <v>56250</v>
      </c>
      <c r="AN82" s="400" t="str">
        <f>IF(ISBLANK('RESUMEN VIGILANCIA'!AM100),"",'RESUMEN VIGILANCIA'!AM100)</f>
        <v/>
      </c>
      <c r="AO82" s="401" t="str">
        <f>IF(ISBLANK('RESUMEN VIGILANCIA'!AN100),"",'RESUMEN VIGILANCIA'!AN100)</f>
        <v/>
      </c>
      <c r="AP82" s="399" t="str">
        <f>IF(ISBLANK('RESUMEN VIGILANCIA'!AO100),"",'RESUMEN VIGILANCIA'!AO100)</f>
        <v/>
      </c>
      <c r="AQ82" s="400" t="str">
        <f>IF(ISBLANK('RESUMEN VIGILANCIA'!AP100),"",'RESUMEN VIGILANCIA'!AP100)</f>
        <v/>
      </c>
      <c r="AR82" s="400" t="str">
        <f>IF(ISBLANK('RESUMEN VIGILANCIA'!AQ100),"",'RESUMEN VIGILANCIA'!AQ100)</f>
        <v/>
      </c>
      <c r="AS82" s="400" t="str">
        <f>IF(ISBLANK('RESUMEN VIGILANCIA'!AR100),"",'RESUMEN VIGILANCIA'!AR100)</f>
        <v/>
      </c>
      <c r="AT82" s="400" t="str">
        <f>IF(ISBLANK('RESUMEN VIGILANCIA'!AS100),"",'RESUMEN VIGILANCIA'!AS100)</f>
        <v/>
      </c>
      <c r="AU82" s="400" t="str">
        <f>IF(ISBLANK('RESUMEN VIGILANCIA'!AT100),"",'RESUMEN VIGILANCIA'!AT100)</f>
        <v/>
      </c>
      <c r="AV82" s="400" t="str">
        <f>IF(ISBLANK('RESUMEN VIGILANCIA'!AU100),"",'RESUMEN VIGILANCIA'!AU100)</f>
        <v/>
      </c>
      <c r="AW82" s="400" t="str">
        <f>IF(ISBLANK('RESUMEN VIGILANCIA'!AV100),"",'RESUMEN VIGILANCIA'!AV100)</f>
        <v/>
      </c>
      <c r="AX82" s="400" t="str">
        <f>IF(ISBLANK('RESUMEN VIGILANCIA'!AW100),"",'RESUMEN VIGILANCIA'!AW100)</f>
        <v/>
      </c>
      <c r="AY82" s="400" t="str">
        <f>IF(ISBLANK('RESUMEN VIGILANCIA'!AX100),"",'RESUMEN VIGILANCIA'!AX100)</f>
        <v/>
      </c>
      <c r="AZ82" s="400" t="str">
        <f>IF(ISBLANK('RESUMEN VIGILANCIA'!AY100),"",'RESUMEN VIGILANCIA'!AY100)</f>
        <v/>
      </c>
      <c r="BA82" s="401" t="str">
        <f>IF(ISBLANK('RESUMEN VIGILANCIA'!AZ100),"",'RESUMEN VIGILANCIA'!AZ100)</f>
        <v/>
      </c>
      <c r="BB82" s="243">
        <f t="shared" si="4"/>
        <v>127845.55</v>
      </c>
      <c r="BC82" s="112"/>
      <c r="BD82" s="112"/>
    </row>
    <row r="83" spans="1:56" s="29" customFormat="1" ht="20.100000000000001" customHeight="1">
      <c r="A83" s="30" t="str">
        <f>'RESUMEN VIGILANCIA'!A101</f>
        <v>Familia Díaz González</v>
      </c>
      <c r="B83" s="31" t="str">
        <f>'RESUMEN VIGILANCIA'!B101</f>
        <v>Calle Güigüe Nro. 88-116</v>
      </c>
      <c r="C83" s="452" t="s">
        <v>1249</v>
      </c>
      <c r="D83" s="460" t="s">
        <v>1248</v>
      </c>
      <c r="E83" s="440" t="str">
        <f>IF(ISBLANK('RESUMEN VIGILANCIA'!D101),"",'RESUMEN VIGILANCIA'!D101)</f>
        <v/>
      </c>
      <c r="F83" s="270">
        <f>IF(ISBLANK('RESUMEN VIGILANCIA'!E101),"",'RESUMEN VIGILANCIA'!E101)</f>
        <v>0.17</v>
      </c>
      <c r="G83" s="182">
        <f>IF(ISBLANK('RESUMEN VIGILANCIA'!F101),"",'RESUMEN VIGILANCIA'!F101)</f>
        <v>0.17</v>
      </c>
      <c r="H83" s="182">
        <f>IF(ISBLANK('RESUMEN VIGILANCIA'!G101),"",'RESUMEN VIGILANCIA'!G101)</f>
        <v>0.17</v>
      </c>
      <c r="I83" s="182">
        <f>IF(ISBLANK('RESUMEN VIGILANCIA'!H101),"",'RESUMEN VIGILANCIA'!H101)</f>
        <v>0.17</v>
      </c>
      <c r="J83" s="182">
        <f>IF(ISBLANK('RESUMEN VIGILANCIA'!I101),"",'RESUMEN VIGILANCIA'!I101)</f>
        <v>0.26</v>
      </c>
      <c r="K83" s="182">
        <f>IF(ISBLANK('RESUMEN VIGILANCIA'!J101),"",'RESUMEN VIGILANCIA'!J101)</f>
        <v>0.26</v>
      </c>
      <c r="L83" s="182">
        <f>IF(ISBLANK('RESUMEN VIGILANCIA'!K101),"",'RESUMEN VIGILANCIA'!K101)</f>
        <v>0.35</v>
      </c>
      <c r="M83" s="182">
        <f>IF(ISBLANK('RESUMEN VIGILANCIA'!L101),"",'RESUMEN VIGILANCIA'!L101)</f>
        <v>0.35</v>
      </c>
      <c r="N83" s="182">
        <f>IF(ISBLANK('RESUMEN VIGILANCIA'!M101),"",'RESUMEN VIGILANCIA'!M101)</f>
        <v>0.35</v>
      </c>
      <c r="O83" s="182">
        <f>IF(ISBLANK('RESUMEN VIGILANCIA'!N101),"",'RESUMEN VIGILANCIA'!N101)</f>
        <v>0.35</v>
      </c>
      <c r="P83" s="271">
        <f>IF(ISBLANK('RESUMEN VIGILANCIA'!O101),"",'RESUMEN VIGILANCIA'!O101)</f>
        <v>0.5</v>
      </c>
      <c r="Q83" s="180">
        <f>IF(ISBLANK('RESUMEN VIGILANCIA'!P101),"",'RESUMEN VIGILANCIA'!P101)</f>
        <v>0.5</v>
      </c>
      <c r="R83" s="272">
        <f>IF(ISBLANK('RESUMEN VIGILANCIA'!Q101),"",'RESUMEN VIGILANCIA'!Q101)</f>
        <v>0.8</v>
      </c>
      <c r="S83" s="271">
        <f>IF(ISBLANK('RESUMEN VIGILANCIA'!R101),"",'RESUMEN VIGILANCIA'!R101)</f>
        <v>0.8</v>
      </c>
      <c r="T83" s="271">
        <f>IF(ISBLANK('RESUMEN VIGILANCIA'!S101),"",'RESUMEN VIGILANCIA'!S101)</f>
        <v>1.4</v>
      </c>
      <c r="U83" s="271">
        <f>IF(ISBLANK('RESUMEN VIGILANCIA'!T101),"",'RESUMEN VIGILANCIA'!T101)</f>
        <v>1.4</v>
      </c>
      <c r="V83" s="271">
        <f>IF(ISBLANK('RESUMEN VIGILANCIA'!U101),"",'RESUMEN VIGILANCIA'!U101)</f>
        <v>4</v>
      </c>
      <c r="W83" s="271">
        <f>IF(ISBLANK('RESUMEN VIGILANCIA'!V101),"",'RESUMEN VIGILANCIA'!V101)</f>
        <v>6.25</v>
      </c>
      <c r="X83" s="271">
        <f>IF(ISBLANK('RESUMEN VIGILANCIA'!W101),"",'RESUMEN VIGILANCIA'!W101)</f>
        <v>10</v>
      </c>
      <c r="Y83" s="271">
        <f>IF(ISBLANK('RESUMEN VIGILANCIA'!X101),"",'RESUMEN VIGILANCIA'!X101)</f>
        <v>12</v>
      </c>
      <c r="Z83" s="481">
        <f>IF(ISBLANK('RESUMEN VIGILANCIA'!Y101),"",'RESUMEN VIGILANCIA'!Y101)</f>
        <v>320</v>
      </c>
      <c r="AA83" s="481">
        <f>IF(ISBLANK('RESUMEN VIGILANCIA'!Z101),"",'RESUMEN VIGILANCIA'!Z101)</f>
        <v>320</v>
      </c>
      <c r="AB83" s="481">
        <f>IF(ISBLANK('RESUMEN VIGILANCIA'!AA101),"",'RESUMEN VIGILANCIA'!AA101)</f>
        <v>320</v>
      </c>
      <c r="AC83" s="482">
        <f>IF(ISBLANK('RESUMEN VIGILANCIA'!AB101),"",'RESUMEN VIGILANCIA'!AB101)</f>
        <v>800</v>
      </c>
      <c r="AD83" s="399">
        <f>IF(ISBLANK('RESUMEN VIGILANCIA'!AC101),"",'RESUMEN VIGILANCIA'!AC101)</f>
        <v>3000</v>
      </c>
      <c r="AE83" s="400">
        <f>IF(ISBLANK('RESUMEN VIGILANCIA'!AD101),"",'RESUMEN VIGILANCIA'!AD101)</f>
        <v>3000</v>
      </c>
      <c r="AF83" s="400">
        <f>IF(ISBLANK('RESUMEN VIGILANCIA'!AE101),"",'RESUMEN VIGILANCIA'!AE101)</f>
        <v>3000</v>
      </c>
      <c r="AG83" s="400">
        <f>IF(ISBLANK('RESUMEN VIGILANCIA'!AF101),"",'RESUMEN VIGILANCIA'!AF101)</f>
        <v>5000</v>
      </c>
      <c r="AH83" s="400">
        <f>IF(ISBLANK('RESUMEN VIGILANCIA'!AG101),"",'RESUMEN VIGILANCIA'!AG101)</f>
        <v>8000</v>
      </c>
      <c r="AI83" s="400">
        <f>IF(ISBLANK('RESUMEN VIGILANCIA'!AH101),"",'RESUMEN VIGILANCIA'!AH101)</f>
        <v>8000</v>
      </c>
      <c r="AJ83" s="400">
        <f>IF(ISBLANK('RESUMEN VIGILANCIA'!AI101),"",'RESUMEN VIGILANCIA'!AI101)</f>
        <v>10000</v>
      </c>
      <c r="AK83" s="400">
        <f>IF(ISBLANK('RESUMEN VIGILANCIA'!AJ101),"",'RESUMEN VIGILANCIA'!AJ101)</f>
        <v>10000</v>
      </c>
      <c r="AL83" s="400">
        <f>IF(ISBLANK('RESUMEN VIGILANCIA'!AK101),"",'RESUMEN VIGILANCIA'!AK101)</f>
        <v>19800</v>
      </c>
      <c r="AM83" s="400">
        <f>IF(ISBLANK('RESUMEN VIGILANCIA'!AL101),"",'RESUMEN VIGILANCIA'!AL101)</f>
        <v>47000</v>
      </c>
      <c r="AN83" s="400">
        <f>IF(ISBLANK('RESUMEN VIGILANCIA'!AM101),"",'RESUMEN VIGILANCIA'!AM101)</f>
        <v>64500</v>
      </c>
      <c r="AO83" s="401">
        <f>IF(ISBLANK('RESUMEN VIGILANCIA'!AN101),"",'RESUMEN VIGILANCIA'!AN101)</f>
        <v>64500</v>
      </c>
      <c r="AP83" s="399">
        <f>IF(ISBLANK('RESUMEN VIGILANCIA'!AO101),"",'RESUMEN VIGILANCIA'!AO101)</f>
        <v>136250</v>
      </c>
      <c r="AQ83" s="400" t="str">
        <f>IF(ISBLANK('RESUMEN VIGILANCIA'!AP101),"",'RESUMEN VIGILANCIA'!AP101)</f>
        <v/>
      </c>
      <c r="AR83" s="400" t="str">
        <f>IF(ISBLANK('RESUMEN VIGILANCIA'!AQ101),"",'RESUMEN VIGILANCIA'!AQ101)</f>
        <v/>
      </c>
      <c r="AS83" s="400" t="str">
        <f>IF(ISBLANK('RESUMEN VIGILANCIA'!AR101),"",'RESUMEN VIGILANCIA'!AR101)</f>
        <v/>
      </c>
      <c r="AT83" s="400" t="str">
        <f>IF(ISBLANK('RESUMEN VIGILANCIA'!AS101),"",'RESUMEN VIGILANCIA'!AS101)</f>
        <v/>
      </c>
      <c r="AU83" s="400" t="str">
        <f>IF(ISBLANK('RESUMEN VIGILANCIA'!AT101),"",'RESUMEN VIGILANCIA'!AT101)</f>
        <v/>
      </c>
      <c r="AV83" s="400" t="str">
        <f>IF(ISBLANK('RESUMEN VIGILANCIA'!AU101),"",'RESUMEN VIGILANCIA'!AU101)</f>
        <v/>
      </c>
      <c r="AW83" s="400" t="str">
        <f>IF(ISBLANK('RESUMEN VIGILANCIA'!AV101),"",'RESUMEN VIGILANCIA'!AV101)</f>
        <v/>
      </c>
      <c r="AX83" s="400" t="str">
        <f>IF(ISBLANK('RESUMEN VIGILANCIA'!AW101),"",'RESUMEN VIGILANCIA'!AW101)</f>
        <v/>
      </c>
      <c r="AY83" s="400" t="str">
        <f>IF(ISBLANK('RESUMEN VIGILANCIA'!AX101),"",'RESUMEN VIGILANCIA'!AX101)</f>
        <v/>
      </c>
      <c r="AZ83" s="400" t="str">
        <f>IF(ISBLANK('RESUMEN VIGILANCIA'!AY101),"",'RESUMEN VIGILANCIA'!AY101)</f>
        <v/>
      </c>
      <c r="BA83" s="401" t="str">
        <f>IF(ISBLANK('RESUMEN VIGILANCIA'!AZ101),"",'RESUMEN VIGILANCIA'!AZ101)</f>
        <v/>
      </c>
      <c r="BB83" s="243">
        <f t="shared" si="4"/>
        <v>247600.25</v>
      </c>
      <c r="BC83" s="112"/>
      <c r="BD83" s="112"/>
    </row>
    <row r="84" spans="1:56" s="29" customFormat="1" ht="20.100000000000001" customHeight="1">
      <c r="A84" s="30" t="str">
        <f>'RESUMEN VIGILANCIA'!A102</f>
        <v>Familia Loponte Arteaga</v>
      </c>
      <c r="B84" s="31" t="str">
        <f>'RESUMEN VIGILANCIA'!B102</f>
        <v>Calle Güigüe Nro. 88-120</v>
      </c>
      <c r="C84" s="452" t="s">
        <v>1249</v>
      </c>
      <c r="D84" s="460" t="s">
        <v>17</v>
      </c>
      <c r="E84" s="440" t="str">
        <f>IF(ISBLANK('RESUMEN VIGILANCIA'!D102),"",'RESUMEN VIGILANCIA'!D102)</f>
        <v/>
      </c>
      <c r="F84" s="274">
        <f>IF(ISBLANK('RESUMEN VIGILANCIA'!E102),"",'RESUMEN VIGILANCIA'!E102)</f>
        <v>0.105</v>
      </c>
      <c r="G84" s="182">
        <f>IF(ISBLANK('RESUMEN VIGILANCIA'!F102),"",'RESUMEN VIGILANCIA'!F102)</f>
        <v>0.17</v>
      </c>
      <c r="H84" s="182">
        <f>IF(ISBLANK('RESUMEN VIGILANCIA'!G102),"",'RESUMEN VIGILANCIA'!G102)</f>
        <v>0.17</v>
      </c>
      <c r="I84" s="182">
        <f>IF(ISBLANK('RESUMEN VIGILANCIA'!H102),"",'RESUMEN VIGILANCIA'!H102)</f>
        <v>0.17</v>
      </c>
      <c r="J84" s="182">
        <f>IF(ISBLANK('RESUMEN VIGILANCIA'!I102),"",'RESUMEN VIGILANCIA'!I102)</f>
        <v>0.26</v>
      </c>
      <c r="K84" s="182">
        <f>IF(ISBLANK('RESUMEN VIGILANCIA'!J102),"",'RESUMEN VIGILANCIA'!J102)</f>
        <v>0.26</v>
      </c>
      <c r="L84" s="227">
        <f>IF(ISBLANK('RESUMEN VIGILANCIA'!K102),"",'RESUMEN VIGILANCIA'!K102)</f>
        <v>0.26</v>
      </c>
      <c r="M84" s="182">
        <f>IF(ISBLANK('RESUMEN VIGILANCIA'!L102),"",'RESUMEN VIGILANCIA'!L102)</f>
        <v>0.35</v>
      </c>
      <c r="N84" s="182">
        <f>IF(ISBLANK('RESUMEN VIGILANCIA'!M102),"",'RESUMEN VIGILANCIA'!M102)</f>
        <v>0.35</v>
      </c>
      <c r="O84" s="182">
        <f>IF(ISBLANK('RESUMEN VIGILANCIA'!N102),"",'RESUMEN VIGILANCIA'!N102)</f>
        <v>0.35</v>
      </c>
      <c r="P84" s="271">
        <f>IF(ISBLANK('RESUMEN VIGILANCIA'!O102),"",'RESUMEN VIGILANCIA'!O102)</f>
        <v>0.5</v>
      </c>
      <c r="Q84" s="180">
        <f>IF(ISBLANK('RESUMEN VIGILANCIA'!P102),"",'RESUMEN VIGILANCIA'!P102)</f>
        <v>0.5</v>
      </c>
      <c r="R84" s="272">
        <f>IF(ISBLANK('RESUMEN VIGILANCIA'!Q102),"",'RESUMEN VIGILANCIA'!Q102)</f>
        <v>0.8</v>
      </c>
      <c r="S84" s="271">
        <f>IF(ISBLANK('RESUMEN VIGILANCIA'!R102),"",'RESUMEN VIGILANCIA'!R102)</f>
        <v>0.8</v>
      </c>
      <c r="T84" s="271">
        <f>IF(ISBLANK('RESUMEN VIGILANCIA'!S102),"",'RESUMEN VIGILANCIA'!S102)</f>
        <v>1.4</v>
      </c>
      <c r="U84" s="271">
        <f>IF(ISBLANK('RESUMEN VIGILANCIA'!T102),"",'RESUMEN VIGILANCIA'!T102)</f>
        <v>1.4</v>
      </c>
      <c r="V84" s="271">
        <f>IF(ISBLANK('RESUMEN VIGILANCIA'!U102),"",'RESUMEN VIGILANCIA'!U102)</f>
        <v>4</v>
      </c>
      <c r="W84" s="271">
        <f>IF(ISBLANK('RESUMEN VIGILANCIA'!V102),"",'RESUMEN VIGILANCIA'!V102)</f>
        <v>6.25</v>
      </c>
      <c r="X84" s="271">
        <f>IF(ISBLANK('RESUMEN VIGILANCIA'!W102),"",'RESUMEN VIGILANCIA'!W102)</f>
        <v>10</v>
      </c>
      <c r="Y84" s="271">
        <f>IF(ISBLANK('RESUMEN VIGILANCIA'!X102),"",'RESUMEN VIGILANCIA'!X102)</f>
        <v>12</v>
      </c>
      <c r="Z84" s="481">
        <f>IF(ISBLANK('RESUMEN VIGILANCIA'!Y102),"",'RESUMEN VIGILANCIA'!Y102)</f>
        <v>320</v>
      </c>
      <c r="AA84" s="481">
        <f>IF(ISBLANK('RESUMEN VIGILANCIA'!Z102),"",'RESUMEN VIGILANCIA'!Z102)</f>
        <v>320</v>
      </c>
      <c r="AB84" s="481">
        <f>IF(ISBLANK('RESUMEN VIGILANCIA'!AA102),"",'RESUMEN VIGILANCIA'!AA102)</f>
        <v>320</v>
      </c>
      <c r="AC84" s="482">
        <f>IF(ISBLANK('RESUMEN VIGILANCIA'!AB102),"",'RESUMEN VIGILANCIA'!AB102)</f>
        <v>500</v>
      </c>
      <c r="AD84" s="399">
        <f>IF(ISBLANK('RESUMEN VIGILANCIA'!AC102),"",'RESUMEN VIGILANCIA'!AC102)</f>
        <v>3000</v>
      </c>
      <c r="AE84" s="400">
        <f>IF(ISBLANK('RESUMEN VIGILANCIA'!AD102),"",'RESUMEN VIGILANCIA'!AD102)</f>
        <v>3000</v>
      </c>
      <c r="AF84" s="400">
        <f>IF(ISBLANK('RESUMEN VIGILANCIA'!AE102),"",'RESUMEN VIGILANCIA'!AE102)</f>
        <v>3000</v>
      </c>
      <c r="AG84" s="400">
        <f>IF(ISBLANK('RESUMEN VIGILANCIA'!AF102),"",'RESUMEN VIGILANCIA'!AF102)</f>
        <v>5000</v>
      </c>
      <c r="AH84" s="400">
        <f>IF(ISBLANK('RESUMEN VIGILANCIA'!AG102),"",'RESUMEN VIGILANCIA'!AG102)</f>
        <v>8000</v>
      </c>
      <c r="AI84" s="400">
        <f>IF(ISBLANK('RESUMEN VIGILANCIA'!AH102),"",'RESUMEN VIGILANCIA'!AH102)</f>
        <v>8000</v>
      </c>
      <c r="AJ84" s="400">
        <f>IF(ISBLANK('RESUMEN VIGILANCIA'!AI102),"",'RESUMEN VIGILANCIA'!AI102)</f>
        <v>10000</v>
      </c>
      <c r="AK84" s="400">
        <f>IF(ISBLANK('RESUMEN VIGILANCIA'!AJ102),"",'RESUMEN VIGILANCIA'!AJ102)</f>
        <v>10000</v>
      </c>
      <c r="AL84" s="400">
        <f>IF(ISBLANK('RESUMEN VIGILANCIA'!AK102),"",'RESUMEN VIGILANCIA'!AK102)</f>
        <v>20000</v>
      </c>
      <c r="AM84" s="400">
        <f>IF(ISBLANK('RESUMEN VIGILANCIA'!AL102),"",'RESUMEN VIGILANCIA'!AL102)</f>
        <v>47000</v>
      </c>
      <c r="AN84" s="400">
        <f>IF(ISBLANK('RESUMEN VIGILANCIA'!AM102),"",'RESUMEN VIGILANCIA'!AM102)</f>
        <v>56250</v>
      </c>
      <c r="AO84" s="401">
        <f>IF(ISBLANK('RESUMEN VIGILANCIA'!AN102),"",'RESUMEN VIGILANCIA'!AN102)</f>
        <v>97500</v>
      </c>
      <c r="AP84" s="399">
        <f>IF(ISBLANK('RESUMEN VIGILANCIA'!AO102),"",'RESUMEN VIGILANCIA'!AO102)</f>
        <v>136250</v>
      </c>
      <c r="AQ84" s="400">
        <f>IF(ISBLANK('RESUMEN VIGILANCIA'!AP102),"",'RESUMEN VIGILANCIA'!AP102)</f>
        <v>136250</v>
      </c>
      <c r="AR84" s="400" t="str">
        <f>IF(ISBLANK('RESUMEN VIGILANCIA'!AQ102),"",'RESUMEN VIGILANCIA'!AQ102)</f>
        <v/>
      </c>
      <c r="AS84" s="400" t="str">
        <f>IF(ISBLANK('RESUMEN VIGILANCIA'!AR102),"",'RESUMEN VIGILANCIA'!AR102)</f>
        <v/>
      </c>
      <c r="AT84" s="400" t="str">
        <f>IF(ISBLANK('RESUMEN VIGILANCIA'!AS102),"",'RESUMEN VIGILANCIA'!AS102)</f>
        <v/>
      </c>
      <c r="AU84" s="400" t="str">
        <f>IF(ISBLANK('RESUMEN VIGILANCIA'!AT102),"",'RESUMEN VIGILANCIA'!AT102)</f>
        <v/>
      </c>
      <c r="AV84" s="400" t="str">
        <f>IF(ISBLANK('RESUMEN VIGILANCIA'!AU102),"",'RESUMEN VIGILANCIA'!AU102)</f>
        <v/>
      </c>
      <c r="AW84" s="400" t="str">
        <f>IF(ISBLANK('RESUMEN VIGILANCIA'!AV102),"",'RESUMEN VIGILANCIA'!AV102)</f>
        <v/>
      </c>
      <c r="AX84" s="400" t="str">
        <f>IF(ISBLANK('RESUMEN VIGILANCIA'!AW102),"",'RESUMEN VIGILANCIA'!AW102)</f>
        <v/>
      </c>
      <c r="AY84" s="400" t="str">
        <f>IF(ISBLANK('RESUMEN VIGILANCIA'!AX102),"",'RESUMEN VIGILANCIA'!AX102)</f>
        <v/>
      </c>
      <c r="AZ84" s="400" t="str">
        <f>IF(ISBLANK('RESUMEN VIGILANCIA'!AY102),"",'RESUMEN VIGILANCIA'!AY102)</f>
        <v/>
      </c>
      <c r="BA84" s="401" t="str">
        <f>IF(ISBLANK('RESUMEN VIGILANCIA'!AZ102),"",'RESUMEN VIGILANCIA'!AZ102)</f>
        <v/>
      </c>
      <c r="BB84" s="243">
        <f t="shared" si="4"/>
        <v>272250.09499999997</v>
      </c>
      <c r="BC84" s="112"/>
      <c r="BD84" s="112"/>
    </row>
    <row r="85" spans="1:56" s="29" customFormat="1" ht="20.100000000000001" customHeight="1">
      <c r="A85" s="33" t="str">
        <f>'RESUMEN VIGILANCIA'!A79</f>
        <v>Familia Chávez Hernández</v>
      </c>
      <c r="B85" s="34" t="str">
        <f>'RESUMEN VIGILANCIA'!B79</f>
        <v>Calle Güigüe Nro. 88-20</v>
      </c>
      <c r="C85" s="451" t="s">
        <v>1251</v>
      </c>
      <c r="D85" s="461" t="s">
        <v>1248</v>
      </c>
      <c r="E85" s="439">
        <f>IF(ISBLANK('RESUMEN VIGILANCIA'!D79),"",'RESUMEN VIGILANCIA'!D79)</f>
        <v>0.06</v>
      </c>
      <c r="F85" s="267">
        <f>IF(ISBLANK('RESUMEN VIGILANCIA'!E79),"",'RESUMEN VIGILANCIA'!E79)</f>
        <v>0.03</v>
      </c>
      <c r="G85" s="189">
        <f>IF(ISBLANK('RESUMEN VIGILANCIA'!F79),"",'RESUMEN VIGILANCIA'!F79)</f>
        <v>0.03</v>
      </c>
      <c r="H85" s="189">
        <f>IF(ISBLANK('RESUMEN VIGILANCIA'!G79),"",'RESUMEN VIGILANCIA'!G79)</f>
        <v>0.03</v>
      </c>
      <c r="I85" s="189">
        <f>IF(ISBLANK('RESUMEN VIGILANCIA'!H79),"",'RESUMEN VIGILANCIA'!H79)</f>
        <v>0.03</v>
      </c>
      <c r="J85" s="189">
        <f>IF(ISBLANK('RESUMEN VIGILANCIA'!I79),"",'RESUMEN VIGILANCIA'!I79)</f>
        <v>0.03</v>
      </c>
      <c r="K85" s="189">
        <f>IF(ISBLANK('RESUMEN VIGILANCIA'!J79),"",'RESUMEN VIGILANCIA'!J79)</f>
        <v>0.03</v>
      </c>
      <c r="L85" s="189">
        <f>IF(ISBLANK('RESUMEN VIGILANCIA'!K79),"",'RESUMEN VIGILANCIA'!K79)</f>
        <v>0.03</v>
      </c>
      <c r="M85" s="189">
        <f>IF(ISBLANK('RESUMEN VIGILANCIA'!L79),"",'RESUMEN VIGILANCIA'!L79)</f>
        <v>0.03</v>
      </c>
      <c r="N85" s="189">
        <f>IF(ISBLANK('RESUMEN VIGILANCIA'!M79),"",'RESUMEN VIGILANCIA'!M79)</f>
        <v>0.03</v>
      </c>
      <c r="O85" s="189">
        <f>IF(ISBLANK('RESUMEN VIGILANCIA'!N79),"",'RESUMEN VIGILANCIA'!N79)</f>
        <v>0.03</v>
      </c>
      <c r="P85" s="268">
        <f>IF(ISBLANK('RESUMEN VIGILANCIA'!O79),"",'RESUMEN VIGILANCIA'!O79)</f>
        <v>0.1</v>
      </c>
      <c r="Q85" s="187">
        <f>IF(ISBLANK('RESUMEN VIGILANCIA'!P79),"",'RESUMEN VIGILANCIA'!P79)</f>
        <v>0.1</v>
      </c>
      <c r="R85" s="269">
        <f>IF(ISBLANK('RESUMEN VIGILANCIA'!Q79),"",'RESUMEN VIGILANCIA'!Q79)</f>
        <v>0.1</v>
      </c>
      <c r="S85" s="268">
        <f>IF(ISBLANK('RESUMEN VIGILANCIA'!R79),"",'RESUMEN VIGILANCIA'!R79)</f>
        <v>0.1</v>
      </c>
      <c r="T85" s="268">
        <f>IF(ISBLANK('RESUMEN VIGILANCIA'!S79),"",'RESUMEN VIGILANCIA'!S79)</f>
        <v>0.3</v>
      </c>
      <c r="U85" s="268">
        <f>IF(ISBLANK('RESUMEN VIGILANCIA'!T79),"",'RESUMEN VIGILANCIA'!T79)</f>
        <v>0.3</v>
      </c>
      <c r="V85" s="268">
        <f>IF(ISBLANK('RESUMEN VIGILANCIA'!U79),"",'RESUMEN VIGILANCIA'!U79)</f>
        <v>0.5</v>
      </c>
      <c r="W85" s="268">
        <f>IF(ISBLANK('RESUMEN VIGILANCIA'!V79),"",'RESUMEN VIGILANCIA'!V79)</f>
        <v>0.5</v>
      </c>
      <c r="X85" s="268">
        <f>IF(ISBLANK('RESUMEN VIGILANCIA'!W79),"",'RESUMEN VIGILANCIA'!W79)</f>
        <v>1</v>
      </c>
      <c r="Y85" s="268">
        <f>IF(ISBLANK('RESUMEN VIGILANCIA'!X79),"",'RESUMEN VIGILANCIA'!X79)</f>
        <v>12</v>
      </c>
      <c r="Z85" s="485">
        <f>IF(ISBLANK('RESUMEN VIGILANCIA'!Y79),"",'RESUMEN VIGILANCIA'!Y79)</f>
        <v>100</v>
      </c>
      <c r="AA85" s="485">
        <f>IF(ISBLANK('RESUMEN VIGILANCIA'!Z79),"",'RESUMEN VIGILANCIA'!Z79)</f>
        <v>100</v>
      </c>
      <c r="AB85" s="485">
        <f>IF(ISBLANK('RESUMEN VIGILANCIA'!AA79),"",'RESUMEN VIGILANCIA'!AA79)</f>
        <v>100</v>
      </c>
      <c r="AC85" s="486">
        <f>IF(ISBLANK('RESUMEN VIGILANCIA'!AB79),"",'RESUMEN VIGILANCIA'!AB79)</f>
        <v>100</v>
      </c>
      <c r="AD85" s="396">
        <f>IF(ISBLANK('RESUMEN VIGILANCIA'!AC79),"",'RESUMEN VIGILANCIA'!AC79)</f>
        <v>300</v>
      </c>
      <c r="AE85" s="397">
        <f>IF(ISBLANK('RESUMEN VIGILANCIA'!AD79),"",'RESUMEN VIGILANCIA'!AD79)</f>
        <v>300</v>
      </c>
      <c r="AF85" s="397">
        <f>IF(ISBLANK('RESUMEN VIGILANCIA'!AE79),"",'RESUMEN VIGILANCIA'!AE79)</f>
        <v>300</v>
      </c>
      <c r="AG85" s="397">
        <f>IF(ISBLANK('RESUMEN VIGILANCIA'!AF79),"",'RESUMEN VIGILANCIA'!AF79)</f>
        <v>300</v>
      </c>
      <c r="AH85" s="397">
        <f>IF(ISBLANK('RESUMEN VIGILANCIA'!AG79),"",'RESUMEN VIGILANCIA'!AG79)</f>
        <v>1000</v>
      </c>
      <c r="AI85" s="397">
        <f>IF(ISBLANK('RESUMEN VIGILANCIA'!AH79),"",'RESUMEN VIGILANCIA'!AH79)</f>
        <v>3000</v>
      </c>
      <c r="AJ85" s="397">
        <f>IF(ISBLANK('RESUMEN VIGILANCIA'!AI79),"",'RESUMEN VIGILANCIA'!AI79)</f>
        <v>6000</v>
      </c>
      <c r="AK85" s="397">
        <f>IF(ISBLANK('RESUMEN VIGILANCIA'!AJ79),"",'RESUMEN VIGILANCIA'!AJ79)</f>
        <v>5000</v>
      </c>
      <c r="AL85" s="397">
        <f>IF(ISBLANK('RESUMEN VIGILANCIA'!AK79),"",'RESUMEN VIGILANCIA'!AK79)</f>
        <v>10000</v>
      </c>
      <c r="AM85" s="397">
        <f>IF(ISBLANK('RESUMEN VIGILANCIA'!AL79),"",'RESUMEN VIGILANCIA'!AL79)</f>
        <v>10000</v>
      </c>
      <c r="AN85" s="397">
        <f>IF(ISBLANK('RESUMEN VIGILANCIA'!AM79),"",'RESUMEN VIGILANCIA'!AM79)</f>
        <v>20000</v>
      </c>
      <c r="AO85" s="398">
        <f>IF(ISBLANK('RESUMEN VIGILANCIA'!AN79),"",'RESUMEN VIGILANCIA'!AN79)</f>
        <v>20000</v>
      </c>
      <c r="AP85" s="396">
        <f>IF(ISBLANK('RESUMEN VIGILANCIA'!AO79),"",'RESUMEN VIGILANCIA'!AO79)</f>
        <v>30000</v>
      </c>
      <c r="AQ85" s="397" t="str">
        <f>IF(ISBLANK('RESUMEN VIGILANCIA'!AP79),"",'RESUMEN VIGILANCIA'!AP79)</f>
        <v/>
      </c>
      <c r="AR85" s="397" t="str">
        <f>IF(ISBLANK('RESUMEN VIGILANCIA'!AQ79),"",'RESUMEN VIGILANCIA'!AQ79)</f>
        <v/>
      </c>
      <c r="AS85" s="397" t="str">
        <f>IF(ISBLANK('RESUMEN VIGILANCIA'!AR79),"",'RESUMEN VIGILANCIA'!AR79)</f>
        <v/>
      </c>
      <c r="AT85" s="397" t="str">
        <f>IF(ISBLANK('RESUMEN VIGILANCIA'!AS79),"",'RESUMEN VIGILANCIA'!AS79)</f>
        <v/>
      </c>
      <c r="AU85" s="397" t="str">
        <f>IF(ISBLANK('RESUMEN VIGILANCIA'!AT79),"",'RESUMEN VIGILANCIA'!AT79)</f>
        <v/>
      </c>
      <c r="AV85" s="397" t="str">
        <f>IF(ISBLANK('RESUMEN VIGILANCIA'!AU79),"",'RESUMEN VIGILANCIA'!AU79)</f>
        <v/>
      </c>
      <c r="AW85" s="397" t="str">
        <f>IF(ISBLANK('RESUMEN VIGILANCIA'!AV79),"",'RESUMEN VIGILANCIA'!AV79)</f>
        <v/>
      </c>
      <c r="AX85" s="397" t="str">
        <f>IF(ISBLANK('RESUMEN VIGILANCIA'!AW79),"",'RESUMEN VIGILANCIA'!AW79)</f>
        <v/>
      </c>
      <c r="AY85" s="397" t="str">
        <f>IF(ISBLANK('RESUMEN VIGILANCIA'!AX79),"",'RESUMEN VIGILANCIA'!AX79)</f>
        <v/>
      </c>
      <c r="AZ85" s="397" t="str">
        <f>IF(ISBLANK('RESUMEN VIGILANCIA'!AY79),"",'RESUMEN VIGILANCIA'!AY79)</f>
        <v/>
      </c>
      <c r="BA85" s="398" t="str">
        <f>IF(ISBLANK('RESUMEN VIGILANCIA'!AZ79),"",'RESUMEN VIGILANCIA'!AZ79)</f>
        <v/>
      </c>
      <c r="BB85" s="242">
        <f t="shared" si="4"/>
        <v>76615.360000000001</v>
      </c>
      <c r="BC85" s="111"/>
      <c r="BD85" s="111"/>
    </row>
    <row r="86" spans="1:56" s="29" customFormat="1" ht="20.100000000000001" customHeight="1">
      <c r="A86" s="33" t="str">
        <f>'RESUMEN VIGILANCIA'!A80</f>
        <v>Ma. de Jesus Alonso</v>
      </c>
      <c r="B86" s="34" t="str">
        <f>'RESUMEN VIGILANCIA'!B80</f>
        <v>Calle Güigüe Nro. 88-30</v>
      </c>
      <c r="C86" s="453" t="s">
        <v>1250</v>
      </c>
      <c r="D86" s="459" t="s">
        <v>1248</v>
      </c>
      <c r="E86" s="444" t="str">
        <f>IF(ISBLANK('RESUMEN VIGILANCIA'!D80),"",'RESUMEN VIGILANCIA'!D80)</f>
        <v/>
      </c>
      <c r="F86" s="367">
        <f>IF(ISBLANK('RESUMEN VIGILANCIA'!E80),"",'RESUMEN VIGILANCIA'!E80)</f>
        <v>0.03</v>
      </c>
      <c r="G86" s="305">
        <f>IF(ISBLANK('RESUMEN VIGILANCIA'!F80),"",'RESUMEN VIGILANCIA'!F80)</f>
        <v>0.03</v>
      </c>
      <c r="H86" s="305">
        <f>IF(ISBLANK('RESUMEN VIGILANCIA'!G80),"",'RESUMEN VIGILANCIA'!G80)</f>
        <v>0.04</v>
      </c>
      <c r="I86" s="305">
        <f>IF(ISBLANK('RESUMEN VIGILANCIA'!H80),"",'RESUMEN VIGILANCIA'!H80)</f>
        <v>0.03</v>
      </c>
      <c r="J86" s="305">
        <f>IF(ISBLANK('RESUMEN VIGILANCIA'!I80),"",'RESUMEN VIGILANCIA'!I80)</f>
        <v>0.03</v>
      </c>
      <c r="K86" s="305">
        <f>IF(ISBLANK('RESUMEN VIGILANCIA'!J80),"",'RESUMEN VIGILANCIA'!J80)</f>
        <v>0.03</v>
      </c>
      <c r="L86" s="305">
        <f>IF(ISBLANK('RESUMEN VIGILANCIA'!K80),"",'RESUMEN VIGILANCIA'!K80)</f>
        <v>0.05</v>
      </c>
      <c r="M86" s="305">
        <f>IF(ISBLANK('RESUMEN VIGILANCIA'!L80),"",'RESUMEN VIGILANCIA'!L80)</f>
        <v>0.05</v>
      </c>
      <c r="N86" s="305">
        <f>IF(ISBLANK('RESUMEN VIGILANCIA'!M80),"",'RESUMEN VIGILANCIA'!M80)</f>
        <v>0.1</v>
      </c>
      <c r="O86" s="305">
        <f>IF(ISBLANK('RESUMEN VIGILANCIA'!N80),"",'RESUMEN VIGILANCIA'!N80)</f>
        <v>0.1</v>
      </c>
      <c r="P86" s="273">
        <f>IF(ISBLANK('RESUMEN VIGILANCIA'!O80),"",'RESUMEN VIGILANCIA'!O80)</f>
        <v>0.1</v>
      </c>
      <c r="Q86" s="366">
        <f>IF(ISBLANK('RESUMEN VIGILANCIA'!P80),"",'RESUMEN VIGILANCIA'!P80)</f>
        <v>0.1</v>
      </c>
      <c r="R86" s="347">
        <f>IF(ISBLANK('RESUMEN VIGILANCIA'!Q80),"",'RESUMEN VIGILANCIA'!Q80)</f>
        <v>0.1</v>
      </c>
      <c r="S86" s="273">
        <f>IF(ISBLANK('RESUMEN VIGILANCIA'!R80),"",'RESUMEN VIGILANCIA'!R80)</f>
        <v>0.30000000000000004</v>
      </c>
      <c r="T86" s="273">
        <f>IF(ISBLANK('RESUMEN VIGILANCIA'!S80),"",'RESUMEN VIGILANCIA'!S80)</f>
        <v>1.4</v>
      </c>
      <c r="U86" s="273">
        <f>IF(ISBLANK('RESUMEN VIGILANCIA'!T80),"",'RESUMEN VIGILANCIA'!T80)</f>
        <v>1.4</v>
      </c>
      <c r="V86" s="273">
        <f>IF(ISBLANK('RESUMEN VIGILANCIA'!U80),"",'RESUMEN VIGILANCIA'!U80)</f>
        <v>4</v>
      </c>
      <c r="W86" s="273">
        <f>IF(ISBLANK('RESUMEN VIGILANCIA'!V80),"",'RESUMEN VIGILANCIA'!V80)</f>
        <v>6.25</v>
      </c>
      <c r="X86" s="273">
        <f>IF(ISBLANK('RESUMEN VIGILANCIA'!W80),"",'RESUMEN VIGILANCIA'!W80)</f>
        <v>10</v>
      </c>
      <c r="Y86" s="273">
        <f>IF(ISBLANK('RESUMEN VIGILANCIA'!X80),"",'RESUMEN VIGILANCIA'!X80)</f>
        <v>12</v>
      </c>
      <c r="Z86" s="484">
        <f>IF(ISBLANK('RESUMEN VIGILANCIA'!Y80),"",'RESUMEN VIGILANCIA'!Y80)</f>
        <v>320</v>
      </c>
      <c r="AA86" s="484">
        <f>IF(ISBLANK('RESUMEN VIGILANCIA'!Z80),"",'RESUMEN VIGILANCIA'!Z80)</f>
        <v>320</v>
      </c>
      <c r="AB86" s="484">
        <f>IF(ISBLANK('RESUMEN VIGILANCIA'!AA80),"",'RESUMEN VIGILANCIA'!AA80)</f>
        <v>400</v>
      </c>
      <c r="AC86" s="483">
        <f>IF(ISBLANK('RESUMEN VIGILANCIA'!AB80),"",'RESUMEN VIGILANCIA'!AB80)</f>
        <v>800</v>
      </c>
      <c r="AD86" s="404">
        <f>IF(ISBLANK('RESUMEN VIGILANCIA'!AC80),"",'RESUMEN VIGILANCIA'!AC80)</f>
        <v>3000</v>
      </c>
      <c r="AE86" s="405">
        <f>IF(ISBLANK('RESUMEN VIGILANCIA'!AD80),"",'RESUMEN VIGILANCIA'!AD80)</f>
        <v>3000</v>
      </c>
      <c r="AF86" s="405">
        <f>IF(ISBLANK('RESUMEN VIGILANCIA'!AE80),"",'RESUMEN VIGILANCIA'!AE80)</f>
        <v>3000</v>
      </c>
      <c r="AG86" s="405">
        <f>IF(ISBLANK('RESUMEN VIGILANCIA'!AF80),"",'RESUMEN VIGILANCIA'!AF80)</f>
        <v>5000</v>
      </c>
      <c r="AH86" s="405">
        <f>IF(ISBLANK('RESUMEN VIGILANCIA'!AG80),"",'RESUMEN VIGILANCIA'!AG80)</f>
        <v>8000</v>
      </c>
      <c r="AI86" s="405">
        <f>IF(ISBLANK('RESUMEN VIGILANCIA'!AH80),"",'RESUMEN VIGILANCIA'!AH80)</f>
        <v>8000</v>
      </c>
      <c r="AJ86" s="405">
        <f>IF(ISBLANK('RESUMEN VIGILANCIA'!AI80),"",'RESUMEN VIGILANCIA'!AI80)</f>
        <v>10000</v>
      </c>
      <c r="AK86" s="405">
        <f>IF(ISBLANK('RESUMEN VIGILANCIA'!AJ80),"",'RESUMEN VIGILANCIA'!AJ80)</f>
        <v>10000</v>
      </c>
      <c r="AL86" s="405" t="str">
        <f>IF(ISBLANK('RESUMEN VIGILANCIA'!AK80),"",'RESUMEN VIGILANCIA'!AK80)</f>
        <v/>
      </c>
      <c r="AM86" s="405" t="str">
        <f>IF(ISBLANK('RESUMEN VIGILANCIA'!AL80),"",'RESUMEN VIGILANCIA'!AL80)</f>
        <v/>
      </c>
      <c r="AN86" s="405" t="str">
        <f>IF(ISBLANK('RESUMEN VIGILANCIA'!AM80),"",'RESUMEN VIGILANCIA'!AM80)</f>
        <v/>
      </c>
      <c r="AO86" s="410" t="str">
        <f>IF(ISBLANK('RESUMEN VIGILANCIA'!AN80),"",'RESUMEN VIGILANCIA'!AN80)</f>
        <v/>
      </c>
      <c r="AP86" s="404" t="str">
        <f>IF(ISBLANK('RESUMEN VIGILANCIA'!AO80),"",'RESUMEN VIGILANCIA'!AO80)</f>
        <v/>
      </c>
      <c r="AQ86" s="405" t="str">
        <f>IF(ISBLANK('RESUMEN VIGILANCIA'!AP80),"",'RESUMEN VIGILANCIA'!AP80)</f>
        <v/>
      </c>
      <c r="AR86" s="405" t="str">
        <f>IF(ISBLANK('RESUMEN VIGILANCIA'!AQ80),"",'RESUMEN VIGILANCIA'!AQ80)</f>
        <v/>
      </c>
      <c r="AS86" s="405" t="str">
        <f>IF(ISBLANK('RESUMEN VIGILANCIA'!AR80),"",'RESUMEN VIGILANCIA'!AR80)</f>
        <v/>
      </c>
      <c r="AT86" s="405" t="str">
        <f>IF(ISBLANK('RESUMEN VIGILANCIA'!AS80),"",'RESUMEN VIGILANCIA'!AS80)</f>
        <v/>
      </c>
      <c r="AU86" s="405" t="str">
        <f>IF(ISBLANK('RESUMEN VIGILANCIA'!AT80),"",'RESUMEN VIGILANCIA'!AT80)</f>
        <v/>
      </c>
      <c r="AV86" s="405" t="str">
        <f>IF(ISBLANK('RESUMEN VIGILANCIA'!AU80),"",'RESUMEN VIGILANCIA'!AU80)</f>
        <v/>
      </c>
      <c r="AW86" s="405" t="str">
        <f>IF(ISBLANK('RESUMEN VIGILANCIA'!AV80),"",'RESUMEN VIGILANCIA'!AV80)</f>
        <v/>
      </c>
      <c r="AX86" s="405" t="str">
        <f>IF(ISBLANK('RESUMEN VIGILANCIA'!AW80),"",'RESUMEN VIGILANCIA'!AW80)</f>
        <v/>
      </c>
      <c r="AY86" s="405" t="str">
        <f>IF(ISBLANK('RESUMEN VIGILANCIA'!AX80),"",'RESUMEN VIGILANCIA'!AX80)</f>
        <v/>
      </c>
      <c r="AZ86" s="405" t="str">
        <f>IF(ISBLANK('RESUMEN VIGILANCIA'!AY80),"",'RESUMEN VIGILANCIA'!AY80)</f>
        <v/>
      </c>
      <c r="BA86" s="410" t="str">
        <f>IF(ISBLANK('RESUMEN VIGILANCIA'!AZ80),"",'RESUMEN VIGILANCIA'!AZ80)</f>
        <v/>
      </c>
      <c r="BB86" s="368">
        <f t="shared" si="4"/>
        <v>51876.14</v>
      </c>
      <c r="BC86" s="369"/>
      <c r="BD86" s="369"/>
    </row>
    <row r="87" spans="1:56" s="29" customFormat="1" ht="20.100000000000001" customHeight="1">
      <c r="A87" s="33" t="str">
        <f>'RESUMEN VIGILANCIA'!A81</f>
        <v>Familia Moyetones</v>
      </c>
      <c r="B87" s="34" t="str">
        <f>'RESUMEN VIGILANCIA'!B81</f>
        <v>Calle Güigüe Nro. 88-36</v>
      </c>
      <c r="C87" s="451" t="s">
        <v>1250</v>
      </c>
      <c r="D87" s="461" t="s">
        <v>1248</v>
      </c>
      <c r="E87" s="439" t="str">
        <f>IF(ISBLANK('RESUMEN VIGILANCIA'!D81),"",'RESUMEN VIGILANCIA'!D81)</f>
        <v/>
      </c>
      <c r="F87" s="267" t="str">
        <f>IF(ISBLANK('RESUMEN VIGILANCIA'!E81),"",'RESUMEN VIGILANCIA'!E81)</f>
        <v/>
      </c>
      <c r="G87" s="189" t="str">
        <f>IF(ISBLANK('RESUMEN VIGILANCIA'!F81),"",'RESUMEN VIGILANCIA'!F81)</f>
        <v/>
      </c>
      <c r="H87" s="189" t="str">
        <f>IF(ISBLANK('RESUMEN VIGILANCIA'!G81),"",'RESUMEN VIGILANCIA'!G81)</f>
        <v/>
      </c>
      <c r="I87" s="189" t="str">
        <f>IF(ISBLANK('RESUMEN VIGILANCIA'!H81),"",'RESUMEN VIGILANCIA'!H81)</f>
        <v/>
      </c>
      <c r="J87" s="189" t="str">
        <f>IF(ISBLANK('RESUMEN VIGILANCIA'!I81),"",'RESUMEN VIGILANCIA'!I81)</f>
        <v/>
      </c>
      <c r="K87" s="189" t="str">
        <f>IF(ISBLANK('RESUMEN VIGILANCIA'!J81),"",'RESUMEN VIGILANCIA'!J81)</f>
        <v/>
      </c>
      <c r="L87" s="189" t="str">
        <f>IF(ISBLANK('RESUMEN VIGILANCIA'!K81),"",'RESUMEN VIGILANCIA'!K81)</f>
        <v/>
      </c>
      <c r="M87" s="189" t="str">
        <f>IF(ISBLANK('RESUMEN VIGILANCIA'!L81),"",'RESUMEN VIGILANCIA'!L81)</f>
        <v/>
      </c>
      <c r="N87" s="189" t="str">
        <f>IF(ISBLANK('RESUMEN VIGILANCIA'!M81),"",'RESUMEN VIGILANCIA'!M81)</f>
        <v/>
      </c>
      <c r="O87" s="189" t="str">
        <f>IF(ISBLANK('RESUMEN VIGILANCIA'!N81),"",'RESUMEN VIGILANCIA'!N81)</f>
        <v/>
      </c>
      <c r="P87" s="268" t="str">
        <f>IF(ISBLANK('RESUMEN VIGILANCIA'!O81),"",'RESUMEN VIGILANCIA'!O81)</f>
        <v/>
      </c>
      <c r="Q87" s="187" t="str">
        <f>IF(ISBLANK('RESUMEN VIGILANCIA'!P81),"",'RESUMEN VIGILANCIA'!P81)</f>
        <v/>
      </c>
      <c r="R87" s="269" t="str">
        <f>IF(ISBLANK('RESUMEN VIGILANCIA'!Q81),"",'RESUMEN VIGILANCIA'!Q81)</f>
        <v/>
      </c>
      <c r="S87" s="268" t="str">
        <f>IF(ISBLANK('RESUMEN VIGILANCIA'!R81),"",'RESUMEN VIGILANCIA'!R81)</f>
        <v/>
      </c>
      <c r="T87" s="268" t="str">
        <f>IF(ISBLANK('RESUMEN VIGILANCIA'!S81),"",'RESUMEN VIGILANCIA'!S81)</f>
        <v/>
      </c>
      <c r="U87" s="268" t="str">
        <f>IF(ISBLANK('RESUMEN VIGILANCIA'!T81),"",'RESUMEN VIGILANCIA'!T81)</f>
        <v/>
      </c>
      <c r="V87" s="268" t="str">
        <f>IF(ISBLANK('RESUMEN VIGILANCIA'!U81),"",'RESUMEN VIGILANCIA'!U81)</f>
        <v/>
      </c>
      <c r="W87" s="268" t="str">
        <f>IF(ISBLANK('RESUMEN VIGILANCIA'!V81),"",'RESUMEN VIGILANCIA'!V81)</f>
        <v/>
      </c>
      <c r="X87" s="268" t="str">
        <f>IF(ISBLANK('RESUMEN VIGILANCIA'!W81),"",'RESUMEN VIGILANCIA'!W81)</f>
        <v/>
      </c>
      <c r="Y87" s="268" t="str">
        <f>IF(ISBLANK('RESUMEN VIGILANCIA'!X81),"",'RESUMEN VIGILANCIA'!X81)</f>
        <v/>
      </c>
      <c r="Z87" s="485" t="str">
        <f>IF(ISBLANK('RESUMEN VIGILANCIA'!Y81),"",'RESUMEN VIGILANCIA'!Y81)</f>
        <v/>
      </c>
      <c r="AA87" s="485" t="str">
        <f>IF(ISBLANK('RESUMEN VIGILANCIA'!Z81),"",'RESUMEN VIGILANCIA'!Z81)</f>
        <v/>
      </c>
      <c r="AB87" s="485" t="str">
        <f>IF(ISBLANK('RESUMEN VIGILANCIA'!AA81),"",'RESUMEN VIGILANCIA'!AA81)</f>
        <v/>
      </c>
      <c r="AC87" s="486" t="str">
        <f>IF(ISBLANK('RESUMEN VIGILANCIA'!AB81),"",'RESUMEN VIGILANCIA'!AB81)</f>
        <v/>
      </c>
      <c r="AD87" s="396" t="str">
        <f>IF(ISBLANK('RESUMEN VIGILANCIA'!AC81),"",'RESUMEN VIGILANCIA'!AC81)</f>
        <v/>
      </c>
      <c r="AE87" s="397" t="str">
        <f>IF(ISBLANK('RESUMEN VIGILANCIA'!AD81),"",'RESUMEN VIGILANCIA'!AD81)</f>
        <v/>
      </c>
      <c r="AF87" s="397" t="str">
        <f>IF(ISBLANK('RESUMEN VIGILANCIA'!AE81),"",'RESUMEN VIGILANCIA'!AE81)</f>
        <v/>
      </c>
      <c r="AG87" s="397" t="str">
        <f>IF(ISBLANK('RESUMEN VIGILANCIA'!AF81),"",'RESUMEN VIGILANCIA'!AF81)</f>
        <v/>
      </c>
      <c r="AH87" s="397" t="str">
        <f>IF(ISBLANK('RESUMEN VIGILANCIA'!AG81),"",'RESUMEN VIGILANCIA'!AG81)</f>
        <v/>
      </c>
      <c r="AI87" s="397" t="str">
        <f>IF(ISBLANK('RESUMEN VIGILANCIA'!AH81),"",'RESUMEN VIGILANCIA'!AH81)</f>
        <v/>
      </c>
      <c r="AJ87" s="397" t="str">
        <f>IF(ISBLANK('RESUMEN VIGILANCIA'!AI81),"",'RESUMEN VIGILANCIA'!AI81)</f>
        <v/>
      </c>
      <c r="AK87" s="397" t="str">
        <f>IF(ISBLANK('RESUMEN VIGILANCIA'!AJ81),"",'RESUMEN VIGILANCIA'!AJ81)</f>
        <v/>
      </c>
      <c r="AL87" s="397" t="str">
        <f>IF(ISBLANK('RESUMEN VIGILANCIA'!AK81),"",'RESUMEN VIGILANCIA'!AK81)</f>
        <v/>
      </c>
      <c r="AM87" s="397" t="str">
        <f>IF(ISBLANK('RESUMEN VIGILANCIA'!AL81),"",'RESUMEN VIGILANCIA'!AL81)</f>
        <v/>
      </c>
      <c r="AN87" s="397" t="str">
        <f>IF(ISBLANK('RESUMEN VIGILANCIA'!AM81),"",'RESUMEN VIGILANCIA'!AM81)</f>
        <v/>
      </c>
      <c r="AO87" s="398" t="str">
        <f>IF(ISBLANK('RESUMEN VIGILANCIA'!AN81),"",'RESUMEN VIGILANCIA'!AN81)</f>
        <v/>
      </c>
      <c r="AP87" s="396" t="str">
        <f>IF(ISBLANK('RESUMEN VIGILANCIA'!AO81),"",'RESUMEN VIGILANCIA'!AO81)</f>
        <v/>
      </c>
      <c r="AQ87" s="397" t="str">
        <f>IF(ISBLANK('RESUMEN VIGILANCIA'!AP81),"",'RESUMEN VIGILANCIA'!AP81)</f>
        <v/>
      </c>
      <c r="AR87" s="397" t="str">
        <f>IF(ISBLANK('RESUMEN VIGILANCIA'!AQ81),"",'RESUMEN VIGILANCIA'!AQ81)</f>
        <v/>
      </c>
      <c r="AS87" s="397" t="str">
        <f>IF(ISBLANK('RESUMEN VIGILANCIA'!AR81),"",'RESUMEN VIGILANCIA'!AR81)</f>
        <v/>
      </c>
      <c r="AT87" s="397" t="str">
        <f>IF(ISBLANK('RESUMEN VIGILANCIA'!AS81),"",'RESUMEN VIGILANCIA'!AS81)</f>
        <v/>
      </c>
      <c r="AU87" s="397" t="str">
        <f>IF(ISBLANK('RESUMEN VIGILANCIA'!AT81),"",'RESUMEN VIGILANCIA'!AT81)</f>
        <v/>
      </c>
      <c r="AV87" s="397" t="str">
        <f>IF(ISBLANK('RESUMEN VIGILANCIA'!AU81),"",'RESUMEN VIGILANCIA'!AU81)</f>
        <v/>
      </c>
      <c r="AW87" s="397" t="str">
        <f>IF(ISBLANK('RESUMEN VIGILANCIA'!AV81),"",'RESUMEN VIGILANCIA'!AV81)</f>
        <v/>
      </c>
      <c r="AX87" s="397" t="str">
        <f>IF(ISBLANK('RESUMEN VIGILANCIA'!AW81),"",'RESUMEN VIGILANCIA'!AW81)</f>
        <v/>
      </c>
      <c r="AY87" s="397" t="str">
        <f>IF(ISBLANK('RESUMEN VIGILANCIA'!AX81),"",'RESUMEN VIGILANCIA'!AX81)</f>
        <v/>
      </c>
      <c r="AZ87" s="397" t="str">
        <f>IF(ISBLANK('RESUMEN VIGILANCIA'!AY81),"",'RESUMEN VIGILANCIA'!AY81)</f>
        <v/>
      </c>
      <c r="BA87" s="398" t="str">
        <f>IF(ISBLANK('RESUMEN VIGILANCIA'!AZ81),"",'RESUMEN VIGILANCIA'!AZ81)</f>
        <v/>
      </c>
      <c r="BB87" s="242">
        <f t="shared" si="4"/>
        <v>0</v>
      </c>
      <c r="BC87" s="111"/>
      <c r="BD87" s="111"/>
    </row>
    <row r="88" spans="1:56" s="29" customFormat="1" ht="20.100000000000001" customHeight="1">
      <c r="A88" s="33" t="str">
        <f>'RESUMEN VIGILANCIA'!A82</f>
        <v>Familia Rivero</v>
      </c>
      <c r="B88" s="34" t="str">
        <f>'RESUMEN VIGILANCIA'!B82</f>
        <v>Calle Güigüe Nro. 88-40</v>
      </c>
      <c r="C88" s="451" t="s">
        <v>1251</v>
      </c>
      <c r="D88" s="469" t="s">
        <v>17</v>
      </c>
      <c r="E88" s="439" t="str">
        <f>IF(ISBLANK('RESUMEN VIGILANCIA'!D82),"",'RESUMEN VIGILANCIA'!D82)</f>
        <v/>
      </c>
      <c r="F88" s="267">
        <f>IF(ISBLANK('RESUMEN VIGILANCIA'!E82),"",'RESUMEN VIGILANCIA'!E82)</f>
        <v>0.03</v>
      </c>
      <c r="G88" s="189">
        <f>IF(ISBLANK('RESUMEN VIGILANCIA'!F82),"",'RESUMEN VIGILANCIA'!F82)</f>
        <v>0.03</v>
      </c>
      <c r="H88" s="189">
        <f>IF(ISBLANK('RESUMEN VIGILANCIA'!G82),"",'RESUMEN VIGILANCIA'!G82)</f>
        <v>0.03</v>
      </c>
      <c r="I88" s="189">
        <f>IF(ISBLANK('RESUMEN VIGILANCIA'!H82),"",'RESUMEN VIGILANCIA'!H82)</f>
        <v>0.03</v>
      </c>
      <c r="J88" s="189">
        <f>IF(ISBLANK('RESUMEN VIGILANCIA'!I82),"",'RESUMEN VIGILANCIA'!I82)</f>
        <v>0.05</v>
      </c>
      <c r="K88" s="189">
        <f>IF(ISBLANK('RESUMEN VIGILANCIA'!J82),"",'RESUMEN VIGILANCIA'!J82)</f>
        <v>0.05</v>
      </c>
      <c r="L88" s="189">
        <f>IF(ISBLANK('RESUMEN VIGILANCIA'!K82),"",'RESUMEN VIGILANCIA'!K82)</f>
        <v>0.05</v>
      </c>
      <c r="M88" s="189">
        <f>IF(ISBLANK('RESUMEN VIGILANCIA'!L82),"",'RESUMEN VIGILANCIA'!L82)</f>
        <v>0.1</v>
      </c>
      <c r="N88" s="189">
        <f>IF(ISBLANK('RESUMEN VIGILANCIA'!M82),"",'RESUMEN VIGILANCIA'!M82)</f>
        <v>0.2</v>
      </c>
      <c r="O88" s="189">
        <f>IF(ISBLANK('RESUMEN VIGILANCIA'!N82),"",'RESUMEN VIGILANCIA'!N82)</f>
        <v>0.2</v>
      </c>
      <c r="P88" s="268">
        <f>IF(ISBLANK('RESUMEN VIGILANCIA'!O82),"",'RESUMEN VIGILANCIA'!O82)</f>
        <v>0.25</v>
      </c>
      <c r="Q88" s="187">
        <f>IF(ISBLANK('RESUMEN VIGILANCIA'!P82),"",'RESUMEN VIGILANCIA'!P82)</f>
        <v>0.3</v>
      </c>
      <c r="R88" s="269">
        <f>IF(ISBLANK('RESUMEN VIGILANCIA'!Q82),"",'RESUMEN VIGILANCIA'!Q82)</f>
        <v>0.3</v>
      </c>
      <c r="S88" s="268">
        <f>IF(ISBLANK('RESUMEN VIGILANCIA'!R82),"",'RESUMEN VIGILANCIA'!R82)</f>
        <v>0.3</v>
      </c>
      <c r="T88" s="268">
        <f>IF(ISBLANK('RESUMEN VIGILANCIA'!S82),"",'RESUMEN VIGILANCIA'!S82)</f>
        <v>0.3</v>
      </c>
      <c r="U88" s="268">
        <f>IF(ISBLANK('RESUMEN VIGILANCIA'!T82),"",'RESUMEN VIGILANCIA'!T82)</f>
        <v>0.3</v>
      </c>
      <c r="V88" s="268">
        <f>IF(ISBLANK('RESUMEN VIGILANCIA'!U82),"",'RESUMEN VIGILANCIA'!U82)</f>
        <v>0.3</v>
      </c>
      <c r="W88" s="268">
        <f>IF(ISBLANK('RESUMEN VIGILANCIA'!V82),"",'RESUMEN VIGILANCIA'!V82)</f>
        <v>0.4</v>
      </c>
      <c r="X88" s="268">
        <f>IF(ISBLANK('RESUMEN VIGILANCIA'!W82),"",'RESUMEN VIGILANCIA'!W82)</f>
        <v>10</v>
      </c>
      <c r="Y88" s="268">
        <f>IF(ISBLANK('RESUMEN VIGILANCIA'!X82),"",'RESUMEN VIGILANCIA'!X82)</f>
        <v>12</v>
      </c>
      <c r="Z88" s="485">
        <f>IF(ISBLANK('RESUMEN VIGILANCIA'!Y82),"",'RESUMEN VIGILANCIA'!Y82)</f>
        <v>78</v>
      </c>
      <c r="AA88" s="485" t="str">
        <f>IF(ISBLANK('RESUMEN VIGILANCIA'!Z82),"",'RESUMEN VIGILANCIA'!Z82)</f>
        <v/>
      </c>
      <c r="AB88" s="485" t="str">
        <f>IF(ISBLANK('RESUMEN VIGILANCIA'!AA82),"",'RESUMEN VIGILANCIA'!AA82)</f>
        <v/>
      </c>
      <c r="AC88" s="486" t="str">
        <f>IF(ISBLANK('RESUMEN VIGILANCIA'!AB82),"",'RESUMEN VIGILANCIA'!AB82)</f>
        <v/>
      </c>
      <c r="AD88" s="396" t="str">
        <f>IF(ISBLANK('RESUMEN VIGILANCIA'!AC82),"",'RESUMEN VIGILANCIA'!AC82)</f>
        <v/>
      </c>
      <c r="AE88" s="397" t="str">
        <f>IF(ISBLANK('RESUMEN VIGILANCIA'!AD82),"",'RESUMEN VIGILANCIA'!AD82)</f>
        <v/>
      </c>
      <c r="AF88" s="397" t="str">
        <f>IF(ISBLANK('RESUMEN VIGILANCIA'!AE82),"",'RESUMEN VIGILANCIA'!AE82)</f>
        <v/>
      </c>
      <c r="AG88" s="397" t="str">
        <f>IF(ISBLANK('RESUMEN VIGILANCIA'!AF82),"",'RESUMEN VIGILANCIA'!AF82)</f>
        <v/>
      </c>
      <c r="AH88" s="397" t="str">
        <f>IF(ISBLANK('RESUMEN VIGILANCIA'!AG82),"",'RESUMEN VIGILANCIA'!AG82)</f>
        <v/>
      </c>
      <c r="AI88" s="397" t="str">
        <f>IF(ISBLANK('RESUMEN VIGILANCIA'!AH82),"",'RESUMEN VIGILANCIA'!AH82)</f>
        <v/>
      </c>
      <c r="AJ88" s="397" t="str">
        <f>IF(ISBLANK('RESUMEN VIGILANCIA'!AI82),"",'RESUMEN VIGILANCIA'!AI82)</f>
        <v/>
      </c>
      <c r="AK88" s="397" t="str">
        <f>IF(ISBLANK('RESUMEN VIGILANCIA'!AJ82),"",'RESUMEN VIGILANCIA'!AJ82)</f>
        <v/>
      </c>
      <c r="AL88" s="397" t="str">
        <f>IF(ISBLANK('RESUMEN VIGILANCIA'!AK82),"",'RESUMEN VIGILANCIA'!AK82)</f>
        <v/>
      </c>
      <c r="AM88" s="397" t="str">
        <f>IF(ISBLANK('RESUMEN VIGILANCIA'!AL82),"",'RESUMEN VIGILANCIA'!AL82)</f>
        <v/>
      </c>
      <c r="AN88" s="397">
        <f>IF(ISBLANK('RESUMEN VIGILANCIA'!AM82),"",'RESUMEN VIGILANCIA'!AM82)</f>
        <v>20000</v>
      </c>
      <c r="AO88" s="398" t="str">
        <f>IF(ISBLANK('RESUMEN VIGILANCIA'!AN82),"",'RESUMEN VIGILANCIA'!AN82)</f>
        <v/>
      </c>
      <c r="AP88" s="396" t="str">
        <f>IF(ISBLANK('RESUMEN VIGILANCIA'!AO82),"",'RESUMEN VIGILANCIA'!AO82)</f>
        <v/>
      </c>
      <c r="AQ88" s="397" t="str">
        <f>IF(ISBLANK('RESUMEN VIGILANCIA'!AP82),"",'RESUMEN VIGILANCIA'!AP82)</f>
        <v/>
      </c>
      <c r="AR88" s="397" t="str">
        <f>IF(ISBLANK('RESUMEN VIGILANCIA'!AQ82),"",'RESUMEN VIGILANCIA'!AQ82)</f>
        <v/>
      </c>
      <c r="AS88" s="397" t="str">
        <f>IF(ISBLANK('RESUMEN VIGILANCIA'!AR82),"",'RESUMEN VIGILANCIA'!AR82)</f>
        <v/>
      </c>
      <c r="AT88" s="397" t="str">
        <f>IF(ISBLANK('RESUMEN VIGILANCIA'!AS82),"",'RESUMEN VIGILANCIA'!AS82)</f>
        <v/>
      </c>
      <c r="AU88" s="397" t="str">
        <f>IF(ISBLANK('RESUMEN VIGILANCIA'!AT82),"",'RESUMEN VIGILANCIA'!AT82)</f>
        <v/>
      </c>
      <c r="AV88" s="397" t="str">
        <f>IF(ISBLANK('RESUMEN VIGILANCIA'!AU82),"",'RESUMEN VIGILANCIA'!AU82)</f>
        <v/>
      </c>
      <c r="AW88" s="397" t="str">
        <f>IF(ISBLANK('RESUMEN VIGILANCIA'!AV82),"",'RESUMEN VIGILANCIA'!AV82)</f>
        <v/>
      </c>
      <c r="AX88" s="397" t="str">
        <f>IF(ISBLANK('RESUMEN VIGILANCIA'!AW82),"",'RESUMEN VIGILANCIA'!AW82)</f>
        <v/>
      </c>
      <c r="AY88" s="397" t="str">
        <f>IF(ISBLANK('RESUMEN VIGILANCIA'!AX82),"",'RESUMEN VIGILANCIA'!AX82)</f>
        <v/>
      </c>
      <c r="AZ88" s="397" t="str">
        <f>IF(ISBLANK('RESUMEN VIGILANCIA'!AY82),"",'RESUMEN VIGILANCIA'!AY82)</f>
        <v/>
      </c>
      <c r="BA88" s="398" t="str">
        <f>IF(ISBLANK('RESUMEN VIGILANCIA'!AZ82),"",'RESUMEN VIGILANCIA'!AZ82)</f>
        <v/>
      </c>
      <c r="BB88" s="242">
        <f t="shared" si="4"/>
        <v>20103.22</v>
      </c>
      <c r="BC88" s="111"/>
      <c r="BD88" s="111"/>
    </row>
    <row r="89" spans="1:56" s="29" customFormat="1" ht="20.100000000000001" customHeight="1">
      <c r="A89" s="33" t="str">
        <f>'RESUMEN VIGILANCIA'!A86</f>
        <v>Dra. Lilia Magallanes</v>
      </c>
      <c r="B89" s="34" t="str">
        <f>'RESUMEN VIGILANCIA'!B86</f>
        <v>Calle Güigüe Nro. 88-51</v>
      </c>
      <c r="C89" s="453" t="s">
        <v>1249</v>
      </c>
      <c r="D89" s="459" t="s">
        <v>1248</v>
      </c>
      <c r="E89" s="444" t="str">
        <f>IF(ISBLANK('RESUMEN VIGILANCIA'!D86),"",'RESUMEN VIGILANCIA'!D86)</f>
        <v/>
      </c>
      <c r="F89" s="367">
        <f>IF(ISBLANK('RESUMEN VIGILANCIA'!E86),"",'RESUMEN VIGILANCIA'!E86)</f>
        <v>0.05</v>
      </c>
      <c r="G89" s="305">
        <f>IF(ISBLANK('RESUMEN VIGILANCIA'!F86),"",'RESUMEN VIGILANCIA'!F86)</f>
        <v>0.05</v>
      </c>
      <c r="H89" s="305">
        <f>IF(ISBLANK('RESUMEN VIGILANCIA'!G86),"",'RESUMEN VIGILANCIA'!G86)</f>
        <v>7.0000000000000007E-2</v>
      </c>
      <c r="I89" s="305">
        <f>IF(ISBLANK('RESUMEN VIGILANCIA'!H86),"",'RESUMEN VIGILANCIA'!H86)</f>
        <v>0.1</v>
      </c>
      <c r="J89" s="305">
        <f>IF(ISBLANK('RESUMEN VIGILANCIA'!I86),"",'RESUMEN VIGILANCIA'!I86)</f>
        <v>0.2</v>
      </c>
      <c r="K89" s="305">
        <f>IF(ISBLANK('RESUMEN VIGILANCIA'!J86),"",'RESUMEN VIGILANCIA'!J86)</f>
        <v>0.2</v>
      </c>
      <c r="L89" s="305">
        <f>IF(ISBLANK('RESUMEN VIGILANCIA'!K86),"",'RESUMEN VIGILANCIA'!K86)</f>
        <v>0.3</v>
      </c>
      <c r="M89" s="305">
        <f>IF(ISBLANK('RESUMEN VIGILANCIA'!L86),"",'RESUMEN VIGILANCIA'!L86)</f>
        <v>0.35</v>
      </c>
      <c r="N89" s="305">
        <f>IF(ISBLANK('RESUMEN VIGILANCIA'!M86),"",'RESUMEN VIGILANCIA'!M86)</f>
        <v>0.35</v>
      </c>
      <c r="O89" s="305">
        <f>IF(ISBLANK('RESUMEN VIGILANCIA'!N86),"",'RESUMEN VIGILANCIA'!N86)</f>
        <v>0.35</v>
      </c>
      <c r="P89" s="273">
        <f>IF(ISBLANK('RESUMEN VIGILANCIA'!O86),"",'RESUMEN VIGILANCIA'!O86)</f>
        <v>0.5</v>
      </c>
      <c r="Q89" s="366">
        <f>IF(ISBLANK('RESUMEN VIGILANCIA'!P86),"",'RESUMEN VIGILANCIA'!P86)</f>
        <v>0.5</v>
      </c>
      <c r="R89" s="347">
        <f>IF(ISBLANK('RESUMEN VIGILANCIA'!Q86),"",'RESUMEN VIGILANCIA'!Q86)</f>
        <v>0.8</v>
      </c>
      <c r="S89" s="273">
        <f>IF(ISBLANK('RESUMEN VIGILANCIA'!R86),"",'RESUMEN VIGILANCIA'!R86)</f>
        <v>0.8</v>
      </c>
      <c r="T89" s="273">
        <f>IF(ISBLANK('RESUMEN VIGILANCIA'!S86),"",'RESUMEN VIGILANCIA'!S86)</f>
        <v>1.4</v>
      </c>
      <c r="U89" s="273">
        <f>IF(ISBLANK('RESUMEN VIGILANCIA'!T86),"",'RESUMEN VIGILANCIA'!T86)</f>
        <v>1.4</v>
      </c>
      <c r="V89" s="273">
        <f>IF(ISBLANK('RESUMEN VIGILANCIA'!U86),"",'RESUMEN VIGILANCIA'!U86)</f>
        <v>4</v>
      </c>
      <c r="W89" s="273">
        <f>IF(ISBLANK('RESUMEN VIGILANCIA'!V86),"",'RESUMEN VIGILANCIA'!V86)</f>
        <v>6.25</v>
      </c>
      <c r="X89" s="273">
        <f>IF(ISBLANK('RESUMEN VIGILANCIA'!W86),"",'RESUMEN VIGILANCIA'!W86)</f>
        <v>10</v>
      </c>
      <c r="Y89" s="273">
        <f>IF(ISBLANK('RESUMEN VIGILANCIA'!X86),"",'RESUMEN VIGILANCIA'!X86)</f>
        <v>12</v>
      </c>
      <c r="Z89" s="484">
        <f>IF(ISBLANK('RESUMEN VIGILANCIA'!Y86),"",'RESUMEN VIGILANCIA'!Y86)</f>
        <v>320.05</v>
      </c>
      <c r="AA89" s="484">
        <f>IF(ISBLANK('RESUMEN VIGILANCIA'!Z86),"",'RESUMEN VIGILANCIA'!Z86)</f>
        <v>320</v>
      </c>
      <c r="AB89" s="484">
        <f>IF(ISBLANK('RESUMEN VIGILANCIA'!AA86),"",'RESUMEN VIGILANCIA'!AA86)</f>
        <v>320</v>
      </c>
      <c r="AC89" s="483">
        <f>IF(ISBLANK('RESUMEN VIGILANCIA'!AB86),"",'RESUMEN VIGILANCIA'!AB86)</f>
        <v>800</v>
      </c>
      <c r="AD89" s="404">
        <f>IF(ISBLANK('RESUMEN VIGILANCIA'!AC86),"",'RESUMEN VIGILANCIA'!AC86)</f>
        <v>3000</v>
      </c>
      <c r="AE89" s="405">
        <f>IF(ISBLANK('RESUMEN VIGILANCIA'!AD86),"",'RESUMEN VIGILANCIA'!AD86)</f>
        <v>3000</v>
      </c>
      <c r="AF89" s="405">
        <f>IF(ISBLANK('RESUMEN VIGILANCIA'!AE86),"",'RESUMEN VIGILANCIA'!AE86)</f>
        <v>3000</v>
      </c>
      <c r="AG89" s="405">
        <f>IF(ISBLANK('RESUMEN VIGILANCIA'!AF86),"",'RESUMEN VIGILANCIA'!AF86)</f>
        <v>5000</v>
      </c>
      <c r="AH89" s="405">
        <f>IF(ISBLANK('RESUMEN VIGILANCIA'!AG86),"",'RESUMEN VIGILANCIA'!AG86)</f>
        <v>8000</v>
      </c>
      <c r="AI89" s="405">
        <f>IF(ISBLANK('RESUMEN VIGILANCIA'!AH86),"",'RESUMEN VIGILANCIA'!AH86)</f>
        <v>8000</v>
      </c>
      <c r="AJ89" s="405">
        <f>IF(ISBLANK('RESUMEN VIGILANCIA'!AI86),"",'RESUMEN VIGILANCIA'!AI86)</f>
        <v>10000</v>
      </c>
      <c r="AK89" s="405">
        <f>IF(ISBLANK('RESUMEN VIGILANCIA'!AJ86),"",'RESUMEN VIGILANCIA'!AJ86)</f>
        <v>10000</v>
      </c>
      <c r="AL89" s="405">
        <f>IF(ISBLANK('RESUMEN VIGILANCIA'!AK86),"",'RESUMEN VIGILANCIA'!AK86)</f>
        <v>23400</v>
      </c>
      <c r="AM89" s="405">
        <f>IF(ISBLANK('RESUMEN VIGILANCIA'!AL86),"",'RESUMEN VIGILANCIA'!AL86)</f>
        <v>51265</v>
      </c>
      <c r="AN89" s="405">
        <f>IF(ISBLANK('RESUMEN VIGILANCIA'!AM86),"",'RESUMEN VIGILANCIA'!AM86)</f>
        <v>56250</v>
      </c>
      <c r="AO89" s="410">
        <f>IF(ISBLANK('RESUMEN VIGILANCIA'!AN86),"",'RESUMEN VIGILANCIA'!AN86)</f>
        <v>97500</v>
      </c>
      <c r="AP89" s="404">
        <f>IF(ISBLANK('RESUMEN VIGILANCIA'!AO86),"",'RESUMEN VIGILANCIA'!AO86)</f>
        <v>136250</v>
      </c>
      <c r="AQ89" s="405" t="str">
        <f>IF(ISBLANK('RESUMEN VIGILANCIA'!AP86),"",'RESUMEN VIGILANCIA'!AP86)</f>
        <v/>
      </c>
      <c r="AR89" s="405" t="str">
        <f>IF(ISBLANK('RESUMEN VIGILANCIA'!AQ86),"",'RESUMEN VIGILANCIA'!AQ86)</f>
        <v/>
      </c>
      <c r="AS89" s="405" t="str">
        <f>IF(ISBLANK('RESUMEN VIGILANCIA'!AR86),"",'RESUMEN VIGILANCIA'!AR86)</f>
        <v/>
      </c>
      <c r="AT89" s="405" t="str">
        <f>IF(ISBLANK('RESUMEN VIGILANCIA'!AS86),"",'RESUMEN VIGILANCIA'!AS86)</f>
        <v/>
      </c>
      <c r="AU89" s="405" t="str">
        <f>IF(ISBLANK('RESUMEN VIGILANCIA'!AT86),"",'RESUMEN VIGILANCIA'!AT86)</f>
        <v/>
      </c>
      <c r="AV89" s="405" t="str">
        <f>IF(ISBLANK('RESUMEN VIGILANCIA'!AU86),"",'RESUMEN VIGILANCIA'!AU86)</f>
        <v/>
      </c>
      <c r="AW89" s="405" t="str">
        <f>IF(ISBLANK('RESUMEN VIGILANCIA'!AV86),"",'RESUMEN VIGILANCIA'!AV86)</f>
        <v/>
      </c>
      <c r="AX89" s="405" t="str">
        <f>IF(ISBLANK('RESUMEN VIGILANCIA'!AW86),"",'RESUMEN VIGILANCIA'!AW86)</f>
        <v/>
      </c>
      <c r="AY89" s="405" t="str">
        <f>IF(ISBLANK('RESUMEN VIGILANCIA'!AX86),"",'RESUMEN VIGILANCIA'!AX86)</f>
        <v/>
      </c>
      <c r="AZ89" s="405" t="str">
        <f>IF(ISBLANK('RESUMEN VIGILANCIA'!AY86),"",'RESUMEN VIGILANCIA'!AY86)</f>
        <v/>
      </c>
      <c r="BA89" s="410" t="str">
        <f>IF(ISBLANK('RESUMEN VIGILANCIA'!AZ86),"",'RESUMEN VIGILANCIA'!AZ86)</f>
        <v/>
      </c>
      <c r="BB89" s="368">
        <f t="shared" si="4"/>
        <v>280214.71999999997</v>
      </c>
      <c r="BC89" s="369"/>
      <c r="BD89" s="369"/>
    </row>
    <row r="90" spans="1:56" s="29" customFormat="1" ht="20.100000000000001" customHeight="1">
      <c r="A90" s="33" t="str">
        <f>'RESUMEN VIGILANCIA'!A83</f>
        <v>Thanya Albornoz</v>
      </c>
      <c r="B90" s="34" t="str">
        <f>'RESUMEN VIGILANCIA'!B83</f>
        <v>Calle Güigüe Nro. 88-42</v>
      </c>
      <c r="C90" s="451" t="s">
        <v>1250</v>
      </c>
      <c r="D90" s="461" t="s">
        <v>1248</v>
      </c>
      <c r="E90" s="439" t="str">
        <f>IF(ISBLANK('RESUMEN VIGILANCIA'!D83),"",'RESUMEN VIGILANCIA'!D83)</f>
        <v/>
      </c>
      <c r="F90" s="267" t="str">
        <f>IF(ISBLANK('RESUMEN VIGILANCIA'!E83),"",'RESUMEN VIGILANCIA'!E83)</f>
        <v/>
      </c>
      <c r="G90" s="189" t="str">
        <f>IF(ISBLANK('RESUMEN VIGILANCIA'!F83),"",'RESUMEN VIGILANCIA'!F83)</f>
        <v/>
      </c>
      <c r="H90" s="189" t="str">
        <f>IF(ISBLANK('RESUMEN VIGILANCIA'!G83),"",'RESUMEN VIGILANCIA'!G83)</f>
        <v/>
      </c>
      <c r="I90" s="189" t="str">
        <f>IF(ISBLANK('RESUMEN VIGILANCIA'!H83),"",'RESUMEN VIGILANCIA'!H83)</f>
        <v/>
      </c>
      <c r="J90" s="189" t="str">
        <f>IF(ISBLANK('RESUMEN VIGILANCIA'!I83),"",'RESUMEN VIGILANCIA'!I83)</f>
        <v/>
      </c>
      <c r="K90" s="189" t="str">
        <f>IF(ISBLANK('RESUMEN VIGILANCIA'!J83),"",'RESUMEN VIGILANCIA'!J83)</f>
        <v/>
      </c>
      <c r="L90" s="189" t="str">
        <f>IF(ISBLANK('RESUMEN VIGILANCIA'!K83),"",'RESUMEN VIGILANCIA'!K83)</f>
        <v/>
      </c>
      <c r="M90" s="189" t="str">
        <f>IF(ISBLANK('RESUMEN VIGILANCIA'!L83),"",'RESUMEN VIGILANCIA'!L83)</f>
        <v/>
      </c>
      <c r="N90" s="189" t="str">
        <f>IF(ISBLANK('RESUMEN VIGILANCIA'!M83),"",'RESUMEN VIGILANCIA'!M83)</f>
        <v/>
      </c>
      <c r="O90" s="189" t="str">
        <f>IF(ISBLANK('RESUMEN VIGILANCIA'!N83),"",'RESUMEN VIGILANCIA'!N83)</f>
        <v/>
      </c>
      <c r="P90" s="268" t="str">
        <f>IF(ISBLANK('RESUMEN VIGILANCIA'!O83),"",'RESUMEN VIGILANCIA'!O83)</f>
        <v/>
      </c>
      <c r="Q90" s="187" t="str">
        <f>IF(ISBLANK('RESUMEN VIGILANCIA'!P83),"",'RESUMEN VIGILANCIA'!P83)</f>
        <v/>
      </c>
      <c r="R90" s="269" t="str">
        <f>IF(ISBLANK('RESUMEN VIGILANCIA'!Q83),"",'RESUMEN VIGILANCIA'!Q83)</f>
        <v/>
      </c>
      <c r="S90" s="268" t="str">
        <f>IF(ISBLANK('RESUMEN VIGILANCIA'!R83),"",'RESUMEN VIGILANCIA'!R83)</f>
        <v/>
      </c>
      <c r="T90" s="268" t="str">
        <f>IF(ISBLANK('RESUMEN VIGILANCIA'!S83),"",'RESUMEN VIGILANCIA'!S83)</f>
        <v/>
      </c>
      <c r="U90" s="268" t="str">
        <f>IF(ISBLANK('RESUMEN VIGILANCIA'!T83),"",'RESUMEN VIGILANCIA'!T83)</f>
        <v/>
      </c>
      <c r="V90" s="268" t="str">
        <f>IF(ISBLANK('RESUMEN VIGILANCIA'!U83),"",'RESUMEN VIGILANCIA'!U83)</f>
        <v/>
      </c>
      <c r="W90" s="268" t="str">
        <f>IF(ISBLANK('RESUMEN VIGILANCIA'!V83),"",'RESUMEN VIGILANCIA'!V83)</f>
        <v/>
      </c>
      <c r="X90" s="268" t="str">
        <f>IF(ISBLANK('RESUMEN VIGILANCIA'!W83),"",'RESUMEN VIGILANCIA'!W83)</f>
        <v/>
      </c>
      <c r="Y90" s="268" t="str">
        <f>IF(ISBLANK('RESUMEN VIGILANCIA'!X83),"",'RESUMEN VIGILANCIA'!X83)</f>
        <v/>
      </c>
      <c r="Z90" s="485" t="str">
        <f>IF(ISBLANK('RESUMEN VIGILANCIA'!Y83),"",'RESUMEN VIGILANCIA'!Y83)</f>
        <v/>
      </c>
      <c r="AA90" s="485" t="str">
        <f>IF(ISBLANK('RESUMEN VIGILANCIA'!Z83),"",'RESUMEN VIGILANCIA'!Z83)</f>
        <v/>
      </c>
      <c r="AB90" s="485" t="str">
        <f>IF(ISBLANK('RESUMEN VIGILANCIA'!AA83),"",'RESUMEN VIGILANCIA'!AA83)</f>
        <v/>
      </c>
      <c r="AC90" s="486" t="str">
        <f>IF(ISBLANK('RESUMEN VIGILANCIA'!AB83),"",'RESUMEN VIGILANCIA'!AB83)</f>
        <v/>
      </c>
      <c r="AD90" s="396" t="str">
        <f>IF(ISBLANK('RESUMEN VIGILANCIA'!AC83),"",'RESUMEN VIGILANCIA'!AC83)</f>
        <v/>
      </c>
      <c r="AE90" s="397" t="str">
        <f>IF(ISBLANK('RESUMEN VIGILANCIA'!AD83),"",'RESUMEN VIGILANCIA'!AD83)</f>
        <v/>
      </c>
      <c r="AF90" s="397" t="str">
        <f>IF(ISBLANK('RESUMEN VIGILANCIA'!AE83),"",'RESUMEN VIGILANCIA'!AE83)</f>
        <v/>
      </c>
      <c r="AG90" s="397" t="str">
        <f>IF(ISBLANK('RESUMEN VIGILANCIA'!AF83),"",'RESUMEN VIGILANCIA'!AF83)</f>
        <v/>
      </c>
      <c r="AH90" s="397" t="str">
        <f>IF(ISBLANK('RESUMEN VIGILANCIA'!AG83),"",'RESUMEN VIGILANCIA'!AG83)</f>
        <v/>
      </c>
      <c r="AI90" s="397" t="str">
        <f>IF(ISBLANK('RESUMEN VIGILANCIA'!AH83),"",'RESUMEN VIGILANCIA'!AH83)</f>
        <v/>
      </c>
      <c r="AJ90" s="397" t="str">
        <f>IF(ISBLANK('RESUMEN VIGILANCIA'!AI83),"",'RESUMEN VIGILANCIA'!AI83)</f>
        <v/>
      </c>
      <c r="AK90" s="397" t="str">
        <f>IF(ISBLANK('RESUMEN VIGILANCIA'!AJ83),"",'RESUMEN VIGILANCIA'!AJ83)</f>
        <v/>
      </c>
      <c r="AL90" s="397" t="str">
        <f>IF(ISBLANK('RESUMEN VIGILANCIA'!AK83),"",'RESUMEN VIGILANCIA'!AK83)</f>
        <v/>
      </c>
      <c r="AM90" s="397" t="str">
        <f>IF(ISBLANK('RESUMEN VIGILANCIA'!AL83),"",'RESUMEN VIGILANCIA'!AL83)</f>
        <v/>
      </c>
      <c r="AN90" s="397" t="str">
        <f>IF(ISBLANK('RESUMEN VIGILANCIA'!AM83),"",'RESUMEN VIGILANCIA'!AM83)</f>
        <v/>
      </c>
      <c r="AO90" s="398" t="str">
        <f>IF(ISBLANK('RESUMEN VIGILANCIA'!AN83),"",'RESUMEN VIGILANCIA'!AN83)</f>
        <v/>
      </c>
      <c r="AP90" s="396" t="str">
        <f>IF(ISBLANK('RESUMEN VIGILANCIA'!AO83),"",'RESUMEN VIGILANCIA'!AO83)</f>
        <v/>
      </c>
      <c r="AQ90" s="397" t="str">
        <f>IF(ISBLANK('RESUMEN VIGILANCIA'!AP83),"",'RESUMEN VIGILANCIA'!AP83)</f>
        <v/>
      </c>
      <c r="AR90" s="397" t="str">
        <f>IF(ISBLANK('RESUMEN VIGILANCIA'!AQ83),"",'RESUMEN VIGILANCIA'!AQ83)</f>
        <v/>
      </c>
      <c r="AS90" s="397" t="str">
        <f>IF(ISBLANK('RESUMEN VIGILANCIA'!AR83),"",'RESUMEN VIGILANCIA'!AR83)</f>
        <v/>
      </c>
      <c r="AT90" s="397" t="str">
        <f>IF(ISBLANK('RESUMEN VIGILANCIA'!AS83),"",'RESUMEN VIGILANCIA'!AS83)</f>
        <v/>
      </c>
      <c r="AU90" s="397" t="str">
        <f>IF(ISBLANK('RESUMEN VIGILANCIA'!AT83),"",'RESUMEN VIGILANCIA'!AT83)</f>
        <v/>
      </c>
      <c r="AV90" s="397" t="str">
        <f>IF(ISBLANK('RESUMEN VIGILANCIA'!AU83),"",'RESUMEN VIGILANCIA'!AU83)</f>
        <v/>
      </c>
      <c r="AW90" s="397" t="str">
        <f>IF(ISBLANK('RESUMEN VIGILANCIA'!AV83),"",'RESUMEN VIGILANCIA'!AV83)</f>
        <v/>
      </c>
      <c r="AX90" s="397" t="str">
        <f>IF(ISBLANK('RESUMEN VIGILANCIA'!AW83),"",'RESUMEN VIGILANCIA'!AW83)</f>
        <v/>
      </c>
      <c r="AY90" s="397" t="str">
        <f>IF(ISBLANK('RESUMEN VIGILANCIA'!AX83),"",'RESUMEN VIGILANCIA'!AX83)</f>
        <v/>
      </c>
      <c r="AZ90" s="397" t="str">
        <f>IF(ISBLANK('RESUMEN VIGILANCIA'!AY83),"",'RESUMEN VIGILANCIA'!AY83)</f>
        <v/>
      </c>
      <c r="BA90" s="398" t="str">
        <f>IF(ISBLANK('RESUMEN VIGILANCIA'!AZ83),"",'RESUMEN VIGILANCIA'!AZ83)</f>
        <v/>
      </c>
      <c r="BB90" s="242">
        <f t="shared" si="4"/>
        <v>0</v>
      </c>
      <c r="BC90" s="111"/>
      <c r="BD90" s="111"/>
    </row>
    <row r="91" spans="1:56" s="29" customFormat="1" ht="20.100000000000001" customHeight="1">
      <c r="A91" s="30" t="str">
        <f>'RESUMEN VIGILANCIA'!A84</f>
        <v>Familia Colosso Delgado</v>
      </c>
      <c r="B91" s="31" t="str">
        <f>'RESUMEN VIGILANCIA'!B84</f>
        <v>Calle Güigüe Nro. 88-44</v>
      </c>
      <c r="C91" s="452" t="s">
        <v>1249</v>
      </c>
      <c r="D91" s="460" t="s">
        <v>17</v>
      </c>
      <c r="E91" s="440" t="str">
        <f>IF(ISBLANK('RESUMEN VIGILANCIA'!D84),"",'RESUMEN VIGILANCIA'!D84)</f>
        <v/>
      </c>
      <c r="F91" s="270">
        <f>IF(ISBLANK('RESUMEN VIGILANCIA'!E84),"",'RESUMEN VIGILANCIA'!E84)</f>
        <v>0.16999999999999998</v>
      </c>
      <c r="G91" s="182">
        <f>IF(ISBLANK('RESUMEN VIGILANCIA'!F84),"",'RESUMEN VIGILANCIA'!F84)</f>
        <v>0.17</v>
      </c>
      <c r="H91" s="182">
        <f>IF(ISBLANK('RESUMEN VIGILANCIA'!G84),"",'RESUMEN VIGILANCIA'!G84)</f>
        <v>0.17</v>
      </c>
      <c r="I91" s="182">
        <f>IF(ISBLANK('RESUMEN VIGILANCIA'!H84),"",'RESUMEN VIGILANCIA'!H84)</f>
        <v>0.17</v>
      </c>
      <c r="J91" s="182">
        <f>IF(ISBLANK('RESUMEN VIGILANCIA'!I84),"",'RESUMEN VIGILANCIA'!I84)</f>
        <v>0.26</v>
      </c>
      <c r="K91" s="182">
        <f>IF(ISBLANK('RESUMEN VIGILANCIA'!J84),"",'RESUMEN VIGILANCIA'!J84)</f>
        <v>0.26</v>
      </c>
      <c r="L91" s="182">
        <f>IF(ISBLANK('RESUMEN VIGILANCIA'!K84),"",'RESUMEN VIGILANCIA'!K84)</f>
        <v>0.35</v>
      </c>
      <c r="M91" s="182">
        <f>IF(ISBLANK('RESUMEN VIGILANCIA'!L84),"",'RESUMEN VIGILANCIA'!L84)</f>
        <v>0.35</v>
      </c>
      <c r="N91" s="182">
        <f>IF(ISBLANK('RESUMEN VIGILANCIA'!M84),"",'RESUMEN VIGILANCIA'!M84)</f>
        <v>0.35</v>
      </c>
      <c r="O91" s="182">
        <f>IF(ISBLANK('RESUMEN VIGILANCIA'!N84),"",'RESUMEN VIGILANCIA'!N84)</f>
        <v>0.35</v>
      </c>
      <c r="P91" s="271">
        <f>IF(ISBLANK('RESUMEN VIGILANCIA'!O84),"",'RESUMEN VIGILANCIA'!O84)</f>
        <v>0.5</v>
      </c>
      <c r="Q91" s="180">
        <f>IF(ISBLANK('RESUMEN VIGILANCIA'!P84),"",'RESUMEN VIGILANCIA'!P84)</f>
        <v>0.5</v>
      </c>
      <c r="R91" s="272">
        <f>IF(ISBLANK('RESUMEN VIGILANCIA'!Q84),"",'RESUMEN VIGILANCIA'!Q84)</f>
        <v>0.8</v>
      </c>
      <c r="S91" s="271">
        <f>IF(ISBLANK('RESUMEN VIGILANCIA'!R84),"",'RESUMEN VIGILANCIA'!R84)</f>
        <v>0.8</v>
      </c>
      <c r="T91" s="271">
        <f>IF(ISBLANK('RESUMEN VIGILANCIA'!S84),"",'RESUMEN VIGILANCIA'!S84)</f>
        <v>1.4</v>
      </c>
      <c r="U91" s="271">
        <f>IF(ISBLANK('RESUMEN VIGILANCIA'!T84),"",'RESUMEN VIGILANCIA'!T84)</f>
        <v>1.4</v>
      </c>
      <c r="V91" s="271">
        <f>IF(ISBLANK('RESUMEN VIGILANCIA'!U84),"",'RESUMEN VIGILANCIA'!U84)</f>
        <v>4</v>
      </c>
      <c r="W91" s="271">
        <f>IF(ISBLANK('RESUMEN VIGILANCIA'!V84),"",'RESUMEN VIGILANCIA'!V84)</f>
        <v>6.25</v>
      </c>
      <c r="X91" s="271">
        <f>IF(ISBLANK('RESUMEN VIGILANCIA'!W84),"",'RESUMEN VIGILANCIA'!W84)</f>
        <v>10</v>
      </c>
      <c r="Y91" s="271">
        <f>IF(ISBLANK('RESUMEN VIGILANCIA'!X84),"",'RESUMEN VIGILANCIA'!X84)</f>
        <v>12</v>
      </c>
      <c r="Z91" s="481">
        <f>IF(ISBLANK('RESUMEN VIGILANCIA'!Y84),"",'RESUMEN VIGILANCIA'!Y84)</f>
        <v>320</v>
      </c>
      <c r="AA91" s="481">
        <f>IF(ISBLANK('RESUMEN VIGILANCIA'!Z84),"",'RESUMEN VIGILANCIA'!Z84)</f>
        <v>320</v>
      </c>
      <c r="AB91" s="481">
        <f>IF(ISBLANK('RESUMEN VIGILANCIA'!AA84),"",'RESUMEN VIGILANCIA'!AA84)</f>
        <v>320</v>
      </c>
      <c r="AC91" s="482">
        <f>IF(ISBLANK('RESUMEN VIGILANCIA'!AB84),"",'RESUMEN VIGILANCIA'!AB84)</f>
        <v>800</v>
      </c>
      <c r="AD91" s="399">
        <f>IF(ISBLANK('RESUMEN VIGILANCIA'!AC84),"",'RESUMEN VIGILANCIA'!AC84)</f>
        <v>3000</v>
      </c>
      <c r="AE91" s="400">
        <f>IF(ISBLANK('RESUMEN VIGILANCIA'!AD84),"",'RESUMEN VIGILANCIA'!AD84)</f>
        <v>3000</v>
      </c>
      <c r="AF91" s="400">
        <f>IF(ISBLANK('RESUMEN VIGILANCIA'!AE84),"",'RESUMEN VIGILANCIA'!AE84)</f>
        <v>3000</v>
      </c>
      <c r="AG91" s="400">
        <f>IF(ISBLANK('RESUMEN VIGILANCIA'!AF84),"",'RESUMEN VIGILANCIA'!AF84)</f>
        <v>5000</v>
      </c>
      <c r="AH91" s="400">
        <f>IF(ISBLANK('RESUMEN VIGILANCIA'!AG84),"",'RESUMEN VIGILANCIA'!AG84)</f>
        <v>8000</v>
      </c>
      <c r="AI91" s="400">
        <f>IF(ISBLANK('RESUMEN VIGILANCIA'!AH84),"",'RESUMEN VIGILANCIA'!AH84)</f>
        <v>8000</v>
      </c>
      <c r="AJ91" s="400">
        <f>IF(ISBLANK('RESUMEN VIGILANCIA'!AI84),"",'RESUMEN VIGILANCIA'!AI84)</f>
        <v>10000</v>
      </c>
      <c r="AK91" s="400">
        <f>IF(ISBLANK('RESUMEN VIGILANCIA'!AJ84),"",'RESUMEN VIGILANCIA'!AJ84)</f>
        <v>10000</v>
      </c>
      <c r="AL91" s="400">
        <f>IF(ISBLANK('RESUMEN VIGILANCIA'!AK84),"",'RESUMEN VIGILANCIA'!AK84)</f>
        <v>23400</v>
      </c>
      <c r="AM91" s="400">
        <f>IF(ISBLANK('RESUMEN VIGILANCIA'!AL84),"",'RESUMEN VIGILANCIA'!AL84)</f>
        <v>47000</v>
      </c>
      <c r="AN91" s="400">
        <f>IF(ISBLANK('RESUMEN VIGILANCIA'!AM84),"",'RESUMEN VIGILANCIA'!AM84)</f>
        <v>51250</v>
      </c>
      <c r="AO91" s="401">
        <f>IF(ISBLANK('RESUMEN VIGILANCIA'!AN84),"",'RESUMEN VIGILANCIA'!AN84)</f>
        <v>81750</v>
      </c>
      <c r="AP91" s="399">
        <f>IF(ISBLANK('RESUMEN VIGILANCIA'!AO84),"",'RESUMEN VIGILANCIA'!AO84)</f>
        <v>136250</v>
      </c>
      <c r="AQ91" s="400">
        <f>IF(ISBLANK('RESUMEN VIGILANCIA'!AP84),"",'RESUMEN VIGILANCIA'!AP84)</f>
        <v>136250</v>
      </c>
      <c r="AR91" s="400" t="str">
        <f>IF(ISBLANK('RESUMEN VIGILANCIA'!AQ84),"",'RESUMEN VIGILANCIA'!AQ84)</f>
        <v/>
      </c>
      <c r="AS91" s="400" t="str">
        <f>IF(ISBLANK('RESUMEN VIGILANCIA'!AR84),"",'RESUMEN VIGILANCIA'!AR84)</f>
        <v/>
      </c>
      <c r="AT91" s="400" t="str">
        <f>IF(ISBLANK('RESUMEN VIGILANCIA'!AS84),"",'RESUMEN VIGILANCIA'!AS84)</f>
        <v/>
      </c>
      <c r="AU91" s="400" t="str">
        <f>IF(ISBLANK('RESUMEN VIGILANCIA'!AT84),"",'RESUMEN VIGILANCIA'!AT84)</f>
        <v/>
      </c>
      <c r="AV91" s="400" t="str">
        <f>IF(ISBLANK('RESUMEN VIGILANCIA'!AU84),"",'RESUMEN VIGILANCIA'!AU84)</f>
        <v/>
      </c>
      <c r="AW91" s="400" t="str">
        <f>IF(ISBLANK('RESUMEN VIGILANCIA'!AV84),"",'RESUMEN VIGILANCIA'!AV84)</f>
        <v/>
      </c>
      <c r="AX91" s="400" t="str">
        <f>IF(ISBLANK('RESUMEN VIGILANCIA'!AW84),"",'RESUMEN VIGILANCIA'!AW84)</f>
        <v/>
      </c>
      <c r="AY91" s="400" t="str">
        <f>IF(ISBLANK('RESUMEN VIGILANCIA'!AX84),"",'RESUMEN VIGILANCIA'!AX84)</f>
        <v/>
      </c>
      <c r="AZ91" s="400" t="str">
        <f>IF(ISBLANK('RESUMEN VIGILANCIA'!AY84),"",'RESUMEN VIGILANCIA'!AY84)</f>
        <v/>
      </c>
      <c r="BA91" s="401" t="str">
        <f>IF(ISBLANK('RESUMEN VIGILANCIA'!AZ84),"",'RESUMEN VIGILANCIA'!AZ84)</f>
        <v/>
      </c>
      <c r="BB91" s="243">
        <f t="shared" si="4"/>
        <v>255200.25</v>
      </c>
      <c r="BC91" s="112"/>
      <c r="BD91" s="112"/>
    </row>
    <row r="92" spans="1:56" s="29" customFormat="1" ht="20.100000000000001" customHeight="1">
      <c r="A92" s="30" t="str">
        <f>'RESUMEN VIGILANCIA'!A85</f>
        <v>Familia Jiménez Navarro</v>
      </c>
      <c r="B92" s="31" t="str">
        <f>'RESUMEN VIGILANCIA'!B85</f>
        <v>Calle Güigüe Nro. 88-50</v>
      </c>
      <c r="C92" s="452" t="s">
        <v>1249</v>
      </c>
      <c r="D92" s="460" t="s">
        <v>17</v>
      </c>
      <c r="E92" s="440" t="str">
        <f>IF(ISBLANK('RESUMEN VIGILANCIA'!D85),"",'RESUMEN VIGILANCIA'!D85)</f>
        <v/>
      </c>
      <c r="F92" s="270">
        <f>IF(ISBLANK('RESUMEN VIGILANCIA'!E85),"",'RESUMEN VIGILANCIA'!E85)</f>
        <v>0.17</v>
      </c>
      <c r="G92" s="182">
        <f>IF(ISBLANK('RESUMEN VIGILANCIA'!F85),"",'RESUMEN VIGILANCIA'!F85)</f>
        <v>0.17</v>
      </c>
      <c r="H92" s="182">
        <f>IF(ISBLANK('RESUMEN VIGILANCIA'!G85),"",'RESUMEN VIGILANCIA'!G85)</f>
        <v>0.17</v>
      </c>
      <c r="I92" s="182">
        <f>IF(ISBLANK('RESUMEN VIGILANCIA'!H85),"",'RESUMEN VIGILANCIA'!H85)</f>
        <v>0.17</v>
      </c>
      <c r="J92" s="182">
        <f>IF(ISBLANK('RESUMEN VIGILANCIA'!I85),"",'RESUMEN VIGILANCIA'!I85)</f>
        <v>0.26</v>
      </c>
      <c r="K92" s="226" t="str">
        <f>IF(ISBLANK('RESUMEN VIGILANCIA'!J85),"",'RESUMEN VIGILANCIA'!J85)</f>
        <v/>
      </c>
      <c r="L92" s="182">
        <f>IF(ISBLANK('RESUMEN VIGILANCIA'!K85),"",'RESUMEN VIGILANCIA'!K85)</f>
        <v>0.35</v>
      </c>
      <c r="M92" s="182">
        <f>IF(ISBLANK('RESUMEN VIGILANCIA'!L85),"",'RESUMEN VIGILANCIA'!L85)</f>
        <v>0.35</v>
      </c>
      <c r="N92" s="182">
        <f>IF(ISBLANK('RESUMEN VIGILANCIA'!M85),"",'RESUMEN VIGILANCIA'!M85)</f>
        <v>0.35</v>
      </c>
      <c r="O92" s="182">
        <f>IF(ISBLANK('RESUMEN VIGILANCIA'!N85),"",'RESUMEN VIGILANCIA'!N85)</f>
        <v>0.35</v>
      </c>
      <c r="P92" s="271">
        <f>IF(ISBLANK('RESUMEN VIGILANCIA'!O85),"",'RESUMEN VIGILANCIA'!O85)</f>
        <v>0.5</v>
      </c>
      <c r="Q92" s="180">
        <f>IF(ISBLANK('RESUMEN VIGILANCIA'!P85),"",'RESUMEN VIGILANCIA'!P85)</f>
        <v>0.5</v>
      </c>
      <c r="R92" s="272">
        <f>IF(ISBLANK('RESUMEN VIGILANCIA'!Q85),"",'RESUMEN VIGILANCIA'!Q85)</f>
        <v>0.8</v>
      </c>
      <c r="S92" s="271">
        <f>IF(ISBLANK('RESUMEN VIGILANCIA'!R85),"",'RESUMEN VIGILANCIA'!R85)</f>
        <v>0.8</v>
      </c>
      <c r="T92" s="271">
        <f>IF(ISBLANK('RESUMEN VIGILANCIA'!S85),"",'RESUMEN VIGILANCIA'!S85)</f>
        <v>1.4</v>
      </c>
      <c r="U92" s="271">
        <f>IF(ISBLANK('RESUMEN VIGILANCIA'!T85),"",'RESUMEN VIGILANCIA'!T85)</f>
        <v>3</v>
      </c>
      <c r="V92" s="271">
        <f>IF(ISBLANK('RESUMEN VIGILANCIA'!U85),"",'RESUMEN VIGILANCIA'!U85)</f>
        <v>4</v>
      </c>
      <c r="W92" s="271">
        <f>IF(ISBLANK('RESUMEN VIGILANCIA'!V85),"",'RESUMEN VIGILANCIA'!V85)</f>
        <v>10</v>
      </c>
      <c r="X92" s="271">
        <f>IF(ISBLANK('RESUMEN VIGILANCIA'!W85),"",'RESUMEN VIGILANCIA'!W85)</f>
        <v>10</v>
      </c>
      <c r="Y92" s="271">
        <f>IF(ISBLANK('RESUMEN VIGILANCIA'!X85),"",'RESUMEN VIGILANCIA'!X85)</f>
        <v>12</v>
      </c>
      <c r="Z92" s="481">
        <f>IF(ISBLANK('RESUMEN VIGILANCIA'!Y85),"",'RESUMEN VIGILANCIA'!Y85)</f>
        <v>320</v>
      </c>
      <c r="AA92" s="481">
        <f>IF(ISBLANK('RESUMEN VIGILANCIA'!Z85),"",'RESUMEN VIGILANCIA'!Z85)</f>
        <v>320</v>
      </c>
      <c r="AB92" s="481">
        <f>IF(ISBLANK('RESUMEN VIGILANCIA'!AA85),"",'RESUMEN VIGILANCIA'!AA85)</f>
        <v>320</v>
      </c>
      <c r="AC92" s="482">
        <f>IF(ISBLANK('RESUMEN VIGILANCIA'!AB85),"",'RESUMEN VIGILANCIA'!AB85)</f>
        <v>800</v>
      </c>
      <c r="AD92" s="399">
        <f>IF(ISBLANK('RESUMEN VIGILANCIA'!AC85),"",'RESUMEN VIGILANCIA'!AC85)</f>
        <v>3000</v>
      </c>
      <c r="AE92" s="400">
        <f>IF(ISBLANK('RESUMEN VIGILANCIA'!AD85),"",'RESUMEN VIGILANCIA'!AD85)</f>
        <v>3000</v>
      </c>
      <c r="AF92" s="400">
        <f>IF(ISBLANK('RESUMEN VIGILANCIA'!AE85),"",'RESUMEN VIGILANCIA'!AE85)</f>
        <v>3000</v>
      </c>
      <c r="AG92" s="400">
        <f>IF(ISBLANK('RESUMEN VIGILANCIA'!AF85),"",'RESUMEN VIGILANCIA'!AF85)</f>
        <v>5000</v>
      </c>
      <c r="AH92" s="400">
        <f>IF(ISBLANK('RESUMEN VIGILANCIA'!AG85),"",'RESUMEN VIGILANCIA'!AG85)</f>
        <v>8000</v>
      </c>
      <c r="AI92" s="400">
        <f>IF(ISBLANK('RESUMEN VIGILANCIA'!AH85),"",'RESUMEN VIGILANCIA'!AH85)</f>
        <v>8000</v>
      </c>
      <c r="AJ92" s="400">
        <f>IF(ISBLANK('RESUMEN VIGILANCIA'!AI85),"",'RESUMEN VIGILANCIA'!AI85)</f>
        <v>10000</v>
      </c>
      <c r="AK92" s="400">
        <f>IF(ISBLANK('RESUMEN VIGILANCIA'!AJ85),"",'RESUMEN VIGILANCIA'!AJ85)</f>
        <v>10000</v>
      </c>
      <c r="AL92" s="400">
        <f>IF(ISBLANK('RESUMEN VIGILANCIA'!AK85),"",'RESUMEN VIGILANCIA'!AK85)</f>
        <v>24000</v>
      </c>
      <c r="AM92" s="400">
        <f>IF(ISBLANK('RESUMEN VIGILANCIA'!AL85),"",'RESUMEN VIGILANCIA'!AL85)</f>
        <v>47000</v>
      </c>
      <c r="AN92" s="400">
        <f>IF(ISBLANK('RESUMEN VIGILANCIA'!AM85),"",'RESUMEN VIGILANCIA'!AM85)</f>
        <v>81750</v>
      </c>
      <c r="AO92" s="401">
        <f>IF(ISBLANK('RESUMEN VIGILANCIA'!AN85),"",'RESUMEN VIGILANCIA'!AN85)</f>
        <v>136500</v>
      </c>
      <c r="AP92" s="399">
        <f>IF(ISBLANK('RESUMEN VIGILANCIA'!AO85),"",'RESUMEN VIGILANCIA'!AO85)</f>
        <v>136500</v>
      </c>
      <c r="AQ92" s="400" t="str">
        <f>IF(ISBLANK('RESUMEN VIGILANCIA'!AP85),"",'RESUMEN VIGILANCIA'!AP85)</f>
        <v/>
      </c>
      <c r="AR92" s="400" t="str">
        <f>IF(ISBLANK('RESUMEN VIGILANCIA'!AQ85),"",'RESUMEN VIGILANCIA'!AQ85)</f>
        <v/>
      </c>
      <c r="AS92" s="400" t="str">
        <f>IF(ISBLANK('RESUMEN VIGILANCIA'!AR85),"",'RESUMEN VIGILANCIA'!AR85)</f>
        <v/>
      </c>
      <c r="AT92" s="400" t="str">
        <f>IF(ISBLANK('RESUMEN VIGILANCIA'!AS85),"",'RESUMEN VIGILANCIA'!AS85)</f>
        <v/>
      </c>
      <c r="AU92" s="400" t="str">
        <f>IF(ISBLANK('RESUMEN VIGILANCIA'!AT85),"",'RESUMEN VIGILANCIA'!AT85)</f>
        <v/>
      </c>
      <c r="AV92" s="400" t="str">
        <f>IF(ISBLANK('RESUMEN VIGILANCIA'!AU85),"",'RESUMEN VIGILANCIA'!AU85)</f>
        <v/>
      </c>
      <c r="AW92" s="400" t="str">
        <f>IF(ISBLANK('RESUMEN VIGILANCIA'!AV85),"",'RESUMEN VIGILANCIA'!AV85)</f>
        <v/>
      </c>
      <c r="AX92" s="400" t="str">
        <f>IF(ISBLANK('RESUMEN VIGILANCIA'!AW85),"",'RESUMEN VIGILANCIA'!AW85)</f>
        <v/>
      </c>
      <c r="AY92" s="400" t="str">
        <f>IF(ISBLANK('RESUMEN VIGILANCIA'!AX85),"",'RESUMEN VIGILANCIA'!AX85)</f>
        <v/>
      </c>
      <c r="AZ92" s="400" t="str">
        <f>IF(ISBLANK('RESUMEN VIGILANCIA'!AY85),"",'RESUMEN VIGILANCIA'!AY85)</f>
        <v/>
      </c>
      <c r="BA92" s="401" t="str">
        <f>IF(ISBLANK('RESUMEN VIGILANCIA'!AZ85),"",'RESUMEN VIGILANCIA'!AZ85)</f>
        <v/>
      </c>
      <c r="BB92" s="243">
        <f t="shared" si="4"/>
        <v>341055.33999999997</v>
      </c>
      <c r="BC92" s="112"/>
      <c r="BD92" s="112"/>
    </row>
    <row r="93" spans="1:56" s="29" customFormat="1" ht="20.100000000000001" customHeight="1">
      <c r="A93" s="30" t="str">
        <f>'RESUMEN VIGILANCIA'!A87</f>
        <v>Familia Navarro Assing</v>
      </c>
      <c r="B93" s="31" t="str">
        <f>'RESUMEN VIGILANCIA'!B87</f>
        <v>Calle Güigüe Nro. 88-54</v>
      </c>
      <c r="C93" s="452" t="s">
        <v>1249</v>
      </c>
      <c r="D93" s="460" t="s">
        <v>17</v>
      </c>
      <c r="E93" s="440" t="str">
        <f>IF(ISBLANK('RESUMEN VIGILANCIA'!D87),"",'RESUMEN VIGILANCIA'!D87)</f>
        <v/>
      </c>
      <c r="F93" s="270">
        <f>IF(ISBLANK('RESUMEN VIGILANCIA'!E87),"",'RESUMEN VIGILANCIA'!E87)</f>
        <v>0.17</v>
      </c>
      <c r="G93" s="182">
        <f>IF(ISBLANK('RESUMEN VIGILANCIA'!F87),"",'RESUMEN VIGILANCIA'!F87)</f>
        <v>0.17</v>
      </c>
      <c r="H93" s="182">
        <f>IF(ISBLANK('RESUMEN VIGILANCIA'!G87),"",'RESUMEN VIGILANCIA'!G87)</f>
        <v>0.17</v>
      </c>
      <c r="I93" s="182">
        <f>IF(ISBLANK('RESUMEN VIGILANCIA'!H87),"",'RESUMEN VIGILANCIA'!H87)</f>
        <v>0.17</v>
      </c>
      <c r="J93" s="182">
        <f>IF(ISBLANK('RESUMEN VIGILANCIA'!I87),"",'RESUMEN VIGILANCIA'!I87)</f>
        <v>0.26</v>
      </c>
      <c r="K93" s="182">
        <f>IF(ISBLANK('RESUMEN VIGILANCIA'!J87),"",'RESUMEN VIGILANCIA'!J87)</f>
        <v>0.26</v>
      </c>
      <c r="L93" s="182">
        <f>IF(ISBLANK('RESUMEN VIGILANCIA'!K87),"",'RESUMEN VIGILANCIA'!K87)</f>
        <v>0.35</v>
      </c>
      <c r="M93" s="182">
        <f>IF(ISBLANK('RESUMEN VIGILANCIA'!L87),"",'RESUMEN VIGILANCIA'!L87)</f>
        <v>0.35</v>
      </c>
      <c r="N93" s="182">
        <f>IF(ISBLANK('RESUMEN VIGILANCIA'!M87),"",'RESUMEN VIGILANCIA'!M87)</f>
        <v>0.35</v>
      </c>
      <c r="O93" s="182">
        <f>IF(ISBLANK('RESUMEN VIGILANCIA'!N87),"",'RESUMEN VIGILANCIA'!N87)</f>
        <v>0.35</v>
      </c>
      <c r="P93" s="271">
        <f>IF(ISBLANK('RESUMEN VIGILANCIA'!O87),"",'RESUMEN VIGILANCIA'!O87)</f>
        <v>0.5</v>
      </c>
      <c r="Q93" s="180">
        <f>IF(ISBLANK('RESUMEN VIGILANCIA'!P87),"",'RESUMEN VIGILANCIA'!P87)</f>
        <v>0.5</v>
      </c>
      <c r="R93" s="272">
        <f>IF(ISBLANK('RESUMEN VIGILANCIA'!Q87),"",'RESUMEN VIGILANCIA'!Q87)</f>
        <v>0.8</v>
      </c>
      <c r="S93" s="271">
        <f>IF(ISBLANK('RESUMEN VIGILANCIA'!R87),"",'RESUMEN VIGILANCIA'!R87)</f>
        <v>0.8</v>
      </c>
      <c r="T93" s="271">
        <f>IF(ISBLANK('RESUMEN VIGILANCIA'!S87),"",'RESUMEN VIGILANCIA'!S87)</f>
        <v>1.4</v>
      </c>
      <c r="U93" s="271">
        <f>IF(ISBLANK('RESUMEN VIGILANCIA'!T87),"",'RESUMEN VIGILANCIA'!T87)</f>
        <v>1.4</v>
      </c>
      <c r="V93" s="271">
        <f>IF(ISBLANK('RESUMEN VIGILANCIA'!U87),"",'RESUMEN VIGILANCIA'!U87)</f>
        <v>4</v>
      </c>
      <c r="W93" s="271">
        <f>IF(ISBLANK('RESUMEN VIGILANCIA'!V87),"",'RESUMEN VIGILANCIA'!V87)</f>
        <v>6.5</v>
      </c>
      <c r="X93" s="271">
        <f>IF(ISBLANK('RESUMEN VIGILANCIA'!W87),"",'RESUMEN VIGILANCIA'!W87)</f>
        <v>10</v>
      </c>
      <c r="Y93" s="271">
        <f>IF(ISBLANK('RESUMEN VIGILANCIA'!X87),"",'RESUMEN VIGILANCIA'!X87)</f>
        <v>12</v>
      </c>
      <c r="Z93" s="481">
        <f>IF(ISBLANK('RESUMEN VIGILANCIA'!Y87),"",'RESUMEN VIGILANCIA'!Y87)</f>
        <v>320</v>
      </c>
      <c r="AA93" s="481">
        <f>IF(ISBLANK('RESUMEN VIGILANCIA'!Z87),"",'RESUMEN VIGILANCIA'!Z87)</f>
        <v>320</v>
      </c>
      <c r="AB93" s="481">
        <f>IF(ISBLANK('RESUMEN VIGILANCIA'!AA87),"",'RESUMEN VIGILANCIA'!AA87)</f>
        <v>320</v>
      </c>
      <c r="AC93" s="482">
        <f>IF(ISBLANK('RESUMEN VIGILANCIA'!AB87),"",'RESUMEN VIGILANCIA'!AB87)</f>
        <v>800</v>
      </c>
      <c r="AD93" s="399">
        <f>IF(ISBLANK('RESUMEN VIGILANCIA'!AC87),"",'RESUMEN VIGILANCIA'!AC87)</f>
        <v>3000</v>
      </c>
      <c r="AE93" s="400">
        <f>IF(ISBLANK('RESUMEN VIGILANCIA'!AD87),"",'RESUMEN VIGILANCIA'!AD87)</f>
        <v>3000</v>
      </c>
      <c r="AF93" s="400">
        <f>IF(ISBLANK('RESUMEN VIGILANCIA'!AE87),"",'RESUMEN VIGILANCIA'!AE87)</f>
        <v>3000</v>
      </c>
      <c r="AG93" s="400">
        <f>IF(ISBLANK('RESUMEN VIGILANCIA'!AF87),"",'RESUMEN VIGILANCIA'!AF87)</f>
        <v>5000</v>
      </c>
      <c r="AH93" s="400">
        <f>IF(ISBLANK('RESUMEN VIGILANCIA'!AG87),"",'RESUMEN VIGILANCIA'!AG87)</f>
        <v>8000</v>
      </c>
      <c r="AI93" s="400">
        <f>IF(ISBLANK('RESUMEN VIGILANCIA'!AH87),"",'RESUMEN VIGILANCIA'!AH87)</f>
        <v>8000</v>
      </c>
      <c r="AJ93" s="400">
        <f>IF(ISBLANK('RESUMEN VIGILANCIA'!AI87),"",'RESUMEN VIGILANCIA'!AI87)</f>
        <v>10000</v>
      </c>
      <c r="AK93" s="400">
        <f>IF(ISBLANK('RESUMEN VIGILANCIA'!AJ87),"",'RESUMEN VIGILANCIA'!AJ87)</f>
        <v>10000</v>
      </c>
      <c r="AL93" s="400">
        <f>IF(ISBLANK('RESUMEN VIGILANCIA'!AK87),"",'RESUMEN VIGILANCIA'!AK87)</f>
        <v>21600</v>
      </c>
      <c r="AM93" s="400">
        <f>IF(ISBLANK('RESUMEN VIGILANCIA'!AL87),"",'RESUMEN VIGILANCIA'!AL87)</f>
        <v>51250</v>
      </c>
      <c r="AN93" s="400">
        <f>IF(ISBLANK('RESUMEN VIGILANCIA'!AM87),"",'RESUMEN VIGILANCIA'!AM87)</f>
        <v>64550</v>
      </c>
      <c r="AO93" s="401">
        <f>IF(ISBLANK('RESUMEN VIGILANCIA'!AN87),"",'RESUMEN VIGILANCIA'!AN87)</f>
        <v>105500</v>
      </c>
      <c r="AP93" s="399">
        <f>IF(ISBLANK('RESUMEN VIGILANCIA'!AO87),"",'RESUMEN VIGILANCIA'!AO87)</f>
        <v>136250</v>
      </c>
      <c r="AQ93" s="400">
        <f>IF(ISBLANK('RESUMEN VIGILANCIA'!AP87),"",'RESUMEN VIGILANCIA'!AP87)</f>
        <v>136450</v>
      </c>
      <c r="AR93" s="400" t="str">
        <f>IF(ISBLANK('RESUMEN VIGILANCIA'!AQ87),"",'RESUMEN VIGILANCIA'!AQ87)</f>
        <v/>
      </c>
      <c r="AS93" s="400" t="str">
        <f>IF(ISBLANK('RESUMEN VIGILANCIA'!AR87),"",'RESUMEN VIGILANCIA'!AR87)</f>
        <v/>
      </c>
      <c r="AT93" s="400" t="str">
        <f>IF(ISBLANK('RESUMEN VIGILANCIA'!AS87),"",'RESUMEN VIGILANCIA'!AS87)</f>
        <v/>
      </c>
      <c r="AU93" s="400" t="str">
        <f>IF(ISBLANK('RESUMEN VIGILANCIA'!AT87),"",'RESUMEN VIGILANCIA'!AT87)</f>
        <v/>
      </c>
      <c r="AV93" s="400" t="str">
        <f>IF(ISBLANK('RESUMEN VIGILANCIA'!AU87),"",'RESUMEN VIGILANCIA'!AU87)</f>
        <v/>
      </c>
      <c r="AW93" s="400" t="str">
        <f>IF(ISBLANK('RESUMEN VIGILANCIA'!AV87),"",'RESUMEN VIGILANCIA'!AV87)</f>
        <v/>
      </c>
      <c r="AX93" s="400" t="str">
        <f>IF(ISBLANK('RESUMEN VIGILANCIA'!AW87),"",'RESUMEN VIGILANCIA'!AW87)</f>
        <v/>
      </c>
      <c r="AY93" s="400" t="str">
        <f>IF(ISBLANK('RESUMEN VIGILANCIA'!AX87),"",'RESUMEN VIGILANCIA'!AX87)</f>
        <v/>
      </c>
      <c r="AZ93" s="400" t="str">
        <f>IF(ISBLANK('RESUMEN VIGILANCIA'!AY87),"",'RESUMEN VIGILANCIA'!AY87)</f>
        <v/>
      </c>
      <c r="BA93" s="401" t="str">
        <f>IF(ISBLANK('RESUMEN VIGILANCIA'!AZ87),"",'RESUMEN VIGILANCIA'!AZ87)</f>
        <v/>
      </c>
      <c r="BB93" s="243">
        <f t="shared" si="4"/>
        <v>294700.5</v>
      </c>
      <c r="BC93" s="112"/>
      <c r="BD93" s="112"/>
    </row>
    <row r="94" spans="1:56" s="29" customFormat="1" ht="20.100000000000001" customHeight="1">
      <c r="A94" s="30" t="str">
        <f>'RESUMEN VIGILANCIA'!A89</f>
        <v>Familia Ramírez</v>
      </c>
      <c r="B94" s="31" t="str">
        <f>'RESUMEN VIGILANCIA'!B89</f>
        <v>Calle Güigüe Nro. 88-61</v>
      </c>
      <c r="C94" s="452" t="s">
        <v>1253</v>
      </c>
      <c r="D94" s="468" t="s">
        <v>17</v>
      </c>
      <c r="E94" s="440" t="str">
        <f>IF(ISBLANK('RESUMEN VIGILANCIA'!D89),"",'RESUMEN VIGILANCIA'!D89)</f>
        <v/>
      </c>
      <c r="F94" s="270" t="str">
        <f>IF(ISBLANK('RESUMEN VIGILANCIA'!E89),"",'RESUMEN VIGILANCIA'!E89)</f>
        <v/>
      </c>
      <c r="G94" s="182" t="str">
        <f>IF(ISBLANK('RESUMEN VIGILANCIA'!F89),"",'RESUMEN VIGILANCIA'!F89)</f>
        <v/>
      </c>
      <c r="H94" s="182" t="str">
        <f>IF(ISBLANK('RESUMEN VIGILANCIA'!G89),"",'RESUMEN VIGILANCIA'!G89)</f>
        <v/>
      </c>
      <c r="I94" s="182" t="str">
        <f>IF(ISBLANK('RESUMEN VIGILANCIA'!H89),"",'RESUMEN VIGILANCIA'!H89)</f>
        <v/>
      </c>
      <c r="J94" s="182" t="str">
        <f>IF(ISBLANK('RESUMEN VIGILANCIA'!I89),"",'RESUMEN VIGILANCIA'!I89)</f>
        <v/>
      </c>
      <c r="K94" s="182" t="str">
        <f>IF(ISBLANK('RESUMEN VIGILANCIA'!J89),"",'RESUMEN VIGILANCIA'!J89)</f>
        <v/>
      </c>
      <c r="L94" s="182" t="str">
        <f>IF(ISBLANK('RESUMEN VIGILANCIA'!K89),"",'RESUMEN VIGILANCIA'!K89)</f>
        <v/>
      </c>
      <c r="M94" s="182" t="str">
        <f>IF(ISBLANK('RESUMEN VIGILANCIA'!L89),"",'RESUMEN VIGILANCIA'!L89)</f>
        <v/>
      </c>
      <c r="N94" s="182" t="str">
        <f>IF(ISBLANK('RESUMEN VIGILANCIA'!M89),"",'RESUMEN VIGILANCIA'!M89)</f>
        <v/>
      </c>
      <c r="O94" s="182" t="str">
        <f>IF(ISBLANK('RESUMEN VIGILANCIA'!N89),"",'RESUMEN VIGILANCIA'!N89)</f>
        <v/>
      </c>
      <c r="P94" s="271" t="str">
        <f>IF(ISBLANK('RESUMEN VIGILANCIA'!O89),"",'RESUMEN VIGILANCIA'!O89)</f>
        <v/>
      </c>
      <c r="Q94" s="180" t="str">
        <f>IF(ISBLANK('RESUMEN VIGILANCIA'!P89),"",'RESUMEN VIGILANCIA'!P89)</f>
        <v/>
      </c>
      <c r="R94" s="272" t="str">
        <f>IF(ISBLANK('RESUMEN VIGILANCIA'!Q89),"",'RESUMEN VIGILANCIA'!Q89)</f>
        <v/>
      </c>
      <c r="S94" s="271" t="str">
        <f>IF(ISBLANK('RESUMEN VIGILANCIA'!R89),"",'RESUMEN VIGILANCIA'!R89)</f>
        <v/>
      </c>
      <c r="T94" s="271" t="str">
        <f>IF(ISBLANK('RESUMEN VIGILANCIA'!S89),"",'RESUMEN VIGILANCIA'!S89)</f>
        <v/>
      </c>
      <c r="U94" s="271" t="str">
        <f>IF(ISBLANK('RESUMEN VIGILANCIA'!T89),"",'RESUMEN VIGILANCIA'!T89)</f>
        <v/>
      </c>
      <c r="V94" s="271" t="str">
        <f>IF(ISBLANK('RESUMEN VIGILANCIA'!U89),"",'RESUMEN VIGILANCIA'!U89)</f>
        <v/>
      </c>
      <c r="W94" s="271" t="str">
        <f>IF(ISBLANK('RESUMEN VIGILANCIA'!V89),"",'RESUMEN VIGILANCIA'!V89)</f>
        <v/>
      </c>
      <c r="X94" s="271" t="str">
        <f>IF(ISBLANK('RESUMEN VIGILANCIA'!W89),"",'RESUMEN VIGILANCIA'!W89)</f>
        <v/>
      </c>
      <c r="Y94" s="271" t="str">
        <f>IF(ISBLANK('RESUMEN VIGILANCIA'!X89),"",'RESUMEN VIGILANCIA'!X89)</f>
        <v/>
      </c>
      <c r="Z94" s="481" t="str">
        <f>IF(ISBLANK('RESUMEN VIGILANCIA'!Y89),"",'RESUMEN VIGILANCIA'!Y89)</f>
        <v/>
      </c>
      <c r="AA94" s="481" t="str">
        <f>IF(ISBLANK('RESUMEN VIGILANCIA'!Z89),"",'RESUMEN VIGILANCIA'!Z89)</f>
        <v/>
      </c>
      <c r="AB94" s="481" t="str">
        <f>IF(ISBLANK('RESUMEN VIGILANCIA'!AA89),"",'RESUMEN VIGILANCIA'!AA89)</f>
        <v/>
      </c>
      <c r="AC94" s="482" t="str">
        <f>IF(ISBLANK('RESUMEN VIGILANCIA'!AB89),"",'RESUMEN VIGILANCIA'!AB89)</f>
        <v/>
      </c>
      <c r="AD94" s="399" t="str">
        <f>IF(ISBLANK('RESUMEN VIGILANCIA'!AC89),"",'RESUMEN VIGILANCIA'!AC89)</f>
        <v/>
      </c>
      <c r="AE94" s="400" t="str">
        <f>IF(ISBLANK('RESUMEN VIGILANCIA'!AD89),"",'RESUMEN VIGILANCIA'!AD89)</f>
        <v/>
      </c>
      <c r="AF94" s="400" t="str">
        <f>IF(ISBLANK('RESUMEN VIGILANCIA'!AE89),"",'RESUMEN VIGILANCIA'!AE89)</f>
        <v/>
      </c>
      <c r="AG94" s="400" t="str">
        <f>IF(ISBLANK('RESUMEN VIGILANCIA'!AF89),"",'RESUMEN VIGILANCIA'!AF89)</f>
        <v/>
      </c>
      <c r="AH94" s="400" t="str">
        <f>IF(ISBLANK('RESUMEN VIGILANCIA'!AG89),"",'RESUMEN VIGILANCIA'!AG89)</f>
        <v/>
      </c>
      <c r="AI94" s="400" t="str">
        <f>IF(ISBLANK('RESUMEN VIGILANCIA'!AH89),"",'RESUMEN VIGILANCIA'!AH89)</f>
        <v/>
      </c>
      <c r="AJ94" s="400" t="str">
        <f>IF(ISBLANK('RESUMEN VIGILANCIA'!AI89),"",'RESUMEN VIGILANCIA'!AI89)</f>
        <v/>
      </c>
      <c r="AK94" s="400" t="str">
        <f>IF(ISBLANK('RESUMEN VIGILANCIA'!AJ89),"",'RESUMEN VIGILANCIA'!AJ89)</f>
        <v/>
      </c>
      <c r="AL94" s="400" t="str">
        <f>IF(ISBLANK('RESUMEN VIGILANCIA'!AK89),"",'RESUMEN VIGILANCIA'!AK89)</f>
        <v/>
      </c>
      <c r="AM94" s="400" t="str">
        <f>IF(ISBLANK('RESUMEN VIGILANCIA'!AL89),"",'RESUMEN VIGILANCIA'!AL89)</f>
        <v/>
      </c>
      <c r="AN94" s="400" t="str">
        <f>IF(ISBLANK('RESUMEN VIGILANCIA'!AM89),"",'RESUMEN VIGILANCIA'!AM89)</f>
        <v/>
      </c>
      <c r="AO94" s="401" t="str">
        <f>IF(ISBLANK('RESUMEN VIGILANCIA'!AN89),"",'RESUMEN VIGILANCIA'!AN89)</f>
        <v/>
      </c>
      <c r="AP94" s="399" t="str">
        <f>IF(ISBLANK('RESUMEN VIGILANCIA'!AO89),"",'RESUMEN VIGILANCIA'!AO89)</f>
        <v/>
      </c>
      <c r="AQ94" s="400" t="str">
        <f>IF(ISBLANK('RESUMEN VIGILANCIA'!AP89),"",'RESUMEN VIGILANCIA'!AP89)</f>
        <v/>
      </c>
      <c r="AR94" s="400" t="str">
        <f>IF(ISBLANK('RESUMEN VIGILANCIA'!AQ89),"",'RESUMEN VIGILANCIA'!AQ89)</f>
        <v/>
      </c>
      <c r="AS94" s="400" t="str">
        <f>IF(ISBLANK('RESUMEN VIGILANCIA'!AR89),"",'RESUMEN VIGILANCIA'!AR89)</f>
        <v/>
      </c>
      <c r="AT94" s="400" t="str">
        <f>IF(ISBLANK('RESUMEN VIGILANCIA'!AS89),"",'RESUMEN VIGILANCIA'!AS89)</f>
        <v/>
      </c>
      <c r="AU94" s="400" t="str">
        <f>IF(ISBLANK('RESUMEN VIGILANCIA'!AT89),"",'RESUMEN VIGILANCIA'!AT89)</f>
        <v/>
      </c>
      <c r="AV94" s="400" t="str">
        <f>IF(ISBLANK('RESUMEN VIGILANCIA'!AU89),"",'RESUMEN VIGILANCIA'!AU89)</f>
        <v/>
      </c>
      <c r="AW94" s="400" t="str">
        <f>IF(ISBLANK('RESUMEN VIGILANCIA'!AV89),"",'RESUMEN VIGILANCIA'!AV89)</f>
        <v/>
      </c>
      <c r="AX94" s="400" t="str">
        <f>IF(ISBLANK('RESUMEN VIGILANCIA'!AW89),"",'RESUMEN VIGILANCIA'!AW89)</f>
        <v/>
      </c>
      <c r="AY94" s="400" t="str">
        <f>IF(ISBLANK('RESUMEN VIGILANCIA'!AX89),"",'RESUMEN VIGILANCIA'!AX89)</f>
        <v/>
      </c>
      <c r="AZ94" s="400" t="str">
        <f>IF(ISBLANK('RESUMEN VIGILANCIA'!AY89),"",'RESUMEN VIGILANCIA'!AY89)</f>
        <v/>
      </c>
      <c r="BA94" s="401" t="str">
        <f>IF(ISBLANK('RESUMEN VIGILANCIA'!AZ89),"",'RESUMEN VIGILANCIA'!AZ89)</f>
        <v/>
      </c>
      <c r="BB94" s="243">
        <f t="shared" si="4"/>
        <v>0</v>
      </c>
      <c r="BC94" s="112"/>
      <c r="BD94" s="112"/>
    </row>
    <row r="95" spans="1:56" s="29" customFormat="1" ht="20.100000000000001" customHeight="1">
      <c r="A95" s="30" t="str">
        <f>'RESUMEN VIGILANCIA'!A88</f>
        <v>Familia Rodríguez Aular</v>
      </c>
      <c r="B95" s="31" t="str">
        <f>'RESUMEN VIGILANCIA'!B88</f>
        <v>Calle Güigüe Nro. 88-58</v>
      </c>
      <c r="C95" s="452" t="s">
        <v>1249</v>
      </c>
      <c r="D95" s="460" t="s">
        <v>17</v>
      </c>
      <c r="E95" s="439" t="str">
        <f>IF(ISBLANK('RESUMEN VIGILANCIA'!D88),"",'RESUMEN VIGILANCIA'!D88)</f>
        <v/>
      </c>
      <c r="F95" s="267">
        <f>IF(ISBLANK('RESUMEN VIGILANCIA'!E88),"",'RESUMEN VIGILANCIA'!E88)</f>
        <v>0.105</v>
      </c>
      <c r="G95" s="189">
        <f>IF(ISBLANK('RESUMEN VIGILANCIA'!F88),"",'RESUMEN VIGILANCIA'!F88)</f>
        <v>0.12</v>
      </c>
      <c r="H95" s="189">
        <f>IF(ISBLANK('RESUMEN VIGILANCIA'!G88),"",'RESUMEN VIGILANCIA'!G88)</f>
        <v>0.12</v>
      </c>
      <c r="I95" s="189">
        <f>IF(ISBLANK('RESUMEN VIGILANCIA'!H88),"",'RESUMEN VIGILANCIA'!H88)</f>
        <v>0.12</v>
      </c>
      <c r="J95" s="189">
        <f>IF(ISBLANK('RESUMEN VIGILANCIA'!I88),"",'RESUMEN VIGILANCIA'!I88)</f>
        <v>0.12</v>
      </c>
      <c r="K95" s="189">
        <f>IF(ISBLANK('RESUMEN VIGILANCIA'!J88),"",'RESUMEN VIGILANCIA'!J88)</f>
        <v>0.15</v>
      </c>
      <c r="L95" s="189">
        <f>IF(ISBLANK('RESUMEN VIGILANCIA'!K88),"",'RESUMEN VIGILANCIA'!K88)</f>
        <v>0.15</v>
      </c>
      <c r="M95" s="189">
        <f>IF(ISBLANK('RESUMEN VIGILANCIA'!L88),"",'RESUMEN VIGILANCIA'!L88)</f>
        <v>0.18</v>
      </c>
      <c r="N95" s="189">
        <f>IF(ISBLANK('RESUMEN VIGILANCIA'!M88),"",'RESUMEN VIGILANCIA'!M88)</f>
        <v>0.2</v>
      </c>
      <c r="O95" s="189">
        <f>IF(ISBLANK('RESUMEN VIGILANCIA'!N88),"",'RESUMEN VIGILANCIA'!N88)</f>
        <v>0.2</v>
      </c>
      <c r="P95" s="268">
        <f>IF(ISBLANK('RESUMEN VIGILANCIA'!O88),"",'RESUMEN VIGILANCIA'!O88)</f>
        <v>0.3</v>
      </c>
      <c r="Q95" s="187">
        <f>IF(ISBLANK('RESUMEN VIGILANCIA'!P88),"",'RESUMEN VIGILANCIA'!P88)</f>
        <v>0.4</v>
      </c>
      <c r="R95" s="269">
        <f>IF(ISBLANK('RESUMEN VIGILANCIA'!Q88),"",'RESUMEN VIGILANCIA'!Q88)</f>
        <v>0.4</v>
      </c>
      <c r="S95" s="268">
        <f>IF(ISBLANK('RESUMEN VIGILANCIA'!R88),"",'RESUMEN VIGILANCIA'!R88)</f>
        <v>0.8</v>
      </c>
      <c r="T95" s="268">
        <f>IF(ISBLANK('RESUMEN VIGILANCIA'!S88),"",'RESUMEN VIGILANCIA'!S88)</f>
        <v>1.2</v>
      </c>
      <c r="U95" s="268">
        <f>IF(ISBLANK('RESUMEN VIGILANCIA'!T88),"",'RESUMEN VIGILANCIA'!T88)</f>
        <v>1.4</v>
      </c>
      <c r="V95" s="268">
        <f>IF(ISBLANK('RESUMEN VIGILANCIA'!U88),"",'RESUMEN VIGILANCIA'!U88)</f>
        <v>2</v>
      </c>
      <c r="W95" s="268">
        <f>IF(ISBLANK('RESUMEN VIGILANCIA'!V88),"",'RESUMEN VIGILANCIA'!V88)</f>
        <v>4</v>
      </c>
      <c r="X95" s="271">
        <f>IF(ISBLANK('RESUMEN VIGILANCIA'!W88),"",'RESUMEN VIGILANCIA'!W88)</f>
        <v>10</v>
      </c>
      <c r="Y95" s="271">
        <f>IF(ISBLANK('RESUMEN VIGILANCIA'!X88),"",'RESUMEN VIGILANCIA'!X88)</f>
        <v>12</v>
      </c>
      <c r="Z95" s="499" t="str">
        <f>IF(ISBLANK('RESUMEN VIGILANCIA'!Y88),"",'RESUMEN VIGILANCIA'!Y88)</f>
        <v/>
      </c>
      <c r="AA95" s="484">
        <f>IF(ISBLANK('RESUMEN VIGILANCIA'!Z88),"",'RESUMEN VIGILANCIA'!Z88)</f>
        <v>320</v>
      </c>
      <c r="AB95" s="484">
        <f>IF(ISBLANK('RESUMEN VIGILANCIA'!AA88),"",'RESUMEN VIGILANCIA'!AA88)</f>
        <v>320</v>
      </c>
      <c r="AC95" s="483">
        <f>IF(ISBLANK('RESUMEN VIGILANCIA'!AB88),"",'RESUMEN VIGILANCIA'!AB88)</f>
        <v>800</v>
      </c>
      <c r="AD95" s="404">
        <f>IF(ISBLANK('RESUMEN VIGILANCIA'!AC88),"",'RESUMEN VIGILANCIA'!AC88)</f>
        <v>3000</v>
      </c>
      <c r="AE95" s="405">
        <f>IF(ISBLANK('RESUMEN VIGILANCIA'!AD88),"",'RESUMEN VIGILANCIA'!AD88)</f>
        <v>3000</v>
      </c>
      <c r="AF95" s="405">
        <f>IF(ISBLANK('RESUMEN VIGILANCIA'!AE88),"",'RESUMEN VIGILANCIA'!AE88)</f>
        <v>3000</v>
      </c>
      <c r="AG95" s="405">
        <f>IF(ISBLANK('RESUMEN VIGILANCIA'!AF88),"",'RESUMEN VIGILANCIA'!AF88)</f>
        <v>5000</v>
      </c>
      <c r="AH95" s="405">
        <f>IF(ISBLANK('RESUMEN VIGILANCIA'!AG88),"",'RESUMEN VIGILANCIA'!AG88)</f>
        <v>8000</v>
      </c>
      <c r="AI95" s="405">
        <f>IF(ISBLANK('RESUMEN VIGILANCIA'!AH88),"",'RESUMEN VIGILANCIA'!AH88)</f>
        <v>8000</v>
      </c>
      <c r="AJ95" s="405">
        <f>IF(ISBLANK('RESUMEN VIGILANCIA'!AI88),"",'RESUMEN VIGILANCIA'!AI88)</f>
        <v>10000</v>
      </c>
      <c r="AK95" s="405">
        <f>IF(ISBLANK('RESUMEN VIGILANCIA'!AJ88),"",'RESUMEN VIGILANCIA'!AJ88)</f>
        <v>10000</v>
      </c>
      <c r="AL95" s="405">
        <f>IF(ISBLANK('RESUMEN VIGILANCIA'!AK88),"",'RESUMEN VIGILANCIA'!AK88)</f>
        <v>19800</v>
      </c>
      <c r="AM95" s="405">
        <f>IF(ISBLANK('RESUMEN VIGILANCIA'!AL88),"",'RESUMEN VIGILANCIA'!AL88)</f>
        <v>51250</v>
      </c>
      <c r="AN95" s="405">
        <f>IF(ISBLANK('RESUMEN VIGILANCIA'!AM88),"",'RESUMEN VIGILANCIA'!AM88)</f>
        <v>64500</v>
      </c>
      <c r="AO95" s="410">
        <f>IF(ISBLANK('RESUMEN VIGILANCIA'!AN88),"",'RESUMEN VIGILANCIA'!AN88)</f>
        <v>136250</v>
      </c>
      <c r="AP95" s="404">
        <f>IF(ISBLANK('RESUMEN VIGILANCIA'!AO88),"",'RESUMEN VIGILANCIA'!AO88)</f>
        <v>136250</v>
      </c>
      <c r="AQ95" s="405" t="str">
        <f>IF(ISBLANK('RESUMEN VIGILANCIA'!AP88),"",'RESUMEN VIGILANCIA'!AP88)</f>
        <v/>
      </c>
      <c r="AR95" s="405" t="str">
        <f>IF(ISBLANK('RESUMEN VIGILANCIA'!AQ88),"",'RESUMEN VIGILANCIA'!AQ88)</f>
        <v/>
      </c>
      <c r="AS95" s="405" t="str">
        <f>IF(ISBLANK('RESUMEN VIGILANCIA'!AR88),"",'RESUMEN VIGILANCIA'!AR88)</f>
        <v/>
      </c>
      <c r="AT95" s="405" t="str">
        <f>IF(ISBLANK('RESUMEN VIGILANCIA'!AS88),"",'RESUMEN VIGILANCIA'!AS88)</f>
        <v/>
      </c>
      <c r="AU95" s="405" t="str">
        <f>IF(ISBLANK('RESUMEN VIGILANCIA'!AT88),"",'RESUMEN VIGILANCIA'!AT88)</f>
        <v/>
      </c>
      <c r="AV95" s="405" t="str">
        <f>IF(ISBLANK('RESUMEN VIGILANCIA'!AU88),"",'RESUMEN VIGILANCIA'!AU88)</f>
        <v/>
      </c>
      <c r="AW95" s="405" t="str">
        <f>IF(ISBLANK('RESUMEN VIGILANCIA'!AV88),"",'RESUMEN VIGILANCIA'!AV88)</f>
        <v/>
      </c>
      <c r="AX95" s="405" t="str">
        <f>IF(ISBLANK('RESUMEN VIGILANCIA'!AW88),"",'RESUMEN VIGILANCIA'!AW88)</f>
        <v/>
      </c>
      <c r="AY95" s="405" t="str">
        <f>IF(ISBLANK('RESUMEN VIGILANCIA'!AX88),"",'RESUMEN VIGILANCIA'!AX88)</f>
        <v/>
      </c>
      <c r="AZ95" s="405" t="str">
        <f>IF(ISBLANK('RESUMEN VIGILANCIA'!AY88),"",'RESUMEN VIGILANCIA'!AY88)</f>
        <v/>
      </c>
      <c r="BA95" s="410" t="str">
        <f>IF(ISBLANK('RESUMEN VIGILANCIA'!AZ88),"",'RESUMEN VIGILANCIA'!AZ88)</f>
        <v/>
      </c>
      <c r="BB95" s="368">
        <f t="shared" si="4"/>
        <v>323273.96499999997</v>
      </c>
      <c r="BC95" s="369"/>
      <c r="BD95" s="369"/>
    </row>
    <row r="96" spans="1:56" s="29" customFormat="1" ht="20.100000000000001" customHeight="1">
      <c r="A96" s="30" t="str">
        <f>'RESUMEN VIGILANCIA'!A90</f>
        <v>Familia Martínez Boada</v>
      </c>
      <c r="B96" s="31" t="str">
        <f>'RESUMEN VIGILANCIA'!B90</f>
        <v>Calle Güigüe Nro. 88-62</v>
      </c>
      <c r="C96" s="452" t="s">
        <v>1251</v>
      </c>
      <c r="D96" s="460" t="s">
        <v>1248</v>
      </c>
      <c r="E96" s="440" t="str">
        <f>IF(ISBLANK('RESUMEN VIGILANCIA'!D90),"",'RESUMEN VIGILANCIA'!D90)</f>
        <v/>
      </c>
      <c r="F96" s="270">
        <f>IF(ISBLANK('RESUMEN VIGILANCIA'!E90),"",'RESUMEN VIGILANCIA'!E90)</f>
        <v>0.16999999999999998</v>
      </c>
      <c r="G96" s="182">
        <f>IF(ISBLANK('RESUMEN VIGILANCIA'!F90),"",'RESUMEN VIGILANCIA'!F90)</f>
        <v>0.16999999999999998</v>
      </c>
      <c r="H96" s="182">
        <f>IF(ISBLANK('RESUMEN VIGILANCIA'!G90),"",'RESUMEN VIGILANCIA'!G90)</f>
        <v>0.17</v>
      </c>
      <c r="I96" s="182">
        <f>IF(ISBLANK('RESUMEN VIGILANCIA'!H90),"",'RESUMEN VIGILANCIA'!H90)</f>
        <v>0.17</v>
      </c>
      <c r="J96" s="182">
        <f>IF(ISBLANK('RESUMEN VIGILANCIA'!I90),"",'RESUMEN VIGILANCIA'!I90)</f>
        <v>0.26</v>
      </c>
      <c r="K96" s="182">
        <f>IF(ISBLANK('RESUMEN VIGILANCIA'!J90),"",'RESUMEN VIGILANCIA'!J90)</f>
        <v>0.26</v>
      </c>
      <c r="L96" s="182">
        <f>IF(ISBLANK('RESUMEN VIGILANCIA'!K90),"",'RESUMEN VIGILANCIA'!K90)</f>
        <v>0.35</v>
      </c>
      <c r="M96" s="182">
        <f>IF(ISBLANK('RESUMEN VIGILANCIA'!L90),"",'RESUMEN VIGILANCIA'!L90)</f>
        <v>0.35</v>
      </c>
      <c r="N96" s="182" t="str">
        <f>IF(ISBLANK('RESUMEN VIGILANCIA'!M90),"",'RESUMEN VIGILANCIA'!M90)</f>
        <v>- - -</v>
      </c>
      <c r="O96" s="182" t="str">
        <f>IF(ISBLANK('RESUMEN VIGILANCIA'!N90),"",'RESUMEN VIGILANCIA'!N90)</f>
        <v>- - -</v>
      </c>
      <c r="P96" s="271" t="str">
        <f>IF(ISBLANK('RESUMEN VIGILANCIA'!O90),"",'RESUMEN VIGILANCIA'!O90)</f>
        <v>- - -</v>
      </c>
      <c r="Q96" s="180" t="str">
        <f>IF(ISBLANK('RESUMEN VIGILANCIA'!P90),"",'RESUMEN VIGILANCIA'!P90)</f>
        <v>- - -</v>
      </c>
      <c r="R96" s="272">
        <f>IF(ISBLANK('RESUMEN VIGILANCIA'!Q90),"",'RESUMEN VIGILANCIA'!Q90)</f>
        <v>0.75</v>
      </c>
      <c r="S96" s="271">
        <f>IF(ISBLANK('RESUMEN VIGILANCIA'!R90),"",'RESUMEN VIGILANCIA'!R90)</f>
        <v>0.75</v>
      </c>
      <c r="T96" s="271">
        <f>IF(ISBLANK('RESUMEN VIGILANCIA'!S90),"",'RESUMEN VIGILANCIA'!S90)</f>
        <v>1</v>
      </c>
      <c r="U96" s="271">
        <f>IF(ISBLANK('RESUMEN VIGILANCIA'!T90),"",'RESUMEN VIGILANCIA'!T90)</f>
        <v>1</v>
      </c>
      <c r="V96" s="271">
        <f>IF(ISBLANK('RESUMEN VIGILANCIA'!U90),"",'RESUMEN VIGILANCIA'!U90)</f>
        <v>1</v>
      </c>
      <c r="W96" s="271">
        <f>IF(ISBLANK('RESUMEN VIGILANCIA'!V90),"",'RESUMEN VIGILANCIA'!V90)</f>
        <v>6</v>
      </c>
      <c r="X96" s="271">
        <f>IF(ISBLANK('RESUMEN VIGILANCIA'!W90),"",'RESUMEN VIGILANCIA'!W90)</f>
        <v>6</v>
      </c>
      <c r="Y96" s="271">
        <f>IF(ISBLANK('RESUMEN VIGILANCIA'!X90),"",'RESUMEN VIGILANCIA'!X90)</f>
        <v>12</v>
      </c>
      <c r="Z96" s="481">
        <f>IF(ISBLANK('RESUMEN VIGILANCIA'!Y90),"",'RESUMEN VIGILANCIA'!Y90)</f>
        <v>320</v>
      </c>
      <c r="AA96" s="481">
        <f>IF(ISBLANK('RESUMEN VIGILANCIA'!Z90),"",'RESUMEN VIGILANCIA'!Z90)</f>
        <v>268</v>
      </c>
      <c r="AB96" s="481">
        <f>IF(ISBLANK('RESUMEN VIGILANCIA'!AA90),"",'RESUMEN VIGILANCIA'!AA90)</f>
        <v>320</v>
      </c>
      <c r="AC96" s="482">
        <f>IF(ISBLANK('RESUMEN VIGILANCIA'!AB90),"",'RESUMEN VIGILANCIA'!AB90)</f>
        <v>680</v>
      </c>
      <c r="AD96" s="399">
        <f>IF(ISBLANK('RESUMEN VIGILANCIA'!AC90),"",'RESUMEN VIGILANCIA'!AC90)</f>
        <v>2000</v>
      </c>
      <c r="AE96" s="400">
        <f>IF(ISBLANK('RESUMEN VIGILANCIA'!AD90),"",'RESUMEN VIGILANCIA'!AD90)</f>
        <v>2000</v>
      </c>
      <c r="AF96" s="400">
        <f>IF(ISBLANK('RESUMEN VIGILANCIA'!AE90),"",'RESUMEN VIGILANCIA'!AE90)</f>
        <v>3000</v>
      </c>
      <c r="AG96" s="400">
        <f>IF(ISBLANK('RESUMEN VIGILANCIA'!AF90),"",'RESUMEN VIGILANCIA'!AF90)</f>
        <v>3000</v>
      </c>
      <c r="AH96" s="400">
        <f>IF(ISBLANK('RESUMEN VIGILANCIA'!AG90),"",'RESUMEN VIGILANCIA'!AG90)</f>
        <v>8000</v>
      </c>
      <c r="AI96" s="400">
        <f>IF(ISBLANK('RESUMEN VIGILANCIA'!AH90),"",'RESUMEN VIGILANCIA'!AH90)</f>
        <v>8000</v>
      </c>
      <c r="AJ96" s="400">
        <f>IF(ISBLANK('RESUMEN VIGILANCIA'!AI90),"",'RESUMEN VIGILANCIA'!AI90)</f>
        <v>10000</v>
      </c>
      <c r="AK96" s="400">
        <f>IF(ISBLANK('RESUMEN VIGILANCIA'!AJ90),"",'RESUMEN VIGILANCIA'!AJ90)</f>
        <v>10000</v>
      </c>
      <c r="AL96" s="400">
        <f>IF(ISBLANK('RESUMEN VIGILANCIA'!AK90),"",'RESUMEN VIGILANCIA'!AK90)</f>
        <v>21100</v>
      </c>
      <c r="AM96" s="400">
        <f>IF(ISBLANK('RESUMEN VIGILANCIA'!AL90),"",'RESUMEN VIGILANCIA'!AL90)</f>
        <v>32500</v>
      </c>
      <c r="AN96" s="400">
        <f>IF(ISBLANK('RESUMEN VIGILANCIA'!AM90),"",'RESUMEN VIGILANCIA'!AM90)</f>
        <v>32500</v>
      </c>
      <c r="AO96" s="401">
        <f>IF(ISBLANK('RESUMEN VIGILANCIA'!AN90),"",'RESUMEN VIGILANCIA'!AN90)</f>
        <v>32500</v>
      </c>
      <c r="AP96" s="399" t="str">
        <f>IF(ISBLANK('RESUMEN VIGILANCIA'!AO90),"",'RESUMEN VIGILANCIA'!AO90)</f>
        <v/>
      </c>
      <c r="AQ96" s="400" t="str">
        <f>IF(ISBLANK('RESUMEN VIGILANCIA'!AP90),"",'RESUMEN VIGILANCIA'!AP90)</f>
        <v/>
      </c>
      <c r="AR96" s="400" t="str">
        <f>IF(ISBLANK('RESUMEN VIGILANCIA'!AQ90),"",'RESUMEN VIGILANCIA'!AQ90)</f>
        <v/>
      </c>
      <c r="AS96" s="400" t="str">
        <f>IF(ISBLANK('RESUMEN VIGILANCIA'!AR90),"",'RESUMEN VIGILANCIA'!AR90)</f>
        <v/>
      </c>
      <c r="AT96" s="400" t="str">
        <f>IF(ISBLANK('RESUMEN VIGILANCIA'!AS90),"",'RESUMEN VIGILANCIA'!AS90)</f>
        <v/>
      </c>
      <c r="AU96" s="400" t="str">
        <f>IF(ISBLANK('RESUMEN VIGILANCIA'!AT90),"",'RESUMEN VIGILANCIA'!AT90)</f>
        <v/>
      </c>
      <c r="AV96" s="400" t="str">
        <f>IF(ISBLANK('RESUMEN VIGILANCIA'!AU90),"",'RESUMEN VIGILANCIA'!AU90)</f>
        <v/>
      </c>
      <c r="AW96" s="400" t="str">
        <f>IF(ISBLANK('RESUMEN VIGILANCIA'!AV90),"",'RESUMEN VIGILANCIA'!AV90)</f>
        <v/>
      </c>
      <c r="AX96" s="400" t="str">
        <f>IF(ISBLANK('RESUMEN VIGILANCIA'!AW90),"",'RESUMEN VIGILANCIA'!AW90)</f>
        <v/>
      </c>
      <c r="AY96" s="400" t="str">
        <f>IF(ISBLANK('RESUMEN VIGILANCIA'!AX90),"",'RESUMEN VIGILANCIA'!AX90)</f>
        <v/>
      </c>
      <c r="AZ96" s="400" t="str">
        <f>IF(ISBLANK('RESUMEN VIGILANCIA'!AY90),"",'RESUMEN VIGILANCIA'!AY90)</f>
        <v/>
      </c>
      <c r="BA96" s="401" t="str">
        <f>IF(ISBLANK('RESUMEN VIGILANCIA'!AZ90),"",'RESUMEN VIGILANCIA'!AZ90)</f>
        <v/>
      </c>
      <c r="BB96" s="243">
        <f t="shared" si="4"/>
        <v>166218.4</v>
      </c>
      <c r="BC96" s="112"/>
      <c r="BD96" s="112"/>
    </row>
    <row r="97" spans="1:56" s="29" customFormat="1" ht="20.100000000000001" customHeight="1">
      <c r="A97" s="33" t="str">
        <f>'RESUMEN VIGILANCIA'!A91</f>
        <v>Familia Gascón Domínguez</v>
      </c>
      <c r="B97" s="34" t="str">
        <f>'RESUMEN VIGILANCIA'!B91</f>
        <v>Calle Güigüe Nro. 88-70</v>
      </c>
      <c r="C97" s="453" t="s">
        <v>1249</v>
      </c>
      <c r="D97" s="459" t="s">
        <v>17</v>
      </c>
      <c r="E97" s="444" t="str">
        <f>IF(ISBLANK('RESUMEN VIGILANCIA'!D91),"",'RESUMEN VIGILANCIA'!D91)</f>
        <v/>
      </c>
      <c r="F97" s="367">
        <f>IF(ISBLANK('RESUMEN VIGILANCIA'!E91),"",'RESUMEN VIGILANCIA'!E91)</f>
        <v>0.1</v>
      </c>
      <c r="G97" s="305">
        <f>IF(ISBLANK('RESUMEN VIGILANCIA'!F91),"",'RESUMEN VIGILANCIA'!F91)</f>
        <v>0.1</v>
      </c>
      <c r="H97" s="305">
        <f>IF(ISBLANK('RESUMEN VIGILANCIA'!G91),"",'RESUMEN VIGILANCIA'!G91)</f>
        <v>0.1</v>
      </c>
      <c r="I97" s="305">
        <f>IF(ISBLANK('RESUMEN VIGILANCIA'!H91),"",'RESUMEN VIGILANCIA'!H91)</f>
        <v>0.17</v>
      </c>
      <c r="J97" s="305">
        <f>IF(ISBLANK('RESUMEN VIGILANCIA'!I91),"",'RESUMEN VIGILANCIA'!I91)</f>
        <v>0.26</v>
      </c>
      <c r="K97" s="305">
        <f>IF(ISBLANK('RESUMEN VIGILANCIA'!J91),"",'RESUMEN VIGILANCIA'!J91)</f>
        <v>0.26</v>
      </c>
      <c r="L97" s="305">
        <f>IF(ISBLANK('RESUMEN VIGILANCIA'!K91),"",'RESUMEN VIGILANCIA'!K91)</f>
        <v>0.35</v>
      </c>
      <c r="M97" s="305">
        <f>IF(ISBLANK('RESUMEN VIGILANCIA'!L91),"",'RESUMEN VIGILANCIA'!L91)</f>
        <v>0.35</v>
      </c>
      <c r="N97" s="305">
        <f>IF(ISBLANK('RESUMEN VIGILANCIA'!M91),"",'RESUMEN VIGILANCIA'!M91)</f>
        <v>0.35</v>
      </c>
      <c r="O97" s="305">
        <f>IF(ISBLANK('RESUMEN VIGILANCIA'!N91),"",'RESUMEN VIGILANCIA'!N91)</f>
        <v>0.35</v>
      </c>
      <c r="P97" s="273">
        <f>IF(ISBLANK('RESUMEN VIGILANCIA'!O91),"",'RESUMEN VIGILANCIA'!O91)</f>
        <v>0.5</v>
      </c>
      <c r="Q97" s="366">
        <f>IF(ISBLANK('RESUMEN VIGILANCIA'!P91),"",'RESUMEN VIGILANCIA'!P91)</f>
        <v>0.5</v>
      </c>
      <c r="R97" s="347">
        <f>IF(ISBLANK('RESUMEN VIGILANCIA'!Q91),"",'RESUMEN VIGILANCIA'!Q91)</f>
        <v>0.8</v>
      </c>
      <c r="S97" s="273">
        <f>IF(ISBLANK('RESUMEN VIGILANCIA'!R91),"",'RESUMEN VIGILANCIA'!R91)</f>
        <v>0.8</v>
      </c>
      <c r="T97" s="273">
        <f>IF(ISBLANK('RESUMEN VIGILANCIA'!S91),"",'RESUMEN VIGILANCIA'!S91)</f>
        <v>1.4</v>
      </c>
      <c r="U97" s="273">
        <f>IF(ISBLANK('RESUMEN VIGILANCIA'!T91),"",'RESUMEN VIGILANCIA'!T91)</f>
        <v>1.4</v>
      </c>
      <c r="V97" s="273">
        <f>IF(ISBLANK('RESUMEN VIGILANCIA'!U91),"",'RESUMEN VIGILANCIA'!U91)</f>
        <v>4</v>
      </c>
      <c r="W97" s="273">
        <f>IF(ISBLANK('RESUMEN VIGILANCIA'!V91),"",'RESUMEN VIGILANCIA'!V91)</f>
        <v>6.25</v>
      </c>
      <c r="X97" s="273">
        <f>IF(ISBLANK('RESUMEN VIGILANCIA'!W91),"",'RESUMEN VIGILANCIA'!W91)</f>
        <v>10</v>
      </c>
      <c r="Y97" s="273">
        <f>IF(ISBLANK('RESUMEN VIGILANCIA'!X91),"",'RESUMEN VIGILANCIA'!X91)</f>
        <v>12</v>
      </c>
      <c r="Z97" s="484">
        <f>IF(ISBLANK('RESUMEN VIGILANCIA'!Y91),"",'RESUMEN VIGILANCIA'!Y91)</f>
        <v>320</v>
      </c>
      <c r="AA97" s="484">
        <f>IF(ISBLANK('RESUMEN VIGILANCIA'!Z91),"",'RESUMEN VIGILANCIA'!Z91)</f>
        <v>320</v>
      </c>
      <c r="AB97" s="484">
        <f>IF(ISBLANK('RESUMEN VIGILANCIA'!AA91),"",'RESUMEN VIGILANCIA'!AA91)</f>
        <v>320</v>
      </c>
      <c r="AC97" s="483">
        <f>IF(ISBLANK('RESUMEN VIGILANCIA'!AB91),"",'RESUMEN VIGILANCIA'!AB91)</f>
        <v>800</v>
      </c>
      <c r="AD97" s="404">
        <f>IF(ISBLANK('RESUMEN VIGILANCIA'!AC91),"",'RESUMEN VIGILANCIA'!AC91)</f>
        <v>3000</v>
      </c>
      <c r="AE97" s="405">
        <f>IF(ISBLANK('RESUMEN VIGILANCIA'!AD91),"",'RESUMEN VIGILANCIA'!AD91)</f>
        <v>3000</v>
      </c>
      <c r="AF97" s="405">
        <f>IF(ISBLANK('RESUMEN VIGILANCIA'!AE91),"",'RESUMEN VIGILANCIA'!AE91)</f>
        <v>3000</v>
      </c>
      <c r="AG97" s="405">
        <f>IF(ISBLANK('RESUMEN VIGILANCIA'!AF91),"",'RESUMEN VIGILANCIA'!AF91)</f>
        <v>5000</v>
      </c>
      <c r="AH97" s="405">
        <f>IF(ISBLANK('RESUMEN VIGILANCIA'!AG91),"",'RESUMEN VIGILANCIA'!AG91)</f>
        <v>8000</v>
      </c>
      <c r="AI97" s="405">
        <f>IF(ISBLANK('RESUMEN VIGILANCIA'!AH91),"",'RESUMEN VIGILANCIA'!AH91)</f>
        <v>8000</v>
      </c>
      <c r="AJ97" s="405">
        <f>IF(ISBLANK('RESUMEN VIGILANCIA'!AI91),"",'RESUMEN VIGILANCIA'!AI91)</f>
        <v>10000</v>
      </c>
      <c r="AK97" s="405">
        <f>IF(ISBLANK('RESUMEN VIGILANCIA'!AJ91),"",'RESUMEN VIGILANCIA'!AJ91)</f>
        <v>10000</v>
      </c>
      <c r="AL97" s="405">
        <f>IF(ISBLANK('RESUMEN VIGILANCIA'!AK91),"",'RESUMEN VIGILANCIA'!AK91)</f>
        <v>21600</v>
      </c>
      <c r="AM97" s="405">
        <f>IF(ISBLANK('RESUMEN VIGILANCIA'!AL91),"",'RESUMEN VIGILANCIA'!AL91)</f>
        <v>51250</v>
      </c>
      <c r="AN97" s="405">
        <f>IF(ISBLANK('RESUMEN VIGILANCIA'!AM91),"",'RESUMEN VIGILANCIA'!AM91)</f>
        <v>64500</v>
      </c>
      <c r="AO97" s="410">
        <f>IF(ISBLANK('RESUMEN VIGILANCIA'!AN91),"",'RESUMEN VIGILANCIA'!AN91)</f>
        <v>105250</v>
      </c>
      <c r="AP97" s="404">
        <f>IF(ISBLANK('RESUMEN VIGILANCIA'!AO91),"",'RESUMEN VIGILANCIA'!AO91)</f>
        <v>136250</v>
      </c>
      <c r="AQ97" s="405" t="str">
        <f>IF(ISBLANK('RESUMEN VIGILANCIA'!AP91),"",'RESUMEN VIGILANCIA'!AP91)</f>
        <v/>
      </c>
      <c r="AR97" s="405" t="str">
        <f>IF(ISBLANK('RESUMEN VIGILANCIA'!AQ91),"",'RESUMEN VIGILANCIA'!AQ91)</f>
        <v/>
      </c>
      <c r="AS97" s="405" t="str">
        <f>IF(ISBLANK('RESUMEN VIGILANCIA'!AR91),"",'RESUMEN VIGILANCIA'!AR91)</f>
        <v/>
      </c>
      <c r="AT97" s="405" t="str">
        <f>IF(ISBLANK('RESUMEN VIGILANCIA'!AS91),"",'RESUMEN VIGILANCIA'!AS91)</f>
        <v/>
      </c>
      <c r="AU97" s="405" t="str">
        <f>IF(ISBLANK('RESUMEN VIGILANCIA'!AT91),"",'RESUMEN VIGILANCIA'!AT91)</f>
        <v/>
      </c>
      <c r="AV97" s="405" t="str">
        <f>IF(ISBLANK('RESUMEN VIGILANCIA'!AU91),"",'RESUMEN VIGILANCIA'!AU91)</f>
        <v/>
      </c>
      <c r="AW97" s="405" t="str">
        <f>IF(ISBLANK('RESUMEN VIGILANCIA'!AV91),"",'RESUMEN VIGILANCIA'!AV91)</f>
        <v/>
      </c>
      <c r="AX97" s="405" t="str">
        <f>IF(ISBLANK('RESUMEN VIGILANCIA'!AW91),"",'RESUMEN VIGILANCIA'!AW91)</f>
        <v/>
      </c>
      <c r="AY97" s="405" t="str">
        <f>IF(ISBLANK('RESUMEN VIGILANCIA'!AX91),"",'RESUMEN VIGILANCIA'!AX91)</f>
        <v/>
      </c>
      <c r="AZ97" s="405" t="str">
        <f>IF(ISBLANK('RESUMEN VIGILANCIA'!AY91),"",'RESUMEN VIGILANCIA'!AY91)</f>
        <v/>
      </c>
      <c r="BA97" s="410" t="str">
        <f>IF(ISBLANK('RESUMEN VIGILANCIA'!AZ91),"",'RESUMEN VIGILANCIA'!AZ91)</f>
        <v/>
      </c>
      <c r="BB97" s="368">
        <f t="shared" si="4"/>
        <v>294400.04000000004</v>
      </c>
      <c r="BC97" s="369"/>
      <c r="BD97" s="369"/>
    </row>
    <row r="98" spans="1:56" s="29" customFormat="1" ht="20.100000000000001" customHeight="1">
      <c r="A98" s="33" t="str">
        <f>'RESUMEN VIGILANCIA'!A93</f>
        <v>Zoraida Khair</v>
      </c>
      <c r="B98" s="34" t="str">
        <f>'RESUMEN VIGILANCIA'!B93</f>
        <v>Calle Güigüe Nro. 88-80</v>
      </c>
      <c r="C98" s="451" t="s">
        <v>1251</v>
      </c>
      <c r="D98" s="461" t="s">
        <v>1248</v>
      </c>
      <c r="E98" s="439" t="str">
        <f>IF(ISBLANK('RESUMEN VIGILANCIA'!D93),"",'RESUMEN VIGILANCIA'!D93)</f>
        <v/>
      </c>
      <c r="F98" s="267" t="str">
        <f>IF(ISBLANK('RESUMEN VIGILANCIA'!E93),"",'RESUMEN VIGILANCIA'!E93)</f>
        <v/>
      </c>
      <c r="G98" s="189">
        <f>IF(ISBLANK('RESUMEN VIGILANCIA'!F93),"",'RESUMEN VIGILANCIA'!F93)</f>
        <v>0.06</v>
      </c>
      <c r="H98" s="189" t="str">
        <f>IF(ISBLANK('RESUMEN VIGILANCIA'!G93),"",'RESUMEN VIGILANCIA'!G93)</f>
        <v/>
      </c>
      <c r="I98" s="189" t="str">
        <f>IF(ISBLANK('RESUMEN VIGILANCIA'!H93),"",'RESUMEN VIGILANCIA'!H93)</f>
        <v/>
      </c>
      <c r="J98" s="189">
        <f>IF(ISBLANK('RESUMEN VIGILANCIA'!I93),"",'RESUMEN VIGILANCIA'!I93)</f>
        <v>0.1</v>
      </c>
      <c r="K98" s="189">
        <f>IF(ISBLANK('RESUMEN VIGILANCIA'!J93),"",'RESUMEN VIGILANCIA'!J93)</f>
        <v>0.25</v>
      </c>
      <c r="L98" s="189">
        <f>IF(ISBLANK('RESUMEN VIGILANCIA'!K93),"",'RESUMEN VIGILANCIA'!K93)</f>
        <v>0.25</v>
      </c>
      <c r="M98" s="189">
        <f>IF(ISBLANK('RESUMEN VIGILANCIA'!L93),"",'RESUMEN VIGILANCIA'!L93)</f>
        <v>0.25</v>
      </c>
      <c r="N98" s="189">
        <f>IF(ISBLANK('RESUMEN VIGILANCIA'!M93),"",'RESUMEN VIGILANCIA'!M93)</f>
        <v>0.25</v>
      </c>
      <c r="O98" s="189">
        <f>IF(ISBLANK('RESUMEN VIGILANCIA'!N93),"",'RESUMEN VIGILANCIA'!N93)</f>
        <v>0.4</v>
      </c>
      <c r="P98" s="268">
        <f>IF(ISBLANK('RESUMEN VIGILANCIA'!O93),"",'RESUMEN VIGILANCIA'!O93)</f>
        <v>0.4</v>
      </c>
      <c r="Q98" s="187">
        <f>IF(ISBLANK('RESUMEN VIGILANCIA'!P93),"",'RESUMEN VIGILANCIA'!P93)</f>
        <v>0.4</v>
      </c>
      <c r="R98" s="269">
        <f>IF(ISBLANK('RESUMEN VIGILANCIA'!Q93),"",'RESUMEN VIGILANCIA'!Q93)</f>
        <v>1</v>
      </c>
      <c r="S98" s="268">
        <f>IF(ISBLANK('RESUMEN VIGILANCIA'!R93),"",'RESUMEN VIGILANCIA'!R93)</f>
        <v>1</v>
      </c>
      <c r="T98" s="268">
        <f>IF(ISBLANK('RESUMEN VIGILANCIA'!S93),"",'RESUMEN VIGILANCIA'!S93)</f>
        <v>1</v>
      </c>
      <c r="U98" s="268">
        <f>IF(ISBLANK('RESUMEN VIGILANCIA'!T93),"",'RESUMEN VIGILANCIA'!T93)</f>
        <v>1</v>
      </c>
      <c r="V98" s="268">
        <f>IF(ISBLANK('RESUMEN VIGILANCIA'!U93),"",'RESUMEN VIGILANCIA'!U93)</f>
        <v>4</v>
      </c>
      <c r="W98" s="268">
        <f>IF(ISBLANK('RESUMEN VIGILANCIA'!V93),"",'RESUMEN VIGILANCIA'!V93)</f>
        <v>6.25</v>
      </c>
      <c r="X98" s="268">
        <f>IF(ISBLANK('RESUMEN VIGILANCIA'!W93),"",'RESUMEN VIGILANCIA'!W93)</f>
        <v>10</v>
      </c>
      <c r="Y98" s="268">
        <f>IF(ISBLANK('RESUMEN VIGILANCIA'!X93),"",'RESUMEN VIGILANCIA'!X93)</f>
        <v>12</v>
      </c>
      <c r="Z98" s="485">
        <f>IF(ISBLANK('RESUMEN VIGILANCIA'!Y93),"",'RESUMEN VIGILANCIA'!Y93)</f>
        <v>320</v>
      </c>
      <c r="AA98" s="485">
        <f>IF(ISBLANK('RESUMEN VIGILANCIA'!Z93),"",'RESUMEN VIGILANCIA'!Z93)</f>
        <v>320</v>
      </c>
      <c r="AB98" s="485">
        <f>IF(ISBLANK('RESUMEN VIGILANCIA'!AA93),"",'RESUMEN VIGILANCIA'!AA93)</f>
        <v>320</v>
      </c>
      <c r="AC98" s="486">
        <f>IF(ISBLANK('RESUMEN VIGILANCIA'!AB93),"",'RESUMEN VIGILANCIA'!AB93)</f>
        <v>800</v>
      </c>
      <c r="AD98" s="396">
        <f>IF(ISBLANK('RESUMEN VIGILANCIA'!AC93),"",'RESUMEN VIGILANCIA'!AC93)</f>
        <v>3000</v>
      </c>
      <c r="AE98" s="397">
        <f>IF(ISBLANK('RESUMEN VIGILANCIA'!AD93),"",'RESUMEN VIGILANCIA'!AD93)</f>
        <v>3000</v>
      </c>
      <c r="AF98" s="397">
        <f>IF(ISBLANK('RESUMEN VIGILANCIA'!AE93),"",'RESUMEN VIGILANCIA'!AE93)</f>
        <v>2365.5500000000002</v>
      </c>
      <c r="AG98" s="397">
        <f>IF(ISBLANK('RESUMEN VIGILANCIA'!AF93),"",'RESUMEN VIGILANCIA'!AF93)</f>
        <v>5000</v>
      </c>
      <c r="AH98" s="397">
        <f>IF(ISBLANK('RESUMEN VIGILANCIA'!AG93),"",'RESUMEN VIGILANCIA'!AG93)</f>
        <v>8000</v>
      </c>
      <c r="AI98" s="397">
        <f>IF(ISBLANK('RESUMEN VIGILANCIA'!AH93),"",'RESUMEN VIGILANCIA'!AH93)</f>
        <v>8000</v>
      </c>
      <c r="AJ98" s="397">
        <f>IF(ISBLANK('RESUMEN VIGILANCIA'!AI93),"",'RESUMEN VIGILANCIA'!AI93)</f>
        <v>8000</v>
      </c>
      <c r="AK98" s="397">
        <f>IF(ISBLANK('RESUMEN VIGILANCIA'!AJ93),"",'RESUMEN VIGILANCIA'!AJ93)</f>
        <v>10000</v>
      </c>
      <c r="AL98" s="397">
        <f>IF(ISBLANK('RESUMEN VIGILANCIA'!AK93),"",'RESUMEN VIGILANCIA'!AK93)</f>
        <v>23000</v>
      </c>
      <c r="AM98" s="397">
        <f>IF(ISBLANK('RESUMEN VIGILANCIA'!AL93),"",'RESUMEN VIGILANCIA'!AL93)</f>
        <v>51250</v>
      </c>
      <c r="AN98" s="397">
        <f>IF(ISBLANK('RESUMEN VIGILANCIA'!AM93),"",'RESUMEN VIGILANCIA'!AM93)</f>
        <v>52000</v>
      </c>
      <c r="AO98" s="398">
        <f>IF(ISBLANK('RESUMEN VIGILANCIA'!AN93),"",'RESUMEN VIGILANCIA'!AN93)</f>
        <v>40000</v>
      </c>
      <c r="AP98" s="396">
        <f>IF(ISBLANK('RESUMEN VIGILANCIA'!AO93),"",'RESUMEN VIGILANCIA'!AO93)</f>
        <v>137000</v>
      </c>
      <c r="AQ98" s="397" t="str">
        <f>IF(ISBLANK('RESUMEN VIGILANCIA'!AP93),"",'RESUMEN VIGILANCIA'!AP93)</f>
        <v/>
      </c>
      <c r="AR98" s="397" t="str">
        <f>IF(ISBLANK('RESUMEN VIGILANCIA'!AQ93),"",'RESUMEN VIGILANCIA'!AQ93)</f>
        <v/>
      </c>
      <c r="AS98" s="397" t="str">
        <f>IF(ISBLANK('RESUMEN VIGILANCIA'!AR93),"",'RESUMEN VIGILANCIA'!AR93)</f>
        <v/>
      </c>
      <c r="AT98" s="397" t="str">
        <f>IF(ISBLANK('RESUMEN VIGILANCIA'!AS93),"",'RESUMEN VIGILANCIA'!AS93)</f>
        <v/>
      </c>
      <c r="AU98" s="397" t="str">
        <f>IF(ISBLANK('RESUMEN VIGILANCIA'!AT93),"",'RESUMEN VIGILANCIA'!AT93)</f>
        <v/>
      </c>
      <c r="AV98" s="397" t="str">
        <f>IF(ISBLANK('RESUMEN VIGILANCIA'!AU93),"",'RESUMEN VIGILANCIA'!AU93)</f>
        <v/>
      </c>
      <c r="AW98" s="397" t="str">
        <f>IF(ISBLANK('RESUMEN VIGILANCIA'!AV93),"",'RESUMEN VIGILANCIA'!AV93)</f>
        <v/>
      </c>
      <c r="AX98" s="397" t="str">
        <f>IF(ISBLANK('RESUMEN VIGILANCIA'!AW93),"",'RESUMEN VIGILANCIA'!AW93)</f>
        <v/>
      </c>
      <c r="AY98" s="397" t="str">
        <f>IF(ISBLANK('RESUMEN VIGILANCIA'!AX93),"",'RESUMEN VIGILANCIA'!AX93)</f>
        <v/>
      </c>
      <c r="AZ98" s="397" t="str">
        <f>IF(ISBLANK('RESUMEN VIGILANCIA'!AY93),"",'RESUMEN VIGILANCIA'!AY93)</f>
        <v/>
      </c>
      <c r="BA98" s="398" t="str">
        <f>IF(ISBLANK('RESUMEN VIGILANCIA'!AZ93),"",'RESUMEN VIGILANCIA'!AZ93)</f>
        <v/>
      </c>
      <c r="BB98" s="242">
        <f t="shared" si="4"/>
        <v>215414.16</v>
      </c>
      <c r="BC98" s="111"/>
      <c r="BD98" s="111"/>
    </row>
    <row r="99" spans="1:56" s="29" customFormat="1" ht="20.100000000000001" customHeight="1">
      <c r="A99" s="30" t="str">
        <f>'RESUMEN VIGILANCIA'!A94</f>
        <v>Familia Matta Palomino</v>
      </c>
      <c r="B99" s="31" t="str">
        <f>'RESUMEN VIGILANCIA'!B94</f>
        <v>Calle Güigüe Nro. 88-90</v>
      </c>
      <c r="C99" s="452" t="s">
        <v>1249</v>
      </c>
      <c r="D99" s="460" t="s">
        <v>1248</v>
      </c>
      <c r="E99" s="440" t="str">
        <f>IF(ISBLANK('RESUMEN VIGILANCIA'!D94),"",'RESUMEN VIGILANCIA'!D94)</f>
        <v/>
      </c>
      <c r="F99" s="270">
        <f>IF(ISBLANK('RESUMEN VIGILANCIA'!E94),"",'RESUMEN VIGILANCIA'!E94)</f>
        <v>0.17</v>
      </c>
      <c r="G99" s="182">
        <f>IF(ISBLANK('RESUMEN VIGILANCIA'!F94),"",'RESUMEN VIGILANCIA'!F94)</f>
        <v>0.17</v>
      </c>
      <c r="H99" s="183">
        <f>IF(ISBLANK('RESUMEN VIGILANCIA'!G94),"",'RESUMEN VIGILANCIA'!G94)</f>
        <v>0.16</v>
      </c>
      <c r="I99" s="183">
        <f>IF(ISBLANK('RESUMEN VIGILANCIA'!H94),"",'RESUMEN VIGILANCIA'!H94)</f>
        <v>0.16</v>
      </c>
      <c r="J99" s="182">
        <f>IF(ISBLANK('RESUMEN VIGILANCIA'!I94),"",'RESUMEN VIGILANCIA'!I94)</f>
        <v>0.26</v>
      </c>
      <c r="K99" s="182">
        <f>IF(ISBLANK('RESUMEN VIGILANCIA'!J94),"",'RESUMEN VIGILANCIA'!J94)</f>
        <v>0.26</v>
      </c>
      <c r="L99" s="182">
        <f>IF(ISBLANK('RESUMEN VIGILANCIA'!K94),"",'RESUMEN VIGILANCIA'!K94)</f>
        <v>0.35</v>
      </c>
      <c r="M99" s="182">
        <f>IF(ISBLANK('RESUMEN VIGILANCIA'!L94),"",'RESUMEN VIGILANCIA'!L94)</f>
        <v>0.35</v>
      </c>
      <c r="N99" s="182">
        <f>IF(ISBLANK('RESUMEN VIGILANCIA'!M94),"",'RESUMEN VIGILANCIA'!M94)</f>
        <v>0.35000000000000003</v>
      </c>
      <c r="O99" s="182">
        <f>IF(ISBLANK('RESUMEN VIGILANCIA'!N94),"",'RESUMEN VIGILANCIA'!N94)</f>
        <v>0.35</v>
      </c>
      <c r="P99" s="271">
        <f>IF(ISBLANK('RESUMEN VIGILANCIA'!O94),"",'RESUMEN VIGILANCIA'!O94)</f>
        <v>0.5</v>
      </c>
      <c r="Q99" s="180">
        <f>IF(ISBLANK('RESUMEN VIGILANCIA'!P94),"",'RESUMEN VIGILANCIA'!P94)</f>
        <v>0.5</v>
      </c>
      <c r="R99" s="272">
        <f>IF(ISBLANK('RESUMEN VIGILANCIA'!Q94),"",'RESUMEN VIGILANCIA'!Q94)</f>
        <v>0.8</v>
      </c>
      <c r="S99" s="271">
        <f>IF(ISBLANK('RESUMEN VIGILANCIA'!R94),"",'RESUMEN VIGILANCIA'!R94)</f>
        <v>0.8</v>
      </c>
      <c r="T99" s="271">
        <f>IF(ISBLANK('RESUMEN VIGILANCIA'!S94),"",'RESUMEN VIGILANCIA'!S94)</f>
        <v>1.4</v>
      </c>
      <c r="U99" s="271">
        <f>IF(ISBLANK('RESUMEN VIGILANCIA'!T94),"",'RESUMEN VIGILANCIA'!T94)</f>
        <v>1.4</v>
      </c>
      <c r="V99" s="271">
        <f>IF(ISBLANK('RESUMEN VIGILANCIA'!U94),"",'RESUMEN VIGILANCIA'!U94)</f>
        <v>4</v>
      </c>
      <c r="W99" s="271">
        <f>IF(ISBLANK('RESUMEN VIGILANCIA'!V94),"",'RESUMEN VIGILANCIA'!V94)</f>
        <v>6.25</v>
      </c>
      <c r="X99" s="271">
        <f>IF(ISBLANK('RESUMEN VIGILANCIA'!W94),"",'RESUMEN VIGILANCIA'!W94)</f>
        <v>10</v>
      </c>
      <c r="Y99" s="271">
        <f>IF(ISBLANK('RESUMEN VIGILANCIA'!X94),"",'RESUMEN VIGILANCIA'!X94)</f>
        <v>12</v>
      </c>
      <c r="Z99" s="481">
        <f>IF(ISBLANK('RESUMEN VIGILANCIA'!Y94),"",'RESUMEN VIGILANCIA'!Y94)</f>
        <v>320</v>
      </c>
      <c r="AA99" s="481">
        <f>IF(ISBLANK('RESUMEN VIGILANCIA'!Z94),"",'RESUMEN VIGILANCIA'!Z94)</f>
        <v>320</v>
      </c>
      <c r="AB99" s="481">
        <f>IF(ISBLANK('RESUMEN VIGILANCIA'!AA94),"",'RESUMEN VIGILANCIA'!AA94)</f>
        <v>320</v>
      </c>
      <c r="AC99" s="482">
        <f>IF(ISBLANK('RESUMEN VIGILANCIA'!AB94),"",'RESUMEN VIGILANCIA'!AB94)</f>
        <v>800</v>
      </c>
      <c r="AD99" s="399">
        <f>IF(ISBLANK('RESUMEN VIGILANCIA'!AC94),"",'RESUMEN VIGILANCIA'!AC94)</f>
        <v>3000</v>
      </c>
      <c r="AE99" s="400">
        <f>IF(ISBLANK('RESUMEN VIGILANCIA'!AD94),"",'RESUMEN VIGILANCIA'!AD94)</f>
        <v>3000</v>
      </c>
      <c r="AF99" s="400">
        <f>IF(ISBLANK('RESUMEN VIGILANCIA'!AE94),"",'RESUMEN VIGILANCIA'!AE94)</f>
        <v>3000</v>
      </c>
      <c r="AG99" s="400">
        <f>IF(ISBLANK('RESUMEN VIGILANCIA'!AF94),"",'RESUMEN VIGILANCIA'!AF94)</f>
        <v>5000</v>
      </c>
      <c r="AH99" s="400">
        <f>IF(ISBLANK('RESUMEN VIGILANCIA'!AG94),"",'RESUMEN VIGILANCIA'!AG94)</f>
        <v>8000</v>
      </c>
      <c r="AI99" s="400">
        <f>IF(ISBLANK('RESUMEN VIGILANCIA'!AH94),"",'RESUMEN VIGILANCIA'!AH94)</f>
        <v>8000</v>
      </c>
      <c r="AJ99" s="400">
        <f>IF(ISBLANK('RESUMEN VIGILANCIA'!AI94),"",'RESUMEN VIGILANCIA'!AI94)</f>
        <v>10000</v>
      </c>
      <c r="AK99" s="400">
        <f>IF(ISBLANK('RESUMEN VIGILANCIA'!AJ94),"",'RESUMEN VIGILANCIA'!AJ94)</f>
        <v>10000</v>
      </c>
      <c r="AL99" s="400">
        <f>IF(ISBLANK('RESUMEN VIGILANCIA'!AK94),"",'RESUMEN VIGILANCIA'!AK94)</f>
        <v>21100</v>
      </c>
      <c r="AM99" s="400">
        <f>IF(ISBLANK('RESUMEN VIGILANCIA'!AL94),"",'RESUMEN VIGILANCIA'!AL94)</f>
        <v>59800</v>
      </c>
      <c r="AN99" s="400">
        <f>IF(ISBLANK('RESUMEN VIGILANCIA'!AM94),"",'RESUMEN VIGILANCIA'!AM94)</f>
        <v>97500</v>
      </c>
      <c r="AO99" s="401">
        <f>IF(ISBLANK('RESUMEN VIGILANCIA'!AN94),"",'RESUMEN VIGILANCIA'!AN94)</f>
        <v>136250</v>
      </c>
      <c r="AP99" s="399">
        <f>IF(ISBLANK('RESUMEN VIGILANCIA'!AO94),"",'RESUMEN VIGILANCIA'!AO94)</f>
        <v>136250</v>
      </c>
      <c r="AQ99" s="400" t="str">
        <f>IF(ISBLANK('RESUMEN VIGILANCIA'!AP94),"",'RESUMEN VIGILANCIA'!AP94)</f>
        <v/>
      </c>
      <c r="AR99" s="400" t="str">
        <f>IF(ISBLANK('RESUMEN VIGILANCIA'!AQ94),"",'RESUMEN VIGILANCIA'!AQ94)</f>
        <v/>
      </c>
      <c r="AS99" s="400" t="str">
        <f>IF(ISBLANK('RESUMEN VIGILANCIA'!AR94),"",'RESUMEN VIGILANCIA'!AR94)</f>
        <v/>
      </c>
      <c r="AT99" s="400" t="str">
        <f>IF(ISBLANK('RESUMEN VIGILANCIA'!AS94),"",'RESUMEN VIGILANCIA'!AS94)</f>
        <v/>
      </c>
      <c r="AU99" s="400" t="str">
        <f>IF(ISBLANK('RESUMEN VIGILANCIA'!AT94),"",'RESUMEN VIGILANCIA'!AT94)</f>
        <v/>
      </c>
      <c r="AV99" s="400" t="str">
        <f>IF(ISBLANK('RESUMEN VIGILANCIA'!AU94),"",'RESUMEN VIGILANCIA'!AU94)</f>
        <v/>
      </c>
      <c r="AW99" s="400" t="str">
        <f>IF(ISBLANK('RESUMEN VIGILANCIA'!AV94),"",'RESUMEN VIGILANCIA'!AV94)</f>
        <v/>
      </c>
      <c r="AX99" s="400" t="str">
        <f>IF(ISBLANK('RESUMEN VIGILANCIA'!AW94),"",'RESUMEN VIGILANCIA'!AW94)</f>
        <v/>
      </c>
      <c r="AY99" s="400" t="str">
        <f>IF(ISBLANK('RESUMEN VIGILANCIA'!AX94),"",'RESUMEN VIGILANCIA'!AX94)</f>
        <v/>
      </c>
      <c r="AZ99" s="400" t="str">
        <f>IF(ISBLANK('RESUMEN VIGILANCIA'!AY94),"",'RESUMEN VIGILANCIA'!AY94)</f>
        <v/>
      </c>
      <c r="BA99" s="401" t="str">
        <f>IF(ISBLANK('RESUMEN VIGILANCIA'!AZ94),"",'RESUMEN VIGILANCIA'!AZ94)</f>
        <v/>
      </c>
      <c r="BB99" s="243">
        <f t="shared" si="4"/>
        <v>366450.23</v>
      </c>
      <c r="BC99" s="112"/>
      <c r="BD99" s="112"/>
    </row>
    <row r="100" spans="1:56" s="29" customFormat="1" ht="20.100000000000001" customHeight="1">
      <c r="A100" s="30" t="str">
        <f>'RESUMEN VIGILANCIA'!A96</f>
        <v>Familia Hernández Castillo</v>
      </c>
      <c r="B100" s="31" t="str">
        <f>'RESUMEN VIGILANCIA'!B96</f>
        <v>Calle Güigüe Nro. 88-94</v>
      </c>
      <c r="C100" s="452" t="s">
        <v>1250</v>
      </c>
      <c r="D100" s="460" t="s">
        <v>1248</v>
      </c>
      <c r="E100" s="440" t="str">
        <f>IF(ISBLANK('RESUMEN VIGILANCIA'!D96),"",'RESUMEN VIGILANCIA'!D96)</f>
        <v/>
      </c>
      <c r="F100" s="270" t="str">
        <f>IF(ISBLANK('RESUMEN VIGILANCIA'!E96),"",'RESUMEN VIGILANCIA'!E96)</f>
        <v/>
      </c>
      <c r="G100" s="182" t="str">
        <f>IF(ISBLANK('RESUMEN VIGILANCIA'!F96),"",'RESUMEN VIGILANCIA'!F96)</f>
        <v/>
      </c>
      <c r="H100" s="182" t="str">
        <f>IF(ISBLANK('RESUMEN VIGILANCIA'!G96),"",'RESUMEN VIGILANCIA'!G96)</f>
        <v/>
      </c>
      <c r="I100" s="182" t="str">
        <f>IF(ISBLANK('RESUMEN VIGILANCIA'!H96),"",'RESUMEN VIGILANCIA'!H96)</f>
        <v/>
      </c>
      <c r="J100" s="182" t="str">
        <f>IF(ISBLANK('RESUMEN VIGILANCIA'!I96),"",'RESUMEN VIGILANCIA'!I96)</f>
        <v/>
      </c>
      <c r="K100" s="182" t="str">
        <f>IF(ISBLANK('RESUMEN VIGILANCIA'!J96),"",'RESUMEN VIGILANCIA'!J96)</f>
        <v/>
      </c>
      <c r="L100" s="182" t="str">
        <f>IF(ISBLANK('RESUMEN VIGILANCIA'!K96),"",'RESUMEN VIGILANCIA'!K96)</f>
        <v/>
      </c>
      <c r="M100" s="182" t="str">
        <f>IF(ISBLANK('RESUMEN VIGILANCIA'!L96),"",'RESUMEN VIGILANCIA'!L96)</f>
        <v/>
      </c>
      <c r="N100" s="182" t="str">
        <f>IF(ISBLANK('RESUMEN VIGILANCIA'!M96),"",'RESUMEN VIGILANCIA'!M96)</f>
        <v/>
      </c>
      <c r="O100" s="182" t="str">
        <f>IF(ISBLANK('RESUMEN VIGILANCIA'!N96),"",'RESUMEN VIGILANCIA'!N96)</f>
        <v/>
      </c>
      <c r="P100" s="271" t="str">
        <f>IF(ISBLANK('RESUMEN VIGILANCIA'!O96),"",'RESUMEN VIGILANCIA'!O96)</f>
        <v/>
      </c>
      <c r="Q100" s="180" t="str">
        <f>IF(ISBLANK('RESUMEN VIGILANCIA'!P96),"",'RESUMEN VIGILANCIA'!P96)</f>
        <v/>
      </c>
      <c r="R100" s="272" t="str">
        <f>IF(ISBLANK('RESUMEN VIGILANCIA'!Q96),"",'RESUMEN VIGILANCIA'!Q96)</f>
        <v/>
      </c>
      <c r="S100" s="271" t="str">
        <f>IF(ISBLANK('RESUMEN VIGILANCIA'!R96),"",'RESUMEN VIGILANCIA'!R96)</f>
        <v/>
      </c>
      <c r="T100" s="271" t="str">
        <f>IF(ISBLANK('RESUMEN VIGILANCIA'!S96),"",'RESUMEN VIGILANCIA'!S96)</f>
        <v/>
      </c>
      <c r="U100" s="271" t="str">
        <f>IF(ISBLANK('RESUMEN VIGILANCIA'!T96),"",'RESUMEN VIGILANCIA'!T96)</f>
        <v/>
      </c>
      <c r="V100" s="271" t="str">
        <f>IF(ISBLANK('RESUMEN VIGILANCIA'!U96),"",'RESUMEN VIGILANCIA'!U96)</f>
        <v/>
      </c>
      <c r="W100" s="271" t="str">
        <f>IF(ISBLANK('RESUMEN VIGILANCIA'!V96),"",'RESUMEN VIGILANCIA'!V96)</f>
        <v/>
      </c>
      <c r="X100" s="271" t="str">
        <f>IF(ISBLANK('RESUMEN VIGILANCIA'!W96),"",'RESUMEN VIGILANCIA'!W96)</f>
        <v/>
      </c>
      <c r="Y100" s="271" t="str">
        <f>IF(ISBLANK('RESUMEN VIGILANCIA'!X96),"",'RESUMEN VIGILANCIA'!X96)</f>
        <v/>
      </c>
      <c r="Z100" s="481" t="str">
        <f>IF(ISBLANK('RESUMEN VIGILANCIA'!Y96),"",'RESUMEN VIGILANCIA'!Y96)</f>
        <v/>
      </c>
      <c r="AA100" s="481" t="str">
        <f>IF(ISBLANK('RESUMEN VIGILANCIA'!Z96),"",'RESUMEN VIGILANCIA'!Z96)</f>
        <v/>
      </c>
      <c r="AB100" s="481" t="str">
        <f>IF(ISBLANK('RESUMEN VIGILANCIA'!AA96),"",'RESUMEN VIGILANCIA'!AA96)</f>
        <v/>
      </c>
      <c r="AC100" s="482" t="str">
        <f>IF(ISBLANK('RESUMEN VIGILANCIA'!AB96),"",'RESUMEN VIGILANCIA'!AB96)</f>
        <v/>
      </c>
      <c r="AD100" s="399" t="str">
        <f>IF(ISBLANK('RESUMEN VIGILANCIA'!AC96),"",'RESUMEN VIGILANCIA'!AC96)</f>
        <v/>
      </c>
      <c r="AE100" s="400" t="str">
        <f>IF(ISBLANK('RESUMEN VIGILANCIA'!AD96),"",'RESUMEN VIGILANCIA'!AD96)</f>
        <v/>
      </c>
      <c r="AF100" s="400" t="str">
        <f>IF(ISBLANK('RESUMEN VIGILANCIA'!AE96),"",'RESUMEN VIGILANCIA'!AE96)</f>
        <v/>
      </c>
      <c r="AG100" s="400" t="str">
        <f>IF(ISBLANK('RESUMEN VIGILANCIA'!AF96),"",'RESUMEN VIGILANCIA'!AF96)</f>
        <v/>
      </c>
      <c r="AH100" s="400" t="str">
        <f>IF(ISBLANK('RESUMEN VIGILANCIA'!AG96),"",'RESUMEN VIGILANCIA'!AG96)</f>
        <v/>
      </c>
      <c r="AI100" s="400" t="str">
        <f>IF(ISBLANK('RESUMEN VIGILANCIA'!AH96),"",'RESUMEN VIGILANCIA'!AH96)</f>
        <v/>
      </c>
      <c r="AJ100" s="400" t="str">
        <f>IF(ISBLANK('RESUMEN VIGILANCIA'!AI96),"",'RESUMEN VIGILANCIA'!AI96)</f>
        <v/>
      </c>
      <c r="AK100" s="400" t="str">
        <f>IF(ISBLANK('RESUMEN VIGILANCIA'!AJ96),"",'RESUMEN VIGILANCIA'!AJ96)</f>
        <v/>
      </c>
      <c r="AL100" s="400" t="str">
        <f>IF(ISBLANK('RESUMEN VIGILANCIA'!AK96),"",'RESUMEN VIGILANCIA'!AK96)</f>
        <v/>
      </c>
      <c r="AM100" s="400" t="str">
        <f>IF(ISBLANK('RESUMEN VIGILANCIA'!AL96),"",'RESUMEN VIGILANCIA'!AL96)</f>
        <v/>
      </c>
      <c r="AN100" s="400" t="str">
        <f>IF(ISBLANK('RESUMEN VIGILANCIA'!AM96),"",'RESUMEN VIGILANCIA'!AM96)</f>
        <v/>
      </c>
      <c r="AO100" s="401" t="str">
        <f>IF(ISBLANK('RESUMEN VIGILANCIA'!AN96),"",'RESUMEN VIGILANCIA'!AN96)</f>
        <v/>
      </c>
      <c r="AP100" s="399" t="str">
        <f>IF(ISBLANK('RESUMEN VIGILANCIA'!AO96),"",'RESUMEN VIGILANCIA'!AO96)</f>
        <v/>
      </c>
      <c r="AQ100" s="400" t="str">
        <f>IF(ISBLANK('RESUMEN VIGILANCIA'!AP96),"",'RESUMEN VIGILANCIA'!AP96)</f>
        <v/>
      </c>
      <c r="AR100" s="400" t="str">
        <f>IF(ISBLANK('RESUMEN VIGILANCIA'!AQ96),"",'RESUMEN VIGILANCIA'!AQ96)</f>
        <v/>
      </c>
      <c r="AS100" s="400" t="str">
        <f>IF(ISBLANK('RESUMEN VIGILANCIA'!AR96),"",'RESUMEN VIGILANCIA'!AR96)</f>
        <v/>
      </c>
      <c r="AT100" s="400" t="str">
        <f>IF(ISBLANK('RESUMEN VIGILANCIA'!AS96),"",'RESUMEN VIGILANCIA'!AS96)</f>
        <v/>
      </c>
      <c r="AU100" s="400" t="str">
        <f>IF(ISBLANK('RESUMEN VIGILANCIA'!AT96),"",'RESUMEN VIGILANCIA'!AT96)</f>
        <v/>
      </c>
      <c r="AV100" s="400" t="str">
        <f>IF(ISBLANK('RESUMEN VIGILANCIA'!AU96),"",'RESUMEN VIGILANCIA'!AU96)</f>
        <v/>
      </c>
      <c r="AW100" s="400" t="str">
        <f>IF(ISBLANK('RESUMEN VIGILANCIA'!AV96),"",'RESUMEN VIGILANCIA'!AV96)</f>
        <v/>
      </c>
      <c r="AX100" s="400" t="str">
        <f>IF(ISBLANK('RESUMEN VIGILANCIA'!AW96),"",'RESUMEN VIGILANCIA'!AW96)</f>
        <v/>
      </c>
      <c r="AY100" s="400" t="str">
        <f>IF(ISBLANK('RESUMEN VIGILANCIA'!AX96),"",'RESUMEN VIGILANCIA'!AX96)</f>
        <v/>
      </c>
      <c r="AZ100" s="400" t="str">
        <f>IF(ISBLANK('RESUMEN VIGILANCIA'!AY96),"",'RESUMEN VIGILANCIA'!AY96)</f>
        <v/>
      </c>
      <c r="BA100" s="401" t="str">
        <f>IF(ISBLANK('RESUMEN VIGILANCIA'!AZ96),"",'RESUMEN VIGILANCIA'!AZ96)</f>
        <v/>
      </c>
      <c r="BB100" s="243">
        <f t="shared" si="4"/>
        <v>0</v>
      </c>
      <c r="BC100" s="112"/>
      <c r="BD100" s="112"/>
    </row>
    <row r="101" spans="1:56" s="29" customFormat="1" ht="20.100000000000001" customHeight="1">
      <c r="A101" s="30" t="str">
        <f>'RESUMEN VIGILANCIA'!A105</f>
        <v>Familia Acosta Carpio</v>
      </c>
      <c r="B101" s="31" t="str">
        <f>'RESUMEN VIGILANCIA'!B105</f>
        <v>Calle Güigüe Nro. 89-10</v>
      </c>
      <c r="C101" s="452" t="s">
        <v>1249</v>
      </c>
      <c r="D101" s="460" t="s">
        <v>17</v>
      </c>
      <c r="E101" s="440" t="str">
        <f>IF(ISBLANK('RESUMEN VIGILANCIA'!D105),"",'RESUMEN VIGILANCIA'!D105)</f>
        <v/>
      </c>
      <c r="F101" s="270">
        <f>IF(ISBLANK('RESUMEN VIGILANCIA'!E105),"",'RESUMEN VIGILANCIA'!E105)</f>
        <v>0.17</v>
      </c>
      <c r="G101" s="182">
        <f>IF(ISBLANK('RESUMEN VIGILANCIA'!F105),"",'RESUMEN VIGILANCIA'!F105)</f>
        <v>0.17</v>
      </c>
      <c r="H101" s="182">
        <f>IF(ISBLANK('RESUMEN VIGILANCIA'!G105),"",'RESUMEN VIGILANCIA'!G105)</f>
        <v>0.17</v>
      </c>
      <c r="I101" s="182">
        <f>IF(ISBLANK('RESUMEN VIGILANCIA'!H105),"",'RESUMEN VIGILANCIA'!H105)</f>
        <v>0.17</v>
      </c>
      <c r="J101" s="182">
        <f>IF(ISBLANK('RESUMEN VIGILANCIA'!I105),"",'RESUMEN VIGILANCIA'!I105)</f>
        <v>0.26</v>
      </c>
      <c r="K101" s="182">
        <f>IF(ISBLANK('RESUMEN VIGILANCIA'!J105),"",'RESUMEN VIGILANCIA'!J105)</f>
        <v>0.26</v>
      </c>
      <c r="L101" s="182">
        <f>IF(ISBLANK('RESUMEN VIGILANCIA'!K105),"",'RESUMEN VIGILANCIA'!K105)</f>
        <v>0.35</v>
      </c>
      <c r="M101" s="182">
        <f>IF(ISBLANK('RESUMEN VIGILANCIA'!L105),"",'RESUMEN VIGILANCIA'!L105)</f>
        <v>0.35</v>
      </c>
      <c r="N101" s="182">
        <f>IF(ISBLANK('RESUMEN VIGILANCIA'!M105),"",'RESUMEN VIGILANCIA'!M105)</f>
        <v>0.35</v>
      </c>
      <c r="O101" s="182">
        <f>IF(ISBLANK('RESUMEN VIGILANCIA'!N105),"",'RESUMEN VIGILANCIA'!N105)</f>
        <v>0.35</v>
      </c>
      <c r="P101" s="271">
        <f>IF(ISBLANK('RESUMEN VIGILANCIA'!O105),"",'RESUMEN VIGILANCIA'!O105)</f>
        <v>0.5</v>
      </c>
      <c r="Q101" s="180">
        <f>IF(ISBLANK('RESUMEN VIGILANCIA'!P105),"",'RESUMEN VIGILANCIA'!P105)</f>
        <v>0.5</v>
      </c>
      <c r="R101" s="272">
        <f>IF(ISBLANK('RESUMEN VIGILANCIA'!Q105),"",'RESUMEN VIGILANCIA'!Q105)</f>
        <v>0.8</v>
      </c>
      <c r="S101" s="271">
        <f>IF(ISBLANK('RESUMEN VIGILANCIA'!R105),"",'RESUMEN VIGILANCIA'!R105)</f>
        <v>0.8</v>
      </c>
      <c r="T101" s="271">
        <f>IF(ISBLANK('RESUMEN VIGILANCIA'!S105),"",'RESUMEN VIGILANCIA'!S105)</f>
        <v>1.4</v>
      </c>
      <c r="U101" s="271">
        <f>IF(ISBLANK('RESUMEN VIGILANCIA'!T105),"",'RESUMEN VIGILANCIA'!T105)</f>
        <v>1.4</v>
      </c>
      <c r="V101" s="271">
        <f>IF(ISBLANK('RESUMEN VIGILANCIA'!U105),"",'RESUMEN VIGILANCIA'!U105)</f>
        <v>4</v>
      </c>
      <c r="W101" s="271">
        <f>IF(ISBLANK('RESUMEN VIGILANCIA'!V105),"",'RESUMEN VIGILANCIA'!V105)</f>
        <v>6.25</v>
      </c>
      <c r="X101" s="271">
        <f>IF(ISBLANK('RESUMEN VIGILANCIA'!W105),"",'RESUMEN VIGILANCIA'!W105)</f>
        <v>10</v>
      </c>
      <c r="Y101" s="271">
        <f>IF(ISBLANK('RESUMEN VIGILANCIA'!X105),"",'RESUMEN VIGILANCIA'!X105)</f>
        <v>12</v>
      </c>
      <c r="Z101" s="481">
        <f>IF(ISBLANK('RESUMEN VIGILANCIA'!Y105),"",'RESUMEN VIGILANCIA'!Y105)</f>
        <v>320</v>
      </c>
      <c r="AA101" s="481">
        <f>IF(ISBLANK('RESUMEN VIGILANCIA'!Z105),"",'RESUMEN VIGILANCIA'!Z105)</f>
        <v>320</v>
      </c>
      <c r="AB101" s="481" t="str">
        <f>IF(ISBLANK('RESUMEN VIGILANCIA'!AA105),"",'RESUMEN VIGILANCIA'!AA105)</f>
        <v/>
      </c>
      <c r="AC101" s="482">
        <f>IF(ISBLANK('RESUMEN VIGILANCIA'!AB105),"",'RESUMEN VIGILANCIA'!AB105)</f>
        <v>800</v>
      </c>
      <c r="AD101" s="399">
        <f>IF(ISBLANK('RESUMEN VIGILANCIA'!AC105),"",'RESUMEN VIGILANCIA'!AC105)</f>
        <v>3000</v>
      </c>
      <c r="AE101" s="400">
        <f>IF(ISBLANK('RESUMEN VIGILANCIA'!AD105),"",'RESUMEN VIGILANCIA'!AD105)</f>
        <v>3000</v>
      </c>
      <c r="AF101" s="400">
        <f>IF(ISBLANK('RESUMEN VIGILANCIA'!AE105),"",'RESUMEN VIGILANCIA'!AE105)</f>
        <v>3000</v>
      </c>
      <c r="AG101" s="400">
        <f>IF(ISBLANK('RESUMEN VIGILANCIA'!AF105),"",'RESUMEN VIGILANCIA'!AF105)</f>
        <v>5000</v>
      </c>
      <c r="AH101" s="400">
        <f>IF(ISBLANK('RESUMEN VIGILANCIA'!AG105),"",'RESUMEN VIGILANCIA'!AG105)</f>
        <v>8000</v>
      </c>
      <c r="AI101" s="400">
        <f>IF(ISBLANK('RESUMEN VIGILANCIA'!AH105),"",'RESUMEN VIGILANCIA'!AH105)</f>
        <v>8000</v>
      </c>
      <c r="AJ101" s="400">
        <f>IF(ISBLANK('RESUMEN VIGILANCIA'!AI105),"",'RESUMEN VIGILANCIA'!AI105)</f>
        <v>10000</v>
      </c>
      <c r="AK101" s="400">
        <f>IF(ISBLANK('RESUMEN VIGILANCIA'!AJ105),"",'RESUMEN VIGILANCIA'!AJ105)</f>
        <v>10000</v>
      </c>
      <c r="AL101" s="400">
        <f>IF(ISBLANK('RESUMEN VIGILANCIA'!AK105),"",'RESUMEN VIGILANCIA'!AK105)</f>
        <v>19800</v>
      </c>
      <c r="AM101" s="400">
        <f>IF(ISBLANK('RESUMEN VIGILANCIA'!AL105),"",'RESUMEN VIGILANCIA'!AL105)</f>
        <v>52000</v>
      </c>
      <c r="AN101" s="400">
        <f>IF(ISBLANK('RESUMEN VIGILANCIA'!AM105),"",'RESUMEN VIGILANCIA'!AM105)</f>
        <v>64500</v>
      </c>
      <c r="AO101" s="401">
        <f>IF(ISBLANK('RESUMEN VIGILANCIA'!AN105),"",'RESUMEN VIGILANCIA'!AN105)</f>
        <v>105250</v>
      </c>
      <c r="AP101" s="399" t="str">
        <f>IF(ISBLANK('RESUMEN VIGILANCIA'!AO105),"",'RESUMEN VIGILANCIA'!AO105)</f>
        <v/>
      </c>
      <c r="AQ101" s="400" t="str">
        <f>IF(ISBLANK('RESUMEN VIGILANCIA'!AP105),"",'RESUMEN VIGILANCIA'!AP105)</f>
        <v/>
      </c>
      <c r="AR101" s="400" t="str">
        <f>IF(ISBLANK('RESUMEN VIGILANCIA'!AQ105),"",'RESUMEN VIGILANCIA'!AQ105)</f>
        <v/>
      </c>
      <c r="AS101" s="400" t="str">
        <f>IF(ISBLANK('RESUMEN VIGILANCIA'!AR105),"",'RESUMEN VIGILANCIA'!AR105)</f>
        <v/>
      </c>
      <c r="AT101" s="400" t="str">
        <f>IF(ISBLANK('RESUMEN VIGILANCIA'!AS105),"",'RESUMEN VIGILANCIA'!AS105)</f>
        <v/>
      </c>
      <c r="AU101" s="400" t="str">
        <f>IF(ISBLANK('RESUMEN VIGILANCIA'!AT105),"",'RESUMEN VIGILANCIA'!AT105)</f>
        <v/>
      </c>
      <c r="AV101" s="400" t="str">
        <f>IF(ISBLANK('RESUMEN VIGILANCIA'!AU105),"",'RESUMEN VIGILANCIA'!AU105)</f>
        <v/>
      </c>
      <c r="AW101" s="400" t="str">
        <f>IF(ISBLANK('RESUMEN VIGILANCIA'!AV105),"",'RESUMEN VIGILANCIA'!AV105)</f>
        <v/>
      </c>
      <c r="AX101" s="400" t="str">
        <f>IF(ISBLANK('RESUMEN VIGILANCIA'!AW105),"",'RESUMEN VIGILANCIA'!AW105)</f>
        <v/>
      </c>
      <c r="AY101" s="400" t="str">
        <f>IF(ISBLANK('RESUMEN VIGILANCIA'!AX105),"",'RESUMEN VIGILANCIA'!AX105)</f>
        <v/>
      </c>
      <c r="AZ101" s="400" t="str">
        <f>IF(ISBLANK('RESUMEN VIGILANCIA'!AY105),"",'RESUMEN VIGILANCIA'!AY105)</f>
        <v/>
      </c>
      <c r="BA101" s="401" t="str">
        <f>IF(ISBLANK('RESUMEN VIGILANCIA'!AZ105),"",'RESUMEN VIGILANCIA'!AZ105)</f>
        <v/>
      </c>
      <c r="BB101" s="243">
        <f t="shared" si="4"/>
        <v>293030.25</v>
      </c>
      <c r="BC101" s="112"/>
      <c r="BD101" s="112"/>
    </row>
    <row r="102" spans="1:56" s="29" customFormat="1" ht="20.100000000000001" customHeight="1">
      <c r="A102" s="33" t="str">
        <f>'RESUMEN VIGILANCIA'!A106</f>
        <v>Silvia Power</v>
      </c>
      <c r="B102" s="34" t="str">
        <f>'RESUMEN VIGILANCIA'!B106</f>
        <v>Calle Güigüe Nro. 89-16</v>
      </c>
      <c r="C102" s="451" t="s">
        <v>1251</v>
      </c>
      <c r="D102" s="469" t="s">
        <v>17</v>
      </c>
      <c r="E102" s="439" t="str">
        <f>IF(ISBLANK('RESUMEN VIGILANCIA'!D106),"",'RESUMEN VIGILANCIA'!D106)</f>
        <v/>
      </c>
      <c r="F102" s="267">
        <f>IF(ISBLANK('RESUMEN VIGILANCIA'!E106),"",'RESUMEN VIGILANCIA'!E106)</f>
        <v>1.4999999999999999E-2</v>
      </c>
      <c r="G102" s="189">
        <f>IF(ISBLANK('RESUMEN VIGILANCIA'!F106),"",'RESUMEN VIGILANCIA'!F106)</f>
        <v>1.4999999999999999E-2</v>
      </c>
      <c r="H102" s="228" t="str">
        <f>IF(ISBLANK('RESUMEN VIGILANCIA'!G106),"",'RESUMEN VIGILANCIA'!G106)</f>
        <v>ü</v>
      </c>
      <c r="I102" s="228" t="str">
        <f>IF(ISBLANK('RESUMEN VIGILANCIA'!H106),"",'RESUMEN VIGILANCIA'!H106)</f>
        <v>ü</v>
      </c>
      <c r="J102" s="228" t="str">
        <f>IF(ISBLANK('RESUMEN VIGILANCIA'!I106),"",'RESUMEN VIGILANCIA'!I106)</f>
        <v>ü</v>
      </c>
      <c r="K102" s="228" t="str">
        <f>IF(ISBLANK('RESUMEN VIGILANCIA'!J106),"",'RESUMEN VIGILANCIA'!J106)</f>
        <v>ü</v>
      </c>
      <c r="L102" s="228" t="str">
        <f>IF(ISBLANK('RESUMEN VIGILANCIA'!K106),"",'RESUMEN VIGILANCIA'!K106)</f>
        <v>ü</v>
      </c>
      <c r="M102" s="228" t="str">
        <f>IF(ISBLANK('RESUMEN VIGILANCIA'!L106),"",'RESUMEN VIGILANCIA'!L106)</f>
        <v>ü</v>
      </c>
      <c r="N102" s="228" t="str">
        <f>IF(ISBLANK('RESUMEN VIGILANCIA'!M106),"",'RESUMEN VIGILANCIA'!M106)</f>
        <v>ü</v>
      </c>
      <c r="O102" s="228" t="str">
        <f>IF(ISBLANK('RESUMEN VIGILANCIA'!N106),"",'RESUMEN VIGILANCIA'!N106)</f>
        <v>ü</v>
      </c>
      <c r="P102" s="288" t="str">
        <f>IF(ISBLANK('RESUMEN VIGILANCIA'!O106),"",'RESUMEN VIGILANCIA'!O106)</f>
        <v>ü</v>
      </c>
      <c r="Q102" s="229" t="str">
        <f>IF(ISBLANK('RESUMEN VIGILANCIA'!P106),"",'RESUMEN VIGILANCIA'!P106)</f>
        <v>ü</v>
      </c>
      <c r="R102" s="289" t="str">
        <f>IF(ISBLANK('RESUMEN VIGILANCIA'!Q106),"",'RESUMEN VIGILANCIA'!Q106)</f>
        <v>ü</v>
      </c>
      <c r="S102" s="268">
        <f>IF(ISBLANK('RESUMEN VIGILANCIA'!R106),"",'RESUMEN VIGILANCIA'!R106)</f>
        <v>0.8</v>
      </c>
      <c r="T102" s="268">
        <f>IF(ISBLANK('RESUMEN VIGILANCIA'!S106),"",'RESUMEN VIGILANCIA'!S106)</f>
        <v>1.4</v>
      </c>
      <c r="U102" s="268">
        <f>IF(ISBLANK('RESUMEN VIGILANCIA'!T106),"",'RESUMEN VIGILANCIA'!T106)</f>
        <v>1.4</v>
      </c>
      <c r="V102" s="268">
        <f>IF(ISBLANK('RESUMEN VIGILANCIA'!U106),"",'RESUMEN VIGILANCIA'!U106)</f>
        <v>2</v>
      </c>
      <c r="W102" s="268">
        <f>IF(ISBLANK('RESUMEN VIGILANCIA'!V106),"",'RESUMEN VIGILANCIA'!V106)</f>
        <v>4.25</v>
      </c>
      <c r="X102" s="268">
        <f>IF(ISBLANK('RESUMEN VIGILANCIA'!W106),"",'RESUMEN VIGILANCIA'!W106)</f>
        <v>10</v>
      </c>
      <c r="Y102" s="268" t="str">
        <f>IF(ISBLANK('RESUMEN VIGILANCIA'!X106),"",'RESUMEN VIGILANCIA'!X106)</f>
        <v/>
      </c>
      <c r="Z102" s="485" t="str">
        <f>IF(ISBLANK('RESUMEN VIGILANCIA'!Y106),"",'RESUMEN VIGILANCIA'!Y106)</f>
        <v/>
      </c>
      <c r="AA102" s="485" t="str">
        <f>IF(ISBLANK('RESUMEN VIGILANCIA'!Z106),"",'RESUMEN VIGILANCIA'!Z106)</f>
        <v/>
      </c>
      <c r="AB102" s="485" t="str">
        <f>IF(ISBLANK('RESUMEN VIGILANCIA'!AA106),"",'RESUMEN VIGILANCIA'!AA106)</f>
        <v/>
      </c>
      <c r="AC102" s="486" t="str">
        <f>IF(ISBLANK('RESUMEN VIGILANCIA'!AB106),"",'RESUMEN VIGILANCIA'!AB106)</f>
        <v/>
      </c>
      <c r="AD102" s="396" t="str">
        <f>IF(ISBLANK('RESUMEN VIGILANCIA'!AC106),"",'RESUMEN VIGILANCIA'!AC106)</f>
        <v/>
      </c>
      <c r="AE102" s="397" t="str">
        <f>IF(ISBLANK('RESUMEN VIGILANCIA'!AD106),"",'RESUMEN VIGILANCIA'!AD106)</f>
        <v/>
      </c>
      <c r="AF102" s="397" t="str">
        <f>IF(ISBLANK('RESUMEN VIGILANCIA'!AE106),"",'RESUMEN VIGILANCIA'!AE106)</f>
        <v/>
      </c>
      <c r="AG102" s="397">
        <f>IF(ISBLANK('RESUMEN VIGILANCIA'!AF106),"",'RESUMEN VIGILANCIA'!AF106)</f>
        <v>5000</v>
      </c>
      <c r="AH102" s="397">
        <f>IF(ISBLANK('RESUMEN VIGILANCIA'!AG106),"",'RESUMEN VIGILANCIA'!AG106)</f>
        <v>5000</v>
      </c>
      <c r="AI102" s="397">
        <f>IF(ISBLANK('RESUMEN VIGILANCIA'!AH106),"",'RESUMEN VIGILANCIA'!AH106)</f>
        <v>5000</v>
      </c>
      <c r="AJ102" s="397">
        <f>IF(ISBLANK('RESUMEN VIGILANCIA'!AI106),"",'RESUMEN VIGILANCIA'!AI106)</f>
        <v>5000</v>
      </c>
      <c r="AK102" s="397">
        <f>IF(ISBLANK('RESUMEN VIGILANCIA'!AJ106),"",'RESUMEN VIGILANCIA'!AJ106)</f>
        <v>5000</v>
      </c>
      <c r="AL102" s="397">
        <f>IF(ISBLANK('RESUMEN VIGILANCIA'!AK106),"",'RESUMEN VIGILANCIA'!AK106)</f>
        <v>3500</v>
      </c>
      <c r="AM102" s="397">
        <f>IF(ISBLANK('RESUMEN VIGILANCIA'!AL106),"",'RESUMEN VIGILANCIA'!AL106)</f>
        <v>16000</v>
      </c>
      <c r="AN102" s="397">
        <f>IF(ISBLANK('RESUMEN VIGILANCIA'!AM106),"",'RESUMEN VIGILANCIA'!AM106)</f>
        <v>17000</v>
      </c>
      <c r="AO102" s="398">
        <f>IF(ISBLANK('RESUMEN VIGILANCIA'!AN106),"",'RESUMEN VIGILANCIA'!AN106)</f>
        <v>17000</v>
      </c>
      <c r="AP102" s="396">
        <f>IF(ISBLANK('RESUMEN VIGILANCIA'!AO106),"",'RESUMEN VIGILANCIA'!AO106)</f>
        <v>182800</v>
      </c>
      <c r="AQ102" s="397" t="str">
        <f>IF(ISBLANK('RESUMEN VIGILANCIA'!AP106),"",'RESUMEN VIGILANCIA'!AP106)</f>
        <v/>
      </c>
      <c r="AR102" s="397" t="str">
        <f>IF(ISBLANK('RESUMEN VIGILANCIA'!AQ106),"",'RESUMEN VIGILANCIA'!AQ106)</f>
        <v/>
      </c>
      <c r="AS102" s="397" t="str">
        <f>IF(ISBLANK('RESUMEN VIGILANCIA'!AR106),"",'RESUMEN VIGILANCIA'!AR106)</f>
        <v/>
      </c>
      <c r="AT102" s="397" t="str">
        <f>IF(ISBLANK('RESUMEN VIGILANCIA'!AS106),"",'RESUMEN VIGILANCIA'!AS106)</f>
        <v/>
      </c>
      <c r="AU102" s="397" t="str">
        <f>IF(ISBLANK('RESUMEN VIGILANCIA'!AT106),"",'RESUMEN VIGILANCIA'!AT106)</f>
        <v/>
      </c>
      <c r="AV102" s="397" t="str">
        <f>IF(ISBLANK('RESUMEN VIGILANCIA'!AU106),"",'RESUMEN VIGILANCIA'!AU106)</f>
        <v/>
      </c>
      <c r="AW102" s="397" t="str">
        <f>IF(ISBLANK('RESUMEN VIGILANCIA'!AV106),"",'RESUMEN VIGILANCIA'!AV106)</f>
        <v/>
      </c>
      <c r="AX102" s="397" t="str">
        <f>IF(ISBLANK('RESUMEN VIGILANCIA'!AW106),"",'RESUMEN VIGILANCIA'!AW106)</f>
        <v/>
      </c>
      <c r="AY102" s="397" t="str">
        <f>IF(ISBLANK('RESUMEN VIGILANCIA'!AX106),"",'RESUMEN VIGILANCIA'!AX106)</f>
        <v/>
      </c>
      <c r="AZ102" s="397" t="str">
        <f>IF(ISBLANK('RESUMEN VIGILANCIA'!AY106),"",'RESUMEN VIGILANCIA'!AY106)</f>
        <v/>
      </c>
      <c r="BA102" s="398" t="str">
        <f>IF(ISBLANK('RESUMEN VIGILANCIA'!AZ106),"",'RESUMEN VIGILANCIA'!AZ106)</f>
        <v/>
      </c>
      <c r="BB102" s="242">
        <f t="shared" ref="BB102:BB136" si="7">SUM(E102:AO102)</f>
        <v>78519.88</v>
      </c>
      <c r="BC102" s="111"/>
      <c r="BD102" s="111"/>
    </row>
    <row r="103" spans="1:56" s="29" customFormat="1" ht="20.100000000000001" customHeight="1">
      <c r="A103" s="33" t="str">
        <f>'RESUMEN VIGILANCIA'!A107</f>
        <v>Mibzar Cárdenas</v>
      </c>
      <c r="B103" s="34" t="str">
        <f>'RESUMEN VIGILANCIA'!B107</f>
        <v>Calle Güigüe Nro. 89-16</v>
      </c>
      <c r="C103" s="451" t="s">
        <v>1253</v>
      </c>
      <c r="D103" s="469" t="s">
        <v>17</v>
      </c>
      <c r="E103" s="439" t="str">
        <f>IF(ISBLANK('RESUMEN VIGILANCIA'!D107),"",'RESUMEN VIGILANCIA'!D107)</f>
        <v/>
      </c>
      <c r="F103" s="267" t="str">
        <f>IF(ISBLANK('RESUMEN VIGILANCIA'!E107),"",'RESUMEN VIGILANCIA'!E107)</f>
        <v/>
      </c>
      <c r="G103" s="189" t="str">
        <f>IF(ISBLANK('RESUMEN VIGILANCIA'!F107),"",'RESUMEN VIGILANCIA'!F107)</f>
        <v/>
      </c>
      <c r="H103" s="228" t="str">
        <f>IF(ISBLANK('RESUMEN VIGILANCIA'!G107),"",'RESUMEN VIGILANCIA'!G107)</f>
        <v/>
      </c>
      <c r="I103" s="228" t="str">
        <f>IF(ISBLANK('RESUMEN VIGILANCIA'!H107),"",'RESUMEN VIGILANCIA'!H107)</f>
        <v/>
      </c>
      <c r="J103" s="228" t="str">
        <f>IF(ISBLANK('RESUMEN VIGILANCIA'!I107),"",'RESUMEN VIGILANCIA'!I107)</f>
        <v/>
      </c>
      <c r="K103" s="228" t="str">
        <f>IF(ISBLANK('RESUMEN VIGILANCIA'!J107),"",'RESUMEN VIGILANCIA'!J107)</f>
        <v/>
      </c>
      <c r="L103" s="228" t="str">
        <f>IF(ISBLANK('RESUMEN VIGILANCIA'!K107),"",'RESUMEN VIGILANCIA'!K107)</f>
        <v/>
      </c>
      <c r="M103" s="228" t="str">
        <f>IF(ISBLANK('RESUMEN VIGILANCIA'!L107),"",'RESUMEN VIGILANCIA'!L107)</f>
        <v/>
      </c>
      <c r="N103" s="228" t="str">
        <f>IF(ISBLANK('RESUMEN VIGILANCIA'!M107),"",'RESUMEN VIGILANCIA'!M107)</f>
        <v/>
      </c>
      <c r="O103" s="228" t="str">
        <f>IF(ISBLANK('RESUMEN VIGILANCIA'!N107),"",'RESUMEN VIGILANCIA'!N107)</f>
        <v/>
      </c>
      <c r="P103" s="288" t="str">
        <f>IF(ISBLANK('RESUMEN VIGILANCIA'!O107),"",'RESUMEN VIGILANCIA'!O107)</f>
        <v/>
      </c>
      <c r="Q103" s="229" t="str">
        <f>IF(ISBLANK('RESUMEN VIGILANCIA'!P107),"",'RESUMEN VIGILANCIA'!P107)</f>
        <v/>
      </c>
      <c r="R103" s="289" t="str">
        <f>IF(ISBLANK('RESUMEN VIGILANCIA'!Q107),"",'RESUMEN VIGILANCIA'!Q107)</f>
        <v/>
      </c>
      <c r="S103" s="268" t="str">
        <f>IF(ISBLANK('RESUMEN VIGILANCIA'!R107),"",'RESUMEN VIGILANCIA'!R107)</f>
        <v/>
      </c>
      <c r="T103" s="268" t="str">
        <f>IF(ISBLANK('RESUMEN VIGILANCIA'!S107),"",'RESUMEN VIGILANCIA'!S107)</f>
        <v/>
      </c>
      <c r="U103" s="268" t="str">
        <f>IF(ISBLANK('RESUMEN VIGILANCIA'!T107),"",'RESUMEN VIGILANCIA'!T107)</f>
        <v/>
      </c>
      <c r="V103" s="268" t="str">
        <f>IF(ISBLANK('RESUMEN VIGILANCIA'!U107),"",'RESUMEN VIGILANCIA'!U107)</f>
        <v/>
      </c>
      <c r="W103" s="268" t="str">
        <f>IF(ISBLANK('RESUMEN VIGILANCIA'!V107),"",'RESUMEN VIGILANCIA'!V107)</f>
        <v/>
      </c>
      <c r="X103" s="268" t="str">
        <f>IF(ISBLANK('RESUMEN VIGILANCIA'!W107),"",'RESUMEN VIGILANCIA'!W107)</f>
        <v/>
      </c>
      <c r="Y103" s="268" t="str">
        <f>IF(ISBLANK('RESUMEN VIGILANCIA'!X107),"",'RESUMEN VIGILANCIA'!X107)</f>
        <v/>
      </c>
      <c r="Z103" s="485" t="str">
        <f>IF(ISBLANK('RESUMEN VIGILANCIA'!Y107),"",'RESUMEN VIGILANCIA'!Y107)</f>
        <v/>
      </c>
      <c r="AA103" s="485" t="str">
        <f>IF(ISBLANK('RESUMEN VIGILANCIA'!Z107),"",'RESUMEN VIGILANCIA'!Z107)</f>
        <v/>
      </c>
      <c r="AB103" s="485" t="str">
        <f>IF(ISBLANK('RESUMEN VIGILANCIA'!AA107),"",'RESUMEN VIGILANCIA'!AA107)</f>
        <v/>
      </c>
      <c r="AC103" s="486" t="str">
        <f>IF(ISBLANK('RESUMEN VIGILANCIA'!AB107),"",'RESUMEN VIGILANCIA'!AB107)</f>
        <v/>
      </c>
      <c r="AD103" s="396" t="str">
        <f>IF(ISBLANK('RESUMEN VIGILANCIA'!AC107),"",'RESUMEN VIGILANCIA'!AC107)</f>
        <v/>
      </c>
      <c r="AE103" s="397" t="str">
        <f>IF(ISBLANK('RESUMEN VIGILANCIA'!AD107),"",'RESUMEN VIGILANCIA'!AD107)</f>
        <v/>
      </c>
      <c r="AF103" s="397" t="str">
        <f>IF(ISBLANK('RESUMEN VIGILANCIA'!AE107),"",'RESUMEN VIGILANCIA'!AE107)</f>
        <v/>
      </c>
      <c r="AG103" s="397" t="str">
        <f>IF(ISBLANK('RESUMEN VIGILANCIA'!AF107),"",'RESUMEN VIGILANCIA'!AF107)</f>
        <v/>
      </c>
      <c r="AH103" s="397" t="str">
        <f>IF(ISBLANK('RESUMEN VIGILANCIA'!AG107),"",'RESUMEN VIGILANCIA'!AG107)</f>
        <v/>
      </c>
      <c r="AI103" s="397" t="str">
        <f>IF(ISBLANK('RESUMEN VIGILANCIA'!AH107),"",'RESUMEN VIGILANCIA'!AH107)</f>
        <v/>
      </c>
      <c r="AJ103" s="397" t="str">
        <f>IF(ISBLANK('RESUMEN VIGILANCIA'!AI107),"",'RESUMEN VIGILANCIA'!AI107)</f>
        <v/>
      </c>
      <c r="AK103" s="397" t="str">
        <f>IF(ISBLANK('RESUMEN VIGILANCIA'!AJ107),"",'RESUMEN VIGILANCIA'!AJ107)</f>
        <v/>
      </c>
      <c r="AL103" s="397" t="str">
        <f>IF(ISBLANK('RESUMEN VIGILANCIA'!AK107),"",'RESUMEN VIGILANCIA'!AK107)</f>
        <v/>
      </c>
      <c r="AM103" s="397" t="str">
        <f>IF(ISBLANK('RESUMEN VIGILANCIA'!AL107),"",'RESUMEN VIGILANCIA'!AL107)</f>
        <v/>
      </c>
      <c r="AN103" s="397" t="str">
        <f>IF(ISBLANK('RESUMEN VIGILANCIA'!AM107),"",'RESUMEN VIGILANCIA'!AM107)</f>
        <v/>
      </c>
      <c r="AO103" s="398" t="str">
        <f>IF(ISBLANK('RESUMEN VIGILANCIA'!AN107),"",'RESUMEN VIGILANCIA'!AN107)</f>
        <v/>
      </c>
      <c r="AP103" s="396" t="str">
        <f>IF(ISBLANK('RESUMEN VIGILANCIA'!AO107),"",'RESUMEN VIGILANCIA'!AO107)</f>
        <v/>
      </c>
      <c r="AQ103" s="397" t="str">
        <f>IF(ISBLANK('RESUMEN VIGILANCIA'!AP107),"",'RESUMEN VIGILANCIA'!AP107)</f>
        <v/>
      </c>
      <c r="AR103" s="397" t="str">
        <f>IF(ISBLANK('RESUMEN VIGILANCIA'!AQ107),"",'RESUMEN VIGILANCIA'!AQ107)</f>
        <v/>
      </c>
      <c r="AS103" s="397" t="str">
        <f>IF(ISBLANK('RESUMEN VIGILANCIA'!AR107),"",'RESUMEN VIGILANCIA'!AR107)</f>
        <v/>
      </c>
      <c r="AT103" s="397" t="str">
        <f>IF(ISBLANK('RESUMEN VIGILANCIA'!AS107),"",'RESUMEN VIGILANCIA'!AS107)</f>
        <v/>
      </c>
      <c r="AU103" s="397" t="str">
        <f>IF(ISBLANK('RESUMEN VIGILANCIA'!AT107),"",'RESUMEN VIGILANCIA'!AT107)</f>
        <v/>
      </c>
      <c r="AV103" s="397" t="str">
        <f>IF(ISBLANK('RESUMEN VIGILANCIA'!AU107),"",'RESUMEN VIGILANCIA'!AU107)</f>
        <v/>
      </c>
      <c r="AW103" s="397" t="str">
        <f>IF(ISBLANK('RESUMEN VIGILANCIA'!AV107),"",'RESUMEN VIGILANCIA'!AV107)</f>
        <v/>
      </c>
      <c r="AX103" s="397" t="str">
        <f>IF(ISBLANK('RESUMEN VIGILANCIA'!AW107),"",'RESUMEN VIGILANCIA'!AW107)</f>
        <v/>
      </c>
      <c r="AY103" s="397" t="str">
        <f>IF(ISBLANK('RESUMEN VIGILANCIA'!AX107),"",'RESUMEN VIGILANCIA'!AX107)</f>
        <v/>
      </c>
      <c r="AZ103" s="397" t="str">
        <f>IF(ISBLANK('RESUMEN VIGILANCIA'!AY107),"",'RESUMEN VIGILANCIA'!AY107)</f>
        <v/>
      </c>
      <c r="BA103" s="398" t="str">
        <f>IF(ISBLANK('RESUMEN VIGILANCIA'!AZ107),"",'RESUMEN VIGILANCIA'!AZ107)</f>
        <v/>
      </c>
      <c r="BB103" s="242">
        <f t="shared" ref="BB103" si="8">SUM(E103:AO103)</f>
        <v>0</v>
      </c>
      <c r="BC103" s="470"/>
      <c r="BD103" s="111"/>
    </row>
    <row r="104" spans="1:56" s="29" customFormat="1" ht="20.100000000000001" customHeight="1">
      <c r="A104" s="30" t="str">
        <f>'RESUMEN VIGILANCIA'!A112</f>
        <v>Familia Molina Estopiñán</v>
      </c>
      <c r="B104" s="31" t="str">
        <f>'RESUMEN VIGILANCIA'!B112</f>
        <v>Calle Güigüe Nro. 89-30</v>
      </c>
      <c r="C104" s="452" t="s">
        <v>1253</v>
      </c>
      <c r="D104" s="468" t="s">
        <v>17</v>
      </c>
      <c r="E104" s="440" t="str">
        <f>IF(ISBLANK('RESUMEN VIGILANCIA'!D112),"",'RESUMEN VIGILANCIA'!D112)</f>
        <v/>
      </c>
      <c r="F104" s="270" t="str">
        <f>IF(ISBLANK('RESUMEN VIGILANCIA'!E112),"",'RESUMEN VIGILANCIA'!E112)</f>
        <v/>
      </c>
      <c r="G104" s="182" t="str">
        <f>IF(ISBLANK('RESUMEN VIGILANCIA'!F112),"",'RESUMEN VIGILANCIA'!F112)</f>
        <v/>
      </c>
      <c r="H104" s="182" t="str">
        <f>IF(ISBLANK('RESUMEN VIGILANCIA'!G112),"",'RESUMEN VIGILANCIA'!G112)</f>
        <v/>
      </c>
      <c r="I104" s="182" t="str">
        <f>IF(ISBLANK('RESUMEN VIGILANCIA'!H112),"",'RESUMEN VIGILANCIA'!H112)</f>
        <v/>
      </c>
      <c r="J104" s="182" t="str">
        <f>IF(ISBLANK('RESUMEN VIGILANCIA'!I112),"",'RESUMEN VIGILANCIA'!I112)</f>
        <v/>
      </c>
      <c r="K104" s="182" t="str">
        <f>IF(ISBLANK('RESUMEN VIGILANCIA'!J112),"",'RESUMEN VIGILANCIA'!J112)</f>
        <v/>
      </c>
      <c r="L104" s="182" t="str">
        <f>IF(ISBLANK('RESUMEN VIGILANCIA'!K112),"",'RESUMEN VIGILANCIA'!K112)</f>
        <v/>
      </c>
      <c r="M104" s="182" t="str">
        <f>IF(ISBLANK('RESUMEN VIGILANCIA'!L112),"",'RESUMEN VIGILANCIA'!L112)</f>
        <v/>
      </c>
      <c r="N104" s="182" t="str">
        <f>IF(ISBLANK('RESUMEN VIGILANCIA'!M112),"",'RESUMEN VIGILANCIA'!M112)</f>
        <v/>
      </c>
      <c r="O104" s="182" t="str">
        <f>IF(ISBLANK('RESUMEN VIGILANCIA'!N112),"",'RESUMEN VIGILANCIA'!N112)</f>
        <v/>
      </c>
      <c r="P104" s="271" t="str">
        <f>IF(ISBLANK('RESUMEN VIGILANCIA'!O112),"",'RESUMEN VIGILANCIA'!O112)</f>
        <v/>
      </c>
      <c r="Q104" s="180" t="str">
        <f>IF(ISBLANK('RESUMEN VIGILANCIA'!P112),"",'RESUMEN VIGILANCIA'!P112)</f>
        <v/>
      </c>
      <c r="R104" s="272" t="str">
        <f>IF(ISBLANK('RESUMEN VIGILANCIA'!Q112),"",'RESUMEN VIGILANCIA'!Q112)</f>
        <v/>
      </c>
      <c r="S104" s="271" t="str">
        <f>IF(ISBLANK('RESUMEN VIGILANCIA'!R112),"",'RESUMEN VIGILANCIA'!R112)</f>
        <v/>
      </c>
      <c r="T104" s="271" t="str">
        <f>IF(ISBLANK('RESUMEN VIGILANCIA'!S112),"",'RESUMEN VIGILANCIA'!S112)</f>
        <v/>
      </c>
      <c r="U104" s="271" t="str">
        <f>IF(ISBLANK('RESUMEN VIGILANCIA'!T112),"",'RESUMEN VIGILANCIA'!T112)</f>
        <v/>
      </c>
      <c r="V104" s="271" t="str">
        <f>IF(ISBLANK('RESUMEN VIGILANCIA'!U112),"",'RESUMEN VIGILANCIA'!U112)</f>
        <v/>
      </c>
      <c r="W104" s="271" t="str">
        <f>IF(ISBLANK('RESUMEN VIGILANCIA'!V112),"",'RESUMEN VIGILANCIA'!V112)</f>
        <v/>
      </c>
      <c r="X104" s="271" t="str">
        <f>IF(ISBLANK('RESUMEN VIGILANCIA'!W112),"",'RESUMEN VIGILANCIA'!W112)</f>
        <v/>
      </c>
      <c r="Y104" s="271" t="str">
        <f>IF(ISBLANK('RESUMEN VIGILANCIA'!X112),"",'RESUMEN VIGILANCIA'!X112)</f>
        <v/>
      </c>
      <c r="Z104" s="481" t="str">
        <f>IF(ISBLANK('RESUMEN VIGILANCIA'!Y112),"",'RESUMEN VIGILANCIA'!Y112)</f>
        <v/>
      </c>
      <c r="AA104" s="481" t="str">
        <f>IF(ISBLANK('RESUMEN VIGILANCIA'!Z112),"",'RESUMEN VIGILANCIA'!Z112)</f>
        <v/>
      </c>
      <c r="AB104" s="481" t="str">
        <f>IF(ISBLANK('RESUMEN VIGILANCIA'!AA112),"",'RESUMEN VIGILANCIA'!AA112)</f>
        <v/>
      </c>
      <c r="AC104" s="482" t="str">
        <f>IF(ISBLANK('RESUMEN VIGILANCIA'!AB112),"",'RESUMEN VIGILANCIA'!AB112)</f>
        <v/>
      </c>
      <c r="AD104" s="399" t="str">
        <f>IF(ISBLANK('RESUMEN VIGILANCIA'!AC112),"",'RESUMEN VIGILANCIA'!AC112)</f>
        <v/>
      </c>
      <c r="AE104" s="400" t="str">
        <f>IF(ISBLANK('RESUMEN VIGILANCIA'!AD112),"",'RESUMEN VIGILANCIA'!AD112)</f>
        <v/>
      </c>
      <c r="AF104" s="400" t="str">
        <f>IF(ISBLANK('RESUMEN VIGILANCIA'!AE112),"",'RESUMEN VIGILANCIA'!AE112)</f>
        <v/>
      </c>
      <c r="AG104" s="400" t="str">
        <f>IF(ISBLANK('RESUMEN VIGILANCIA'!AF112),"",'RESUMEN VIGILANCIA'!AF112)</f>
        <v/>
      </c>
      <c r="AH104" s="400" t="str">
        <f>IF(ISBLANK('RESUMEN VIGILANCIA'!AG112),"",'RESUMEN VIGILANCIA'!AG112)</f>
        <v/>
      </c>
      <c r="AI104" s="400" t="str">
        <f>IF(ISBLANK('RESUMEN VIGILANCIA'!AH112),"",'RESUMEN VIGILANCIA'!AH112)</f>
        <v/>
      </c>
      <c r="AJ104" s="400" t="str">
        <f>IF(ISBLANK('RESUMEN VIGILANCIA'!AI112),"",'RESUMEN VIGILANCIA'!AI112)</f>
        <v/>
      </c>
      <c r="AK104" s="400" t="str">
        <f>IF(ISBLANK('RESUMEN VIGILANCIA'!AJ112),"",'RESUMEN VIGILANCIA'!AJ112)</f>
        <v/>
      </c>
      <c r="AL104" s="400" t="str">
        <f>IF(ISBLANK('RESUMEN VIGILANCIA'!AK112),"",'RESUMEN VIGILANCIA'!AK112)</f>
        <v/>
      </c>
      <c r="AM104" s="400" t="str">
        <f>IF(ISBLANK('RESUMEN VIGILANCIA'!AL112),"",'RESUMEN VIGILANCIA'!AL112)</f>
        <v/>
      </c>
      <c r="AN104" s="400" t="str">
        <f>IF(ISBLANK('RESUMEN VIGILANCIA'!AM112),"",'RESUMEN VIGILANCIA'!AM112)</f>
        <v/>
      </c>
      <c r="AO104" s="401" t="str">
        <f>IF(ISBLANK('RESUMEN VIGILANCIA'!AN112),"",'RESUMEN VIGILANCIA'!AN112)</f>
        <v/>
      </c>
      <c r="AP104" s="399" t="str">
        <f>IF(ISBLANK('RESUMEN VIGILANCIA'!AO112),"",'RESUMEN VIGILANCIA'!AO112)</f>
        <v/>
      </c>
      <c r="AQ104" s="400" t="str">
        <f>IF(ISBLANK('RESUMEN VIGILANCIA'!AP112),"",'RESUMEN VIGILANCIA'!AP112)</f>
        <v/>
      </c>
      <c r="AR104" s="400" t="str">
        <f>IF(ISBLANK('RESUMEN VIGILANCIA'!AQ112),"",'RESUMEN VIGILANCIA'!AQ112)</f>
        <v/>
      </c>
      <c r="AS104" s="400" t="str">
        <f>IF(ISBLANK('RESUMEN VIGILANCIA'!AR112),"",'RESUMEN VIGILANCIA'!AR112)</f>
        <v/>
      </c>
      <c r="AT104" s="400" t="str">
        <f>IF(ISBLANK('RESUMEN VIGILANCIA'!AS112),"",'RESUMEN VIGILANCIA'!AS112)</f>
        <v/>
      </c>
      <c r="AU104" s="400" t="str">
        <f>IF(ISBLANK('RESUMEN VIGILANCIA'!AT112),"",'RESUMEN VIGILANCIA'!AT112)</f>
        <v/>
      </c>
      <c r="AV104" s="400" t="str">
        <f>IF(ISBLANK('RESUMEN VIGILANCIA'!AU112),"",'RESUMEN VIGILANCIA'!AU112)</f>
        <v/>
      </c>
      <c r="AW104" s="400" t="str">
        <f>IF(ISBLANK('RESUMEN VIGILANCIA'!AV112),"",'RESUMEN VIGILANCIA'!AV112)</f>
        <v/>
      </c>
      <c r="AX104" s="400" t="str">
        <f>IF(ISBLANK('RESUMEN VIGILANCIA'!AW112),"",'RESUMEN VIGILANCIA'!AW112)</f>
        <v/>
      </c>
      <c r="AY104" s="400" t="str">
        <f>IF(ISBLANK('RESUMEN VIGILANCIA'!AX112),"",'RESUMEN VIGILANCIA'!AX112)</f>
        <v/>
      </c>
      <c r="AZ104" s="400" t="str">
        <f>IF(ISBLANK('RESUMEN VIGILANCIA'!AY112),"",'RESUMEN VIGILANCIA'!AY112)</f>
        <v/>
      </c>
      <c r="BA104" s="401" t="str">
        <f>IF(ISBLANK('RESUMEN VIGILANCIA'!AZ112),"",'RESUMEN VIGILANCIA'!AZ112)</f>
        <v/>
      </c>
      <c r="BB104" s="243">
        <f t="shared" si="7"/>
        <v>0</v>
      </c>
      <c r="BC104" s="112"/>
      <c r="BD104" s="112"/>
    </row>
    <row r="105" spans="1:56" s="29" customFormat="1" ht="20.100000000000001" customHeight="1">
      <c r="A105" s="33" t="str">
        <f>'RESUMEN VIGILANCIA'!A113</f>
        <v>Familia Sirit Palencia</v>
      </c>
      <c r="B105" s="34" t="str">
        <f>'RESUMEN VIGILANCIA'!B113</f>
        <v>Calle Güigüe Nro. 89-35</v>
      </c>
      <c r="C105" s="451" t="s">
        <v>1251</v>
      </c>
      <c r="D105" s="461" t="s">
        <v>1248</v>
      </c>
      <c r="E105" s="439" t="str">
        <f>IF(ISBLANK('RESUMEN VIGILANCIA'!D113),"",'RESUMEN VIGILANCIA'!D113)</f>
        <v/>
      </c>
      <c r="F105" s="267" t="str">
        <f>IF(ISBLANK('RESUMEN VIGILANCIA'!E113),"",'RESUMEN VIGILANCIA'!E113)</f>
        <v/>
      </c>
      <c r="G105" s="189" t="str">
        <f>IF(ISBLANK('RESUMEN VIGILANCIA'!F113),"",'RESUMEN VIGILANCIA'!F113)</f>
        <v/>
      </c>
      <c r="H105" s="189" t="str">
        <f>IF(ISBLANK('RESUMEN VIGILANCIA'!G113),"",'RESUMEN VIGILANCIA'!G113)</f>
        <v/>
      </c>
      <c r="I105" s="189">
        <f>IF(ISBLANK('RESUMEN VIGILANCIA'!H113),"",'RESUMEN VIGILANCIA'!H113)</f>
        <v>0.05</v>
      </c>
      <c r="J105" s="189" t="str">
        <f>IF(ISBLANK('RESUMEN VIGILANCIA'!I113),"",'RESUMEN VIGILANCIA'!I113)</f>
        <v/>
      </c>
      <c r="K105" s="189" t="str">
        <f>IF(ISBLANK('RESUMEN VIGILANCIA'!J113),"",'RESUMEN VIGILANCIA'!J113)</f>
        <v/>
      </c>
      <c r="L105" s="189" t="str">
        <f>IF(ISBLANK('RESUMEN VIGILANCIA'!K113),"",'RESUMEN VIGILANCIA'!K113)</f>
        <v/>
      </c>
      <c r="M105" s="189">
        <f>IF(ISBLANK('RESUMEN VIGILANCIA'!L113),"",'RESUMEN VIGILANCIA'!L113)</f>
        <v>0.1</v>
      </c>
      <c r="N105" s="189">
        <f>IF(ISBLANK('RESUMEN VIGILANCIA'!M113),"",'RESUMEN VIGILANCIA'!M113)</f>
        <v>0.1</v>
      </c>
      <c r="O105" s="189" t="str">
        <f>IF(ISBLANK('RESUMEN VIGILANCIA'!N113),"",'RESUMEN VIGILANCIA'!N113)</f>
        <v/>
      </c>
      <c r="P105" s="268" t="str">
        <f>IF(ISBLANK('RESUMEN VIGILANCIA'!O113),"",'RESUMEN VIGILANCIA'!O113)</f>
        <v/>
      </c>
      <c r="Q105" s="187" t="str">
        <f>IF(ISBLANK('RESUMEN VIGILANCIA'!P113),"",'RESUMEN VIGILANCIA'!P113)</f>
        <v/>
      </c>
      <c r="R105" s="269" t="str">
        <f>IF(ISBLANK('RESUMEN VIGILANCIA'!Q113),"",'RESUMEN VIGILANCIA'!Q113)</f>
        <v/>
      </c>
      <c r="S105" s="268" t="str">
        <f>IF(ISBLANK('RESUMEN VIGILANCIA'!R113),"",'RESUMEN VIGILANCIA'!R113)</f>
        <v/>
      </c>
      <c r="T105" s="268" t="str">
        <f>IF(ISBLANK('RESUMEN VIGILANCIA'!S113),"",'RESUMEN VIGILANCIA'!S113)</f>
        <v/>
      </c>
      <c r="U105" s="268" t="str">
        <f>IF(ISBLANK('RESUMEN VIGILANCIA'!T113),"",'RESUMEN VIGILANCIA'!T113)</f>
        <v/>
      </c>
      <c r="V105" s="268" t="str">
        <f>IF(ISBLANK('RESUMEN VIGILANCIA'!U113),"",'RESUMEN VIGILANCIA'!U113)</f>
        <v/>
      </c>
      <c r="W105" s="268" t="str">
        <f>IF(ISBLANK('RESUMEN VIGILANCIA'!V113),"",'RESUMEN VIGILANCIA'!V113)</f>
        <v/>
      </c>
      <c r="X105" s="268">
        <f>IF(ISBLANK('RESUMEN VIGILANCIA'!W113),"",'RESUMEN VIGILANCIA'!W113)</f>
        <v>5</v>
      </c>
      <c r="Y105" s="268" t="str">
        <f>IF(ISBLANK('RESUMEN VIGILANCIA'!X113),"",'RESUMEN VIGILANCIA'!X113)</f>
        <v/>
      </c>
      <c r="Z105" s="485" t="str">
        <f>IF(ISBLANK('RESUMEN VIGILANCIA'!Y113),"",'RESUMEN VIGILANCIA'!Y113)</f>
        <v/>
      </c>
      <c r="AA105" s="485">
        <f>IF(ISBLANK('RESUMEN VIGILANCIA'!Z113),"",'RESUMEN VIGILANCIA'!Z113)</f>
        <v>320</v>
      </c>
      <c r="AB105" s="485">
        <f>IF(ISBLANK('RESUMEN VIGILANCIA'!AA113),"",'RESUMEN VIGILANCIA'!AA113)</f>
        <v>320</v>
      </c>
      <c r="AC105" s="486">
        <f>IF(ISBLANK('RESUMEN VIGILANCIA'!AB113),"",'RESUMEN VIGILANCIA'!AB113)</f>
        <v>800</v>
      </c>
      <c r="AD105" s="396">
        <f>IF(ISBLANK('RESUMEN VIGILANCIA'!AC113),"",'RESUMEN VIGILANCIA'!AC113)</f>
        <v>960</v>
      </c>
      <c r="AE105" s="397">
        <f>IF(ISBLANK('RESUMEN VIGILANCIA'!AD113),"",'RESUMEN VIGILANCIA'!AD113)</f>
        <v>1500</v>
      </c>
      <c r="AF105" s="397">
        <f>IF(ISBLANK('RESUMEN VIGILANCIA'!AE113),"",'RESUMEN VIGILANCIA'!AE113)</f>
        <v>3000</v>
      </c>
      <c r="AG105" s="397">
        <f>IF(ISBLANK('RESUMEN VIGILANCIA'!AF113),"",'RESUMEN VIGILANCIA'!AF113)</f>
        <v>5000</v>
      </c>
      <c r="AH105" s="397">
        <f>IF(ISBLANK('RESUMEN VIGILANCIA'!AG113),"",'RESUMEN VIGILANCIA'!AG113)</f>
        <v>8000</v>
      </c>
      <c r="AI105" s="397">
        <f>IF(ISBLANK('RESUMEN VIGILANCIA'!AH113),"",'RESUMEN VIGILANCIA'!AH113)</f>
        <v>8000</v>
      </c>
      <c r="AJ105" s="397">
        <f>IF(ISBLANK('RESUMEN VIGILANCIA'!AI113),"",'RESUMEN VIGILANCIA'!AI113)</f>
        <v>10000</v>
      </c>
      <c r="AK105" s="397">
        <f>IF(ISBLANK('RESUMEN VIGILANCIA'!AJ113),"",'RESUMEN VIGILANCIA'!AJ113)</f>
        <v>10000</v>
      </c>
      <c r="AL105" s="397">
        <f>IF(ISBLANK('RESUMEN VIGILANCIA'!AK113),"",'RESUMEN VIGILANCIA'!AK113)</f>
        <v>21600</v>
      </c>
      <c r="AM105" s="397">
        <f>IF(ISBLANK('RESUMEN VIGILANCIA'!AL113),"",'RESUMEN VIGILANCIA'!AL113)</f>
        <v>21100</v>
      </c>
      <c r="AN105" s="397" t="str">
        <f>IF(ISBLANK('RESUMEN VIGILANCIA'!AM113),"",'RESUMEN VIGILANCIA'!AM113)</f>
        <v/>
      </c>
      <c r="AO105" s="398" t="str">
        <f>IF(ISBLANK('RESUMEN VIGILANCIA'!AN113),"",'RESUMEN VIGILANCIA'!AN113)</f>
        <v/>
      </c>
      <c r="AP105" s="396" t="str">
        <f>IF(ISBLANK('RESUMEN VIGILANCIA'!AO113),"",'RESUMEN VIGILANCIA'!AO113)</f>
        <v/>
      </c>
      <c r="AQ105" s="397" t="str">
        <f>IF(ISBLANK('RESUMEN VIGILANCIA'!AP113),"",'RESUMEN VIGILANCIA'!AP113)</f>
        <v/>
      </c>
      <c r="AR105" s="397" t="str">
        <f>IF(ISBLANK('RESUMEN VIGILANCIA'!AQ113),"",'RESUMEN VIGILANCIA'!AQ113)</f>
        <v/>
      </c>
      <c r="AS105" s="397" t="str">
        <f>IF(ISBLANK('RESUMEN VIGILANCIA'!AR113),"",'RESUMEN VIGILANCIA'!AR113)</f>
        <v/>
      </c>
      <c r="AT105" s="397" t="str">
        <f>IF(ISBLANK('RESUMEN VIGILANCIA'!AS113),"",'RESUMEN VIGILANCIA'!AS113)</f>
        <v/>
      </c>
      <c r="AU105" s="397" t="str">
        <f>IF(ISBLANK('RESUMEN VIGILANCIA'!AT113),"",'RESUMEN VIGILANCIA'!AT113)</f>
        <v/>
      </c>
      <c r="AV105" s="397" t="str">
        <f>IF(ISBLANK('RESUMEN VIGILANCIA'!AU113),"",'RESUMEN VIGILANCIA'!AU113)</f>
        <v/>
      </c>
      <c r="AW105" s="397" t="str">
        <f>IF(ISBLANK('RESUMEN VIGILANCIA'!AV113),"",'RESUMEN VIGILANCIA'!AV113)</f>
        <v/>
      </c>
      <c r="AX105" s="397" t="str">
        <f>IF(ISBLANK('RESUMEN VIGILANCIA'!AW113),"",'RESUMEN VIGILANCIA'!AW113)</f>
        <v/>
      </c>
      <c r="AY105" s="397" t="str">
        <f>IF(ISBLANK('RESUMEN VIGILANCIA'!AX113),"",'RESUMEN VIGILANCIA'!AX113)</f>
        <v/>
      </c>
      <c r="AZ105" s="397" t="str">
        <f>IF(ISBLANK('RESUMEN VIGILANCIA'!AY113),"",'RESUMEN VIGILANCIA'!AY113)</f>
        <v/>
      </c>
      <c r="BA105" s="398" t="str">
        <f>IF(ISBLANK('RESUMEN VIGILANCIA'!AZ113),"",'RESUMEN VIGILANCIA'!AZ113)</f>
        <v/>
      </c>
      <c r="BB105" s="242">
        <f t="shared" si="7"/>
        <v>90605.25</v>
      </c>
      <c r="BC105" s="111"/>
      <c r="BD105" s="111"/>
    </row>
    <row r="106" spans="1:56" s="29" customFormat="1" ht="20.100000000000001" customHeight="1">
      <c r="A106" s="33" t="str">
        <f>'RESUMEN VIGILANCIA'!A136</f>
        <v>Familia Jiménez de Avila</v>
      </c>
      <c r="B106" s="34" t="str">
        <f>'RESUMEN VIGILANCIA'!B136</f>
        <v>Calle Güigüe Nro. 89-116</v>
      </c>
      <c r="C106" s="451" t="s">
        <v>1251</v>
      </c>
      <c r="D106" s="461" t="s">
        <v>1248</v>
      </c>
      <c r="E106" s="439" t="str">
        <f>IF(ISBLANK('RESUMEN VIGILANCIA'!D136),"",'RESUMEN VIGILANCIA'!D136)</f>
        <v/>
      </c>
      <c r="F106" s="267" t="str">
        <f>IF(ISBLANK('RESUMEN VIGILANCIA'!E136),"",'RESUMEN VIGILANCIA'!E136)</f>
        <v/>
      </c>
      <c r="G106" s="189" t="str">
        <f>IF(ISBLANK('RESUMEN VIGILANCIA'!F136),"",'RESUMEN VIGILANCIA'!F136)</f>
        <v/>
      </c>
      <c r="H106" s="189" t="str">
        <f>IF(ISBLANK('RESUMEN VIGILANCIA'!G136),"",'RESUMEN VIGILANCIA'!G136)</f>
        <v/>
      </c>
      <c r="I106" s="189" t="str">
        <f>IF(ISBLANK('RESUMEN VIGILANCIA'!H136),"",'RESUMEN VIGILANCIA'!H136)</f>
        <v/>
      </c>
      <c r="J106" s="189" t="str">
        <f>IF(ISBLANK('RESUMEN VIGILANCIA'!I136),"",'RESUMEN VIGILANCIA'!I136)</f>
        <v/>
      </c>
      <c r="K106" s="189" t="str">
        <f>IF(ISBLANK('RESUMEN VIGILANCIA'!J136),"",'RESUMEN VIGILANCIA'!J136)</f>
        <v/>
      </c>
      <c r="L106" s="189" t="str">
        <f>IF(ISBLANK('RESUMEN VIGILANCIA'!K136),"",'RESUMEN VIGILANCIA'!K136)</f>
        <v/>
      </c>
      <c r="M106" s="189" t="str">
        <f>IF(ISBLANK('RESUMEN VIGILANCIA'!L136),"",'RESUMEN VIGILANCIA'!L136)</f>
        <v/>
      </c>
      <c r="N106" s="189" t="str">
        <f>IF(ISBLANK('RESUMEN VIGILANCIA'!M136),"",'RESUMEN VIGILANCIA'!M136)</f>
        <v/>
      </c>
      <c r="O106" s="189" t="str">
        <f>IF(ISBLANK('RESUMEN VIGILANCIA'!N136),"",'RESUMEN VIGILANCIA'!N136)</f>
        <v/>
      </c>
      <c r="P106" s="268">
        <f>IF(ISBLANK('RESUMEN VIGILANCIA'!O136),"",'RESUMEN VIGILANCIA'!O136)</f>
        <v>0.3</v>
      </c>
      <c r="Q106" s="187" t="str">
        <f>IF(ISBLANK('RESUMEN VIGILANCIA'!P136),"",'RESUMEN VIGILANCIA'!P136)</f>
        <v>ü</v>
      </c>
      <c r="R106" s="538" t="str">
        <f>IF(ISBLANK('RESUMEN VIGILANCIA'!Q136),"",'RESUMEN VIGILANCIA'!Q136)</f>
        <v>ü</v>
      </c>
      <c r="S106" s="539" t="str">
        <f>IF(ISBLANK('RESUMEN VIGILANCIA'!R136),"",'RESUMEN VIGILANCIA'!R136)</f>
        <v>ü</v>
      </c>
      <c r="T106" s="539" t="str">
        <f>IF(ISBLANK('RESUMEN VIGILANCIA'!S136),"",'RESUMEN VIGILANCIA'!S136)</f>
        <v>ü</v>
      </c>
      <c r="U106" s="539" t="str">
        <f>IF(ISBLANK('RESUMEN VIGILANCIA'!T136),"",'RESUMEN VIGILANCIA'!T136)</f>
        <v>ü</v>
      </c>
      <c r="V106" s="539" t="str">
        <f>IF(ISBLANK('RESUMEN VIGILANCIA'!U136),"",'RESUMEN VIGILANCIA'!U136)</f>
        <v>ü</v>
      </c>
      <c r="W106" s="539" t="str">
        <f>IF(ISBLANK('RESUMEN VIGILANCIA'!V136),"",'RESUMEN VIGILANCIA'!V136)</f>
        <v>ü</v>
      </c>
      <c r="X106" s="539" t="str">
        <f>IF(ISBLANK('RESUMEN VIGILANCIA'!W136),"",'RESUMEN VIGILANCIA'!W136)</f>
        <v>ü</v>
      </c>
      <c r="Y106" s="539" t="str">
        <f>IF(ISBLANK('RESUMEN VIGILANCIA'!X136),"",'RESUMEN VIGILANCIA'!X136)</f>
        <v>ü</v>
      </c>
      <c r="Z106" s="540" t="str">
        <f>IF(ISBLANK('RESUMEN VIGILANCIA'!Y136),"",'RESUMEN VIGILANCIA'!Y136)</f>
        <v>ü</v>
      </c>
      <c r="AA106" s="540" t="str">
        <f>IF(ISBLANK('RESUMEN VIGILANCIA'!Z136),"",'RESUMEN VIGILANCIA'!Z136)</f>
        <v>ü</v>
      </c>
      <c r="AB106" s="485">
        <f>IF(ISBLANK('RESUMEN VIGILANCIA'!AA136),"",'RESUMEN VIGILANCIA'!AA136)</f>
        <v>1350</v>
      </c>
      <c r="AC106" s="541" t="str">
        <f>IF(ISBLANK('RESUMEN VIGILANCIA'!AB136),"",'RESUMEN VIGILANCIA'!AB136)</f>
        <v>ü</v>
      </c>
      <c r="AD106" s="542" t="str">
        <f>IF(ISBLANK('RESUMEN VIGILANCIA'!AC136),"",'RESUMEN VIGILANCIA'!AC136)</f>
        <v>ü</v>
      </c>
      <c r="AE106" s="543" t="str">
        <f>IF(ISBLANK('RESUMEN VIGILANCIA'!AD136),"",'RESUMEN VIGILANCIA'!AD136)</f>
        <v>ü</v>
      </c>
      <c r="AF106" s="543" t="str">
        <f>IF(ISBLANK('RESUMEN VIGILANCIA'!AE136),"",'RESUMEN VIGILANCIA'!AE136)</f>
        <v>ü</v>
      </c>
      <c r="AG106" s="543" t="str">
        <f>IF(ISBLANK('RESUMEN VIGILANCIA'!AF136),"",'RESUMEN VIGILANCIA'!AF136)</f>
        <v>ü</v>
      </c>
      <c r="AH106" s="543" t="str">
        <f>IF(ISBLANK('RESUMEN VIGILANCIA'!AG136),"",'RESUMEN VIGILANCIA'!AG136)</f>
        <v>ü</v>
      </c>
      <c r="AI106" s="543" t="str">
        <f>IF(ISBLANK('RESUMEN VIGILANCIA'!AH136),"",'RESUMEN VIGILANCIA'!AH136)</f>
        <v>ü</v>
      </c>
      <c r="AJ106" s="397">
        <f>IF(ISBLANK('RESUMEN VIGILANCIA'!AI136),"",'RESUMEN VIGILANCIA'!AI136)</f>
        <v>5000</v>
      </c>
      <c r="AK106" s="397">
        <f>IF(ISBLANK('RESUMEN VIGILANCIA'!AJ136),"",'RESUMEN VIGILANCIA'!AJ136)</f>
        <v>5000</v>
      </c>
      <c r="AL106" s="397">
        <f>IF(ISBLANK('RESUMEN VIGILANCIA'!AK136),"",'RESUMEN VIGILANCIA'!AK136)</f>
        <v>5000</v>
      </c>
      <c r="AM106" s="397">
        <f>IF(ISBLANK('RESUMEN VIGILANCIA'!AL136),"",'RESUMEN VIGILANCIA'!AL136)</f>
        <v>5000</v>
      </c>
      <c r="AN106" s="397">
        <f>IF(ISBLANK('RESUMEN VIGILANCIA'!AM136),"",'RESUMEN VIGILANCIA'!AM136)</f>
        <v>5000</v>
      </c>
      <c r="AO106" s="398">
        <f>IF(ISBLANK('RESUMEN VIGILANCIA'!AN136),"",'RESUMEN VIGILANCIA'!AN136)</f>
        <v>5000</v>
      </c>
      <c r="AP106" s="396">
        <f>IF(ISBLANK('RESUMEN VIGILANCIA'!AO136),"",'RESUMEN VIGILANCIA'!AO136)</f>
        <v>70000</v>
      </c>
      <c r="AQ106" s="397">
        <f>IF(ISBLANK('RESUMEN VIGILANCIA'!AP136),"",'RESUMEN VIGILANCIA'!AP136)</f>
        <v>70000</v>
      </c>
      <c r="AR106" s="397">
        <f>IF(ISBLANK('RESUMEN VIGILANCIA'!AQ136),"",'RESUMEN VIGILANCIA'!AQ136)</f>
        <v>70000</v>
      </c>
      <c r="AS106" s="543" t="str">
        <f>IF(ISBLANK('RESUMEN VIGILANCIA'!AR136),"",'RESUMEN VIGILANCIA'!AR136)</f>
        <v/>
      </c>
      <c r="AT106" s="543" t="str">
        <f>IF(ISBLANK('RESUMEN VIGILANCIA'!AS136),"",'RESUMEN VIGILANCIA'!AS136)</f>
        <v/>
      </c>
      <c r="AU106" s="543" t="str">
        <f>IF(ISBLANK('RESUMEN VIGILANCIA'!AT136),"",'RESUMEN VIGILANCIA'!AT136)</f>
        <v/>
      </c>
      <c r="AV106" s="397" t="str">
        <f>IF(ISBLANK('RESUMEN VIGILANCIA'!AU136),"",'RESUMEN VIGILANCIA'!AU136)</f>
        <v/>
      </c>
      <c r="AW106" s="397" t="str">
        <f>IF(ISBLANK('RESUMEN VIGILANCIA'!AV136),"",'RESUMEN VIGILANCIA'!AV136)</f>
        <v/>
      </c>
      <c r="AX106" s="397" t="str">
        <f>IF(ISBLANK('RESUMEN VIGILANCIA'!AW136),"",'RESUMEN VIGILANCIA'!AW136)</f>
        <v/>
      </c>
      <c r="AY106" s="397" t="str">
        <f>IF(ISBLANK('RESUMEN VIGILANCIA'!AX136),"",'RESUMEN VIGILANCIA'!AX136)</f>
        <v/>
      </c>
      <c r="AZ106" s="397" t="str">
        <f>IF(ISBLANK('RESUMEN VIGILANCIA'!AY136),"",'RESUMEN VIGILANCIA'!AY136)</f>
        <v/>
      </c>
      <c r="BA106" s="398" t="str">
        <f>IF(ISBLANK('RESUMEN VIGILANCIA'!AZ136),"",'RESUMEN VIGILANCIA'!AZ136)</f>
        <v/>
      </c>
      <c r="BB106" s="242">
        <f t="shared" si="7"/>
        <v>31350.3</v>
      </c>
      <c r="BC106" s="111"/>
      <c r="BD106" s="111"/>
    </row>
    <row r="107" spans="1:56" s="29" customFormat="1" ht="20.100000000000001" customHeight="1">
      <c r="A107" s="40" t="str">
        <f>'RESUMEN VIGILANCIA'!A140</f>
        <v>Familia Pena Wierman</v>
      </c>
      <c r="B107" s="41" t="str">
        <f>'RESUMEN VIGILANCIA'!B140</f>
        <v>Calle Güigüe Nro. 89-126</v>
      </c>
      <c r="C107" s="454"/>
      <c r="D107" s="462" t="s">
        <v>1248</v>
      </c>
      <c r="E107" s="445" t="str">
        <f>IF(ISBLANK('RESUMEN VIGILANCIA'!D140),"",'RESUMEN VIGILANCIA'!D140)</f>
        <v/>
      </c>
      <c r="F107" s="290" t="str">
        <f>IF(ISBLANK('RESUMEN VIGILANCIA'!E140),"",'RESUMEN VIGILANCIA'!E140)</f>
        <v/>
      </c>
      <c r="G107" s="238" t="str">
        <f>IF(ISBLANK('RESUMEN VIGILANCIA'!F140),"",'RESUMEN VIGILANCIA'!F140)</f>
        <v/>
      </c>
      <c r="H107" s="238" t="str">
        <f>IF(ISBLANK('RESUMEN VIGILANCIA'!G140),"",'RESUMEN VIGILANCIA'!G140)</f>
        <v/>
      </c>
      <c r="I107" s="238" t="str">
        <f>IF(ISBLANK('RESUMEN VIGILANCIA'!H140),"",'RESUMEN VIGILANCIA'!H140)</f>
        <v/>
      </c>
      <c r="J107" s="238" t="str">
        <f>IF(ISBLANK('RESUMEN VIGILANCIA'!I140),"",'RESUMEN VIGILANCIA'!I140)</f>
        <v/>
      </c>
      <c r="K107" s="238" t="str">
        <f>IF(ISBLANK('RESUMEN VIGILANCIA'!J140),"",'RESUMEN VIGILANCIA'!J140)</f>
        <v/>
      </c>
      <c r="L107" s="238" t="str">
        <f>IF(ISBLANK('RESUMEN VIGILANCIA'!K140),"",'RESUMEN VIGILANCIA'!K140)</f>
        <v/>
      </c>
      <c r="M107" s="238" t="str">
        <f>IF(ISBLANK('RESUMEN VIGILANCIA'!L140),"",'RESUMEN VIGILANCIA'!L140)</f>
        <v/>
      </c>
      <c r="N107" s="238" t="str">
        <f>IF(ISBLANK('RESUMEN VIGILANCIA'!M140),"",'RESUMEN VIGILANCIA'!M140)</f>
        <v/>
      </c>
      <c r="O107" s="238" t="str">
        <f>IF(ISBLANK('RESUMEN VIGILANCIA'!N140),"",'RESUMEN VIGILANCIA'!N140)</f>
        <v/>
      </c>
      <c r="P107" s="291" t="str">
        <f>IF(ISBLANK('RESUMEN VIGILANCIA'!O140),"",'RESUMEN VIGILANCIA'!O140)</f>
        <v/>
      </c>
      <c r="Q107" s="236" t="str">
        <f>IF(ISBLANK('RESUMEN VIGILANCIA'!P140),"",'RESUMEN VIGILANCIA'!P140)</f>
        <v/>
      </c>
      <c r="R107" s="292" t="str">
        <f>IF(ISBLANK('RESUMEN VIGILANCIA'!Q140),"",'RESUMEN VIGILANCIA'!Q140)</f>
        <v/>
      </c>
      <c r="S107" s="291" t="str">
        <f>IF(ISBLANK('RESUMEN VIGILANCIA'!R140),"",'RESUMEN VIGILANCIA'!R140)</f>
        <v/>
      </c>
      <c r="T107" s="291" t="str">
        <f>IF(ISBLANK('RESUMEN VIGILANCIA'!S140),"",'RESUMEN VIGILANCIA'!S140)</f>
        <v/>
      </c>
      <c r="U107" s="291" t="str">
        <f>IF(ISBLANK('RESUMEN VIGILANCIA'!T140),"",'RESUMEN VIGILANCIA'!T140)</f>
        <v/>
      </c>
      <c r="V107" s="291" t="str">
        <f>IF(ISBLANK('RESUMEN VIGILANCIA'!U140),"",'RESUMEN VIGILANCIA'!U140)</f>
        <v/>
      </c>
      <c r="W107" s="291" t="str">
        <f>IF(ISBLANK('RESUMEN VIGILANCIA'!V140),"",'RESUMEN VIGILANCIA'!V140)</f>
        <v/>
      </c>
      <c r="X107" s="291" t="str">
        <f>IF(ISBLANK('RESUMEN VIGILANCIA'!W140),"",'RESUMEN VIGILANCIA'!W140)</f>
        <v/>
      </c>
      <c r="Y107" s="291" t="str">
        <f>IF(ISBLANK('RESUMEN VIGILANCIA'!X140),"",'RESUMEN VIGILANCIA'!X140)</f>
        <v/>
      </c>
      <c r="Z107" s="502" t="str">
        <f>IF(ISBLANK('RESUMEN VIGILANCIA'!Y140),"",'RESUMEN VIGILANCIA'!Y140)</f>
        <v/>
      </c>
      <c r="AA107" s="502" t="str">
        <f>IF(ISBLANK('RESUMEN VIGILANCIA'!Z140),"",'RESUMEN VIGILANCIA'!Z140)</f>
        <v/>
      </c>
      <c r="AB107" s="502" t="str">
        <f>IF(ISBLANK('RESUMEN VIGILANCIA'!AA140),"",'RESUMEN VIGILANCIA'!AA140)</f>
        <v/>
      </c>
      <c r="AC107" s="503" t="str">
        <f>IF(ISBLANK('RESUMEN VIGILANCIA'!AB140),"",'RESUMEN VIGILANCIA'!AB140)</f>
        <v/>
      </c>
      <c r="AD107" s="421" t="str">
        <f>IF(ISBLANK('RESUMEN VIGILANCIA'!AC140),"",'RESUMEN VIGILANCIA'!AC140)</f>
        <v/>
      </c>
      <c r="AE107" s="422" t="str">
        <f>IF(ISBLANK('RESUMEN VIGILANCIA'!AD140),"",'RESUMEN VIGILANCIA'!AD140)</f>
        <v/>
      </c>
      <c r="AF107" s="422" t="str">
        <f>IF(ISBLANK('RESUMEN VIGILANCIA'!AE140),"",'RESUMEN VIGILANCIA'!AE140)</f>
        <v/>
      </c>
      <c r="AG107" s="422" t="str">
        <f>IF(ISBLANK('RESUMEN VIGILANCIA'!AF140),"",'RESUMEN VIGILANCIA'!AF140)</f>
        <v/>
      </c>
      <c r="AH107" s="422" t="str">
        <f>IF(ISBLANK('RESUMEN VIGILANCIA'!AG140),"",'RESUMEN VIGILANCIA'!AG140)</f>
        <v/>
      </c>
      <c r="AI107" s="422" t="str">
        <f>IF(ISBLANK('RESUMEN VIGILANCIA'!AH140),"",'RESUMEN VIGILANCIA'!AH140)</f>
        <v/>
      </c>
      <c r="AJ107" s="422" t="str">
        <f>IF(ISBLANK('RESUMEN VIGILANCIA'!AI140),"",'RESUMEN VIGILANCIA'!AI140)</f>
        <v/>
      </c>
      <c r="AK107" s="422" t="str">
        <f>IF(ISBLANK('RESUMEN VIGILANCIA'!AJ140),"",'RESUMEN VIGILANCIA'!AJ140)</f>
        <v/>
      </c>
      <c r="AL107" s="422" t="str">
        <f>IF(ISBLANK('RESUMEN VIGILANCIA'!AK140),"",'RESUMEN VIGILANCIA'!AK140)</f>
        <v/>
      </c>
      <c r="AM107" s="422" t="str">
        <f>IF(ISBLANK('RESUMEN VIGILANCIA'!AL140),"",'RESUMEN VIGILANCIA'!AL140)</f>
        <v/>
      </c>
      <c r="AN107" s="422" t="str">
        <f>IF(ISBLANK('RESUMEN VIGILANCIA'!AM140),"",'RESUMEN VIGILANCIA'!AM140)</f>
        <v/>
      </c>
      <c r="AO107" s="423" t="str">
        <f>IF(ISBLANK('RESUMEN VIGILANCIA'!AN140),"",'RESUMEN VIGILANCIA'!AN140)</f>
        <v/>
      </c>
      <c r="AP107" s="421" t="str">
        <f>IF(ISBLANK('RESUMEN VIGILANCIA'!AO140),"",'RESUMEN VIGILANCIA'!AO140)</f>
        <v/>
      </c>
      <c r="AQ107" s="422" t="str">
        <f>IF(ISBLANK('RESUMEN VIGILANCIA'!AP140),"",'RESUMEN VIGILANCIA'!AP140)</f>
        <v/>
      </c>
      <c r="AR107" s="422" t="str">
        <f>IF(ISBLANK('RESUMEN VIGILANCIA'!AQ140),"",'RESUMEN VIGILANCIA'!AQ140)</f>
        <v/>
      </c>
      <c r="AS107" s="422" t="str">
        <f>IF(ISBLANK('RESUMEN VIGILANCIA'!AR140),"",'RESUMEN VIGILANCIA'!AR140)</f>
        <v/>
      </c>
      <c r="AT107" s="422" t="str">
        <f>IF(ISBLANK('RESUMEN VIGILANCIA'!AS140),"",'RESUMEN VIGILANCIA'!AS140)</f>
        <v/>
      </c>
      <c r="AU107" s="422" t="str">
        <f>IF(ISBLANK('RESUMEN VIGILANCIA'!AT140),"",'RESUMEN VIGILANCIA'!AT140)</f>
        <v/>
      </c>
      <c r="AV107" s="422" t="str">
        <f>IF(ISBLANK('RESUMEN VIGILANCIA'!AU140),"",'RESUMEN VIGILANCIA'!AU140)</f>
        <v/>
      </c>
      <c r="AW107" s="422" t="str">
        <f>IF(ISBLANK('RESUMEN VIGILANCIA'!AV140),"",'RESUMEN VIGILANCIA'!AV140)</f>
        <v/>
      </c>
      <c r="AX107" s="422" t="str">
        <f>IF(ISBLANK('RESUMEN VIGILANCIA'!AW140),"",'RESUMEN VIGILANCIA'!AW140)</f>
        <v/>
      </c>
      <c r="AY107" s="422" t="str">
        <f>IF(ISBLANK('RESUMEN VIGILANCIA'!AX140),"",'RESUMEN VIGILANCIA'!AX140)</f>
        <v/>
      </c>
      <c r="AZ107" s="422" t="str">
        <f>IF(ISBLANK('RESUMEN VIGILANCIA'!AY140),"",'RESUMEN VIGILANCIA'!AY140)</f>
        <v/>
      </c>
      <c r="BA107" s="423" t="str">
        <f>IF(ISBLANK('RESUMEN VIGILANCIA'!AZ140),"",'RESUMEN VIGILANCIA'!AZ140)</f>
        <v/>
      </c>
      <c r="BB107" s="247">
        <f t="shared" si="7"/>
        <v>0</v>
      </c>
      <c r="BC107" s="115"/>
      <c r="BD107" s="115">
        <v>43191</v>
      </c>
    </row>
    <row r="108" spans="1:56" s="29" customFormat="1" ht="20.100000000000001" customHeight="1">
      <c r="A108" s="59" t="str">
        <f>'RESUMEN VIGILANCIA'!A103</f>
        <v>Familia Sayago Peñaranda</v>
      </c>
      <c r="B108" s="60" t="str">
        <f>'RESUMEN VIGILANCIA'!B103</f>
        <v>Calle Güigüe Nro. 89-04</v>
      </c>
      <c r="C108" s="452" t="s">
        <v>1249</v>
      </c>
      <c r="D108" s="460" t="s">
        <v>1248</v>
      </c>
      <c r="E108" s="440" t="str">
        <f>IF(ISBLANK('RESUMEN VIGILANCIA'!D103),"",'RESUMEN VIGILANCIA'!D103)</f>
        <v/>
      </c>
      <c r="F108" s="270">
        <f>IF(ISBLANK('RESUMEN VIGILANCIA'!E103),"",'RESUMEN VIGILANCIA'!E103)</f>
        <v>0.17</v>
      </c>
      <c r="G108" s="182">
        <f>IF(ISBLANK('RESUMEN VIGILANCIA'!F103),"",'RESUMEN VIGILANCIA'!F103)</f>
        <v>0.17</v>
      </c>
      <c r="H108" s="182">
        <f>IF(ISBLANK('RESUMEN VIGILANCIA'!G103),"",'RESUMEN VIGILANCIA'!G103)</f>
        <v>0.17</v>
      </c>
      <c r="I108" s="182">
        <f>IF(ISBLANK('RESUMEN VIGILANCIA'!H103),"",'RESUMEN VIGILANCIA'!H103)</f>
        <v>0.17</v>
      </c>
      <c r="J108" s="182">
        <f>IF(ISBLANK('RESUMEN VIGILANCIA'!I103),"",'RESUMEN VIGILANCIA'!I103)</f>
        <v>0.26</v>
      </c>
      <c r="K108" s="182">
        <f>IF(ISBLANK('RESUMEN VIGILANCIA'!J103),"",'RESUMEN VIGILANCIA'!J103)</f>
        <v>0.26</v>
      </c>
      <c r="L108" s="182">
        <f>IF(ISBLANK('RESUMEN VIGILANCIA'!K103),"",'RESUMEN VIGILANCIA'!K103)</f>
        <v>0.35</v>
      </c>
      <c r="M108" s="182">
        <f>IF(ISBLANK('RESUMEN VIGILANCIA'!L103),"",'RESUMEN VIGILANCIA'!L103)</f>
        <v>0.35</v>
      </c>
      <c r="N108" s="182">
        <f>IF(ISBLANK('RESUMEN VIGILANCIA'!M103),"",'RESUMEN VIGILANCIA'!M103)</f>
        <v>0.35</v>
      </c>
      <c r="O108" s="182">
        <f>IF(ISBLANK('RESUMEN VIGILANCIA'!N103),"",'RESUMEN VIGILANCIA'!N103)</f>
        <v>0.35</v>
      </c>
      <c r="P108" s="271">
        <f>IF(ISBLANK('RESUMEN VIGILANCIA'!O103),"",'RESUMEN VIGILANCIA'!O103)</f>
        <v>0.5</v>
      </c>
      <c r="Q108" s="180">
        <f>IF(ISBLANK('RESUMEN VIGILANCIA'!P103),"",'RESUMEN VIGILANCIA'!P103)</f>
        <v>0.5</v>
      </c>
      <c r="R108" s="272">
        <f>IF(ISBLANK('RESUMEN VIGILANCIA'!Q103),"",'RESUMEN VIGILANCIA'!Q103)</f>
        <v>0.8</v>
      </c>
      <c r="S108" s="271">
        <f>IF(ISBLANK('RESUMEN VIGILANCIA'!R103),"",'RESUMEN VIGILANCIA'!R103)</f>
        <v>0.8</v>
      </c>
      <c r="T108" s="271">
        <f>IF(ISBLANK('RESUMEN VIGILANCIA'!S103),"",'RESUMEN VIGILANCIA'!S103)</f>
        <v>1.4</v>
      </c>
      <c r="U108" s="271">
        <f>IF(ISBLANK('RESUMEN VIGILANCIA'!T103),"",'RESUMEN VIGILANCIA'!T103)</f>
        <v>1.4</v>
      </c>
      <c r="V108" s="275" t="s">
        <v>1158</v>
      </c>
      <c r="W108" s="276" t="str">
        <f>IF(ISBLANK('RESUMEN VIGILANCIA'!V103),"",'RESUMEN VIGILANCIA'!V103)</f>
        <v/>
      </c>
      <c r="X108" s="276" t="str">
        <f>IF(ISBLANK('RESUMEN VIGILANCIA'!W103),"",'RESUMEN VIGILANCIA'!W103)</f>
        <v/>
      </c>
      <c r="Y108" s="276" t="str">
        <f>IF(ISBLANK('RESUMEN VIGILANCIA'!X103),"",'RESUMEN VIGILANCIA'!X103)</f>
        <v/>
      </c>
      <c r="Z108" s="487" t="str">
        <f>IF(ISBLANK('RESUMEN VIGILANCIA'!Y103),"",'RESUMEN VIGILANCIA'!Y103)</f>
        <v/>
      </c>
      <c r="AA108" s="487" t="str">
        <f>IF(ISBLANK('RESUMEN VIGILANCIA'!Z103),"",'RESUMEN VIGILANCIA'!Z103)</f>
        <v/>
      </c>
      <c r="AB108" s="487" t="str">
        <f>IF(ISBLANK('RESUMEN VIGILANCIA'!AA103),"",'RESUMEN VIGILANCIA'!AA103)</f>
        <v/>
      </c>
      <c r="AC108" s="488" t="str">
        <f>IF(ISBLANK('RESUMEN VIGILANCIA'!AB103),"",'RESUMEN VIGILANCIA'!AB103)</f>
        <v/>
      </c>
      <c r="AD108" s="415" t="str">
        <f>IF(ISBLANK('RESUMEN VIGILANCIA'!AC103),"",'RESUMEN VIGILANCIA'!AC103)</f>
        <v/>
      </c>
      <c r="AE108" s="416" t="str">
        <f>IF(ISBLANK('RESUMEN VIGILANCIA'!AD103),"",'RESUMEN VIGILANCIA'!AD103)</f>
        <v/>
      </c>
      <c r="AF108" s="416" t="str">
        <f>IF(ISBLANK('RESUMEN VIGILANCIA'!AE103),"",'RESUMEN VIGILANCIA'!AE103)</f>
        <v/>
      </c>
      <c r="AG108" s="416" t="str">
        <f>IF(ISBLANK('RESUMEN VIGILANCIA'!AF103),"",'RESUMEN VIGILANCIA'!AF103)</f>
        <v/>
      </c>
      <c r="AH108" s="416" t="str">
        <f>IF(ISBLANK('RESUMEN VIGILANCIA'!AG103),"",'RESUMEN VIGILANCIA'!AG103)</f>
        <v/>
      </c>
      <c r="AI108" s="416" t="str">
        <f>IF(ISBLANK('RESUMEN VIGILANCIA'!AH103),"",'RESUMEN VIGILANCIA'!AH103)</f>
        <v/>
      </c>
      <c r="AJ108" s="416" t="str">
        <f>IF(ISBLANK('RESUMEN VIGILANCIA'!AI103),"",'RESUMEN VIGILANCIA'!AI103)</f>
        <v/>
      </c>
      <c r="AK108" s="416" t="str">
        <f>IF(ISBLANK('RESUMEN VIGILANCIA'!AJ103),"",'RESUMEN VIGILANCIA'!AJ103)</f>
        <v/>
      </c>
      <c r="AL108" s="416" t="str">
        <f>IF(ISBLANK('RESUMEN VIGILANCIA'!AK103),"",'RESUMEN VIGILANCIA'!AK103)</f>
        <v/>
      </c>
      <c r="AM108" s="416" t="str">
        <f>IF(ISBLANK('RESUMEN VIGILANCIA'!AL103),"",'RESUMEN VIGILANCIA'!AL103)</f>
        <v/>
      </c>
      <c r="AN108" s="416" t="str">
        <f>IF(ISBLANK('RESUMEN VIGILANCIA'!AM103),"",'RESUMEN VIGILANCIA'!AM103)</f>
        <v/>
      </c>
      <c r="AO108" s="417" t="str">
        <f>IF(ISBLANK('RESUMEN VIGILANCIA'!AN103),"",'RESUMEN VIGILANCIA'!AN103)</f>
        <v/>
      </c>
      <c r="AP108" s="415" t="str">
        <f>IF(ISBLANK('RESUMEN VIGILANCIA'!AO103),"",'RESUMEN VIGILANCIA'!AO103)</f>
        <v/>
      </c>
      <c r="AQ108" s="416" t="str">
        <f>IF(ISBLANK('RESUMEN VIGILANCIA'!AP103),"",'RESUMEN VIGILANCIA'!AP103)</f>
        <v/>
      </c>
      <c r="AR108" s="416" t="str">
        <f>IF(ISBLANK('RESUMEN VIGILANCIA'!AQ103),"",'RESUMEN VIGILANCIA'!AQ103)</f>
        <v/>
      </c>
      <c r="AS108" s="416" t="str">
        <f>IF(ISBLANK('RESUMEN VIGILANCIA'!AR103),"",'RESUMEN VIGILANCIA'!AR103)</f>
        <v/>
      </c>
      <c r="AT108" s="416" t="str">
        <f>IF(ISBLANK('RESUMEN VIGILANCIA'!AS103),"",'RESUMEN VIGILANCIA'!AS103)</f>
        <v/>
      </c>
      <c r="AU108" s="416" t="str">
        <f>IF(ISBLANK('RESUMEN VIGILANCIA'!AT103),"",'RESUMEN VIGILANCIA'!AT103)</f>
        <v/>
      </c>
      <c r="AV108" s="416" t="str">
        <f>IF(ISBLANK('RESUMEN VIGILANCIA'!AU103),"",'RESUMEN VIGILANCIA'!AU103)</f>
        <v/>
      </c>
      <c r="AW108" s="416" t="str">
        <f>IF(ISBLANK('RESUMEN VIGILANCIA'!AV103),"",'RESUMEN VIGILANCIA'!AV103)</f>
        <v/>
      </c>
      <c r="AX108" s="416" t="str">
        <f>IF(ISBLANK('RESUMEN VIGILANCIA'!AW103),"",'RESUMEN VIGILANCIA'!AW103)</f>
        <v/>
      </c>
      <c r="AY108" s="416" t="str">
        <f>IF(ISBLANK('RESUMEN VIGILANCIA'!AX103),"",'RESUMEN VIGILANCIA'!AX103)</f>
        <v/>
      </c>
      <c r="AZ108" s="416" t="str">
        <f>IF(ISBLANK('RESUMEN VIGILANCIA'!AY103),"",'RESUMEN VIGILANCIA'!AY103)</f>
        <v/>
      </c>
      <c r="BA108" s="417" t="str">
        <f>IF(ISBLANK('RESUMEN VIGILANCIA'!AZ103),"",'RESUMEN VIGILANCIA'!AZ103)</f>
        <v/>
      </c>
      <c r="BB108" s="243">
        <f t="shared" si="7"/>
        <v>8</v>
      </c>
      <c r="BC108" s="112"/>
      <c r="BD108" s="112">
        <v>43191</v>
      </c>
    </row>
    <row r="109" spans="1:56" s="29" customFormat="1" ht="20.100000000000001" customHeight="1">
      <c r="A109" s="30" t="str">
        <f>'RESUMEN VIGILANCIA'!A104</f>
        <v>Carmen Moreno</v>
      </c>
      <c r="B109" s="31" t="str">
        <f>'RESUMEN VIGILANCIA'!B104</f>
        <v>Calle Güigüe Nro. 89-04</v>
      </c>
      <c r="C109" s="452" t="s">
        <v>1249</v>
      </c>
      <c r="D109" s="460" t="s">
        <v>17</v>
      </c>
      <c r="E109" s="442" t="str">
        <f>IF(ISBLANK('RESUMEN VIGILANCIA'!D104),"",'RESUMEN VIGILANCIA'!D104)</f>
        <v/>
      </c>
      <c r="F109" s="283" t="str">
        <f>IF(ISBLANK('RESUMEN VIGILANCIA'!E104),"",'RESUMEN VIGILANCIA'!E104)</f>
        <v/>
      </c>
      <c r="G109" s="210" t="str">
        <f>IF(ISBLANK('RESUMEN VIGILANCIA'!F104),"",'RESUMEN VIGILANCIA'!F104)</f>
        <v/>
      </c>
      <c r="H109" s="210" t="str">
        <f>IF(ISBLANK('RESUMEN VIGILANCIA'!G104),"",'RESUMEN VIGILANCIA'!G104)</f>
        <v/>
      </c>
      <c r="I109" s="210" t="str">
        <f>IF(ISBLANK('RESUMEN VIGILANCIA'!H104),"",'RESUMEN VIGILANCIA'!H104)</f>
        <v/>
      </c>
      <c r="J109" s="210" t="str">
        <f>IF(ISBLANK('RESUMEN VIGILANCIA'!I104),"",'RESUMEN VIGILANCIA'!I104)</f>
        <v/>
      </c>
      <c r="K109" s="210" t="str">
        <f>IF(ISBLANK('RESUMEN VIGILANCIA'!J104),"",'RESUMEN VIGILANCIA'!J104)</f>
        <v/>
      </c>
      <c r="L109" s="210" t="str">
        <f>IF(ISBLANK('RESUMEN VIGILANCIA'!K104),"",'RESUMEN VIGILANCIA'!K104)</f>
        <v/>
      </c>
      <c r="M109" s="210" t="str">
        <f>IF(ISBLANK('RESUMEN VIGILANCIA'!L104),"",'RESUMEN VIGILANCIA'!L104)</f>
        <v/>
      </c>
      <c r="N109" s="210" t="str">
        <f>IF(ISBLANK('RESUMEN VIGILANCIA'!M104),"",'RESUMEN VIGILANCIA'!M104)</f>
        <v/>
      </c>
      <c r="O109" s="210" t="str">
        <f>IF(ISBLANK('RESUMEN VIGILANCIA'!N104),"",'RESUMEN VIGILANCIA'!N104)</f>
        <v/>
      </c>
      <c r="P109" s="293" t="str">
        <f>IF(ISBLANK('RESUMEN VIGILANCIA'!O104),"",'RESUMEN VIGILANCIA'!O104)</f>
        <v/>
      </c>
      <c r="Q109" s="208" t="str">
        <f>IF(ISBLANK('RESUMEN VIGILANCIA'!P104),"",'RESUMEN VIGILANCIA'!P104)</f>
        <v/>
      </c>
      <c r="R109" s="294" t="str">
        <f>IF(ISBLANK('RESUMEN VIGILANCIA'!Q104),"",'RESUMEN VIGILANCIA'!Q104)</f>
        <v/>
      </c>
      <c r="S109" s="293" t="str">
        <f>IF(ISBLANK('RESUMEN VIGILANCIA'!R104),"",'RESUMEN VIGILANCIA'!R104)</f>
        <v/>
      </c>
      <c r="T109" s="293" t="str">
        <f>IF(ISBLANK('RESUMEN VIGILANCIA'!S104),"",'RESUMEN VIGILANCIA'!S104)</f>
        <v/>
      </c>
      <c r="U109" s="293" t="str">
        <f>IF(ISBLANK('RESUMEN VIGILANCIA'!T104),"",'RESUMEN VIGILANCIA'!T104)</f>
        <v/>
      </c>
      <c r="V109" s="271">
        <f>IF(ISBLANK('RESUMEN VIGILANCIA'!U104),"",'RESUMEN VIGILANCIA'!U104)</f>
        <v>4</v>
      </c>
      <c r="W109" s="271">
        <f>IF(ISBLANK('RESUMEN VIGILANCIA'!V104),"",'RESUMEN VIGILANCIA'!V104)</f>
        <v>6.25</v>
      </c>
      <c r="X109" s="271">
        <f>IF(ISBLANK('RESUMEN VIGILANCIA'!W104),"",'RESUMEN VIGILANCIA'!W104)</f>
        <v>10</v>
      </c>
      <c r="Y109" s="271">
        <f>IF(ISBLANK('RESUMEN VIGILANCIA'!X104),"",'RESUMEN VIGILANCIA'!X104)</f>
        <v>12</v>
      </c>
      <c r="Z109" s="481">
        <f>IF(ISBLANK('RESUMEN VIGILANCIA'!Y104),"",'RESUMEN VIGILANCIA'!Y104)</f>
        <v>320</v>
      </c>
      <c r="AA109" s="481">
        <f>IF(ISBLANK('RESUMEN VIGILANCIA'!Z104),"",'RESUMEN VIGILANCIA'!Z104)</f>
        <v>320</v>
      </c>
      <c r="AB109" s="481">
        <f>IF(ISBLANK('RESUMEN VIGILANCIA'!AA104),"",'RESUMEN VIGILANCIA'!AA104)</f>
        <v>320</v>
      </c>
      <c r="AC109" s="482">
        <f>IF(ISBLANK('RESUMEN VIGILANCIA'!AB104),"",'RESUMEN VIGILANCIA'!AB104)</f>
        <v>800</v>
      </c>
      <c r="AD109" s="399">
        <f>IF(ISBLANK('RESUMEN VIGILANCIA'!AC104),"",'RESUMEN VIGILANCIA'!AC104)</f>
        <v>3000</v>
      </c>
      <c r="AE109" s="400">
        <f>IF(ISBLANK('RESUMEN VIGILANCIA'!AD104),"",'RESUMEN VIGILANCIA'!AD104)</f>
        <v>3000</v>
      </c>
      <c r="AF109" s="400">
        <f>IF(ISBLANK('RESUMEN VIGILANCIA'!AE104),"",'RESUMEN VIGILANCIA'!AE104)</f>
        <v>3000</v>
      </c>
      <c r="AG109" s="400">
        <f>IF(ISBLANK('RESUMEN VIGILANCIA'!AF104),"",'RESUMEN VIGILANCIA'!AF104)</f>
        <v>5000</v>
      </c>
      <c r="AH109" s="400">
        <f>IF(ISBLANK('RESUMEN VIGILANCIA'!AG104),"",'RESUMEN VIGILANCIA'!AG104)</f>
        <v>8000</v>
      </c>
      <c r="AI109" s="400">
        <f>IF(ISBLANK('RESUMEN VIGILANCIA'!AH104),"",'RESUMEN VIGILANCIA'!AH104)</f>
        <v>8000</v>
      </c>
      <c r="AJ109" s="400">
        <f>IF(ISBLANK('RESUMEN VIGILANCIA'!AI104),"",'RESUMEN VIGILANCIA'!AI104)</f>
        <v>10000</v>
      </c>
      <c r="AK109" s="400">
        <f>IF(ISBLANK('RESUMEN VIGILANCIA'!AJ104),"",'RESUMEN VIGILANCIA'!AJ104)</f>
        <v>10000</v>
      </c>
      <c r="AL109" s="400">
        <f>IF(ISBLANK('RESUMEN VIGILANCIA'!AK104),"",'RESUMEN VIGILANCIA'!AK104)</f>
        <v>23400</v>
      </c>
      <c r="AM109" s="400">
        <f>IF(ISBLANK('RESUMEN VIGILANCIA'!AL104),"",'RESUMEN VIGILANCIA'!AL104)</f>
        <v>47000</v>
      </c>
      <c r="AN109" s="400">
        <f>IF(ISBLANK('RESUMEN VIGILANCIA'!AM104),"",'RESUMEN VIGILANCIA'!AM104)</f>
        <v>73500</v>
      </c>
      <c r="AO109" s="401">
        <f>IF(ISBLANK('RESUMEN VIGILANCIA'!AN104),"",'RESUMEN VIGILANCIA'!AN104)</f>
        <v>97500</v>
      </c>
      <c r="AP109" s="399">
        <f>IF(ISBLANK('RESUMEN VIGILANCIA'!AO104),"",'RESUMEN VIGILANCIA'!AO104)</f>
        <v>136250</v>
      </c>
      <c r="AQ109" s="400">
        <f>IF(ISBLANK('RESUMEN VIGILANCIA'!AP104),"",'RESUMEN VIGILANCIA'!AP104)</f>
        <v>136250</v>
      </c>
      <c r="AR109" s="400" t="str">
        <f>IF(ISBLANK('RESUMEN VIGILANCIA'!AQ104),"",'RESUMEN VIGILANCIA'!AQ104)</f>
        <v/>
      </c>
      <c r="AS109" s="400" t="str">
        <f>IF(ISBLANK('RESUMEN VIGILANCIA'!AR104),"",'RESUMEN VIGILANCIA'!AR104)</f>
        <v/>
      </c>
      <c r="AT109" s="400" t="str">
        <f>IF(ISBLANK('RESUMEN VIGILANCIA'!AS104),"",'RESUMEN VIGILANCIA'!AS104)</f>
        <v/>
      </c>
      <c r="AU109" s="400" t="str">
        <f>IF(ISBLANK('RESUMEN VIGILANCIA'!AT104),"",'RESUMEN VIGILANCIA'!AT104)</f>
        <v/>
      </c>
      <c r="AV109" s="400" t="str">
        <f>IF(ISBLANK('RESUMEN VIGILANCIA'!AU104),"",'RESUMEN VIGILANCIA'!AU104)</f>
        <v/>
      </c>
      <c r="AW109" s="400" t="str">
        <f>IF(ISBLANK('RESUMEN VIGILANCIA'!AV104),"",'RESUMEN VIGILANCIA'!AV104)</f>
        <v/>
      </c>
      <c r="AX109" s="400" t="str">
        <f>IF(ISBLANK('RESUMEN VIGILANCIA'!AW104),"",'RESUMEN VIGILANCIA'!AW104)</f>
        <v/>
      </c>
      <c r="AY109" s="400" t="str">
        <f>IF(ISBLANK('RESUMEN VIGILANCIA'!AX104),"",'RESUMEN VIGILANCIA'!AX104)</f>
        <v/>
      </c>
      <c r="AZ109" s="400" t="str">
        <f>IF(ISBLANK('RESUMEN VIGILANCIA'!AY104),"",'RESUMEN VIGILANCIA'!AY104)</f>
        <v/>
      </c>
      <c r="BA109" s="401" t="str">
        <f>IF(ISBLANK('RESUMEN VIGILANCIA'!AZ104),"",'RESUMEN VIGILANCIA'!AZ104)</f>
        <v/>
      </c>
      <c r="BB109" s="243">
        <f t="shared" si="7"/>
        <v>293192.25</v>
      </c>
      <c r="BC109" s="112">
        <v>43221</v>
      </c>
      <c r="BD109" s="112"/>
    </row>
    <row r="110" spans="1:56" s="29" customFormat="1" ht="20.100000000000001" customHeight="1">
      <c r="A110" s="30" t="str">
        <f>'RESUMEN VIGILANCIA'!A114</f>
        <v>Familia Guerra Miret</v>
      </c>
      <c r="B110" s="31" t="str">
        <f>'RESUMEN VIGILANCIA'!B114</f>
        <v>Calle Güigüe Nro. 89-40</v>
      </c>
      <c r="C110" s="452" t="s">
        <v>1249</v>
      </c>
      <c r="D110" s="460"/>
      <c r="E110" s="440" t="str">
        <f>IF(ISBLANK('RESUMEN VIGILANCIA'!D114),"",'RESUMEN VIGILANCIA'!D114)</f>
        <v/>
      </c>
      <c r="F110" s="274">
        <f>IF(ISBLANK('RESUMEN VIGILANCIA'!E114),"",'RESUMEN VIGILANCIA'!E114)</f>
        <v>0.12</v>
      </c>
      <c r="G110" s="183">
        <f>IF(ISBLANK('RESUMEN VIGILANCIA'!F114),"",'RESUMEN VIGILANCIA'!F114)</f>
        <v>0.12</v>
      </c>
      <c r="H110" s="183">
        <f>IF(ISBLANK('RESUMEN VIGILANCIA'!G114),"",'RESUMEN VIGILANCIA'!G114)</f>
        <v>0.12</v>
      </c>
      <c r="I110" s="182">
        <f>IF(ISBLANK('RESUMEN VIGILANCIA'!H114),"",'RESUMEN VIGILANCIA'!H114)</f>
        <v>0.17</v>
      </c>
      <c r="J110" s="226" t="str">
        <f>IF(ISBLANK('RESUMEN VIGILANCIA'!I114),"",'RESUMEN VIGILANCIA'!I114)</f>
        <v/>
      </c>
      <c r="K110" s="182">
        <f>IF(ISBLANK('RESUMEN VIGILANCIA'!J114),"",'RESUMEN VIGILANCIA'!J114)</f>
        <v>0.26</v>
      </c>
      <c r="L110" s="182">
        <f>IF(ISBLANK('RESUMEN VIGILANCIA'!K114),"",'RESUMEN VIGILANCIA'!K114)</f>
        <v>0.35000000000000003</v>
      </c>
      <c r="M110" s="182">
        <f>IF(ISBLANK('RESUMEN VIGILANCIA'!L114),"",'RESUMEN VIGILANCIA'!L114)</f>
        <v>0.35000000000000003</v>
      </c>
      <c r="N110" s="182">
        <f>IF(ISBLANK('RESUMEN VIGILANCIA'!M114),"",'RESUMEN VIGILANCIA'!M114)</f>
        <v>0.35000000000000003</v>
      </c>
      <c r="O110" s="182">
        <f>IF(ISBLANK('RESUMEN VIGILANCIA'!N114),"",'RESUMEN VIGILANCIA'!N114)</f>
        <v>0.35000000000000003</v>
      </c>
      <c r="P110" s="271">
        <f>IF(ISBLANK('RESUMEN VIGILANCIA'!O114),"",'RESUMEN VIGILANCIA'!O114)</f>
        <v>0.5</v>
      </c>
      <c r="Q110" s="180">
        <f>IF(ISBLANK('RESUMEN VIGILANCIA'!P114),"",'RESUMEN VIGILANCIA'!P114)</f>
        <v>0.5</v>
      </c>
      <c r="R110" s="272">
        <f>IF(ISBLANK('RESUMEN VIGILANCIA'!Q114),"",'RESUMEN VIGILANCIA'!Q114)</f>
        <v>0.8</v>
      </c>
      <c r="S110" s="271">
        <f>IF(ISBLANK('RESUMEN VIGILANCIA'!R114),"",'RESUMEN VIGILANCIA'!R114)</f>
        <v>0.8</v>
      </c>
      <c r="T110" s="271">
        <f>IF(ISBLANK('RESUMEN VIGILANCIA'!S114),"",'RESUMEN VIGILANCIA'!S114)</f>
        <v>1.4</v>
      </c>
      <c r="U110" s="271">
        <f>IF(ISBLANK('RESUMEN VIGILANCIA'!T114),"",'RESUMEN VIGILANCIA'!T114)</f>
        <v>1.4</v>
      </c>
      <c r="V110" s="271">
        <f>IF(ISBLANK('RESUMEN VIGILANCIA'!U114),"",'RESUMEN VIGILANCIA'!U114)</f>
        <v>4</v>
      </c>
      <c r="W110" s="271">
        <f>IF(ISBLANK('RESUMEN VIGILANCIA'!V114),"",'RESUMEN VIGILANCIA'!V114)</f>
        <v>6.25</v>
      </c>
      <c r="X110" s="271">
        <f>IF(ISBLANK('RESUMEN VIGILANCIA'!W114),"",'RESUMEN VIGILANCIA'!W114)</f>
        <v>10</v>
      </c>
      <c r="Y110" s="271">
        <f>IF(ISBLANK('RESUMEN VIGILANCIA'!X114),"",'RESUMEN VIGILANCIA'!X114)</f>
        <v>12</v>
      </c>
      <c r="Z110" s="481">
        <f>IF(ISBLANK('RESUMEN VIGILANCIA'!Y114),"",'RESUMEN VIGILANCIA'!Y114)</f>
        <v>320</v>
      </c>
      <c r="AA110" s="481">
        <f>IF(ISBLANK('RESUMEN VIGILANCIA'!Z114),"",'RESUMEN VIGILANCIA'!Z114)</f>
        <v>320</v>
      </c>
      <c r="AB110" s="481">
        <f>IF(ISBLANK('RESUMEN VIGILANCIA'!AA114),"",'RESUMEN VIGILANCIA'!AA114)</f>
        <v>320</v>
      </c>
      <c r="AC110" s="482">
        <f>IF(ISBLANK('RESUMEN VIGILANCIA'!AB114),"",'RESUMEN VIGILANCIA'!AB114)</f>
        <v>800</v>
      </c>
      <c r="AD110" s="399">
        <f>IF(ISBLANK('RESUMEN VIGILANCIA'!AC114),"",'RESUMEN VIGILANCIA'!AC114)</f>
        <v>3000</v>
      </c>
      <c r="AE110" s="400">
        <f>IF(ISBLANK('RESUMEN VIGILANCIA'!AD114),"",'RESUMEN VIGILANCIA'!AD114)</f>
        <v>3000</v>
      </c>
      <c r="AF110" s="400">
        <f>IF(ISBLANK('RESUMEN VIGILANCIA'!AE114),"",'RESUMEN VIGILANCIA'!AE114)</f>
        <v>3000</v>
      </c>
      <c r="AG110" s="400">
        <f>IF(ISBLANK('RESUMEN VIGILANCIA'!AF114),"",'RESUMEN VIGILANCIA'!AF114)</f>
        <v>5000</v>
      </c>
      <c r="AH110" s="400">
        <f>IF(ISBLANK('RESUMEN VIGILANCIA'!AG114),"",'RESUMEN VIGILANCIA'!AG114)</f>
        <v>8000</v>
      </c>
      <c r="AI110" s="400">
        <f>IF(ISBLANK('RESUMEN VIGILANCIA'!AH114),"",'RESUMEN VIGILANCIA'!AH114)</f>
        <v>8000</v>
      </c>
      <c r="AJ110" s="400">
        <f>IF(ISBLANK('RESUMEN VIGILANCIA'!AI114),"",'RESUMEN VIGILANCIA'!AI114)</f>
        <v>10000</v>
      </c>
      <c r="AK110" s="400">
        <f>IF(ISBLANK('RESUMEN VIGILANCIA'!AJ114),"",'RESUMEN VIGILANCIA'!AJ114)</f>
        <v>10000</v>
      </c>
      <c r="AL110" s="400">
        <f>IF(ISBLANK('RESUMEN VIGILANCIA'!AK114),"",'RESUMEN VIGILANCIA'!AK114)</f>
        <v>23400</v>
      </c>
      <c r="AM110" s="400">
        <f>IF(ISBLANK('RESUMEN VIGILANCIA'!AL114),"",'RESUMEN VIGILANCIA'!AL114)</f>
        <v>51250</v>
      </c>
      <c r="AN110" s="400">
        <f>IF(ISBLANK('RESUMEN VIGILANCIA'!AM114),"",'RESUMEN VIGILANCIA'!AM114)</f>
        <v>51250</v>
      </c>
      <c r="AO110" s="401">
        <f>IF(ISBLANK('RESUMEN VIGILANCIA'!AN114),"",'RESUMEN VIGILANCIA'!AN114)</f>
        <v>81750</v>
      </c>
      <c r="AP110" s="399">
        <f>IF(ISBLANK('RESUMEN VIGILANCIA'!AO114),"",'RESUMEN VIGILANCIA'!AO114)</f>
        <v>105250</v>
      </c>
      <c r="AQ110" s="400">
        <f>IF(ISBLANK('RESUMEN VIGILANCIA'!AP114),"",'RESUMEN VIGILANCIA'!AP114)</f>
        <v>136250</v>
      </c>
      <c r="AR110" s="400" t="str">
        <f>IF(ISBLANK('RESUMEN VIGILANCIA'!AQ114),"",'RESUMEN VIGILANCIA'!AQ114)</f>
        <v/>
      </c>
      <c r="AS110" s="400" t="str">
        <f>IF(ISBLANK('RESUMEN VIGILANCIA'!AR114),"",'RESUMEN VIGILANCIA'!AR114)</f>
        <v/>
      </c>
      <c r="AT110" s="400" t="str">
        <f>IF(ISBLANK('RESUMEN VIGILANCIA'!AS114),"",'RESUMEN VIGILANCIA'!AS114)</f>
        <v/>
      </c>
      <c r="AU110" s="400" t="str">
        <f>IF(ISBLANK('RESUMEN VIGILANCIA'!AT114),"",'RESUMEN VIGILANCIA'!AT114)</f>
        <v/>
      </c>
      <c r="AV110" s="400" t="str">
        <f>IF(ISBLANK('RESUMEN VIGILANCIA'!AU114),"",'RESUMEN VIGILANCIA'!AU114)</f>
        <v/>
      </c>
      <c r="AW110" s="400" t="str">
        <f>IF(ISBLANK('RESUMEN VIGILANCIA'!AV114),"",'RESUMEN VIGILANCIA'!AV114)</f>
        <v/>
      </c>
      <c r="AX110" s="400" t="str">
        <f>IF(ISBLANK('RESUMEN VIGILANCIA'!AW114),"",'RESUMEN VIGILANCIA'!AW114)</f>
        <v/>
      </c>
      <c r="AY110" s="400" t="str">
        <f>IF(ISBLANK('RESUMEN VIGILANCIA'!AX114),"",'RESUMEN VIGILANCIA'!AX114)</f>
        <v/>
      </c>
      <c r="AZ110" s="400" t="str">
        <f>IF(ISBLANK('RESUMEN VIGILANCIA'!AY114),"",'RESUMEN VIGILANCIA'!AY114)</f>
        <v/>
      </c>
      <c r="BA110" s="401" t="str">
        <f>IF(ISBLANK('RESUMEN VIGILANCIA'!AZ114),"",'RESUMEN VIGILANCIA'!AZ114)</f>
        <v/>
      </c>
      <c r="BB110" s="243">
        <f t="shared" si="7"/>
        <v>259449.84</v>
      </c>
      <c r="BC110" s="112"/>
      <c r="BD110" s="112"/>
    </row>
    <row r="111" spans="1:56" s="29" customFormat="1" ht="20.100000000000001" customHeight="1">
      <c r="A111" s="30" t="str">
        <f>'RESUMEN VIGILANCIA'!A115</f>
        <v>Familia Jiménez Salvatierra</v>
      </c>
      <c r="B111" s="31" t="str">
        <f>'RESUMEN VIGILANCIA'!B115</f>
        <v>Calle Güigüe Nro. 89-45</v>
      </c>
      <c r="C111" s="452" t="s">
        <v>1250</v>
      </c>
      <c r="D111" s="460" t="s">
        <v>1248</v>
      </c>
      <c r="E111" s="440" t="str">
        <f>IF(ISBLANK('RESUMEN VIGILANCIA'!D115),"",'RESUMEN VIGILANCIA'!D115)</f>
        <v/>
      </c>
      <c r="F111" s="270">
        <f>IF(ISBLANK('RESUMEN VIGILANCIA'!E115),"",'RESUMEN VIGILANCIA'!E115)</f>
        <v>0.17</v>
      </c>
      <c r="G111" s="182">
        <f>IF(ISBLANK('RESUMEN VIGILANCIA'!F115),"",'RESUMEN VIGILANCIA'!F115)</f>
        <v>0.17</v>
      </c>
      <c r="H111" s="182">
        <f>IF(ISBLANK('RESUMEN VIGILANCIA'!G115),"",'RESUMEN VIGILANCIA'!G115)</f>
        <v>0.17</v>
      </c>
      <c r="I111" s="182">
        <f>IF(ISBLANK('RESUMEN VIGILANCIA'!H115),"",'RESUMEN VIGILANCIA'!H115)</f>
        <v>0.17</v>
      </c>
      <c r="J111" s="182">
        <f>IF(ISBLANK('RESUMEN VIGILANCIA'!I115),"",'RESUMEN VIGILANCIA'!I115)</f>
        <v>0.26</v>
      </c>
      <c r="K111" s="182">
        <f>IF(ISBLANK('RESUMEN VIGILANCIA'!J115),"",'RESUMEN VIGILANCIA'!J115)</f>
        <v>0.26</v>
      </c>
      <c r="L111" s="182">
        <f>IF(ISBLANK('RESUMEN VIGILANCIA'!K115),"",'RESUMEN VIGILANCIA'!K115)</f>
        <v>0.35</v>
      </c>
      <c r="M111" s="182">
        <f>IF(ISBLANK('RESUMEN VIGILANCIA'!L115),"",'RESUMEN VIGILANCIA'!L115)</f>
        <v>0.35</v>
      </c>
      <c r="N111" s="182">
        <f>IF(ISBLANK('RESUMEN VIGILANCIA'!M115),"",'RESUMEN VIGILANCIA'!M115)</f>
        <v>0.35</v>
      </c>
      <c r="O111" s="182">
        <f>IF(ISBLANK('RESUMEN VIGILANCIA'!N115),"",'RESUMEN VIGILANCIA'!N115)</f>
        <v>0.35</v>
      </c>
      <c r="P111" s="271">
        <f>IF(ISBLANK('RESUMEN VIGILANCIA'!O115),"",'RESUMEN VIGILANCIA'!O115)</f>
        <v>0.5</v>
      </c>
      <c r="Q111" s="180">
        <f>IF(ISBLANK('RESUMEN VIGILANCIA'!P115),"",'RESUMEN VIGILANCIA'!P115)</f>
        <v>0.5</v>
      </c>
      <c r="R111" s="272">
        <f>IF(ISBLANK('RESUMEN VIGILANCIA'!Q115),"",'RESUMEN VIGILANCIA'!Q115)</f>
        <v>0.8</v>
      </c>
      <c r="S111" s="271">
        <f>IF(ISBLANK('RESUMEN VIGILANCIA'!R115),"",'RESUMEN VIGILANCIA'!R115)</f>
        <v>0.8</v>
      </c>
      <c r="T111" s="271">
        <f>IF(ISBLANK('RESUMEN VIGILANCIA'!S115),"",'RESUMEN VIGILANCIA'!S115)</f>
        <v>1.4</v>
      </c>
      <c r="U111" s="271">
        <f>IF(ISBLANK('RESUMEN VIGILANCIA'!T115),"",'RESUMEN VIGILANCIA'!T115)</f>
        <v>1.4</v>
      </c>
      <c r="V111" s="271">
        <f>IF(ISBLANK('RESUMEN VIGILANCIA'!U115),"",'RESUMEN VIGILANCIA'!U115)</f>
        <v>4</v>
      </c>
      <c r="W111" s="271">
        <f>IF(ISBLANK('RESUMEN VIGILANCIA'!V115),"",'RESUMEN VIGILANCIA'!V115)</f>
        <v>6.25</v>
      </c>
      <c r="X111" s="271">
        <f>IF(ISBLANK('RESUMEN VIGILANCIA'!W115),"",'RESUMEN VIGILANCIA'!W115)</f>
        <v>10</v>
      </c>
      <c r="Y111" s="271">
        <f>IF(ISBLANK('RESUMEN VIGILANCIA'!X115),"",'RESUMEN VIGILANCIA'!X115)</f>
        <v>12</v>
      </c>
      <c r="Z111" s="481" t="str">
        <f>IF(ISBLANK('RESUMEN VIGILANCIA'!Y115),"",'RESUMEN VIGILANCIA'!Y115)</f>
        <v/>
      </c>
      <c r="AA111" s="481" t="str">
        <f>IF(ISBLANK('RESUMEN VIGILANCIA'!Z115),"",'RESUMEN VIGILANCIA'!Z115)</f>
        <v/>
      </c>
      <c r="AB111" s="481" t="str">
        <f>IF(ISBLANK('RESUMEN VIGILANCIA'!AA115),"",'RESUMEN VIGILANCIA'!AA115)</f>
        <v/>
      </c>
      <c r="AC111" s="482" t="str">
        <f>IF(ISBLANK('RESUMEN VIGILANCIA'!AB115),"",'RESUMEN VIGILANCIA'!AB115)</f>
        <v/>
      </c>
      <c r="AD111" s="399" t="str">
        <f>IF(ISBLANK('RESUMEN VIGILANCIA'!AC115),"",'RESUMEN VIGILANCIA'!AC115)</f>
        <v/>
      </c>
      <c r="AE111" s="400" t="str">
        <f>IF(ISBLANK('RESUMEN VIGILANCIA'!AD115),"",'RESUMEN VIGILANCIA'!AD115)</f>
        <v/>
      </c>
      <c r="AF111" s="400" t="str">
        <f>IF(ISBLANK('RESUMEN VIGILANCIA'!AE115),"",'RESUMEN VIGILANCIA'!AE115)</f>
        <v/>
      </c>
      <c r="AG111" s="400" t="str">
        <f>IF(ISBLANK('RESUMEN VIGILANCIA'!AF115),"",'RESUMEN VIGILANCIA'!AF115)</f>
        <v/>
      </c>
      <c r="AH111" s="400" t="str">
        <f>IF(ISBLANK('RESUMEN VIGILANCIA'!AG115),"",'RESUMEN VIGILANCIA'!AG115)</f>
        <v/>
      </c>
      <c r="AI111" s="400" t="str">
        <f>IF(ISBLANK('RESUMEN VIGILANCIA'!AH115),"",'RESUMEN VIGILANCIA'!AH115)</f>
        <v/>
      </c>
      <c r="AJ111" s="400" t="str">
        <f>IF(ISBLANK('RESUMEN VIGILANCIA'!AI115),"",'RESUMEN VIGILANCIA'!AI115)</f>
        <v/>
      </c>
      <c r="AK111" s="400" t="str">
        <f>IF(ISBLANK('RESUMEN VIGILANCIA'!AJ115),"",'RESUMEN VIGILANCIA'!AJ115)</f>
        <v/>
      </c>
      <c r="AL111" s="400" t="str">
        <f>IF(ISBLANK('RESUMEN VIGILANCIA'!AK115),"",'RESUMEN VIGILANCIA'!AK115)</f>
        <v/>
      </c>
      <c r="AM111" s="400" t="str">
        <f>IF(ISBLANK('RESUMEN VIGILANCIA'!AL115),"",'RESUMEN VIGILANCIA'!AL115)</f>
        <v/>
      </c>
      <c r="AN111" s="400" t="str">
        <f>IF(ISBLANK('RESUMEN VIGILANCIA'!AM115),"",'RESUMEN VIGILANCIA'!AM115)</f>
        <v/>
      </c>
      <c r="AO111" s="401" t="str">
        <f>IF(ISBLANK('RESUMEN VIGILANCIA'!AN115),"",'RESUMEN VIGILANCIA'!AN115)</f>
        <v/>
      </c>
      <c r="AP111" s="399" t="str">
        <f>IF(ISBLANK('RESUMEN VIGILANCIA'!AO115),"",'RESUMEN VIGILANCIA'!AO115)</f>
        <v/>
      </c>
      <c r="AQ111" s="400" t="str">
        <f>IF(ISBLANK('RESUMEN VIGILANCIA'!AP115),"",'RESUMEN VIGILANCIA'!AP115)</f>
        <v/>
      </c>
      <c r="AR111" s="400" t="str">
        <f>IF(ISBLANK('RESUMEN VIGILANCIA'!AQ115),"",'RESUMEN VIGILANCIA'!AQ115)</f>
        <v/>
      </c>
      <c r="AS111" s="400" t="str">
        <f>IF(ISBLANK('RESUMEN VIGILANCIA'!AR115),"",'RESUMEN VIGILANCIA'!AR115)</f>
        <v/>
      </c>
      <c r="AT111" s="400" t="str">
        <f>IF(ISBLANK('RESUMEN VIGILANCIA'!AS115),"",'RESUMEN VIGILANCIA'!AS115)</f>
        <v/>
      </c>
      <c r="AU111" s="400" t="str">
        <f>IF(ISBLANK('RESUMEN VIGILANCIA'!AT115),"",'RESUMEN VIGILANCIA'!AT115)</f>
        <v/>
      </c>
      <c r="AV111" s="400" t="str">
        <f>IF(ISBLANK('RESUMEN VIGILANCIA'!AU115),"",'RESUMEN VIGILANCIA'!AU115)</f>
        <v/>
      </c>
      <c r="AW111" s="400" t="str">
        <f>IF(ISBLANK('RESUMEN VIGILANCIA'!AV115),"",'RESUMEN VIGILANCIA'!AV115)</f>
        <v/>
      </c>
      <c r="AX111" s="400" t="str">
        <f>IF(ISBLANK('RESUMEN VIGILANCIA'!AW115),"",'RESUMEN VIGILANCIA'!AW115)</f>
        <v/>
      </c>
      <c r="AY111" s="400" t="str">
        <f>IF(ISBLANK('RESUMEN VIGILANCIA'!AX115),"",'RESUMEN VIGILANCIA'!AX115)</f>
        <v/>
      </c>
      <c r="AZ111" s="400" t="str">
        <f>IF(ISBLANK('RESUMEN VIGILANCIA'!AY115),"",'RESUMEN VIGILANCIA'!AY115)</f>
        <v/>
      </c>
      <c r="BA111" s="401" t="str">
        <f>IF(ISBLANK('RESUMEN VIGILANCIA'!AZ115),"",'RESUMEN VIGILANCIA'!AZ115)</f>
        <v/>
      </c>
      <c r="BB111" s="243">
        <f t="shared" si="7"/>
        <v>40.25</v>
      </c>
      <c r="BC111" s="112"/>
      <c r="BD111" s="112"/>
    </row>
    <row r="112" spans="1:56" s="29" customFormat="1" ht="20.100000000000001" customHeight="1">
      <c r="A112" s="30" t="str">
        <f>'RESUMEN VIGILANCIA'!A116</f>
        <v>Familia Alonso Rojas</v>
      </c>
      <c r="B112" s="31" t="str">
        <f>'RESUMEN VIGILANCIA'!B116</f>
        <v>Calle Güigüe Nro. 89-54</v>
      </c>
      <c r="C112" s="452" t="s">
        <v>1249</v>
      </c>
      <c r="D112" s="460" t="s">
        <v>1248</v>
      </c>
      <c r="E112" s="440" t="str">
        <f>IF(ISBLANK('RESUMEN VIGILANCIA'!D116),"",'RESUMEN VIGILANCIA'!D116)</f>
        <v/>
      </c>
      <c r="F112" s="270" t="str">
        <f>IF(ISBLANK('RESUMEN VIGILANCIA'!E116),"",'RESUMEN VIGILANCIA'!E116)</f>
        <v/>
      </c>
      <c r="G112" s="182" t="str">
        <f>IF(ISBLANK('RESUMEN VIGILANCIA'!F116),"",'RESUMEN VIGILANCIA'!F116)</f>
        <v/>
      </c>
      <c r="H112" s="182" t="str">
        <f>IF(ISBLANK('RESUMEN VIGILANCIA'!G116),"",'RESUMEN VIGILANCIA'!G116)</f>
        <v/>
      </c>
      <c r="I112" s="182" t="str">
        <f>IF(ISBLANK('RESUMEN VIGILANCIA'!H116),"",'RESUMEN VIGILANCIA'!H116)</f>
        <v/>
      </c>
      <c r="J112" s="182" t="str">
        <f>IF(ISBLANK('RESUMEN VIGILANCIA'!I116),"",'RESUMEN VIGILANCIA'!I116)</f>
        <v/>
      </c>
      <c r="K112" s="182" t="str">
        <f>IF(ISBLANK('RESUMEN VIGILANCIA'!J116),"",'RESUMEN VIGILANCIA'!J116)</f>
        <v/>
      </c>
      <c r="L112" s="182" t="str">
        <f>IF(ISBLANK('RESUMEN VIGILANCIA'!K116),"",'RESUMEN VIGILANCIA'!K116)</f>
        <v/>
      </c>
      <c r="M112" s="182" t="str">
        <f>IF(ISBLANK('RESUMEN VIGILANCIA'!L116),"",'RESUMEN VIGILANCIA'!L116)</f>
        <v/>
      </c>
      <c r="N112" s="182" t="str">
        <f>IF(ISBLANK('RESUMEN VIGILANCIA'!M116),"",'RESUMEN VIGILANCIA'!M116)</f>
        <v/>
      </c>
      <c r="O112" s="182" t="str">
        <f>IF(ISBLANK('RESUMEN VIGILANCIA'!N116),"",'RESUMEN VIGILANCIA'!N116)</f>
        <v/>
      </c>
      <c r="P112" s="271">
        <f>IF(ISBLANK('RESUMEN VIGILANCIA'!O116),"",'RESUMEN VIGILANCIA'!O116)</f>
        <v>0.5</v>
      </c>
      <c r="Q112" s="180">
        <f>IF(ISBLANK('RESUMEN VIGILANCIA'!P116),"",'RESUMEN VIGILANCIA'!P116)</f>
        <v>0.5</v>
      </c>
      <c r="R112" s="272">
        <f>IF(ISBLANK('RESUMEN VIGILANCIA'!Q116),"",'RESUMEN VIGILANCIA'!Q116)</f>
        <v>0.8</v>
      </c>
      <c r="S112" s="271">
        <f>IF(ISBLANK('RESUMEN VIGILANCIA'!R116),"",'RESUMEN VIGILANCIA'!R116)</f>
        <v>0.8</v>
      </c>
      <c r="T112" s="271">
        <f>IF(ISBLANK('RESUMEN VIGILANCIA'!S116),"",'RESUMEN VIGILANCIA'!S116)</f>
        <v>1.4</v>
      </c>
      <c r="U112" s="271">
        <f>IF(ISBLANK('RESUMEN VIGILANCIA'!T116),"",'RESUMEN VIGILANCIA'!T116)</f>
        <v>1.4</v>
      </c>
      <c r="V112" s="271">
        <f>IF(ISBLANK('RESUMEN VIGILANCIA'!U116),"",'RESUMEN VIGILANCIA'!U116)</f>
        <v>4</v>
      </c>
      <c r="W112" s="271">
        <f>IF(ISBLANK('RESUMEN VIGILANCIA'!V116),"",'RESUMEN VIGILANCIA'!V116)</f>
        <v>6.25</v>
      </c>
      <c r="X112" s="271">
        <f>IF(ISBLANK('RESUMEN VIGILANCIA'!W116),"",'RESUMEN VIGILANCIA'!W116)</f>
        <v>10</v>
      </c>
      <c r="Y112" s="271">
        <f>IF(ISBLANK('RESUMEN VIGILANCIA'!X116),"",'RESUMEN VIGILANCIA'!X116)</f>
        <v>15</v>
      </c>
      <c r="Z112" s="481">
        <f>IF(ISBLANK('RESUMEN VIGILANCIA'!Y116),"",'RESUMEN VIGILANCIA'!Y116)</f>
        <v>320</v>
      </c>
      <c r="AA112" s="481">
        <f>IF(ISBLANK('RESUMEN VIGILANCIA'!Z116),"",'RESUMEN VIGILANCIA'!Z116)</f>
        <v>320</v>
      </c>
      <c r="AB112" s="481">
        <f>IF(ISBLANK('RESUMEN VIGILANCIA'!AA116),"",'RESUMEN VIGILANCIA'!AA116)</f>
        <v>320</v>
      </c>
      <c r="AC112" s="482">
        <f>IF(ISBLANK('RESUMEN VIGILANCIA'!AB116),"",'RESUMEN VIGILANCIA'!AB116)</f>
        <v>500</v>
      </c>
      <c r="AD112" s="399">
        <f>IF(ISBLANK('RESUMEN VIGILANCIA'!AC116),"",'RESUMEN VIGILANCIA'!AC116)</f>
        <v>3000</v>
      </c>
      <c r="AE112" s="400">
        <f>IF(ISBLANK('RESUMEN VIGILANCIA'!AD116),"",'RESUMEN VIGILANCIA'!AD116)</f>
        <v>3000</v>
      </c>
      <c r="AF112" s="400">
        <f>IF(ISBLANK('RESUMEN VIGILANCIA'!AE116),"",'RESUMEN VIGILANCIA'!AE116)</f>
        <v>3000</v>
      </c>
      <c r="AG112" s="400">
        <f>IF(ISBLANK('RESUMEN VIGILANCIA'!AF116),"",'RESUMEN VIGILANCIA'!AF116)</f>
        <v>5000</v>
      </c>
      <c r="AH112" s="400">
        <f>IF(ISBLANK('RESUMEN VIGILANCIA'!AG116),"",'RESUMEN VIGILANCIA'!AG116)</f>
        <v>8000</v>
      </c>
      <c r="AI112" s="400">
        <f>IF(ISBLANK('RESUMEN VIGILANCIA'!AH116),"",'RESUMEN VIGILANCIA'!AH116)</f>
        <v>8000</v>
      </c>
      <c r="AJ112" s="400">
        <f>IF(ISBLANK('RESUMEN VIGILANCIA'!AI116),"",'RESUMEN VIGILANCIA'!AI116)</f>
        <v>10000</v>
      </c>
      <c r="AK112" s="400">
        <f>IF(ISBLANK('RESUMEN VIGILANCIA'!AJ116),"",'RESUMEN VIGILANCIA'!AJ116)</f>
        <v>10000</v>
      </c>
      <c r="AL112" s="400">
        <f>IF(ISBLANK('RESUMEN VIGILANCIA'!AK116),"",'RESUMEN VIGILANCIA'!AK116)</f>
        <v>20000</v>
      </c>
      <c r="AM112" s="400">
        <f>IF(ISBLANK('RESUMEN VIGILANCIA'!AL116),"",'RESUMEN VIGILANCIA'!AL116)</f>
        <v>56250</v>
      </c>
      <c r="AN112" s="400">
        <f>IF(ISBLANK('RESUMEN VIGILANCIA'!AM116),"",'RESUMEN VIGILANCIA'!AM116)</f>
        <v>56250</v>
      </c>
      <c r="AO112" s="401">
        <f>IF(ISBLANK('RESUMEN VIGILANCIA'!AN116),"",'RESUMEN VIGILANCIA'!AN116)</f>
        <v>105250</v>
      </c>
      <c r="AP112" s="399">
        <f>IF(ISBLANK('RESUMEN VIGILANCIA'!AO116),"",'RESUMEN VIGILANCIA'!AO116)</f>
        <v>136250</v>
      </c>
      <c r="AQ112" s="400">
        <f>IF(ISBLANK('RESUMEN VIGILANCIA'!AP116),"",'RESUMEN VIGILANCIA'!AP116)</f>
        <v>140000</v>
      </c>
      <c r="AR112" s="400" t="str">
        <f>IF(ISBLANK('RESUMEN VIGILANCIA'!AQ116),"",'RESUMEN VIGILANCIA'!AQ116)</f>
        <v/>
      </c>
      <c r="AS112" s="400" t="str">
        <f>IF(ISBLANK('RESUMEN VIGILANCIA'!AR116),"",'RESUMEN VIGILANCIA'!AR116)</f>
        <v/>
      </c>
      <c r="AT112" s="400" t="str">
        <f>IF(ISBLANK('RESUMEN VIGILANCIA'!AS116),"",'RESUMEN VIGILANCIA'!AS116)</f>
        <v/>
      </c>
      <c r="AU112" s="400" t="str">
        <f>IF(ISBLANK('RESUMEN VIGILANCIA'!AT116),"",'RESUMEN VIGILANCIA'!AT116)</f>
        <v/>
      </c>
      <c r="AV112" s="400" t="str">
        <f>IF(ISBLANK('RESUMEN VIGILANCIA'!AU116),"",'RESUMEN VIGILANCIA'!AU116)</f>
        <v/>
      </c>
      <c r="AW112" s="400" t="str">
        <f>IF(ISBLANK('RESUMEN VIGILANCIA'!AV116),"",'RESUMEN VIGILANCIA'!AV116)</f>
        <v/>
      </c>
      <c r="AX112" s="400" t="str">
        <f>IF(ISBLANK('RESUMEN VIGILANCIA'!AW116),"",'RESUMEN VIGILANCIA'!AW116)</f>
        <v/>
      </c>
      <c r="AY112" s="400" t="str">
        <f>IF(ISBLANK('RESUMEN VIGILANCIA'!AX116),"",'RESUMEN VIGILANCIA'!AX116)</f>
        <v/>
      </c>
      <c r="AZ112" s="400" t="str">
        <f>IF(ISBLANK('RESUMEN VIGILANCIA'!AY116),"",'RESUMEN VIGILANCIA'!AY116)</f>
        <v/>
      </c>
      <c r="BA112" s="401" t="str">
        <f>IF(ISBLANK('RESUMEN VIGILANCIA'!AZ116),"",'RESUMEN VIGILANCIA'!AZ116)</f>
        <v/>
      </c>
      <c r="BB112" s="243">
        <f t="shared" si="7"/>
        <v>289250.65000000002</v>
      </c>
      <c r="BC112" s="112"/>
      <c r="BD112" s="112"/>
    </row>
    <row r="113" spans="1:56" s="29" customFormat="1" ht="20.100000000000001" customHeight="1">
      <c r="A113" s="30" t="str">
        <f>'RESUMEN VIGILANCIA'!A117</f>
        <v>Familia Fermín Rivas</v>
      </c>
      <c r="B113" s="31" t="str">
        <f>'RESUMEN VIGILANCIA'!B117</f>
        <v>Calle Güigüe Nro. 89-55</v>
      </c>
      <c r="C113" s="452" t="s">
        <v>1249</v>
      </c>
      <c r="D113" s="460" t="s">
        <v>17</v>
      </c>
      <c r="E113" s="440" t="str">
        <f>IF(ISBLANK('RESUMEN VIGILANCIA'!D117),"",'RESUMEN VIGILANCIA'!D117)</f>
        <v/>
      </c>
      <c r="F113" s="270">
        <f>IF(ISBLANK('RESUMEN VIGILANCIA'!E117),"",'RESUMEN VIGILANCIA'!E117)</f>
        <v>0.16999999999999998</v>
      </c>
      <c r="G113" s="182">
        <f>IF(ISBLANK('RESUMEN VIGILANCIA'!F117),"",'RESUMEN VIGILANCIA'!F117)</f>
        <v>0.16999999999999998</v>
      </c>
      <c r="H113" s="182">
        <f>IF(ISBLANK('RESUMEN VIGILANCIA'!G117),"",'RESUMEN VIGILANCIA'!G117)</f>
        <v>0.17</v>
      </c>
      <c r="I113" s="182">
        <f>IF(ISBLANK('RESUMEN VIGILANCIA'!H117),"",'RESUMEN VIGILANCIA'!H117)</f>
        <v>0.17</v>
      </c>
      <c r="J113" s="182">
        <f>IF(ISBLANK('RESUMEN VIGILANCIA'!I117),"",'RESUMEN VIGILANCIA'!I117)</f>
        <v>0.26</v>
      </c>
      <c r="K113" s="182">
        <f>IF(ISBLANK('RESUMEN VIGILANCIA'!J117),"",'RESUMEN VIGILANCIA'!J117)</f>
        <v>0.26</v>
      </c>
      <c r="L113" s="182">
        <f>IF(ISBLANK('RESUMEN VIGILANCIA'!K117),"",'RESUMEN VIGILANCIA'!K117)</f>
        <v>0.35</v>
      </c>
      <c r="M113" s="182">
        <f>IF(ISBLANK('RESUMEN VIGILANCIA'!L117),"",'RESUMEN VIGILANCIA'!L117)</f>
        <v>0.35</v>
      </c>
      <c r="N113" s="182">
        <f>IF(ISBLANK('RESUMEN VIGILANCIA'!M117),"",'RESUMEN VIGILANCIA'!M117)</f>
        <v>0.35</v>
      </c>
      <c r="O113" s="182">
        <f>IF(ISBLANK('RESUMEN VIGILANCIA'!N117),"",'RESUMEN VIGILANCIA'!N117)</f>
        <v>0.35</v>
      </c>
      <c r="P113" s="271">
        <f>IF(ISBLANK('RESUMEN VIGILANCIA'!O117),"",'RESUMEN VIGILANCIA'!O117)</f>
        <v>0.5</v>
      </c>
      <c r="Q113" s="180">
        <f>IF(ISBLANK('RESUMEN VIGILANCIA'!P117),"",'RESUMEN VIGILANCIA'!P117)</f>
        <v>0.5</v>
      </c>
      <c r="R113" s="272">
        <f>IF(ISBLANK('RESUMEN VIGILANCIA'!Q117),"",'RESUMEN VIGILANCIA'!Q117)</f>
        <v>0.8</v>
      </c>
      <c r="S113" s="271">
        <f>IF(ISBLANK('RESUMEN VIGILANCIA'!R117),"",'RESUMEN VIGILANCIA'!R117)</f>
        <v>0.8</v>
      </c>
      <c r="T113" s="271">
        <f>IF(ISBLANK('RESUMEN VIGILANCIA'!S117),"",'RESUMEN VIGILANCIA'!S117)</f>
        <v>1.4</v>
      </c>
      <c r="U113" s="271">
        <f>IF(ISBLANK('RESUMEN VIGILANCIA'!T117),"",'RESUMEN VIGILANCIA'!T117)</f>
        <v>1.4</v>
      </c>
      <c r="V113" s="271">
        <f>IF(ISBLANK('RESUMEN VIGILANCIA'!U117),"",'RESUMEN VIGILANCIA'!U117)</f>
        <v>4</v>
      </c>
      <c r="W113" s="271">
        <f>IF(ISBLANK('RESUMEN VIGILANCIA'!V117),"",'RESUMEN VIGILANCIA'!V117)</f>
        <v>6.25</v>
      </c>
      <c r="X113" s="271">
        <f>IF(ISBLANK('RESUMEN VIGILANCIA'!W117),"",'RESUMEN VIGILANCIA'!W117)</f>
        <v>10</v>
      </c>
      <c r="Y113" s="271">
        <f>IF(ISBLANK('RESUMEN VIGILANCIA'!X117),"",'RESUMEN VIGILANCIA'!X117)</f>
        <v>12</v>
      </c>
      <c r="Z113" s="481">
        <f>IF(ISBLANK('RESUMEN VIGILANCIA'!Y117),"",'RESUMEN VIGILANCIA'!Y117)</f>
        <v>320</v>
      </c>
      <c r="AA113" s="481">
        <f>IF(ISBLANK('RESUMEN VIGILANCIA'!Z117),"",'RESUMEN VIGILANCIA'!Z117)</f>
        <v>320</v>
      </c>
      <c r="AB113" s="481">
        <f>IF(ISBLANK('RESUMEN VIGILANCIA'!AA117),"",'RESUMEN VIGILANCIA'!AA117)</f>
        <v>320</v>
      </c>
      <c r="AC113" s="482">
        <f>IF(ISBLANK('RESUMEN VIGILANCIA'!AB117),"",'RESUMEN VIGILANCIA'!AB117)</f>
        <v>800</v>
      </c>
      <c r="AD113" s="399">
        <f>IF(ISBLANK('RESUMEN VIGILANCIA'!AC117),"",'RESUMEN VIGILANCIA'!AC117)</f>
        <v>3000</v>
      </c>
      <c r="AE113" s="400">
        <f>IF(ISBLANK('RESUMEN VIGILANCIA'!AD117),"",'RESUMEN VIGILANCIA'!AD117)</f>
        <v>3000</v>
      </c>
      <c r="AF113" s="400">
        <f>IF(ISBLANK('RESUMEN VIGILANCIA'!AE117),"",'RESUMEN VIGILANCIA'!AE117)</f>
        <v>3000</v>
      </c>
      <c r="AG113" s="400">
        <f>IF(ISBLANK('RESUMEN VIGILANCIA'!AF117),"",'RESUMEN VIGILANCIA'!AF117)</f>
        <v>8000</v>
      </c>
      <c r="AH113" s="400">
        <f>IF(ISBLANK('RESUMEN VIGILANCIA'!AG117),"",'RESUMEN VIGILANCIA'!AG117)</f>
        <v>8000</v>
      </c>
      <c r="AI113" s="400">
        <f>IF(ISBLANK('RESUMEN VIGILANCIA'!AH117),"",'RESUMEN VIGILANCIA'!AH117)</f>
        <v>8000</v>
      </c>
      <c r="AJ113" s="400">
        <f>IF(ISBLANK('RESUMEN VIGILANCIA'!AI117),"",'RESUMEN VIGILANCIA'!AI117)</f>
        <v>10000</v>
      </c>
      <c r="AK113" s="400">
        <f>IF(ISBLANK('RESUMEN VIGILANCIA'!AJ117),"",'RESUMEN VIGILANCIA'!AJ117)</f>
        <v>10000</v>
      </c>
      <c r="AL113" s="400">
        <f>IF(ISBLANK('RESUMEN VIGILANCIA'!AK117),"",'RESUMEN VIGILANCIA'!AK117)</f>
        <v>23401</v>
      </c>
      <c r="AM113" s="400">
        <f>IF(ISBLANK('RESUMEN VIGILANCIA'!AL117),"",'RESUMEN VIGILANCIA'!AL117)</f>
        <v>47000</v>
      </c>
      <c r="AN113" s="400">
        <f>IF(ISBLANK('RESUMEN VIGILANCIA'!AM117),"",'RESUMEN VIGILANCIA'!AM117)</f>
        <v>51250</v>
      </c>
      <c r="AO113" s="401">
        <f>IF(ISBLANK('RESUMEN VIGILANCIA'!AN117),"",'RESUMEN VIGILANCIA'!AN117)</f>
        <v>81750</v>
      </c>
      <c r="AP113" s="399">
        <f>IF(ISBLANK('RESUMEN VIGILANCIA'!AO117),"",'RESUMEN VIGILANCIA'!AO117)</f>
        <v>136250</v>
      </c>
      <c r="AQ113" s="400">
        <f>IF(ISBLANK('RESUMEN VIGILANCIA'!AP117),"",'RESUMEN VIGILANCIA'!AP117)</f>
        <v>136250</v>
      </c>
      <c r="AR113" s="400" t="str">
        <f>IF(ISBLANK('RESUMEN VIGILANCIA'!AQ117),"",'RESUMEN VIGILANCIA'!AQ117)</f>
        <v/>
      </c>
      <c r="AS113" s="400" t="str">
        <f>IF(ISBLANK('RESUMEN VIGILANCIA'!AR117),"",'RESUMEN VIGILANCIA'!AR117)</f>
        <v/>
      </c>
      <c r="AT113" s="400" t="str">
        <f>IF(ISBLANK('RESUMEN VIGILANCIA'!AS117),"",'RESUMEN VIGILANCIA'!AS117)</f>
        <v/>
      </c>
      <c r="AU113" s="400" t="str">
        <f>IF(ISBLANK('RESUMEN VIGILANCIA'!AT117),"",'RESUMEN VIGILANCIA'!AT117)</f>
        <v/>
      </c>
      <c r="AV113" s="400" t="str">
        <f>IF(ISBLANK('RESUMEN VIGILANCIA'!AU117),"",'RESUMEN VIGILANCIA'!AU117)</f>
        <v/>
      </c>
      <c r="AW113" s="400" t="str">
        <f>IF(ISBLANK('RESUMEN VIGILANCIA'!AV117),"",'RESUMEN VIGILANCIA'!AV117)</f>
        <v/>
      </c>
      <c r="AX113" s="400" t="str">
        <f>IF(ISBLANK('RESUMEN VIGILANCIA'!AW117),"",'RESUMEN VIGILANCIA'!AW117)</f>
        <v/>
      </c>
      <c r="AY113" s="400" t="str">
        <f>IF(ISBLANK('RESUMEN VIGILANCIA'!AX117),"",'RESUMEN VIGILANCIA'!AX117)</f>
        <v/>
      </c>
      <c r="AZ113" s="400" t="str">
        <f>IF(ISBLANK('RESUMEN VIGILANCIA'!AY117),"",'RESUMEN VIGILANCIA'!AY117)</f>
        <v/>
      </c>
      <c r="BA113" s="401" t="str">
        <f>IF(ISBLANK('RESUMEN VIGILANCIA'!AZ117),"",'RESUMEN VIGILANCIA'!AZ117)</f>
        <v/>
      </c>
      <c r="BB113" s="243">
        <f t="shared" si="7"/>
        <v>258201.25</v>
      </c>
      <c r="BC113" s="112"/>
      <c r="BD113" s="112"/>
    </row>
    <row r="114" spans="1:56" s="29" customFormat="1" ht="20.100000000000001" customHeight="1">
      <c r="A114" s="30" t="str">
        <f>'RESUMEN VIGILANCIA'!A118</f>
        <v>Familia Blonval Hernández</v>
      </c>
      <c r="B114" s="31" t="str">
        <f>'RESUMEN VIGILANCIA'!B118</f>
        <v>Calle Güigüe Nro. 89-64</v>
      </c>
      <c r="C114" s="452" t="s">
        <v>1250</v>
      </c>
      <c r="D114" s="460" t="s">
        <v>1248</v>
      </c>
      <c r="E114" s="440" t="str">
        <f>IF(ISBLANK('RESUMEN VIGILANCIA'!D118),"",'RESUMEN VIGILANCIA'!D118)</f>
        <v/>
      </c>
      <c r="F114" s="270" t="str">
        <f>IF(ISBLANK('RESUMEN VIGILANCIA'!E118),"",'RESUMEN VIGILANCIA'!E118)</f>
        <v/>
      </c>
      <c r="G114" s="182" t="str">
        <f>IF(ISBLANK('RESUMEN VIGILANCIA'!F118),"",'RESUMEN VIGILANCIA'!F118)</f>
        <v/>
      </c>
      <c r="H114" s="182" t="str">
        <f>IF(ISBLANK('RESUMEN VIGILANCIA'!G118),"",'RESUMEN VIGILANCIA'!G118)</f>
        <v/>
      </c>
      <c r="I114" s="182" t="str">
        <f>IF(ISBLANK('RESUMEN VIGILANCIA'!H118),"",'RESUMEN VIGILANCIA'!H118)</f>
        <v/>
      </c>
      <c r="J114" s="182" t="str">
        <f>IF(ISBLANK('RESUMEN VIGILANCIA'!I118),"",'RESUMEN VIGILANCIA'!I118)</f>
        <v/>
      </c>
      <c r="K114" s="182" t="str">
        <f>IF(ISBLANK('RESUMEN VIGILANCIA'!J118),"",'RESUMEN VIGILANCIA'!J118)</f>
        <v/>
      </c>
      <c r="L114" s="182" t="str">
        <f>IF(ISBLANK('RESUMEN VIGILANCIA'!K118),"",'RESUMEN VIGILANCIA'!K118)</f>
        <v/>
      </c>
      <c r="M114" s="182" t="str">
        <f>IF(ISBLANK('RESUMEN VIGILANCIA'!L118),"",'RESUMEN VIGILANCIA'!L118)</f>
        <v/>
      </c>
      <c r="N114" s="182" t="str">
        <f>IF(ISBLANK('RESUMEN VIGILANCIA'!M118),"",'RESUMEN VIGILANCIA'!M118)</f>
        <v/>
      </c>
      <c r="O114" s="182" t="str">
        <f>IF(ISBLANK('RESUMEN VIGILANCIA'!N118),"",'RESUMEN VIGILANCIA'!N118)</f>
        <v/>
      </c>
      <c r="P114" s="271" t="str">
        <f>IF(ISBLANK('RESUMEN VIGILANCIA'!O118),"",'RESUMEN VIGILANCIA'!O118)</f>
        <v/>
      </c>
      <c r="Q114" s="180" t="str">
        <f>IF(ISBLANK('RESUMEN VIGILANCIA'!P118),"",'RESUMEN VIGILANCIA'!P118)</f>
        <v/>
      </c>
      <c r="R114" s="272" t="str">
        <f>IF(ISBLANK('RESUMEN VIGILANCIA'!Q118),"",'RESUMEN VIGILANCIA'!Q118)</f>
        <v/>
      </c>
      <c r="S114" s="271" t="str">
        <f>IF(ISBLANK('RESUMEN VIGILANCIA'!R118),"",'RESUMEN VIGILANCIA'!R118)</f>
        <v/>
      </c>
      <c r="T114" s="271" t="str">
        <f>IF(ISBLANK('RESUMEN VIGILANCIA'!S118),"",'RESUMEN VIGILANCIA'!S118)</f>
        <v/>
      </c>
      <c r="U114" s="271" t="str">
        <f>IF(ISBLANK('RESUMEN VIGILANCIA'!T118),"",'RESUMEN VIGILANCIA'!T118)</f>
        <v/>
      </c>
      <c r="V114" s="271" t="str">
        <f>IF(ISBLANK('RESUMEN VIGILANCIA'!U118),"",'RESUMEN VIGILANCIA'!U118)</f>
        <v/>
      </c>
      <c r="W114" s="271" t="str">
        <f>IF(ISBLANK('RESUMEN VIGILANCIA'!V118),"",'RESUMEN VIGILANCIA'!V118)</f>
        <v/>
      </c>
      <c r="X114" s="271" t="str">
        <f>IF(ISBLANK('RESUMEN VIGILANCIA'!W118),"",'RESUMEN VIGILANCIA'!W118)</f>
        <v/>
      </c>
      <c r="Y114" s="271" t="str">
        <f>IF(ISBLANK('RESUMEN VIGILANCIA'!X118),"",'RESUMEN VIGILANCIA'!X118)</f>
        <v/>
      </c>
      <c r="Z114" s="481" t="str">
        <f>IF(ISBLANK('RESUMEN VIGILANCIA'!Y118),"",'RESUMEN VIGILANCIA'!Y118)</f>
        <v/>
      </c>
      <c r="AA114" s="481" t="str">
        <f>IF(ISBLANK('RESUMEN VIGILANCIA'!Z118),"",'RESUMEN VIGILANCIA'!Z118)</f>
        <v/>
      </c>
      <c r="AB114" s="481" t="str">
        <f>IF(ISBLANK('RESUMEN VIGILANCIA'!AA118),"",'RESUMEN VIGILANCIA'!AA118)</f>
        <v/>
      </c>
      <c r="AC114" s="482" t="str">
        <f>IF(ISBLANK('RESUMEN VIGILANCIA'!AB118),"",'RESUMEN VIGILANCIA'!AB118)</f>
        <v/>
      </c>
      <c r="AD114" s="399" t="str">
        <f>IF(ISBLANK('RESUMEN VIGILANCIA'!AC118),"",'RESUMEN VIGILANCIA'!AC118)</f>
        <v/>
      </c>
      <c r="AE114" s="400" t="str">
        <f>IF(ISBLANK('RESUMEN VIGILANCIA'!AD118),"",'RESUMEN VIGILANCIA'!AD118)</f>
        <v/>
      </c>
      <c r="AF114" s="400" t="str">
        <f>IF(ISBLANK('RESUMEN VIGILANCIA'!AE118),"",'RESUMEN VIGILANCIA'!AE118)</f>
        <v/>
      </c>
      <c r="AG114" s="400" t="str">
        <f>IF(ISBLANK('RESUMEN VIGILANCIA'!AF118),"",'RESUMEN VIGILANCIA'!AF118)</f>
        <v/>
      </c>
      <c r="AH114" s="400" t="str">
        <f>IF(ISBLANK('RESUMEN VIGILANCIA'!AG118),"",'RESUMEN VIGILANCIA'!AG118)</f>
        <v/>
      </c>
      <c r="AI114" s="400" t="str">
        <f>IF(ISBLANK('RESUMEN VIGILANCIA'!AH118),"",'RESUMEN VIGILANCIA'!AH118)</f>
        <v/>
      </c>
      <c r="AJ114" s="400" t="str">
        <f>IF(ISBLANK('RESUMEN VIGILANCIA'!AI118),"",'RESUMEN VIGILANCIA'!AI118)</f>
        <v/>
      </c>
      <c r="AK114" s="400" t="str">
        <f>IF(ISBLANK('RESUMEN VIGILANCIA'!AJ118),"",'RESUMEN VIGILANCIA'!AJ118)</f>
        <v/>
      </c>
      <c r="AL114" s="400" t="str">
        <f>IF(ISBLANK('RESUMEN VIGILANCIA'!AK118),"",'RESUMEN VIGILANCIA'!AK118)</f>
        <v/>
      </c>
      <c r="AM114" s="400" t="str">
        <f>IF(ISBLANK('RESUMEN VIGILANCIA'!AL118),"",'RESUMEN VIGILANCIA'!AL118)</f>
        <v/>
      </c>
      <c r="AN114" s="400" t="str">
        <f>IF(ISBLANK('RESUMEN VIGILANCIA'!AM118),"",'RESUMEN VIGILANCIA'!AM118)</f>
        <v/>
      </c>
      <c r="AO114" s="401" t="str">
        <f>IF(ISBLANK('RESUMEN VIGILANCIA'!AN118),"",'RESUMEN VIGILANCIA'!AN118)</f>
        <v/>
      </c>
      <c r="AP114" s="399" t="str">
        <f>IF(ISBLANK('RESUMEN VIGILANCIA'!AO118),"",'RESUMEN VIGILANCIA'!AO118)</f>
        <v/>
      </c>
      <c r="AQ114" s="400" t="str">
        <f>IF(ISBLANK('RESUMEN VIGILANCIA'!AP118),"",'RESUMEN VIGILANCIA'!AP118)</f>
        <v/>
      </c>
      <c r="AR114" s="400" t="str">
        <f>IF(ISBLANK('RESUMEN VIGILANCIA'!AQ118),"",'RESUMEN VIGILANCIA'!AQ118)</f>
        <v/>
      </c>
      <c r="AS114" s="400" t="str">
        <f>IF(ISBLANK('RESUMEN VIGILANCIA'!AR118),"",'RESUMEN VIGILANCIA'!AR118)</f>
        <v/>
      </c>
      <c r="AT114" s="400" t="str">
        <f>IF(ISBLANK('RESUMEN VIGILANCIA'!AS118),"",'RESUMEN VIGILANCIA'!AS118)</f>
        <v/>
      </c>
      <c r="AU114" s="400" t="str">
        <f>IF(ISBLANK('RESUMEN VIGILANCIA'!AT118),"",'RESUMEN VIGILANCIA'!AT118)</f>
        <v/>
      </c>
      <c r="AV114" s="400" t="str">
        <f>IF(ISBLANK('RESUMEN VIGILANCIA'!AU118),"",'RESUMEN VIGILANCIA'!AU118)</f>
        <v/>
      </c>
      <c r="AW114" s="400" t="str">
        <f>IF(ISBLANK('RESUMEN VIGILANCIA'!AV118),"",'RESUMEN VIGILANCIA'!AV118)</f>
        <v/>
      </c>
      <c r="AX114" s="400" t="str">
        <f>IF(ISBLANK('RESUMEN VIGILANCIA'!AW118),"",'RESUMEN VIGILANCIA'!AW118)</f>
        <v/>
      </c>
      <c r="AY114" s="400" t="str">
        <f>IF(ISBLANK('RESUMEN VIGILANCIA'!AX118),"",'RESUMEN VIGILANCIA'!AX118)</f>
        <v/>
      </c>
      <c r="AZ114" s="400" t="str">
        <f>IF(ISBLANK('RESUMEN VIGILANCIA'!AY118),"",'RESUMEN VIGILANCIA'!AY118)</f>
        <v/>
      </c>
      <c r="BA114" s="401" t="str">
        <f>IF(ISBLANK('RESUMEN VIGILANCIA'!AZ118),"",'RESUMEN VIGILANCIA'!AZ118)</f>
        <v/>
      </c>
      <c r="BB114" s="243">
        <f t="shared" si="7"/>
        <v>0</v>
      </c>
      <c r="BC114" s="112"/>
      <c r="BD114" s="112"/>
    </row>
    <row r="115" spans="1:56" s="29" customFormat="1" ht="20.100000000000001" customHeight="1">
      <c r="A115" s="30" t="str">
        <f>'RESUMEN VIGILANCIA'!A119</f>
        <v>Familia Milanés Carmona</v>
      </c>
      <c r="B115" s="31" t="str">
        <f>'RESUMEN VIGILANCIA'!B119</f>
        <v>Calle Güigüe Nro. 89-65</v>
      </c>
      <c r="C115" s="452" t="s">
        <v>1249</v>
      </c>
      <c r="D115" s="460" t="s">
        <v>17</v>
      </c>
      <c r="E115" s="440" t="str">
        <f>IF(ISBLANK('RESUMEN VIGILANCIA'!D119),"",'RESUMEN VIGILANCIA'!D119)</f>
        <v/>
      </c>
      <c r="F115" s="274" t="str">
        <f>IF(ISBLANK('RESUMEN VIGILANCIA'!E119),"",'RESUMEN VIGILANCIA'!E119)</f>
        <v/>
      </c>
      <c r="G115" s="183" t="str">
        <f>IF(ISBLANK('RESUMEN VIGILANCIA'!F119),"",'RESUMEN VIGILANCIA'!F119)</f>
        <v/>
      </c>
      <c r="H115" s="183" t="str">
        <f>IF(ISBLANK('RESUMEN VIGILANCIA'!G119),"",'RESUMEN VIGILANCIA'!G119)</f>
        <v/>
      </c>
      <c r="I115" s="183" t="str">
        <f>IF(ISBLANK('RESUMEN VIGILANCIA'!H119),"",'RESUMEN VIGILANCIA'!H119)</f>
        <v/>
      </c>
      <c r="J115" s="183" t="str">
        <f>IF(ISBLANK('RESUMEN VIGILANCIA'!I119),"",'RESUMEN VIGILANCIA'!I119)</f>
        <v/>
      </c>
      <c r="K115" s="182">
        <f>IF(ISBLANK('RESUMEN VIGILANCIA'!J119),"",'RESUMEN VIGILANCIA'!J119)</f>
        <v>0.26</v>
      </c>
      <c r="L115" s="182">
        <f>IF(ISBLANK('RESUMEN VIGILANCIA'!K119),"",'RESUMEN VIGILANCIA'!K119)</f>
        <v>0.35</v>
      </c>
      <c r="M115" s="182">
        <f>IF(ISBLANK('RESUMEN VIGILANCIA'!L119),"",'RESUMEN VIGILANCIA'!L119)</f>
        <v>0.35</v>
      </c>
      <c r="N115" s="182">
        <f>IF(ISBLANK('RESUMEN VIGILANCIA'!M119),"",'RESUMEN VIGILANCIA'!M119)</f>
        <v>0.35</v>
      </c>
      <c r="O115" s="182">
        <f>IF(ISBLANK('RESUMEN VIGILANCIA'!N119),"",'RESUMEN VIGILANCIA'!N119)</f>
        <v>0.35</v>
      </c>
      <c r="P115" s="271">
        <f>IF(ISBLANK('RESUMEN VIGILANCIA'!O119),"",'RESUMEN VIGILANCIA'!O119)</f>
        <v>0.5</v>
      </c>
      <c r="Q115" s="180">
        <f>IF(ISBLANK('RESUMEN VIGILANCIA'!P119),"",'RESUMEN VIGILANCIA'!P119)</f>
        <v>0.5</v>
      </c>
      <c r="R115" s="272">
        <f>IF(ISBLANK('RESUMEN VIGILANCIA'!Q119),"",'RESUMEN VIGILANCIA'!Q119)</f>
        <v>0.8</v>
      </c>
      <c r="S115" s="271">
        <f>IF(ISBLANK('RESUMEN VIGILANCIA'!R119),"",'RESUMEN VIGILANCIA'!R119)</f>
        <v>0.8</v>
      </c>
      <c r="T115" s="271">
        <f>IF(ISBLANK('RESUMEN VIGILANCIA'!S119),"",'RESUMEN VIGILANCIA'!S119)</f>
        <v>1.4</v>
      </c>
      <c r="U115" s="271">
        <f>IF(ISBLANK('RESUMEN VIGILANCIA'!T119),"",'RESUMEN VIGILANCIA'!T119)</f>
        <v>1.4</v>
      </c>
      <c r="V115" s="271">
        <f>IF(ISBLANK('RESUMEN VIGILANCIA'!U119),"",'RESUMEN VIGILANCIA'!U119)</f>
        <v>4</v>
      </c>
      <c r="W115" s="271">
        <f>IF(ISBLANK('RESUMEN VIGILANCIA'!V119),"",'RESUMEN VIGILANCIA'!V119)</f>
        <v>6.25</v>
      </c>
      <c r="X115" s="271">
        <f>IF(ISBLANK('RESUMEN VIGILANCIA'!W119),"",'RESUMEN VIGILANCIA'!W119)</f>
        <v>10</v>
      </c>
      <c r="Y115" s="271">
        <f>IF(ISBLANK('RESUMEN VIGILANCIA'!X119),"",'RESUMEN VIGILANCIA'!X119)</f>
        <v>12</v>
      </c>
      <c r="Z115" s="481">
        <f>IF(ISBLANK('RESUMEN VIGILANCIA'!Y119),"",'RESUMEN VIGILANCIA'!Y119)</f>
        <v>333</v>
      </c>
      <c r="AA115" s="481">
        <f>IF(ISBLANK('RESUMEN VIGILANCIA'!Z119),"",'RESUMEN VIGILANCIA'!Z119)</f>
        <v>320</v>
      </c>
      <c r="AB115" s="481">
        <f>IF(ISBLANK('RESUMEN VIGILANCIA'!AA119),"",'RESUMEN VIGILANCIA'!AA119)</f>
        <v>320</v>
      </c>
      <c r="AC115" s="482">
        <f>IF(ISBLANK('RESUMEN VIGILANCIA'!AB119),"",'RESUMEN VIGILANCIA'!AB119)</f>
        <v>800</v>
      </c>
      <c r="AD115" s="399">
        <f>IF(ISBLANK('RESUMEN VIGILANCIA'!AC119),"",'RESUMEN VIGILANCIA'!AC119)</f>
        <v>3000</v>
      </c>
      <c r="AE115" s="400">
        <f>IF(ISBLANK('RESUMEN VIGILANCIA'!AD119),"",'RESUMEN VIGILANCIA'!AD119)</f>
        <v>3000</v>
      </c>
      <c r="AF115" s="400">
        <f>IF(ISBLANK('RESUMEN VIGILANCIA'!AE119),"",'RESUMEN VIGILANCIA'!AE119)</f>
        <v>3000</v>
      </c>
      <c r="AG115" s="400">
        <f>IF(ISBLANK('RESUMEN VIGILANCIA'!AF119),"",'RESUMEN VIGILANCIA'!AF119)</f>
        <v>5000</v>
      </c>
      <c r="AH115" s="400">
        <f>IF(ISBLANK('RESUMEN VIGILANCIA'!AG119),"",'RESUMEN VIGILANCIA'!AG119)</f>
        <v>8000</v>
      </c>
      <c r="AI115" s="400">
        <f>IF(ISBLANK('RESUMEN VIGILANCIA'!AH119),"",'RESUMEN VIGILANCIA'!AH119)</f>
        <v>8000</v>
      </c>
      <c r="AJ115" s="400">
        <f>IF(ISBLANK('RESUMEN VIGILANCIA'!AI119),"",'RESUMEN VIGILANCIA'!AI119)</f>
        <v>10000</v>
      </c>
      <c r="AK115" s="400">
        <f>IF(ISBLANK('RESUMEN VIGILANCIA'!AJ119),"",'RESUMEN VIGILANCIA'!AJ119)</f>
        <v>10000</v>
      </c>
      <c r="AL115" s="400">
        <f>IF(ISBLANK('RESUMEN VIGILANCIA'!AK119),"",'RESUMEN VIGILANCIA'!AK119)</f>
        <v>19800</v>
      </c>
      <c r="AM115" s="400">
        <f>IF(ISBLANK('RESUMEN VIGILANCIA'!AL119),"",'RESUMEN VIGILANCIA'!AL119)</f>
        <v>50000</v>
      </c>
      <c r="AN115" s="400">
        <f>IF(ISBLANK('RESUMEN VIGILANCIA'!AM119),"",'RESUMEN VIGILANCIA'!AM119)</f>
        <v>60000</v>
      </c>
      <c r="AO115" s="401">
        <f>IF(ISBLANK('RESUMEN VIGILANCIA'!AN119),"",'RESUMEN VIGILANCIA'!AN119)</f>
        <v>105250</v>
      </c>
      <c r="AP115" s="399">
        <f>IF(ISBLANK('RESUMEN VIGILANCIA'!AO119),"",'RESUMEN VIGILANCIA'!AO119)</f>
        <v>136250</v>
      </c>
      <c r="AQ115" s="400">
        <f>IF(ISBLANK('RESUMEN VIGILANCIA'!AP119),"",'RESUMEN VIGILANCIA'!AP119)</f>
        <v>136250</v>
      </c>
      <c r="AR115" s="400" t="str">
        <f>IF(ISBLANK('RESUMEN VIGILANCIA'!AQ119),"",'RESUMEN VIGILANCIA'!AQ119)</f>
        <v/>
      </c>
      <c r="AS115" s="400" t="str">
        <f>IF(ISBLANK('RESUMEN VIGILANCIA'!AR119),"",'RESUMEN VIGILANCIA'!AR119)</f>
        <v/>
      </c>
      <c r="AT115" s="400" t="str">
        <f>IF(ISBLANK('RESUMEN VIGILANCIA'!AS119),"",'RESUMEN VIGILANCIA'!AS119)</f>
        <v/>
      </c>
      <c r="AU115" s="400" t="str">
        <f>IF(ISBLANK('RESUMEN VIGILANCIA'!AT119),"",'RESUMEN VIGILANCIA'!AT119)</f>
        <v/>
      </c>
      <c r="AV115" s="400" t="str">
        <f>IF(ISBLANK('RESUMEN VIGILANCIA'!AU119),"",'RESUMEN VIGILANCIA'!AU119)</f>
        <v/>
      </c>
      <c r="AW115" s="400" t="str">
        <f>IF(ISBLANK('RESUMEN VIGILANCIA'!AV119),"",'RESUMEN VIGILANCIA'!AV119)</f>
        <v/>
      </c>
      <c r="AX115" s="400" t="str">
        <f>IF(ISBLANK('RESUMEN VIGILANCIA'!AW119),"",'RESUMEN VIGILANCIA'!AW119)</f>
        <v/>
      </c>
      <c r="AY115" s="400" t="str">
        <f>IF(ISBLANK('RESUMEN VIGILANCIA'!AX119),"",'RESUMEN VIGILANCIA'!AX119)</f>
        <v/>
      </c>
      <c r="AZ115" s="400" t="str">
        <f>IF(ISBLANK('RESUMEN VIGILANCIA'!AY119),"",'RESUMEN VIGILANCIA'!AY119)</f>
        <v/>
      </c>
      <c r="BA115" s="401" t="str">
        <f>IF(ISBLANK('RESUMEN VIGILANCIA'!AZ119),"",'RESUMEN VIGILANCIA'!AZ119)</f>
        <v/>
      </c>
      <c r="BB115" s="243">
        <f t="shared" si="7"/>
        <v>286862.31</v>
      </c>
      <c r="BC115" s="112"/>
      <c r="BD115" s="112"/>
    </row>
    <row r="116" spans="1:56" s="29" customFormat="1" ht="20.100000000000001" customHeight="1">
      <c r="A116" s="30" t="str">
        <f>'RESUMEN VIGILANCIA'!A120</f>
        <v>Familia Medina Colina</v>
      </c>
      <c r="B116" s="31" t="str">
        <f>'RESUMEN VIGILANCIA'!B120</f>
        <v>Calle Güigüe Nro. 89-70</v>
      </c>
      <c r="C116" s="452" t="s">
        <v>1250</v>
      </c>
      <c r="D116" s="460" t="s">
        <v>1248</v>
      </c>
      <c r="E116" s="440" t="str">
        <f>IF(ISBLANK('RESUMEN VIGILANCIA'!D120),"",'RESUMEN VIGILANCIA'!D120)</f>
        <v/>
      </c>
      <c r="F116" s="270">
        <f>IF(ISBLANK('RESUMEN VIGILANCIA'!E120),"",'RESUMEN VIGILANCIA'!E120)</f>
        <v>0.17</v>
      </c>
      <c r="G116" s="182">
        <f>IF(ISBLANK('RESUMEN VIGILANCIA'!F120),"",'RESUMEN VIGILANCIA'!F120)</f>
        <v>0.17</v>
      </c>
      <c r="H116" s="182" t="str">
        <f>IF(ISBLANK('RESUMEN VIGILANCIA'!G120),"",'RESUMEN VIGILANCIA'!G120)</f>
        <v/>
      </c>
      <c r="I116" s="182" t="str">
        <f>IF(ISBLANK('RESUMEN VIGILANCIA'!H120),"",'RESUMEN VIGILANCIA'!H120)</f>
        <v/>
      </c>
      <c r="J116" s="182" t="str">
        <f>IF(ISBLANK('RESUMEN VIGILANCIA'!I120),"",'RESUMEN VIGILANCIA'!I120)</f>
        <v/>
      </c>
      <c r="K116" s="182" t="str">
        <f>IF(ISBLANK('RESUMEN VIGILANCIA'!J120),"",'RESUMEN VIGILANCIA'!J120)</f>
        <v/>
      </c>
      <c r="L116" s="182" t="str">
        <f>IF(ISBLANK('RESUMEN VIGILANCIA'!K120),"",'RESUMEN VIGILANCIA'!K120)</f>
        <v/>
      </c>
      <c r="M116" s="182" t="str">
        <f>IF(ISBLANK('RESUMEN VIGILANCIA'!L120),"",'RESUMEN VIGILANCIA'!L120)</f>
        <v/>
      </c>
      <c r="N116" s="182" t="str">
        <f>IF(ISBLANK('RESUMEN VIGILANCIA'!M120),"",'RESUMEN VIGILANCIA'!M120)</f>
        <v/>
      </c>
      <c r="O116" s="182" t="str">
        <f>IF(ISBLANK('RESUMEN VIGILANCIA'!N120),"",'RESUMEN VIGILANCIA'!N120)</f>
        <v/>
      </c>
      <c r="P116" s="271" t="str">
        <f>IF(ISBLANK('RESUMEN VIGILANCIA'!O120),"",'RESUMEN VIGILANCIA'!O120)</f>
        <v/>
      </c>
      <c r="Q116" s="180" t="str">
        <f>IF(ISBLANK('RESUMEN VIGILANCIA'!P120),"",'RESUMEN VIGILANCIA'!P120)</f>
        <v/>
      </c>
      <c r="R116" s="295" t="str">
        <f>IF(ISBLANK('RESUMEN VIGILANCIA'!Q120),"",'RESUMEN VIGILANCIA'!Q120)</f>
        <v>ü</v>
      </c>
      <c r="S116" s="296" t="str">
        <f>IF(ISBLANK('RESUMEN VIGILANCIA'!R120),"",'RESUMEN VIGILANCIA'!R120)</f>
        <v>ü</v>
      </c>
      <c r="T116" s="296" t="str">
        <f>IF(ISBLANK('RESUMEN VIGILANCIA'!S120),"",'RESUMEN VIGILANCIA'!S120)</f>
        <v>ü</v>
      </c>
      <c r="U116" s="296" t="str">
        <f>IF(ISBLANK('RESUMEN VIGILANCIA'!T120),"",'RESUMEN VIGILANCIA'!T120)</f>
        <v>ü</v>
      </c>
      <c r="V116" s="296" t="str">
        <f>IF(ISBLANK('RESUMEN VIGILANCIA'!U120),"",'RESUMEN VIGILANCIA'!U120)</f>
        <v>ü</v>
      </c>
      <c r="W116" s="296" t="str">
        <f>IF(ISBLANK('RESUMEN VIGILANCIA'!V120),"",'RESUMEN VIGILANCIA'!V120)</f>
        <v>ü</v>
      </c>
      <c r="X116" s="296" t="str">
        <f>IF(ISBLANK('RESUMEN VIGILANCIA'!W120),"",'RESUMEN VIGILANCIA'!W120)</f>
        <v>ü</v>
      </c>
      <c r="Y116" s="296" t="str">
        <f>IF(ISBLANK('RESUMEN VIGILANCIA'!X120),"",'RESUMEN VIGILANCIA'!X120)</f>
        <v>ü</v>
      </c>
      <c r="Z116" s="500" t="str">
        <f>IF(ISBLANK('RESUMEN VIGILANCIA'!Y120),"",'RESUMEN VIGILANCIA'!Y120)</f>
        <v>ü</v>
      </c>
      <c r="AA116" s="500" t="str">
        <f>IF(ISBLANK('RESUMEN VIGILANCIA'!Z120),"",'RESUMEN VIGILANCIA'!Z120)</f>
        <v>ü</v>
      </c>
      <c r="AB116" s="500" t="str">
        <f>IF(ISBLANK('RESUMEN VIGILANCIA'!AA120),"",'RESUMEN VIGILANCIA'!AA120)</f>
        <v>ü</v>
      </c>
      <c r="AC116" s="501" t="str">
        <f>IF(ISBLANK('RESUMEN VIGILANCIA'!AB120),"",'RESUMEN VIGILANCIA'!AB120)</f>
        <v>ü</v>
      </c>
      <c r="AD116" s="418" t="str">
        <f>IF(ISBLANK('RESUMEN VIGILANCIA'!AC120),"",'RESUMEN VIGILANCIA'!AC120)</f>
        <v/>
      </c>
      <c r="AE116" s="419" t="str">
        <f>IF(ISBLANK('RESUMEN VIGILANCIA'!AD120),"",'RESUMEN VIGILANCIA'!AD120)</f>
        <v/>
      </c>
      <c r="AF116" s="419" t="str">
        <f>IF(ISBLANK('RESUMEN VIGILANCIA'!AE120),"",'RESUMEN VIGILANCIA'!AE120)</f>
        <v/>
      </c>
      <c r="AG116" s="419" t="str">
        <f>IF(ISBLANK('RESUMEN VIGILANCIA'!AF120),"",'RESUMEN VIGILANCIA'!AF120)</f>
        <v/>
      </c>
      <c r="AH116" s="419" t="str">
        <f>IF(ISBLANK('RESUMEN VIGILANCIA'!AG120),"",'RESUMEN VIGILANCIA'!AG120)</f>
        <v/>
      </c>
      <c r="AI116" s="419" t="str">
        <f>IF(ISBLANK('RESUMEN VIGILANCIA'!AH120),"",'RESUMEN VIGILANCIA'!AH120)</f>
        <v/>
      </c>
      <c r="AJ116" s="419" t="str">
        <f>IF(ISBLANK('RESUMEN VIGILANCIA'!AI120),"",'RESUMEN VIGILANCIA'!AI120)</f>
        <v/>
      </c>
      <c r="AK116" s="419" t="str">
        <f>IF(ISBLANK('RESUMEN VIGILANCIA'!AJ120),"",'RESUMEN VIGILANCIA'!AJ120)</f>
        <v/>
      </c>
      <c r="AL116" s="419" t="str">
        <f>IF(ISBLANK('RESUMEN VIGILANCIA'!AK120),"",'RESUMEN VIGILANCIA'!AK120)</f>
        <v/>
      </c>
      <c r="AM116" s="419" t="str">
        <f>IF(ISBLANK('RESUMEN VIGILANCIA'!AL120),"",'RESUMEN VIGILANCIA'!AL120)</f>
        <v/>
      </c>
      <c r="AN116" s="419" t="str">
        <f>IF(ISBLANK('RESUMEN VIGILANCIA'!AM120),"",'RESUMEN VIGILANCIA'!AM120)</f>
        <v/>
      </c>
      <c r="AO116" s="420" t="str">
        <f>IF(ISBLANK('RESUMEN VIGILANCIA'!AN120),"",'RESUMEN VIGILANCIA'!AN120)</f>
        <v/>
      </c>
      <c r="AP116" s="418" t="str">
        <f>IF(ISBLANK('RESUMEN VIGILANCIA'!AO120),"",'RESUMEN VIGILANCIA'!AO120)</f>
        <v/>
      </c>
      <c r="AQ116" s="419" t="str">
        <f>IF(ISBLANK('RESUMEN VIGILANCIA'!AP120),"",'RESUMEN VIGILANCIA'!AP120)</f>
        <v/>
      </c>
      <c r="AR116" s="419" t="str">
        <f>IF(ISBLANK('RESUMEN VIGILANCIA'!AQ120),"",'RESUMEN VIGILANCIA'!AQ120)</f>
        <v/>
      </c>
      <c r="AS116" s="419" t="str">
        <f>IF(ISBLANK('RESUMEN VIGILANCIA'!AR120),"",'RESUMEN VIGILANCIA'!AR120)</f>
        <v/>
      </c>
      <c r="AT116" s="419" t="str">
        <f>IF(ISBLANK('RESUMEN VIGILANCIA'!AS120),"",'RESUMEN VIGILANCIA'!AS120)</f>
        <v/>
      </c>
      <c r="AU116" s="419" t="str">
        <f>IF(ISBLANK('RESUMEN VIGILANCIA'!AT120),"",'RESUMEN VIGILANCIA'!AT120)</f>
        <v/>
      </c>
      <c r="AV116" s="419" t="str">
        <f>IF(ISBLANK('RESUMEN VIGILANCIA'!AU120),"",'RESUMEN VIGILANCIA'!AU120)</f>
        <v/>
      </c>
      <c r="AW116" s="419" t="str">
        <f>IF(ISBLANK('RESUMEN VIGILANCIA'!AV120),"",'RESUMEN VIGILANCIA'!AV120)</f>
        <v/>
      </c>
      <c r="AX116" s="419" t="str">
        <f>IF(ISBLANK('RESUMEN VIGILANCIA'!AW120),"",'RESUMEN VIGILANCIA'!AW120)</f>
        <v/>
      </c>
      <c r="AY116" s="419" t="str">
        <f>IF(ISBLANK('RESUMEN VIGILANCIA'!AX120),"",'RESUMEN VIGILANCIA'!AX120)</f>
        <v/>
      </c>
      <c r="AZ116" s="419" t="str">
        <f>IF(ISBLANK('RESUMEN VIGILANCIA'!AY120),"",'RESUMEN VIGILANCIA'!AY120)</f>
        <v/>
      </c>
      <c r="BA116" s="420" t="str">
        <f>IF(ISBLANK('RESUMEN VIGILANCIA'!AZ120),"",'RESUMEN VIGILANCIA'!AZ120)</f>
        <v/>
      </c>
      <c r="BB116" s="243">
        <f t="shared" si="7"/>
        <v>0.34</v>
      </c>
      <c r="BC116" s="112"/>
      <c r="BD116" s="112"/>
    </row>
    <row r="117" spans="1:56" s="29" customFormat="1" ht="20.100000000000001" customHeight="1">
      <c r="A117" s="33" t="str">
        <f>'RESUMEN VIGILANCIA'!A121</f>
        <v>Gloria Molina</v>
      </c>
      <c r="B117" s="34" t="str">
        <f>'RESUMEN VIGILANCIA'!B121</f>
        <v>Calle Güigüe Nro. 89-71</v>
      </c>
      <c r="C117" s="451" t="s">
        <v>1251</v>
      </c>
      <c r="D117" s="461" t="s">
        <v>1248</v>
      </c>
      <c r="E117" s="439" t="str">
        <f>IF(ISBLANK('RESUMEN VIGILANCIA'!D121),"",'RESUMEN VIGILANCIA'!D121)</f>
        <v/>
      </c>
      <c r="F117" s="267">
        <f>IF(ISBLANK('RESUMEN VIGILANCIA'!E121),"",'RESUMEN VIGILANCIA'!E121)</f>
        <v>0.1</v>
      </c>
      <c r="G117" s="189">
        <f>IF(ISBLANK('RESUMEN VIGILANCIA'!F121),"",'RESUMEN VIGILANCIA'!F121)</f>
        <v>0.1</v>
      </c>
      <c r="H117" s="189">
        <f>IF(ISBLANK('RESUMEN VIGILANCIA'!G121),"",'RESUMEN VIGILANCIA'!G121)</f>
        <v>0.1</v>
      </c>
      <c r="I117" s="189">
        <f>IF(ISBLANK('RESUMEN VIGILANCIA'!H121),"",'RESUMEN VIGILANCIA'!H121)</f>
        <v>0.15</v>
      </c>
      <c r="J117" s="189">
        <f>IF(ISBLANK('RESUMEN VIGILANCIA'!I121),"",'RESUMEN VIGILANCIA'!I121)</f>
        <v>0.15</v>
      </c>
      <c r="K117" s="189">
        <f>IF(ISBLANK('RESUMEN VIGILANCIA'!J121),"",'RESUMEN VIGILANCIA'!J121)</f>
        <v>0.15</v>
      </c>
      <c r="L117" s="189">
        <f>IF(ISBLANK('RESUMEN VIGILANCIA'!K121),"",'RESUMEN VIGILANCIA'!K121)</f>
        <v>0.15</v>
      </c>
      <c r="M117" s="189">
        <f>IF(ISBLANK('RESUMEN VIGILANCIA'!L121),"",'RESUMEN VIGILANCIA'!L121)</f>
        <v>0.15</v>
      </c>
      <c r="N117" s="189">
        <f>IF(ISBLANK('RESUMEN VIGILANCIA'!M121),"",'RESUMEN VIGILANCIA'!M121)</f>
        <v>0.15</v>
      </c>
      <c r="O117" s="189">
        <f>IF(ISBLANK('RESUMEN VIGILANCIA'!N121),"",'RESUMEN VIGILANCIA'!N121)</f>
        <v>0.2</v>
      </c>
      <c r="P117" s="268">
        <f>IF(ISBLANK('RESUMEN VIGILANCIA'!O121),"",'RESUMEN VIGILANCIA'!O121)</f>
        <v>0.2</v>
      </c>
      <c r="Q117" s="187">
        <f>IF(ISBLANK('RESUMEN VIGILANCIA'!P121),"",'RESUMEN VIGILANCIA'!P121)</f>
        <v>0.2</v>
      </c>
      <c r="R117" s="269">
        <f>IF(ISBLANK('RESUMEN VIGILANCIA'!Q121),"",'RESUMEN VIGILANCIA'!Q121)</f>
        <v>0.5</v>
      </c>
      <c r="S117" s="268">
        <f>IF(ISBLANK('RESUMEN VIGILANCIA'!R121),"",'RESUMEN VIGILANCIA'!R121)</f>
        <v>0.5</v>
      </c>
      <c r="T117" s="268">
        <f>IF(ISBLANK('RESUMEN VIGILANCIA'!S121),"",'RESUMEN VIGILANCIA'!S121)</f>
        <v>1</v>
      </c>
      <c r="U117" s="268">
        <f>IF(ISBLANK('RESUMEN VIGILANCIA'!T121),"",'RESUMEN VIGILANCIA'!T121)</f>
        <v>1</v>
      </c>
      <c r="V117" s="268">
        <f>IF(ISBLANK('RESUMEN VIGILANCIA'!U121),"",'RESUMEN VIGILANCIA'!U121)</f>
        <v>2</v>
      </c>
      <c r="W117" s="268">
        <f>IF(ISBLANK('RESUMEN VIGILANCIA'!V121),"",'RESUMEN VIGILANCIA'!V121)</f>
        <v>4</v>
      </c>
      <c r="X117" s="268">
        <f>IF(ISBLANK('RESUMEN VIGILANCIA'!W121),"",'RESUMEN VIGILANCIA'!W121)</f>
        <v>5</v>
      </c>
      <c r="Y117" s="268">
        <f>IF(ISBLANK('RESUMEN VIGILANCIA'!X121),"",'RESUMEN VIGILANCIA'!X121)</f>
        <v>10</v>
      </c>
      <c r="Z117" s="485">
        <f>IF(ISBLANK('RESUMEN VIGILANCIA'!Y121),"",'RESUMEN VIGILANCIA'!Y121)</f>
        <v>300</v>
      </c>
      <c r="AA117" s="485">
        <f>IF(ISBLANK('RESUMEN VIGILANCIA'!Z121),"",'RESUMEN VIGILANCIA'!Z121)</f>
        <v>200</v>
      </c>
      <c r="AB117" s="485">
        <f>IF(ISBLANK('RESUMEN VIGILANCIA'!AA121),"",'RESUMEN VIGILANCIA'!AA121)</f>
        <v>200</v>
      </c>
      <c r="AC117" s="486">
        <f>IF(ISBLANK('RESUMEN VIGILANCIA'!AB121),"",'RESUMEN VIGILANCIA'!AB121)</f>
        <v>500</v>
      </c>
      <c r="AD117" s="396">
        <f>IF(ISBLANK('RESUMEN VIGILANCIA'!AC121),"",'RESUMEN VIGILANCIA'!AC121)</f>
        <v>1500</v>
      </c>
      <c r="AE117" s="397">
        <f>IF(ISBLANK('RESUMEN VIGILANCIA'!AD121),"",'RESUMEN VIGILANCIA'!AD121)</f>
        <v>1500</v>
      </c>
      <c r="AF117" s="397">
        <f>IF(ISBLANK('RESUMEN VIGILANCIA'!AE121),"",'RESUMEN VIGILANCIA'!AE121)</f>
        <v>3000</v>
      </c>
      <c r="AG117" s="397">
        <f>IF(ISBLANK('RESUMEN VIGILANCIA'!AF121),"",'RESUMEN VIGILANCIA'!AF121)</f>
        <v>3000</v>
      </c>
      <c r="AH117" s="405">
        <f>IF(ISBLANK('RESUMEN VIGILANCIA'!AG121),"",'RESUMEN VIGILANCIA'!AG121)</f>
        <v>8000</v>
      </c>
      <c r="AI117" s="405">
        <f>IF(ISBLANK('RESUMEN VIGILANCIA'!AH121),"",'RESUMEN VIGILANCIA'!AH121)</f>
        <v>8000</v>
      </c>
      <c r="AJ117" s="405">
        <f>IF(ISBLANK('RESUMEN VIGILANCIA'!AI121),"",'RESUMEN VIGILANCIA'!AI121)</f>
        <v>10000</v>
      </c>
      <c r="AK117" s="405">
        <f>IF(ISBLANK('RESUMEN VIGILANCIA'!AJ121),"",'RESUMEN VIGILANCIA'!AJ121)</f>
        <v>10000</v>
      </c>
      <c r="AL117" s="405">
        <f>IF(ISBLANK('RESUMEN VIGILANCIA'!AK121),"",'RESUMEN VIGILANCIA'!AK121)</f>
        <v>19800</v>
      </c>
      <c r="AM117" s="405">
        <f>IF(ISBLANK('RESUMEN VIGILANCIA'!AL121),"",'RESUMEN VIGILANCIA'!AL121)</f>
        <v>47000</v>
      </c>
      <c r="AN117" s="405">
        <f>IF(ISBLANK('RESUMEN VIGILANCIA'!AM121),"",'RESUMEN VIGILANCIA'!AM121)</f>
        <v>60000</v>
      </c>
      <c r="AO117" s="410">
        <f>IF(ISBLANK('RESUMEN VIGILANCIA'!AN121),"",'RESUMEN VIGILANCIA'!AN121)</f>
        <v>60000</v>
      </c>
      <c r="AP117" s="399">
        <f>IF(ISBLANK('RESUMEN VIGILANCIA'!AO121),"",'RESUMEN VIGILANCIA'!AO121)</f>
        <v>100000</v>
      </c>
      <c r="AQ117" s="400" t="str">
        <f>IF(ISBLANK('RESUMEN VIGILANCIA'!AP121),"",'RESUMEN VIGILANCIA'!AP121)</f>
        <v/>
      </c>
      <c r="AR117" s="400" t="str">
        <f>IF(ISBLANK('RESUMEN VIGILANCIA'!AQ121),"",'RESUMEN VIGILANCIA'!AQ121)</f>
        <v/>
      </c>
      <c r="AS117" s="400" t="str">
        <f>IF(ISBLANK('RESUMEN VIGILANCIA'!AR121),"",'RESUMEN VIGILANCIA'!AR121)</f>
        <v/>
      </c>
      <c r="AT117" s="400" t="str">
        <f>IF(ISBLANK('RESUMEN VIGILANCIA'!AS121),"",'RESUMEN VIGILANCIA'!AS121)</f>
        <v/>
      </c>
      <c r="AU117" s="400" t="str">
        <f>IF(ISBLANK('RESUMEN VIGILANCIA'!AT121),"",'RESUMEN VIGILANCIA'!AT121)</f>
        <v/>
      </c>
      <c r="AV117" s="400" t="str">
        <f>IF(ISBLANK('RESUMEN VIGILANCIA'!AU121),"",'RESUMEN VIGILANCIA'!AU121)</f>
        <v/>
      </c>
      <c r="AW117" s="400" t="str">
        <f>IF(ISBLANK('RESUMEN VIGILANCIA'!AV121),"",'RESUMEN VIGILANCIA'!AV121)</f>
        <v/>
      </c>
      <c r="AX117" s="400" t="str">
        <f>IF(ISBLANK('RESUMEN VIGILANCIA'!AW121),"",'RESUMEN VIGILANCIA'!AW121)</f>
        <v/>
      </c>
      <c r="AY117" s="400" t="str">
        <f>IF(ISBLANK('RESUMEN VIGILANCIA'!AX121),"",'RESUMEN VIGILANCIA'!AX121)</f>
        <v/>
      </c>
      <c r="AZ117" s="400" t="str">
        <f>IF(ISBLANK('RESUMEN VIGILANCIA'!AY121),"",'RESUMEN VIGILANCIA'!AY121)</f>
        <v/>
      </c>
      <c r="BA117" s="410" t="str">
        <f>IF(ISBLANK('RESUMEN VIGILANCIA'!AZ121),"",'RESUMEN VIGILANCIA'!AZ121)</f>
        <v/>
      </c>
      <c r="BB117" s="368">
        <f t="shared" si="7"/>
        <v>233025.8</v>
      </c>
      <c r="BC117" s="369"/>
      <c r="BD117" s="369"/>
    </row>
    <row r="118" spans="1:56" s="29" customFormat="1" ht="20.100000000000001" customHeight="1">
      <c r="A118" s="30" t="str">
        <f>'RESUMEN VIGILANCIA'!A122</f>
        <v>Familia Gurmeitte</v>
      </c>
      <c r="B118" s="31" t="str">
        <f>'RESUMEN VIGILANCIA'!B122</f>
        <v>Calle Güigüe Nro. 89-74</v>
      </c>
      <c r="C118" s="452" t="s">
        <v>1250</v>
      </c>
      <c r="D118" s="460" t="s">
        <v>1248</v>
      </c>
      <c r="E118" s="440" t="str">
        <f>IF(ISBLANK('RESUMEN VIGILANCIA'!D122),"",'RESUMEN VIGILANCIA'!D122)</f>
        <v/>
      </c>
      <c r="F118" s="270" t="str">
        <f>IF(ISBLANK('RESUMEN VIGILANCIA'!E122),"",'RESUMEN VIGILANCIA'!E122)</f>
        <v/>
      </c>
      <c r="G118" s="182" t="str">
        <f>IF(ISBLANK('RESUMEN VIGILANCIA'!F122),"",'RESUMEN VIGILANCIA'!F122)</f>
        <v/>
      </c>
      <c r="H118" s="182" t="str">
        <f>IF(ISBLANK('RESUMEN VIGILANCIA'!G122),"",'RESUMEN VIGILANCIA'!G122)</f>
        <v/>
      </c>
      <c r="I118" s="182" t="str">
        <f>IF(ISBLANK('RESUMEN VIGILANCIA'!H122),"",'RESUMEN VIGILANCIA'!H122)</f>
        <v/>
      </c>
      <c r="J118" s="182" t="str">
        <f>IF(ISBLANK('RESUMEN VIGILANCIA'!I122),"",'RESUMEN VIGILANCIA'!I122)</f>
        <v/>
      </c>
      <c r="K118" s="182" t="str">
        <f>IF(ISBLANK('RESUMEN VIGILANCIA'!J122),"",'RESUMEN VIGILANCIA'!J122)</f>
        <v/>
      </c>
      <c r="L118" s="182" t="str">
        <f>IF(ISBLANK('RESUMEN VIGILANCIA'!K122),"",'RESUMEN VIGILANCIA'!K122)</f>
        <v/>
      </c>
      <c r="M118" s="182" t="str">
        <f>IF(ISBLANK('RESUMEN VIGILANCIA'!L122),"",'RESUMEN VIGILANCIA'!L122)</f>
        <v/>
      </c>
      <c r="N118" s="182" t="str">
        <f>IF(ISBLANK('RESUMEN VIGILANCIA'!M122),"",'RESUMEN VIGILANCIA'!M122)</f>
        <v/>
      </c>
      <c r="O118" s="182" t="str">
        <f>IF(ISBLANK('RESUMEN VIGILANCIA'!N122),"",'RESUMEN VIGILANCIA'!N122)</f>
        <v/>
      </c>
      <c r="P118" s="271" t="str">
        <f>IF(ISBLANK('RESUMEN VIGILANCIA'!O122),"",'RESUMEN VIGILANCIA'!O122)</f>
        <v/>
      </c>
      <c r="Q118" s="180" t="str">
        <f>IF(ISBLANK('RESUMEN VIGILANCIA'!P122),"",'RESUMEN VIGILANCIA'!P122)</f>
        <v/>
      </c>
      <c r="R118" s="272" t="str">
        <f>IF(ISBLANK('RESUMEN VIGILANCIA'!Q122),"",'RESUMEN VIGILANCIA'!Q122)</f>
        <v/>
      </c>
      <c r="S118" s="271" t="str">
        <f>IF(ISBLANK('RESUMEN VIGILANCIA'!R122),"",'RESUMEN VIGILANCIA'!R122)</f>
        <v/>
      </c>
      <c r="T118" s="271" t="str">
        <f>IF(ISBLANK('RESUMEN VIGILANCIA'!S122),"",'RESUMEN VIGILANCIA'!S122)</f>
        <v/>
      </c>
      <c r="U118" s="271" t="str">
        <f>IF(ISBLANK('RESUMEN VIGILANCIA'!T122),"",'RESUMEN VIGILANCIA'!T122)</f>
        <v/>
      </c>
      <c r="V118" s="271" t="str">
        <f>IF(ISBLANK('RESUMEN VIGILANCIA'!U122),"",'RESUMEN VIGILANCIA'!U122)</f>
        <v/>
      </c>
      <c r="W118" s="271" t="str">
        <f>IF(ISBLANK('RESUMEN VIGILANCIA'!V122),"",'RESUMEN VIGILANCIA'!V122)</f>
        <v/>
      </c>
      <c r="X118" s="271" t="str">
        <f>IF(ISBLANK('RESUMEN VIGILANCIA'!W122),"",'RESUMEN VIGILANCIA'!W122)</f>
        <v/>
      </c>
      <c r="Y118" s="271" t="str">
        <f>IF(ISBLANK('RESUMEN VIGILANCIA'!X122),"",'RESUMEN VIGILANCIA'!X122)</f>
        <v/>
      </c>
      <c r="Z118" s="481" t="str">
        <f>IF(ISBLANK('RESUMEN VIGILANCIA'!Y122),"",'RESUMEN VIGILANCIA'!Y122)</f>
        <v/>
      </c>
      <c r="AA118" s="481" t="str">
        <f>IF(ISBLANK('RESUMEN VIGILANCIA'!Z122),"",'RESUMEN VIGILANCIA'!Z122)</f>
        <v/>
      </c>
      <c r="AB118" s="481" t="str">
        <f>IF(ISBLANK('RESUMEN VIGILANCIA'!AA122),"",'RESUMEN VIGILANCIA'!AA122)</f>
        <v/>
      </c>
      <c r="AC118" s="482" t="str">
        <f>IF(ISBLANK('RESUMEN VIGILANCIA'!AB122),"",'RESUMEN VIGILANCIA'!AB122)</f>
        <v/>
      </c>
      <c r="AD118" s="399" t="str">
        <f>IF(ISBLANK('RESUMEN VIGILANCIA'!AC122),"",'RESUMEN VIGILANCIA'!AC122)</f>
        <v/>
      </c>
      <c r="AE118" s="400" t="str">
        <f>IF(ISBLANK('RESUMEN VIGILANCIA'!AD122),"",'RESUMEN VIGILANCIA'!AD122)</f>
        <v/>
      </c>
      <c r="AF118" s="400" t="str">
        <f>IF(ISBLANK('RESUMEN VIGILANCIA'!AE122),"",'RESUMEN VIGILANCIA'!AE122)</f>
        <v/>
      </c>
      <c r="AG118" s="400" t="str">
        <f>IF(ISBLANK('RESUMEN VIGILANCIA'!AF122),"",'RESUMEN VIGILANCIA'!AF122)</f>
        <v/>
      </c>
      <c r="AH118" s="400" t="str">
        <f>IF(ISBLANK('RESUMEN VIGILANCIA'!AG122),"",'RESUMEN VIGILANCIA'!AG122)</f>
        <v/>
      </c>
      <c r="AI118" s="400" t="str">
        <f>IF(ISBLANK('RESUMEN VIGILANCIA'!AH122),"",'RESUMEN VIGILANCIA'!AH122)</f>
        <v/>
      </c>
      <c r="AJ118" s="400" t="str">
        <f>IF(ISBLANK('RESUMEN VIGILANCIA'!AI122),"",'RESUMEN VIGILANCIA'!AI122)</f>
        <v/>
      </c>
      <c r="AK118" s="400" t="str">
        <f>IF(ISBLANK('RESUMEN VIGILANCIA'!AJ122),"",'RESUMEN VIGILANCIA'!AJ122)</f>
        <v/>
      </c>
      <c r="AL118" s="400" t="str">
        <f>IF(ISBLANK('RESUMEN VIGILANCIA'!AK122),"",'RESUMEN VIGILANCIA'!AK122)</f>
        <v/>
      </c>
      <c r="AM118" s="400" t="str">
        <f>IF(ISBLANK('RESUMEN VIGILANCIA'!AL122),"",'RESUMEN VIGILANCIA'!AL122)</f>
        <v/>
      </c>
      <c r="AN118" s="400" t="str">
        <f>IF(ISBLANK('RESUMEN VIGILANCIA'!AM122),"",'RESUMEN VIGILANCIA'!AM122)</f>
        <v/>
      </c>
      <c r="AO118" s="401" t="str">
        <f>IF(ISBLANK('RESUMEN VIGILANCIA'!AN122),"",'RESUMEN VIGILANCIA'!AN122)</f>
        <v/>
      </c>
      <c r="AP118" s="399" t="str">
        <f>IF(ISBLANK('RESUMEN VIGILANCIA'!AO122),"",'RESUMEN VIGILANCIA'!AO122)</f>
        <v/>
      </c>
      <c r="AQ118" s="400" t="str">
        <f>IF(ISBLANK('RESUMEN VIGILANCIA'!AP122),"",'RESUMEN VIGILANCIA'!AP122)</f>
        <v/>
      </c>
      <c r="AR118" s="400" t="str">
        <f>IF(ISBLANK('RESUMEN VIGILANCIA'!AQ122),"",'RESUMEN VIGILANCIA'!AQ122)</f>
        <v/>
      </c>
      <c r="AS118" s="400" t="str">
        <f>IF(ISBLANK('RESUMEN VIGILANCIA'!AR122),"",'RESUMEN VIGILANCIA'!AR122)</f>
        <v/>
      </c>
      <c r="AT118" s="400" t="str">
        <f>IF(ISBLANK('RESUMEN VIGILANCIA'!AS122),"",'RESUMEN VIGILANCIA'!AS122)</f>
        <v/>
      </c>
      <c r="AU118" s="400" t="str">
        <f>IF(ISBLANK('RESUMEN VIGILANCIA'!AT122),"",'RESUMEN VIGILANCIA'!AT122)</f>
        <v/>
      </c>
      <c r="AV118" s="400" t="str">
        <f>IF(ISBLANK('RESUMEN VIGILANCIA'!AU122),"",'RESUMEN VIGILANCIA'!AU122)</f>
        <v/>
      </c>
      <c r="AW118" s="400" t="str">
        <f>IF(ISBLANK('RESUMEN VIGILANCIA'!AV122),"",'RESUMEN VIGILANCIA'!AV122)</f>
        <v/>
      </c>
      <c r="AX118" s="400" t="str">
        <f>IF(ISBLANK('RESUMEN VIGILANCIA'!AW122),"",'RESUMEN VIGILANCIA'!AW122)</f>
        <v/>
      </c>
      <c r="AY118" s="400" t="str">
        <f>IF(ISBLANK('RESUMEN VIGILANCIA'!AX122),"",'RESUMEN VIGILANCIA'!AX122)</f>
        <v/>
      </c>
      <c r="AZ118" s="400" t="str">
        <f>IF(ISBLANK('RESUMEN VIGILANCIA'!AY122),"",'RESUMEN VIGILANCIA'!AY122)</f>
        <v/>
      </c>
      <c r="BA118" s="401" t="str">
        <f>IF(ISBLANK('RESUMEN VIGILANCIA'!AZ122),"",'RESUMEN VIGILANCIA'!AZ122)</f>
        <v/>
      </c>
      <c r="BB118" s="243">
        <f t="shared" si="7"/>
        <v>0</v>
      </c>
      <c r="BC118" s="112"/>
      <c r="BD118" s="112"/>
    </row>
    <row r="119" spans="1:56" s="29" customFormat="1" ht="20.100000000000001" customHeight="1">
      <c r="A119" s="59" t="str">
        <f>'RESUMEN VIGILANCIA'!A137</f>
        <v>Familia Morales Sesar</v>
      </c>
      <c r="B119" s="60" t="str">
        <f>'RESUMEN VIGILANCIA'!B137</f>
        <v>Calle Güigüe Nro. 89-120</v>
      </c>
      <c r="C119" s="452" t="s">
        <v>1251</v>
      </c>
      <c r="D119" s="460" t="s">
        <v>1248</v>
      </c>
      <c r="E119" s="439" t="str">
        <f>IF(ISBLANK('RESUMEN VIGILANCIA'!D137),"",'RESUMEN VIGILANCIA'!D137)</f>
        <v/>
      </c>
      <c r="F119" s="267">
        <f>IF(ISBLANK('RESUMEN VIGILANCIA'!E137),"",'RESUMEN VIGILANCIA'!E137)</f>
        <v>0.17</v>
      </c>
      <c r="G119" s="189">
        <f>IF(ISBLANK('RESUMEN VIGILANCIA'!F137),"",'RESUMEN VIGILANCIA'!F137)</f>
        <v>0.17</v>
      </c>
      <c r="H119" s="189">
        <f>IF(ISBLANK('RESUMEN VIGILANCIA'!G137),"",'RESUMEN VIGILANCIA'!G137)</f>
        <v>0.17</v>
      </c>
      <c r="I119" s="189">
        <f>IF(ISBLANK('RESUMEN VIGILANCIA'!H137),"",'RESUMEN VIGILANCIA'!H137)</f>
        <v>0.17</v>
      </c>
      <c r="J119" s="189">
        <f>IF(ISBLANK('RESUMEN VIGILANCIA'!I137),"",'RESUMEN VIGILANCIA'!I137)</f>
        <v>0.26</v>
      </c>
      <c r="K119" s="222">
        <f>IF(ISBLANK('RESUMEN VIGILANCIA'!J137),"",'RESUMEN VIGILANCIA'!J137)</f>
        <v>0.26</v>
      </c>
      <c r="L119" s="234">
        <f>IF(ISBLANK('RESUMEN VIGILANCIA'!K137),"",'RESUMEN VIGILANCIA'!K137)</f>
        <v>0.18</v>
      </c>
      <c r="M119" s="234">
        <f>IF(ISBLANK('RESUMEN VIGILANCIA'!L137),"",'RESUMEN VIGILANCIA'!L137)</f>
        <v>0.15</v>
      </c>
      <c r="N119" s="234">
        <f>IF(ISBLANK('RESUMEN VIGILANCIA'!M137),"",'RESUMEN VIGILANCIA'!M137)</f>
        <v>0.15</v>
      </c>
      <c r="O119" s="234">
        <f>IF(ISBLANK('RESUMEN VIGILANCIA'!N137),"",'RESUMEN VIGILANCIA'!N137)</f>
        <v>0.25</v>
      </c>
      <c r="P119" s="276" t="str">
        <f>IF(ISBLANK('RESUMEN VIGILANCIA'!O137),"",'RESUMEN VIGILANCIA'!O137)</f>
        <v>- - -</v>
      </c>
      <c r="Q119" s="223" t="str">
        <f>IF(ISBLANK('RESUMEN VIGILANCIA'!P137),"",'RESUMEN VIGILANCIA'!P137)</f>
        <v>- - -</v>
      </c>
      <c r="R119" s="347">
        <f>IF(ISBLANK('RESUMEN VIGILANCIA'!Q137),"",'RESUMEN VIGILANCIA'!Q137)</f>
        <v>0.4</v>
      </c>
      <c r="S119" s="273">
        <f>IF(ISBLANK('RESUMEN VIGILANCIA'!R137),"",'RESUMEN VIGILANCIA'!R137)</f>
        <v>0.4</v>
      </c>
      <c r="T119" s="273">
        <f>IF(ISBLANK('RESUMEN VIGILANCIA'!S137),"",'RESUMEN VIGILANCIA'!S137)</f>
        <v>0.5</v>
      </c>
      <c r="U119" s="273">
        <f>IF(ISBLANK('RESUMEN VIGILANCIA'!T137),"",'RESUMEN VIGILANCIA'!T137)</f>
        <v>0.5</v>
      </c>
      <c r="V119" s="273">
        <f>IF(ISBLANK('RESUMEN VIGILANCIA'!U137),"",'RESUMEN VIGILANCIA'!U137)</f>
        <v>1</v>
      </c>
      <c r="W119" s="273">
        <f>IF(ISBLANK('RESUMEN VIGILANCIA'!V137),"",'RESUMEN VIGILANCIA'!V137)</f>
        <v>1</v>
      </c>
      <c r="X119" s="273" t="str">
        <f>IF(ISBLANK('RESUMEN VIGILANCIA'!W137),"",'RESUMEN VIGILANCIA'!W137)</f>
        <v/>
      </c>
      <c r="Y119" s="273" t="str">
        <f>IF(ISBLANK('RESUMEN VIGILANCIA'!X137),"",'RESUMEN VIGILANCIA'!X137)</f>
        <v/>
      </c>
      <c r="Z119" s="484" t="str">
        <f>IF(ISBLANK('RESUMEN VIGILANCIA'!Y137),"",'RESUMEN VIGILANCIA'!Y137)</f>
        <v/>
      </c>
      <c r="AA119" s="504" t="str">
        <f>IF(ISBLANK('RESUMEN VIGILANCIA'!Z137),"",'RESUMEN VIGILANCIA'!Z137)</f>
        <v>VENDIDA</v>
      </c>
      <c r="AB119" s="487" t="str">
        <f>IF(ISBLANK('RESUMEN VIGILANCIA'!AA137),"",'RESUMEN VIGILANCIA'!AA137)</f>
        <v/>
      </c>
      <c r="AC119" s="488" t="str">
        <f>IF(ISBLANK('RESUMEN VIGILANCIA'!AB137),"",'RESUMEN VIGILANCIA'!AB137)</f>
        <v/>
      </c>
      <c r="AD119" s="415" t="str">
        <f>IF(ISBLANK('RESUMEN VIGILANCIA'!AC137),"",'RESUMEN VIGILANCIA'!AC137)</f>
        <v/>
      </c>
      <c r="AE119" s="416" t="str">
        <f>IF(ISBLANK('RESUMEN VIGILANCIA'!AD137),"",'RESUMEN VIGILANCIA'!AD137)</f>
        <v/>
      </c>
      <c r="AF119" s="416" t="str">
        <f>IF(ISBLANK('RESUMEN VIGILANCIA'!AE137),"",'RESUMEN VIGILANCIA'!AE137)</f>
        <v/>
      </c>
      <c r="AG119" s="416" t="str">
        <f>IF(ISBLANK('RESUMEN VIGILANCIA'!AF137),"",'RESUMEN VIGILANCIA'!AF137)</f>
        <v/>
      </c>
      <c r="AH119" s="416" t="str">
        <f>IF(ISBLANK('RESUMEN VIGILANCIA'!AG137),"",'RESUMEN VIGILANCIA'!AG137)</f>
        <v/>
      </c>
      <c r="AI119" s="416" t="str">
        <f>IF(ISBLANK('RESUMEN VIGILANCIA'!AH137),"",'RESUMEN VIGILANCIA'!AH137)</f>
        <v/>
      </c>
      <c r="AJ119" s="416" t="str">
        <f>IF(ISBLANK('RESUMEN VIGILANCIA'!AI137),"",'RESUMEN VIGILANCIA'!AI137)</f>
        <v/>
      </c>
      <c r="AK119" s="416" t="str">
        <f>IF(ISBLANK('RESUMEN VIGILANCIA'!AJ137),"",'RESUMEN VIGILANCIA'!AJ137)</f>
        <v/>
      </c>
      <c r="AL119" s="416" t="str">
        <f>IF(ISBLANK('RESUMEN VIGILANCIA'!AK137),"",'RESUMEN VIGILANCIA'!AK137)</f>
        <v/>
      </c>
      <c r="AM119" s="416" t="str">
        <f>IF(ISBLANK('RESUMEN VIGILANCIA'!AL137),"",'RESUMEN VIGILANCIA'!AL137)</f>
        <v/>
      </c>
      <c r="AN119" s="416" t="str">
        <f>IF(ISBLANK('RESUMEN VIGILANCIA'!AM137),"",'RESUMEN VIGILANCIA'!AM137)</f>
        <v/>
      </c>
      <c r="AO119" s="417" t="str">
        <f>IF(ISBLANK('RESUMEN VIGILANCIA'!AN137),"",'RESUMEN VIGILANCIA'!AN137)</f>
        <v/>
      </c>
      <c r="AP119" s="415" t="str">
        <f>IF(ISBLANK('RESUMEN VIGILANCIA'!AO137),"",'RESUMEN VIGILANCIA'!AO137)</f>
        <v/>
      </c>
      <c r="AQ119" s="416" t="str">
        <f>IF(ISBLANK('RESUMEN VIGILANCIA'!AP137),"",'RESUMEN VIGILANCIA'!AP137)</f>
        <v/>
      </c>
      <c r="AR119" s="416" t="str">
        <f>IF(ISBLANK('RESUMEN VIGILANCIA'!AQ137),"",'RESUMEN VIGILANCIA'!AQ137)</f>
        <v/>
      </c>
      <c r="AS119" s="416" t="str">
        <f>IF(ISBLANK('RESUMEN VIGILANCIA'!AR137),"",'RESUMEN VIGILANCIA'!AR137)</f>
        <v/>
      </c>
      <c r="AT119" s="416" t="str">
        <f>IF(ISBLANK('RESUMEN VIGILANCIA'!AS137),"",'RESUMEN VIGILANCIA'!AS137)</f>
        <v/>
      </c>
      <c r="AU119" s="416" t="str">
        <f>IF(ISBLANK('RESUMEN VIGILANCIA'!AT137),"",'RESUMEN VIGILANCIA'!AT137)</f>
        <v/>
      </c>
      <c r="AV119" s="416" t="str">
        <f>IF(ISBLANK('RESUMEN VIGILANCIA'!AU137),"",'RESUMEN VIGILANCIA'!AU137)</f>
        <v/>
      </c>
      <c r="AW119" s="416" t="str">
        <f>IF(ISBLANK('RESUMEN VIGILANCIA'!AV137),"",'RESUMEN VIGILANCIA'!AV137)</f>
        <v/>
      </c>
      <c r="AX119" s="416" t="str">
        <f>IF(ISBLANK('RESUMEN VIGILANCIA'!AW137),"",'RESUMEN VIGILANCIA'!AW137)</f>
        <v/>
      </c>
      <c r="AY119" s="416" t="str">
        <f>IF(ISBLANK('RESUMEN VIGILANCIA'!AX137),"",'RESUMEN VIGILANCIA'!AX137)</f>
        <v/>
      </c>
      <c r="AZ119" s="416" t="str">
        <f>IF(ISBLANK('RESUMEN VIGILANCIA'!AY137),"",'RESUMEN VIGILANCIA'!AY137)</f>
        <v/>
      </c>
      <c r="BA119" s="417" t="str">
        <f>IF(ISBLANK('RESUMEN VIGILANCIA'!AZ137),"",'RESUMEN VIGILANCIA'!AZ137)</f>
        <v/>
      </c>
      <c r="BB119" s="243">
        <f t="shared" si="7"/>
        <v>5.73</v>
      </c>
      <c r="BC119" s="112"/>
      <c r="BD119" s="112">
        <v>43344</v>
      </c>
    </row>
    <row r="120" spans="1:56" s="29" customFormat="1" ht="20.100000000000001" customHeight="1">
      <c r="A120" s="30" t="str">
        <f>'RESUMEN VIGILANCIA'!A138</f>
        <v>Familia Abbinante Pinto</v>
      </c>
      <c r="B120" s="31" t="str">
        <f>'RESUMEN VIGILANCIA'!B138</f>
        <v>Calle Güigüe Nro. 89-120</v>
      </c>
      <c r="C120" s="452" t="s">
        <v>1249</v>
      </c>
      <c r="D120" s="460" t="s">
        <v>1248</v>
      </c>
      <c r="E120" s="440" t="str">
        <f>IF(ISBLANK('RESUMEN VIGILANCIA'!D138),"",'RESUMEN VIGILANCIA'!D138)</f>
        <v/>
      </c>
      <c r="F120" s="270" t="str">
        <f>IF(ISBLANK('RESUMEN VIGILANCIA'!E138),"",'RESUMEN VIGILANCIA'!E138)</f>
        <v/>
      </c>
      <c r="G120" s="182" t="str">
        <f>IF(ISBLANK('RESUMEN VIGILANCIA'!F138),"",'RESUMEN VIGILANCIA'!F138)</f>
        <v/>
      </c>
      <c r="H120" s="182" t="str">
        <f>IF(ISBLANK('RESUMEN VIGILANCIA'!G138),"",'RESUMEN VIGILANCIA'!G138)</f>
        <v/>
      </c>
      <c r="I120" s="182" t="str">
        <f>IF(ISBLANK('RESUMEN VIGILANCIA'!H138),"",'RESUMEN VIGILANCIA'!H138)</f>
        <v/>
      </c>
      <c r="J120" s="182" t="str">
        <f>IF(ISBLANK('RESUMEN VIGILANCIA'!I138),"",'RESUMEN VIGILANCIA'!I138)</f>
        <v/>
      </c>
      <c r="K120" s="182" t="str">
        <f>IF(ISBLANK('RESUMEN VIGILANCIA'!J138),"",'RESUMEN VIGILANCIA'!J138)</f>
        <v/>
      </c>
      <c r="L120" s="227" t="str">
        <f>IF(ISBLANK('RESUMEN VIGILANCIA'!K138),"",'RESUMEN VIGILANCIA'!K138)</f>
        <v/>
      </c>
      <c r="M120" s="182" t="str">
        <f>IF(ISBLANK('RESUMEN VIGILANCIA'!L138),"",'RESUMEN VIGILANCIA'!L138)</f>
        <v/>
      </c>
      <c r="N120" s="182" t="str">
        <f>IF(ISBLANK('RESUMEN VIGILANCIA'!M138),"",'RESUMEN VIGILANCIA'!M138)</f>
        <v/>
      </c>
      <c r="O120" s="182" t="str">
        <f>IF(ISBLANK('RESUMEN VIGILANCIA'!N138),"",'RESUMEN VIGILANCIA'!N138)</f>
        <v/>
      </c>
      <c r="P120" s="271" t="str">
        <f>IF(ISBLANK('RESUMEN VIGILANCIA'!O138),"",'RESUMEN VIGILANCIA'!O138)</f>
        <v/>
      </c>
      <c r="Q120" s="180" t="str">
        <f>IF(ISBLANK('RESUMEN VIGILANCIA'!P138),"",'RESUMEN VIGILANCIA'!P138)</f>
        <v/>
      </c>
      <c r="R120" s="348" t="str">
        <f>IF(ISBLANK('RESUMEN VIGILANCIA'!Q138),"",'RESUMEN VIGILANCIA'!Q138)</f>
        <v/>
      </c>
      <c r="S120" s="282" t="str">
        <f>IF(ISBLANK('RESUMEN VIGILANCIA'!R138),"",'RESUMEN VIGILANCIA'!R138)</f>
        <v/>
      </c>
      <c r="T120" s="282" t="str">
        <f>IF(ISBLANK('RESUMEN VIGILANCIA'!S138),"",'RESUMEN VIGILANCIA'!S138)</f>
        <v/>
      </c>
      <c r="U120" s="282" t="str">
        <f>IF(ISBLANK('RESUMEN VIGILANCIA'!T138),"",'RESUMEN VIGILANCIA'!T138)</f>
        <v/>
      </c>
      <c r="V120" s="282" t="str">
        <f>IF(ISBLANK('RESUMEN VIGILANCIA'!U138),"",'RESUMEN VIGILANCIA'!U138)</f>
        <v/>
      </c>
      <c r="W120" s="282" t="str">
        <f>IF(ISBLANK('RESUMEN VIGILANCIA'!V138),"",'RESUMEN VIGILANCIA'!V138)</f>
        <v/>
      </c>
      <c r="X120" s="282" t="str">
        <f>IF(ISBLANK('RESUMEN VIGILANCIA'!W138),"",'RESUMEN VIGILANCIA'!W138)</f>
        <v/>
      </c>
      <c r="Y120" s="282" t="str">
        <f>IF(ISBLANK('RESUMEN VIGILANCIA'!X138),"",'RESUMEN VIGILANCIA'!X138)</f>
        <v/>
      </c>
      <c r="Z120" s="490" t="str">
        <f>IF(ISBLANK('RESUMEN VIGILANCIA'!Y138),"",'RESUMEN VIGILANCIA'!Y138)</f>
        <v/>
      </c>
      <c r="AA120" s="481">
        <f>IF(ISBLANK('RESUMEN VIGILANCIA'!Z138),"",'RESUMEN VIGILANCIA'!Z138)</f>
        <v>320</v>
      </c>
      <c r="AB120" s="481">
        <f>IF(ISBLANK('RESUMEN VIGILANCIA'!AA138),"",'RESUMEN VIGILANCIA'!AA138)</f>
        <v>320</v>
      </c>
      <c r="AC120" s="482">
        <f>IF(ISBLANK('RESUMEN VIGILANCIA'!AB138),"",'RESUMEN VIGILANCIA'!AB138)</f>
        <v>800</v>
      </c>
      <c r="AD120" s="399">
        <f>IF(ISBLANK('RESUMEN VIGILANCIA'!AC138),"",'RESUMEN VIGILANCIA'!AC138)</f>
        <v>3000</v>
      </c>
      <c r="AE120" s="400">
        <f>IF(ISBLANK('RESUMEN VIGILANCIA'!AD138),"",'RESUMEN VIGILANCIA'!AD138)</f>
        <v>3000</v>
      </c>
      <c r="AF120" s="400">
        <f>IF(ISBLANK('RESUMEN VIGILANCIA'!AE138),"",'RESUMEN VIGILANCIA'!AE138)</f>
        <v>3000</v>
      </c>
      <c r="AG120" s="400">
        <f>IF(ISBLANK('RESUMEN VIGILANCIA'!AF138),"",'RESUMEN VIGILANCIA'!AF138)</f>
        <v>5000</v>
      </c>
      <c r="AH120" s="400">
        <f>IF(ISBLANK('RESUMEN VIGILANCIA'!AG138),"",'RESUMEN VIGILANCIA'!AG138)</f>
        <v>8000</v>
      </c>
      <c r="AI120" s="400">
        <f>IF(ISBLANK('RESUMEN VIGILANCIA'!AH138),"",'RESUMEN VIGILANCIA'!AH138)</f>
        <v>8000</v>
      </c>
      <c r="AJ120" s="400">
        <f>IF(ISBLANK('RESUMEN VIGILANCIA'!AI138),"",'RESUMEN VIGILANCIA'!AI138)</f>
        <v>10000</v>
      </c>
      <c r="AK120" s="400">
        <f>IF(ISBLANK('RESUMEN VIGILANCIA'!AJ138),"",'RESUMEN VIGILANCIA'!AJ138)</f>
        <v>10000</v>
      </c>
      <c r="AL120" s="400">
        <f>IF(ISBLANK('RESUMEN VIGILANCIA'!AK138),"",'RESUMEN VIGILANCIA'!AK138)</f>
        <v>21600</v>
      </c>
      <c r="AM120" s="400">
        <f>IF(ISBLANK('RESUMEN VIGILANCIA'!AL138),"",'RESUMEN VIGILANCIA'!AL138)</f>
        <v>51250</v>
      </c>
      <c r="AN120" s="400">
        <f>IF(ISBLANK('RESUMEN VIGILANCIA'!AM138),"",'RESUMEN VIGILANCIA'!AM138)</f>
        <v>73500</v>
      </c>
      <c r="AO120" s="401">
        <f>IF(ISBLANK('RESUMEN VIGILANCIA'!AN138),"",'RESUMEN VIGILANCIA'!AN138)</f>
        <v>105250</v>
      </c>
      <c r="AP120" s="399">
        <f>IF(ISBLANK('RESUMEN VIGILANCIA'!AO138),"",'RESUMEN VIGILANCIA'!AO138)</f>
        <v>136250</v>
      </c>
      <c r="AQ120" s="400" t="str">
        <f>IF(ISBLANK('RESUMEN VIGILANCIA'!AP138),"",'RESUMEN VIGILANCIA'!AP138)</f>
        <v/>
      </c>
      <c r="AR120" s="400" t="str">
        <f>IF(ISBLANK('RESUMEN VIGILANCIA'!AQ138),"",'RESUMEN VIGILANCIA'!AQ138)</f>
        <v/>
      </c>
      <c r="AS120" s="400" t="str">
        <f>IF(ISBLANK('RESUMEN VIGILANCIA'!AR138),"",'RESUMEN VIGILANCIA'!AR138)</f>
        <v/>
      </c>
      <c r="AT120" s="400" t="str">
        <f>IF(ISBLANK('RESUMEN VIGILANCIA'!AS138),"",'RESUMEN VIGILANCIA'!AS138)</f>
        <v/>
      </c>
      <c r="AU120" s="400" t="str">
        <f>IF(ISBLANK('RESUMEN VIGILANCIA'!AT138),"",'RESUMEN VIGILANCIA'!AT138)</f>
        <v/>
      </c>
      <c r="AV120" s="400" t="str">
        <f>IF(ISBLANK('RESUMEN VIGILANCIA'!AU138),"",'RESUMEN VIGILANCIA'!AU138)</f>
        <v/>
      </c>
      <c r="AW120" s="400" t="str">
        <f>IF(ISBLANK('RESUMEN VIGILANCIA'!AV138),"",'RESUMEN VIGILANCIA'!AV138)</f>
        <v/>
      </c>
      <c r="AX120" s="400" t="str">
        <f>IF(ISBLANK('RESUMEN VIGILANCIA'!AW138),"",'RESUMEN VIGILANCIA'!AW138)</f>
        <v/>
      </c>
      <c r="AY120" s="400" t="str">
        <f>IF(ISBLANK('RESUMEN VIGILANCIA'!AX138),"",'RESUMEN VIGILANCIA'!AX138)</f>
        <v/>
      </c>
      <c r="AZ120" s="400" t="str">
        <f>IF(ISBLANK('RESUMEN VIGILANCIA'!AY138),"",'RESUMEN VIGILANCIA'!AY138)</f>
        <v/>
      </c>
      <c r="BA120" s="401" t="str">
        <f>IF(ISBLANK('RESUMEN VIGILANCIA'!AZ138),"",'RESUMEN VIGILANCIA'!AZ138)</f>
        <v/>
      </c>
      <c r="BB120" s="243">
        <f t="shared" si="7"/>
        <v>303040</v>
      </c>
      <c r="BC120" s="112">
        <v>43374</v>
      </c>
      <c r="BD120" s="112"/>
    </row>
    <row r="121" spans="1:56" s="29" customFormat="1" ht="20.100000000000001" customHeight="1">
      <c r="A121" s="33" t="str">
        <f>'RESUMEN VIGILANCIA'!A124</f>
        <v>Familia Kablan Sarmiento</v>
      </c>
      <c r="B121" s="34" t="str">
        <f>'RESUMEN VIGILANCIA'!B124</f>
        <v>Calle Güigüe Nro. 89-80</v>
      </c>
      <c r="C121" s="453" t="s">
        <v>1249</v>
      </c>
      <c r="D121" s="459" t="s">
        <v>1248</v>
      </c>
      <c r="E121" s="439" t="str">
        <f>IF(ISBLANK('RESUMEN VIGILANCIA'!D124),"",'RESUMEN VIGILANCIA'!D124)</f>
        <v/>
      </c>
      <c r="F121" s="267">
        <f>IF(ISBLANK('RESUMEN VIGILANCIA'!E124),"",'RESUMEN VIGILANCIA'!E124)</f>
        <v>0.1</v>
      </c>
      <c r="G121" s="189">
        <f>IF(ISBLANK('RESUMEN VIGILANCIA'!F124),"",'RESUMEN VIGILANCIA'!F124)</f>
        <v>0.1</v>
      </c>
      <c r="H121" s="189">
        <f>IF(ISBLANK('RESUMEN VIGILANCIA'!G124),"",'RESUMEN VIGILANCIA'!G124)</f>
        <v>0.1</v>
      </c>
      <c r="I121" s="189">
        <f>IF(ISBLANK('RESUMEN VIGILANCIA'!H124),"",'RESUMEN VIGILANCIA'!H124)</f>
        <v>0.1</v>
      </c>
      <c r="J121" s="189">
        <f>IF(ISBLANK('RESUMEN VIGILANCIA'!I124),"",'RESUMEN VIGILANCIA'!I124)</f>
        <v>0.15</v>
      </c>
      <c r="K121" s="189">
        <f>IF(ISBLANK('RESUMEN VIGILANCIA'!J124),"",'RESUMEN VIGILANCIA'!J124)</f>
        <v>0.15</v>
      </c>
      <c r="L121" s="189">
        <f>IF(ISBLANK('RESUMEN VIGILANCIA'!K124),"",'RESUMEN VIGILANCIA'!K124)</f>
        <v>0.2</v>
      </c>
      <c r="M121" s="189">
        <f>IF(ISBLANK('RESUMEN VIGILANCIA'!L124),"",'RESUMEN VIGILANCIA'!L124)</f>
        <v>0.2</v>
      </c>
      <c r="N121" s="189">
        <f>IF(ISBLANK('RESUMEN VIGILANCIA'!M124),"",'RESUMEN VIGILANCIA'!M124)</f>
        <v>0.2</v>
      </c>
      <c r="O121" s="189">
        <f>IF(ISBLANK('RESUMEN VIGILANCIA'!N124),"",'RESUMEN VIGILANCIA'!N124)</f>
        <v>0.2</v>
      </c>
      <c r="P121" s="268">
        <f>IF(ISBLANK('RESUMEN VIGILANCIA'!O124),"",'RESUMEN VIGILANCIA'!O124)</f>
        <v>0.4</v>
      </c>
      <c r="Q121" s="187">
        <f>IF(ISBLANK('RESUMEN VIGILANCIA'!P124),"",'RESUMEN VIGILANCIA'!P124)</f>
        <v>0.4</v>
      </c>
      <c r="R121" s="347">
        <f>IF(ISBLANK('RESUMEN VIGILANCIA'!Q124),"",'RESUMEN VIGILANCIA'!Q124)</f>
        <v>0.8</v>
      </c>
      <c r="S121" s="273">
        <f>IF(ISBLANK('RESUMEN VIGILANCIA'!R124),"",'RESUMEN VIGILANCIA'!R124)</f>
        <v>0.8</v>
      </c>
      <c r="T121" s="273">
        <f>IF(ISBLANK('RESUMEN VIGILANCIA'!S124),"",'RESUMEN VIGILANCIA'!S124)</f>
        <v>1.4</v>
      </c>
      <c r="U121" s="273">
        <f>IF(ISBLANK('RESUMEN VIGILANCIA'!T124),"",'RESUMEN VIGILANCIA'!T124)</f>
        <v>1.4</v>
      </c>
      <c r="V121" s="273">
        <f>IF(ISBLANK('RESUMEN VIGILANCIA'!U124),"",'RESUMEN VIGILANCIA'!U124)</f>
        <v>4</v>
      </c>
      <c r="W121" s="273">
        <f>IF(ISBLANK('RESUMEN VIGILANCIA'!V124),"",'RESUMEN VIGILANCIA'!V124)</f>
        <v>6.25</v>
      </c>
      <c r="X121" s="273">
        <f>IF(ISBLANK('RESUMEN VIGILANCIA'!W124),"",'RESUMEN VIGILANCIA'!W124)</f>
        <v>10</v>
      </c>
      <c r="Y121" s="273">
        <f>IF(ISBLANK('RESUMEN VIGILANCIA'!X124),"",'RESUMEN VIGILANCIA'!X124)</f>
        <v>12</v>
      </c>
      <c r="Z121" s="484">
        <f>IF(ISBLANK('RESUMEN VIGILANCIA'!Y124),"",'RESUMEN VIGILANCIA'!Y124)</f>
        <v>320</v>
      </c>
      <c r="AA121" s="484">
        <f>IF(ISBLANK('RESUMEN VIGILANCIA'!Z124),"",'RESUMEN VIGILANCIA'!Z124)</f>
        <v>320</v>
      </c>
      <c r="AB121" s="484">
        <f>IF(ISBLANK('RESUMEN VIGILANCIA'!AA124),"",'RESUMEN VIGILANCIA'!AA124)</f>
        <v>320</v>
      </c>
      <c r="AC121" s="483">
        <f>IF(ISBLANK('RESUMEN VIGILANCIA'!AB124),"",'RESUMEN VIGILANCIA'!AB124)</f>
        <v>800</v>
      </c>
      <c r="AD121" s="404">
        <f>IF(ISBLANK('RESUMEN VIGILANCIA'!AC124),"",'RESUMEN VIGILANCIA'!AC124)</f>
        <v>3000</v>
      </c>
      <c r="AE121" s="405">
        <f>IF(ISBLANK('RESUMEN VIGILANCIA'!AD124),"",'RESUMEN VIGILANCIA'!AD124)</f>
        <v>3000</v>
      </c>
      <c r="AF121" s="405">
        <f>IF(ISBLANK('RESUMEN VIGILANCIA'!AE124),"",'RESUMEN VIGILANCIA'!AE124)</f>
        <v>3000</v>
      </c>
      <c r="AG121" s="405">
        <f>IF(ISBLANK('RESUMEN VIGILANCIA'!AF124),"",'RESUMEN VIGILANCIA'!AF124)</f>
        <v>5000</v>
      </c>
      <c r="AH121" s="405">
        <f>IF(ISBLANK('RESUMEN VIGILANCIA'!AG124),"",'RESUMEN VIGILANCIA'!AG124)</f>
        <v>8000</v>
      </c>
      <c r="AI121" s="405">
        <f>IF(ISBLANK('RESUMEN VIGILANCIA'!AH124),"",'RESUMEN VIGILANCIA'!AH124)</f>
        <v>8000</v>
      </c>
      <c r="AJ121" s="405">
        <f>IF(ISBLANK('RESUMEN VIGILANCIA'!AI124),"",'RESUMEN VIGILANCIA'!AI124)</f>
        <v>10000</v>
      </c>
      <c r="AK121" s="405">
        <f>IF(ISBLANK('RESUMEN VIGILANCIA'!AJ124),"",'RESUMEN VIGILANCIA'!AJ124)</f>
        <v>10000</v>
      </c>
      <c r="AL121" s="405">
        <f>IF(ISBLANK('RESUMEN VIGILANCIA'!AK124),"",'RESUMEN VIGILANCIA'!AK124)</f>
        <v>20000</v>
      </c>
      <c r="AM121" s="405">
        <f>IF(ISBLANK('RESUMEN VIGILANCIA'!AL124),"",'RESUMEN VIGILANCIA'!AL124)</f>
        <v>51000</v>
      </c>
      <c r="AN121" s="405">
        <f>IF(ISBLANK('RESUMEN VIGILANCIA'!AM124),"",'RESUMEN VIGILANCIA'!AM124)</f>
        <v>51250</v>
      </c>
      <c r="AO121" s="410">
        <f>IF(ISBLANK('RESUMEN VIGILANCIA'!AN124),"",'RESUMEN VIGILANCIA'!AN124)</f>
        <v>97500</v>
      </c>
      <c r="AP121" s="404">
        <f>IF(ISBLANK('RESUMEN VIGILANCIA'!AO124),"",'RESUMEN VIGILANCIA'!AO124)</f>
        <v>136250</v>
      </c>
      <c r="AQ121" s="405">
        <f>IF(ISBLANK('RESUMEN VIGILANCIA'!AP124),"",'RESUMEN VIGILANCIA'!AP124)</f>
        <v>136250</v>
      </c>
      <c r="AR121" s="405" t="str">
        <f>IF(ISBLANK('RESUMEN VIGILANCIA'!AQ124),"",'RESUMEN VIGILANCIA'!AQ124)</f>
        <v/>
      </c>
      <c r="AS121" s="405" t="str">
        <f>IF(ISBLANK('RESUMEN VIGILANCIA'!AR124),"",'RESUMEN VIGILANCIA'!AR124)</f>
        <v/>
      </c>
      <c r="AT121" s="405" t="str">
        <f>IF(ISBLANK('RESUMEN VIGILANCIA'!AS124),"",'RESUMEN VIGILANCIA'!AS124)</f>
        <v/>
      </c>
      <c r="AU121" s="405" t="str">
        <f>IF(ISBLANK('RESUMEN VIGILANCIA'!AT124),"",'RESUMEN VIGILANCIA'!AT124)</f>
        <v/>
      </c>
      <c r="AV121" s="405" t="str">
        <f>IF(ISBLANK('RESUMEN VIGILANCIA'!AU124),"",'RESUMEN VIGILANCIA'!AU124)</f>
        <v/>
      </c>
      <c r="AW121" s="405" t="str">
        <f>IF(ISBLANK('RESUMEN VIGILANCIA'!AV124),"",'RESUMEN VIGILANCIA'!AV124)</f>
        <v/>
      </c>
      <c r="AX121" s="405" t="str">
        <f>IF(ISBLANK('RESUMEN VIGILANCIA'!AW124),"",'RESUMEN VIGILANCIA'!AW124)</f>
        <v/>
      </c>
      <c r="AY121" s="405" t="str">
        <f>IF(ISBLANK('RESUMEN VIGILANCIA'!AX124),"",'RESUMEN VIGILANCIA'!AX124)</f>
        <v/>
      </c>
      <c r="AZ121" s="405" t="str">
        <f>IF(ISBLANK('RESUMEN VIGILANCIA'!AY124),"",'RESUMEN VIGILANCIA'!AY124)</f>
        <v/>
      </c>
      <c r="BA121" s="410" t="str">
        <f>IF(ISBLANK('RESUMEN VIGILANCIA'!AZ124),"",'RESUMEN VIGILANCIA'!AZ124)</f>
        <v/>
      </c>
      <c r="BB121" s="368">
        <f t="shared" si="7"/>
        <v>271548.95</v>
      </c>
      <c r="BC121" s="369"/>
      <c r="BD121" s="369"/>
    </row>
    <row r="122" spans="1:56" s="29" customFormat="1" ht="20.100000000000001" customHeight="1">
      <c r="A122" s="30" t="str">
        <f>'RESUMEN VIGILANCIA'!A125</f>
        <v>Familia Ferrer Bahri</v>
      </c>
      <c r="B122" s="31" t="str">
        <f>'RESUMEN VIGILANCIA'!B125</f>
        <v>Calle Güigüe Nro. 89-83</v>
      </c>
      <c r="C122" s="452" t="s">
        <v>1249</v>
      </c>
      <c r="D122" s="460" t="s">
        <v>17</v>
      </c>
      <c r="E122" s="440" t="str">
        <f>IF(ISBLANK('RESUMEN VIGILANCIA'!D125),"",'RESUMEN VIGILANCIA'!D125)</f>
        <v/>
      </c>
      <c r="F122" s="270">
        <f>IF(ISBLANK('RESUMEN VIGILANCIA'!E125),"",'RESUMEN VIGILANCIA'!E125)</f>
        <v>0.17</v>
      </c>
      <c r="G122" s="182">
        <f>IF(ISBLANK('RESUMEN VIGILANCIA'!F125),"",'RESUMEN VIGILANCIA'!F125)</f>
        <v>0.17</v>
      </c>
      <c r="H122" s="182">
        <f>IF(ISBLANK('RESUMEN VIGILANCIA'!G125),"",'RESUMEN VIGILANCIA'!G125)</f>
        <v>0.17</v>
      </c>
      <c r="I122" s="182">
        <f>IF(ISBLANK('RESUMEN VIGILANCIA'!H125),"",'RESUMEN VIGILANCIA'!H125)</f>
        <v>0.17</v>
      </c>
      <c r="J122" s="182">
        <f>IF(ISBLANK('RESUMEN VIGILANCIA'!I125),"",'RESUMEN VIGILANCIA'!I125)</f>
        <v>0.26</v>
      </c>
      <c r="K122" s="182">
        <f>IF(ISBLANK('RESUMEN VIGILANCIA'!J125),"",'RESUMEN VIGILANCIA'!J125)</f>
        <v>0.26</v>
      </c>
      <c r="L122" s="182">
        <f>IF(ISBLANK('RESUMEN VIGILANCIA'!K125),"",'RESUMEN VIGILANCIA'!K125)</f>
        <v>0.35</v>
      </c>
      <c r="M122" s="182">
        <f>IF(ISBLANK('RESUMEN VIGILANCIA'!L125),"",'RESUMEN VIGILANCIA'!L125)</f>
        <v>0.35</v>
      </c>
      <c r="N122" s="182">
        <f>IF(ISBLANK('RESUMEN VIGILANCIA'!M125),"",'RESUMEN VIGILANCIA'!M125)</f>
        <v>0.35</v>
      </c>
      <c r="O122" s="182">
        <f>IF(ISBLANK('RESUMEN VIGILANCIA'!N125),"",'RESUMEN VIGILANCIA'!N125)</f>
        <v>0.35</v>
      </c>
      <c r="P122" s="271">
        <f>IF(ISBLANK('RESUMEN VIGILANCIA'!O125),"",'RESUMEN VIGILANCIA'!O125)</f>
        <v>0.5</v>
      </c>
      <c r="Q122" s="180">
        <f>IF(ISBLANK('RESUMEN VIGILANCIA'!P125),"",'RESUMEN VIGILANCIA'!P125)</f>
        <v>0.5</v>
      </c>
      <c r="R122" s="272">
        <f>IF(ISBLANK('RESUMEN VIGILANCIA'!Q125),"",'RESUMEN VIGILANCIA'!Q125)</f>
        <v>0.8</v>
      </c>
      <c r="S122" s="271">
        <f>IF(ISBLANK('RESUMEN VIGILANCIA'!R125),"",'RESUMEN VIGILANCIA'!R125)</f>
        <v>0.8</v>
      </c>
      <c r="T122" s="271">
        <f>IF(ISBLANK('RESUMEN VIGILANCIA'!S125),"",'RESUMEN VIGILANCIA'!S125)</f>
        <v>1.4</v>
      </c>
      <c r="U122" s="271">
        <f>IF(ISBLANK('RESUMEN VIGILANCIA'!T125),"",'RESUMEN VIGILANCIA'!T125)</f>
        <v>1.4</v>
      </c>
      <c r="V122" s="271">
        <f>IF(ISBLANK('RESUMEN VIGILANCIA'!U125),"",'RESUMEN VIGILANCIA'!U125)</f>
        <v>4</v>
      </c>
      <c r="W122" s="271">
        <f>IF(ISBLANK('RESUMEN VIGILANCIA'!V125),"",'RESUMEN VIGILANCIA'!V125)</f>
        <v>6.25</v>
      </c>
      <c r="X122" s="271">
        <f>IF(ISBLANK('RESUMEN VIGILANCIA'!W125),"",'RESUMEN VIGILANCIA'!W125)</f>
        <v>10</v>
      </c>
      <c r="Y122" s="271">
        <f>IF(ISBLANK('RESUMEN VIGILANCIA'!X125),"",'RESUMEN VIGILANCIA'!X125)</f>
        <v>12</v>
      </c>
      <c r="Z122" s="481">
        <f>IF(ISBLANK('RESUMEN VIGILANCIA'!Y125),"",'RESUMEN VIGILANCIA'!Y125)</f>
        <v>320</v>
      </c>
      <c r="AA122" s="481">
        <f>IF(ISBLANK('RESUMEN VIGILANCIA'!Z125),"",'RESUMEN VIGILANCIA'!Z125)</f>
        <v>320</v>
      </c>
      <c r="AB122" s="481">
        <f>IF(ISBLANK('RESUMEN VIGILANCIA'!AA125),"",'RESUMEN VIGILANCIA'!AA125)</f>
        <v>320</v>
      </c>
      <c r="AC122" s="482">
        <f>IF(ISBLANK('RESUMEN VIGILANCIA'!AB125),"",'RESUMEN VIGILANCIA'!AB125)</f>
        <v>800</v>
      </c>
      <c r="AD122" s="399">
        <f>IF(ISBLANK('RESUMEN VIGILANCIA'!AC125),"",'RESUMEN VIGILANCIA'!AC125)</f>
        <v>3000</v>
      </c>
      <c r="AE122" s="400">
        <f>IF(ISBLANK('RESUMEN VIGILANCIA'!AD125),"",'RESUMEN VIGILANCIA'!AD125)</f>
        <v>3000</v>
      </c>
      <c r="AF122" s="400">
        <f>IF(ISBLANK('RESUMEN VIGILANCIA'!AE125),"",'RESUMEN VIGILANCIA'!AE125)</f>
        <v>6000</v>
      </c>
      <c r="AG122" s="400">
        <f>IF(ISBLANK('RESUMEN VIGILANCIA'!AF125),"",'RESUMEN VIGILANCIA'!AF125)</f>
        <v>6000</v>
      </c>
      <c r="AH122" s="400">
        <f>IF(ISBLANK('RESUMEN VIGILANCIA'!AG125),"",'RESUMEN VIGILANCIA'!AG125)</f>
        <v>12000</v>
      </c>
      <c r="AI122" s="400">
        <f>IF(ISBLANK('RESUMEN VIGILANCIA'!AH125),"",'RESUMEN VIGILANCIA'!AH125)</f>
        <v>12000</v>
      </c>
      <c r="AJ122" s="400">
        <f>IF(ISBLANK('RESUMEN VIGILANCIA'!AI125),"",'RESUMEN VIGILANCIA'!AI125)</f>
        <v>20000</v>
      </c>
      <c r="AK122" s="400">
        <f>IF(ISBLANK('RESUMEN VIGILANCIA'!AJ125),"",'RESUMEN VIGILANCIA'!AJ125)</f>
        <v>20000</v>
      </c>
      <c r="AL122" s="400">
        <f>IF(ISBLANK('RESUMEN VIGILANCIA'!AK125),"",'RESUMEN VIGILANCIA'!AK125)</f>
        <v>23400</v>
      </c>
      <c r="AM122" s="400">
        <f>IF(ISBLANK('RESUMEN VIGILANCIA'!AL125),"",'RESUMEN VIGILANCIA'!AL125)</f>
        <v>47000</v>
      </c>
      <c r="AN122" s="400">
        <f>IF(ISBLANK('RESUMEN VIGILANCIA'!AM125),"",'RESUMEN VIGILANCIA'!AM125)</f>
        <v>60000</v>
      </c>
      <c r="AO122" s="401">
        <f>IF(ISBLANK('RESUMEN VIGILANCIA'!AN125),"",'RESUMEN VIGILANCIA'!AN125)</f>
        <v>150000</v>
      </c>
      <c r="AP122" s="399">
        <f>IF(ISBLANK('RESUMEN VIGILANCIA'!AO125),"",'RESUMEN VIGILANCIA'!AO125)</f>
        <v>150000</v>
      </c>
      <c r="AQ122" s="400">
        <f>IF(ISBLANK('RESUMEN VIGILANCIA'!AP125),"",'RESUMEN VIGILANCIA'!AP125)</f>
        <v>150000</v>
      </c>
      <c r="AR122" s="400" t="str">
        <f>IF(ISBLANK('RESUMEN VIGILANCIA'!AQ125),"",'RESUMEN VIGILANCIA'!AQ125)</f>
        <v/>
      </c>
      <c r="AS122" s="400" t="str">
        <f>IF(ISBLANK('RESUMEN VIGILANCIA'!AR125),"",'RESUMEN VIGILANCIA'!AR125)</f>
        <v/>
      </c>
      <c r="AT122" s="400" t="str">
        <f>IF(ISBLANK('RESUMEN VIGILANCIA'!AS125),"",'RESUMEN VIGILANCIA'!AS125)</f>
        <v/>
      </c>
      <c r="AU122" s="400" t="str">
        <f>IF(ISBLANK('RESUMEN VIGILANCIA'!AT125),"",'RESUMEN VIGILANCIA'!AT125)</f>
        <v/>
      </c>
      <c r="AV122" s="400" t="str">
        <f>IF(ISBLANK('RESUMEN VIGILANCIA'!AU125),"",'RESUMEN VIGILANCIA'!AU125)</f>
        <v/>
      </c>
      <c r="AW122" s="400" t="str">
        <f>IF(ISBLANK('RESUMEN VIGILANCIA'!AV125),"",'RESUMEN VIGILANCIA'!AV125)</f>
        <v/>
      </c>
      <c r="AX122" s="400" t="str">
        <f>IF(ISBLANK('RESUMEN VIGILANCIA'!AW125),"",'RESUMEN VIGILANCIA'!AW125)</f>
        <v/>
      </c>
      <c r="AY122" s="400" t="str">
        <f>IF(ISBLANK('RESUMEN VIGILANCIA'!AX125),"",'RESUMEN VIGILANCIA'!AX125)</f>
        <v/>
      </c>
      <c r="AZ122" s="400" t="str">
        <f>IF(ISBLANK('RESUMEN VIGILANCIA'!AY125),"",'RESUMEN VIGILANCIA'!AY125)</f>
        <v/>
      </c>
      <c r="BA122" s="401" t="str">
        <f>IF(ISBLANK('RESUMEN VIGILANCIA'!AZ125),"",'RESUMEN VIGILANCIA'!AZ125)</f>
        <v/>
      </c>
      <c r="BB122" s="243">
        <f t="shared" si="7"/>
        <v>364200.25</v>
      </c>
      <c r="BC122" s="112"/>
      <c r="BD122" s="112"/>
    </row>
    <row r="123" spans="1:56" s="29" customFormat="1" ht="20.100000000000001" customHeight="1">
      <c r="A123" s="59" t="str">
        <f>'RESUMEN VIGILANCIA'!A129</f>
        <v>Familia Herrera Guada</v>
      </c>
      <c r="B123" s="60" t="str">
        <f>'RESUMEN VIGILANCIA'!B129</f>
        <v>Calle Güigüe Nro. 89-90</v>
      </c>
      <c r="C123" s="452"/>
      <c r="D123" s="460" t="s">
        <v>1248</v>
      </c>
      <c r="E123" s="439" t="str">
        <f>IF(ISBLANK('RESUMEN VIGILANCIA'!D129),"",'RESUMEN VIGILANCIA'!D129)</f>
        <v/>
      </c>
      <c r="F123" s="267">
        <f>IF(ISBLANK('RESUMEN VIGILANCIA'!E129),"",'RESUMEN VIGILANCIA'!E129)</f>
        <v>4.4999999999999998E-2</v>
      </c>
      <c r="G123" s="189">
        <f>IF(ISBLANK('RESUMEN VIGILANCIA'!F129),"",'RESUMEN VIGILANCIA'!F129)</f>
        <v>4.4999999999999998E-2</v>
      </c>
      <c r="H123" s="189">
        <f>IF(ISBLANK('RESUMEN VIGILANCIA'!G129),"",'RESUMEN VIGILANCIA'!G129)</f>
        <v>0.05</v>
      </c>
      <c r="I123" s="189">
        <f>IF(ISBLANK('RESUMEN VIGILANCIA'!H129),"",'RESUMEN VIGILANCIA'!H129)</f>
        <v>0.05</v>
      </c>
      <c r="J123" s="189">
        <f>IF(ISBLANK('RESUMEN VIGILANCIA'!I129),"",'RESUMEN VIGILANCIA'!I129)</f>
        <v>0.05</v>
      </c>
      <c r="K123" s="222" t="str">
        <f>IF(ISBLANK('RESUMEN VIGILANCIA'!J129),"",'RESUMEN VIGILANCIA'!J129)</f>
        <v>VENDIDA</v>
      </c>
      <c r="L123" s="234" t="str">
        <f>IF(ISBLANK('RESUMEN VIGILANCIA'!K129),"",'RESUMEN VIGILANCIA'!K129)</f>
        <v/>
      </c>
      <c r="M123" s="234" t="str">
        <f>IF(ISBLANK('RESUMEN VIGILANCIA'!L129),"",'RESUMEN VIGILANCIA'!L129)</f>
        <v/>
      </c>
      <c r="N123" s="234" t="str">
        <f>IF(ISBLANK('RESUMEN VIGILANCIA'!M129),"",'RESUMEN VIGILANCIA'!M129)</f>
        <v/>
      </c>
      <c r="O123" s="234" t="str">
        <f>IF(ISBLANK('RESUMEN VIGILANCIA'!N129),"",'RESUMEN VIGILANCIA'!N129)</f>
        <v/>
      </c>
      <c r="P123" s="276" t="str">
        <f>IF(ISBLANK('RESUMEN VIGILANCIA'!O129),"",'RESUMEN VIGILANCIA'!O129)</f>
        <v/>
      </c>
      <c r="Q123" s="223" t="str">
        <f>IF(ISBLANK('RESUMEN VIGILANCIA'!P129),"",'RESUMEN VIGILANCIA'!P129)</f>
        <v/>
      </c>
      <c r="R123" s="297" t="str">
        <f>IF(ISBLANK('RESUMEN VIGILANCIA'!Q129),"",'RESUMEN VIGILANCIA'!Q129)</f>
        <v/>
      </c>
      <c r="S123" s="276" t="str">
        <f>IF(ISBLANK('RESUMEN VIGILANCIA'!R129),"",'RESUMEN VIGILANCIA'!R129)</f>
        <v/>
      </c>
      <c r="T123" s="276" t="str">
        <f>IF(ISBLANK('RESUMEN VIGILANCIA'!S129),"",'RESUMEN VIGILANCIA'!S129)</f>
        <v/>
      </c>
      <c r="U123" s="276" t="str">
        <f>IF(ISBLANK('RESUMEN VIGILANCIA'!T129),"",'RESUMEN VIGILANCIA'!T129)</f>
        <v/>
      </c>
      <c r="V123" s="276" t="str">
        <f>IF(ISBLANK('RESUMEN VIGILANCIA'!U129),"",'RESUMEN VIGILANCIA'!U129)</f>
        <v/>
      </c>
      <c r="W123" s="276" t="str">
        <f>IF(ISBLANK('RESUMEN VIGILANCIA'!V129),"",'RESUMEN VIGILANCIA'!V129)</f>
        <v/>
      </c>
      <c r="X123" s="276" t="str">
        <f>IF(ISBLANK('RESUMEN VIGILANCIA'!W129),"",'RESUMEN VIGILANCIA'!W129)</f>
        <v/>
      </c>
      <c r="Y123" s="276" t="str">
        <f>IF(ISBLANK('RESUMEN VIGILANCIA'!X129),"",'RESUMEN VIGILANCIA'!X129)</f>
        <v/>
      </c>
      <c r="Z123" s="487" t="str">
        <f>IF(ISBLANK('RESUMEN VIGILANCIA'!Y129),"",'RESUMEN VIGILANCIA'!Y129)</f>
        <v/>
      </c>
      <c r="AA123" s="487" t="str">
        <f>IF(ISBLANK('RESUMEN VIGILANCIA'!Z129),"",'RESUMEN VIGILANCIA'!Z129)</f>
        <v/>
      </c>
      <c r="AB123" s="487" t="str">
        <f>IF(ISBLANK('RESUMEN VIGILANCIA'!AA129),"",'RESUMEN VIGILANCIA'!AA129)</f>
        <v/>
      </c>
      <c r="AC123" s="488" t="str">
        <f>IF(ISBLANK('RESUMEN VIGILANCIA'!AB129),"",'RESUMEN VIGILANCIA'!AB129)</f>
        <v/>
      </c>
      <c r="AD123" s="415" t="str">
        <f>IF(ISBLANK('RESUMEN VIGILANCIA'!AC129),"",'RESUMEN VIGILANCIA'!AC129)</f>
        <v/>
      </c>
      <c r="AE123" s="416" t="str">
        <f>IF(ISBLANK('RESUMEN VIGILANCIA'!AD129),"",'RESUMEN VIGILANCIA'!AD129)</f>
        <v/>
      </c>
      <c r="AF123" s="416" t="str">
        <f>IF(ISBLANK('RESUMEN VIGILANCIA'!AE129),"",'RESUMEN VIGILANCIA'!AE129)</f>
        <v/>
      </c>
      <c r="AG123" s="416" t="str">
        <f>IF(ISBLANK('RESUMEN VIGILANCIA'!AF129),"",'RESUMEN VIGILANCIA'!AF129)</f>
        <v/>
      </c>
      <c r="AH123" s="416" t="str">
        <f>IF(ISBLANK('RESUMEN VIGILANCIA'!AG129),"",'RESUMEN VIGILANCIA'!AG129)</f>
        <v/>
      </c>
      <c r="AI123" s="416" t="str">
        <f>IF(ISBLANK('RESUMEN VIGILANCIA'!AH129),"",'RESUMEN VIGILANCIA'!AH129)</f>
        <v/>
      </c>
      <c r="AJ123" s="416" t="str">
        <f>IF(ISBLANK('RESUMEN VIGILANCIA'!AI129),"",'RESUMEN VIGILANCIA'!AI129)</f>
        <v/>
      </c>
      <c r="AK123" s="416" t="str">
        <f>IF(ISBLANK('RESUMEN VIGILANCIA'!AJ129),"",'RESUMEN VIGILANCIA'!AJ129)</f>
        <v/>
      </c>
      <c r="AL123" s="416" t="str">
        <f>IF(ISBLANK('RESUMEN VIGILANCIA'!AK129),"",'RESUMEN VIGILANCIA'!AK129)</f>
        <v/>
      </c>
      <c r="AM123" s="416" t="str">
        <f>IF(ISBLANK('RESUMEN VIGILANCIA'!AL129),"",'RESUMEN VIGILANCIA'!AL129)</f>
        <v/>
      </c>
      <c r="AN123" s="416" t="str">
        <f>IF(ISBLANK('RESUMEN VIGILANCIA'!AM129),"",'RESUMEN VIGILANCIA'!AM129)</f>
        <v/>
      </c>
      <c r="AO123" s="417" t="str">
        <f>IF(ISBLANK('RESUMEN VIGILANCIA'!AN129),"",'RESUMEN VIGILANCIA'!AN129)</f>
        <v/>
      </c>
      <c r="AP123" s="415" t="str">
        <f>IF(ISBLANK('RESUMEN VIGILANCIA'!AO129),"",'RESUMEN VIGILANCIA'!AO129)</f>
        <v/>
      </c>
      <c r="AQ123" s="416" t="str">
        <f>IF(ISBLANK('RESUMEN VIGILANCIA'!AP129),"",'RESUMEN VIGILANCIA'!AP129)</f>
        <v/>
      </c>
      <c r="AR123" s="416" t="str">
        <f>IF(ISBLANK('RESUMEN VIGILANCIA'!AQ129),"",'RESUMEN VIGILANCIA'!AQ129)</f>
        <v/>
      </c>
      <c r="AS123" s="416" t="str">
        <f>IF(ISBLANK('RESUMEN VIGILANCIA'!AR129),"",'RESUMEN VIGILANCIA'!AR129)</f>
        <v/>
      </c>
      <c r="AT123" s="416" t="str">
        <f>IF(ISBLANK('RESUMEN VIGILANCIA'!AS129),"",'RESUMEN VIGILANCIA'!AS129)</f>
        <v/>
      </c>
      <c r="AU123" s="416" t="str">
        <f>IF(ISBLANK('RESUMEN VIGILANCIA'!AT129),"",'RESUMEN VIGILANCIA'!AT129)</f>
        <v/>
      </c>
      <c r="AV123" s="416" t="str">
        <f>IF(ISBLANK('RESUMEN VIGILANCIA'!AU129),"",'RESUMEN VIGILANCIA'!AU129)</f>
        <v/>
      </c>
      <c r="AW123" s="416" t="str">
        <f>IF(ISBLANK('RESUMEN VIGILANCIA'!AV129),"",'RESUMEN VIGILANCIA'!AV129)</f>
        <v/>
      </c>
      <c r="AX123" s="416" t="str">
        <f>IF(ISBLANK('RESUMEN VIGILANCIA'!AW129),"",'RESUMEN VIGILANCIA'!AW129)</f>
        <v/>
      </c>
      <c r="AY123" s="416" t="str">
        <f>IF(ISBLANK('RESUMEN VIGILANCIA'!AX129),"",'RESUMEN VIGILANCIA'!AX129)</f>
        <v/>
      </c>
      <c r="AZ123" s="416" t="str">
        <f>IF(ISBLANK('RESUMEN VIGILANCIA'!AY129),"",'RESUMEN VIGILANCIA'!AY129)</f>
        <v/>
      </c>
      <c r="BA123" s="417" t="str">
        <f>IF(ISBLANK('RESUMEN VIGILANCIA'!AZ129),"",'RESUMEN VIGILANCIA'!AZ129)</f>
        <v/>
      </c>
      <c r="BB123" s="243">
        <f t="shared" si="7"/>
        <v>0.24</v>
      </c>
      <c r="BC123" s="112"/>
      <c r="BD123" s="112">
        <v>42856</v>
      </c>
    </row>
    <row r="124" spans="1:56" s="29" customFormat="1" ht="20.100000000000001" customHeight="1">
      <c r="A124" s="30" t="str">
        <f>'RESUMEN VIGILANCIA'!A130</f>
        <v>Familia Montilla García</v>
      </c>
      <c r="B124" s="31" t="str">
        <f>'RESUMEN VIGILANCIA'!B130</f>
        <v>Calle Güigüe Nro. 89-90</v>
      </c>
      <c r="C124" s="452" t="s">
        <v>1249</v>
      </c>
      <c r="D124" s="460" t="s">
        <v>1248</v>
      </c>
      <c r="E124" s="443" t="str">
        <f>IF(ISBLANK('RESUMEN VIGILANCIA'!D130),"",'RESUMEN VIGILANCIA'!D130)</f>
        <v/>
      </c>
      <c r="F124" s="298" t="str">
        <f>IF(ISBLANK('RESUMEN VIGILANCIA'!E130),"",'RESUMEN VIGILANCIA'!E130)</f>
        <v/>
      </c>
      <c r="G124" s="217" t="str">
        <f>IF(ISBLANK('RESUMEN VIGILANCIA'!F130),"",'RESUMEN VIGILANCIA'!F130)</f>
        <v/>
      </c>
      <c r="H124" s="217" t="str">
        <f>IF(ISBLANK('RESUMEN VIGILANCIA'!G130),"",'RESUMEN VIGILANCIA'!G130)</f>
        <v/>
      </c>
      <c r="I124" s="217" t="str">
        <f>IF(ISBLANK('RESUMEN VIGILANCIA'!H130),"",'RESUMEN VIGILANCIA'!H130)</f>
        <v/>
      </c>
      <c r="J124" s="217" t="str">
        <f>IF(ISBLANK('RESUMEN VIGILANCIA'!I130),"",'RESUMEN VIGILANCIA'!I130)</f>
        <v/>
      </c>
      <c r="K124" s="182">
        <f>IF(ISBLANK('RESUMEN VIGILANCIA'!J130),"",'RESUMEN VIGILANCIA'!J130)</f>
        <v>0.26</v>
      </c>
      <c r="L124" s="227">
        <f>IF(ISBLANK('RESUMEN VIGILANCIA'!K130),"",'RESUMEN VIGILANCIA'!K130)</f>
        <v>0.26</v>
      </c>
      <c r="M124" s="182">
        <f>IF(ISBLANK('RESUMEN VIGILANCIA'!L130),"",'RESUMEN VIGILANCIA'!L130)</f>
        <v>0.35</v>
      </c>
      <c r="N124" s="182">
        <f>IF(ISBLANK('RESUMEN VIGILANCIA'!M130),"",'RESUMEN VIGILANCIA'!M130)</f>
        <v>0.35</v>
      </c>
      <c r="O124" s="182">
        <f>IF(ISBLANK('RESUMEN VIGILANCIA'!N130),"",'RESUMEN VIGILANCIA'!N130)</f>
        <v>0.35</v>
      </c>
      <c r="P124" s="271">
        <f>IF(ISBLANK('RESUMEN VIGILANCIA'!O130),"",'RESUMEN VIGILANCIA'!O130)</f>
        <v>0.5</v>
      </c>
      <c r="Q124" s="180">
        <f>IF(ISBLANK('RESUMEN VIGILANCIA'!P130),"",'RESUMEN VIGILANCIA'!P130)</f>
        <v>0.5</v>
      </c>
      <c r="R124" s="272">
        <f>IF(ISBLANK('RESUMEN VIGILANCIA'!Q130),"",'RESUMEN VIGILANCIA'!Q130)</f>
        <v>0.8</v>
      </c>
      <c r="S124" s="271">
        <f>IF(ISBLANK('RESUMEN VIGILANCIA'!R130),"",'RESUMEN VIGILANCIA'!R130)</f>
        <v>0.8</v>
      </c>
      <c r="T124" s="271">
        <f>IF(ISBLANK('RESUMEN VIGILANCIA'!S130),"",'RESUMEN VIGILANCIA'!S130)</f>
        <v>1.4</v>
      </c>
      <c r="U124" s="271">
        <f>IF(ISBLANK('RESUMEN VIGILANCIA'!T130),"",'RESUMEN VIGILANCIA'!T130)</f>
        <v>1.4</v>
      </c>
      <c r="V124" s="271">
        <f>IF(ISBLANK('RESUMEN VIGILANCIA'!U130),"",'RESUMEN VIGILANCIA'!U130)</f>
        <v>4</v>
      </c>
      <c r="W124" s="271">
        <f>IF(ISBLANK('RESUMEN VIGILANCIA'!V130),"",'RESUMEN VIGILANCIA'!V130)</f>
        <v>6.25</v>
      </c>
      <c r="X124" s="271">
        <f>IF(ISBLANK('RESUMEN VIGILANCIA'!W130),"",'RESUMEN VIGILANCIA'!W130)</f>
        <v>10</v>
      </c>
      <c r="Y124" s="271">
        <f>IF(ISBLANK('RESUMEN VIGILANCIA'!X130),"",'RESUMEN VIGILANCIA'!X130)</f>
        <v>12</v>
      </c>
      <c r="Z124" s="481">
        <f>IF(ISBLANK('RESUMEN VIGILANCIA'!Y130),"",'RESUMEN VIGILANCIA'!Y130)</f>
        <v>320</v>
      </c>
      <c r="AA124" s="481">
        <f>IF(ISBLANK('RESUMEN VIGILANCIA'!Z130),"",'RESUMEN VIGILANCIA'!Z130)</f>
        <v>320</v>
      </c>
      <c r="AB124" s="481">
        <f>IF(ISBLANK('RESUMEN VIGILANCIA'!AA130),"",'RESUMEN VIGILANCIA'!AA130)</f>
        <v>320</v>
      </c>
      <c r="AC124" s="482">
        <f>IF(ISBLANK('RESUMEN VIGILANCIA'!AB130),"",'RESUMEN VIGILANCIA'!AB130)</f>
        <v>800</v>
      </c>
      <c r="AD124" s="399">
        <f>IF(ISBLANK('RESUMEN VIGILANCIA'!AC130),"",'RESUMEN VIGILANCIA'!AC130)</f>
        <v>3000</v>
      </c>
      <c r="AE124" s="400">
        <f>IF(ISBLANK('RESUMEN VIGILANCIA'!AD130),"",'RESUMEN VIGILANCIA'!AD130)</f>
        <v>3000</v>
      </c>
      <c r="AF124" s="400">
        <f>IF(ISBLANK('RESUMEN VIGILANCIA'!AE130),"",'RESUMEN VIGILANCIA'!AE130)</f>
        <v>3000</v>
      </c>
      <c r="AG124" s="400">
        <f>IF(ISBLANK('RESUMEN VIGILANCIA'!AF130),"",'RESUMEN VIGILANCIA'!AF130)</f>
        <v>5000</v>
      </c>
      <c r="AH124" s="400">
        <f>IF(ISBLANK('RESUMEN VIGILANCIA'!AG130),"",'RESUMEN VIGILANCIA'!AG130)</f>
        <v>8000</v>
      </c>
      <c r="AI124" s="400">
        <f>IF(ISBLANK('RESUMEN VIGILANCIA'!AH130),"",'RESUMEN VIGILANCIA'!AH130)</f>
        <v>8000</v>
      </c>
      <c r="AJ124" s="400">
        <f>IF(ISBLANK('RESUMEN VIGILANCIA'!AI130),"",'RESUMEN VIGILANCIA'!AI130)</f>
        <v>10000</v>
      </c>
      <c r="AK124" s="400">
        <f>IF(ISBLANK('RESUMEN VIGILANCIA'!AJ130),"",'RESUMEN VIGILANCIA'!AJ130)</f>
        <v>10000</v>
      </c>
      <c r="AL124" s="400">
        <f>IF(ISBLANK('RESUMEN VIGILANCIA'!AK130),"",'RESUMEN VIGILANCIA'!AK130)</f>
        <v>20500</v>
      </c>
      <c r="AM124" s="400">
        <f>IF(ISBLANK('RESUMEN VIGILANCIA'!AL130),"",'RESUMEN VIGILANCIA'!AL130)</f>
        <v>56250</v>
      </c>
      <c r="AN124" s="400">
        <f>IF(ISBLANK('RESUMEN VIGILANCIA'!AM130),"",'RESUMEN VIGILANCIA'!AM130)</f>
        <v>56250</v>
      </c>
      <c r="AO124" s="401">
        <f>IF(ISBLANK('RESUMEN VIGILANCIA'!AN130),"",'RESUMEN VIGILANCIA'!AN130)</f>
        <v>106000</v>
      </c>
      <c r="AP124" s="399">
        <f>IF(ISBLANK('RESUMEN VIGILANCIA'!AO130),"",'RESUMEN VIGILANCIA'!AO130)</f>
        <v>137000</v>
      </c>
      <c r="AQ124" s="400">
        <f>IF(ISBLANK('RESUMEN VIGILANCIA'!AP130),"",'RESUMEN VIGILANCIA'!AP130)</f>
        <v>136300</v>
      </c>
      <c r="AR124" s="400" t="str">
        <f>IF(ISBLANK('RESUMEN VIGILANCIA'!AQ130),"",'RESUMEN VIGILANCIA'!AQ130)</f>
        <v/>
      </c>
      <c r="AS124" s="400" t="str">
        <f>IF(ISBLANK('RESUMEN VIGILANCIA'!AR130),"",'RESUMEN VIGILANCIA'!AR130)</f>
        <v/>
      </c>
      <c r="AT124" s="400" t="str">
        <f>IF(ISBLANK('RESUMEN VIGILANCIA'!AS130),"",'RESUMEN VIGILANCIA'!AS130)</f>
        <v/>
      </c>
      <c r="AU124" s="400" t="str">
        <f>IF(ISBLANK('RESUMEN VIGILANCIA'!AT130),"",'RESUMEN VIGILANCIA'!AT130)</f>
        <v/>
      </c>
      <c r="AV124" s="400" t="str">
        <f>IF(ISBLANK('RESUMEN VIGILANCIA'!AU130),"",'RESUMEN VIGILANCIA'!AU130)</f>
        <v/>
      </c>
      <c r="AW124" s="400" t="str">
        <f>IF(ISBLANK('RESUMEN VIGILANCIA'!AV130),"",'RESUMEN VIGILANCIA'!AV130)</f>
        <v/>
      </c>
      <c r="AX124" s="400" t="str">
        <f>IF(ISBLANK('RESUMEN VIGILANCIA'!AW130),"",'RESUMEN VIGILANCIA'!AW130)</f>
        <v/>
      </c>
      <c r="AY124" s="400" t="str">
        <f>IF(ISBLANK('RESUMEN VIGILANCIA'!AX130),"",'RESUMEN VIGILANCIA'!AX130)</f>
        <v/>
      </c>
      <c r="AZ124" s="400" t="str">
        <f>IF(ISBLANK('RESUMEN VIGILANCIA'!AY130),"",'RESUMEN VIGILANCIA'!AY130)</f>
        <v/>
      </c>
      <c r="BA124" s="401" t="str">
        <f>IF(ISBLANK('RESUMEN VIGILANCIA'!AZ130),"",'RESUMEN VIGILANCIA'!AZ130)</f>
        <v/>
      </c>
      <c r="BB124" s="243">
        <f t="shared" si="7"/>
        <v>290799.21999999997</v>
      </c>
      <c r="BC124" s="112">
        <v>42887</v>
      </c>
      <c r="BD124" s="112"/>
    </row>
    <row r="125" spans="1:56" s="29" customFormat="1" ht="20.100000000000001" customHeight="1">
      <c r="A125" s="30" t="str">
        <f>'RESUMEN VIGILANCIA'!A131</f>
        <v>Familia Kattar González</v>
      </c>
      <c r="B125" s="31" t="str">
        <f>'RESUMEN VIGILANCIA'!B131</f>
        <v>Calle Güigüe Nro. 89-95</v>
      </c>
      <c r="C125" s="452" t="s">
        <v>1249</v>
      </c>
      <c r="D125" s="460"/>
      <c r="E125" s="440" t="str">
        <f>IF(ISBLANK('RESUMEN VIGILANCIA'!D131),"",'RESUMEN VIGILANCIA'!D131)</f>
        <v/>
      </c>
      <c r="F125" s="270">
        <f>IF(ISBLANK('RESUMEN VIGILANCIA'!E131),"",'RESUMEN VIGILANCIA'!E131)</f>
        <v>0.17</v>
      </c>
      <c r="G125" s="183">
        <f>IF(ISBLANK('RESUMEN VIGILANCIA'!F131),"",'RESUMEN VIGILANCIA'!F131)</f>
        <v>0.12</v>
      </c>
      <c r="H125" s="183" t="str">
        <f>IF(ISBLANK('RESUMEN VIGILANCIA'!G131),"",'RESUMEN VIGILANCIA'!G131)</f>
        <v/>
      </c>
      <c r="I125" s="183" t="str">
        <f>IF(ISBLANK('RESUMEN VIGILANCIA'!H131),"",'RESUMEN VIGILANCIA'!H131)</f>
        <v/>
      </c>
      <c r="J125" s="182">
        <f>IF(ISBLANK('RESUMEN VIGILANCIA'!I131),"",'RESUMEN VIGILANCIA'!I131)</f>
        <v>0.26</v>
      </c>
      <c r="K125" s="182">
        <f>IF(ISBLANK('RESUMEN VIGILANCIA'!J131),"",'RESUMEN VIGILANCIA'!J131)</f>
        <v>0.26</v>
      </c>
      <c r="L125" s="182">
        <f>IF(ISBLANK('RESUMEN VIGILANCIA'!K131),"",'RESUMEN VIGILANCIA'!K131)</f>
        <v>0.35</v>
      </c>
      <c r="M125" s="182">
        <f>IF(ISBLANK('RESUMEN VIGILANCIA'!L131),"",'RESUMEN VIGILANCIA'!L131)</f>
        <v>0.35</v>
      </c>
      <c r="N125" s="182">
        <f>IF(ISBLANK('RESUMEN VIGILANCIA'!M131),"",'RESUMEN VIGILANCIA'!M131)</f>
        <v>0.35</v>
      </c>
      <c r="O125" s="182">
        <f>IF(ISBLANK('RESUMEN VIGILANCIA'!N131),"",'RESUMEN VIGILANCIA'!N131)</f>
        <v>0.35</v>
      </c>
      <c r="P125" s="271">
        <f>IF(ISBLANK('RESUMEN VIGILANCIA'!O131),"",'RESUMEN VIGILANCIA'!O131)</f>
        <v>0.5</v>
      </c>
      <c r="Q125" s="180">
        <f>IF(ISBLANK('RESUMEN VIGILANCIA'!P131),"",'RESUMEN VIGILANCIA'!P131)</f>
        <v>0.5</v>
      </c>
      <c r="R125" s="272">
        <f>IF(ISBLANK('RESUMEN VIGILANCIA'!Q131),"",'RESUMEN VIGILANCIA'!Q131)</f>
        <v>0.8</v>
      </c>
      <c r="S125" s="271">
        <f>IF(ISBLANK('RESUMEN VIGILANCIA'!R131),"",'RESUMEN VIGILANCIA'!R131)</f>
        <v>0.8</v>
      </c>
      <c r="T125" s="271">
        <f>IF(ISBLANK('RESUMEN VIGILANCIA'!S131),"",'RESUMEN VIGILANCIA'!S131)</f>
        <v>1.4</v>
      </c>
      <c r="U125" s="271">
        <f>IF(ISBLANK('RESUMEN VIGILANCIA'!T131),"",'RESUMEN VIGILANCIA'!T131)</f>
        <v>1.4</v>
      </c>
      <c r="V125" s="271">
        <f>IF(ISBLANK('RESUMEN VIGILANCIA'!U131),"",'RESUMEN VIGILANCIA'!U131)</f>
        <v>4</v>
      </c>
      <c r="W125" s="271">
        <f>IF(ISBLANK('RESUMEN VIGILANCIA'!V131),"",'RESUMEN VIGILANCIA'!V131)</f>
        <v>6.25</v>
      </c>
      <c r="X125" s="271">
        <f>IF(ISBLANK('RESUMEN VIGILANCIA'!W131),"",'RESUMEN VIGILANCIA'!W131)</f>
        <v>10</v>
      </c>
      <c r="Y125" s="271">
        <f>IF(ISBLANK('RESUMEN VIGILANCIA'!X131),"",'RESUMEN VIGILANCIA'!X131)</f>
        <v>12</v>
      </c>
      <c r="Z125" s="481">
        <f>IF(ISBLANK('RESUMEN VIGILANCIA'!Y131),"",'RESUMEN VIGILANCIA'!Y131)</f>
        <v>320</v>
      </c>
      <c r="AA125" s="481">
        <f>IF(ISBLANK('RESUMEN VIGILANCIA'!Z131),"",'RESUMEN VIGILANCIA'!Z131)</f>
        <v>320</v>
      </c>
      <c r="AB125" s="481">
        <f>IF(ISBLANK('RESUMEN VIGILANCIA'!AA131),"",'RESUMEN VIGILANCIA'!AA131)</f>
        <v>320</v>
      </c>
      <c r="AC125" s="482">
        <f>IF(ISBLANK('RESUMEN VIGILANCIA'!AB131),"",'RESUMEN VIGILANCIA'!AB131)</f>
        <v>800</v>
      </c>
      <c r="AD125" s="399">
        <f>IF(ISBLANK('RESUMEN VIGILANCIA'!AC131),"",'RESUMEN VIGILANCIA'!AC131)</f>
        <v>3044.2</v>
      </c>
      <c r="AE125" s="400">
        <f>IF(ISBLANK('RESUMEN VIGILANCIA'!AD131),"",'RESUMEN VIGILANCIA'!AD131)</f>
        <v>3000</v>
      </c>
      <c r="AF125" s="400">
        <f>IF(ISBLANK('RESUMEN VIGILANCIA'!AE131),"",'RESUMEN VIGILANCIA'!AE131)</f>
        <v>3000</v>
      </c>
      <c r="AG125" s="400">
        <f>IF(ISBLANK('RESUMEN VIGILANCIA'!AF131),"",'RESUMEN VIGILANCIA'!AF131)</f>
        <v>5000</v>
      </c>
      <c r="AH125" s="400">
        <f>IF(ISBLANK('RESUMEN VIGILANCIA'!AG131),"",'RESUMEN VIGILANCIA'!AG131)</f>
        <v>8000</v>
      </c>
      <c r="AI125" s="400">
        <f>IF(ISBLANK('RESUMEN VIGILANCIA'!AH131),"",'RESUMEN VIGILANCIA'!AH131)</f>
        <v>8000</v>
      </c>
      <c r="AJ125" s="400">
        <f>IF(ISBLANK('RESUMEN VIGILANCIA'!AI131),"",'RESUMEN VIGILANCIA'!AI131)</f>
        <v>10000</v>
      </c>
      <c r="AK125" s="400">
        <f>IF(ISBLANK('RESUMEN VIGILANCIA'!AJ131),"",'RESUMEN VIGILANCIA'!AJ131)</f>
        <v>3900</v>
      </c>
      <c r="AL125" s="400">
        <f>IF(ISBLANK('RESUMEN VIGILANCIA'!AK131),"",'RESUMEN VIGILANCIA'!AK131)</f>
        <v>20500</v>
      </c>
      <c r="AM125" s="400">
        <f>IF(ISBLANK('RESUMEN VIGILANCIA'!AL131),"",'RESUMEN VIGILANCIA'!AL131)</f>
        <v>48000</v>
      </c>
      <c r="AN125" s="400">
        <f>IF(ISBLANK('RESUMEN VIGILANCIA'!AM131),"",'RESUMEN VIGILANCIA'!AM131)</f>
        <v>81750</v>
      </c>
      <c r="AO125" s="401">
        <f>IF(ISBLANK('RESUMEN VIGILANCIA'!AN131),"",'RESUMEN VIGILANCIA'!AN131)</f>
        <v>137000</v>
      </c>
      <c r="AP125" s="399">
        <f>IF(ISBLANK('RESUMEN VIGILANCIA'!AO131),"",'RESUMEN VIGILANCIA'!AO131)</f>
        <v>136250</v>
      </c>
      <c r="AQ125" s="400" t="str">
        <f>IF(ISBLANK('RESUMEN VIGILANCIA'!AP131),"",'RESUMEN VIGILANCIA'!AP131)</f>
        <v/>
      </c>
      <c r="AR125" s="400" t="str">
        <f>IF(ISBLANK('RESUMEN VIGILANCIA'!AQ131),"",'RESUMEN VIGILANCIA'!AQ131)</f>
        <v/>
      </c>
      <c r="AS125" s="400" t="str">
        <f>IF(ISBLANK('RESUMEN VIGILANCIA'!AR131),"",'RESUMEN VIGILANCIA'!AR131)</f>
        <v/>
      </c>
      <c r="AT125" s="400" t="str">
        <f>IF(ISBLANK('RESUMEN VIGILANCIA'!AS131),"",'RESUMEN VIGILANCIA'!AS131)</f>
        <v/>
      </c>
      <c r="AU125" s="400" t="str">
        <f>IF(ISBLANK('RESUMEN VIGILANCIA'!AT131),"",'RESUMEN VIGILANCIA'!AT131)</f>
        <v/>
      </c>
      <c r="AV125" s="400" t="str">
        <f>IF(ISBLANK('RESUMEN VIGILANCIA'!AU131),"",'RESUMEN VIGILANCIA'!AU131)</f>
        <v/>
      </c>
      <c r="AW125" s="400" t="str">
        <f>IF(ISBLANK('RESUMEN VIGILANCIA'!AV131),"",'RESUMEN VIGILANCIA'!AV131)</f>
        <v/>
      </c>
      <c r="AX125" s="400" t="str">
        <f>IF(ISBLANK('RESUMEN VIGILANCIA'!AW131),"",'RESUMEN VIGILANCIA'!AW131)</f>
        <v/>
      </c>
      <c r="AY125" s="400" t="str">
        <f>IF(ISBLANK('RESUMEN VIGILANCIA'!AX131),"",'RESUMEN VIGILANCIA'!AX131)</f>
        <v/>
      </c>
      <c r="AZ125" s="400" t="str">
        <f>IF(ISBLANK('RESUMEN VIGILANCIA'!AY131),"",'RESUMEN VIGILANCIA'!AY131)</f>
        <v/>
      </c>
      <c r="BA125" s="401" t="str">
        <f>IF(ISBLANK('RESUMEN VIGILANCIA'!AZ131),"",'RESUMEN VIGILANCIA'!AZ131)</f>
        <v/>
      </c>
      <c r="BB125" s="243">
        <f t="shared" si="7"/>
        <v>332994.06</v>
      </c>
      <c r="BC125" s="112"/>
      <c r="BD125" s="112"/>
    </row>
    <row r="126" spans="1:56" s="29" customFormat="1" ht="20.100000000000001" customHeight="1">
      <c r="A126" s="59" t="str">
        <f>'RESUMEN VIGILANCIA'!A134</f>
        <v>Anahiz Seijas</v>
      </c>
      <c r="B126" s="60" t="str">
        <f>'RESUMEN VIGILANCIA'!B134</f>
        <v>Calle Güigüe Nro. 89-106</v>
      </c>
      <c r="C126" s="452" t="s">
        <v>1249</v>
      </c>
      <c r="D126" s="460" t="s">
        <v>17</v>
      </c>
      <c r="E126" s="440" t="str">
        <f>IF(ISBLANK('RESUMEN VIGILANCIA'!D134),"",'RESUMEN VIGILANCIA'!D134)</f>
        <v/>
      </c>
      <c r="F126" s="270">
        <f>IF(ISBLANK('RESUMEN VIGILANCIA'!E134),"",'RESUMEN VIGILANCIA'!E134)</f>
        <v>0.17</v>
      </c>
      <c r="G126" s="182">
        <f>IF(ISBLANK('RESUMEN VIGILANCIA'!F134),"",'RESUMEN VIGILANCIA'!F134)</f>
        <v>0.17</v>
      </c>
      <c r="H126" s="182">
        <f>IF(ISBLANK('RESUMEN VIGILANCIA'!G134),"",'RESUMEN VIGILANCIA'!G134)</f>
        <v>0.17</v>
      </c>
      <c r="I126" s="182">
        <f>IF(ISBLANK('RESUMEN VIGILANCIA'!H134),"",'RESUMEN VIGILANCIA'!H134)</f>
        <v>0.17</v>
      </c>
      <c r="J126" s="182">
        <f>IF(ISBLANK('RESUMEN VIGILANCIA'!I134),"",'RESUMEN VIGILANCIA'!I134)</f>
        <v>0.26</v>
      </c>
      <c r="K126" s="182">
        <f>IF(ISBLANK('RESUMEN VIGILANCIA'!J134),"",'RESUMEN VIGILANCIA'!J134)</f>
        <v>0.26</v>
      </c>
      <c r="L126" s="182">
        <f>IF(ISBLANK('RESUMEN VIGILANCIA'!K134),"",'RESUMEN VIGILANCIA'!K134)</f>
        <v>0.35</v>
      </c>
      <c r="M126" s="182">
        <f>IF(ISBLANK('RESUMEN VIGILANCIA'!L134),"",'RESUMEN VIGILANCIA'!L134)</f>
        <v>0.35</v>
      </c>
      <c r="N126" s="182">
        <f>IF(ISBLANK('RESUMEN VIGILANCIA'!M134),"",'RESUMEN VIGILANCIA'!M134)</f>
        <v>0.35</v>
      </c>
      <c r="O126" s="182">
        <f>IF(ISBLANK('RESUMEN VIGILANCIA'!N134),"",'RESUMEN VIGILANCIA'!N134)</f>
        <v>0.35</v>
      </c>
      <c r="P126" s="271">
        <f>IF(ISBLANK('RESUMEN VIGILANCIA'!O134),"",'RESUMEN VIGILANCIA'!O134)</f>
        <v>0.5</v>
      </c>
      <c r="Q126" s="180">
        <f>IF(ISBLANK('RESUMEN VIGILANCIA'!P134),"",'RESUMEN VIGILANCIA'!P134)</f>
        <v>0.5</v>
      </c>
      <c r="R126" s="272">
        <f>IF(ISBLANK('RESUMEN VIGILANCIA'!Q134),"",'RESUMEN VIGILANCIA'!Q134)</f>
        <v>0.8</v>
      </c>
      <c r="S126" s="271">
        <f>IF(ISBLANK('RESUMEN VIGILANCIA'!R134),"",'RESUMEN VIGILANCIA'!R134)</f>
        <v>0.8</v>
      </c>
      <c r="T126" s="271">
        <f>IF(ISBLANK('RESUMEN VIGILANCIA'!S134),"",'RESUMEN VIGILANCIA'!S134)</f>
        <v>1.4</v>
      </c>
      <c r="U126" s="271">
        <f>IF(ISBLANK('RESUMEN VIGILANCIA'!T134),"",'RESUMEN VIGILANCIA'!T134)</f>
        <v>1.4</v>
      </c>
      <c r="V126" s="271">
        <f>IF(ISBLANK('RESUMEN VIGILANCIA'!U134),"",'RESUMEN VIGILANCIA'!U134)</f>
        <v>4</v>
      </c>
      <c r="W126" s="271">
        <f>IF(ISBLANK('RESUMEN VIGILANCIA'!V134),"",'RESUMEN VIGILANCIA'!V134)</f>
        <v>6.25</v>
      </c>
      <c r="X126" s="271">
        <f>IF(ISBLANK('RESUMEN VIGILANCIA'!W134),"",'RESUMEN VIGILANCIA'!W134)</f>
        <v>10</v>
      </c>
      <c r="Y126" s="271">
        <f>IF(ISBLANK('RESUMEN VIGILANCIA'!X134),"",'RESUMEN VIGILANCIA'!X134)</f>
        <v>10</v>
      </c>
      <c r="Z126" s="481">
        <f>IF(ISBLANK('RESUMEN VIGILANCIA'!Y134),"",'RESUMEN VIGILANCIA'!Y134)</f>
        <v>320</v>
      </c>
      <c r="AA126" s="481">
        <f>IF(ISBLANK('RESUMEN VIGILANCIA'!Z134),"",'RESUMEN VIGILANCIA'!Z134)</f>
        <v>320</v>
      </c>
      <c r="AB126" s="481">
        <f>IF(ISBLANK('RESUMEN VIGILANCIA'!AA134),"",'RESUMEN VIGILANCIA'!AA134)</f>
        <v>320</v>
      </c>
      <c r="AC126" s="482">
        <f>IF(ISBLANK('RESUMEN VIGILANCIA'!AB134),"",'RESUMEN VIGILANCIA'!AB134)</f>
        <v>800</v>
      </c>
      <c r="AD126" s="399">
        <f>IF(ISBLANK('RESUMEN VIGILANCIA'!AC134),"",'RESUMEN VIGILANCIA'!AC134)</f>
        <v>3000</v>
      </c>
      <c r="AE126" s="400">
        <f>IF(ISBLANK('RESUMEN VIGILANCIA'!AD134),"",'RESUMEN VIGILANCIA'!AD134)</f>
        <v>3000</v>
      </c>
      <c r="AF126" s="400">
        <f>IF(ISBLANK('RESUMEN VIGILANCIA'!AE134),"",'RESUMEN VIGILANCIA'!AE134)</f>
        <v>3000</v>
      </c>
      <c r="AG126" s="400">
        <f>IF(ISBLANK('RESUMEN VIGILANCIA'!AF134),"",'RESUMEN VIGILANCIA'!AF134)</f>
        <v>5000</v>
      </c>
      <c r="AH126" s="400">
        <f>IF(ISBLANK('RESUMEN VIGILANCIA'!AG134),"",'RESUMEN VIGILANCIA'!AG134)</f>
        <v>8000</v>
      </c>
      <c r="AI126" s="505" t="str">
        <f>IF(ISBLANK('RESUMEN VIGILANCIA'!AH134),"",'RESUMEN VIGILANCIA'!AH134)</f>
        <v>FIN DE CONTRATO DE ALQUILER</v>
      </c>
      <c r="AJ126" s="403" t="str">
        <f>IF(ISBLANK('RESUMEN VIGILANCIA'!AI134),"",'RESUMEN VIGILANCIA'!AI134)</f>
        <v/>
      </c>
      <c r="AK126" s="403" t="str">
        <f>IF(ISBLANK('RESUMEN VIGILANCIA'!AJ134),"",'RESUMEN VIGILANCIA'!AJ134)</f>
        <v/>
      </c>
      <c r="AL126" s="403" t="str">
        <f>IF(ISBLANK('RESUMEN VIGILANCIA'!AK134),"",'RESUMEN VIGILANCIA'!AK134)</f>
        <v/>
      </c>
      <c r="AM126" s="403" t="str">
        <f>IF(ISBLANK('RESUMEN VIGILANCIA'!AL134),"",'RESUMEN VIGILANCIA'!AL134)</f>
        <v/>
      </c>
      <c r="AN126" s="403" t="str">
        <f>IF(ISBLANK('RESUMEN VIGILANCIA'!AM134),"",'RESUMEN VIGILANCIA'!AM134)</f>
        <v/>
      </c>
      <c r="AO126" s="414" t="str">
        <f>IF(ISBLANK('RESUMEN VIGILANCIA'!AN134),"",'RESUMEN VIGILANCIA'!AN134)</f>
        <v/>
      </c>
      <c r="AP126" s="415" t="str">
        <f>IF(ISBLANK('RESUMEN VIGILANCIA'!AO134),"",'RESUMEN VIGILANCIA'!AO134)</f>
        <v/>
      </c>
      <c r="AQ126" s="416" t="str">
        <f>IF(ISBLANK('RESUMEN VIGILANCIA'!AP134),"",'RESUMEN VIGILANCIA'!AP134)</f>
        <v/>
      </c>
      <c r="AR126" s="416" t="str">
        <f>IF(ISBLANK('RESUMEN VIGILANCIA'!AQ134),"",'RESUMEN VIGILANCIA'!AQ134)</f>
        <v/>
      </c>
      <c r="AS126" s="416" t="str">
        <f>IF(ISBLANK('RESUMEN VIGILANCIA'!AR134),"",'RESUMEN VIGILANCIA'!AR134)</f>
        <v/>
      </c>
      <c r="AT126" s="416" t="str">
        <f>IF(ISBLANK('RESUMEN VIGILANCIA'!AS134),"",'RESUMEN VIGILANCIA'!AS134)</f>
        <v/>
      </c>
      <c r="AU126" s="505" t="str">
        <f>IF(ISBLANK('RESUMEN VIGILANCIA'!AT134),"",'RESUMEN VIGILANCIA'!AT134)</f>
        <v/>
      </c>
      <c r="AV126" s="403" t="str">
        <f>IF(ISBLANK('RESUMEN VIGILANCIA'!AU134),"",'RESUMEN VIGILANCIA'!AU134)</f>
        <v/>
      </c>
      <c r="AW126" s="403" t="str">
        <f>IF(ISBLANK('RESUMEN VIGILANCIA'!AV134),"",'RESUMEN VIGILANCIA'!AV134)</f>
        <v/>
      </c>
      <c r="AX126" s="403" t="str">
        <f>IF(ISBLANK('RESUMEN VIGILANCIA'!AW134),"",'RESUMEN VIGILANCIA'!AW134)</f>
        <v/>
      </c>
      <c r="AY126" s="403" t="str">
        <f>IF(ISBLANK('RESUMEN VIGILANCIA'!AX134),"",'RESUMEN VIGILANCIA'!AX134)</f>
        <v/>
      </c>
      <c r="AZ126" s="403" t="str">
        <f>IF(ISBLANK('RESUMEN VIGILANCIA'!AY134),"",'RESUMEN VIGILANCIA'!AY134)</f>
        <v/>
      </c>
      <c r="BA126" s="414" t="str">
        <f>IF(ISBLANK('RESUMEN VIGILANCIA'!AZ134),"",'RESUMEN VIGILANCIA'!AZ134)</f>
        <v/>
      </c>
      <c r="BB126" s="245">
        <f t="shared" si="7"/>
        <v>23798.25</v>
      </c>
      <c r="BC126" s="116"/>
      <c r="BD126" s="116">
        <v>43586</v>
      </c>
    </row>
    <row r="127" spans="1:56" s="29" customFormat="1" ht="20.100000000000001" customHeight="1">
      <c r="A127" s="30" t="str">
        <f>'RESUMEN VIGILANCIA'!A135</f>
        <v>Familia Chan García</v>
      </c>
      <c r="B127" s="31" t="str">
        <f>'RESUMEN VIGILANCIA'!B135</f>
        <v>Calle Güigüe Nro. 89-106</v>
      </c>
      <c r="C127" s="452" t="s">
        <v>1249</v>
      </c>
      <c r="D127" s="460"/>
      <c r="E127" s="443" t="str">
        <f>IF(ISBLANK('RESUMEN VIGILANCIA'!D135),"",'RESUMEN VIGILANCIA'!D135)</f>
        <v/>
      </c>
      <c r="F127" s="298" t="str">
        <f>IF(ISBLANK('RESUMEN VIGILANCIA'!E135),"",'RESUMEN VIGILANCIA'!E135)</f>
        <v/>
      </c>
      <c r="G127" s="217" t="str">
        <f>IF(ISBLANK('RESUMEN VIGILANCIA'!F135),"",'RESUMEN VIGILANCIA'!F135)</f>
        <v/>
      </c>
      <c r="H127" s="217" t="str">
        <f>IF(ISBLANK('RESUMEN VIGILANCIA'!G135),"",'RESUMEN VIGILANCIA'!G135)</f>
        <v/>
      </c>
      <c r="I127" s="217" t="str">
        <f>IF(ISBLANK('RESUMEN VIGILANCIA'!H135),"",'RESUMEN VIGILANCIA'!H135)</f>
        <v/>
      </c>
      <c r="J127" s="217" t="str">
        <f>IF(ISBLANK('RESUMEN VIGILANCIA'!I135),"",'RESUMEN VIGILANCIA'!I135)</f>
        <v/>
      </c>
      <c r="K127" s="217" t="str">
        <f>IF(ISBLANK('RESUMEN VIGILANCIA'!J135),"",'RESUMEN VIGILANCIA'!J135)</f>
        <v/>
      </c>
      <c r="L127" s="217" t="str">
        <f>IF(ISBLANK('RESUMEN VIGILANCIA'!K135),"",'RESUMEN VIGILANCIA'!K135)</f>
        <v/>
      </c>
      <c r="M127" s="217" t="str">
        <f>IF(ISBLANK('RESUMEN VIGILANCIA'!L135),"",'RESUMEN VIGILANCIA'!L135)</f>
        <v/>
      </c>
      <c r="N127" s="217" t="str">
        <f>IF(ISBLANK('RESUMEN VIGILANCIA'!M135),"",'RESUMEN VIGILANCIA'!M135)</f>
        <v/>
      </c>
      <c r="O127" s="217" t="str">
        <f>IF(ISBLANK('RESUMEN VIGILANCIA'!N135),"",'RESUMEN VIGILANCIA'!N135)</f>
        <v/>
      </c>
      <c r="P127" s="284" t="str">
        <f>IF(ISBLANK('RESUMEN VIGILANCIA'!O135),"",'RESUMEN VIGILANCIA'!O135)</f>
        <v/>
      </c>
      <c r="Q127" s="215" t="str">
        <f>IF(ISBLANK('RESUMEN VIGILANCIA'!P135),"",'RESUMEN VIGILANCIA'!P135)</f>
        <v/>
      </c>
      <c r="R127" s="285" t="str">
        <f>IF(ISBLANK('RESUMEN VIGILANCIA'!Q135),"",'RESUMEN VIGILANCIA'!Q135)</f>
        <v/>
      </c>
      <c r="S127" s="284" t="str">
        <f>IF(ISBLANK('RESUMEN VIGILANCIA'!R135),"",'RESUMEN VIGILANCIA'!R135)</f>
        <v/>
      </c>
      <c r="T127" s="284" t="str">
        <f>IF(ISBLANK('RESUMEN VIGILANCIA'!S135),"",'RESUMEN VIGILANCIA'!S135)</f>
        <v/>
      </c>
      <c r="U127" s="284" t="str">
        <f>IF(ISBLANK('RESUMEN VIGILANCIA'!T135),"",'RESUMEN VIGILANCIA'!T135)</f>
        <v/>
      </c>
      <c r="V127" s="284" t="str">
        <f>IF(ISBLANK('RESUMEN VIGILANCIA'!U135),"",'RESUMEN VIGILANCIA'!U135)</f>
        <v/>
      </c>
      <c r="W127" s="284" t="str">
        <f>IF(ISBLANK('RESUMEN VIGILANCIA'!V135),"",'RESUMEN VIGILANCIA'!V135)</f>
        <v/>
      </c>
      <c r="X127" s="284" t="str">
        <f>IF(ISBLANK('RESUMEN VIGILANCIA'!W135),"",'RESUMEN VIGILANCIA'!W135)</f>
        <v/>
      </c>
      <c r="Y127" s="284" t="str">
        <f>IF(ISBLANK('RESUMEN VIGILANCIA'!X135),"",'RESUMEN VIGILANCIA'!X135)</f>
        <v/>
      </c>
      <c r="Z127" s="492" t="str">
        <f>IF(ISBLANK('RESUMEN VIGILANCIA'!Y135),"",'RESUMEN VIGILANCIA'!Y135)</f>
        <v/>
      </c>
      <c r="AA127" s="492" t="str">
        <f>IF(ISBLANK('RESUMEN VIGILANCIA'!Z135),"",'RESUMEN VIGILANCIA'!Z135)</f>
        <v/>
      </c>
      <c r="AB127" s="492" t="str">
        <f>IF(ISBLANK('RESUMEN VIGILANCIA'!AA135),"",'RESUMEN VIGILANCIA'!AA135)</f>
        <v/>
      </c>
      <c r="AC127" s="493" t="str">
        <f>IF(ISBLANK('RESUMEN VIGILANCIA'!AB135),"",'RESUMEN VIGILANCIA'!AB135)</f>
        <v/>
      </c>
      <c r="AD127" s="506" t="str">
        <f>IF(ISBLANK('RESUMEN VIGILANCIA'!AC135),"",'RESUMEN VIGILANCIA'!AC135)</f>
        <v/>
      </c>
      <c r="AE127" s="507" t="str">
        <f>IF(ISBLANK('RESUMEN VIGILANCIA'!AD135),"",'RESUMEN VIGILANCIA'!AD135)</f>
        <v/>
      </c>
      <c r="AF127" s="507" t="str">
        <f>IF(ISBLANK('RESUMEN VIGILANCIA'!AE135),"",'RESUMEN VIGILANCIA'!AE135)</f>
        <v/>
      </c>
      <c r="AG127" s="507" t="str">
        <f>IF(ISBLANK('RESUMEN VIGILANCIA'!AF135),"",'RESUMEN VIGILANCIA'!AF135)</f>
        <v/>
      </c>
      <c r="AH127" s="507" t="str">
        <f>IF(ISBLANK('RESUMEN VIGILANCIA'!AG135),"",'RESUMEN VIGILANCIA'!AG135)</f>
        <v/>
      </c>
      <c r="AI127" s="400">
        <f>IF(ISBLANK('RESUMEN VIGILANCIA'!AH135),"",'RESUMEN VIGILANCIA'!AH135)</f>
        <v>8000</v>
      </c>
      <c r="AJ127" s="400">
        <f>IF(ISBLANK('RESUMEN VIGILANCIA'!AI135),"",'RESUMEN VIGILANCIA'!AI135)</f>
        <v>10000</v>
      </c>
      <c r="AK127" s="400">
        <f>IF(ISBLANK('RESUMEN VIGILANCIA'!AJ135),"",'RESUMEN VIGILANCIA'!AJ135)</f>
        <v>10000</v>
      </c>
      <c r="AL127" s="400">
        <f>IF(ISBLANK('RESUMEN VIGILANCIA'!AK135),"",'RESUMEN VIGILANCIA'!AK135)</f>
        <v>21600</v>
      </c>
      <c r="AM127" s="400">
        <f>IF(ISBLANK('RESUMEN VIGILANCIA'!AL135),"",'RESUMEN VIGILANCIA'!AL135)</f>
        <v>47000</v>
      </c>
      <c r="AN127" s="400">
        <f>IF(ISBLANK('RESUMEN VIGILANCIA'!AM135),"",'RESUMEN VIGILANCIA'!AM135)</f>
        <v>73500</v>
      </c>
      <c r="AO127" s="401">
        <f>IF(ISBLANK('RESUMEN VIGILANCIA'!AN135),"",'RESUMEN VIGILANCIA'!AN135)</f>
        <v>105250</v>
      </c>
      <c r="AP127" s="399">
        <f>IF(ISBLANK('RESUMEN VIGILANCIA'!AO135),"",'RESUMEN VIGILANCIA'!AO135)</f>
        <v>136250</v>
      </c>
      <c r="AQ127" s="400" t="str">
        <f>IF(ISBLANK('RESUMEN VIGILANCIA'!AP135),"",'RESUMEN VIGILANCIA'!AP135)</f>
        <v/>
      </c>
      <c r="AR127" s="400" t="str">
        <f>IF(ISBLANK('RESUMEN VIGILANCIA'!AQ135),"",'RESUMEN VIGILANCIA'!AQ135)</f>
        <v/>
      </c>
      <c r="AS127" s="400" t="str">
        <f>IF(ISBLANK('RESUMEN VIGILANCIA'!AR135),"",'RESUMEN VIGILANCIA'!AR135)</f>
        <v/>
      </c>
      <c r="AT127" s="400" t="str">
        <f>IF(ISBLANK('RESUMEN VIGILANCIA'!AS135),"",'RESUMEN VIGILANCIA'!AS135)</f>
        <v/>
      </c>
      <c r="AU127" s="400" t="str">
        <f>IF(ISBLANK('RESUMEN VIGILANCIA'!AT135),"",'RESUMEN VIGILANCIA'!AT135)</f>
        <v/>
      </c>
      <c r="AV127" s="400" t="str">
        <f>IF(ISBLANK('RESUMEN VIGILANCIA'!AU135),"",'RESUMEN VIGILANCIA'!AU135)</f>
        <v/>
      </c>
      <c r="AW127" s="400" t="str">
        <f>IF(ISBLANK('RESUMEN VIGILANCIA'!AV135),"",'RESUMEN VIGILANCIA'!AV135)</f>
        <v/>
      </c>
      <c r="AX127" s="400" t="str">
        <f>IF(ISBLANK('RESUMEN VIGILANCIA'!AW135),"",'RESUMEN VIGILANCIA'!AW135)</f>
        <v/>
      </c>
      <c r="AY127" s="400" t="str">
        <f>IF(ISBLANK('RESUMEN VIGILANCIA'!AX135),"",'RESUMEN VIGILANCIA'!AX135)</f>
        <v/>
      </c>
      <c r="AZ127" s="400" t="str">
        <f>IF(ISBLANK('RESUMEN VIGILANCIA'!AY135),"",'RESUMEN VIGILANCIA'!AY135)</f>
        <v/>
      </c>
      <c r="BA127" s="401" t="str">
        <f>IF(ISBLANK('RESUMEN VIGILANCIA'!AZ135),"",'RESUMEN VIGILANCIA'!AZ135)</f>
        <v/>
      </c>
      <c r="BB127" s="243">
        <f t="shared" ref="BB127" si="9">SUM(E127:AO127)</f>
        <v>275350</v>
      </c>
      <c r="BC127" s="112">
        <v>43617</v>
      </c>
      <c r="BD127" s="112"/>
    </row>
    <row r="128" spans="1:56" s="29" customFormat="1" ht="20.100000000000001" customHeight="1">
      <c r="A128" s="30" t="str">
        <f>'RESUMEN VIGILANCIA'!A132</f>
        <v>Amarilis Guerra</v>
      </c>
      <c r="B128" s="31" t="str">
        <f>'RESUMEN VIGILANCIA'!B132</f>
        <v>Calle Güigüe Nro. 89-96</v>
      </c>
      <c r="C128" s="452" t="s">
        <v>1249</v>
      </c>
      <c r="D128" s="460" t="s">
        <v>1248</v>
      </c>
      <c r="E128" s="440" t="str">
        <f>IF(ISBLANK('RESUMEN VIGILANCIA'!D132),"",'RESUMEN VIGILANCIA'!D132)</f>
        <v/>
      </c>
      <c r="F128" s="270">
        <f>IF(ISBLANK('RESUMEN VIGILANCIA'!E132),"",'RESUMEN VIGILANCIA'!E132)</f>
        <v>0.17</v>
      </c>
      <c r="G128" s="182">
        <f>IF(ISBLANK('RESUMEN VIGILANCIA'!F132),"",'RESUMEN VIGILANCIA'!F132)</f>
        <v>0.17</v>
      </c>
      <c r="H128" s="182">
        <f>IF(ISBLANK('RESUMEN VIGILANCIA'!G132),"",'RESUMEN VIGILANCIA'!G132)</f>
        <v>0.17</v>
      </c>
      <c r="I128" s="182">
        <f>IF(ISBLANK('RESUMEN VIGILANCIA'!H132),"",'RESUMEN VIGILANCIA'!H132)</f>
        <v>0.17</v>
      </c>
      <c r="J128" s="182">
        <f>IF(ISBLANK('RESUMEN VIGILANCIA'!I132),"",'RESUMEN VIGILANCIA'!I132)</f>
        <v>0.26</v>
      </c>
      <c r="K128" s="182">
        <f>IF(ISBLANK('RESUMEN VIGILANCIA'!J132),"",'RESUMEN VIGILANCIA'!J132)</f>
        <v>0.26</v>
      </c>
      <c r="L128" s="182">
        <f>IF(ISBLANK('RESUMEN VIGILANCIA'!K132),"",'RESUMEN VIGILANCIA'!K132)</f>
        <v>0.35</v>
      </c>
      <c r="M128" s="182">
        <f>IF(ISBLANK('RESUMEN VIGILANCIA'!L132),"",'RESUMEN VIGILANCIA'!L132)</f>
        <v>0.35</v>
      </c>
      <c r="N128" s="182">
        <f>IF(ISBLANK('RESUMEN VIGILANCIA'!M132),"",'RESUMEN VIGILANCIA'!M132)</f>
        <v>0.35</v>
      </c>
      <c r="O128" s="182">
        <f>IF(ISBLANK('RESUMEN VIGILANCIA'!N132),"",'RESUMEN VIGILANCIA'!N132)</f>
        <v>0.35</v>
      </c>
      <c r="P128" s="271">
        <f>IF(ISBLANK('RESUMEN VIGILANCIA'!O132),"",'RESUMEN VIGILANCIA'!O132)</f>
        <v>0.5</v>
      </c>
      <c r="Q128" s="180">
        <f>IF(ISBLANK('RESUMEN VIGILANCIA'!P132),"",'RESUMEN VIGILANCIA'!P132)</f>
        <v>0.5</v>
      </c>
      <c r="R128" s="272">
        <f>IF(ISBLANK('RESUMEN VIGILANCIA'!Q132),"",'RESUMEN VIGILANCIA'!Q132)</f>
        <v>0.8</v>
      </c>
      <c r="S128" s="271">
        <f>IF(ISBLANK('RESUMEN VIGILANCIA'!R132),"",'RESUMEN VIGILANCIA'!R132)</f>
        <v>0.8</v>
      </c>
      <c r="T128" s="271">
        <f>IF(ISBLANK('RESUMEN VIGILANCIA'!S132),"",'RESUMEN VIGILANCIA'!S132)</f>
        <v>1.4</v>
      </c>
      <c r="U128" s="271">
        <f>IF(ISBLANK('RESUMEN VIGILANCIA'!T132),"",'RESUMEN VIGILANCIA'!T132)</f>
        <v>1.4</v>
      </c>
      <c r="V128" s="271">
        <f>IF(ISBLANK('RESUMEN VIGILANCIA'!U132),"",'RESUMEN VIGILANCIA'!U132)</f>
        <v>4</v>
      </c>
      <c r="W128" s="271">
        <f>IF(ISBLANK('RESUMEN VIGILANCIA'!V132),"",'RESUMEN VIGILANCIA'!V132)</f>
        <v>6.25</v>
      </c>
      <c r="X128" s="271">
        <f>IF(ISBLANK('RESUMEN VIGILANCIA'!W132),"",'RESUMEN VIGILANCIA'!W132)</f>
        <v>10</v>
      </c>
      <c r="Y128" s="271">
        <f>IF(ISBLANK('RESUMEN VIGILANCIA'!X132),"",'RESUMEN VIGILANCIA'!X132)</f>
        <v>12</v>
      </c>
      <c r="Z128" s="481">
        <f>IF(ISBLANK('RESUMEN VIGILANCIA'!Y132),"",'RESUMEN VIGILANCIA'!Y132)</f>
        <v>320</v>
      </c>
      <c r="AA128" s="481">
        <f>IF(ISBLANK('RESUMEN VIGILANCIA'!Z132),"",'RESUMEN VIGILANCIA'!Z132)</f>
        <v>320</v>
      </c>
      <c r="AB128" s="481">
        <f>IF(ISBLANK('RESUMEN VIGILANCIA'!AA132),"",'RESUMEN VIGILANCIA'!AA132)</f>
        <v>320</v>
      </c>
      <c r="AC128" s="482">
        <f>IF(ISBLANK('RESUMEN VIGILANCIA'!AB132),"",'RESUMEN VIGILANCIA'!AB132)</f>
        <v>800</v>
      </c>
      <c r="AD128" s="399">
        <f>IF(ISBLANK('RESUMEN VIGILANCIA'!AC132),"",'RESUMEN VIGILANCIA'!AC132)</f>
        <v>3000</v>
      </c>
      <c r="AE128" s="400">
        <f>IF(ISBLANK('RESUMEN VIGILANCIA'!AD132),"",'RESUMEN VIGILANCIA'!AD132)</f>
        <v>3000</v>
      </c>
      <c r="AF128" s="400">
        <f>IF(ISBLANK('RESUMEN VIGILANCIA'!AE132),"",'RESUMEN VIGILANCIA'!AE132)</f>
        <v>3000</v>
      </c>
      <c r="AG128" s="400">
        <f>IF(ISBLANK('RESUMEN VIGILANCIA'!AF132),"",'RESUMEN VIGILANCIA'!AF132)</f>
        <v>5000</v>
      </c>
      <c r="AH128" s="400">
        <f>IF(ISBLANK('RESUMEN VIGILANCIA'!AG132),"",'RESUMEN VIGILANCIA'!AG132)</f>
        <v>8000</v>
      </c>
      <c r="AI128" s="400">
        <f>IF(ISBLANK('RESUMEN VIGILANCIA'!AH132),"",'RESUMEN VIGILANCIA'!AH132)</f>
        <v>8000</v>
      </c>
      <c r="AJ128" s="400">
        <f>IF(ISBLANK('RESUMEN VIGILANCIA'!AI132),"",'RESUMEN VIGILANCIA'!AI132)</f>
        <v>10000</v>
      </c>
      <c r="AK128" s="400">
        <f>IF(ISBLANK('RESUMEN VIGILANCIA'!AJ132),"",'RESUMEN VIGILANCIA'!AJ132)</f>
        <v>10000</v>
      </c>
      <c r="AL128" s="400">
        <f>IF(ISBLANK('RESUMEN VIGILANCIA'!AK132),"",'RESUMEN VIGILANCIA'!AK132)</f>
        <v>23400</v>
      </c>
      <c r="AM128" s="400">
        <f>IF(ISBLANK('RESUMEN VIGILANCIA'!AL132),"",'RESUMEN VIGILANCIA'!AL132)</f>
        <v>47000</v>
      </c>
      <c r="AN128" s="400">
        <f>IF(ISBLANK('RESUMEN VIGILANCIA'!AM132),"",'RESUMEN VIGILANCIA'!AM132)</f>
        <v>73500</v>
      </c>
      <c r="AO128" s="401">
        <f>IF(ISBLANK('RESUMEN VIGILANCIA'!AN132),"",'RESUMEN VIGILANCIA'!AN132)</f>
        <v>81750</v>
      </c>
      <c r="AP128" s="399">
        <f>IF(ISBLANK('RESUMEN VIGILANCIA'!AO132),"",'RESUMEN VIGILANCIA'!AO132)</f>
        <v>136250</v>
      </c>
      <c r="AQ128" s="400">
        <f>IF(ISBLANK('RESUMEN VIGILANCIA'!AP132),"",'RESUMEN VIGILANCIA'!AP132)</f>
        <v>136250</v>
      </c>
      <c r="AR128" s="400" t="str">
        <f>IF(ISBLANK('RESUMEN VIGILANCIA'!AQ132),"",'RESUMEN VIGILANCIA'!AQ132)</f>
        <v/>
      </c>
      <c r="AS128" s="400" t="str">
        <f>IF(ISBLANK('RESUMEN VIGILANCIA'!AR132),"",'RESUMEN VIGILANCIA'!AR132)</f>
        <v/>
      </c>
      <c r="AT128" s="400" t="str">
        <f>IF(ISBLANK('RESUMEN VIGILANCIA'!AS132),"",'RESUMEN VIGILANCIA'!AS132)</f>
        <v/>
      </c>
      <c r="AU128" s="400" t="str">
        <f>IF(ISBLANK('RESUMEN VIGILANCIA'!AT132),"",'RESUMEN VIGILANCIA'!AT132)</f>
        <v/>
      </c>
      <c r="AV128" s="400" t="str">
        <f>IF(ISBLANK('RESUMEN VIGILANCIA'!AU132),"",'RESUMEN VIGILANCIA'!AU132)</f>
        <v/>
      </c>
      <c r="AW128" s="400" t="str">
        <f>IF(ISBLANK('RESUMEN VIGILANCIA'!AV132),"",'RESUMEN VIGILANCIA'!AV132)</f>
        <v/>
      </c>
      <c r="AX128" s="400" t="str">
        <f>IF(ISBLANK('RESUMEN VIGILANCIA'!AW132),"",'RESUMEN VIGILANCIA'!AW132)</f>
        <v/>
      </c>
      <c r="AY128" s="400" t="str">
        <f>IF(ISBLANK('RESUMEN VIGILANCIA'!AX132),"",'RESUMEN VIGILANCIA'!AX132)</f>
        <v/>
      </c>
      <c r="AZ128" s="400" t="str">
        <f>IF(ISBLANK('RESUMEN VIGILANCIA'!AY132),"",'RESUMEN VIGILANCIA'!AY132)</f>
        <v/>
      </c>
      <c r="BA128" s="401" t="str">
        <f>IF(ISBLANK('RESUMEN VIGILANCIA'!AZ132),"",'RESUMEN VIGILANCIA'!AZ132)</f>
        <v/>
      </c>
      <c r="BB128" s="243">
        <f t="shared" si="7"/>
        <v>277450.25</v>
      </c>
      <c r="BC128" s="112"/>
      <c r="BD128" s="112"/>
    </row>
    <row r="129" spans="1:56" s="29" customFormat="1" ht="20.100000000000001" customHeight="1">
      <c r="A129" s="30" t="str">
        <f>'RESUMEN VIGILANCIA'!A108</f>
        <v>Familia Piñero Padilla</v>
      </c>
      <c r="B129" s="31" t="str">
        <f>'RESUMEN VIGILANCIA'!B108</f>
        <v>Calle Güigüe Nro. 89-21</v>
      </c>
      <c r="C129" s="452" t="s">
        <v>1249</v>
      </c>
      <c r="D129" s="460" t="s">
        <v>17</v>
      </c>
      <c r="E129" s="440" t="str">
        <f>IF(ISBLANK('RESUMEN VIGILANCIA'!D108),"",'RESUMEN VIGILANCIA'!D108)</f>
        <v/>
      </c>
      <c r="F129" s="270">
        <f>IF(ISBLANK('RESUMEN VIGILANCIA'!E108),"",'RESUMEN VIGILANCIA'!E108)</f>
        <v>0.17</v>
      </c>
      <c r="G129" s="182">
        <f>IF(ISBLANK('RESUMEN VIGILANCIA'!F108),"",'RESUMEN VIGILANCIA'!F108)</f>
        <v>0.17</v>
      </c>
      <c r="H129" s="182">
        <f>IF(ISBLANK('RESUMEN VIGILANCIA'!G108),"",'RESUMEN VIGILANCIA'!G108)</f>
        <v>0.17</v>
      </c>
      <c r="I129" s="182">
        <f>IF(ISBLANK('RESUMEN VIGILANCIA'!H108),"",'RESUMEN VIGILANCIA'!H108)</f>
        <v>0.17</v>
      </c>
      <c r="J129" s="182">
        <f>IF(ISBLANK('RESUMEN VIGILANCIA'!I108),"",'RESUMEN VIGILANCIA'!I108)</f>
        <v>0.26</v>
      </c>
      <c r="K129" s="182">
        <f>IF(ISBLANK('RESUMEN VIGILANCIA'!J108),"",'RESUMEN VIGILANCIA'!J108)</f>
        <v>0.26</v>
      </c>
      <c r="L129" s="182">
        <f>IF(ISBLANK('RESUMEN VIGILANCIA'!K108),"",'RESUMEN VIGILANCIA'!K108)</f>
        <v>0.35</v>
      </c>
      <c r="M129" s="182">
        <f>IF(ISBLANK('RESUMEN VIGILANCIA'!L108),"",'RESUMEN VIGILANCIA'!L108)</f>
        <v>0.35</v>
      </c>
      <c r="N129" s="182">
        <f>IF(ISBLANK('RESUMEN VIGILANCIA'!M108),"",'RESUMEN VIGILANCIA'!M108)</f>
        <v>0.35</v>
      </c>
      <c r="O129" s="182">
        <f>IF(ISBLANK('RESUMEN VIGILANCIA'!N108),"",'RESUMEN VIGILANCIA'!N108)</f>
        <v>0.35</v>
      </c>
      <c r="P129" s="271">
        <f>IF(ISBLANK('RESUMEN VIGILANCIA'!O108),"",'RESUMEN VIGILANCIA'!O108)</f>
        <v>0.5</v>
      </c>
      <c r="Q129" s="180">
        <f>IF(ISBLANK('RESUMEN VIGILANCIA'!P108),"",'RESUMEN VIGILANCIA'!P108)</f>
        <v>0.5</v>
      </c>
      <c r="R129" s="272">
        <f>IF(ISBLANK('RESUMEN VIGILANCIA'!Q108),"",'RESUMEN VIGILANCIA'!Q108)</f>
        <v>0.8</v>
      </c>
      <c r="S129" s="271">
        <f>IF(ISBLANK('RESUMEN VIGILANCIA'!R108),"",'RESUMEN VIGILANCIA'!R108)</f>
        <v>0.8</v>
      </c>
      <c r="T129" s="271">
        <f>IF(ISBLANK('RESUMEN VIGILANCIA'!S108),"",'RESUMEN VIGILANCIA'!S108)</f>
        <v>1.4</v>
      </c>
      <c r="U129" s="271">
        <f>IF(ISBLANK('RESUMEN VIGILANCIA'!T108),"",'RESUMEN VIGILANCIA'!T108)</f>
        <v>1.4</v>
      </c>
      <c r="V129" s="271">
        <f>IF(ISBLANK('RESUMEN VIGILANCIA'!U108),"",'RESUMEN VIGILANCIA'!U108)</f>
        <v>4</v>
      </c>
      <c r="W129" s="271">
        <f>IF(ISBLANK('RESUMEN VIGILANCIA'!V108),"",'RESUMEN VIGILANCIA'!V108)</f>
        <v>6.25</v>
      </c>
      <c r="X129" s="271">
        <f>IF(ISBLANK('RESUMEN VIGILANCIA'!W108),"",'RESUMEN VIGILANCIA'!W108)</f>
        <v>10</v>
      </c>
      <c r="Y129" s="271">
        <f>IF(ISBLANK('RESUMEN VIGILANCIA'!X108),"",'RESUMEN VIGILANCIA'!X108)</f>
        <v>12</v>
      </c>
      <c r="Z129" s="481">
        <f>IF(ISBLANK('RESUMEN VIGILANCIA'!Y108),"",'RESUMEN VIGILANCIA'!Y108)</f>
        <v>320</v>
      </c>
      <c r="AA129" s="481">
        <f>IF(ISBLANK('RESUMEN VIGILANCIA'!Z108),"",'RESUMEN VIGILANCIA'!Z108)</f>
        <v>320</v>
      </c>
      <c r="AB129" s="481">
        <f>IF(ISBLANK('RESUMEN VIGILANCIA'!AA108),"",'RESUMEN VIGILANCIA'!AA108)</f>
        <v>320</v>
      </c>
      <c r="AC129" s="482">
        <f>IF(ISBLANK('RESUMEN VIGILANCIA'!AB108),"",'RESUMEN VIGILANCIA'!AB108)</f>
        <v>800</v>
      </c>
      <c r="AD129" s="399">
        <f>IF(ISBLANK('RESUMEN VIGILANCIA'!AC108),"",'RESUMEN VIGILANCIA'!AC108)</f>
        <v>3000</v>
      </c>
      <c r="AE129" s="400">
        <f>IF(ISBLANK('RESUMEN VIGILANCIA'!AD108),"",'RESUMEN VIGILANCIA'!AD108)</f>
        <v>3000</v>
      </c>
      <c r="AF129" s="400">
        <f>IF(ISBLANK('RESUMEN VIGILANCIA'!AE108),"",'RESUMEN VIGILANCIA'!AE108)</f>
        <v>3000</v>
      </c>
      <c r="AG129" s="400">
        <f>IF(ISBLANK('RESUMEN VIGILANCIA'!AF108),"",'RESUMEN VIGILANCIA'!AF108)</f>
        <v>5000</v>
      </c>
      <c r="AH129" s="400">
        <f>IF(ISBLANK('RESUMEN VIGILANCIA'!AG108),"",'RESUMEN VIGILANCIA'!AG108)</f>
        <v>8000</v>
      </c>
      <c r="AI129" s="400">
        <f>IF(ISBLANK('RESUMEN VIGILANCIA'!AH108),"",'RESUMEN VIGILANCIA'!AH108)</f>
        <v>8000</v>
      </c>
      <c r="AJ129" s="400">
        <f>IF(ISBLANK('RESUMEN VIGILANCIA'!AI108),"",'RESUMEN VIGILANCIA'!AI108)</f>
        <v>10000</v>
      </c>
      <c r="AK129" s="400">
        <f>IF(ISBLANK('RESUMEN VIGILANCIA'!AJ108),"",'RESUMEN VIGILANCIA'!AJ108)</f>
        <v>10000</v>
      </c>
      <c r="AL129" s="400">
        <f>IF(ISBLANK('RESUMEN VIGILANCIA'!AK108),"",'RESUMEN VIGILANCIA'!AK108)</f>
        <v>20500</v>
      </c>
      <c r="AM129" s="400">
        <f>IF(ISBLANK('RESUMEN VIGILANCIA'!AL108),"",'RESUMEN VIGILANCIA'!AL108)</f>
        <v>73500</v>
      </c>
      <c r="AN129" s="400">
        <f>IF(ISBLANK('RESUMEN VIGILANCIA'!AM108),"",'RESUMEN VIGILANCIA'!AM108)</f>
        <v>73500</v>
      </c>
      <c r="AO129" s="401">
        <f>IF(ISBLANK('RESUMEN VIGILANCIA'!AN108),"",'RESUMEN VIGILANCIA'!AN108)</f>
        <v>105250</v>
      </c>
      <c r="AP129" s="399" t="str">
        <f>IF(ISBLANK('RESUMEN VIGILANCIA'!AO108),"",'RESUMEN VIGILANCIA'!AO108)</f>
        <v/>
      </c>
      <c r="AQ129" s="400" t="str">
        <f>IF(ISBLANK('RESUMEN VIGILANCIA'!AP108),"",'RESUMEN VIGILANCIA'!AP108)</f>
        <v/>
      </c>
      <c r="AR129" s="400" t="str">
        <f>IF(ISBLANK('RESUMEN VIGILANCIA'!AQ108),"",'RESUMEN VIGILANCIA'!AQ108)</f>
        <v/>
      </c>
      <c r="AS129" s="400" t="str">
        <f>IF(ISBLANK('RESUMEN VIGILANCIA'!AR108),"",'RESUMEN VIGILANCIA'!AR108)</f>
        <v/>
      </c>
      <c r="AT129" s="400" t="str">
        <f>IF(ISBLANK('RESUMEN VIGILANCIA'!AS108),"",'RESUMEN VIGILANCIA'!AS108)</f>
        <v/>
      </c>
      <c r="AU129" s="400" t="str">
        <f>IF(ISBLANK('RESUMEN VIGILANCIA'!AT108),"",'RESUMEN VIGILANCIA'!AT108)</f>
        <v/>
      </c>
      <c r="AV129" s="400" t="str">
        <f>IF(ISBLANK('RESUMEN VIGILANCIA'!AU108),"",'RESUMEN VIGILANCIA'!AU108)</f>
        <v/>
      </c>
      <c r="AW129" s="400" t="str">
        <f>IF(ISBLANK('RESUMEN VIGILANCIA'!AV108),"",'RESUMEN VIGILANCIA'!AV108)</f>
        <v/>
      </c>
      <c r="AX129" s="400" t="str">
        <f>IF(ISBLANK('RESUMEN VIGILANCIA'!AW108),"",'RESUMEN VIGILANCIA'!AW108)</f>
        <v/>
      </c>
      <c r="AY129" s="400" t="str">
        <f>IF(ISBLANK('RESUMEN VIGILANCIA'!AX108),"",'RESUMEN VIGILANCIA'!AX108)</f>
        <v/>
      </c>
      <c r="AZ129" s="400" t="str">
        <f>IF(ISBLANK('RESUMEN VIGILANCIA'!AY108),"",'RESUMEN VIGILANCIA'!AY108)</f>
        <v/>
      </c>
      <c r="BA129" s="401" t="str">
        <f>IF(ISBLANK('RESUMEN VIGILANCIA'!AZ108),"",'RESUMEN VIGILANCIA'!AZ108)</f>
        <v/>
      </c>
      <c r="BB129" s="243">
        <f t="shared" si="7"/>
        <v>324550.25</v>
      </c>
      <c r="BC129" s="112"/>
      <c r="BD129" s="112"/>
    </row>
    <row r="130" spans="1:56" s="29" customFormat="1" ht="20.100000000000001" customHeight="1">
      <c r="A130" s="30" t="str">
        <f>'RESUMEN VIGILANCIA'!A95</f>
        <v>Familia Castillo Rodríguez</v>
      </c>
      <c r="B130" s="31" t="str">
        <f>'RESUMEN VIGILANCIA'!B95</f>
        <v>Calle Güigüe Nro. 88-91</v>
      </c>
      <c r="C130" s="453" t="s">
        <v>1251</v>
      </c>
      <c r="D130" s="460" t="s">
        <v>1248</v>
      </c>
      <c r="E130" s="440" t="str">
        <f>IF(ISBLANK('RESUMEN VIGILANCIA'!D95),"",'RESUMEN VIGILANCIA'!D95)</f>
        <v/>
      </c>
      <c r="F130" s="270">
        <f>IF(ISBLANK('RESUMEN VIGILANCIA'!E95),"",'RESUMEN VIGILANCIA'!E95)</f>
        <v>0.17</v>
      </c>
      <c r="G130" s="182">
        <f>IF(ISBLANK('RESUMEN VIGILANCIA'!F95),"",'RESUMEN VIGILANCIA'!F95)</f>
        <v>0.17</v>
      </c>
      <c r="H130" s="183" t="str">
        <f>IF(ISBLANK('RESUMEN VIGILANCIA'!G95),"",'RESUMEN VIGILANCIA'!G95)</f>
        <v/>
      </c>
      <c r="I130" s="183" t="str">
        <f>IF(ISBLANK('RESUMEN VIGILANCIA'!H95),"",'RESUMEN VIGILANCIA'!H95)</f>
        <v/>
      </c>
      <c r="J130" s="182">
        <f>IF(ISBLANK('RESUMEN VIGILANCIA'!I95),"",'RESUMEN VIGILANCIA'!I95)</f>
        <v>0.26</v>
      </c>
      <c r="K130" s="182">
        <f>IF(ISBLANK('RESUMEN VIGILANCIA'!J95),"",'RESUMEN VIGILANCIA'!J95)</f>
        <v>0.26</v>
      </c>
      <c r="L130" s="227">
        <f>IF(ISBLANK('RESUMEN VIGILANCIA'!K95),"",'RESUMEN VIGILANCIA'!K95)</f>
        <v>0.26</v>
      </c>
      <c r="M130" s="182" t="str">
        <f>IF(ISBLANK('RESUMEN VIGILANCIA'!L95),"",'RESUMEN VIGILANCIA'!L95)</f>
        <v/>
      </c>
      <c r="N130" s="182" t="str">
        <f>IF(ISBLANK('RESUMEN VIGILANCIA'!M95),"",'RESUMEN VIGILANCIA'!M95)</f>
        <v/>
      </c>
      <c r="O130" s="182" t="str">
        <f>IF(ISBLANK('RESUMEN VIGILANCIA'!N95),"",'RESUMEN VIGILANCIA'!N95)</f>
        <v/>
      </c>
      <c r="P130" s="271" t="str">
        <f>IF(ISBLANK('RESUMEN VIGILANCIA'!O95),"",'RESUMEN VIGILANCIA'!O95)</f>
        <v/>
      </c>
      <c r="Q130" s="180" t="str">
        <f>IF(ISBLANK('RESUMEN VIGILANCIA'!P95),"",'RESUMEN VIGILANCIA'!P95)</f>
        <v/>
      </c>
      <c r="R130" s="272" t="str">
        <f>IF(ISBLANK('RESUMEN VIGILANCIA'!Q95),"",'RESUMEN VIGILANCIA'!Q95)</f>
        <v/>
      </c>
      <c r="S130" s="271" t="str">
        <f>IF(ISBLANK('RESUMEN VIGILANCIA'!R95),"",'RESUMEN VIGILANCIA'!R95)</f>
        <v/>
      </c>
      <c r="T130" s="271" t="str">
        <f>IF(ISBLANK('RESUMEN VIGILANCIA'!S95),"",'RESUMEN VIGILANCIA'!S95)</f>
        <v/>
      </c>
      <c r="U130" s="271" t="str">
        <f>IF(ISBLANK('RESUMEN VIGILANCIA'!T95),"",'RESUMEN VIGILANCIA'!T95)</f>
        <v/>
      </c>
      <c r="V130" s="271" t="str">
        <f>IF(ISBLANK('RESUMEN VIGILANCIA'!U95),"",'RESUMEN VIGILANCIA'!U95)</f>
        <v/>
      </c>
      <c r="W130" s="271" t="str">
        <f>IF(ISBLANK('RESUMEN VIGILANCIA'!V95),"",'RESUMEN VIGILANCIA'!V95)</f>
        <v/>
      </c>
      <c r="X130" s="271" t="str">
        <f>IF(ISBLANK('RESUMEN VIGILANCIA'!W95),"",'RESUMEN VIGILANCIA'!W95)</f>
        <v/>
      </c>
      <c r="Y130" s="271" t="str">
        <f>IF(ISBLANK('RESUMEN VIGILANCIA'!X95),"",'RESUMEN VIGILANCIA'!X95)</f>
        <v/>
      </c>
      <c r="Z130" s="481" t="str">
        <f>IF(ISBLANK('RESUMEN VIGILANCIA'!Y95),"",'RESUMEN VIGILANCIA'!Y95)</f>
        <v/>
      </c>
      <c r="AA130" s="481" t="str">
        <f>IF(ISBLANK('RESUMEN VIGILANCIA'!Z95),"",'RESUMEN VIGILANCIA'!Z95)</f>
        <v/>
      </c>
      <c r="AB130" s="481" t="str">
        <f>IF(ISBLANK('RESUMEN VIGILANCIA'!AA95),"",'RESUMEN VIGILANCIA'!AA95)</f>
        <v/>
      </c>
      <c r="AC130" s="482" t="str">
        <f>IF(ISBLANK('RESUMEN VIGILANCIA'!AB95),"",'RESUMEN VIGILANCIA'!AB95)</f>
        <v/>
      </c>
      <c r="AD130" s="399" t="str">
        <f>IF(ISBLANK('RESUMEN VIGILANCIA'!AC95),"",'RESUMEN VIGILANCIA'!AC95)</f>
        <v/>
      </c>
      <c r="AE130" s="400" t="str">
        <f>IF(ISBLANK('RESUMEN VIGILANCIA'!AD95),"",'RESUMEN VIGILANCIA'!AD95)</f>
        <v/>
      </c>
      <c r="AF130" s="400" t="str">
        <f>IF(ISBLANK('RESUMEN VIGILANCIA'!AE95),"",'RESUMEN VIGILANCIA'!AE95)</f>
        <v/>
      </c>
      <c r="AG130" s="400" t="str">
        <f>IF(ISBLANK('RESUMEN VIGILANCIA'!AF95),"",'RESUMEN VIGILANCIA'!AF95)</f>
        <v/>
      </c>
      <c r="AH130" s="400" t="str">
        <f>IF(ISBLANK('RESUMEN VIGILANCIA'!AG95),"",'RESUMEN VIGILANCIA'!AG95)</f>
        <v/>
      </c>
      <c r="AI130" s="400" t="str">
        <f>IF(ISBLANK('RESUMEN VIGILANCIA'!AH95),"",'RESUMEN VIGILANCIA'!AH95)</f>
        <v/>
      </c>
      <c r="AJ130" s="400" t="str">
        <f>IF(ISBLANK('RESUMEN VIGILANCIA'!AI95),"",'RESUMEN VIGILANCIA'!AI95)</f>
        <v/>
      </c>
      <c r="AK130" s="400" t="str">
        <f>IF(ISBLANK('RESUMEN VIGILANCIA'!AJ95),"",'RESUMEN VIGILANCIA'!AJ95)</f>
        <v/>
      </c>
      <c r="AL130" s="400" t="str">
        <f>IF(ISBLANK('RESUMEN VIGILANCIA'!AK95),"",'RESUMEN VIGILANCIA'!AK95)</f>
        <v/>
      </c>
      <c r="AM130" s="400">
        <f>IF(ISBLANK('RESUMEN VIGILANCIA'!AL95),"",'RESUMEN VIGILANCIA'!AL95)</f>
        <v>159299</v>
      </c>
      <c r="AN130" s="400">
        <f>IF(ISBLANK('RESUMEN VIGILANCIA'!AM95),"",'RESUMEN VIGILANCIA'!AM95)</f>
        <v>81750</v>
      </c>
      <c r="AO130" s="401" t="str">
        <f>IF(ISBLANK('RESUMEN VIGILANCIA'!AN95),"",'RESUMEN VIGILANCIA'!AN95)</f>
        <v/>
      </c>
      <c r="AP130" s="399" t="str">
        <f>IF(ISBLANK('RESUMEN VIGILANCIA'!AO95),"",'RESUMEN VIGILANCIA'!AO95)</f>
        <v/>
      </c>
      <c r="AQ130" s="400" t="str">
        <f>IF(ISBLANK('RESUMEN VIGILANCIA'!AP95),"",'RESUMEN VIGILANCIA'!AP95)</f>
        <v/>
      </c>
      <c r="AR130" s="400" t="str">
        <f>IF(ISBLANK('RESUMEN VIGILANCIA'!AQ95),"",'RESUMEN VIGILANCIA'!AQ95)</f>
        <v/>
      </c>
      <c r="AS130" s="400" t="str">
        <f>IF(ISBLANK('RESUMEN VIGILANCIA'!AR95),"",'RESUMEN VIGILANCIA'!AR95)</f>
        <v/>
      </c>
      <c r="AT130" s="400" t="str">
        <f>IF(ISBLANK('RESUMEN VIGILANCIA'!AS95),"",'RESUMEN VIGILANCIA'!AS95)</f>
        <v/>
      </c>
      <c r="AU130" s="400" t="str">
        <f>IF(ISBLANK('RESUMEN VIGILANCIA'!AT95),"",'RESUMEN VIGILANCIA'!AT95)</f>
        <v/>
      </c>
      <c r="AV130" s="400" t="str">
        <f>IF(ISBLANK('RESUMEN VIGILANCIA'!AU95),"",'RESUMEN VIGILANCIA'!AU95)</f>
        <v/>
      </c>
      <c r="AW130" s="400" t="str">
        <f>IF(ISBLANK('RESUMEN VIGILANCIA'!AV95),"",'RESUMEN VIGILANCIA'!AV95)</f>
        <v/>
      </c>
      <c r="AX130" s="400" t="str">
        <f>IF(ISBLANK('RESUMEN VIGILANCIA'!AW95),"",'RESUMEN VIGILANCIA'!AW95)</f>
        <v/>
      </c>
      <c r="AY130" s="400" t="str">
        <f>IF(ISBLANK('RESUMEN VIGILANCIA'!AX95),"",'RESUMEN VIGILANCIA'!AX95)</f>
        <v/>
      </c>
      <c r="AZ130" s="400" t="str">
        <f>IF(ISBLANK('RESUMEN VIGILANCIA'!AY95),"",'RESUMEN VIGILANCIA'!AY95)</f>
        <v/>
      </c>
      <c r="BA130" s="401" t="str">
        <f>IF(ISBLANK('RESUMEN VIGILANCIA'!AZ95),"",'RESUMEN VIGILANCIA'!AZ95)</f>
        <v/>
      </c>
      <c r="BB130" s="243">
        <f t="shared" si="7"/>
        <v>241050.12</v>
      </c>
      <c r="BC130" s="112"/>
      <c r="BD130" s="112"/>
    </row>
    <row r="131" spans="1:56" s="29" customFormat="1" ht="20.100000000000001" customHeight="1">
      <c r="A131" s="59" t="str">
        <f>'RESUMEN VIGILANCIA'!A109</f>
        <v>Familia Navarrete Medina</v>
      </c>
      <c r="B131" s="60" t="str">
        <f>'RESUMEN VIGILANCIA'!B109</f>
        <v>Calle Güigüe Nro. 89-22</v>
      </c>
      <c r="C131" s="452" t="s">
        <v>1249</v>
      </c>
      <c r="D131" s="460" t="s">
        <v>1248</v>
      </c>
      <c r="E131" s="440" t="str">
        <f>IF(ISBLANK('RESUMEN VIGILANCIA'!D109),"",'RESUMEN VIGILANCIA'!D109)</f>
        <v/>
      </c>
      <c r="F131" s="270" t="str">
        <f>IF(ISBLANK('RESUMEN VIGILANCIA'!E109),"",'RESUMEN VIGILANCIA'!E109)</f>
        <v/>
      </c>
      <c r="G131" s="182" t="str">
        <f>IF(ISBLANK('RESUMEN VIGILANCIA'!F109),"",'RESUMEN VIGILANCIA'!F109)</f>
        <v/>
      </c>
      <c r="H131" s="182" t="str">
        <f>IF(ISBLANK('RESUMEN VIGILANCIA'!G109),"",'RESUMEN VIGILANCIA'!G109)</f>
        <v/>
      </c>
      <c r="I131" s="182" t="str">
        <f>IF(ISBLANK('RESUMEN VIGILANCIA'!H109),"",'RESUMEN VIGILANCIA'!H109)</f>
        <v/>
      </c>
      <c r="J131" s="182" t="str">
        <f>IF(ISBLANK('RESUMEN VIGILANCIA'!I109),"",'RESUMEN VIGILANCIA'!I109)</f>
        <v/>
      </c>
      <c r="K131" s="182" t="str">
        <f>IF(ISBLANK('RESUMEN VIGILANCIA'!J109),"",'RESUMEN VIGILANCIA'!J109)</f>
        <v/>
      </c>
      <c r="L131" s="182">
        <f>IF(ISBLANK('RESUMEN VIGILANCIA'!K109),"",'RESUMEN VIGILANCIA'!K109)</f>
        <v>0.35</v>
      </c>
      <c r="M131" s="182">
        <f>IF(ISBLANK('RESUMEN VIGILANCIA'!L109),"",'RESUMEN VIGILANCIA'!L109)</f>
        <v>0.35</v>
      </c>
      <c r="N131" s="182">
        <f>IF(ISBLANK('RESUMEN VIGILANCIA'!M109),"",'RESUMEN VIGILANCIA'!M109)</f>
        <v>0.35</v>
      </c>
      <c r="O131" s="182">
        <f>IF(ISBLANK('RESUMEN VIGILANCIA'!N109),"",'RESUMEN VIGILANCIA'!N109)</f>
        <v>0.35</v>
      </c>
      <c r="P131" s="271">
        <f>IF(ISBLANK('RESUMEN VIGILANCIA'!O109),"",'RESUMEN VIGILANCIA'!O109)</f>
        <v>0.5</v>
      </c>
      <c r="Q131" s="180">
        <f>IF(ISBLANK('RESUMEN VIGILANCIA'!P109),"",'RESUMEN VIGILANCIA'!P109)</f>
        <v>0.5</v>
      </c>
      <c r="R131" s="272">
        <f>IF(ISBLANK('RESUMEN VIGILANCIA'!Q109),"",'RESUMEN VIGILANCIA'!Q109)</f>
        <v>0.8</v>
      </c>
      <c r="S131" s="271">
        <f>IF(ISBLANK('RESUMEN VIGILANCIA'!R109),"",'RESUMEN VIGILANCIA'!R109)</f>
        <v>0.8</v>
      </c>
      <c r="T131" s="271">
        <f>IF(ISBLANK('RESUMEN VIGILANCIA'!S109),"",'RESUMEN VIGILANCIA'!S109)</f>
        <v>1.4</v>
      </c>
      <c r="U131" s="271">
        <f>IF(ISBLANK('RESUMEN VIGILANCIA'!T109),"",'RESUMEN VIGILANCIA'!T109)</f>
        <v>1.4</v>
      </c>
      <c r="V131" s="271">
        <f>IF(ISBLANK('RESUMEN VIGILANCIA'!U109),"",'RESUMEN VIGILANCIA'!U109)</f>
        <v>4</v>
      </c>
      <c r="W131" s="271">
        <f>IF(ISBLANK('RESUMEN VIGILANCIA'!V109),"",'RESUMEN VIGILANCIA'!V109)</f>
        <v>6.25</v>
      </c>
      <c r="X131" s="271">
        <f>IF(ISBLANK('RESUMEN VIGILANCIA'!W109),"",'RESUMEN VIGILANCIA'!W109)</f>
        <v>10</v>
      </c>
      <c r="Y131" s="271">
        <f>IF(ISBLANK('RESUMEN VIGILANCIA'!X109),"",'RESUMEN VIGILANCIA'!X109)</f>
        <v>12</v>
      </c>
      <c r="Z131" s="481">
        <f>IF(ISBLANK('RESUMEN VIGILANCIA'!Y109),"",'RESUMEN VIGILANCIA'!Y109)</f>
        <v>320</v>
      </c>
      <c r="AA131" s="481">
        <f>IF(ISBLANK('RESUMEN VIGILANCIA'!Z109),"",'RESUMEN VIGILANCIA'!Z109)</f>
        <v>320</v>
      </c>
      <c r="AB131" s="481">
        <f>IF(ISBLANK('RESUMEN VIGILANCIA'!AA109),"",'RESUMEN VIGILANCIA'!AA109)</f>
        <v>320</v>
      </c>
      <c r="AC131" s="482">
        <f>IF(ISBLANK('RESUMEN VIGILANCIA'!AB109),"",'RESUMEN VIGILANCIA'!AB109)</f>
        <v>800</v>
      </c>
      <c r="AD131" s="399">
        <f>IF(ISBLANK('RESUMEN VIGILANCIA'!AC109),"",'RESUMEN VIGILANCIA'!AC109)</f>
        <v>3000</v>
      </c>
      <c r="AE131" s="400">
        <f>IF(ISBLANK('RESUMEN VIGILANCIA'!AD109),"",'RESUMEN VIGILANCIA'!AD109)</f>
        <v>3000</v>
      </c>
      <c r="AF131" s="400">
        <f>IF(ISBLANK('RESUMEN VIGILANCIA'!AE109),"",'RESUMEN VIGILANCIA'!AE109)</f>
        <v>3000</v>
      </c>
      <c r="AG131" s="400">
        <f>IF(ISBLANK('RESUMEN VIGILANCIA'!AF109),"",'RESUMEN VIGILANCIA'!AF109)</f>
        <v>5000</v>
      </c>
      <c r="AH131" s="400">
        <f>IF(ISBLANK('RESUMEN VIGILANCIA'!AG109),"",'RESUMEN VIGILANCIA'!AG109)</f>
        <v>8000</v>
      </c>
      <c r="AI131" s="505" t="str">
        <f>IF(ISBLANK('RESUMEN VIGILANCIA'!AH109),"",'RESUMEN VIGILANCIA'!AH109)</f>
        <v>VENDIDA</v>
      </c>
      <c r="AJ131" s="536" t="str">
        <f>IF(ISBLANK('RESUMEN VIGILANCIA'!AI109),"",'RESUMEN VIGILANCIA'!AI109)</f>
        <v/>
      </c>
      <c r="AK131" s="403" t="str">
        <f>IF(ISBLANK('RESUMEN VIGILANCIA'!AJ109),"",'RESUMEN VIGILANCIA'!AJ109)</f>
        <v/>
      </c>
      <c r="AL131" s="403" t="str">
        <f>IF(ISBLANK('RESUMEN VIGILANCIA'!AK109),"",'RESUMEN VIGILANCIA'!AK109)</f>
        <v/>
      </c>
      <c r="AM131" s="403" t="str">
        <f>IF(ISBLANK('RESUMEN VIGILANCIA'!AL109),"",'RESUMEN VIGILANCIA'!AL109)</f>
        <v/>
      </c>
      <c r="AN131" s="403" t="str">
        <f>IF(ISBLANK('RESUMEN VIGILANCIA'!AM109),"",'RESUMEN VIGILANCIA'!AM109)</f>
        <v/>
      </c>
      <c r="AO131" s="414" t="str">
        <f>IF(ISBLANK('RESUMEN VIGILANCIA'!AN109),"",'RESUMEN VIGILANCIA'!AN109)</f>
        <v/>
      </c>
      <c r="AP131" s="415" t="str">
        <f>IF(ISBLANK('RESUMEN VIGILANCIA'!AO109),"",'RESUMEN VIGILANCIA'!AO109)</f>
        <v/>
      </c>
      <c r="AQ131" s="416" t="str">
        <f>IF(ISBLANK('RESUMEN VIGILANCIA'!AP109),"",'RESUMEN VIGILANCIA'!AP109)</f>
        <v/>
      </c>
      <c r="AR131" s="416" t="str">
        <f>IF(ISBLANK('RESUMEN VIGILANCIA'!AQ109),"",'RESUMEN VIGILANCIA'!AQ109)</f>
        <v/>
      </c>
      <c r="AS131" s="416" t="str">
        <f>IF(ISBLANK('RESUMEN VIGILANCIA'!AR109),"",'RESUMEN VIGILANCIA'!AR109)</f>
        <v/>
      </c>
      <c r="AT131" s="416" t="str">
        <f>IF(ISBLANK('RESUMEN VIGILANCIA'!AS109),"",'RESUMEN VIGILANCIA'!AS109)</f>
        <v/>
      </c>
      <c r="AU131" s="505" t="str">
        <f>IF(ISBLANK('RESUMEN VIGILANCIA'!AT109),"",'RESUMEN VIGILANCIA'!AT109)</f>
        <v/>
      </c>
      <c r="AV131" s="536" t="str">
        <f>IF(ISBLANK('RESUMEN VIGILANCIA'!AU109),"",'RESUMEN VIGILANCIA'!AU109)</f>
        <v/>
      </c>
      <c r="AW131" s="403" t="str">
        <f>IF(ISBLANK('RESUMEN VIGILANCIA'!AV109),"",'RESUMEN VIGILANCIA'!AV109)</f>
        <v/>
      </c>
      <c r="AX131" s="403" t="str">
        <f>IF(ISBLANK('RESUMEN VIGILANCIA'!AW109),"",'RESUMEN VIGILANCIA'!AW109)</f>
        <v/>
      </c>
      <c r="AY131" s="403" t="str">
        <f>IF(ISBLANK('RESUMEN VIGILANCIA'!AX109),"",'RESUMEN VIGILANCIA'!AX109)</f>
        <v/>
      </c>
      <c r="AZ131" s="403" t="str">
        <f>IF(ISBLANK('RESUMEN VIGILANCIA'!AY109),"",'RESUMEN VIGILANCIA'!AY109)</f>
        <v/>
      </c>
      <c r="BA131" s="414" t="str">
        <f>IF(ISBLANK('RESUMEN VIGILANCIA'!AZ109),"",'RESUMEN VIGILANCIA'!AZ109)</f>
        <v/>
      </c>
      <c r="BB131" s="245">
        <f t="shared" si="7"/>
        <v>23799.05</v>
      </c>
      <c r="BC131" s="116"/>
      <c r="BD131" s="116">
        <v>43586</v>
      </c>
    </row>
    <row r="132" spans="1:56" s="29" customFormat="1" ht="20.100000000000001" customHeight="1">
      <c r="A132" s="30" t="str">
        <f>'RESUMEN VIGILANCIA'!A110</f>
        <v>Familia Rodríguez Girón</v>
      </c>
      <c r="B132" s="31" t="str">
        <f>'RESUMEN VIGILANCIA'!B110</f>
        <v>Calle Güigüe Nro. 89-22</v>
      </c>
      <c r="C132" s="452" t="s">
        <v>1249</v>
      </c>
      <c r="D132" s="460" t="s">
        <v>1248</v>
      </c>
      <c r="E132" s="534" t="str">
        <f>IF(ISBLANK('RESUMEN VIGILANCIA'!D110),"",'RESUMEN VIGILANCIA'!D110)</f>
        <v/>
      </c>
      <c r="F132" s="535" t="str">
        <f>IF(ISBLANK('RESUMEN VIGILANCIA'!E110),"",'RESUMEN VIGILANCIA'!E110)</f>
        <v/>
      </c>
      <c r="G132" s="525" t="str">
        <f>IF(ISBLANK('RESUMEN VIGILANCIA'!F110),"",'RESUMEN VIGILANCIA'!F110)</f>
        <v/>
      </c>
      <c r="H132" s="525" t="str">
        <f>IF(ISBLANK('RESUMEN VIGILANCIA'!G110),"",'RESUMEN VIGILANCIA'!G110)</f>
        <v/>
      </c>
      <c r="I132" s="525" t="str">
        <f>IF(ISBLANK('RESUMEN VIGILANCIA'!H110),"",'RESUMEN VIGILANCIA'!H110)</f>
        <v/>
      </c>
      <c r="J132" s="525" t="str">
        <f>IF(ISBLANK('RESUMEN VIGILANCIA'!I110),"",'RESUMEN VIGILANCIA'!I110)</f>
        <v/>
      </c>
      <c r="K132" s="525" t="str">
        <f>IF(ISBLANK('RESUMEN VIGILANCIA'!J110),"",'RESUMEN VIGILANCIA'!J110)</f>
        <v/>
      </c>
      <c r="L132" s="525" t="str">
        <f>IF(ISBLANK('RESUMEN VIGILANCIA'!K110),"",'RESUMEN VIGILANCIA'!K110)</f>
        <v/>
      </c>
      <c r="M132" s="525" t="str">
        <f>IF(ISBLANK('RESUMEN VIGILANCIA'!L110),"",'RESUMEN VIGILANCIA'!L110)</f>
        <v/>
      </c>
      <c r="N132" s="525" t="str">
        <f>IF(ISBLANK('RESUMEN VIGILANCIA'!M110),"",'RESUMEN VIGILANCIA'!M110)</f>
        <v/>
      </c>
      <c r="O132" s="525" t="str">
        <f>IF(ISBLANK('RESUMEN VIGILANCIA'!N110),"",'RESUMEN VIGILANCIA'!N110)</f>
        <v/>
      </c>
      <c r="P132" s="531" t="str">
        <f>IF(ISBLANK('RESUMEN VIGILANCIA'!O110),"",'RESUMEN VIGILANCIA'!O110)</f>
        <v/>
      </c>
      <c r="Q132" s="523" t="str">
        <f>IF(ISBLANK('RESUMEN VIGILANCIA'!P110),"",'RESUMEN VIGILANCIA'!P110)</f>
        <v/>
      </c>
      <c r="R132" s="530" t="str">
        <f>IF(ISBLANK('RESUMEN VIGILANCIA'!Q110),"",'RESUMEN VIGILANCIA'!Q110)</f>
        <v/>
      </c>
      <c r="S132" s="531" t="str">
        <f>IF(ISBLANK('RESUMEN VIGILANCIA'!R110),"",'RESUMEN VIGILANCIA'!R110)</f>
        <v/>
      </c>
      <c r="T132" s="531" t="str">
        <f>IF(ISBLANK('RESUMEN VIGILANCIA'!S110),"",'RESUMEN VIGILANCIA'!S110)</f>
        <v/>
      </c>
      <c r="U132" s="531" t="str">
        <f>IF(ISBLANK('RESUMEN VIGILANCIA'!T110),"",'RESUMEN VIGILANCIA'!T110)</f>
        <v/>
      </c>
      <c r="V132" s="531" t="str">
        <f>IF(ISBLANK('RESUMEN VIGILANCIA'!U110),"",'RESUMEN VIGILANCIA'!U110)</f>
        <v/>
      </c>
      <c r="W132" s="531" t="str">
        <f>IF(ISBLANK('RESUMEN VIGILANCIA'!V110),"",'RESUMEN VIGILANCIA'!V110)</f>
        <v/>
      </c>
      <c r="X132" s="531" t="str">
        <f>IF(ISBLANK('RESUMEN VIGILANCIA'!W110),"",'RESUMEN VIGILANCIA'!W110)</f>
        <v/>
      </c>
      <c r="Y132" s="531" t="str">
        <f>IF(ISBLANK('RESUMEN VIGILANCIA'!X110),"",'RESUMEN VIGILANCIA'!X110)</f>
        <v/>
      </c>
      <c r="Z132" s="532" t="str">
        <f>IF(ISBLANK('RESUMEN VIGILANCIA'!Y110),"",'RESUMEN VIGILANCIA'!Y110)</f>
        <v/>
      </c>
      <c r="AA132" s="532" t="str">
        <f>IF(ISBLANK('RESUMEN VIGILANCIA'!Z110),"",'RESUMEN VIGILANCIA'!Z110)</f>
        <v/>
      </c>
      <c r="AB132" s="532" t="str">
        <f>IF(ISBLANK('RESUMEN VIGILANCIA'!AA110),"",'RESUMEN VIGILANCIA'!AA110)</f>
        <v/>
      </c>
      <c r="AC132" s="533" t="str">
        <f>IF(ISBLANK('RESUMEN VIGILANCIA'!AB110),"",'RESUMEN VIGILANCIA'!AB110)</f>
        <v/>
      </c>
      <c r="AD132" s="528" t="str">
        <f>IF(ISBLANK('RESUMEN VIGILANCIA'!AC110),"",'RESUMEN VIGILANCIA'!AC110)</f>
        <v/>
      </c>
      <c r="AE132" s="529" t="str">
        <f>IF(ISBLANK('RESUMEN VIGILANCIA'!AD110),"",'RESUMEN VIGILANCIA'!AD110)</f>
        <v/>
      </c>
      <c r="AF132" s="529" t="str">
        <f>IF(ISBLANK('RESUMEN VIGILANCIA'!AE110),"",'RESUMEN VIGILANCIA'!AE110)</f>
        <v/>
      </c>
      <c r="AG132" s="529" t="str">
        <f>IF(ISBLANK('RESUMEN VIGILANCIA'!AF110),"",'RESUMEN VIGILANCIA'!AF110)</f>
        <v/>
      </c>
      <c r="AH132" s="529" t="str">
        <f>IF(ISBLANK('RESUMEN VIGILANCIA'!AG110),"",'RESUMEN VIGILANCIA'!AG110)</f>
        <v/>
      </c>
      <c r="AI132" s="400">
        <f>IF(ISBLANK('RESUMEN VIGILANCIA'!AH110),"",'RESUMEN VIGILANCIA'!AH110)</f>
        <v>8000</v>
      </c>
      <c r="AJ132" s="400">
        <f>IF(ISBLANK('RESUMEN VIGILANCIA'!AI110),"",'RESUMEN VIGILANCIA'!AI110)</f>
        <v>10000</v>
      </c>
      <c r="AK132" s="400">
        <f>IF(ISBLANK('RESUMEN VIGILANCIA'!AJ110),"",'RESUMEN VIGILANCIA'!AJ110)</f>
        <v>10000</v>
      </c>
      <c r="AL132" s="400">
        <f>IF(ISBLANK('RESUMEN VIGILANCIA'!AK110),"",'RESUMEN VIGILANCIA'!AK110)</f>
        <v>21100</v>
      </c>
      <c r="AM132" s="400">
        <f>IF(ISBLANK('RESUMEN VIGILANCIA'!AL110),"",'RESUMEN VIGILANCIA'!AL110)</f>
        <v>48600</v>
      </c>
      <c r="AN132" s="400">
        <f>IF(ISBLANK('RESUMEN VIGILANCIA'!AM110),"",'RESUMEN VIGILANCIA'!AM110)</f>
        <v>60000</v>
      </c>
      <c r="AO132" s="401">
        <f>IF(ISBLANK('RESUMEN VIGILANCIA'!AN110),"",'RESUMEN VIGILANCIA'!AN110)</f>
        <v>81750</v>
      </c>
      <c r="AP132" s="399">
        <f>IF(ISBLANK('RESUMEN VIGILANCIA'!AO110),"",'RESUMEN VIGILANCIA'!AO110)</f>
        <v>136250</v>
      </c>
      <c r="AQ132" s="400">
        <f>IF(ISBLANK('RESUMEN VIGILANCIA'!AP110),"",'RESUMEN VIGILANCIA'!AP110)</f>
        <v>136250</v>
      </c>
      <c r="AR132" s="400" t="str">
        <f>IF(ISBLANK('RESUMEN VIGILANCIA'!AQ110),"",'RESUMEN VIGILANCIA'!AQ110)</f>
        <v/>
      </c>
      <c r="AS132" s="400" t="str">
        <f>IF(ISBLANK('RESUMEN VIGILANCIA'!AR110),"",'RESUMEN VIGILANCIA'!AR110)</f>
        <v/>
      </c>
      <c r="AT132" s="400" t="str">
        <f>IF(ISBLANK('RESUMEN VIGILANCIA'!AS110),"",'RESUMEN VIGILANCIA'!AS110)</f>
        <v/>
      </c>
      <c r="AU132" s="400" t="str">
        <f>IF(ISBLANK('RESUMEN VIGILANCIA'!AT110),"",'RESUMEN VIGILANCIA'!AT110)</f>
        <v/>
      </c>
      <c r="AV132" s="400" t="str">
        <f>IF(ISBLANK('RESUMEN VIGILANCIA'!AU110),"",'RESUMEN VIGILANCIA'!AU110)</f>
        <v/>
      </c>
      <c r="AW132" s="400" t="str">
        <f>IF(ISBLANK('RESUMEN VIGILANCIA'!AV110),"",'RESUMEN VIGILANCIA'!AV110)</f>
        <v/>
      </c>
      <c r="AX132" s="400" t="str">
        <f>IF(ISBLANK('RESUMEN VIGILANCIA'!AW110),"",'RESUMEN VIGILANCIA'!AW110)</f>
        <v/>
      </c>
      <c r="AY132" s="400" t="str">
        <f>IF(ISBLANK('RESUMEN VIGILANCIA'!AX110),"",'RESUMEN VIGILANCIA'!AX110)</f>
        <v/>
      </c>
      <c r="AZ132" s="400" t="str">
        <f>IF(ISBLANK('RESUMEN VIGILANCIA'!AY110),"",'RESUMEN VIGILANCIA'!AY110)</f>
        <v/>
      </c>
      <c r="BA132" s="401" t="str">
        <f>IF(ISBLANK('RESUMEN VIGILANCIA'!AZ110),"",'RESUMEN VIGILANCIA'!AZ110)</f>
        <v/>
      </c>
      <c r="BB132" s="243">
        <f t="shared" ref="BB132" si="10">SUM(E132:AO132)</f>
        <v>239450</v>
      </c>
      <c r="BC132" s="112">
        <v>43617</v>
      </c>
      <c r="BD132" s="112"/>
    </row>
    <row r="133" spans="1:56" s="29" customFormat="1" ht="20.100000000000001" customHeight="1">
      <c r="A133" s="30" t="str">
        <f>'RESUMEN VIGILANCIA'!A78</f>
        <v>Familia Costermani Terrer</v>
      </c>
      <c r="B133" s="31" t="str">
        <f>'RESUMEN VIGILANCIA'!B78</f>
        <v>Calle Güigüe Nro. 88-11</v>
      </c>
      <c r="C133" s="452" t="s">
        <v>1249</v>
      </c>
      <c r="D133" s="460" t="s">
        <v>17</v>
      </c>
      <c r="E133" s="440" t="str">
        <f>IF(ISBLANK('RESUMEN VIGILANCIA'!D78),"",'RESUMEN VIGILANCIA'!D78)</f>
        <v/>
      </c>
      <c r="F133" s="270" t="str">
        <f>IF(ISBLANK('RESUMEN VIGILANCIA'!E78),"",'RESUMEN VIGILANCIA'!E78)</f>
        <v/>
      </c>
      <c r="G133" s="182" t="str">
        <f>IF(ISBLANK('RESUMEN VIGILANCIA'!F78),"",'RESUMEN VIGILANCIA'!F78)</f>
        <v/>
      </c>
      <c r="H133" s="182" t="str">
        <f>IF(ISBLANK('RESUMEN VIGILANCIA'!G78),"",'RESUMEN VIGILANCIA'!G78)</f>
        <v/>
      </c>
      <c r="I133" s="182" t="str">
        <f>IF(ISBLANK('RESUMEN VIGILANCIA'!H78),"",'RESUMEN VIGILANCIA'!H78)</f>
        <v/>
      </c>
      <c r="J133" s="182" t="str">
        <f>IF(ISBLANK('RESUMEN VIGILANCIA'!I78),"",'RESUMEN VIGILANCIA'!I78)</f>
        <v/>
      </c>
      <c r="K133" s="182" t="str">
        <f>IF(ISBLANK('RESUMEN VIGILANCIA'!J78),"",'RESUMEN VIGILANCIA'!J78)</f>
        <v/>
      </c>
      <c r="L133" s="182" t="str">
        <f>IF(ISBLANK('RESUMEN VIGILANCIA'!K78),"",'RESUMEN VIGILANCIA'!K78)</f>
        <v/>
      </c>
      <c r="M133" s="182" t="str">
        <f>IF(ISBLANK('RESUMEN VIGILANCIA'!L78),"",'RESUMEN VIGILANCIA'!L78)</f>
        <v/>
      </c>
      <c r="N133" s="182" t="str">
        <f>IF(ISBLANK('RESUMEN VIGILANCIA'!M78),"",'RESUMEN VIGILANCIA'!M78)</f>
        <v/>
      </c>
      <c r="O133" s="182" t="str">
        <f>IF(ISBLANK('RESUMEN VIGILANCIA'!N78),"",'RESUMEN VIGILANCIA'!N78)</f>
        <v/>
      </c>
      <c r="P133" s="271" t="str">
        <f>IF(ISBLANK('RESUMEN VIGILANCIA'!O78),"",'RESUMEN VIGILANCIA'!O78)</f>
        <v/>
      </c>
      <c r="Q133" s="180" t="str">
        <f>IF(ISBLANK('RESUMEN VIGILANCIA'!P78),"",'RESUMEN VIGILANCIA'!P78)</f>
        <v/>
      </c>
      <c r="R133" s="272" t="str">
        <f>IF(ISBLANK('RESUMEN VIGILANCIA'!Q78),"",'RESUMEN VIGILANCIA'!Q78)</f>
        <v/>
      </c>
      <c r="S133" s="271">
        <f>IF(ISBLANK('RESUMEN VIGILANCIA'!R78),"",'RESUMEN VIGILANCIA'!R78)</f>
        <v>0.8</v>
      </c>
      <c r="T133" s="271">
        <f>IF(ISBLANK('RESUMEN VIGILANCIA'!S78),"",'RESUMEN VIGILANCIA'!S78)</f>
        <v>1.4</v>
      </c>
      <c r="U133" s="271">
        <f>IF(ISBLANK('RESUMEN VIGILANCIA'!T78),"",'RESUMEN VIGILANCIA'!T78)</f>
        <v>1.4</v>
      </c>
      <c r="V133" s="271">
        <f>IF(ISBLANK('RESUMEN VIGILANCIA'!U78),"",'RESUMEN VIGILANCIA'!U78)</f>
        <v>4</v>
      </c>
      <c r="W133" s="271">
        <f>IF(ISBLANK('RESUMEN VIGILANCIA'!V78),"",'RESUMEN VIGILANCIA'!V78)</f>
        <v>6.5</v>
      </c>
      <c r="X133" s="271">
        <f>IF(ISBLANK('RESUMEN VIGILANCIA'!W78),"",'RESUMEN VIGILANCIA'!W78)</f>
        <v>10</v>
      </c>
      <c r="Y133" s="271">
        <f>IF(ISBLANK('RESUMEN VIGILANCIA'!X78),"",'RESUMEN VIGILANCIA'!X78)</f>
        <v>12</v>
      </c>
      <c r="Z133" s="481">
        <f>IF(ISBLANK('RESUMEN VIGILANCIA'!Y78),"",'RESUMEN VIGILANCIA'!Y78)</f>
        <v>320</v>
      </c>
      <c r="AA133" s="481">
        <f>IF(ISBLANK('RESUMEN VIGILANCIA'!Z78),"",'RESUMEN VIGILANCIA'!Z78)</f>
        <v>320</v>
      </c>
      <c r="AB133" s="481">
        <f>IF(ISBLANK('RESUMEN VIGILANCIA'!AA78),"",'RESUMEN VIGILANCIA'!AA78)</f>
        <v>320</v>
      </c>
      <c r="AC133" s="482">
        <f>IF(ISBLANK('RESUMEN VIGILANCIA'!AB78),"",'RESUMEN VIGILANCIA'!AB78)</f>
        <v>800</v>
      </c>
      <c r="AD133" s="399">
        <f>IF(ISBLANK('RESUMEN VIGILANCIA'!AC78),"",'RESUMEN VIGILANCIA'!AC78)</f>
        <v>3000</v>
      </c>
      <c r="AE133" s="400">
        <f>IF(ISBLANK('RESUMEN VIGILANCIA'!AD78),"",'RESUMEN VIGILANCIA'!AD78)</f>
        <v>3000</v>
      </c>
      <c r="AF133" s="400">
        <f>IF(ISBLANK('RESUMEN VIGILANCIA'!AE78),"",'RESUMEN VIGILANCIA'!AE78)</f>
        <v>3000</v>
      </c>
      <c r="AG133" s="400">
        <f>IF(ISBLANK('RESUMEN VIGILANCIA'!AF78),"",'RESUMEN VIGILANCIA'!AF78)</f>
        <v>5000</v>
      </c>
      <c r="AH133" s="400">
        <f>IF(ISBLANK('RESUMEN VIGILANCIA'!AG78),"",'RESUMEN VIGILANCIA'!AG78)</f>
        <v>8000</v>
      </c>
      <c r="AI133" s="400">
        <f>IF(ISBLANK('RESUMEN VIGILANCIA'!AH78),"",'RESUMEN VIGILANCIA'!AH78)</f>
        <v>8000</v>
      </c>
      <c r="AJ133" s="400">
        <f>IF(ISBLANK('RESUMEN VIGILANCIA'!AI78),"",'RESUMEN VIGILANCIA'!AI78)</f>
        <v>10000</v>
      </c>
      <c r="AK133" s="400">
        <f>IF(ISBLANK('RESUMEN VIGILANCIA'!AJ78),"",'RESUMEN VIGILANCIA'!AJ78)</f>
        <v>10000</v>
      </c>
      <c r="AL133" s="400">
        <f>IF(ISBLANK('RESUMEN VIGILANCIA'!AK78),"",'RESUMEN VIGILANCIA'!AK78)</f>
        <v>20500</v>
      </c>
      <c r="AM133" s="400">
        <f>IF(ISBLANK('RESUMEN VIGILANCIA'!AL78),"",'RESUMEN VIGILANCIA'!AL78)</f>
        <v>51250</v>
      </c>
      <c r="AN133" s="400">
        <f>IF(ISBLANK('RESUMEN VIGILANCIA'!AM78),"",'RESUMEN VIGILANCIA'!AM78)</f>
        <v>64500</v>
      </c>
      <c r="AO133" s="401">
        <f>IF(ISBLANK('RESUMEN VIGILANCIA'!AN78),"",'RESUMEN VIGILANCIA'!AN78)</f>
        <v>105250</v>
      </c>
      <c r="AP133" s="399">
        <f>IF(ISBLANK('RESUMEN VIGILANCIA'!AO78),"",'RESUMEN VIGILANCIA'!AO78)</f>
        <v>136250</v>
      </c>
      <c r="AQ133" s="400" t="str">
        <f>IF(ISBLANK('RESUMEN VIGILANCIA'!AP78),"",'RESUMEN VIGILANCIA'!AP78)</f>
        <v/>
      </c>
      <c r="AR133" s="400" t="str">
        <f>IF(ISBLANK('RESUMEN VIGILANCIA'!AQ78),"",'RESUMEN VIGILANCIA'!AQ78)</f>
        <v/>
      </c>
      <c r="AS133" s="400" t="str">
        <f>IF(ISBLANK('RESUMEN VIGILANCIA'!AR78),"",'RESUMEN VIGILANCIA'!AR78)</f>
        <v/>
      </c>
      <c r="AT133" s="400" t="str">
        <f>IF(ISBLANK('RESUMEN VIGILANCIA'!AS78),"",'RESUMEN VIGILANCIA'!AS78)</f>
        <v/>
      </c>
      <c r="AU133" s="400" t="str">
        <f>IF(ISBLANK('RESUMEN VIGILANCIA'!AT78),"",'RESUMEN VIGILANCIA'!AT78)</f>
        <v/>
      </c>
      <c r="AV133" s="400" t="str">
        <f>IF(ISBLANK('RESUMEN VIGILANCIA'!AU78),"",'RESUMEN VIGILANCIA'!AU78)</f>
        <v/>
      </c>
      <c r="AW133" s="400" t="str">
        <f>IF(ISBLANK('RESUMEN VIGILANCIA'!AV78),"",'RESUMEN VIGILANCIA'!AV78)</f>
        <v/>
      </c>
      <c r="AX133" s="400" t="str">
        <f>IF(ISBLANK('RESUMEN VIGILANCIA'!AW78),"",'RESUMEN VIGILANCIA'!AW78)</f>
        <v/>
      </c>
      <c r="AY133" s="400" t="str">
        <f>IF(ISBLANK('RESUMEN VIGILANCIA'!AX78),"",'RESUMEN VIGILANCIA'!AX78)</f>
        <v/>
      </c>
      <c r="AZ133" s="400" t="str">
        <f>IF(ISBLANK('RESUMEN VIGILANCIA'!AY78),"",'RESUMEN VIGILANCIA'!AY78)</f>
        <v/>
      </c>
      <c r="BA133" s="401" t="str">
        <f>IF(ISBLANK('RESUMEN VIGILANCIA'!AZ78),"",'RESUMEN VIGILANCIA'!AZ78)</f>
        <v/>
      </c>
      <c r="BB133" s="243">
        <f t="shared" si="7"/>
        <v>293296.09999999998</v>
      </c>
      <c r="BC133" s="112"/>
      <c r="BD133" s="112"/>
    </row>
    <row r="134" spans="1:56" s="29" customFormat="1" ht="20.100000000000001" customHeight="1">
      <c r="A134" s="30" t="str">
        <f>'RESUMEN VIGILANCIA'!A133</f>
        <v>Familia Ochoa Mendoza</v>
      </c>
      <c r="B134" s="31" t="str">
        <f>'RESUMEN VIGILANCIA'!B133</f>
        <v>Calle Güigüe Nro. 89-105</v>
      </c>
      <c r="C134" s="452" t="s">
        <v>1249</v>
      </c>
      <c r="D134" s="460" t="s">
        <v>17</v>
      </c>
      <c r="E134" s="440" t="str">
        <f>IF(ISBLANK('RESUMEN VIGILANCIA'!D133),"",'RESUMEN VIGILANCIA'!D133)</f>
        <v/>
      </c>
      <c r="F134" s="270">
        <f>IF(ISBLANK('RESUMEN VIGILANCIA'!E133),"",'RESUMEN VIGILANCIA'!E133)</f>
        <v>0.17</v>
      </c>
      <c r="G134" s="182">
        <f>IF(ISBLANK('RESUMEN VIGILANCIA'!F133),"",'RESUMEN VIGILANCIA'!F133)</f>
        <v>0.17</v>
      </c>
      <c r="H134" s="182">
        <f>IF(ISBLANK('RESUMEN VIGILANCIA'!G133),"",'RESUMEN VIGILANCIA'!G133)</f>
        <v>0.17</v>
      </c>
      <c r="I134" s="182">
        <f>IF(ISBLANK('RESUMEN VIGILANCIA'!H133),"",'RESUMEN VIGILANCIA'!H133)</f>
        <v>0.17</v>
      </c>
      <c r="J134" s="182">
        <f>IF(ISBLANK('RESUMEN VIGILANCIA'!I133),"",'RESUMEN VIGILANCIA'!I133)</f>
        <v>0.26</v>
      </c>
      <c r="K134" s="182">
        <f>IF(ISBLANK('RESUMEN VIGILANCIA'!J133),"",'RESUMEN VIGILANCIA'!J133)</f>
        <v>0.26</v>
      </c>
      <c r="L134" s="182">
        <f>IF(ISBLANK('RESUMEN VIGILANCIA'!K133),"",'RESUMEN VIGILANCIA'!K133)</f>
        <v>0.35</v>
      </c>
      <c r="M134" s="182">
        <f>IF(ISBLANK('RESUMEN VIGILANCIA'!L133),"",'RESUMEN VIGILANCIA'!L133)</f>
        <v>0.35</v>
      </c>
      <c r="N134" s="182">
        <f>IF(ISBLANK('RESUMEN VIGILANCIA'!M133),"",'RESUMEN VIGILANCIA'!M133)</f>
        <v>0.35</v>
      </c>
      <c r="O134" s="182">
        <f>IF(ISBLANK('RESUMEN VIGILANCIA'!N133),"",'RESUMEN VIGILANCIA'!N133)</f>
        <v>0.35</v>
      </c>
      <c r="P134" s="271">
        <f>IF(ISBLANK('RESUMEN VIGILANCIA'!O133),"",'RESUMEN VIGILANCIA'!O133)</f>
        <v>0.5</v>
      </c>
      <c r="Q134" s="180">
        <f>IF(ISBLANK('RESUMEN VIGILANCIA'!P133),"",'RESUMEN VIGILANCIA'!P133)</f>
        <v>0.5</v>
      </c>
      <c r="R134" s="272">
        <f>IF(ISBLANK('RESUMEN VIGILANCIA'!Q133),"",'RESUMEN VIGILANCIA'!Q133)</f>
        <v>0.8</v>
      </c>
      <c r="S134" s="271">
        <f>IF(ISBLANK('RESUMEN VIGILANCIA'!R133),"",'RESUMEN VIGILANCIA'!R133)</f>
        <v>0.8</v>
      </c>
      <c r="T134" s="271">
        <f>IF(ISBLANK('RESUMEN VIGILANCIA'!S133),"",'RESUMEN VIGILANCIA'!S133)</f>
        <v>1.4</v>
      </c>
      <c r="U134" s="271">
        <f>IF(ISBLANK('RESUMEN VIGILANCIA'!T133),"",'RESUMEN VIGILANCIA'!T133)</f>
        <v>1.5</v>
      </c>
      <c r="V134" s="271">
        <f>IF(ISBLANK('RESUMEN VIGILANCIA'!U133),"",'RESUMEN VIGILANCIA'!U133)</f>
        <v>4</v>
      </c>
      <c r="W134" s="271">
        <f>IF(ISBLANK('RESUMEN VIGILANCIA'!V133),"",'RESUMEN VIGILANCIA'!V133)</f>
        <v>6.25</v>
      </c>
      <c r="X134" s="271">
        <f>IF(ISBLANK('RESUMEN VIGILANCIA'!W133),"",'RESUMEN VIGILANCIA'!W133)</f>
        <v>10</v>
      </c>
      <c r="Y134" s="271">
        <f>IF(ISBLANK('RESUMEN VIGILANCIA'!X133),"",'RESUMEN VIGILANCIA'!X133)</f>
        <v>11.25</v>
      </c>
      <c r="Z134" s="481">
        <f>IF(ISBLANK('RESUMEN VIGILANCIA'!Y133),"",'RESUMEN VIGILANCIA'!Y133)</f>
        <v>320</v>
      </c>
      <c r="AA134" s="481">
        <f>IF(ISBLANK('RESUMEN VIGILANCIA'!Z133),"",'RESUMEN VIGILANCIA'!Z133)</f>
        <v>320</v>
      </c>
      <c r="AB134" s="481">
        <f>IF(ISBLANK('RESUMEN VIGILANCIA'!AA133),"",'RESUMEN VIGILANCIA'!AA133)</f>
        <v>350</v>
      </c>
      <c r="AC134" s="482">
        <f>IF(ISBLANK('RESUMEN VIGILANCIA'!AB133),"",'RESUMEN VIGILANCIA'!AB133)</f>
        <v>800</v>
      </c>
      <c r="AD134" s="399">
        <f>IF(ISBLANK('RESUMEN VIGILANCIA'!AC133),"",'RESUMEN VIGILANCIA'!AC133)</f>
        <v>3000</v>
      </c>
      <c r="AE134" s="400">
        <f>IF(ISBLANK('RESUMEN VIGILANCIA'!AD133),"",'RESUMEN VIGILANCIA'!AD133)</f>
        <v>3000</v>
      </c>
      <c r="AF134" s="400">
        <f>IF(ISBLANK('RESUMEN VIGILANCIA'!AE133),"",'RESUMEN VIGILANCIA'!AE133)</f>
        <v>3000</v>
      </c>
      <c r="AG134" s="400">
        <f>IF(ISBLANK('RESUMEN VIGILANCIA'!AF133),"",'RESUMEN VIGILANCIA'!AF133)</f>
        <v>5000</v>
      </c>
      <c r="AH134" s="400">
        <f>IF(ISBLANK('RESUMEN VIGILANCIA'!AG133),"",'RESUMEN VIGILANCIA'!AG133)</f>
        <v>8000</v>
      </c>
      <c r="AI134" s="400">
        <f>IF(ISBLANK('RESUMEN VIGILANCIA'!AH133),"",'RESUMEN VIGILANCIA'!AH133)</f>
        <v>8000</v>
      </c>
      <c r="AJ134" s="400">
        <f>IF(ISBLANK('RESUMEN VIGILANCIA'!AI133),"",'RESUMEN VIGILANCIA'!AI133)</f>
        <v>10000</v>
      </c>
      <c r="AK134" s="400">
        <f>IF(ISBLANK('RESUMEN VIGILANCIA'!AJ133),"",'RESUMEN VIGILANCIA'!AJ133)</f>
        <v>10000</v>
      </c>
      <c r="AL134" s="400">
        <f>IF(ISBLANK('RESUMEN VIGILANCIA'!AK133),"",'RESUMEN VIGILANCIA'!AK133)</f>
        <v>20500</v>
      </c>
      <c r="AM134" s="400">
        <f>IF(ISBLANK('RESUMEN VIGILANCIA'!AL133),"",'RESUMEN VIGILANCIA'!AL133)</f>
        <v>47000</v>
      </c>
      <c r="AN134" s="400">
        <f>IF(ISBLANK('RESUMEN VIGILANCIA'!AM133),"",'RESUMEN VIGILANCIA'!AM133)</f>
        <v>56250</v>
      </c>
      <c r="AO134" s="401">
        <f>IF(ISBLANK('RESUMEN VIGILANCIA'!AN133),"",'RESUMEN VIGILANCIA'!AN133)</f>
        <v>81750</v>
      </c>
      <c r="AP134" s="399">
        <f>IF(ISBLANK('RESUMEN VIGILANCIA'!AO133),"",'RESUMEN VIGILANCIA'!AO133)</f>
        <v>136250</v>
      </c>
      <c r="AQ134" s="400">
        <f>IF(ISBLANK('RESUMEN VIGILANCIA'!AP133),"",'RESUMEN VIGILANCIA'!AP133)</f>
        <v>136250</v>
      </c>
      <c r="AR134" s="400" t="str">
        <f>IF(ISBLANK('RESUMEN VIGILANCIA'!AQ133),"",'RESUMEN VIGILANCIA'!AQ133)</f>
        <v/>
      </c>
      <c r="AS134" s="400" t="str">
        <f>IF(ISBLANK('RESUMEN VIGILANCIA'!AR133),"",'RESUMEN VIGILANCIA'!AR133)</f>
        <v/>
      </c>
      <c r="AT134" s="400" t="str">
        <f>IF(ISBLANK('RESUMEN VIGILANCIA'!AS133),"",'RESUMEN VIGILANCIA'!AS133)</f>
        <v/>
      </c>
      <c r="AU134" s="400" t="str">
        <f>IF(ISBLANK('RESUMEN VIGILANCIA'!AT133),"",'RESUMEN VIGILANCIA'!AT133)</f>
        <v/>
      </c>
      <c r="AV134" s="400" t="str">
        <f>IF(ISBLANK('RESUMEN VIGILANCIA'!AU133),"",'RESUMEN VIGILANCIA'!AU133)</f>
        <v/>
      </c>
      <c r="AW134" s="400" t="str">
        <f>IF(ISBLANK('RESUMEN VIGILANCIA'!AV133),"",'RESUMEN VIGILANCIA'!AV133)</f>
        <v/>
      </c>
      <c r="AX134" s="400" t="str">
        <f>IF(ISBLANK('RESUMEN VIGILANCIA'!AW133),"",'RESUMEN VIGILANCIA'!AW133)</f>
        <v/>
      </c>
      <c r="AY134" s="400" t="str">
        <f>IF(ISBLANK('RESUMEN VIGILANCIA'!AX133),"",'RESUMEN VIGILANCIA'!AX133)</f>
        <v/>
      </c>
      <c r="AZ134" s="400" t="str">
        <f>IF(ISBLANK('RESUMEN VIGILANCIA'!AY133),"",'RESUMEN VIGILANCIA'!AY133)</f>
        <v/>
      </c>
      <c r="BA134" s="401" t="str">
        <f>IF(ISBLANK('RESUMEN VIGILANCIA'!AZ133),"",'RESUMEN VIGILANCIA'!AZ133)</f>
        <v/>
      </c>
      <c r="BB134" s="243">
        <f t="shared" si="7"/>
        <v>257329.6</v>
      </c>
      <c r="BC134" s="112"/>
      <c r="BD134" s="112"/>
    </row>
    <row r="135" spans="1:56" s="29" customFormat="1" ht="20.100000000000001" customHeight="1">
      <c r="A135" s="59" t="str">
        <f>'RESUMEN VIGILANCIA'!A126</f>
        <v>Familia Amirante</v>
      </c>
      <c r="B135" s="60" t="str">
        <f>'RESUMEN VIGILANCIA'!B126</f>
        <v>Calle Güigüe Nro. 89-89</v>
      </c>
      <c r="C135" s="452"/>
      <c r="D135" s="460" t="s">
        <v>1248</v>
      </c>
      <c r="E135" s="440" t="str">
        <f>IF(ISBLANK('RESUMEN VIGILANCIA'!D126),"",'RESUMEN VIGILANCIA'!D126)</f>
        <v/>
      </c>
      <c r="F135" s="270" t="str">
        <f>IF(ISBLANK('RESUMEN VIGILANCIA'!E126),"",'RESUMEN VIGILANCIA'!E126)</f>
        <v/>
      </c>
      <c r="G135" s="182" t="str">
        <f>IF(ISBLANK('RESUMEN VIGILANCIA'!F126),"",'RESUMEN VIGILANCIA'!F126)</f>
        <v/>
      </c>
      <c r="H135" s="182" t="str">
        <f>IF(ISBLANK('RESUMEN VIGILANCIA'!G126),"",'RESUMEN VIGILANCIA'!G126)</f>
        <v/>
      </c>
      <c r="I135" s="182" t="str">
        <f>IF(ISBLANK('RESUMEN VIGILANCIA'!H126),"",'RESUMEN VIGILANCIA'!H126)</f>
        <v/>
      </c>
      <c r="J135" s="182" t="str">
        <f>IF(ISBLANK('RESUMEN VIGILANCIA'!I126),"",'RESUMEN VIGILANCIA'!I126)</f>
        <v/>
      </c>
      <c r="K135" s="182" t="str">
        <f>IF(ISBLANK('RESUMEN VIGILANCIA'!J126),"",'RESUMEN VIGILANCIA'!J126)</f>
        <v/>
      </c>
      <c r="L135" s="182" t="str">
        <f>IF(ISBLANK('RESUMEN VIGILANCIA'!K126),"",'RESUMEN VIGILANCIA'!K126)</f>
        <v/>
      </c>
      <c r="M135" s="182" t="str">
        <f>IF(ISBLANK('RESUMEN VIGILANCIA'!L126),"",'RESUMEN VIGILANCIA'!L126)</f>
        <v/>
      </c>
      <c r="N135" s="182" t="str">
        <f>IF(ISBLANK('RESUMEN VIGILANCIA'!M126),"",'RESUMEN VIGILANCIA'!M126)</f>
        <v/>
      </c>
      <c r="O135" s="182" t="str">
        <f>IF(ISBLANK('RESUMEN VIGILANCIA'!N126),"",'RESUMEN VIGILANCIA'!N126)</f>
        <v/>
      </c>
      <c r="P135" s="271" t="str">
        <f>IF(ISBLANK('RESUMEN VIGILANCIA'!O126),"",'RESUMEN VIGILANCIA'!O126)</f>
        <v/>
      </c>
      <c r="Q135" s="180" t="str">
        <f>IF(ISBLANK('RESUMEN VIGILANCIA'!P126),"",'RESUMEN VIGILANCIA'!P126)</f>
        <v/>
      </c>
      <c r="R135" s="272" t="str">
        <f>IF(ISBLANK('RESUMEN VIGILANCIA'!Q126),"",'RESUMEN VIGILANCIA'!Q126)</f>
        <v/>
      </c>
      <c r="S135" s="271" t="str">
        <f>IF(ISBLANK('RESUMEN VIGILANCIA'!R126),"",'RESUMEN VIGILANCIA'!R126)</f>
        <v/>
      </c>
      <c r="T135" s="271" t="str">
        <f>IF(ISBLANK('RESUMEN VIGILANCIA'!S126),"",'RESUMEN VIGILANCIA'!S126)</f>
        <v/>
      </c>
      <c r="U135" s="275" t="str">
        <f>IF(ISBLANK('RESUMEN VIGILANCIA'!T126),"",'RESUMEN VIGILANCIA'!T126)</f>
        <v>VENDIDA</v>
      </c>
      <c r="V135" s="282" t="str">
        <f>IF(ISBLANK('RESUMEN VIGILANCIA'!U126),"",'RESUMEN VIGILANCIA'!U126)</f>
        <v/>
      </c>
      <c r="W135" s="282" t="str">
        <f>IF(ISBLANK('RESUMEN VIGILANCIA'!V126),"",'RESUMEN VIGILANCIA'!V126)</f>
        <v/>
      </c>
      <c r="X135" s="282" t="str">
        <f>IF(ISBLANK('RESUMEN VIGILANCIA'!W126),"",'RESUMEN VIGILANCIA'!W126)</f>
        <v/>
      </c>
      <c r="Y135" s="282" t="str">
        <f>IF(ISBLANK('RESUMEN VIGILANCIA'!X126),"",'RESUMEN VIGILANCIA'!X126)</f>
        <v/>
      </c>
      <c r="Z135" s="490" t="str">
        <f>IF(ISBLANK('RESUMEN VIGILANCIA'!Y126),"",'RESUMEN VIGILANCIA'!Y126)</f>
        <v/>
      </c>
      <c r="AA135" s="490" t="str">
        <f>IF(ISBLANK('RESUMEN VIGILANCIA'!Z126),"",'RESUMEN VIGILANCIA'!Z126)</f>
        <v/>
      </c>
      <c r="AB135" s="490" t="str">
        <f>IF(ISBLANK('RESUMEN VIGILANCIA'!AA126),"",'RESUMEN VIGILANCIA'!AA126)</f>
        <v/>
      </c>
      <c r="AC135" s="491" t="str">
        <f>IF(ISBLANK('RESUMEN VIGILANCIA'!AB126),"",'RESUMEN VIGILANCIA'!AB126)</f>
        <v/>
      </c>
      <c r="AD135" s="413" t="str">
        <f>IF(ISBLANK('RESUMEN VIGILANCIA'!AC126),"",'RESUMEN VIGILANCIA'!AC126)</f>
        <v/>
      </c>
      <c r="AE135" s="403" t="str">
        <f>IF(ISBLANK('RESUMEN VIGILANCIA'!AD126),"",'RESUMEN VIGILANCIA'!AD126)</f>
        <v/>
      </c>
      <c r="AF135" s="403" t="str">
        <f>IF(ISBLANK('RESUMEN VIGILANCIA'!AE126),"",'RESUMEN VIGILANCIA'!AE126)</f>
        <v/>
      </c>
      <c r="AG135" s="403" t="str">
        <f>IF(ISBLANK('RESUMEN VIGILANCIA'!AF126),"",'RESUMEN VIGILANCIA'!AF126)</f>
        <v/>
      </c>
      <c r="AH135" s="403" t="str">
        <f>IF(ISBLANK('RESUMEN VIGILANCIA'!AG126),"",'RESUMEN VIGILANCIA'!AG126)</f>
        <v/>
      </c>
      <c r="AI135" s="403" t="str">
        <f>IF(ISBLANK('RESUMEN VIGILANCIA'!AH126),"",'RESUMEN VIGILANCIA'!AH126)</f>
        <v/>
      </c>
      <c r="AJ135" s="403" t="str">
        <f>IF(ISBLANK('RESUMEN VIGILANCIA'!AI126),"",'RESUMEN VIGILANCIA'!AI126)</f>
        <v/>
      </c>
      <c r="AK135" s="403" t="str">
        <f>IF(ISBLANK('RESUMEN VIGILANCIA'!AJ126),"",'RESUMEN VIGILANCIA'!AJ126)</f>
        <v/>
      </c>
      <c r="AL135" s="403" t="str">
        <f>IF(ISBLANK('RESUMEN VIGILANCIA'!AK126),"",'RESUMEN VIGILANCIA'!AK126)</f>
        <v/>
      </c>
      <c r="AM135" s="403" t="str">
        <f>IF(ISBLANK('RESUMEN VIGILANCIA'!AL126),"",'RESUMEN VIGILANCIA'!AL126)</f>
        <v/>
      </c>
      <c r="AN135" s="403" t="str">
        <f>IF(ISBLANK('RESUMEN VIGILANCIA'!AM126),"",'RESUMEN VIGILANCIA'!AM126)</f>
        <v/>
      </c>
      <c r="AO135" s="414" t="str">
        <f>IF(ISBLANK('RESUMEN VIGILANCIA'!AN126),"",'RESUMEN VIGILANCIA'!AN126)</f>
        <v/>
      </c>
      <c r="AP135" s="413" t="str">
        <f>IF(ISBLANK('RESUMEN VIGILANCIA'!AO126),"",'RESUMEN VIGILANCIA'!AO126)</f>
        <v/>
      </c>
      <c r="AQ135" s="403" t="str">
        <f>IF(ISBLANK('RESUMEN VIGILANCIA'!AP126),"",'RESUMEN VIGILANCIA'!AP126)</f>
        <v/>
      </c>
      <c r="AR135" s="403" t="str">
        <f>IF(ISBLANK('RESUMEN VIGILANCIA'!AQ126),"",'RESUMEN VIGILANCIA'!AQ126)</f>
        <v/>
      </c>
      <c r="AS135" s="403" t="str">
        <f>IF(ISBLANK('RESUMEN VIGILANCIA'!AR126),"",'RESUMEN VIGILANCIA'!AR126)</f>
        <v/>
      </c>
      <c r="AT135" s="403" t="str">
        <f>IF(ISBLANK('RESUMEN VIGILANCIA'!AS126),"",'RESUMEN VIGILANCIA'!AS126)</f>
        <v/>
      </c>
      <c r="AU135" s="403" t="str">
        <f>IF(ISBLANK('RESUMEN VIGILANCIA'!AT126),"",'RESUMEN VIGILANCIA'!AT126)</f>
        <v/>
      </c>
      <c r="AV135" s="403" t="str">
        <f>IF(ISBLANK('RESUMEN VIGILANCIA'!AU126),"",'RESUMEN VIGILANCIA'!AU126)</f>
        <v/>
      </c>
      <c r="AW135" s="403" t="str">
        <f>IF(ISBLANK('RESUMEN VIGILANCIA'!AV126),"",'RESUMEN VIGILANCIA'!AV126)</f>
        <v/>
      </c>
      <c r="AX135" s="403" t="str">
        <f>IF(ISBLANK('RESUMEN VIGILANCIA'!AW126),"",'RESUMEN VIGILANCIA'!AW126)</f>
        <v/>
      </c>
      <c r="AY135" s="403" t="str">
        <f>IF(ISBLANK('RESUMEN VIGILANCIA'!AX126),"",'RESUMEN VIGILANCIA'!AX126)</f>
        <v/>
      </c>
      <c r="AZ135" s="403" t="str">
        <f>IF(ISBLANK('RESUMEN VIGILANCIA'!AY126),"",'RESUMEN VIGILANCIA'!AY126)</f>
        <v/>
      </c>
      <c r="BA135" s="414" t="str">
        <f>IF(ISBLANK('RESUMEN VIGILANCIA'!AZ126),"",'RESUMEN VIGILANCIA'!AZ126)</f>
        <v/>
      </c>
      <c r="BB135" s="245">
        <f t="shared" si="7"/>
        <v>0</v>
      </c>
      <c r="BC135" s="116"/>
      <c r="BD135" s="116">
        <v>43160</v>
      </c>
    </row>
    <row r="136" spans="1:56" s="29" customFormat="1" ht="20.100000000000001" customHeight="1">
      <c r="A136" s="59" t="str">
        <f>'RESUMEN VIGILANCIA'!A127</f>
        <v>Familia Civitico Rueda</v>
      </c>
      <c r="B136" s="60" t="str">
        <f>'RESUMEN VIGILANCIA'!B127</f>
        <v>Calle Güigüe Nro. 89-89</v>
      </c>
      <c r="C136" s="452" t="s">
        <v>1252</v>
      </c>
      <c r="D136" s="460" t="s">
        <v>1248</v>
      </c>
      <c r="E136" s="442" t="str">
        <f>IF(ISBLANK('RESUMEN VIGILANCIA'!D127),"",'RESUMEN VIGILANCIA'!D127)</f>
        <v/>
      </c>
      <c r="F136" s="283" t="str">
        <f>IF(ISBLANK('RESUMEN VIGILANCIA'!E127),"",'RESUMEN VIGILANCIA'!E127)</f>
        <v/>
      </c>
      <c r="G136" s="210" t="str">
        <f>IF(ISBLANK('RESUMEN VIGILANCIA'!F127),"",'RESUMEN VIGILANCIA'!F127)</f>
        <v/>
      </c>
      <c r="H136" s="210" t="str">
        <f>IF(ISBLANK('RESUMEN VIGILANCIA'!G127),"",'RESUMEN VIGILANCIA'!G127)</f>
        <v/>
      </c>
      <c r="I136" s="210" t="str">
        <f>IF(ISBLANK('RESUMEN VIGILANCIA'!H127),"",'RESUMEN VIGILANCIA'!H127)</f>
        <v/>
      </c>
      <c r="J136" s="210" t="str">
        <f>IF(ISBLANK('RESUMEN VIGILANCIA'!I127),"",'RESUMEN VIGILANCIA'!I127)</f>
        <v/>
      </c>
      <c r="K136" s="210" t="str">
        <f>IF(ISBLANK('RESUMEN VIGILANCIA'!J127),"",'RESUMEN VIGILANCIA'!J127)</f>
        <v/>
      </c>
      <c r="L136" s="210" t="str">
        <f>IF(ISBLANK('RESUMEN VIGILANCIA'!K127),"",'RESUMEN VIGILANCIA'!K127)</f>
        <v/>
      </c>
      <c r="M136" s="210" t="str">
        <f>IF(ISBLANK('RESUMEN VIGILANCIA'!L127),"",'RESUMEN VIGILANCIA'!L127)</f>
        <v/>
      </c>
      <c r="N136" s="210" t="str">
        <f>IF(ISBLANK('RESUMEN VIGILANCIA'!M127),"",'RESUMEN VIGILANCIA'!M127)</f>
        <v/>
      </c>
      <c r="O136" s="210" t="str">
        <f>IF(ISBLANK('RESUMEN VIGILANCIA'!N127),"",'RESUMEN VIGILANCIA'!N127)</f>
        <v/>
      </c>
      <c r="P136" s="293" t="str">
        <f>IF(ISBLANK('RESUMEN VIGILANCIA'!O127),"",'RESUMEN VIGILANCIA'!O127)</f>
        <v/>
      </c>
      <c r="Q136" s="208" t="str">
        <f>IF(ISBLANK('RESUMEN VIGILANCIA'!P127),"",'RESUMEN VIGILANCIA'!P127)</f>
        <v/>
      </c>
      <c r="R136" s="294" t="str">
        <f>IF(ISBLANK('RESUMEN VIGILANCIA'!Q127),"",'RESUMEN VIGILANCIA'!Q127)</f>
        <v/>
      </c>
      <c r="S136" s="293" t="str">
        <f>IF(ISBLANK('RESUMEN VIGILANCIA'!R127),"",'RESUMEN VIGILANCIA'!R127)</f>
        <v/>
      </c>
      <c r="T136" s="293" t="str">
        <f>IF(ISBLANK('RESUMEN VIGILANCIA'!S127),"",'RESUMEN VIGILANCIA'!S127)</f>
        <v/>
      </c>
      <c r="U136" s="271">
        <f>IF(ISBLANK('RESUMEN VIGILANCIA'!T127),"",'RESUMEN VIGILANCIA'!T127)</f>
        <v>1.4</v>
      </c>
      <c r="V136" s="271">
        <f>IF(ISBLANK('RESUMEN VIGILANCIA'!U127),"",'RESUMEN VIGILANCIA'!U127)</f>
        <v>4</v>
      </c>
      <c r="W136" s="271">
        <f>IF(ISBLANK('RESUMEN VIGILANCIA'!V127),"",'RESUMEN VIGILANCIA'!V127)</f>
        <v>4</v>
      </c>
      <c r="X136" s="275" t="str">
        <f>IF(ISBLANK('RESUMEN VIGILANCIA'!W127),"",'RESUMEN VIGILANCIA'!W127)</f>
        <v>ALQUILADA</v>
      </c>
      <c r="Y136" s="282" t="str">
        <f>IF(ISBLANK('RESUMEN VIGILANCIA'!X127),"",'RESUMEN VIGILANCIA'!X127)</f>
        <v/>
      </c>
      <c r="Z136" s="490" t="str">
        <f>IF(ISBLANK('RESUMEN VIGILANCIA'!Y127),"",'RESUMEN VIGILANCIA'!Y127)</f>
        <v/>
      </c>
      <c r="AA136" s="490" t="str">
        <f>IF(ISBLANK('RESUMEN VIGILANCIA'!Z127),"",'RESUMEN VIGILANCIA'!Z127)</f>
        <v/>
      </c>
      <c r="AB136" s="490" t="str">
        <f>IF(ISBLANK('RESUMEN VIGILANCIA'!AA127),"",'RESUMEN VIGILANCIA'!AA127)</f>
        <v/>
      </c>
      <c r="AC136" s="491" t="str">
        <f>IF(ISBLANK('RESUMEN VIGILANCIA'!AB127),"",'RESUMEN VIGILANCIA'!AB127)</f>
        <v/>
      </c>
      <c r="AD136" s="413" t="str">
        <f>IF(ISBLANK('RESUMEN VIGILANCIA'!AC127),"",'RESUMEN VIGILANCIA'!AC127)</f>
        <v/>
      </c>
      <c r="AE136" s="403" t="str">
        <f>IF(ISBLANK('RESUMEN VIGILANCIA'!AD127),"",'RESUMEN VIGILANCIA'!AD127)</f>
        <v/>
      </c>
      <c r="AF136" s="403" t="str">
        <f>IF(ISBLANK('RESUMEN VIGILANCIA'!AE127),"",'RESUMEN VIGILANCIA'!AE127)</f>
        <v/>
      </c>
      <c r="AG136" s="403" t="str">
        <f>IF(ISBLANK('RESUMEN VIGILANCIA'!AF127),"",'RESUMEN VIGILANCIA'!AF127)</f>
        <v/>
      </c>
      <c r="AH136" s="403" t="str">
        <f>IF(ISBLANK('RESUMEN VIGILANCIA'!AG127),"",'RESUMEN VIGILANCIA'!AG127)</f>
        <v/>
      </c>
      <c r="AI136" s="403" t="str">
        <f>IF(ISBLANK('RESUMEN VIGILANCIA'!AH127),"",'RESUMEN VIGILANCIA'!AH127)</f>
        <v/>
      </c>
      <c r="AJ136" s="403" t="str">
        <f>IF(ISBLANK('RESUMEN VIGILANCIA'!AI127),"",'RESUMEN VIGILANCIA'!AI127)</f>
        <v/>
      </c>
      <c r="AK136" s="403" t="str">
        <f>IF(ISBLANK('RESUMEN VIGILANCIA'!AJ127),"",'RESUMEN VIGILANCIA'!AJ127)</f>
        <v/>
      </c>
      <c r="AL136" s="403" t="str">
        <f>IF(ISBLANK('RESUMEN VIGILANCIA'!AK127),"",'RESUMEN VIGILANCIA'!AK127)</f>
        <v/>
      </c>
      <c r="AM136" s="403" t="str">
        <f>IF(ISBLANK('RESUMEN VIGILANCIA'!AL127),"",'RESUMEN VIGILANCIA'!AL127)</f>
        <v/>
      </c>
      <c r="AN136" s="403" t="str">
        <f>IF(ISBLANK('RESUMEN VIGILANCIA'!AM127),"",'RESUMEN VIGILANCIA'!AM127)</f>
        <v/>
      </c>
      <c r="AO136" s="414" t="str">
        <f>IF(ISBLANK('RESUMEN VIGILANCIA'!AN127),"",'RESUMEN VIGILANCIA'!AN127)</f>
        <v/>
      </c>
      <c r="AP136" s="413" t="str">
        <f>IF(ISBLANK('RESUMEN VIGILANCIA'!AO127),"",'RESUMEN VIGILANCIA'!AO127)</f>
        <v/>
      </c>
      <c r="AQ136" s="403" t="str">
        <f>IF(ISBLANK('RESUMEN VIGILANCIA'!AP127),"",'RESUMEN VIGILANCIA'!AP127)</f>
        <v/>
      </c>
      <c r="AR136" s="403" t="str">
        <f>IF(ISBLANK('RESUMEN VIGILANCIA'!AQ127),"",'RESUMEN VIGILANCIA'!AQ127)</f>
        <v/>
      </c>
      <c r="AS136" s="403" t="str">
        <f>IF(ISBLANK('RESUMEN VIGILANCIA'!AR127),"",'RESUMEN VIGILANCIA'!AR127)</f>
        <v/>
      </c>
      <c r="AT136" s="403" t="str">
        <f>IF(ISBLANK('RESUMEN VIGILANCIA'!AS127),"",'RESUMEN VIGILANCIA'!AS127)</f>
        <v/>
      </c>
      <c r="AU136" s="403" t="str">
        <f>IF(ISBLANK('RESUMEN VIGILANCIA'!AT127),"",'RESUMEN VIGILANCIA'!AT127)</f>
        <v/>
      </c>
      <c r="AV136" s="403" t="str">
        <f>IF(ISBLANK('RESUMEN VIGILANCIA'!AU127),"",'RESUMEN VIGILANCIA'!AU127)</f>
        <v/>
      </c>
      <c r="AW136" s="403" t="str">
        <f>IF(ISBLANK('RESUMEN VIGILANCIA'!AV127),"",'RESUMEN VIGILANCIA'!AV127)</f>
        <v/>
      </c>
      <c r="AX136" s="403" t="str">
        <f>IF(ISBLANK('RESUMEN VIGILANCIA'!AW127),"",'RESUMEN VIGILANCIA'!AW127)</f>
        <v/>
      </c>
      <c r="AY136" s="403" t="str">
        <f>IF(ISBLANK('RESUMEN VIGILANCIA'!AX127),"",'RESUMEN VIGILANCIA'!AX127)</f>
        <v/>
      </c>
      <c r="AZ136" s="403" t="str">
        <f>IF(ISBLANK('RESUMEN VIGILANCIA'!AY127),"",'RESUMEN VIGILANCIA'!AY127)</f>
        <v/>
      </c>
      <c r="BA136" s="414" t="str">
        <f>IF(ISBLANK('RESUMEN VIGILANCIA'!AZ127),"",'RESUMEN VIGILANCIA'!AZ127)</f>
        <v/>
      </c>
      <c r="BB136" s="245">
        <f t="shared" si="7"/>
        <v>9.4</v>
      </c>
      <c r="BC136" s="116">
        <v>43191</v>
      </c>
      <c r="BD136" s="116">
        <v>43252</v>
      </c>
    </row>
    <row r="137" spans="1:56" s="29" customFormat="1" ht="20.100000000000001" customHeight="1">
      <c r="A137" s="30" t="str">
        <f>'RESUMEN VIGILANCIA'!A128</f>
        <v>Wilson Escamilla</v>
      </c>
      <c r="B137" s="31" t="str">
        <f>'RESUMEN VIGILANCIA'!B128</f>
        <v>Calle Güigüe Nro. 89-89</v>
      </c>
      <c r="C137" s="452" t="s">
        <v>1249</v>
      </c>
      <c r="D137" s="554"/>
      <c r="E137" s="442" t="str">
        <f>IF(ISBLANK('RESUMEN VIGILANCIA'!D128),"",'RESUMEN VIGILANCIA'!D128)</f>
        <v/>
      </c>
      <c r="F137" s="283" t="str">
        <f>IF(ISBLANK('RESUMEN VIGILANCIA'!E128),"",'RESUMEN VIGILANCIA'!E128)</f>
        <v/>
      </c>
      <c r="G137" s="210" t="str">
        <f>IF(ISBLANK('RESUMEN VIGILANCIA'!F128),"",'RESUMEN VIGILANCIA'!F128)</f>
        <v/>
      </c>
      <c r="H137" s="210" t="str">
        <f>IF(ISBLANK('RESUMEN VIGILANCIA'!G128),"",'RESUMEN VIGILANCIA'!G128)</f>
        <v/>
      </c>
      <c r="I137" s="210" t="str">
        <f>IF(ISBLANK('RESUMEN VIGILANCIA'!H128),"",'RESUMEN VIGILANCIA'!H128)</f>
        <v/>
      </c>
      <c r="J137" s="210" t="str">
        <f>IF(ISBLANK('RESUMEN VIGILANCIA'!I128),"",'RESUMEN VIGILANCIA'!I128)</f>
        <v/>
      </c>
      <c r="K137" s="210" t="str">
        <f>IF(ISBLANK('RESUMEN VIGILANCIA'!J128),"",'RESUMEN VIGILANCIA'!J128)</f>
        <v/>
      </c>
      <c r="L137" s="210" t="str">
        <f>IF(ISBLANK('RESUMEN VIGILANCIA'!K128),"",'RESUMEN VIGILANCIA'!K128)</f>
        <v/>
      </c>
      <c r="M137" s="210" t="str">
        <f>IF(ISBLANK('RESUMEN VIGILANCIA'!L128),"",'RESUMEN VIGILANCIA'!L128)</f>
        <v/>
      </c>
      <c r="N137" s="210" t="str">
        <f>IF(ISBLANK('RESUMEN VIGILANCIA'!M128),"",'RESUMEN VIGILANCIA'!M128)</f>
        <v/>
      </c>
      <c r="O137" s="210" t="str">
        <f>IF(ISBLANK('RESUMEN VIGILANCIA'!N128),"",'RESUMEN VIGILANCIA'!N128)</f>
        <v/>
      </c>
      <c r="P137" s="293" t="str">
        <f>IF(ISBLANK('RESUMEN VIGILANCIA'!O128),"",'RESUMEN VIGILANCIA'!O128)</f>
        <v/>
      </c>
      <c r="Q137" s="208" t="str">
        <f>IF(ISBLANK('RESUMEN VIGILANCIA'!P128),"",'RESUMEN VIGILANCIA'!P128)</f>
        <v/>
      </c>
      <c r="R137" s="294" t="str">
        <f>IF(ISBLANK('RESUMEN VIGILANCIA'!Q128),"",'RESUMEN VIGILANCIA'!Q128)</f>
        <v/>
      </c>
      <c r="S137" s="293" t="str">
        <f>IF(ISBLANK('RESUMEN VIGILANCIA'!R128),"",'RESUMEN VIGILANCIA'!R128)</f>
        <v/>
      </c>
      <c r="T137" s="293" t="str">
        <f>IF(ISBLANK('RESUMEN VIGILANCIA'!S128),"",'RESUMEN VIGILANCIA'!S128)</f>
        <v/>
      </c>
      <c r="U137" s="284" t="str">
        <f>IF(ISBLANK('RESUMEN VIGILANCIA'!T128),"",'RESUMEN VIGILANCIA'!T128)</f>
        <v/>
      </c>
      <c r="V137" s="284" t="str">
        <f>IF(ISBLANK('RESUMEN VIGILANCIA'!U128),"",'RESUMEN VIGILANCIA'!U128)</f>
        <v/>
      </c>
      <c r="W137" s="284">
        <f>IF(ISBLANK('RESUMEN VIGILANCIA'!V128),"",'RESUMEN VIGILANCIA'!V128)</f>
        <v>2.25</v>
      </c>
      <c r="X137" s="271">
        <f>IF(ISBLANK('RESUMEN VIGILANCIA'!W128),"",'RESUMEN VIGILANCIA'!W128)</f>
        <v>10</v>
      </c>
      <c r="Y137" s="271">
        <f>IF(ISBLANK('RESUMEN VIGILANCIA'!X128),"",'RESUMEN VIGILANCIA'!X128)</f>
        <v>12</v>
      </c>
      <c r="Z137" s="481">
        <f>IF(ISBLANK('RESUMEN VIGILANCIA'!Y128),"",'RESUMEN VIGILANCIA'!Y128)</f>
        <v>320</v>
      </c>
      <c r="AA137" s="481">
        <f>IF(ISBLANK('RESUMEN VIGILANCIA'!Z128),"",'RESUMEN VIGILANCIA'!Z128)</f>
        <v>320</v>
      </c>
      <c r="AB137" s="481">
        <f>IF(ISBLANK('RESUMEN VIGILANCIA'!AA128),"",'RESUMEN VIGILANCIA'!AA128)</f>
        <v>320</v>
      </c>
      <c r="AC137" s="482">
        <f>IF(ISBLANK('RESUMEN VIGILANCIA'!AB128),"",'RESUMEN VIGILANCIA'!AB128)</f>
        <v>800</v>
      </c>
      <c r="AD137" s="399">
        <f>IF(ISBLANK('RESUMEN VIGILANCIA'!AC128),"",'RESUMEN VIGILANCIA'!AC128)</f>
        <v>2800</v>
      </c>
      <c r="AE137" s="400">
        <f>IF(ISBLANK('RESUMEN VIGILANCIA'!AD128),"",'RESUMEN VIGILANCIA'!AD128)</f>
        <v>3000</v>
      </c>
      <c r="AF137" s="400">
        <f>IF(ISBLANK('RESUMEN VIGILANCIA'!AE128),"",'RESUMEN VIGILANCIA'!AE128)</f>
        <v>3000</v>
      </c>
      <c r="AG137" s="400">
        <f>IF(ISBLANK('RESUMEN VIGILANCIA'!AF128),"",'RESUMEN VIGILANCIA'!AF128)</f>
        <v>5000</v>
      </c>
      <c r="AH137" s="400">
        <f>IF(ISBLANK('RESUMEN VIGILANCIA'!AG128),"",'RESUMEN VIGILANCIA'!AG128)</f>
        <v>8000</v>
      </c>
      <c r="AI137" s="400">
        <f>IF(ISBLANK('RESUMEN VIGILANCIA'!AH128),"",'RESUMEN VIGILANCIA'!AH128)</f>
        <v>8000</v>
      </c>
      <c r="AJ137" s="400">
        <f>IF(ISBLANK('RESUMEN VIGILANCIA'!AI128),"",'RESUMEN VIGILANCIA'!AI128)</f>
        <v>10000</v>
      </c>
      <c r="AK137" s="400">
        <f>IF(ISBLANK('RESUMEN VIGILANCIA'!AJ128),"",'RESUMEN VIGILANCIA'!AJ128)</f>
        <v>10000</v>
      </c>
      <c r="AL137" s="400">
        <f>IF(ISBLANK('RESUMEN VIGILANCIA'!AK128),"",'RESUMEN VIGILANCIA'!AK128)</f>
        <v>20500</v>
      </c>
      <c r="AM137" s="400">
        <f>IF(ISBLANK('RESUMEN VIGILANCIA'!AL128),"",'RESUMEN VIGILANCIA'!AL128)</f>
        <v>56250</v>
      </c>
      <c r="AN137" s="400">
        <f>IF(ISBLANK('RESUMEN VIGILANCIA'!AM128),"",'RESUMEN VIGILANCIA'!AM128)</f>
        <v>56250</v>
      </c>
      <c r="AO137" s="401">
        <f>IF(ISBLANK('RESUMEN VIGILANCIA'!AN128),"",'RESUMEN VIGILANCIA'!AN128)</f>
        <v>183500</v>
      </c>
      <c r="AP137" s="399">
        <f>IF(ISBLANK('RESUMEN VIGILANCIA'!AO128),"",'RESUMEN VIGILANCIA'!AO128)</f>
        <v>183500</v>
      </c>
      <c r="AQ137" s="400">
        <f>IF(ISBLANK('RESUMEN VIGILANCIA'!AP128),"",'RESUMEN VIGILANCIA'!AP128)</f>
        <v>183500</v>
      </c>
      <c r="AR137" s="400">
        <f>IF(ISBLANK('RESUMEN VIGILANCIA'!AQ128),"",'RESUMEN VIGILANCIA'!AQ128)</f>
        <v>183500</v>
      </c>
      <c r="AS137" s="400" t="str">
        <f>IF(ISBLANK('RESUMEN VIGILANCIA'!AR128),"",'RESUMEN VIGILANCIA'!AR128)</f>
        <v/>
      </c>
      <c r="AT137" s="400" t="str">
        <f>IF(ISBLANK('RESUMEN VIGILANCIA'!AS128),"",'RESUMEN VIGILANCIA'!AS128)</f>
        <v/>
      </c>
      <c r="AU137" s="400" t="str">
        <f>IF(ISBLANK('RESUMEN VIGILANCIA'!AT128),"",'RESUMEN VIGILANCIA'!AT128)</f>
        <v/>
      </c>
      <c r="AV137" s="400" t="str">
        <f>IF(ISBLANK('RESUMEN VIGILANCIA'!AU128),"",'RESUMEN VIGILANCIA'!AU128)</f>
        <v/>
      </c>
      <c r="AW137" s="400" t="str">
        <f>IF(ISBLANK('RESUMEN VIGILANCIA'!AV128),"",'RESUMEN VIGILANCIA'!AV128)</f>
        <v/>
      </c>
      <c r="AX137" s="400" t="str">
        <f>IF(ISBLANK('RESUMEN VIGILANCIA'!AW128),"",'RESUMEN VIGILANCIA'!AW128)</f>
        <v/>
      </c>
      <c r="AY137" s="400" t="str">
        <f>IF(ISBLANK('RESUMEN VIGILANCIA'!AX128),"",'RESUMEN VIGILANCIA'!AX128)</f>
        <v/>
      </c>
      <c r="AZ137" s="400" t="str">
        <f>IF(ISBLANK('RESUMEN VIGILANCIA'!AY128),"",'RESUMEN VIGILANCIA'!AY128)</f>
        <v/>
      </c>
      <c r="BA137" s="401" t="str">
        <f>IF(ISBLANK('RESUMEN VIGILANCIA'!AZ128),"",'RESUMEN VIGILANCIA'!AZ128)</f>
        <v/>
      </c>
      <c r="BB137" s="243">
        <f t="shared" ref="BB137:BB143" si="11">SUM(E137:AO137)</f>
        <v>368084.25</v>
      </c>
      <c r="BC137" s="112">
        <v>43282</v>
      </c>
      <c r="BD137" s="112"/>
    </row>
    <row r="138" spans="1:56" s="29" customFormat="1" ht="20.100000000000001" customHeight="1">
      <c r="A138" s="30" t="str">
        <f>'RESUMEN VIGILANCIA'!A123</f>
        <v>Familia López Hermoso</v>
      </c>
      <c r="B138" s="31" t="str">
        <f>'RESUMEN VIGILANCIA'!B123</f>
        <v>Calle Güigüe Nro. 89-79</v>
      </c>
      <c r="C138" s="452" t="s">
        <v>1249</v>
      </c>
      <c r="D138" s="460" t="s">
        <v>17</v>
      </c>
      <c r="E138" s="440" t="str">
        <f>IF(ISBLANK('RESUMEN VIGILANCIA'!D123),"",'RESUMEN VIGILANCIA'!D123)</f>
        <v/>
      </c>
      <c r="F138" s="270">
        <f>IF(ISBLANK('RESUMEN VIGILANCIA'!E123),"",'RESUMEN VIGILANCIA'!E123)</f>
        <v>0.17</v>
      </c>
      <c r="G138" s="182">
        <f>IF(ISBLANK('RESUMEN VIGILANCIA'!F123),"",'RESUMEN VIGILANCIA'!F123)</f>
        <v>0.17</v>
      </c>
      <c r="H138" s="182">
        <f>IF(ISBLANK('RESUMEN VIGILANCIA'!G123),"",'RESUMEN VIGILANCIA'!G123)</f>
        <v>0.17</v>
      </c>
      <c r="I138" s="182">
        <f>IF(ISBLANK('RESUMEN VIGILANCIA'!H123),"",'RESUMEN VIGILANCIA'!H123)</f>
        <v>0.17</v>
      </c>
      <c r="J138" s="182">
        <f>IF(ISBLANK('RESUMEN VIGILANCIA'!I123),"",'RESUMEN VIGILANCIA'!I123)</f>
        <v>0.26</v>
      </c>
      <c r="K138" s="182">
        <f>IF(ISBLANK('RESUMEN VIGILANCIA'!J123),"",'RESUMEN VIGILANCIA'!J123)</f>
        <v>0.26</v>
      </c>
      <c r="L138" s="182">
        <f>IF(ISBLANK('RESUMEN VIGILANCIA'!K123),"",'RESUMEN VIGILANCIA'!K123)</f>
        <v>0.35</v>
      </c>
      <c r="M138" s="182">
        <f>IF(ISBLANK('RESUMEN VIGILANCIA'!L123),"",'RESUMEN VIGILANCIA'!L123)</f>
        <v>0.35</v>
      </c>
      <c r="N138" s="182">
        <f>IF(ISBLANK('RESUMEN VIGILANCIA'!M123),"",'RESUMEN VIGILANCIA'!M123)</f>
        <v>0.35</v>
      </c>
      <c r="O138" s="182">
        <f>IF(ISBLANK('RESUMEN VIGILANCIA'!N123),"",'RESUMEN VIGILANCIA'!N123)</f>
        <v>0.35</v>
      </c>
      <c r="P138" s="271">
        <f>IF(ISBLANK('RESUMEN VIGILANCIA'!O123),"",'RESUMEN VIGILANCIA'!O123)</f>
        <v>0.5</v>
      </c>
      <c r="Q138" s="180">
        <f>IF(ISBLANK('RESUMEN VIGILANCIA'!P123),"",'RESUMEN VIGILANCIA'!P123)</f>
        <v>0.5</v>
      </c>
      <c r="R138" s="272">
        <f>IF(ISBLANK('RESUMEN VIGILANCIA'!Q123),"",'RESUMEN VIGILANCIA'!Q123)</f>
        <v>0.8</v>
      </c>
      <c r="S138" s="271">
        <f>IF(ISBLANK('RESUMEN VIGILANCIA'!R123),"",'RESUMEN VIGILANCIA'!R123)</f>
        <v>0.8</v>
      </c>
      <c r="T138" s="271">
        <f>IF(ISBLANK('RESUMEN VIGILANCIA'!S123),"",'RESUMEN VIGILANCIA'!S123)</f>
        <v>1.4</v>
      </c>
      <c r="U138" s="271">
        <f>IF(ISBLANK('RESUMEN VIGILANCIA'!T123),"",'RESUMEN VIGILANCIA'!T123)</f>
        <v>1.4</v>
      </c>
      <c r="V138" s="271">
        <f>IF(ISBLANK('RESUMEN VIGILANCIA'!U123),"",'RESUMEN VIGILANCIA'!U123)</f>
        <v>4</v>
      </c>
      <c r="W138" s="271">
        <f>IF(ISBLANK('RESUMEN VIGILANCIA'!V123),"",'RESUMEN VIGILANCIA'!V123)</f>
        <v>6.25</v>
      </c>
      <c r="X138" s="271">
        <f>IF(ISBLANK('RESUMEN VIGILANCIA'!W123),"",'RESUMEN VIGILANCIA'!W123)</f>
        <v>10</v>
      </c>
      <c r="Y138" s="271">
        <f>IF(ISBLANK('RESUMEN VIGILANCIA'!X123),"",'RESUMEN VIGILANCIA'!X123)</f>
        <v>12</v>
      </c>
      <c r="Z138" s="481">
        <f>IF(ISBLANK('RESUMEN VIGILANCIA'!Y123),"",'RESUMEN VIGILANCIA'!Y123)</f>
        <v>320</v>
      </c>
      <c r="AA138" s="481">
        <f>IF(ISBLANK('RESUMEN VIGILANCIA'!Z123),"",'RESUMEN VIGILANCIA'!Z123)</f>
        <v>320</v>
      </c>
      <c r="AB138" s="481">
        <f>IF(ISBLANK('RESUMEN VIGILANCIA'!AA123),"",'RESUMEN VIGILANCIA'!AA123)</f>
        <v>320</v>
      </c>
      <c r="AC138" s="482">
        <f>IF(ISBLANK('RESUMEN VIGILANCIA'!AB123),"",'RESUMEN VIGILANCIA'!AB123)</f>
        <v>811.15</v>
      </c>
      <c r="AD138" s="399">
        <f>IF(ISBLANK('RESUMEN VIGILANCIA'!AC123),"",'RESUMEN VIGILANCIA'!AC123)</f>
        <v>3000</v>
      </c>
      <c r="AE138" s="400">
        <f>IF(ISBLANK('RESUMEN VIGILANCIA'!AD123),"",'RESUMEN VIGILANCIA'!AD123)</f>
        <v>3000</v>
      </c>
      <c r="AF138" s="400">
        <f>IF(ISBLANK('RESUMEN VIGILANCIA'!AE123),"",'RESUMEN VIGILANCIA'!AE123)</f>
        <v>3000</v>
      </c>
      <c r="AG138" s="400">
        <f>IF(ISBLANK('RESUMEN VIGILANCIA'!AF123),"",'RESUMEN VIGILANCIA'!AF123)</f>
        <v>5000</v>
      </c>
      <c r="AH138" s="400">
        <f>IF(ISBLANK('RESUMEN VIGILANCIA'!AG123),"",'RESUMEN VIGILANCIA'!AG123)</f>
        <v>8000</v>
      </c>
      <c r="AI138" s="400">
        <f>IF(ISBLANK('RESUMEN VIGILANCIA'!AH123),"",'RESUMEN VIGILANCIA'!AH123)</f>
        <v>8000</v>
      </c>
      <c r="AJ138" s="400">
        <f>IF(ISBLANK('RESUMEN VIGILANCIA'!AI123),"",'RESUMEN VIGILANCIA'!AI123)</f>
        <v>10000</v>
      </c>
      <c r="AK138" s="400">
        <f>IF(ISBLANK('RESUMEN VIGILANCIA'!AJ123),"",'RESUMEN VIGILANCIA'!AJ123)</f>
        <v>10000</v>
      </c>
      <c r="AL138" s="400">
        <f>IF(ISBLANK('RESUMEN VIGILANCIA'!AK123),"",'RESUMEN VIGILANCIA'!AK123)</f>
        <v>19800</v>
      </c>
      <c r="AM138" s="400">
        <f>IF(ISBLANK('RESUMEN VIGILANCIA'!AL123),"",'RESUMEN VIGILANCIA'!AL123)</f>
        <v>47000</v>
      </c>
      <c r="AN138" s="400">
        <f>IF(ISBLANK('RESUMEN VIGILANCIA'!AM123),"",'RESUMEN VIGILANCIA'!AM123)</f>
        <v>73500</v>
      </c>
      <c r="AO138" s="401">
        <f>IF(ISBLANK('RESUMEN VIGILANCIA'!AN123),"",'RESUMEN VIGILANCIA'!AN123)</f>
        <v>105250</v>
      </c>
      <c r="AP138" s="399">
        <f>IF(ISBLANK('RESUMEN VIGILANCIA'!AO123),"",'RESUMEN VIGILANCIA'!AO123)</f>
        <v>137000</v>
      </c>
      <c r="AQ138" s="400">
        <f>IF(ISBLANK('RESUMEN VIGILANCIA'!AP123),"",'RESUMEN VIGILANCIA'!AP123)</f>
        <v>137000</v>
      </c>
      <c r="AR138" s="400" t="str">
        <f>IF(ISBLANK('RESUMEN VIGILANCIA'!AQ123),"",'RESUMEN VIGILANCIA'!AQ123)</f>
        <v/>
      </c>
      <c r="AS138" s="400" t="str">
        <f>IF(ISBLANK('RESUMEN VIGILANCIA'!AR123),"",'RESUMEN VIGILANCIA'!AR123)</f>
        <v/>
      </c>
      <c r="AT138" s="400" t="str">
        <f>IF(ISBLANK('RESUMEN VIGILANCIA'!AS123),"",'RESUMEN VIGILANCIA'!AS123)</f>
        <v/>
      </c>
      <c r="AU138" s="400" t="str">
        <f>IF(ISBLANK('RESUMEN VIGILANCIA'!AT123),"",'RESUMEN VIGILANCIA'!AT123)</f>
        <v/>
      </c>
      <c r="AV138" s="400" t="str">
        <f>IF(ISBLANK('RESUMEN VIGILANCIA'!AU123),"",'RESUMEN VIGILANCIA'!AU123)</f>
        <v/>
      </c>
      <c r="AW138" s="400" t="str">
        <f>IF(ISBLANK('RESUMEN VIGILANCIA'!AV123),"",'RESUMEN VIGILANCIA'!AV123)</f>
        <v/>
      </c>
      <c r="AX138" s="400" t="str">
        <f>IF(ISBLANK('RESUMEN VIGILANCIA'!AW123),"",'RESUMEN VIGILANCIA'!AW123)</f>
        <v/>
      </c>
      <c r="AY138" s="400" t="str">
        <f>IF(ISBLANK('RESUMEN VIGILANCIA'!AX123),"",'RESUMEN VIGILANCIA'!AX123)</f>
        <v/>
      </c>
      <c r="AZ138" s="400" t="str">
        <f>IF(ISBLANK('RESUMEN VIGILANCIA'!AY123),"",'RESUMEN VIGILANCIA'!AY123)</f>
        <v/>
      </c>
      <c r="BA138" s="401" t="str">
        <f>IF(ISBLANK('RESUMEN VIGILANCIA'!AZ123),"",'RESUMEN VIGILANCIA'!AZ123)</f>
        <v/>
      </c>
      <c r="BB138" s="243">
        <f t="shared" si="11"/>
        <v>297361.40000000002</v>
      </c>
      <c r="BC138" s="112"/>
      <c r="BD138" s="112"/>
    </row>
    <row r="139" spans="1:56" s="29" customFormat="1" ht="20.100000000000001" customHeight="1">
      <c r="A139" s="33" t="str">
        <f>'RESUMEN VIGILANCIA'!A111</f>
        <v>Familia Rodríguez Landaeta</v>
      </c>
      <c r="B139" s="34" t="str">
        <f>'RESUMEN VIGILANCIA'!B111</f>
        <v>Calle Güigüe Nro. 89-29</v>
      </c>
      <c r="C139" s="451" t="s">
        <v>1251</v>
      </c>
      <c r="D139" s="461" t="s">
        <v>1248</v>
      </c>
      <c r="E139" s="439" t="str">
        <f>IF(ISBLANK('RESUMEN VIGILANCIA'!D111),"",'RESUMEN VIGILANCIA'!D111)</f>
        <v/>
      </c>
      <c r="F139" s="267" t="str">
        <f>IF(ISBLANK('RESUMEN VIGILANCIA'!E111),"",'RESUMEN VIGILANCIA'!E111)</f>
        <v/>
      </c>
      <c r="G139" s="189" t="str">
        <f>IF(ISBLANK('RESUMEN VIGILANCIA'!F111),"",'RESUMEN VIGILANCIA'!F111)</f>
        <v/>
      </c>
      <c r="H139" s="189" t="str">
        <f>IF(ISBLANK('RESUMEN VIGILANCIA'!G111),"",'RESUMEN VIGILANCIA'!G111)</f>
        <v/>
      </c>
      <c r="I139" s="189">
        <f>IF(ISBLANK('RESUMEN VIGILANCIA'!H111),"",'RESUMEN VIGILANCIA'!H111)</f>
        <v>0.1</v>
      </c>
      <c r="J139" s="189">
        <f>IF(ISBLANK('RESUMEN VIGILANCIA'!I111),"",'RESUMEN VIGILANCIA'!I111)</f>
        <v>0.1</v>
      </c>
      <c r="K139" s="189">
        <f>IF(ISBLANK('RESUMEN VIGILANCIA'!J111),"",'RESUMEN VIGILANCIA'!J111)</f>
        <v>0.13</v>
      </c>
      <c r="L139" s="189">
        <f>IF(ISBLANK('RESUMEN VIGILANCIA'!K111),"",'RESUMEN VIGILANCIA'!K111)</f>
        <v>0.15</v>
      </c>
      <c r="M139" s="189">
        <f>IF(ISBLANK('RESUMEN VIGILANCIA'!L111),"",'RESUMEN VIGILANCIA'!L111)</f>
        <v>0.15</v>
      </c>
      <c r="N139" s="189">
        <f>IF(ISBLANK('RESUMEN VIGILANCIA'!M111),"",'RESUMEN VIGILANCIA'!M111)</f>
        <v>0.17</v>
      </c>
      <c r="O139" s="189">
        <f>IF(ISBLANK('RESUMEN VIGILANCIA'!N111),"",'RESUMEN VIGILANCIA'!N111)</f>
        <v>0.15</v>
      </c>
      <c r="P139" s="268">
        <f>IF(ISBLANK('RESUMEN VIGILANCIA'!O111),"",'RESUMEN VIGILANCIA'!O111)</f>
        <v>0.15</v>
      </c>
      <c r="Q139" s="187">
        <f>IF(ISBLANK('RESUMEN VIGILANCIA'!P111),"",'RESUMEN VIGILANCIA'!P111)</f>
        <v>0.17</v>
      </c>
      <c r="R139" s="269">
        <f>IF(ISBLANK('RESUMEN VIGILANCIA'!Q111),"",'RESUMEN VIGILANCIA'!Q111)</f>
        <v>0.4</v>
      </c>
      <c r="S139" s="268">
        <f>IF(ISBLANK('RESUMEN VIGILANCIA'!R111),"",'RESUMEN VIGILANCIA'!R111)</f>
        <v>0.4</v>
      </c>
      <c r="T139" s="268">
        <f>IF(ISBLANK('RESUMEN VIGILANCIA'!S111),"",'RESUMEN VIGILANCIA'!S111)</f>
        <v>0.8</v>
      </c>
      <c r="U139" s="268">
        <f>IF(ISBLANK('RESUMEN VIGILANCIA'!T111),"",'RESUMEN VIGILANCIA'!T111)</f>
        <v>0.8</v>
      </c>
      <c r="V139" s="268">
        <f>IF(ISBLANK('RESUMEN VIGILANCIA'!U111),"",'RESUMEN VIGILANCIA'!U111)</f>
        <v>2</v>
      </c>
      <c r="W139" s="268">
        <f>IF(ISBLANK('RESUMEN VIGILANCIA'!V111),"",'RESUMEN VIGILANCIA'!V111)</f>
        <v>3</v>
      </c>
      <c r="X139" s="268">
        <f>IF(ISBLANK('RESUMEN VIGILANCIA'!W111),"",'RESUMEN VIGILANCIA'!W111)</f>
        <v>5</v>
      </c>
      <c r="Y139" s="268">
        <f>IF(ISBLANK('RESUMEN VIGILANCIA'!X111),"",'RESUMEN VIGILANCIA'!X111)</f>
        <v>12</v>
      </c>
      <c r="Z139" s="485">
        <f>IF(ISBLANK('RESUMEN VIGILANCIA'!Y111),"",'RESUMEN VIGILANCIA'!Y111)</f>
        <v>320</v>
      </c>
      <c r="AA139" s="485">
        <f>IF(ISBLANK('RESUMEN VIGILANCIA'!Z111),"",'RESUMEN VIGILANCIA'!Z111)</f>
        <v>250</v>
      </c>
      <c r="AB139" s="485">
        <f>IF(ISBLANK('RESUMEN VIGILANCIA'!AA111),"",'RESUMEN VIGILANCIA'!AA111)</f>
        <v>250</v>
      </c>
      <c r="AC139" s="486">
        <f>IF(ISBLANK('RESUMEN VIGILANCIA'!AB111),"",'RESUMEN VIGILANCIA'!AB111)</f>
        <v>400</v>
      </c>
      <c r="AD139" s="396">
        <f>IF(ISBLANK('RESUMEN VIGILANCIA'!AC111),"",'RESUMEN VIGILANCIA'!AC111)</f>
        <v>600</v>
      </c>
      <c r="AE139" s="397">
        <f>IF(ISBLANK('RESUMEN VIGILANCIA'!AD111),"",'RESUMEN VIGILANCIA'!AD111)</f>
        <v>1500</v>
      </c>
      <c r="AF139" s="397">
        <f>IF(ISBLANK('RESUMEN VIGILANCIA'!AE111),"",'RESUMEN VIGILANCIA'!AE111)</f>
        <v>2000</v>
      </c>
      <c r="AG139" s="397">
        <f>IF(ISBLANK('RESUMEN VIGILANCIA'!AF111),"",'RESUMEN VIGILANCIA'!AF111)</f>
        <v>2500</v>
      </c>
      <c r="AH139" s="397">
        <f>IF(ISBLANK('RESUMEN VIGILANCIA'!AG111),"",'RESUMEN VIGILANCIA'!AG111)</f>
        <v>2500</v>
      </c>
      <c r="AI139" s="397">
        <f>IF(ISBLANK('RESUMEN VIGILANCIA'!AH111),"",'RESUMEN VIGILANCIA'!AH111)</f>
        <v>5000</v>
      </c>
      <c r="AJ139" s="397">
        <f>IF(ISBLANK('RESUMEN VIGILANCIA'!AI111),"",'RESUMEN VIGILANCIA'!AI111)</f>
        <v>5000</v>
      </c>
      <c r="AK139" s="397">
        <f>IF(ISBLANK('RESUMEN VIGILANCIA'!AJ111),"",'RESUMEN VIGILANCIA'!AJ111)</f>
        <v>5000</v>
      </c>
      <c r="AL139" s="397">
        <f>IF(ISBLANK('RESUMEN VIGILANCIA'!AK111),"",'RESUMEN VIGILANCIA'!AK111)</f>
        <v>10000</v>
      </c>
      <c r="AM139" s="397">
        <f>IF(ISBLANK('RESUMEN VIGILANCIA'!AL111),"",'RESUMEN VIGILANCIA'!AL111)</f>
        <v>10000</v>
      </c>
      <c r="AN139" s="397">
        <f>IF(ISBLANK('RESUMEN VIGILANCIA'!AM111),"",'RESUMEN VIGILANCIA'!AM111)</f>
        <v>25000</v>
      </c>
      <c r="AO139" s="398">
        <f>IF(ISBLANK('RESUMEN VIGILANCIA'!AN111),"",'RESUMEN VIGILANCIA'!AN111)</f>
        <v>55600</v>
      </c>
      <c r="AP139" s="396">
        <f>IF(ISBLANK('RESUMEN VIGILANCIA'!AO111),"",'RESUMEN VIGILANCIA'!AO111)</f>
        <v>55600</v>
      </c>
      <c r="AQ139" s="397">
        <f>IF(ISBLANK('RESUMEN VIGILANCIA'!AP111),"",'RESUMEN VIGILANCIA'!AP111)</f>
        <v>55600</v>
      </c>
      <c r="AR139" s="397" t="str">
        <f>IF(ISBLANK('RESUMEN VIGILANCIA'!AQ111),"",'RESUMEN VIGILANCIA'!AQ111)</f>
        <v/>
      </c>
      <c r="AS139" s="397" t="str">
        <f>IF(ISBLANK('RESUMEN VIGILANCIA'!AR111),"",'RESUMEN VIGILANCIA'!AR111)</f>
        <v/>
      </c>
      <c r="AT139" s="397" t="str">
        <f>IF(ISBLANK('RESUMEN VIGILANCIA'!AS111),"",'RESUMEN VIGILANCIA'!AS111)</f>
        <v/>
      </c>
      <c r="AU139" s="397" t="str">
        <f>IF(ISBLANK('RESUMEN VIGILANCIA'!AT111),"",'RESUMEN VIGILANCIA'!AT111)</f>
        <v/>
      </c>
      <c r="AV139" s="397" t="str">
        <f>IF(ISBLANK('RESUMEN VIGILANCIA'!AU111),"",'RESUMEN VIGILANCIA'!AU111)</f>
        <v/>
      </c>
      <c r="AW139" s="397" t="str">
        <f>IF(ISBLANK('RESUMEN VIGILANCIA'!AV111),"",'RESUMEN VIGILANCIA'!AV111)</f>
        <v/>
      </c>
      <c r="AX139" s="397" t="str">
        <f>IF(ISBLANK('RESUMEN VIGILANCIA'!AW111),"",'RESUMEN VIGILANCIA'!AW111)</f>
        <v/>
      </c>
      <c r="AY139" s="397" t="str">
        <f>IF(ISBLANK('RESUMEN VIGILANCIA'!AX111),"",'RESUMEN VIGILANCIA'!AX111)</f>
        <v/>
      </c>
      <c r="AZ139" s="397" t="str">
        <f>IF(ISBLANK('RESUMEN VIGILANCIA'!AY111),"",'RESUMEN VIGILANCIA'!AY111)</f>
        <v/>
      </c>
      <c r="BA139" s="398" t="str">
        <f>IF(ISBLANK('RESUMEN VIGILANCIA'!AZ111),"",'RESUMEN VIGILANCIA'!AZ111)</f>
        <v/>
      </c>
      <c r="BB139" s="242">
        <f t="shared" si="11"/>
        <v>125945.67</v>
      </c>
      <c r="BC139" s="111"/>
      <c r="BD139" s="111"/>
    </row>
    <row r="140" spans="1:56" s="29" customFormat="1" ht="20.100000000000001" customHeight="1">
      <c r="A140" s="54" t="str">
        <f>'RESUMEN VIGILANCIA'!A92</f>
        <v>Colegio El Trigal</v>
      </c>
      <c r="B140" s="55" t="str">
        <f>'RESUMEN VIGILANCIA'!B92</f>
        <v>Calle Güigüe Nros. 88-71 y 88-81</v>
      </c>
      <c r="C140" s="452" t="s">
        <v>1249</v>
      </c>
      <c r="D140" s="460" t="s">
        <v>17</v>
      </c>
      <c r="E140" s="440" t="str">
        <f>IF(ISBLANK('RESUMEN VIGILANCIA'!D92),"",'RESUMEN VIGILANCIA'!D92)</f>
        <v/>
      </c>
      <c r="F140" s="270">
        <f>IF(ISBLANK('RESUMEN VIGILANCIA'!E92),"",'RESUMEN VIGILANCIA'!E92)</f>
        <v>0.30000000000000004</v>
      </c>
      <c r="G140" s="182">
        <f>IF(ISBLANK('RESUMEN VIGILANCIA'!F92),"",'RESUMEN VIGILANCIA'!F92)</f>
        <v>0.3</v>
      </c>
      <c r="H140" s="182">
        <f>IF(ISBLANK('RESUMEN VIGILANCIA'!G92),"",'RESUMEN VIGILANCIA'!G92)</f>
        <v>0.3</v>
      </c>
      <c r="I140" s="182">
        <f>IF(ISBLANK('RESUMEN VIGILANCIA'!H92),"",'RESUMEN VIGILANCIA'!H92)</f>
        <v>0.3</v>
      </c>
      <c r="J140" s="182">
        <f>IF(ISBLANK('RESUMEN VIGILANCIA'!I92),"",'RESUMEN VIGILANCIA'!I92)</f>
        <v>0.4</v>
      </c>
      <c r="K140" s="182">
        <f>IF(ISBLANK('RESUMEN VIGILANCIA'!J92),"",'RESUMEN VIGILANCIA'!J92)</f>
        <v>0.4</v>
      </c>
      <c r="L140" s="182">
        <f>IF(ISBLANK('RESUMEN VIGILANCIA'!K92),"",'RESUMEN VIGILANCIA'!K92)</f>
        <v>0.54</v>
      </c>
      <c r="M140" s="182">
        <f>IF(ISBLANK('RESUMEN VIGILANCIA'!L92),"",'RESUMEN VIGILANCIA'!L92)</f>
        <v>0.54</v>
      </c>
      <c r="N140" s="182">
        <f>IF(ISBLANK('RESUMEN VIGILANCIA'!M92),"",'RESUMEN VIGILANCIA'!M92)</f>
        <v>0.54</v>
      </c>
      <c r="O140" s="182">
        <f>IF(ISBLANK('RESUMEN VIGILANCIA'!N92),"",'RESUMEN VIGILANCIA'!N92)</f>
        <v>0.54</v>
      </c>
      <c r="P140" s="271">
        <f>IF(ISBLANK('RESUMEN VIGILANCIA'!O92),"",'RESUMEN VIGILANCIA'!O92)</f>
        <v>0.71</v>
      </c>
      <c r="Q140" s="180">
        <f>IF(ISBLANK('RESUMEN VIGILANCIA'!P92),"",'RESUMEN VIGILANCIA'!P92)</f>
        <v>0.71</v>
      </c>
      <c r="R140" s="272">
        <f>IF(ISBLANK('RESUMEN VIGILANCIA'!Q92),"",'RESUMEN VIGILANCIA'!Q92)</f>
        <v>1.1359999999999999</v>
      </c>
      <c r="S140" s="271">
        <f>IF(ISBLANK('RESUMEN VIGILANCIA'!R92),"",'RESUMEN VIGILANCIA'!R92)</f>
        <v>1.1359999999999999</v>
      </c>
      <c r="T140" s="271">
        <f>IF(ISBLANK('RESUMEN VIGILANCIA'!S92),"",'RESUMEN VIGILANCIA'!S92)</f>
        <v>2</v>
      </c>
      <c r="U140" s="271">
        <f>IF(ISBLANK('RESUMEN VIGILANCIA'!T92),"",'RESUMEN VIGILANCIA'!T92)</f>
        <v>2</v>
      </c>
      <c r="V140" s="271">
        <f>IF(ISBLANK('RESUMEN VIGILANCIA'!U92),"",'RESUMEN VIGILANCIA'!U92)</f>
        <v>5.8</v>
      </c>
      <c r="W140" s="271">
        <f>IF(ISBLANK('RESUMEN VIGILANCIA'!V92),"",'RESUMEN VIGILANCIA'!V92)</f>
        <v>9.0500000000000007</v>
      </c>
      <c r="X140" s="271">
        <f>IF(ISBLANK('RESUMEN VIGILANCIA'!W92),"",'RESUMEN VIGILANCIA'!W92)</f>
        <v>14.5</v>
      </c>
      <c r="Y140" s="271">
        <f>IF(ISBLANK('RESUMEN VIGILANCIA'!X92),"",'RESUMEN VIGILANCIA'!X92)</f>
        <v>17.399999999999999</v>
      </c>
      <c r="Z140" s="481">
        <f>IF(ISBLANK('RESUMEN VIGILANCIA'!Y92),"",'RESUMEN VIGILANCIA'!Y92)</f>
        <v>465</v>
      </c>
      <c r="AA140" s="481">
        <f>IF(ISBLANK('RESUMEN VIGILANCIA'!Z92),"",'RESUMEN VIGILANCIA'!Z92)</f>
        <v>465</v>
      </c>
      <c r="AB140" s="481">
        <f>IF(ISBLANK('RESUMEN VIGILANCIA'!AA92),"",'RESUMEN VIGILANCIA'!AA92)</f>
        <v>465</v>
      </c>
      <c r="AC140" s="482">
        <f>IF(ISBLANK('RESUMEN VIGILANCIA'!AB92),"",'RESUMEN VIGILANCIA'!AB92)</f>
        <v>1160</v>
      </c>
      <c r="AD140" s="399">
        <f>IF(ISBLANK('RESUMEN VIGILANCIA'!AC92),"",'RESUMEN VIGILANCIA'!AC92)</f>
        <v>4350</v>
      </c>
      <c r="AE140" s="400">
        <f>IF(ISBLANK('RESUMEN VIGILANCIA'!AD92),"",'RESUMEN VIGILANCIA'!AD92)</f>
        <v>4350</v>
      </c>
      <c r="AF140" s="400">
        <f>IF(ISBLANK('RESUMEN VIGILANCIA'!AE92),"",'RESUMEN VIGILANCIA'!AE92)</f>
        <v>4350</v>
      </c>
      <c r="AG140" s="400">
        <f>IF(ISBLANK('RESUMEN VIGILANCIA'!AF92),"",'RESUMEN VIGILANCIA'!AF92)</f>
        <v>7250</v>
      </c>
      <c r="AH140" s="400">
        <f>IF(ISBLANK('RESUMEN VIGILANCIA'!AG92),"",'RESUMEN VIGILANCIA'!AG92)</f>
        <v>11600</v>
      </c>
      <c r="AI140" s="400">
        <f>IF(ISBLANK('RESUMEN VIGILANCIA'!AH92),"",'RESUMEN VIGILANCIA'!AH92)</f>
        <v>11600</v>
      </c>
      <c r="AJ140" s="400">
        <f>IF(ISBLANK('RESUMEN VIGILANCIA'!AI92),"",'RESUMEN VIGILANCIA'!AI92)</f>
        <v>14500</v>
      </c>
      <c r="AK140" s="400">
        <f>IF(ISBLANK('RESUMEN VIGILANCIA'!AJ92),"",'RESUMEN VIGILANCIA'!AJ92)</f>
        <v>14500</v>
      </c>
      <c r="AL140" s="400">
        <f>IF(ISBLANK('RESUMEN VIGILANCIA'!AK92),"",'RESUMEN VIGILANCIA'!AK92)</f>
        <v>29725</v>
      </c>
      <c r="AM140" s="400">
        <f>IF(ISBLANK('RESUMEN VIGILANCIA'!AL92),"",'RESUMEN VIGILANCIA'!AL92)</f>
        <v>68150</v>
      </c>
      <c r="AN140" s="400">
        <f>IF(ISBLANK('RESUMEN VIGILANCIA'!AM92),"",'RESUMEN VIGILANCIA'!AM92)</f>
        <v>118540</v>
      </c>
      <c r="AO140" s="401">
        <f>IF(ISBLANK('RESUMEN VIGILANCIA'!AN92),"",'RESUMEN VIGILANCIA'!AN92)</f>
        <v>141375</v>
      </c>
      <c r="AP140" s="399">
        <f>IF(ISBLANK('RESUMEN VIGILANCIA'!AO92),"",'RESUMEN VIGILANCIA'!AO92)</f>
        <v>197575</v>
      </c>
      <c r="AQ140" s="400">
        <f>IF(ISBLANK('RESUMEN VIGILANCIA'!AP92),"",'RESUMEN VIGILANCIA'!AP92)</f>
        <v>197575</v>
      </c>
      <c r="AR140" s="400" t="str">
        <f>IF(ISBLANK('RESUMEN VIGILANCIA'!AQ92),"",'RESUMEN VIGILANCIA'!AQ92)</f>
        <v/>
      </c>
      <c r="AS140" s="400" t="str">
        <f>IF(ISBLANK('RESUMEN VIGILANCIA'!AR92),"",'RESUMEN VIGILANCIA'!AR92)</f>
        <v/>
      </c>
      <c r="AT140" s="400" t="str">
        <f>IF(ISBLANK('RESUMEN VIGILANCIA'!AS92),"",'RESUMEN VIGILANCIA'!AS92)</f>
        <v/>
      </c>
      <c r="AU140" s="400" t="str">
        <f>IF(ISBLANK('RESUMEN VIGILANCIA'!AT92),"",'RESUMEN VIGILANCIA'!AT92)</f>
        <v/>
      </c>
      <c r="AV140" s="400" t="str">
        <f>IF(ISBLANK('RESUMEN VIGILANCIA'!AU92),"",'RESUMEN VIGILANCIA'!AU92)</f>
        <v/>
      </c>
      <c r="AW140" s="400" t="str">
        <f>IF(ISBLANK('RESUMEN VIGILANCIA'!AV92),"",'RESUMEN VIGILANCIA'!AV92)</f>
        <v/>
      </c>
      <c r="AX140" s="400" t="str">
        <f>IF(ISBLANK('RESUMEN VIGILANCIA'!AW92),"",'RESUMEN VIGILANCIA'!AW92)</f>
        <v/>
      </c>
      <c r="AY140" s="400" t="str">
        <f>IF(ISBLANK('RESUMEN VIGILANCIA'!AX92),"",'RESUMEN VIGILANCIA'!AX92)</f>
        <v/>
      </c>
      <c r="AZ140" s="400" t="str">
        <f>IF(ISBLANK('RESUMEN VIGILANCIA'!AY92),"",'RESUMEN VIGILANCIA'!AY92)</f>
        <v/>
      </c>
      <c r="BA140" s="401" t="str">
        <f>IF(ISBLANK('RESUMEN VIGILANCIA'!AZ92),"",'RESUMEN VIGILANCIA'!AZ92)</f>
        <v/>
      </c>
      <c r="BB140" s="299">
        <f t="shared" si="11"/>
        <v>432903.60200000001</v>
      </c>
      <c r="BC140" s="117"/>
      <c r="BD140" s="117"/>
    </row>
    <row r="141" spans="1:56">
      <c r="A141" s="43"/>
      <c r="B141" s="44" t="s">
        <v>1156</v>
      </c>
      <c r="C141" s="465"/>
      <c r="D141" s="463"/>
      <c r="E141" s="446">
        <f t="shared" ref="E141:AN141" si="12">SUM(E2:E140)</f>
        <v>0.1</v>
      </c>
      <c r="F141" s="300">
        <f t="shared" si="12"/>
        <v>10.254999999999999</v>
      </c>
      <c r="G141" s="301">
        <f t="shared" si="12"/>
        <v>10.619999999999997</v>
      </c>
      <c r="H141" s="301">
        <f t="shared" si="12"/>
        <v>10.084999999999999</v>
      </c>
      <c r="I141" s="301">
        <f t="shared" si="12"/>
        <v>10.475999999999999</v>
      </c>
      <c r="J141" s="301">
        <f t="shared" si="12"/>
        <v>15.079999999999991</v>
      </c>
      <c r="K141" s="301">
        <f t="shared" si="12"/>
        <v>15.649999999999993</v>
      </c>
      <c r="L141" s="301">
        <f t="shared" si="12"/>
        <v>20.910000000000004</v>
      </c>
      <c r="M141" s="301">
        <f t="shared" si="12"/>
        <v>21.105</v>
      </c>
      <c r="N141" s="301">
        <f t="shared" si="12"/>
        <v>20.769000000000002</v>
      </c>
      <c r="O141" s="301">
        <f t="shared" si="12"/>
        <v>21.42</v>
      </c>
      <c r="P141" s="302">
        <f t="shared" si="12"/>
        <v>30.400000000000002</v>
      </c>
      <c r="Q141" s="303">
        <f t="shared" si="12"/>
        <v>30.77</v>
      </c>
      <c r="R141" s="260">
        <f t="shared" si="12"/>
        <v>53.999999999999957</v>
      </c>
      <c r="S141" s="257">
        <f t="shared" si="12"/>
        <v>56.999999999999943</v>
      </c>
      <c r="T141" s="257">
        <f t="shared" si="12"/>
        <v>98.200000000000074</v>
      </c>
      <c r="U141" s="257">
        <f t="shared" si="12"/>
        <v>103.15000000000008</v>
      </c>
      <c r="V141" s="257">
        <f t="shared" si="12"/>
        <v>280.10000000000002</v>
      </c>
      <c r="W141" s="257">
        <f t="shared" si="12"/>
        <v>451.35</v>
      </c>
      <c r="X141" s="257">
        <f t="shared" si="12"/>
        <v>767.75</v>
      </c>
      <c r="Y141" s="257">
        <f t="shared" si="12"/>
        <v>934.85</v>
      </c>
      <c r="Z141" s="390">
        <f t="shared" si="12"/>
        <v>23201.41</v>
      </c>
      <c r="AA141" s="390">
        <f t="shared" si="12"/>
        <v>24138.5</v>
      </c>
      <c r="AB141" s="390">
        <f t="shared" si="12"/>
        <v>25420</v>
      </c>
      <c r="AC141" s="391">
        <f t="shared" si="12"/>
        <v>59421.15</v>
      </c>
      <c r="AD141" s="389">
        <f t="shared" si="12"/>
        <v>224154.2</v>
      </c>
      <c r="AE141" s="390">
        <f t="shared" si="12"/>
        <v>229490</v>
      </c>
      <c r="AF141" s="390">
        <f t="shared" si="12"/>
        <v>243715.55</v>
      </c>
      <c r="AG141" s="390">
        <f t="shared" si="12"/>
        <v>392130</v>
      </c>
      <c r="AH141" s="390">
        <f t="shared" si="12"/>
        <v>632980</v>
      </c>
      <c r="AI141" s="390">
        <f t="shared" si="12"/>
        <v>645640</v>
      </c>
      <c r="AJ141" s="390">
        <f t="shared" si="12"/>
        <v>809500</v>
      </c>
      <c r="AK141" s="390">
        <f t="shared" si="12"/>
        <v>809400</v>
      </c>
      <c r="AL141" s="390">
        <f t="shared" si="12"/>
        <v>1723176.22</v>
      </c>
      <c r="AM141" s="390">
        <f t="shared" si="12"/>
        <v>3938039</v>
      </c>
      <c r="AN141" s="390">
        <f t="shared" si="12"/>
        <v>7102871</v>
      </c>
      <c r="AO141" s="391">
        <f t="shared" ref="AO141" si="13">SUM(AO2:AO140)</f>
        <v>7105675</v>
      </c>
      <c r="AP141" s="389">
        <f t="shared" ref="AP141:AZ141" si="14">SUM(AP2:AP140)</f>
        <v>9382975</v>
      </c>
      <c r="AQ141" s="390">
        <f t="shared" si="14"/>
        <v>6148830.7999999998</v>
      </c>
      <c r="AR141" s="390">
        <f t="shared" si="14"/>
        <v>444000</v>
      </c>
      <c r="AS141" s="390">
        <f t="shared" si="14"/>
        <v>0</v>
      </c>
      <c r="AT141" s="390">
        <f t="shared" si="14"/>
        <v>0</v>
      </c>
      <c r="AU141" s="390">
        <f t="shared" si="14"/>
        <v>0</v>
      </c>
      <c r="AV141" s="390">
        <f t="shared" si="14"/>
        <v>0</v>
      </c>
      <c r="AW141" s="390">
        <f t="shared" si="14"/>
        <v>0</v>
      </c>
      <c r="AX141" s="390">
        <f t="shared" si="14"/>
        <v>0</v>
      </c>
      <c r="AY141" s="390">
        <f t="shared" si="14"/>
        <v>0</v>
      </c>
      <c r="AZ141" s="390">
        <f t="shared" si="14"/>
        <v>0</v>
      </c>
      <c r="BA141" s="391">
        <f t="shared" ref="BA141" si="15">SUM(BA2:BA140)</f>
        <v>0</v>
      </c>
      <c r="BB141" s="304">
        <f t="shared" si="11"/>
        <v>23991916.07</v>
      </c>
      <c r="BC141" s="118"/>
      <c r="BD141" s="118"/>
    </row>
    <row r="142" spans="1:56">
      <c r="A142" s="74"/>
      <c r="B142" s="44" t="s">
        <v>1162</v>
      </c>
      <c r="C142" s="465"/>
      <c r="D142" s="463"/>
      <c r="E142" s="447">
        <f>'RESUMEN VIGILANCIA'!D142</f>
        <v>2</v>
      </c>
      <c r="F142" s="78">
        <f>'RESUMEN VIGILANCIA'!E142</f>
        <v>75</v>
      </c>
      <c r="G142" s="79">
        <f>'RESUMEN VIGILANCIA'!F142</f>
        <v>75</v>
      </c>
      <c r="H142" s="79">
        <f>'RESUMEN VIGILANCIA'!G142</f>
        <v>69</v>
      </c>
      <c r="I142" s="79">
        <f>'RESUMEN VIGILANCIA'!H142</f>
        <v>70</v>
      </c>
      <c r="J142" s="79">
        <f>'RESUMEN VIGILANCIA'!I142</f>
        <v>69</v>
      </c>
      <c r="K142" s="79">
        <f>'RESUMEN VIGILANCIA'!J142</f>
        <v>68</v>
      </c>
      <c r="L142" s="79">
        <f>'RESUMEN VIGILANCIA'!K142</f>
        <v>71</v>
      </c>
      <c r="M142" s="79">
        <f>'RESUMEN VIGILANCIA'!L142</f>
        <v>71</v>
      </c>
      <c r="N142" s="79">
        <f>'RESUMEN VIGILANCIA'!M142</f>
        <v>68</v>
      </c>
      <c r="O142" s="79">
        <f>'RESUMEN VIGILANCIA'!N142</f>
        <v>68</v>
      </c>
      <c r="P142" s="79">
        <f>'RESUMEN VIGILANCIA'!O142</f>
        <v>68</v>
      </c>
      <c r="Q142" s="77">
        <f>'RESUMEN VIGILANCIA'!P142</f>
        <v>68</v>
      </c>
      <c r="R142" s="78">
        <f>'RESUMEN VIGILANCIA'!Q142</f>
        <v>74</v>
      </c>
      <c r="S142" s="79">
        <f>'RESUMEN VIGILANCIA'!R142</f>
        <v>76</v>
      </c>
      <c r="T142" s="79">
        <f>'RESUMEN VIGILANCIA'!S142</f>
        <v>76</v>
      </c>
      <c r="U142" s="79">
        <f>'RESUMEN VIGILANCIA'!T142</f>
        <v>77</v>
      </c>
      <c r="V142" s="79">
        <f>'RESUMEN VIGILANCIA'!U142</f>
        <v>78</v>
      </c>
      <c r="W142" s="79">
        <f>'RESUMEN VIGILANCIA'!V142</f>
        <v>79</v>
      </c>
      <c r="X142" s="79">
        <f>'RESUMEN VIGILANCIA'!W142</f>
        <v>80</v>
      </c>
      <c r="Y142" s="79">
        <f>'RESUMEN VIGILANCIA'!X142</f>
        <v>78</v>
      </c>
      <c r="Z142" s="79">
        <f>'RESUMEN VIGILANCIA'!Y142</f>
        <v>75</v>
      </c>
      <c r="AA142" s="79">
        <f>'RESUMEN VIGILANCIA'!Z142</f>
        <v>77</v>
      </c>
      <c r="AB142" s="79">
        <f>'RESUMEN VIGILANCIA'!AA142</f>
        <v>76</v>
      </c>
      <c r="AC142" s="77">
        <f>'RESUMEN VIGILANCIA'!AB142</f>
        <v>76</v>
      </c>
      <c r="AD142" s="340">
        <f>'RESUMEN VIGILANCIA'!AC142</f>
        <v>78</v>
      </c>
      <c r="AE142" s="341">
        <f>'RESUMEN VIGILANCIA'!AD142</f>
        <v>78</v>
      </c>
      <c r="AF142" s="341">
        <f>'RESUMEN VIGILANCIA'!AE142</f>
        <v>79</v>
      </c>
      <c r="AG142" s="341">
        <f>'RESUMEN VIGILANCIA'!AF142</f>
        <v>80</v>
      </c>
      <c r="AH142" s="341">
        <f>'RESUMEN VIGILANCIA'!AG142</f>
        <v>81</v>
      </c>
      <c r="AI142" s="341">
        <f>'RESUMEN VIGILANCIA'!AH142</f>
        <v>81</v>
      </c>
      <c r="AJ142" s="341">
        <f>'RESUMEN VIGILANCIA'!AI142</f>
        <v>81</v>
      </c>
      <c r="AK142" s="341">
        <f>'RESUMEN VIGILANCIA'!AJ142</f>
        <v>81</v>
      </c>
      <c r="AL142" s="341">
        <f>'RESUMEN VIGILANCIA'!AK142</f>
        <v>80</v>
      </c>
      <c r="AM142" s="341">
        <f>'RESUMEN VIGILANCIA'!AL142</f>
        <v>81</v>
      </c>
      <c r="AN142" s="341">
        <f>'RESUMEN VIGILANCIA'!AM142</f>
        <v>79</v>
      </c>
      <c r="AO142" s="372">
        <f>'RESUMEN VIGILANCIA'!AN142</f>
        <v>74</v>
      </c>
      <c r="AP142" s="340">
        <f>'RESUMEN VIGILANCIA'!AO142</f>
        <v>71</v>
      </c>
      <c r="AQ142" s="341">
        <f>'RESUMEN VIGILANCIA'!AP142</f>
        <v>46</v>
      </c>
      <c r="AR142" s="341">
        <f>'RESUMEN VIGILANCIA'!AQ142</f>
        <v>5</v>
      </c>
      <c r="AS142" s="341">
        <f>'RESUMEN VIGILANCIA'!AR142</f>
        <v>0</v>
      </c>
      <c r="AT142" s="341">
        <f>'RESUMEN VIGILANCIA'!AS142</f>
        <v>0</v>
      </c>
      <c r="AU142" s="341">
        <f>'RESUMEN VIGILANCIA'!AT142</f>
        <v>0</v>
      </c>
      <c r="AV142" s="341">
        <f>'RESUMEN VIGILANCIA'!AU142</f>
        <v>0</v>
      </c>
      <c r="AW142" s="341">
        <f>'RESUMEN VIGILANCIA'!AV142</f>
        <v>0</v>
      </c>
      <c r="AX142" s="341">
        <f>'RESUMEN VIGILANCIA'!AW142</f>
        <v>0</v>
      </c>
      <c r="AY142" s="341">
        <f>'RESUMEN VIGILANCIA'!AX142</f>
        <v>0</v>
      </c>
      <c r="AZ142" s="341">
        <f>'RESUMEN VIGILANCIA'!AY142</f>
        <v>0</v>
      </c>
      <c r="BA142" s="372">
        <f>'RESUMEN VIGILANCIA'!AZ142</f>
        <v>0</v>
      </c>
      <c r="BB142" s="56">
        <f t="shared" si="11"/>
        <v>2717</v>
      </c>
      <c r="BC142" s="119"/>
      <c r="BD142" s="119"/>
    </row>
    <row r="143" spans="1:56">
      <c r="A143" s="75"/>
      <c r="B143" s="76" t="s">
        <v>1163</v>
      </c>
      <c r="C143" s="465"/>
      <c r="D143" s="463"/>
      <c r="E143" s="447">
        <f>'RESUMEN VIGILANCIA'!D143</f>
        <v>0</v>
      </c>
      <c r="F143" s="78">
        <f>'RESUMEN VIGILANCIA'!E143</f>
        <v>46</v>
      </c>
      <c r="G143" s="79">
        <f>'RESUMEN VIGILANCIA'!F143</f>
        <v>50</v>
      </c>
      <c r="H143" s="79">
        <f>'RESUMEN VIGILANCIA'!G143</f>
        <v>46</v>
      </c>
      <c r="I143" s="79">
        <f>'RESUMEN VIGILANCIA'!H143</f>
        <v>52</v>
      </c>
      <c r="J143" s="79">
        <f>'RESUMEN VIGILANCIA'!I143</f>
        <v>48</v>
      </c>
      <c r="K143" s="79">
        <f>'RESUMEN VIGILANCIA'!J143</f>
        <v>51</v>
      </c>
      <c r="L143" s="79">
        <f>'RESUMEN VIGILANCIA'!K143</f>
        <v>47</v>
      </c>
      <c r="M143" s="79">
        <f>'RESUMEN VIGILANCIA'!L143</f>
        <v>50</v>
      </c>
      <c r="N143" s="79">
        <f>'RESUMEN VIGILANCIA'!M143</f>
        <v>50</v>
      </c>
      <c r="O143" s="79">
        <f>'RESUMEN VIGILANCIA'!N143</f>
        <v>52</v>
      </c>
      <c r="P143" s="79">
        <f>'RESUMEN VIGILANCIA'!O143</f>
        <v>52</v>
      </c>
      <c r="Q143" s="77">
        <f>'RESUMEN VIGILANCIA'!P143</f>
        <v>52</v>
      </c>
      <c r="R143" s="78">
        <f>'RESUMEN VIGILANCIA'!Q143</f>
        <v>59</v>
      </c>
      <c r="S143" s="79">
        <f>'RESUMEN VIGILANCIA'!R143</f>
        <v>63</v>
      </c>
      <c r="T143" s="79">
        <f>'RESUMEN VIGILANCIA'!S143</f>
        <v>61</v>
      </c>
      <c r="U143" s="79">
        <f>'RESUMEN VIGILANCIA'!T143</f>
        <v>64</v>
      </c>
      <c r="V143" s="79">
        <f>'RESUMEN VIGILANCIA'!U143</f>
        <v>64</v>
      </c>
      <c r="W143" s="79">
        <f>'RESUMEN VIGILANCIA'!V143</f>
        <v>62</v>
      </c>
      <c r="X143" s="79">
        <f>'RESUMEN VIGILANCIA'!W143</f>
        <v>73</v>
      </c>
      <c r="Y143" s="79">
        <f>'RESUMEN VIGILANCIA'!X143</f>
        <v>73</v>
      </c>
      <c r="Z143" s="79">
        <f>'RESUMEN VIGILANCIA'!Y143</f>
        <v>68</v>
      </c>
      <c r="AA143" s="79">
        <f>'RESUMEN VIGILANCIA'!Z143</f>
        <v>70</v>
      </c>
      <c r="AB143" s="79">
        <f>'RESUMEN VIGILANCIA'!AA143</f>
        <v>72</v>
      </c>
      <c r="AC143" s="77">
        <f>'RESUMEN VIGILANCIA'!AB143</f>
        <v>69</v>
      </c>
      <c r="AD143" s="340">
        <f>'RESUMEN VIGILANCIA'!AC143</f>
        <v>71</v>
      </c>
      <c r="AE143" s="341">
        <f>'RESUMEN VIGILANCIA'!AD143</f>
        <v>72</v>
      </c>
      <c r="AF143" s="341">
        <f>'RESUMEN VIGILANCIA'!AE143</f>
        <v>75</v>
      </c>
      <c r="AG143" s="341">
        <f>'RESUMEN VIGILANCIA'!AF143</f>
        <v>74</v>
      </c>
      <c r="AH143" s="341">
        <f>'RESUMEN VIGILANCIA'!AG143</f>
        <v>75</v>
      </c>
      <c r="AI143" s="341">
        <f>'RESUMEN VIGILANCIA'!AH143</f>
        <v>76</v>
      </c>
      <c r="AJ143" s="341">
        <f>'RESUMEN VIGILANCIA'!AI143</f>
        <v>75</v>
      </c>
      <c r="AK143" s="341">
        <f>'RESUMEN VIGILANCIA'!AJ143</f>
        <v>75</v>
      </c>
      <c r="AL143" s="341">
        <f>'RESUMEN VIGILANCIA'!AK143</f>
        <v>40</v>
      </c>
      <c r="AM143" s="341">
        <f>'RESUMEN VIGILANCIA'!AL143</f>
        <v>37</v>
      </c>
      <c r="AN143" s="341">
        <f>'RESUMEN VIGILANCIA'!AM143</f>
        <v>26</v>
      </c>
      <c r="AO143" s="372">
        <f>'RESUMEN VIGILANCIA'!AN143</f>
        <v>33</v>
      </c>
      <c r="AP143" s="340">
        <f>'RESUMEN VIGILANCIA'!AO143</f>
        <v>63</v>
      </c>
      <c r="AQ143" s="341">
        <f>'RESUMEN VIGILANCIA'!AP143</f>
        <v>41</v>
      </c>
      <c r="AR143" s="341">
        <f>'RESUMEN VIGILANCIA'!AQ143</f>
        <v>5</v>
      </c>
      <c r="AS143" s="341">
        <f>'RESUMEN VIGILANCIA'!AR143</f>
        <v>0</v>
      </c>
      <c r="AT143" s="341">
        <f>'RESUMEN VIGILANCIA'!AS143</f>
        <v>0</v>
      </c>
      <c r="AU143" s="341">
        <f>'RESUMEN VIGILANCIA'!AT143</f>
        <v>0</v>
      </c>
      <c r="AV143" s="341">
        <f>'RESUMEN VIGILANCIA'!AU143</f>
        <v>0</v>
      </c>
      <c r="AW143" s="341">
        <f>'RESUMEN VIGILANCIA'!AV143</f>
        <v>0</v>
      </c>
      <c r="AX143" s="341">
        <f>'RESUMEN VIGILANCIA'!AW143</f>
        <v>0</v>
      </c>
      <c r="AY143" s="341">
        <f>'RESUMEN VIGILANCIA'!AX143</f>
        <v>0</v>
      </c>
      <c r="AZ143" s="341">
        <f>'RESUMEN VIGILANCIA'!AY143</f>
        <v>0</v>
      </c>
      <c r="BA143" s="372">
        <f>'RESUMEN VIGILANCIA'!AZ143</f>
        <v>0</v>
      </c>
      <c r="BB143" s="56">
        <f t="shared" si="11"/>
        <v>2123</v>
      </c>
      <c r="BC143" s="119"/>
      <c r="BD143" s="119"/>
    </row>
    <row r="144" spans="1:56">
      <c r="A144" s="511" t="s">
        <v>1165</v>
      </c>
      <c r="B144" s="57"/>
      <c r="C144" s="466"/>
      <c r="D144" s="467"/>
      <c r="E144" s="448"/>
      <c r="F144" s="260">
        <f>IF(NOT(ISBLANK('RESUMEN VIGILANCIA'!E145)),'RESUMEN VIGILANCIA'!E145,"")</f>
        <v>0.17</v>
      </c>
      <c r="G144" s="257">
        <f>IF(NOT(ISBLANK('RESUMEN VIGILANCIA'!F145)),'RESUMEN VIGILANCIA'!F145,"")</f>
        <v>0.17</v>
      </c>
      <c r="H144" s="257">
        <f>IF(NOT(ISBLANK('RESUMEN VIGILANCIA'!G145)),'RESUMEN VIGILANCIA'!G145,"")</f>
        <v>0.17</v>
      </c>
      <c r="I144" s="257">
        <f>IF(NOT(ISBLANK('RESUMEN VIGILANCIA'!H145)),'RESUMEN VIGILANCIA'!H145,"")</f>
        <v>0.17</v>
      </c>
      <c r="J144" s="257">
        <f>IF(NOT(ISBLANK('RESUMEN VIGILANCIA'!I145)),'RESUMEN VIGILANCIA'!I145,"")</f>
        <v>0.26</v>
      </c>
      <c r="K144" s="257">
        <f>IF(NOT(ISBLANK('RESUMEN VIGILANCIA'!J145)),'RESUMEN VIGILANCIA'!J145,"")</f>
        <v>0.26</v>
      </c>
      <c r="L144" s="257">
        <f>IF(NOT(ISBLANK('RESUMEN VIGILANCIA'!K145)),'RESUMEN VIGILANCIA'!K145,"")</f>
        <v>0.35</v>
      </c>
      <c r="M144" s="257">
        <f>IF(NOT(ISBLANK('RESUMEN VIGILANCIA'!L145)),'RESUMEN VIGILANCIA'!L145,"")</f>
        <v>0.35</v>
      </c>
      <c r="N144" s="257">
        <f>IF(NOT(ISBLANK('RESUMEN VIGILANCIA'!M145)),'RESUMEN VIGILANCIA'!M145,"")</f>
        <v>0.35</v>
      </c>
      <c r="O144" s="257">
        <f>IF(NOT(ISBLANK('RESUMEN VIGILANCIA'!N145)),'RESUMEN VIGILANCIA'!N145,"")</f>
        <v>0.35</v>
      </c>
      <c r="P144" s="257">
        <f>IF(NOT(ISBLANK('RESUMEN VIGILANCIA'!O145)),'RESUMEN VIGILANCIA'!O145,"")</f>
        <v>0.5</v>
      </c>
      <c r="Q144" s="255">
        <f>IF(NOT(ISBLANK('RESUMEN VIGILANCIA'!P145)),'RESUMEN VIGILANCIA'!P145,"")</f>
        <v>0.5</v>
      </c>
      <c r="R144" s="261">
        <f>IF(NOT(ISBLANK('RESUMEN VIGILANCIA'!Q145)),'RESUMEN VIGILANCIA'!Q145,"")</f>
        <v>0.8</v>
      </c>
      <c r="S144" s="262">
        <f>IF(NOT(ISBLANK('RESUMEN VIGILANCIA'!R145)),'RESUMEN VIGILANCIA'!R145,"")</f>
        <v>0.8</v>
      </c>
      <c r="T144" s="262">
        <f>IF(NOT(ISBLANK('RESUMEN VIGILANCIA'!S145)),'RESUMEN VIGILANCIA'!S145,"")</f>
        <v>1.4</v>
      </c>
      <c r="U144" s="262">
        <f>IF(NOT(ISBLANK('RESUMEN VIGILANCIA'!T145)),'RESUMEN VIGILANCIA'!T145,"")</f>
        <v>1.4</v>
      </c>
      <c r="V144" s="262">
        <f>IF(NOT(ISBLANK('RESUMEN VIGILANCIA'!U145)),'RESUMEN VIGILANCIA'!U145,"")</f>
        <v>4</v>
      </c>
      <c r="W144" s="262">
        <f>IF(NOT(ISBLANK('RESUMEN VIGILANCIA'!V145)),'RESUMEN VIGILANCIA'!V145,"")</f>
        <v>6.25</v>
      </c>
      <c r="X144" s="262">
        <f>IF(NOT(ISBLANK('RESUMEN VIGILANCIA'!W145)),'RESUMEN VIGILANCIA'!W145,"")</f>
        <v>10</v>
      </c>
      <c r="Y144" s="262">
        <f>IF(NOT(ISBLANK('RESUMEN VIGILANCIA'!X145)),'RESUMEN VIGILANCIA'!X145,"")</f>
        <v>12</v>
      </c>
      <c r="Z144" s="508">
        <f>IF(NOT(ISBLANK('RESUMEN VIGILANCIA'!Y145)),'RESUMEN VIGILANCIA'!Y145,"")</f>
        <v>320</v>
      </c>
      <c r="AA144" s="508">
        <f>IF(NOT(ISBLANK('RESUMEN VIGILANCIA'!Z145)),'RESUMEN VIGILANCIA'!Z145,"")</f>
        <v>320</v>
      </c>
      <c r="AB144" s="508">
        <f>IF(NOT(ISBLANK('RESUMEN VIGILANCIA'!AA145)),'RESUMEN VIGILANCIA'!AA145,"")</f>
        <v>320</v>
      </c>
      <c r="AC144" s="391">
        <f>IF(NOT(ISBLANK('RESUMEN VIGILANCIA'!AB145)),'RESUMEN VIGILANCIA'!AB145,"")</f>
        <v>800</v>
      </c>
      <c r="AD144" s="389">
        <f>IF(NOT(ISBLANK('RESUMEN VIGILANCIA'!AC145)),'RESUMEN VIGILANCIA'!AC145,"")</f>
        <v>3000</v>
      </c>
      <c r="AE144" s="390">
        <f>IF(NOT(ISBLANK('RESUMEN VIGILANCIA'!AD145)),'RESUMEN VIGILANCIA'!AD145,"")</f>
        <v>3000</v>
      </c>
      <c r="AF144" s="390">
        <f>IF(NOT(ISBLANK('RESUMEN VIGILANCIA'!AE145)),'RESUMEN VIGILANCIA'!AE145,"")</f>
        <v>3000</v>
      </c>
      <c r="AG144" s="390">
        <f>IF(NOT(ISBLANK('RESUMEN VIGILANCIA'!AF145)),'RESUMEN VIGILANCIA'!AF145,"")</f>
        <v>5000</v>
      </c>
      <c r="AH144" s="390">
        <f>IF(NOT(ISBLANK('RESUMEN VIGILANCIA'!AG145)),'RESUMEN VIGILANCIA'!AG145,"")</f>
        <v>8000</v>
      </c>
      <c r="AI144" s="390">
        <f>IF(NOT(ISBLANK('RESUMEN VIGILANCIA'!AH145)),'RESUMEN VIGILANCIA'!AH145,"")</f>
        <v>8000</v>
      </c>
      <c r="AJ144" s="390">
        <f>IF(NOT(ISBLANK('RESUMEN VIGILANCIA'!AI145)),'RESUMEN VIGILANCIA'!AI145,"")</f>
        <v>10000</v>
      </c>
      <c r="AK144" s="390">
        <f>IF(NOT(ISBLANK('RESUMEN VIGILANCIA'!AJ145)),'RESUMEN VIGILANCIA'!AJ145,"")</f>
        <v>10000</v>
      </c>
      <c r="AL144" s="390">
        <f>IF(NOT(ISBLANK('RESUMEN VIGILANCIA'!AK145)),'RESUMEN VIGILANCIA'!AK145,"")</f>
        <v>20720</v>
      </c>
      <c r="AM144" s="390">
        <f>IF(NOT(ISBLANK('RESUMEN VIGILANCIA'!AL145)),'RESUMEN VIGILANCIA'!AL145,"")</f>
        <v>50250</v>
      </c>
      <c r="AN144" s="390">
        <f>IF(NOT(ISBLANK('RESUMEN VIGILANCIA'!AM145)),'RESUMEN VIGILANCIA'!AM145,"")</f>
        <v>65450</v>
      </c>
      <c r="AO144" s="391">
        <f>IF(NOT(ISBLANK('RESUMEN VIGILANCIA'!AN145)),'RESUMEN VIGILANCIA'!AN145,"")</f>
        <v>100041.66666666667</v>
      </c>
      <c r="AP144" s="389">
        <f>IF(NOT(ISBLANK('RESUMEN VIGILANCIA'!AO145)),'RESUMEN VIGILANCIA'!AO145,"")</f>
        <v>130050</v>
      </c>
      <c r="AQ144" s="390">
        <f>IF(NOT(ISBLANK('RESUMEN VIGILANCIA'!AP145)),'RESUMEN VIGILANCIA'!AP145,"")</f>
        <v>136250</v>
      </c>
      <c r="AR144" s="390">
        <f>IF(NOT(ISBLANK('RESUMEN VIGILANCIA'!AQ145)),'RESUMEN VIGILANCIA'!AQ145,"")</f>
        <v>0</v>
      </c>
      <c r="AS144" s="390">
        <f>IF(NOT(ISBLANK('RESUMEN VIGILANCIA'!AR145)),'RESUMEN VIGILANCIA'!AR145,"")</f>
        <v>0</v>
      </c>
      <c r="AT144" s="390">
        <f>IF(NOT(ISBLANK('RESUMEN VIGILANCIA'!AS145)),'RESUMEN VIGILANCIA'!AS145,"")</f>
        <v>0</v>
      </c>
      <c r="AU144" s="390">
        <f>IF(NOT(ISBLANK('RESUMEN VIGILANCIA'!AT145)),'RESUMEN VIGILANCIA'!AT145,"")</f>
        <v>0</v>
      </c>
      <c r="AV144" s="390">
        <f>IF(NOT(ISBLANK('RESUMEN VIGILANCIA'!AU145)),'RESUMEN VIGILANCIA'!AU145,"")</f>
        <v>0</v>
      </c>
      <c r="AW144" s="390">
        <f>IF(NOT(ISBLANK('RESUMEN VIGILANCIA'!AV145)),'RESUMEN VIGILANCIA'!AV145,"")</f>
        <v>0</v>
      </c>
      <c r="AX144" s="390">
        <f>IF(NOT(ISBLANK('RESUMEN VIGILANCIA'!AW145)),'RESUMEN VIGILANCIA'!AW145,"")</f>
        <v>0</v>
      </c>
      <c r="AY144" s="390">
        <f>IF(NOT(ISBLANK('RESUMEN VIGILANCIA'!AX145)),'RESUMEN VIGILANCIA'!AX145,"")</f>
        <v>0</v>
      </c>
      <c r="AZ144" s="390">
        <f>IF(NOT(ISBLANK('RESUMEN VIGILANCIA'!AY145)),'RESUMEN VIGILANCIA'!AY145,"")</f>
        <v>0</v>
      </c>
      <c r="BA144" s="391">
        <f>IF(NOT(ISBLANK('RESUMEN VIGILANCIA'!AZ145)),'RESUMEN VIGILANCIA'!AZ145,"")</f>
        <v>0</v>
      </c>
      <c r="BB144" s="263"/>
      <c r="BC144" s="120"/>
      <c r="BD144" s="120"/>
    </row>
    <row r="145" spans="1:56">
      <c r="A145" s="82" t="s">
        <v>1166</v>
      </c>
      <c r="B145" s="57"/>
      <c r="C145" s="510"/>
      <c r="D145" s="467"/>
      <c r="E145" s="448"/>
      <c r="F145" s="260">
        <f>IF(NOT(ISBLANK('RESUMEN VIGILANCIA'!E146)),'RESUMEN VIGILANCIA'!E146,"")</f>
        <v>0.12</v>
      </c>
      <c r="G145" s="257">
        <f>IF(NOT(ISBLANK('RESUMEN VIGILANCIA'!F146)),'RESUMEN VIGILANCIA'!F146,"")</f>
        <v>0.2</v>
      </c>
      <c r="H145" s="257">
        <f>IF(NOT(ISBLANK('RESUMEN VIGILANCIA'!G146)),'RESUMEN VIGILANCIA'!G146,"")</f>
        <v>0.2</v>
      </c>
      <c r="I145" s="257">
        <f>IF(NOT(ISBLANK('RESUMEN VIGILANCIA'!H146)),'RESUMEN VIGILANCIA'!H146,"")</f>
        <v>0.2</v>
      </c>
      <c r="J145" s="257">
        <f>IF(NOT(ISBLANK('RESUMEN VIGILANCIA'!I146)),'RESUMEN VIGILANCIA'!I146,"")</f>
        <v>0.3</v>
      </c>
      <c r="K145" s="257">
        <f>IF(NOT(ISBLANK('RESUMEN VIGILANCIA'!J146)),'RESUMEN VIGILANCIA'!J146,"")</f>
        <v>0.3</v>
      </c>
      <c r="L145" s="257">
        <f>IF(NOT(ISBLANK('RESUMEN VIGILANCIA'!K146)),'RESUMEN VIGILANCIA'!K146,"")</f>
        <v>0.4</v>
      </c>
      <c r="M145" s="257">
        <f>IF(NOT(ISBLANK('RESUMEN VIGILANCIA'!L146)),'RESUMEN VIGILANCIA'!L146,"")</f>
        <v>0.4</v>
      </c>
      <c r="N145" s="257">
        <f>IF(NOT(ISBLANK('RESUMEN VIGILANCIA'!M146)),'RESUMEN VIGILANCIA'!M146,"")</f>
        <v>0.4</v>
      </c>
      <c r="O145" s="257">
        <f>IF(NOT(ISBLANK('RESUMEN VIGILANCIA'!N146)),'RESUMEN VIGILANCIA'!N146,"")</f>
        <v>0.4</v>
      </c>
      <c r="P145" s="257">
        <f>IF(NOT(ISBLANK('RESUMEN VIGILANCIA'!O146)),'RESUMEN VIGILANCIA'!O146,"")</f>
        <v>0.54</v>
      </c>
      <c r="Q145" s="255">
        <f>IF(NOT(ISBLANK('RESUMEN VIGILANCIA'!P146)),'RESUMEN VIGILANCIA'!P146,"")</f>
        <v>0.54</v>
      </c>
      <c r="R145" s="261">
        <f>IF(NOT(ISBLANK('RESUMEN VIGILANCIA'!Q146)),'RESUMEN VIGILANCIA'!Q146,"")</f>
        <v>0.86399999999999999</v>
      </c>
      <c r="S145" s="262">
        <f>IF(NOT(ISBLANK('RESUMEN VIGILANCIA'!R146)),'RESUMEN VIGILANCIA'!R146,"")</f>
        <v>0.86399999999999999</v>
      </c>
      <c r="T145" s="262">
        <f>IF(NOT(ISBLANK('RESUMEN VIGILANCIA'!S146)),'RESUMEN VIGILANCIA'!S146,"")</f>
        <v>1.55</v>
      </c>
      <c r="U145" s="262">
        <f>IF(NOT(ISBLANK('RESUMEN VIGILANCIA'!T146)),'RESUMEN VIGILANCIA'!T146,"")</f>
        <v>1.55</v>
      </c>
      <c r="V145" s="262">
        <f>IF(NOT(ISBLANK('RESUMEN VIGILANCIA'!U146)),'RESUMEN VIGILANCIA'!U146,"")</f>
        <v>4.4000000000000004</v>
      </c>
      <c r="W145" s="262">
        <f>IF(NOT(ISBLANK('RESUMEN VIGILANCIA'!V146)),'RESUMEN VIGILANCIA'!V146,"")</f>
        <v>6.875</v>
      </c>
      <c r="X145" s="262">
        <f>IF(NOT(ISBLANK('RESUMEN VIGILANCIA'!W146)),'RESUMEN VIGILANCIA'!W146,"")</f>
        <v>11</v>
      </c>
      <c r="Y145" s="262">
        <f>IF(NOT(ISBLANK('RESUMEN VIGILANCIA'!X146)),'RESUMEN VIGILANCIA'!X146,"")</f>
        <v>13.2</v>
      </c>
      <c r="Z145" s="508">
        <f>IF(NOT(ISBLANK('RESUMEN VIGILANCIA'!Y146)),'RESUMEN VIGILANCIA'!Y146,"")</f>
        <v>355</v>
      </c>
      <c r="AA145" s="508">
        <f>IF(NOT(ISBLANK('RESUMEN VIGILANCIA'!Z146)),'RESUMEN VIGILANCIA'!Z146,"")</f>
        <v>355</v>
      </c>
      <c r="AB145" s="508">
        <f>IF(NOT(ISBLANK('RESUMEN VIGILANCIA'!AA146)),'RESUMEN VIGILANCIA'!AA146,"")</f>
        <v>355</v>
      </c>
      <c r="AC145" s="391">
        <f>IF(NOT(ISBLANK('RESUMEN VIGILANCIA'!AB146)),'RESUMEN VIGILANCIA'!AB146,"")</f>
        <v>880</v>
      </c>
      <c r="AD145" s="389">
        <f>IF(NOT(ISBLANK('RESUMEN VIGILANCIA'!AC146)),'RESUMEN VIGILANCIA'!AC146,"")</f>
        <v>3300</v>
      </c>
      <c r="AE145" s="390">
        <f>IF(NOT(ISBLANK('RESUMEN VIGILANCIA'!AD146)),'RESUMEN VIGILANCIA'!AD146,"")</f>
        <v>3300</v>
      </c>
      <c r="AF145" s="390">
        <f>IF(NOT(ISBLANK('RESUMEN VIGILANCIA'!AE146)),'RESUMEN VIGILANCIA'!AE146,"")</f>
        <v>3300</v>
      </c>
      <c r="AG145" s="390">
        <f>IF(NOT(ISBLANK('RESUMEN VIGILANCIA'!AF146)),'RESUMEN VIGILANCIA'!AF146,"")</f>
        <v>5500</v>
      </c>
      <c r="AH145" s="390">
        <f>IF(NOT(ISBLANK('RESUMEN VIGILANCIA'!AG146)),'RESUMEN VIGILANCIA'!AG146,"")</f>
        <v>8800</v>
      </c>
      <c r="AI145" s="390">
        <f>IF(NOT(ISBLANK('RESUMEN VIGILANCIA'!AH146)),'RESUMEN VIGILANCIA'!AH146,"")</f>
        <v>8800</v>
      </c>
      <c r="AJ145" s="390">
        <f>IF(NOT(ISBLANK('RESUMEN VIGILANCIA'!AI146)),'RESUMEN VIGILANCIA'!AI146,"")</f>
        <v>11000</v>
      </c>
      <c r="AK145" s="390">
        <f>IF(NOT(ISBLANK('RESUMEN VIGILANCIA'!AJ146)),'RESUMEN VIGILANCIA'!AJ146,"")</f>
        <v>11000</v>
      </c>
      <c r="AL145" s="390">
        <f>IF(NOT(ISBLANK('RESUMEN VIGILANCIA'!AK146)),'RESUMEN VIGILANCIA'!AK146,"")</f>
        <v>22795</v>
      </c>
      <c r="AM145" s="390">
        <f>IF(NOT(ISBLANK('RESUMEN VIGILANCIA'!AL146)),'RESUMEN VIGILANCIA'!AL146,"")</f>
        <v>55275</v>
      </c>
      <c r="AN145" s="390">
        <f>IF(NOT(ISBLANK('RESUMEN VIGILANCIA'!AM146)),'RESUMEN VIGILANCIA'!AM146,"")</f>
        <v>71995</v>
      </c>
      <c r="AO145" s="391">
        <f>IF(NOT(ISBLANK('RESUMEN VIGILANCIA'!AN146)),'RESUMEN VIGILANCIA'!AN146,"")</f>
        <v>110050</v>
      </c>
      <c r="AP145" s="389">
        <f>IF(NOT(ISBLANK('RESUMEN VIGILANCIA'!AO146)),'RESUMEN VIGILANCIA'!AO146,"")</f>
        <v>143055</v>
      </c>
      <c r="AQ145" s="390">
        <f>IF(NOT(ISBLANK('RESUMEN VIGILANCIA'!AP146)),'RESUMEN VIGILANCIA'!AP146,"")</f>
        <v>149875</v>
      </c>
      <c r="AR145" s="390">
        <f>IF(NOT(ISBLANK('RESUMEN VIGILANCIA'!AQ146)),'RESUMEN VIGILANCIA'!AQ146,"")</f>
        <v>0</v>
      </c>
      <c r="AS145" s="390">
        <f>IF(NOT(ISBLANK('RESUMEN VIGILANCIA'!AR146)),'RESUMEN VIGILANCIA'!AR146,"")</f>
        <v>0</v>
      </c>
      <c r="AT145" s="390">
        <f>IF(NOT(ISBLANK('RESUMEN VIGILANCIA'!AS146)),'RESUMEN VIGILANCIA'!AS146,"")</f>
        <v>0</v>
      </c>
      <c r="AU145" s="390">
        <f>IF(NOT(ISBLANK('RESUMEN VIGILANCIA'!AT146)),'RESUMEN VIGILANCIA'!AT146,"")</f>
        <v>0</v>
      </c>
      <c r="AV145" s="390">
        <f>IF(NOT(ISBLANK('RESUMEN VIGILANCIA'!AU146)),'RESUMEN VIGILANCIA'!AU146,"")</f>
        <v>0</v>
      </c>
      <c r="AW145" s="390">
        <f>IF(NOT(ISBLANK('RESUMEN VIGILANCIA'!AV146)),'RESUMEN VIGILANCIA'!AV146,"")</f>
        <v>0</v>
      </c>
      <c r="AX145" s="390">
        <f>IF(NOT(ISBLANK('RESUMEN VIGILANCIA'!AW146)),'RESUMEN VIGILANCIA'!AW146,"")</f>
        <v>0</v>
      </c>
      <c r="AY145" s="390">
        <f>IF(NOT(ISBLANK('RESUMEN VIGILANCIA'!AX146)),'RESUMEN VIGILANCIA'!AX146,"")</f>
        <v>0</v>
      </c>
      <c r="AZ145" s="390">
        <f>IF(NOT(ISBLANK('RESUMEN VIGILANCIA'!AY146)),'RESUMEN VIGILANCIA'!AY146,"")</f>
        <v>0</v>
      </c>
      <c r="BA145" s="391">
        <f>IF(NOT(ISBLANK('RESUMEN VIGILANCIA'!AZ146)),'RESUMEN VIGILANCIA'!AZ146,"")</f>
        <v>0</v>
      </c>
      <c r="BB145" s="263"/>
      <c r="BC145" s="120"/>
      <c r="BD145" s="120"/>
    </row>
    <row r="146" spans="1:56">
      <c r="A146" s="82" t="s">
        <v>1167</v>
      </c>
      <c r="B146" s="57"/>
      <c r="C146" s="510"/>
      <c r="D146" s="467"/>
      <c r="E146" s="448"/>
      <c r="F146" s="260">
        <f>IF(NOT(ISBLANK('RESUMEN VIGILANCIA'!E147)),'RESUMEN VIGILANCIA'!E147,"")</f>
        <v>0.3</v>
      </c>
      <c r="G146" s="257">
        <f>IF(NOT(ISBLANK('RESUMEN VIGILANCIA'!F147)),'RESUMEN VIGILANCIA'!F147,"")</f>
        <v>0.3</v>
      </c>
      <c r="H146" s="257">
        <f>IF(NOT(ISBLANK('RESUMEN VIGILANCIA'!G147)),'RESUMEN VIGILANCIA'!G147,"")</f>
        <v>0.3</v>
      </c>
      <c r="I146" s="257">
        <f>IF(NOT(ISBLANK('RESUMEN VIGILANCIA'!H147)),'RESUMEN VIGILANCIA'!H147,"")</f>
        <v>0.3</v>
      </c>
      <c r="J146" s="257">
        <f>IF(NOT(ISBLANK('RESUMEN VIGILANCIA'!I147)),'RESUMEN VIGILANCIA'!I147,"")</f>
        <v>0.4</v>
      </c>
      <c r="K146" s="257">
        <f>IF(NOT(ISBLANK('RESUMEN VIGILANCIA'!J147)),'RESUMEN VIGILANCIA'!J147,"")</f>
        <v>0.4</v>
      </c>
      <c r="L146" s="257">
        <f>IF(NOT(ISBLANK('RESUMEN VIGILANCIA'!K147)),'RESUMEN VIGILANCIA'!K147,"")</f>
        <v>0.54</v>
      </c>
      <c r="M146" s="257">
        <f>IF(NOT(ISBLANK('RESUMEN VIGILANCIA'!L147)),'RESUMEN VIGILANCIA'!L147,"")</f>
        <v>0.54</v>
      </c>
      <c r="N146" s="257">
        <f>IF(NOT(ISBLANK('RESUMEN VIGILANCIA'!M147)),'RESUMEN VIGILANCIA'!M147,"")</f>
        <v>0.54</v>
      </c>
      <c r="O146" s="257">
        <f>IF(NOT(ISBLANK('RESUMEN VIGILANCIA'!N147)),'RESUMEN VIGILANCIA'!N147,"")</f>
        <v>0.54</v>
      </c>
      <c r="P146" s="257">
        <f>IF(NOT(ISBLANK('RESUMEN VIGILANCIA'!O147)),'RESUMEN VIGILANCIA'!O147,"")</f>
        <v>0.71</v>
      </c>
      <c r="Q146" s="255">
        <f>IF(NOT(ISBLANK('RESUMEN VIGILANCIA'!P147)),'RESUMEN VIGILANCIA'!P147,"")</f>
        <v>0.71</v>
      </c>
      <c r="R146" s="261">
        <f>IF(NOT(ISBLANK('RESUMEN VIGILANCIA'!Q147)),'RESUMEN VIGILANCIA'!Q147,"")</f>
        <v>1.1359999999999999</v>
      </c>
      <c r="S146" s="262">
        <f>IF(NOT(ISBLANK('RESUMEN VIGILANCIA'!R147)),'RESUMEN VIGILANCIA'!R147,"")</f>
        <v>1.1359999999999999</v>
      </c>
      <c r="T146" s="262">
        <f>IF(NOT(ISBLANK('RESUMEN VIGILANCIA'!S147)),'RESUMEN VIGILANCIA'!S147,"")</f>
        <v>2</v>
      </c>
      <c r="U146" s="262">
        <f>IF(NOT(ISBLANK('RESUMEN VIGILANCIA'!T147)),'RESUMEN VIGILANCIA'!T147,"")</f>
        <v>2</v>
      </c>
      <c r="V146" s="262">
        <f>IF(NOT(ISBLANK('RESUMEN VIGILANCIA'!U147)),'RESUMEN VIGILANCIA'!U147,"")</f>
        <v>5.8</v>
      </c>
      <c r="W146" s="262">
        <f>IF(NOT(ISBLANK('RESUMEN VIGILANCIA'!V147)),'RESUMEN VIGILANCIA'!V147,"")</f>
        <v>9.0649999999999995</v>
      </c>
      <c r="X146" s="262">
        <f>IF(NOT(ISBLANK('RESUMEN VIGILANCIA'!W147)),'RESUMEN VIGILANCIA'!W147,"")</f>
        <v>14.5</v>
      </c>
      <c r="Y146" s="262">
        <f>IF(NOT(ISBLANK('RESUMEN VIGILANCIA'!X147)),'RESUMEN VIGILANCIA'!X147,"")</f>
        <v>17.399999999999999</v>
      </c>
      <c r="Z146" s="508">
        <f>IF(NOT(ISBLANK('RESUMEN VIGILANCIA'!Y147)),'RESUMEN VIGILANCIA'!Y147,"")</f>
        <v>465</v>
      </c>
      <c r="AA146" s="508">
        <f>IF(NOT(ISBLANK('RESUMEN VIGILANCIA'!Z147)),'RESUMEN VIGILANCIA'!Z147,"")</f>
        <v>465</v>
      </c>
      <c r="AB146" s="508">
        <f>IF(NOT(ISBLANK('RESUMEN VIGILANCIA'!AA147)),'RESUMEN VIGILANCIA'!AA147,"")</f>
        <v>465</v>
      </c>
      <c r="AC146" s="391">
        <f>IF(NOT(ISBLANK('RESUMEN VIGILANCIA'!AB147)),'RESUMEN VIGILANCIA'!AB147,"")</f>
        <v>1160</v>
      </c>
      <c r="AD146" s="389">
        <f>IF(NOT(ISBLANK('RESUMEN VIGILANCIA'!AC147)),'RESUMEN VIGILANCIA'!AC147,"")</f>
        <v>4350</v>
      </c>
      <c r="AE146" s="390">
        <f>IF(NOT(ISBLANK('RESUMEN VIGILANCIA'!AD147)),'RESUMEN VIGILANCIA'!AD147,"")</f>
        <v>4350</v>
      </c>
      <c r="AF146" s="390">
        <f>IF(NOT(ISBLANK('RESUMEN VIGILANCIA'!AE147)),'RESUMEN VIGILANCIA'!AE147,"")</f>
        <v>4350</v>
      </c>
      <c r="AG146" s="390">
        <f>IF(NOT(ISBLANK('RESUMEN VIGILANCIA'!AF147)),'RESUMEN VIGILANCIA'!AF147,"")</f>
        <v>7250</v>
      </c>
      <c r="AH146" s="390">
        <f>IF(NOT(ISBLANK('RESUMEN VIGILANCIA'!AG147)),'RESUMEN VIGILANCIA'!AG147,"")</f>
        <v>11600</v>
      </c>
      <c r="AI146" s="390">
        <f>IF(NOT(ISBLANK('RESUMEN VIGILANCIA'!AH147)),'RESUMEN VIGILANCIA'!AH147,"")</f>
        <v>11600</v>
      </c>
      <c r="AJ146" s="390">
        <f>IF(NOT(ISBLANK('RESUMEN VIGILANCIA'!AI147)),'RESUMEN VIGILANCIA'!AI147,"")</f>
        <v>14500</v>
      </c>
      <c r="AK146" s="390">
        <f>IF(NOT(ISBLANK('RESUMEN VIGILANCIA'!AJ147)),'RESUMEN VIGILANCIA'!AJ147,"")</f>
        <v>14500</v>
      </c>
      <c r="AL146" s="390">
        <f>IF(NOT(ISBLANK('RESUMEN VIGILANCIA'!AK147)),'RESUMEN VIGILANCIA'!AK147,"")</f>
        <v>30045</v>
      </c>
      <c r="AM146" s="390">
        <f>IF(NOT(ISBLANK('RESUMEN VIGILANCIA'!AL147)),'RESUMEN VIGILANCIA'!AL147,"")</f>
        <v>72865</v>
      </c>
      <c r="AN146" s="390">
        <f>IF(NOT(ISBLANK('RESUMEN VIGILANCIA'!AM147)),'RESUMEN VIGILANCIA'!AM147,"")</f>
        <v>94905</v>
      </c>
      <c r="AO146" s="391">
        <f>IF(NOT(ISBLANK('RESUMEN VIGILANCIA'!AN147)),'RESUMEN VIGILANCIA'!AN147,"")</f>
        <v>145060</v>
      </c>
      <c r="AP146" s="389">
        <f>IF(NOT(ISBLANK('RESUMEN VIGILANCIA'!AO147)),'RESUMEN VIGILANCIA'!AO147,"")</f>
        <v>188575</v>
      </c>
      <c r="AQ146" s="390">
        <f>IF(NOT(ISBLANK('RESUMEN VIGILANCIA'!AP147)),'RESUMEN VIGILANCIA'!AP147,"")</f>
        <v>197565</v>
      </c>
      <c r="AR146" s="390">
        <f>IF(NOT(ISBLANK('RESUMEN VIGILANCIA'!AQ147)),'RESUMEN VIGILANCIA'!AQ147,"")</f>
        <v>0</v>
      </c>
      <c r="AS146" s="390">
        <f>IF(NOT(ISBLANK('RESUMEN VIGILANCIA'!AR147)),'RESUMEN VIGILANCIA'!AR147,"")</f>
        <v>0</v>
      </c>
      <c r="AT146" s="390">
        <f>IF(NOT(ISBLANK('RESUMEN VIGILANCIA'!AS147)),'RESUMEN VIGILANCIA'!AS147,"")</f>
        <v>0</v>
      </c>
      <c r="AU146" s="390">
        <f>IF(NOT(ISBLANK('RESUMEN VIGILANCIA'!AT147)),'RESUMEN VIGILANCIA'!AT147,"")</f>
        <v>0</v>
      </c>
      <c r="AV146" s="390">
        <f>IF(NOT(ISBLANK('RESUMEN VIGILANCIA'!AU147)),'RESUMEN VIGILANCIA'!AU147,"")</f>
        <v>0</v>
      </c>
      <c r="AW146" s="390">
        <f>IF(NOT(ISBLANK('RESUMEN VIGILANCIA'!AV147)),'RESUMEN VIGILANCIA'!AV147,"")</f>
        <v>0</v>
      </c>
      <c r="AX146" s="390">
        <f>IF(NOT(ISBLANK('RESUMEN VIGILANCIA'!AW147)),'RESUMEN VIGILANCIA'!AW147,"")</f>
        <v>0</v>
      </c>
      <c r="AY146" s="390">
        <f>IF(NOT(ISBLANK('RESUMEN VIGILANCIA'!AX147)),'RESUMEN VIGILANCIA'!AX147,"")</f>
        <v>0</v>
      </c>
      <c r="AZ146" s="390">
        <f>IF(NOT(ISBLANK('RESUMEN VIGILANCIA'!AY147)),'RESUMEN VIGILANCIA'!AY147,"")</f>
        <v>0</v>
      </c>
      <c r="BA146" s="391">
        <f>IF(NOT(ISBLANK('RESUMEN VIGILANCIA'!AZ147)),'RESUMEN VIGILANCIA'!AZ147,"")</f>
        <v>0</v>
      </c>
      <c r="BB146" s="263"/>
      <c r="BC146" s="120"/>
      <c r="BD146" s="120"/>
    </row>
  </sheetData>
  <autoFilter ref="A1:BB146" xr:uid="{00000000-0009-0000-0000-000005000000}"/>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8">
    <pageSetUpPr fitToPage="1"/>
  </sheetPr>
  <dimension ref="A1:O35"/>
  <sheetViews>
    <sheetView showGridLines="0" workbookViewId="0">
      <pane ySplit="6" topLeftCell="A12" activePane="bottomLeft" state="frozen"/>
      <selection pane="bottomLeft" activeCell="D1" sqref="D1"/>
      <selection activeCell="D1" sqref="D1"/>
    </sheetView>
  </sheetViews>
  <sheetFormatPr defaultColWidth="10.7109375" defaultRowHeight="15"/>
  <cols>
    <col min="1" max="1" width="12.7109375" style="363" customWidth="1"/>
    <col min="2" max="2" width="20.42578125" style="313" customWidth="1"/>
    <col min="3" max="3" width="9.7109375" style="313" customWidth="1"/>
    <col min="4" max="5" width="13.42578125" style="313" customWidth="1"/>
    <col min="6" max="6" width="9.5703125" style="313" customWidth="1"/>
    <col min="7" max="7" width="6" style="313" customWidth="1"/>
    <col min="8" max="9" width="13.140625" style="313" customWidth="1"/>
    <col min="10" max="10" width="12.140625" style="313" customWidth="1"/>
    <col min="11" max="11" width="12.5703125" style="313" customWidth="1"/>
    <col min="12" max="12" width="15.7109375" style="313" customWidth="1"/>
    <col min="13" max="13" width="12" customWidth="1"/>
    <col min="14" max="14" width="12.140625" customWidth="1"/>
    <col min="15" max="15" width="15.7109375" customWidth="1"/>
  </cols>
  <sheetData>
    <row r="1" spans="1:15" ht="18.75">
      <c r="A1" s="355" t="s">
        <v>1254</v>
      </c>
      <c r="K1" s="355" t="s">
        <v>1254</v>
      </c>
    </row>
    <row r="2" spans="1:15" s="45" customFormat="1" ht="14.25">
      <c r="A2" s="356" t="s">
        <v>1255</v>
      </c>
      <c r="B2" s="357"/>
      <c r="C2" s="357"/>
      <c r="D2" s="357"/>
      <c r="E2" s="357"/>
      <c r="F2" s="357"/>
      <c r="G2" s="357"/>
      <c r="H2" s="357"/>
      <c r="I2" s="357"/>
      <c r="J2" s="357"/>
      <c r="K2" s="356" t="s">
        <v>1255</v>
      </c>
      <c r="L2" s="357"/>
    </row>
    <row r="3" spans="1:15" s="45" customFormat="1" ht="15" customHeight="1">
      <c r="A3" s="576" t="s">
        <v>2</v>
      </c>
      <c r="B3" s="577" t="s">
        <v>1256</v>
      </c>
      <c r="C3" s="357"/>
      <c r="D3" s="357"/>
      <c r="E3" s="357"/>
      <c r="F3" s="357"/>
      <c r="G3" s="357"/>
      <c r="H3" s="357"/>
      <c r="I3" s="357"/>
      <c r="J3" s="357"/>
      <c r="K3" s="357"/>
      <c r="L3" s="357"/>
    </row>
    <row r="4" spans="1:15" ht="15" hidden="1" customHeight="1"/>
    <row r="5" spans="1:15" ht="15" customHeight="1">
      <c r="A5" s="455" t="s">
        <v>1248</v>
      </c>
      <c r="B5" s="364" t="s">
        <v>9</v>
      </c>
      <c r="C5" s="358"/>
      <c r="D5" s="358"/>
      <c r="E5" s="659"/>
      <c r="F5"/>
      <c r="G5"/>
      <c r="H5"/>
      <c r="I5"/>
      <c r="J5"/>
      <c r="K5" s="587" t="s">
        <v>1248</v>
      </c>
      <c r="L5" s="591" t="s">
        <v>1257</v>
      </c>
      <c r="M5" s="592"/>
      <c r="N5" s="592"/>
      <c r="O5" s="589"/>
    </row>
    <row r="6" spans="1:15" s="360" customFormat="1" ht="27.75">
      <c r="A6" s="365" t="s">
        <v>3</v>
      </c>
      <c r="B6" s="359" t="s">
        <v>22</v>
      </c>
      <c r="C6" s="359" t="s">
        <v>733</v>
      </c>
      <c r="D6" s="362" t="s">
        <v>1059</v>
      </c>
      <c r="E6" s="359" t="s">
        <v>1258</v>
      </c>
      <c r="F6"/>
      <c r="G6"/>
      <c r="H6"/>
      <c r="I6"/>
      <c r="J6"/>
      <c r="K6" s="588" t="s">
        <v>3</v>
      </c>
      <c r="L6" s="586" t="s">
        <v>22</v>
      </c>
      <c r="M6" s="586" t="s">
        <v>733</v>
      </c>
      <c r="N6" s="586" t="s">
        <v>1259</v>
      </c>
      <c r="O6" s="590" t="s">
        <v>1258</v>
      </c>
    </row>
    <row r="7" spans="1:15">
      <c r="A7" s="361">
        <v>43466</v>
      </c>
      <c r="B7" s="362">
        <v>169314.05</v>
      </c>
      <c r="C7" s="362"/>
      <c r="D7" s="362"/>
      <c r="E7" s="362">
        <v>169314.05</v>
      </c>
      <c r="F7"/>
      <c r="G7"/>
      <c r="H7"/>
      <c r="I7"/>
      <c r="J7"/>
      <c r="K7" s="583">
        <f>A7</f>
        <v>43466</v>
      </c>
      <c r="L7" s="584">
        <f>GETPIVOTDATA("Monto",$A$5,"Categoría","Vigilancia","Mes",$A7)+SUM(SUMIF(Saldos!$E$4:$E$75,$A7,Saldos!$H$4:$H$75),SUMIF(Saldos!$J$4:$J$75,$A7,Saldos!$M$4:$M$75),SUMIF(Saldos!$O$4:$O$75,$A7,Saldos!$R$4:$R$75),SUMIF(Saldos!$T$4:$T$75,$A7,Saldos!$W$4:$W$75),SUMIF(Saldos!$Y$4:$Y$75,$A7,Saldos!$AB$4:$AB$75),SUMIF(Saldos!$AD$4:$AD$75,$A7,Saldos!$AG$4:$AG$75),SUMIF(Saldos!$AI$4:$AI$75,$A7,Saldos!$AL$4:$AL$75),SUMIF(Saldos!$AN$4:$AN$75,$A7,Saldos!$AQ$4:$AQ$75))</f>
        <v>192377</v>
      </c>
      <c r="M7" s="585">
        <f>GETPIVOTDATA("Monto",$A$5,"Categoría","Comida Vigilantes","Mes",$A7)</f>
        <v>0</v>
      </c>
      <c r="N7" s="585">
        <f t="shared" ref="N7:N19" si="0">GETPIVOTDATA("Monto",$A$5,"Categoría","Aporte caseta","Mes",$A7)</f>
        <v>0</v>
      </c>
      <c r="O7" s="362">
        <f t="shared" ref="O7:O19" si="1">SUM(L7:N7)</f>
        <v>192377</v>
      </c>
    </row>
    <row r="8" spans="1:15">
      <c r="A8" s="361">
        <v>43497</v>
      </c>
      <c r="B8" s="362">
        <v>243995</v>
      </c>
      <c r="C8" s="362"/>
      <c r="D8" s="362"/>
      <c r="E8" s="362">
        <v>243995</v>
      </c>
      <c r="F8"/>
      <c r="G8"/>
      <c r="H8"/>
      <c r="I8"/>
      <c r="J8"/>
      <c r="K8" s="583">
        <f t="shared" ref="K8:K19" si="2">A8</f>
        <v>43497</v>
      </c>
      <c r="L8" s="584">
        <f>GETPIVOTDATA("Monto",$A$5,"Categoría","Vigilancia","Mes",$A8)+SUM(SUMIF(Saldos!$E$4:$E$75,$A8,Saldos!$H$4:$H$75),SUMIF(Saldos!$J$4:$J$75,$A8,Saldos!$M$4:$M$75),SUMIF(Saldos!$O$4:$O$75,$A8,Saldos!$R$4:$R$75),SUMIF(Saldos!$T$4:$T$75,$A8,Saldos!$W$4:$W$75),SUMIF(Saldos!$Y$4:$Y$75,$A8,Saldos!$AB$4:$AB$75),SUMIF(Saldos!$AD$4:$AD$75,$A8,Saldos!$AG$4:$AG$75),SUMIF(Saldos!$AI$4:$AI$75,$A8,Saldos!$AL$4:$AL$75),SUMIF(Saldos!$AN$4:$AN$75,$A8,Saldos!$AQ$4:$AQ$75))</f>
        <v>267995</v>
      </c>
      <c r="M8" s="585">
        <f t="shared" ref="M8:M19" si="3">GETPIVOTDATA("Monto",$A$5,"Categoría","Comida Vigilantes","Mes",$A8)</f>
        <v>0</v>
      </c>
      <c r="N8" s="585">
        <f t="shared" si="0"/>
        <v>0</v>
      </c>
      <c r="O8" s="362">
        <f t="shared" si="1"/>
        <v>267995</v>
      </c>
    </row>
    <row r="9" spans="1:15">
      <c r="A9" s="361">
        <v>43525</v>
      </c>
      <c r="B9" s="362">
        <v>175306</v>
      </c>
      <c r="C9" s="362"/>
      <c r="D9" s="362"/>
      <c r="E9" s="362">
        <v>175306</v>
      </c>
      <c r="F9"/>
      <c r="G9"/>
      <c r="H9"/>
      <c r="I9"/>
      <c r="J9"/>
      <c r="K9" s="583">
        <f t="shared" si="2"/>
        <v>43525</v>
      </c>
      <c r="L9" s="584">
        <f>GETPIVOTDATA("Monto",$A$5,"Categoría","Vigilancia","Mes",$A9)+SUM(SUMIF(Saldos!$E$4:$E$75,$A9,Saldos!$H$4:$H$75),SUMIF(Saldos!$J$4:$J$75,$A9,Saldos!$M$4:$M$75),SUMIF(Saldos!$O$4:$O$75,$A9,Saldos!$R$4:$R$75),SUMIF(Saldos!$T$4:$T$75,$A9,Saldos!$W$4:$W$75),SUMIF(Saldos!$Y$4:$Y$75,$A9,Saldos!$AB$4:$AB$75),SUMIF(Saldos!$AD$4:$AD$75,$A9,Saldos!$AG$4:$AG$75),SUMIF(Saldos!$AI$4:$AI$75,$A9,Saldos!$AL$4:$AL$75),SUMIF(Saldos!$AN$4:$AN$75,$A9,Saldos!$AQ$4:$AQ$75))</f>
        <v>178550</v>
      </c>
      <c r="M9" s="585">
        <f t="shared" si="3"/>
        <v>0</v>
      </c>
      <c r="N9" s="585">
        <f t="shared" si="0"/>
        <v>0</v>
      </c>
      <c r="O9" s="362">
        <f t="shared" si="1"/>
        <v>178550</v>
      </c>
    </row>
    <row r="10" spans="1:15">
      <c r="A10" s="361">
        <v>43556</v>
      </c>
      <c r="B10" s="362">
        <v>396255.55</v>
      </c>
      <c r="C10" s="362"/>
      <c r="D10" s="362"/>
      <c r="E10" s="362">
        <v>396255.55</v>
      </c>
      <c r="F10"/>
      <c r="G10"/>
      <c r="H10"/>
      <c r="I10"/>
      <c r="J10"/>
      <c r="K10" s="583">
        <f t="shared" si="2"/>
        <v>43556</v>
      </c>
      <c r="L10" s="584">
        <f>GETPIVOTDATA("Monto",$A$5,"Categoría","Vigilancia","Mes",$A10)+SUM(SUMIF(Saldos!$E$4:$E$75,$A10,Saldos!$H$4:$H$75),SUMIF(Saldos!$J$4:$J$75,$A10,Saldos!$M$4:$M$75),SUMIF(Saldos!$O$4:$O$75,$A10,Saldos!$R$4:$R$75),SUMIF(Saldos!$T$4:$T$75,$A10,Saldos!$W$4:$W$75),SUMIF(Saldos!$Y$4:$Y$75,$A10,Saldos!$AB$4:$AB$75),SUMIF(Saldos!$AD$4:$AD$75,$A10,Saldos!$AG$4:$AG$75),SUMIF(Saldos!$AI$4:$AI$75,$A10,Saldos!$AL$4:$AL$75),SUMIF(Saldos!$AN$4:$AN$75,$A10,Saldos!$AQ$4:$AQ$75))</f>
        <v>474910</v>
      </c>
      <c r="M10" s="585">
        <f t="shared" si="3"/>
        <v>0</v>
      </c>
      <c r="N10" s="585">
        <f t="shared" si="0"/>
        <v>0</v>
      </c>
      <c r="O10" s="362">
        <f t="shared" si="1"/>
        <v>474910</v>
      </c>
    </row>
    <row r="11" spans="1:15">
      <c r="A11" s="361">
        <v>43586</v>
      </c>
      <c r="B11" s="362">
        <v>730286</v>
      </c>
      <c r="C11" s="362"/>
      <c r="D11" s="362"/>
      <c r="E11" s="362">
        <v>730286</v>
      </c>
      <c r="F11"/>
      <c r="G11"/>
      <c r="H11"/>
      <c r="I11"/>
      <c r="J11"/>
      <c r="K11" s="583">
        <f t="shared" si="2"/>
        <v>43586</v>
      </c>
      <c r="L11" s="584">
        <f>GETPIVOTDATA("Monto",$A$5,"Categoría","Vigilancia","Mes",$A11)+SUM(SUMIF(Saldos!$E$4:$E$75,$A11,Saldos!$H$4:$H$75),SUMIF(Saldos!$J$4:$J$75,$A11,Saldos!$M$4:$M$75),SUMIF(Saldos!$O$4:$O$75,$A11,Saldos!$R$4:$R$75),SUMIF(Saldos!$T$4:$T$75,$A11,Saldos!$W$4:$W$75),SUMIF(Saldos!$Y$4:$Y$75,$A11,Saldos!$AB$4:$AB$75),SUMIF(Saldos!$AD$4:$AD$75,$A11,Saldos!$AG$4:$AG$75),SUMIF(Saldos!$AI$4:$AI$75,$A11,Saldos!$AL$4:$AL$75),SUMIF(Saldos!$AN$4:$AN$75,$A11,Saldos!$AQ$4:$AQ$75))</f>
        <v>796286</v>
      </c>
      <c r="M11" s="585">
        <f t="shared" si="3"/>
        <v>0</v>
      </c>
      <c r="N11" s="585">
        <f t="shared" si="0"/>
        <v>0</v>
      </c>
      <c r="O11" s="362">
        <f t="shared" si="1"/>
        <v>796286</v>
      </c>
    </row>
    <row r="12" spans="1:15">
      <c r="A12" s="361">
        <v>43617</v>
      </c>
      <c r="B12" s="362">
        <v>678100</v>
      </c>
      <c r="C12" s="362"/>
      <c r="D12" s="362"/>
      <c r="E12" s="362">
        <v>678100</v>
      </c>
      <c r="F12"/>
      <c r="G12"/>
      <c r="H12"/>
      <c r="I12"/>
      <c r="J12"/>
      <c r="K12" s="583">
        <f t="shared" si="2"/>
        <v>43617</v>
      </c>
      <c r="L12" s="584">
        <f>GETPIVOTDATA("Monto",$A$5,"Categoría","Vigilancia","Mes",$A12)+SUM(SUMIF(Saldos!$E$4:$E$75,$A12,Saldos!$H$4:$H$75),SUMIF(Saldos!$J$4:$J$75,$A12,Saldos!$M$4:$M$75),SUMIF(Saldos!$O$4:$O$75,$A12,Saldos!$R$4:$R$75),SUMIF(Saldos!$T$4:$T$75,$A12,Saldos!$W$4:$W$75),SUMIF(Saldos!$Y$4:$Y$75,$A12,Saldos!$AB$4:$AB$75),SUMIF(Saldos!$AD$4:$AD$75,$A12,Saldos!$AG$4:$AG$75),SUMIF(Saldos!$AI$4:$AI$75,$A12,Saldos!$AL$4:$AL$75),SUMIF(Saldos!$AN$4:$AN$75,$A12,Saldos!$AQ$4:$AQ$75))</f>
        <v>644100</v>
      </c>
      <c r="M12" s="585">
        <f t="shared" si="3"/>
        <v>0</v>
      </c>
      <c r="N12" s="585">
        <f t="shared" si="0"/>
        <v>0</v>
      </c>
      <c r="O12" s="362">
        <f t="shared" si="1"/>
        <v>644100</v>
      </c>
    </row>
    <row r="13" spans="1:15">
      <c r="A13" s="361">
        <v>43647</v>
      </c>
      <c r="B13" s="362">
        <v>807800</v>
      </c>
      <c r="C13" s="362"/>
      <c r="D13" s="362"/>
      <c r="E13" s="362">
        <v>807800</v>
      </c>
      <c r="F13"/>
      <c r="G13"/>
      <c r="H13"/>
      <c r="I13"/>
      <c r="J13"/>
      <c r="K13" s="583">
        <f t="shared" si="2"/>
        <v>43647</v>
      </c>
      <c r="L13" s="584">
        <f>GETPIVOTDATA("Monto",$A$5,"Categoría","Vigilancia","Mes",$A13)+SUM(SUMIF(Saldos!$E$4:$E$75,$A13,Saldos!$H$4:$H$75),SUMIF(Saldos!$J$4:$J$75,$A13,Saldos!$M$4:$M$75),SUMIF(Saldos!$O$4:$O$75,$A13,Saldos!$R$4:$R$75),SUMIF(Saldos!$T$4:$T$75,$A13,Saldos!$W$4:$W$75),SUMIF(Saldos!$Y$4:$Y$75,$A13,Saldos!$AB$4:$AB$75),SUMIF(Saldos!$AD$4:$AD$75,$A13,Saldos!$AG$4:$AG$75),SUMIF(Saldos!$AI$4:$AI$75,$A13,Saldos!$AL$4:$AL$75),SUMIF(Saldos!$AN$4:$AN$75,$A13,Saldos!$AQ$4:$AQ$75))</f>
        <v>777800</v>
      </c>
      <c r="M13" s="585">
        <f t="shared" si="3"/>
        <v>0</v>
      </c>
      <c r="N13" s="585">
        <f t="shared" si="0"/>
        <v>0</v>
      </c>
      <c r="O13" s="362">
        <f t="shared" si="1"/>
        <v>777800</v>
      </c>
    </row>
    <row r="14" spans="1:15">
      <c r="A14" s="361">
        <v>43678</v>
      </c>
      <c r="B14" s="362">
        <v>855200</v>
      </c>
      <c r="C14" s="362">
        <v>10000</v>
      </c>
      <c r="D14" s="362"/>
      <c r="E14" s="362">
        <v>865200</v>
      </c>
      <c r="F14"/>
      <c r="G14"/>
      <c r="H14"/>
      <c r="I14"/>
      <c r="J14"/>
      <c r="K14" s="583">
        <f t="shared" si="2"/>
        <v>43678</v>
      </c>
      <c r="L14" s="584">
        <f>GETPIVOTDATA("Monto",$A$5,"Categoría","Vigilancia","Mes",$A14)+SUM(SUMIF(Saldos!$E$4:$E$75,$A14,Saldos!$H$4:$H$75),SUMIF(Saldos!$J$4:$J$75,$A14,Saldos!$M$4:$M$75),SUMIF(Saldos!$O$4:$O$75,$A14,Saldos!$R$4:$R$75),SUMIF(Saldos!$T$4:$T$75,$A14,Saldos!$W$4:$W$75),SUMIF(Saldos!$Y$4:$Y$75,$A14,Saldos!$AB$4:$AB$75),SUMIF(Saldos!$AD$4:$AD$75,$A14,Saldos!$AG$4:$AG$75),SUMIF(Saldos!$AI$4:$AI$75,$A14,Saldos!$AL$4:$AL$75),SUMIF(Saldos!$AN$4:$AN$75,$A14,Saldos!$AQ$4:$AQ$75))</f>
        <v>905200</v>
      </c>
      <c r="M14" s="585">
        <f t="shared" si="3"/>
        <v>10000</v>
      </c>
      <c r="N14" s="585">
        <f t="shared" si="0"/>
        <v>0</v>
      </c>
      <c r="O14" s="362">
        <f t="shared" si="1"/>
        <v>915200</v>
      </c>
    </row>
    <row r="15" spans="1:15">
      <c r="A15" s="361">
        <v>43709</v>
      </c>
      <c r="B15" s="362">
        <v>1468578</v>
      </c>
      <c r="C15" s="362"/>
      <c r="D15" s="362">
        <v>15200</v>
      </c>
      <c r="E15" s="362">
        <v>1483778</v>
      </c>
      <c r="F15"/>
      <c r="G15"/>
      <c r="H15"/>
      <c r="I15"/>
      <c r="J15"/>
      <c r="K15" s="583">
        <f t="shared" si="2"/>
        <v>43709</v>
      </c>
      <c r="L15" s="584">
        <f>GETPIVOTDATA("Monto",$A$5,"Categoría","Vigilancia","Mes",$A15)+SUM(SUMIF(Saldos!$E$4:$E$75,$A15,Saldos!$H$4:$H$75),SUMIF(Saldos!$J$4:$J$75,$A15,Saldos!$M$4:$M$75),SUMIF(Saldos!$O$4:$O$75,$A15,Saldos!$R$4:$R$75),SUMIF(Saldos!$T$4:$T$75,$A15,Saldos!$W$4:$W$75),SUMIF(Saldos!$Y$4:$Y$75,$A15,Saldos!$AB$4:$AB$75),SUMIF(Saldos!$AD$4:$AD$75,$A15,Saldos!$AG$4:$AG$75),SUMIF(Saldos!$AI$4:$AI$75,$A15,Saldos!$AL$4:$AL$75),SUMIF(Saldos!$AN$4:$AN$75,$A15,Saldos!$AQ$4:$AQ$75))</f>
        <v>1430378</v>
      </c>
      <c r="M15" s="585">
        <f t="shared" si="3"/>
        <v>0</v>
      </c>
      <c r="N15" s="585">
        <f t="shared" si="0"/>
        <v>15200</v>
      </c>
      <c r="O15" s="362">
        <f t="shared" si="1"/>
        <v>1445578</v>
      </c>
    </row>
    <row r="16" spans="1:15">
      <c r="A16" s="361">
        <v>43739</v>
      </c>
      <c r="B16" s="362">
        <v>3578362.22</v>
      </c>
      <c r="C16" s="362">
        <v>24700</v>
      </c>
      <c r="D16" s="362"/>
      <c r="E16" s="362">
        <v>3603062.22</v>
      </c>
      <c r="F16"/>
      <c r="G16"/>
      <c r="H16"/>
      <c r="I16"/>
      <c r="J16"/>
      <c r="K16" s="583">
        <f t="shared" si="2"/>
        <v>43739</v>
      </c>
      <c r="L16" s="584">
        <f>GETPIVOTDATA("Monto",$A$5,"Categoría","Vigilancia","Mes",$A16)+SUM(SUMIF(Saldos!$E$4:$E$75,$A16,Saldos!$H$4:$H$75),SUMIF(Saldos!$J$4:$J$75,$A16,Saldos!$M$4:$M$75),SUMIF(Saldos!$O$4:$O$75,$A16,Saldos!$R$4:$R$75),SUMIF(Saldos!$T$4:$T$75,$A16,Saldos!$W$4:$W$75),SUMIF(Saldos!$Y$4:$Y$75,$A16,Saldos!$AB$4:$AB$75),SUMIF(Saldos!$AD$4:$AD$75,$A16,Saldos!$AG$4:$AG$75),SUMIF(Saldos!$AI$4:$AI$75,$A16,Saldos!$AL$4:$AL$75),SUMIF(Saldos!$AN$4:$AN$75,$A16,Saldos!$AQ$4:$AQ$75))</f>
        <v>3663262.22</v>
      </c>
      <c r="M16" s="585">
        <f t="shared" si="3"/>
        <v>24700</v>
      </c>
      <c r="N16" s="585">
        <f t="shared" si="0"/>
        <v>0</v>
      </c>
      <c r="O16" s="362">
        <f t="shared" si="1"/>
        <v>3687962.22</v>
      </c>
    </row>
    <row r="17" spans="1:15">
      <c r="A17" s="361">
        <v>43770</v>
      </c>
      <c r="B17" s="362">
        <v>5487730</v>
      </c>
      <c r="C17" s="362"/>
      <c r="D17" s="362"/>
      <c r="E17" s="362">
        <v>5487730</v>
      </c>
      <c r="F17"/>
      <c r="G17"/>
      <c r="H17"/>
      <c r="I17"/>
      <c r="J17"/>
      <c r="K17" s="583">
        <f t="shared" si="2"/>
        <v>43770</v>
      </c>
      <c r="L17" s="584">
        <f>GETPIVOTDATA("Monto",$A$5,"Categoría","Vigilancia","Mes",$A17)+SUM(SUMIF(Saldos!$E$4:$E$75,$A17,Saldos!$H$4:$H$75),SUMIF(Saldos!$J$4:$J$75,$A17,Saldos!$M$4:$M$75),SUMIF(Saldos!$O$4:$O$75,$A17,Saldos!$R$4:$R$75),SUMIF(Saldos!$T$4:$T$75,$A17,Saldos!$W$4:$W$75),SUMIF(Saldos!$Y$4:$Y$75,$A17,Saldos!$AB$4:$AB$75),SUMIF(Saldos!$AD$4:$AD$75,$A17,Saldos!$AG$4:$AG$75),SUMIF(Saldos!$AI$4:$AI$75,$A17,Saldos!$AL$4:$AL$75),SUMIF(Saldos!$AN$4:$AN$75,$A17,Saldos!$AQ$4:$AQ$75))</f>
        <v>5691580</v>
      </c>
      <c r="M17" s="585">
        <f t="shared" si="3"/>
        <v>0</v>
      </c>
      <c r="N17" s="585">
        <f t="shared" si="0"/>
        <v>0</v>
      </c>
      <c r="O17" s="362">
        <f t="shared" si="1"/>
        <v>5691580</v>
      </c>
    </row>
    <row r="18" spans="1:15">
      <c r="A18" s="361">
        <v>43800</v>
      </c>
      <c r="B18" s="362">
        <v>8273075</v>
      </c>
      <c r="C18" s="362"/>
      <c r="D18" s="362"/>
      <c r="E18" s="362">
        <v>8273075</v>
      </c>
      <c r="F18"/>
      <c r="G18"/>
      <c r="H18"/>
      <c r="I18"/>
      <c r="J18"/>
      <c r="K18" s="583">
        <f t="shared" si="2"/>
        <v>43800</v>
      </c>
      <c r="L18" s="584">
        <f>GETPIVOTDATA("Monto",$A$5,"Categoría","Vigilancia","Mes",$A18)+SUM(SUMIF(Saldos!$E$4:$E$75,$A18,Saldos!$H$4:$H$75),SUMIF(Saldos!$J$4:$J$75,$A18,Saldos!$M$4:$M$75),SUMIF(Saldos!$O$4:$O$75,$A18,Saldos!$R$4:$R$75),SUMIF(Saldos!$T$4:$T$75,$A18,Saldos!$W$4:$W$75),SUMIF(Saldos!$Y$4:$Y$75,$A18,Saldos!$AB$4:$AB$75),SUMIF(Saldos!$AD$4:$AD$75,$A18,Saldos!$AG$4:$AG$75),SUMIF(Saldos!$AI$4:$AI$75,$A18,Saldos!$AL$4:$AL$75),SUMIF(Saldos!$AN$4:$AN$75,$A18,Saldos!$AQ$4:$AQ$75))</f>
        <v>8367825</v>
      </c>
      <c r="M18" s="585">
        <f t="shared" si="3"/>
        <v>0</v>
      </c>
      <c r="N18" s="585">
        <f t="shared" si="0"/>
        <v>0</v>
      </c>
      <c r="O18" s="362">
        <f t="shared" si="1"/>
        <v>8367825</v>
      </c>
    </row>
    <row r="19" spans="1:15">
      <c r="A19" s="361">
        <v>43831</v>
      </c>
      <c r="B19" s="362">
        <v>8481882.8000000007</v>
      </c>
      <c r="C19" s="362"/>
      <c r="D19" s="362"/>
      <c r="E19" s="362">
        <v>8481882.8000000007</v>
      </c>
      <c r="F19"/>
      <c r="G19"/>
      <c r="H19"/>
      <c r="I19"/>
      <c r="J19"/>
      <c r="K19" s="583">
        <f t="shared" si="2"/>
        <v>43831</v>
      </c>
      <c r="L19" s="584">
        <f>GETPIVOTDATA("Monto",$A$5,"Categoría","Vigilancia","Mes",$A19)+SUM(SUMIF(Saldos!$E$4:$E$75,$A19,Saldos!$H$4:$H$75),SUMIF(Saldos!$J$4:$J$75,$A19,Saldos!$M$4:$M$75),SUMIF(Saldos!$O$4:$O$75,$A19,Saldos!$R$4:$R$75),SUMIF(Saldos!$T$4:$T$75,$A19,Saldos!$W$4:$W$75),SUMIF(Saldos!$Y$4:$Y$75,$A19,Saldos!$AB$4:$AB$75),SUMIF(Saldos!$AD$4:$AD$75,$A19,Saldos!$AG$4:$AG$75),SUMIF(Saldos!$AI$4:$AI$75,$A19,Saldos!$AL$4:$AL$75),SUMIF(Saldos!$AN$4:$AN$75,$A19,Saldos!$AQ$4:$AQ$75))</f>
        <v>8148727.0000000009</v>
      </c>
      <c r="M19" s="585">
        <f t="shared" si="3"/>
        <v>0</v>
      </c>
      <c r="N19" s="585">
        <f t="shared" si="0"/>
        <v>0</v>
      </c>
      <c r="O19" s="362">
        <f t="shared" si="1"/>
        <v>8148727.0000000009</v>
      </c>
    </row>
    <row r="20" spans="1:15">
      <c r="A20" s="361" t="s">
        <v>1258</v>
      </c>
      <c r="B20" s="362">
        <v>31345884.620000001</v>
      </c>
      <c r="C20" s="362">
        <v>34700</v>
      </c>
      <c r="D20" s="362">
        <v>15200</v>
      </c>
      <c r="E20" s="362">
        <v>31395784.620000001</v>
      </c>
      <c r="F20"/>
      <c r="G20"/>
      <c r="H20"/>
      <c r="I20"/>
      <c r="J20"/>
      <c r="K20" s="594" t="s">
        <v>1258</v>
      </c>
      <c r="L20" s="593">
        <f>SUM(L7:L19)</f>
        <v>31538990.219999999</v>
      </c>
      <c r="M20" s="593">
        <f>SUM(M7:M19)</f>
        <v>34700</v>
      </c>
      <c r="N20" s="593">
        <f>SUM(N7:N19)</f>
        <v>15200</v>
      </c>
      <c r="O20" s="593">
        <f>SUM(O7:O19)</f>
        <v>31588890.219999999</v>
      </c>
    </row>
    <row r="21" spans="1:15">
      <c r="A21"/>
      <c r="B21"/>
      <c r="C21"/>
      <c r="D21"/>
      <c r="E21"/>
      <c r="F21"/>
      <c r="G21"/>
      <c r="H21"/>
      <c r="I21"/>
      <c r="J21"/>
      <c r="K21" s="600"/>
      <c r="L21" s="601"/>
      <c r="M21" s="602"/>
      <c r="N21" s="602"/>
      <c r="O21" s="601"/>
    </row>
    <row r="22" spans="1:15">
      <c r="A22"/>
      <c r="B22"/>
      <c r="C22"/>
      <c r="D22"/>
      <c r="E22"/>
      <c r="F22"/>
      <c r="G22"/>
      <c r="H22"/>
      <c r="I22"/>
      <c r="J22"/>
      <c r="K22" s="600"/>
      <c r="L22" s="601"/>
      <c r="M22" s="602"/>
      <c r="N22" s="602"/>
      <c r="O22" s="601"/>
    </row>
    <row r="23" spans="1:15">
      <c r="A23"/>
      <c r="B23"/>
      <c r="C23"/>
      <c r="D23"/>
      <c r="E23"/>
      <c r="F23"/>
      <c r="G23"/>
      <c r="H23"/>
      <c r="I23"/>
      <c r="J23"/>
      <c r="K23"/>
      <c r="L23"/>
    </row>
    <row r="24" spans="1:15">
      <c r="A24"/>
      <c r="B24"/>
      <c r="C24"/>
      <c r="D24"/>
      <c r="E24"/>
      <c r="F24"/>
      <c r="G24"/>
      <c r="H24"/>
      <c r="I24"/>
      <c r="J24"/>
      <c r="K24"/>
      <c r="L24"/>
    </row>
    <row r="25" spans="1:15">
      <c r="A25"/>
      <c r="B25"/>
      <c r="C25"/>
      <c r="D25"/>
      <c r="E25"/>
      <c r="F25"/>
      <c r="G25"/>
      <c r="H25"/>
      <c r="I25"/>
      <c r="J25"/>
      <c r="K25"/>
      <c r="L25"/>
    </row>
    <row r="26" spans="1:15">
      <c r="A26"/>
      <c r="B26"/>
      <c r="C26"/>
      <c r="D26"/>
      <c r="E26"/>
      <c r="F26"/>
      <c r="G26"/>
      <c r="H26"/>
      <c r="I26"/>
      <c r="J26"/>
    </row>
    <row r="27" spans="1:15">
      <c r="A27"/>
      <c r="B27"/>
      <c r="C27"/>
      <c r="D27"/>
      <c r="E27"/>
      <c r="F27"/>
      <c r="G27"/>
      <c r="H27"/>
      <c r="I27"/>
      <c r="J27"/>
    </row>
    <row r="28" spans="1:15">
      <c r="A28"/>
      <c r="B28"/>
      <c r="C28"/>
      <c r="D28"/>
      <c r="E28"/>
      <c r="F28"/>
      <c r="G28"/>
      <c r="H28"/>
      <c r="I28"/>
      <c r="J28"/>
    </row>
    <row r="29" spans="1:15">
      <c r="A29"/>
      <c r="B29"/>
      <c r="C29"/>
      <c r="D29"/>
      <c r="E29"/>
      <c r="F29"/>
      <c r="G29"/>
      <c r="H29"/>
      <c r="I29"/>
      <c r="J29"/>
    </row>
    <row r="30" spans="1:15">
      <c r="A30"/>
      <c r="B30"/>
      <c r="C30"/>
      <c r="D30"/>
      <c r="E30"/>
      <c r="F30"/>
      <c r="G30"/>
      <c r="H30"/>
      <c r="I30"/>
      <c r="J30"/>
    </row>
    <row r="31" spans="1:15">
      <c r="A31"/>
      <c r="B31"/>
      <c r="C31"/>
      <c r="D31"/>
      <c r="E31"/>
      <c r="F31"/>
      <c r="G31"/>
      <c r="H31"/>
      <c r="I31"/>
      <c r="J31"/>
    </row>
    <row r="32" spans="1:15">
      <c r="A32"/>
      <c r="B32"/>
      <c r="C32"/>
      <c r="D32"/>
      <c r="E32"/>
      <c r="F32"/>
      <c r="G32"/>
      <c r="H32"/>
      <c r="I32"/>
      <c r="J32"/>
    </row>
    <row r="33" spans="1:10">
      <c r="B33"/>
      <c r="C33"/>
      <c r="D33"/>
      <c r="E33"/>
      <c r="F33"/>
      <c r="G33"/>
      <c r="H33"/>
      <c r="I33"/>
      <c r="J33"/>
    </row>
    <row r="35" spans="1:10">
      <c r="A35" t="s">
        <v>1260</v>
      </c>
    </row>
  </sheetData>
  <printOptions horizontalCentered="1"/>
  <pageMargins left="0.70866141732283472" right="0.70866141732283472" top="0.74803149606299213" bottom="0.74803149606299213" header="0.31496062992125984" footer="0.31496062992125984"/>
  <pageSetup scale="56" fitToHeight="0" orientation="landscape"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7"/>
  <dimension ref="A1:K153"/>
  <sheetViews>
    <sheetView showGridLines="0" workbookViewId="0">
      <pane xSplit="2" ySplit="1" topLeftCell="F33" activePane="bottomRight" state="frozen"/>
      <selection pane="bottomRight" activeCell="C1" sqref="C1"/>
      <selection pane="bottomLeft" activeCell="A2" sqref="A2"/>
      <selection pane="topRight" activeCell="C1" sqref="C1"/>
    </sheetView>
  </sheetViews>
  <sheetFormatPr defaultColWidth="10.7109375" defaultRowHeight="15"/>
  <cols>
    <col min="1" max="1" width="27.5703125" bestFit="1" customWidth="1"/>
    <col min="2" max="2" width="27.140625" bestFit="1" customWidth="1"/>
    <col min="3" max="10" width="11.28515625" customWidth="1"/>
    <col min="11" max="11" width="1.7109375" customWidth="1"/>
    <col min="12" max="40" width="10.7109375" customWidth="1"/>
  </cols>
  <sheetData>
    <row r="1" spans="1:11">
      <c r="A1" s="645" t="s">
        <v>5</v>
      </c>
      <c r="B1" s="645" t="s">
        <v>7</v>
      </c>
      <c r="C1" s="639" t="s">
        <v>452</v>
      </c>
      <c r="D1" s="639" t="s">
        <v>673</v>
      </c>
      <c r="E1" s="639" t="s">
        <v>745</v>
      </c>
      <c r="F1" s="639" t="s">
        <v>827</v>
      </c>
      <c r="G1" s="639" t="s">
        <v>368</v>
      </c>
      <c r="H1" s="639" t="s">
        <v>459</v>
      </c>
      <c r="I1" s="639" t="s">
        <v>733</v>
      </c>
      <c r="J1" s="639" t="s">
        <v>652</v>
      </c>
    </row>
    <row r="2" spans="1:11">
      <c r="A2" s="30" t="str">
        <f>'RESUMEN VIGILANCIA'!A2</f>
        <v>Familia Scabuzzo Gómez</v>
      </c>
      <c r="B2" s="31" t="str">
        <f>'RESUMEN VIGILANCIA'!B2</f>
        <v>Av. "I" Nro. 146-20</v>
      </c>
      <c r="C2" s="182">
        <f>SUMIFS(Vigilancia!$E:$E,Vigilancia!$F:$F,$A2,Vigilancia!$J:$J,C$1)</f>
        <v>0</v>
      </c>
      <c r="D2" s="182">
        <f>SUMIFS(Vigilancia!$E:$E,Vigilancia!$F:$F,$A2,Vigilancia!$J:$J,D$1)</f>
        <v>4</v>
      </c>
      <c r="E2" s="182">
        <f>SUMIFS(Vigilancia!$E:$E,Vigilancia!$F:$F,$A2,Vigilancia!$J:$J,E$1)</f>
        <v>0</v>
      </c>
      <c r="F2" s="182">
        <f>SUMIFS(Vigilancia!$E:$E,Vigilancia!$F:$F,$A2,Vigilancia!$J:$J,F$1)</f>
        <v>10</v>
      </c>
      <c r="G2" s="182">
        <f>SUMIFS(Vigilancia!$E:$E,Vigilancia!$F:$F,$A2,Vigilancia!$J:$J,G$1)</f>
        <v>0</v>
      </c>
      <c r="H2" s="182">
        <f>SUMIFS(Vigilancia!$E:$E,Vigilancia!$F:$F,$A2,Vigilancia!$J:$J,H$1)</f>
        <v>0</v>
      </c>
      <c r="I2" s="182">
        <f>SUMIFS(Vigilancia!$E:$E,Vigilancia!$F:$F,$A2,Vigilancia!$J:$J,I$1)</f>
        <v>0</v>
      </c>
      <c r="J2" s="182">
        <f>SUMIFS(Vigilancia!$E:$E,Vigilancia!$F:$F,$A2,Vigilancia!$J:$J,J$1)</f>
        <v>0</v>
      </c>
    </row>
    <row r="3" spans="1:11">
      <c r="A3" s="30" t="str">
        <f>'RESUMEN VIGILANCIA'!A3</f>
        <v>Familia Hoyte Rafmari</v>
      </c>
      <c r="B3" s="31" t="str">
        <f>'RESUMEN VIGILANCIA'!B3</f>
        <v>Av. "I" Nro. 146-30</v>
      </c>
      <c r="C3" s="182">
        <f>SUMIFS(Vigilancia!$E:$E,Vigilancia!$F:$F,$A3,Vigilancia!$J:$J,C$1)</f>
        <v>0</v>
      </c>
      <c r="D3" s="182">
        <f>SUMIFS(Vigilancia!$E:$E,Vigilancia!$F:$F,$A3,Vigilancia!$J:$J,D$1)</f>
        <v>0</v>
      </c>
      <c r="E3" s="182">
        <f>SUMIFS(Vigilancia!$E:$E,Vigilancia!$F:$F,$A3,Vigilancia!$J:$J,E$1)</f>
        <v>0</v>
      </c>
      <c r="F3" s="182">
        <f>SUMIFS(Vigilancia!$E:$E,Vigilancia!$F:$F,$A3,Vigilancia!$J:$J,F$1)</f>
        <v>0</v>
      </c>
      <c r="G3" s="182">
        <f>SUMIFS(Vigilancia!$E:$E,Vigilancia!$F:$F,$A3,Vigilancia!$J:$J,G$1)</f>
        <v>0</v>
      </c>
      <c r="H3" s="182">
        <f>SUMIFS(Vigilancia!$E:$E,Vigilancia!$F:$F,$A3,Vigilancia!$J:$J,H$1)</f>
        <v>0</v>
      </c>
      <c r="I3" s="182">
        <f>SUMIFS(Vigilancia!$E:$E,Vigilancia!$F:$F,$A3,Vigilancia!$J:$J,I$1)</f>
        <v>0</v>
      </c>
      <c r="J3" s="182">
        <f>SUMIFS(Vigilancia!$E:$E,Vigilancia!$F:$F,$A3,Vigilancia!$J:$J,J$1)</f>
        <v>0</v>
      </c>
    </row>
    <row r="4" spans="1:11">
      <c r="A4" s="30" t="str">
        <f>'RESUMEN VIGILANCIA'!A4</f>
        <v>Familia Il Grande Franceschi</v>
      </c>
      <c r="B4" s="31" t="str">
        <f>'RESUMEN VIGILANCIA'!B4</f>
        <v>Av. "I" Nro. 146-40</v>
      </c>
      <c r="C4" s="182">
        <f>SUMIFS(Vigilancia!$E:$E,Vigilancia!$F:$F,$A4,Vigilancia!$J:$J,C$1)</f>
        <v>0</v>
      </c>
      <c r="D4" s="182">
        <f>SUMIFS(Vigilancia!$E:$E,Vigilancia!$F:$F,$A4,Vigilancia!$J:$J,D$1)</f>
        <v>3.5</v>
      </c>
      <c r="E4" s="182">
        <f>SUMIFS(Vigilancia!$E:$E,Vigilancia!$F:$F,$A4,Vigilancia!$J:$J,E$1)</f>
        <v>0</v>
      </c>
      <c r="F4" s="182">
        <f>SUMIFS(Vigilancia!$E:$E,Vigilancia!$F:$F,$A4,Vigilancia!$J:$J,F$1)</f>
        <v>0</v>
      </c>
      <c r="G4" s="182">
        <f>SUMIFS(Vigilancia!$E:$E,Vigilancia!$F:$F,$A4,Vigilancia!$J:$J,G$1)</f>
        <v>0</v>
      </c>
      <c r="H4" s="182">
        <f>SUMIFS(Vigilancia!$E:$E,Vigilancia!$F:$F,$A4,Vigilancia!$J:$J,H$1)</f>
        <v>0</v>
      </c>
      <c r="I4" s="182">
        <f>SUMIFS(Vigilancia!$E:$E,Vigilancia!$F:$F,$A4,Vigilancia!$J:$J,I$1)</f>
        <v>0</v>
      </c>
      <c r="J4" s="182">
        <f>SUMIFS(Vigilancia!$E:$E,Vigilancia!$F:$F,$A4,Vigilancia!$J:$J,J$1)</f>
        <v>0</v>
      </c>
    </row>
    <row r="5" spans="1:11">
      <c r="A5" s="30" t="str">
        <f>'RESUMEN VIGILANCIA'!A5</f>
        <v>Jocsan Orta Correa</v>
      </c>
      <c r="B5" s="31" t="str">
        <f>'RESUMEN VIGILANCIA'!B5</f>
        <v>Av. "L" anexo de Los Tronquitos</v>
      </c>
      <c r="C5" s="182">
        <f>SUMIFS(Vigilancia!$E:$E,Vigilancia!$F:$F,$A5,Vigilancia!$J:$J,C$1)</f>
        <v>0</v>
      </c>
      <c r="D5" s="182">
        <f>SUMIFS(Vigilancia!$E:$E,Vigilancia!$F:$F,$A5,Vigilancia!$J:$J,D$1)</f>
        <v>0</v>
      </c>
      <c r="E5" s="305">
        <f>SUMIFS(Vigilancia!$E:$E,Vigilancia!$F:$F,$A5,Vigilancia!$J:$J,E$1)</f>
        <v>0</v>
      </c>
      <c r="F5" s="305">
        <f>SUMIFS(Vigilancia!$E:$E,Vigilancia!$F:$F,$A5,Vigilancia!$J:$J,F$1)</f>
        <v>0</v>
      </c>
      <c r="G5" s="182">
        <f>SUMIFS(Vigilancia!$E:$E,Vigilancia!$F:$F,$A5,Vigilancia!$J:$J,G$1)</f>
        <v>0</v>
      </c>
      <c r="H5" s="182">
        <f>SUMIFS(Vigilancia!$E:$E,Vigilancia!$F:$F,$A5,Vigilancia!$J:$J,H$1)</f>
        <v>0</v>
      </c>
      <c r="I5" s="182">
        <f>SUMIFS(Vigilancia!$E:$E,Vigilancia!$F:$F,$A5,Vigilancia!$J:$J,I$1)</f>
        <v>0</v>
      </c>
      <c r="J5" s="182">
        <f>SUMIFS(Vigilancia!$E:$E,Vigilancia!$F:$F,$A5,Vigilancia!$J:$J,J$1)</f>
        <v>0</v>
      </c>
    </row>
    <row r="6" spans="1:11">
      <c r="A6" s="30" t="str">
        <f>'RESUMEN VIGILANCIA'!A6</f>
        <v>Sra. Reina Meléndez</v>
      </c>
      <c r="B6" s="31" t="str">
        <f>'RESUMEN VIGILANCIA'!B6</f>
        <v>Av. "M" Nro. 145-10</v>
      </c>
      <c r="C6" s="182">
        <f>SUMIFS(Vigilancia!$E:$E,Vigilancia!$F:$F,$A6,Vigilancia!$J:$J,C$1)</f>
        <v>7.0000000000000007E-2</v>
      </c>
      <c r="D6" s="182">
        <f>SUMIFS(Vigilancia!$E:$E,Vigilancia!$F:$F,$A6,Vigilancia!$J:$J,D$1)</f>
        <v>3.5</v>
      </c>
      <c r="E6" s="305">
        <f>SUMIFS(Vigilancia!$E:$E,Vigilancia!$F:$F,$A6,Vigilancia!$J:$J,E$1)</f>
        <v>12.2</v>
      </c>
      <c r="F6" s="305">
        <f>SUMIFS(Vigilancia!$E:$E,Vigilancia!$F:$F,$A6,Vigilancia!$J:$J,F$1)</f>
        <v>10</v>
      </c>
      <c r="G6" s="182">
        <f>SUMIFS(Vigilancia!$E:$E,Vigilancia!$F:$F,$A6,Vigilancia!$J:$J,G$1)</f>
        <v>0</v>
      </c>
      <c r="H6" s="182">
        <f>SUMIFS(Vigilancia!$E:$E,Vigilancia!$F:$F,$A6,Vigilancia!$J:$J,H$1)</f>
        <v>0</v>
      </c>
      <c r="I6" s="182">
        <f>SUMIFS(Vigilancia!$E:$E,Vigilancia!$F:$F,$A6,Vigilancia!$J:$J,I$1)</f>
        <v>0</v>
      </c>
      <c r="J6" s="182">
        <f>SUMIFS(Vigilancia!$E:$E,Vigilancia!$F:$F,$A6,Vigilancia!$J:$J,J$1)</f>
        <v>0</v>
      </c>
    </row>
    <row r="7" spans="1:11">
      <c r="A7" s="30" t="str">
        <f>'RESUMEN VIGILANCIA'!A7</f>
        <v>Familia Barreto Pérez</v>
      </c>
      <c r="B7" s="31" t="str">
        <f>'RESUMEN VIGILANCIA'!B7</f>
        <v>Av. "M" Nro. 146-15</v>
      </c>
      <c r="C7" s="182">
        <f>SUMIFS(Vigilancia!$E:$E,Vigilancia!$F:$F,$A7,Vigilancia!$J:$J,C$1)</f>
        <v>0</v>
      </c>
      <c r="D7" s="182">
        <f>SUMIFS(Vigilancia!$E:$E,Vigilancia!$F:$F,$A7,Vigilancia!$J:$J,D$1)</f>
        <v>3.5</v>
      </c>
      <c r="E7" s="305">
        <f>SUMIFS(Vigilancia!$E:$E,Vigilancia!$F:$F,$A7,Vigilancia!$J:$J,E$1)</f>
        <v>0</v>
      </c>
      <c r="F7" s="305">
        <f>SUMIFS(Vigilancia!$E:$E,Vigilancia!$F:$F,$A7,Vigilancia!$J:$J,F$1)</f>
        <v>10</v>
      </c>
      <c r="G7" s="182">
        <f>SUMIFS(Vigilancia!$E:$E,Vigilancia!$F:$F,$A7,Vigilancia!$J:$J,G$1)</f>
        <v>0</v>
      </c>
      <c r="H7" s="182">
        <f>SUMIFS(Vigilancia!$E:$E,Vigilancia!$F:$F,$A7,Vigilancia!$J:$J,H$1)</f>
        <v>0</v>
      </c>
      <c r="I7" s="182">
        <f>SUMIFS(Vigilancia!$E:$E,Vigilancia!$F:$F,$A7,Vigilancia!$J:$J,I$1)</f>
        <v>0</v>
      </c>
      <c r="J7" s="182">
        <f>SUMIFS(Vigilancia!$E:$E,Vigilancia!$F:$F,$A7,Vigilancia!$J:$J,J$1)</f>
        <v>0</v>
      </c>
    </row>
    <row r="8" spans="1:11">
      <c r="A8" s="30" t="str">
        <f>'RESUMEN VIGILANCIA'!A8</f>
        <v>Familia Flores Montagne</v>
      </c>
      <c r="B8" s="31" t="str">
        <f>'RESUMEN VIGILANCIA'!B8</f>
        <v>Av. "M" Nro. 146-20</v>
      </c>
      <c r="C8" s="182">
        <f>SUMIFS(Vigilancia!$E:$E,Vigilancia!$F:$F,$A8,Vigilancia!$J:$J,C$1)</f>
        <v>0</v>
      </c>
      <c r="D8" s="182">
        <f>SUMIFS(Vigilancia!$E:$E,Vigilancia!$F:$F,$A8,Vigilancia!$J:$J,D$1)</f>
        <v>0</v>
      </c>
      <c r="E8" s="305">
        <f>SUMIFS(Vigilancia!$E:$E,Vigilancia!$F:$F,$A8,Vigilancia!$J:$J,E$1)</f>
        <v>0</v>
      </c>
      <c r="F8" s="305">
        <f>SUMIFS(Vigilancia!$E:$E,Vigilancia!$F:$F,$A8,Vigilancia!$J:$J,F$1)</f>
        <v>10</v>
      </c>
      <c r="G8" s="182">
        <f>SUMIFS(Vigilancia!$E:$E,Vigilancia!$F:$F,$A8,Vigilancia!$J:$J,G$1)</f>
        <v>0</v>
      </c>
      <c r="H8" s="182">
        <f>SUMIFS(Vigilancia!$E:$E,Vigilancia!$F:$F,$A8,Vigilancia!$J:$J,H$1)</f>
        <v>0</v>
      </c>
      <c r="I8" s="182">
        <f>SUMIFS(Vigilancia!$E:$E,Vigilancia!$F:$F,$A8,Vigilancia!$J:$J,I$1)</f>
        <v>0</v>
      </c>
      <c r="J8" s="182">
        <f>SUMIFS(Vigilancia!$E:$E,Vigilancia!$F:$F,$A8,Vigilancia!$J:$J,J$1)</f>
        <v>0</v>
      </c>
    </row>
    <row r="9" spans="1:11" ht="15.75" thickBot="1">
      <c r="A9" s="30" t="str">
        <f>'RESUMEN VIGILANCIA'!A9</f>
        <v>Judith Lazo</v>
      </c>
      <c r="B9" s="31" t="str">
        <f>'RESUMEN VIGILANCIA'!B9</f>
        <v>Av. "M" Nro. 146-25</v>
      </c>
      <c r="C9" s="182">
        <f>SUMIFS(Vigilancia!$E:$E,Vigilancia!$F:$F,$A9,Vigilancia!$J:$J,C$1)</f>
        <v>0</v>
      </c>
      <c r="D9" s="182">
        <f>SUMIFS(Vigilancia!$E:$E,Vigilancia!$F:$F,$A9,Vigilancia!$J:$J,D$1)</f>
        <v>0</v>
      </c>
      <c r="E9" s="305">
        <f>SUMIFS(Vigilancia!$E:$E,Vigilancia!$F:$F,$A9,Vigilancia!$J:$J,E$1)</f>
        <v>0</v>
      </c>
      <c r="F9" s="305">
        <f>SUMIFS(Vigilancia!$E:$E,Vigilancia!$F:$F,$A9,Vigilancia!$J:$J,F$1)</f>
        <v>10</v>
      </c>
      <c r="G9" s="182">
        <f>SUMIFS(Vigilancia!$E:$E,Vigilancia!$F:$F,$A9,Vigilancia!$J:$J,G$1)</f>
        <v>0</v>
      </c>
      <c r="H9" s="182">
        <f>SUMIFS(Vigilancia!$E:$E,Vigilancia!$F:$F,$A9,Vigilancia!$J:$J,H$1)</f>
        <v>0</v>
      </c>
      <c r="I9" s="182">
        <f>SUMIFS(Vigilancia!$E:$E,Vigilancia!$F:$F,$A9,Vigilancia!$J:$J,I$1)</f>
        <v>0</v>
      </c>
      <c r="J9" s="182">
        <f>SUMIFS(Vigilancia!$E:$E,Vigilancia!$F:$F,$A9,Vigilancia!$J:$J,J$1)</f>
        <v>0</v>
      </c>
    </row>
    <row r="10" spans="1:11">
      <c r="A10" s="59" t="str">
        <f>'RESUMEN VIGILANCIA'!A10</f>
        <v>La Casita Encantada</v>
      </c>
      <c r="B10" s="60" t="str">
        <f>'RESUMEN VIGILANCIA'!B10</f>
        <v>Av. "M" Nro. 146-30</v>
      </c>
      <c r="C10" s="214">
        <f>SUMIFS(Vigilancia!$E:$E,Vigilancia!$F:$F,$A10,Vigilancia!$J:$J,C$1)</f>
        <v>7.0000000000000007E-2</v>
      </c>
      <c r="D10" s="214">
        <f>SUMIFS(Vigilancia!$E:$E,Vigilancia!$F:$F,$A10,Vigilancia!$J:$J,D$1)</f>
        <v>3.5</v>
      </c>
      <c r="E10" s="214">
        <f>SUMIFS(Vigilancia!$E:$E,Vigilancia!$F:$F,$A10,Vigilancia!$J:$J,E$1)</f>
        <v>12.2</v>
      </c>
      <c r="F10" s="214">
        <f>SUMIFS(Vigilancia!$E:$E,Vigilancia!$F:$F,$A10,Vigilancia!$J:$J,F$1)</f>
        <v>0</v>
      </c>
      <c r="G10" s="214">
        <f>SUMIFS(Vigilancia!$E:$E,Vigilancia!$F:$F,$A10,Vigilancia!$J:$J,G$1)</f>
        <v>0</v>
      </c>
      <c r="H10" s="214">
        <f>SUMIFS(Vigilancia!$E:$E,Vigilancia!$F:$F,$A10,Vigilancia!$J:$J,H$1)</f>
        <v>0</v>
      </c>
      <c r="I10" s="214">
        <f>SUMIFS(Vigilancia!$E:$E,Vigilancia!$F:$F,$A10,Vigilancia!$J:$J,I$1)</f>
        <v>0</v>
      </c>
      <c r="J10" s="214">
        <f>SUMIFS(Vigilancia!$E:$E,Vigilancia!$F:$F,$A10,Vigilancia!$J:$J,J$1)</f>
        <v>0</v>
      </c>
      <c r="K10" s="122"/>
    </row>
    <row r="11" spans="1:11">
      <c r="A11" s="59" t="str">
        <f>'RESUMEN VIGILANCIA'!A11</f>
        <v>Familia Calzadilla Trujillo</v>
      </c>
      <c r="B11" s="60" t="str">
        <f>'RESUMEN VIGILANCIA'!B11</f>
        <v>Av. "M" Nro. 146-30</v>
      </c>
      <c r="C11" s="214">
        <f>SUMIFS(Vigilancia!$E:$E,Vigilancia!$F:$F,$A11,Vigilancia!$J:$J,C$1)</f>
        <v>0</v>
      </c>
      <c r="D11" s="214">
        <f>SUMIFS(Vigilancia!$E:$E,Vigilancia!$F:$F,$A11,Vigilancia!$J:$J,D$1)</f>
        <v>0</v>
      </c>
      <c r="E11" s="214">
        <f>SUMIFS(Vigilancia!$E:$E,Vigilancia!$F:$F,$A11,Vigilancia!$J:$J,E$1)</f>
        <v>0</v>
      </c>
      <c r="F11" s="214">
        <f>SUMIFS(Vigilancia!$E:$E,Vigilancia!$F:$F,$A11,Vigilancia!$J:$J,F$1)</f>
        <v>0</v>
      </c>
      <c r="G11" s="214">
        <f>SUMIFS(Vigilancia!$E:$E,Vigilancia!$F:$F,$A11,Vigilancia!$J:$J,G$1)</f>
        <v>0</v>
      </c>
      <c r="H11" s="214">
        <f>SUMIFS(Vigilancia!$E:$E,Vigilancia!$F:$F,$A11,Vigilancia!$J:$J,H$1)</f>
        <v>0</v>
      </c>
      <c r="I11" s="214">
        <f>SUMIFS(Vigilancia!$E:$E,Vigilancia!$F:$F,$A11,Vigilancia!$J:$J,I$1)</f>
        <v>0</v>
      </c>
      <c r="J11" s="214">
        <f>SUMIFS(Vigilancia!$E:$E,Vigilancia!$F:$F,$A11,Vigilancia!$J:$J,J$1)</f>
        <v>0</v>
      </c>
      <c r="K11" s="123"/>
    </row>
    <row r="12" spans="1:11" ht="15.75" thickBot="1">
      <c r="A12" s="30" t="str">
        <f>'RESUMEN VIGILANCIA'!A12</f>
        <v>Santiago Varela</v>
      </c>
      <c r="B12" s="31" t="str">
        <f>'RESUMEN VIGILANCIA'!B12</f>
        <v>Av. "M" Nro. 146-30</v>
      </c>
      <c r="C12" s="182">
        <f>SUMIFS(Vigilancia!$E:$E,Vigilancia!$F:$F,$A12,Vigilancia!$J:$J,C$1)</f>
        <v>0</v>
      </c>
      <c r="D12" s="182">
        <f>SUMIFS(Vigilancia!$E:$E,Vigilancia!$F:$F,$A12,Vigilancia!$J:$J,D$1)</f>
        <v>0</v>
      </c>
      <c r="E12" s="305">
        <f>SUMIFS(Vigilancia!$E:$E,Vigilancia!$F:$F,$A12,Vigilancia!$J:$J,E$1)</f>
        <v>0</v>
      </c>
      <c r="F12" s="305">
        <f>SUMIFS(Vigilancia!$E:$E,Vigilancia!$F:$F,$A12,Vigilancia!$J:$J,F$1)</f>
        <v>0</v>
      </c>
      <c r="G12" s="182">
        <f>SUMIFS(Vigilancia!$E:$E,Vigilancia!$F:$F,$A12,Vigilancia!$J:$J,G$1)</f>
        <v>0</v>
      </c>
      <c r="H12" s="182">
        <f>SUMIFS(Vigilancia!$E:$E,Vigilancia!$F:$F,$A12,Vigilancia!$J:$J,H$1)</f>
        <v>0</v>
      </c>
      <c r="I12" s="182">
        <f>SUMIFS(Vigilancia!$E:$E,Vigilancia!$F:$F,$A12,Vigilancia!$J:$J,I$1)</f>
        <v>0</v>
      </c>
      <c r="J12" s="182">
        <f>SUMIFS(Vigilancia!$E:$E,Vigilancia!$F:$F,$A12,Vigilancia!$J:$J,J$1)</f>
        <v>0</v>
      </c>
      <c r="K12" s="124"/>
    </row>
    <row r="13" spans="1:11">
      <c r="A13" s="30" t="str">
        <f>'RESUMEN VIGILANCIA'!A13</f>
        <v>Ely Saúl Rivero Gómez</v>
      </c>
      <c r="B13" s="31" t="str">
        <f>'RESUMEN VIGILANCIA'!B13</f>
        <v>Av. "Ñ" Nro. 145-25</v>
      </c>
      <c r="C13" s="182">
        <f>SUMIFS(Vigilancia!$E:$E,Vigilancia!$F:$F,$A13,Vigilancia!$J:$J,C$1)</f>
        <v>7.0000000000000007E-2</v>
      </c>
      <c r="D13" s="182">
        <f>SUMIFS(Vigilancia!$E:$E,Vigilancia!$F:$F,$A13,Vigilancia!$J:$J,D$1)</f>
        <v>3.5</v>
      </c>
      <c r="E13" s="305">
        <f>SUMIFS(Vigilancia!$E:$E,Vigilancia!$F:$F,$A13,Vigilancia!$J:$J,E$1)</f>
        <v>12.2</v>
      </c>
      <c r="F13" s="305">
        <f>SUMIFS(Vigilancia!$E:$E,Vigilancia!$F:$F,$A13,Vigilancia!$J:$J,F$1)</f>
        <v>10</v>
      </c>
      <c r="G13" s="182">
        <f>SUMIFS(Vigilancia!$E:$E,Vigilancia!$F:$F,$A13,Vigilancia!$J:$J,G$1)</f>
        <v>0</v>
      </c>
      <c r="H13" s="182">
        <f>SUMIFS(Vigilancia!$E:$E,Vigilancia!$F:$F,$A13,Vigilancia!$J:$J,H$1)</f>
        <v>0</v>
      </c>
      <c r="I13" s="182">
        <f>SUMIFS(Vigilancia!$E:$E,Vigilancia!$F:$F,$A13,Vigilancia!$J:$J,I$1)</f>
        <v>0</v>
      </c>
      <c r="J13" s="182">
        <f>SUMIFS(Vigilancia!$E:$E,Vigilancia!$F:$F,$A13,Vigilancia!$J:$J,J$1)</f>
        <v>0</v>
      </c>
    </row>
    <row r="14" spans="1:11">
      <c r="A14" s="30" t="str">
        <f>'RESUMEN VIGILANCIA'!A14</f>
        <v>Familia González López</v>
      </c>
      <c r="B14" s="31" t="str">
        <f>'RESUMEN VIGILANCIA'!B14</f>
        <v>Av. "Ñ" Nro. 145-27</v>
      </c>
      <c r="C14" s="182">
        <f>SUMIFS(Vigilancia!$E:$E,Vigilancia!$F:$F,$A14,Vigilancia!$J:$J,C$1)</f>
        <v>0</v>
      </c>
      <c r="D14" s="182">
        <f>SUMIFS(Vigilancia!$E:$E,Vigilancia!$F:$F,$A14,Vigilancia!$J:$J,D$1)</f>
        <v>0</v>
      </c>
      <c r="E14" s="305">
        <f>SUMIFS(Vigilancia!$E:$E,Vigilancia!$F:$F,$A14,Vigilancia!$J:$J,E$1)</f>
        <v>0</v>
      </c>
      <c r="F14" s="305">
        <f>SUMIFS(Vigilancia!$E:$E,Vigilancia!$F:$F,$A14,Vigilancia!$J:$J,F$1)</f>
        <v>0</v>
      </c>
      <c r="G14" s="182">
        <f>SUMIFS(Vigilancia!$E:$E,Vigilancia!$F:$F,$A14,Vigilancia!$J:$J,G$1)</f>
        <v>0</v>
      </c>
      <c r="H14" s="182">
        <f>SUMIFS(Vigilancia!$E:$E,Vigilancia!$F:$F,$A14,Vigilancia!$J:$J,H$1)</f>
        <v>0</v>
      </c>
      <c r="I14" s="182">
        <f>SUMIFS(Vigilancia!$E:$E,Vigilancia!$F:$F,$A14,Vigilancia!$J:$J,I$1)</f>
        <v>0</v>
      </c>
      <c r="J14" s="182">
        <f>SUMIFS(Vigilancia!$E:$E,Vigilancia!$F:$F,$A14,Vigilancia!$J:$J,J$1)</f>
        <v>0</v>
      </c>
    </row>
    <row r="15" spans="1:11">
      <c r="A15" s="30" t="str">
        <f>'RESUMEN VIGILANCIA'!A15</f>
        <v>Familia Coronel</v>
      </c>
      <c r="B15" s="31" t="str">
        <f>'RESUMEN VIGILANCIA'!B15</f>
        <v>Av. "O" Nro. 146-10</v>
      </c>
      <c r="C15" s="182">
        <f>SUMIFS(Vigilancia!$E:$E,Vigilancia!$F:$F,$A15,Vigilancia!$J:$J,C$1)</f>
        <v>0</v>
      </c>
      <c r="D15" s="182">
        <f>SUMIFS(Vigilancia!$E:$E,Vigilancia!$F:$F,$A15,Vigilancia!$J:$J,D$1)</f>
        <v>0</v>
      </c>
      <c r="E15" s="305">
        <f>SUMIFS(Vigilancia!$E:$E,Vigilancia!$F:$F,$A15,Vigilancia!$J:$J,E$1)</f>
        <v>0</v>
      </c>
      <c r="F15" s="305">
        <f>SUMIFS(Vigilancia!$E:$E,Vigilancia!$F:$F,$A15,Vigilancia!$J:$J,F$1)</f>
        <v>0</v>
      </c>
      <c r="G15" s="182">
        <f>SUMIFS(Vigilancia!$E:$E,Vigilancia!$F:$F,$A15,Vigilancia!$J:$J,G$1)</f>
        <v>0</v>
      </c>
      <c r="H15" s="182">
        <f>SUMIFS(Vigilancia!$E:$E,Vigilancia!$F:$F,$A15,Vigilancia!$J:$J,H$1)</f>
        <v>0</v>
      </c>
      <c r="I15" s="182">
        <f>SUMIFS(Vigilancia!$E:$E,Vigilancia!$F:$F,$A15,Vigilancia!$J:$J,I$1)</f>
        <v>0</v>
      </c>
      <c r="J15" s="182">
        <f>SUMIFS(Vigilancia!$E:$E,Vigilancia!$F:$F,$A15,Vigilancia!$J:$J,J$1)</f>
        <v>0</v>
      </c>
    </row>
    <row r="16" spans="1:11">
      <c r="A16" s="30" t="str">
        <f>'RESUMEN VIGILANCIA'!A16</f>
        <v>Familia Hurtado</v>
      </c>
      <c r="B16" s="31" t="str">
        <f>'RESUMEN VIGILANCIA'!B16</f>
        <v>Av. "O" Nro. 146-11</v>
      </c>
      <c r="C16" s="182">
        <f>SUMIFS(Vigilancia!$E:$E,Vigilancia!$F:$F,$A16,Vigilancia!$J:$J,C$1)</f>
        <v>7.0000000000000007E-2</v>
      </c>
      <c r="D16" s="182">
        <f>SUMIFS(Vigilancia!$E:$E,Vigilancia!$F:$F,$A16,Vigilancia!$J:$J,D$1)</f>
        <v>0</v>
      </c>
      <c r="E16" s="305">
        <f>SUMIFS(Vigilancia!$E:$E,Vigilancia!$F:$F,$A16,Vigilancia!$J:$J,E$1)</f>
        <v>0</v>
      </c>
      <c r="F16" s="305">
        <f>SUMIFS(Vigilancia!$E:$E,Vigilancia!$F:$F,$A16,Vigilancia!$J:$J,F$1)</f>
        <v>10</v>
      </c>
      <c r="G16" s="182">
        <f>SUMIFS(Vigilancia!$E:$E,Vigilancia!$F:$F,$A16,Vigilancia!$J:$J,G$1)</f>
        <v>0</v>
      </c>
      <c r="H16" s="182">
        <f>SUMIFS(Vigilancia!$E:$E,Vigilancia!$F:$F,$A16,Vigilancia!$J:$J,H$1)</f>
        <v>0</v>
      </c>
      <c r="I16" s="182">
        <f>SUMIFS(Vigilancia!$E:$E,Vigilancia!$F:$F,$A16,Vigilancia!$J:$J,I$1)</f>
        <v>0</v>
      </c>
      <c r="J16" s="182">
        <f>SUMIFS(Vigilancia!$E:$E,Vigilancia!$F:$F,$A16,Vigilancia!$J:$J,J$1)</f>
        <v>0</v>
      </c>
    </row>
    <row r="17" spans="1:10">
      <c r="A17" s="30" t="str">
        <f>'RESUMEN VIGILANCIA'!A17</f>
        <v>Ana de González</v>
      </c>
      <c r="B17" s="31" t="str">
        <f>'RESUMEN VIGILANCIA'!B17</f>
        <v>Av. "O" Nro. 146-17</v>
      </c>
      <c r="C17" s="182">
        <f>SUMIFS(Vigilancia!$E:$E,Vigilancia!$F:$F,$A17,Vigilancia!$J:$J,C$1)</f>
        <v>7.0000000000000007E-2</v>
      </c>
      <c r="D17" s="182">
        <f>SUMIFS(Vigilancia!$E:$E,Vigilancia!$F:$F,$A17,Vigilancia!$J:$J,D$1)</f>
        <v>3.5</v>
      </c>
      <c r="E17" s="305">
        <f>SUMIFS(Vigilancia!$E:$E,Vigilancia!$F:$F,$A17,Vigilancia!$J:$J,E$1)</f>
        <v>0</v>
      </c>
      <c r="F17" s="305">
        <f>SUMIFS(Vigilancia!$E:$E,Vigilancia!$F:$F,$A17,Vigilancia!$J:$J,F$1)</f>
        <v>0</v>
      </c>
      <c r="G17" s="182">
        <f>SUMIFS(Vigilancia!$E:$E,Vigilancia!$F:$F,$A17,Vigilancia!$J:$J,G$1)</f>
        <v>0.18</v>
      </c>
      <c r="H17" s="182">
        <f>SUMIFS(Vigilancia!$E:$E,Vigilancia!$F:$F,$A17,Vigilancia!$J:$J,H$1)</f>
        <v>0</v>
      </c>
      <c r="I17" s="182">
        <f>SUMIFS(Vigilancia!$E:$E,Vigilancia!$F:$F,$A17,Vigilancia!$J:$J,I$1)</f>
        <v>0</v>
      </c>
      <c r="J17" s="182">
        <f>SUMIFS(Vigilancia!$E:$E,Vigilancia!$F:$F,$A17,Vigilancia!$J:$J,J$1)</f>
        <v>0</v>
      </c>
    </row>
    <row r="18" spans="1:10">
      <c r="A18" s="30" t="str">
        <f>'RESUMEN VIGILANCIA'!A18</f>
        <v>María Luisa Gornés</v>
      </c>
      <c r="B18" s="31" t="str">
        <f>'RESUMEN VIGILANCIA'!B18</f>
        <v>Calle Guacara Nro. 87-05</v>
      </c>
      <c r="C18" s="182">
        <f>SUMIFS(Vigilancia!$E:$E,Vigilancia!$F:$F,$A18,Vigilancia!$J:$J,C$1)</f>
        <v>0</v>
      </c>
      <c r="D18" s="182">
        <f>SUMIFS(Vigilancia!$E:$E,Vigilancia!$F:$F,$A18,Vigilancia!$J:$J,D$1)</f>
        <v>0</v>
      </c>
      <c r="E18" s="305">
        <f>SUMIFS(Vigilancia!$E:$E,Vigilancia!$F:$F,$A18,Vigilancia!$J:$J,E$1)</f>
        <v>0</v>
      </c>
      <c r="F18" s="305">
        <f>SUMIFS(Vigilancia!$E:$E,Vigilancia!$F:$F,$A18,Vigilancia!$J:$J,F$1)</f>
        <v>0</v>
      </c>
      <c r="G18" s="182">
        <f>SUMIFS(Vigilancia!$E:$E,Vigilancia!$F:$F,$A18,Vigilancia!$J:$J,G$1)</f>
        <v>0</v>
      </c>
      <c r="H18" s="182">
        <f>SUMIFS(Vigilancia!$E:$E,Vigilancia!$F:$F,$A18,Vigilancia!$J:$J,H$1)</f>
        <v>0</v>
      </c>
      <c r="I18" s="182">
        <f>SUMIFS(Vigilancia!$E:$E,Vigilancia!$F:$F,$A18,Vigilancia!$J:$J,I$1)</f>
        <v>0</v>
      </c>
      <c r="J18" s="182">
        <f>SUMIFS(Vigilancia!$E:$E,Vigilancia!$F:$F,$A18,Vigilancia!$J:$J,J$1)</f>
        <v>0</v>
      </c>
    </row>
    <row r="19" spans="1:10">
      <c r="A19" s="30" t="str">
        <f>'RESUMEN VIGILANCIA'!A19</f>
        <v>Familia Aponte . Anexo</v>
      </c>
      <c r="B19" s="31" t="str">
        <f>'RESUMEN VIGILANCIA'!B19</f>
        <v>Calle Guacara Nro. 87-05</v>
      </c>
      <c r="C19" s="182">
        <f>SUMIFS(Vigilancia!$E:$E,Vigilancia!$F:$F,$A19,Vigilancia!$J:$J,C$1)</f>
        <v>0</v>
      </c>
      <c r="D19" s="182">
        <f>SUMIFS(Vigilancia!$E:$E,Vigilancia!$F:$F,$A19,Vigilancia!$J:$J,D$1)</f>
        <v>0</v>
      </c>
      <c r="E19" s="305">
        <f>SUMIFS(Vigilancia!$E:$E,Vigilancia!$F:$F,$A19,Vigilancia!$J:$J,E$1)</f>
        <v>0</v>
      </c>
      <c r="F19" s="305">
        <f>SUMIFS(Vigilancia!$E:$E,Vigilancia!$F:$F,$A19,Vigilancia!$J:$J,F$1)</f>
        <v>0</v>
      </c>
      <c r="G19" s="182">
        <f>SUMIFS(Vigilancia!$E:$E,Vigilancia!$F:$F,$A19,Vigilancia!$J:$J,G$1)</f>
        <v>0</v>
      </c>
      <c r="H19" s="182">
        <f>SUMIFS(Vigilancia!$E:$E,Vigilancia!$F:$F,$A19,Vigilancia!$J:$J,H$1)</f>
        <v>0</v>
      </c>
      <c r="I19" s="182">
        <f>SUMIFS(Vigilancia!$E:$E,Vigilancia!$F:$F,$A19,Vigilancia!$J:$J,I$1)</f>
        <v>0</v>
      </c>
      <c r="J19" s="182">
        <f>SUMIFS(Vigilancia!$E:$E,Vigilancia!$F:$F,$A19,Vigilancia!$J:$J,J$1)</f>
        <v>0</v>
      </c>
    </row>
    <row r="20" spans="1:10">
      <c r="A20" s="30" t="str">
        <f>'RESUMEN VIGILANCIA'!A20</f>
        <v>Familia Franco Gómez</v>
      </c>
      <c r="B20" s="31" t="str">
        <f>'RESUMEN VIGILANCIA'!B20</f>
        <v>Calle Guacara Nro. 87-07</v>
      </c>
      <c r="C20" s="182">
        <f>SUMIFS(Vigilancia!$E:$E,Vigilancia!$F:$F,$A20,Vigilancia!$J:$J,C$1)</f>
        <v>7.0000000000000007E-2</v>
      </c>
      <c r="D20" s="182">
        <f>SUMIFS(Vigilancia!$E:$E,Vigilancia!$F:$F,$A20,Vigilancia!$J:$J,D$1)</f>
        <v>3.5</v>
      </c>
      <c r="E20" s="305">
        <f>SUMIFS(Vigilancia!$E:$E,Vigilancia!$F:$F,$A20,Vigilancia!$J:$J,E$1)</f>
        <v>12.2</v>
      </c>
      <c r="F20" s="305">
        <f>SUMIFS(Vigilancia!$E:$E,Vigilancia!$F:$F,$A20,Vigilancia!$J:$J,F$1)</f>
        <v>10</v>
      </c>
      <c r="G20" s="182">
        <f>SUMIFS(Vigilancia!$E:$E,Vigilancia!$F:$F,$A20,Vigilancia!$J:$J,G$1)</f>
        <v>0</v>
      </c>
      <c r="H20" s="182">
        <f>SUMIFS(Vigilancia!$E:$E,Vigilancia!$F:$F,$A20,Vigilancia!$J:$J,H$1)</f>
        <v>0</v>
      </c>
      <c r="I20" s="182">
        <f>SUMIFS(Vigilancia!$E:$E,Vigilancia!$F:$F,$A20,Vigilancia!$J:$J,I$1)</f>
        <v>0</v>
      </c>
      <c r="J20" s="182">
        <f>SUMIFS(Vigilancia!$E:$E,Vigilancia!$F:$F,$A20,Vigilancia!$J:$J,J$1)</f>
        <v>0</v>
      </c>
    </row>
    <row r="21" spans="1:10">
      <c r="A21" s="37" t="str">
        <f>'RESUMEN VIGILANCIA'!A21</f>
        <v>Doris Valderrama</v>
      </c>
      <c r="B21" s="38" t="str">
        <f>'RESUMEN VIGILANCIA'!B21</f>
        <v>Calle Guacara Nro. 87-15</v>
      </c>
      <c r="C21" s="200">
        <f>SUMIFS(Vigilancia!$E:$E,Vigilancia!$F:$F,$A21,Vigilancia!$J:$J,C$1)</f>
        <v>0</v>
      </c>
      <c r="D21" s="200">
        <f>SUMIFS(Vigilancia!$E:$E,Vigilancia!$F:$F,$A21,Vigilancia!$J:$J,D$1)</f>
        <v>0</v>
      </c>
      <c r="E21" s="200">
        <f>SUMIFS(Vigilancia!$E:$E,Vigilancia!$F:$F,$A21,Vigilancia!$J:$J,E$1)</f>
        <v>0</v>
      </c>
      <c r="F21" s="200">
        <f>SUMIFS(Vigilancia!$E:$E,Vigilancia!$F:$F,$A21,Vigilancia!$J:$J,F$1)</f>
        <v>0</v>
      </c>
      <c r="G21" s="200">
        <f>SUMIFS(Vigilancia!$E:$E,Vigilancia!$F:$F,$A21,Vigilancia!$J:$J,G$1)</f>
        <v>0</v>
      </c>
      <c r="H21" s="200">
        <f>SUMIFS(Vigilancia!$E:$E,Vigilancia!$F:$F,$A21,Vigilancia!$J:$J,H$1)</f>
        <v>0</v>
      </c>
      <c r="I21" s="200">
        <f>SUMIFS(Vigilancia!$E:$E,Vigilancia!$F:$F,$A21,Vigilancia!$J:$J,I$1)</f>
        <v>0</v>
      </c>
      <c r="J21" s="200">
        <f>SUMIFS(Vigilancia!$E:$E,Vigilancia!$F:$F,$A21,Vigilancia!$J:$J,J$1)</f>
        <v>0</v>
      </c>
    </row>
    <row r="22" spans="1:10">
      <c r="A22" s="37" t="str">
        <f>'RESUMEN VIGILANCIA'!A22</f>
        <v>Familia Delgado</v>
      </c>
      <c r="B22" s="38" t="str">
        <f>'RESUMEN VIGILANCIA'!B22</f>
        <v>Calle Guacara Nro. 87-19</v>
      </c>
      <c r="C22" s="200">
        <f>SUMIFS(Vigilancia!$E:$E,Vigilancia!$F:$F,$A22,Vigilancia!$J:$J,C$1)</f>
        <v>0</v>
      </c>
      <c r="D22" s="200">
        <f>SUMIFS(Vigilancia!$E:$E,Vigilancia!$F:$F,$A22,Vigilancia!$J:$J,D$1)</f>
        <v>0</v>
      </c>
      <c r="E22" s="200">
        <f>SUMIFS(Vigilancia!$E:$E,Vigilancia!$F:$F,$A22,Vigilancia!$J:$J,E$1)</f>
        <v>0</v>
      </c>
      <c r="F22" s="200">
        <f>SUMIFS(Vigilancia!$E:$E,Vigilancia!$F:$F,$A22,Vigilancia!$J:$J,F$1)</f>
        <v>0</v>
      </c>
      <c r="G22" s="200">
        <f>SUMIFS(Vigilancia!$E:$E,Vigilancia!$F:$F,$A22,Vigilancia!$J:$J,G$1)</f>
        <v>0</v>
      </c>
      <c r="H22" s="200">
        <f>SUMIFS(Vigilancia!$E:$E,Vigilancia!$F:$F,$A22,Vigilancia!$J:$J,H$1)</f>
        <v>0</v>
      </c>
      <c r="I22" s="200">
        <f>SUMIFS(Vigilancia!$E:$E,Vigilancia!$F:$F,$A22,Vigilancia!$J:$J,I$1)</f>
        <v>0</v>
      </c>
      <c r="J22" s="200">
        <f>SUMIFS(Vigilancia!$E:$E,Vigilancia!$F:$F,$A22,Vigilancia!$J:$J,J$1)</f>
        <v>0</v>
      </c>
    </row>
    <row r="23" spans="1:10">
      <c r="A23" s="37" t="str">
        <f>'RESUMEN VIGILANCIA'!A23</f>
        <v>Familia Pereira</v>
      </c>
      <c r="B23" s="38" t="str">
        <f>'RESUMEN VIGILANCIA'!B23</f>
        <v>Calle Guacara Nro. 87-27</v>
      </c>
      <c r="C23" s="200">
        <f>SUMIFS(Vigilancia!$E:$E,Vigilancia!$F:$F,$A23,Vigilancia!$J:$J,C$1)</f>
        <v>0</v>
      </c>
      <c r="D23" s="200">
        <f>SUMIFS(Vigilancia!$E:$E,Vigilancia!$F:$F,$A23,Vigilancia!$J:$J,D$1)</f>
        <v>0</v>
      </c>
      <c r="E23" s="200">
        <f>SUMIFS(Vigilancia!$E:$E,Vigilancia!$F:$F,$A23,Vigilancia!$J:$J,E$1)</f>
        <v>0</v>
      </c>
      <c r="F23" s="200">
        <f>SUMIFS(Vigilancia!$E:$E,Vigilancia!$F:$F,$A23,Vigilancia!$J:$J,F$1)</f>
        <v>0</v>
      </c>
      <c r="G23" s="200">
        <f>SUMIFS(Vigilancia!$E:$E,Vigilancia!$F:$F,$A23,Vigilancia!$J:$J,G$1)</f>
        <v>0</v>
      </c>
      <c r="H23" s="200">
        <f>SUMIFS(Vigilancia!$E:$E,Vigilancia!$F:$F,$A23,Vigilancia!$J:$J,H$1)</f>
        <v>0</v>
      </c>
      <c r="I23" s="200">
        <f>SUMIFS(Vigilancia!$E:$E,Vigilancia!$F:$F,$A23,Vigilancia!$J:$J,I$1)</f>
        <v>0</v>
      </c>
      <c r="J23" s="200">
        <f>SUMIFS(Vigilancia!$E:$E,Vigilancia!$F:$F,$A23,Vigilancia!$J:$J,J$1)</f>
        <v>0</v>
      </c>
    </row>
    <row r="24" spans="1:10">
      <c r="A24" s="37" t="str">
        <f>'RESUMEN VIGILANCIA'!A24</f>
        <v>Familia Padrón C. Bollingher</v>
      </c>
      <c r="B24" s="38" t="str">
        <f>'RESUMEN VIGILANCIA'!B24</f>
        <v>Calle Guacara Nro. 87-30</v>
      </c>
      <c r="C24" s="200">
        <f>SUMIFS(Vigilancia!$E:$E,Vigilancia!$F:$F,$A24,Vigilancia!$J:$J,C$1)</f>
        <v>0</v>
      </c>
      <c r="D24" s="200">
        <f>SUMIFS(Vigilancia!$E:$E,Vigilancia!$F:$F,$A24,Vigilancia!$J:$J,D$1)</f>
        <v>0</v>
      </c>
      <c r="E24" s="200">
        <f>SUMIFS(Vigilancia!$E:$E,Vigilancia!$F:$F,$A24,Vigilancia!$J:$J,E$1)</f>
        <v>0</v>
      </c>
      <c r="F24" s="200">
        <f>SUMIFS(Vigilancia!$E:$E,Vigilancia!$F:$F,$A24,Vigilancia!$J:$J,F$1)</f>
        <v>0</v>
      </c>
      <c r="G24" s="200">
        <f>SUMIFS(Vigilancia!$E:$E,Vigilancia!$F:$F,$A24,Vigilancia!$J:$J,G$1)</f>
        <v>0</v>
      </c>
      <c r="H24" s="200">
        <f>SUMIFS(Vigilancia!$E:$E,Vigilancia!$F:$F,$A24,Vigilancia!$J:$J,H$1)</f>
        <v>0</v>
      </c>
      <c r="I24" s="200">
        <f>SUMIFS(Vigilancia!$E:$E,Vigilancia!$F:$F,$A24,Vigilancia!$J:$J,I$1)</f>
        <v>0</v>
      </c>
      <c r="J24" s="200">
        <f>SUMIFS(Vigilancia!$E:$E,Vigilancia!$F:$F,$A24,Vigilancia!$J:$J,J$1)</f>
        <v>0</v>
      </c>
    </row>
    <row r="25" spans="1:10">
      <c r="A25" s="37" t="str">
        <f>'RESUMEN VIGILANCIA'!A25</f>
        <v>Familia Morillo</v>
      </c>
      <c r="B25" s="38" t="str">
        <f>'RESUMEN VIGILANCIA'!B25</f>
        <v>Calle Guacara Nro. 87-35</v>
      </c>
      <c r="C25" s="200">
        <f>SUMIFS(Vigilancia!$E:$E,Vigilancia!$F:$F,$A25,Vigilancia!$J:$J,C$1)</f>
        <v>0</v>
      </c>
      <c r="D25" s="200">
        <f>SUMIFS(Vigilancia!$E:$E,Vigilancia!$F:$F,$A25,Vigilancia!$J:$J,D$1)</f>
        <v>0</v>
      </c>
      <c r="E25" s="200">
        <f>SUMIFS(Vigilancia!$E:$E,Vigilancia!$F:$F,$A25,Vigilancia!$J:$J,E$1)</f>
        <v>0</v>
      </c>
      <c r="F25" s="200">
        <f>SUMIFS(Vigilancia!$E:$E,Vigilancia!$F:$F,$A25,Vigilancia!$J:$J,F$1)</f>
        <v>0</v>
      </c>
      <c r="G25" s="200">
        <f>SUMIFS(Vigilancia!$E:$E,Vigilancia!$F:$F,$A25,Vigilancia!$J:$J,G$1)</f>
        <v>0</v>
      </c>
      <c r="H25" s="200">
        <f>SUMIFS(Vigilancia!$E:$E,Vigilancia!$F:$F,$A25,Vigilancia!$J:$J,H$1)</f>
        <v>0</v>
      </c>
      <c r="I25" s="200">
        <f>SUMIFS(Vigilancia!$E:$E,Vigilancia!$F:$F,$A25,Vigilancia!$J:$J,I$1)</f>
        <v>0</v>
      </c>
      <c r="J25" s="200">
        <f>SUMIFS(Vigilancia!$E:$E,Vigilancia!$F:$F,$A25,Vigilancia!$J:$J,J$1)</f>
        <v>0</v>
      </c>
    </row>
    <row r="26" spans="1:10">
      <c r="A26" s="37" t="str">
        <f>'RESUMEN VIGILANCIA'!A26</f>
        <v>Familia Gorrín Gianfrancesco</v>
      </c>
      <c r="B26" s="38" t="str">
        <f>'RESUMEN VIGILANCIA'!B26</f>
        <v>Calle Guacara Nro. 87-40</v>
      </c>
      <c r="C26" s="200">
        <f>SUMIFS(Vigilancia!$E:$E,Vigilancia!$F:$F,$A26,Vigilancia!$J:$J,C$1)</f>
        <v>0</v>
      </c>
      <c r="D26" s="200">
        <f>SUMIFS(Vigilancia!$E:$E,Vigilancia!$F:$F,$A26,Vigilancia!$J:$J,D$1)</f>
        <v>0</v>
      </c>
      <c r="E26" s="200">
        <f>SUMIFS(Vigilancia!$E:$E,Vigilancia!$F:$F,$A26,Vigilancia!$J:$J,E$1)</f>
        <v>0</v>
      </c>
      <c r="F26" s="200">
        <f>SUMIFS(Vigilancia!$E:$E,Vigilancia!$F:$F,$A26,Vigilancia!$J:$J,F$1)</f>
        <v>0</v>
      </c>
      <c r="G26" s="200">
        <f>SUMIFS(Vigilancia!$E:$E,Vigilancia!$F:$F,$A26,Vigilancia!$J:$J,G$1)</f>
        <v>0</v>
      </c>
      <c r="H26" s="200">
        <f>SUMIFS(Vigilancia!$E:$E,Vigilancia!$F:$F,$A26,Vigilancia!$J:$J,H$1)</f>
        <v>0</v>
      </c>
      <c r="I26" s="200">
        <f>SUMIFS(Vigilancia!$E:$E,Vigilancia!$F:$F,$A26,Vigilancia!$J:$J,I$1)</f>
        <v>0</v>
      </c>
      <c r="J26" s="200">
        <f>SUMIFS(Vigilancia!$E:$E,Vigilancia!$F:$F,$A26,Vigilancia!$J:$J,J$1)</f>
        <v>0</v>
      </c>
    </row>
    <row r="27" spans="1:10">
      <c r="A27" s="37" t="str">
        <f>'RESUMEN VIGILANCIA'!A27</f>
        <v>Familia Moretti</v>
      </c>
      <c r="B27" s="38" t="str">
        <f>'RESUMEN VIGILANCIA'!B27</f>
        <v>Calle Guacara Nro. 87-51</v>
      </c>
      <c r="C27" s="200">
        <f>SUMIFS(Vigilancia!$E:$E,Vigilancia!$F:$F,$A27,Vigilancia!$J:$J,C$1)</f>
        <v>0</v>
      </c>
      <c r="D27" s="200">
        <f>SUMIFS(Vigilancia!$E:$E,Vigilancia!$F:$F,$A27,Vigilancia!$J:$J,D$1)</f>
        <v>0</v>
      </c>
      <c r="E27" s="200">
        <f>SUMIFS(Vigilancia!$E:$E,Vigilancia!$F:$F,$A27,Vigilancia!$J:$J,E$1)</f>
        <v>0</v>
      </c>
      <c r="F27" s="200">
        <f>SUMIFS(Vigilancia!$E:$E,Vigilancia!$F:$F,$A27,Vigilancia!$J:$J,F$1)</f>
        <v>0</v>
      </c>
      <c r="G27" s="200">
        <f>SUMIFS(Vigilancia!$E:$E,Vigilancia!$F:$F,$A27,Vigilancia!$J:$J,G$1)</f>
        <v>0</v>
      </c>
      <c r="H27" s="200">
        <f>SUMIFS(Vigilancia!$E:$E,Vigilancia!$F:$F,$A27,Vigilancia!$J:$J,H$1)</f>
        <v>0</v>
      </c>
      <c r="I27" s="200">
        <f>SUMIFS(Vigilancia!$E:$E,Vigilancia!$F:$F,$A27,Vigilancia!$J:$J,I$1)</f>
        <v>0</v>
      </c>
      <c r="J27" s="200">
        <f>SUMIFS(Vigilancia!$E:$E,Vigilancia!$F:$F,$A27,Vigilancia!$J:$J,J$1)</f>
        <v>0</v>
      </c>
    </row>
    <row r="28" spans="1:10">
      <c r="A28" s="37" t="str">
        <f>'RESUMEN VIGILANCIA'!A28</f>
        <v>Familia Ramírez (Guacara)</v>
      </c>
      <c r="B28" s="38" t="str">
        <f>'RESUMEN VIGILANCIA'!B28</f>
        <v>Calle Guacara Nro. 87-59</v>
      </c>
      <c r="C28" s="200">
        <f>SUMIFS(Vigilancia!$E:$E,Vigilancia!$F:$F,$A28,Vigilancia!$J:$J,C$1)</f>
        <v>0</v>
      </c>
      <c r="D28" s="200">
        <f>SUMIFS(Vigilancia!$E:$E,Vigilancia!$F:$F,$A28,Vigilancia!$J:$J,D$1)</f>
        <v>0</v>
      </c>
      <c r="E28" s="200">
        <f>SUMIFS(Vigilancia!$E:$E,Vigilancia!$F:$F,$A28,Vigilancia!$J:$J,E$1)</f>
        <v>0</v>
      </c>
      <c r="F28" s="200">
        <f>SUMIFS(Vigilancia!$E:$E,Vigilancia!$F:$F,$A28,Vigilancia!$J:$J,F$1)</f>
        <v>0</v>
      </c>
      <c r="G28" s="200">
        <f>SUMIFS(Vigilancia!$E:$E,Vigilancia!$F:$F,$A28,Vigilancia!$J:$J,G$1)</f>
        <v>0</v>
      </c>
      <c r="H28" s="200">
        <f>SUMIFS(Vigilancia!$E:$E,Vigilancia!$F:$F,$A28,Vigilancia!$J:$J,H$1)</f>
        <v>0</v>
      </c>
      <c r="I28" s="200">
        <f>SUMIFS(Vigilancia!$E:$E,Vigilancia!$F:$F,$A28,Vigilancia!$J:$J,I$1)</f>
        <v>0</v>
      </c>
      <c r="J28" s="200">
        <f>SUMIFS(Vigilancia!$E:$E,Vigilancia!$F:$F,$A28,Vigilancia!$J:$J,J$1)</f>
        <v>0</v>
      </c>
    </row>
    <row r="29" spans="1:10">
      <c r="A29" s="37" t="str">
        <f>'RESUMEN VIGILANCIA'!A29</f>
        <v>Familia De Sousa Pereira</v>
      </c>
      <c r="B29" s="38" t="str">
        <f>'RESUMEN VIGILANCIA'!B29</f>
        <v>Calle Guacara Nro. 87-65</v>
      </c>
      <c r="C29" s="200">
        <f>SUMIFS(Vigilancia!$E:$E,Vigilancia!$F:$F,$A29,Vigilancia!$J:$J,C$1)</f>
        <v>0</v>
      </c>
      <c r="D29" s="200">
        <f>SUMIFS(Vigilancia!$E:$E,Vigilancia!$F:$F,$A29,Vigilancia!$J:$J,D$1)</f>
        <v>0</v>
      </c>
      <c r="E29" s="200">
        <f>SUMIFS(Vigilancia!$E:$E,Vigilancia!$F:$F,$A29,Vigilancia!$J:$J,E$1)</f>
        <v>0</v>
      </c>
      <c r="F29" s="200">
        <f>SUMIFS(Vigilancia!$E:$E,Vigilancia!$F:$F,$A29,Vigilancia!$J:$J,F$1)</f>
        <v>0</v>
      </c>
      <c r="G29" s="200">
        <f>SUMIFS(Vigilancia!$E:$E,Vigilancia!$F:$F,$A29,Vigilancia!$J:$J,G$1)</f>
        <v>0</v>
      </c>
      <c r="H29" s="200">
        <f>SUMIFS(Vigilancia!$E:$E,Vigilancia!$F:$F,$A29,Vigilancia!$J:$J,H$1)</f>
        <v>0</v>
      </c>
      <c r="I29" s="200">
        <f>SUMIFS(Vigilancia!$E:$E,Vigilancia!$F:$F,$A29,Vigilancia!$J:$J,I$1)</f>
        <v>0</v>
      </c>
      <c r="J29" s="200">
        <f>SUMIFS(Vigilancia!$E:$E,Vigilancia!$F:$F,$A29,Vigilancia!$J:$J,J$1)</f>
        <v>0</v>
      </c>
    </row>
    <row r="30" spans="1:10">
      <c r="A30" s="37" t="str">
        <f>'RESUMEN VIGILANCIA'!A30</f>
        <v>Familia De Libero Marinelli</v>
      </c>
      <c r="B30" s="38" t="str">
        <f>'RESUMEN VIGILANCIA'!B30</f>
        <v>Calle Guacara Nro. 87-70</v>
      </c>
      <c r="C30" s="200">
        <f>SUMIFS(Vigilancia!$E:$E,Vigilancia!$F:$F,$A30,Vigilancia!$J:$J,C$1)</f>
        <v>0</v>
      </c>
      <c r="D30" s="200">
        <f>SUMIFS(Vigilancia!$E:$E,Vigilancia!$F:$F,$A30,Vigilancia!$J:$J,D$1)</f>
        <v>0</v>
      </c>
      <c r="E30" s="200">
        <f>SUMIFS(Vigilancia!$E:$E,Vigilancia!$F:$F,$A30,Vigilancia!$J:$J,E$1)</f>
        <v>0</v>
      </c>
      <c r="F30" s="200">
        <f>SUMIFS(Vigilancia!$E:$E,Vigilancia!$F:$F,$A30,Vigilancia!$J:$J,F$1)</f>
        <v>0</v>
      </c>
      <c r="G30" s="200">
        <f>SUMIFS(Vigilancia!$E:$E,Vigilancia!$F:$F,$A30,Vigilancia!$J:$J,G$1)</f>
        <v>0</v>
      </c>
      <c r="H30" s="200">
        <f>SUMIFS(Vigilancia!$E:$E,Vigilancia!$F:$F,$A30,Vigilancia!$J:$J,H$1)</f>
        <v>0</v>
      </c>
      <c r="I30" s="200">
        <f>SUMIFS(Vigilancia!$E:$E,Vigilancia!$F:$F,$A30,Vigilancia!$J:$J,I$1)</f>
        <v>0</v>
      </c>
      <c r="J30" s="200">
        <f>SUMIFS(Vigilancia!$E:$E,Vigilancia!$F:$F,$A30,Vigilancia!$J:$J,J$1)</f>
        <v>0</v>
      </c>
    </row>
    <row r="31" spans="1:10">
      <c r="A31" s="37" t="str">
        <f>'RESUMEN VIGILANCIA'!A31</f>
        <v>Familia Martínez</v>
      </c>
      <c r="B31" s="38" t="str">
        <f>'RESUMEN VIGILANCIA'!B31</f>
        <v>Calle Guacara Nro. 87-80</v>
      </c>
      <c r="C31" s="200">
        <f>SUMIFS(Vigilancia!$E:$E,Vigilancia!$F:$F,$A31,Vigilancia!$J:$J,C$1)</f>
        <v>0</v>
      </c>
      <c r="D31" s="200">
        <f>SUMIFS(Vigilancia!$E:$E,Vigilancia!$F:$F,$A31,Vigilancia!$J:$J,D$1)</f>
        <v>0</v>
      </c>
      <c r="E31" s="200">
        <f>SUMIFS(Vigilancia!$E:$E,Vigilancia!$F:$F,$A31,Vigilancia!$J:$J,E$1)</f>
        <v>0</v>
      </c>
      <c r="F31" s="200">
        <f>SUMIFS(Vigilancia!$E:$E,Vigilancia!$F:$F,$A31,Vigilancia!$J:$J,F$1)</f>
        <v>0</v>
      </c>
      <c r="G31" s="200">
        <f>SUMIFS(Vigilancia!$E:$E,Vigilancia!$F:$F,$A31,Vigilancia!$J:$J,G$1)</f>
        <v>0</v>
      </c>
      <c r="H31" s="200">
        <f>SUMIFS(Vigilancia!$E:$E,Vigilancia!$F:$F,$A31,Vigilancia!$J:$J,H$1)</f>
        <v>0</v>
      </c>
      <c r="I31" s="200">
        <f>SUMIFS(Vigilancia!$E:$E,Vigilancia!$F:$F,$A31,Vigilancia!$J:$J,I$1)</f>
        <v>0</v>
      </c>
      <c r="J31" s="200">
        <f>SUMIFS(Vigilancia!$E:$E,Vigilancia!$F:$F,$A31,Vigilancia!$J:$J,J$1)</f>
        <v>0</v>
      </c>
    </row>
    <row r="32" spans="1:10">
      <c r="A32" s="37" t="str">
        <f>'RESUMEN VIGILANCIA'!A32</f>
        <v>Familia Suarez</v>
      </c>
      <c r="B32" s="38" t="str">
        <f>'RESUMEN VIGILANCIA'!B32</f>
        <v>Calle Guacara Nro. 87-82</v>
      </c>
      <c r="C32" s="200">
        <f>SUMIFS(Vigilancia!$E:$E,Vigilancia!$F:$F,$A32,Vigilancia!$J:$J,C$1)</f>
        <v>0</v>
      </c>
      <c r="D32" s="200">
        <f>SUMIFS(Vigilancia!$E:$E,Vigilancia!$F:$F,$A32,Vigilancia!$J:$J,D$1)</f>
        <v>0</v>
      </c>
      <c r="E32" s="200">
        <f>SUMIFS(Vigilancia!$E:$E,Vigilancia!$F:$F,$A32,Vigilancia!$J:$J,E$1)</f>
        <v>0</v>
      </c>
      <c r="F32" s="200">
        <f>SUMIFS(Vigilancia!$E:$E,Vigilancia!$F:$F,$A32,Vigilancia!$J:$J,F$1)</f>
        <v>0</v>
      </c>
      <c r="G32" s="200">
        <f>SUMIFS(Vigilancia!$E:$E,Vigilancia!$F:$F,$A32,Vigilancia!$J:$J,G$1)</f>
        <v>0</v>
      </c>
      <c r="H32" s="200">
        <f>SUMIFS(Vigilancia!$E:$E,Vigilancia!$F:$F,$A32,Vigilancia!$J:$J,H$1)</f>
        <v>0</v>
      </c>
      <c r="I32" s="200">
        <f>SUMIFS(Vigilancia!$E:$E,Vigilancia!$F:$F,$A32,Vigilancia!$J:$J,I$1)</f>
        <v>0</v>
      </c>
      <c r="J32" s="200">
        <f>SUMIFS(Vigilancia!$E:$E,Vigilancia!$F:$F,$A32,Vigilancia!$J:$J,J$1)</f>
        <v>0</v>
      </c>
    </row>
    <row r="33" spans="1:11">
      <c r="A33" s="30" t="str">
        <f>'RESUMEN VIGILANCIA'!A33</f>
        <v>Chin Chun Ya (Goya)</v>
      </c>
      <c r="B33" s="31" t="str">
        <f>'RESUMEN VIGILANCIA'!B33</f>
        <v>Calle Guacara Nro. 87-86</v>
      </c>
      <c r="C33" s="182">
        <f>SUMIFS(Vigilancia!$E:$E,Vigilancia!$F:$F,$A33,Vigilancia!$J:$J,C$1)</f>
        <v>7.0000000000000007E-2</v>
      </c>
      <c r="D33" s="182">
        <f>SUMIFS(Vigilancia!$E:$E,Vigilancia!$F:$F,$A33,Vigilancia!$J:$J,D$1)</f>
        <v>3.5</v>
      </c>
      <c r="E33" s="305">
        <f>SUMIFS(Vigilancia!$E:$E,Vigilancia!$F:$F,$A33,Vigilancia!$J:$J,E$1)</f>
        <v>12.2</v>
      </c>
      <c r="F33" s="305">
        <f>SUMIFS(Vigilancia!$E:$E,Vigilancia!$F:$F,$A33,Vigilancia!$J:$J,F$1)</f>
        <v>10</v>
      </c>
      <c r="G33" s="182">
        <f>SUMIFS(Vigilancia!$E:$E,Vigilancia!$F:$F,$A33,Vigilancia!$J:$J,G$1)</f>
        <v>0</v>
      </c>
      <c r="H33" s="182">
        <f>SUMIFS(Vigilancia!$E:$E,Vigilancia!$F:$F,$A33,Vigilancia!$J:$J,H$1)</f>
        <v>0</v>
      </c>
      <c r="I33" s="182">
        <f>SUMIFS(Vigilancia!$E:$E,Vigilancia!$F:$F,$A33,Vigilancia!$J:$J,I$1)</f>
        <v>0</v>
      </c>
      <c r="J33" s="182">
        <f>SUMIFS(Vigilancia!$E:$E,Vigilancia!$F:$F,$A33,Vigilancia!$J:$J,J$1)</f>
        <v>0</v>
      </c>
    </row>
    <row r="34" spans="1:11">
      <c r="A34" s="30" t="str">
        <f>'RESUMEN VIGILANCIA'!A34</f>
        <v>Teresita Román</v>
      </c>
      <c r="B34" s="31" t="str">
        <f>'RESUMEN VIGILANCIA'!B34</f>
        <v>Calle Guacara Nro. 87-90</v>
      </c>
      <c r="C34" s="182">
        <f>SUMIFS(Vigilancia!$E:$E,Vigilancia!$F:$F,$A34,Vigilancia!$J:$J,C$1)</f>
        <v>0</v>
      </c>
      <c r="D34" s="182">
        <f>SUMIFS(Vigilancia!$E:$E,Vigilancia!$F:$F,$A34,Vigilancia!$J:$J,D$1)</f>
        <v>0</v>
      </c>
      <c r="E34" s="305">
        <f>SUMIFS(Vigilancia!$E:$E,Vigilancia!$F:$F,$A34,Vigilancia!$J:$J,E$1)</f>
        <v>0</v>
      </c>
      <c r="F34" s="305">
        <f>SUMIFS(Vigilancia!$E:$E,Vigilancia!$F:$F,$A34,Vigilancia!$J:$J,F$1)</f>
        <v>0</v>
      </c>
      <c r="G34" s="182">
        <f>SUMIFS(Vigilancia!$E:$E,Vigilancia!$F:$F,$A34,Vigilancia!$J:$J,G$1)</f>
        <v>0</v>
      </c>
      <c r="H34" s="182">
        <f>SUMIFS(Vigilancia!$E:$E,Vigilancia!$F:$F,$A34,Vigilancia!$J:$J,H$1)</f>
        <v>0</v>
      </c>
      <c r="I34" s="182">
        <f>SUMIFS(Vigilancia!$E:$E,Vigilancia!$F:$F,$A34,Vigilancia!$J:$J,I$1)</f>
        <v>0</v>
      </c>
      <c r="J34" s="182">
        <f>SUMIFS(Vigilancia!$E:$E,Vigilancia!$F:$F,$A34,Vigilancia!$J:$J,J$1)</f>
        <v>0</v>
      </c>
    </row>
    <row r="35" spans="1:11">
      <c r="A35" s="30" t="str">
        <f>'RESUMEN VIGILANCIA'!A35</f>
        <v>Familia Puerta Burguillos</v>
      </c>
      <c r="B35" s="31" t="str">
        <f>'RESUMEN VIGILANCIA'!B35</f>
        <v>Calle Guacara Nro. 87-100</v>
      </c>
      <c r="C35" s="182">
        <f>SUMIFS(Vigilancia!$E:$E,Vigilancia!$F:$F,$A35,Vigilancia!$J:$J,C$1)</f>
        <v>7.0000000000000007E-2</v>
      </c>
      <c r="D35" s="182">
        <f>SUMIFS(Vigilancia!$E:$E,Vigilancia!$F:$F,$A35,Vigilancia!$J:$J,D$1)</f>
        <v>3.5</v>
      </c>
      <c r="E35" s="305">
        <f>SUMIFS(Vigilancia!$E:$E,Vigilancia!$F:$F,$A35,Vigilancia!$J:$J,E$1)</f>
        <v>12.2</v>
      </c>
      <c r="F35" s="305">
        <f>SUMIFS(Vigilancia!$E:$E,Vigilancia!$F:$F,$A35,Vigilancia!$J:$J,F$1)</f>
        <v>10</v>
      </c>
      <c r="G35" s="182">
        <f>SUMIFS(Vigilancia!$E:$E,Vigilancia!$F:$F,$A35,Vigilancia!$J:$J,G$1)</f>
        <v>0</v>
      </c>
      <c r="H35" s="182">
        <f>SUMIFS(Vigilancia!$E:$E,Vigilancia!$F:$F,$A35,Vigilancia!$J:$J,H$1)</f>
        <v>0</v>
      </c>
      <c r="I35" s="182">
        <f>SUMIFS(Vigilancia!$E:$E,Vigilancia!$F:$F,$A35,Vigilancia!$J:$J,I$1)</f>
        <v>0</v>
      </c>
      <c r="J35" s="182">
        <f>SUMIFS(Vigilancia!$E:$E,Vigilancia!$F:$F,$A35,Vigilancia!$J:$J,J$1)</f>
        <v>0</v>
      </c>
    </row>
    <row r="36" spans="1:11">
      <c r="A36" s="30" t="str">
        <f>'RESUMEN VIGILANCIA'!A36</f>
        <v>Familia Méndez Parra</v>
      </c>
      <c r="B36" s="31" t="str">
        <f>'RESUMEN VIGILANCIA'!B36</f>
        <v>Calle Guacara Nro. 88-19</v>
      </c>
      <c r="C36" s="182">
        <f>SUMIFS(Vigilancia!$E:$E,Vigilancia!$F:$F,$A36,Vigilancia!$J:$J,C$1)</f>
        <v>4.3200000000000002E-2</v>
      </c>
      <c r="D36" s="182">
        <f>SUMIFS(Vigilancia!$E:$E,Vigilancia!$F:$F,$A36,Vigilancia!$J:$J,D$1)</f>
        <v>3.5</v>
      </c>
      <c r="E36" s="305">
        <f>SUMIFS(Vigilancia!$E:$E,Vigilancia!$F:$F,$A36,Vigilancia!$J:$J,E$1)</f>
        <v>12</v>
      </c>
      <c r="F36" s="305">
        <f>SUMIFS(Vigilancia!$E:$E,Vigilancia!$F:$F,$A36,Vigilancia!$J:$J,F$1)</f>
        <v>0</v>
      </c>
      <c r="G36" s="182">
        <f>SUMIFS(Vigilancia!$E:$E,Vigilancia!$F:$F,$A36,Vigilancia!$J:$J,G$1)</f>
        <v>0</v>
      </c>
      <c r="H36" s="182">
        <f>SUMIFS(Vigilancia!$E:$E,Vigilancia!$F:$F,$A36,Vigilancia!$J:$J,H$1)</f>
        <v>0</v>
      </c>
      <c r="I36" s="182">
        <f>SUMIFS(Vigilancia!$E:$E,Vigilancia!$F:$F,$A36,Vigilancia!$J:$J,I$1)</f>
        <v>0</v>
      </c>
      <c r="J36" s="182">
        <f>SUMIFS(Vigilancia!$E:$E,Vigilancia!$F:$F,$A36,Vigilancia!$J:$J,J$1)</f>
        <v>0</v>
      </c>
    </row>
    <row r="37" spans="1:11">
      <c r="A37" s="30" t="str">
        <f>'RESUMEN VIGILANCIA'!A37</f>
        <v>Victoria Francischiello</v>
      </c>
      <c r="B37" s="31" t="str">
        <f>'RESUMEN VIGILANCIA'!B37</f>
        <v>Calle Guacara Nro. 88-25</v>
      </c>
      <c r="C37" s="182">
        <f>SUMIFS(Vigilancia!$E:$E,Vigilancia!$F:$F,$A37,Vigilancia!$J:$J,C$1)</f>
        <v>0.05</v>
      </c>
      <c r="D37" s="182">
        <f>SUMIFS(Vigilancia!$E:$E,Vigilancia!$F:$F,$A37,Vigilancia!$J:$J,D$1)</f>
        <v>3.5</v>
      </c>
      <c r="E37" s="305">
        <f>SUMIFS(Vigilancia!$E:$E,Vigilancia!$F:$F,$A37,Vigilancia!$J:$J,E$1)</f>
        <v>0</v>
      </c>
      <c r="F37" s="305">
        <f>SUMIFS(Vigilancia!$E:$E,Vigilancia!$F:$F,$A37,Vigilancia!$J:$J,F$1)</f>
        <v>10</v>
      </c>
      <c r="G37" s="182">
        <f>SUMIFS(Vigilancia!$E:$E,Vigilancia!$F:$F,$A37,Vigilancia!$J:$J,G$1)</f>
        <v>0</v>
      </c>
      <c r="H37" s="182">
        <f>SUMIFS(Vigilancia!$E:$E,Vigilancia!$F:$F,$A37,Vigilancia!$J:$J,H$1)</f>
        <v>0</v>
      </c>
      <c r="I37" s="182">
        <f>SUMIFS(Vigilancia!$E:$E,Vigilancia!$F:$F,$A37,Vigilancia!$J:$J,I$1)</f>
        <v>0</v>
      </c>
      <c r="J37" s="182">
        <f>SUMIFS(Vigilancia!$E:$E,Vigilancia!$F:$F,$A37,Vigilancia!$J:$J,J$1)</f>
        <v>0</v>
      </c>
    </row>
    <row r="38" spans="1:11">
      <c r="A38" s="30" t="str">
        <f>'RESUMEN VIGILANCIA'!A38</f>
        <v>Familia Cegarra Villamizar</v>
      </c>
      <c r="B38" s="31" t="str">
        <f>'RESUMEN VIGILANCIA'!B38</f>
        <v>Calle Guacara Nro. 88-35</v>
      </c>
      <c r="C38" s="182">
        <f>SUMIFS(Vigilancia!$E:$E,Vigilancia!$F:$F,$A38,Vigilancia!$J:$J,C$1)</f>
        <v>7.0000000000000007E-2</v>
      </c>
      <c r="D38" s="182">
        <f>SUMIFS(Vigilancia!$E:$E,Vigilancia!$F:$F,$A38,Vigilancia!$J:$J,D$1)</f>
        <v>0</v>
      </c>
      <c r="E38" s="305">
        <f>SUMIFS(Vigilancia!$E:$E,Vigilancia!$F:$F,$A38,Vigilancia!$J:$J,E$1)</f>
        <v>0</v>
      </c>
      <c r="F38" s="305">
        <f>SUMIFS(Vigilancia!$E:$E,Vigilancia!$F:$F,$A38,Vigilancia!$J:$J,F$1)</f>
        <v>0</v>
      </c>
      <c r="G38" s="182">
        <f>SUMIFS(Vigilancia!$E:$E,Vigilancia!$F:$F,$A38,Vigilancia!$J:$J,G$1)</f>
        <v>0</v>
      </c>
      <c r="H38" s="182">
        <f>SUMIFS(Vigilancia!$E:$E,Vigilancia!$F:$F,$A38,Vigilancia!$J:$J,H$1)</f>
        <v>0</v>
      </c>
      <c r="I38" s="182">
        <f>SUMIFS(Vigilancia!$E:$E,Vigilancia!$F:$F,$A38,Vigilancia!$J:$J,I$1)</f>
        <v>0</v>
      </c>
      <c r="J38" s="182">
        <f>SUMIFS(Vigilancia!$E:$E,Vigilancia!$F:$F,$A38,Vigilancia!$J:$J,J$1)</f>
        <v>0</v>
      </c>
    </row>
    <row r="39" spans="1:11">
      <c r="A39" s="30" t="str">
        <f>'RESUMEN VIGILANCIA'!A39</f>
        <v>Familia Del Negro Palermo</v>
      </c>
      <c r="B39" s="31" t="str">
        <f>'RESUMEN VIGILANCIA'!B39</f>
        <v>Calle Guacara Nro. 88-45</v>
      </c>
      <c r="C39" s="182">
        <f>SUMIFS(Vigilancia!$E:$E,Vigilancia!$F:$F,$A39,Vigilancia!$J:$J,C$1)</f>
        <v>0</v>
      </c>
      <c r="D39" s="182">
        <f>SUMIFS(Vigilancia!$E:$E,Vigilancia!$F:$F,$A39,Vigilancia!$J:$J,D$1)</f>
        <v>0</v>
      </c>
      <c r="E39" s="316">
        <f>SUMIFS(Vigilancia!$E:$E,Vigilancia!$F:$F,$A39,Vigilancia!$J:$J,E$1)</f>
        <v>0</v>
      </c>
      <c r="F39" s="316">
        <f>SUMIFS(Vigilancia!$E:$E,Vigilancia!$F:$F,$A39,Vigilancia!$J:$J,F$1)</f>
        <v>0</v>
      </c>
      <c r="G39" s="182">
        <f>SUMIFS(Vigilancia!$E:$E,Vigilancia!$F:$F,$A39,Vigilancia!$J:$J,G$1)</f>
        <v>0</v>
      </c>
      <c r="H39" s="182">
        <f>SUMIFS(Vigilancia!$E:$E,Vigilancia!$F:$F,$A39,Vigilancia!$J:$J,H$1)</f>
        <v>0</v>
      </c>
      <c r="I39" s="182">
        <f>SUMIFS(Vigilancia!$E:$E,Vigilancia!$F:$F,$A39,Vigilancia!$J:$J,I$1)</f>
        <v>0</v>
      </c>
      <c r="J39" s="182">
        <f>SUMIFS(Vigilancia!$E:$E,Vigilancia!$F:$F,$A39,Vigilancia!$J:$J,J$1)</f>
        <v>0</v>
      </c>
    </row>
    <row r="40" spans="1:11">
      <c r="A40" s="30" t="str">
        <f>'RESUMEN VIGILANCIA'!A40</f>
        <v>Familia Hatem Medina</v>
      </c>
      <c r="B40" s="31" t="str">
        <f>'RESUMEN VIGILANCIA'!B40</f>
        <v>Calle Guacara Nro. 88-51</v>
      </c>
      <c r="C40" s="182">
        <f>SUMIFS(Vigilancia!$E:$E,Vigilancia!$F:$F,$A40,Vigilancia!$J:$J,C$1)</f>
        <v>0.03</v>
      </c>
      <c r="D40" s="182">
        <f>SUMIFS(Vigilancia!$E:$E,Vigilancia!$F:$F,$A40,Vigilancia!$J:$J,D$1)</f>
        <v>5</v>
      </c>
      <c r="E40" s="305">
        <f>SUMIFS(Vigilancia!$E:$E,Vigilancia!$F:$F,$A40,Vigilancia!$J:$J,E$1)</f>
        <v>8.5</v>
      </c>
      <c r="F40" s="305">
        <f>SUMIFS(Vigilancia!$E:$E,Vigilancia!$F:$F,$A40,Vigilancia!$J:$J,F$1)</f>
        <v>72</v>
      </c>
      <c r="G40" s="182">
        <f>SUMIFS(Vigilancia!$E:$E,Vigilancia!$F:$F,$A40,Vigilancia!$J:$J,G$1)</f>
        <v>0</v>
      </c>
      <c r="H40" s="182">
        <f>SUMIFS(Vigilancia!$E:$E,Vigilancia!$F:$F,$A40,Vigilancia!$J:$J,H$1)</f>
        <v>0</v>
      </c>
      <c r="I40" s="182">
        <f>SUMIFS(Vigilancia!$E:$E,Vigilancia!$F:$F,$A40,Vigilancia!$J:$J,I$1)</f>
        <v>0</v>
      </c>
      <c r="J40" s="182">
        <f>SUMIFS(Vigilancia!$E:$E,Vigilancia!$F:$F,$A40,Vigilancia!$J:$J,J$1)</f>
        <v>0</v>
      </c>
    </row>
    <row r="41" spans="1:11">
      <c r="A41" s="30" t="str">
        <f>'RESUMEN VIGILANCIA'!A41</f>
        <v>Familia Leung</v>
      </c>
      <c r="B41" s="31" t="str">
        <f>'RESUMEN VIGILANCIA'!B41</f>
        <v>Calle Guacara Nro. 88-55</v>
      </c>
      <c r="C41" s="182">
        <f>SUMIFS(Vigilancia!$E:$E,Vigilancia!$F:$F,$A41,Vigilancia!$J:$J,C$1)</f>
        <v>0</v>
      </c>
      <c r="D41" s="182">
        <f>SUMIFS(Vigilancia!$E:$E,Vigilancia!$F:$F,$A41,Vigilancia!$J:$J,D$1)</f>
        <v>0</v>
      </c>
      <c r="E41" s="305">
        <f>SUMIFS(Vigilancia!$E:$E,Vigilancia!$F:$F,$A41,Vigilancia!$J:$J,E$1)</f>
        <v>0</v>
      </c>
      <c r="F41" s="305">
        <f>SUMIFS(Vigilancia!$E:$E,Vigilancia!$F:$F,$A41,Vigilancia!$J:$J,F$1)</f>
        <v>0</v>
      </c>
      <c r="G41" s="182">
        <f>SUMIFS(Vigilancia!$E:$E,Vigilancia!$F:$F,$A41,Vigilancia!$J:$J,G$1)</f>
        <v>0</v>
      </c>
      <c r="H41" s="182">
        <f>SUMIFS(Vigilancia!$E:$E,Vigilancia!$F:$F,$A41,Vigilancia!$J:$J,H$1)</f>
        <v>0</v>
      </c>
      <c r="I41" s="182">
        <f>SUMIFS(Vigilancia!$E:$E,Vigilancia!$F:$F,$A41,Vigilancia!$J:$J,I$1)</f>
        <v>0</v>
      </c>
      <c r="J41" s="182">
        <f>SUMIFS(Vigilancia!$E:$E,Vigilancia!$F:$F,$A41,Vigilancia!$J:$J,J$1)</f>
        <v>0</v>
      </c>
    </row>
    <row r="42" spans="1:11">
      <c r="A42" s="30" t="str">
        <f>'RESUMEN VIGILANCIA'!A42</f>
        <v>Familia Zhen</v>
      </c>
      <c r="B42" s="31" t="str">
        <f>'RESUMEN VIGILANCIA'!B42</f>
        <v>Calle Guacara Nro. 88-55</v>
      </c>
      <c r="C42" s="182">
        <f>SUMIFS(Vigilancia!$E:$E,Vigilancia!$F:$F,$A42,Vigilancia!$J:$J,C$1)</f>
        <v>0</v>
      </c>
      <c r="D42" s="182">
        <f>SUMIFS(Vigilancia!$E:$E,Vigilancia!$F:$F,$A42,Vigilancia!$J:$J,D$1)</f>
        <v>0</v>
      </c>
      <c r="E42" s="305">
        <f>SUMIFS(Vigilancia!$E:$E,Vigilancia!$F:$F,$A42,Vigilancia!$J:$J,E$1)</f>
        <v>0</v>
      </c>
      <c r="F42" s="305">
        <f>SUMIFS(Vigilancia!$E:$E,Vigilancia!$F:$F,$A42,Vigilancia!$J:$J,F$1)</f>
        <v>0</v>
      </c>
      <c r="G42" s="182">
        <f>SUMIFS(Vigilancia!$E:$E,Vigilancia!$F:$F,$A42,Vigilancia!$J:$J,G$1)</f>
        <v>0</v>
      </c>
      <c r="H42" s="182">
        <f>SUMIFS(Vigilancia!$E:$E,Vigilancia!$F:$F,$A42,Vigilancia!$J:$J,H$1)</f>
        <v>0</v>
      </c>
      <c r="I42" s="182">
        <f>SUMIFS(Vigilancia!$E:$E,Vigilancia!$F:$F,$A42,Vigilancia!$J:$J,I$1)</f>
        <v>0</v>
      </c>
      <c r="J42" s="182">
        <f>SUMIFS(Vigilancia!$E:$E,Vigilancia!$F:$F,$A42,Vigilancia!$J:$J,J$1)</f>
        <v>0</v>
      </c>
    </row>
    <row r="43" spans="1:11" ht="15.75" thickBot="1">
      <c r="A43" s="66" t="str">
        <f>'RESUMEN VIGILANCIA'!A43</f>
        <v>Amparo Acosta</v>
      </c>
      <c r="B43" s="64" t="str">
        <f>'RESUMEN VIGILANCIA'!B43</f>
        <v>Calle Guacara Nro. 88-65</v>
      </c>
      <c r="C43" s="182">
        <f>SUMIFS(Vigilancia!$E:$E,Vigilancia!$F:$F,$A43,Vigilancia!$J:$J,C$1)</f>
        <v>7.0000000000000007E-2</v>
      </c>
      <c r="D43" s="182">
        <f>SUMIFS(Vigilancia!$E:$E,Vigilancia!$F:$F,$A43,Vigilancia!$J:$J,D$1)</f>
        <v>0</v>
      </c>
      <c r="E43" s="305">
        <f>SUMIFS(Vigilancia!$E:$E,Vigilancia!$F:$F,$A43,Vigilancia!$J:$J,E$1)</f>
        <v>12.2</v>
      </c>
      <c r="F43" s="305">
        <f>SUMIFS(Vigilancia!$E:$E,Vigilancia!$F:$F,$A43,Vigilancia!$J:$J,F$1)</f>
        <v>10</v>
      </c>
      <c r="G43" s="182">
        <f>SUMIFS(Vigilancia!$E:$E,Vigilancia!$F:$F,$A43,Vigilancia!$J:$J,G$1)</f>
        <v>0</v>
      </c>
      <c r="H43" s="182">
        <f>SUMIFS(Vigilancia!$E:$E,Vigilancia!$F:$F,$A43,Vigilancia!$J:$J,H$1)</f>
        <v>0</v>
      </c>
      <c r="I43" s="182">
        <f>SUMIFS(Vigilancia!$E:$E,Vigilancia!$F:$F,$A43,Vigilancia!$J:$J,I$1)</f>
        <v>0</v>
      </c>
      <c r="J43" s="182">
        <f>SUMIFS(Vigilancia!$E:$E,Vigilancia!$F:$F,$A43,Vigilancia!$J:$J,J$1)</f>
        <v>0</v>
      </c>
    </row>
    <row r="44" spans="1:11">
      <c r="A44" s="59" t="str">
        <f>'RESUMEN VIGILANCIA'!A44</f>
        <v>Familia Fernández Parés</v>
      </c>
      <c r="B44" s="60" t="str">
        <f>'RESUMEN VIGILANCIA'!B44</f>
        <v>Calle Guacara Nro. 88-75</v>
      </c>
      <c r="C44" s="214">
        <f>SUMIFS(Vigilancia!$E:$E,Vigilancia!$F:$F,$A44,Vigilancia!$J:$J,C$1)</f>
        <v>7.0000000000000007E-2</v>
      </c>
      <c r="D44" s="214">
        <f>SUMIFS(Vigilancia!$E:$E,Vigilancia!$F:$F,$A44,Vigilancia!$J:$J,D$1)</f>
        <v>0</v>
      </c>
      <c r="E44" s="214">
        <f>SUMIFS(Vigilancia!$E:$E,Vigilancia!$F:$F,$A44,Vigilancia!$J:$J,E$1)</f>
        <v>0</v>
      </c>
      <c r="F44" s="214">
        <f>SUMIFS(Vigilancia!$E:$E,Vigilancia!$F:$F,$A44,Vigilancia!$J:$J,F$1)</f>
        <v>0</v>
      </c>
      <c r="G44" s="306">
        <f>SUMIFS(Vigilancia!$E:$E,Vigilancia!$F:$F,$A44,Vigilancia!$J:$J,G$1)</f>
        <v>0</v>
      </c>
      <c r="H44" s="214">
        <f>SUMIFS(Vigilancia!$E:$E,Vigilancia!$F:$F,$A44,Vigilancia!$J:$J,H$1)</f>
        <v>0</v>
      </c>
      <c r="I44" s="214">
        <f>SUMIFS(Vigilancia!$E:$E,Vigilancia!$F:$F,$A44,Vigilancia!$J:$J,I$1)</f>
        <v>0</v>
      </c>
      <c r="J44" s="206">
        <f>SUMIFS(Vigilancia!$E:$E,Vigilancia!$F:$F,$A44,Vigilancia!$J:$J,J$1)</f>
        <v>0</v>
      </c>
      <c r="K44" s="122"/>
    </row>
    <row r="45" spans="1:11">
      <c r="A45" s="59" t="str">
        <f>'RESUMEN VIGILANCIA'!A45</f>
        <v>Isbeth Palacios</v>
      </c>
      <c r="B45" s="60" t="str">
        <f>'RESUMEN VIGILANCIA'!B45</f>
        <v>Calle Guacara Nro. 88-75</v>
      </c>
      <c r="C45" s="214">
        <f>SUMIFS(Vigilancia!$E:$E,Vigilancia!$F:$F,$A45,Vigilancia!$J:$J,C$1)</f>
        <v>0</v>
      </c>
      <c r="D45" s="214">
        <f>SUMIFS(Vigilancia!$E:$E,Vigilancia!$F:$F,$A45,Vigilancia!$J:$J,D$1)</f>
        <v>3.5</v>
      </c>
      <c r="E45" s="214">
        <f>SUMIFS(Vigilancia!$E:$E,Vigilancia!$F:$F,$A45,Vigilancia!$J:$J,E$1)</f>
        <v>12.2</v>
      </c>
      <c r="F45" s="214">
        <f>SUMIFS(Vigilancia!$E:$E,Vigilancia!$F:$F,$A45,Vigilancia!$J:$J,F$1)</f>
        <v>0</v>
      </c>
      <c r="G45" s="306">
        <f>SUMIFS(Vigilancia!$E:$E,Vigilancia!$F:$F,$A45,Vigilancia!$J:$J,G$1)</f>
        <v>0</v>
      </c>
      <c r="H45" s="214">
        <f>SUMIFS(Vigilancia!$E:$E,Vigilancia!$F:$F,$A45,Vigilancia!$J:$J,H$1)</f>
        <v>0</v>
      </c>
      <c r="I45" s="214">
        <f>SUMIFS(Vigilancia!$E:$E,Vigilancia!$F:$F,$A45,Vigilancia!$J:$J,I$1)</f>
        <v>0</v>
      </c>
      <c r="J45" s="206">
        <f>SUMIFS(Vigilancia!$E:$E,Vigilancia!$F:$F,$A45,Vigilancia!$J:$J,J$1)</f>
        <v>0</v>
      </c>
      <c r="K45" s="123"/>
    </row>
    <row r="46" spans="1:11" ht="15.75" thickBot="1">
      <c r="A46" s="30" t="str">
        <f>'RESUMEN VIGILANCIA'!A46</f>
        <v>Andrea Valor</v>
      </c>
      <c r="B46" s="31" t="str">
        <f>'RESUMEN VIGILANCIA'!B46</f>
        <v>Calle Guacara Nro. 88-75</v>
      </c>
      <c r="C46" s="182">
        <f>SUMIFS(Vigilancia!$E:$E,Vigilancia!$F:$F,$A46,Vigilancia!$J:$J,C$1)</f>
        <v>0</v>
      </c>
      <c r="D46" s="182">
        <f>SUMIFS(Vigilancia!$E:$E,Vigilancia!$F:$F,$A46,Vigilancia!$J:$J,D$1)</f>
        <v>0</v>
      </c>
      <c r="E46" s="305">
        <f>SUMIFS(Vigilancia!$E:$E,Vigilancia!$F:$F,$A46,Vigilancia!$J:$J,E$1)</f>
        <v>0</v>
      </c>
      <c r="F46" s="305">
        <f>SUMIFS(Vigilancia!$E:$E,Vigilancia!$F:$F,$A46,Vigilancia!$J:$J,F$1)</f>
        <v>0</v>
      </c>
      <c r="G46" s="182">
        <f>SUMIFS(Vigilancia!$E:$E,Vigilancia!$F:$F,$A46,Vigilancia!$J:$J,G$1)</f>
        <v>0</v>
      </c>
      <c r="H46" s="182">
        <f>SUMIFS(Vigilancia!$E:$E,Vigilancia!$F:$F,$A46,Vigilancia!$J:$J,H$1)</f>
        <v>0</v>
      </c>
      <c r="I46" s="182">
        <f>SUMIFS(Vigilancia!$E:$E,Vigilancia!$F:$F,$A46,Vigilancia!$J:$J,I$1)</f>
        <v>0</v>
      </c>
      <c r="J46" s="182">
        <f>SUMIFS(Vigilancia!$E:$E,Vigilancia!$F:$F,$A46,Vigilancia!$J:$J,J$1)</f>
        <v>0</v>
      </c>
      <c r="K46" s="124"/>
    </row>
    <row r="47" spans="1:11">
      <c r="A47" s="30" t="str">
        <f>'RESUMEN VIGILANCIA'!A47</f>
        <v>Familia Machado Stoppa</v>
      </c>
      <c r="B47" s="31" t="str">
        <f>'RESUMEN VIGILANCIA'!B47</f>
        <v>Calle Guacara Nro. 88-85</v>
      </c>
      <c r="C47" s="182">
        <f>SUMIFS(Vigilancia!$E:$E,Vigilancia!$F:$F,$A47,Vigilancia!$J:$J,C$1)</f>
        <v>0</v>
      </c>
      <c r="D47" s="182">
        <f>SUMIFS(Vigilancia!$E:$E,Vigilancia!$F:$F,$A47,Vigilancia!$J:$J,D$1)</f>
        <v>3.5</v>
      </c>
      <c r="E47" s="305">
        <f>SUMIFS(Vigilancia!$E:$E,Vigilancia!$F:$F,$A47,Vigilancia!$J:$J,E$1)</f>
        <v>12.2</v>
      </c>
      <c r="F47" s="305">
        <f>SUMIFS(Vigilancia!$E:$E,Vigilancia!$F:$F,$A47,Vigilancia!$J:$J,F$1)</f>
        <v>10</v>
      </c>
      <c r="G47" s="181">
        <f>SUMIFS(Vigilancia!$E:$E,Vigilancia!$F:$F,$A47,Vigilancia!$J:$J,G$1)</f>
        <v>0</v>
      </c>
      <c r="H47" s="182">
        <f>SUMIFS(Vigilancia!$E:$E,Vigilancia!$F:$F,$A47,Vigilancia!$J:$J,H$1)</f>
        <v>0</v>
      </c>
      <c r="I47" s="182">
        <f>SUMIFS(Vigilancia!$E:$E,Vigilancia!$F:$F,$A47,Vigilancia!$J:$J,I$1)</f>
        <v>0</v>
      </c>
      <c r="J47" s="182">
        <f>SUMIFS(Vigilancia!$E:$E,Vigilancia!$F:$F,$A47,Vigilancia!$J:$J,J$1)</f>
        <v>0</v>
      </c>
    </row>
    <row r="48" spans="1:11" ht="15.75" thickBot="1">
      <c r="A48" s="30" t="str">
        <f>'RESUMEN VIGILANCIA'!A48</f>
        <v>Familia Zavarce Barón</v>
      </c>
      <c r="B48" s="31" t="str">
        <f>'RESUMEN VIGILANCIA'!B48</f>
        <v>Calle Guacara Nro. 88-91</v>
      </c>
      <c r="C48" s="182">
        <f>SUMIFS(Vigilancia!$E:$E,Vigilancia!$F:$F,$A48,Vigilancia!$J:$J,C$1)</f>
        <v>0</v>
      </c>
      <c r="D48" s="182">
        <f>SUMIFS(Vigilancia!$E:$E,Vigilancia!$F:$F,$A48,Vigilancia!$J:$J,D$1)</f>
        <v>3.5</v>
      </c>
      <c r="E48" s="305">
        <f>SUMIFS(Vigilancia!$E:$E,Vigilancia!$F:$F,$A48,Vigilancia!$J:$J,E$1)</f>
        <v>12</v>
      </c>
      <c r="F48" s="305">
        <f>SUMIFS(Vigilancia!$E:$E,Vigilancia!$F:$F,$A48,Vigilancia!$J:$J,F$1)</f>
        <v>10</v>
      </c>
      <c r="G48" s="181">
        <f>SUMIFS(Vigilancia!$E:$E,Vigilancia!$F:$F,$A48,Vigilancia!$J:$J,G$1)</f>
        <v>0</v>
      </c>
      <c r="H48" s="182">
        <f>SUMIFS(Vigilancia!$E:$E,Vigilancia!$F:$F,$A48,Vigilancia!$J:$J,H$1)</f>
        <v>0</v>
      </c>
      <c r="I48" s="182">
        <f>SUMIFS(Vigilancia!$E:$E,Vigilancia!$F:$F,$A48,Vigilancia!$J:$J,I$1)</f>
        <v>0</v>
      </c>
      <c r="J48" s="182">
        <f>SUMIFS(Vigilancia!$E:$E,Vigilancia!$F:$F,$A48,Vigilancia!$J:$J,J$1)</f>
        <v>0</v>
      </c>
    </row>
    <row r="49" spans="1:11">
      <c r="A49" s="59" t="str">
        <f>'RESUMEN VIGILANCIA'!A49</f>
        <v>Familia Chávez Moncada</v>
      </c>
      <c r="B49" s="60" t="str">
        <f>'RESUMEN VIGILANCIA'!B49</f>
        <v>Calle Guacara Nro. 88-95</v>
      </c>
      <c r="C49" s="214">
        <f>SUMIFS(Vigilancia!$E:$E,Vigilancia!$F:$F,$A49,Vigilancia!$J:$J,C$1)</f>
        <v>0</v>
      </c>
      <c r="D49" s="214">
        <f>SUMIFS(Vigilancia!$E:$E,Vigilancia!$F:$F,$A49,Vigilancia!$J:$J,D$1)</f>
        <v>0</v>
      </c>
      <c r="E49" s="214">
        <f>SUMIFS(Vigilancia!$E:$E,Vigilancia!$F:$F,$A49,Vigilancia!$J:$J,E$1)</f>
        <v>0</v>
      </c>
      <c r="F49" s="214">
        <f>SUMIFS(Vigilancia!$E:$E,Vigilancia!$F:$F,$A49,Vigilancia!$J:$J,F$1)</f>
        <v>0</v>
      </c>
      <c r="G49" s="306">
        <f>SUMIFS(Vigilancia!$E:$E,Vigilancia!$F:$F,$A49,Vigilancia!$J:$J,G$1)</f>
        <v>0</v>
      </c>
      <c r="H49" s="214">
        <f>SUMIFS(Vigilancia!$E:$E,Vigilancia!$F:$F,$A49,Vigilancia!$J:$J,H$1)</f>
        <v>0</v>
      </c>
      <c r="I49" s="214">
        <f>SUMIFS(Vigilancia!$E:$E,Vigilancia!$F:$F,$A49,Vigilancia!$J:$J,I$1)</f>
        <v>0</v>
      </c>
      <c r="J49" s="214">
        <f>SUMIFS(Vigilancia!$E:$E,Vigilancia!$F:$F,$A49,Vigilancia!$J:$J,J$1)</f>
        <v>0</v>
      </c>
      <c r="K49" s="122"/>
    </row>
    <row r="50" spans="1:11" ht="15.75" thickBot="1">
      <c r="A50" s="30" t="str">
        <f>'RESUMEN VIGILANCIA'!A50</f>
        <v>Familia Brito Viana</v>
      </c>
      <c r="B50" s="31" t="str">
        <f>'RESUMEN VIGILANCIA'!B50</f>
        <v>Calle Guacara Nro. 88-95</v>
      </c>
      <c r="C50" s="182">
        <f>SUMIFS(Vigilancia!$E:$E,Vigilancia!$F:$F,$A50,Vigilancia!$J:$J,C$1)</f>
        <v>0</v>
      </c>
      <c r="D50" s="182">
        <f>SUMIFS(Vigilancia!$E:$E,Vigilancia!$F:$F,$A50,Vigilancia!$J:$J,D$1)</f>
        <v>0</v>
      </c>
      <c r="E50" s="182">
        <f>SUMIFS(Vigilancia!$E:$E,Vigilancia!$F:$F,$A50,Vigilancia!$J:$J,E$1)</f>
        <v>0</v>
      </c>
      <c r="F50" s="182">
        <f>SUMIFS(Vigilancia!$E:$E,Vigilancia!$F:$F,$A50,Vigilancia!$J:$J,F$1)</f>
        <v>0</v>
      </c>
      <c r="G50" s="181">
        <f>SUMIFS(Vigilancia!$E:$E,Vigilancia!$F:$F,$A50,Vigilancia!$J:$J,G$1)</f>
        <v>0</v>
      </c>
      <c r="H50" s="182">
        <f>SUMIFS(Vigilancia!$E:$E,Vigilancia!$F:$F,$A50,Vigilancia!$J:$J,H$1)</f>
        <v>0</v>
      </c>
      <c r="I50" s="182">
        <f>SUMIFS(Vigilancia!$E:$E,Vigilancia!$F:$F,$A50,Vigilancia!$J:$J,I$1)</f>
        <v>0</v>
      </c>
      <c r="J50" s="182">
        <f>SUMIFS(Vigilancia!$E:$E,Vigilancia!$F:$F,$A50,Vigilancia!$J:$J,J$1)</f>
        <v>0</v>
      </c>
      <c r="K50" s="124"/>
    </row>
    <row r="51" spans="1:11">
      <c r="A51" s="59" t="str">
        <f>'RESUMEN VIGILANCIA'!A51</f>
        <v>Familia Zampini Scaccia</v>
      </c>
      <c r="B51" s="60" t="str">
        <f>'RESUMEN VIGILANCIA'!B51</f>
        <v>Calle Guacara Nro. 88-A-10</v>
      </c>
      <c r="C51" s="214">
        <f>SUMIFS(Vigilancia!$E:$E,Vigilancia!$F:$F,$A51,Vigilancia!$J:$J,C$1)</f>
        <v>0</v>
      </c>
      <c r="D51" s="214">
        <f>SUMIFS(Vigilancia!$E:$E,Vigilancia!$F:$F,$A51,Vigilancia!$J:$J,D$1)</f>
        <v>0</v>
      </c>
      <c r="E51" s="214">
        <f>SUMIFS(Vigilancia!$E:$E,Vigilancia!$F:$F,$A51,Vigilancia!$J:$J,E$1)</f>
        <v>0</v>
      </c>
      <c r="F51" s="214">
        <f>SUMIFS(Vigilancia!$E:$E,Vigilancia!$F:$F,$A51,Vigilancia!$J:$J,F$1)</f>
        <v>0</v>
      </c>
      <c r="G51" s="306">
        <f>SUMIFS(Vigilancia!$E:$E,Vigilancia!$F:$F,$A51,Vigilancia!$J:$J,G$1)</f>
        <v>0</v>
      </c>
      <c r="H51" s="214">
        <f>SUMIFS(Vigilancia!$E:$E,Vigilancia!$F:$F,$A51,Vigilancia!$J:$J,H$1)</f>
        <v>0</v>
      </c>
      <c r="I51" s="214">
        <f>SUMIFS(Vigilancia!$E:$E,Vigilancia!$F:$F,$A51,Vigilancia!$J:$J,I$1)</f>
        <v>0</v>
      </c>
      <c r="J51" s="206">
        <f>SUMIFS(Vigilancia!$E:$E,Vigilancia!$F:$F,$A51,Vigilancia!$J:$J,J$1)</f>
        <v>0</v>
      </c>
      <c r="K51" s="122"/>
    </row>
    <row r="52" spans="1:11" ht="15.75" thickBot="1">
      <c r="A52" s="30" t="str">
        <f>'RESUMEN VIGILANCIA'!A52</f>
        <v>Familia Wu Acevedo</v>
      </c>
      <c r="B52" s="31" t="str">
        <f>'RESUMEN VIGILANCIA'!B52</f>
        <v>Calle Guacara Nro. 88-A-10</v>
      </c>
      <c r="C52" s="182">
        <f>SUMIFS(Vigilancia!$E:$E,Vigilancia!$F:$F,$A52,Vigilancia!$J:$J,C$1)</f>
        <v>0</v>
      </c>
      <c r="D52" s="182">
        <f>SUMIFS(Vigilancia!$E:$E,Vigilancia!$F:$F,$A52,Vigilancia!$J:$J,D$1)</f>
        <v>0</v>
      </c>
      <c r="E52" s="305">
        <f>SUMIFS(Vigilancia!$E:$E,Vigilancia!$F:$F,$A52,Vigilancia!$J:$J,E$1)</f>
        <v>12.2</v>
      </c>
      <c r="F52" s="305">
        <f>SUMIFS(Vigilancia!$E:$E,Vigilancia!$F:$F,$A52,Vigilancia!$J:$J,F$1)</f>
        <v>10</v>
      </c>
      <c r="G52" s="181">
        <f>SUMIFS(Vigilancia!$E:$E,Vigilancia!$F:$F,$A52,Vigilancia!$J:$J,G$1)</f>
        <v>0</v>
      </c>
      <c r="H52" s="182">
        <f>SUMIFS(Vigilancia!$E:$E,Vigilancia!$F:$F,$A52,Vigilancia!$J:$J,H$1)</f>
        <v>0</v>
      </c>
      <c r="I52" s="182">
        <f>SUMIFS(Vigilancia!$E:$E,Vigilancia!$F:$F,$A52,Vigilancia!$J:$J,I$1)</f>
        <v>0</v>
      </c>
      <c r="J52" s="185">
        <f>SUMIFS(Vigilancia!$E:$E,Vigilancia!$F:$F,$A52,Vigilancia!$J:$J,J$1)</f>
        <v>0</v>
      </c>
      <c r="K52" s="124"/>
    </row>
    <row r="53" spans="1:11">
      <c r="A53" s="67" t="str">
        <f>'RESUMEN VIGILANCIA'!A53</f>
        <v>Familia Arcia Polanco</v>
      </c>
      <c r="B53" s="65" t="str">
        <f>'RESUMEN VIGILANCIA'!B53</f>
        <v>Calle Guacara Nro. 89-20</v>
      </c>
      <c r="C53" s="182">
        <f>SUMIFS(Vigilancia!$E:$E,Vigilancia!$F:$F,$A53,Vigilancia!$J:$J,C$1)</f>
        <v>7.0000000000000007E-2</v>
      </c>
      <c r="D53" s="182">
        <f>SUMIFS(Vigilancia!$E:$E,Vigilancia!$F:$F,$A53,Vigilancia!$J:$J,D$1)</f>
        <v>3.5</v>
      </c>
      <c r="E53" s="305">
        <f>SUMIFS(Vigilancia!$E:$E,Vigilancia!$F:$F,$A53,Vigilancia!$J:$J,E$1)</f>
        <v>12.2</v>
      </c>
      <c r="F53" s="305">
        <f>SUMIFS(Vigilancia!$E:$E,Vigilancia!$F:$F,$A53,Vigilancia!$J:$J,F$1)</f>
        <v>10</v>
      </c>
      <c r="G53" s="182">
        <f>SUMIFS(Vigilancia!$E:$E,Vigilancia!$F:$F,$A53,Vigilancia!$J:$J,G$1)</f>
        <v>0</v>
      </c>
      <c r="H53" s="182">
        <f>SUMIFS(Vigilancia!$E:$E,Vigilancia!$F:$F,$A53,Vigilancia!$J:$J,H$1)</f>
        <v>0</v>
      </c>
      <c r="I53" s="182">
        <f>SUMIFS(Vigilancia!$E:$E,Vigilancia!$F:$F,$A53,Vigilancia!$J:$J,I$1)</f>
        <v>0</v>
      </c>
      <c r="J53" s="182">
        <f>SUMIFS(Vigilancia!$E:$E,Vigilancia!$F:$F,$A53,Vigilancia!$J:$J,J$1)</f>
        <v>0</v>
      </c>
    </row>
    <row r="54" spans="1:11">
      <c r="A54" s="30" t="str">
        <f>'RESUMEN VIGILANCIA'!A54</f>
        <v>Familia Lomeña Agudo</v>
      </c>
      <c r="B54" s="31" t="str">
        <f>'RESUMEN VIGILANCIA'!B54</f>
        <v>Calle Guacara Nro. 89-30</v>
      </c>
      <c r="C54" s="182">
        <f>SUMIFS(Vigilancia!$E:$E,Vigilancia!$F:$F,$A54,Vigilancia!$J:$J,C$1)</f>
        <v>7.0000000000000007E-2</v>
      </c>
      <c r="D54" s="182">
        <f>SUMIFS(Vigilancia!$E:$E,Vigilancia!$F:$F,$A54,Vigilancia!$J:$J,D$1)</f>
        <v>3.5</v>
      </c>
      <c r="E54" s="305">
        <f>SUMIFS(Vigilancia!$E:$E,Vigilancia!$F:$F,$A54,Vigilancia!$J:$J,E$1)</f>
        <v>12.2</v>
      </c>
      <c r="F54" s="305">
        <f>SUMIFS(Vigilancia!$E:$E,Vigilancia!$F:$F,$A54,Vigilancia!$J:$J,F$1)</f>
        <v>10</v>
      </c>
      <c r="G54" s="182">
        <f>SUMIFS(Vigilancia!$E:$E,Vigilancia!$F:$F,$A54,Vigilancia!$J:$J,G$1)</f>
        <v>0</v>
      </c>
      <c r="H54" s="182">
        <f>SUMIFS(Vigilancia!$E:$E,Vigilancia!$F:$F,$A54,Vigilancia!$J:$J,H$1)</f>
        <v>1.4999999999999999E-2</v>
      </c>
      <c r="I54" s="182">
        <f>SUMIFS(Vigilancia!$E:$E,Vigilancia!$F:$F,$A54,Vigilancia!$J:$J,I$1)</f>
        <v>0</v>
      </c>
      <c r="J54" s="182">
        <f>SUMIFS(Vigilancia!$E:$E,Vigilancia!$F:$F,$A54,Vigilancia!$J:$J,J$1)</f>
        <v>0</v>
      </c>
    </row>
    <row r="55" spans="1:11">
      <c r="A55" s="30" t="str">
        <f>'RESUMEN VIGILANCIA'!A55</f>
        <v>Familia Manrique Riera</v>
      </c>
      <c r="B55" s="31" t="str">
        <f>'RESUMEN VIGILANCIA'!B55</f>
        <v>Calle Guacara Nro. 89-40</v>
      </c>
      <c r="C55" s="182">
        <f>SUMIFS(Vigilancia!$E:$E,Vigilancia!$F:$F,$A55,Vigilancia!$J:$J,C$1)</f>
        <v>7.0000000000000007E-2</v>
      </c>
      <c r="D55" s="182">
        <f>SUMIFS(Vigilancia!$E:$E,Vigilancia!$F:$F,$A55,Vigilancia!$J:$J,D$1)</f>
        <v>0</v>
      </c>
      <c r="E55" s="305">
        <f>SUMIFS(Vigilancia!$E:$E,Vigilancia!$F:$F,$A55,Vigilancia!$J:$J,E$1)</f>
        <v>0</v>
      </c>
      <c r="F55" s="305">
        <f>SUMIFS(Vigilancia!$E:$E,Vigilancia!$F:$F,$A55,Vigilancia!$J:$J,F$1)</f>
        <v>0</v>
      </c>
      <c r="G55" s="182">
        <f>SUMIFS(Vigilancia!$E:$E,Vigilancia!$F:$F,$A55,Vigilancia!$J:$J,G$1)</f>
        <v>0</v>
      </c>
      <c r="H55" s="182">
        <f>SUMIFS(Vigilancia!$E:$E,Vigilancia!$F:$F,$A55,Vigilancia!$J:$J,H$1)</f>
        <v>0</v>
      </c>
      <c r="I55" s="182">
        <f>SUMIFS(Vigilancia!$E:$E,Vigilancia!$F:$F,$A55,Vigilancia!$J:$J,I$1)</f>
        <v>0</v>
      </c>
      <c r="J55" s="182">
        <f>SUMIFS(Vigilancia!$E:$E,Vigilancia!$F:$F,$A55,Vigilancia!$J:$J,J$1)</f>
        <v>0</v>
      </c>
    </row>
    <row r="56" spans="1:11">
      <c r="A56" s="30" t="str">
        <f>'RESUMEN VIGILANCIA'!A56</f>
        <v>Familia Romero</v>
      </c>
      <c r="B56" s="31" t="str">
        <f>'RESUMEN VIGILANCIA'!B56</f>
        <v>Calle Guacara Nro. 89-50</v>
      </c>
      <c r="C56" s="182">
        <f>SUMIFS(Vigilancia!$E:$E,Vigilancia!$F:$F,$A56,Vigilancia!$J:$J,C$1)</f>
        <v>0</v>
      </c>
      <c r="D56" s="182">
        <f>SUMIFS(Vigilancia!$E:$E,Vigilancia!$F:$F,$A56,Vigilancia!$J:$J,D$1)</f>
        <v>3.5</v>
      </c>
      <c r="E56" s="305">
        <f>SUMIFS(Vigilancia!$E:$E,Vigilancia!$F:$F,$A56,Vigilancia!$J:$J,E$1)</f>
        <v>12.2</v>
      </c>
      <c r="F56" s="305">
        <f>SUMIFS(Vigilancia!$E:$E,Vigilancia!$F:$F,$A56,Vigilancia!$J:$J,F$1)</f>
        <v>0</v>
      </c>
      <c r="G56" s="182">
        <f>SUMIFS(Vigilancia!$E:$E,Vigilancia!$F:$F,$A56,Vigilancia!$J:$J,G$1)</f>
        <v>0</v>
      </c>
      <c r="H56" s="182">
        <f>SUMIFS(Vigilancia!$E:$E,Vigilancia!$F:$F,$A56,Vigilancia!$J:$J,H$1)</f>
        <v>0</v>
      </c>
      <c r="I56" s="182">
        <f>SUMIFS(Vigilancia!$E:$E,Vigilancia!$F:$F,$A56,Vigilancia!$J:$J,I$1)</f>
        <v>0</v>
      </c>
      <c r="J56" s="182">
        <f>SUMIFS(Vigilancia!$E:$E,Vigilancia!$F:$F,$A56,Vigilancia!$J:$J,J$1)</f>
        <v>0</v>
      </c>
    </row>
    <row r="57" spans="1:11">
      <c r="A57" s="30" t="str">
        <f>'RESUMEN VIGILANCIA'!A57</f>
        <v>Familia Durvelle Serrano</v>
      </c>
      <c r="B57" s="31" t="str">
        <f>'RESUMEN VIGILANCIA'!B57</f>
        <v>Calle Guacara Nro. 89-60</v>
      </c>
      <c r="C57" s="182">
        <f>SUMIFS(Vigilancia!$E:$E,Vigilancia!$F:$F,$A57,Vigilancia!$J:$J,C$1)</f>
        <v>7.0000000000000007E-2</v>
      </c>
      <c r="D57" s="182">
        <f>SUMIFS(Vigilancia!$E:$E,Vigilancia!$F:$F,$A57,Vigilancia!$J:$J,D$1)</f>
        <v>3.5</v>
      </c>
      <c r="E57" s="316">
        <f>SUMIFS(Vigilancia!$E:$E,Vigilancia!$F:$F,$A57,Vigilancia!$J:$J,E$1)</f>
        <v>0</v>
      </c>
      <c r="F57" s="305">
        <f>SUMIFS(Vigilancia!$E:$E,Vigilancia!$F:$F,$A57,Vigilancia!$J:$J,F$1)</f>
        <v>50</v>
      </c>
      <c r="G57" s="182">
        <f>SUMIFS(Vigilancia!$E:$E,Vigilancia!$F:$F,$A57,Vigilancia!$J:$J,G$1)</f>
        <v>6.2E-2</v>
      </c>
      <c r="H57" s="182">
        <f>SUMIFS(Vigilancia!$E:$E,Vigilancia!$F:$F,$A57,Vigilancia!$J:$J,H$1)</f>
        <v>0</v>
      </c>
      <c r="I57" s="182">
        <f>SUMIFS(Vigilancia!$E:$E,Vigilancia!$F:$F,$A57,Vigilancia!$J:$J,I$1)</f>
        <v>0</v>
      </c>
      <c r="J57" s="182">
        <f>SUMIFS(Vigilancia!$E:$E,Vigilancia!$F:$F,$A57,Vigilancia!$J:$J,J$1)</f>
        <v>0</v>
      </c>
    </row>
    <row r="58" spans="1:11">
      <c r="A58" s="30" t="str">
        <f>'RESUMEN VIGILANCIA'!A58</f>
        <v>Yuraima Rodríguez</v>
      </c>
      <c r="B58" s="31" t="str">
        <f>'RESUMEN VIGILANCIA'!B58</f>
        <v>Calle Guacara Nro. 89-70</v>
      </c>
      <c r="C58" s="182">
        <f>SUMIFS(Vigilancia!$E:$E,Vigilancia!$F:$F,$A58,Vigilancia!$J:$J,C$1)</f>
        <v>0</v>
      </c>
      <c r="D58" s="182">
        <f>SUMIFS(Vigilancia!$E:$E,Vigilancia!$F:$F,$A58,Vigilancia!$J:$J,D$1)</f>
        <v>0</v>
      </c>
      <c r="E58" s="305">
        <f>SUMIFS(Vigilancia!$E:$E,Vigilancia!$F:$F,$A58,Vigilancia!$J:$J,E$1)</f>
        <v>0</v>
      </c>
      <c r="F58" s="305">
        <f>SUMIFS(Vigilancia!$E:$E,Vigilancia!$F:$F,$A58,Vigilancia!$J:$J,F$1)</f>
        <v>0</v>
      </c>
      <c r="G58" s="182">
        <f>SUMIFS(Vigilancia!$E:$E,Vigilancia!$F:$F,$A58,Vigilancia!$J:$J,G$1)</f>
        <v>0</v>
      </c>
      <c r="H58" s="182">
        <f>SUMIFS(Vigilancia!$E:$E,Vigilancia!$F:$F,$A58,Vigilancia!$J:$J,H$1)</f>
        <v>0</v>
      </c>
      <c r="I58" s="182">
        <f>SUMIFS(Vigilancia!$E:$E,Vigilancia!$F:$F,$A58,Vigilancia!$J:$J,I$1)</f>
        <v>0</v>
      </c>
      <c r="J58" s="182">
        <f>SUMIFS(Vigilancia!$E:$E,Vigilancia!$F:$F,$A58,Vigilancia!$J:$J,J$1)</f>
        <v>0</v>
      </c>
    </row>
    <row r="59" spans="1:11">
      <c r="A59" s="30" t="str">
        <f>'RESUMEN VIGILANCIA'!A59</f>
        <v>Familia Nava Gordon</v>
      </c>
      <c r="B59" s="31" t="str">
        <f>'RESUMEN VIGILANCIA'!B59</f>
        <v>Calle Guacara Nro. 89-78</v>
      </c>
      <c r="C59" s="182">
        <f>SUMIFS(Vigilancia!$E:$E,Vigilancia!$F:$F,$A59,Vigilancia!$J:$J,C$1)</f>
        <v>7.0000000000000007E-2</v>
      </c>
      <c r="D59" s="182">
        <f>SUMIFS(Vigilancia!$E:$E,Vigilancia!$F:$F,$A59,Vigilancia!$J:$J,D$1)</f>
        <v>4.0999999999999996</v>
      </c>
      <c r="E59" s="305">
        <f>SUMIFS(Vigilancia!$E:$E,Vigilancia!$F:$F,$A59,Vigilancia!$J:$J,E$1)</f>
        <v>12.2</v>
      </c>
      <c r="F59" s="305">
        <f>SUMIFS(Vigilancia!$E:$E,Vigilancia!$F:$F,$A59,Vigilancia!$J:$J,F$1)</f>
        <v>10</v>
      </c>
      <c r="G59" s="182">
        <f>SUMIFS(Vigilancia!$E:$E,Vigilancia!$F:$F,$A59,Vigilancia!$J:$J,G$1)</f>
        <v>0</v>
      </c>
      <c r="H59" s="182">
        <f>SUMIFS(Vigilancia!$E:$E,Vigilancia!$F:$F,$A59,Vigilancia!$J:$J,H$1)</f>
        <v>0</v>
      </c>
      <c r="I59" s="182">
        <f>SUMIFS(Vigilancia!$E:$E,Vigilancia!$F:$F,$A59,Vigilancia!$J:$J,I$1)</f>
        <v>0</v>
      </c>
      <c r="J59" s="182">
        <f>SUMIFS(Vigilancia!$E:$E,Vigilancia!$F:$F,$A59,Vigilancia!$J:$J,J$1)</f>
        <v>0</v>
      </c>
    </row>
    <row r="60" spans="1:11">
      <c r="A60" s="30" t="str">
        <f>'RESUMEN VIGILANCIA'!A60</f>
        <v>Familia González Arévalo</v>
      </c>
      <c r="B60" s="31" t="str">
        <f>'RESUMEN VIGILANCIA'!B60</f>
        <v>Calle Guacara Nro. 89-86</v>
      </c>
      <c r="C60" s="182">
        <f>SUMIFS(Vigilancia!$E:$E,Vigilancia!$F:$F,$A60,Vigilancia!$J:$J,C$1)</f>
        <v>7.0000000000000007E-2</v>
      </c>
      <c r="D60" s="182">
        <f>SUMIFS(Vigilancia!$E:$E,Vigilancia!$F:$F,$A60,Vigilancia!$J:$J,D$1)</f>
        <v>3.5</v>
      </c>
      <c r="E60" s="305">
        <f>SUMIFS(Vigilancia!$E:$E,Vigilancia!$F:$F,$A60,Vigilancia!$J:$J,E$1)</f>
        <v>12.2</v>
      </c>
      <c r="F60" s="305">
        <f>SUMIFS(Vigilancia!$E:$E,Vigilancia!$F:$F,$A60,Vigilancia!$J:$J,F$1)</f>
        <v>10</v>
      </c>
      <c r="G60" s="182">
        <f>SUMIFS(Vigilancia!$E:$E,Vigilancia!$F:$F,$A60,Vigilancia!$J:$J,G$1)</f>
        <v>0</v>
      </c>
      <c r="H60" s="182">
        <f>SUMIFS(Vigilancia!$E:$E,Vigilancia!$F:$F,$A60,Vigilancia!$J:$J,H$1)</f>
        <v>0</v>
      </c>
      <c r="I60" s="182">
        <f>SUMIFS(Vigilancia!$E:$E,Vigilancia!$F:$F,$A60,Vigilancia!$J:$J,I$1)</f>
        <v>0</v>
      </c>
      <c r="J60" s="182">
        <f>SUMIFS(Vigilancia!$E:$E,Vigilancia!$F:$F,$A60,Vigilancia!$J:$J,J$1)</f>
        <v>0</v>
      </c>
    </row>
    <row r="61" spans="1:11">
      <c r="A61" s="30" t="str">
        <f>'RESUMEN VIGILANCIA'!A61</f>
        <v>Héctor Hernández</v>
      </c>
      <c r="B61" s="31" t="str">
        <f>'RESUMEN VIGILANCIA'!B61</f>
        <v>Calle Guacara Nro. 89-94</v>
      </c>
      <c r="C61" s="182">
        <f>SUMIFS(Vigilancia!$E:$E,Vigilancia!$F:$F,$A61,Vigilancia!$J:$J,C$1)</f>
        <v>7.0000000000000007E-2</v>
      </c>
      <c r="D61" s="182">
        <f>SUMIFS(Vigilancia!$E:$E,Vigilancia!$F:$F,$A61,Vigilancia!$J:$J,D$1)</f>
        <v>3.5</v>
      </c>
      <c r="E61" s="305">
        <f>SUMIFS(Vigilancia!$E:$E,Vigilancia!$F:$F,$A61,Vigilancia!$J:$J,E$1)</f>
        <v>12.2</v>
      </c>
      <c r="F61" s="305">
        <f>SUMIFS(Vigilancia!$E:$E,Vigilancia!$F:$F,$A61,Vigilancia!$J:$J,F$1)</f>
        <v>10</v>
      </c>
      <c r="G61" s="182">
        <f>SUMIFS(Vigilancia!$E:$E,Vigilancia!$F:$F,$A61,Vigilancia!$J:$J,G$1)</f>
        <v>0</v>
      </c>
      <c r="H61" s="182">
        <f>SUMIFS(Vigilancia!$E:$E,Vigilancia!$F:$F,$A61,Vigilancia!$J:$J,H$1)</f>
        <v>0</v>
      </c>
      <c r="I61" s="182">
        <f>SUMIFS(Vigilancia!$E:$E,Vigilancia!$F:$F,$A61,Vigilancia!$J:$J,I$1)</f>
        <v>0</v>
      </c>
      <c r="J61" s="182">
        <f>SUMIFS(Vigilancia!$E:$E,Vigilancia!$F:$F,$A61,Vigilancia!$J:$J,J$1)</f>
        <v>0</v>
      </c>
    </row>
    <row r="62" spans="1:11">
      <c r="A62" s="30" t="str">
        <f>'RESUMEN VIGILANCIA'!A62</f>
        <v>Familia Soto Urdaneta</v>
      </c>
      <c r="B62" s="31" t="str">
        <f>'RESUMEN VIGILANCIA'!B62</f>
        <v>Calle Guacara Nro. 89-102</v>
      </c>
      <c r="C62" s="182">
        <f>SUMIFS(Vigilancia!$E:$E,Vigilancia!$F:$F,$A62,Vigilancia!$J:$J,C$1)</f>
        <v>0</v>
      </c>
      <c r="D62" s="182">
        <f>SUMIFS(Vigilancia!$E:$E,Vigilancia!$F:$F,$A62,Vigilancia!$J:$J,D$1)</f>
        <v>0</v>
      </c>
      <c r="E62" s="305">
        <f>SUMIFS(Vigilancia!$E:$E,Vigilancia!$F:$F,$A62,Vigilancia!$J:$J,E$1)</f>
        <v>0</v>
      </c>
      <c r="F62" s="305">
        <f>SUMIFS(Vigilancia!$E:$E,Vigilancia!$F:$F,$A62,Vigilancia!$J:$J,F$1)</f>
        <v>0</v>
      </c>
      <c r="G62" s="182">
        <f>SUMIFS(Vigilancia!$E:$E,Vigilancia!$F:$F,$A62,Vigilancia!$J:$J,G$1)</f>
        <v>0</v>
      </c>
      <c r="H62" s="182">
        <f>SUMIFS(Vigilancia!$E:$E,Vigilancia!$F:$F,$A62,Vigilancia!$J:$J,H$1)</f>
        <v>0</v>
      </c>
      <c r="I62" s="182">
        <f>SUMIFS(Vigilancia!$E:$E,Vigilancia!$F:$F,$A62,Vigilancia!$J:$J,I$1)</f>
        <v>0</v>
      </c>
      <c r="J62" s="182">
        <f>SUMIFS(Vigilancia!$E:$E,Vigilancia!$F:$F,$A62,Vigilancia!$J:$J,J$1)</f>
        <v>0</v>
      </c>
    </row>
    <row r="63" spans="1:11">
      <c r="A63" s="30" t="str">
        <f>'RESUMEN VIGILANCIA'!A63</f>
        <v>Familia Aparicio. Anexo</v>
      </c>
      <c r="B63" s="31" t="str">
        <f>'RESUMEN VIGILANCIA'!B63</f>
        <v>Calle Guacara Nro. 89-129</v>
      </c>
      <c r="C63" s="182">
        <f>SUMIFS(Vigilancia!$E:$E,Vigilancia!$F:$F,$A63,Vigilancia!$J:$J,C$1)</f>
        <v>0</v>
      </c>
      <c r="D63" s="316">
        <f>SUMIFS(Vigilancia!$E:$E,Vigilancia!$F:$F,$A63,Vigilancia!$J:$J,D$1)</f>
        <v>0</v>
      </c>
      <c r="E63" s="305">
        <f>SUMIFS(Vigilancia!$E:$E,Vigilancia!$F:$F,$A63,Vigilancia!$J:$J,E$1)</f>
        <v>0</v>
      </c>
      <c r="F63" s="305">
        <f>SUMIFS(Vigilancia!$E:$E,Vigilancia!$F:$F,$A63,Vigilancia!$J:$J,F$1)</f>
        <v>0</v>
      </c>
      <c r="G63" s="182">
        <f>SUMIFS(Vigilancia!$E:$E,Vigilancia!$F:$F,$A63,Vigilancia!$J:$J,G$1)</f>
        <v>0</v>
      </c>
      <c r="H63" s="182">
        <f>SUMIFS(Vigilancia!$E:$E,Vigilancia!$F:$F,$A63,Vigilancia!$J:$J,H$1)</f>
        <v>0</v>
      </c>
      <c r="I63" s="182">
        <f>SUMIFS(Vigilancia!$E:$E,Vigilancia!$F:$F,$A63,Vigilancia!$J:$J,I$1)</f>
        <v>0</v>
      </c>
      <c r="J63" s="182">
        <f>SUMIFS(Vigilancia!$E:$E,Vigilancia!$F:$F,$A63,Vigilancia!$J:$J,J$1)</f>
        <v>0</v>
      </c>
    </row>
    <row r="64" spans="1:11">
      <c r="A64" s="30" t="str">
        <f>'RESUMEN VIGILANCIA'!A64</f>
        <v>Beatriz Lara</v>
      </c>
      <c r="B64" s="31" t="str">
        <f>'RESUMEN VIGILANCIA'!B64</f>
        <v>Calle Guacara Nro. 89-130</v>
      </c>
      <c r="C64" s="182">
        <f>SUMIFS(Vigilancia!$E:$E,Vigilancia!$F:$F,$A64,Vigilancia!$J:$J,C$1)</f>
        <v>7.0000000000000007E-2</v>
      </c>
      <c r="D64" s="182">
        <f>SUMIFS(Vigilancia!$E:$E,Vigilancia!$F:$F,$A64,Vigilancia!$J:$J,D$1)</f>
        <v>3.5</v>
      </c>
      <c r="E64" s="305">
        <f>SUMIFS(Vigilancia!$E:$E,Vigilancia!$F:$F,$A64,Vigilancia!$J:$J,E$1)</f>
        <v>12.2</v>
      </c>
      <c r="F64" s="305">
        <f>SUMIFS(Vigilancia!$E:$E,Vigilancia!$F:$F,$A64,Vigilancia!$J:$J,F$1)</f>
        <v>10</v>
      </c>
      <c r="G64" s="182">
        <f>SUMIFS(Vigilancia!$E:$E,Vigilancia!$F:$F,$A64,Vigilancia!$J:$J,G$1)</f>
        <v>0</v>
      </c>
      <c r="H64" s="182">
        <f>SUMIFS(Vigilancia!$E:$E,Vigilancia!$F:$F,$A64,Vigilancia!$J:$J,H$1)</f>
        <v>0</v>
      </c>
      <c r="I64" s="182">
        <f>SUMIFS(Vigilancia!$E:$E,Vigilancia!$F:$F,$A64,Vigilancia!$J:$J,I$1)</f>
        <v>0</v>
      </c>
      <c r="J64" s="182">
        <f>SUMIFS(Vigilancia!$E:$E,Vigilancia!$F:$F,$A64,Vigilancia!$J:$J,J$1)</f>
        <v>0</v>
      </c>
    </row>
    <row r="65" spans="1:11">
      <c r="A65" s="53" t="str">
        <f>'RESUMEN VIGILANCIA'!A65</f>
        <v>Familia Zavarce Pérez</v>
      </c>
      <c r="B65" s="31" t="str">
        <f>'RESUMEN VIGILANCIA'!B65</f>
        <v>Calle Guacara Nro. 90-35</v>
      </c>
      <c r="C65" s="182">
        <f>SUMIFS(Vigilancia!$E:$E,Vigilancia!$F:$F,$A65,Vigilancia!$J:$J,C$1)</f>
        <v>7.0000000000000007E-2</v>
      </c>
      <c r="D65" s="182">
        <f>SUMIFS(Vigilancia!$E:$E,Vigilancia!$F:$F,$A65,Vigilancia!$J:$J,D$1)</f>
        <v>0</v>
      </c>
      <c r="E65" s="305">
        <f>SUMIFS(Vigilancia!$E:$E,Vigilancia!$F:$F,$A65,Vigilancia!$J:$J,E$1)</f>
        <v>0</v>
      </c>
      <c r="F65" s="305">
        <f>SUMIFS(Vigilancia!$E:$E,Vigilancia!$F:$F,$A65,Vigilancia!$J:$J,F$1)</f>
        <v>0</v>
      </c>
      <c r="G65" s="182">
        <f>SUMIFS(Vigilancia!$E:$E,Vigilancia!$F:$F,$A65,Vigilancia!$J:$J,G$1)</f>
        <v>0</v>
      </c>
      <c r="H65" s="182">
        <f>SUMIFS(Vigilancia!$E:$E,Vigilancia!$F:$F,$A65,Vigilancia!$J:$J,H$1)</f>
        <v>0</v>
      </c>
      <c r="I65" s="182">
        <f>SUMIFS(Vigilancia!$E:$E,Vigilancia!$F:$F,$A65,Vigilancia!$J:$J,I$1)</f>
        <v>0</v>
      </c>
      <c r="J65" s="182">
        <f>SUMIFS(Vigilancia!$E:$E,Vigilancia!$F:$F,$A65,Vigilancia!$J:$J,J$1)</f>
        <v>0</v>
      </c>
    </row>
    <row r="66" spans="1:11">
      <c r="A66" s="30" t="str">
        <f>'RESUMEN VIGILANCIA'!A66</f>
        <v>Familia Castro Jiménez</v>
      </c>
      <c r="B66" s="31" t="str">
        <f>'RESUMEN VIGILANCIA'!B66</f>
        <v>Calle Guacara Nro. 90-51</v>
      </c>
      <c r="C66" s="182">
        <f>SUMIFS(Vigilancia!$E:$E,Vigilancia!$F:$F,$A66,Vigilancia!$J:$J,C$1)</f>
        <v>0</v>
      </c>
      <c r="D66" s="182">
        <f>SUMIFS(Vigilancia!$E:$E,Vigilancia!$F:$F,$A66,Vigilancia!$J:$J,D$1)</f>
        <v>3.5</v>
      </c>
      <c r="E66" s="305">
        <f>SUMIFS(Vigilancia!$E:$E,Vigilancia!$F:$F,$A66,Vigilancia!$J:$J,E$1)</f>
        <v>12.5</v>
      </c>
      <c r="F66" s="305">
        <f>SUMIFS(Vigilancia!$E:$E,Vigilancia!$F:$F,$A66,Vigilancia!$J:$J,F$1)</f>
        <v>0</v>
      </c>
      <c r="G66" s="182">
        <f>SUMIFS(Vigilancia!$E:$E,Vigilancia!$F:$F,$A66,Vigilancia!$J:$J,G$1)</f>
        <v>0</v>
      </c>
      <c r="H66" s="182">
        <f>SUMIFS(Vigilancia!$E:$E,Vigilancia!$F:$F,$A66,Vigilancia!$J:$J,H$1)</f>
        <v>0</v>
      </c>
      <c r="I66" s="182">
        <f>SUMIFS(Vigilancia!$E:$E,Vigilancia!$F:$F,$A66,Vigilancia!$J:$J,I$1)</f>
        <v>34703.5</v>
      </c>
      <c r="J66" s="182">
        <f>SUMIFS(Vigilancia!$E:$E,Vigilancia!$F:$F,$A66,Vigilancia!$J:$J,J$1)</f>
        <v>0</v>
      </c>
    </row>
    <row r="67" spans="1:11">
      <c r="A67" s="30" t="str">
        <f>'RESUMEN VIGILANCIA'!A67</f>
        <v>Familia Triana González</v>
      </c>
      <c r="B67" s="31" t="str">
        <f>'RESUMEN VIGILANCIA'!B67</f>
        <v>Calle Guacara Nro. 90-61</v>
      </c>
      <c r="C67" s="182">
        <f>SUMIFS(Vigilancia!$E:$E,Vigilancia!$F:$F,$A67,Vigilancia!$J:$J,C$1)</f>
        <v>0</v>
      </c>
      <c r="D67" s="182">
        <f>SUMIFS(Vigilancia!$E:$E,Vigilancia!$F:$F,$A67,Vigilancia!$J:$J,D$1)</f>
        <v>0</v>
      </c>
      <c r="E67" s="182">
        <f>SUMIFS(Vigilancia!$E:$E,Vigilancia!$F:$F,$A67,Vigilancia!$J:$J,E$1)</f>
        <v>0</v>
      </c>
      <c r="F67" s="182">
        <f>SUMIFS(Vigilancia!$E:$E,Vigilancia!$F:$F,$A67,Vigilancia!$J:$J,F$1)</f>
        <v>0</v>
      </c>
      <c r="G67" s="182">
        <f>SUMIFS(Vigilancia!$E:$E,Vigilancia!$F:$F,$A67,Vigilancia!$J:$J,G$1)</f>
        <v>0</v>
      </c>
      <c r="H67" s="182">
        <f>SUMIFS(Vigilancia!$E:$E,Vigilancia!$F:$F,$A67,Vigilancia!$J:$J,H$1)</f>
        <v>0</v>
      </c>
      <c r="I67" s="182">
        <f>SUMIFS(Vigilancia!$E:$E,Vigilancia!$F:$F,$A67,Vigilancia!$J:$J,I$1)</f>
        <v>0</v>
      </c>
      <c r="J67" s="182">
        <f>SUMIFS(Vigilancia!$E:$E,Vigilancia!$F:$F,$A67,Vigilancia!$J:$J,J$1)</f>
        <v>0</v>
      </c>
    </row>
    <row r="68" spans="1:11">
      <c r="A68" s="30" t="str">
        <f>'RESUMEN VIGILANCIA'!A68</f>
        <v>Neira Chacón</v>
      </c>
      <c r="B68" s="31" t="str">
        <f>'RESUMEN VIGILANCIA'!B68</f>
        <v>Calle Guacara Nro. 90-71</v>
      </c>
      <c r="C68" s="182">
        <f>SUMIFS(Vigilancia!$E:$E,Vigilancia!$F:$F,$A68,Vigilancia!$J:$J,C$1)</f>
        <v>0</v>
      </c>
      <c r="D68" s="182">
        <f>SUMIFS(Vigilancia!$E:$E,Vigilancia!$F:$F,$A68,Vigilancia!$J:$J,D$1)</f>
        <v>0</v>
      </c>
      <c r="E68" s="182">
        <f>SUMIFS(Vigilancia!$E:$E,Vigilancia!$F:$F,$A68,Vigilancia!$J:$J,E$1)</f>
        <v>0</v>
      </c>
      <c r="F68" s="182">
        <f>SUMIFS(Vigilancia!$E:$E,Vigilancia!$F:$F,$A68,Vigilancia!$J:$J,F$1)</f>
        <v>0</v>
      </c>
      <c r="G68" s="182">
        <f>SUMIFS(Vigilancia!$E:$E,Vigilancia!$F:$F,$A68,Vigilancia!$J:$J,G$1)</f>
        <v>0</v>
      </c>
      <c r="H68" s="182">
        <f>SUMIFS(Vigilancia!$E:$E,Vigilancia!$F:$F,$A68,Vigilancia!$J:$J,H$1)</f>
        <v>0</v>
      </c>
      <c r="I68" s="182">
        <f>SUMIFS(Vigilancia!$E:$E,Vigilancia!$F:$F,$A68,Vigilancia!$J:$J,I$1)</f>
        <v>0</v>
      </c>
      <c r="J68" s="182">
        <f>SUMIFS(Vigilancia!$E:$E,Vigilancia!$F:$F,$A68,Vigilancia!$J:$J,J$1)</f>
        <v>0</v>
      </c>
    </row>
    <row r="69" spans="1:11">
      <c r="A69" s="30" t="str">
        <f>'RESUMEN VIGILANCIA'!A69</f>
        <v>Wu Hung Fung</v>
      </c>
      <c r="B69" s="31" t="str">
        <f>'RESUMEN VIGILANCIA'!B69</f>
        <v>Calle Guacara Nro. 90-81</v>
      </c>
      <c r="C69" s="182">
        <f>SUMIFS(Vigilancia!$E:$E,Vigilancia!$F:$F,$A69,Vigilancia!$J:$J,C$1)</f>
        <v>7.0000000000000007E-2</v>
      </c>
      <c r="D69" s="182">
        <f>SUMIFS(Vigilancia!$E:$E,Vigilancia!$F:$F,$A69,Vigilancia!$J:$J,D$1)</f>
        <v>5.7</v>
      </c>
      <c r="E69" s="182">
        <f>SUMIFS(Vigilancia!$E:$E,Vigilancia!$F:$F,$A69,Vigilancia!$J:$J,E$1)</f>
        <v>0</v>
      </c>
      <c r="F69" s="182">
        <f>SUMIFS(Vigilancia!$E:$E,Vigilancia!$F:$F,$A69,Vigilancia!$J:$J,F$1)</f>
        <v>15</v>
      </c>
      <c r="G69" s="182">
        <f>SUMIFS(Vigilancia!$E:$E,Vigilancia!$F:$F,$A69,Vigilancia!$J:$J,G$1)</f>
        <v>0</v>
      </c>
      <c r="H69" s="182">
        <f>SUMIFS(Vigilancia!$E:$E,Vigilancia!$F:$F,$A69,Vigilancia!$J:$J,H$1)</f>
        <v>0</v>
      </c>
      <c r="I69" s="182">
        <f>SUMIFS(Vigilancia!$E:$E,Vigilancia!$F:$F,$A69,Vigilancia!$J:$J,I$1)</f>
        <v>0</v>
      </c>
      <c r="J69" s="182">
        <f>SUMIFS(Vigilancia!$E:$E,Vigilancia!$F:$F,$A69,Vigilancia!$J:$J,J$1)</f>
        <v>0</v>
      </c>
    </row>
    <row r="70" spans="1:11">
      <c r="A70" s="30" t="str">
        <f>'RESUMEN VIGILANCIA'!A70</f>
        <v>Familia Santos Carrillo</v>
      </c>
      <c r="B70" s="31" t="str">
        <f>'RESUMEN VIGILANCIA'!B70</f>
        <v>Calle Guacara Nro. 90-93</v>
      </c>
      <c r="C70" s="182">
        <f>SUMIFS(Vigilancia!$E:$E,Vigilancia!$F:$F,$A70,Vigilancia!$J:$J,C$1)</f>
        <v>0.05</v>
      </c>
      <c r="D70" s="182">
        <f>SUMIFS(Vigilancia!$E:$E,Vigilancia!$F:$F,$A70,Vigilancia!$J:$J,D$1)</f>
        <v>0</v>
      </c>
      <c r="E70" s="182">
        <f>SUMIFS(Vigilancia!$E:$E,Vigilancia!$F:$F,$A70,Vigilancia!$J:$J,E$1)</f>
        <v>0</v>
      </c>
      <c r="F70" s="182">
        <f>SUMIFS(Vigilancia!$E:$E,Vigilancia!$F:$F,$A70,Vigilancia!$J:$J,F$1)</f>
        <v>0</v>
      </c>
      <c r="G70" s="182">
        <f>SUMIFS(Vigilancia!$E:$E,Vigilancia!$F:$F,$A70,Vigilancia!$J:$J,G$1)</f>
        <v>0</v>
      </c>
      <c r="H70" s="182">
        <f>SUMIFS(Vigilancia!$E:$E,Vigilancia!$F:$F,$A70,Vigilancia!$J:$J,H$1)</f>
        <v>0</v>
      </c>
      <c r="I70" s="182">
        <f>SUMIFS(Vigilancia!$E:$E,Vigilancia!$F:$F,$A70,Vigilancia!$J:$J,I$1)</f>
        <v>0</v>
      </c>
      <c r="J70" s="182">
        <f>SUMIFS(Vigilancia!$E:$E,Vigilancia!$F:$F,$A70,Vigilancia!$J:$J,J$1)</f>
        <v>0</v>
      </c>
    </row>
    <row r="71" spans="1:11">
      <c r="A71" s="30" t="str">
        <f>'RESUMEN VIGILANCIA'!A71</f>
        <v>Familia García Hurtado</v>
      </c>
      <c r="B71" s="31" t="str">
        <f>'RESUMEN VIGILANCIA'!B71</f>
        <v>Calle Guacara Nro. 90-110</v>
      </c>
      <c r="C71" s="182">
        <f>SUMIFS(Vigilancia!$E:$E,Vigilancia!$F:$F,$A71,Vigilancia!$J:$J,C$1)</f>
        <v>0</v>
      </c>
      <c r="D71" s="182">
        <f>SUMIFS(Vigilancia!$E:$E,Vigilancia!$F:$F,$A71,Vigilancia!$J:$J,D$1)</f>
        <v>0</v>
      </c>
      <c r="E71" s="182">
        <f>SUMIFS(Vigilancia!$E:$E,Vigilancia!$F:$F,$A71,Vigilancia!$J:$J,E$1)</f>
        <v>0</v>
      </c>
      <c r="F71" s="182">
        <f>SUMIFS(Vigilancia!$E:$E,Vigilancia!$F:$F,$A71,Vigilancia!$J:$J,F$1)</f>
        <v>0</v>
      </c>
      <c r="G71" s="182">
        <f>SUMIFS(Vigilancia!$E:$E,Vigilancia!$F:$F,$A71,Vigilancia!$J:$J,G$1)</f>
        <v>0</v>
      </c>
      <c r="H71" s="182">
        <f>SUMIFS(Vigilancia!$E:$E,Vigilancia!$F:$F,$A71,Vigilancia!$J:$J,H$1)</f>
        <v>0</v>
      </c>
      <c r="I71" s="182">
        <f>SUMIFS(Vigilancia!$E:$E,Vigilancia!$F:$F,$A71,Vigilancia!$J:$J,I$1)</f>
        <v>0</v>
      </c>
      <c r="J71" s="182">
        <f>SUMIFS(Vigilancia!$E:$E,Vigilancia!$F:$F,$A71,Vigilancia!$J:$J,J$1)</f>
        <v>0</v>
      </c>
    </row>
    <row r="72" spans="1:11">
      <c r="A72" s="30" t="str">
        <f>'RESUMEN VIGILANCIA'!A72</f>
        <v>Familia Rodríguez Chiappeta</v>
      </c>
      <c r="B72" s="31" t="str">
        <f>'RESUMEN VIGILANCIA'!B72</f>
        <v>Calle Guacara Nro. 90-120</v>
      </c>
      <c r="C72" s="182">
        <f>SUMIFS(Vigilancia!$E:$E,Vigilancia!$F:$F,$A72,Vigilancia!$J:$J,C$1)</f>
        <v>0</v>
      </c>
      <c r="D72" s="182">
        <f>SUMIFS(Vigilancia!$E:$E,Vigilancia!$F:$F,$A72,Vigilancia!$J:$J,D$1)</f>
        <v>0</v>
      </c>
      <c r="E72" s="182">
        <f>SUMIFS(Vigilancia!$E:$E,Vigilancia!$F:$F,$A72,Vigilancia!$J:$J,E$1)</f>
        <v>0</v>
      </c>
      <c r="F72" s="182">
        <f>SUMIFS(Vigilancia!$E:$E,Vigilancia!$F:$F,$A72,Vigilancia!$J:$J,F$1)</f>
        <v>0</v>
      </c>
      <c r="G72" s="182">
        <f>SUMIFS(Vigilancia!$E:$E,Vigilancia!$F:$F,$A72,Vigilancia!$J:$J,G$1)</f>
        <v>0</v>
      </c>
      <c r="H72" s="182">
        <f>SUMIFS(Vigilancia!$E:$E,Vigilancia!$F:$F,$A72,Vigilancia!$J:$J,H$1)</f>
        <v>0</v>
      </c>
      <c r="I72" s="182">
        <f>SUMIFS(Vigilancia!$E:$E,Vigilancia!$F:$F,$A72,Vigilancia!$J:$J,I$1)</f>
        <v>0</v>
      </c>
      <c r="J72" s="182">
        <f>SUMIFS(Vigilancia!$E:$E,Vigilancia!$F:$F,$A72,Vigilancia!$J:$J,J$1)</f>
        <v>0</v>
      </c>
    </row>
    <row r="73" spans="1:11">
      <c r="A73" s="30" t="str">
        <f>'RESUMEN VIGILANCIA'!A73</f>
        <v>Familia Ledezma Hernández</v>
      </c>
      <c r="B73" s="31" t="str">
        <f>'RESUMEN VIGILANCIA'!B73</f>
        <v>Calle Guacara Nro. 145-30</v>
      </c>
      <c r="C73" s="182">
        <f>SUMIFS(Vigilancia!$E:$E,Vigilancia!$F:$F,$A73,Vigilancia!$J:$J,C$1)</f>
        <v>0</v>
      </c>
      <c r="D73" s="182">
        <f>SUMIFS(Vigilancia!$E:$E,Vigilancia!$F:$F,$A73,Vigilancia!$J:$J,D$1)</f>
        <v>0</v>
      </c>
      <c r="E73" s="182">
        <f>SUMIFS(Vigilancia!$E:$E,Vigilancia!$F:$F,$A73,Vigilancia!$J:$J,E$1)</f>
        <v>0</v>
      </c>
      <c r="F73" s="182">
        <f>SUMIFS(Vigilancia!$E:$E,Vigilancia!$F:$F,$A73,Vigilancia!$J:$J,F$1)</f>
        <v>0</v>
      </c>
      <c r="G73" s="182">
        <f>SUMIFS(Vigilancia!$E:$E,Vigilancia!$F:$F,$A73,Vigilancia!$J:$J,G$1)</f>
        <v>0</v>
      </c>
      <c r="H73" s="182">
        <f>SUMIFS(Vigilancia!$E:$E,Vigilancia!$F:$F,$A73,Vigilancia!$J:$J,H$1)</f>
        <v>0</v>
      </c>
      <c r="I73" s="182">
        <f>SUMIFS(Vigilancia!$E:$E,Vigilancia!$F:$F,$A73,Vigilancia!$J:$J,I$1)</f>
        <v>0</v>
      </c>
      <c r="J73" s="182">
        <f>SUMIFS(Vigilancia!$E:$E,Vigilancia!$F:$F,$A73,Vigilancia!$J:$J,J$1)</f>
        <v>0</v>
      </c>
    </row>
    <row r="74" spans="1:11" ht="15.75" thickBot="1">
      <c r="A74" s="29" t="str">
        <f>'RESUMEN VIGILANCIA'!A74</f>
        <v>Familia Narváez Caldera</v>
      </c>
      <c r="B74" s="64" t="str">
        <f>'RESUMEN VIGILANCIA'!B74</f>
        <v>Calle Güigüe Nro. 87-A-11</v>
      </c>
      <c r="C74" s="182">
        <f>SUMIFS(Vigilancia!$E:$E,Vigilancia!$F:$F,$A74,Vigilancia!$J:$J,C$1)</f>
        <v>7.0000000000000007E-2</v>
      </c>
      <c r="D74" s="182">
        <f>SUMIFS(Vigilancia!$E:$E,Vigilancia!$F:$F,$A74,Vigilancia!$J:$J,D$1)</f>
        <v>3.5</v>
      </c>
      <c r="E74" s="305">
        <f>SUMIFS(Vigilancia!$E:$E,Vigilancia!$F:$F,$A74,Vigilancia!$J:$J,E$1)</f>
        <v>12.2</v>
      </c>
      <c r="F74" s="305">
        <f>SUMIFS(Vigilancia!$E:$E,Vigilancia!$F:$F,$A74,Vigilancia!$J:$J,F$1)</f>
        <v>10</v>
      </c>
      <c r="G74" s="182">
        <f>SUMIFS(Vigilancia!$E:$E,Vigilancia!$F:$F,$A74,Vigilancia!$J:$J,G$1)</f>
        <v>0</v>
      </c>
      <c r="H74" s="182">
        <f>SUMIFS(Vigilancia!$E:$E,Vigilancia!$F:$F,$A74,Vigilancia!$J:$J,H$1)</f>
        <v>0</v>
      </c>
      <c r="I74" s="182">
        <f>SUMIFS(Vigilancia!$E:$E,Vigilancia!$F:$F,$A74,Vigilancia!$J:$J,I$1)</f>
        <v>0</v>
      </c>
      <c r="J74" s="182">
        <f>SUMIFS(Vigilancia!$E:$E,Vigilancia!$F:$F,$A74,Vigilancia!$J:$J,J$1)</f>
        <v>0</v>
      </c>
    </row>
    <row r="75" spans="1:11">
      <c r="A75" s="59" t="str">
        <f>'RESUMEN VIGILANCIA'!A75</f>
        <v>Claudia González</v>
      </c>
      <c r="B75" s="60" t="str">
        <f>'RESUMEN VIGILANCIA'!B75</f>
        <v>Calle Güigüe Nro. 88-06</v>
      </c>
      <c r="C75" s="214">
        <f>SUMIFS(Vigilancia!$E:$E,Vigilancia!$F:$F,$A75,Vigilancia!$J:$J,C$1)</f>
        <v>0</v>
      </c>
      <c r="D75" s="214">
        <f>SUMIFS(Vigilancia!$E:$E,Vigilancia!$F:$F,$A75,Vigilancia!$J:$J,D$1)</f>
        <v>0</v>
      </c>
      <c r="E75" s="214">
        <f>SUMIFS(Vigilancia!$E:$E,Vigilancia!$F:$F,$A75,Vigilancia!$J:$J,E$1)</f>
        <v>0</v>
      </c>
      <c r="F75" s="214">
        <f>SUMIFS(Vigilancia!$E:$E,Vigilancia!$F:$F,$A75,Vigilancia!$J:$J,F$1)</f>
        <v>0</v>
      </c>
      <c r="G75" s="306">
        <f>SUMIFS(Vigilancia!$E:$E,Vigilancia!$F:$F,$A75,Vigilancia!$J:$J,G$1)</f>
        <v>0</v>
      </c>
      <c r="H75" s="214">
        <f>SUMIFS(Vigilancia!$E:$E,Vigilancia!$F:$F,$A75,Vigilancia!$J:$J,H$1)</f>
        <v>0</v>
      </c>
      <c r="I75" s="214">
        <f>SUMIFS(Vigilancia!$E:$E,Vigilancia!$F:$F,$A75,Vigilancia!$J:$J,I$1)</f>
        <v>0</v>
      </c>
      <c r="J75" s="206">
        <f>SUMIFS(Vigilancia!$E:$E,Vigilancia!$F:$F,$A75,Vigilancia!$J:$J,J$1)</f>
        <v>0</v>
      </c>
      <c r="K75" s="122"/>
    </row>
    <row r="76" spans="1:11" ht="15.75" thickBot="1">
      <c r="A76" s="30" t="str">
        <f>'RESUMEN VIGILANCIA'!A76</f>
        <v>Familia Ozar Rivero</v>
      </c>
      <c r="B76" s="31" t="str">
        <f>'RESUMEN VIGILANCIA'!B76</f>
        <v>Calle Güigüe Nro. 88-06</v>
      </c>
      <c r="C76" s="182">
        <f>SUMIFS(Vigilancia!$E:$E,Vigilancia!$F:$F,$A76,Vigilancia!$J:$J,C$1)</f>
        <v>0</v>
      </c>
      <c r="D76" s="182">
        <f>SUMIFS(Vigilancia!$E:$E,Vigilancia!$F:$F,$A76,Vigilancia!$J:$J,D$1)</f>
        <v>0</v>
      </c>
      <c r="E76" s="305">
        <f>SUMIFS(Vigilancia!$E:$E,Vigilancia!$F:$F,$A76,Vigilancia!$J:$J,E$1)</f>
        <v>12.2</v>
      </c>
      <c r="F76" s="305">
        <f>SUMIFS(Vigilancia!$E:$E,Vigilancia!$F:$F,$A76,Vigilancia!$J:$J,F$1)</f>
        <v>0</v>
      </c>
      <c r="G76" s="181">
        <f>SUMIFS(Vigilancia!$E:$E,Vigilancia!$F:$F,$A76,Vigilancia!$J:$J,G$1)</f>
        <v>0</v>
      </c>
      <c r="H76" s="182">
        <f>SUMIFS(Vigilancia!$E:$E,Vigilancia!$F:$F,$A76,Vigilancia!$J:$J,H$1)</f>
        <v>0</v>
      </c>
      <c r="I76" s="182">
        <f>SUMIFS(Vigilancia!$E:$E,Vigilancia!$F:$F,$A76,Vigilancia!$J:$J,I$1)</f>
        <v>0</v>
      </c>
      <c r="J76" s="185">
        <f>SUMIFS(Vigilancia!$E:$E,Vigilancia!$F:$F,$A76,Vigilancia!$J:$J,J$1)</f>
        <v>0</v>
      </c>
      <c r="K76" s="124"/>
    </row>
    <row r="77" spans="1:11">
      <c r="A77" s="67" t="str">
        <f>'RESUMEN VIGILANCIA'!A77</f>
        <v>Familia Delgado Hidalgo</v>
      </c>
      <c r="B77" s="65" t="str">
        <f>'RESUMEN VIGILANCIA'!B77</f>
        <v>Calle Güigüe Nro. 88-10</v>
      </c>
      <c r="C77" s="182">
        <f>SUMIFS(Vigilancia!$E:$E,Vigilancia!$F:$F,$A77,Vigilancia!$J:$J,C$1)</f>
        <v>7.0000000000000007E-2</v>
      </c>
      <c r="D77" s="182">
        <f>SUMIFS(Vigilancia!$E:$E,Vigilancia!$F:$F,$A77,Vigilancia!$J:$J,D$1)</f>
        <v>3.5</v>
      </c>
      <c r="E77" s="305">
        <f>SUMIFS(Vigilancia!$E:$E,Vigilancia!$F:$F,$A77,Vigilancia!$J:$J,E$1)</f>
        <v>12.2</v>
      </c>
      <c r="F77" s="305">
        <f>SUMIFS(Vigilancia!$E:$E,Vigilancia!$F:$F,$A77,Vigilancia!$J:$J,F$1)</f>
        <v>10</v>
      </c>
      <c r="G77" s="182">
        <f>SUMIFS(Vigilancia!$E:$E,Vigilancia!$F:$F,$A77,Vigilancia!$J:$J,G$1)</f>
        <v>0</v>
      </c>
      <c r="H77" s="182">
        <f>SUMIFS(Vigilancia!$E:$E,Vigilancia!$F:$F,$A77,Vigilancia!$J:$J,H$1)</f>
        <v>0</v>
      </c>
      <c r="I77" s="182">
        <f>SUMIFS(Vigilancia!$E:$E,Vigilancia!$F:$F,$A77,Vigilancia!$J:$J,I$1)</f>
        <v>0</v>
      </c>
      <c r="J77" s="182">
        <f>SUMIFS(Vigilancia!$E:$E,Vigilancia!$F:$F,$A77,Vigilancia!$J:$J,J$1)</f>
        <v>0</v>
      </c>
    </row>
    <row r="78" spans="1:11">
      <c r="A78" s="30" t="str">
        <f>'RESUMEN VIGILANCIA'!A78</f>
        <v>Familia Costermani Terrer</v>
      </c>
      <c r="B78" s="31" t="str">
        <f>'RESUMEN VIGILANCIA'!B78</f>
        <v>Calle Güigüe Nro. 88-11</v>
      </c>
      <c r="C78" s="182">
        <f>SUMIFS(Vigilancia!$E:$E,Vigilancia!$F:$F,$A78,Vigilancia!$J:$J,C$1)</f>
        <v>0</v>
      </c>
      <c r="D78" s="182">
        <f>SUMIFS(Vigilancia!$E:$E,Vigilancia!$F:$F,$A78,Vigilancia!$J:$J,D$1)</f>
        <v>3.5</v>
      </c>
      <c r="E78" s="305">
        <f>SUMIFS(Vigilancia!$E:$E,Vigilancia!$F:$F,$A78,Vigilancia!$J:$J,E$1)</f>
        <v>12.2</v>
      </c>
      <c r="F78" s="305">
        <f>SUMIFS(Vigilancia!$E:$E,Vigilancia!$F:$F,$A78,Vigilancia!$J:$J,F$1)</f>
        <v>10</v>
      </c>
      <c r="G78" s="182">
        <f>SUMIFS(Vigilancia!$E:$E,Vigilancia!$F:$F,$A78,Vigilancia!$J:$J,G$1)</f>
        <v>0</v>
      </c>
      <c r="H78" s="182">
        <f>SUMIFS(Vigilancia!$E:$E,Vigilancia!$F:$F,$A78,Vigilancia!$J:$J,H$1)</f>
        <v>0</v>
      </c>
      <c r="I78" s="182">
        <f>SUMIFS(Vigilancia!$E:$E,Vigilancia!$F:$F,$A78,Vigilancia!$J:$J,I$1)</f>
        <v>0</v>
      </c>
      <c r="J78" s="182">
        <f>SUMIFS(Vigilancia!$E:$E,Vigilancia!$F:$F,$A78,Vigilancia!$J:$J,J$1)</f>
        <v>0</v>
      </c>
    </row>
    <row r="79" spans="1:11">
      <c r="A79" s="30" t="str">
        <f>'RESUMEN VIGILANCIA'!A79</f>
        <v>Familia Chávez Hernández</v>
      </c>
      <c r="B79" s="31" t="str">
        <f>'RESUMEN VIGILANCIA'!B79</f>
        <v>Calle Güigüe Nro. 88-20</v>
      </c>
      <c r="C79" s="182">
        <f>SUMIFS(Vigilancia!$E:$E,Vigilancia!$F:$F,$A79,Vigilancia!$J:$J,C$1)</f>
        <v>0</v>
      </c>
      <c r="D79" s="182">
        <f>SUMIFS(Vigilancia!$E:$E,Vigilancia!$F:$F,$A79,Vigilancia!$J:$J,D$1)</f>
        <v>1</v>
      </c>
      <c r="E79" s="305">
        <f>SUMIFS(Vigilancia!$E:$E,Vigilancia!$F:$F,$A79,Vigilancia!$J:$J,E$1)</f>
        <v>0</v>
      </c>
      <c r="F79" s="305">
        <f>SUMIFS(Vigilancia!$E:$E,Vigilancia!$F:$F,$A79,Vigilancia!$J:$J,F$1)</f>
        <v>0</v>
      </c>
      <c r="G79" s="182">
        <f>SUMIFS(Vigilancia!$E:$E,Vigilancia!$F:$F,$A79,Vigilancia!$J:$J,G$1)</f>
        <v>0</v>
      </c>
      <c r="H79" s="182">
        <f>SUMIFS(Vigilancia!$E:$E,Vigilancia!$F:$F,$A79,Vigilancia!$J:$J,H$1)</f>
        <v>0</v>
      </c>
      <c r="I79" s="182">
        <f>SUMIFS(Vigilancia!$E:$E,Vigilancia!$F:$F,$A79,Vigilancia!$J:$J,I$1)</f>
        <v>0</v>
      </c>
      <c r="J79" s="182">
        <f>SUMIFS(Vigilancia!$E:$E,Vigilancia!$F:$F,$A79,Vigilancia!$J:$J,J$1)</f>
        <v>0</v>
      </c>
    </row>
    <row r="80" spans="1:11">
      <c r="A80" s="30" t="str">
        <f>'RESUMEN VIGILANCIA'!A80</f>
        <v>Ma. de Jesus Alonso</v>
      </c>
      <c r="B80" s="31" t="str">
        <f>'RESUMEN VIGILANCIA'!B80</f>
        <v>Calle Güigüe Nro. 88-30</v>
      </c>
      <c r="C80" s="182">
        <f>SUMIFS(Vigilancia!$E:$E,Vigilancia!$F:$F,$A80,Vigilancia!$J:$J,C$1)</f>
        <v>0</v>
      </c>
      <c r="D80" s="182">
        <f>SUMIFS(Vigilancia!$E:$E,Vigilancia!$F:$F,$A80,Vigilancia!$J:$J,D$1)</f>
        <v>3.5</v>
      </c>
      <c r="E80" s="305">
        <f>SUMIFS(Vigilancia!$E:$E,Vigilancia!$F:$F,$A80,Vigilancia!$J:$J,E$1)</f>
        <v>0</v>
      </c>
      <c r="F80" s="305">
        <f>SUMIFS(Vigilancia!$E:$E,Vigilancia!$F:$F,$A80,Vigilancia!$J:$J,F$1)</f>
        <v>0</v>
      </c>
      <c r="G80" s="182">
        <f>SUMIFS(Vigilancia!$E:$E,Vigilancia!$F:$F,$A80,Vigilancia!$J:$J,G$1)</f>
        <v>0</v>
      </c>
      <c r="H80" s="182">
        <f>SUMIFS(Vigilancia!$E:$E,Vigilancia!$F:$F,$A80,Vigilancia!$J:$J,H$1)</f>
        <v>0</v>
      </c>
      <c r="I80" s="182">
        <f>SUMIFS(Vigilancia!$E:$E,Vigilancia!$F:$F,$A80,Vigilancia!$J:$J,I$1)</f>
        <v>0</v>
      </c>
      <c r="J80" s="182">
        <f>SUMIFS(Vigilancia!$E:$E,Vigilancia!$F:$F,$A80,Vigilancia!$J:$J,J$1)</f>
        <v>0</v>
      </c>
    </row>
    <row r="81" spans="1:10">
      <c r="A81" s="30" t="str">
        <f>'RESUMEN VIGILANCIA'!A81</f>
        <v>Familia Moyetones</v>
      </c>
      <c r="B81" s="31" t="str">
        <f>'RESUMEN VIGILANCIA'!B81</f>
        <v>Calle Güigüe Nro. 88-36</v>
      </c>
      <c r="C81" s="182">
        <f>SUMIFS(Vigilancia!$E:$E,Vigilancia!$F:$F,$A81,Vigilancia!$J:$J,C$1)</f>
        <v>0</v>
      </c>
      <c r="D81" s="182">
        <f>SUMIFS(Vigilancia!$E:$E,Vigilancia!$F:$F,$A81,Vigilancia!$J:$J,D$1)</f>
        <v>0</v>
      </c>
      <c r="E81" s="305">
        <f>SUMIFS(Vigilancia!$E:$E,Vigilancia!$F:$F,$A81,Vigilancia!$J:$J,E$1)</f>
        <v>0</v>
      </c>
      <c r="F81" s="305">
        <f>SUMIFS(Vigilancia!$E:$E,Vigilancia!$F:$F,$A81,Vigilancia!$J:$J,F$1)</f>
        <v>0</v>
      </c>
      <c r="G81" s="182">
        <f>SUMIFS(Vigilancia!$E:$E,Vigilancia!$F:$F,$A81,Vigilancia!$J:$J,G$1)</f>
        <v>0</v>
      </c>
      <c r="H81" s="182">
        <f>SUMIFS(Vigilancia!$E:$E,Vigilancia!$F:$F,$A81,Vigilancia!$J:$J,H$1)</f>
        <v>0</v>
      </c>
      <c r="I81" s="182">
        <f>SUMIFS(Vigilancia!$E:$E,Vigilancia!$F:$F,$A81,Vigilancia!$J:$J,I$1)</f>
        <v>0</v>
      </c>
      <c r="J81" s="182">
        <f>SUMIFS(Vigilancia!$E:$E,Vigilancia!$F:$F,$A81,Vigilancia!$J:$J,J$1)</f>
        <v>0</v>
      </c>
    </row>
    <row r="82" spans="1:10">
      <c r="A82" s="30" t="str">
        <f>'RESUMEN VIGILANCIA'!A82</f>
        <v>Familia Rivero</v>
      </c>
      <c r="B82" s="31" t="str">
        <f>'RESUMEN VIGILANCIA'!B82</f>
        <v>Calle Güigüe Nro. 88-40</v>
      </c>
      <c r="C82" s="182">
        <f>SUMIFS(Vigilancia!$E:$E,Vigilancia!$F:$F,$A82,Vigilancia!$J:$J,C$1)</f>
        <v>7.0000000000000007E-2</v>
      </c>
      <c r="D82" s="182">
        <f>SUMIFS(Vigilancia!$E:$E,Vigilancia!$F:$F,$A82,Vigilancia!$J:$J,D$1)</f>
        <v>0</v>
      </c>
      <c r="E82" s="305">
        <f>SUMIFS(Vigilancia!$E:$E,Vigilancia!$F:$F,$A82,Vigilancia!$J:$J,E$1)</f>
        <v>0</v>
      </c>
      <c r="F82" s="305">
        <f>SUMIFS(Vigilancia!$E:$E,Vigilancia!$F:$F,$A82,Vigilancia!$J:$J,F$1)</f>
        <v>0</v>
      </c>
      <c r="G82" s="182">
        <f>SUMIFS(Vigilancia!$E:$E,Vigilancia!$F:$F,$A82,Vigilancia!$J:$J,G$1)</f>
        <v>0</v>
      </c>
      <c r="H82" s="182">
        <f>SUMIFS(Vigilancia!$E:$E,Vigilancia!$F:$F,$A82,Vigilancia!$J:$J,H$1)</f>
        <v>0</v>
      </c>
      <c r="I82" s="182">
        <f>SUMIFS(Vigilancia!$E:$E,Vigilancia!$F:$F,$A82,Vigilancia!$J:$J,I$1)</f>
        <v>0</v>
      </c>
      <c r="J82" s="182">
        <f>SUMIFS(Vigilancia!$E:$E,Vigilancia!$F:$F,$A82,Vigilancia!$J:$J,J$1)</f>
        <v>0</v>
      </c>
    </row>
    <row r="83" spans="1:10">
      <c r="A83" s="30" t="str">
        <f>'RESUMEN VIGILANCIA'!A83</f>
        <v>Thanya Albornoz</v>
      </c>
      <c r="B83" s="31" t="str">
        <f>'RESUMEN VIGILANCIA'!B83</f>
        <v>Calle Güigüe Nro. 88-42</v>
      </c>
      <c r="C83" s="182">
        <f>SUMIFS(Vigilancia!$E:$E,Vigilancia!$F:$F,$A83,Vigilancia!$J:$J,C$1)</f>
        <v>0</v>
      </c>
      <c r="D83" s="182">
        <f>SUMIFS(Vigilancia!$E:$E,Vigilancia!$F:$F,$A83,Vigilancia!$J:$J,D$1)</f>
        <v>0</v>
      </c>
      <c r="E83" s="305">
        <f>SUMIFS(Vigilancia!$E:$E,Vigilancia!$F:$F,$A83,Vigilancia!$J:$J,E$1)</f>
        <v>0</v>
      </c>
      <c r="F83" s="305">
        <f>SUMIFS(Vigilancia!$E:$E,Vigilancia!$F:$F,$A83,Vigilancia!$J:$J,F$1)</f>
        <v>0</v>
      </c>
      <c r="G83" s="182">
        <f>SUMIFS(Vigilancia!$E:$E,Vigilancia!$F:$F,$A83,Vigilancia!$J:$J,G$1)</f>
        <v>0</v>
      </c>
      <c r="H83" s="182">
        <f>SUMIFS(Vigilancia!$E:$E,Vigilancia!$F:$F,$A83,Vigilancia!$J:$J,H$1)</f>
        <v>0</v>
      </c>
      <c r="I83" s="182">
        <f>SUMIFS(Vigilancia!$E:$E,Vigilancia!$F:$F,$A83,Vigilancia!$J:$J,I$1)</f>
        <v>0</v>
      </c>
      <c r="J83" s="182">
        <f>SUMIFS(Vigilancia!$E:$E,Vigilancia!$F:$F,$A83,Vigilancia!$J:$J,J$1)</f>
        <v>0</v>
      </c>
    </row>
    <row r="84" spans="1:10">
      <c r="A84" s="30" t="str">
        <f>'RESUMEN VIGILANCIA'!A84</f>
        <v>Familia Colosso Delgado</v>
      </c>
      <c r="B84" s="31" t="str">
        <f>'RESUMEN VIGILANCIA'!B84</f>
        <v>Calle Güigüe Nro. 88-44</v>
      </c>
      <c r="C84" s="182">
        <f>SUMIFS(Vigilancia!$E:$E,Vigilancia!$F:$F,$A84,Vigilancia!$J:$J,C$1)</f>
        <v>7.0000000000000007E-2</v>
      </c>
      <c r="D84" s="182">
        <f>SUMIFS(Vigilancia!$E:$E,Vigilancia!$F:$F,$A84,Vigilancia!$J:$J,D$1)</f>
        <v>3.5</v>
      </c>
      <c r="E84" s="305">
        <f>SUMIFS(Vigilancia!$E:$E,Vigilancia!$F:$F,$A84,Vigilancia!$J:$J,E$1)</f>
        <v>12.2</v>
      </c>
      <c r="F84" s="305">
        <f>SUMIFS(Vigilancia!$E:$E,Vigilancia!$F:$F,$A84,Vigilancia!$J:$J,F$1)</f>
        <v>10</v>
      </c>
      <c r="G84" s="182">
        <f>SUMIFS(Vigilancia!$E:$E,Vigilancia!$F:$F,$A84,Vigilancia!$J:$J,G$1)</f>
        <v>0</v>
      </c>
      <c r="H84" s="182">
        <f>SUMIFS(Vigilancia!$E:$E,Vigilancia!$F:$F,$A84,Vigilancia!$J:$J,H$1)</f>
        <v>0</v>
      </c>
      <c r="I84" s="182">
        <f>SUMIFS(Vigilancia!$E:$E,Vigilancia!$F:$F,$A84,Vigilancia!$J:$J,I$1)</f>
        <v>0</v>
      </c>
      <c r="J84" s="182">
        <f>SUMIFS(Vigilancia!$E:$E,Vigilancia!$F:$F,$A84,Vigilancia!$J:$J,J$1)</f>
        <v>0</v>
      </c>
    </row>
    <row r="85" spans="1:10">
      <c r="A85" s="30" t="str">
        <f>'RESUMEN VIGILANCIA'!A85</f>
        <v>Familia Jiménez Navarro</v>
      </c>
      <c r="B85" s="31" t="str">
        <f>'RESUMEN VIGILANCIA'!B85</f>
        <v>Calle Güigüe Nro. 88-50</v>
      </c>
      <c r="C85" s="182">
        <f>SUMIFS(Vigilancia!$E:$E,Vigilancia!$F:$F,$A85,Vigilancia!$J:$J,C$1)</f>
        <v>0.1</v>
      </c>
      <c r="D85" s="182">
        <f>SUMIFS(Vigilancia!$E:$E,Vigilancia!$F:$F,$A85,Vigilancia!$J:$J,D$1)</f>
        <v>3.5</v>
      </c>
      <c r="E85" s="305">
        <f>SUMIFS(Vigilancia!$E:$E,Vigilancia!$F:$F,$A85,Vigilancia!$J:$J,E$1)</f>
        <v>15</v>
      </c>
      <c r="F85" s="305">
        <f>SUMIFS(Vigilancia!$E:$E,Vigilancia!$F:$F,$A85,Vigilancia!$J:$J,F$1)</f>
        <v>10</v>
      </c>
      <c r="G85" s="182">
        <f>SUMIFS(Vigilancia!$E:$E,Vigilancia!$F:$F,$A85,Vigilancia!$J:$J,G$1)</f>
        <v>0</v>
      </c>
      <c r="H85" s="182">
        <f>SUMIFS(Vigilancia!$E:$E,Vigilancia!$F:$F,$A85,Vigilancia!$J:$J,H$1)</f>
        <v>0</v>
      </c>
      <c r="I85" s="182">
        <f>SUMIFS(Vigilancia!$E:$E,Vigilancia!$F:$F,$A85,Vigilancia!$J:$J,I$1)</f>
        <v>0</v>
      </c>
      <c r="J85" s="182">
        <f>SUMIFS(Vigilancia!$E:$E,Vigilancia!$F:$F,$A85,Vigilancia!$J:$J,J$1)</f>
        <v>0</v>
      </c>
    </row>
    <row r="86" spans="1:10">
      <c r="A86" s="30" t="str">
        <f>'RESUMEN VIGILANCIA'!A86</f>
        <v>Dra. Lilia Magallanes</v>
      </c>
      <c r="B86" s="31" t="str">
        <f>'RESUMEN VIGILANCIA'!B86</f>
        <v>Calle Güigüe Nro. 88-51</v>
      </c>
      <c r="C86" s="182">
        <f>SUMIFS(Vigilancia!$E:$E,Vigilancia!$F:$F,$A86,Vigilancia!$J:$J,C$1)</f>
        <v>7.0000000000000007E-2</v>
      </c>
      <c r="D86" s="316">
        <f>SUMIFS(Vigilancia!$E:$E,Vigilancia!$F:$F,$A86,Vigilancia!$J:$J,D$1)</f>
        <v>0</v>
      </c>
      <c r="E86" s="305">
        <f>SUMIFS(Vigilancia!$E:$E,Vigilancia!$F:$F,$A86,Vigilancia!$J:$J,E$1)</f>
        <v>0</v>
      </c>
      <c r="F86" s="305">
        <f>SUMIFS(Vigilancia!$E:$E,Vigilancia!$F:$F,$A86,Vigilancia!$J:$J,F$1)</f>
        <v>0</v>
      </c>
      <c r="G86" s="182">
        <f>SUMIFS(Vigilancia!$E:$E,Vigilancia!$F:$F,$A86,Vigilancia!$J:$J,G$1)</f>
        <v>0</v>
      </c>
      <c r="H86" s="182">
        <f>SUMIFS(Vigilancia!$E:$E,Vigilancia!$F:$F,$A86,Vigilancia!$J:$J,H$1)</f>
        <v>0</v>
      </c>
      <c r="I86" s="182">
        <f>SUMIFS(Vigilancia!$E:$E,Vigilancia!$F:$F,$A86,Vigilancia!$J:$J,I$1)</f>
        <v>0</v>
      </c>
      <c r="J86" s="182">
        <f>SUMIFS(Vigilancia!$E:$E,Vigilancia!$F:$F,$A86,Vigilancia!$J:$J,J$1)</f>
        <v>0</v>
      </c>
    </row>
    <row r="87" spans="1:10">
      <c r="A87" s="30" t="str">
        <f>'RESUMEN VIGILANCIA'!A87</f>
        <v>Familia Navarro Assing</v>
      </c>
      <c r="B87" s="31" t="str">
        <f>'RESUMEN VIGILANCIA'!B87</f>
        <v>Calle Güigüe Nro. 88-54</v>
      </c>
      <c r="C87" s="182">
        <f>SUMIFS(Vigilancia!$E:$E,Vigilancia!$F:$F,$A87,Vigilancia!$J:$J,C$1)</f>
        <v>7.0000000000000007E-2</v>
      </c>
      <c r="D87" s="182">
        <f>SUMIFS(Vigilancia!$E:$E,Vigilancia!$F:$F,$A87,Vigilancia!$J:$J,D$1)</f>
        <v>3.5</v>
      </c>
      <c r="E87" s="305">
        <f>SUMIFS(Vigilancia!$E:$E,Vigilancia!$F:$F,$A87,Vigilancia!$J:$J,E$1)</f>
        <v>12</v>
      </c>
      <c r="F87" s="305">
        <f>SUMIFS(Vigilancia!$E:$E,Vigilancia!$F:$F,$A87,Vigilancia!$J:$J,F$1)</f>
        <v>10</v>
      </c>
      <c r="G87" s="182">
        <f>SUMIFS(Vigilancia!$E:$E,Vigilancia!$F:$F,$A87,Vigilancia!$J:$J,G$1)</f>
        <v>0</v>
      </c>
      <c r="H87" s="182">
        <f>SUMIFS(Vigilancia!$E:$E,Vigilancia!$F:$F,$A87,Vigilancia!$J:$J,H$1)</f>
        <v>0</v>
      </c>
      <c r="I87" s="182">
        <f>SUMIFS(Vigilancia!$E:$E,Vigilancia!$F:$F,$A87,Vigilancia!$J:$J,I$1)</f>
        <v>0</v>
      </c>
      <c r="J87" s="182">
        <f>SUMIFS(Vigilancia!$E:$E,Vigilancia!$F:$F,$A87,Vigilancia!$J:$J,J$1)</f>
        <v>3</v>
      </c>
    </row>
    <row r="88" spans="1:10">
      <c r="A88" s="30" t="str">
        <f>'RESUMEN VIGILANCIA'!A88</f>
        <v>Familia Rodríguez Aular</v>
      </c>
      <c r="B88" s="31" t="str">
        <f>'RESUMEN VIGILANCIA'!B88</f>
        <v>Calle Güigüe Nro. 88-58</v>
      </c>
      <c r="C88" s="182">
        <f>SUMIFS(Vigilancia!$E:$E,Vigilancia!$F:$F,$A88,Vigilancia!$J:$J,C$1)</f>
        <v>0</v>
      </c>
      <c r="D88" s="182">
        <f>SUMIFS(Vigilancia!$E:$E,Vigilancia!$F:$F,$A88,Vigilancia!$J:$J,D$1)</f>
        <v>0</v>
      </c>
      <c r="E88" s="182">
        <f>SUMIFS(Vigilancia!$E:$E,Vigilancia!$F:$F,$A88,Vigilancia!$J:$J,E$1)</f>
        <v>0</v>
      </c>
      <c r="F88" s="182">
        <f>SUMIFS(Vigilancia!$E:$E,Vigilancia!$F:$F,$A88,Vigilancia!$J:$J,F$1)</f>
        <v>0</v>
      </c>
      <c r="G88" s="182">
        <f>SUMIFS(Vigilancia!$E:$E,Vigilancia!$F:$F,$A88,Vigilancia!$J:$J,G$1)</f>
        <v>0</v>
      </c>
      <c r="H88" s="182">
        <f>SUMIFS(Vigilancia!$E:$E,Vigilancia!$F:$F,$A88,Vigilancia!$J:$J,H$1)</f>
        <v>0</v>
      </c>
      <c r="I88" s="182">
        <f>SUMIFS(Vigilancia!$E:$E,Vigilancia!$F:$F,$A88,Vigilancia!$J:$J,I$1)</f>
        <v>0</v>
      </c>
      <c r="J88" s="182">
        <f>SUMIFS(Vigilancia!$E:$E,Vigilancia!$F:$F,$A88,Vigilancia!$J:$J,J$1)</f>
        <v>0</v>
      </c>
    </row>
    <row r="89" spans="1:10">
      <c r="A89" s="30" t="str">
        <f>'RESUMEN VIGILANCIA'!A89</f>
        <v>Familia Ramírez</v>
      </c>
      <c r="B89" s="31" t="str">
        <f>'RESUMEN VIGILANCIA'!B89</f>
        <v>Calle Güigüe Nro. 88-61</v>
      </c>
      <c r="C89" s="182">
        <f>SUMIFS(Vigilancia!$E:$E,Vigilancia!$F:$F,$A89,Vigilancia!$J:$J,C$1)</f>
        <v>7.4999999999999997E-2</v>
      </c>
      <c r="D89" s="182">
        <f>SUMIFS(Vigilancia!$E:$E,Vigilancia!$F:$F,$A89,Vigilancia!$J:$J,D$1)</f>
        <v>0</v>
      </c>
      <c r="E89" s="182">
        <f>SUMIFS(Vigilancia!$E:$E,Vigilancia!$F:$F,$A89,Vigilancia!$J:$J,E$1)</f>
        <v>0</v>
      </c>
      <c r="F89" s="182">
        <f>SUMIFS(Vigilancia!$E:$E,Vigilancia!$F:$F,$A89,Vigilancia!$J:$J,F$1)</f>
        <v>0</v>
      </c>
      <c r="G89" s="182">
        <f>SUMIFS(Vigilancia!$E:$E,Vigilancia!$F:$F,$A89,Vigilancia!$J:$J,G$1)</f>
        <v>0</v>
      </c>
      <c r="H89" s="182">
        <f>SUMIFS(Vigilancia!$E:$E,Vigilancia!$F:$F,$A89,Vigilancia!$J:$J,H$1)</f>
        <v>0</v>
      </c>
      <c r="I89" s="182">
        <f>SUMIFS(Vigilancia!$E:$E,Vigilancia!$F:$F,$A89,Vigilancia!$J:$J,I$1)</f>
        <v>0</v>
      </c>
      <c r="J89" s="182">
        <f>SUMIFS(Vigilancia!$E:$E,Vigilancia!$F:$F,$A89,Vigilancia!$J:$J,J$1)</f>
        <v>0</v>
      </c>
    </row>
    <row r="90" spans="1:10">
      <c r="A90" s="30" t="str">
        <f>'RESUMEN VIGILANCIA'!A90</f>
        <v>Familia Martínez Boada</v>
      </c>
      <c r="B90" s="31" t="str">
        <f>'RESUMEN VIGILANCIA'!B90</f>
        <v>Calle Güigüe Nro. 88-62</v>
      </c>
      <c r="C90" s="182">
        <f>SUMIFS(Vigilancia!$E:$E,Vigilancia!$F:$F,$A90,Vigilancia!$J:$J,C$1)</f>
        <v>0</v>
      </c>
      <c r="D90" s="182">
        <f>SUMIFS(Vigilancia!$E:$E,Vigilancia!$F:$F,$A90,Vigilancia!$J:$J,D$1)</f>
        <v>0</v>
      </c>
      <c r="E90" s="182">
        <f>SUMIFS(Vigilancia!$E:$E,Vigilancia!$F:$F,$A90,Vigilancia!$J:$J,E$1)</f>
        <v>0</v>
      </c>
      <c r="F90" s="182">
        <f>SUMIFS(Vigilancia!$E:$E,Vigilancia!$F:$F,$A90,Vigilancia!$J:$J,F$1)</f>
        <v>0</v>
      </c>
      <c r="G90" s="182">
        <f>SUMIFS(Vigilancia!$E:$E,Vigilancia!$F:$F,$A90,Vigilancia!$J:$J,G$1)</f>
        <v>0</v>
      </c>
      <c r="H90" s="182">
        <f>SUMIFS(Vigilancia!$E:$E,Vigilancia!$F:$F,$A90,Vigilancia!$J:$J,H$1)</f>
        <v>0</v>
      </c>
      <c r="I90" s="182">
        <f>SUMIFS(Vigilancia!$E:$E,Vigilancia!$F:$F,$A90,Vigilancia!$J:$J,I$1)</f>
        <v>0</v>
      </c>
      <c r="J90" s="182">
        <f>SUMIFS(Vigilancia!$E:$E,Vigilancia!$F:$F,$A90,Vigilancia!$J:$J,J$1)</f>
        <v>0</v>
      </c>
    </row>
    <row r="91" spans="1:10">
      <c r="A91" s="30" t="str">
        <f>'RESUMEN VIGILANCIA'!A91</f>
        <v>Familia Gascón Domínguez</v>
      </c>
      <c r="B91" s="31" t="str">
        <f>'RESUMEN VIGILANCIA'!B91</f>
        <v>Calle Güigüe Nro. 88-70</v>
      </c>
      <c r="C91" s="182">
        <f>SUMIFS(Vigilancia!$E:$E,Vigilancia!$F:$F,$A91,Vigilancia!$J:$J,C$1)</f>
        <v>7.0000000000000007E-2</v>
      </c>
      <c r="D91" s="182">
        <f>SUMIFS(Vigilancia!$E:$E,Vigilancia!$F:$F,$A91,Vigilancia!$J:$J,D$1)</f>
        <v>3.5</v>
      </c>
      <c r="E91" s="305">
        <f>SUMIFS(Vigilancia!$E:$E,Vigilancia!$F:$F,$A91,Vigilancia!$J:$J,E$1)</f>
        <v>13</v>
      </c>
      <c r="F91" s="305">
        <f>SUMIFS(Vigilancia!$E:$E,Vigilancia!$F:$F,$A91,Vigilancia!$J:$J,F$1)</f>
        <v>10</v>
      </c>
      <c r="G91" s="182">
        <f>SUMIFS(Vigilancia!$E:$E,Vigilancia!$F:$F,$A91,Vigilancia!$J:$J,G$1)</f>
        <v>0</v>
      </c>
      <c r="H91" s="182">
        <f>SUMIFS(Vigilancia!$E:$E,Vigilancia!$F:$F,$A91,Vigilancia!$J:$J,H$1)</f>
        <v>0</v>
      </c>
      <c r="I91" s="182">
        <f>SUMIFS(Vigilancia!$E:$E,Vigilancia!$F:$F,$A91,Vigilancia!$J:$J,I$1)</f>
        <v>0</v>
      </c>
      <c r="J91" s="182">
        <f>SUMIFS(Vigilancia!$E:$E,Vigilancia!$F:$F,$A91,Vigilancia!$J:$J,J$1)</f>
        <v>30</v>
      </c>
    </row>
    <row r="92" spans="1:10">
      <c r="A92" s="30" t="str">
        <f>'RESUMEN VIGILANCIA'!A92</f>
        <v>Colegio El Trigal</v>
      </c>
      <c r="B92" s="31" t="str">
        <f>'RESUMEN VIGILANCIA'!B92</f>
        <v>Calle Güigüe Nros. 88-71 y 88-81</v>
      </c>
      <c r="C92" s="182">
        <f>SUMIFS(Vigilancia!$E:$E,Vigilancia!$F:$F,$A92,Vigilancia!$J:$J,C$1)</f>
        <v>7.0000000000000007E-2</v>
      </c>
      <c r="D92" s="182">
        <f>SUMIFS(Vigilancia!$E:$E,Vigilancia!$F:$F,$A92,Vigilancia!$J:$J,D$1)</f>
        <v>3.5</v>
      </c>
      <c r="E92" s="305">
        <f>SUMIFS(Vigilancia!$E:$E,Vigilancia!$F:$F,$A92,Vigilancia!$J:$J,E$1)</f>
        <v>0</v>
      </c>
      <c r="F92" s="305">
        <f>SUMIFS(Vigilancia!$E:$E,Vigilancia!$F:$F,$A92,Vigilancia!$J:$J,F$1)</f>
        <v>0</v>
      </c>
      <c r="G92" s="182">
        <f>SUMIFS(Vigilancia!$E:$E,Vigilancia!$F:$F,$A92,Vigilancia!$J:$J,G$1)</f>
        <v>0</v>
      </c>
      <c r="H92" s="182">
        <f>SUMIFS(Vigilancia!$E:$E,Vigilancia!$F:$F,$A92,Vigilancia!$J:$J,H$1)</f>
        <v>0</v>
      </c>
      <c r="I92" s="182">
        <f>SUMIFS(Vigilancia!$E:$E,Vigilancia!$F:$F,$A92,Vigilancia!$J:$J,I$1)</f>
        <v>0</v>
      </c>
      <c r="J92" s="182">
        <f>SUMIFS(Vigilancia!$E:$E,Vigilancia!$F:$F,$A92,Vigilancia!$J:$J,J$1)</f>
        <v>0</v>
      </c>
    </row>
    <row r="93" spans="1:10">
      <c r="A93" s="30" t="str">
        <f>'RESUMEN VIGILANCIA'!A93</f>
        <v>Zoraida Khair</v>
      </c>
      <c r="B93" s="31" t="str">
        <f>'RESUMEN VIGILANCIA'!B93</f>
        <v>Calle Güigüe Nro. 88-80</v>
      </c>
      <c r="C93" s="182">
        <f>SUMIFS(Vigilancia!$E:$E,Vigilancia!$F:$F,$A93,Vigilancia!$J:$J,C$1)</f>
        <v>0</v>
      </c>
      <c r="D93" s="182">
        <f>SUMIFS(Vigilancia!$E:$E,Vigilancia!$F:$F,$A93,Vigilancia!$J:$J,D$1)</f>
        <v>0</v>
      </c>
      <c r="E93" s="305">
        <f>SUMIFS(Vigilancia!$E:$E,Vigilancia!$F:$F,$A93,Vigilancia!$J:$J,E$1)</f>
        <v>12.2</v>
      </c>
      <c r="F93" s="305">
        <f>SUMIFS(Vigilancia!$E:$E,Vigilancia!$F:$F,$A93,Vigilancia!$J:$J,F$1)</f>
        <v>0</v>
      </c>
      <c r="G93" s="182">
        <f>SUMIFS(Vigilancia!$E:$E,Vigilancia!$F:$F,$A93,Vigilancia!$J:$J,G$1)</f>
        <v>0</v>
      </c>
      <c r="H93" s="182">
        <f>SUMIFS(Vigilancia!$E:$E,Vigilancia!$F:$F,$A93,Vigilancia!$J:$J,H$1)</f>
        <v>0</v>
      </c>
      <c r="I93" s="182">
        <f>SUMIFS(Vigilancia!$E:$E,Vigilancia!$F:$F,$A93,Vigilancia!$J:$J,I$1)</f>
        <v>0</v>
      </c>
      <c r="J93" s="182">
        <f>SUMIFS(Vigilancia!$E:$E,Vigilancia!$F:$F,$A93,Vigilancia!$J:$J,J$1)</f>
        <v>0</v>
      </c>
    </row>
    <row r="94" spans="1:10">
      <c r="A94" s="30" t="str">
        <f>'RESUMEN VIGILANCIA'!A94</f>
        <v>Familia Matta Palomino</v>
      </c>
      <c r="B94" s="31" t="str">
        <f>'RESUMEN VIGILANCIA'!B94</f>
        <v>Calle Güigüe Nro. 88-90</v>
      </c>
      <c r="C94" s="182">
        <f>SUMIFS(Vigilancia!$E:$E,Vigilancia!$F:$F,$A94,Vigilancia!$J:$J,C$1)</f>
        <v>7.0000000000000007E-2</v>
      </c>
      <c r="D94" s="182">
        <f>SUMIFS(Vigilancia!$E:$E,Vigilancia!$F:$F,$A94,Vigilancia!$J:$J,D$1)</f>
        <v>0</v>
      </c>
      <c r="E94" s="182">
        <f>SUMIFS(Vigilancia!$E:$E,Vigilancia!$F:$F,$A94,Vigilancia!$J:$J,E$1)</f>
        <v>0</v>
      </c>
      <c r="F94" s="182">
        <f>SUMIFS(Vigilancia!$E:$E,Vigilancia!$F:$F,$A94,Vigilancia!$J:$J,F$1)</f>
        <v>0</v>
      </c>
      <c r="G94" s="182">
        <f>SUMIFS(Vigilancia!$E:$E,Vigilancia!$F:$F,$A94,Vigilancia!$J:$J,G$1)</f>
        <v>0</v>
      </c>
      <c r="H94" s="182">
        <f>SUMIFS(Vigilancia!$E:$E,Vigilancia!$F:$F,$A94,Vigilancia!$J:$J,H$1)</f>
        <v>0</v>
      </c>
      <c r="I94" s="182">
        <f>SUMIFS(Vigilancia!$E:$E,Vigilancia!$F:$F,$A94,Vigilancia!$J:$J,I$1)</f>
        <v>0</v>
      </c>
      <c r="J94" s="182">
        <f>SUMIFS(Vigilancia!$E:$E,Vigilancia!$F:$F,$A94,Vigilancia!$J:$J,J$1)</f>
        <v>0</v>
      </c>
    </row>
    <row r="95" spans="1:10">
      <c r="A95" s="30" t="str">
        <f>'RESUMEN VIGILANCIA'!A95</f>
        <v>Familia Castillo Rodríguez</v>
      </c>
      <c r="B95" s="31" t="str">
        <f>'RESUMEN VIGILANCIA'!B95</f>
        <v>Calle Güigüe Nro. 88-91</v>
      </c>
      <c r="C95" s="182">
        <f>SUMIFS(Vigilancia!$E:$E,Vigilancia!$F:$F,$A95,Vigilancia!$J:$J,C$1)</f>
        <v>0</v>
      </c>
      <c r="D95" s="182">
        <f>SUMIFS(Vigilancia!$E:$E,Vigilancia!$F:$F,$A95,Vigilancia!$J:$J,D$1)</f>
        <v>0</v>
      </c>
      <c r="E95" s="182">
        <f>SUMIFS(Vigilancia!$E:$E,Vigilancia!$F:$F,$A95,Vigilancia!$J:$J,E$1)</f>
        <v>0</v>
      </c>
      <c r="F95" s="182">
        <f>SUMIFS(Vigilancia!$E:$E,Vigilancia!$F:$F,$A95,Vigilancia!$J:$J,F$1)</f>
        <v>0</v>
      </c>
      <c r="G95" s="182">
        <f>SUMIFS(Vigilancia!$E:$E,Vigilancia!$F:$F,$A95,Vigilancia!$J:$J,G$1)</f>
        <v>0</v>
      </c>
      <c r="H95" s="182">
        <f>SUMIFS(Vigilancia!$E:$E,Vigilancia!$F:$F,$A95,Vigilancia!$J:$J,H$1)</f>
        <v>0</v>
      </c>
      <c r="I95" s="182">
        <f>SUMIFS(Vigilancia!$E:$E,Vigilancia!$F:$F,$A95,Vigilancia!$J:$J,I$1)</f>
        <v>0</v>
      </c>
      <c r="J95" s="182">
        <f>SUMIFS(Vigilancia!$E:$E,Vigilancia!$F:$F,$A95,Vigilancia!$J:$J,J$1)</f>
        <v>0</v>
      </c>
    </row>
    <row r="96" spans="1:10">
      <c r="A96" s="30" t="str">
        <f>'RESUMEN VIGILANCIA'!A96</f>
        <v>Familia Hernández Castillo</v>
      </c>
      <c r="B96" s="31" t="str">
        <f>'RESUMEN VIGILANCIA'!B96</f>
        <v>Calle Güigüe Nro. 88-94</v>
      </c>
      <c r="C96" s="182">
        <f>SUMIFS(Vigilancia!$E:$E,Vigilancia!$F:$F,$A96,Vigilancia!$J:$J,C$1)</f>
        <v>0</v>
      </c>
      <c r="D96" s="182">
        <f>SUMIFS(Vigilancia!$E:$E,Vigilancia!$F:$F,$A96,Vigilancia!$J:$J,D$1)</f>
        <v>0</v>
      </c>
      <c r="E96" s="182">
        <f>SUMIFS(Vigilancia!$E:$E,Vigilancia!$F:$F,$A96,Vigilancia!$J:$J,E$1)</f>
        <v>0</v>
      </c>
      <c r="F96" s="182">
        <f>SUMIFS(Vigilancia!$E:$E,Vigilancia!$F:$F,$A96,Vigilancia!$J:$J,F$1)</f>
        <v>0</v>
      </c>
      <c r="G96" s="182">
        <f>SUMIFS(Vigilancia!$E:$E,Vigilancia!$F:$F,$A96,Vigilancia!$J:$J,G$1)</f>
        <v>0</v>
      </c>
      <c r="H96" s="182">
        <f>SUMIFS(Vigilancia!$E:$E,Vigilancia!$F:$F,$A96,Vigilancia!$J:$J,H$1)</f>
        <v>0</v>
      </c>
      <c r="I96" s="182">
        <f>SUMIFS(Vigilancia!$E:$E,Vigilancia!$F:$F,$A96,Vigilancia!$J:$J,I$1)</f>
        <v>0</v>
      </c>
      <c r="J96" s="182">
        <f>SUMIFS(Vigilancia!$E:$E,Vigilancia!$F:$F,$A96,Vigilancia!$J:$J,J$1)</f>
        <v>0</v>
      </c>
    </row>
    <row r="97" spans="1:11">
      <c r="A97" s="30" t="str">
        <f>'RESUMEN VIGILANCIA'!A97</f>
        <v>Familia Castillo Mena</v>
      </c>
      <c r="B97" s="31" t="str">
        <f>'RESUMEN VIGILANCIA'!B97</f>
        <v>Calle Güigüe Nro. 88-101</v>
      </c>
      <c r="C97" s="182">
        <f>SUMIFS(Vigilancia!$E:$E,Vigilancia!$F:$F,$A97,Vigilancia!$J:$J,C$1)</f>
        <v>7.0000000000000007E-2</v>
      </c>
      <c r="D97" s="182">
        <f>SUMIFS(Vigilancia!$E:$E,Vigilancia!$F:$F,$A97,Vigilancia!$J:$J,D$1)</f>
        <v>0</v>
      </c>
      <c r="E97" s="182">
        <f>SUMIFS(Vigilancia!$E:$E,Vigilancia!$F:$F,$A97,Vigilancia!$J:$J,E$1)</f>
        <v>0</v>
      </c>
      <c r="F97" s="182">
        <f>SUMIFS(Vigilancia!$E:$E,Vigilancia!$F:$F,$A97,Vigilancia!$J:$J,F$1)</f>
        <v>10</v>
      </c>
      <c r="G97" s="182">
        <f>SUMIFS(Vigilancia!$E:$E,Vigilancia!$F:$F,$A97,Vigilancia!$J:$J,G$1)</f>
        <v>0</v>
      </c>
      <c r="H97" s="182">
        <f>SUMIFS(Vigilancia!$E:$E,Vigilancia!$F:$F,$A97,Vigilancia!$J:$J,H$1)</f>
        <v>0</v>
      </c>
      <c r="I97" s="182">
        <f>SUMIFS(Vigilancia!$E:$E,Vigilancia!$F:$F,$A97,Vigilancia!$J:$J,I$1)</f>
        <v>0</v>
      </c>
      <c r="J97" s="182">
        <f>SUMIFS(Vigilancia!$E:$E,Vigilancia!$F:$F,$A97,Vigilancia!$J:$J,J$1)</f>
        <v>0</v>
      </c>
    </row>
    <row r="98" spans="1:11">
      <c r="A98" s="30" t="str">
        <f>'RESUMEN VIGILANCIA'!A98</f>
        <v>Familia Centeno Rizzo</v>
      </c>
      <c r="B98" s="31" t="str">
        <f>'RESUMEN VIGILANCIA'!B98</f>
        <v>Calle Güigüe Nro. 88-102</v>
      </c>
      <c r="C98" s="182">
        <f>SUMIFS(Vigilancia!$E:$E,Vigilancia!$F:$F,$A98,Vigilancia!$J:$J,C$1)</f>
        <v>0</v>
      </c>
      <c r="D98" s="182">
        <f>SUMIFS(Vigilancia!$E:$E,Vigilancia!$F:$F,$A98,Vigilancia!$J:$J,D$1)</f>
        <v>0</v>
      </c>
      <c r="E98" s="182">
        <f>SUMIFS(Vigilancia!$E:$E,Vigilancia!$F:$F,$A98,Vigilancia!$J:$J,E$1)</f>
        <v>0</v>
      </c>
      <c r="F98" s="182">
        <f>SUMIFS(Vigilancia!$E:$E,Vigilancia!$F:$F,$A98,Vigilancia!$J:$J,F$1)</f>
        <v>0</v>
      </c>
      <c r="G98" s="182">
        <f>SUMIFS(Vigilancia!$E:$E,Vigilancia!$F:$F,$A98,Vigilancia!$J:$J,G$1)</f>
        <v>0</v>
      </c>
      <c r="H98" s="182">
        <f>SUMIFS(Vigilancia!$E:$E,Vigilancia!$F:$F,$A98,Vigilancia!$J:$J,H$1)</f>
        <v>0</v>
      </c>
      <c r="I98" s="182">
        <f>SUMIFS(Vigilancia!$E:$E,Vigilancia!$F:$F,$A98,Vigilancia!$J:$J,I$1)</f>
        <v>0</v>
      </c>
      <c r="J98" s="182">
        <f>SUMIFS(Vigilancia!$E:$E,Vigilancia!$F:$F,$A98,Vigilancia!$J:$J,J$1)</f>
        <v>0</v>
      </c>
    </row>
    <row r="99" spans="1:11">
      <c r="A99" s="30" t="str">
        <f>'RESUMEN VIGILANCIA'!A99</f>
        <v>Familia Pérez Malpica</v>
      </c>
      <c r="B99" s="31" t="str">
        <f>'RESUMEN VIGILANCIA'!B99</f>
        <v>Calle Güigüe Nro. 88-110</v>
      </c>
      <c r="C99" s="182">
        <f>SUMIFS(Vigilancia!$E:$E,Vigilancia!$F:$F,$A99,Vigilancia!$J:$J,C$1)</f>
        <v>0</v>
      </c>
      <c r="D99" s="182">
        <f>SUMIFS(Vigilancia!$E:$E,Vigilancia!$F:$F,$A99,Vigilancia!$J:$J,D$1)</f>
        <v>0</v>
      </c>
      <c r="E99" s="182">
        <f>SUMIFS(Vigilancia!$E:$E,Vigilancia!$F:$F,$A99,Vigilancia!$J:$J,E$1)</f>
        <v>0</v>
      </c>
      <c r="F99" s="182">
        <f>SUMIFS(Vigilancia!$E:$E,Vigilancia!$F:$F,$A99,Vigilancia!$J:$J,F$1)</f>
        <v>0</v>
      </c>
      <c r="G99" s="182">
        <f>SUMIFS(Vigilancia!$E:$E,Vigilancia!$F:$F,$A99,Vigilancia!$J:$J,G$1)</f>
        <v>0</v>
      </c>
      <c r="H99" s="182">
        <f>SUMIFS(Vigilancia!$E:$E,Vigilancia!$F:$F,$A99,Vigilancia!$J:$J,H$1)</f>
        <v>0</v>
      </c>
      <c r="I99" s="182">
        <f>SUMIFS(Vigilancia!$E:$E,Vigilancia!$F:$F,$A99,Vigilancia!$J:$J,I$1)</f>
        <v>0</v>
      </c>
      <c r="J99" s="182">
        <f>SUMIFS(Vigilancia!$E:$E,Vigilancia!$F:$F,$A99,Vigilancia!$J:$J,J$1)</f>
        <v>0</v>
      </c>
    </row>
    <row r="100" spans="1:11">
      <c r="A100" s="30" t="str">
        <f>'RESUMEN VIGILANCIA'!A100</f>
        <v>Familia Astor Zamora</v>
      </c>
      <c r="B100" s="31" t="str">
        <f>'RESUMEN VIGILANCIA'!B100</f>
        <v>Calle Güigüe Nro. 88-111</v>
      </c>
      <c r="C100" s="182">
        <f>SUMIFS(Vigilancia!$E:$E,Vigilancia!$F:$F,$A100,Vigilancia!$J:$J,C$1)</f>
        <v>0</v>
      </c>
      <c r="D100" s="182">
        <f>SUMIFS(Vigilancia!$E:$E,Vigilancia!$F:$F,$A100,Vigilancia!$J:$J,D$1)</f>
        <v>0</v>
      </c>
      <c r="E100" s="182">
        <f>SUMIFS(Vigilancia!$E:$E,Vigilancia!$F:$F,$A100,Vigilancia!$J:$J,E$1)</f>
        <v>0</v>
      </c>
      <c r="F100" s="182">
        <f>SUMIFS(Vigilancia!$E:$E,Vigilancia!$F:$F,$A100,Vigilancia!$J:$J,F$1)</f>
        <v>0</v>
      </c>
      <c r="G100" s="182">
        <f>SUMIFS(Vigilancia!$E:$E,Vigilancia!$F:$F,$A100,Vigilancia!$J:$J,G$1)</f>
        <v>0</v>
      </c>
      <c r="H100" s="182">
        <f>SUMIFS(Vigilancia!$E:$E,Vigilancia!$F:$F,$A100,Vigilancia!$J:$J,H$1)</f>
        <v>0</v>
      </c>
      <c r="I100" s="182">
        <f>SUMIFS(Vigilancia!$E:$E,Vigilancia!$F:$F,$A100,Vigilancia!$J:$J,I$1)</f>
        <v>0</v>
      </c>
      <c r="J100" s="182">
        <f>SUMIFS(Vigilancia!$E:$E,Vigilancia!$F:$F,$A100,Vigilancia!$J:$J,J$1)</f>
        <v>0</v>
      </c>
    </row>
    <row r="101" spans="1:11">
      <c r="A101" s="30" t="str">
        <f>'RESUMEN VIGILANCIA'!A101</f>
        <v>Familia Díaz González</v>
      </c>
      <c r="B101" s="31" t="str">
        <f>'RESUMEN VIGILANCIA'!B101</f>
        <v>Calle Güigüe Nro. 88-116</v>
      </c>
      <c r="C101" s="182">
        <f>SUMIFS(Vigilancia!$E:$E,Vigilancia!$F:$F,$A101,Vigilancia!$J:$J,C$1)</f>
        <v>7.0000000000000007E-2</v>
      </c>
      <c r="D101" s="182">
        <f>SUMIFS(Vigilancia!$E:$E,Vigilancia!$F:$F,$A101,Vigilancia!$J:$J,D$1)</f>
        <v>3.5</v>
      </c>
      <c r="E101" s="182">
        <f>SUMIFS(Vigilancia!$E:$E,Vigilancia!$F:$F,$A101,Vigilancia!$J:$J,E$1)</f>
        <v>0</v>
      </c>
      <c r="F101" s="182">
        <f>SUMIFS(Vigilancia!$E:$E,Vigilancia!$F:$F,$A101,Vigilancia!$J:$J,F$1)</f>
        <v>0</v>
      </c>
      <c r="G101" s="182">
        <f>SUMIFS(Vigilancia!$E:$E,Vigilancia!$F:$F,$A101,Vigilancia!$J:$J,G$1)</f>
        <v>0</v>
      </c>
      <c r="H101" s="182">
        <f>SUMIFS(Vigilancia!$E:$E,Vigilancia!$F:$F,$A101,Vigilancia!$J:$J,H$1)</f>
        <v>0</v>
      </c>
      <c r="I101" s="182">
        <f>SUMIFS(Vigilancia!$E:$E,Vigilancia!$F:$F,$A101,Vigilancia!$J:$J,I$1)</f>
        <v>0</v>
      </c>
      <c r="J101" s="182">
        <f>SUMIFS(Vigilancia!$E:$E,Vigilancia!$F:$F,$A101,Vigilancia!$J:$J,J$1)</f>
        <v>0</v>
      </c>
    </row>
    <row r="102" spans="1:11" ht="15.75" thickBot="1">
      <c r="A102" s="66" t="str">
        <f>'RESUMEN VIGILANCIA'!A102</f>
        <v>Familia Loponte Arteaga</v>
      </c>
      <c r="B102" s="64" t="str">
        <f>'RESUMEN VIGILANCIA'!B102</f>
        <v>Calle Güigüe Nro. 88-120</v>
      </c>
      <c r="C102" s="182">
        <f>SUMIFS(Vigilancia!$E:$E,Vigilancia!$F:$F,$A102,Vigilancia!$J:$J,C$1)</f>
        <v>7.0000000000000007E-2</v>
      </c>
      <c r="D102" s="182">
        <f>SUMIFS(Vigilancia!$E:$E,Vigilancia!$F:$F,$A102,Vigilancia!$J:$J,D$1)</f>
        <v>3.6</v>
      </c>
      <c r="E102" s="305">
        <f>SUMIFS(Vigilancia!$E:$E,Vigilancia!$F:$F,$A102,Vigilancia!$J:$J,E$1)</f>
        <v>12.2</v>
      </c>
      <c r="F102" s="305">
        <f>SUMIFS(Vigilancia!$E:$E,Vigilancia!$F:$F,$A102,Vigilancia!$J:$J,F$1)</f>
        <v>0</v>
      </c>
      <c r="G102" s="182">
        <f>SUMIFS(Vigilancia!$E:$E,Vigilancia!$F:$F,$A102,Vigilancia!$J:$J,G$1)</f>
        <v>0</v>
      </c>
      <c r="H102" s="182">
        <f>SUMIFS(Vigilancia!$E:$E,Vigilancia!$F:$F,$A102,Vigilancia!$J:$J,H$1)</f>
        <v>0</v>
      </c>
      <c r="I102" s="182">
        <f>SUMIFS(Vigilancia!$E:$E,Vigilancia!$F:$F,$A102,Vigilancia!$J:$J,I$1)</f>
        <v>0</v>
      </c>
      <c r="J102" s="182">
        <f>SUMIFS(Vigilancia!$E:$E,Vigilancia!$F:$F,$A102,Vigilancia!$J:$J,J$1)</f>
        <v>0</v>
      </c>
    </row>
    <row r="103" spans="1:11">
      <c r="A103" s="59" t="str">
        <f>'RESUMEN VIGILANCIA'!A103</f>
        <v>Familia Sayago Peñaranda</v>
      </c>
      <c r="B103" s="60" t="str">
        <f>'RESUMEN VIGILANCIA'!B103</f>
        <v>Calle Güigüe Nro. 89-04</v>
      </c>
      <c r="C103" s="214">
        <f>SUMIFS(Vigilancia!$E:$E,Vigilancia!$F:$F,$A103,Vigilancia!$J:$J,C$1)</f>
        <v>7.0000000000000007E-2</v>
      </c>
      <c r="D103" s="214">
        <f>SUMIFS(Vigilancia!$E:$E,Vigilancia!$F:$F,$A103,Vigilancia!$J:$J,D$1)</f>
        <v>0</v>
      </c>
      <c r="E103" s="214">
        <f>SUMIFS(Vigilancia!$E:$E,Vigilancia!$F:$F,$A103,Vigilancia!$J:$J,E$1)</f>
        <v>0</v>
      </c>
      <c r="F103" s="214">
        <f>SUMIFS(Vigilancia!$E:$E,Vigilancia!$F:$F,$A103,Vigilancia!$J:$J,F$1)</f>
        <v>0</v>
      </c>
      <c r="G103" s="306">
        <f>SUMIFS(Vigilancia!$E:$E,Vigilancia!$F:$F,$A103,Vigilancia!$J:$J,G$1)</f>
        <v>0</v>
      </c>
      <c r="H103" s="214">
        <f>SUMIFS(Vigilancia!$E:$E,Vigilancia!$F:$F,$A103,Vigilancia!$J:$J,H$1)</f>
        <v>0</v>
      </c>
      <c r="I103" s="214">
        <f>SUMIFS(Vigilancia!$E:$E,Vigilancia!$F:$F,$A103,Vigilancia!$J:$J,I$1)</f>
        <v>0</v>
      </c>
      <c r="J103" s="214">
        <f>SUMIFS(Vigilancia!$E:$E,Vigilancia!$F:$F,$A103,Vigilancia!$J:$J,J$1)</f>
        <v>0</v>
      </c>
      <c r="K103" s="122"/>
    </row>
    <row r="104" spans="1:11" ht="15.75" thickBot="1">
      <c r="A104" s="30" t="str">
        <f>'RESUMEN VIGILANCIA'!A104</f>
        <v>Carmen Moreno</v>
      </c>
      <c r="B104" s="31" t="str">
        <f>'RESUMEN VIGILANCIA'!B104</f>
        <v>Calle Güigüe Nro. 89-04</v>
      </c>
      <c r="C104" s="182">
        <f>SUMIFS(Vigilancia!$E:$E,Vigilancia!$F:$F,$A104,Vigilancia!$J:$J,C$1)</f>
        <v>0</v>
      </c>
      <c r="D104" s="182">
        <f>SUMIFS(Vigilancia!$E:$E,Vigilancia!$F:$F,$A104,Vigilancia!$J:$J,D$1)</f>
        <v>3.5</v>
      </c>
      <c r="E104" s="305">
        <f>SUMIFS(Vigilancia!$E:$E,Vigilancia!$F:$F,$A104,Vigilancia!$J:$J,E$1)</f>
        <v>12.2</v>
      </c>
      <c r="F104" s="305">
        <f>SUMIFS(Vigilancia!$E:$E,Vigilancia!$F:$F,$A104,Vigilancia!$J:$J,F$1)</f>
        <v>10</v>
      </c>
      <c r="G104" s="181">
        <f>SUMIFS(Vigilancia!$E:$E,Vigilancia!$F:$F,$A104,Vigilancia!$J:$J,G$1)</f>
        <v>0</v>
      </c>
      <c r="H104" s="182">
        <f>SUMIFS(Vigilancia!$E:$E,Vigilancia!$F:$F,$A104,Vigilancia!$J:$J,H$1)</f>
        <v>0</v>
      </c>
      <c r="I104" s="182">
        <f>SUMIFS(Vigilancia!$E:$E,Vigilancia!$F:$F,$A104,Vigilancia!$J:$J,I$1)</f>
        <v>0</v>
      </c>
      <c r="J104" s="182">
        <f>SUMIFS(Vigilancia!$E:$E,Vigilancia!$F:$F,$A104,Vigilancia!$J:$J,J$1)</f>
        <v>0</v>
      </c>
      <c r="K104" s="124"/>
    </row>
    <row r="105" spans="1:11" ht="15.75" thickBot="1">
      <c r="A105" s="67" t="str">
        <f>'RESUMEN VIGILANCIA'!A105</f>
        <v>Familia Acosta Carpio</v>
      </c>
      <c r="B105" s="65" t="str">
        <f>'RESUMEN VIGILANCIA'!B105</f>
        <v>Calle Güigüe Nro. 89-10</v>
      </c>
      <c r="C105" s="182">
        <f>SUMIFS(Vigilancia!$E:$E,Vigilancia!$F:$F,$A105,Vigilancia!$J:$J,C$1)</f>
        <v>7.0000000000000007E-2</v>
      </c>
      <c r="D105" s="182">
        <f>SUMIFS(Vigilancia!$E:$E,Vigilancia!$F:$F,$A105,Vigilancia!$J:$J,D$1)</f>
        <v>3.5</v>
      </c>
      <c r="E105" s="305">
        <f>SUMIFS(Vigilancia!$E:$E,Vigilancia!$F:$F,$A105,Vigilancia!$J:$J,E$1)</f>
        <v>12.2</v>
      </c>
      <c r="F105" s="305">
        <f>SUMIFS(Vigilancia!$E:$E,Vigilancia!$F:$F,$A105,Vigilancia!$J:$J,F$1)</f>
        <v>0</v>
      </c>
      <c r="G105" s="182">
        <f>SUMIFS(Vigilancia!$E:$E,Vigilancia!$F:$F,$A105,Vigilancia!$J:$J,G$1)</f>
        <v>0</v>
      </c>
      <c r="H105" s="182">
        <f>SUMIFS(Vigilancia!$E:$E,Vigilancia!$F:$F,$A105,Vigilancia!$J:$J,H$1)</f>
        <v>0</v>
      </c>
      <c r="I105" s="182">
        <f>SUMIFS(Vigilancia!$E:$E,Vigilancia!$F:$F,$A105,Vigilancia!$J:$J,I$1)</f>
        <v>0</v>
      </c>
      <c r="J105" s="182">
        <f>SUMIFS(Vigilancia!$E:$E,Vigilancia!$F:$F,$A105,Vigilancia!$J:$J,J$1)</f>
        <v>0</v>
      </c>
    </row>
    <row r="106" spans="1:11">
      <c r="A106" s="30" t="str">
        <f>'RESUMEN VIGILANCIA'!A106</f>
        <v>Silvia Power</v>
      </c>
      <c r="B106" s="31" t="str">
        <f>'RESUMEN VIGILANCIA'!B106</f>
        <v>Calle Güigüe Nro. 89-16</v>
      </c>
      <c r="C106" s="182">
        <f>SUMIFS(Vigilancia!$E:$E,Vigilancia!$F:$F,$A106,Vigilancia!$J:$J,C$1)</f>
        <v>0.05</v>
      </c>
      <c r="D106" s="182">
        <f>SUMIFS(Vigilancia!$E:$E,Vigilancia!$F:$F,$A106,Vigilancia!$J:$J,D$1)</f>
        <v>0</v>
      </c>
      <c r="E106" s="305">
        <f>SUMIFS(Vigilancia!$E:$E,Vigilancia!$F:$F,$A106,Vigilancia!$J:$J,E$1)</f>
        <v>12.2</v>
      </c>
      <c r="F106" s="305">
        <f>SUMIFS(Vigilancia!$E:$E,Vigilancia!$F:$F,$A106,Vigilancia!$J:$J,F$1)</f>
        <v>0</v>
      </c>
      <c r="G106" s="182">
        <f>SUMIFS(Vigilancia!$E:$E,Vigilancia!$F:$F,$A106,Vigilancia!$J:$J,G$1)</f>
        <v>0</v>
      </c>
      <c r="H106" s="182">
        <f>SUMIFS(Vigilancia!$E:$E,Vigilancia!$F:$F,$A106,Vigilancia!$J:$J,H$1)</f>
        <v>0</v>
      </c>
      <c r="I106" s="182">
        <f>SUMIFS(Vigilancia!$E:$E,Vigilancia!$F:$F,$A106,Vigilancia!$J:$J,I$1)</f>
        <v>0</v>
      </c>
      <c r="J106" s="182">
        <f>SUMIFS(Vigilancia!$E:$E,Vigilancia!$F:$F,$A106,Vigilancia!$J:$J,J$1)</f>
        <v>0</v>
      </c>
      <c r="K106" s="122"/>
    </row>
    <row r="107" spans="1:11" ht="15.75" thickBot="1">
      <c r="A107" s="30" t="str">
        <f>'RESUMEN VIGILANCIA'!A107</f>
        <v>Mibzar Cárdenas</v>
      </c>
      <c r="B107" s="31" t="str">
        <f>'RESUMEN VIGILANCIA'!B107</f>
        <v>Calle Güigüe Nro. 89-16</v>
      </c>
      <c r="C107" s="182"/>
      <c r="D107" s="182">
        <f>SUMIFS(Vigilancia!$E:$E,Vigilancia!$F:$F,$A107,Vigilancia!$J:$J,D$1)</f>
        <v>0</v>
      </c>
      <c r="E107" s="305">
        <f>SUMIFS(Vigilancia!$E:$E,Vigilancia!$F:$F,$A107,Vigilancia!$J:$J,E$1)</f>
        <v>0</v>
      </c>
      <c r="F107" s="305">
        <f>SUMIFS(Vigilancia!$E:$E,Vigilancia!$F:$F,$A107,Vigilancia!$J:$J,F$1)</f>
        <v>0</v>
      </c>
      <c r="G107" s="182">
        <f>SUMIFS(Vigilancia!$E:$E,Vigilancia!$F:$F,$A107,Vigilancia!$J:$J,G$1)</f>
        <v>0</v>
      </c>
      <c r="H107" s="182">
        <f>SUMIFS(Vigilancia!$E:$E,Vigilancia!$F:$F,$A107,Vigilancia!$J:$J,H$1)</f>
        <v>0</v>
      </c>
      <c r="I107" s="182">
        <f>SUMIFS(Vigilancia!$E:$E,Vigilancia!$F:$F,$A107,Vigilancia!$J:$J,I$1)</f>
        <v>0</v>
      </c>
      <c r="J107" s="182">
        <f>SUMIFS(Vigilancia!$E:$E,Vigilancia!$F:$F,$A107,Vigilancia!$J:$J,J$1)</f>
        <v>0</v>
      </c>
      <c r="K107" s="124"/>
    </row>
    <row r="108" spans="1:11" ht="15.75" thickBot="1">
      <c r="A108" s="30" t="str">
        <f>'RESUMEN VIGILANCIA'!A108</f>
        <v>Familia Piñero Padilla</v>
      </c>
      <c r="B108" s="31" t="str">
        <f>'RESUMEN VIGILANCIA'!B108</f>
        <v>Calle Güigüe Nro. 89-21</v>
      </c>
      <c r="C108" s="182">
        <f>SUMIFS(Vigilancia!$E:$E,Vigilancia!$F:$F,$A108,Vigilancia!$J:$J,C$1)</f>
        <v>7.0000000000000007E-2</v>
      </c>
      <c r="D108" s="182">
        <f>SUMIFS(Vigilancia!$E:$E,Vigilancia!$F:$F,$A108,Vigilancia!$J:$J,D$1)</f>
        <v>3.5</v>
      </c>
      <c r="E108" s="305">
        <f>SUMIFS(Vigilancia!$E:$E,Vigilancia!$F:$F,$A108,Vigilancia!$J:$J,E$1)</f>
        <v>12.2</v>
      </c>
      <c r="F108" s="305">
        <f>SUMIFS(Vigilancia!$E:$E,Vigilancia!$F:$F,$A108,Vigilancia!$J:$J,F$1)</f>
        <v>10</v>
      </c>
      <c r="G108" s="182">
        <f>SUMIFS(Vigilancia!$E:$E,Vigilancia!$F:$F,$A108,Vigilancia!$J:$J,G$1)</f>
        <v>0</v>
      </c>
      <c r="H108" s="182">
        <f>SUMIFS(Vigilancia!$E:$E,Vigilancia!$F:$F,$A108,Vigilancia!$J:$J,H$1)</f>
        <v>0</v>
      </c>
      <c r="I108" s="182">
        <f>SUMIFS(Vigilancia!$E:$E,Vigilancia!$F:$F,$A108,Vigilancia!$J:$J,I$1)</f>
        <v>0</v>
      </c>
      <c r="J108" s="182">
        <f>SUMIFS(Vigilancia!$E:$E,Vigilancia!$F:$F,$A108,Vigilancia!$J:$J,J$1)</f>
        <v>0</v>
      </c>
    </row>
    <row r="109" spans="1:11">
      <c r="A109" s="59" t="str">
        <f>'RESUMEN VIGILANCIA'!A109</f>
        <v>Familia Navarrete Medina</v>
      </c>
      <c r="B109" s="60" t="str">
        <f>'RESUMEN VIGILANCIA'!B109</f>
        <v>Calle Güigüe Nro. 89-22</v>
      </c>
      <c r="C109" s="214">
        <f>SUMIFS(Vigilancia!$E:$E,Vigilancia!$F:$F,$A109,Vigilancia!$J:$J,C$1)</f>
        <v>0</v>
      </c>
      <c r="D109" s="214">
        <f>SUMIFS(Vigilancia!$E:$E,Vigilancia!$F:$F,$A109,Vigilancia!$J:$J,D$1)</f>
        <v>0</v>
      </c>
      <c r="E109" s="214">
        <f>SUMIFS(Vigilancia!$E:$E,Vigilancia!$F:$F,$A109,Vigilancia!$J:$J,E$1)</f>
        <v>0</v>
      </c>
      <c r="F109" s="214">
        <f>SUMIFS(Vigilancia!$E:$E,Vigilancia!$F:$F,$A109,Vigilancia!$J:$J,F$1)</f>
        <v>10</v>
      </c>
      <c r="G109" s="306">
        <f>SUMIFS(Vigilancia!$E:$E,Vigilancia!$F:$F,$A109,Vigilancia!$J:$J,G$1)</f>
        <v>0</v>
      </c>
      <c r="H109" s="214">
        <f>SUMIFS(Vigilancia!$E:$E,Vigilancia!$F:$F,$A109,Vigilancia!$J:$J,H$1)</f>
        <v>0</v>
      </c>
      <c r="I109" s="214">
        <f>SUMIFS(Vigilancia!$E:$E,Vigilancia!$F:$F,$A109,Vigilancia!$J:$J,I$1)</f>
        <v>0</v>
      </c>
      <c r="J109" s="214">
        <f>SUMIFS(Vigilancia!$E:$E,Vigilancia!$F:$F,$A109,Vigilancia!$J:$J,J$1)</f>
        <v>0</v>
      </c>
      <c r="K109" s="122"/>
    </row>
    <row r="110" spans="1:11" ht="15.75" thickBot="1">
      <c r="A110" s="30" t="str">
        <f>'RESUMEN VIGILANCIA'!A110</f>
        <v>Familia Rodríguez Girón</v>
      </c>
      <c r="B110" s="31" t="str">
        <f>'RESUMEN VIGILANCIA'!B110</f>
        <v>Calle Güigüe Nro. 89-22</v>
      </c>
      <c r="C110" s="182">
        <f>SUMIFS(Vigilancia!$E:$E,Vigilancia!$F:$F,$A110,Vigilancia!$J:$J,C$1)</f>
        <v>0</v>
      </c>
      <c r="D110" s="182">
        <f>SUMIFS(Vigilancia!$E:$E,Vigilancia!$F:$F,$A110,Vigilancia!$J:$J,D$1)</f>
        <v>0</v>
      </c>
      <c r="E110" s="305">
        <f>SUMIFS(Vigilancia!$E:$E,Vigilancia!$F:$F,$A110,Vigilancia!$J:$J,E$1)</f>
        <v>0</v>
      </c>
      <c r="F110" s="305">
        <f>SUMIFS(Vigilancia!$E:$E,Vigilancia!$F:$F,$A110,Vigilancia!$J:$J,F$1)</f>
        <v>0</v>
      </c>
      <c r="G110" s="182">
        <f>SUMIFS(Vigilancia!$E:$E,Vigilancia!$F:$F,$A110,Vigilancia!$J:$J,G$1)</f>
        <v>0</v>
      </c>
      <c r="H110" s="182">
        <f>SUMIFS(Vigilancia!$E:$E,Vigilancia!$F:$F,$A110,Vigilancia!$J:$J,H$1)</f>
        <v>0</v>
      </c>
      <c r="I110" s="182">
        <f>SUMIFS(Vigilancia!$E:$E,Vigilancia!$F:$F,$A110,Vigilancia!$J:$J,I$1)</f>
        <v>0</v>
      </c>
      <c r="J110" s="182">
        <f>SUMIFS(Vigilancia!$E:$E,Vigilancia!$F:$F,$A110,Vigilancia!$J:$J,J$1)</f>
        <v>0</v>
      </c>
      <c r="K110" s="124"/>
    </row>
    <row r="111" spans="1:11">
      <c r="A111" s="30" t="str">
        <f>'RESUMEN VIGILANCIA'!A111</f>
        <v>Familia Rodríguez Landaeta</v>
      </c>
      <c r="B111" s="31" t="str">
        <f>'RESUMEN VIGILANCIA'!B111</f>
        <v>Calle Güigüe Nro. 89-29</v>
      </c>
      <c r="C111" s="182">
        <f>SUMIFS(Vigilancia!$E:$E,Vigilancia!$F:$F,$A111,Vigilancia!$J:$J,C$1)</f>
        <v>0</v>
      </c>
      <c r="D111" s="182">
        <f>SUMIFS(Vigilancia!$E:$E,Vigilancia!$F:$F,$A111,Vigilancia!$J:$J,D$1)</f>
        <v>0</v>
      </c>
      <c r="E111" s="305">
        <f>SUMIFS(Vigilancia!$E:$E,Vigilancia!$F:$F,$A111,Vigilancia!$J:$J,E$1)</f>
        <v>0</v>
      </c>
      <c r="F111" s="305">
        <f>SUMIFS(Vigilancia!$E:$E,Vigilancia!$F:$F,$A111,Vigilancia!$J:$J,F$1)</f>
        <v>0</v>
      </c>
      <c r="G111" s="182">
        <f>SUMIFS(Vigilancia!$E:$E,Vigilancia!$F:$F,$A111,Vigilancia!$J:$J,G$1)</f>
        <v>0</v>
      </c>
      <c r="H111" s="182">
        <f>SUMIFS(Vigilancia!$E:$E,Vigilancia!$F:$F,$A111,Vigilancia!$J:$J,H$1)</f>
        <v>0</v>
      </c>
      <c r="I111" s="182">
        <f>SUMIFS(Vigilancia!$E:$E,Vigilancia!$F:$F,$A111,Vigilancia!$J:$J,I$1)</f>
        <v>0</v>
      </c>
      <c r="J111" s="182">
        <f>SUMIFS(Vigilancia!$E:$E,Vigilancia!$F:$F,$A111,Vigilancia!$J:$J,J$1)</f>
        <v>0</v>
      </c>
    </row>
    <row r="112" spans="1:11">
      <c r="A112" s="30" t="str">
        <f>'RESUMEN VIGILANCIA'!A112</f>
        <v>Familia Molina Estopiñán</v>
      </c>
      <c r="B112" s="31" t="str">
        <f>'RESUMEN VIGILANCIA'!B112</f>
        <v>Calle Güigüe Nro. 89-30</v>
      </c>
      <c r="C112" s="182">
        <f>SUMIFS(Vigilancia!$E:$E,Vigilancia!$F:$F,$A112,Vigilancia!$J:$J,C$1)</f>
        <v>0.05</v>
      </c>
      <c r="D112" s="182">
        <f>SUMIFS(Vigilancia!$E:$E,Vigilancia!$F:$F,$A112,Vigilancia!$J:$J,D$1)</f>
        <v>0</v>
      </c>
      <c r="E112" s="305">
        <f>SUMIFS(Vigilancia!$E:$E,Vigilancia!$F:$F,$A112,Vigilancia!$J:$J,E$1)</f>
        <v>0</v>
      </c>
      <c r="F112" s="305">
        <f>SUMIFS(Vigilancia!$E:$E,Vigilancia!$F:$F,$A112,Vigilancia!$J:$J,F$1)</f>
        <v>0</v>
      </c>
      <c r="G112" s="182">
        <f>SUMIFS(Vigilancia!$E:$E,Vigilancia!$F:$F,$A112,Vigilancia!$J:$J,G$1)</f>
        <v>0</v>
      </c>
      <c r="H112" s="182">
        <f>SUMIFS(Vigilancia!$E:$E,Vigilancia!$F:$F,$A112,Vigilancia!$J:$J,H$1)</f>
        <v>0</v>
      </c>
      <c r="I112" s="182">
        <f>SUMIFS(Vigilancia!$E:$E,Vigilancia!$F:$F,$A112,Vigilancia!$J:$J,I$1)</f>
        <v>0</v>
      </c>
      <c r="J112" s="182">
        <f>SUMIFS(Vigilancia!$E:$E,Vigilancia!$F:$F,$A112,Vigilancia!$J:$J,J$1)</f>
        <v>0</v>
      </c>
    </row>
    <row r="113" spans="1:11">
      <c r="A113" s="30" t="str">
        <f>'RESUMEN VIGILANCIA'!A113</f>
        <v>Familia Sirit Palencia</v>
      </c>
      <c r="B113" s="31" t="str">
        <f>'RESUMEN VIGILANCIA'!B113</f>
        <v>Calle Güigüe Nro. 89-35</v>
      </c>
      <c r="C113" s="182">
        <f>SUMIFS(Vigilancia!$E:$E,Vigilancia!$F:$F,$A113,Vigilancia!$J:$J,C$1)</f>
        <v>7.0000000000000007E-2</v>
      </c>
      <c r="D113" s="182">
        <f>SUMIFS(Vigilancia!$E:$E,Vigilancia!$F:$F,$A113,Vigilancia!$J:$J,D$1)</f>
        <v>0</v>
      </c>
      <c r="E113" s="305">
        <f>SUMIFS(Vigilancia!$E:$E,Vigilancia!$F:$F,$A113,Vigilancia!$J:$J,E$1)</f>
        <v>0</v>
      </c>
      <c r="F113" s="305">
        <f>SUMIFS(Vigilancia!$E:$E,Vigilancia!$F:$F,$A113,Vigilancia!$J:$J,F$1)</f>
        <v>0</v>
      </c>
      <c r="G113" s="182">
        <f>SUMIFS(Vigilancia!$E:$E,Vigilancia!$F:$F,$A113,Vigilancia!$J:$J,G$1)</f>
        <v>0</v>
      </c>
      <c r="H113" s="182">
        <f>SUMIFS(Vigilancia!$E:$E,Vigilancia!$F:$F,$A113,Vigilancia!$J:$J,H$1)</f>
        <v>0</v>
      </c>
      <c r="I113" s="182">
        <f>SUMIFS(Vigilancia!$E:$E,Vigilancia!$F:$F,$A113,Vigilancia!$J:$J,I$1)</f>
        <v>0</v>
      </c>
      <c r="J113" s="182">
        <f>SUMIFS(Vigilancia!$E:$E,Vigilancia!$F:$F,$A113,Vigilancia!$J:$J,J$1)</f>
        <v>0</v>
      </c>
    </row>
    <row r="114" spans="1:11">
      <c r="A114" s="30" t="str">
        <f>'RESUMEN VIGILANCIA'!A114</f>
        <v>Familia Guerra Miret</v>
      </c>
      <c r="B114" s="31" t="str">
        <f>'RESUMEN VIGILANCIA'!B114</f>
        <v>Calle Güigüe Nro. 89-40</v>
      </c>
      <c r="C114" s="182">
        <f>SUMIFS(Vigilancia!$E:$E,Vigilancia!$F:$F,$A114,Vigilancia!$J:$J,C$1)</f>
        <v>7.0000000000000007E-2</v>
      </c>
      <c r="D114" s="182">
        <f>SUMIFS(Vigilancia!$E:$E,Vigilancia!$F:$F,$A114,Vigilancia!$J:$J,D$1)</f>
        <v>0</v>
      </c>
      <c r="E114" s="305">
        <f>SUMIFS(Vigilancia!$E:$E,Vigilancia!$F:$F,$A114,Vigilancia!$J:$J,E$1)</f>
        <v>12.2</v>
      </c>
      <c r="F114" s="305">
        <f>SUMIFS(Vigilancia!$E:$E,Vigilancia!$F:$F,$A114,Vigilancia!$J:$J,F$1)</f>
        <v>0</v>
      </c>
      <c r="G114" s="182">
        <f>SUMIFS(Vigilancia!$E:$E,Vigilancia!$F:$F,$A114,Vigilancia!$J:$J,G$1)</f>
        <v>0</v>
      </c>
      <c r="H114" s="182">
        <f>SUMIFS(Vigilancia!$E:$E,Vigilancia!$F:$F,$A114,Vigilancia!$J:$J,H$1)</f>
        <v>0</v>
      </c>
      <c r="I114" s="182">
        <f>SUMIFS(Vigilancia!$E:$E,Vigilancia!$F:$F,$A114,Vigilancia!$J:$J,I$1)</f>
        <v>0</v>
      </c>
      <c r="J114" s="182">
        <f>SUMIFS(Vigilancia!$E:$E,Vigilancia!$F:$F,$A114,Vigilancia!$J:$J,J$1)</f>
        <v>0</v>
      </c>
    </row>
    <row r="115" spans="1:11">
      <c r="A115" s="30" t="str">
        <f>'RESUMEN VIGILANCIA'!A115</f>
        <v>Familia Jiménez Salvatierra</v>
      </c>
      <c r="B115" s="31" t="str">
        <f>'RESUMEN VIGILANCIA'!B115</f>
        <v>Calle Güigüe Nro. 89-45</v>
      </c>
      <c r="C115" s="182">
        <f>SUMIFS(Vigilancia!$E:$E,Vigilancia!$F:$F,$A115,Vigilancia!$J:$J,C$1)</f>
        <v>0</v>
      </c>
      <c r="D115" s="182">
        <f>SUMIFS(Vigilancia!$E:$E,Vigilancia!$F:$F,$A115,Vigilancia!$J:$J,D$1)</f>
        <v>3.5</v>
      </c>
      <c r="E115" s="305">
        <f>SUMIFS(Vigilancia!$E:$E,Vigilancia!$F:$F,$A115,Vigilancia!$J:$J,E$1)</f>
        <v>12.2</v>
      </c>
      <c r="F115" s="305">
        <f>SUMIFS(Vigilancia!$E:$E,Vigilancia!$F:$F,$A115,Vigilancia!$J:$J,F$1)</f>
        <v>0</v>
      </c>
      <c r="G115" s="182">
        <f>SUMIFS(Vigilancia!$E:$E,Vigilancia!$F:$F,$A115,Vigilancia!$J:$J,G$1)</f>
        <v>0</v>
      </c>
      <c r="H115" s="182">
        <f>SUMIFS(Vigilancia!$E:$E,Vigilancia!$F:$F,$A115,Vigilancia!$J:$J,H$1)</f>
        <v>0</v>
      </c>
      <c r="I115" s="182">
        <f>SUMIFS(Vigilancia!$E:$E,Vigilancia!$F:$F,$A115,Vigilancia!$J:$J,I$1)</f>
        <v>0</v>
      </c>
      <c r="J115" s="182">
        <f>SUMIFS(Vigilancia!$E:$E,Vigilancia!$F:$F,$A115,Vigilancia!$J:$J,J$1)</f>
        <v>0</v>
      </c>
    </row>
    <row r="116" spans="1:11">
      <c r="A116" s="30" t="str">
        <f>'RESUMEN VIGILANCIA'!A116</f>
        <v>Familia Alonso Rojas</v>
      </c>
      <c r="B116" s="31" t="str">
        <f>'RESUMEN VIGILANCIA'!B116</f>
        <v>Calle Güigüe Nro. 89-54</v>
      </c>
      <c r="C116" s="182">
        <f>SUMIFS(Vigilancia!$E:$E,Vigilancia!$F:$F,$A116,Vigilancia!$J:$J,C$1)</f>
        <v>0</v>
      </c>
      <c r="D116" s="182">
        <f>SUMIFS(Vigilancia!$E:$E,Vigilancia!$F:$F,$A116,Vigilancia!$J:$J,D$1)</f>
        <v>4.0999999999999996</v>
      </c>
      <c r="E116" s="305">
        <f>SUMIFS(Vigilancia!$E:$E,Vigilancia!$F:$F,$A116,Vigilancia!$J:$J,E$1)</f>
        <v>12.2</v>
      </c>
      <c r="F116" s="305">
        <f>SUMIFS(Vigilancia!$E:$E,Vigilancia!$F:$F,$A116,Vigilancia!$J:$J,F$1)</f>
        <v>50</v>
      </c>
      <c r="G116" s="182">
        <f>SUMIFS(Vigilancia!$E:$E,Vigilancia!$F:$F,$A116,Vigilancia!$J:$J,G$1)</f>
        <v>0</v>
      </c>
      <c r="H116" s="182">
        <f>SUMIFS(Vigilancia!$E:$E,Vigilancia!$F:$F,$A116,Vigilancia!$J:$J,H$1)</f>
        <v>0</v>
      </c>
      <c r="I116" s="182">
        <f>SUMIFS(Vigilancia!$E:$E,Vigilancia!$F:$F,$A116,Vigilancia!$J:$J,I$1)</f>
        <v>0</v>
      </c>
      <c r="J116" s="182">
        <f>SUMIFS(Vigilancia!$E:$E,Vigilancia!$F:$F,$A116,Vigilancia!$J:$J,J$1)</f>
        <v>0</v>
      </c>
    </row>
    <row r="117" spans="1:11">
      <c r="A117" s="30" t="str">
        <f>'RESUMEN VIGILANCIA'!A117</f>
        <v>Familia Fermín Rivas</v>
      </c>
      <c r="B117" s="31" t="str">
        <f>'RESUMEN VIGILANCIA'!B117</f>
        <v>Calle Güigüe Nro. 89-55</v>
      </c>
      <c r="C117" s="182">
        <f>SUMIFS(Vigilancia!$E:$E,Vigilancia!$F:$F,$A117,Vigilancia!$J:$J,C$1)</f>
        <v>7.0000000000000007E-2</v>
      </c>
      <c r="D117" s="182">
        <f>SUMIFS(Vigilancia!$E:$E,Vigilancia!$F:$F,$A117,Vigilancia!$J:$J,D$1)</f>
        <v>3.5</v>
      </c>
      <c r="E117" s="305">
        <f>SUMIFS(Vigilancia!$E:$E,Vigilancia!$F:$F,$A117,Vigilancia!$J:$J,E$1)</f>
        <v>12.2</v>
      </c>
      <c r="F117" s="305">
        <f>SUMIFS(Vigilancia!$E:$E,Vigilancia!$F:$F,$A117,Vigilancia!$J:$J,F$1)</f>
        <v>10</v>
      </c>
      <c r="G117" s="182">
        <f>SUMIFS(Vigilancia!$E:$E,Vigilancia!$F:$F,$A117,Vigilancia!$J:$J,G$1)</f>
        <v>0</v>
      </c>
      <c r="H117" s="182">
        <f>SUMIFS(Vigilancia!$E:$E,Vigilancia!$F:$F,$A117,Vigilancia!$J:$J,H$1)</f>
        <v>0</v>
      </c>
      <c r="I117" s="182">
        <f>SUMIFS(Vigilancia!$E:$E,Vigilancia!$F:$F,$A117,Vigilancia!$J:$J,I$1)</f>
        <v>0</v>
      </c>
      <c r="J117" s="182">
        <f>SUMIFS(Vigilancia!$E:$E,Vigilancia!$F:$F,$A117,Vigilancia!$J:$J,J$1)</f>
        <v>0</v>
      </c>
    </row>
    <row r="118" spans="1:11">
      <c r="A118" s="30" t="str">
        <f>'RESUMEN VIGILANCIA'!A118</f>
        <v>Familia Blonval Hernández</v>
      </c>
      <c r="B118" s="31" t="str">
        <f>'RESUMEN VIGILANCIA'!B118</f>
        <v>Calle Güigüe Nro. 89-64</v>
      </c>
      <c r="C118" s="182">
        <f>SUMIFS(Vigilancia!$E:$E,Vigilancia!$F:$F,$A118,Vigilancia!$J:$J,C$1)</f>
        <v>0</v>
      </c>
      <c r="D118" s="182">
        <f>SUMIFS(Vigilancia!$E:$E,Vigilancia!$F:$F,$A118,Vigilancia!$J:$J,D$1)</f>
        <v>0</v>
      </c>
      <c r="E118" s="182">
        <f>SUMIFS(Vigilancia!$E:$E,Vigilancia!$F:$F,$A118,Vigilancia!$J:$J,E$1)</f>
        <v>0</v>
      </c>
      <c r="F118" s="182">
        <f>SUMIFS(Vigilancia!$E:$E,Vigilancia!$F:$F,$A118,Vigilancia!$J:$J,F$1)</f>
        <v>0</v>
      </c>
      <c r="G118" s="182">
        <f>SUMIFS(Vigilancia!$E:$E,Vigilancia!$F:$F,$A118,Vigilancia!$J:$J,G$1)</f>
        <v>0</v>
      </c>
      <c r="H118" s="182">
        <f>SUMIFS(Vigilancia!$E:$E,Vigilancia!$F:$F,$A118,Vigilancia!$J:$J,H$1)</f>
        <v>0</v>
      </c>
      <c r="I118" s="182">
        <f>SUMIFS(Vigilancia!$E:$E,Vigilancia!$F:$F,$A118,Vigilancia!$J:$J,I$1)</f>
        <v>0</v>
      </c>
      <c r="J118" s="182">
        <f>SUMIFS(Vigilancia!$E:$E,Vigilancia!$F:$F,$A118,Vigilancia!$J:$J,J$1)</f>
        <v>0</v>
      </c>
    </row>
    <row r="119" spans="1:11">
      <c r="A119" s="30" t="str">
        <f>'RESUMEN VIGILANCIA'!A119</f>
        <v>Familia Milanés Carmona</v>
      </c>
      <c r="B119" s="31" t="str">
        <f>'RESUMEN VIGILANCIA'!B119</f>
        <v>Calle Güigüe Nro. 89-65</v>
      </c>
      <c r="C119" s="182">
        <f>SUMIFS(Vigilancia!$E:$E,Vigilancia!$F:$F,$A119,Vigilancia!$J:$J,C$1)</f>
        <v>0.04</v>
      </c>
      <c r="D119" s="182">
        <f>SUMIFS(Vigilancia!$E:$E,Vigilancia!$F:$F,$A119,Vigilancia!$J:$J,D$1)</f>
        <v>0</v>
      </c>
      <c r="E119" s="182">
        <f>SUMIFS(Vigilancia!$E:$E,Vigilancia!$F:$F,$A119,Vigilancia!$J:$J,E$1)</f>
        <v>0</v>
      </c>
      <c r="F119" s="182">
        <f>SUMIFS(Vigilancia!$E:$E,Vigilancia!$F:$F,$A119,Vigilancia!$J:$J,F$1)</f>
        <v>0</v>
      </c>
      <c r="G119" s="182">
        <f>SUMIFS(Vigilancia!$E:$E,Vigilancia!$F:$F,$A119,Vigilancia!$J:$J,G$1)</f>
        <v>0</v>
      </c>
      <c r="H119" s="182">
        <f>SUMIFS(Vigilancia!$E:$E,Vigilancia!$F:$F,$A119,Vigilancia!$J:$J,H$1)</f>
        <v>0</v>
      </c>
      <c r="I119" s="182">
        <f>SUMIFS(Vigilancia!$E:$E,Vigilancia!$F:$F,$A119,Vigilancia!$J:$J,I$1)</f>
        <v>0</v>
      </c>
      <c r="J119" s="182">
        <f>SUMIFS(Vigilancia!$E:$E,Vigilancia!$F:$F,$A119,Vigilancia!$J:$J,J$1)</f>
        <v>0</v>
      </c>
    </row>
    <row r="120" spans="1:11">
      <c r="A120" s="30" t="str">
        <f>'RESUMEN VIGILANCIA'!A120</f>
        <v>Familia Medina Colina</v>
      </c>
      <c r="B120" s="31" t="str">
        <f>'RESUMEN VIGILANCIA'!B120</f>
        <v>Calle Güigüe Nro. 89-70</v>
      </c>
      <c r="C120" s="182">
        <f>SUMIFS(Vigilancia!$E:$E,Vigilancia!$F:$F,$A120,Vigilancia!$J:$J,C$1)</f>
        <v>0</v>
      </c>
      <c r="D120" s="182">
        <f>SUMIFS(Vigilancia!$E:$E,Vigilancia!$F:$F,$A120,Vigilancia!$J:$J,D$1)</f>
        <v>0</v>
      </c>
      <c r="E120" s="182">
        <f>SUMIFS(Vigilancia!$E:$E,Vigilancia!$F:$F,$A120,Vigilancia!$J:$J,E$1)</f>
        <v>0</v>
      </c>
      <c r="F120" s="182">
        <f>SUMIFS(Vigilancia!$E:$E,Vigilancia!$F:$F,$A120,Vigilancia!$J:$J,F$1)</f>
        <v>0</v>
      </c>
      <c r="G120" s="182">
        <f>SUMIFS(Vigilancia!$E:$E,Vigilancia!$F:$F,$A120,Vigilancia!$J:$J,G$1)</f>
        <v>0</v>
      </c>
      <c r="H120" s="182">
        <f>SUMIFS(Vigilancia!$E:$E,Vigilancia!$F:$F,$A120,Vigilancia!$J:$J,H$1)</f>
        <v>0</v>
      </c>
      <c r="I120" s="182">
        <f>SUMIFS(Vigilancia!$E:$E,Vigilancia!$F:$F,$A120,Vigilancia!$J:$J,I$1)</f>
        <v>0</v>
      </c>
      <c r="J120" s="182">
        <f>SUMIFS(Vigilancia!$E:$E,Vigilancia!$F:$F,$A120,Vigilancia!$J:$J,J$1)</f>
        <v>0</v>
      </c>
    </row>
    <row r="121" spans="1:11">
      <c r="A121" s="30" t="str">
        <f>'RESUMEN VIGILANCIA'!A121</f>
        <v>Gloria Molina</v>
      </c>
      <c r="B121" s="31" t="str">
        <f>'RESUMEN VIGILANCIA'!B121</f>
        <v>Calle Güigüe Nro. 89-71</v>
      </c>
      <c r="C121" s="182">
        <f>SUMIFS(Vigilancia!$E:$E,Vigilancia!$F:$F,$A121,Vigilancia!$J:$J,C$1)</f>
        <v>0</v>
      </c>
      <c r="D121" s="182">
        <f>SUMIFS(Vigilancia!$E:$E,Vigilancia!$F:$F,$A121,Vigilancia!$J:$J,D$1)</f>
        <v>3</v>
      </c>
      <c r="E121" s="305">
        <f>SUMIFS(Vigilancia!$E:$E,Vigilancia!$F:$F,$A121,Vigilancia!$J:$J,E$1)</f>
        <v>5</v>
      </c>
      <c r="F121" s="305">
        <f>SUMIFS(Vigilancia!$E:$E,Vigilancia!$F:$F,$A121,Vigilancia!$J:$J,F$1)</f>
        <v>0</v>
      </c>
      <c r="G121" s="182">
        <f>SUMIFS(Vigilancia!$E:$E,Vigilancia!$F:$F,$A121,Vigilancia!$J:$J,G$1)</f>
        <v>0</v>
      </c>
      <c r="H121" s="182">
        <f>SUMIFS(Vigilancia!$E:$E,Vigilancia!$F:$F,$A121,Vigilancia!$J:$J,H$1)</f>
        <v>0</v>
      </c>
      <c r="I121" s="182">
        <f>SUMIFS(Vigilancia!$E:$E,Vigilancia!$F:$F,$A121,Vigilancia!$J:$J,I$1)</f>
        <v>0</v>
      </c>
      <c r="J121" s="182">
        <f>SUMIFS(Vigilancia!$E:$E,Vigilancia!$F:$F,$A121,Vigilancia!$J:$J,J$1)</f>
        <v>0</v>
      </c>
    </row>
    <row r="122" spans="1:11">
      <c r="A122" s="30" t="str">
        <f>'RESUMEN VIGILANCIA'!A122</f>
        <v>Familia Gurmeitte</v>
      </c>
      <c r="B122" s="31" t="str">
        <f>'RESUMEN VIGILANCIA'!B122</f>
        <v>Calle Güigüe Nro. 89-74</v>
      </c>
      <c r="C122" s="182">
        <f>SUMIFS(Vigilancia!$E:$E,Vigilancia!$F:$F,$A122,Vigilancia!$J:$J,C$1)</f>
        <v>0</v>
      </c>
      <c r="D122" s="182">
        <f>SUMIFS(Vigilancia!$E:$E,Vigilancia!$F:$F,$A122,Vigilancia!$J:$J,D$1)</f>
        <v>0</v>
      </c>
      <c r="E122" s="305">
        <f>SUMIFS(Vigilancia!$E:$E,Vigilancia!$F:$F,$A122,Vigilancia!$J:$J,E$1)</f>
        <v>0</v>
      </c>
      <c r="F122" s="305">
        <f>SUMIFS(Vigilancia!$E:$E,Vigilancia!$F:$F,$A122,Vigilancia!$J:$J,F$1)</f>
        <v>0</v>
      </c>
      <c r="G122" s="182">
        <f>SUMIFS(Vigilancia!$E:$E,Vigilancia!$F:$F,$A122,Vigilancia!$J:$J,G$1)</f>
        <v>0</v>
      </c>
      <c r="H122" s="182">
        <f>SUMIFS(Vigilancia!$E:$E,Vigilancia!$F:$F,$A122,Vigilancia!$J:$J,H$1)</f>
        <v>0</v>
      </c>
      <c r="I122" s="182">
        <f>SUMIFS(Vigilancia!$E:$E,Vigilancia!$F:$F,$A122,Vigilancia!$J:$J,I$1)</f>
        <v>0</v>
      </c>
      <c r="J122" s="182">
        <f>SUMIFS(Vigilancia!$E:$E,Vigilancia!$F:$F,$A122,Vigilancia!$J:$J,J$1)</f>
        <v>0</v>
      </c>
    </row>
    <row r="123" spans="1:11">
      <c r="A123" s="30" t="str">
        <f>'RESUMEN VIGILANCIA'!A123</f>
        <v>Familia López Hermoso</v>
      </c>
      <c r="B123" s="31" t="str">
        <f>'RESUMEN VIGILANCIA'!B123</f>
        <v>Calle Güigüe Nro. 89-79</v>
      </c>
      <c r="C123" s="182">
        <f>SUMIFS(Vigilancia!$E:$E,Vigilancia!$F:$F,$A123,Vigilancia!$J:$J,C$1)</f>
        <v>7.0000000000000007E-2</v>
      </c>
      <c r="D123" s="182">
        <f>SUMIFS(Vigilancia!$E:$E,Vigilancia!$F:$F,$A123,Vigilancia!$J:$J,D$1)</f>
        <v>0</v>
      </c>
      <c r="E123" s="305">
        <f>SUMIFS(Vigilancia!$E:$E,Vigilancia!$F:$F,$A123,Vigilancia!$J:$J,E$1)</f>
        <v>12.2</v>
      </c>
      <c r="F123" s="305">
        <f>SUMIFS(Vigilancia!$E:$E,Vigilancia!$F:$F,$A123,Vigilancia!$J:$J,F$1)</f>
        <v>0</v>
      </c>
      <c r="G123" s="182">
        <f>SUMIFS(Vigilancia!$E:$E,Vigilancia!$F:$F,$A123,Vigilancia!$J:$J,G$1)</f>
        <v>0</v>
      </c>
      <c r="H123" s="182">
        <f>SUMIFS(Vigilancia!$E:$E,Vigilancia!$F:$F,$A123,Vigilancia!$J:$J,H$1)</f>
        <v>0</v>
      </c>
      <c r="I123" s="182">
        <f>SUMIFS(Vigilancia!$E:$E,Vigilancia!$F:$F,$A123,Vigilancia!$J:$J,I$1)</f>
        <v>0</v>
      </c>
      <c r="J123" s="182">
        <f>SUMIFS(Vigilancia!$E:$E,Vigilancia!$F:$F,$A123,Vigilancia!$J:$J,J$1)</f>
        <v>0</v>
      </c>
    </row>
    <row r="124" spans="1:11">
      <c r="A124" s="30" t="str">
        <f>'RESUMEN VIGILANCIA'!A124</f>
        <v>Familia Kablan Sarmiento</v>
      </c>
      <c r="B124" s="31" t="str">
        <f>'RESUMEN VIGILANCIA'!B124</f>
        <v>Calle Güigüe Nro. 89-80</v>
      </c>
      <c r="C124" s="182">
        <f>SUMIFS(Vigilancia!$E:$E,Vigilancia!$F:$F,$A124,Vigilancia!$J:$J,C$1)</f>
        <v>7.0000000000000007E-2</v>
      </c>
      <c r="D124" s="182">
        <f>SUMIFS(Vigilancia!$E:$E,Vigilancia!$F:$F,$A124,Vigilancia!$J:$J,D$1)</f>
        <v>3.5</v>
      </c>
      <c r="E124" s="305">
        <f>SUMIFS(Vigilancia!$E:$E,Vigilancia!$F:$F,$A124,Vigilancia!$J:$J,E$1)</f>
        <v>12.2</v>
      </c>
      <c r="F124" s="305">
        <f>SUMIFS(Vigilancia!$E:$E,Vigilancia!$F:$F,$A124,Vigilancia!$J:$J,F$1)</f>
        <v>10</v>
      </c>
      <c r="G124" s="182">
        <f>SUMIFS(Vigilancia!$E:$E,Vigilancia!$F:$F,$A124,Vigilancia!$J:$J,G$1)</f>
        <v>0</v>
      </c>
      <c r="H124" s="182">
        <f>SUMIFS(Vigilancia!$E:$E,Vigilancia!$F:$F,$A124,Vigilancia!$J:$J,H$1)</f>
        <v>0</v>
      </c>
      <c r="I124" s="182">
        <f>SUMIFS(Vigilancia!$E:$E,Vigilancia!$F:$F,$A124,Vigilancia!$J:$J,I$1)</f>
        <v>0</v>
      </c>
      <c r="J124" s="182">
        <f>SUMIFS(Vigilancia!$E:$E,Vigilancia!$F:$F,$A124,Vigilancia!$J:$J,J$1)</f>
        <v>0</v>
      </c>
    </row>
    <row r="125" spans="1:11" ht="15.75" thickBot="1">
      <c r="A125" s="66" t="str">
        <f>'RESUMEN VIGILANCIA'!A125</f>
        <v>Familia Ferrer Bahri</v>
      </c>
      <c r="B125" s="64" t="str">
        <f>'RESUMEN VIGILANCIA'!B125</f>
        <v>Calle Güigüe Nro. 89-83</v>
      </c>
      <c r="C125" s="182">
        <f>SUMIFS(Vigilancia!$E:$E,Vigilancia!$F:$F,$A125,Vigilancia!$J:$J,C$1)</f>
        <v>7.0000000000000007E-2</v>
      </c>
      <c r="D125" s="182">
        <f>SUMIFS(Vigilancia!$E:$E,Vigilancia!$F:$F,$A125,Vigilancia!$J:$J,D$1)</f>
        <v>4.0999999999999996</v>
      </c>
      <c r="E125" s="305">
        <f>SUMIFS(Vigilancia!$E:$E,Vigilancia!$F:$F,$A125,Vigilancia!$J:$J,E$1)</f>
        <v>13</v>
      </c>
      <c r="F125" s="305">
        <f>SUMIFS(Vigilancia!$E:$E,Vigilancia!$F:$F,$A125,Vigilancia!$J:$J,F$1)</f>
        <v>10</v>
      </c>
      <c r="G125" s="182">
        <f>SUMIFS(Vigilancia!$E:$E,Vigilancia!$F:$F,$A125,Vigilancia!$J:$J,G$1)</f>
        <v>0</v>
      </c>
      <c r="H125" s="182">
        <f>SUMIFS(Vigilancia!$E:$E,Vigilancia!$F:$F,$A125,Vigilancia!$J:$J,H$1)</f>
        <v>0</v>
      </c>
      <c r="I125" s="182">
        <f>SUMIFS(Vigilancia!$E:$E,Vigilancia!$F:$F,$A125,Vigilancia!$J:$J,I$1)</f>
        <v>0</v>
      </c>
      <c r="J125" s="182">
        <f>SUMIFS(Vigilancia!$E:$E,Vigilancia!$F:$F,$A125,Vigilancia!$J:$J,J$1)</f>
        <v>0</v>
      </c>
    </row>
    <row r="126" spans="1:11">
      <c r="A126" s="125" t="str">
        <f>'RESUMEN VIGILANCIA'!A126</f>
        <v>Familia Amirante</v>
      </c>
      <c r="B126" s="126" t="str">
        <f>'RESUMEN VIGILANCIA'!B126</f>
        <v>Calle Güigüe Nro. 89-89</v>
      </c>
      <c r="C126" s="307">
        <f>SUMIFS(Vigilancia!$E:$E,Vigilancia!$F:$F,$A126,Vigilancia!$J:$J,C$1)</f>
        <v>0</v>
      </c>
      <c r="D126" s="307">
        <f>SUMIFS(Vigilancia!$E:$E,Vigilancia!$F:$F,$A126,Vigilancia!$J:$J,D$1)</f>
        <v>0</v>
      </c>
      <c r="E126" s="307">
        <f>SUMIFS(Vigilancia!$E:$E,Vigilancia!$F:$F,$A126,Vigilancia!$J:$J,E$1)</f>
        <v>0</v>
      </c>
      <c r="F126" s="307">
        <f>SUMIFS(Vigilancia!$E:$E,Vigilancia!$F:$F,$A126,Vigilancia!$J:$J,F$1)</f>
        <v>0</v>
      </c>
      <c r="G126" s="308">
        <f>SUMIFS(Vigilancia!$E:$E,Vigilancia!$F:$F,$A126,Vigilancia!$J:$J,G$1)</f>
        <v>0</v>
      </c>
      <c r="H126" s="307">
        <f>SUMIFS(Vigilancia!$E:$E,Vigilancia!$F:$F,$A126,Vigilancia!$J:$J,H$1)</f>
        <v>0</v>
      </c>
      <c r="I126" s="307">
        <f>SUMIFS(Vigilancia!$E:$E,Vigilancia!$F:$F,$A126,Vigilancia!$J:$J,I$1)</f>
        <v>0</v>
      </c>
      <c r="J126" s="309">
        <f>SUMIFS(Vigilancia!$E:$E,Vigilancia!$F:$F,$A126,Vigilancia!$J:$J,J$1)</f>
        <v>0</v>
      </c>
      <c r="K126" s="122"/>
    </row>
    <row r="127" spans="1:11">
      <c r="A127" s="125" t="str">
        <f>'RESUMEN VIGILANCIA'!A127</f>
        <v>Familia Civitico Rueda</v>
      </c>
      <c r="B127" s="126" t="str">
        <f>'RESUMEN VIGILANCIA'!B127</f>
        <v>Calle Güigüe Nro. 89-89</v>
      </c>
      <c r="C127" s="307">
        <f>SUMIFS(Vigilancia!$E:$E,Vigilancia!$F:$F,$A127,Vigilancia!$J:$J,C$1)</f>
        <v>0</v>
      </c>
      <c r="D127" s="307">
        <f>SUMIFS(Vigilancia!$E:$E,Vigilancia!$F:$F,$A127,Vigilancia!$J:$J,D$1)</f>
        <v>3.5</v>
      </c>
      <c r="E127" s="307">
        <f>SUMIFS(Vigilancia!$E:$E,Vigilancia!$F:$F,$A127,Vigilancia!$J:$J,E$1)</f>
        <v>0</v>
      </c>
      <c r="F127" s="307">
        <f>SUMIFS(Vigilancia!$E:$E,Vigilancia!$F:$F,$A127,Vigilancia!$J:$J,F$1)</f>
        <v>0</v>
      </c>
      <c r="G127" s="308">
        <f>SUMIFS(Vigilancia!$E:$E,Vigilancia!$F:$F,$A127,Vigilancia!$J:$J,G$1)</f>
        <v>0</v>
      </c>
      <c r="H127" s="307">
        <f>SUMIFS(Vigilancia!$E:$E,Vigilancia!$F:$F,$A127,Vigilancia!$J:$J,H$1)</f>
        <v>0</v>
      </c>
      <c r="I127" s="307">
        <f>SUMIFS(Vigilancia!$E:$E,Vigilancia!$F:$F,$A127,Vigilancia!$J:$J,I$1)</f>
        <v>0</v>
      </c>
      <c r="J127" s="309">
        <f>SUMIFS(Vigilancia!$E:$E,Vigilancia!$F:$F,$A127,Vigilancia!$J:$J,J$1)</f>
        <v>0</v>
      </c>
      <c r="K127" s="123"/>
    </row>
    <row r="128" spans="1:11" ht="15.75" thickBot="1">
      <c r="A128" s="30" t="str">
        <f>'RESUMEN VIGILANCIA'!A128</f>
        <v>Wilson Escamilla</v>
      </c>
      <c r="B128" s="31" t="str">
        <f>'RESUMEN VIGILANCIA'!B128</f>
        <v>Calle Güigüe Nro. 89-89</v>
      </c>
      <c r="C128" s="182">
        <f>SUMIFS(Vigilancia!$E:$E,Vigilancia!$F:$F,$A128,Vigilancia!$J:$J,C$1)</f>
        <v>0</v>
      </c>
      <c r="D128" s="182">
        <f>SUMIFS(Vigilancia!$E:$E,Vigilancia!$F:$F,$A128,Vigilancia!$J:$J,D$1)</f>
        <v>0</v>
      </c>
      <c r="E128" s="305">
        <f>SUMIFS(Vigilancia!$E:$E,Vigilancia!$F:$F,$A128,Vigilancia!$J:$J,E$1)</f>
        <v>12.2</v>
      </c>
      <c r="F128" s="305">
        <f>SUMIFS(Vigilancia!$E:$E,Vigilancia!$F:$F,$A128,Vigilancia!$J:$J,F$1)</f>
        <v>0</v>
      </c>
      <c r="G128" s="181">
        <f>SUMIFS(Vigilancia!$E:$E,Vigilancia!$F:$F,$A128,Vigilancia!$J:$J,G$1)</f>
        <v>0</v>
      </c>
      <c r="H128" s="182">
        <f>SUMIFS(Vigilancia!$E:$E,Vigilancia!$F:$F,$A128,Vigilancia!$J:$J,H$1)</f>
        <v>0</v>
      </c>
      <c r="I128" s="182">
        <f>SUMIFS(Vigilancia!$E:$E,Vigilancia!$F:$F,$A128,Vigilancia!$J:$J,I$1)</f>
        <v>0</v>
      </c>
      <c r="J128" s="185">
        <f>SUMIFS(Vigilancia!$E:$E,Vigilancia!$F:$F,$A128,Vigilancia!$J:$J,J$1)</f>
        <v>0</v>
      </c>
      <c r="K128" s="124"/>
    </row>
    <row r="129" spans="1:11">
      <c r="A129" s="59" t="str">
        <f>'RESUMEN VIGILANCIA'!A129</f>
        <v>Familia Herrera Guada</v>
      </c>
      <c r="B129" s="60" t="str">
        <f>'RESUMEN VIGILANCIA'!B129</f>
        <v>Calle Güigüe Nro. 89-90</v>
      </c>
      <c r="C129" s="214">
        <f>SUMIFS(Vigilancia!$E:$E,Vigilancia!$F:$F,$A129,Vigilancia!$J:$J,C$1)</f>
        <v>0</v>
      </c>
      <c r="D129" s="214">
        <f>SUMIFS(Vigilancia!$E:$E,Vigilancia!$F:$F,$A129,Vigilancia!$J:$J,D$1)</f>
        <v>0</v>
      </c>
      <c r="E129" s="214">
        <f>SUMIFS(Vigilancia!$E:$E,Vigilancia!$F:$F,$A129,Vigilancia!$J:$J,E$1)</f>
        <v>0</v>
      </c>
      <c r="F129" s="214">
        <f>SUMIFS(Vigilancia!$E:$E,Vigilancia!$F:$F,$A129,Vigilancia!$J:$J,F$1)</f>
        <v>0</v>
      </c>
      <c r="G129" s="306">
        <f>SUMIFS(Vigilancia!$E:$E,Vigilancia!$F:$F,$A129,Vigilancia!$J:$J,G$1)</f>
        <v>0</v>
      </c>
      <c r="H129" s="214">
        <f>SUMIFS(Vigilancia!$E:$E,Vigilancia!$F:$F,$A129,Vigilancia!$J:$J,H$1)</f>
        <v>0</v>
      </c>
      <c r="I129" s="214">
        <f>SUMIFS(Vigilancia!$E:$E,Vigilancia!$F:$F,$A129,Vigilancia!$J:$J,I$1)</f>
        <v>0</v>
      </c>
      <c r="J129" s="206">
        <f>SUMIFS(Vigilancia!$E:$E,Vigilancia!$F:$F,$A129,Vigilancia!$J:$J,J$1)</f>
        <v>0</v>
      </c>
      <c r="K129" s="122"/>
    </row>
    <row r="130" spans="1:11" ht="15.75" thickBot="1">
      <c r="A130" s="30" t="str">
        <f>'RESUMEN VIGILANCIA'!A130</f>
        <v>Familia Montilla García</v>
      </c>
      <c r="B130" s="31" t="str">
        <f>'RESUMEN VIGILANCIA'!B130</f>
        <v>Calle Güigüe Nro. 89-90</v>
      </c>
      <c r="C130" s="182">
        <f>SUMIFS(Vigilancia!$E:$E,Vigilancia!$F:$F,$A130,Vigilancia!$J:$J,C$1)</f>
        <v>7.0000000000000007E-2</v>
      </c>
      <c r="D130" s="182">
        <f>SUMIFS(Vigilancia!$E:$E,Vigilancia!$F:$F,$A130,Vigilancia!$J:$J,D$1)</f>
        <v>3.5</v>
      </c>
      <c r="E130" s="305">
        <f>SUMIFS(Vigilancia!$E:$E,Vigilancia!$F:$F,$A130,Vigilancia!$J:$J,E$1)</f>
        <v>12.2</v>
      </c>
      <c r="F130" s="305">
        <f>SUMIFS(Vigilancia!$E:$E,Vigilancia!$F:$F,$A130,Vigilancia!$J:$J,F$1)</f>
        <v>30</v>
      </c>
      <c r="G130" s="181">
        <f>SUMIFS(Vigilancia!$E:$E,Vigilancia!$F:$F,$A130,Vigilancia!$J:$J,G$1)</f>
        <v>0</v>
      </c>
      <c r="H130" s="182">
        <f>SUMIFS(Vigilancia!$E:$E,Vigilancia!$F:$F,$A130,Vigilancia!$J:$J,H$1)</f>
        <v>0</v>
      </c>
      <c r="I130" s="182">
        <f>SUMIFS(Vigilancia!$E:$E,Vigilancia!$F:$F,$A130,Vigilancia!$J:$J,I$1)</f>
        <v>0</v>
      </c>
      <c r="J130" s="185">
        <f>SUMIFS(Vigilancia!$E:$E,Vigilancia!$F:$F,$A130,Vigilancia!$J:$J,J$1)</f>
        <v>0</v>
      </c>
      <c r="K130" s="124"/>
    </row>
    <row r="131" spans="1:11">
      <c r="A131" s="67" t="str">
        <f>'RESUMEN VIGILANCIA'!A131</f>
        <v>Familia Kattar González</v>
      </c>
      <c r="B131" s="65" t="str">
        <f>'RESUMEN VIGILANCIA'!B131</f>
        <v>Calle Güigüe Nro. 89-95</v>
      </c>
      <c r="C131" s="182">
        <f>SUMIFS(Vigilancia!$E:$E,Vigilancia!$F:$F,$A131,Vigilancia!$J:$J,C$1)</f>
        <v>7.0000000000000007E-2</v>
      </c>
      <c r="D131" s="182">
        <f>SUMIFS(Vigilancia!$E:$E,Vigilancia!$F:$F,$A131,Vigilancia!$J:$J,D$1)</f>
        <v>3.5</v>
      </c>
      <c r="E131" s="305">
        <f>SUMIFS(Vigilancia!$E:$E,Vigilancia!$F:$F,$A131,Vigilancia!$J:$J,E$1)</f>
        <v>12.2</v>
      </c>
      <c r="F131" s="305">
        <f>SUMIFS(Vigilancia!$E:$E,Vigilancia!$F:$F,$A131,Vigilancia!$J:$J,F$1)</f>
        <v>0</v>
      </c>
      <c r="G131" s="182">
        <f>SUMIFS(Vigilancia!$E:$E,Vigilancia!$F:$F,$A131,Vigilancia!$J:$J,G$1)</f>
        <v>0</v>
      </c>
      <c r="H131" s="182">
        <f>SUMIFS(Vigilancia!$E:$E,Vigilancia!$F:$F,$A131,Vigilancia!$J:$J,H$1)</f>
        <v>0</v>
      </c>
      <c r="I131" s="182">
        <f>SUMIFS(Vigilancia!$E:$E,Vigilancia!$F:$F,$A131,Vigilancia!$J:$J,I$1)</f>
        <v>0</v>
      </c>
      <c r="J131" s="182">
        <f>SUMIFS(Vigilancia!$E:$E,Vigilancia!$F:$F,$A131,Vigilancia!$J:$J,J$1)</f>
        <v>30.5</v>
      </c>
    </row>
    <row r="132" spans="1:11">
      <c r="A132" s="30" t="str">
        <f>'RESUMEN VIGILANCIA'!A132</f>
        <v>Amarilis Guerra</v>
      </c>
      <c r="B132" s="31" t="str">
        <f>'RESUMEN VIGILANCIA'!B132</f>
        <v>Calle Güigüe Nro. 89-96</v>
      </c>
      <c r="C132" s="182">
        <f>SUMIFS(Vigilancia!$E:$E,Vigilancia!$F:$F,$A132,Vigilancia!$J:$J,C$1)</f>
        <v>0</v>
      </c>
      <c r="D132" s="182">
        <f>SUMIFS(Vigilancia!$E:$E,Vigilancia!$F:$F,$A132,Vigilancia!$J:$J,D$1)</f>
        <v>0</v>
      </c>
      <c r="E132" s="305">
        <f>SUMIFS(Vigilancia!$E:$E,Vigilancia!$F:$F,$A132,Vigilancia!$J:$J,E$1)</f>
        <v>12</v>
      </c>
      <c r="F132" s="305">
        <f>SUMIFS(Vigilancia!$E:$E,Vigilancia!$F:$F,$A132,Vigilancia!$J:$J,F$1)</f>
        <v>10</v>
      </c>
      <c r="G132" s="182">
        <f>SUMIFS(Vigilancia!$E:$E,Vigilancia!$F:$F,$A132,Vigilancia!$J:$J,G$1)</f>
        <v>0</v>
      </c>
      <c r="H132" s="182">
        <f>SUMIFS(Vigilancia!$E:$E,Vigilancia!$F:$F,$A132,Vigilancia!$J:$J,H$1)</f>
        <v>0</v>
      </c>
      <c r="I132" s="182">
        <f>SUMIFS(Vigilancia!$E:$E,Vigilancia!$F:$F,$A132,Vigilancia!$J:$J,I$1)</f>
        <v>0</v>
      </c>
      <c r="J132" s="182">
        <f>SUMIFS(Vigilancia!$E:$E,Vigilancia!$F:$F,$A132,Vigilancia!$J:$J,J$1)</f>
        <v>0</v>
      </c>
    </row>
    <row r="133" spans="1:11" ht="15.75" thickBot="1">
      <c r="A133" s="30" t="str">
        <f>'RESUMEN VIGILANCIA'!A133</f>
        <v>Familia Ochoa Mendoza</v>
      </c>
      <c r="B133" s="31" t="str">
        <f>'RESUMEN VIGILANCIA'!B133</f>
        <v>Calle Güigüe Nro. 89-105</v>
      </c>
      <c r="C133" s="182">
        <f>SUMIFS(Vigilancia!$E:$E,Vigilancia!$F:$F,$A133,Vigilancia!$J:$J,C$1)</f>
        <v>7.0000000000000007E-2</v>
      </c>
      <c r="D133" s="182">
        <f>SUMIFS(Vigilancia!$E:$E,Vigilancia!$F:$F,$A133,Vigilancia!$J:$J,D$1)</f>
        <v>3.5</v>
      </c>
      <c r="E133" s="305">
        <f>SUMIFS(Vigilancia!$E:$E,Vigilancia!$F:$F,$A133,Vigilancia!$J:$J,E$1)</f>
        <v>0</v>
      </c>
      <c r="F133" s="305">
        <f>SUMIFS(Vigilancia!$E:$E,Vigilancia!$F:$F,$A133,Vigilancia!$J:$J,F$1)</f>
        <v>10</v>
      </c>
      <c r="G133" s="182">
        <f>SUMIFS(Vigilancia!$E:$E,Vigilancia!$F:$F,$A133,Vigilancia!$J:$J,G$1)</f>
        <v>0</v>
      </c>
      <c r="H133" s="182">
        <f>SUMIFS(Vigilancia!$E:$E,Vigilancia!$F:$F,$A133,Vigilancia!$J:$J,H$1)</f>
        <v>0</v>
      </c>
      <c r="I133" s="182">
        <f>SUMIFS(Vigilancia!$E:$E,Vigilancia!$F:$F,$A133,Vigilancia!$J:$J,I$1)</f>
        <v>0</v>
      </c>
      <c r="J133" s="182">
        <f>SUMIFS(Vigilancia!$E:$E,Vigilancia!$F:$F,$A133,Vigilancia!$J:$J,J$1)</f>
        <v>0</v>
      </c>
    </row>
    <row r="134" spans="1:11">
      <c r="A134" s="59" t="str">
        <f>'RESUMEN VIGILANCIA'!A134</f>
        <v>Anahiz Seijas</v>
      </c>
      <c r="B134" s="60" t="str">
        <f>'RESUMEN VIGILANCIA'!B134</f>
        <v>Calle Güigüe Nro. 89-106</v>
      </c>
      <c r="C134" s="214">
        <f>SUMIFS(Vigilancia!$E:$E,Vigilancia!$F:$F,$A134,Vigilancia!$J:$J,C$1)</f>
        <v>7.0000000000000007E-2</v>
      </c>
      <c r="D134" s="214">
        <f>SUMIFS(Vigilancia!$E:$E,Vigilancia!$F:$F,$A134,Vigilancia!$J:$J,D$1)</f>
        <v>3.5</v>
      </c>
      <c r="E134" s="214">
        <f>SUMIFS(Vigilancia!$E:$E,Vigilancia!$F:$F,$A134,Vigilancia!$J:$J,E$1)</f>
        <v>0</v>
      </c>
      <c r="F134" s="214">
        <f>SUMIFS(Vigilancia!$E:$E,Vigilancia!$F:$F,$A134,Vigilancia!$J:$J,F$1)</f>
        <v>0</v>
      </c>
      <c r="G134" s="306">
        <f>SUMIFS(Vigilancia!$E:$E,Vigilancia!$F:$F,$A134,Vigilancia!$J:$J,G$1)</f>
        <v>0</v>
      </c>
      <c r="H134" s="214">
        <f>SUMIFS(Vigilancia!$E:$E,Vigilancia!$F:$F,$A134,Vigilancia!$J:$J,H$1)</f>
        <v>0</v>
      </c>
      <c r="I134" s="214">
        <f>SUMIFS(Vigilancia!$E:$E,Vigilancia!$F:$F,$A134,Vigilancia!$J:$J,I$1)</f>
        <v>0</v>
      </c>
      <c r="J134" s="206">
        <f>SUMIFS(Vigilancia!$E:$E,Vigilancia!$F:$F,$A134,Vigilancia!$J:$J,J$1)</f>
        <v>0</v>
      </c>
      <c r="K134" s="122"/>
    </row>
    <row r="135" spans="1:11" ht="15.75" thickBot="1">
      <c r="A135" s="30" t="str">
        <f>'RESUMEN VIGILANCIA'!A135</f>
        <v>Familia Chan García</v>
      </c>
      <c r="B135" s="31" t="str">
        <f>'RESUMEN VIGILANCIA'!B135</f>
        <v>Calle Güigüe Nro. 89-106</v>
      </c>
      <c r="C135" s="182">
        <f>SUMIFS(Vigilancia!$E:$E,Vigilancia!$F:$F,$A135,Vigilancia!$J:$J,C$1)</f>
        <v>0</v>
      </c>
      <c r="D135" s="182">
        <f>SUMIFS(Vigilancia!$E:$E,Vigilancia!$F:$F,$A135,Vigilancia!$J:$J,D$1)</f>
        <v>0</v>
      </c>
      <c r="E135" s="182">
        <f>SUMIFS(Vigilancia!$E:$E,Vigilancia!$F:$F,$A135,Vigilancia!$J:$J,E$1)</f>
        <v>0</v>
      </c>
      <c r="F135" s="182">
        <f>SUMIFS(Vigilancia!$E:$E,Vigilancia!$F:$F,$A135,Vigilancia!$J:$J,F$1)</f>
        <v>0</v>
      </c>
      <c r="G135" s="182">
        <f>SUMIFS(Vigilancia!$E:$E,Vigilancia!$F:$F,$A135,Vigilancia!$J:$J,G$1)</f>
        <v>0</v>
      </c>
      <c r="H135" s="182">
        <f>SUMIFS(Vigilancia!$E:$E,Vigilancia!$F:$F,$A135,Vigilancia!$J:$J,H$1)</f>
        <v>0</v>
      </c>
      <c r="I135" s="182">
        <f>SUMIFS(Vigilancia!$E:$E,Vigilancia!$F:$F,$A135,Vigilancia!$J:$J,I$1)</f>
        <v>0</v>
      </c>
      <c r="J135" s="182">
        <f>SUMIFS(Vigilancia!$E:$E,Vigilancia!$F:$F,$A135,Vigilancia!$J:$J,J$1)</f>
        <v>0</v>
      </c>
      <c r="K135" s="124"/>
    </row>
    <row r="136" spans="1:11" ht="15.75" thickBot="1">
      <c r="A136" s="30" t="str">
        <f>'RESUMEN VIGILANCIA'!A136</f>
        <v>Familia Jiménez de Avila</v>
      </c>
      <c r="B136" s="31" t="str">
        <f>'RESUMEN VIGILANCIA'!B136</f>
        <v>Calle Güigüe Nro. 89-116</v>
      </c>
      <c r="C136" s="182">
        <f>SUMIFS(Vigilancia!$E:$E,Vigilancia!$F:$F,$A136,Vigilancia!$J:$J,C$1)</f>
        <v>0</v>
      </c>
      <c r="D136" s="182">
        <f>SUMIFS(Vigilancia!$E:$E,Vigilancia!$F:$F,$A136,Vigilancia!$J:$J,D$1)</f>
        <v>0</v>
      </c>
      <c r="E136" s="182">
        <f>SUMIFS(Vigilancia!$E:$E,Vigilancia!$F:$F,$A136,Vigilancia!$J:$J,E$1)</f>
        <v>0</v>
      </c>
      <c r="F136" s="182">
        <f>SUMIFS(Vigilancia!$E:$E,Vigilancia!$F:$F,$A136,Vigilancia!$J:$J,F$1)</f>
        <v>0</v>
      </c>
      <c r="G136" s="182">
        <f>SUMIFS(Vigilancia!$E:$E,Vigilancia!$F:$F,$A136,Vigilancia!$J:$J,G$1)</f>
        <v>0</v>
      </c>
      <c r="H136" s="182">
        <f>SUMIFS(Vigilancia!$E:$E,Vigilancia!$F:$F,$A136,Vigilancia!$J:$J,H$1)</f>
        <v>0</v>
      </c>
      <c r="I136" s="182">
        <f>SUMIFS(Vigilancia!$E:$E,Vigilancia!$F:$F,$A136,Vigilancia!$J:$J,I$1)</f>
        <v>0</v>
      </c>
      <c r="J136" s="182">
        <f>SUMIFS(Vigilancia!$E:$E,Vigilancia!$F:$F,$A136,Vigilancia!$J:$J,J$1)</f>
        <v>0</v>
      </c>
    </row>
    <row r="137" spans="1:11">
      <c r="A137" s="59" t="str">
        <f>'RESUMEN VIGILANCIA'!A137</f>
        <v>Familia Morales Sesar</v>
      </c>
      <c r="B137" s="60" t="str">
        <f>'RESUMEN VIGILANCIA'!B137</f>
        <v>Calle Güigüe Nro. 89-120</v>
      </c>
      <c r="C137" s="214">
        <f>SUMIFS(Vigilancia!$E:$E,Vigilancia!$F:$F,$A137,Vigilancia!$J:$J,C$1)</f>
        <v>0</v>
      </c>
      <c r="D137" s="214">
        <f>SUMIFS(Vigilancia!$E:$E,Vigilancia!$F:$F,$A137,Vigilancia!$J:$J,D$1)</f>
        <v>0</v>
      </c>
      <c r="E137" s="214">
        <f>SUMIFS(Vigilancia!$E:$E,Vigilancia!$F:$F,$A137,Vigilancia!$J:$J,E$1)</f>
        <v>0</v>
      </c>
      <c r="F137" s="214">
        <f>SUMIFS(Vigilancia!$E:$E,Vigilancia!$F:$F,$A137,Vigilancia!$J:$J,F$1)</f>
        <v>0</v>
      </c>
      <c r="G137" s="306">
        <f>SUMIFS(Vigilancia!$E:$E,Vigilancia!$F:$F,$A137,Vigilancia!$J:$J,G$1)</f>
        <v>0</v>
      </c>
      <c r="H137" s="214">
        <f>SUMIFS(Vigilancia!$E:$E,Vigilancia!$F:$F,$A137,Vigilancia!$J:$J,H$1)</f>
        <v>0</v>
      </c>
      <c r="I137" s="214">
        <f>SUMIFS(Vigilancia!$E:$E,Vigilancia!$F:$F,$A137,Vigilancia!$J:$J,I$1)</f>
        <v>0</v>
      </c>
      <c r="J137" s="206">
        <f>SUMIFS(Vigilancia!$E:$E,Vigilancia!$F:$F,$A137,Vigilancia!$J:$J,J$1)</f>
        <v>0</v>
      </c>
      <c r="K137" s="122"/>
    </row>
    <row r="138" spans="1:11" ht="15.75" thickBot="1">
      <c r="A138" s="30" t="str">
        <f>'RESUMEN VIGILANCIA'!A138</f>
        <v>Familia Abbinante Pinto</v>
      </c>
      <c r="B138" s="31" t="str">
        <f>'RESUMEN VIGILANCIA'!B138</f>
        <v>Calle Güigüe Nro. 89-120</v>
      </c>
      <c r="C138" s="182">
        <f>SUMIFS(Vigilancia!$E:$E,Vigilancia!$F:$F,$A138,Vigilancia!$J:$J,C$1)</f>
        <v>0</v>
      </c>
      <c r="D138" s="182">
        <f>SUMIFS(Vigilancia!$E:$E,Vigilancia!$F:$F,$A138,Vigilancia!$J:$J,D$1)</f>
        <v>0</v>
      </c>
      <c r="E138" s="182">
        <f>SUMIFS(Vigilancia!$E:$E,Vigilancia!$F:$F,$A138,Vigilancia!$J:$J,E$1)</f>
        <v>0</v>
      </c>
      <c r="F138" s="182">
        <f>SUMIFS(Vigilancia!$E:$E,Vigilancia!$F:$F,$A138,Vigilancia!$J:$J,F$1)</f>
        <v>10</v>
      </c>
      <c r="G138" s="182">
        <f>SUMIFS(Vigilancia!$E:$E,Vigilancia!$F:$F,$A138,Vigilancia!$J:$J,G$1)</f>
        <v>0</v>
      </c>
      <c r="H138" s="182">
        <f>SUMIFS(Vigilancia!$E:$E,Vigilancia!$F:$F,$A138,Vigilancia!$J:$J,H$1)</f>
        <v>0</v>
      </c>
      <c r="I138" s="182">
        <f>SUMIFS(Vigilancia!$E:$E,Vigilancia!$F:$F,$A138,Vigilancia!$J:$J,I$1)</f>
        <v>0</v>
      </c>
      <c r="J138" s="182">
        <f>SUMIFS(Vigilancia!$E:$E,Vigilancia!$F:$F,$A138,Vigilancia!$J:$J,J$1)</f>
        <v>0</v>
      </c>
      <c r="K138" s="124"/>
    </row>
    <row r="139" spans="1:11">
      <c r="A139" s="30" t="str">
        <f>'RESUMEN VIGILANCIA'!A139</f>
        <v>Alexander Pena</v>
      </c>
      <c r="B139" s="31" t="str">
        <f>'RESUMEN VIGILANCIA'!B139</f>
        <v>Calle Güigüe Nro. 89-126</v>
      </c>
      <c r="C139" s="182">
        <f>SUMIFS(Vigilancia!$E:$E,Vigilancia!$F:$F,$A139,Vigilancia!$J:$J,C$1)</f>
        <v>0</v>
      </c>
      <c r="D139" s="182">
        <f>SUMIFS(Vigilancia!$E:$E,Vigilancia!$F:$F,$A139,Vigilancia!$J:$J,D$1)</f>
        <v>0</v>
      </c>
      <c r="E139" s="182">
        <f>SUMIFS(Vigilancia!$E:$E,Vigilancia!$F:$F,$A139,Vigilancia!$J:$J,E$1)</f>
        <v>0</v>
      </c>
      <c r="F139" s="182">
        <f>SUMIFS(Vigilancia!$E:$E,Vigilancia!$F:$F,$A139,Vigilancia!$J:$J,F$1)</f>
        <v>0</v>
      </c>
      <c r="G139" s="182">
        <f>SUMIFS(Vigilancia!$E:$E,Vigilancia!$F:$F,$A139,Vigilancia!$J:$J,G$1)</f>
        <v>0</v>
      </c>
      <c r="H139" s="182">
        <f>SUMIFS(Vigilancia!$E:$E,Vigilancia!$F:$F,$A139,Vigilancia!$J:$J,H$1)</f>
        <v>0</v>
      </c>
      <c r="I139" s="182">
        <f>SUMIFS(Vigilancia!$E:$E,Vigilancia!$F:$F,$A139,Vigilancia!$J:$J,I$1)</f>
        <v>0</v>
      </c>
      <c r="J139" s="182">
        <f>SUMIFS(Vigilancia!$E:$E,Vigilancia!$F:$F,$A139,Vigilancia!$J:$J,J$1)</f>
        <v>0</v>
      </c>
    </row>
    <row r="140" spans="1:11">
      <c r="A140" s="40" t="str">
        <f>'RESUMEN VIGILANCIA'!A140</f>
        <v>Familia Pena Wierman</v>
      </c>
      <c r="B140" s="41" t="str">
        <f>'RESUMEN VIGILANCIA'!B140</f>
        <v>Calle Güigüe Nro. 89-126</v>
      </c>
      <c r="C140" s="238"/>
      <c r="D140" s="238"/>
      <c r="E140" s="238"/>
      <c r="F140" s="238"/>
      <c r="G140" s="238"/>
      <c r="H140" s="238"/>
      <c r="I140" s="238"/>
      <c r="J140" s="238"/>
    </row>
    <row r="141" spans="1:11">
      <c r="A141" s="43"/>
      <c r="B141" s="44" t="s">
        <v>1156</v>
      </c>
      <c r="C141" s="301">
        <f t="shared" ref="C141:J141" si="0">SUM(C2:C140)</f>
        <v>3.7081999999999975</v>
      </c>
      <c r="D141" s="301">
        <f t="shared" si="0"/>
        <v>185.1</v>
      </c>
      <c r="E141" s="301">
        <f t="shared" si="0"/>
        <v>566.39999999999986</v>
      </c>
      <c r="F141" s="301">
        <f t="shared" si="0"/>
        <v>597</v>
      </c>
      <c r="G141" s="301">
        <f t="shared" si="0"/>
        <v>0.24199999999999999</v>
      </c>
      <c r="H141" s="301">
        <f t="shared" si="0"/>
        <v>1.4999999999999999E-2</v>
      </c>
      <c r="I141" s="301">
        <f t="shared" si="0"/>
        <v>34703.5</v>
      </c>
      <c r="J141" s="301">
        <f t="shared" si="0"/>
        <v>63.5</v>
      </c>
    </row>
    <row r="142" spans="1:11">
      <c r="A142" s="43"/>
      <c r="B142" s="44" t="s">
        <v>1162</v>
      </c>
      <c r="C142" s="26">
        <f t="shared" ref="C142:J142" si="1">COUNTIF(C2:C140,"&gt;0")</f>
        <v>55</v>
      </c>
      <c r="D142" s="26">
        <f t="shared" si="1"/>
        <v>52</v>
      </c>
      <c r="E142" s="26">
        <f t="shared" si="1"/>
        <v>47</v>
      </c>
      <c r="F142" s="26">
        <f t="shared" si="1"/>
        <v>43</v>
      </c>
      <c r="G142" s="26">
        <f t="shared" si="1"/>
        <v>2</v>
      </c>
      <c r="H142" s="26">
        <f t="shared" si="1"/>
        <v>1</v>
      </c>
      <c r="I142" s="26">
        <f t="shared" si="1"/>
        <v>1</v>
      </c>
      <c r="J142" s="26">
        <f t="shared" si="1"/>
        <v>3</v>
      </c>
    </row>
    <row r="143" spans="1:11" ht="15.75" thickBot="1">
      <c r="A143" s="152"/>
      <c r="B143" s="153" t="s">
        <v>1177</v>
      </c>
      <c r="C143" s="310">
        <f>7000/100000</f>
        <v>7.0000000000000007E-2</v>
      </c>
      <c r="D143" s="310">
        <f>350000/100000</f>
        <v>3.5</v>
      </c>
      <c r="E143" s="310">
        <f>1220000/100000</f>
        <v>12.2</v>
      </c>
      <c r="F143" s="310">
        <v>10</v>
      </c>
      <c r="G143" s="310"/>
      <c r="H143" s="310"/>
      <c r="I143" s="310"/>
      <c r="J143" s="310"/>
    </row>
    <row r="144" spans="1:11" ht="15.75" thickTop="1">
      <c r="A144" s="154"/>
      <c r="B144" s="157" t="s">
        <v>1261</v>
      </c>
      <c r="C144" s="156">
        <f>IF(ISBLANK(C$143),"",COUNTIF(C$2:C$140,"&lt;"&amp;TEXT(C$143,"0,00"))-COUNTIF(C$2:C$140,"=0,00"))</f>
        <v>7</v>
      </c>
      <c r="D144" s="156">
        <f>IF(ISBLANK(D$143),"",COUNTIF(D$2:D$140,"&lt;"&amp;TEXT(D$143,"0,00"))-COUNTIF(D$2:D$140,"=0,00"))</f>
        <v>2</v>
      </c>
      <c r="E144" s="156">
        <f>IF(ISBLANK(E$143),"",COUNTIF(E$2:E$140,"&lt;"&amp;TEXT(E$143,"0,00"))-COUNTIF(E$2:E$140,"=0,00"))</f>
        <v>6</v>
      </c>
      <c r="F144" s="156">
        <f>IF(ISBLANK(F$143),"",COUNTIF(F$2:F$140,"&lt;"&amp;TEXT(F$143,"0,00"))-COUNTIF(F$2:F$140,"=0,00"))</f>
        <v>0</v>
      </c>
      <c r="G144" s="155" t="str">
        <f>IF(ISBLANK(G$143),"",COUNTIF(G$2:G$140,"&lt;"&amp;TEXT(G$143,"0"))-COUNTIF(G$2:G$140,"=0"))</f>
        <v/>
      </c>
      <c r="H144" s="156" t="str">
        <f>IF(ISBLANK(H$143),"",COUNTIF(H$2:H$140,"&lt;"&amp;TEXT(H$143,"0"))-COUNTIF(H$2:H$140,"=0"))</f>
        <v/>
      </c>
      <c r="I144" s="156" t="str">
        <f>IF(ISBLANK(I$143),"",COUNTIF(I$2:I$140,"&lt;"&amp;TEXT(I$143,"0"))-COUNTIF(I$2:I$140,"=0"))</f>
        <v/>
      </c>
      <c r="J144" s="156" t="str">
        <f>IF(ISBLANK(J$143),"",COUNTIF(J$2:J$140,"&lt;"&amp;TEXT(J$143,"0"))-COUNTIF(J$2:J$140,"=0"))</f>
        <v/>
      </c>
    </row>
    <row r="145" spans="1:10">
      <c r="A145" s="128"/>
      <c r="B145" s="158" t="s">
        <v>1262</v>
      </c>
      <c r="C145" s="353">
        <f>IF(ISBLANK(C$143),"",SUMIF(C$2:C$140,"&lt;"&amp;TEXT(C$143,"0,00")))</f>
        <v>0.31319999999999998</v>
      </c>
      <c r="D145" s="353">
        <f>IF(ISBLANK(D$143),"",SUMIF(D$2:D$140,"&lt;"&amp;TEXT(D$143,"0,00")))</f>
        <v>4</v>
      </c>
      <c r="E145" s="353">
        <f>IF(ISBLANK(E$143),"",SUMIF(E$2:E$140,"&lt;"&amp;TEXT(E$143,"0,00")))</f>
        <v>61.5</v>
      </c>
      <c r="F145" s="353">
        <f>IF(ISBLANK(F$143),"",SUMIF(F$2:F$140,"&lt;"&amp;TEXT(F$143,"0,00")))</f>
        <v>0</v>
      </c>
      <c r="G145" s="132" t="str">
        <f>IF(ISBLANK(G$143),"",SUMIF(G$2:G$140,"&lt;"&amp;TEXT(G$143,"0")))</f>
        <v/>
      </c>
      <c r="H145" s="130" t="str">
        <f>IF(ISBLANK(H$143),"",SUMIF(H$2:H$140,"&lt;"&amp;TEXT(H$143,"0")))</f>
        <v/>
      </c>
      <c r="I145" s="130" t="str">
        <f>IF(ISBLANK(I$143),"",SUMIF(I$2:I$140,"&lt;"&amp;TEXT(I$143,"0")))</f>
        <v/>
      </c>
      <c r="J145" s="130" t="str">
        <f>IF(ISBLANK(J$143),"",SUMIF(J$2:J$140,"&lt;"&amp;TEXT(J$143,"0")))</f>
        <v/>
      </c>
    </row>
    <row r="146" spans="1:10">
      <c r="B146" s="159" t="s">
        <v>1263</v>
      </c>
      <c r="C146" s="129">
        <f>IF(ISBLANK(C$143),"",COUNTIF(C$2:C$140,"="&amp;TEXT(C$143,"0,00")))</f>
        <v>46</v>
      </c>
      <c r="D146" s="129">
        <f>IF(ISBLANK(D$143),"",COUNTIF(D$2:D$140,"="&amp;TEXT(D$143,"0,00")))</f>
        <v>43</v>
      </c>
      <c r="E146" s="129">
        <f>IF(ISBLANK(E$143),"",COUNTIF(E$2:E$140,"="&amp;TEXT(E$143,"0,00")))</f>
        <v>37</v>
      </c>
      <c r="F146" s="129">
        <f>IF(ISBLANK(F$143),"",COUNTIF(F$2:F$140,"="&amp;TEXT(F$143,"0,00")))</f>
        <v>38</v>
      </c>
      <c r="G146" s="131" t="str">
        <f>IF(ISBLANK(G$143),"",COUNTIF(G$2:G$140,"="&amp;TEXT(G$143,"0")))</f>
        <v/>
      </c>
      <c r="H146" s="129" t="str">
        <f>IF(ISBLANK(H$143),"",COUNTIF(H$2:H$140,"="&amp;TEXT(H$143,"0")))</f>
        <v/>
      </c>
      <c r="I146" s="129" t="str">
        <f>IF(ISBLANK(I$143),"",COUNTIF(I$2:I$140,"="&amp;TEXT(I$143,"0")))</f>
        <v/>
      </c>
      <c r="J146" s="129" t="str">
        <f>IF(ISBLANK(J$143),"",COUNTIF(J$2:J$140,"="&amp;TEXT(J$143,"0")))</f>
        <v/>
      </c>
    </row>
    <row r="147" spans="1:10">
      <c r="B147" s="159" t="s">
        <v>1262</v>
      </c>
      <c r="C147" s="353">
        <f>IF(ISBLANK(C$143),"",SUMIF(C$2:C$140,"="&amp;TEXT(C$143,"0,00")))</f>
        <v>3.2199999999999984</v>
      </c>
      <c r="D147" s="353">
        <f>IF(ISBLANK(D$143),"",SUMIF(D$2:D$140,"="&amp;TEXT(D$143,"0,00")))</f>
        <v>150.5</v>
      </c>
      <c r="E147" s="353">
        <f>IF(ISBLANK(E$143),"",SUMIF(E$2:E$140,"="&amp;TEXT(E$143,"0,00")))</f>
        <v>451.39999999999975</v>
      </c>
      <c r="F147" s="353">
        <f>IF(ISBLANK(F$143),"",SUMIF(F$2:F$140,"="&amp;TEXT(F$143,"0,00")))</f>
        <v>380</v>
      </c>
      <c r="G147" s="132" t="str">
        <f>IF(ISBLANK(G$143),"",SUMIF(G$2:G$140,"="&amp;TEXT(G$143,"0")))</f>
        <v/>
      </c>
      <c r="H147" s="130" t="str">
        <f>IF(ISBLANK(H$143),"",SUMIF(H$2:H$140,"="&amp;TEXT(H$143,"0")))</f>
        <v/>
      </c>
      <c r="I147" s="130" t="str">
        <f>IF(ISBLANK(I$143),"",SUMIF(I$2:I$140,"="&amp;TEXT(I$143,"0")))</f>
        <v/>
      </c>
      <c r="J147" s="130" t="str">
        <f>IF(ISBLANK(J$143),"",SUMIF(J$2:J$140,"="&amp;TEXT(J$143,"0")))</f>
        <v/>
      </c>
    </row>
    <row r="148" spans="1:10">
      <c r="A148" s="127"/>
      <c r="B148" s="160" t="s">
        <v>1264</v>
      </c>
      <c r="C148" s="129">
        <f>IF(ISBLANK(C$143),"",COUNTIF(C$2:C$140,"&gt;"&amp;TEXT(C$143,"0,00")))</f>
        <v>2</v>
      </c>
      <c r="D148" s="129">
        <f>IF(ISBLANK(D$143),"",COUNTIF(D$2:D$140,"&gt;"&amp;TEXT(D$143,"0,00")))</f>
        <v>7</v>
      </c>
      <c r="E148" s="129">
        <f>IF(ISBLANK(E$143),"",COUNTIF(E$2:E$140,"&gt;"&amp;TEXT(E$143,"0,00")))</f>
        <v>4</v>
      </c>
      <c r="F148" s="129">
        <f>IF(ISBLANK(F$143),"",COUNTIF(F$2:F$140,"&gt;"&amp;TEXT(F$143,"0,00")))</f>
        <v>5</v>
      </c>
      <c r="G148" s="131" t="str">
        <f>IF(ISBLANK(G$143),"",COUNTIF(G$2:G$140,"&gt;"&amp;TEXT(G$143,"0")))</f>
        <v/>
      </c>
      <c r="H148" s="129" t="str">
        <f>IF(ISBLANK(H$143),"",COUNTIF(H$2:H$140,"&gt;"&amp;TEXT(H$143,"0")))</f>
        <v/>
      </c>
      <c r="I148" s="129" t="str">
        <f>IF(ISBLANK(I$143),"",COUNTIF(I$2:I$140,"&gt;"&amp;TEXT(I$143,"0")))</f>
        <v/>
      </c>
      <c r="J148" s="129" t="str">
        <f>IF(ISBLANK(J$143),"",COUNTIF(J$2:J$140,"&gt;"&amp;TEXT(J$143,"0")))</f>
        <v/>
      </c>
    </row>
    <row r="149" spans="1:10">
      <c r="A149" s="128"/>
      <c r="B149" s="158" t="s">
        <v>1262</v>
      </c>
      <c r="C149" s="353">
        <f>IF(ISBLANK(C$143),"",SUMIF(C$2:C$140,"&gt;"&amp;TEXT(C$143,"0,00")))</f>
        <v>0.17499999999999999</v>
      </c>
      <c r="D149" s="353">
        <f>IF(ISBLANK(D$143),"",SUMIF(D$2:D$140,"&gt;"&amp;TEXT(D$143,"0,00")))</f>
        <v>30.6</v>
      </c>
      <c r="E149" s="353">
        <f>IF(ISBLANK(E$143),"",SUMIF(E$2:E$140,"&gt;"&amp;TEXT(E$143,"0,00")))</f>
        <v>53.5</v>
      </c>
      <c r="F149" s="353">
        <f>IF(ISBLANK(F$143),"",SUMIF(F$2:F$140,"&gt;"&amp;TEXT(F$143,"0,00")))</f>
        <v>217</v>
      </c>
      <c r="G149" s="132" t="str">
        <f>IF(ISBLANK(G$143),"",SUMIF(G$2:G$140,"&gt;"&amp;TEXT(G$143,"0")))</f>
        <v/>
      </c>
      <c r="H149" s="130" t="str">
        <f>IF(ISBLANK(H$143),"",SUMIF(H$2:H$140,"&gt;"&amp;TEXT(H$143,"0")))</f>
        <v/>
      </c>
      <c r="I149" s="130" t="str">
        <f>IF(ISBLANK(I$143),"",SUMIF(I$2:I$140,"&gt;"&amp;TEXT(I$143,"0")))</f>
        <v/>
      </c>
      <c r="J149" s="130" t="str">
        <f>IF(ISBLANK(J$143),"",SUMIF(J$2:J$140,"&gt;"&amp;TEXT(J$143,"0")))</f>
        <v/>
      </c>
    </row>
    <row r="150" spans="1:10">
      <c r="A150" s="43"/>
      <c r="B150" s="163" t="s">
        <v>1265</v>
      </c>
      <c r="C150" s="179">
        <f t="shared" ref="C150:J150" si="2">IF(OR(ISBLANK(C$143),C$142=0),"",ROUND(C141/C143,1))</f>
        <v>53</v>
      </c>
      <c r="D150" s="179">
        <f t="shared" si="2"/>
        <v>52.9</v>
      </c>
      <c r="E150" s="179">
        <f t="shared" si="2"/>
        <v>46.4</v>
      </c>
      <c r="F150" s="179">
        <f t="shared" si="2"/>
        <v>59.7</v>
      </c>
      <c r="G150" s="179" t="str">
        <f t="shared" si="2"/>
        <v/>
      </c>
      <c r="H150" s="179" t="str">
        <f t="shared" si="2"/>
        <v/>
      </c>
      <c r="I150" s="179" t="str">
        <f t="shared" si="2"/>
        <v/>
      </c>
      <c r="J150" s="179" t="str">
        <f t="shared" si="2"/>
        <v/>
      </c>
    </row>
    <row r="151" spans="1:10">
      <c r="B151" s="620" t="s">
        <v>3</v>
      </c>
      <c r="C151" s="621">
        <v>42917</v>
      </c>
      <c r="D151" s="621">
        <v>43221</v>
      </c>
      <c r="E151" s="621">
        <v>43282</v>
      </c>
      <c r="F151" s="621">
        <v>43374</v>
      </c>
      <c r="G151" s="621"/>
      <c r="H151" s="621"/>
      <c r="I151" s="621"/>
      <c r="J151" s="621"/>
    </row>
    <row r="152" spans="1:10">
      <c r="B152" s="620" t="s">
        <v>1266</v>
      </c>
      <c r="C152" s="622">
        <f>IF(VLOOKUP(C151,CUOTAS!$A$3:$E$67,1)=C151,VLOOKUP(C151,CUOTAS!$A$3:$E$67,5),1)</f>
        <v>19938.2</v>
      </c>
      <c r="D152" s="622">
        <f>IF(VLOOKUP(D151,CUOTAS!$A$3:$E$67,1)=D151,VLOOKUP(D151,CUOTAS!$A$3:$E$67,5),1)</f>
        <v>942481</v>
      </c>
      <c r="E152" s="622">
        <f>IF(VLOOKUP(E151,CUOTAS!$A$3:$E$67,1)=E151,VLOOKUP(E151,CUOTAS!$A$3:$E$67,5),1)</f>
        <v>3362789.7</v>
      </c>
      <c r="F152" s="622">
        <f>IF(VLOOKUP(F151,CUOTAS!$A$3:$E$67,1)=F151,VLOOKUP(F151,CUOTAS!$A$3:$E$67,5),1)</f>
        <v>25355573.699999999</v>
      </c>
      <c r="G152" s="622" t="e">
        <f>IF(VLOOKUP(G151,CUOTAS!$A$3:$E$67,1)=G151,VLOOKUP(G151,CUOTAS!$A$3:$E$67,5),1)</f>
        <v>#N/A</v>
      </c>
      <c r="H152" s="622" t="e">
        <f>IF(VLOOKUP(H151,CUOTAS!$A$3:$E$67,1)=H151,VLOOKUP(H151,CUOTAS!$A$3:$E$67,5),1)</f>
        <v>#N/A</v>
      </c>
      <c r="I152" s="622" t="e">
        <f>IF(VLOOKUP(I151,CUOTAS!$A$3:$E$67,1)=I151,VLOOKUP(I151,CUOTAS!$A$3:$E$67,5),1)</f>
        <v>#N/A</v>
      </c>
      <c r="J152" s="622" t="e">
        <f>IF(VLOOKUP(J151,CUOTAS!$A$3:$E$67,1)=J151,VLOOKUP(J151,CUOTAS!$A$3:$E$67,5),1)</f>
        <v>#N/A</v>
      </c>
    </row>
    <row r="153" spans="1:10">
      <c r="B153" s="620" t="s">
        <v>1267</v>
      </c>
      <c r="C153" s="322">
        <f>(CUOTAS!$I$1-'RESUMEN OTROS'!C152)/'RESUMEN OTROS'!C152*'RESUMEN OTROS'!C143</f>
        <v>37607.855951590413</v>
      </c>
      <c r="D153" s="322">
        <f>(CUOTAS!$I$1-'RESUMEN OTROS'!D152)/'RESUMEN OTROS'!D152*'RESUMEN OTROS'!D143</f>
        <v>39776.312495318212</v>
      </c>
      <c r="E153" s="322">
        <f>(CUOTAS!$I$1-'RESUMEN OTROS'!E152)/'RESUMEN OTROS'!E152*'RESUMEN OTROS'!E143</f>
        <v>38850.002756146176</v>
      </c>
      <c r="F153" s="322">
        <f>(CUOTAS!$I$1-'RESUMEN OTROS'!F152)/'RESUMEN OTROS'!F152*'RESUMEN OTROS'!F143</f>
        <v>4214.680301514928</v>
      </c>
      <c r="G153" s="322">
        <f>IFERROR((CUOTAS!$I$1-'RESUMEN OTROS'!G152)/'RESUMEN OTROS'!G152,1)*'RESUMEN OTROS'!G143</f>
        <v>0</v>
      </c>
      <c r="H153" s="322">
        <f>IFERROR((CUOTAS!$I$1-'RESUMEN OTROS'!H152)/'RESUMEN OTROS'!H152,1)*'RESUMEN OTROS'!H143</f>
        <v>0</v>
      </c>
      <c r="I153" s="322">
        <f>IFERROR((CUOTAS!$I$1-'RESUMEN OTROS'!I152)/'RESUMEN OTROS'!I152,1)*'RESUMEN OTROS'!I143</f>
        <v>0</v>
      </c>
      <c r="J153" s="322">
        <f>IFERROR((CUOTAS!$I$1-'RESUMEN OTROS'!J152)/'RESUMEN OTROS'!J152,1)*'RESUMEN OTROS'!J143</f>
        <v>0</v>
      </c>
    </row>
  </sheetData>
  <autoFilter ref="A1:J150" xr:uid="{00000000-0009-0000-0000-000007000000}"/>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10"/>
  <dimension ref="B1:R29"/>
  <sheetViews>
    <sheetView showGridLines="0" zoomScaleNormal="150" zoomScaleSheetLayoutView="100" workbookViewId="0">
      <selection activeCell="A3" sqref="A3"/>
    </sheetView>
  </sheetViews>
  <sheetFormatPr defaultColWidth="9.140625" defaultRowHeight="15"/>
  <cols>
    <col min="1" max="2" width="1.7109375" customWidth="1"/>
    <col min="3" max="3" width="20.7109375" customWidth="1"/>
    <col min="5" max="5" width="12.7109375" customWidth="1"/>
    <col min="6" max="6" width="1.7109375" customWidth="1"/>
    <col min="8" max="8" width="1.7109375" customWidth="1"/>
    <col min="9" max="9" width="20.7109375" customWidth="1"/>
    <col min="11" max="11" width="12.7109375" customWidth="1"/>
    <col min="12" max="12" width="1.7109375" customWidth="1"/>
    <col min="14" max="14" width="1.7109375" customWidth="1"/>
    <col min="15" max="15" width="20.7109375" customWidth="1"/>
    <col min="17" max="17" width="12.7109375" customWidth="1"/>
    <col min="18" max="18" width="1.7109375" customWidth="1"/>
  </cols>
  <sheetData>
    <row r="1" spans="2:18" ht="23.25">
      <c r="B1" s="147" t="s">
        <v>1268</v>
      </c>
    </row>
    <row r="2" spans="2:18" s="148" customFormat="1" ht="8.1" customHeight="1"/>
    <row r="3" spans="2:18" ht="8.1" customHeight="1">
      <c r="B3" s="133"/>
      <c r="C3" s="134"/>
      <c r="D3" s="134"/>
      <c r="E3" s="134"/>
      <c r="F3" s="135"/>
      <c r="H3" s="133"/>
      <c r="I3" s="134"/>
      <c r="J3" s="134"/>
      <c r="K3" s="134"/>
      <c r="L3" s="135"/>
      <c r="N3" s="133"/>
      <c r="O3" s="134"/>
      <c r="P3" s="134"/>
      <c r="Q3" s="134"/>
      <c r="R3" s="135"/>
    </row>
    <row r="4" spans="2:18" s="144" customFormat="1">
      <c r="B4" s="145"/>
      <c r="C4" s="665" t="s">
        <v>1269</v>
      </c>
      <c r="D4" s="665"/>
      <c r="E4" s="665"/>
      <c r="F4" s="146"/>
      <c r="H4" s="145"/>
      <c r="I4" s="665" t="s">
        <v>1270</v>
      </c>
      <c r="J4" s="665"/>
      <c r="K4" s="665"/>
      <c r="L4" s="146"/>
      <c r="N4" s="145"/>
      <c r="O4" s="665" t="s">
        <v>1271</v>
      </c>
      <c r="P4" s="665"/>
      <c r="Q4" s="665"/>
      <c r="R4" s="146"/>
    </row>
    <row r="5" spans="2:18" s="151" customFormat="1" ht="20.100000000000001" customHeight="1">
      <c r="B5" s="149"/>
      <c r="C5" s="345" t="s">
        <v>1272</v>
      </c>
      <c r="D5" s="664" t="str">
        <f>"Cuota: Bs. "&amp;TEXT('RESUMEN OTROS'!D$143,"#.##0,00")</f>
        <v>Cuota: Bs. 3,50</v>
      </c>
      <c r="E5" s="664"/>
      <c r="F5" s="150"/>
      <c r="H5" s="149"/>
      <c r="I5" s="345" t="s">
        <v>1273</v>
      </c>
      <c r="J5" s="664" t="str">
        <f>"Cuota: Bs. "&amp;TEXT('RESUMEN OTROS'!E$143,"#.##0,00")</f>
        <v>Cuota: Bs. 12,20</v>
      </c>
      <c r="K5" s="664"/>
      <c r="L5" s="150"/>
      <c r="N5" s="149"/>
      <c r="O5" s="345" t="s">
        <v>1274</v>
      </c>
      <c r="P5" s="664" t="str">
        <f>"Cuota: Bs. "&amp;TEXT('RESUMEN OTROS'!F143,"#.##0,00")</f>
        <v>Cuota: Bs. 10,00</v>
      </c>
      <c r="Q5" s="664"/>
      <c r="R5" s="150"/>
    </row>
    <row r="6" spans="2:18">
      <c r="B6" s="136"/>
      <c r="C6" s="137" t="s">
        <v>1275</v>
      </c>
      <c r="D6" s="138"/>
      <c r="E6" s="138"/>
      <c r="F6" s="139"/>
      <c r="H6" s="136"/>
      <c r="I6" s="137" t="s">
        <v>1275</v>
      </c>
      <c r="J6" s="138"/>
      <c r="K6" s="138"/>
      <c r="L6" s="139"/>
      <c r="N6" s="136"/>
      <c r="O6" s="137" t="s">
        <v>1275</v>
      </c>
      <c r="P6" s="138"/>
      <c r="Q6" s="138"/>
      <c r="R6" s="139"/>
    </row>
    <row r="7" spans="2:18">
      <c r="B7" s="136"/>
      <c r="C7" s="138" t="str">
        <f>" - "&amp;TEXT('RESUMEN OTROS'!D144,"0")&amp;" pagos inferiores a la cuota"</f>
        <v xml:space="preserve"> - 2 pagos inferiores a la cuota</v>
      </c>
      <c r="D7" s="138"/>
      <c r="E7" s="311">
        <f>'RESUMEN OTROS'!D145</f>
        <v>4</v>
      </c>
      <c r="F7" s="139"/>
      <c r="H7" s="136"/>
      <c r="I7" s="138" t="str">
        <f>" - "&amp;TEXT('RESUMEN OTROS'!E144,"0")&amp;" pagos inferiores a la cuota"</f>
        <v xml:space="preserve"> - 6 pagos inferiores a la cuota</v>
      </c>
      <c r="J7" s="138"/>
      <c r="K7" s="311">
        <f>'RESUMEN OTROS'!E145</f>
        <v>61.5</v>
      </c>
      <c r="L7" s="139"/>
      <c r="N7" s="136"/>
      <c r="O7" s="138" t="str">
        <f>" - "&amp;TEXT('RESUMEN OTROS'!F144,"0")&amp;" pagos inferiores a la cuota"</f>
        <v xml:space="preserve"> - 0 pagos inferiores a la cuota</v>
      </c>
      <c r="P7" s="138"/>
      <c r="Q7" s="311">
        <f>'RESUMEN OTROS'!F145</f>
        <v>0</v>
      </c>
      <c r="R7" s="139"/>
    </row>
    <row r="8" spans="2:18">
      <c r="B8" s="136"/>
      <c r="C8" s="138" t="str">
        <f>" - "&amp;TEXT('RESUMEN OTROS'!D146,"0")&amp;" cuotas recibidas"</f>
        <v xml:space="preserve"> - 43 cuotas recibidas</v>
      </c>
      <c r="D8" s="138"/>
      <c r="E8" s="311">
        <f>'RESUMEN OTROS'!D147</f>
        <v>150.5</v>
      </c>
      <c r="F8" s="139"/>
      <c r="H8" s="136"/>
      <c r="I8" s="138" t="str">
        <f>" - "&amp;TEXT('RESUMEN OTROS'!E146,"0")&amp;" cuotas recibidas"</f>
        <v xml:space="preserve"> - 37 cuotas recibidas</v>
      </c>
      <c r="J8" s="138"/>
      <c r="K8" s="311">
        <f>'RESUMEN OTROS'!E147</f>
        <v>451.39999999999975</v>
      </c>
      <c r="L8" s="139"/>
      <c r="N8" s="136"/>
      <c r="O8" s="138" t="str">
        <f>" - "&amp;TEXT('RESUMEN OTROS'!F146,"0")&amp;" cuotas recibidas"</f>
        <v xml:space="preserve"> - 38 cuotas recibidas</v>
      </c>
      <c r="P8" s="138"/>
      <c r="Q8" s="311">
        <f>'RESUMEN OTROS'!F147</f>
        <v>380</v>
      </c>
      <c r="R8" s="139"/>
    </row>
    <row r="9" spans="2:18">
      <c r="B9" s="136"/>
      <c r="C9" s="138" t="str">
        <f>" - "&amp;TEXT('RESUMEN OTROS'!D148,"0")&amp;" pagos superiores a la cuota"</f>
        <v xml:space="preserve"> - 7 pagos superiores a la cuota</v>
      </c>
      <c r="D9" s="138"/>
      <c r="E9" s="312">
        <f>'RESUMEN OTROS'!D149</f>
        <v>30.6</v>
      </c>
      <c r="F9" s="139"/>
      <c r="H9" s="136"/>
      <c r="I9" s="138" t="str">
        <f>" - "&amp;TEXT('RESUMEN OTROS'!E148,"0")&amp;" pagos superiores a la cuota"</f>
        <v xml:space="preserve"> - 4 pagos superiores a la cuota</v>
      </c>
      <c r="J9" s="138"/>
      <c r="K9" s="312">
        <f>'RESUMEN OTROS'!E149</f>
        <v>53.5</v>
      </c>
      <c r="L9" s="139"/>
      <c r="N9" s="136"/>
      <c r="O9" s="138" t="str">
        <f>" - "&amp;TEXT('RESUMEN OTROS'!F148,"0")&amp;" pagos superiores a la cuota"</f>
        <v xml:space="preserve"> - 5 pagos superiores a la cuota</v>
      </c>
      <c r="P9" s="138"/>
      <c r="Q9" s="312">
        <f>'RESUMEN OTROS'!F149</f>
        <v>217</v>
      </c>
      <c r="R9" s="139"/>
    </row>
    <row r="10" spans="2:18">
      <c r="B10" s="136"/>
      <c r="C10" s="138" t="s">
        <v>1276</v>
      </c>
      <c r="D10" s="138"/>
      <c r="E10" s="311">
        <f>SUM(E7:E9)</f>
        <v>185.1</v>
      </c>
      <c r="F10" s="139"/>
      <c r="H10" s="136"/>
      <c r="I10" s="138" t="s">
        <v>1276</v>
      </c>
      <c r="J10" s="138"/>
      <c r="K10" s="311">
        <f>SUM(K7:K9)</f>
        <v>566.39999999999975</v>
      </c>
      <c r="L10" s="139"/>
      <c r="N10" s="136"/>
      <c r="O10" s="138" t="s">
        <v>1276</v>
      </c>
      <c r="P10" s="138"/>
      <c r="Q10" s="311">
        <f>SUM(Q7:Q9)</f>
        <v>597</v>
      </c>
      <c r="R10" s="139"/>
    </row>
    <row r="11" spans="2:18">
      <c r="B11" s="136"/>
      <c r="C11" s="138"/>
      <c r="D11" s="138"/>
      <c r="E11" s="311"/>
      <c r="F11" s="139"/>
      <c r="H11" s="136"/>
      <c r="I11" s="138"/>
      <c r="J11" s="138"/>
      <c r="K11" s="311"/>
      <c r="L11" s="139"/>
      <c r="N11" s="136"/>
      <c r="O11" s="138"/>
      <c r="P11" s="138"/>
      <c r="Q11" s="311"/>
      <c r="R11" s="139"/>
    </row>
    <row r="12" spans="2:18">
      <c r="B12" s="136"/>
      <c r="C12" s="137" t="s">
        <v>1277</v>
      </c>
      <c r="D12" s="138"/>
      <c r="E12" s="311"/>
      <c r="F12" s="139"/>
      <c r="H12" s="136"/>
      <c r="I12" s="137" t="s">
        <v>1277</v>
      </c>
      <c r="J12" s="138"/>
      <c r="K12" s="311"/>
      <c r="L12" s="139"/>
      <c r="N12" s="136"/>
      <c r="O12" s="137" t="s">
        <v>1277</v>
      </c>
      <c r="P12" s="138"/>
      <c r="Q12" s="311"/>
      <c r="R12" s="139"/>
    </row>
    <row r="13" spans="2:18">
      <c r="B13" s="136"/>
      <c r="C13" s="138" t="s">
        <v>1278</v>
      </c>
      <c r="D13" s="138"/>
      <c r="E13" s="311">
        <v>70</v>
      </c>
      <c r="F13" s="139"/>
      <c r="H13" s="136"/>
      <c r="I13" s="138" t="s">
        <v>1279</v>
      </c>
      <c r="J13" s="138"/>
      <c r="K13" s="311">
        <v>60</v>
      </c>
      <c r="L13" s="139"/>
      <c r="N13" s="136"/>
      <c r="O13" s="138" t="s">
        <v>1279</v>
      </c>
      <c r="P13" s="138"/>
      <c r="Q13" s="311">
        <v>300</v>
      </c>
      <c r="R13" s="139"/>
    </row>
    <row r="14" spans="2:18">
      <c r="B14" s="136"/>
      <c r="C14" s="138" t="s">
        <v>1280</v>
      </c>
      <c r="D14" s="138"/>
      <c r="E14" s="311">
        <v>15.1</v>
      </c>
      <c r="F14" s="139"/>
      <c r="H14" s="136"/>
      <c r="I14" s="138" t="s">
        <v>1281</v>
      </c>
      <c r="J14" s="138"/>
      <c r="K14" s="311">
        <v>560</v>
      </c>
      <c r="L14" s="139"/>
      <c r="N14" s="136"/>
      <c r="O14" s="138"/>
      <c r="P14" s="138"/>
      <c r="Q14" s="311"/>
      <c r="R14" s="139"/>
    </row>
    <row r="15" spans="2:18">
      <c r="B15" s="136"/>
      <c r="C15" s="138" t="s">
        <v>1282</v>
      </c>
      <c r="D15" s="138"/>
      <c r="E15" s="311">
        <v>19</v>
      </c>
      <c r="F15" s="139"/>
      <c r="H15" s="136"/>
      <c r="I15" s="138"/>
      <c r="J15" s="138"/>
      <c r="K15" s="311"/>
      <c r="L15" s="139"/>
      <c r="N15" s="136"/>
      <c r="O15" s="138"/>
      <c r="P15" s="138"/>
      <c r="Q15" s="311"/>
      <c r="R15" s="139"/>
    </row>
    <row r="16" spans="2:18">
      <c r="B16" s="136"/>
      <c r="C16" s="138" t="s">
        <v>1283</v>
      </c>
      <c r="D16" s="138"/>
      <c r="E16" s="311">
        <v>30</v>
      </c>
      <c r="F16" s="139"/>
      <c r="H16" s="136"/>
      <c r="I16" s="138"/>
      <c r="J16" s="138"/>
      <c r="K16" s="311"/>
      <c r="L16" s="139"/>
      <c r="N16" s="136"/>
      <c r="O16" s="138"/>
      <c r="P16" s="138"/>
      <c r="Q16" s="311"/>
      <c r="R16" s="139"/>
    </row>
    <row r="17" spans="2:18">
      <c r="B17" s="136"/>
      <c r="C17" s="138" t="s">
        <v>1284</v>
      </c>
      <c r="D17" s="138"/>
      <c r="E17" s="311">
        <v>5.7</v>
      </c>
      <c r="F17" s="139"/>
      <c r="H17" s="136"/>
      <c r="I17" s="138"/>
      <c r="J17" s="138"/>
      <c r="K17" s="311"/>
      <c r="L17" s="139"/>
      <c r="N17" s="136"/>
      <c r="O17" s="138"/>
      <c r="P17" s="138"/>
      <c r="Q17" s="311"/>
      <c r="R17" s="139"/>
    </row>
    <row r="18" spans="2:18">
      <c r="B18" s="136"/>
      <c r="C18" s="138" t="s">
        <v>1285</v>
      </c>
      <c r="D18" s="138"/>
      <c r="E18" s="312">
        <v>4.2</v>
      </c>
      <c r="F18" s="139"/>
      <c r="H18" s="136"/>
      <c r="I18" s="138"/>
      <c r="J18" s="138"/>
      <c r="K18" s="312"/>
      <c r="L18" s="139"/>
      <c r="N18" s="136"/>
      <c r="O18" s="138"/>
      <c r="P18" s="138"/>
      <c r="Q18" s="312"/>
      <c r="R18" s="139"/>
    </row>
    <row r="19" spans="2:18">
      <c r="B19" s="136"/>
      <c r="C19" s="138" t="s">
        <v>1286</v>
      </c>
      <c r="D19" s="138"/>
      <c r="E19" s="311">
        <f>SUM(E13:E18)</f>
        <v>143.99999999999997</v>
      </c>
      <c r="F19" s="139"/>
      <c r="H19" s="136"/>
      <c r="I19" s="138" t="s">
        <v>1286</v>
      </c>
      <c r="J19" s="138"/>
      <c r="K19" s="311">
        <f>SUM(K13:K18)</f>
        <v>620</v>
      </c>
      <c r="L19" s="139"/>
      <c r="N19" s="136"/>
      <c r="O19" s="138" t="s">
        <v>1286</v>
      </c>
      <c r="P19" s="138"/>
      <c r="Q19" s="311">
        <f>SUM(Q13:Q18)</f>
        <v>300</v>
      </c>
      <c r="R19" s="139"/>
    </row>
    <row r="20" spans="2:18">
      <c r="B20" s="136"/>
      <c r="C20" s="138"/>
      <c r="D20" s="138"/>
      <c r="E20" s="311"/>
      <c r="F20" s="139"/>
      <c r="H20" s="136"/>
      <c r="I20" s="138"/>
      <c r="J20" s="138"/>
      <c r="K20" s="311"/>
      <c r="L20" s="139"/>
      <c r="N20" s="136"/>
      <c r="O20" s="138"/>
      <c r="P20" s="138"/>
      <c r="Q20" s="311"/>
      <c r="R20" s="139"/>
    </row>
    <row r="21" spans="2:18">
      <c r="B21" s="136"/>
      <c r="C21" s="137" t="s">
        <v>1287</v>
      </c>
      <c r="D21" s="138"/>
      <c r="E21" s="344">
        <f>E10-E19</f>
        <v>41.100000000000023</v>
      </c>
      <c r="F21" s="139"/>
      <c r="H21" s="136"/>
      <c r="I21" s="137" t="s">
        <v>1287</v>
      </c>
      <c r="J21" s="138"/>
      <c r="K21" s="344">
        <f>K10-K19</f>
        <v>-53.60000000000025</v>
      </c>
      <c r="L21" s="139"/>
      <c r="N21" s="136"/>
      <c r="O21" s="137" t="s">
        <v>1287</v>
      </c>
      <c r="P21" s="138"/>
      <c r="Q21" s="344">
        <f>Q10-Q19</f>
        <v>297</v>
      </c>
      <c r="R21" s="139"/>
    </row>
    <row r="22" spans="2:18">
      <c r="B22" s="136"/>
      <c r="C22" s="138"/>
      <c r="D22" s="138"/>
      <c r="E22" s="138"/>
      <c r="F22" s="139"/>
      <c r="H22" s="136"/>
      <c r="I22" s="138"/>
      <c r="J22" s="138"/>
      <c r="K22" s="138"/>
      <c r="L22" s="139"/>
      <c r="N22" s="136"/>
      <c r="O22" s="138"/>
      <c r="P22" s="138"/>
      <c r="Q22" s="138"/>
      <c r="R22" s="139"/>
    </row>
    <row r="23" spans="2:18">
      <c r="B23" s="136"/>
      <c r="C23" s="137" t="s">
        <v>1288</v>
      </c>
      <c r="D23" s="138"/>
      <c r="E23" s="138"/>
      <c r="F23" s="139"/>
      <c r="H23" s="136"/>
      <c r="I23" s="137" t="s">
        <v>1288</v>
      </c>
      <c r="J23" s="138"/>
      <c r="K23" s="138"/>
      <c r="L23" s="139"/>
      <c r="N23" s="136"/>
      <c r="O23" s="137" t="s">
        <v>1288</v>
      </c>
      <c r="P23" s="138"/>
      <c r="Q23" s="138"/>
      <c r="R23" s="139"/>
    </row>
    <row r="24" spans="2:18">
      <c r="B24" s="136"/>
      <c r="C24" s="138" t="s">
        <v>1289</v>
      </c>
      <c r="D24" s="138"/>
      <c r="E24" s="138"/>
      <c r="F24" s="139"/>
      <c r="H24" s="136"/>
      <c r="I24" s="143"/>
      <c r="J24" s="143"/>
      <c r="K24" s="143"/>
      <c r="L24" s="139"/>
      <c r="N24" s="136"/>
      <c r="O24" s="143"/>
      <c r="P24" s="143"/>
      <c r="Q24" s="143"/>
      <c r="R24" s="139"/>
    </row>
    <row r="25" spans="2:18">
      <c r="B25" s="136"/>
      <c r="C25" s="138" t="s">
        <v>1290</v>
      </c>
      <c r="D25" s="138"/>
      <c r="E25" s="138"/>
      <c r="F25" s="139"/>
      <c r="H25" s="136"/>
      <c r="I25" s="143"/>
      <c r="J25" s="143"/>
      <c r="K25" s="143"/>
      <c r="L25" s="139"/>
      <c r="N25" s="136"/>
      <c r="O25" s="143"/>
      <c r="P25" s="143"/>
      <c r="Q25" s="143"/>
      <c r="R25" s="139"/>
    </row>
    <row r="26" spans="2:18">
      <c r="B26" s="136"/>
      <c r="C26" s="138" t="s">
        <v>1291</v>
      </c>
      <c r="D26" s="138"/>
      <c r="E26" s="138"/>
      <c r="F26" s="139"/>
      <c r="H26" s="136"/>
      <c r="I26" s="143"/>
      <c r="J26" s="143"/>
      <c r="K26" s="143"/>
      <c r="L26" s="139"/>
      <c r="N26" s="136"/>
      <c r="O26" s="143"/>
      <c r="P26" s="143"/>
      <c r="Q26" s="143"/>
      <c r="R26" s="139"/>
    </row>
    <row r="27" spans="2:18">
      <c r="B27" s="136"/>
      <c r="C27" s="138" t="s">
        <v>1292</v>
      </c>
      <c r="D27" s="138"/>
      <c r="E27" s="138"/>
      <c r="F27" s="139"/>
      <c r="H27" s="136"/>
      <c r="I27" s="143"/>
      <c r="J27" s="143"/>
      <c r="K27" s="143"/>
      <c r="L27" s="139"/>
      <c r="N27" s="136"/>
      <c r="O27" s="143"/>
      <c r="P27" s="143"/>
      <c r="Q27" s="143"/>
      <c r="R27" s="139"/>
    </row>
    <row r="28" spans="2:18">
      <c r="B28" s="136"/>
      <c r="C28" s="138" t="s">
        <v>1293</v>
      </c>
      <c r="D28" s="138"/>
      <c r="E28" s="138"/>
      <c r="F28" s="139"/>
      <c r="H28" s="136"/>
      <c r="I28" s="143"/>
      <c r="J28" s="143"/>
      <c r="K28" s="143"/>
      <c r="L28" s="139"/>
      <c r="N28" s="136"/>
      <c r="O28" s="143"/>
      <c r="P28" s="143"/>
      <c r="Q28" s="143"/>
      <c r="R28" s="139"/>
    </row>
    <row r="29" spans="2:18">
      <c r="B29" s="140"/>
      <c r="C29" s="141"/>
      <c r="D29" s="141"/>
      <c r="E29" s="141"/>
      <c r="F29" s="142"/>
      <c r="H29" s="140"/>
      <c r="I29" s="141"/>
      <c r="J29" s="141"/>
      <c r="K29" s="141"/>
      <c r="L29" s="142"/>
      <c r="N29" s="140"/>
      <c r="O29" s="141"/>
      <c r="P29" s="141"/>
      <c r="Q29" s="141"/>
      <c r="R29" s="142"/>
    </row>
  </sheetData>
  <mergeCells count="6">
    <mergeCell ref="J5:K5"/>
    <mergeCell ref="D5:E5"/>
    <mergeCell ref="P5:Q5"/>
    <mergeCell ref="O4:Q4"/>
    <mergeCell ref="I4:K4"/>
    <mergeCell ref="C4:E4"/>
  </mergeCells>
  <pageMargins left="0" right="0" top="0" bottom="0" header="0" footer="0"/>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2"/>
  <dimension ref="A1:J140"/>
  <sheetViews>
    <sheetView zoomScale="96" zoomScaleNormal="96" workbookViewId="0">
      <pane ySplit="1" topLeftCell="A27" activePane="bottomLeft" state="frozen"/>
      <selection pane="bottomLeft" activeCell="A14" sqref="A14"/>
      <selection activeCell="A14" sqref="A14"/>
    </sheetView>
  </sheetViews>
  <sheetFormatPr defaultColWidth="10.7109375" defaultRowHeight="15"/>
  <cols>
    <col min="1" max="1" width="27.5703125" bestFit="1" customWidth="1"/>
    <col min="2" max="3" width="25.7109375" customWidth="1"/>
    <col min="4" max="4" width="14.7109375" style="522" customWidth="1"/>
    <col min="5" max="5" width="14.7109375" customWidth="1"/>
    <col min="6" max="6" width="20.7109375" customWidth="1"/>
    <col min="7" max="7" width="15.7109375" customWidth="1"/>
    <col min="8" max="8" width="20.7109375" customWidth="1"/>
    <col min="9" max="9" width="15.7109375" customWidth="1"/>
  </cols>
  <sheetData>
    <row r="1" spans="1:9">
      <c r="A1" s="628" t="s">
        <v>5</v>
      </c>
      <c r="B1" s="628" t="s">
        <v>1294</v>
      </c>
      <c r="C1" s="628" t="s">
        <v>7</v>
      </c>
      <c r="D1" s="628" t="s">
        <v>1295</v>
      </c>
      <c r="E1" s="628" t="s">
        <v>1296</v>
      </c>
      <c r="F1" s="628" t="s">
        <v>1297</v>
      </c>
      <c r="G1" s="628" t="s">
        <v>1298</v>
      </c>
      <c r="H1" s="628" t="s">
        <v>1299</v>
      </c>
      <c r="I1" s="628" t="s">
        <v>1300</v>
      </c>
    </row>
    <row r="2" spans="1:9">
      <c r="A2" s="53" t="s">
        <v>248</v>
      </c>
      <c r="B2" s="53" t="s">
        <v>249</v>
      </c>
      <c r="C2" s="53" t="s">
        <v>250</v>
      </c>
      <c r="D2" s="514"/>
      <c r="E2" s="53"/>
      <c r="F2" s="53"/>
      <c r="G2" s="53" t="s">
        <v>1301</v>
      </c>
      <c r="H2" s="53"/>
      <c r="I2" s="53" t="s">
        <v>1302</v>
      </c>
    </row>
    <row r="3" spans="1:9">
      <c r="A3" s="53" t="s">
        <v>270</v>
      </c>
      <c r="B3" s="53" t="s">
        <v>271</v>
      </c>
      <c r="C3" s="53" t="s">
        <v>272</v>
      </c>
      <c r="D3" s="514"/>
      <c r="E3" s="53"/>
      <c r="F3" s="53"/>
      <c r="G3" s="53"/>
      <c r="H3" s="53"/>
      <c r="I3" s="53"/>
    </row>
    <row r="4" spans="1:9">
      <c r="A4" s="53" t="s">
        <v>197</v>
      </c>
      <c r="B4" s="53" t="s">
        <v>198</v>
      </c>
      <c r="C4" s="53" t="s">
        <v>199</v>
      </c>
      <c r="D4" s="514"/>
      <c r="E4" s="53"/>
      <c r="F4" s="53" t="s">
        <v>1303</v>
      </c>
      <c r="G4" s="53" t="s">
        <v>1304</v>
      </c>
      <c r="H4" s="53"/>
      <c r="I4" s="53"/>
    </row>
    <row r="5" spans="1:9">
      <c r="A5" s="53" t="s">
        <v>998</v>
      </c>
      <c r="B5" s="53" t="s">
        <v>999</v>
      </c>
      <c r="C5" s="53" t="s">
        <v>1000</v>
      </c>
      <c r="D5" s="514" t="s">
        <v>1305</v>
      </c>
      <c r="E5" s="53"/>
      <c r="F5" s="53" t="s">
        <v>999</v>
      </c>
      <c r="G5" s="53" t="s">
        <v>1305</v>
      </c>
      <c r="H5" s="53"/>
      <c r="I5" s="53"/>
    </row>
    <row r="6" spans="1:9">
      <c r="A6" s="53" t="s">
        <v>337</v>
      </c>
      <c r="B6" s="53" t="s">
        <v>338</v>
      </c>
      <c r="C6" s="53" t="s">
        <v>339</v>
      </c>
      <c r="D6" s="514"/>
      <c r="E6" s="53"/>
      <c r="F6" s="53" t="s">
        <v>1306</v>
      </c>
      <c r="G6" s="53" t="s">
        <v>1307</v>
      </c>
      <c r="H6" s="53"/>
      <c r="I6" s="53"/>
    </row>
    <row r="7" spans="1:9">
      <c r="A7" s="53" t="s">
        <v>62</v>
      </c>
      <c r="B7" s="53" t="s">
        <v>63</v>
      </c>
      <c r="C7" s="53" t="s">
        <v>64</v>
      </c>
      <c r="D7" s="514"/>
      <c r="E7" s="53"/>
      <c r="F7" s="53" t="s">
        <v>1308</v>
      </c>
      <c r="G7" s="53" t="s">
        <v>1309</v>
      </c>
      <c r="H7" s="53" t="s">
        <v>1310</v>
      </c>
      <c r="I7" s="86" t="s">
        <v>1311</v>
      </c>
    </row>
    <row r="8" spans="1:9">
      <c r="A8" s="87" t="s">
        <v>94</v>
      </c>
      <c r="B8" s="53" t="s">
        <v>1312</v>
      </c>
      <c r="C8" s="53" t="s">
        <v>96</v>
      </c>
      <c r="D8" s="514"/>
      <c r="E8" s="53"/>
      <c r="F8" s="53" t="s">
        <v>1313</v>
      </c>
      <c r="G8" s="53" t="s">
        <v>607</v>
      </c>
      <c r="H8" s="53"/>
      <c r="I8" s="53"/>
    </row>
    <row r="9" spans="1:9">
      <c r="A9" s="53" t="s">
        <v>830</v>
      </c>
      <c r="B9" s="53" t="s">
        <v>831</v>
      </c>
      <c r="C9" s="53" t="s">
        <v>832</v>
      </c>
      <c r="D9" s="514"/>
      <c r="E9" s="53"/>
      <c r="F9" s="53"/>
      <c r="G9" s="53"/>
      <c r="H9" s="53"/>
      <c r="I9" s="53"/>
    </row>
    <row r="10" spans="1:9">
      <c r="A10" s="94" t="s">
        <v>57</v>
      </c>
      <c r="B10" s="94" t="s">
        <v>1314</v>
      </c>
      <c r="C10" s="94" t="s">
        <v>59</v>
      </c>
      <c r="D10" s="515"/>
      <c r="E10" s="94"/>
      <c r="F10" s="94" t="s">
        <v>1315</v>
      </c>
      <c r="G10" s="94" t="s">
        <v>1316</v>
      </c>
      <c r="H10" s="94"/>
      <c r="I10" s="94"/>
    </row>
    <row r="11" spans="1:9">
      <c r="A11" s="94" t="s">
        <v>892</v>
      </c>
      <c r="B11" s="94" t="s">
        <v>893</v>
      </c>
      <c r="C11" s="94" t="s">
        <v>59</v>
      </c>
      <c r="D11" s="515"/>
      <c r="E11" s="94"/>
      <c r="F11" s="94" t="s">
        <v>1315</v>
      </c>
      <c r="G11" s="94" t="s">
        <v>1316</v>
      </c>
      <c r="H11" s="94"/>
      <c r="I11" s="94"/>
    </row>
    <row r="12" spans="1:9">
      <c r="A12" s="53" t="s">
        <v>1015</v>
      </c>
      <c r="B12" s="53" t="s">
        <v>1016</v>
      </c>
      <c r="C12" s="53" t="s">
        <v>59</v>
      </c>
      <c r="D12" s="514"/>
      <c r="E12" s="53"/>
      <c r="F12" s="53" t="s">
        <v>1015</v>
      </c>
      <c r="G12" s="53" t="s">
        <v>1317</v>
      </c>
      <c r="H12" s="53"/>
      <c r="I12" s="53"/>
    </row>
    <row r="13" spans="1:9">
      <c r="A13" s="53" t="s">
        <v>438</v>
      </c>
      <c r="B13" s="53" t="s">
        <v>439</v>
      </c>
      <c r="C13" s="53" t="s">
        <v>440</v>
      </c>
      <c r="D13" s="514"/>
      <c r="E13" s="53"/>
      <c r="F13" s="53" t="s">
        <v>1318</v>
      </c>
      <c r="G13" s="53"/>
      <c r="H13" s="53"/>
      <c r="I13" s="88" t="s">
        <v>1319</v>
      </c>
    </row>
    <row r="14" spans="1:9">
      <c r="A14" s="53" t="s">
        <v>1320</v>
      </c>
      <c r="B14" s="53"/>
      <c r="C14" s="53" t="s">
        <v>1321</v>
      </c>
      <c r="D14" s="514"/>
      <c r="E14" s="53"/>
      <c r="F14" s="53"/>
      <c r="G14" s="53"/>
      <c r="H14" s="53"/>
      <c r="I14" s="53"/>
    </row>
    <row r="15" spans="1:9">
      <c r="A15" s="53" t="s">
        <v>1322</v>
      </c>
      <c r="B15" s="53"/>
      <c r="C15" s="53" t="s">
        <v>1323</v>
      </c>
      <c r="D15" s="514"/>
      <c r="E15" s="53"/>
      <c r="F15" s="53"/>
      <c r="G15" s="53"/>
      <c r="H15" s="53"/>
      <c r="I15" s="53"/>
    </row>
    <row r="16" spans="1:9">
      <c r="A16" s="87" t="s">
        <v>177</v>
      </c>
      <c r="B16" s="53" t="s">
        <v>941</v>
      </c>
      <c r="C16" s="53" t="s">
        <v>179</v>
      </c>
      <c r="D16" s="514"/>
      <c r="E16" s="53"/>
      <c r="F16" s="53" t="s">
        <v>1324</v>
      </c>
      <c r="G16" s="53" t="s">
        <v>1325</v>
      </c>
      <c r="H16" s="53" t="s">
        <v>178</v>
      </c>
      <c r="I16" s="53"/>
    </row>
    <row r="17" spans="1:9">
      <c r="A17" s="53" t="s">
        <v>264</v>
      </c>
      <c r="B17" s="53" t="s">
        <v>265</v>
      </c>
      <c r="C17" s="53" t="s">
        <v>266</v>
      </c>
      <c r="D17" s="514"/>
      <c r="E17" s="53"/>
      <c r="F17" s="53" t="s">
        <v>1326</v>
      </c>
      <c r="G17" s="53" t="s">
        <v>1327</v>
      </c>
      <c r="H17" s="53"/>
      <c r="I17" s="53"/>
    </row>
    <row r="18" spans="1:9">
      <c r="A18" s="53" t="s">
        <v>1328</v>
      </c>
      <c r="B18" s="53"/>
      <c r="C18" s="53" t="s">
        <v>1329</v>
      </c>
      <c r="D18" s="514"/>
      <c r="E18" s="53"/>
      <c r="F18" s="53"/>
      <c r="G18" s="53"/>
      <c r="H18" s="53"/>
      <c r="I18" s="53"/>
    </row>
    <row r="19" spans="1:9">
      <c r="A19" s="53" t="s">
        <v>1330</v>
      </c>
      <c r="B19" s="53" t="s">
        <v>1331</v>
      </c>
      <c r="C19" s="53" t="s">
        <v>1329</v>
      </c>
      <c r="D19" s="514"/>
      <c r="E19" s="53"/>
      <c r="F19" s="53"/>
      <c r="G19" s="53"/>
      <c r="H19" s="53"/>
      <c r="I19" s="53"/>
    </row>
    <row r="20" spans="1:9">
      <c r="A20" s="53" t="s">
        <v>334</v>
      </c>
      <c r="B20" s="53" t="s">
        <v>85</v>
      </c>
      <c r="C20" s="53" t="s">
        <v>335</v>
      </c>
      <c r="D20" s="514"/>
      <c r="E20" s="53"/>
      <c r="F20" s="53" t="s">
        <v>1332</v>
      </c>
      <c r="G20" s="53" t="s">
        <v>1333</v>
      </c>
      <c r="H20" s="53"/>
      <c r="I20" s="53"/>
    </row>
    <row r="21" spans="1:9">
      <c r="A21" s="89" t="s">
        <v>1334</v>
      </c>
      <c r="B21" s="89"/>
      <c r="C21" s="89" t="s">
        <v>1335</v>
      </c>
      <c r="D21" s="516"/>
      <c r="E21" s="89"/>
      <c r="F21" s="89"/>
      <c r="G21" s="89"/>
      <c r="H21" s="89"/>
      <c r="I21" s="89"/>
    </row>
    <row r="22" spans="1:9">
      <c r="A22" s="89" t="s">
        <v>1336</v>
      </c>
      <c r="B22" s="89"/>
      <c r="C22" s="89" t="s">
        <v>1337</v>
      </c>
      <c r="D22" s="516"/>
      <c r="E22" s="89"/>
      <c r="F22" s="89"/>
      <c r="G22" s="89"/>
      <c r="H22" s="89"/>
      <c r="I22" s="89"/>
    </row>
    <row r="23" spans="1:9">
      <c r="A23" s="89" t="s">
        <v>1338</v>
      </c>
      <c r="B23" s="89"/>
      <c r="C23" s="89" t="s">
        <v>1339</v>
      </c>
      <c r="D23" s="516"/>
      <c r="E23" s="89"/>
      <c r="F23" s="89"/>
      <c r="G23" s="89"/>
      <c r="H23" s="89"/>
      <c r="I23" s="89"/>
    </row>
    <row r="24" spans="1:9">
      <c r="A24" s="89" t="s">
        <v>1340</v>
      </c>
      <c r="B24" s="89"/>
      <c r="C24" s="89" t="s">
        <v>1341</v>
      </c>
      <c r="D24" s="516"/>
      <c r="E24" s="89"/>
      <c r="F24" s="89"/>
      <c r="G24" s="89"/>
      <c r="H24" s="89"/>
      <c r="I24" s="89"/>
    </row>
    <row r="25" spans="1:9">
      <c r="A25" s="89" t="s">
        <v>1342</v>
      </c>
      <c r="B25" s="89" t="s">
        <v>1343</v>
      </c>
      <c r="C25" s="89" t="s">
        <v>1344</v>
      </c>
      <c r="D25" s="516"/>
      <c r="E25" s="89"/>
      <c r="F25" s="89"/>
      <c r="G25" s="89"/>
      <c r="H25" s="89"/>
      <c r="I25" s="89"/>
    </row>
    <row r="26" spans="1:9">
      <c r="A26" s="89" t="s">
        <v>1345</v>
      </c>
      <c r="B26" s="89"/>
      <c r="C26" s="89" t="s">
        <v>1346</v>
      </c>
      <c r="D26" s="516"/>
      <c r="E26" s="89"/>
      <c r="F26" s="89"/>
      <c r="G26" s="89"/>
      <c r="H26" s="89"/>
      <c r="I26" s="89"/>
    </row>
    <row r="27" spans="1:9">
      <c r="A27" s="89" t="s">
        <v>1347</v>
      </c>
      <c r="B27" s="89"/>
      <c r="C27" s="89" t="s">
        <v>1348</v>
      </c>
      <c r="D27" s="516"/>
      <c r="E27" s="89"/>
      <c r="F27" s="89"/>
      <c r="G27" s="89"/>
      <c r="H27" s="89"/>
      <c r="I27" s="89"/>
    </row>
    <row r="28" spans="1:9">
      <c r="A28" s="89" t="s">
        <v>1349</v>
      </c>
      <c r="B28" s="89"/>
      <c r="C28" s="89" t="s">
        <v>1350</v>
      </c>
      <c r="D28" s="516"/>
      <c r="E28" s="89"/>
      <c r="F28" s="89"/>
      <c r="G28" s="89"/>
      <c r="H28" s="89"/>
      <c r="I28" s="89"/>
    </row>
    <row r="29" spans="1:9">
      <c r="A29" s="89" t="s">
        <v>1351</v>
      </c>
      <c r="B29" s="89"/>
      <c r="C29" s="89" t="s">
        <v>1352</v>
      </c>
      <c r="D29" s="516"/>
      <c r="E29" s="89"/>
      <c r="F29" s="89"/>
      <c r="G29" s="89"/>
      <c r="H29" s="89"/>
      <c r="I29" s="89"/>
    </row>
    <row r="30" spans="1:9">
      <c r="A30" s="89" t="s">
        <v>1353</v>
      </c>
      <c r="B30" s="89"/>
      <c r="C30" s="89" t="s">
        <v>1354</v>
      </c>
      <c r="D30" s="516"/>
      <c r="E30" s="89"/>
      <c r="F30" s="89"/>
      <c r="G30" s="89"/>
      <c r="H30" s="89"/>
      <c r="I30" s="89"/>
    </row>
    <row r="31" spans="1:9">
      <c r="A31" s="89" t="s">
        <v>1355</v>
      </c>
      <c r="B31" s="89"/>
      <c r="C31" s="89" t="s">
        <v>1356</v>
      </c>
      <c r="D31" s="516"/>
      <c r="E31" s="89"/>
      <c r="F31" s="89"/>
      <c r="G31" s="89"/>
      <c r="H31" s="89"/>
      <c r="I31" s="89"/>
    </row>
    <row r="32" spans="1:9">
      <c r="A32" s="89" t="s">
        <v>1357</v>
      </c>
      <c r="B32" s="89"/>
      <c r="C32" s="89" t="s">
        <v>1358</v>
      </c>
      <c r="D32" s="516"/>
      <c r="E32" s="89"/>
      <c r="F32" s="89"/>
      <c r="G32" s="89"/>
      <c r="H32" s="89"/>
      <c r="I32" s="89"/>
    </row>
    <row r="33" spans="1:9" ht="24.75">
      <c r="A33" s="87" t="s">
        <v>48</v>
      </c>
      <c r="B33" s="53" t="s">
        <v>49</v>
      </c>
      <c r="C33" s="53" t="s">
        <v>50</v>
      </c>
      <c r="D33" s="514"/>
      <c r="E33" s="53"/>
      <c r="F33" s="657" t="s">
        <v>1359</v>
      </c>
      <c r="G33" s="53"/>
      <c r="H33" s="53" t="s">
        <v>1360</v>
      </c>
      <c r="I33" s="53"/>
    </row>
    <row r="34" spans="1:9">
      <c r="A34" s="53" t="s">
        <v>1361</v>
      </c>
      <c r="B34" s="53"/>
      <c r="C34" s="53" t="s">
        <v>1362</v>
      </c>
      <c r="D34" s="514"/>
      <c r="E34" s="53"/>
      <c r="F34" s="53"/>
      <c r="G34" s="53"/>
      <c r="H34" s="53"/>
      <c r="I34" s="53"/>
    </row>
    <row r="35" spans="1:9">
      <c r="A35" s="53" t="s">
        <v>100</v>
      </c>
      <c r="B35" s="53" t="s">
        <v>1363</v>
      </c>
      <c r="C35" s="53" t="s">
        <v>101</v>
      </c>
      <c r="D35" s="514"/>
      <c r="E35" s="53"/>
      <c r="F35" s="53"/>
      <c r="G35" s="53" t="s">
        <v>1312</v>
      </c>
      <c r="H35" s="53"/>
      <c r="I35" s="53"/>
    </row>
    <row r="36" spans="1:9">
      <c r="A36" s="53" t="s">
        <v>28</v>
      </c>
      <c r="B36" s="53" t="s">
        <v>716</v>
      </c>
      <c r="C36" s="53" t="s">
        <v>30</v>
      </c>
      <c r="D36" s="514"/>
      <c r="E36" s="53"/>
      <c r="F36" s="53" t="s">
        <v>1364</v>
      </c>
      <c r="G36" s="53" t="s">
        <v>1365</v>
      </c>
      <c r="H36" s="53" t="s">
        <v>29</v>
      </c>
      <c r="I36" s="53"/>
    </row>
    <row r="37" spans="1:9">
      <c r="A37" s="53" t="s">
        <v>118</v>
      </c>
      <c r="B37" s="53" t="s">
        <v>119</v>
      </c>
      <c r="C37" s="53" t="s">
        <v>120</v>
      </c>
      <c r="D37" s="514"/>
      <c r="E37" s="53"/>
      <c r="F37" s="53" t="s">
        <v>118</v>
      </c>
      <c r="G37" s="53" t="s">
        <v>1366</v>
      </c>
      <c r="H37" s="53"/>
      <c r="I37" s="53"/>
    </row>
    <row r="38" spans="1:9">
      <c r="A38" s="53" t="s">
        <v>353</v>
      </c>
      <c r="B38" s="53" t="s">
        <v>354</v>
      </c>
      <c r="C38" s="53" t="s">
        <v>355</v>
      </c>
      <c r="D38" s="514"/>
      <c r="E38" s="53"/>
      <c r="F38" s="53" t="s">
        <v>1367</v>
      </c>
      <c r="G38" s="53" t="s">
        <v>1368</v>
      </c>
      <c r="H38" s="53"/>
      <c r="I38" s="53"/>
    </row>
    <row r="39" spans="1:9">
      <c r="A39" s="53" t="s">
        <v>18</v>
      </c>
      <c r="B39" s="53" t="s">
        <v>19</v>
      </c>
      <c r="C39" s="53" t="s">
        <v>20</v>
      </c>
      <c r="D39" s="514"/>
      <c r="E39" s="53"/>
      <c r="F39" s="53" t="s">
        <v>1369</v>
      </c>
      <c r="G39" s="53" t="s">
        <v>1370</v>
      </c>
      <c r="H39" s="53"/>
      <c r="I39" s="53"/>
    </row>
    <row r="40" spans="1:9">
      <c r="A40" s="53" t="s">
        <v>324</v>
      </c>
      <c r="B40" s="53" t="s">
        <v>325</v>
      </c>
      <c r="C40" s="53" t="s">
        <v>326</v>
      </c>
      <c r="D40" s="514"/>
      <c r="E40" s="53"/>
      <c r="F40" s="53" t="s">
        <v>1371</v>
      </c>
      <c r="G40" s="53" t="s">
        <v>1372</v>
      </c>
      <c r="H40" s="53"/>
      <c r="I40" s="53"/>
    </row>
    <row r="41" spans="1:9">
      <c r="A41" s="94" t="s">
        <v>479</v>
      </c>
      <c r="B41" s="94" t="s">
        <v>480</v>
      </c>
      <c r="C41" s="94" t="s">
        <v>481</v>
      </c>
      <c r="D41" s="515"/>
      <c r="E41" s="94"/>
      <c r="F41" s="94"/>
      <c r="G41" s="94"/>
      <c r="H41" s="94"/>
      <c r="I41" s="94"/>
    </row>
    <row r="42" spans="1:9" ht="15.75" thickBot="1">
      <c r="A42" s="53" t="s">
        <v>1069</v>
      </c>
      <c r="B42" s="53"/>
      <c r="C42" s="53" t="s">
        <v>481</v>
      </c>
      <c r="D42" s="514"/>
      <c r="E42" s="53"/>
      <c r="F42" s="53"/>
      <c r="G42" s="53"/>
      <c r="H42" s="53"/>
      <c r="I42" s="53"/>
    </row>
    <row r="43" spans="1:9" ht="15.75" thickBot="1">
      <c r="A43" s="90" t="s">
        <v>454</v>
      </c>
      <c r="B43" s="91" t="s">
        <v>761</v>
      </c>
      <c r="C43" s="91" t="s">
        <v>455</v>
      </c>
      <c r="D43" s="517"/>
      <c r="E43" s="91"/>
      <c r="F43" s="91"/>
      <c r="G43" s="91"/>
      <c r="H43" s="92" t="s">
        <v>1373</v>
      </c>
      <c r="I43" s="93"/>
    </row>
    <row r="44" spans="1:9">
      <c r="A44" s="94" t="s">
        <v>148</v>
      </c>
      <c r="B44" s="94" t="s">
        <v>149</v>
      </c>
      <c r="C44" s="94" t="s">
        <v>150</v>
      </c>
      <c r="D44" s="515"/>
      <c r="E44" s="94"/>
      <c r="F44" s="94" t="s">
        <v>1374</v>
      </c>
      <c r="G44" s="94" t="s">
        <v>1375</v>
      </c>
      <c r="H44" s="94"/>
      <c r="I44" s="94"/>
    </row>
    <row r="45" spans="1:9">
      <c r="A45" s="94" t="s">
        <v>698</v>
      </c>
      <c r="B45" s="94" t="s">
        <v>699</v>
      </c>
      <c r="C45" s="94" t="s">
        <v>150</v>
      </c>
      <c r="D45" s="515"/>
      <c r="E45" s="94"/>
      <c r="F45" s="94" t="s">
        <v>1374</v>
      </c>
      <c r="G45" s="94" t="s">
        <v>1375</v>
      </c>
      <c r="H45" s="94"/>
      <c r="I45" s="94"/>
    </row>
    <row r="46" spans="1:9">
      <c r="A46" s="53" t="s">
        <v>935</v>
      </c>
      <c r="B46" t="s">
        <v>936</v>
      </c>
      <c r="C46" s="53" t="s">
        <v>150</v>
      </c>
      <c r="D46" s="514"/>
      <c r="E46" s="53"/>
      <c r="F46" s="53" t="s">
        <v>1374</v>
      </c>
      <c r="G46" s="53" t="s">
        <v>1375</v>
      </c>
      <c r="H46" s="53"/>
      <c r="I46" s="53"/>
    </row>
    <row r="47" spans="1:9">
      <c r="A47" s="53" t="s">
        <v>342</v>
      </c>
      <c r="B47" s="53" t="s">
        <v>343</v>
      </c>
      <c r="C47" s="53" t="s">
        <v>344</v>
      </c>
      <c r="D47" s="514"/>
      <c r="E47" s="53"/>
      <c r="F47" s="53"/>
      <c r="G47" s="53" t="s">
        <v>1376</v>
      </c>
      <c r="H47" s="53"/>
      <c r="I47" s="53"/>
    </row>
    <row r="48" spans="1:9">
      <c r="A48" s="53" t="s">
        <v>284</v>
      </c>
      <c r="B48" s="53" t="s">
        <v>687</v>
      </c>
      <c r="C48" s="53" t="s">
        <v>285</v>
      </c>
      <c r="D48" s="514"/>
      <c r="E48" s="53"/>
      <c r="F48" s="53" t="s">
        <v>1377</v>
      </c>
      <c r="G48" s="53" t="s">
        <v>276</v>
      </c>
      <c r="H48" s="53" t="s">
        <v>687</v>
      </c>
      <c r="I48" s="53"/>
    </row>
    <row r="49" spans="1:9">
      <c r="A49" s="94" t="s">
        <v>1113</v>
      </c>
      <c r="B49" s="94" t="s">
        <v>1114</v>
      </c>
      <c r="C49" s="94" t="s">
        <v>1115</v>
      </c>
      <c r="D49" s="515"/>
      <c r="E49" s="94"/>
      <c r="F49" s="94"/>
      <c r="G49" s="94"/>
      <c r="H49" s="94" t="s">
        <v>1378</v>
      </c>
      <c r="I49" s="94"/>
    </row>
    <row r="50" spans="1:9">
      <c r="A50" s="53" t="s">
        <v>1138</v>
      </c>
      <c r="B50" s="53" t="s">
        <v>1139</v>
      </c>
      <c r="C50" s="53" t="s">
        <v>1115</v>
      </c>
      <c r="D50" s="514"/>
      <c r="E50" s="53"/>
      <c r="F50" s="53" t="s">
        <v>1379</v>
      </c>
      <c r="G50" s="53" t="s">
        <v>1380</v>
      </c>
      <c r="H50" s="53"/>
      <c r="I50" s="53"/>
    </row>
    <row r="51" spans="1:9">
      <c r="A51" s="53" t="s">
        <v>1381</v>
      </c>
      <c r="B51" s="53"/>
      <c r="C51" s="53" t="s">
        <v>773</v>
      </c>
      <c r="D51" s="514"/>
      <c r="E51" s="53"/>
      <c r="F51" s="95"/>
      <c r="G51" s="96"/>
      <c r="H51" s="53"/>
      <c r="I51" s="88"/>
    </row>
    <row r="52" spans="1:9" ht="27.75">
      <c r="A52" s="53" t="s">
        <v>771</v>
      </c>
      <c r="B52" s="53" t="s">
        <v>772</v>
      </c>
      <c r="C52" s="53" t="s">
        <v>773</v>
      </c>
      <c r="D52" s="514"/>
      <c r="E52" s="53"/>
      <c r="F52" s="95" t="s">
        <v>1382</v>
      </c>
      <c r="G52" s="96" t="s">
        <v>1383</v>
      </c>
      <c r="H52" s="53"/>
      <c r="I52" s="88" t="s">
        <v>1384</v>
      </c>
    </row>
    <row r="53" spans="1:9">
      <c r="A53" s="53" t="s">
        <v>70</v>
      </c>
      <c r="B53" s="53" t="s">
        <v>71</v>
      </c>
      <c r="C53" s="53" t="s">
        <v>72</v>
      </c>
      <c r="D53" s="514"/>
      <c r="E53" s="53"/>
      <c r="F53" s="53" t="s">
        <v>1385</v>
      </c>
      <c r="G53" s="53"/>
      <c r="H53" s="53"/>
      <c r="I53" s="53"/>
    </row>
    <row r="54" spans="1:9">
      <c r="A54" s="53" t="s">
        <v>107</v>
      </c>
      <c r="B54" s="53" t="s">
        <v>108</v>
      </c>
      <c r="C54" s="53" t="s">
        <v>109</v>
      </c>
      <c r="D54" s="514"/>
      <c r="E54" s="53"/>
      <c r="F54" s="53" t="s">
        <v>1386</v>
      </c>
      <c r="G54" s="53" t="s">
        <v>1387</v>
      </c>
      <c r="H54" s="53"/>
      <c r="I54" s="53"/>
    </row>
    <row r="55" spans="1:9">
      <c r="A55" s="53" t="s">
        <v>239</v>
      </c>
      <c r="B55" s="53" t="s">
        <v>240</v>
      </c>
      <c r="C55" s="53" t="s">
        <v>241</v>
      </c>
      <c r="D55" s="514"/>
      <c r="E55" s="53"/>
      <c r="F55" s="53"/>
      <c r="G55" s="53" t="s">
        <v>1388</v>
      </c>
      <c r="H55" s="53"/>
      <c r="I55" s="53"/>
    </row>
    <row r="56" spans="1:9">
      <c r="A56" s="53" t="s">
        <v>594</v>
      </c>
      <c r="B56" s="53" t="s">
        <v>595</v>
      </c>
      <c r="C56" s="53" t="s">
        <v>596</v>
      </c>
      <c r="D56" s="514"/>
      <c r="E56" s="53"/>
      <c r="F56" s="53"/>
      <c r="G56" s="53"/>
      <c r="H56" s="53"/>
      <c r="I56" s="53"/>
    </row>
    <row r="57" spans="1:9" ht="15.75" thickBot="1">
      <c r="A57" s="53" t="s">
        <v>44</v>
      </c>
      <c r="B57" s="53" t="s">
        <v>45</v>
      </c>
      <c r="C57" s="53" t="s">
        <v>46</v>
      </c>
      <c r="D57" s="514"/>
      <c r="E57" s="53"/>
      <c r="F57" s="53" t="s">
        <v>1389</v>
      </c>
      <c r="G57" s="53"/>
      <c r="H57" s="53" t="s">
        <v>1390</v>
      </c>
      <c r="I57" s="53" t="s">
        <v>1391</v>
      </c>
    </row>
    <row r="58" spans="1:9" ht="15.75" thickBot="1">
      <c r="A58" s="90" t="s">
        <v>410</v>
      </c>
      <c r="B58" s="91"/>
      <c r="C58" s="91" t="s">
        <v>411</v>
      </c>
      <c r="D58" s="517" t="s">
        <v>1392</v>
      </c>
      <c r="E58" s="91"/>
      <c r="F58" s="91"/>
      <c r="G58" s="91" t="s">
        <v>1392</v>
      </c>
      <c r="H58" s="92" t="s">
        <v>1373</v>
      </c>
      <c r="I58" s="93"/>
    </row>
    <row r="59" spans="1:9">
      <c r="A59" s="53" t="s">
        <v>201</v>
      </c>
      <c r="B59" s="53" t="s">
        <v>202</v>
      </c>
      <c r="C59" s="53" t="s">
        <v>203</v>
      </c>
      <c r="D59" s="514"/>
      <c r="E59" s="53"/>
      <c r="F59" s="53" t="s">
        <v>1393</v>
      </c>
      <c r="G59" s="53" t="s">
        <v>1394</v>
      </c>
      <c r="H59" s="53"/>
      <c r="I59" s="53"/>
    </row>
    <row r="60" spans="1:9">
      <c r="A60" s="53" t="s">
        <v>66</v>
      </c>
      <c r="B60" s="53" t="s">
        <v>67</v>
      </c>
      <c r="C60" s="53" t="s">
        <v>68</v>
      </c>
      <c r="D60" s="514"/>
      <c r="E60" s="53"/>
      <c r="F60" s="53"/>
      <c r="G60" s="53" t="s">
        <v>1395</v>
      </c>
      <c r="H60" s="53"/>
      <c r="I60" s="53"/>
    </row>
    <row r="61" spans="1:9">
      <c r="A61" s="87" t="s">
        <v>84</v>
      </c>
      <c r="B61" s="53" t="s">
        <v>85</v>
      </c>
      <c r="C61" s="53" t="s">
        <v>86</v>
      </c>
      <c r="D61" s="514"/>
      <c r="E61" s="53"/>
      <c r="F61" s="53"/>
      <c r="G61" s="53" t="s">
        <v>1396</v>
      </c>
      <c r="H61" s="53"/>
      <c r="I61" s="53"/>
    </row>
    <row r="62" spans="1:9">
      <c r="A62" s="53" t="s">
        <v>947</v>
      </c>
      <c r="B62" s="53" t="s">
        <v>948</v>
      </c>
      <c r="C62" s="53" t="s">
        <v>949</v>
      </c>
      <c r="D62" s="514"/>
      <c r="E62" s="53"/>
      <c r="F62" s="53" t="s">
        <v>1397</v>
      </c>
      <c r="G62" s="53"/>
      <c r="H62" s="53" t="s">
        <v>1398</v>
      </c>
      <c r="I62" s="53"/>
    </row>
    <row r="63" spans="1:9">
      <c r="A63" s="53" t="s">
        <v>1399</v>
      </c>
      <c r="B63" s="53"/>
      <c r="C63" s="53" t="s">
        <v>1400</v>
      </c>
      <c r="D63" s="514"/>
      <c r="E63" s="53"/>
      <c r="F63" s="53"/>
      <c r="G63" s="53"/>
      <c r="H63" s="53"/>
      <c r="I63" s="53"/>
    </row>
    <row r="64" spans="1:9" ht="15.75" thickBot="1">
      <c r="A64" s="53" t="s">
        <v>103</v>
      </c>
      <c r="B64" s="53" t="s">
        <v>104</v>
      </c>
      <c r="C64" s="53" t="s">
        <v>105</v>
      </c>
      <c r="D64" s="514"/>
      <c r="E64" s="53"/>
      <c r="F64" s="53"/>
      <c r="G64" s="53" t="s">
        <v>1401</v>
      </c>
      <c r="H64" s="53"/>
      <c r="I64" s="53"/>
    </row>
    <row r="65" spans="1:9" ht="15.75" thickBot="1">
      <c r="A65" s="90" t="s">
        <v>319</v>
      </c>
      <c r="B65" s="91"/>
      <c r="C65" s="91" t="s">
        <v>320</v>
      </c>
      <c r="D65" s="517" t="s">
        <v>1402</v>
      </c>
      <c r="E65" s="91"/>
      <c r="F65" s="91" t="s">
        <v>1403</v>
      </c>
      <c r="G65" s="91" t="s">
        <v>1402</v>
      </c>
      <c r="H65" s="92" t="s">
        <v>1373</v>
      </c>
      <c r="I65" s="93" t="s">
        <v>1404</v>
      </c>
    </row>
    <row r="66" spans="1:9">
      <c r="A66" s="53" t="s">
        <v>53</v>
      </c>
      <c r="B66" s="53" t="s">
        <v>677</v>
      </c>
      <c r="C66" s="53" t="s">
        <v>55</v>
      </c>
      <c r="D66" s="514"/>
      <c r="E66" s="53"/>
      <c r="F66" s="53" t="s">
        <v>1405</v>
      </c>
      <c r="G66" s="53" t="s">
        <v>1406</v>
      </c>
      <c r="H66" s="53"/>
      <c r="I66" s="53" t="s">
        <v>54</v>
      </c>
    </row>
    <row r="67" spans="1:9">
      <c r="A67" s="53" t="s">
        <v>492</v>
      </c>
      <c r="B67" s="53"/>
      <c r="C67" s="53" t="s">
        <v>493</v>
      </c>
      <c r="D67" s="514"/>
      <c r="E67" s="53"/>
      <c r="F67" s="53"/>
      <c r="G67" s="53"/>
      <c r="H67" s="53"/>
      <c r="I67" s="53"/>
    </row>
    <row r="68" spans="1:9">
      <c r="A68" s="53" t="s">
        <v>1407</v>
      </c>
      <c r="B68" s="53"/>
      <c r="C68" s="53" t="s">
        <v>1408</v>
      </c>
      <c r="D68" s="514"/>
      <c r="E68" s="53"/>
      <c r="F68" s="53"/>
      <c r="G68" s="53"/>
      <c r="H68" s="53"/>
      <c r="I68" s="53"/>
    </row>
    <row r="69" spans="1:9" ht="15.75" thickBot="1">
      <c r="A69" s="53" t="s">
        <v>90</v>
      </c>
      <c r="B69" s="53" t="s">
        <v>91</v>
      </c>
      <c r="C69" s="53" t="s">
        <v>92</v>
      </c>
      <c r="D69" s="514"/>
      <c r="E69" s="53"/>
      <c r="F69" s="53" t="s">
        <v>1409</v>
      </c>
      <c r="G69" s="53" t="s">
        <v>1410</v>
      </c>
      <c r="H69" s="53"/>
      <c r="I69" s="53" t="s">
        <v>1411</v>
      </c>
    </row>
    <row r="70" spans="1:9" ht="15.75" thickBot="1">
      <c r="A70" s="97" t="s">
        <v>397</v>
      </c>
      <c r="B70" s="53" t="s">
        <v>682</v>
      </c>
      <c r="C70" s="98" t="s">
        <v>398</v>
      </c>
      <c r="D70" s="518"/>
      <c r="E70" s="99"/>
      <c r="F70" s="99"/>
      <c r="G70" s="99"/>
      <c r="H70" s="92" t="s">
        <v>1373</v>
      </c>
      <c r="I70" s="100" t="s">
        <v>1412</v>
      </c>
    </row>
    <row r="71" spans="1:9">
      <c r="A71" s="53" t="s">
        <v>275</v>
      </c>
      <c r="B71" s="53" t="s">
        <v>276</v>
      </c>
      <c r="C71" s="87" t="s">
        <v>277</v>
      </c>
      <c r="D71" s="514"/>
      <c r="E71" s="53"/>
      <c r="F71" s="53" t="s">
        <v>1377</v>
      </c>
      <c r="G71" s="53" t="s">
        <v>276</v>
      </c>
      <c r="H71" s="53"/>
      <c r="I71" s="53"/>
    </row>
    <row r="72" spans="1:9">
      <c r="A72" s="53" t="s">
        <v>1413</v>
      </c>
      <c r="B72" s="53"/>
      <c r="C72" s="53" t="s">
        <v>1414</v>
      </c>
      <c r="D72" s="514"/>
      <c r="E72" s="53"/>
      <c r="F72" s="53"/>
      <c r="G72" s="53"/>
      <c r="H72" s="53"/>
      <c r="I72" s="53"/>
    </row>
    <row r="73" spans="1:9">
      <c r="A73" s="53" t="s">
        <v>1415</v>
      </c>
      <c r="B73" s="53" t="s">
        <v>1416</v>
      </c>
      <c r="C73" s="53" t="s">
        <v>1417</v>
      </c>
      <c r="D73" s="514"/>
      <c r="E73" s="53"/>
      <c r="F73" s="53"/>
      <c r="G73" s="53"/>
      <c r="H73" s="53"/>
      <c r="I73" s="53"/>
    </row>
    <row r="74" spans="1:9">
      <c r="A74" s="53" t="s">
        <v>243</v>
      </c>
      <c r="B74" s="53" t="s">
        <v>244</v>
      </c>
      <c r="C74" s="53" t="s">
        <v>245</v>
      </c>
      <c r="D74" s="514"/>
      <c r="E74" s="53"/>
      <c r="F74" s="53" t="s">
        <v>1418</v>
      </c>
      <c r="G74" s="53" t="s">
        <v>1419</v>
      </c>
      <c r="H74" s="53"/>
      <c r="I74" s="53" t="s">
        <v>1420</v>
      </c>
    </row>
    <row r="75" spans="1:9">
      <c r="A75" s="53" t="s">
        <v>1421</v>
      </c>
      <c r="B75" s="53"/>
      <c r="C75" s="53" t="s">
        <v>614</v>
      </c>
      <c r="D75" s="514"/>
      <c r="E75" s="53"/>
      <c r="F75" s="53"/>
      <c r="G75" s="53"/>
      <c r="H75" s="53"/>
      <c r="I75" s="53"/>
    </row>
    <row r="76" spans="1:9">
      <c r="A76" s="53" t="s">
        <v>612</v>
      </c>
      <c r="B76" s="53" t="s">
        <v>613</v>
      </c>
      <c r="C76" s="53" t="s">
        <v>614</v>
      </c>
      <c r="D76" s="514"/>
      <c r="E76" s="53"/>
      <c r="F76" s="53"/>
      <c r="G76" s="53"/>
      <c r="H76" s="53"/>
      <c r="I76" s="88" t="s">
        <v>1422</v>
      </c>
    </row>
    <row r="77" spans="1:9">
      <c r="A77" s="53" t="s">
        <v>362</v>
      </c>
      <c r="B77" s="53" t="s">
        <v>363</v>
      </c>
      <c r="C77" s="53" t="s">
        <v>364</v>
      </c>
      <c r="D77" s="514"/>
      <c r="E77" s="53"/>
      <c r="F77" s="53" t="s">
        <v>1423</v>
      </c>
      <c r="G77" s="53" t="s">
        <v>1424</v>
      </c>
      <c r="H77" s="53" t="s">
        <v>1425</v>
      </c>
      <c r="I77" s="53" t="s">
        <v>1426</v>
      </c>
    </row>
    <row r="78" spans="1:9">
      <c r="A78" s="53" t="s">
        <v>633</v>
      </c>
      <c r="B78" s="53" t="s">
        <v>634</v>
      </c>
      <c r="C78" s="53" t="s">
        <v>635</v>
      </c>
      <c r="D78" s="514"/>
      <c r="E78" s="53"/>
      <c r="F78" s="53"/>
      <c r="G78" s="53" t="s">
        <v>1427</v>
      </c>
      <c r="H78" s="53"/>
      <c r="I78" s="53"/>
    </row>
    <row r="79" spans="1:9">
      <c r="A79" s="53" t="s">
        <v>433</v>
      </c>
      <c r="B79" s="53" t="s">
        <v>434</v>
      </c>
      <c r="C79" s="53" t="s">
        <v>435</v>
      </c>
      <c r="D79" s="514"/>
      <c r="E79" s="53"/>
      <c r="F79" s="53" t="s">
        <v>1428</v>
      </c>
      <c r="G79" s="53" t="s">
        <v>1429</v>
      </c>
      <c r="H79" s="53"/>
      <c r="I79" s="53"/>
    </row>
    <row r="80" spans="1:9">
      <c r="A80" s="87" t="s">
        <v>144</v>
      </c>
      <c r="B80" s="53" t="s">
        <v>661</v>
      </c>
      <c r="C80" s="53" t="s">
        <v>146</v>
      </c>
      <c r="D80" s="514"/>
      <c r="E80" s="53"/>
      <c r="F80" s="101" t="s">
        <v>1430</v>
      </c>
      <c r="G80" s="53" t="s">
        <v>1431</v>
      </c>
      <c r="H80" s="53" t="s">
        <v>145</v>
      </c>
      <c r="I80" s="53" t="s">
        <v>661</v>
      </c>
    </row>
    <row r="81" spans="1:9" ht="15.75" thickBot="1">
      <c r="A81" s="87" t="s">
        <v>1432</v>
      </c>
      <c r="B81" s="53" t="s">
        <v>1433</v>
      </c>
      <c r="C81" s="53" t="s">
        <v>1434</v>
      </c>
      <c r="D81" s="514"/>
      <c r="E81" s="53"/>
      <c r="F81" s="53" t="s">
        <v>1435</v>
      </c>
      <c r="G81" s="53" t="s">
        <v>1436</v>
      </c>
      <c r="H81" s="53"/>
      <c r="I81" s="53"/>
    </row>
    <row r="82" spans="1:9" ht="15.75" thickBot="1">
      <c r="A82" s="102" t="s">
        <v>303</v>
      </c>
      <c r="B82" s="91"/>
      <c r="C82" s="91" t="s">
        <v>304</v>
      </c>
      <c r="D82" s="517"/>
      <c r="E82" s="91"/>
      <c r="F82" s="91" t="s">
        <v>1437</v>
      </c>
      <c r="G82" s="91" t="s">
        <v>1438</v>
      </c>
      <c r="H82" s="103" t="s">
        <v>1373</v>
      </c>
      <c r="I82" s="93"/>
    </row>
    <row r="83" spans="1:9">
      <c r="A83" s="87" t="s">
        <v>1439</v>
      </c>
      <c r="B83" s="53" t="s">
        <v>1440</v>
      </c>
      <c r="C83" s="53" t="s">
        <v>1441</v>
      </c>
      <c r="D83" s="514"/>
      <c r="E83" s="53"/>
      <c r="F83" s="53"/>
      <c r="G83" s="53"/>
      <c r="H83" s="53"/>
      <c r="I83" s="53"/>
    </row>
    <row r="84" spans="1:9">
      <c r="A84" s="53" t="s">
        <v>24</v>
      </c>
      <c r="B84" s="53" t="s">
        <v>25</v>
      </c>
      <c r="C84" s="53" t="s">
        <v>26</v>
      </c>
      <c r="D84" s="514"/>
      <c r="E84" s="53"/>
      <c r="F84" s="53" t="s">
        <v>1442</v>
      </c>
      <c r="G84" s="53" t="s">
        <v>1443</v>
      </c>
      <c r="H84" s="53" t="s">
        <v>1444</v>
      </c>
      <c r="I84" s="53" t="s">
        <v>1445</v>
      </c>
    </row>
    <row r="85" spans="1:9">
      <c r="A85" s="53" t="s">
        <v>230</v>
      </c>
      <c r="B85" s="53" t="s">
        <v>231</v>
      </c>
      <c r="C85" s="53" t="s">
        <v>232</v>
      </c>
      <c r="D85" s="514"/>
      <c r="E85" s="53"/>
      <c r="F85" s="53"/>
      <c r="G85" s="53" t="s">
        <v>1446</v>
      </c>
      <c r="H85" s="53" t="s">
        <v>1447</v>
      </c>
      <c r="I85" s="53" t="s">
        <v>231</v>
      </c>
    </row>
    <row r="86" spans="1:9">
      <c r="A86" s="53" t="s">
        <v>312</v>
      </c>
      <c r="B86" s="53" t="s">
        <v>313</v>
      </c>
      <c r="C86" s="53" t="s">
        <v>314</v>
      </c>
      <c r="D86" s="514"/>
      <c r="E86" s="53"/>
      <c r="F86" s="53"/>
      <c r="G86" s="53" t="s">
        <v>1448</v>
      </c>
      <c r="H86" s="53"/>
      <c r="I86" s="53"/>
    </row>
    <row r="87" spans="1:9">
      <c r="A87" s="53" t="s">
        <v>126</v>
      </c>
      <c r="B87" s="53" t="s">
        <v>127</v>
      </c>
      <c r="C87" s="53" t="s">
        <v>128</v>
      </c>
      <c r="D87" s="514"/>
      <c r="E87" s="53"/>
      <c r="F87" s="53"/>
      <c r="G87" s="53" t="s">
        <v>1449</v>
      </c>
      <c r="H87" s="53"/>
      <c r="I87" s="53"/>
    </row>
    <row r="88" spans="1:9">
      <c r="A88" s="87" t="s">
        <v>130</v>
      </c>
      <c r="B88" s="53" t="s">
        <v>131</v>
      </c>
      <c r="C88" s="53" t="s">
        <v>132</v>
      </c>
      <c r="D88" s="514"/>
      <c r="E88" s="53"/>
      <c r="F88" s="53" t="s">
        <v>1450</v>
      </c>
      <c r="G88" s="53" t="s">
        <v>1451</v>
      </c>
      <c r="H88" s="53"/>
      <c r="I88" s="53"/>
    </row>
    <row r="89" spans="1:9">
      <c r="A89" s="53" t="s">
        <v>464</v>
      </c>
      <c r="B89" s="53" t="s">
        <v>465</v>
      </c>
      <c r="C89" s="53" t="s">
        <v>466</v>
      </c>
      <c r="D89" s="514"/>
      <c r="E89" s="53"/>
      <c r="F89" s="53"/>
      <c r="G89" s="53"/>
      <c r="H89" s="53"/>
      <c r="I89" s="53"/>
    </row>
    <row r="90" spans="1:9">
      <c r="A90" s="53" t="s">
        <v>32</v>
      </c>
      <c r="B90" s="53" t="s">
        <v>1452</v>
      </c>
      <c r="C90" s="53" t="s">
        <v>34</v>
      </c>
      <c r="D90" s="514"/>
      <c r="E90" s="53"/>
      <c r="F90" s="53"/>
      <c r="G90" s="53" t="s">
        <v>1453</v>
      </c>
      <c r="H90" s="53"/>
      <c r="I90" s="53"/>
    </row>
    <row r="91" spans="1:9">
      <c r="A91" s="53" t="s">
        <v>296</v>
      </c>
      <c r="B91" s="53" t="s">
        <v>297</v>
      </c>
      <c r="C91" s="53" t="s">
        <v>298</v>
      </c>
      <c r="D91" s="514"/>
      <c r="E91" s="53"/>
      <c r="F91" s="53" t="s">
        <v>1454</v>
      </c>
      <c r="G91" s="53" t="s">
        <v>1455</v>
      </c>
      <c r="H91" s="53"/>
      <c r="I91" s="53"/>
    </row>
    <row r="92" spans="1:9">
      <c r="A92" s="53" t="s">
        <v>422</v>
      </c>
      <c r="B92" s="53" t="s">
        <v>1456</v>
      </c>
      <c r="C92" s="53" t="s">
        <v>423</v>
      </c>
      <c r="D92" s="514"/>
      <c r="E92" s="53"/>
      <c r="F92" s="53" t="s">
        <v>1457</v>
      </c>
      <c r="G92" s="53"/>
      <c r="H92" s="53"/>
      <c r="I92" s="53"/>
    </row>
    <row r="93" spans="1:9">
      <c r="A93" s="87" t="s">
        <v>252</v>
      </c>
      <c r="B93" s="53" t="s">
        <v>1458</v>
      </c>
      <c r="C93" s="53" t="s">
        <v>254</v>
      </c>
      <c r="D93" s="514"/>
      <c r="E93" s="53"/>
      <c r="F93" s="53" t="s">
        <v>252</v>
      </c>
      <c r="G93" s="53" t="s">
        <v>1459</v>
      </c>
      <c r="H93" s="53" t="s">
        <v>253</v>
      </c>
      <c r="I93" s="53"/>
    </row>
    <row r="94" spans="1:9">
      <c r="A94" s="53" t="s">
        <v>259</v>
      </c>
      <c r="B94" s="53" t="s">
        <v>260</v>
      </c>
      <c r="C94" s="53" t="s">
        <v>261</v>
      </c>
      <c r="D94" s="514"/>
      <c r="E94" s="53"/>
      <c r="F94" s="53"/>
      <c r="G94" s="53" t="s">
        <v>1460</v>
      </c>
      <c r="H94" s="53"/>
      <c r="I94" s="53"/>
    </row>
    <row r="95" spans="1:9">
      <c r="A95" s="53" t="s">
        <v>215</v>
      </c>
      <c r="B95" s="53" t="s">
        <v>216</v>
      </c>
      <c r="C95" s="53" t="s">
        <v>217</v>
      </c>
      <c r="D95" s="514"/>
      <c r="E95" s="53"/>
      <c r="F95" s="53"/>
      <c r="G95" s="53" t="s">
        <v>1461</v>
      </c>
      <c r="H95" s="53"/>
      <c r="I95" s="53"/>
    </row>
    <row r="96" spans="1:9">
      <c r="A96" s="53" t="s">
        <v>1462</v>
      </c>
      <c r="B96" s="53" t="s">
        <v>1463</v>
      </c>
      <c r="C96" s="53" t="s">
        <v>1464</v>
      </c>
      <c r="D96" s="514"/>
      <c r="E96" s="53"/>
      <c r="F96" s="53"/>
      <c r="G96" s="53"/>
      <c r="H96" s="53"/>
      <c r="I96" s="53"/>
    </row>
    <row r="97" spans="1:10">
      <c r="A97" s="53" t="s">
        <v>211</v>
      </c>
      <c r="B97" s="53" t="s">
        <v>212</v>
      </c>
      <c r="C97" s="53" t="s">
        <v>213</v>
      </c>
      <c r="D97" s="514"/>
      <c r="E97" s="53"/>
      <c r="F97" s="53" t="s">
        <v>1465</v>
      </c>
      <c r="G97" s="53" t="s">
        <v>1466</v>
      </c>
      <c r="H97" s="53"/>
      <c r="I97" s="53"/>
      <c r="J97" t="s">
        <v>1467</v>
      </c>
    </row>
    <row r="98" spans="1:10" ht="15.75" thickBot="1">
      <c r="A98" s="53" t="s">
        <v>1468</v>
      </c>
      <c r="B98" s="53"/>
      <c r="C98" s="53" t="s">
        <v>1469</v>
      </c>
      <c r="D98" s="514"/>
      <c r="E98" s="53"/>
      <c r="F98" s="53"/>
      <c r="G98" s="53"/>
      <c r="H98" s="53"/>
      <c r="I98" s="53"/>
    </row>
    <row r="99" spans="1:10" ht="15.75" thickBot="1">
      <c r="A99" s="97" t="s">
        <v>171</v>
      </c>
      <c r="B99" s="99"/>
      <c r="C99" s="99" t="s">
        <v>172</v>
      </c>
      <c r="D99" s="518"/>
      <c r="E99" s="99"/>
      <c r="F99" s="99"/>
      <c r="G99" s="99"/>
      <c r="H99" s="92" t="s">
        <v>1373</v>
      </c>
      <c r="I99" s="100"/>
    </row>
    <row r="100" spans="1:10">
      <c r="A100" s="603" t="s">
        <v>206</v>
      </c>
      <c r="B100" s="53" t="s">
        <v>207</v>
      </c>
      <c r="C100" s="53" t="s">
        <v>208</v>
      </c>
      <c r="D100" s="514"/>
      <c r="E100" s="53"/>
      <c r="F100" s="53"/>
      <c r="G100" s="53" t="s">
        <v>1470</v>
      </c>
      <c r="H100" s="53"/>
      <c r="I100" s="53"/>
    </row>
    <row r="101" spans="1:10">
      <c r="A101" s="53" t="s">
        <v>122</v>
      </c>
      <c r="B101" s="53" t="s">
        <v>123</v>
      </c>
      <c r="C101" s="53" t="s">
        <v>124</v>
      </c>
      <c r="D101" s="514"/>
      <c r="E101" s="53"/>
      <c r="F101" s="53" t="s">
        <v>1471</v>
      </c>
      <c r="G101" s="53" t="s">
        <v>1472</v>
      </c>
      <c r="H101" s="53"/>
      <c r="I101" s="53"/>
    </row>
    <row r="102" spans="1:10">
      <c r="A102" s="53" t="s">
        <v>40</v>
      </c>
      <c r="B102" s="53" t="s">
        <v>41</v>
      </c>
      <c r="C102" s="53" t="s">
        <v>42</v>
      </c>
      <c r="D102" s="514"/>
      <c r="E102" s="53"/>
      <c r="F102" s="53"/>
      <c r="G102" s="53" t="s">
        <v>1473</v>
      </c>
      <c r="H102" s="53"/>
      <c r="I102" s="53"/>
    </row>
    <row r="103" spans="1:10">
      <c r="A103" s="94" t="s">
        <v>152</v>
      </c>
      <c r="B103" s="94" t="s">
        <v>153</v>
      </c>
      <c r="C103" s="94" t="s">
        <v>154</v>
      </c>
      <c r="D103" s="515"/>
      <c r="E103" s="94"/>
      <c r="F103" s="94" t="s">
        <v>1474</v>
      </c>
      <c r="G103" s="94" t="s">
        <v>1475</v>
      </c>
      <c r="H103" s="94"/>
      <c r="I103" s="94"/>
    </row>
    <row r="104" spans="1:10">
      <c r="A104" s="53" t="s">
        <v>713</v>
      </c>
      <c r="B104" s="53" t="s">
        <v>714</v>
      </c>
      <c r="C104" s="53" t="s">
        <v>154</v>
      </c>
      <c r="D104" s="514"/>
      <c r="E104" s="53"/>
      <c r="F104" s="53"/>
      <c r="G104" s="53"/>
      <c r="H104" s="53"/>
      <c r="I104" s="53"/>
    </row>
    <row r="105" spans="1:10">
      <c r="A105" s="53" t="s">
        <v>185</v>
      </c>
      <c r="B105" s="53" t="s">
        <v>186</v>
      </c>
      <c r="C105" s="53" t="s">
        <v>187</v>
      </c>
      <c r="D105" s="514"/>
      <c r="E105" s="53"/>
      <c r="F105" s="53" t="s">
        <v>1476</v>
      </c>
      <c r="G105" s="53" t="s">
        <v>1477</v>
      </c>
      <c r="H105" s="53"/>
      <c r="I105" s="53"/>
    </row>
    <row r="106" spans="1:10">
      <c r="A106" s="53" t="s">
        <v>291</v>
      </c>
      <c r="B106" s="53" t="s">
        <v>292</v>
      </c>
      <c r="C106" s="53" t="s">
        <v>293</v>
      </c>
      <c r="D106" s="514"/>
      <c r="E106" s="53"/>
      <c r="F106" s="53" t="s">
        <v>291</v>
      </c>
      <c r="G106" s="53" t="s">
        <v>1478</v>
      </c>
      <c r="H106" s="53"/>
      <c r="I106" s="53"/>
    </row>
    <row r="107" spans="1:10">
      <c r="A107" s="53" t="s">
        <v>1479</v>
      </c>
      <c r="B107" s="53"/>
      <c r="C107" s="53" t="s">
        <v>293</v>
      </c>
      <c r="D107" s="514"/>
      <c r="E107" s="53"/>
      <c r="F107" s="53"/>
      <c r="G107" s="53"/>
      <c r="H107" s="53"/>
      <c r="I107" s="53"/>
    </row>
    <row r="108" spans="1:10">
      <c r="A108" s="53" t="s">
        <v>287</v>
      </c>
      <c r="B108" s="53" t="s">
        <v>288</v>
      </c>
      <c r="C108" s="53" t="s">
        <v>289</v>
      </c>
      <c r="D108" s="514"/>
      <c r="E108" s="53"/>
      <c r="F108" s="53" t="s">
        <v>1480</v>
      </c>
      <c r="G108" s="53" t="s">
        <v>1481</v>
      </c>
      <c r="H108" s="53" t="s">
        <v>1482</v>
      </c>
      <c r="I108" s="53"/>
    </row>
    <row r="109" spans="1:10">
      <c r="A109" s="94" t="s">
        <v>537</v>
      </c>
      <c r="B109" s="94" t="s">
        <v>538</v>
      </c>
      <c r="C109" s="94" t="s">
        <v>539</v>
      </c>
      <c r="D109" s="515"/>
      <c r="E109" s="94"/>
      <c r="F109" s="94"/>
      <c r="G109" s="94" t="s">
        <v>1483</v>
      </c>
      <c r="H109" s="94"/>
      <c r="I109" s="94"/>
    </row>
    <row r="110" spans="1:10">
      <c r="A110" s="53" t="s">
        <v>1004</v>
      </c>
      <c r="B110" s="53" t="s">
        <v>1005</v>
      </c>
      <c r="C110" s="53" t="s">
        <v>539</v>
      </c>
      <c r="D110" s="514"/>
      <c r="E110" s="53"/>
      <c r="F110" s="53" t="s">
        <v>1484</v>
      </c>
      <c r="G110" s="53" t="s">
        <v>1485</v>
      </c>
      <c r="H110" s="53" t="s">
        <v>1486</v>
      </c>
      <c r="I110" s="53" t="s">
        <v>1487</v>
      </c>
    </row>
    <row r="111" spans="1:10">
      <c r="A111" s="53" t="s">
        <v>401</v>
      </c>
      <c r="B111" s="53" t="s">
        <v>402</v>
      </c>
      <c r="C111" s="53" t="s">
        <v>403</v>
      </c>
      <c r="D111" s="514"/>
      <c r="E111" s="53"/>
      <c r="F111" s="53" t="s">
        <v>1488</v>
      </c>
      <c r="G111" s="53" t="s">
        <v>1489</v>
      </c>
      <c r="H111" s="53" t="s">
        <v>1490</v>
      </c>
      <c r="I111" s="53"/>
    </row>
    <row r="112" spans="1:10">
      <c r="A112" s="53" t="s">
        <v>471</v>
      </c>
      <c r="B112" s="53"/>
      <c r="C112" s="53" t="s">
        <v>472</v>
      </c>
      <c r="D112" s="514"/>
      <c r="E112" s="53"/>
      <c r="F112" s="53"/>
      <c r="G112" s="53"/>
      <c r="H112" s="53"/>
      <c r="I112" s="53"/>
    </row>
    <row r="113" spans="1:9">
      <c r="A113" s="53" t="s">
        <v>417</v>
      </c>
      <c r="B113" s="53" t="s">
        <v>418</v>
      </c>
      <c r="C113" s="53" t="s">
        <v>419</v>
      </c>
      <c r="D113" s="514"/>
      <c r="E113" s="53"/>
      <c r="F113" s="53"/>
      <c r="G113" s="53" t="s">
        <v>1491</v>
      </c>
      <c r="H113" s="53"/>
      <c r="I113" s="53"/>
    </row>
    <row r="114" spans="1:9">
      <c r="A114" s="53" t="s">
        <v>407</v>
      </c>
      <c r="B114" s="53" t="s">
        <v>408</v>
      </c>
      <c r="C114" s="53" t="s">
        <v>409</v>
      </c>
      <c r="D114" s="514"/>
      <c r="E114" s="53"/>
      <c r="F114" s="53"/>
      <c r="G114" s="53" t="s">
        <v>1492</v>
      </c>
      <c r="H114" s="53"/>
      <c r="I114" s="53"/>
    </row>
    <row r="115" spans="1:9">
      <c r="A115" s="53" t="s">
        <v>280</v>
      </c>
      <c r="B115" s="53" t="s">
        <v>281</v>
      </c>
      <c r="C115" s="53" t="s">
        <v>282</v>
      </c>
      <c r="D115" s="514"/>
      <c r="E115" s="53"/>
      <c r="F115" s="53"/>
      <c r="G115" s="53"/>
      <c r="H115" s="53"/>
      <c r="I115" s="53"/>
    </row>
    <row r="116" spans="1:9">
      <c r="A116" s="53" t="s">
        <v>558</v>
      </c>
      <c r="B116" s="53" t="s">
        <v>559</v>
      </c>
      <c r="C116" s="53" t="s">
        <v>560</v>
      </c>
      <c r="D116" s="514"/>
      <c r="E116" s="53"/>
      <c r="F116" s="53"/>
      <c r="G116" s="53" t="s">
        <v>1493</v>
      </c>
      <c r="H116" s="53" t="s">
        <v>1494</v>
      </c>
      <c r="I116" s="53"/>
    </row>
    <row r="117" spans="1:9">
      <c r="A117" s="53" t="s">
        <v>36</v>
      </c>
      <c r="B117" s="53" t="s">
        <v>1495</v>
      </c>
      <c r="C117" s="53" t="s">
        <v>38</v>
      </c>
      <c r="D117" s="514"/>
      <c r="E117" s="53"/>
      <c r="F117" s="53"/>
      <c r="G117" s="53" t="s">
        <v>1496</v>
      </c>
      <c r="H117" s="53"/>
      <c r="I117" s="53"/>
    </row>
    <row r="118" spans="1:9">
      <c r="A118" s="53" t="s">
        <v>1497</v>
      </c>
      <c r="B118" s="53"/>
      <c r="C118" s="53" t="s">
        <v>1498</v>
      </c>
      <c r="D118" s="514"/>
      <c r="E118" s="53"/>
      <c r="F118" s="53"/>
      <c r="G118" s="53"/>
      <c r="H118" s="53"/>
      <c r="I118" s="53"/>
    </row>
    <row r="119" spans="1:9">
      <c r="A119" s="53" t="s">
        <v>483</v>
      </c>
      <c r="B119" s="53" t="s">
        <v>484</v>
      </c>
      <c r="C119" s="53" t="s">
        <v>485</v>
      </c>
      <c r="D119" s="514"/>
      <c r="E119" s="53"/>
      <c r="F119" s="53"/>
      <c r="G119" s="53" t="s">
        <v>1499</v>
      </c>
      <c r="H119" s="53"/>
      <c r="I119" s="53"/>
    </row>
    <row r="120" spans="1:9">
      <c r="A120" s="53" t="s">
        <v>371</v>
      </c>
      <c r="B120" s="53" t="s">
        <v>372</v>
      </c>
      <c r="C120" s="53" t="s">
        <v>373</v>
      </c>
      <c r="D120" s="514"/>
      <c r="E120" s="53"/>
      <c r="F120" s="53"/>
      <c r="G120" s="53"/>
      <c r="H120" s="53"/>
      <c r="I120" s="53"/>
    </row>
    <row r="121" spans="1:9">
      <c r="A121" s="53" t="s">
        <v>412</v>
      </c>
      <c r="B121" s="53" t="s">
        <v>413</v>
      </c>
      <c r="C121" s="53" t="s">
        <v>414</v>
      </c>
      <c r="D121" s="514"/>
      <c r="E121" s="53"/>
      <c r="F121" s="53"/>
      <c r="G121" s="53" t="s">
        <v>1500</v>
      </c>
      <c r="H121" s="53"/>
      <c r="I121" s="53"/>
    </row>
    <row r="122" spans="1:9">
      <c r="A122" s="53" t="s">
        <v>1501</v>
      </c>
      <c r="B122" s="53"/>
      <c r="C122" s="53" t="s">
        <v>1502</v>
      </c>
      <c r="D122" s="514"/>
      <c r="E122" s="53"/>
      <c r="F122" s="53"/>
      <c r="G122" s="53"/>
      <c r="H122" s="53"/>
      <c r="I122" s="53"/>
    </row>
    <row r="123" spans="1:9">
      <c r="A123" s="53" t="s">
        <v>219</v>
      </c>
      <c r="B123" s="53" t="s">
        <v>220</v>
      </c>
      <c r="C123" s="53" t="s">
        <v>221</v>
      </c>
      <c r="D123" s="514"/>
      <c r="E123" s="53"/>
      <c r="F123" s="53"/>
      <c r="G123" s="53" t="s">
        <v>1503</v>
      </c>
      <c r="H123" s="53"/>
      <c r="I123" s="53"/>
    </row>
    <row r="124" spans="1:9">
      <c r="A124" s="315" t="s">
        <v>181</v>
      </c>
      <c r="B124" s="53" t="s">
        <v>182</v>
      </c>
      <c r="C124" s="53" t="s">
        <v>183</v>
      </c>
      <c r="D124" s="514"/>
      <c r="E124" s="53"/>
      <c r="F124" s="53"/>
      <c r="G124" s="53" t="s">
        <v>1504</v>
      </c>
      <c r="H124" s="53"/>
      <c r="I124" s="53"/>
    </row>
    <row r="125" spans="1:9">
      <c r="A125" s="53" t="s">
        <v>80</v>
      </c>
      <c r="B125" s="53" t="s">
        <v>81</v>
      </c>
      <c r="C125" s="53" t="s">
        <v>82</v>
      </c>
      <c r="D125" s="514"/>
      <c r="E125" s="53"/>
      <c r="F125" s="53"/>
      <c r="G125" s="53" t="s">
        <v>1505</v>
      </c>
      <c r="H125" s="53"/>
      <c r="I125" s="53"/>
    </row>
    <row r="126" spans="1:9">
      <c r="A126" s="53" t="s">
        <v>1506</v>
      </c>
      <c r="B126" s="53"/>
      <c r="C126" s="53" t="s">
        <v>719</v>
      </c>
      <c r="D126" s="514"/>
      <c r="E126" s="53"/>
      <c r="F126" s="53"/>
      <c r="G126" s="53"/>
      <c r="H126" s="53"/>
      <c r="I126" s="53"/>
    </row>
    <row r="127" spans="1:9">
      <c r="A127" s="53" t="s">
        <v>717</v>
      </c>
      <c r="B127" s="53" t="s">
        <v>718</v>
      </c>
      <c r="C127" s="53" t="s">
        <v>719</v>
      </c>
      <c r="D127" s="514"/>
      <c r="E127" s="53"/>
      <c r="F127" s="53" t="s">
        <v>1507</v>
      </c>
      <c r="G127" s="53"/>
      <c r="H127" s="53"/>
      <c r="I127" s="53"/>
    </row>
    <row r="128" spans="1:9" ht="15.75" thickBot="1">
      <c r="A128" s="53" t="s">
        <v>785</v>
      </c>
      <c r="B128" s="53" t="s">
        <v>786</v>
      </c>
      <c r="C128" s="53" t="s">
        <v>719</v>
      </c>
      <c r="D128" s="514"/>
      <c r="E128" s="53"/>
      <c r="F128" s="53"/>
      <c r="G128" s="53" t="s">
        <v>1508</v>
      </c>
      <c r="H128" s="53" t="s">
        <v>1509</v>
      </c>
      <c r="I128" s="53"/>
    </row>
    <row r="129" spans="1:9" ht="15.75" thickBot="1">
      <c r="A129" s="104" t="s">
        <v>74</v>
      </c>
      <c r="B129" s="105"/>
      <c r="C129" s="105" t="s">
        <v>75</v>
      </c>
      <c r="D129" s="519"/>
      <c r="E129" s="106"/>
      <c r="F129" s="105"/>
      <c r="G129" s="105"/>
      <c r="H129" s="107" t="s">
        <v>1373</v>
      </c>
      <c r="I129" s="108" t="s">
        <v>1158</v>
      </c>
    </row>
    <row r="130" spans="1:9">
      <c r="A130" s="603" t="s">
        <v>443</v>
      </c>
      <c r="B130" s="53" t="s">
        <v>444</v>
      </c>
      <c r="C130" s="53" t="s">
        <v>75</v>
      </c>
      <c r="D130" s="514"/>
      <c r="E130" s="53"/>
      <c r="F130" s="53" t="s">
        <v>1510</v>
      </c>
      <c r="G130" s="53" t="s">
        <v>1511</v>
      </c>
      <c r="H130" s="53"/>
      <c r="I130" s="53"/>
    </row>
    <row r="131" spans="1:9">
      <c r="A131" s="53" t="s">
        <v>162</v>
      </c>
      <c r="B131" s="53" t="s">
        <v>163</v>
      </c>
      <c r="C131" s="53" t="s">
        <v>164</v>
      </c>
      <c r="D131" s="514"/>
      <c r="E131" s="53"/>
      <c r="F131" s="53" t="s">
        <v>1512</v>
      </c>
      <c r="G131" s="53" t="s">
        <v>1513</v>
      </c>
      <c r="H131" s="53"/>
      <c r="I131" s="53"/>
    </row>
    <row r="132" spans="1:9">
      <c r="A132" s="53" t="s">
        <v>134</v>
      </c>
      <c r="B132" s="53" t="s">
        <v>135</v>
      </c>
      <c r="C132" s="53" t="s">
        <v>136</v>
      </c>
      <c r="D132" s="514"/>
      <c r="E132" s="53"/>
      <c r="F132" s="53"/>
      <c r="G132" s="53" t="s">
        <v>1514</v>
      </c>
      <c r="H132" s="53"/>
      <c r="I132" s="53"/>
    </row>
    <row r="133" spans="1:9" ht="15.75" thickBot="1">
      <c r="A133" s="53" t="s">
        <v>114</v>
      </c>
      <c r="B133" s="53" t="s">
        <v>115</v>
      </c>
      <c r="C133" s="53" t="s">
        <v>116</v>
      </c>
      <c r="D133" s="514"/>
      <c r="E133" s="53"/>
      <c r="F133" s="53"/>
      <c r="G133" s="53" t="s">
        <v>1515</v>
      </c>
      <c r="H133" s="53"/>
      <c r="I133" s="53"/>
    </row>
    <row r="134" spans="1:9" ht="15.75" thickBot="1">
      <c r="A134" s="472" t="s">
        <v>138</v>
      </c>
      <c r="B134" s="105" t="s">
        <v>139</v>
      </c>
      <c r="C134" s="105" t="s">
        <v>140</v>
      </c>
      <c r="D134" s="520"/>
      <c r="E134" s="105"/>
      <c r="F134" s="105"/>
      <c r="G134" s="105" t="s">
        <v>1516</v>
      </c>
      <c r="H134" s="105"/>
      <c r="I134" s="473" t="s">
        <v>1161</v>
      </c>
    </row>
    <row r="135" spans="1:9" ht="27.75">
      <c r="A135" s="603" t="s">
        <v>1017</v>
      </c>
      <c r="B135" s="53" t="s">
        <v>1018</v>
      </c>
      <c r="C135" s="53" t="s">
        <v>140</v>
      </c>
      <c r="D135" s="514"/>
      <c r="E135" s="53"/>
      <c r="F135" s="53" t="s">
        <v>1517</v>
      </c>
      <c r="G135" s="53" t="s">
        <v>1518</v>
      </c>
      <c r="H135" s="95" t="s">
        <v>1519</v>
      </c>
      <c r="I135" s="95" t="s">
        <v>1520</v>
      </c>
    </row>
    <row r="136" spans="1:9" ht="15.75" thickBot="1">
      <c r="A136" s="53" t="s">
        <v>578</v>
      </c>
      <c r="B136" s="53" t="s">
        <v>579</v>
      </c>
      <c r="C136" s="53" t="s">
        <v>580</v>
      </c>
      <c r="D136" s="514"/>
      <c r="E136" s="53"/>
      <c r="F136" s="53"/>
      <c r="G136" s="53"/>
      <c r="H136" s="53"/>
      <c r="I136" s="53"/>
    </row>
    <row r="137" spans="1:9" ht="15.75" thickBot="1">
      <c r="A137" s="346" t="s">
        <v>167</v>
      </c>
      <c r="B137" s="105" t="s">
        <v>168</v>
      </c>
      <c r="C137" s="105" t="s">
        <v>169</v>
      </c>
      <c r="D137" s="520"/>
      <c r="E137" s="105"/>
      <c r="F137" s="105"/>
      <c r="G137" s="105" t="s">
        <v>1521</v>
      </c>
      <c r="H137" s="105" t="s">
        <v>1522</v>
      </c>
      <c r="I137" s="108" t="s">
        <v>1158</v>
      </c>
    </row>
    <row r="138" spans="1:9">
      <c r="A138" s="603" t="s">
        <v>843</v>
      </c>
      <c r="B138" s="53" t="s">
        <v>844</v>
      </c>
      <c r="C138" s="53" t="s">
        <v>169</v>
      </c>
      <c r="D138" s="514"/>
      <c r="E138" s="53"/>
      <c r="F138" s="53" t="s">
        <v>1523</v>
      </c>
      <c r="G138" s="53"/>
      <c r="H138" s="53" t="s">
        <v>1524</v>
      </c>
      <c r="I138" s="53" t="s">
        <v>1525</v>
      </c>
    </row>
    <row r="139" spans="1:9">
      <c r="A139" s="53" t="s">
        <v>1526</v>
      </c>
      <c r="B139" s="53" t="s">
        <v>1527</v>
      </c>
      <c r="C139" s="53" t="s">
        <v>1528</v>
      </c>
      <c r="D139" s="514"/>
      <c r="E139" s="53"/>
      <c r="F139" s="53"/>
      <c r="G139" s="53"/>
      <c r="H139" s="53"/>
      <c r="I139" s="53"/>
    </row>
    <row r="140" spans="1:9">
      <c r="A140" s="109" t="s">
        <v>1529</v>
      </c>
      <c r="B140" s="109" t="s">
        <v>1527</v>
      </c>
      <c r="C140" s="109" t="s">
        <v>1528</v>
      </c>
      <c r="D140" s="521"/>
      <c r="E140" s="109"/>
      <c r="F140" s="109"/>
      <c r="G140" s="109"/>
      <c r="H140" s="109"/>
      <c r="I140" s="109"/>
    </row>
  </sheetData>
  <autoFilter ref="A1:I140" xr:uid="{00000000-0009-0000-0000-000009000000}"/>
  <conditionalFormatting sqref="B2:B4 B66:B69 B81:B108 B133:B134 B71:B79 B131 B128:B129 B47:B48 B138:B140 H16 B13:B37 B136 B6:B9 B111:B126 B52:B63">
    <cfRule type="expression" dxfId="27" priority="35" stopIfTrue="1">
      <formula>ISBLANK(B2)</formula>
    </cfRule>
    <cfRule type="expression" dxfId="26" priority="36">
      <formula>IFERROR(FIND("@",B2),-1)&lt;0</formula>
    </cfRule>
  </conditionalFormatting>
  <conditionalFormatting sqref="B70">
    <cfRule type="expression" dxfId="25" priority="31" stopIfTrue="1">
      <formula>ISBLANK(B70)</formula>
    </cfRule>
    <cfRule type="expression" dxfId="24" priority="32">
      <formula>IFERROR(FIND("@",B70),-1)&lt;0</formula>
    </cfRule>
  </conditionalFormatting>
  <conditionalFormatting sqref="B65">
    <cfRule type="expression" dxfId="23" priority="29" stopIfTrue="1">
      <formula>ISBLANK(B65)</formula>
    </cfRule>
    <cfRule type="expression" dxfId="22" priority="30">
      <formula>IFERROR(FIND("@",B65),-1)&lt;0</formula>
    </cfRule>
  </conditionalFormatting>
  <conditionalFormatting sqref="B130">
    <cfRule type="expression" dxfId="21" priority="27" stopIfTrue="1">
      <formula>ISBLANK(B130)</formula>
    </cfRule>
    <cfRule type="expression" dxfId="20" priority="28">
      <formula>IFERROR(FIND("@",B130),-1)&lt;0</formula>
    </cfRule>
  </conditionalFormatting>
  <conditionalFormatting sqref="B43">
    <cfRule type="expression" dxfId="19" priority="25" stopIfTrue="1">
      <formula>ISBLANK(B43)</formula>
    </cfRule>
    <cfRule type="expression" dxfId="18" priority="26">
      <formula>IFERROR(FIND("@",B43),-1)&lt;0</formula>
    </cfRule>
  </conditionalFormatting>
  <conditionalFormatting sqref="B127">
    <cfRule type="expression" dxfId="17" priority="23" stopIfTrue="1">
      <formula>ISBLANK(B127)</formula>
    </cfRule>
    <cfRule type="expression" dxfId="16" priority="24">
      <formula>IFERROR(FIND("@",B127),-1)&lt;0</formula>
    </cfRule>
  </conditionalFormatting>
  <conditionalFormatting sqref="B137">
    <cfRule type="expression" dxfId="15" priority="21" stopIfTrue="1">
      <formula>ISBLANK(B137)</formula>
    </cfRule>
    <cfRule type="expression" dxfId="14" priority="22">
      <formula>IFERROR(FIND("@",B137),-1)&lt;0</formula>
    </cfRule>
  </conditionalFormatting>
  <conditionalFormatting sqref="B5">
    <cfRule type="expression" dxfId="13" priority="13" stopIfTrue="1">
      <formula>ISBLANK(B5)</formula>
    </cfRule>
    <cfRule type="expression" dxfId="12" priority="14">
      <formula>IFERROR(FIND("@",B5),-1)&lt;0</formula>
    </cfRule>
  </conditionalFormatting>
  <conditionalFormatting sqref="B110">
    <cfRule type="expression" dxfId="11" priority="11" stopIfTrue="1">
      <formula>ISBLANK(B110)</formula>
    </cfRule>
    <cfRule type="expression" dxfId="10" priority="12">
      <formula>IFERROR(FIND("@",B110),-1)&lt;0</formula>
    </cfRule>
  </conditionalFormatting>
  <conditionalFormatting sqref="B109">
    <cfRule type="expression" dxfId="9" priority="9" stopIfTrue="1">
      <formula>ISBLANK(B109)</formula>
    </cfRule>
    <cfRule type="expression" dxfId="8" priority="10">
      <formula>IFERROR(FIND("@",B109),-1)&lt;0</formula>
    </cfRule>
  </conditionalFormatting>
  <conditionalFormatting sqref="B12">
    <cfRule type="expression" dxfId="7" priority="7" stopIfTrue="1">
      <formula>ISBLANK(B12)</formula>
    </cfRule>
    <cfRule type="expression" dxfId="6" priority="8">
      <formula>IFERROR(FIND("@",B12),-1)&lt;0</formula>
    </cfRule>
  </conditionalFormatting>
  <conditionalFormatting sqref="B42">
    <cfRule type="expression" dxfId="5" priority="5" stopIfTrue="1">
      <formula>ISBLANK(B42)</formula>
    </cfRule>
    <cfRule type="expression" dxfId="4" priority="6">
      <formula>IFERROR(FIND("@",B42),-1)&lt;0</formula>
    </cfRule>
  </conditionalFormatting>
  <conditionalFormatting sqref="B51">
    <cfRule type="expression" dxfId="3" priority="3" stopIfTrue="1">
      <formula>ISBLANK(B51)</formula>
    </cfRule>
    <cfRule type="expression" dxfId="2" priority="4">
      <formula>IFERROR(FIND("@",B51),-1)&lt;0</formula>
    </cfRule>
  </conditionalFormatting>
  <conditionalFormatting sqref="B50">
    <cfRule type="expression" dxfId="1" priority="1" stopIfTrue="1">
      <formula>ISBLANK(B50)</formula>
    </cfRule>
    <cfRule type="expression" dxfId="0" priority="2">
      <formula>IFERROR(FIND("@",B50),-1)&lt;0</formula>
    </cfRule>
  </conditionalFormatting>
  <pageMargins left="0.7" right="0.7" top="0.75" bottom="0.75"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9"/>
  <dimension ref="A1:C20"/>
  <sheetViews>
    <sheetView workbookViewId="0"/>
  </sheetViews>
  <sheetFormatPr defaultColWidth="10.7109375" defaultRowHeight="15"/>
  <cols>
    <col min="1" max="1" width="25.28515625" customWidth="1"/>
    <col min="2" max="2" width="22.42578125" bestFit="1" customWidth="1"/>
    <col min="3" max="3" width="12.5703125" customWidth="1"/>
  </cols>
  <sheetData>
    <row r="1" spans="1:3" ht="18.75">
      <c r="A1" s="71" t="s">
        <v>1530</v>
      </c>
    </row>
    <row r="3" spans="1:3">
      <c r="B3" s="24" t="s">
        <v>1531</v>
      </c>
    </row>
    <row r="4" spans="1:3">
      <c r="A4" s="24" t="s">
        <v>1532</v>
      </c>
      <c r="B4" t="s">
        <v>58</v>
      </c>
      <c r="C4" t="s">
        <v>1258</v>
      </c>
    </row>
    <row r="5" spans="1:3">
      <c r="A5" s="70" t="s">
        <v>74</v>
      </c>
    </row>
    <row r="6" spans="1:3">
      <c r="A6" s="70" t="s">
        <v>177</v>
      </c>
    </row>
    <row r="7" spans="1:3">
      <c r="A7" s="70" t="s">
        <v>280</v>
      </c>
    </row>
    <row r="8" spans="1:3">
      <c r="A8" s="70" t="s">
        <v>479</v>
      </c>
    </row>
    <row r="9" spans="1:3">
      <c r="A9" s="70" t="s">
        <v>40</v>
      </c>
    </row>
    <row r="10" spans="1:3">
      <c r="A10" s="70" t="s">
        <v>259</v>
      </c>
    </row>
    <row r="11" spans="1:3">
      <c r="A11" s="70" t="s">
        <v>171</v>
      </c>
    </row>
    <row r="12" spans="1:3">
      <c r="A12" s="70" t="s">
        <v>303</v>
      </c>
    </row>
    <row r="13" spans="1:3">
      <c r="A13" s="70" t="s">
        <v>397</v>
      </c>
    </row>
    <row r="14" spans="1:3">
      <c r="A14" s="70" t="s">
        <v>1533</v>
      </c>
    </row>
    <row r="15" spans="1:3">
      <c r="A15" s="70" t="s">
        <v>319</v>
      </c>
    </row>
    <row r="16" spans="1:3">
      <c r="A16" s="70" t="s">
        <v>410</v>
      </c>
    </row>
    <row r="17" spans="1:1">
      <c r="A17" s="70" t="s">
        <v>1258</v>
      </c>
    </row>
    <row r="18" spans="1:1">
      <c r="A18" s="70"/>
    </row>
    <row r="19" spans="1:1">
      <c r="A19" s="70"/>
    </row>
    <row r="20" spans="1:1">
      <c r="A20" s="72" t="s">
        <v>1534</v>
      </c>
    </row>
  </sheetData>
  <pageMargins left="0.7" right="0.7" top="0.75" bottom="0.75" header="0.3" footer="0.3"/>
  <pageSetup orientation="portrait" r:id="rId2"/>
</workshee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MColosso</dc:creator>
  <cp:keywords/>
  <dc:description/>
  <cp:lastModifiedBy>Mario Colosso</cp:lastModifiedBy>
  <cp:revision/>
  <dcterms:created xsi:type="dcterms:W3CDTF">2016-11-17T20:51:53Z</dcterms:created>
  <dcterms:modified xsi:type="dcterms:W3CDTF">2020-02-16T12:58:28Z</dcterms:modified>
  <cp:category/>
  <cp:contentStatus/>
</cp:coreProperties>
</file>